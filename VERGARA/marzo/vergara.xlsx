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VERGARA\marzo\"/>
    </mc:Choice>
  </mc:AlternateContent>
  <xr:revisionPtr revIDLastSave="0" documentId="13_ncr:1_{E7EB360A-F470-4219-B53E-74954DC925C6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PRORRATEO!$A$1:$P$101</definedName>
    <definedName name="_xlnm.Print_Area" localSheetId="0">RESUMEN!$A$1:$E$106</definedName>
  </definedNames>
  <calcPr calcId="181029"/>
</workbook>
</file>

<file path=xl/calcChain.xml><?xml version="1.0" encoding="utf-8"?>
<calcChain xmlns="http://schemas.openxmlformats.org/spreadsheetml/2006/main">
  <c r="B105" i="1" l="1"/>
  <c r="B85" i="1" s="1"/>
  <c r="M1" i="2"/>
  <c r="L8" i="2" s="1"/>
  <c r="O8" i="2" s="1"/>
  <c r="E54" i="1"/>
  <c r="B89" i="1"/>
  <c r="B88" i="1"/>
  <c r="H83" i="2"/>
  <c r="H44" i="2" s="1"/>
  <c r="H43" i="2"/>
  <c r="H18" i="2"/>
  <c r="H54" i="2"/>
  <c r="H26" i="2"/>
  <c r="H27" i="2"/>
  <c r="H72" i="2"/>
  <c r="H59" i="2" s="1"/>
  <c r="H29" i="2"/>
  <c r="H37" i="2"/>
  <c r="H24" i="2"/>
  <c r="H86" i="2"/>
  <c r="H34" i="2"/>
  <c r="H56" i="2"/>
  <c r="H48" i="2"/>
  <c r="H13" i="2"/>
  <c r="H42" i="2"/>
  <c r="H10" i="2"/>
  <c r="H30" i="2"/>
  <c r="H87" i="2"/>
  <c r="H33" i="2"/>
  <c r="H35" i="2"/>
  <c r="H51" i="2"/>
  <c r="H66" i="2"/>
  <c r="H25" i="2"/>
  <c r="H41" i="2"/>
  <c r="H17" i="2"/>
  <c r="H38" i="2"/>
  <c r="H68" i="2"/>
  <c r="H39" i="2"/>
  <c r="H77" i="2"/>
  <c r="H7" i="2"/>
  <c r="H11" i="2"/>
  <c r="H14" i="2"/>
  <c r="H67" i="2"/>
  <c r="H64" i="2"/>
  <c r="H8" i="2" s="1"/>
  <c r="H16" i="2"/>
  <c r="H5" i="2"/>
  <c r="H76" i="2"/>
  <c r="H40" i="2" s="1"/>
  <c r="H46" i="2"/>
  <c r="E89" i="2"/>
  <c r="H89" i="2"/>
  <c r="H20" i="2" s="1"/>
  <c r="H21" i="2"/>
  <c r="H71" i="2"/>
  <c r="H90" i="2"/>
  <c r="H32" i="2"/>
  <c r="H78" i="2"/>
  <c r="H12" i="2" s="1"/>
  <c r="H55" i="2"/>
  <c r="H62" i="2"/>
  <c r="H61" i="2"/>
  <c r="H50" i="2"/>
  <c r="H28" i="2"/>
  <c r="D25" i="1"/>
  <c r="E27" i="1" s="1"/>
  <c r="L83" i="2" l="1"/>
  <c r="O83" i="2" s="1"/>
  <c r="L75" i="2"/>
  <c r="O75" i="2" s="1"/>
  <c r="L67" i="2"/>
  <c r="O67" i="2" s="1"/>
  <c r="L51" i="2"/>
  <c r="O51" i="2" s="1"/>
  <c r="L39" i="2"/>
  <c r="O39" i="2" s="1"/>
  <c r="L27" i="2"/>
  <c r="O27" i="2" s="1"/>
  <c r="L15" i="2"/>
  <c r="O15" i="2" s="1"/>
  <c r="L11" i="2"/>
  <c r="O11" i="2" s="1"/>
  <c r="P11" i="2" s="1"/>
  <c r="L90" i="2"/>
  <c r="O90" i="2" s="1"/>
  <c r="L86" i="2"/>
  <c r="O86" i="2" s="1"/>
  <c r="L82" i="2"/>
  <c r="O82" i="2" s="1"/>
  <c r="L78" i="2"/>
  <c r="O78" i="2" s="1"/>
  <c r="L74" i="2"/>
  <c r="O74" i="2" s="1"/>
  <c r="L70" i="2"/>
  <c r="O70" i="2" s="1"/>
  <c r="L66" i="2"/>
  <c r="O66" i="2" s="1"/>
  <c r="L62" i="2"/>
  <c r="O62" i="2" s="1"/>
  <c r="L58" i="2"/>
  <c r="O58" i="2" s="1"/>
  <c r="L54" i="2"/>
  <c r="O54" i="2" s="1"/>
  <c r="L50" i="2"/>
  <c r="O50" i="2" s="1"/>
  <c r="L46" i="2"/>
  <c r="O46" i="2" s="1"/>
  <c r="L42" i="2"/>
  <c r="O42" i="2" s="1"/>
  <c r="L38" i="2"/>
  <c r="O38" i="2" s="1"/>
  <c r="L34" i="2"/>
  <c r="O34" i="2" s="1"/>
  <c r="L30" i="2"/>
  <c r="O30" i="2" s="1"/>
  <c r="L26" i="2"/>
  <c r="O26" i="2" s="1"/>
  <c r="L22" i="2"/>
  <c r="O22" i="2" s="1"/>
  <c r="L18" i="2"/>
  <c r="O18" i="2" s="1"/>
  <c r="L14" i="2"/>
  <c r="O14" i="2" s="1"/>
  <c r="L10" i="2"/>
  <c r="O10" i="2" s="1"/>
  <c r="L6" i="2"/>
  <c r="O6" i="2" s="1"/>
  <c r="L71" i="2"/>
  <c r="O71" i="2" s="1"/>
  <c r="L59" i="2"/>
  <c r="O59" i="2" s="1"/>
  <c r="L47" i="2"/>
  <c r="O47" i="2" s="1"/>
  <c r="L35" i="2"/>
  <c r="O35" i="2" s="1"/>
  <c r="L19" i="2"/>
  <c r="O19" i="2" s="1"/>
  <c r="L89" i="2"/>
  <c r="O89" i="2" s="1"/>
  <c r="L85" i="2"/>
  <c r="O85" i="2" s="1"/>
  <c r="L81" i="2"/>
  <c r="O81" i="2" s="1"/>
  <c r="L77" i="2"/>
  <c r="O77" i="2" s="1"/>
  <c r="L73" i="2"/>
  <c r="O73" i="2" s="1"/>
  <c r="L69" i="2"/>
  <c r="O69" i="2" s="1"/>
  <c r="L65" i="2"/>
  <c r="O65" i="2" s="1"/>
  <c r="L61" i="2"/>
  <c r="O61" i="2" s="1"/>
  <c r="L57" i="2"/>
  <c r="O57" i="2" s="1"/>
  <c r="L53" i="2"/>
  <c r="O53" i="2" s="1"/>
  <c r="L49" i="2"/>
  <c r="O49" i="2" s="1"/>
  <c r="L45" i="2"/>
  <c r="O45" i="2" s="1"/>
  <c r="L41" i="2"/>
  <c r="O41" i="2" s="1"/>
  <c r="L37" i="2"/>
  <c r="O37" i="2" s="1"/>
  <c r="L33" i="2"/>
  <c r="O33" i="2" s="1"/>
  <c r="L29" i="2"/>
  <c r="O29" i="2" s="1"/>
  <c r="L25" i="2"/>
  <c r="O25" i="2" s="1"/>
  <c r="L21" i="2"/>
  <c r="O21" i="2" s="1"/>
  <c r="L17" i="2"/>
  <c r="O17" i="2" s="1"/>
  <c r="L13" i="2"/>
  <c r="O13" i="2" s="1"/>
  <c r="L9" i="2"/>
  <c r="O9" i="2" s="1"/>
  <c r="L87" i="2"/>
  <c r="O87" i="2" s="1"/>
  <c r="L79" i="2"/>
  <c r="O79" i="2" s="1"/>
  <c r="L63" i="2"/>
  <c r="O63" i="2" s="1"/>
  <c r="L55" i="2"/>
  <c r="O55" i="2" s="1"/>
  <c r="L43" i="2"/>
  <c r="O43" i="2" s="1"/>
  <c r="L31" i="2"/>
  <c r="O31" i="2" s="1"/>
  <c r="L23" i="2"/>
  <c r="O23" i="2" s="1"/>
  <c r="L7" i="2"/>
  <c r="O7" i="2" s="1"/>
  <c r="L88" i="2"/>
  <c r="O88" i="2" s="1"/>
  <c r="L84" i="2"/>
  <c r="O84" i="2" s="1"/>
  <c r="L80" i="2"/>
  <c r="O80" i="2" s="1"/>
  <c r="L76" i="2"/>
  <c r="O76" i="2" s="1"/>
  <c r="L72" i="2"/>
  <c r="O72" i="2" s="1"/>
  <c r="L68" i="2"/>
  <c r="O68" i="2" s="1"/>
  <c r="L64" i="2"/>
  <c r="O64" i="2" s="1"/>
  <c r="L60" i="2"/>
  <c r="O60" i="2" s="1"/>
  <c r="L56" i="2"/>
  <c r="O56" i="2" s="1"/>
  <c r="L52" i="2"/>
  <c r="O52" i="2" s="1"/>
  <c r="L48" i="2"/>
  <c r="O48" i="2" s="1"/>
  <c r="L44" i="2"/>
  <c r="O44" i="2" s="1"/>
  <c r="L40" i="2"/>
  <c r="O40" i="2" s="1"/>
  <c r="L36" i="2"/>
  <c r="O36" i="2" s="1"/>
  <c r="L32" i="2"/>
  <c r="O32" i="2" s="1"/>
  <c r="L28" i="2"/>
  <c r="O28" i="2" s="1"/>
  <c r="L24" i="2"/>
  <c r="O24" i="2" s="1"/>
  <c r="L20" i="2"/>
  <c r="O20" i="2" s="1"/>
  <c r="L16" i="2"/>
  <c r="O16" i="2" s="1"/>
  <c r="L12" i="2"/>
  <c r="O12" i="2" s="1"/>
  <c r="E40" i="1" l="1"/>
  <c r="E39" i="1"/>
  <c r="N92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M92" i="2"/>
  <c r="N5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L5" i="2"/>
  <c r="O5" i="2" s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5" i="2"/>
  <c r="Q6" i="2" l="1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5" i="2"/>
  <c r="B86" i="1"/>
  <c r="H65" i="2"/>
  <c r="I72" i="2"/>
  <c r="I73" i="2"/>
  <c r="I74" i="2"/>
  <c r="I75" i="2"/>
  <c r="I76" i="2"/>
  <c r="I77" i="2"/>
  <c r="I78" i="2"/>
  <c r="I79" i="2"/>
  <c r="I80" i="2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I89" i="2"/>
  <c r="I90" i="2"/>
  <c r="J78" i="2" l="1"/>
  <c r="J76" i="2"/>
  <c r="J79" i="2"/>
  <c r="J90" i="2"/>
  <c r="J72" i="2"/>
  <c r="J77" i="2"/>
  <c r="J75" i="2"/>
  <c r="J74" i="2"/>
  <c r="J89" i="2"/>
  <c r="J73" i="2"/>
  <c r="J88" i="2"/>
  <c r="J80" i="2"/>
  <c r="D95" i="2" l="1"/>
  <c r="I16" i="2" l="1"/>
  <c r="E47" i="1" l="1"/>
  <c r="E70" i="1" l="1"/>
  <c r="E75" i="1" s="1"/>
  <c r="B79" i="1" s="1"/>
  <c r="B90" i="1" s="1"/>
  <c r="I46" i="2" l="1"/>
  <c r="E31" i="1" l="1"/>
  <c r="I19" i="2" l="1"/>
  <c r="O4" i="2" l="1"/>
  <c r="P72" i="2" l="1"/>
  <c r="E41" i="1"/>
  <c r="E35" i="1"/>
  <c r="P73" i="2" l="1"/>
  <c r="H92" i="2"/>
  <c r="B84" i="1" s="1"/>
  <c r="F92" i="2"/>
  <c r="G92" i="2"/>
  <c r="I41" i="2"/>
  <c r="I42" i="2"/>
  <c r="I43" i="2"/>
  <c r="I44" i="2"/>
  <c r="I45" i="2"/>
  <c r="I47" i="2"/>
  <c r="I48" i="2"/>
  <c r="I49" i="2"/>
  <c r="I50" i="2"/>
  <c r="I51" i="2"/>
  <c r="I52" i="2"/>
  <c r="I53" i="2"/>
  <c r="I54" i="2"/>
  <c r="I55" i="2"/>
  <c r="I56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P74" i="2" l="1"/>
  <c r="J46" i="2"/>
  <c r="J69" i="2"/>
  <c r="J65" i="2"/>
  <c r="J49" i="2"/>
  <c r="J41" i="2"/>
  <c r="J67" i="2"/>
  <c r="J59" i="2"/>
  <c r="J51" i="2"/>
  <c r="J43" i="2"/>
  <c r="J62" i="2"/>
  <c r="J54" i="2"/>
  <c r="J61" i="2"/>
  <c r="J53" i="2"/>
  <c r="J45" i="2"/>
  <c r="J71" i="2"/>
  <c r="J63" i="2"/>
  <c r="J55" i="2"/>
  <c r="J47" i="2"/>
  <c r="J70" i="2"/>
  <c r="J68" i="2"/>
  <c r="J64" i="2"/>
  <c r="J60" i="2"/>
  <c r="J56" i="2"/>
  <c r="J52" i="2"/>
  <c r="J48" i="2"/>
  <c r="J44" i="2"/>
  <c r="J66" i="2"/>
  <c r="J50" i="2"/>
  <c r="J42" i="2"/>
  <c r="I6" i="2"/>
  <c r="I7" i="2"/>
  <c r="I8" i="2"/>
  <c r="I9" i="2"/>
  <c r="I10" i="2"/>
  <c r="I11" i="2"/>
  <c r="I12" i="2"/>
  <c r="I13" i="2"/>
  <c r="I14" i="2"/>
  <c r="I15" i="2"/>
  <c r="I17" i="2"/>
  <c r="I18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5" i="2"/>
  <c r="P75" i="2" l="1"/>
  <c r="P48" i="2"/>
  <c r="P42" i="2"/>
  <c r="P44" i="2"/>
  <c r="P60" i="2"/>
  <c r="P70" i="2"/>
  <c r="P71" i="2"/>
  <c r="P54" i="2"/>
  <c r="P59" i="2"/>
  <c r="P65" i="2"/>
  <c r="P64" i="2"/>
  <c r="P47" i="2"/>
  <c r="P45" i="2"/>
  <c r="P62" i="2"/>
  <c r="P67" i="2"/>
  <c r="P41" i="2"/>
  <c r="P69" i="2"/>
  <c r="P50" i="2"/>
  <c r="P52" i="2"/>
  <c r="P68" i="2"/>
  <c r="P55" i="2"/>
  <c r="P53" i="2"/>
  <c r="P43" i="2"/>
  <c r="P49" i="2"/>
  <c r="P46" i="2"/>
  <c r="P66" i="2"/>
  <c r="P56" i="2"/>
  <c r="P63" i="2"/>
  <c r="P61" i="2"/>
  <c r="P51" i="2"/>
  <c r="B80" i="1"/>
  <c r="I92" i="2"/>
  <c r="J35" i="2"/>
  <c r="J36" i="2"/>
  <c r="J39" i="2"/>
  <c r="J40" i="2"/>
  <c r="J38" i="2"/>
  <c r="J37" i="2"/>
  <c r="J22" i="2"/>
  <c r="J10" i="2"/>
  <c r="J33" i="2"/>
  <c r="J29" i="2"/>
  <c r="J25" i="2"/>
  <c r="J21" i="2"/>
  <c r="J17" i="2"/>
  <c r="J13" i="2"/>
  <c r="J9" i="2"/>
  <c r="J26" i="2"/>
  <c r="J18" i="2"/>
  <c r="J6" i="2"/>
  <c r="J32" i="2"/>
  <c r="J28" i="2"/>
  <c r="J24" i="2"/>
  <c r="J20" i="2"/>
  <c r="J16" i="2"/>
  <c r="J12" i="2"/>
  <c r="J8" i="2"/>
  <c r="J34" i="2"/>
  <c r="J14" i="2"/>
  <c r="J31" i="2"/>
  <c r="J27" i="2"/>
  <c r="J23" i="2"/>
  <c r="J19" i="2"/>
  <c r="J15" i="2"/>
  <c r="J11" i="2"/>
  <c r="J7" i="2"/>
  <c r="J30" i="2"/>
  <c r="J5" i="2"/>
  <c r="K92" i="2"/>
  <c r="P76" i="2" l="1"/>
  <c r="J92" i="2"/>
  <c r="A39" i="1"/>
  <c r="A40" i="1" s="1"/>
  <c r="P77" i="2" l="1"/>
  <c r="E58" i="1"/>
  <c r="E62" i="1" s="1"/>
  <c r="P78" i="2" l="1"/>
  <c r="P79" i="2" l="1"/>
  <c r="P40" i="2"/>
  <c r="P38" i="2"/>
  <c r="P34" i="2"/>
  <c r="P30" i="2"/>
  <c r="P26" i="2"/>
  <c r="P22" i="2"/>
  <c r="P18" i="2"/>
  <c r="P14" i="2"/>
  <c r="P10" i="2"/>
  <c r="P6" i="2"/>
  <c r="P5" i="2"/>
  <c r="P37" i="2"/>
  <c r="P33" i="2"/>
  <c r="P29" i="2"/>
  <c r="P25" i="2"/>
  <c r="P21" i="2"/>
  <c r="P17" i="2"/>
  <c r="P13" i="2"/>
  <c r="P9" i="2"/>
  <c r="P36" i="2"/>
  <c r="P28" i="2"/>
  <c r="P24" i="2"/>
  <c r="P20" i="2"/>
  <c r="P16" i="2"/>
  <c r="P12" i="2"/>
  <c r="P8" i="2"/>
  <c r="P39" i="2"/>
  <c r="P31" i="2"/>
  <c r="P27" i="2"/>
  <c r="P23" i="2"/>
  <c r="P19" i="2"/>
  <c r="P15" i="2"/>
  <c r="P7" i="2"/>
  <c r="P35" i="2"/>
  <c r="L92" i="2"/>
  <c r="P80" i="2" l="1"/>
  <c r="B78" i="1"/>
  <c r="P81" i="2" l="1"/>
  <c r="B87" i="1"/>
  <c r="B91" i="1" s="1"/>
  <c r="B77" i="1"/>
  <c r="P82" i="2" l="1"/>
  <c r="P83" i="2" l="1"/>
  <c r="P32" i="2"/>
  <c r="P84" i="2" l="1"/>
  <c r="P85" i="2" l="1"/>
  <c r="P86" i="2" l="1"/>
  <c r="P87" i="2"/>
  <c r="P88" i="2" l="1"/>
  <c r="P89" i="2" l="1"/>
  <c r="P90" i="2" l="1"/>
  <c r="P92" i="2" s="1"/>
  <c r="O92" i="2"/>
</calcChain>
</file>

<file path=xl/sharedStrings.xml><?xml version="1.0" encoding="utf-8"?>
<sst xmlns="http://schemas.openxmlformats.org/spreadsheetml/2006/main" count="320" uniqueCount="273">
  <si>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</si>
  <si>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</si>
  <si>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</si>
  <si>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</si>
  <si>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</si>
  <si>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</si>
  <si>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Dpto.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</si>
  <si>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</si>
  <si>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</si>
  <si>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</si>
  <si>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</si>
  <si>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</si>
  <si>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</si>
  <si>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</si>
  <si>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</si>
  <si>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</si>
  <si>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</si>
  <si>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</si>
  <si>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</si>
  <si>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</si>
  <si>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</si>
  <si>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</si>
  <si>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Seracarh</t>
  </si>
  <si>
    <t>Fatheryh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</si>
  <si>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</si>
  <si>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</si>
  <si>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</si>
  <si>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</si>
  <si>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</si>
  <si>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</si>
  <si>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</si>
  <si>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TELEFONO: 11 5320-2676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</si>
  <si>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</si>
  <si>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</si>
  <si>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</si>
  <si>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</si>
  <si>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</si>
  <si>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</si>
  <si>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</si>
  <si>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</si>
  <si>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</si>
  <si>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</si>
  <si>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</si>
  <si>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EXTRAORDINARIOS CON PREVISION:</t>
  </si>
  <si>
    <t>Suther</t>
  </si>
  <si>
    <t xml:space="preserve">Deposito sin identificar </t>
  </si>
  <si>
    <t>Interes 3%</t>
  </si>
  <si>
    <t>GASTOS EXTRAORDINARIOS:</t>
  </si>
  <si>
    <t>Punitorios mal cobrados</t>
  </si>
  <si>
    <t xml:space="preserve">ARCA </t>
  </si>
  <si>
    <t>1°A</t>
  </si>
  <si>
    <t>Alejandro Raul Cuezzo</t>
  </si>
  <si>
    <t>1°B</t>
  </si>
  <si>
    <t>Daniel Julian Guzzo</t>
  </si>
  <si>
    <t>1°C</t>
  </si>
  <si>
    <t>Pablo Plebs</t>
  </si>
  <si>
    <t>1°D</t>
  </si>
  <si>
    <t>Adrian Alejandro Pozo</t>
  </si>
  <si>
    <t>2°A</t>
  </si>
  <si>
    <t>Guillen Maria / Alejandro DI LEO</t>
  </si>
  <si>
    <t>2°B</t>
  </si>
  <si>
    <t>Jose Luis Gurtubay</t>
  </si>
  <si>
    <t>2°C</t>
  </si>
  <si>
    <t>2°D</t>
  </si>
  <si>
    <t>Juan Carlos Alonso</t>
  </si>
  <si>
    <t>3°A</t>
  </si>
  <si>
    <t>Lucas Oscar Ramil</t>
  </si>
  <si>
    <t>3°B</t>
  </si>
  <si>
    <t>Raul Boffi</t>
  </si>
  <si>
    <t>3°C</t>
  </si>
  <si>
    <t>3°D</t>
  </si>
  <si>
    <t>Roxana Elena Maya</t>
  </si>
  <si>
    <t>4°A</t>
  </si>
  <si>
    <t>4°B</t>
  </si>
  <si>
    <t>4°C</t>
  </si>
  <si>
    <t>4°D</t>
  </si>
  <si>
    <t>Hernán Gastón Padilla</t>
  </si>
  <si>
    <t>5°A</t>
  </si>
  <si>
    <t>5°B</t>
  </si>
  <si>
    <t>5°C</t>
  </si>
  <si>
    <t>5°D</t>
  </si>
  <si>
    <t>Fernando Andres Canepa</t>
  </si>
  <si>
    <t>6°A</t>
  </si>
  <si>
    <t>Andres Gabriel Devouassoux</t>
  </si>
  <si>
    <t>6°B</t>
  </si>
  <si>
    <t>6°C</t>
  </si>
  <si>
    <t>Barbara Eugenia GARCIA FONTENLA</t>
  </si>
  <si>
    <t>6°D</t>
  </si>
  <si>
    <t>Javier Alejandro Panaccio</t>
  </si>
  <si>
    <t>7°A</t>
  </si>
  <si>
    <t>Mirta Isabel Asturino</t>
  </si>
  <si>
    <t>7°B</t>
  </si>
  <si>
    <t>Jorge Antonio Mendiola</t>
  </si>
  <si>
    <t>7°C</t>
  </si>
  <si>
    <t>Nelson Ariel FRAGA</t>
  </si>
  <si>
    <t>7°D</t>
  </si>
  <si>
    <t>Domingo Alifraco</t>
  </si>
  <si>
    <t>8°A</t>
  </si>
  <si>
    <t>Juan Pablo Charpin</t>
  </si>
  <si>
    <t>8°B</t>
  </si>
  <si>
    <t>Adriana Del Bagno</t>
  </si>
  <si>
    <t>8°C</t>
  </si>
  <si>
    <t>Claudio Moroni</t>
  </si>
  <si>
    <t>8°D</t>
  </si>
  <si>
    <t>Karina Edith Mastandrea</t>
  </si>
  <si>
    <t>9°A</t>
  </si>
  <si>
    <t>Fernando Fernandez</t>
  </si>
  <si>
    <t>9°B</t>
  </si>
  <si>
    <t>Gonzalo Cadiz</t>
  </si>
  <si>
    <t>9°C</t>
  </si>
  <si>
    <t>Hernan Miñambres</t>
  </si>
  <si>
    <t>9°D</t>
  </si>
  <si>
    <t>Matías Ezequiel Tobío </t>
  </si>
  <si>
    <t>10°A</t>
  </si>
  <si>
    <t>Ariel Marcelo FERNANDEZ</t>
  </si>
  <si>
    <t>10°B</t>
  </si>
  <si>
    <t>10°C</t>
  </si>
  <si>
    <t>Antonio Carlos Caputo</t>
  </si>
  <si>
    <t>10°D</t>
  </si>
  <si>
    <t>11°A</t>
  </si>
  <si>
    <t>Manuel Salvador FERNANDEZ</t>
  </si>
  <si>
    <t>11°B</t>
  </si>
  <si>
    <t>Jorge Antonio VILLONE</t>
  </si>
  <si>
    <t>11°C</t>
  </si>
  <si>
    <t>Daniela Noemi Araujo</t>
  </si>
  <si>
    <t>11°D</t>
  </si>
  <si>
    <t>Gabriela Santiso/Claudio Touzon</t>
  </si>
  <si>
    <t>12°A</t>
  </si>
  <si>
    <t>12°B</t>
  </si>
  <si>
    <t>12°C</t>
  </si>
  <si>
    <t>Pedro Eugenio Negri</t>
  </si>
  <si>
    <t>12°D</t>
  </si>
  <si>
    <t>Luis Alberto Guarch</t>
  </si>
  <si>
    <t>13°A</t>
  </si>
  <si>
    <t>Soraya Mariel Varela</t>
  </si>
  <si>
    <t>13°B</t>
  </si>
  <si>
    <t>Rubén Dario LIBERALI</t>
  </si>
  <si>
    <t>13°C</t>
  </si>
  <si>
    <t>Maria Gabriela Diaz</t>
  </si>
  <si>
    <t>13°D</t>
  </si>
  <si>
    <t>Fabiana Besteiro</t>
  </si>
  <si>
    <t>P.B.1</t>
  </si>
  <si>
    <t>P.B.2</t>
  </si>
  <si>
    <t>Osvaldo Ricardo Colombo</t>
  </si>
  <si>
    <t>P.B.3</t>
  </si>
  <si>
    <t>Fernando Saavedra</t>
  </si>
  <si>
    <t>P.B.4</t>
  </si>
  <si>
    <t>P.B.5</t>
  </si>
  <si>
    <t>Ayelen Bárbara Kisch</t>
  </si>
  <si>
    <t>P.B.6</t>
  </si>
  <si>
    <t>P.B.7</t>
  </si>
  <si>
    <t>P.B.8</t>
  </si>
  <si>
    <t>P.B.9</t>
  </si>
  <si>
    <t>Laura Natalia Carrillo</t>
  </si>
  <si>
    <t>P.B.10</t>
  </si>
  <si>
    <t>P.B.11</t>
  </si>
  <si>
    <t>García</t>
  </si>
  <si>
    <t>P.B.12</t>
  </si>
  <si>
    <t>P.B.13</t>
  </si>
  <si>
    <t>P.B.14</t>
  </si>
  <si>
    <t>P.B.15</t>
  </si>
  <si>
    <t>GALPON</t>
  </si>
  <si>
    <t>Club Atlético Banfield</t>
  </si>
  <si>
    <t>S.S.16</t>
  </si>
  <si>
    <t>S.S.17</t>
  </si>
  <si>
    <t>S.S.18</t>
  </si>
  <si>
    <t>Diaz Laura Natalia</t>
  </si>
  <si>
    <t>S.S.19</t>
  </si>
  <si>
    <t>S.S.20</t>
  </si>
  <si>
    <t>S.S.21</t>
  </si>
  <si>
    <t>Alejandro DI LEO -</t>
  </si>
  <si>
    <t>S.S.22</t>
  </si>
  <si>
    <t>S.S.23</t>
  </si>
  <si>
    <t>S.S.24</t>
  </si>
  <si>
    <t>S.S.25</t>
  </si>
  <si>
    <t>S.S.26</t>
  </si>
  <si>
    <t>S.S.27</t>
  </si>
  <si>
    <t>S.S.28</t>
  </si>
  <si>
    <t>S.S.29</t>
  </si>
  <si>
    <t>S.S.30</t>
  </si>
  <si>
    <t>S.S.31</t>
  </si>
  <si>
    <t xml:space="preserve">Claudia </t>
  </si>
  <si>
    <t>Barbara y Ezequiel</t>
  </si>
  <si>
    <t>Ayelen</t>
  </si>
  <si>
    <t>Araceli</t>
  </si>
  <si>
    <t>Mayne</t>
  </si>
  <si>
    <t>Biyik</t>
  </si>
  <si>
    <t xml:space="preserve">Saldo Ord </t>
  </si>
  <si>
    <t>Saldo anterior</t>
  </si>
  <si>
    <t>MAIL: consorciovergara1670@gmail.com</t>
  </si>
  <si>
    <t>Servicio de mantenimiento de ascensores - ADS</t>
  </si>
  <si>
    <t>VTO 14/04</t>
  </si>
  <si>
    <t>EDESUR</t>
  </si>
  <si>
    <t>METROGAS</t>
  </si>
  <si>
    <t>Gastos extraordinarios:</t>
  </si>
  <si>
    <t>EDESUR:</t>
  </si>
  <si>
    <t>METROGAS:</t>
  </si>
  <si>
    <t>Marcela De Biase-  Sra. Contadora - Mes de Marzo</t>
  </si>
  <si>
    <t>Transf 19/03</t>
  </si>
  <si>
    <t>Honorarios administracion - Mes de Marzo - No se abonan por falta de caja</t>
  </si>
  <si>
    <t>Debito 19/03</t>
  </si>
  <si>
    <t>Sindicatos mes de MARZO</t>
  </si>
  <si>
    <t>Debito 13/03</t>
  </si>
  <si>
    <t>Transf 25/03</t>
  </si>
  <si>
    <t>AYSA - Nro de cliente. 318350</t>
  </si>
  <si>
    <t>Extintores triclase ABC x 5kg - recarga anual</t>
  </si>
  <si>
    <t>Mano de obra emergencias plomeria - Doartero Julio</t>
  </si>
  <si>
    <t>JPL articulos de limpieza - NO SE ABONAN POR FALTA DE CAJA</t>
  </si>
  <si>
    <t xml:space="preserve">Ajuste de medidores </t>
  </si>
  <si>
    <t>Reparacion rampa de cocheras</t>
  </si>
  <si>
    <t>Transf 31/03</t>
  </si>
  <si>
    <t>Deducciones</t>
  </si>
  <si>
    <t>Redondeo</t>
  </si>
  <si>
    <t>Remunerativos encargado Gonzalo Guenaga</t>
  </si>
  <si>
    <t>ESTIMADOS PROPIETARIOS E INQUILINOS: POR FAVOR LOS QUE ABONAN EN PRIMER VENCIMIENTO ABONEN EL MONTO DE PRIMER VENCIMIENTO, ASI AGILIZAN LA LIQUIDACION, LES PEDIMOS ENCARECIDAMENTE QUE RESPETEN LOS CENTAVOS CORRESPONDIENTES A LA UNIDAD FUNCIONAL. ES DE CARÁCTER OBLIGATORIO INFORMAR VIA MAIL LAS EXPENSAS.</t>
  </si>
  <si>
    <t>CONSORCIO DE PROPIETARIOS DEL EDIFICIO CALLE  VERGARA 1670</t>
  </si>
  <si>
    <t>Transferencia a nombre de Mirta Castarol - 6/03</t>
  </si>
  <si>
    <t>Tranferencia no identificada - 7/3 - Santiago Torregarosa</t>
  </si>
  <si>
    <t>Clobas Ezequiel</t>
  </si>
  <si>
    <t>Micaela Contreras</t>
  </si>
  <si>
    <t>Aranda Jonhatan</t>
  </si>
  <si>
    <t>Dario Javier Flecha</t>
  </si>
  <si>
    <t>Armando Ezequiel Garro</t>
  </si>
  <si>
    <t>Nadia Santillan</t>
  </si>
  <si>
    <t>Micaela Acevedo</t>
  </si>
  <si>
    <t>Jesica Romina</t>
  </si>
  <si>
    <t>Jesica Romina Tobio</t>
  </si>
  <si>
    <t>Daniela Bernabe</t>
  </si>
  <si>
    <t>Emiliano Calderon Alberto</t>
  </si>
  <si>
    <t>Gian y Micaela Parra</t>
  </si>
  <si>
    <t>Transferencia a nombre de Norberto Omar Picin - 10/03</t>
  </si>
  <si>
    <t>Transferencia a nombre de Guillermo Rosenth Walter - 10/03</t>
  </si>
  <si>
    <t>Laura Quintana</t>
  </si>
  <si>
    <t>Micaela Dib</t>
  </si>
  <si>
    <t>Paula Murado</t>
  </si>
  <si>
    <t>Sol Gatti Maria</t>
  </si>
  <si>
    <t>Transferencia a nombre de Avido Laura - 12/03</t>
  </si>
  <si>
    <t>Transferencia a nombre de Jefferson Barreto - 12/03</t>
  </si>
  <si>
    <t>Lujan / Natalia Capece</t>
  </si>
  <si>
    <t>Macarena Barraza</t>
  </si>
  <si>
    <t>Carlos Mehinger</t>
  </si>
  <si>
    <t>Santiago Flores</t>
  </si>
  <si>
    <t>Antonela escobar</t>
  </si>
  <si>
    <t>Camila Benitez</t>
  </si>
  <si>
    <t>Ignacio Touzon</t>
  </si>
  <si>
    <t>Fanta / Alejandro Gabriel Lopez</t>
  </si>
  <si>
    <t>Matias / Carla Esteves</t>
  </si>
  <si>
    <t xml:space="preserve">Olivera Rodrigo </t>
  </si>
  <si>
    <t>Barbara Bañon / Delia Martinez</t>
  </si>
  <si>
    <t>Diego Coronel</t>
  </si>
  <si>
    <t>Transferencia sin identificar a nombre de Rosa Magdalena - 19/03</t>
  </si>
  <si>
    <t>Ezequiel / Delfina Saavedra</t>
  </si>
  <si>
    <t>Transferencia sin identificar a nombre de Agustina Martinez - 25/03</t>
  </si>
  <si>
    <t>Nicolas Iudice</t>
  </si>
  <si>
    <t>Maria Florencia Boffi</t>
  </si>
  <si>
    <t>Benitez Gabriela</t>
  </si>
  <si>
    <t>Transferencia a nombre de Norberto Omar Picin - 31/03</t>
  </si>
  <si>
    <t>Agustina y Alan Pons</t>
  </si>
  <si>
    <t>CBU: 2990024602400258030006</t>
  </si>
  <si>
    <t xml:space="preserve">CUIT DEL EDIFICIO: 30-71802922-4 </t>
  </si>
  <si>
    <t>PERÍODO: MARZO - ADMINISTRADORA: CAROLINA CANCIANI MP:1148</t>
  </si>
  <si>
    <t>ALIAS: VERGARA.1670</t>
  </si>
  <si>
    <t>Seguro integral consorcio. Póliza 346504 Mapfre (4116-6397/6652 4458-5065)</t>
  </si>
  <si>
    <t>Seguro de accidentes personales. Póliza 2151088 Mapfre</t>
  </si>
  <si>
    <t>Gastos banacarios</t>
  </si>
  <si>
    <t>Mantenimiento de cuenta</t>
  </si>
  <si>
    <t>Sueldo a pagar por la administracion saliente ya abonado</t>
  </si>
  <si>
    <t>Edesur - cliente nro. 01469567</t>
  </si>
  <si>
    <t>Metrogas - Cliente nro. 30015090344</t>
  </si>
  <si>
    <t>Magali Carrivale</t>
  </si>
  <si>
    <t>EXPENSAS ORD</t>
  </si>
  <si>
    <t>EXPENSAS EXTRAORD</t>
  </si>
  <si>
    <t>PREVISION ORDINARIA - metrogas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</si>
</sst>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  <numFmt numFmtId="170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4" tint="0.5999938962981048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04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166" fontId="3" fillId="0" borderId="0" xfId="0" applyNumberFormat="1" applyFont="1"/>
    <xf numFmtId="0" fontId="5" fillId="0" borderId="1" xfId="0" applyFont="1" applyBorder="1"/>
    <xf numFmtId="4" fontId="0" fillId="0" borderId="0" xfId="0" applyNumberFormat="1"/>
    <xf numFmtId="4" fontId="5" fillId="0" borderId="0" xfId="0" applyNumberFormat="1" applyFont="1"/>
    <xf numFmtId="0" fontId="5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164" fontId="6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0" fontId="11" fillId="4" borderId="1" xfId="0" applyFont="1" applyFill="1" applyBorder="1"/>
    <xf numFmtId="164" fontId="10" fillId="4" borderId="1" xfId="0" applyNumberFormat="1" applyFont="1" applyFill="1" applyBorder="1"/>
    <xf numFmtId="165" fontId="6" fillId="4" borderId="1" xfId="1" applyFont="1" applyFill="1" applyBorder="1"/>
    <xf numFmtId="165" fontId="0" fillId="0" borderId="1" xfId="1" applyFont="1" applyBorder="1"/>
    <xf numFmtId="165" fontId="4" fillId="0" borderId="1" xfId="1" applyFont="1" applyBorder="1"/>
    <xf numFmtId="165" fontId="6" fillId="4" borderId="6" xfId="1" applyFont="1" applyFill="1" applyBorder="1"/>
    <xf numFmtId="165" fontId="4" fillId="4" borderId="1" xfId="1" applyFont="1" applyFill="1" applyBorder="1"/>
    <xf numFmtId="165" fontId="4" fillId="4" borderId="6" xfId="1" applyFont="1" applyFill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0" fontId="7" fillId="2" borderId="0" xfId="0" applyFont="1" applyFill="1"/>
    <xf numFmtId="165" fontId="0" fillId="0" borderId="0" xfId="0" applyNumberFormat="1"/>
    <xf numFmtId="0" fontId="8" fillId="6" borderId="0" xfId="0" applyFont="1" applyFill="1"/>
    <xf numFmtId="165" fontId="8" fillId="6" borderId="0" xfId="1" applyFont="1" applyFill="1"/>
    <xf numFmtId="165" fontId="13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165" fontId="0" fillId="3" borderId="8" xfId="1" applyFont="1" applyFill="1" applyBorder="1" applyAlignment="1">
      <alignment vertical="center"/>
    </xf>
    <xf numFmtId="0" fontId="18" fillId="11" borderId="1" xfId="0" applyFont="1" applyFill="1" applyBorder="1"/>
    <xf numFmtId="165" fontId="0" fillId="4" borderId="0" xfId="1" applyFont="1" applyFill="1"/>
    <xf numFmtId="165" fontId="6" fillId="0" borderId="1" xfId="1" applyFont="1" applyBorder="1"/>
    <xf numFmtId="165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0" fontId="2" fillId="4" borderId="1" xfId="0" applyFont="1" applyFill="1" applyBorder="1" applyAlignment="1">
      <alignment wrapText="1"/>
    </xf>
    <xf numFmtId="165" fontId="9" fillId="4" borderId="1" xfId="1" applyFont="1" applyFill="1" applyBorder="1"/>
    <xf numFmtId="165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0" fontId="14" fillId="0" borderId="1" xfId="0" applyFont="1" applyBorder="1" applyAlignment="1">
      <alignment horizontal="center"/>
    </xf>
    <xf numFmtId="165" fontId="20" fillId="0" borderId="1" xfId="1" applyFont="1" applyBorder="1"/>
    <xf numFmtId="167" fontId="14" fillId="0" borderId="1" xfId="0" applyNumberFormat="1" applyFont="1" applyBorder="1"/>
    <xf numFmtId="165" fontId="14" fillId="0" borderId="1" xfId="1" applyFont="1" applyBorder="1"/>
    <xf numFmtId="167" fontId="14" fillId="0" borderId="1" xfId="1" applyNumberFormat="1" applyFont="1" applyBorder="1"/>
    <xf numFmtId="165" fontId="20" fillId="0" borderId="25" xfId="1" applyFont="1" applyBorder="1"/>
    <xf numFmtId="165" fontId="20" fillId="0" borderId="27" xfId="1" applyFont="1" applyBorder="1"/>
    <xf numFmtId="167" fontId="21" fillId="0" borderId="1" xfId="0" applyNumberFormat="1" applyFont="1" applyBorder="1"/>
    <xf numFmtId="0" fontId="14" fillId="2" borderId="1" xfId="0" applyFont="1" applyFill="1" applyBorder="1" applyAlignment="1">
      <alignment wrapText="1"/>
    </xf>
    <xf numFmtId="2" fontId="14" fillId="2" borderId="1" xfId="0" applyNumberFormat="1" applyFont="1" applyFill="1" applyBorder="1" applyAlignment="1">
      <alignment horizontal="center"/>
    </xf>
    <xf numFmtId="0" fontId="14" fillId="0" borderId="7" xfId="0" applyFont="1" applyBorder="1"/>
    <xf numFmtId="0" fontId="14" fillId="0" borderId="23" xfId="0" applyFont="1" applyBorder="1"/>
    <xf numFmtId="0" fontId="14" fillId="2" borderId="2" xfId="0" applyFont="1" applyFill="1" applyBorder="1"/>
    <xf numFmtId="2" fontId="14" fillId="2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10" borderId="21" xfId="0" applyFont="1" applyFill="1" applyBorder="1"/>
    <xf numFmtId="0" fontId="14" fillId="4" borderId="26" xfId="0" applyFont="1" applyFill="1" applyBorder="1"/>
    <xf numFmtId="165" fontId="14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165" fontId="5" fillId="7" borderId="11" xfId="0" applyNumberFormat="1" applyFont="1" applyFill="1" applyBorder="1"/>
    <xf numFmtId="167" fontId="14" fillId="2" borderId="1" xfId="0" applyNumberFormat="1" applyFont="1" applyFill="1" applyBorder="1"/>
    <xf numFmtId="165" fontId="12" fillId="8" borderId="8" xfId="1" applyFont="1" applyFill="1" applyBorder="1" applyAlignment="1">
      <alignment vertical="center"/>
    </xf>
    <xf numFmtId="0" fontId="4" fillId="0" borderId="1" xfId="0" applyFont="1" applyBorder="1"/>
    <xf numFmtId="0" fontId="4" fillId="11" borderId="1" xfId="0" applyFont="1" applyFill="1" applyBorder="1"/>
    <xf numFmtId="164" fontId="9" fillId="4" borderId="21" xfId="1" applyNumberFormat="1" applyFont="1" applyFill="1" applyBorder="1"/>
    <xf numFmtId="165" fontId="22" fillId="4" borderId="3" xfId="1" applyFont="1" applyFill="1" applyBorder="1"/>
    <xf numFmtId="165" fontId="23" fillId="0" borderId="3" xfId="1" applyFont="1" applyBorder="1"/>
    <xf numFmtId="164" fontId="9" fillId="4" borderId="13" xfId="1" applyNumberFormat="1" applyFont="1" applyFill="1" applyBorder="1"/>
    <xf numFmtId="165" fontId="9" fillId="4" borderId="21" xfId="1" applyFont="1" applyFill="1" applyBorder="1"/>
    <xf numFmtId="165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165" fontId="23" fillId="2" borderId="1" xfId="1" applyFont="1" applyFill="1" applyBorder="1" applyAlignment="1"/>
    <xf numFmtId="165" fontId="23" fillId="0" borderId="1" xfId="1" applyFont="1" applyBorder="1"/>
    <xf numFmtId="165" fontId="9" fillId="4" borderId="13" xfId="1" applyFont="1" applyFill="1" applyBorder="1"/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4" xfId="0" applyBorder="1" applyAlignment="1">
      <alignment horizontal="left" vertical="center" wrapText="1"/>
    </xf>
    <xf numFmtId="0" fontId="23" fillId="2" borderId="1" xfId="1" applyNumberFormat="1" applyFont="1" applyFill="1" applyBorder="1" applyAlignment="1">
      <alignment horizontal="left"/>
    </xf>
    <xf numFmtId="165" fontId="23" fillId="2" borderId="1" xfId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9" fillId="4" borderId="2" xfId="1" applyFont="1" applyFill="1" applyBorder="1"/>
    <xf numFmtId="165" fontId="23" fillId="2" borderId="3" xfId="1" applyFont="1" applyFill="1" applyBorder="1"/>
    <xf numFmtId="164" fontId="6" fillId="4" borderId="22" xfId="0" applyNumberFormat="1" applyFont="1" applyFill="1" applyBorder="1"/>
    <xf numFmtId="0" fontId="23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23" fillId="0" borderId="17" xfId="0" applyFont="1" applyBorder="1"/>
    <xf numFmtId="0" fontId="6" fillId="5" borderId="10" xfId="0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8" fillId="6" borderId="0" xfId="0" applyNumberFormat="1" applyFont="1" applyFill="1"/>
    <xf numFmtId="165" fontId="4" fillId="2" borderId="1" xfId="1" applyFont="1" applyFill="1" applyBorder="1"/>
    <xf numFmtId="165" fontId="23" fillId="2" borderId="1" xfId="1" applyFont="1" applyFill="1" applyBorder="1" applyAlignment="1">
      <alignment wrapText="1"/>
    </xf>
    <xf numFmtId="164" fontId="19" fillId="11" borderId="1" xfId="0" applyNumberFormat="1" applyFont="1" applyFill="1" applyBorder="1"/>
    <xf numFmtId="0" fontId="23" fillId="2" borderId="1" xfId="0" applyFont="1" applyFill="1" applyBorder="1"/>
    <xf numFmtId="0" fontId="15" fillId="0" borderId="1" xfId="1" applyNumberFormat="1" applyFont="1" applyBorder="1"/>
    <xf numFmtId="164" fontId="4" fillId="2" borderId="1" xfId="0" applyNumberFormat="1" applyFont="1" applyFill="1" applyBorder="1"/>
    <xf numFmtId="165" fontId="4" fillId="2" borderId="1" xfId="1" applyFont="1" applyFill="1" applyBorder="1" applyAlignment="1"/>
    <xf numFmtId="0" fontId="5" fillId="0" borderId="1" xfId="0" applyFont="1" applyBorder="1" applyAlignment="1">
      <alignment horizontal="left" vertical="center" wrapText="1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4" fillId="10" borderId="26" xfId="0" applyFont="1" applyFill="1" applyBorder="1"/>
    <xf numFmtId="168" fontId="20" fillId="2" borderId="1" xfId="1" applyNumberFormat="1" applyFont="1" applyFill="1" applyBorder="1"/>
    <xf numFmtId="0" fontId="0" fillId="2" borderId="0" xfId="0" applyFill="1"/>
    <xf numFmtId="165" fontId="5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5" fontId="7" fillId="2" borderId="6" xfId="1" applyFont="1" applyFill="1" applyBorder="1"/>
    <xf numFmtId="0" fontId="21" fillId="0" borderId="1" xfId="0" applyFont="1" applyBorder="1"/>
    <xf numFmtId="165" fontId="4" fillId="2" borderId="1" xfId="1" applyFont="1" applyFill="1" applyBorder="1" applyAlignment="1">
      <alignment wrapText="1"/>
    </xf>
    <xf numFmtId="168" fontId="0" fillId="3" borderId="0" xfId="1" applyNumberFormat="1" applyFont="1" applyFill="1" applyAlignment="1"/>
    <xf numFmtId="0" fontId="14" fillId="4" borderId="21" xfId="0" applyFont="1" applyFill="1" applyBorder="1"/>
    <xf numFmtId="167" fontId="14" fillId="4" borderId="21" xfId="0" applyNumberFormat="1" applyFont="1" applyFill="1" applyBorder="1"/>
    <xf numFmtId="168" fontId="14" fillId="4" borderId="21" xfId="0" applyNumberFormat="1" applyFont="1" applyFill="1" applyBorder="1"/>
    <xf numFmtId="170" fontId="14" fillId="4" borderId="21" xfId="0" applyNumberFormat="1" applyFont="1" applyFill="1" applyBorder="1" applyAlignment="1">
      <alignment horizontal="center"/>
    </xf>
    <xf numFmtId="0" fontId="2" fillId="7" borderId="1" xfId="0" applyFont="1" applyFill="1" applyBorder="1"/>
    <xf numFmtId="165" fontId="6" fillId="7" borderId="1" xfId="1" applyFont="1" applyFill="1" applyBorder="1"/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6" fillId="7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167" fontId="14" fillId="0" borderId="7" xfId="1" applyNumberFormat="1" applyFont="1" applyBorder="1"/>
    <xf numFmtId="165" fontId="0" fillId="3" borderId="0" xfId="1" applyFont="1" applyFill="1" applyAlignment="1">
      <alignment horizontal="center"/>
    </xf>
    <xf numFmtId="165" fontId="0" fillId="3" borderId="8" xfId="1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14" fillId="0" borderId="1" xfId="0" applyFont="1" applyBorder="1" applyAlignment="1"/>
    <xf numFmtId="14" fontId="0" fillId="0" borderId="1" xfId="0" applyNumberFormat="1" applyBorder="1" applyAlignment="1">
      <alignment wrapText="1"/>
    </xf>
    <xf numFmtId="0" fontId="20" fillId="2" borderId="1" xfId="0" applyFont="1" applyFill="1" applyBorder="1" applyAlignment="1">
      <alignment wrapText="1"/>
    </xf>
    <xf numFmtId="0" fontId="14" fillId="2" borderId="1" xfId="0" applyFont="1" applyFill="1" applyBorder="1" applyAlignment="1"/>
    <xf numFmtId="0" fontId="5" fillId="3" borderId="0" xfId="0" applyFont="1" applyFill="1" applyBorder="1"/>
    <xf numFmtId="0" fontId="2" fillId="3" borderId="0" xfId="0" applyFont="1" applyFill="1" applyBorder="1" applyAlignment="1">
      <alignment wrapText="1"/>
    </xf>
    <xf numFmtId="0" fontId="2" fillId="3" borderId="0" xfId="0" applyFont="1" applyFill="1" applyBorder="1" applyAlignment="1">
      <alignment vertical="center"/>
    </xf>
    <xf numFmtId="0" fontId="5" fillId="3" borderId="8" xfId="0" applyFont="1" applyFill="1" applyBorder="1"/>
    <xf numFmtId="0" fontId="18" fillId="2" borderId="1" xfId="0" applyFont="1" applyFill="1" applyBorder="1"/>
    <xf numFmtId="164" fontId="19" fillId="2" borderId="6" xfId="0" applyNumberFormat="1" applyFont="1" applyFill="1" applyBorder="1"/>
    <xf numFmtId="0" fontId="4" fillId="2" borderId="0" xfId="0" applyFont="1" applyFill="1" applyBorder="1"/>
    <xf numFmtId="165" fontId="24" fillId="3" borderId="0" xfId="1" applyFont="1" applyFill="1" applyAlignment="1"/>
    <xf numFmtId="165" fontId="0" fillId="3" borderId="0" xfId="0" applyNumberFormat="1" applyFill="1" applyAlignment="1">
      <alignment horizontal="center"/>
    </xf>
    <xf numFmtId="43" fontId="0" fillId="0" borderId="0" xfId="0" applyNumberFormat="1"/>
    <xf numFmtId="0" fontId="2" fillId="3" borderId="10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167" fontId="9" fillId="5" borderId="11" xfId="0" applyNumberFormat="1" applyFont="1" applyFill="1" applyBorder="1"/>
    <xf numFmtId="167" fontId="9" fillId="8" borderId="13" xfId="1" applyNumberFormat="1" applyFont="1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28574</xdr:rowOff>
    </xdr:from>
    <xdr:to>
      <xdr:col>0</xdr:col>
      <xdr:colOff>2009775</xdr:colOff>
      <xdr:row>2</xdr:row>
      <xdr:rowOff>380999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599"/>
          <a:ext cx="1971675" cy="7334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topLeftCell="A52" workbookViewId="0">
      <selection activeCell="A61" sqref="A61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28515625" customWidth="1"/>
    <col min="5" max="5" width="12.85546875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x14ac:dyDescent="0.25">
      <c r="A1" s="15"/>
      <c r="B1" s="73" t="s">
        <v>189</v>
      </c>
      <c r="C1" s="73"/>
      <c r="D1" s="73"/>
      <c r="E1" s="74"/>
    </row>
    <row r="2" spans="1:5" x14ac:dyDescent="0.25">
      <c r="A2" s="16"/>
      <c r="B2" s="190" t="s">
        <v>33</v>
      </c>
      <c r="C2" s="190"/>
      <c r="D2" s="190"/>
      <c r="E2" s="75"/>
    </row>
    <row r="3" spans="1:5" ht="32.25" customHeight="1" thickBot="1" x14ac:dyDescent="0.3">
      <c r="A3" s="16"/>
      <c r="B3" s="191" t="s">
        <v>258</v>
      </c>
      <c r="C3" s="190"/>
      <c r="D3" s="192" t="s">
        <v>31</v>
      </c>
      <c r="E3" s="75"/>
    </row>
    <row r="4" spans="1:5" ht="15.75" thickBot="1" x14ac:dyDescent="0.3">
      <c r="A4" s="17" t="s">
        <v>0</v>
      </c>
      <c r="B4" s="94" t="s">
        <v>261</v>
      </c>
      <c r="C4" s="18"/>
      <c r="D4" s="18"/>
      <c r="E4" s="19"/>
    </row>
    <row r="5" spans="1:5" ht="30.75" customHeight="1" thickBot="1" x14ac:dyDescent="0.3">
      <c r="A5" s="16" t="s">
        <v>259</v>
      </c>
      <c r="B5" s="200" t="s">
        <v>260</v>
      </c>
      <c r="C5" s="200"/>
      <c r="D5" s="200"/>
      <c r="E5" s="201"/>
    </row>
    <row r="6" spans="1:5" ht="15.75" thickBot="1" x14ac:dyDescent="0.3">
      <c r="A6" s="17" t="s">
        <v>215</v>
      </c>
      <c r="B6" s="18"/>
      <c r="C6" s="18"/>
      <c r="D6" s="193" t="s">
        <v>34</v>
      </c>
      <c r="E6" s="19"/>
    </row>
    <row r="8" spans="1:5" x14ac:dyDescent="0.25">
      <c r="B8" s="158" t="s">
        <v>191</v>
      </c>
      <c r="C8" s="158"/>
    </row>
    <row r="9" spans="1:5" x14ac:dyDescent="0.25">
      <c r="B9" s="158"/>
      <c r="C9" s="158"/>
    </row>
    <row r="10" spans="1:5" x14ac:dyDescent="0.25">
      <c r="B10" s="158"/>
      <c r="C10" s="158"/>
    </row>
    <row r="12" spans="1:5" hidden="1" x14ac:dyDescent="0.25"/>
    <row r="13" spans="1:5" ht="15" customHeight="1" x14ac:dyDescent="0.25">
      <c r="A13" s="157" t="s">
        <v>214</v>
      </c>
      <c r="B13" s="157"/>
      <c r="C13" s="157"/>
      <c r="D13" s="157"/>
      <c r="E13" s="157"/>
    </row>
    <row r="14" spans="1:5" ht="15" customHeight="1" x14ac:dyDescent="0.25">
      <c r="A14" s="157"/>
      <c r="B14" s="157"/>
      <c r="C14" s="157"/>
      <c r="D14" s="157"/>
      <c r="E14" s="157"/>
    </row>
    <row r="15" spans="1:5" ht="15" customHeight="1" x14ac:dyDescent="0.25">
      <c r="A15" s="157"/>
      <c r="B15" s="157"/>
      <c r="C15" s="157"/>
      <c r="D15" s="157"/>
      <c r="E15" s="157"/>
    </row>
    <row r="16" spans="1:5" ht="53.25" customHeight="1" x14ac:dyDescent="0.25">
      <c r="A16" s="157"/>
      <c r="B16" s="157"/>
      <c r="C16" s="157"/>
      <c r="D16" s="157"/>
      <c r="E16" s="157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12</v>
      </c>
      <c r="B20" s="12"/>
      <c r="C20" s="13"/>
      <c r="D20" s="9"/>
      <c r="E20" s="14"/>
    </row>
    <row r="21" spans="1:7" x14ac:dyDescent="0.25">
      <c r="A21" s="34" t="s">
        <v>39</v>
      </c>
      <c r="B21" s="34"/>
      <c r="C21" s="34"/>
      <c r="D21" s="32"/>
      <c r="E21" s="32"/>
    </row>
    <row r="22" spans="1:7" x14ac:dyDescent="0.25">
      <c r="A22" s="5" t="s">
        <v>213</v>
      </c>
      <c r="B22" s="5"/>
      <c r="C22" s="5"/>
      <c r="D22" s="134">
        <v>590585.1</v>
      </c>
      <c r="E22" s="99"/>
    </row>
    <row r="23" spans="1:7" x14ac:dyDescent="0.25">
      <c r="A23" s="5" t="s">
        <v>211</v>
      </c>
      <c r="B23" s="5"/>
      <c r="C23" s="5"/>
      <c r="D23" s="134">
        <v>-138117.69</v>
      </c>
      <c r="E23" s="99"/>
      <c r="G23" s="20"/>
    </row>
    <row r="24" spans="1:7" x14ac:dyDescent="0.25">
      <c r="A24" s="5" t="s">
        <v>212</v>
      </c>
      <c r="B24" s="5"/>
      <c r="C24" s="5"/>
      <c r="D24" s="134">
        <v>0.59</v>
      </c>
      <c r="E24" s="99"/>
      <c r="G24" s="20"/>
    </row>
    <row r="25" spans="1:7" x14ac:dyDescent="0.25">
      <c r="A25" s="59" t="s">
        <v>40</v>
      </c>
      <c r="B25" s="59"/>
      <c r="C25" s="59"/>
      <c r="D25" s="131">
        <f>SUM(D22:D24)</f>
        <v>452468</v>
      </c>
      <c r="E25" s="100"/>
      <c r="G25" s="20"/>
    </row>
    <row r="26" spans="1:7" x14ac:dyDescent="0.25">
      <c r="A26" s="194" t="s">
        <v>266</v>
      </c>
      <c r="B26" s="194"/>
      <c r="C26" s="194"/>
      <c r="D26" s="195">
        <v>445381</v>
      </c>
      <c r="E26" s="196"/>
      <c r="G26" s="20"/>
    </row>
    <row r="27" spans="1:7" ht="15.75" thickBot="1" x14ac:dyDescent="0.3">
      <c r="A27" s="26" t="s">
        <v>1</v>
      </c>
      <c r="B27" s="26"/>
      <c r="C27" s="26"/>
      <c r="D27" s="28"/>
      <c r="E27" s="101">
        <f>D25+D26</f>
        <v>897849</v>
      </c>
      <c r="F27" s="20"/>
    </row>
    <row r="28" spans="1:7" x14ac:dyDescent="0.25">
      <c r="A28" s="34" t="s">
        <v>24</v>
      </c>
      <c r="B28" s="34"/>
      <c r="C28" s="34"/>
      <c r="D28" s="35"/>
      <c r="E28" s="102"/>
    </row>
    <row r="29" spans="1:7" ht="18" customHeight="1" x14ac:dyDescent="0.25">
      <c r="A29" s="159" t="s">
        <v>197</v>
      </c>
      <c r="B29" s="160"/>
      <c r="C29" s="5"/>
      <c r="D29" s="134">
        <v>28000</v>
      </c>
      <c r="E29" s="103" t="s">
        <v>198</v>
      </c>
    </row>
    <row r="30" spans="1:7" ht="33" customHeight="1" thickBot="1" x14ac:dyDescent="0.3">
      <c r="A30" s="159" t="s">
        <v>199</v>
      </c>
      <c r="B30" s="160"/>
      <c r="C30" s="5"/>
      <c r="D30" s="134"/>
      <c r="E30" s="103"/>
    </row>
    <row r="31" spans="1:7" ht="15.75" thickBot="1" x14ac:dyDescent="0.3">
      <c r="A31" s="26" t="s">
        <v>18</v>
      </c>
      <c r="B31" s="26"/>
      <c r="C31" s="26"/>
      <c r="D31" s="39"/>
      <c r="E31" s="104">
        <f>SUM(D29:D30)</f>
        <v>28000</v>
      </c>
    </row>
    <row r="32" spans="1:7" x14ac:dyDescent="0.25">
      <c r="A32" s="32" t="s">
        <v>36</v>
      </c>
      <c r="B32" s="33"/>
      <c r="C32" s="33"/>
      <c r="D32" s="36"/>
      <c r="E32" s="71"/>
    </row>
    <row r="33" spans="1:7" s="42" customFormat="1" ht="33" customHeight="1" x14ac:dyDescent="0.25">
      <c r="A33" s="159" t="s">
        <v>262</v>
      </c>
      <c r="B33" s="160"/>
      <c r="C33" s="56"/>
      <c r="D33" s="147">
        <v>226692</v>
      </c>
      <c r="E33" s="130"/>
    </row>
    <row r="34" spans="1:7" ht="14.25" customHeight="1" x14ac:dyDescent="0.25">
      <c r="A34" s="159" t="s">
        <v>263</v>
      </c>
      <c r="B34" s="160"/>
      <c r="C34" s="56"/>
      <c r="D34" s="135">
        <v>719.9</v>
      </c>
      <c r="E34" s="130"/>
    </row>
    <row r="35" spans="1:7" ht="15.75" thickBot="1" x14ac:dyDescent="0.3">
      <c r="A35" s="26" t="s">
        <v>2</v>
      </c>
      <c r="B35" s="26"/>
      <c r="C35" s="26"/>
      <c r="D35" s="39"/>
      <c r="E35" s="105">
        <f>SUM(D33:D34)</f>
        <v>227411.9</v>
      </c>
    </row>
    <row r="36" spans="1:7" x14ac:dyDescent="0.25">
      <c r="A36" s="34" t="s">
        <v>19</v>
      </c>
      <c r="B36" s="27"/>
      <c r="C36" s="27"/>
      <c r="D36" s="40"/>
      <c r="E36" s="106"/>
    </row>
    <row r="37" spans="1:7" x14ac:dyDescent="0.25">
      <c r="A37" s="5" t="s">
        <v>49</v>
      </c>
      <c r="B37" s="5"/>
      <c r="C37" s="55"/>
      <c r="D37" s="38">
        <v>299291.15999999997</v>
      </c>
      <c r="E37" s="132" t="s">
        <v>200</v>
      </c>
      <c r="G37" s="141"/>
    </row>
    <row r="38" spans="1:7" x14ac:dyDescent="0.25">
      <c r="A38" s="5" t="s">
        <v>201</v>
      </c>
      <c r="B38" s="5" t="s">
        <v>23</v>
      </c>
      <c r="C38" s="5"/>
      <c r="D38" s="129">
        <v>26307.3</v>
      </c>
      <c r="E38" s="116" t="s">
        <v>202</v>
      </c>
    </row>
    <row r="39" spans="1:7" x14ac:dyDescent="0.25">
      <c r="A39" s="5" t="str">
        <f>A38</f>
        <v>Sindicatos mes de MARZO</v>
      </c>
      <c r="B39" s="5" t="s">
        <v>44</v>
      </c>
      <c r="C39" s="5"/>
      <c r="D39" s="129">
        <v>54080.160000000003</v>
      </c>
      <c r="E39" s="116" t="str">
        <f>E38</f>
        <v>Debito 13/03</v>
      </c>
    </row>
    <row r="40" spans="1:7" x14ac:dyDescent="0.25">
      <c r="A40" s="5" t="str">
        <f>A39</f>
        <v>Sindicatos mes de MARZO</v>
      </c>
      <c r="B40" s="5" t="s">
        <v>22</v>
      </c>
      <c r="C40" s="5"/>
      <c r="D40" s="129">
        <v>2923</v>
      </c>
      <c r="E40" s="117" t="str">
        <f>E38</f>
        <v>Debito 13/03</v>
      </c>
    </row>
    <row r="41" spans="1:7" ht="15" customHeight="1" thickBot="1" x14ac:dyDescent="0.3">
      <c r="A41" s="26" t="s">
        <v>3</v>
      </c>
      <c r="B41" s="27"/>
      <c r="C41" s="27"/>
      <c r="D41" s="41"/>
      <c r="E41" s="105">
        <f>SUM(D37:D40)</f>
        <v>382601.62</v>
      </c>
    </row>
    <row r="42" spans="1:7" x14ac:dyDescent="0.25">
      <c r="A42" s="34" t="s">
        <v>21</v>
      </c>
      <c r="B42" s="27"/>
      <c r="C42" s="27"/>
      <c r="D42" s="40"/>
      <c r="E42" s="106"/>
    </row>
    <row r="43" spans="1:7" ht="14.25" customHeight="1" x14ac:dyDescent="0.25">
      <c r="A43" s="5" t="s">
        <v>204</v>
      </c>
      <c r="B43" s="5"/>
      <c r="C43" s="5"/>
      <c r="D43" s="129">
        <v>38133.980000000003</v>
      </c>
      <c r="E43" s="114" t="s">
        <v>198</v>
      </c>
    </row>
    <row r="44" spans="1:7" ht="14.25" customHeight="1" x14ac:dyDescent="0.25">
      <c r="A44" s="5" t="s">
        <v>190</v>
      </c>
      <c r="B44" s="5"/>
      <c r="C44" s="5"/>
      <c r="D44" s="129">
        <v>35000</v>
      </c>
      <c r="E44" s="114" t="s">
        <v>203</v>
      </c>
    </row>
    <row r="45" spans="1:7" x14ac:dyDescent="0.25">
      <c r="A45" s="5"/>
      <c r="B45" s="5"/>
      <c r="C45" s="5"/>
      <c r="D45" s="129"/>
      <c r="E45" s="114"/>
    </row>
    <row r="46" spans="1:7" x14ac:dyDescent="0.25">
      <c r="A46" s="159"/>
      <c r="B46" s="160"/>
      <c r="C46" s="5"/>
      <c r="D46" s="129"/>
      <c r="E46" s="108"/>
    </row>
    <row r="47" spans="1:7" ht="15.75" thickBot="1" x14ac:dyDescent="0.3">
      <c r="A47" s="26" t="s">
        <v>4</v>
      </c>
      <c r="B47" s="26"/>
      <c r="C47" s="26"/>
      <c r="D47" s="39"/>
      <c r="E47" s="105">
        <f>SUM(D43:D46)</f>
        <v>73133.98000000001</v>
      </c>
    </row>
    <row r="48" spans="1:7" ht="15" customHeight="1" thickBot="1" x14ac:dyDescent="0.3">
      <c r="A48" s="34" t="s">
        <v>20</v>
      </c>
      <c r="B48" s="26"/>
      <c r="C48" s="26"/>
      <c r="D48" s="39"/>
      <c r="E48" s="110"/>
    </row>
    <row r="49" spans="1:10" x14ac:dyDescent="0.25">
      <c r="A49" s="163" t="s">
        <v>205</v>
      </c>
      <c r="B49" s="164"/>
      <c r="C49" s="69"/>
      <c r="D49" s="129">
        <v>181500</v>
      </c>
      <c r="E49" s="115" t="s">
        <v>198</v>
      </c>
    </row>
    <row r="50" spans="1:10" ht="15" customHeight="1" x14ac:dyDescent="0.25">
      <c r="A50" s="163" t="s">
        <v>206</v>
      </c>
      <c r="B50" s="167"/>
      <c r="C50" s="57"/>
      <c r="D50" s="129">
        <v>185000</v>
      </c>
      <c r="E50" s="115" t="s">
        <v>198</v>
      </c>
    </row>
    <row r="51" spans="1:10" ht="15" customHeight="1" x14ac:dyDescent="0.25">
      <c r="A51" s="155" t="s">
        <v>209</v>
      </c>
      <c r="B51" s="156"/>
      <c r="C51" s="57"/>
      <c r="D51" s="129">
        <v>110000</v>
      </c>
      <c r="E51" s="115" t="s">
        <v>198</v>
      </c>
    </row>
    <row r="52" spans="1:10" x14ac:dyDescent="0.25">
      <c r="A52" s="168" t="s">
        <v>207</v>
      </c>
      <c r="B52" s="169"/>
      <c r="C52" s="5"/>
      <c r="D52" s="129"/>
      <c r="E52" s="133"/>
    </row>
    <row r="53" spans="1:10" ht="15" customHeight="1" x14ac:dyDescent="0.25">
      <c r="A53" s="168" t="s">
        <v>208</v>
      </c>
      <c r="B53" s="169"/>
      <c r="C53" s="5"/>
      <c r="D53" s="112">
        <v>110000</v>
      </c>
      <c r="E53" s="109" t="s">
        <v>210</v>
      </c>
      <c r="I53" s="159"/>
      <c r="J53" s="160"/>
    </row>
    <row r="54" spans="1:10" ht="15.75" thickBot="1" x14ac:dyDescent="0.3">
      <c r="A54" s="26" t="s">
        <v>11</v>
      </c>
      <c r="B54" s="34"/>
      <c r="C54" s="34"/>
      <c r="D54" s="32"/>
      <c r="E54" s="118">
        <f>SUM(D49:D53)</f>
        <v>586500</v>
      </c>
    </row>
    <row r="55" spans="1:10" ht="15.75" thickBot="1" x14ac:dyDescent="0.3">
      <c r="A55" s="34" t="s">
        <v>14</v>
      </c>
      <c r="B55" s="70"/>
      <c r="C55" s="26"/>
      <c r="D55" s="28"/>
      <c r="E55" s="110"/>
    </row>
    <row r="56" spans="1:10" x14ac:dyDescent="0.25">
      <c r="A56" s="5" t="s">
        <v>264</v>
      </c>
      <c r="B56" s="5"/>
      <c r="C56" s="5"/>
      <c r="D56" s="129">
        <v>105511.99</v>
      </c>
      <c r="E56" s="119"/>
    </row>
    <row r="57" spans="1:10" x14ac:dyDescent="0.25">
      <c r="A57" s="5" t="s">
        <v>265</v>
      </c>
      <c r="B57" s="5"/>
      <c r="C57" s="5"/>
      <c r="D57" s="129">
        <v>46304</v>
      </c>
      <c r="E57" s="115"/>
    </row>
    <row r="58" spans="1:10" ht="15.75" thickBot="1" x14ac:dyDescent="0.3">
      <c r="A58" s="54" t="s">
        <v>18</v>
      </c>
      <c r="B58" s="54"/>
      <c r="C58" s="54"/>
      <c r="D58" s="120"/>
      <c r="E58" s="105">
        <f>SUM(D56:D57)</f>
        <v>151815.99</v>
      </c>
    </row>
    <row r="59" spans="1:10" ht="15.75" thickBot="1" x14ac:dyDescent="0.3">
      <c r="A59" s="5"/>
      <c r="B59" s="5"/>
      <c r="C59" s="5"/>
      <c r="D59" s="99"/>
      <c r="E59" s="121"/>
    </row>
    <row r="60" spans="1:10" ht="15.75" thickBot="1" x14ac:dyDescent="0.3">
      <c r="A60" s="29" t="s">
        <v>272</v>
      </c>
      <c r="B60" s="29"/>
      <c r="C60" s="29"/>
      <c r="D60" s="122"/>
      <c r="E60" s="203">
        <v>1252687.51</v>
      </c>
    </row>
    <row r="61" spans="1:10" ht="15.75" thickBot="1" x14ac:dyDescent="0.3">
      <c r="A61" s="1"/>
      <c r="D61" s="123"/>
      <c r="E61" s="124"/>
      <c r="F61" s="47"/>
    </row>
    <row r="62" spans="1:10" ht="15.75" thickBot="1" x14ac:dyDescent="0.3">
      <c r="A62" s="3" t="s">
        <v>15</v>
      </c>
      <c r="B62" s="10"/>
      <c r="C62" s="4"/>
      <c r="D62" s="125"/>
      <c r="E62" s="202">
        <f>(SUM(E27:E60))</f>
        <v>3600000</v>
      </c>
      <c r="F62" s="199"/>
    </row>
    <row r="63" spans="1:10" x14ac:dyDescent="0.25">
      <c r="D63" s="123"/>
      <c r="E63" s="123"/>
    </row>
    <row r="64" spans="1:10" ht="15.75" thickBot="1" x14ac:dyDescent="0.3">
      <c r="D64" s="123"/>
      <c r="E64" s="123"/>
    </row>
    <row r="65" spans="1:5" x14ac:dyDescent="0.25">
      <c r="A65" s="11" t="s">
        <v>47</v>
      </c>
      <c r="B65" s="12"/>
      <c r="C65" s="13"/>
      <c r="D65" s="126"/>
      <c r="E65" s="127"/>
    </row>
    <row r="66" spans="1:5" x14ac:dyDescent="0.25">
      <c r="A66" s="159"/>
      <c r="B66" s="160"/>
      <c r="C66" s="5"/>
      <c r="D66" s="145"/>
      <c r="E66" s="107"/>
    </row>
    <row r="67" spans="1:5" x14ac:dyDescent="0.25">
      <c r="A67" s="159"/>
      <c r="B67" s="160"/>
      <c r="C67" s="5"/>
      <c r="D67" s="112"/>
      <c r="E67" s="107"/>
    </row>
    <row r="68" spans="1:5" ht="15.75" customHeight="1" x14ac:dyDescent="0.25">
      <c r="A68" s="165"/>
      <c r="B68" s="166"/>
      <c r="C68" s="5"/>
      <c r="D68" s="112"/>
      <c r="E68" s="107"/>
    </row>
    <row r="69" spans="1:5" x14ac:dyDescent="0.25">
      <c r="A69" s="111"/>
      <c r="B69" s="113"/>
      <c r="C69" s="5"/>
      <c r="D69" s="112"/>
      <c r="E69" s="107"/>
    </row>
    <row r="70" spans="1:5" x14ac:dyDescent="0.25">
      <c r="A70" s="52"/>
      <c r="B70" s="51"/>
      <c r="C70" s="51"/>
      <c r="D70" s="60"/>
      <c r="E70" s="60">
        <f>SUM(D66:D69)</f>
        <v>0</v>
      </c>
    </row>
    <row r="71" spans="1:5" ht="15" customHeight="1" x14ac:dyDescent="0.25"/>
    <row r="72" spans="1:5" ht="15.75" hidden="1" thickBot="1" x14ac:dyDescent="0.3"/>
    <row r="73" spans="1:5" ht="15.75" thickBot="1" x14ac:dyDescent="0.3">
      <c r="A73" s="29" t="s">
        <v>25</v>
      </c>
      <c r="B73" s="29"/>
      <c r="C73" s="29"/>
      <c r="D73" s="30"/>
      <c r="E73" s="98"/>
    </row>
    <row r="74" spans="1:5" ht="15.75" thickBot="1" x14ac:dyDescent="0.3"/>
    <row r="75" spans="1:5" ht="15.75" thickBot="1" x14ac:dyDescent="0.3">
      <c r="A75" s="3" t="s">
        <v>26</v>
      </c>
      <c r="B75" s="10"/>
      <c r="C75" s="4"/>
      <c r="D75" s="4"/>
      <c r="E75" s="72">
        <f>E70+E73</f>
        <v>0</v>
      </c>
    </row>
    <row r="76" spans="1:5" ht="15.75" thickBot="1" x14ac:dyDescent="0.3"/>
    <row r="77" spans="1:5" ht="15.75" thickBot="1" x14ac:dyDescent="0.3">
      <c r="A77" s="95" t="s">
        <v>16</v>
      </c>
      <c r="B77" s="96">
        <f>E62</f>
        <v>3600000</v>
      </c>
    </row>
    <row r="78" spans="1:5" ht="15.75" thickBot="1" x14ac:dyDescent="0.3">
      <c r="A78" s="95" t="s">
        <v>17</v>
      </c>
      <c r="B78" s="96">
        <f>E62-E60</f>
        <v>2347312.4900000002</v>
      </c>
    </row>
    <row r="79" spans="1:5" ht="15.75" thickBot="1" x14ac:dyDescent="0.3">
      <c r="A79" s="95" t="s">
        <v>27</v>
      </c>
      <c r="B79" s="96">
        <f>E75-E73</f>
        <v>0</v>
      </c>
    </row>
    <row r="80" spans="1:5" ht="15.75" thickBot="1" x14ac:dyDescent="0.3">
      <c r="A80" s="95" t="s">
        <v>43</v>
      </c>
      <c r="B80" s="96">
        <f>E75</f>
        <v>0</v>
      </c>
    </row>
    <row r="81" spans="1:6" ht="73.5" customHeight="1" x14ac:dyDescent="0.25"/>
    <row r="82" spans="1:6" x14ac:dyDescent="0.25">
      <c r="A82" s="48" t="s">
        <v>38</v>
      </c>
      <c r="B82" s="142"/>
      <c r="C82" s="21"/>
    </row>
    <row r="83" spans="1:6" x14ac:dyDescent="0.25">
      <c r="A83" s="31" t="s">
        <v>188</v>
      </c>
      <c r="B83" s="61">
        <v>-155475.30000000005</v>
      </c>
      <c r="C83" s="23"/>
    </row>
    <row r="84" spans="1:6" x14ac:dyDescent="0.25">
      <c r="A84" s="22" t="s">
        <v>9</v>
      </c>
      <c r="B84" s="44">
        <f>PRORRATEO!H92</f>
        <v>4833106.7346167974</v>
      </c>
      <c r="C84" s="21"/>
    </row>
    <row r="85" spans="1:6" x14ac:dyDescent="0.25">
      <c r="A85" s="22" t="s">
        <v>45</v>
      </c>
      <c r="B85" s="115">
        <f>B105</f>
        <v>674116</v>
      </c>
      <c r="C85" s="21"/>
    </row>
    <row r="86" spans="1:6" x14ac:dyDescent="0.25">
      <c r="A86" s="136" t="s">
        <v>48</v>
      </c>
      <c r="B86" s="50">
        <f>0</f>
        <v>0</v>
      </c>
      <c r="C86" s="21"/>
    </row>
    <row r="87" spans="1:6" x14ac:dyDescent="0.25">
      <c r="A87" s="43" t="s">
        <v>28</v>
      </c>
      <c r="B87" s="50">
        <f>-B78</f>
        <v>-2347312.4900000002</v>
      </c>
      <c r="C87" s="21"/>
    </row>
    <row r="88" spans="1:6" x14ac:dyDescent="0.25">
      <c r="A88" s="43" t="s">
        <v>267</v>
      </c>
      <c r="B88" s="50">
        <f>-PRORRATEO!F1</f>
        <v>-2306985.9</v>
      </c>
      <c r="C88" s="21"/>
    </row>
    <row r="89" spans="1:6" x14ac:dyDescent="0.25">
      <c r="A89" s="43" t="s">
        <v>268</v>
      </c>
      <c r="B89" s="50">
        <f>-PRORRATEO!F2</f>
        <v>-566376.62</v>
      </c>
      <c r="C89" s="21"/>
    </row>
    <row r="90" spans="1:6" x14ac:dyDescent="0.25">
      <c r="A90" s="25" t="s">
        <v>29</v>
      </c>
      <c r="B90" s="50">
        <f>-(B79)</f>
        <v>0</v>
      </c>
      <c r="C90" s="21"/>
    </row>
    <row r="91" spans="1:6" x14ac:dyDescent="0.25">
      <c r="A91" s="153" t="s">
        <v>11</v>
      </c>
      <c r="B91" s="154">
        <f>SUM(B83:B90)</f>
        <v>131072.42461679748</v>
      </c>
      <c r="C91" s="24"/>
      <c r="D91" s="47"/>
    </row>
    <row r="92" spans="1:6" x14ac:dyDescent="0.25">
      <c r="B92" s="45"/>
      <c r="C92" s="24"/>
      <c r="D92" s="47"/>
      <c r="E92" s="143"/>
      <c r="F92" s="144"/>
    </row>
    <row r="93" spans="1:6" x14ac:dyDescent="0.25">
      <c r="B93" s="45"/>
      <c r="C93" s="24"/>
      <c r="D93" s="47"/>
      <c r="E93" s="143"/>
      <c r="F93" s="144"/>
    </row>
    <row r="94" spans="1:6" x14ac:dyDescent="0.25">
      <c r="A94" s="162" t="s">
        <v>37</v>
      </c>
      <c r="B94" s="162"/>
      <c r="C94" s="162"/>
    </row>
    <row r="95" spans="1:6" x14ac:dyDescent="0.25">
      <c r="A95" s="162"/>
      <c r="B95" s="162"/>
      <c r="C95" s="162"/>
    </row>
    <row r="96" spans="1:6" ht="40.5" customHeight="1" x14ac:dyDescent="0.25">
      <c r="A96" s="56" t="s">
        <v>217</v>
      </c>
      <c r="B96" s="37">
        <v>28214</v>
      </c>
      <c r="C96" s="37">
        <v>11948.17</v>
      </c>
    </row>
    <row r="97" spans="1:13" ht="31.5" customHeight="1" x14ac:dyDescent="0.25">
      <c r="A97" s="56" t="s">
        <v>216</v>
      </c>
      <c r="B97" s="37">
        <v>44900</v>
      </c>
      <c r="C97" s="37">
        <v>52000</v>
      </c>
    </row>
    <row r="98" spans="1:13" ht="31.5" customHeight="1" x14ac:dyDescent="0.25">
      <c r="A98" s="56" t="s">
        <v>230</v>
      </c>
      <c r="B98" s="37">
        <v>48097</v>
      </c>
      <c r="C98" s="37"/>
    </row>
    <row r="99" spans="1:13" ht="31.5" customHeight="1" x14ac:dyDescent="0.25">
      <c r="A99" s="56" t="s">
        <v>256</v>
      </c>
      <c r="B99" s="37">
        <v>20000</v>
      </c>
      <c r="C99" s="37"/>
    </row>
    <row r="100" spans="1:13" ht="36.75" customHeight="1" x14ac:dyDescent="0.25">
      <c r="A100" s="56" t="s">
        <v>231</v>
      </c>
      <c r="B100" s="37">
        <v>1065</v>
      </c>
      <c r="C100" s="37"/>
    </row>
    <row r="101" spans="1:13" ht="31.5" customHeight="1" x14ac:dyDescent="0.25">
      <c r="A101" s="185" t="s">
        <v>250</v>
      </c>
      <c r="B101" s="37">
        <v>113493</v>
      </c>
      <c r="C101" s="37"/>
    </row>
    <row r="102" spans="1:13" ht="31.5" customHeight="1" x14ac:dyDescent="0.25">
      <c r="A102" s="185" t="s">
        <v>252</v>
      </c>
      <c r="B102" s="37">
        <v>141707</v>
      </c>
      <c r="C102" s="37"/>
    </row>
    <row r="103" spans="1:13" ht="31.5" customHeight="1" x14ac:dyDescent="0.25">
      <c r="A103" s="185" t="s">
        <v>236</v>
      </c>
      <c r="B103" s="37">
        <v>163147</v>
      </c>
      <c r="C103" s="37"/>
    </row>
    <row r="104" spans="1:13" ht="33.75" customHeight="1" x14ac:dyDescent="0.25">
      <c r="A104" s="187" t="s">
        <v>237</v>
      </c>
      <c r="B104" s="37">
        <v>113493</v>
      </c>
      <c r="C104" s="37">
        <v>61209</v>
      </c>
    </row>
    <row r="105" spans="1:13" x14ac:dyDescent="0.25">
      <c r="A105" s="48" t="s">
        <v>11</v>
      </c>
      <c r="B105" s="128">
        <f>SUM(B96:B104)</f>
        <v>674116</v>
      </c>
      <c r="C105" s="49"/>
    </row>
    <row r="106" spans="1:13" x14ac:dyDescent="0.25">
      <c r="M106" s="8"/>
    </row>
    <row r="107" spans="1:13" ht="15" customHeight="1" x14ac:dyDescent="0.25">
      <c r="A107" s="161"/>
      <c r="B107" s="161"/>
      <c r="C107" s="161"/>
      <c r="D107" s="161"/>
      <c r="E107" s="161"/>
    </row>
    <row r="108" spans="1:13" x14ac:dyDescent="0.25">
      <c r="A108" s="161"/>
      <c r="B108" s="161"/>
      <c r="C108" s="161"/>
      <c r="D108" s="161"/>
      <c r="E108" s="161"/>
    </row>
    <row r="109" spans="1:13" x14ac:dyDescent="0.25">
      <c r="A109" s="161"/>
      <c r="B109" s="161"/>
      <c r="C109" s="161"/>
      <c r="D109" s="161"/>
      <c r="E109" s="161"/>
    </row>
    <row r="110" spans="1:13" x14ac:dyDescent="0.25">
      <c r="A110" s="161"/>
      <c r="B110" s="161"/>
      <c r="C110" s="161"/>
      <c r="D110" s="161"/>
      <c r="E110" s="161"/>
    </row>
  </sheetData>
  <mergeCells count="18">
    <mergeCell ref="B5:E5"/>
    <mergeCell ref="I53:J53"/>
    <mergeCell ref="A107:E110"/>
    <mergeCell ref="A94:C95"/>
    <mergeCell ref="A49:B49"/>
    <mergeCell ref="A67:B67"/>
    <mergeCell ref="A66:B66"/>
    <mergeCell ref="A68:B68"/>
    <mergeCell ref="A50:B50"/>
    <mergeCell ref="A53:B53"/>
    <mergeCell ref="A52:B52"/>
    <mergeCell ref="A13:E16"/>
    <mergeCell ref="B8:C10"/>
    <mergeCell ref="A33:B33"/>
    <mergeCell ref="A34:B34"/>
    <mergeCell ref="A46:B46"/>
    <mergeCell ref="A30:B30"/>
    <mergeCell ref="A29:B2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"/>
  <sheetViews>
    <sheetView tabSelected="1" topLeftCell="B1" zoomScaleNormal="100" workbookViewId="0">
      <selection activeCell="P2" sqref="P2"/>
    </sheetView>
  </sheetViews>
  <sheetFormatPr baseColWidth="10" defaultRowHeight="15" x14ac:dyDescent="0.25"/>
  <cols>
    <col min="1" max="1" width="4.28515625" hidden="1" customWidth="1"/>
    <col min="2" max="3" width="4.28515625" customWidth="1"/>
    <col min="4" max="4" width="18.5703125" customWidth="1"/>
    <col min="5" max="5" width="13.85546875" hidden="1" customWidth="1"/>
    <col min="6" max="6" width="5.42578125" customWidth="1"/>
    <col min="7" max="7" width="14.140625" customWidth="1"/>
    <col min="8" max="8" width="11.5703125" customWidth="1"/>
    <col min="9" max="9" width="10.5703125" customWidth="1"/>
    <col min="10" max="10" width="9.5703125" customWidth="1"/>
    <col min="11" max="11" width="11.7109375" hidden="1" customWidth="1"/>
    <col min="12" max="12" width="11.7109375" bestFit="1" customWidth="1"/>
    <col min="13" max="14" width="11.7109375" customWidth="1"/>
    <col min="15" max="15" width="14.7109375" customWidth="1"/>
    <col min="16" max="16" width="14.28515625" customWidth="1"/>
    <col min="17" max="17" width="10.42578125" hidden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6"/>
      <c r="C1" s="6"/>
      <c r="D1" s="6" t="s">
        <v>192</v>
      </c>
      <c r="E1" s="6" t="s">
        <v>195</v>
      </c>
      <c r="F1" s="183">
        <v>2306985.9</v>
      </c>
      <c r="G1" s="183"/>
      <c r="H1" s="6"/>
      <c r="I1" s="6"/>
      <c r="J1" s="6" t="s">
        <v>270</v>
      </c>
      <c r="K1" s="7" t="s">
        <v>5</v>
      </c>
      <c r="L1" s="6"/>
      <c r="M1" s="198">
        <f>P1</f>
        <v>3600000</v>
      </c>
      <c r="N1" s="198"/>
      <c r="O1" s="148"/>
      <c r="P1" s="197">
        <v>3600000</v>
      </c>
      <c r="Q1" s="20"/>
    </row>
    <row r="2" spans="1:19" ht="12.95" customHeight="1" thickBot="1" x14ac:dyDescent="0.3">
      <c r="A2" s="6"/>
      <c r="B2" s="6"/>
      <c r="C2" s="6"/>
      <c r="D2" s="6" t="s">
        <v>193</v>
      </c>
      <c r="E2" s="6" t="s">
        <v>196</v>
      </c>
      <c r="F2" s="184">
        <v>566376.62</v>
      </c>
      <c r="G2" s="184"/>
      <c r="H2" s="6"/>
      <c r="I2" s="6"/>
      <c r="J2" s="6" t="s">
        <v>271</v>
      </c>
      <c r="K2" s="6" t="s">
        <v>194</v>
      </c>
      <c r="L2" s="6"/>
      <c r="M2" s="6"/>
      <c r="N2" s="6"/>
      <c r="O2" s="58"/>
      <c r="P2" s="62"/>
    </row>
    <row r="3" spans="1:19" x14ac:dyDescent="0.25">
      <c r="A3" s="180" t="s">
        <v>6</v>
      </c>
      <c r="B3" s="137"/>
      <c r="C3" s="172" t="s">
        <v>7</v>
      </c>
      <c r="D3" s="172" t="s">
        <v>8</v>
      </c>
      <c r="E3" s="172" t="s">
        <v>32</v>
      </c>
      <c r="F3" s="172" t="s">
        <v>13</v>
      </c>
      <c r="G3" s="170" t="s">
        <v>187</v>
      </c>
      <c r="H3" s="172" t="s">
        <v>9</v>
      </c>
      <c r="I3" s="174" t="s">
        <v>35</v>
      </c>
      <c r="J3" s="170" t="s">
        <v>46</v>
      </c>
      <c r="K3" s="170" t="s">
        <v>10</v>
      </c>
      <c r="L3" s="170" t="s">
        <v>30</v>
      </c>
      <c r="M3" s="170" t="s">
        <v>192</v>
      </c>
      <c r="N3" s="170" t="s">
        <v>193</v>
      </c>
      <c r="O3" s="64" t="s">
        <v>42</v>
      </c>
      <c r="P3" s="177" t="s">
        <v>41</v>
      </c>
      <c r="S3" s="47"/>
    </row>
    <row r="4" spans="1:19" ht="15.75" customHeight="1" x14ac:dyDescent="0.25">
      <c r="A4" s="181"/>
      <c r="B4" s="138"/>
      <c r="C4" s="173"/>
      <c r="D4" s="173"/>
      <c r="E4" s="179"/>
      <c r="F4" s="173"/>
      <c r="G4" s="171"/>
      <c r="H4" s="173"/>
      <c r="I4" s="175"/>
      <c r="J4" s="171"/>
      <c r="K4" s="176"/>
      <c r="L4" s="171"/>
      <c r="M4" s="171"/>
      <c r="N4" s="171"/>
      <c r="O4" s="63" t="str">
        <f>RESUMEN!B8</f>
        <v>VTO 14/04</v>
      </c>
      <c r="P4" s="178"/>
    </row>
    <row r="5" spans="1:19" ht="17.100000000000001" customHeight="1" x14ac:dyDescent="0.25">
      <c r="A5" s="66"/>
      <c r="B5" s="66" t="s">
        <v>50</v>
      </c>
      <c r="C5" s="66">
        <v>33</v>
      </c>
      <c r="D5" s="66" t="s">
        <v>51</v>
      </c>
      <c r="E5" s="66"/>
      <c r="F5" s="76">
        <v>2.0199999999999999E-2</v>
      </c>
      <c r="G5" s="77">
        <v>113493.34291392491</v>
      </c>
      <c r="H5" s="140">
        <f>G5</f>
        <v>113493.34291392491</v>
      </c>
      <c r="I5" s="78">
        <f t="shared" ref="I5:I36" si="0">G5-H5</f>
        <v>0</v>
      </c>
      <c r="J5" s="78">
        <f>IF(I5&gt;0,I5*3%,0)</f>
        <v>0</v>
      </c>
      <c r="K5" s="80">
        <f>M$2*F5</f>
        <v>0</v>
      </c>
      <c r="L5" s="80">
        <f>M$1*F5</f>
        <v>72720</v>
      </c>
      <c r="M5" s="182">
        <f>F$1*F5</f>
        <v>46601.115179999993</v>
      </c>
      <c r="N5" s="182">
        <f>F$2*F5</f>
        <v>11440.807724</v>
      </c>
      <c r="O5" s="81">
        <f>ROUND(SUM(I5:N5),0) + Q5</f>
        <v>130762.33</v>
      </c>
      <c r="P5" s="82">
        <f t="shared" ref="P5:P36" si="1">ROUND(O5*3%,0) + O5</f>
        <v>134685.33000000002</v>
      </c>
      <c r="Q5" s="47">
        <f>ROUND(0.001+C5/100,2)</f>
        <v>0.33</v>
      </c>
    </row>
    <row r="6" spans="1:19" ht="17.100000000000001" customHeight="1" x14ac:dyDescent="0.25">
      <c r="A6" s="66"/>
      <c r="B6" s="66" t="s">
        <v>52</v>
      </c>
      <c r="C6" s="66">
        <v>34</v>
      </c>
      <c r="D6" s="66" t="s">
        <v>53</v>
      </c>
      <c r="E6" s="67"/>
      <c r="F6" s="76">
        <v>1.3899999999999999E-2</v>
      </c>
      <c r="G6" s="77">
        <v>134635.46428235428</v>
      </c>
      <c r="H6" s="140">
        <v>54364</v>
      </c>
      <c r="I6" s="78">
        <f t="shared" si="0"/>
        <v>80271.464282354282</v>
      </c>
      <c r="J6" s="78">
        <f t="shared" ref="J6:J69" si="2">IF(I6&gt;0,I6*3%,0)</f>
        <v>2408.1439284706285</v>
      </c>
      <c r="K6" s="80">
        <f t="shared" ref="K6:K69" si="3">M$2*F6</f>
        <v>0</v>
      </c>
      <c r="L6" s="80">
        <f t="shared" ref="L6:L69" si="4">M$1*F6</f>
        <v>50040</v>
      </c>
      <c r="M6" s="182">
        <f t="shared" ref="M6:M69" si="5">F$1*F6</f>
        <v>32067.104009999995</v>
      </c>
      <c r="N6" s="182">
        <f t="shared" ref="N6:N69" si="6">F$2*F6</f>
        <v>7872.635017999999</v>
      </c>
      <c r="O6" s="81">
        <f t="shared" ref="O6:O69" si="7">ROUND(SUM(I6:N6),0) + Q6</f>
        <v>172659.34</v>
      </c>
      <c r="P6" s="82">
        <f t="shared" si="1"/>
        <v>177839.34</v>
      </c>
      <c r="Q6" s="47">
        <f t="shared" ref="Q6:Q69" si="8">ROUND(0.001+C6/100,2)</f>
        <v>0.34</v>
      </c>
      <c r="R6" s="47"/>
    </row>
    <row r="7" spans="1:19" ht="17.100000000000001" customHeight="1" x14ac:dyDescent="0.25">
      <c r="A7" s="66">
        <v>1</v>
      </c>
      <c r="B7" s="66" t="s">
        <v>54</v>
      </c>
      <c r="C7" s="66">
        <v>35</v>
      </c>
      <c r="D7" s="66" t="s">
        <v>55</v>
      </c>
      <c r="E7" s="67"/>
      <c r="F7" s="76">
        <v>1.4200000000000001E-2</v>
      </c>
      <c r="G7" s="77">
        <v>79782.44897909573</v>
      </c>
      <c r="H7" s="140">
        <f>G7</f>
        <v>79782.44897909573</v>
      </c>
      <c r="I7" s="78">
        <f t="shared" si="0"/>
        <v>0</v>
      </c>
      <c r="J7" s="78">
        <f t="shared" si="2"/>
        <v>0</v>
      </c>
      <c r="K7" s="80">
        <f t="shared" si="3"/>
        <v>0</v>
      </c>
      <c r="L7" s="80">
        <f t="shared" si="4"/>
        <v>51120</v>
      </c>
      <c r="M7" s="182">
        <f t="shared" si="5"/>
        <v>32759.199779999999</v>
      </c>
      <c r="N7" s="182">
        <f t="shared" si="6"/>
        <v>8042.5480040000002</v>
      </c>
      <c r="O7" s="81">
        <f t="shared" si="7"/>
        <v>91922.35</v>
      </c>
      <c r="P7" s="82">
        <f t="shared" si="1"/>
        <v>94680.35</v>
      </c>
      <c r="Q7" s="47">
        <f t="shared" si="8"/>
        <v>0.35</v>
      </c>
    </row>
    <row r="8" spans="1:19" ht="17.100000000000001" customHeight="1" x14ac:dyDescent="0.25">
      <c r="A8" s="66">
        <v>2</v>
      </c>
      <c r="B8" s="66" t="s">
        <v>56</v>
      </c>
      <c r="C8" s="66">
        <v>36</v>
      </c>
      <c r="D8" s="66" t="s">
        <v>57</v>
      </c>
      <c r="E8" s="67"/>
      <c r="F8" s="76">
        <v>2.0199999999999999E-2</v>
      </c>
      <c r="G8" s="77">
        <v>195164.5429139249</v>
      </c>
      <c r="H8" s="140">
        <f>196966-H64</f>
        <v>195164.99559999999</v>
      </c>
      <c r="I8" s="78">
        <f t="shared" si="0"/>
        <v>-0.45268607509206049</v>
      </c>
      <c r="J8" s="78">
        <f t="shared" si="2"/>
        <v>0</v>
      </c>
      <c r="K8" s="80">
        <f t="shared" si="3"/>
        <v>0</v>
      </c>
      <c r="L8" s="80">
        <f t="shared" si="4"/>
        <v>72720</v>
      </c>
      <c r="M8" s="182">
        <f t="shared" si="5"/>
        <v>46601.115179999993</v>
      </c>
      <c r="N8" s="182">
        <f t="shared" si="6"/>
        <v>11440.807724</v>
      </c>
      <c r="O8" s="81">
        <f t="shared" si="7"/>
        <v>130761.36</v>
      </c>
      <c r="P8" s="82">
        <f t="shared" si="1"/>
        <v>134684.35999999999</v>
      </c>
      <c r="Q8" s="47">
        <f t="shared" si="8"/>
        <v>0.36</v>
      </c>
      <c r="S8" s="47"/>
    </row>
    <row r="9" spans="1:19" ht="17.100000000000001" customHeight="1" x14ac:dyDescent="0.25">
      <c r="A9" s="66">
        <v>3</v>
      </c>
      <c r="B9" s="66" t="s">
        <v>58</v>
      </c>
      <c r="C9" s="66">
        <v>37</v>
      </c>
      <c r="D9" s="66" t="s">
        <v>59</v>
      </c>
      <c r="E9" s="67" t="s">
        <v>181</v>
      </c>
      <c r="F9" s="76">
        <v>2.0199999999999999E-2</v>
      </c>
      <c r="G9" s="77">
        <v>113493.34291392491</v>
      </c>
      <c r="H9" s="140"/>
      <c r="I9" s="78">
        <f t="shared" si="0"/>
        <v>113493.34291392491</v>
      </c>
      <c r="J9" s="78">
        <f t="shared" si="2"/>
        <v>3404.8002874177469</v>
      </c>
      <c r="K9" s="80">
        <f t="shared" si="3"/>
        <v>0</v>
      </c>
      <c r="L9" s="80">
        <f t="shared" si="4"/>
        <v>72720</v>
      </c>
      <c r="M9" s="182">
        <f t="shared" si="5"/>
        <v>46601.115179999993</v>
      </c>
      <c r="N9" s="182">
        <f t="shared" si="6"/>
        <v>11440.807724</v>
      </c>
      <c r="O9" s="81">
        <f t="shared" si="7"/>
        <v>247660.37</v>
      </c>
      <c r="P9" s="82">
        <f t="shared" si="1"/>
        <v>255090.37</v>
      </c>
      <c r="Q9" s="47">
        <f t="shared" si="8"/>
        <v>0.37</v>
      </c>
      <c r="S9" s="47"/>
    </row>
    <row r="10" spans="1:19" ht="17.100000000000001" customHeight="1" x14ac:dyDescent="0.25">
      <c r="A10" s="66">
        <v>4</v>
      </c>
      <c r="B10" s="66" t="s">
        <v>60</v>
      </c>
      <c r="C10" s="66">
        <v>38</v>
      </c>
      <c r="D10" s="66" t="s">
        <v>61</v>
      </c>
      <c r="E10" s="66" t="s">
        <v>241</v>
      </c>
      <c r="F10" s="76">
        <v>1.3899999999999999E-2</v>
      </c>
      <c r="G10" s="77">
        <v>78096.904282354284</v>
      </c>
      <c r="H10" s="140">
        <f>106311</f>
        <v>106311</v>
      </c>
      <c r="I10" s="78">
        <f t="shared" si="0"/>
        <v>-28214.095717645716</v>
      </c>
      <c r="J10" s="78">
        <f t="shared" si="2"/>
        <v>0</v>
      </c>
      <c r="K10" s="80">
        <f t="shared" si="3"/>
        <v>0</v>
      </c>
      <c r="L10" s="80">
        <f t="shared" si="4"/>
        <v>50040</v>
      </c>
      <c r="M10" s="182">
        <f t="shared" si="5"/>
        <v>32067.104009999995</v>
      </c>
      <c r="N10" s="182">
        <f t="shared" si="6"/>
        <v>7872.635017999999</v>
      </c>
      <c r="O10" s="81">
        <f t="shared" si="7"/>
        <v>61766.38</v>
      </c>
      <c r="P10" s="82">
        <f t="shared" si="1"/>
        <v>63619.38</v>
      </c>
      <c r="Q10" s="47">
        <f t="shared" si="8"/>
        <v>0.38</v>
      </c>
    </row>
    <row r="11" spans="1:19" ht="17.100000000000001" customHeight="1" x14ac:dyDescent="0.25">
      <c r="A11" s="66">
        <v>5</v>
      </c>
      <c r="B11" s="66" t="s">
        <v>62</v>
      </c>
      <c r="C11" s="66">
        <v>39</v>
      </c>
      <c r="D11" s="65" t="s">
        <v>269</v>
      </c>
      <c r="E11" s="66"/>
      <c r="F11" s="76">
        <v>1.3899999999999999E-2</v>
      </c>
      <c r="G11" s="77">
        <v>78096.904282354284</v>
      </c>
      <c r="H11" s="140">
        <f>G11</f>
        <v>78096.904282354284</v>
      </c>
      <c r="I11" s="78">
        <f t="shared" si="0"/>
        <v>0</v>
      </c>
      <c r="J11" s="78">
        <f t="shared" si="2"/>
        <v>0</v>
      </c>
      <c r="K11" s="80">
        <f t="shared" si="3"/>
        <v>0</v>
      </c>
      <c r="L11" s="80">
        <f t="shared" si="4"/>
        <v>50040</v>
      </c>
      <c r="M11" s="182">
        <f t="shared" si="5"/>
        <v>32067.104009999995</v>
      </c>
      <c r="N11" s="182">
        <f t="shared" si="6"/>
        <v>7872.635017999999</v>
      </c>
      <c r="O11" s="81">
        <f>ROUND(SUM(I11:N11),0) + Q11</f>
        <v>89980.39</v>
      </c>
      <c r="P11" s="82">
        <f>ROUND(O11*3%,0) + O11</f>
        <v>92679.39</v>
      </c>
      <c r="Q11" s="47">
        <f t="shared" si="8"/>
        <v>0.39</v>
      </c>
    </row>
    <row r="12" spans="1:19" ht="17.100000000000001" customHeight="1" x14ac:dyDescent="0.25">
      <c r="A12" s="66">
        <v>6</v>
      </c>
      <c r="B12" s="66" t="s">
        <v>63</v>
      </c>
      <c r="C12" s="66">
        <v>40</v>
      </c>
      <c r="D12" s="66" t="s">
        <v>64</v>
      </c>
      <c r="E12" s="67"/>
      <c r="F12" s="76">
        <v>2.0199999999999999E-2</v>
      </c>
      <c r="G12" s="77">
        <v>113493.34291392491</v>
      </c>
      <c r="H12" s="140">
        <f>141707-H78</f>
        <v>113492.8634</v>
      </c>
      <c r="I12" s="78">
        <f t="shared" si="0"/>
        <v>0.47951392490358558</v>
      </c>
      <c r="J12" s="78">
        <f t="shared" si="2"/>
        <v>1.4385417747107566E-2</v>
      </c>
      <c r="K12" s="80">
        <f t="shared" si="3"/>
        <v>0</v>
      </c>
      <c r="L12" s="80">
        <f t="shared" si="4"/>
        <v>72720</v>
      </c>
      <c r="M12" s="182">
        <f t="shared" si="5"/>
        <v>46601.115179999993</v>
      </c>
      <c r="N12" s="182">
        <f t="shared" si="6"/>
        <v>11440.807724</v>
      </c>
      <c r="O12" s="81">
        <f t="shared" si="7"/>
        <v>130762.4</v>
      </c>
      <c r="P12" s="82">
        <f t="shared" si="1"/>
        <v>134685.4</v>
      </c>
      <c r="Q12" s="47">
        <f t="shared" si="8"/>
        <v>0.4</v>
      </c>
    </row>
    <row r="13" spans="1:19" ht="17.100000000000001" customHeight="1" x14ac:dyDescent="0.25">
      <c r="A13" s="66">
        <v>7</v>
      </c>
      <c r="B13" s="66" t="s">
        <v>65</v>
      </c>
      <c r="C13" s="66">
        <v>41</v>
      </c>
      <c r="D13" s="66" t="s">
        <v>66</v>
      </c>
      <c r="E13" s="67" t="s">
        <v>243</v>
      </c>
      <c r="F13" s="76">
        <v>2.0199999999999999E-2</v>
      </c>
      <c r="G13" s="77">
        <v>113493.34291392491</v>
      </c>
      <c r="H13" s="140">
        <f>G13</f>
        <v>113493.34291392491</v>
      </c>
      <c r="I13" s="78">
        <f t="shared" si="0"/>
        <v>0</v>
      </c>
      <c r="J13" s="78">
        <f t="shared" si="2"/>
        <v>0</v>
      </c>
      <c r="K13" s="80">
        <f t="shared" si="3"/>
        <v>0</v>
      </c>
      <c r="L13" s="80">
        <f t="shared" si="4"/>
        <v>72720</v>
      </c>
      <c r="M13" s="182">
        <f t="shared" si="5"/>
        <v>46601.115179999993</v>
      </c>
      <c r="N13" s="182">
        <f t="shared" si="6"/>
        <v>11440.807724</v>
      </c>
      <c r="O13" s="81">
        <f t="shared" si="7"/>
        <v>130762.41</v>
      </c>
      <c r="P13" s="82">
        <f t="shared" si="1"/>
        <v>134685.41</v>
      </c>
      <c r="Q13" s="47">
        <f t="shared" si="8"/>
        <v>0.41</v>
      </c>
    </row>
    <row r="14" spans="1:19" ht="17.100000000000001" customHeight="1" x14ac:dyDescent="0.25">
      <c r="A14" s="66">
        <v>8</v>
      </c>
      <c r="B14" s="66" t="s">
        <v>67</v>
      </c>
      <c r="C14" s="66">
        <v>42</v>
      </c>
      <c r="D14" s="66" t="s">
        <v>68</v>
      </c>
      <c r="E14" s="186" t="s">
        <v>229</v>
      </c>
      <c r="F14" s="76">
        <v>1.3899999999999999E-2</v>
      </c>
      <c r="G14" s="77">
        <v>78096.904282354284</v>
      </c>
      <c r="H14" s="140">
        <f>G14</f>
        <v>78096.904282354284</v>
      </c>
      <c r="I14" s="78">
        <f t="shared" si="0"/>
        <v>0</v>
      </c>
      <c r="J14" s="78">
        <f t="shared" si="2"/>
        <v>0</v>
      </c>
      <c r="K14" s="80">
        <f t="shared" si="3"/>
        <v>0</v>
      </c>
      <c r="L14" s="80">
        <f t="shared" si="4"/>
        <v>50040</v>
      </c>
      <c r="M14" s="182">
        <f t="shared" si="5"/>
        <v>32067.104009999995</v>
      </c>
      <c r="N14" s="182">
        <f t="shared" si="6"/>
        <v>7872.635017999999</v>
      </c>
      <c r="O14" s="81">
        <f t="shared" si="7"/>
        <v>89980.42</v>
      </c>
      <c r="P14" s="82">
        <f t="shared" si="1"/>
        <v>92679.42</v>
      </c>
      <c r="Q14" s="47">
        <f t="shared" si="8"/>
        <v>0.42</v>
      </c>
    </row>
    <row r="15" spans="1:19" ht="17.100000000000001" customHeight="1" x14ac:dyDescent="0.25">
      <c r="A15" s="66">
        <v>1</v>
      </c>
      <c r="B15" s="66" t="s">
        <v>69</v>
      </c>
      <c r="C15" s="66">
        <v>43</v>
      </c>
      <c r="D15" s="66" t="s">
        <v>68</v>
      </c>
      <c r="E15" s="186" t="s">
        <v>238</v>
      </c>
      <c r="F15" s="76">
        <v>1.3899999999999999E-2</v>
      </c>
      <c r="G15" s="77">
        <v>78096.904282354284</v>
      </c>
      <c r="H15" s="140">
        <v>78097</v>
      </c>
      <c r="I15" s="78">
        <f t="shared" si="0"/>
        <v>-9.5717645715922117E-2</v>
      </c>
      <c r="J15" s="78">
        <f t="shared" si="2"/>
        <v>0</v>
      </c>
      <c r="K15" s="80">
        <f t="shared" si="3"/>
        <v>0</v>
      </c>
      <c r="L15" s="80">
        <f t="shared" si="4"/>
        <v>50040</v>
      </c>
      <c r="M15" s="182">
        <f t="shared" si="5"/>
        <v>32067.104009999995</v>
      </c>
      <c r="N15" s="182">
        <f t="shared" si="6"/>
        <v>7872.635017999999</v>
      </c>
      <c r="O15" s="81">
        <f t="shared" si="7"/>
        <v>89980.43</v>
      </c>
      <c r="P15" s="82">
        <f t="shared" si="1"/>
        <v>92679.43</v>
      </c>
      <c r="Q15" s="47">
        <f t="shared" si="8"/>
        <v>0.43</v>
      </c>
    </row>
    <row r="16" spans="1:19" ht="17.100000000000001" customHeight="1" x14ac:dyDescent="0.25">
      <c r="A16" s="66">
        <v>1</v>
      </c>
      <c r="B16" s="66" t="s">
        <v>70</v>
      </c>
      <c r="C16" s="66">
        <v>44</v>
      </c>
      <c r="D16" s="66" t="s">
        <v>71</v>
      </c>
      <c r="E16" s="67" t="s">
        <v>227</v>
      </c>
      <c r="F16" s="76">
        <v>2.0199999999999999E-2</v>
      </c>
      <c r="G16" s="77">
        <v>113493.34291392491</v>
      </c>
      <c r="H16" s="140">
        <f>G16</f>
        <v>113493.34291392491</v>
      </c>
      <c r="I16" s="78">
        <f t="shared" si="0"/>
        <v>0</v>
      </c>
      <c r="J16" s="78">
        <f t="shared" si="2"/>
        <v>0</v>
      </c>
      <c r="K16" s="80">
        <f t="shared" si="3"/>
        <v>0</v>
      </c>
      <c r="L16" s="80">
        <f t="shared" si="4"/>
        <v>72720</v>
      </c>
      <c r="M16" s="182">
        <f t="shared" si="5"/>
        <v>46601.115179999993</v>
      </c>
      <c r="N16" s="182">
        <f t="shared" si="6"/>
        <v>11440.807724</v>
      </c>
      <c r="O16" s="81">
        <f t="shared" si="7"/>
        <v>130762.44</v>
      </c>
      <c r="P16" s="82">
        <f t="shared" si="1"/>
        <v>134685.44</v>
      </c>
      <c r="Q16" s="47">
        <f t="shared" si="8"/>
        <v>0.44</v>
      </c>
    </row>
    <row r="17" spans="1:19" ht="17.100000000000001" customHeight="1" x14ac:dyDescent="0.25">
      <c r="A17" s="66">
        <v>2</v>
      </c>
      <c r="B17" s="66" t="s">
        <v>72</v>
      </c>
      <c r="C17" s="66">
        <v>45</v>
      </c>
      <c r="D17" s="66" t="s">
        <v>68</v>
      </c>
      <c r="E17" s="67" t="s">
        <v>234</v>
      </c>
      <c r="F17" s="76">
        <v>2.0199999999999999E-2</v>
      </c>
      <c r="G17" s="77">
        <v>113493.34291392491</v>
      </c>
      <c r="H17" s="140">
        <f>G17</f>
        <v>113493.34291392491</v>
      </c>
      <c r="I17" s="78">
        <f t="shared" si="0"/>
        <v>0</v>
      </c>
      <c r="J17" s="78">
        <f t="shared" si="2"/>
        <v>0</v>
      </c>
      <c r="K17" s="80">
        <f t="shared" si="3"/>
        <v>0</v>
      </c>
      <c r="L17" s="80">
        <f t="shared" si="4"/>
        <v>72720</v>
      </c>
      <c r="M17" s="182">
        <f t="shared" si="5"/>
        <v>46601.115179999993</v>
      </c>
      <c r="N17" s="182">
        <f t="shared" si="6"/>
        <v>11440.807724</v>
      </c>
      <c r="O17" s="81">
        <f t="shared" si="7"/>
        <v>130762.45</v>
      </c>
      <c r="P17" s="82">
        <f t="shared" si="1"/>
        <v>134685.45000000001</v>
      </c>
      <c r="Q17" s="47">
        <f t="shared" si="8"/>
        <v>0.45</v>
      </c>
    </row>
    <row r="18" spans="1:19" ht="17.100000000000001" customHeight="1" x14ac:dyDescent="0.25">
      <c r="A18" s="66">
        <v>2</v>
      </c>
      <c r="B18" s="66" t="s">
        <v>73</v>
      </c>
      <c r="C18" s="66">
        <v>46</v>
      </c>
      <c r="D18" s="66" t="s">
        <v>68</v>
      </c>
      <c r="E18" s="186" t="s">
        <v>254</v>
      </c>
      <c r="F18" s="76">
        <v>1.3899999999999999E-2</v>
      </c>
      <c r="G18" s="77">
        <v>78096.904282354284</v>
      </c>
      <c r="H18" s="140">
        <f>G18</f>
        <v>78096.904282354284</v>
      </c>
      <c r="I18" s="78">
        <f t="shared" si="0"/>
        <v>0</v>
      </c>
      <c r="J18" s="78">
        <f t="shared" si="2"/>
        <v>0</v>
      </c>
      <c r="K18" s="80">
        <f t="shared" si="3"/>
        <v>0</v>
      </c>
      <c r="L18" s="80">
        <f t="shared" si="4"/>
        <v>50040</v>
      </c>
      <c r="M18" s="182">
        <f t="shared" si="5"/>
        <v>32067.104009999995</v>
      </c>
      <c r="N18" s="182">
        <f t="shared" si="6"/>
        <v>7872.635017999999</v>
      </c>
      <c r="O18" s="81">
        <f t="shared" si="7"/>
        <v>89980.46</v>
      </c>
      <c r="P18" s="82">
        <f t="shared" si="1"/>
        <v>92679.46</v>
      </c>
      <c r="Q18" s="47">
        <f t="shared" si="8"/>
        <v>0.46</v>
      </c>
    </row>
    <row r="19" spans="1:19" ht="17.100000000000001" customHeight="1" x14ac:dyDescent="0.25">
      <c r="A19" s="66">
        <v>3</v>
      </c>
      <c r="B19" s="66" t="s">
        <v>74</v>
      </c>
      <c r="C19" s="66">
        <v>47</v>
      </c>
      <c r="D19" s="66" t="s">
        <v>68</v>
      </c>
      <c r="E19" s="67"/>
      <c r="F19" s="76">
        <v>1.3899999999999999E-2</v>
      </c>
      <c r="G19" s="77">
        <v>48096.904282354284</v>
      </c>
      <c r="H19" s="140"/>
      <c r="I19" s="78">
        <f t="shared" si="0"/>
        <v>48096.904282354284</v>
      </c>
      <c r="J19" s="78">
        <f t="shared" si="2"/>
        <v>1442.9071284706285</v>
      </c>
      <c r="K19" s="80">
        <f t="shared" si="3"/>
        <v>0</v>
      </c>
      <c r="L19" s="80">
        <f t="shared" si="4"/>
        <v>50040</v>
      </c>
      <c r="M19" s="182">
        <f t="shared" si="5"/>
        <v>32067.104009999995</v>
      </c>
      <c r="N19" s="182">
        <f t="shared" si="6"/>
        <v>7872.635017999999</v>
      </c>
      <c r="O19" s="81">
        <f t="shared" si="7"/>
        <v>139520.47</v>
      </c>
      <c r="P19" s="82">
        <f t="shared" si="1"/>
        <v>143706.47</v>
      </c>
      <c r="Q19" s="47">
        <f t="shared" si="8"/>
        <v>0.47</v>
      </c>
    </row>
    <row r="20" spans="1:19" ht="17.100000000000001" customHeight="1" x14ac:dyDescent="0.25">
      <c r="A20" s="66">
        <v>3</v>
      </c>
      <c r="B20" s="66" t="s">
        <v>75</v>
      </c>
      <c r="C20" s="66">
        <v>48</v>
      </c>
      <c r="D20" s="66" t="s">
        <v>76</v>
      </c>
      <c r="E20" s="66" t="s">
        <v>222</v>
      </c>
      <c r="F20" s="76">
        <v>2.0199999999999999E-2</v>
      </c>
      <c r="G20" s="77">
        <v>113493.34291392491</v>
      </c>
      <c r="H20" s="140">
        <f>141707-H89</f>
        <v>113492.8634</v>
      </c>
      <c r="I20" s="78">
        <f t="shared" si="0"/>
        <v>0.47951392490358558</v>
      </c>
      <c r="J20" s="78">
        <f t="shared" si="2"/>
        <v>1.4385417747107566E-2</v>
      </c>
      <c r="K20" s="80">
        <f t="shared" si="3"/>
        <v>0</v>
      </c>
      <c r="L20" s="80">
        <f t="shared" si="4"/>
        <v>72720</v>
      </c>
      <c r="M20" s="182">
        <f t="shared" si="5"/>
        <v>46601.115179999993</v>
      </c>
      <c r="N20" s="182">
        <f t="shared" si="6"/>
        <v>11440.807724</v>
      </c>
      <c r="O20" s="81">
        <f t="shared" si="7"/>
        <v>130762.48</v>
      </c>
      <c r="P20" s="82">
        <f t="shared" si="1"/>
        <v>134685.47999999998</v>
      </c>
      <c r="Q20" s="47">
        <f t="shared" si="8"/>
        <v>0.48</v>
      </c>
      <c r="S20" s="46"/>
    </row>
    <row r="21" spans="1:19" ht="17.100000000000001" customHeight="1" x14ac:dyDescent="0.25">
      <c r="A21" s="66">
        <v>4</v>
      </c>
      <c r="B21" s="66" t="s">
        <v>77</v>
      </c>
      <c r="C21" s="66">
        <v>49</v>
      </c>
      <c r="D21" s="66" t="s">
        <v>68</v>
      </c>
      <c r="E21" s="67" t="s">
        <v>182</v>
      </c>
      <c r="F21" s="76">
        <v>2.0199999999999999E-2</v>
      </c>
      <c r="G21" s="77">
        <v>113493.34291392491</v>
      </c>
      <c r="H21" s="140">
        <f>G21</f>
        <v>113493.34291392491</v>
      </c>
      <c r="I21" s="78">
        <f t="shared" si="0"/>
        <v>0</v>
      </c>
      <c r="J21" s="78">
        <f t="shared" si="2"/>
        <v>0</v>
      </c>
      <c r="K21" s="80">
        <f t="shared" si="3"/>
        <v>0</v>
      </c>
      <c r="L21" s="80">
        <f t="shared" si="4"/>
        <v>72720</v>
      </c>
      <c r="M21" s="182">
        <f t="shared" si="5"/>
        <v>46601.115179999993</v>
      </c>
      <c r="N21" s="182">
        <f t="shared" si="6"/>
        <v>11440.807724</v>
      </c>
      <c r="O21" s="81">
        <f t="shared" si="7"/>
        <v>130762.49</v>
      </c>
      <c r="P21" s="82">
        <f t="shared" si="1"/>
        <v>134685.49</v>
      </c>
      <c r="Q21" s="47">
        <f t="shared" si="8"/>
        <v>0.49</v>
      </c>
    </row>
    <row r="22" spans="1:19" ht="17.100000000000001" customHeight="1" x14ac:dyDescent="0.25">
      <c r="A22" s="66">
        <v>4</v>
      </c>
      <c r="B22" s="66" t="s">
        <v>78</v>
      </c>
      <c r="C22" s="66">
        <v>50</v>
      </c>
      <c r="D22" s="66" t="s">
        <v>68</v>
      </c>
      <c r="E22" s="146"/>
      <c r="F22" s="76">
        <v>1.3899999999999999E-2</v>
      </c>
      <c r="G22" s="77">
        <v>134635.46428235428</v>
      </c>
      <c r="H22" s="140"/>
      <c r="I22" s="78">
        <f t="shared" si="0"/>
        <v>134635.46428235428</v>
      </c>
      <c r="J22" s="78">
        <f t="shared" si="2"/>
        <v>4039.0639284706285</v>
      </c>
      <c r="K22" s="80">
        <f t="shared" si="3"/>
        <v>0</v>
      </c>
      <c r="L22" s="80">
        <f t="shared" si="4"/>
        <v>50040</v>
      </c>
      <c r="M22" s="182">
        <f t="shared" si="5"/>
        <v>32067.104009999995</v>
      </c>
      <c r="N22" s="182">
        <f t="shared" si="6"/>
        <v>7872.635017999999</v>
      </c>
      <c r="O22" s="81">
        <f t="shared" si="7"/>
        <v>228654.5</v>
      </c>
      <c r="P22" s="82">
        <f t="shared" si="1"/>
        <v>235514.5</v>
      </c>
      <c r="Q22" s="47">
        <f t="shared" si="8"/>
        <v>0.5</v>
      </c>
    </row>
    <row r="23" spans="1:19" ht="17.100000000000001" customHeight="1" x14ac:dyDescent="0.25">
      <c r="A23" s="66">
        <v>5</v>
      </c>
      <c r="B23" s="66" t="s">
        <v>79</v>
      </c>
      <c r="C23" s="66">
        <v>51</v>
      </c>
      <c r="D23" s="66" t="s">
        <v>68</v>
      </c>
      <c r="E23" s="67"/>
      <c r="F23" s="76">
        <v>1.3899999999999999E-2</v>
      </c>
      <c r="G23" s="77">
        <v>78096.904282354284</v>
      </c>
      <c r="H23" s="140"/>
      <c r="I23" s="78">
        <f t="shared" si="0"/>
        <v>78096.904282354284</v>
      </c>
      <c r="J23" s="78">
        <f t="shared" si="2"/>
        <v>2342.9071284706283</v>
      </c>
      <c r="K23" s="80">
        <f t="shared" si="3"/>
        <v>0</v>
      </c>
      <c r="L23" s="80">
        <f t="shared" si="4"/>
        <v>50040</v>
      </c>
      <c r="M23" s="182">
        <f t="shared" si="5"/>
        <v>32067.104009999995</v>
      </c>
      <c r="N23" s="182">
        <f t="shared" si="6"/>
        <v>7872.635017999999</v>
      </c>
      <c r="O23" s="81">
        <f t="shared" si="7"/>
        <v>170420.51</v>
      </c>
      <c r="P23" s="82">
        <f t="shared" si="1"/>
        <v>175533.51</v>
      </c>
      <c r="Q23" s="47">
        <f t="shared" si="8"/>
        <v>0.51</v>
      </c>
    </row>
    <row r="24" spans="1:19" ht="17.100000000000001" customHeight="1" x14ac:dyDescent="0.25">
      <c r="A24" s="66">
        <v>5</v>
      </c>
      <c r="B24" s="66" t="s">
        <v>80</v>
      </c>
      <c r="C24" s="66">
        <v>52</v>
      </c>
      <c r="D24" s="66" t="s">
        <v>81</v>
      </c>
      <c r="E24" s="66" t="s">
        <v>246</v>
      </c>
      <c r="F24" s="76">
        <v>2.0199999999999999E-2</v>
      </c>
      <c r="G24" s="77">
        <v>113493.34291392491</v>
      </c>
      <c r="H24" s="140">
        <f>28214+113493-G86</f>
        <v>113492.8634</v>
      </c>
      <c r="I24" s="97">
        <f t="shared" si="0"/>
        <v>0.47951392490358558</v>
      </c>
      <c r="J24" s="78">
        <f t="shared" si="2"/>
        <v>1.4385417747107566E-2</v>
      </c>
      <c r="K24" s="80">
        <f t="shared" si="3"/>
        <v>0</v>
      </c>
      <c r="L24" s="80">
        <f t="shared" si="4"/>
        <v>72720</v>
      </c>
      <c r="M24" s="182">
        <f t="shared" si="5"/>
        <v>46601.115179999993</v>
      </c>
      <c r="N24" s="182">
        <f t="shared" si="6"/>
        <v>11440.807724</v>
      </c>
      <c r="O24" s="81">
        <f t="shared" si="7"/>
        <v>130762.52</v>
      </c>
      <c r="P24" s="82">
        <f t="shared" si="1"/>
        <v>134685.52000000002</v>
      </c>
      <c r="Q24" s="47">
        <f t="shared" si="8"/>
        <v>0.52</v>
      </c>
    </row>
    <row r="25" spans="1:19" ht="17.100000000000001" customHeight="1" x14ac:dyDescent="0.25">
      <c r="A25" s="66">
        <v>6</v>
      </c>
      <c r="B25" s="66" t="s">
        <v>82</v>
      </c>
      <c r="C25" s="66">
        <v>53</v>
      </c>
      <c r="D25" s="66" t="s">
        <v>83</v>
      </c>
      <c r="E25" s="67"/>
      <c r="F25" s="76">
        <v>2.0199999999999999E-2</v>
      </c>
      <c r="G25" s="77">
        <v>113493.34291392491</v>
      </c>
      <c r="H25" s="140">
        <f>G25</f>
        <v>113493.34291392491</v>
      </c>
      <c r="I25" s="78">
        <f t="shared" si="0"/>
        <v>0</v>
      </c>
      <c r="J25" s="78">
        <f t="shared" si="2"/>
        <v>0</v>
      </c>
      <c r="K25" s="80">
        <f t="shared" si="3"/>
        <v>0</v>
      </c>
      <c r="L25" s="80">
        <f t="shared" si="4"/>
        <v>72720</v>
      </c>
      <c r="M25" s="182">
        <f t="shared" si="5"/>
        <v>46601.115179999993</v>
      </c>
      <c r="N25" s="182">
        <f t="shared" si="6"/>
        <v>11440.807724</v>
      </c>
      <c r="O25" s="81">
        <f t="shared" si="7"/>
        <v>130762.53</v>
      </c>
      <c r="P25" s="82">
        <f t="shared" si="1"/>
        <v>134685.53</v>
      </c>
      <c r="Q25" s="47">
        <f t="shared" si="8"/>
        <v>0.53</v>
      </c>
    </row>
    <row r="26" spans="1:19" ht="17.100000000000001" customHeight="1" x14ac:dyDescent="0.25">
      <c r="A26" s="66">
        <v>6</v>
      </c>
      <c r="B26" s="66" t="s">
        <v>84</v>
      </c>
      <c r="C26" s="66">
        <v>54</v>
      </c>
      <c r="D26" s="66" t="s">
        <v>68</v>
      </c>
      <c r="E26" s="67" t="s">
        <v>253</v>
      </c>
      <c r="F26" s="76">
        <v>1.3899999999999999E-2</v>
      </c>
      <c r="G26" s="77">
        <v>78096.904282354284</v>
      </c>
      <c r="H26" s="140">
        <f>G26</f>
        <v>78096.904282354284</v>
      </c>
      <c r="I26" s="78">
        <f t="shared" si="0"/>
        <v>0</v>
      </c>
      <c r="J26" s="78">
        <f t="shared" si="2"/>
        <v>0</v>
      </c>
      <c r="K26" s="80">
        <f t="shared" si="3"/>
        <v>0</v>
      </c>
      <c r="L26" s="80">
        <f t="shared" si="4"/>
        <v>50040</v>
      </c>
      <c r="M26" s="182">
        <f t="shared" si="5"/>
        <v>32067.104009999995</v>
      </c>
      <c r="N26" s="182">
        <f t="shared" si="6"/>
        <v>7872.635017999999</v>
      </c>
      <c r="O26" s="81">
        <f t="shared" si="7"/>
        <v>89980.54</v>
      </c>
      <c r="P26" s="82">
        <f t="shared" si="1"/>
        <v>92679.54</v>
      </c>
      <c r="Q26" s="47">
        <f t="shared" si="8"/>
        <v>0.54</v>
      </c>
    </row>
    <row r="27" spans="1:19" ht="17.100000000000001" customHeight="1" x14ac:dyDescent="0.25">
      <c r="A27" s="66">
        <v>7</v>
      </c>
      <c r="B27" s="66" t="s">
        <v>85</v>
      </c>
      <c r="C27" s="66">
        <v>55</v>
      </c>
      <c r="D27" s="66" t="s">
        <v>86</v>
      </c>
      <c r="E27" s="67" t="s">
        <v>249</v>
      </c>
      <c r="F27" s="76">
        <v>1.3899999999999999E-2</v>
      </c>
      <c r="G27" s="77">
        <v>134635.46428235428</v>
      </c>
      <c r="H27" s="140">
        <f>79635</f>
        <v>79635</v>
      </c>
      <c r="I27" s="78">
        <f t="shared" si="0"/>
        <v>55000.464282354282</v>
      </c>
      <c r="J27" s="78">
        <f t="shared" si="2"/>
        <v>1650.0139284706283</v>
      </c>
      <c r="K27" s="80">
        <f t="shared" si="3"/>
        <v>0</v>
      </c>
      <c r="L27" s="80">
        <f t="shared" si="4"/>
        <v>50040</v>
      </c>
      <c r="M27" s="182">
        <f t="shared" si="5"/>
        <v>32067.104009999995</v>
      </c>
      <c r="N27" s="182">
        <f t="shared" si="6"/>
        <v>7872.635017999999</v>
      </c>
      <c r="O27" s="81">
        <f t="shared" si="7"/>
        <v>146630.54999999999</v>
      </c>
      <c r="P27" s="82">
        <f t="shared" si="1"/>
        <v>151029.54999999999</v>
      </c>
      <c r="Q27" s="47">
        <f t="shared" si="8"/>
        <v>0.55000000000000004</v>
      </c>
    </row>
    <row r="28" spans="1:19" ht="17.100000000000001" customHeight="1" x14ac:dyDescent="0.25">
      <c r="A28" s="66">
        <v>7</v>
      </c>
      <c r="B28" s="66" t="s">
        <v>87</v>
      </c>
      <c r="C28" s="66">
        <v>56</v>
      </c>
      <c r="D28" s="66" t="s">
        <v>88</v>
      </c>
      <c r="E28" s="67"/>
      <c r="F28" s="76">
        <v>2.0199999999999999E-2</v>
      </c>
      <c r="G28" s="77">
        <v>195657.50291392489</v>
      </c>
      <c r="H28" s="140">
        <f>79712-H65</f>
        <v>77910.995599999995</v>
      </c>
      <c r="I28" s="78">
        <f t="shared" si="0"/>
        <v>117746.5073139249</v>
      </c>
      <c r="J28" s="78">
        <f t="shared" si="2"/>
        <v>3532.3952194177468</v>
      </c>
      <c r="K28" s="80">
        <f t="shared" si="3"/>
        <v>0</v>
      </c>
      <c r="L28" s="80">
        <f t="shared" si="4"/>
        <v>72720</v>
      </c>
      <c r="M28" s="182">
        <f t="shared" si="5"/>
        <v>46601.115179999993</v>
      </c>
      <c r="N28" s="182">
        <f t="shared" si="6"/>
        <v>11440.807724</v>
      </c>
      <c r="O28" s="81">
        <f t="shared" si="7"/>
        <v>252041.56</v>
      </c>
      <c r="P28" s="82">
        <f t="shared" si="1"/>
        <v>259602.56</v>
      </c>
      <c r="Q28" s="47">
        <f t="shared" si="8"/>
        <v>0.56000000000000005</v>
      </c>
    </row>
    <row r="29" spans="1:19" ht="17.100000000000001" customHeight="1" x14ac:dyDescent="0.25">
      <c r="A29" s="66">
        <v>8</v>
      </c>
      <c r="B29" s="66" t="s">
        <v>89</v>
      </c>
      <c r="C29" s="66">
        <v>57</v>
      </c>
      <c r="D29" s="66" t="s">
        <v>90</v>
      </c>
      <c r="E29" s="66"/>
      <c r="F29" s="76">
        <v>2.0199999999999999E-2</v>
      </c>
      <c r="G29" s="77">
        <v>113493.34291392491</v>
      </c>
      <c r="H29" s="140">
        <f>G29</f>
        <v>113493.34291392491</v>
      </c>
      <c r="I29" s="78">
        <f t="shared" si="0"/>
        <v>0</v>
      </c>
      <c r="J29" s="78">
        <f t="shared" si="2"/>
        <v>0</v>
      </c>
      <c r="K29" s="80">
        <f t="shared" si="3"/>
        <v>0</v>
      </c>
      <c r="L29" s="80">
        <f t="shared" si="4"/>
        <v>72720</v>
      </c>
      <c r="M29" s="182">
        <f t="shared" si="5"/>
        <v>46601.115179999993</v>
      </c>
      <c r="N29" s="182">
        <f t="shared" si="6"/>
        <v>11440.807724</v>
      </c>
      <c r="O29" s="81">
        <f t="shared" si="7"/>
        <v>130762.57</v>
      </c>
      <c r="P29" s="82">
        <f t="shared" si="1"/>
        <v>134685.57</v>
      </c>
      <c r="Q29" s="47">
        <f t="shared" si="8"/>
        <v>0.56999999999999995</v>
      </c>
    </row>
    <row r="30" spans="1:19" ht="17.100000000000001" customHeight="1" x14ac:dyDescent="0.25">
      <c r="A30" s="66">
        <v>8</v>
      </c>
      <c r="B30" s="66" t="s">
        <v>91</v>
      </c>
      <c r="C30" s="66">
        <v>58</v>
      </c>
      <c r="D30" s="66" t="s">
        <v>92</v>
      </c>
      <c r="E30" s="66" t="s">
        <v>240</v>
      </c>
      <c r="F30" s="76">
        <v>1.3899999999999999E-2</v>
      </c>
      <c r="G30" s="77">
        <v>393923.06428235426</v>
      </c>
      <c r="H30" s="140">
        <f>78097</f>
        <v>78097</v>
      </c>
      <c r="I30" s="78">
        <f t="shared" si="0"/>
        <v>315826.06428235426</v>
      </c>
      <c r="J30" s="78">
        <f t="shared" si="2"/>
        <v>9474.7819284706275</v>
      </c>
      <c r="K30" s="80">
        <f t="shared" si="3"/>
        <v>0</v>
      </c>
      <c r="L30" s="80">
        <f t="shared" si="4"/>
        <v>50040</v>
      </c>
      <c r="M30" s="182">
        <f t="shared" si="5"/>
        <v>32067.104009999995</v>
      </c>
      <c r="N30" s="182">
        <f t="shared" si="6"/>
        <v>7872.635017999999</v>
      </c>
      <c r="O30" s="81">
        <f t="shared" si="7"/>
        <v>415281.58</v>
      </c>
      <c r="P30" s="82">
        <f t="shared" si="1"/>
        <v>427739.58</v>
      </c>
      <c r="Q30" s="47">
        <f t="shared" si="8"/>
        <v>0.57999999999999996</v>
      </c>
    </row>
    <row r="31" spans="1:19" ht="17.100000000000001" customHeight="1" x14ac:dyDescent="0.25">
      <c r="A31" s="66">
        <v>9</v>
      </c>
      <c r="B31" s="66" t="s">
        <v>93</v>
      </c>
      <c r="C31" s="66">
        <v>59</v>
      </c>
      <c r="D31" s="66" t="s">
        <v>94</v>
      </c>
      <c r="E31" s="67"/>
      <c r="F31" s="76">
        <v>1.3899999999999999E-2</v>
      </c>
      <c r="G31" s="77">
        <v>135451.86428235428</v>
      </c>
      <c r="H31" s="140">
        <v>135000</v>
      </c>
      <c r="I31" s="78">
        <f t="shared" si="0"/>
        <v>451.86428235427593</v>
      </c>
      <c r="J31" s="78">
        <f t="shared" si="2"/>
        <v>13.555928470628277</v>
      </c>
      <c r="K31" s="80">
        <f t="shared" si="3"/>
        <v>0</v>
      </c>
      <c r="L31" s="80">
        <f t="shared" si="4"/>
        <v>50040</v>
      </c>
      <c r="M31" s="182">
        <f t="shared" si="5"/>
        <v>32067.104009999995</v>
      </c>
      <c r="N31" s="182">
        <f t="shared" si="6"/>
        <v>7872.635017999999</v>
      </c>
      <c r="O31" s="81">
        <f t="shared" si="7"/>
        <v>90445.59</v>
      </c>
      <c r="P31" s="82">
        <f t="shared" si="1"/>
        <v>93158.59</v>
      </c>
      <c r="Q31" s="47">
        <f t="shared" si="8"/>
        <v>0.59</v>
      </c>
    </row>
    <row r="32" spans="1:19" ht="17.100000000000001" customHeight="1" x14ac:dyDescent="0.25">
      <c r="A32" s="66">
        <v>9</v>
      </c>
      <c r="B32" s="66" t="s">
        <v>95</v>
      </c>
      <c r="C32" s="66">
        <v>60</v>
      </c>
      <c r="D32" s="66" t="s">
        <v>96</v>
      </c>
      <c r="E32" s="66" t="s">
        <v>219</v>
      </c>
      <c r="F32" s="76">
        <v>2.0199999999999999E-2</v>
      </c>
      <c r="G32" s="77">
        <v>113493.34291392491</v>
      </c>
      <c r="H32" s="140">
        <f>G32</f>
        <v>113493.34291392491</v>
      </c>
      <c r="I32" s="78">
        <f t="shared" si="0"/>
        <v>0</v>
      </c>
      <c r="J32" s="78">
        <f t="shared" si="2"/>
        <v>0</v>
      </c>
      <c r="K32" s="80">
        <f t="shared" si="3"/>
        <v>0</v>
      </c>
      <c r="L32" s="80">
        <f t="shared" si="4"/>
        <v>72720</v>
      </c>
      <c r="M32" s="182">
        <f t="shared" si="5"/>
        <v>46601.115179999993</v>
      </c>
      <c r="N32" s="182">
        <f t="shared" si="6"/>
        <v>11440.807724</v>
      </c>
      <c r="O32" s="81">
        <f t="shared" si="7"/>
        <v>130762.6</v>
      </c>
      <c r="P32" s="82">
        <f t="shared" si="1"/>
        <v>134685.6</v>
      </c>
      <c r="Q32" s="47">
        <f t="shared" si="8"/>
        <v>0.6</v>
      </c>
    </row>
    <row r="33" spans="1:17" ht="17.100000000000001" customHeight="1" x14ac:dyDescent="0.25">
      <c r="A33" s="66">
        <v>10</v>
      </c>
      <c r="B33" s="66" t="s">
        <v>97</v>
      </c>
      <c r="C33" s="66">
        <v>61</v>
      </c>
      <c r="D33" s="66" t="s">
        <v>98</v>
      </c>
      <c r="E33" s="66"/>
      <c r="F33" s="76">
        <v>2.0199999999999999E-2</v>
      </c>
      <c r="G33" s="77">
        <v>113493.34291392491</v>
      </c>
      <c r="H33" s="140">
        <f>141707-H87</f>
        <v>113492.8634</v>
      </c>
      <c r="I33" s="78">
        <f t="shared" si="0"/>
        <v>0.47951392490358558</v>
      </c>
      <c r="J33" s="78">
        <f t="shared" si="2"/>
        <v>1.4385417747107566E-2</v>
      </c>
      <c r="K33" s="80">
        <f t="shared" si="3"/>
        <v>0</v>
      </c>
      <c r="L33" s="80">
        <f t="shared" si="4"/>
        <v>72720</v>
      </c>
      <c r="M33" s="182">
        <f t="shared" si="5"/>
        <v>46601.115179999993</v>
      </c>
      <c r="N33" s="182">
        <f t="shared" si="6"/>
        <v>11440.807724</v>
      </c>
      <c r="O33" s="81">
        <f t="shared" si="7"/>
        <v>130762.61</v>
      </c>
      <c r="P33" s="82">
        <f t="shared" si="1"/>
        <v>134685.60999999999</v>
      </c>
      <c r="Q33" s="47">
        <f t="shared" si="8"/>
        <v>0.61</v>
      </c>
    </row>
    <row r="34" spans="1:17" ht="17.100000000000001" customHeight="1" x14ac:dyDescent="0.25">
      <c r="A34" s="66">
        <v>10</v>
      </c>
      <c r="B34" s="66" t="s">
        <v>99</v>
      </c>
      <c r="C34" s="66">
        <v>62</v>
      </c>
      <c r="D34" s="66" t="s">
        <v>100</v>
      </c>
      <c r="E34" s="186" t="s">
        <v>245</v>
      </c>
      <c r="F34" s="76">
        <v>1.3899999999999999E-2</v>
      </c>
      <c r="G34" s="77">
        <v>78096.904282354284</v>
      </c>
      <c r="H34" s="140">
        <f>G34</f>
        <v>78096.904282354284</v>
      </c>
      <c r="I34" s="78">
        <f t="shared" si="0"/>
        <v>0</v>
      </c>
      <c r="J34" s="78">
        <f t="shared" si="2"/>
        <v>0</v>
      </c>
      <c r="K34" s="80">
        <f t="shared" si="3"/>
        <v>0</v>
      </c>
      <c r="L34" s="80">
        <f t="shared" si="4"/>
        <v>50040</v>
      </c>
      <c r="M34" s="182">
        <f t="shared" si="5"/>
        <v>32067.104009999995</v>
      </c>
      <c r="N34" s="182">
        <f t="shared" si="6"/>
        <v>7872.635017999999</v>
      </c>
      <c r="O34" s="81">
        <f t="shared" si="7"/>
        <v>89980.62</v>
      </c>
      <c r="P34" s="82">
        <f t="shared" si="1"/>
        <v>92679.62</v>
      </c>
      <c r="Q34" s="47">
        <f t="shared" si="8"/>
        <v>0.62</v>
      </c>
    </row>
    <row r="35" spans="1:17" x14ac:dyDescent="0.25">
      <c r="A35" s="66">
        <v>11</v>
      </c>
      <c r="B35" s="66" t="s">
        <v>101</v>
      </c>
      <c r="C35" s="66">
        <v>63</v>
      </c>
      <c r="D35" s="66" t="s">
        <v>102</v>
      </c>
      <c r="E35" s="66" t="s">
        <v>239</v>
      </c>
      <c r="F35" s="76">
        <v>1.3899999999999999E-2</v>
      </c>
      <c r="G35" s="77">
        <v>78096.904282354284</v>
      </c>
      <c r="H35" s="140">
        <f>G35</f>
        <v>78096.904282354284</v>
      </c>
      <c r="I35" s="83">
        <f t="shared" si="0"/>
        <v>0</v>
      </c>
      <c r="J35" s="78">
        <f t="shared" si="2"/>
        <v>0</v>
      </c>
      <c r="K35" s="80">
        <f t="shared" si="3"/>
        <v>0</v>
      </c>
      <c r="L35" s="80">
        <f t="shared" si="4"/>
        <v>50040</v>
      </c>
      <c r="M35" s="182">
        <f t="shared" si="5"/>
        <v>32067.104009999995</v>
      </c>
      <c r="N35" s="182">
        <f t="shared" si="6"/>
        <v>7872.635017999999</v>
      </c>
      <c r="O35" s="81">
        <f t="shared" si="7"/>
        <v>89980.63</v>
      </c>
      <c r="P35" s="82">
        <f t="shared" si="1"/>
        <v>92679.63</v>
      </c>
      <c r="Q35" s="47">
        <f t="shared" si="8"/>
        <v>0.63</v>
      </c>
    </row>
    <row r="36" spans="1:17" ht="17.100000000000001" customHeight="1" x14ac:dyDescent="0.25">
      <c r="A36" s="66">
        <v>11</v>
      </c>
      <c r="B36" s="66" t="s">
        <v>103</v>
      </c>
      <c r="C36" s="66">
        <v>64</v>
      </c>
      <c r="D36" s="66" t="s">
        <v>104</v>
      </c>
      <c r="E36" s="67" t="s">
        <v>183</v>
      </c>
      <c r="F36" s="76">
        <v>2.0199999999999999E-2</v>
      </c>
      <c r="G36" s="77">
        <v>113493.34291392491</v>
      </c>
      <c r="H36" s="140"/>
      <c r="I36" s="78">
        <f t="shared" si="0"/>
        <v>113493.34291392491</v>
      </c>
      <c r="J36" s="78">
        <f t="shared" si="2"/>
        <v>3404.8002874177469</v>
      </c>
      <c r="K36" s="80">
        <f t="shared" si="3"/>
        <v>0</v>
      </c>
      <c r="L36" s="80">
        <f t="shared" si="4"/>
        <v>72720</v>
      </c>
      <c r="M36" s="182">
        <f t="shared" si="5"/>
        <v>46601.115179999993</v>
      </c>
      <c r="N36" s="182">
        <f t="shared" si="6"/>
        <v>11440.807724</v>
      </c>
      <c r="O36" s="81">
        <f t="shared" si="7"/>
        <v>247660.64</v>
      </c>
      <c r="P36" s="82">
        <f t="shared" si="1"/>
        <v>255090.64</v>
      </c>
      <c r="Q36" s="47">
        <f t="shared" si="8"/>
        <v>0.64</v>
      </c>
    </row>
    <row r="37" spans="1:17" ht="17.100000000000001" customHeight="1" x14ac:dyDescent="0.25">
      <c r="A37" s="66">
        <v>12</v>
      </c>
      <c r="B37" s="66" t="s">
        <v>105</v>
      </c>
      <c r="C37" s="66">
        <v>65</v>
      </c>
      <c r="D37" s="66" t="s">
        <v>106</v>
      </c>
      <c r="E37" s="67" t="s">
        <v>247</v>
      </c>
      <c r="F37" s="76">
        <v>2.0199999999999999E-2</v>
      </c>
      <c r="G37" s="77">
        <v>113493.34291392491</v>
      </c>
      <c r="H37" s="140">
        <f>G37</f>
        <v>113493.34291392491</v>
      </c>
      <c r="I37" s="78">
        <f t="shared" ref="I37:I68" si="9">G37-H37</f>
        <v>0</v>
      </c>
      <c r="J37" s="78">
        <f t="shared" si="2"/>
        <v>0</v>
      </c>
      <c r="K37" s="80">
        <f t="shared" si="3"/>
        <v>0</v>
      </c>
      <c r="L37" s="80">
        <f t="shared" si="4"/>
        <v>72720</v>
      </c>
      <c r="M37" s="182">
        <f t="shared" si="5"/>
        <v>46601.115179999993</v>
      </c>
      <c r="N37" s="182">
        <f t="shared" si="6"/>
        <v>11440.807724</v>
      </c>
      <c r="O37" s="81">
        <f t="shared" si="7"/>
        <v>130762.65</v>
      </c>
      <c r="P37" s="82">
        <f t="shared" ref="P37:P68" si="10">ROUND(O37*3%,0) + O37</f>
        <v>134685.65</v>
      </c>
      <c r="Q37" s="47">
        <f t="shared" si="8"/>
        <v>0.65</v>
      </c>
    </row>
    <row r="38" spans="1:17" ht="17.100000000000001" customHeight="1" x14ac:dyDescent="0.25">
      <c r="A38" s="66">
        <v>12</v>
      </c>
      <c r="B38" s="66" t="s">
        <v>107</v>
      </c>
      <c r="C38" s="66">
        <v>66</v>
      </c>
      <c r="D38" s="66" t="s">
        <v>108</v>
      </c>
      <c r="E38" s="66" t="s">
        <v>233</v>
      </c>
      <c r="F38" s="76">
        <v>1.3899999999999999E-2</v>
      </c>
      <c r="G38" s="77">
        <v>78096.904282354284</v>
      </c>
      <c r="H38" s="140">
        <f>G38</f>
        <v>78096.904282354284</v>
      </c>
      <c r="I38" s="78">
        <f t="shared" si="9"/>
        <v>0</v>
      </c>
      <c r="J38" s="78">
        <f t="shared" si="2"/>
        <v>0</v>
      </c>
      <c r="K38" s="80">
        <f t="shared" si="3"/>
        <v>0</v>
      </c>
      <c r="L38" s="80">
        <f t="shared" si="4"/>
        <v>50040</v>
      </c>
      <c r="M38" s="182">
        <f t="shared" si="5"/>
        <v>32067.104009999995</v>
      </c>
      <c r="N38" s="182">
        <f t="shared" si="6"/>
        <v>7872.635017999999</v>
      </c>
      <c r="O38" s="81">
        <f t="shared" si="7"/>
        <v>89980.66</v>
      </c>
      <c r="P38" s="82">
        <f t="shared" si="10"/>
        <v>92679.66</v>
      </c>
      <c r="Q38" s="47">
        <f t="shared" si="8"/>
        <v>0.66</v>
      </c>
    </row>
    <row r="39" spans="1:17" ht="17.100000000000001" customHeight="1" x14ac:dyDescent="0.25">
      <c r="A39" s="66">
        <v>1</v>
      </c>
      <c r="B39" s="66" t="s">
        <v>109</v>
      </c>
      <c r="C39" s="66">
        <v>67</v>
      </c>
      <c r="D39" s="66" t="s">
        <v>110</v>
      </c>
      <c r="E39" s="67" t="s">
        <v>232</v>
      </c>
      <c r="F39" s="76">
        <v>1.3899999999999999E-2</v>
      </c>
      <c r="G39" s="77">
        <v>78096.904282354284</v>
      </c>
      <c r="H39" s="140">
        <f>G39</f>
        <v>78096.904282354284</v>
      </c>
      <c r="I39" s="78">
        <f t="shared" si="9"/>
        <v>0</v>
      </c>
      <c r="J39" s="78">
        <f t="shared" si="2"/>
        <v>0</v>
      </c>
      <c r="K39" s="80">
        <f t="shared" si="3"/>
        <v>0</v>
      </c>
      <c r="L39" s="80">
        <f t="shared" si="4"/>
        <v>50040</v>
      </c>
      <c r="M39" s="182">
        <f t="shared" si="5"/>
        <v>32067.104009999995</v>
      </c>
      <c r="N39" s="182">
        <f t="shared" si="6"/>
        <v>7872.635017999999</v>
      </c>
      <c r="O39" s="81">
        <f t="shared" si="7"/>
        <v>89980.67</v>
      </c>
      <c r="P39" s="82">
        <f t="shared" si="10"/>
        <v>92679.67</v>
      </c>
      <c r="Q39" s="47">
        <f t="shared" si="8"/>
        <v>0.67</v>
      </c>
    </row>
    <row r="40" spans="1:17" ht="17.100000000000001" customHeight="1" x14ac:dyDescent="0.25">
      <c r="A40" s="66">
        <v>1</v>
      </c>
      <c r="B40" s="66" t="s">
        <v>111</v>
      </c>
      <c r="C40" s="66">
        <v>68</v>
      </c>
      <c r="D40" s="66" t="s">
        <v>112</v>
      </c>
      <c r="E40" s="67" t="s">
        <v>225</v>
      </c>
      <c r="F40" s="76">
        <v>2.0199999999999999E-2</v>
      </c>
      <c r="G40" s="77">
        <v>113493.34291392491</v>
      </c>
      <c r="H40" s="140">
        <f>147563-H76</f>
        <v>113493.0992</v>
      </c>
      <c r="I40" s="78">
        <f t="shared" si="9"/>
        <v>0.24371392490866128</v>
      </c>
      <c r="J40" s="78">
        <f t="shared" si="2"/>
        <v>7.311417747259838E-3</v>
      </c>
      <c r="K40" s="80">
        <f t="shared" si="3"/>
        <v>0</v>
      </c>
      <c r="L40" s="80">
        <f t="shared" si="4"/>
        <v>72720</v>
      </c>
      <c r="M40" s="182">
        <f t="shared" si="5"/>
        <v>46601.115179999993</v>
      </c>
      <c r="N40" s="182">
        <f t="shared" si="6"/>
        <v>11440.807724</v>
      </c>
      <c r="O40" s="81">
        <f t="shared" si="7"/>
        <v>130762.68</v>
      </c>
      <c r="P40" s="82">
        <f t="shared" si="10"/>
        <v>134685.68</v>
      </c>
      <c r="Q40" s="47">
        <f t="shared" si="8"/>
        <v>0.68</v>
      </c>
    </row>
    <row r="41" spans="1:17" ht="17.100000000000001" customHeight="1" x14ac:dyDescent="0.25">
      <c r="A41" s="65">
        <v>1</v>
      </c>
      <c r="B41" s="65" t="s">
        <v>113</v>
      </c>
      <c r="C41" s="66">
        <v>69</v>
      </c>
      <c r="D41" s="65" t="s">
        <v>114</v>
      </c>
      <c r="E41" s="67" t="s">
        <v>235</v>
      </c>
      <c r="F41" s="85">
        <v>2.0199999999999999E-2</v>
      </c>
      <c r="G41" s="77">
        <v>113493.34291392491</v>
      </c>
      <c r="H41" s="140">
        <f>G41</f>
        <v>113493.34291392491</v>
      </c>
      <c r="I41" s="78">
        <f t="shared" si="9"/>
        <v>0</v>
      </c>
      <c r="J41" s="78">
        <f t="shared" si="2"/>
        <v>0</v>
      </c>
      <c r="K41" s="80">
        <f t="shared" si="3"/>
        <v>0</v>
      </c>
      <c r="L41" s="80">
        <f t="shared" si="4"/>
        <v>72720</v>
      </c>
      <c r="M41" s="182">
        <f t="shared" si="5"/>
        <v>46601.115179999993</v>
      </c>
      <c r="N41" s="182">
        <f t="shared" si="6"/>
        <v>11440.807724</v>
      </c>
      <c r="O41" s="81">
        <f t="shared" si="7"/>
        <v>130762.69</v>
      </c>
      <c r="P41" s="82">
        <f t="shared" si="10"/>
        <v>134685.69</v>
      </c>
      <c r="Q41" s="47">
        <f t="shared" si="8"/>
        <v>0.69</v>
      </c>
    </row>
    <row r="42" spans="1:17" ht="17.100000000000001" customHeight="1" x14ac:dyDescent="0.25">
      <c r="A42" s="66">
        <v>2</v>
      </c>
      <c r="B42" s="86" t="s">
        <v>115</v>
      </c>
      <c r="C42" s="66">
        <v>70</v>
      </c>
      <c r="D42" s="65" t="s">
        <v>61</v>
      </c>
      <c r="E42" s="65" t="s">
        <v>242</v>
      </c>
      <c r="F42" s="85">
        <v>1.3899999999999999E-2</v>
      </c>
      <c r="G42" s="77">
        <v>78096.904282354284</v>
      </c>
      <c r="H42" s="140">
        <f>G42</f>
        <v>78096.904282354284</v>
      </c>
      <c r="I42" s="78">
        <f t="shared" si="9"/>
        <v>0</v>
      </c>
      <c r="J42" s="78">
        <f t="shared" si="2"/>
        <v>0</v>
      </c>
      <c r="K42" s="80">
        <f t="shared" si="3"/>
        <v>0</v>
      </c>
      <c r="L42" s="80">
        <f t="shared" si="4"/>
        <v>50040</v>
      </c>
      <c r="M42" s="182">
        <f t="shared" si="5"/>
        <v>32067.104009999995</v>
      </c>
      <c r="N42" s="182">
        <f t="shared" si="6"/>
        <v>7872.635017999999</v>
      </c>
      <c r="O42" s="81">
        <f t="shared" si="7"/>
        <v>89980.7</v>
      </c>
      <c r="P42" s="82">
        <f t="shared" si="10"/>
        <v>92679.7</v>
      </c>
      <c r="Q42" s="47">
        <f t="shared" si="8"/>
        <v>0.7</v>
      </c>
    </row>
    <row r="43" spans="1:17" ht="17.100000000000001" customHeight="1" x14ac:dyDescent="0.25">
      <c r="A43" s="66">
        <v>2</v>
      </c>
      <c r="B43" s="86" t="s">
        <v>116</v>
      </c>
      <c r="C43" s="66">
        <v>71</v>
      </c>
      <c r="D43" s="65" t="s">
        <v>117</v>
      </c>
      <c r="E43" s="84" t="s">
        <v>255</v>
      </c>
      <c r="F43" s="85">
        <v>1.3899999999999999E-2</v>
      </c>
      <c r="G43" s="77">
        <v>78096.904282354284</v>
      </c>
      <c r="H43" s="140">
        <f>G43</f>
        <v>78096.904282354284</v>
      </c>
      <c r="I43" s="78">
        <f t="shared" si="9"/>
        <v>0</v>
      </c>
      <c r="J43" s="78">
        <f t="shared" si="2"/>
        <v>0</v>
      </c>
      <c r="K43" s="80">
        <f t="shared" si="3"/>
        <v>0</v>
      </c>
      <c r="L43" s="80">
        <f t="shared" si="4"/>
        <v>50040</v>
      </c>
      <c r="M43" s="182">
        <f t="shared" si="5"/>
        <v>32067.104009999995</v>
      </c>
      <c r="N43" s="182">
        <f t="shared" si="6"/>
        <v>7872.635017999999</v>
      </c>
      <c r="O43" s="81">
        <f t="shared" si="7"/>
        <v>89980.71</v>
      </c>
      <c r="P43" s="82">
        <f t="shared" si="10"/>
        <v>92679.71</v>
      </c>
      <c r="Q43" s="47">
        <f t="shared" si="8"/>
        <v>0.71</v>
      </c>
    </row>
    <row r="44" spans="1:17" ht="17.100000000000001" customHeight="1" x14ac:dyDescent="0.25">
      <c r="A44" s="66">
        <v>2</v>
      </c>
      <c r="B44" s="86" t="s">
        <v>118</v>
      </c>
      <c r="C44" s="66">
        <v>72</v>
      </c>
      <c r="D44" s="65" t="s">
        <v>117</v>
      </c>
      <c r="E44" s="65" t="s">
        <v>257</v>
      </c>
      <c r="F44" s="85">
        <v>2.0199999999999999E-2</v>
      </c>
      <c r="G44" s="77">
        <v>113493.34291392491</v>
      </c>
      <c r="H44" s="140">
        <f>141707-H83</f>
        <v>113492.8634</v>
      </c>
      <c r="I44" s="78">
        <f t="shared" si="9"/>
        <v>0.47951392490358558</v>
      </c>
      <c r="J44" s="78">
        <f t="shared" si="2"/>
        <v>1.4385417747107566E-2</v>
      </c>
      <c r="K44" s="80">
        <f t="shared" si="3"/>
        <v>0</v>
      </c>
      <c r="L44" s="80">
        <f t="shared" si="4"/>
        <v>72720</v>
      </c>
      <c r="M44" s="182">
        <f t="shared" si="5"/>
        <v>46601.115179999993</v>
      </c>
      <c r="N44" s="182">
        <f t="shared" si="6"/>
        <v>11440.807724</v>
      </c>
      <c r="O44" s="81">
        <f t="shared" si="7"/>
        <v>130762.72</v>
      </c>
      <c r="P44" s="82">
        <f t="shared" si="10"/>
        <v>134685.72</v>
      </c>
      <c r="Q44" s="47">
        <f t="shared" si="8"/>
        <v>0.72</v>
      </c>
    </row>
    <row r="45" spans="1:17" ht="17.100000000000001" customHeight="1" x14ac:dyDescent="0.25">
      <c r="A45" s="66">
        <v>3</v>
      </c>
      <c r="B45" s="86" t="s">
        <v>119</v>
      </c>
      <c r="C45" s="66">
        <v>73</v>
      </c>
      <c r="D45" s="65" t="s">
        <v>120</v>
      </c>
      <c r="E45" s="65" t="s">
        <v>223</v>
      </c>
      <c r="F45" s="85">
        <v>2.0199999999999999E-2</v>
      </c>
      <c r="G45" s="77">
        <v>276428.06291392486</v>
      </c>
      <c r="H45" s="140">
        <v>156668</v>
      </c>
      <c r="I45" s="78">
        <f t="shared" si="9"/>
        <v>119760.06291392486</v>
      </c>
      <c r="J45" s="78">
        <f t="shared" si="2"/>
        <v>3592.8018874177455</v>
      </c>
      <c r="K45" s="80">
        <f t="shared" si="3"/>
        <v>0</v>
      </c>
      <c r="L45" s="80">
        <f t="shared" si="4"/>
        <v>72720</v>
      </c>
      <c r="M45" s="182">
        <f t="shared" si="5"/>
        <v>46601.115179999993</v>
      </c>
      <c r="N45" s="182">
        <f t="shared" si="6"/>
        <v>11440.807724</v>
      </c>
      <c r="O45" s="81">
        <f t="shared" si="7"/>
        <v>254115.73</v>
      </c>
      <c r="P45" s="82">
        <f t="shared" si="10"/>
        <v>261738.73</v>
      </c>
      <c r="Q45" s="47">
        <f t="shared" si="8"/>
        <v>0.73</v>
      </c>
    </row>
    <row r="46" spans="1:17" ht="17.100000000000001" customHeight="1" x14ac:dyDescent="0.25">
      <c r="A46" s="66">
        <v>3</v>
      </c>
      <c r="B46" s="86" t="s">
        <v>121</v>
      </c>
      <c r="C46" s="66">
        <v>74</v>
      </c>
      <c r="D46" s="65" t="s">
        <v>122</v>
      </c>
      <c r="E46" s="84" t="s">
        <v>224</v>
      </c>
      <c r="F46" s="85">
        <v>1.3899999999999999E-2</v>
      </c>
      <c r="G46" s="77">
        <v>78096.904282354284</v>
      </c>
      <c r="H46" s="140">
        <f>G46</f>
        <v>78096.904282354284</v>
      </c>
      <c r="I46" s="78">
        <f t="shared" si="9"/>
        <v>0</v>
      </c>
      <c r="J46" s="78">
        <f t="shared" si="2"/>
        <v>0</v>
      </c>
      <c r="K46" s="80">
        <f t="shared" si="3"/>
        <v>0</v>
      </c>
      <c r="L46" s="80">
        <f t="shared" si="4"/>
        <v>50040</v>
      </c>
      <c r="M46" s="182">
        <f t="shared" si="5"/>
        <v>32067.104009999995</v>
      </c>
      <c r="N46" s="182">
        <f t="shared" si="6"/>
        <v>7872.635017999999</v>
      </c>
      <c r="O46" s="81">
        <f t="shared" si="7"/>
        <v>89980.74</v>
      </c>
      <c r="P46" s="82">
        <f t="shared" si="10"/>
        <v>92679.74</v>
      </c>
      <c r="Q46" s="47">
        <f t="shared" si="8"/>
        <v>0.74</v>
      </c>
    </row>
    <row r="47" spans="1:17" ht="17.100000000000001" customHeight="1" x14ac:dyDescent="0.25">
      <c r="A47" s="66">
        <v>3</v>
      </c>
      <c r="B47" s="86" t="s">
        <v>123</v>
      </c>
      <c r="C47" s="66">
        <v>75</v>
      </c>
      <c r="D47" s="65" t="s">
        <v>124</v>
      </c>
      <c r="E47" s="84" t="s">
        <v>184</v>
      </c>
      <c r="F47" s="85">
        <v>1.3899999999999999E-2</v>
      </c>
      <c r="G47" s="77">
        <v>78096.904282354284</v>
      </c>
      <c r="H47" s="140"/>
      <c r="I47" s="78">
        <f t="shared" si="9"/>
        <v>78096.904282354284</v>
      </c>
      <c r="J47" s="78">
        <f t="shared" si="2"/>
        <v>2342.9071284706283</v>
      </c>
      <c r="K47" s="80">
        <f t="shared" si="3"/>
        <v>0</v>
      </c>
      <c r="L47" s="80">
        <f t="shared" si="4"/>
        <v>50040</v>
      </c>
      <c r="M47" s="182">
        <f t="shared" si="5"/>
        <v>32067.104009999995</v>
      </c>
      <c r="N47" s="182">
        <f t="shared" si="6"/>
        <v>7872.635017999999</v>
      </c>
      <c r="O47" s="81">
        <f t="shared" si="7"/>
        <v>170420.75</v>
      </c>
      <c r="P47" s="82">
        <f t="shared" si="10"/>
        <v>175533.75</v>
      </c>
      <c r="Q47" s="47">
        <f t="shared" si="8"/>
        <v>0.75</v>
      </c>
    </row>
    <row r="48" spans="1:17" ht="17.100000000000001" customHeight="1" x14ac:dyDescent="0.25">
      <c r="A48" s="66">
        <v>4</v>
      </c>
      <c r="B48" s="86" t="s">
        <v>125</v>
      </c>
      <c r="C48" s="66">
        <v>76</v>
      </c>
      <c r="D48" s="65" t="s">
        <v>126</v>
      </c>
      <c r="E48" s="188" t="s">
        <v>244</v>
      </c>
      <c r="F48" s="85">
        <v>2.0199999999999999E-2</v>
      </c>
      <c r="G48" s="77">
        <v>195657.50291392489</v>
      </c>
      <c r="H48" s="140">
        <f>G48</f>
        <v>195657.50291392489</v>
      </c>
      <c r="I48" s="78">
        <f t="shared" si="9"/>
        <v>0</v>
      </c>
      <c r="J48" s="78">
        <f t="shared" si="2"/>
        <v>0</v>
      </c>
      <c r="K48" s="80">
        <f t="shared" si="3"/>
        <v>0</v>
      </c>
      <c r="L48" s="80">
        <f t="shared" si="4"/>
        <v>72720</v>
      </c>
      <c r="M48" s="182">
        <f t="shared" si="5"/>
        <v>46601.115179999993</v>
      </c>
      <c r="N48" s="182">
        <f t="shared" si="6"/>
        <v>11440.807724</v>
      </c>
      <c r="O48" s="81">
        <f t="shared" si="7"/>
        <v>130762.76</v>
      </c>
      <c r="P48" s="82">
        <f t="shared" si="10"/>
        <v>134685.76000000001</v>
      </c>
      <c r="Q48" s="47">
        <f t="shared" si="8"/>
        <v>0.76</v>
      </c>
    </row>
    <row r="49" spans="1:17" ht="17.100000000000001" customHeight="1" x14ac:dyDescent="0.25">
      <c r="A49" s="66">
        <v>4</v>
      </c>
      <c r="B49" s="86" t="s">
        <v>127</v>
      </c>
      <c r="C49" s="66">
        <v>77</v>
      </c>
      <c r="D49" s="65" t="s">
        <v>117</v>
      </c>
      <c r="E49" s="65" t="s">
        <v>251</v>
      </c>
      <c r="F49" s="85">
        <v>2.0199999999999999E-2</v>
      </c>
      <c r="G49" s="77">
        <v>284438.14291392488</v>
      </c>
      <c r="H49" s="140">
        <v>113493</v>
      </c>
      <c r="I49" s="78">
        <f t="shared" si="9"/>
        <v>170945.14291392488</v>
      </c>
      <c r="J49" s="78">
        <f t="shared" si="2"/>
        <v>5128.3542874177465</v>
      </c>
      <c r="K49" s="80">
        <f t="shared" si="3"/>
        <v>0</v>
      </c>
      <c r="L49" s="80">
        <f t="shared" si="4"/>
        <v>72720</v>
      </c>
      <c r="M49" s="182">
        <f t="shared" si="5"/>
        <v>46601.115179999993</v>
      </c>
      <c r="N49" s="182">
        <f t="shared" si="6"/>
        <v>11440.807724</v>
      </c>
      <c r="O49" s="81">
        <f t="shared" si="7"/>
        <v>306835.77</v>
      </c>
      <c r="P49" s="82">
        <f t="shared" si="10"/>
        <v>316040.77</v>
      </c>
      <c r="Q49" s="47">
        <f t="shared" si="8"/>
        <v>0.77</v>
      </c>
    </row>
    <row r="50" spans="1:17" ht="17.100000000000001" customHeight="1" x14ac:dyDescent="0.25">
      <c r="A50" s="66">
        <v>4</v>
      </c>
      <c r="B50" s="86" t="s">
        <v>128</v>
      </c>
      <c r="C50" s="66">
        <v>78</v>
      </c>
      <c r="D50" s="65" t="s">
        <v>117</v>
      </c>
      <c r="E50" s="65" t="s">
        <v>185</v>
      </c>
      <c r="F50" s="85">
        <v>1.3899999999999999E-2</v>
      </c>
      <c r="G50" s="77">
        <v>134635.46428235428</v>
      </c>
      <c r="H50" s="140">
        <f>54364</f>
        <v>54364</v>
      </c>
      <c r="I50" s="78">
        <f t="shared" si="9"/>
        <v>80271.464282354282</v>
      </c>
      <c r="J50" s="78">
        <f t="shared" si="2"/>
        <v>2408.1439284706285</v>
      </c>
      <c r="K50" s="80">
        <f t="shared" si="3"/>
        <v>0</v>
      </c>
      <c r="L50" s="80">
        <f t="shared" si="4"/>
        <v>50040</v>
      </c>
      <c r="M50" s="182">
        <f t="shared" si="5"/>
        <v>32067.104009999995</v>
      </c>
      <c r="N50" s="182">
        <f t="shared" si="6"/>
        <v>7872.635017999999</v>
      </c>
      <c r="O50" s="81">
        <f t="shared" si="7"/>
        <v>172659.78</v>
      </c>
      <c r="P50" s="82">
        <f t="shared" si="10"/>
        <v>177839.78</v>
      </c>
      <c r="Q50" s="47">
        <f t="shared" si="8"/>
        <v>0.78</v>
      </c>
    </row>
    <row r="51" spans="1:17" ht="17.100000000000001" customHeight="1" x14ac:dyDescent="0.25">
      <c r="A51" s="66">
        <v>5</v>
      </c>
      <c r="B51" s="86" t="s">
        <v>129</v>
      </c>
      <c r="C51" s="66">
        <v>79</v>
      </c>
      <c r="D51" s="65" t="s">
        <v>130</v>
      </c>
      <c r="E51" s="84"/>
      <c r="F51" s="85">
        <v>1.3899999999999999E-2</v>
      </c>
      <c r="G51" s="77">
        <v>78096.904282354284</v>
      </c>
      <c r="H51" s="140">
        <f>79162-G66</f>
        <v>78097.315600000002</v>
      </c>
      <c r="I51" s="78">
        <f t="shared" si="9"/>
        <v>-0.41131764571764506</v>
      </c>
      <c r="J51" s="78">
        <f t="shared" si="2"/>
        <v>0</v>
      </c>
      <c r="K51" s="80">
        <f t="shared" si="3"/>
        <v>0</v>
      </c>
      <c r="L51" s="80">
        <f t="shared" si="4"/>
        <v>50040</v>
      </c>
      <c r="M51" s="182">
        <f t="shared" si="5"/>
        <v>32067.104009999995</v>
      </c>
      <c r="N51" s="182">
        <f t="shared" si="6"/>
        <v>7872.635017999999</v>
      </c>
      <c r="O51" s="81">
        <f t="shared" si="7"/>
        <v>89979.79</v>
      </c>
      <c r="P51" s="82">
        <f t="shared" si="10"/>
        <v>92678.79</v>
      </c>
      <c r="Q51" s="47">
        <f t="shared" si="8"/>
        <v>0.79</v>
      </c>
    </row>
    <row r="52" spans="1:17" ht="17.100000000000001" customHeight="1" x14ac:dyDescent="0.25">
      <c r="A52" s="66">
        <v>5</v>
      </c>
      <c r="B52" s="86" t="s">
        <v>131</v>
      </c>
      <c r="C52" s="66">
        <v>80</v>
      </c>
      <c r="D52" s="65" t="s">
        <v>132</v>
      </c>
      <c r="E52" s="65" t="s">
        <v>186</v>
      </c>
      <c r="F52" s="85">
        <v>2.0199999999999999E-2</v>
      </c>
      <c r="G52" s="77">
        <v>113493.34291392491</v>
      </c>
      <c r="H52" s="140"/>
      <c r="I52" s="78">
        <f t="shared" si="9"/>
        <v>113493.34291392491</v>
      </c>
      <c r="J52" s="78">
        <f t="shared" si="2"/>
        <v>3404.8002874177469</v>
      </c>
      <c r="K52" s="80">
        <f t="shared" si="3"/>
        <v>0</v>
      </c>
      <c r="L52" s="80">
        <f t="shared" si="4"/>
        <v>72720</v>
      </c>
      <c r="M52" s="182">
        <f t="shared" si="5"/>
        <v>46601.115179999993</v>
      </c>
      <c r="N52" s="182">
        <f t="shared" si="6"/>
        <v>11440.807724</v>
      </c>
      <c r="O52" s="81">
        <f t="shared" si="7"/>
        <v>247660.79999999999</v>
      </c>
      <c r="P52" s="82">
        <f t="shared" si="10"/>
        <v>255090.8</v>
      </c>
      <c r="Q52" s="47">
        <f t="shared" si="8"/>
        <v>0.8</v>
      </c>
    </row>
    <row r="53" spans="1:17" ht="17.100000000000001" customHeight="1" x14ac:dyDescent="0.25">
      <c r="A53" s="66">
        <v>5</v>
      </c>
      <c r="B53" s="86" t="s">
        <v>133</v>
      </c>
      <c r="C53" s="66">
        <v>81</v>
      </c>
      <c r="D53" s="65" t="s">
        <v>134</v>
      </c>
      <c r="E53" s="65"/>
      <c r="F53" s="85">
        <v>2.0199999999999999E-2</v>
      </c>
      <c r="G53" s="77">
        <v>113493.34291392491</v>
      </c>
      <c r="H53" s="140"/>
      <c r="I53" s="78">
        <f t="shared" si="9"/>
        <v>113493.34291392491</v>
      </c>
      <c r="J53" s="78">
        <f t="shared" si="2"/>
        <v>3404.8002874177469</v>
      </c>
      <c r="K53" s="80">
        <f t="shared" si="3"/>
        <v>0</v>
      </c>
      <c r="L53" s="80">
        <f t="shared" si="4"/>
        <v>72720</v>
      </c>
      <c r="M53" s="182">
        <f t="shared" si="5"/>
        <v>46601.115179999993</v>
      </c>
      <c r="N53" s="182">
        <f t="shared" si="6"/>
        <v>11440.807724</v>
      </c>
      <c r="O53" s="81">
        <f t="shared" si="7"/>
        <v>247660.81</v>
      </c>
      <c r="P53" s="82">
        <f t="shared" si="10"/>
        <v>255090.81</v>
      </c>
      <c r="Q53" s="47">
        <f t="shared" si="8"/>
        <v>0.81</v>
      </c>
    </row>
    <row r="54" spans="1:17" ht="17.100000000000001" customHeight="1" x14ac:dyDescent="0.25">
      <c r="A54" s="66">
        <v>6</v>
      </c>
      <c r="B54" s="86" t="s">
        <v>135</v>
      </c>
      <c r="C54" s="66">
        <v>82</v>
      </c>
      <c r="D54" s="65" t="s">
        <v>136</v>
      </c>
      <c r="E54" s="65"/>
      <c r="F54" s="85">
        <v>1.3899999999999999E-2</v>
      </c>
      <c r="G54" s="77">
        <v>78096.904282354284</v>
      </c>
      <c r="H54" s="140">
        <f>G54</f>
        <v>78096.904282354284</v>
      </c>
      <c r="I54" s="78">
        <f t="shared" si="9"/>
        <v>0</v>
      </c>
      <c r="J54" s="78">
        <f t="shared" si="2"/>
        <v>0</v>
      </c>
      <c r="K54" s="80">
        <f t="shared" si="3"/>
        <v>0</v>
      </c>
      <c r="L54" s="80">
        <f t="shared" si="4"/>
        <v>50040</v>
      </c>
      <c r="M54" s="182">
        <f t="shared" si="5"/>
        <v>32067.104009999995</v>
      </c>
      <c r="N54" s="182">
        <f t="shared" si="6"/>
        <v>7872.635017999999</v>
      </c>
      <c r="O54" s="81">
        <f t="shared" si="7"/>
        <v>89980.82</v>
      </c>
      <c r="P54" s="82">
        <f t="shared" si="10"/>
        <v>92679.82</v>
      </c>
      <c r="Q54" s="47">
        <f t="shared" si="8"/>
        <v>0.82</v>
      </c>
    </row>
    <row r="55" spans="1:17" ht="17.100000000000001" customHeight="1" x14ac:dyDescent="0.25">
      <c r="A55" s="66">
        <v>6</v>
      </c>
      <c r="B55" s="86" t="s">
        <v>137</v>
      </c>
      <c r="C55" s="66">
        <v>83</v>
      </c>
      <c r="D55" s="65" t="s">
        <v>138</v>
      </c>
      <c r="E55" s="65" t="s">
        <v>218</v>
      </c>
      <c r="F55" s="85">
        <v>1.3899999999999999E-2</v>
      </c>
      <c r="G55" s="77">
        <v>190216.18428235428</v>
      </c>
      <c r="H55" s="140">
        <f>G55</f>
        <v>190216.18428235428</v>
      </c>
      <c r="I55" s="78">
        <f t="shared" si="9"/>
        <v>0</v>
      </c>
      <c r="J55" s="78">
        <f t="shared" si="2"/>
        <v>0</v>
      </c>
      <c r="K55" s="80">
        <f t="shared" si="3"/>
        <v>0</v>
      </c>
      <c r="L55" s="80">
        <f t="shared" si="4"/>
        <v>50040</v>
      </c>
      <c r="M55" s="182">
        <f t="shared" si="5"/>
        <v>32067.104009999995</v>
      </c>
      <c r="N55" s="182">
        <f t="shared" si="6"/>
        <v>7872.635017999999</v>
      </c>
      <c r="O55" s="81">
        <f t="shared" si="7"/>
        <v>89980.83</v>
      </c>
      <c r="P55" s="82">
        <f t="shared" si="10"/>
        <v>92679.83</v>
      </c>
      <c r="Q55" s="47">
        <f t="shared" si="8"/>
        <v>0.83</v>
      </c>
    </row>
    <row r="56" spans="1:17" ht="17.100000000000001" customHeight="1" x14ac:dyDescent="0.25">
      <c r="A56" s="66">
        <v>6</v>
      </c>
      <c r="B56" s="86" t="s">
        <v>139</v>
      </c>
      <c r="C56" s="66">
        <v>84</v>
      </c>
      <c r="D56" s="65" t="s">
        <v>140</v>
      </c>
      <c r="E56" s="84"/>
      <c r="F56" s="85">
        <v>2.0199999999999999E-2</v>
      </c>
      <c r="G56" s="77">
        <v>113493.34291392491</v>
      </c>
      <c r="H56" s="140">
        <f>G56</f>
        <v>113493.34291392491</v>
      </c>
      <c r="I56" s="78">
        <f t="shared" si="9"/>
        <v>0</v>
      </c>
      <c r="J56" s="78">
        <f t="shared" si="2"/>
        <v>0</v>
      </c>
      <c r="K56" s="80">
        <f t="shared" si="3"/>
        <v>0</v>
      </c>
      <c r="L56" s="80">
        <f t="shared" si="4"/>
        <v>72720</v>
      </c>
      <c r="M56" s="182">
        <f t="shared" si="5"/>
        <v>46601.115179999993</v>
      </c>
      <c r="N56" s="182">
        <f t="shared" si="6"/>
        <v>11440.807724</v>
      </c>
      <c r="O56" s="81">
        <f t="shared" si="7"/>
        <v>130762.84</v>
      </c>
      <c r="P56" s="82">
        <f t="shared" si="10"/>
        <v>134685.84</v>
      </c>
      <c r="Q56" s="47">
        <f t="shared" si="8"/>
        <v>0.84</v>
      </c>
    </row>
    <row r="57" spans="1:17" ht="17.100000000000001" customHeight="1" x14ac:dyDescent="0.25">
      <c r="A57" s="66">
        <v>7</v>
      </c>
      <c r="B57" s="86"/>
      <c r="C57" s="66"/>
      <c r="D57" s="65"/>
      <c r="E57" s="84"/>
      <c r="F57" s="85"/>
      <c r="G57" s="77"/>
      <c r="H57" s="140"/>
      <c r="I57" s="78"/>
      <c r="J57" s="78"/>
      <c r="K57" s="80"/>
      <c r="L57" s="80">
        <f t="shared" si="4"/>
        <v>0</v>
      </c>
      <c r="M57" s="182"/>
      <c r="N57" s="182"/>
      <c r="O57" s="81">
        <f t="shared" si="7"/>
        <v>0</v>
      </c>
      <c r="P57" s="82"/>
      <c r="Q57" s="47">
        <f t="shared" si="8"/>
        <v>0</v>
      </c>
    </row>
    <row r="58" spans="1:17" ht="17.100000000000001" customHeight="1" x14ac:dyDescent="0.25">
      <c r="A58" s="66">
        <v>7</v>
      </c>
      <c r="B58" s="86"/>
      <c r="C58" s="66"/>
      <c r="D58" s="65"/>
      <c r="E58" s="65"/>
      <c r="F58" s="85"/>
      <c r="G58" s="77"/>
      <c r="H58" s="140"/>
      <c r="I58" s="78"/>
      <c r="J58" s="78"/>
      <c r="K58" s="80"/>
      <c r="L58" s="80">
        <f t="shared" si="4"/>
        <v>0</v>
      </c>
      <c r="M58" s="182"/>
      <c r="N58" s="182"/>
      <c r="O58" s="81">
        <f t="shared" si="7"/>
        <v>0</v>
      </c>
      <c r="P58" s="82"/>
      <c r="Q58" s="47">
        <f t="shared" si="8"/>
        <v>0</v>
      </c>
    </row>
    <row r="59" spans="1:17" ht="17.100000000000001" customHeight="1" x14ac:dyDescent="0.25">
      <c r="A59" s="66">
        <v>7</v>
      </c>
      <c r="B59" s="86" t="s">
        <v>141</v>
      </c>
      <c r="C59" s="66">
        <v>17</v>
      </c>
      <c r="D59" s="65" t="s">
        <v>117</v>
      </c>
      <c r="E59" s="189" t="s">
        <v>248</v>
      </c>
      <c r="F59" s="85">
        <v>3.2000000000000002E-3</v>
      </c>
      <c r="G59" s="77">
        <v>17034.950400000002</v>
      </c>
      <c r="H59" s="140">
        <f>18100-H72</f>
        <v>17035.315600000002</v>
      </c>
      <c r="I59" s="78">
        <f t="shared" si="9"/>
        <v>-0.36520000000018626</v>
      </c>
      <c r="J59" s="78">
        <f t="shared" si="2"/>
        <v>0</v>
      </c>
      <c r="K59" s="80">
        <f t="shared" si="3"/>
        <v>0</v>
      </c>
      <c r="L59" s="80">
        <f t="shared" si="4"/>
        <v>11520</v>
      </c>
      <c r="M59" s="182">
        <f t="shared" si="5"/>
        <v>7382.3548799999999</v>
      </c>
      <c r="N59" s="182">
        <f t="shared" si="6"/>
        <v>1812.405184</v>
      </c>
      <c r="O59" s="81">
        <f t="shared" si="7"/>
        <v>20714.169999999998</v>
      </c>
      <c r="P59" s="82">
        <f t="shared" si="10"/>
        <v>21335.17</v>
      </c>
      <c r="Q59" s="47">
        <f t="shared" si="8"/>
        <v>0.17</v>
      </c>
    </row>
    <row r="60" spans="1:17" ht="17.100000000000001" customHeight="1" x14ac:dyDescent="0.25">
      <c r="A60" s="66">
        <v>8</v>
      </c>
      <c r="B60" s="86" t="s">
        <v>142</v>
      </c>
      <c r="C60" s="66">
        <v>18</v>
      </c>
      <c r="D60" s="65" t="s">
        <v>143</v>
      </c>
      <c r="E60" s="84"/>
      <c r="F60" s="85">
        <v>3.3E-3</v>
      </c>
      <c r="G60" s="77">
        <v>90176.972599999994</v>
      </c>
      <c r="H60" s="140"/>
      <c r="I60" s="78">
        <f t="shared" si="9"/>
        <v>90176.972599999994</v>
      </c>
      <c r="J60" s="78">
        <f t="shared" si="2"/>
        <v>2705.3091779999995</v>
      </c>
      <c r="K60" s="80">
        <f t="shared" si="3"/>
        <v>0</v>
      </c>
      <c r="L60" s="80">
        <f t="shared" si="4"/>
        <v>11880</v>
      </c>
      <c r="M60" s="182">
        <f t="shared" si="5"/>
        <v>7613.0534699999998</v>
      </c>
      <c r="N60" s="182">
        <f t="shared" si="6"/>
        <v>1869.0428460000001</v>
      </c>
      <c r="O60" s="81">
        <f t="shared" si="7"/>
        <v>114244.18</v>
      </c>
      <c r="P60" s="82">
        <f t="shared" si="10"/>
        <v>117671.18</v>
      </c>
      <c r="Q60" s="47">
        <f t="shared" si="8"/>
        <v>0.18</v>
      </c>
    </row>
    <row r="61" spans="1:17" ht="17.100000000000001" customHeight="1" x14ac:dyDescent="0.25">
      <c r="A61" s="66">
        <v>8</v>
      </c>
      <c r="B61" s="86" t="s">
        <v>144</v>
      </c>
      <c r="C61" s="66">
        <v>19</v>
      </c>
      <c r="D61" s="65" t="s">
        <v>145</v>
      </c>
      <c r="E61" s="84"/>
      <c r="F61" s="85">
        <v>4.0000000000000002E-4</v>
      </c>
      <c r="G61" s="77">
        <v>2129.3688000000002</v>
      </c>
      <c r="H61" s="140">
        <f>3194-H62</f>
        <v>5933.3155999999999</v>
      </c>
      <c r="I61" s="78">
        <f t="shared" si="9"/>
        <v>-3803.9467999999997</v>
      </c>
      <c r="J61" s="78">
        <f t="shared" si="2"/>
        <v>0</v>
      </c>
      <c r="K61" s="80">
        <f t="shared" si="3"/>
        <v>0</v>
      </c>
      <c r="L61" s="80">
        <f t="shared" si="4"/>
        <v>1440</v>
      </c>
      <c r="M61" s="182">
        <f t="shared" si="5"/>
        <v>922.79435999999998</v>
      </c>
      <c r="N61" s="182">
        <f t="shared" si="6"/>
        <v>226.550648</v>
      </c>
      <c r="O61" s="81">
        <f t="shared" si="7"/>
        <v>-1214.81</v>
      </c>
      <c r="P61" s="82">
        <f t="shared" si="10"/>
        <v>-1250.81</v>
      </c>
      <c r="Q61" s="47">
        <f t="shared" si="8"/>
        <v>0.19</v>
      </c>
    </row>
    <row r="62" spans="1:17" ht="17.100000000000001" customHeight="1" x14ac:dyDescent="0.25">
      <c r="A62" s="66">
        <v>8</v>
      </c>
      <c r="B62" s="86" t="s">
        <v>146</v>
      </c>
      <c r="C62" s="66">
        <v>20</v>
      </c>
      <c r="D62" s="65" t="s">
        <v>145</v>
      </c>
      <c r="E62" s="84"/>
      <c r="F62" s="85">
        <v>2.0000000000000001E-4</v>
      </c>
      <c r="G62" s="77">
        <v>-2739.3155999999999</v>
      </c>
      <c r="H62" s="140">
        <f>G62</f>
        <v>-2739.3155999999999</v>
      </c>
      <c r="I62" s="78">
        <f t="shared" si="9"/>
        <v>0</v>
      </c>
      <c r="J62" s="78">
        <f t="shared" si="2"/>
        <v>0</v>
      </c>
      <c r="K62" s="80">
        <f t="shared" si="3"/>
        <v>0</v>
      </c>
      <c r="L62" s="80">
        <f t="shared" si="4"/>
        <v>720</v>
      </c>
      <c r="M62" s="182">
        <f t="shared" si="5"/>
        <v>461.39717999999999</v>
      </c>
      <c r="N62" s="182">
        <f t="shared" si="6"/>
        <v>113.275324</v>
      </c>
      <c r="O62" s="81">
        <f t="shared" si="7"/>
        <v>1295.2</v>
      </c>
      <c r="P62" s="82">
        <f t="shared" si="10"/>
        <v>1334.2</v>
      </c>
      <c r="Q62" s="47">
        <f t="shared" si="8"/>
        <v>0.2</v>
      </c>
    </row>
    <row r="63" spans="1:17" ht="17.100000000000001" customHeight="1" x14ac:dyDescent="0.25">
      <c r="A63" s="66">
        <v>9</v>
      </c>
      <c r="B63" s="86" t="s">
        <v>147</v>
      </c>
      <c r="C63" s="66">
        <v>21</v>
      </c>
      <c r="D63" s="65" t="s">
        <v>148</v>
      </c>
      <c r="E63" s="65"/>
      <c r="F63" s="85">
        <v>2.0000000000000001E-4</v>
      </c>
      <c r="G63" s="77">
        <v>1064.6844000000001</v>
      </c>
      <c r="H63" s="140"/>
      <c r="I63" s="78">
        <f t="shared" si="9"/>
        <v>1064.6844000000001</v>
      </c>
      <c r="J63" s="78">
        <f t="shared" si="2"/>
        <v>31.940532000000001</v>
      </c>
      <c r="K63" s="80">
        <f t="shared" si="3"/>
        <v>0</v>
      </c>
      <c r="L63" s="80">
        <f t="shared" si="4"/>
        <v>720</v>
      </c>
      <c r="M63" s="182">
        <f t="shared" si="5"/>
        <v>461.39717999999999</v>
      </c>
      <c r="N63" s="182">
        <f t="shared" si="6"/>
        <v>113.275324</v>
      </c>
      <c r="O63" s="81">
        <f t="shared" si="7"/>
        <v>2391.21</v>
      </c>
      <c r="P63" s="82">
        <f t="shared" si="10"/>
        <v>2463.21</v>
      </c>
      <c r="Q63" s="47">
        <f t="shared" si="8"/>
        <v>0.21</v>
      </c>
    </row>
    <row r="64" spans="1:17" ht="17.100000000000001" customHeight="1" x14ac:dyDescent="0.25">
      <c r="A64" s="66">
        <v>9</v>
      </c>
      <c r="B64" s="86" t="s">
        <v>149</v>
      </c>
      <c r="C64" s="66">
        <v>22</v>
      </c>
      <c r="D64" s="65" t="s">
        <v>57</v>
      </c>
      <c r="E64" s="84"/>
      <c r="F64" s="85">
        <v>2.0000000000000001E-4</v>
      </c>
      <c r="G64" s="77">
        <v>1801.0044</v>
      </c>
      <c r="H64" s="140">
        <f>G64</f>
        <v>1801.0044</v>
      </c>
      <c r="I64" s="78">
        <f t="shared" si="9"/>
        <v>0</v>
      </c>
      <c r="J64" s="78">
        <f t="shared" si="2"/>
        <v>0</v>
      </c>
      <c r="K64" s="80">
        <f t="shared" si="3"/>
        <v>0</v>
      </c>
      <c r="L64" s="80">
        <f t="shared" si="4"/>
        <v>720</v>
      </c>
      <c r="M64" s="182">
        <f t="shared" si="5"/>
        <v>461.39717999999999</v>
      </c>
      <c r="N64" s="182">
        <f t="shared" si="6"/>
        <v>113.275324</v>
      </c>
      <c r="O64" s="81">
        <f t="shared" si="7"/>
        <v>1295.22</v>
      </c>
      <c r="P64" s="82">
        <f t="shared" si="10"/>
        <v>1334.22</v>
      </c>
      <c r="Q64" s="47">
        <f t="shared" si="8"/>
        <v>0.22</v>
      </c>
    </row>
    <row r="65" spans="1:17" ht="17.100000000000001" customHeight="1" x14ac:dyDescent="0.25">
      <c r="A65" s="66">
        <v>9</v>
      </c>
      <c r="B65" s="86" t="s">
        <v>150</v>
      </c>
      <c r="C65" s="66">
        <v>23</v>
      </c>
      <c r="D65" s="65" t="s">
        <v>88</v>
      </c>
      <c r="E65" s="65"/>
      <c r="F65" s="85">
        <v>2.0000000000000001E-4</v>
      </c>
      <c r="G65" s="77">
        <v>1801.0044</v>
      </c>
      <c r="H65" s="140">
        <f t="shared" ref="H6:H69" si="11">G65</f>
        <v>1801.0044</v>
      </c>
      <c r="I65" s="78">
        <f t="shared" si="9"/>
        <v>0</v>
      </c>
      <c r="J65" s="78">
        <f t="shared" si="2"/>
        <v>0</v>
      </c>
      <c r="K65" s="80">
        <f t="shared" si="3"/>
        <v>0</v>
      </c>
      <c r="L65" s="80">
        <f t="shared" si="4"/>
        <v>720</v>
      </c>
      <c r="M65" s="182">
        <f t="shared" si="5"/>
        <v>461.39717999999999</v>
      </c>
      <c r="N65" s="182">
        <f t="shared" si="6"/>
        <v>113.275324</v>
      </c>
      <c r="O65" s="81">
        <f t="shared" si="7"/>
        <v>1295.23</v>
      </c>
      <c r="P65" s="82">
        <f t="shared" si="10"/>
        <v>1334.23</v>
      </c>
      <c r="Q65" s="47">
        <f t="shared" si="8"/>
        <v>0.23</v>
      </c>
    </row>
    <row r="66" spans="1:17" ht="17.100000000000001" customHeight="1" x14ac:dyDescent="0.25">
      <c r="A66" s="66">
        <v>10</v>
      </c>
      <c r="B66" s="86" t="s">
        <v>151</v>
      </c>
      <c r="C66" s="66">
        <v>24</v>
      </c>
      <c r="D66" s="65" t="s">
        <v>130</v>
      </c>
      <c r="E66" s="84"/>
      <c r="F66" s="85">
        <v>2.0000000000000001E-4</v>
      </c>
      <c r="G66" s="77">
        <v>1064.6844000000001</v>
      </c>
      <c r="H66" s="140">
        <f>G66</f>
        <v>1064.6844000000001</v>
      </c>
      <c r="I66" s="78">
        <f t="shared" si="9"/>
        <v>0</v>
      </c>
      <c r="J66" s="78">
        <f t="shared" si="2"/>
        <v>0</v>
      </c>
      <c r="K66" s="80">
        <f t="shared" si="3"/>
        <v>0</v>
      </c>
      <c r="L66" s="80">
        <f t="shared" si="4"/>
        <v>720</v>
      </c>
      <c r="M66" s="182">
        <f t="shared" si="5"/>
        <v>461.39717999999999</v>
      </c>
      <c r="N66" s="182">
        <f t="shared" si="6"/>
        <v>113.275324</v>
      </c>
      <c r="O66" s="81">
        <f t="shared" si="7"/>
        <v>1295.24</v>
      </c>
      <c r="P66" s="82">
        <f t="shared" si="10"/>
        <v>1334.24</v>
      </c>
      <c r="Q66" s="47">
        <f t="shared" si="8"/>
        <v>0.24</v>
      </c>
    </row>
    <row r="67" spans="1:17" ht="17.100000000000001" customHeight="1" x14ac:dyDescent="0.25">
      <c r="A67" s="66">
        <v>10</v>
      </c>
      <c r="B67" s="86" t="s">
        <v>152</v>
      </c>
      <c r="C67" s="66">
        <v>25</v>
      </c>
      <c r="D67" s="65" t="s">
        <v>153</v>
      </c>
      <c r="E67" s="65" t="s">
        <v>228</v>
      </c>
      <c r="F67" s="85">
        <v>2.0000000000000001E-4</v>
      </c>
      <c r="G67" s="77">
        <v>1064.6844000000001</v>
      </c>
      <c r="H67" s="140">
        <f>G67</f>
        <v>1064.6844000000001</v>
      </c>
      <c r="I67" s="78">
        <f t="shared" si="9"/>
        <v>0</v>
      </c>
      <c r="J67" s="78">
        <f t="shared" si="2"/>
        <v>0</v>
      </c>
      <c r="K67" s="80">
        <f t="shared" si="3"/>
        <v>0</v>
      </c>
      <c r="L67" s="80">
        <f t="shared" si="4"/>
        <v>720</v>
      </c>
      <c r="M67" s="182">
        <f t="shared" si="5"/>
        <v>461.39717999999999</v>
      </c>
      <c r="N67" s="182">
        <f t="shared" si="6"/>
        <v>113.275324</v>
      </c>
      <c r="O67" s="81">
        <f t="shared" si="7"/>
        <v>1295.25</v>
      </c>
      <c r="P67" s="82">
        <f t="shared" si="10"/>
        <v>1334.25</v>
      </c>
      <c r="Q67" s="47">
        <f t="shared" si="8"/>
        <v>0.25</v>
      </c>
    </row>
    <row r="68" spans="1:17" ht="17.100000000000001" customHeight="1" x14ac:dyDescent="0.25">
      <c r="A68" s="66">
        <v>10</v>
      </c>
      <c r="B68" s="86" t="s">
        <v>154</v>
      </c>
      <c r="C68" s="66">
        <v>26</v>
      </c>
      <c r="D68" s="65" t="s">
        <v>92</v>
      </c>
      <c r="E68" s="65"/>
      <c r="F68" s="85">
        <v>2.0000000000000001E-4</v>
      </c>
      <c r="G68" s="77">
        <v>1064.6844000000001</v>
      </c>
      <c r="H68" s="140">
        <f>G68</f>
        <v>1064.6844000000001</v>
      </c>
      <c r="I68" s="78">
        <f t="shared" si="9"/>
        <v>0</v>
      </c>
      <c r="J68" s="78">
        <f t="shared" si="2"/>
        <v>0</v>
      </c>
      <c r="K68" s="80">
        <f t="shared" si="3"/>
        <v>0</v>
      </c>
      <c r="L68" s="80">
        <f t="shared" si="4"/>
        <v>720</v>
      </c>
      <c r="M68" s="182">
        <f t="shared" si="5"/>
        <v>461.39717999999999</v>
      </c>
      <c r="N68" s="182">
        <f t="shared" si="6"/>
        <v>113.275324</v>
      </c>
      <c r="O68" s="81">
        <f t="shared" si="7"/>
        <v>1295.26</v>
      </c>
      <c r="P68" s="82">
        <f t="shared" si="10"/>
        <v>1334.26</v>
      </c>
      <c r="Q68" s="47">
        <f t="shared" si="8"/>
        <v>0.26</v>
      </c>
    </row>
    <row r="69" spans="1:17" ht="17.100000000000001" customHeight="1" x14ac:dyDescent="0.25">
      <c r="A69" s="66">
        <v>11</v>
      </c>
      <c r="B69" s="86" t="s">
        <v>155</v>
      </c>
      <c r="C69" s="66">
        <v>27</v>
      </c>
      <c r="D69" s="65" t="s">
        <v>156</v>
      </c>
      <c r="E69" s="84"/>
      <c r="F69" s="85">
        <v>2.0000000000000001E-4</v>
      </c>
      <c r="G69" s="77">
        <v>6788.8444</v>
      </c>
      <c r="H69" s="140"/>
      <c r="I69" s="78">
        <f t="shared" ref="I69:I90" si="12">G69-H69</f>
        <v>6788.8444</v>
      </c>
      <c r="J69" s="78">
        <f t="shared" si="2"/>
        <v>203.66533199999998</v>
      </c>
      <c r="K69" s="80">
        <f t="shared" si="3"/>
        <v>0</v>
      </c>
      <c r="L69" s="80">
        <f t="shared" si="4"/>
        <v>720</v>
      </c>
      <c r="M69" s="182">
        <f t="shared" si="5"/>
        <v>461.39717999999999</v>
      </c>
      <c r="N69" s="182">
        <f t="shared" si="6"/>
        <v>113.275324</v>
      </c>
      <c r="O69" s="81">
        <f t="shared" si="7"/>
        <v>8287.27</v>
      </c>
      <c r="P69" s="82">
        <f t="shared" ref="P69:P90" si="13">ROUND(O69*3%,0) + O69</f>
        <v>8536.27</v>
      </c>
      <c r="Q69" s="47">
        <f t="shared" si="8"/>
        <v>0.27</v>
      </c>
    </row>
    <row r="70" spans="1:17" ht="17.100000000000001" customHeight="1" x14ac:dyDescent="0.25">
      <c r="A70" s="66">
        <v>11</v>
      </c>
      <c r="B70" s="86" t="s">
        <v>157</v>
      </c>
      <c r="C70" s="66">
        <v>28</v>
      </c>
      <c r="D70" s="65" t="s">
        <v>156</v>
      </c>
      <c r="E70" s="84"/>
      <c r="F70" s="85">
        <v>2.0000000000000001E-4</v>
      </c>
      <c r="G70" s="77">
        <v>6788.8444</v>
      </c>
      <c r="H70" s="140"/>
      <c r="I70" s="78">
        <f t="shared" si="12"/>
        <v>6788.8444</v>
      </c>
      <c r="J70" s="78">
        <f t="shared" ref="J70:J90" si="14">IF(I70&gt;0,I70*3%,0)</f>
        <v>203.66533199999998</v>
      </c>
      <c r="K70" s="80">
        <f t="shared" ref="K70:K90" si="15">M$2*F70</f>
        <v>0</v>
      </c>
      <c r="L70" s="80">
        <f t="shared" ref="L70:L90" si="16">M$1*F70</f>
        <v>720</v>
      </c>
      <c r="M70" s="182">
        <f t="shared" ref="M70:M90" si="17">F$1*F70</f>
        <v>461.39717999999999</v>
      </c>
      <c r="N70" s="182">
        <f t="shared" ref="N70:N90" si="18">F$2*F70</f>
        <v>113.275324</v>
      </c>
      <c r="O70" s="81">
        <f t="shared" ref="O70:O90" si="19">ROUND(SUM(I70:N70),0) + Q70</f>
        <v>8287.2800000000007</v>
      </c>
      <c r="P70" s="82">
        <f t="shared" si="13"/>
        <v>8536.2800000000007</v>
      </c>
      <c r="Q70" s="47">
        <f t="shared" ref="Q70:Q90" si="20">ROUND(0.001+C70/100,2)</f>
        <v>0.28000000000000003</v>
      </c>
    </row>
    <row r="71" spans="1:17" ht="17.100000000000001" customHeight="1" x14ac:dyDescent="0.25">
      <c r="A71" s="66">
        <v>11</v>
      </c>
      <c r="B71" s="86" t="s">
        <v>158</v>
      </c>
      <c r="C71" s="66">
        <v>29</v>
      </c>
      <c r="D71" s="65" t="s">
        <v>68</v>
      </c>
      <c r="E71" s="65" t="s">
        <v>221</v>
      </c>
      <c r="F71" s="85">
        <v>2.0000000000000001E-4</v>
      </c>
      <c r="G71" s="77">
        <v>4302.2044000000005</v>
      </c>
      <c r="H71" s="140">
        <f>G71</f>
        <v>4302.2044000000005</v>
      </c>
      <c r="I71" s="78">
        <f t="shared" si="12"/>
        <v>0</v>
      </c>
      <c r="J71" s="78">
        <f t="shared" si="14"/>
        <v>0</v>
      </c>
      <c r="K71" s="80">
        <f t="shared" si="15"/>
        <v>0</v>
      </c>
      <c r="L71" s="80">
        <f t="shared" si="16"/>
        <v>720</v>
      </c>
      <c r="M71" s="182">
        <f t="shared" si="17"/>
        <v>461.39717999999999</v>
      </c>
      <c r="N71" s="182">
        <f t="shared" si="18"/>
        <v>113.275324</v>
      </c>
      <c r="O71" s="81">
        <f t="shared" si="19"/>
        <v>1295.29</v>
      </c>
      <c r="P71" s="82">
        <f t="shared" si="13"/>
        <v>1334.29</v>
      </c>
      <c r="Q71" s="47">
        <f t="shared" si="20"/>
        <v>0.28999999999999998</v>
      </c>
    </row>
    <row r="72" spans="1:17" ht="17.100000000000001" customHeight="1" x14ac:dyDescent="0.25">
      <c r="A72" s="66"/>
      <c r="B72" s="87" t="s">
        <v>159</v>
      </c>
      <c r="C72" s="66">
        <v>30</v>
      </c>
      <c r="D72" s="88" t="s">
        <v>68</v>
      </c>
      <c r="E72" s="189" t="s">
        <v>248</v>
      </c>
      <c r="F72" s="89">
        <v>2.0000000000000001E-4</v>
      </c>
      <c r="G72" s="77">
        <v>1064.6844000000001</v>
      </c>
      <c r="H72" s="140">
        <f>G72</f>
        <v>1064.6844000000001</v>
      </c>
      <c r="I72" s="78">
        <f t="shared" si="12"/>
        <v>0</v>
      </c>
      <c r="J72" s="78">
        <f t="shared" si="14"/>
        <v>0</v>
      </c>
      <c r="K72" s="80">
        <f t="shared" si="15"/>
        <v>0</v>
      </c>
      <c r="L72" s="80">
        <f t="shared" si="16"/>
        <v>720</v>
      </c>
      <c r="M72" s="182">
        <f t="shared" si="17"/>
        <v>461.39717999999999</v>
      </c>
      <c r="N72" s="182">
        <f t="shared" si="18"/>
        <v>113.275324</v>
      </c>
      <c r="O72" s="81">
        <f t="shared" si="19"/>
        <v>1295.3</v>
      </c>
      <c r="P72" s="82">
        <f t="shared" si="13"/>
        <v>1334.3</v>
      </c>
      <c r="Q72" s="47">
        <f t="shared" si="20"/>
        <v>0.3</v>
      </c>
    </row>
    <row r="73" spans="1:17" ht="17.100000000000001" customHeight="1" x14ac:dyDescent="0.25">
      <c r="A73" s="66"/>
      <c r="B73" s="87" t="s">
        <v>160</v>
      </c>
      <c r="C73" s="66">
        <v>31</v>
      </c>
      <c r="D73" s="88" t="s">
        <v>68</v>
      </c>
      <c r="E73" s="88"/>
      <c r="F73" s="89">
        <v>2.0000000000000001E-4</v>
      </c>
      <c r="G73" s="77">
        <v>1064.6844000000001</v>
      </c>
      <c r="H73" s="140"/>
      <c r="I73" s="78">
        <f t="shared" si="12"/>
        <v>1064.6844000000001</v>
      </c>
      <c r="J73" s="78">
        <f t="shared" si="14"/>
        <v>31.940532000000001</v>
      </c>
      <c r="K73" s="80">
        <f t="shared" si="15"/>
        <v>0</v>
      </c>
      <c r="L73" s="80">
        <f t="shared" si="16"/>
        <v>720</v>
      </c>
      <c r="M73" s="182">
        <f t="shared" si="17"/>
        <v>461.39717999999999</v>
      </c>
      <c r="N73" s="182">
        <f t="shared" si="18"/>
        <v>113.275324</v>
      </c>
      <c r="O73" s="81">
        <f t="shared" si="19"/>
        <v>2391.31</v>
      </c>
      <c r="P73" s="82">
        <f t="shared" si="13"/>
        <v>2463.31</v>
      </c>
      <c r="Q73" s="47">
        <f t="shared" si="20"/>
        <v>0.31</v>
      </c>
    </row>
    <row r="74" spans="1:17" ht="17.100000000000001" customHeight="1" x14ac:dyDescent="0.25">
      <c r="A74" s="66"/>
      <c r="B74" s="87" t="s">
        <v>161</v>
      </c>
      <c r="C74" s="66">
        <v>32</v>
      </c>
      <c r="D74" s="88" t="s">
        <v>162</v>
      </c>
      <c r="E74" s="88"/>
      <c r="F74" s="89">
        <v>1.5800000000000002E-2</v>
      </c>
      <c r="G74" s="77">
        <v>1900511.6676</v>
      </c>
      <c r="H74" s="140"/>
      <c r="I74" s="78">
        <f t="shared" si="12"/>
        <v>1900511.6676</v>
      </c>
      <c r="J74" s="78">
        <f t="shared" si="14"/>
        <v>57015.350028000001</v>
      </c>
      <c r="K74" s="80">
        <f t="shared" si="15"/>
        <v>0</v>
      </c>
      <c r="L74" s="80">
        <f t="shared" si="16"/>
        <v>56880.000000000007</v>
      </c>
      <c r="M74" s="182">
        <f t="shared" si="17"/>
        <v>36450.377220000002</v>
      </c>
      <c r="N74" s="182">
        <f t="shared" si="18"/>
        <v>8948.7505960000017</v>
      </c>
      <c r="O74" s="81">
        <f t="shared" si="19"/>
        <v>2059806.32</v>
      </c>
      <c r="P74" s="82">
        <f t="shared" si="13"/>
        <v>2121600.3200000003</v>
      </c>
      <c r="Q74" s="47">
        <f t="shared" si="20"/>
        <v>0.32</v>
      </c>
    </row>
    <row r="75" spans="1:17" ht="17.100000000000001" customHeight="1" x14ac:dyDescent="0.25">
      <c r="A75" s="66"/>
      <c r="B75" s="87" t="s">
        <v>163</v>
      </c>
      <c r="C75" s="66">
        <v>1</v>
      </c>
      <c r="D75" s="88" t="s">
        <v>117</v>
      </c>
      <c r="E75" s="88"/>
      <c r="F75" s="89">
        <v>6.1000000000000004E-3</v>
      </c>
      <c r="G75" s="77">
        <v>137437.99419999999</v>
      </c>
      <c r="H75" s="140"/>
      <c r="I75" s="78">
        <f t="shared" si="12"/>
        <v>137437.99419999999</v>
      </c>
      <c r="J75" s="78">
        <f t="shared" si="14"/>
        <v>4123.1398259999996</v>
      </c>
      <c r="K75" s="80">
        <f t="shared" si="15"/>
        <v>0</v>
      </c>
      <c r="L75" s="80">
        <f t="shared" si="16"/>
        <v>21960</v>
      </c>
      <c r="M75" s="182">
        <f t="shared" si="17"/>
        <v>14072.61399</v>
      </c>
      <c r="N75" s="182">
        <f t="shared" si="18"/>
        <v>3454.8973820000001</v>
      </c>
      <c r="O75" s="81">
        <f t="shared" si="19"/>
        <v>181049.01</v>
      </c>
      <c r="P75" s="82">
        <f t="shared" si="13"/>
        <v>186480.01</v>
      </c>
      <c r="Q75" s="47">
        <f t="shared" si="20"/>
        <v>0.01</v>
      </c>
    </row>
    <row r="76" spans="1:17" ht="17.100000000000001" customHeight="1" x14ac:dyDescent="0.25">
      <c r="A76" s="66"/>
      <c r="B76" s="87" t="s">
        <v>164</v>
      </c>
      <c r="C76" s="66">
        <v>2</v>
      </c>
      <c r="D76" s="88" t="s">
        <v>226</v>
      </c>
      <c r="E76" s="88"/>
      <c r="F76" s="89">
        <v>6.4000000000000003E-3</v>
      </c>
      <c r="G76" s="77">
        <v>34069.900800000003</v>
      </c>
      <c r="H76" s="140">
        <f>G76</f>
        <v>34069.900800000003</v>
      </c>
      <c r="I76" s="78">
        <f t="shared" si="12"/>
        <v>0</v>
      </c>
      <c r="J76" s="78">
        <f t="shared" si="14"/>
        <v>0</v>
      </c>
      <c r="K76" s="80">
        <f t="shared" si="15"/>
        <v>0</v>
      </c>
      <c r="L76" s="80">
        <f t="shared" si="16"/>
        <v>23040</v>
      </c>
      <c r="M76" s="182">
        <f t="shared" si="17"/>
        <v>14764.70976</v>
      </c>
      <c r="N76" s="182">
        <f t="shared" si="18"/>
        <v>3624.8103679999999</v>
      </c>
      <c r="O76" s="81">
        <f t="shared" si="19"/>
        <v>41430.019999999997</v>
      </c>
      <c r="P76" s="82">
        <f t="shared" si="13"/>
        <v>42673.02</v>
      </c>
      <c r="Q76" s="47">
        <f t="shared" si="20"/>
        <v>0.02</v>
      </c>
    </row>
    <row r="77" spans="1:17" ht="17.100000000000001" customHeight="1" x14ac:dyDescent="0.25">
      <c r="A77" s="66"/>
      <c r="B77" s="87" t="s">
        <v>165</v>
      </c>
      <c r="C77" s="66">
        <v>3</v>
      </c>
      <c r="D77" s="88" t="s">
        <v>166</v>
      </c>
      <c r="E77" s="88"/>
      <c r="F77" s="89">
        <v>5.7000000000000002E-3</v>
      </c>
      <c r="G77" s="77">
        <v>30343.505400000002</v>
      </c>
      <c r="H77" s="140">
        <f>G77</f>
        <v>30343.505400000002</v>
      </c>
      <c r="I77" s="78">
        <f t="shared" si="12"/>
        <v>0</v>
      </c>
      <c r="J77" s="78">
        <f t="shared" si="14"/>
        <v>0</v>
      </c>
      <c r="K77" s="80">
        <f t="shared" si="15"/>
        <v>0</v>
      </c>
      <c r="L77" s="80">
        <f t="shared" si="16"/>
        <v>20520</v>
      </c>
      <c r="M77" s="182">
        <f t="shared" si="17"/>
        <v>13149.81963</v>
      </c>
      <c r="N77" s="182">
        <f t="shared" si="18"/>
        <v>3228.3467340000002</v>
      </c>
      <c r="O77" s="81">
        <f t="shared" si="19"/>
        <v>36898.03</v>
      </c>
      <c r="P77" s="82">
        <f t="shared" si="13"/>
        <v>38005.03</v>
      </c>
      <c r="Q77" s="47">
        <f t="shared" si="20"/>
        <v>0.03</v>
      </c>
    </row>
    <row r="78" spans="1:17" ht="17.100000000000001" customHeight="1" x14ac:dyDescent="0.25">
      <c r="A78" s="66"/>
      <c r="B78" s="87" t="s">
        <v>167</v>
      </c>
      <c r="C78" s="66">
        <v>4</v>
      </c>
      <c r="D78" s="88" t="s">
        <v>64</v>
      </c>
      <c r="E78" s="88"/>
      <c r="F78" s="89">
        <v>5.3E-3</v>
      </c>
      <c r="G78" s="77">
        <v>28214.136600000002</v>
      </c>
      <c r="H78" s="140">
        <f>G78</f>
        <v>28214.136600000002</v>
      </c>
      <c r="I78" s="78">
        <f t="shared" si="12"/>
        <v>0</v>
      </c>
      <c r="J78" s="78">
        <f t="shared" si="14"/>
        <v>0</v>
      </c>
      <c r="K78" s="80">
        <f t="shared" si="15"/>
        <v>0</v>
      </c>
      <c r="L78" s="80">
        <f t="shared" si="16"/>
        <v>19080</v>
      </c>
      <c r="M78" s="182">
        <f t="shared" si="17"/>
        <v>12227.02527</v>
      </c>
      <c r="N78" s="182">
        <f t="shared" si="18"/>
        <v>3001.7960859999998</v>
      </c>
      <c r="O78" s="81">
        <f t="shared" si="19"/>
        <v>34309.040000000001</v>
      </c>
      <c r="P78" s="82">
        <f t="shared" si="13"/>
        <v>35338.04</v>
      </c>
      <c r="Q78" s="47">
        <f t="shared" si="20"/>
        <v>0.04</v>
      </c>
    </row>
    <row r="79" spans="1:17" ht="17.100000000000001" customHeight="1" x14ac:dyDescent="0.25">
      <c r="A79" s="66"/>
      <c r="B79" s="87" t="s">
        <v>168</v>
      </c>
      <c r="C79" s="66">
        <v>5</v>
      </c>
      <c r="D79" s="88" t="s">
        <v>61</v>
      </c>
      <c r="E79" s="88"/>
      <c r="F79" s="89">
        <v>5.3E-3</v>
      </c>
      <c r="G79" s="77">
        <v>28214.136600000002</v>
      </c>
      <c r="H79" s="140"/>
      <c r="I79" s="78">
        <f t="shared" si="12"/>
        <v>28214.136600000002</v>
      </c>
      <c r="J79" s="78">
        <f t="shared" si="14"/>
        <v>846.42409800000007</v>
      </c>
      <c r="K79" s="80">
        <f t="shared" si="15"/>
        <v>0</v>
      </c>
      <c r="L79" s="80">
        <f t="shared" si="16"/>
        <v>19080</v>
      </c>
      <c r="M79" s="182">
        <f t="shared" si="17"/>
        <v>12227.02527</v>
      </c>
      <c r="N79" s="182">
        <f t="shared" si="18"/>
        <v>3001.7960859999998</v>
      </c>
      <c r="O79" s="81">
        <f t="shared" si="19"/>
        <v>63369.05</v>
      </c>
      <c r="P79" s="82">
        <f t="shared" si="13"/>
        <v>65270.05</v>
      </c>
      <c r="Q79" s="47">
        <f t="shared" si="20"/>
        <v>0.05</v>
      </c>
    </row>
    <row r="80" spans="1:17" ht="17.100000000000001" customHeight="1" x14ac:dyDescent="0.25">
      <c r="A80" s="66"/>
      <c r="B80" s="87" t="s">
        <v>169</v>
      </c>
      <c r="C80" s="66">
        <v>6</v>
      </c>
      <c r="D80" s="88" t="s">
        <v>170</v>
      </c>
      <c r="E80" s="88"/>
      <c r="F80" s="89">
        <v>5.3E-3</v>
      </c>
      <c r="G80" s="77">
        <v>28214.136600000002</v>
      </c>
      <c r="H80" s="140"/>
      <c r="I80" s="78">
        <f t="shared" si="12"/>
        <v>28214.136600000002</v>
      </c>
      <c r="J80" s="78">
        <f t="shared" si="14"/>
        <v>846.42409800000007</v>
      </c>
      <c r="K80" s="80">
        <f t="shared" si="15"/>
        <v>0</v>
      </c>
      <c r="L80" s="80">
        <f t="shared" si="16"/>
        <v>19080</v>
      </c>
      <c r="M80" s="182">
        <f t="shared" si="17"/>
        <v>12227.02527</v>
      </c>
      <c r="N80" s="182">
        <f t="shared" si="18"/>
        <v>3001.7960859999998</v>
      </c>
      <c r="O80" s="81">
        <f t="shared" si="19"/>
        <v>63369.06</v>
      </c>
      <c r="P80" s="82">
        <f t="shared" si="13"/>
        <v>65270.06</v>
      </c>
      <c r="Q80" s="47">
        <f t="shared" si="20"/>
        <v>0.06</v>
      </c>
    </row>
    <row r="81" spans="1:17" ht="17.100000000000001" customHeight="1" x14ac:dyDescent="0.25">
      <c r="A81" s="66">
        <v>12</v>
      </c>
      <c r="B81" s="87" t="s">
        <v>171</v>
      </c>
      <c r="C81" s="66">
        <v>7</v>
      </c>
      <c r="D81" s="88" t="s">
        <v>104</v>
      </c>
      <c r="E81" s="88"/>
      <c r="F81" s="89">
        <v>5.3E-3</v>
      </c>
      <c r="G81" s="77">
        <v>28214.136600000002</v>
      </c>
      <c r="H81" s="140"/>
      <c r="I81" s="78">
        <f t="shared" si="12"/>
        <v>28214.136600000002</v>
      </c>
      <c r="J81" s="78">
        <f t="shared" si="14"/>
        <v>846.42409800000007</v>
      </c>
      <c r="K81" s="80">
        <f t="shared" si="15"/>
        <v>0</v>
      </c>
      <c r="L81" s="80">
        <f t="shared" si="16"/>
        <v>19080</v>
      </c>
      <c r="M81" s="182">
        <f t="shared" si="17"/>
        <v>12227.02527</v>
      </c>
      <c r="N81" s="182">
        <f t="shared" si="18"/>
        <v>3001.7960859999998</v>
      </c>
      <c r="O81" s="81">
        <f t="shared" si="19"/>
        <v>63369.07</v>
      </c>
      <c r="P81" s="82">
        <f t="shared" si="13"/>
        <v>65270.07</v>
      </c>
      <c r="Q81" s="47">
        <f t="shared" si="20"/>
        <v>7.0000000000000007E-2</v>
      </c>
    </row>
    <row r="82" spans="1:17" ht="17.100000000000001" customHeight="1" x14ac:dyDescent="0.25">
      <c r="A82" s="66">
        <v>12</v>
      </c>
      <c r="B82" s="86" t="s">
        <v>172</v>
      </c>
      <c r="C82" s="66">
        <v>8</v>
      </c>
      <c r="D82" s="66" t="s">
        <v>117</v>
      </c>
      <c r="E82" s="90"/>
      <c r="F82" s="89">
        <v>5.3E-3</v>
      </c>
      <c r="G82" s="77">
        <v>28214.136600000002</v>
      </c>
      <c r="H82" s="140"/>
      <c r="I82" s="78">
        <f t="shared" si="12"/>
        <v>28214.136600000002</v>
      </c>
      <c r="J82" s="78">
        <f t="shared" si="14"/>
        <v>846.42409800000007</v>
      </c>
      <c r="K82" s="80">
        <f t="shared" si="15"/>
        <v>0</v>
      </c>
      <c r="L82" s="80">
        <f t="shared" si="16"/>
        <v>19080</v>
      </c>
      <c r="M82" s="182">
        <f t="shared" si="17"/>
        <v>12227.02527</v>
      </c>
      <c r="N82" s="182">
        <f t="shared" si="18"/>
        <v>3001.7960859999998</v>
      </c>
      <c r="O82" s="81">
        <f t="shared" si="19"/>
        <v>63369.08</v>
      </c>
      <c r="P82" s="82">
        <f t="shared" si="13"/>
        <v>65270.080000000002</v>
      </c>
      <c r="Q82" s="47">
        <f t="shared" si="20"/>
        <v>0.08</v>
      </c>
    </row>
    <row r="83" spans="1:17" ht="16.5" customHeight="1" x14ac:dyDescent="0.25">
      <c r="A83" s="66">
        <v>12</v>
      </c>
      <c r="B83" s="86" t="s">
        <v>173</v>
      </c>
      <c r="C83" s="66">
        <v>9</v>
      </c>
      <c r="D83" s="66" t="s">
        <v>117</v>
      </c>
      <c r="E83" s="90"/>
      <c r="F83" s="89">
        <v>5.3E-3</v>
      </c>
      <c r="G83" s="77">
        <v>28214.136600000002</v>
      </c>
      <c r="H83" s="140">
        <f>G83</f>
        <v>28214.136600000002</v>
      </c>
      <c r="I83" s="78">
        <f t="shared" si="12"/>
        <v>0</v>
      </c>
      <c r="J83" s="78">
        <f t="shared" si="14"/>
        <v>0</v>
      </c>
      <c r="K83" s="80">
        <f t="shared" si="15"/>
        <v>0</v>
      </c>
      <c r="L83" s="80">
        <f t="shared" si="16"/>
        <v>19080</v>
      </c>
      <c r="M83" s="182">
        <f t="shared" si="17"/>
        <v>12227.02527</v>
      </c>
      <c r="N83" s="182">
        <f t="shared" si="18"/>
        <v>3001.7960859999998</v>
      </c>
      <c r="O83" s="81">
        <f t="shared" si="19"/>
        <v>34309.089999999997</v>
      </c>
      <c r="P83" s="82">
        <f t="shared" si="13"/>
        <v>35338.089999999997</v>
      </c>
      <c r="Q83" s="47">
        <f t="shared" si="20"/>
        <v>0.09</v>
      </c>
    </row>
    <row r="84" spans="1:17" x14ac:dyDescent="0.25">
      <c r="A84" s="66"/>
      <c r="B84" s="86" t="s">
        <v>174</v>
      </c>
      <c r="C84" s="86">
        <v>10</v>
      </c>
      <c r="D84" s="66" t="s">
        <v>117</v>
      </c>
      <c r="E84" s="67"/>
      <c r="F84" s="76">
        <v>5.3E-3</v>
      </c>
      <c r="G84" s="77">
        <v>116341.6566</v>
      </c>
      <c r="H84" s="140"/>
      <c r="I84" s="78">
        <f t="shared" si="12"/>
        <v>116341.6566</v>
      </c>
      <c r="J84" s="78">
        <f t="shared" si="14"/>
        <v>3490.2496980000001</v>
      </c>
      <c r="K84" s="80">
        <f t="shared" si="15"/>
        <v>0</v>
      </c>
      <c r="L84" s="80">
        <f t="shared" si="16"/>
        <v>19080</v>
      </c>
      <c r="M84" s="182">
        <f t="shared" si="17"/>
        <v>12227.02527</v>
      </c>
      <c r="N84" s="182">
        <f t="shared" si="18"/>
        <v>3001.7960859999998</v>
      </c>
      <c r="O84" s="81">
        <f t="shared" si="19"/>
        <v>154141.1</v>
      </c>
      <c r="P84" s="82">
        <f t="shared" si="13"/>
        <v>158765.1</v>
      </c>
      <c r="Q84" s="47">
        <f t="shared" si="20"/>
        <v>0.1</v>
      </c>
    </row>
    <row r="85" spans="1:17" x14ac:dyDescent="0.25">
      <c r="A85" s="66"/>
      <c r="B85" s="86" t="s">
        <v>175</v>
      </c>
      <c r="C85" s="86">
        <v>11</v>
      </c>
      <c r="D85" s="66" t="s">
        <v>117</v>
      </c>
      <c r="E85" s="67"/>
      <c r="F85" s="76">
        <v>5.3E-3</v>
      </c>
      <c r="G85" s="77">
        <v>77961.496599999999</v>
      </c>
      <c r="H85" s="140"/>
      <c r="I85" s="78">
        <f t="shared" si="12"/>
        <v>77961.496599999999</v>
      </c>
      <c r="J85" s="78">
        <f t="shared" si="14"/>
        <v>2338.8448979999998</v>
      </c>
      <c r="K85" s="80">
        <f t="shared" si="15"/>
        <v>0</v>
      </c>
      <c r="L85" s="80">
        <f t="shared" si="16"/>
        <v>19080</v>
      </c>
      <c r="M85" s="182">
        <f t="shared" si="17"/>
        <v>12227.02527</v>
      </c>
      <c r="N85" s="182">
        <f t="shared" si="18"/>
        <v>3001.7960859999998</v>
      </c>
      <c r="O85" s="81">
        <f t="shared" si="19"/>
        <v>114609.11</v>
      </c>
      <c r="P85" s="82">
        <f t="shared" si="13"/>
        <v>118047.11</v>
      </c>
      <c r="Q85" s="47">
        <f t="shared" si="20"/>
        <v>0.11</v>
      </c>
    </row>
    <row r="86" spans="1:17" x14ac:dyDescent="0.25">
      <c r="A86" s="66"/>
      <c r="B86" s="86" t="s">
        <v>176</v>
      </c>
      <c r="C86" s="86">
        <v>12</v>
      </c>
      <c r="D86" s="68" t="s">
        <v>81</v>
      </c>
      <c r="E86" s="66" t="s">
        <v>246</v>
      </c>
      <c r="F86" s="76">
        <v>5.3E-3</v>
      </c>
      <c r="G86" s="77">
        <v>28214.136600000002</v>
      </c>
      <c r="H86" s="140">
        <f>G86</f>
        <v>28214.136600000002</v>
      </c>
      <c r="I86" s="78">
        <f t="shared" si="12"/>
        <v>0</v>
      </c>
      <c r="J86" s="78">
        <f t="shared" si="14"/>
        <v>0</v>
      </c>
      <c r="K86" s="80">
        <f t="shared" si="15"/>
        <v>0</v>
      </c>
      <c r="L86" s="80">
        <f t="shared" si="16"/>
        <v>19080</v>
      </c>
      <c r="M86" s="182">
        <f t="shared" si="17"/>
        <v>12227.02527</v>
      </c>
      <c r="N86" s="182">
        <f t="shared" si="18"/>
        <v>3001.7960859999998</v>
      </c>
      <c r="O86" s="81">
        <f t="shared" si="19"/>
        <v>34309.120000000003</v>
      </c>
      <c r="P86" s="82">
        <f t="shared" si="13"/>
        <v>35338.120000000003</v>
      </c>
      <c r="Q86" s="47">
        <f t="shared" si="20"/>
        <v>0.12</v>
      </c>
    </row>
    <row r="87" spans="1:17" x14ac:dyDescent="0.25">
      <c r="A87" s="66"/>
      <c r="B87" s="66" t="s">
        <v>177</v>
      </c>
      <c r="C87" s="66">
        <v>13</v>
      </c>
      <c r="D87" s="68" t="s">
        <v>98</v>
      </c>
      <c r="E87" s="67"/>
      <c r="F87" s="76">
        <v>5.3E-3</v>
      </c>
      <c r="G87" s="77">
        <v>28214.136600000002</v>
      </c>
      <c r="H87" s="140">
        <f>G87</f>
        <v>28214.136600000002</v>
      </c>
      <c r="I87" s="78">
        <f t="shared" si="12"/>
        <v>0</v>
      </c>
      <c r="J87" s="78">
        <f t="shared" si="14"/>
        <v>0</v>
      </c>
      <c r="K87" s="80">
        <f t="shared" si="15"/>
        <v>0</v>
      </c>
      <c r="L87" s="80">
        <f t="shared" si="16"/>
        <v>19080</v>
      </c>
      <c r="M87" s="182">
        <f t="shared" si="17"/>
        <v>12227.02527</v>
      </c>
      <c r="N87" s="182">
        <f t="shared" si="18"/>
        <v>3001.7960859999998</v>
      </c>
      <c r="O87" s="81">
        <f t="shared" si="19"/>
        <v>34309.129999999997</v>
      </c>
      <c r="P87" s="82">
        <f t="shared" si="13"/>
        <v>35338.129999999997</v>
      </c>
      <c r="Q87" s="47">
        <f t="shared" si="20"/>
        <v>0.13</v>
      </c>
    </row>
    <row r="88" spans="1:17" x14ac:dyDescent="0.25">
      <c r="A88" s="66"/>
      <c r="B88" s="66" t="s">
        <v>178</v>
      </c>
      <c r="C88" s="66">
        <v>14</v>
      </c>
      <c r="D88" s="68" t="s">
        <v>88</v>
      </c>
      <c r="E88" s="67"/>
      <c r="F88" s="76">
        <v>5.3E-3</v>
      </c>
      <c r="G88" s="77">
        <v>47721.416599999997</v>
      </c>
      <c r="H88" s="140"/>
      <c r="I88" s="78">
        <f t="shared" si="12"/>
        <v>47721.416599999997</v>
      </c>
      <c r="J88" s="78">
        <f t="shared" si="14"/>
        <v>1431.6424979999999</v>
      </c>
      <c r="K88" s="80">
        <f t="shared" si="15"/>
        <v>0</v>
      </c>
      <c r="L88" s="80">
        <f t="shared" si="16"/>
        <v>19080</v>
      </c>
      <c r="M88" s="182">
        <f t="shared" si="17"/>
        <v>12227.02527</v>
      </c>
      <c r="N88" s="182">
        <f t="shared" si="18"/>
        <v>3001.7960859999998</v>
      </c>
      <c r="O88" s="81">
        <f t="shared" si="19"/>
        <v>83462.14</v>
      </c>
      <c r="P88" s="82">
        <f t="shared" si="13"/>
        <v>85966.14</v>
      </c>
      <c r="Q88" s="47">
        <f t="shared" si="20"/>
        <v>0.14000000000000001</v>
      </c>
    </row>
    <row r="89" spans="1:17" ht="23.25" x14ac:dyDescent="0.25">
      <c r="A89" s="66"/>
      <c r="B89" s="66" t="s">
        <v>179</v>
      </c>
      <c r="C89" s="66">
        <v>15</v>
      </c>
      <c r="D89" s="68" t="s">
        <v>76</v>
      </c>
      <c r="E89" s="67" t="str">
        <f>E20</f>
        <v>Armando Ezequiel Garro</v>
      </c>
      <c r="F89" s="76">
        <v>5.3E-3</v>
      </c>
      <c r="G89" s="77">
        <v>28214.136600000002</v>
      </c>
      <c r="H89" s="140">
        <f>G89</f>
        <v>28214.136600000002</v>
      </c>
      <c r="I89" s="78">
        <f t="shared" si="12"/>
        <v>0</v>
      </c>
      <c r="J89" s="78">
        <f t="shared" si="14"/>
        <v>0</v>
      </c>
      <c r="K89" s="80">
        <f t="shared" si="15"/>
        <v>0</v>
      </c>
      <c r="L89" s="80">
        <f t="shared" si="16"/>
        <v>19080</v>
      </c>
      <c r="M89" s="182">
        <f t="shared" si="17"/>
        <v>12227.02527</v>
      </c>
      <c r="N89" s="182">
        <f t="shared" si="18"/>
        <v>3001.7960859999998</v>
      </c>
      <c r="O89" s="81">
        <f t="shared" si="19"/>
        <v>34309.15</v>
      </c>
      <c r="P89" s="82">
        <f t="shared" si="13"/>
        <v>35338.15</v>
      </c>
      <c r="Q89" s="47">
        <f t="shared" si="20"/>
        <v>0.15</v>
      </c>
    </row>
    <row r="90" spans="1:17" x14ac:dyDescent="0.25">
      <c r="A90" s="65"/>
      <c r="B90" s="65" t="s">
        <v>180</v>
      </c>
      <c r="C90" s="66">
        <v>16</v>
      </c>
      <c r="D90" s="66" t="s">
        <v>96</v>
      </c>
      <c r="E90" s="67" t="s">
        <v>220</v>
      </c>
      <c r="F90" s="76">
        <v>6.1999999999999998E-3</v>
      </c>
      <c r="G90" s="77">
        <v>55824.896400000005</v>
      </c>
      <c r="H90" s="140">
        <f>G90</f>
        <v>55824.896400000005</v>
      </c>
      <c r="I90" s="78">
        <f t="shared" si="12"/>
        <v>0</v>
      </c>
      <c r="J90" s="78">
        <f t="shared" si="14"/>
        <v>0</v>
      </c>
      <c r="K90" s="80">
        <f t="shared" si="15"/>
        <v>0</v>
      </c>
      <c r="L90" s="80">
        <f t="shared" si="16"/>
        <v>22320</v>
      </c>
      <c r="M90" s="182">
        <f t="shared" si="17"/>
        <v>14303.31258</v>
      </c>
      <c r="N90" s="182">
        <f t="shared" si="18"/>
        <v>3511.5350439999997</v>
      </c>
      <c r="O90" s="81">
        <f t="shared" si="19"/>
        <v>40135.160000000003</v>
      </c>
      <c r="P90" s="82">
        <f t="shared" si="13"/>
        <v>41339.160000000003</v>
      </c>
      <c r="Q90" s="47">
        <f t="shared" si="20"/>
        <v>0.16</v>
      </c>
    </row>
    <row r="91" spans="1:17" ht="17.100000000000001" customHeight="1" x14ac:dyDescent="0.25">
      <c r="A91" s="66"/>
      <c r="B91" s="66"/>
      <c r="C91" s="66"/>
      <c r="D91" s="66"/>
      <c r="E91" s="66"/>
      <c r="F91" s="76"/>
      <c r="G91" s="77"/>
      <c r="I91" s="78"/>
      <c r="J91" s="78"/>
      <c r="K91" s="79"/>
      <c r="L91" s="80"/>
      <c r="M91" s="80"/>
      <c r="N91" s="80"/>
      <c r="O91" s="77"/>
      <c r="P91" s="77"/>
      <c r="Q91" s="47"/>
    </row>
    <row r="92" spans="1:17" ht="17.100000000000001" customHeight="1" thickBot="1" x14ac:dyDescent="0.3">
      <c r="A92" s="91"/>
      <c r="B92" s="139"/>
      <c r="C92" s="92"/>
      <c r="D92" s="149"/>
      <c r="E92" s="149"/>
      <c r="F92" s="152">
        <f>SUM(F5:F91)</f>
        <v>0.99999999999999956</v>
      </c>
      <c r="G92" s="93">
        <f>SUM(G5:G91)</f>
        <v>9032977.400000006</v>
      </c>
      <c r="H92" s="150">
        <f>SUM(H5:H91)</f>
        <v>4833106.7346167974</v>
      </c>
      <c r="I92" s="150">
        <f>SUM(I5:I91)</f>
        <v>4199870.6653831992</v>
      </c>
      <c r="J92" s="150">
        <f t="shared" ref="J92:O92" si="21">SUM(J5:J91)</f>
        <v>126956.70098466637</v>
      </c>
      <c r="K92" s="150">
        <f t="shared" si="21"/>
        <v>0</v>
      </c>
      <c r="L92" s="151">
        <f t="shared" si="21"/>
        <v>3600000</v>
      </c>
      <c r="M92" s="151">
        <f>SUM(M5:M90)</f>
        <v>2306985.9</v>
      </c>
      <c r="N92" s="151">
        <f>SUM(N5:N90)</f>
        <v>566376.62000000023</v>
      </c>
      <c r="O92" s="93">
        <f t="shared" si="21"/>
        <v>10800228.699999999</v>
      </c>
      <c r="P92" s="93">
        <f>SUM(P5:P91)</f>
        <v>11124232.699999999</v>
      </c>
    </row>
    <row r="93" spans="1:17" x14ac:dyDescent="0.25">
      <c r="D93" s="53"/>
      <c r="E93" s="53"/>
    </row>
    <row r="95" spans="1:17" ht="9" customHeight="1" x14ac:dyDescent="0.25">
      <c r="D95" s="161" t="str">
        <f>RESUMEN!A13</f>
        <v>ESTIMADOS PROPIETARIOS E INQUILINOS: POR FAVOR LOS QUE ABONAN EN PRIMER VENCIMIENTO ABONEN EL MONTO DE PRIMER VENCIMIENTO, ASI AGILIZAN LA LIQUIDACION, LES PEDIMOS ENCARECIDAMENTE QUE RESPETEN LOS CENTAVOS CORRESPONDIENTES A LA UNIDAD FUNCIONAL. ES DE CARÁCTER OBLIGATORIO INFORMAR VIA MAIL LAS EXPENSAS.</v>
      </c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</row>
    <row r="96" spans="1:17" ht="12" hidden="1" customHeight="1" x14ac:dyDescent="0.25"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</row>
    <row r="97" spans="4:15" ht="12" hidden="1" customHeight="1" x14ac:dyDescent="0.25"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</row>
    <row r="98" spans="4:15" ht="12" hidden="1" customHeight="1" x14ac:dyDescent="0.25"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</row>
    <row r="99" spans="4:15" ht="12" hidden="1" customHeight="1" x14ac:dyDescent="0.25"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</row>
    <row r="100" spans="4:15" ht="60.75" customHeight="1" x14ac:dyDescent="0.25"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</row>
  </sheetData>
  <mergeCells count="18">
    <mergeCell ref="P3:P4"/>
    <mergeCell ref="D95:O100"/>
    <mergeCell ref="E3:E4"/>
    <mergeCell ref="A3:A4"/>
    <mergeCell ref="C3:C4"/>
    <mergeCell ref="D3:D4"/>
    <mergeCell ref="F3:F4"/>
    <mergeCell ref="M3:M4"/>
    <mergeCell ref="N3:N4"/>
    <mergeCell ref="J3:J4"/>
    <mergeCell ref="G3:G4"/>
    <mergeCell ref="H3:H4"/>
    <mergeCell ref="I3:I4"/>
    <mergeCell ref="K3:K4"/>
    <mergeCell ref="L3:L4"/>
    <mergeCell ref="F1:G1"/>
    <mergeCell ref="F2:G2"/>
    <mergeCell ref="M1:N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2025-04-04T15:42:22Z</cp:lastPrinted>
  <dcterms:created xsi:type="dcterms:W3CDTF">2023-09-17T12:29:07Z</dcterms:created>
  <dcterms:modified xsi:type="dcterms:W3CDTF">2025-04-04T15:51:10Z</dcterms:modified>
</cp:coreProperties>
</file>