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VERGARA\Mayo\"/>
    </mc:Choice>
  </mc:AlternateContent>
  <xr:revisionPtr revIDLastSave="0" documentId="13_ncr:1_{0ECFB1E8-F112-49D4-8D6C-F4F5F6E05441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PRORRATEO!$A$1:$Q$101</definedName>
    <definedName name="_xlnm.Print_Area" localSheetId="0">RESUMEN!$A$1:$E$108</definedName>
  </definedNames>
  <calcPr calcId="181029"/>
</workbook>
</file>

<file path=xl/calcChain.xml><?xml version="1.0" encoding="utf-8"?>
<calcChain xmlns="http://schemas.openxmlformats.org/spreadsheetml/2006/main">
  <c r="H20" i="2" l="1"/>
  <c r="P57" i="2"/>
  <c r="P58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5" i="2"/>
  <c r="O92" i="2" s="1"/>
  <c r="L5" i="2"/>
  <c r="K3" i="2"/>
  <c r="E30" i="1"/>
  <c r="E34" i="1"/>
  <c r="E40" i="1"/>
  <c r="E47" i="1"/>
  <c r="E57" i="1"/>
  <c r="H36" i="2"/>
  <c r="B87" i="1"/>
  <c r="H30" i="2"/>
  <c r="H64" i="2"/>
  <c r="H8" i="2" s="1"/>
  <c r="H27" i="2"/>
  <c r="E83" i="2"/>
  <c r="H45" i="2"/>
  <c r="H51" i="2"/>
  <c r="H24" i="2"/>
  <c r="H79" i="2"/>
  <c r="H10" i="2" s="1"/>
  <c r="H6" i="2"/>
  <c r="E40" i="2"/>
  <c r="H23" i="2"/>
  <c r="H52" i="2"/>
  <c r="H50" i="2"/>
  <c r="H63" i="2"/>
  <c r="H9" i="2" s="1"/>
  <c r="B97" i="1"/>
  <c r="B107" i="1" l="1"/>
  <c r="B86" i="1" s="1"/>
  <c r="M1" i="2"/>
  <c r="L8" i="2" s="1"/>
  <c r="B96" i="1"/>
  <c r="H83" i="2"/>
  <c r="H44" i="2" s="1"/>
  <c r="H18" i="2"/>
  <c r="H26" i="2"/>
  <c r="H72" i="2"/>
  <c r="H59" i="2" s="1"/>
  <c r="H29" i="2"/>
  <c r="H86" i="2"/>
  <c r="H34" i="2"/>
  <c r="H56" i="2"/>
  <c r="H48" i="2"/>
  <c r="H13" i="2"/>
  <c r="H42" i="2"/>
  <c r="H87" i="2"/>
  <c r="H33" i="2" s="1"/>
  <c r="H35" i="2"/>
  <c r="H66" i="2"/>
  <c r="H17" i="2"/>
  <c r="H11" i="2"/>
  <c r="H14" i="2"/>
  <c r="H67" i="2"/>
  <c r="H5" i="2"/>
  <c r="H76" i="2"/>
  <c r="H40" i="2" s="1"/>
  <c r="H46" i="2"/>
  <c r="E89" i="2"/>
  <c r="H89" i="2"/>
  <c r="H21" i="2"/>
  <c r="H78" i="2"/>
  <c r="H12" i="2" s="1"/>
  <c r="H55" i="2"/>
  <c r="H62" i="2"/>
  <c r="H61" i="2" s="1"/>
  <c r="D25" i="1"/>
  <c r="E26" i="1" s="1"/>
  <c r="L83" i="2" l="1"/>
  <c r="L75" i="2"/>
  <c r="L67" i="2"/>
  <c r="L51" i="2"/>
  <c r="L39" i="2"/>
  <c r="L27" i="2"/>
  <c r="L15" i="2"/>
  <c r="L11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L71" i="2"/>
  <c r="L59" i="2"/>
  <c r="L47" i="2"/>
  <c r="L35" i="2"/>
  <c r="L19" i="2"/>
  <c r="L89" i="2"/>
  <c r="L85" i="2"/>
  <c r="L81" i="2"/>
  <c r="L77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87" i="2"/>
  <c r="L79" i="2"/>
  <c r="L63" i="2"/>
  <c r="L55" i="2"/>
  <c r="L43" i="2"/>
  <c r="L31" i="2"/>
  <c r="L23" i="2"/>
  <c r="L7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E39" i="1" l="1"/>
  <c r="E38" i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5" i="2"/>
  <c r="M5" i="2"/>
  <c r="P5" i="2" s="1"/>
  <c r="M6" i="2"/>
  <c r="P6" i="2" s="1"/>
  <c r="M7" i="2"/>
  <c r="P7" i="2" s="1"/>
  <c r="M8" i="2"/>
  <c r="P8" i="2" s="1"/>
  <c r="M9" i="2"/>
  <c r="P9" i="2" s="1"/>
  <c r="M10" i="2"/>
  <c r="P10" i="2" s="1"/>
  <c r="M11" i="2"/>
  <c r="P11" i="2" s="1"/>
  <c r="M12" i="2"/>
  <c r="P12" i="2" s="1"/>
  <c r="M13" i="2"/>
  <c r="P13" i="2" s="1"/>
  <c r="M14" i="2"/>
  <c r="P14" i="2" s="1"/>
  <c r="M15" i="2"/>
  <c r="M16" i="2"/>
  <c r="M17" i="2"/>
  <c r="M18" i="2"/>
  <c r="M19" i="2"/>
  <c r="M20" i="2"/>
  <c r="M21" i="2"/>
  <c r="P21" i="2" s="1"/>
  <c r="M22" i="2"/>
  <c r="P22" i="2" s="1"/>
  <c r="M23" i="2"/>
  <c r="P23" i="2" s="1"/>
  <c r="M24" i="2"/>
  <c r="P24" i="2" s="1"/>
  <c r="M25" i="2"/>
  <c r="P25" i="2" s="1"/>
  <c r="M26" i="2"/>
  <c r="P26" i="2" s="1"/>
  <c r="M27" i="2"/>
  <c r="P27" i="2" s="1"/>
  <c r="M28" i="2"/>
  <c r="P28" i="2" s="1"/>
  <c r="M29" i="2"/>
  <c r="P29" i="2" s="1"/>
  <c r="M30" i="2"/>
  <c r="P30" i="2" s="1"/>
  <c r="M31" i="2"/>
  <c r="M32" i="2"/>
  <c r="M33" i="2"/>
  <c r="M34" i="2"/>
  <c r="M35" i="2"/>
  <c r="M36" i="2"/>
  <c r="P36" i="2" s="1"/>
  <c r="M37" i="2"/>
  <c r="P37" i="2" s="1"/>
  <c r="M38" i="2"/>
  <c r="P38" i="2" s="1"/>
  <c r="M39" i="2"/>
  <c r="P39" i="2" s="1"/>
  <c r="M40" i="2"/>
  <c r="P40" i="2" s="1"/>
  <c r="M41" i="2"/>
  <c r="P41" i="2" s="1"/>
  <c r="M42" i="2"/>
  <c r="P42" i="2" s="1"/>
  <c r="M43" i="2"/>
  <c r="P43" i="2" s="1"/>
  <c r="M44" i="2"/>
  <c r="P44" i="2" s="1"/>
  <c r="M45" i="2"/>
  <c r="P45" i="2" s="1"/>
  <c r="M46" i="2"/>
  <c r="P46" i="2" s="1"/>
  <c r="M47" i="2"/>
  <c r="M48" i="2"/>
  <c r="M49" i="2"/>
  <c r="M50" i="2"/>
  <c r="M51" i="2"/>
  <c r="M52" i="2"/>
  <c r="P52" i="2" s="1"/>
  <c r="M53" i="2"/>
  <c r="P53" i="2" s="1"/>
  <c r="M54" i="2"/>
  <c r="M55" i="2"/>
  <c r="P55" i="2" s="1"/>
  <c r="M56" i="2"/>
  <c r="P56" i="2" s="1"/>
  <c r="M59" i="2"/>
  <c r="P59" i="2" s="1"/>
  <c r="M60" i="2"/>
  <c r="P60" i="2" s="1"/>
  <c r="M61" i="2"/>
  <c r="P61" i="2" s="1"/>
  <c r="M62" i="2"/>
  <c r="P62" i="2" s="1"/>
  <c r="M63" i="2"/>
  <c r="P63" i="2" s="1"/>
  <c r="M64" i="2"/>
  <c r="P64" i="2" s="1"/>
  <c r="M65" i="2"/>
  <c r="M66" i="2"/>
  <c r="M67" i="2"/>
  <c r="M68" i="2"/>
  <c r="M69" i="2"/>
  <c r="M70" i="2"/>
  <c r="P70" i="2" s="1"/>
  <c r="M71" i="2"/>
  <c r="P71" i="2" s="1"/>
  <c r="M72" i="2"/>
  <c r="P72" i="2" s="1"/>
  <c r="M73" i="2"/>
  <c r="P73" i="2" s="1"/>
  <c r="M74" i="2"/>
  <c r="P74" i="2" s="1"/>
  <c r="M75" i="2"/>
  <c r="P75" i="2" s="1"/>
  <c r="M76" i="2"/>
  <c r="P76" i="2" s="1"/>
  <c r="M77" i="2"/>
  <c r="P77" i="2" s="1"/>
  <c r="M78" i="2"/>
  <c r="P78" i="2" s="1"/>
  <c r="M79" i="2"/>
  <c r="P79" i="2" s="1"/>
  <c r="M80" i="2"/>
  <c r="P80" i="2" s="1"/>
  <c r="M81" i="2"/>
  <c r="M82" i="2"/>
  <c r="M83" i="2"/>
  <c r="M84" i="2"/>
  <c r="M85" i="2"/>
  <c r="M86" i="2"/>
  <c r="P86" i="2" s="1"/>
  <c r="M87" i="2"/>
  <c r="P87" i="2" s="1"/>
  <c r="M88" i="2"/>
  <c r="P88" i="2" s="1"/>
  <c r="M89" i="2"/>
  <c r="P89" i="2" s="1"/>
  <c r="M90" i="2"/>
  <c r="P90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5" i="2"/>
  <c r="N92" i="2" l="1"/>
  <c r="P85" i="2"/>
  <c r="P69" i="2"/>
  <c r="P51" i="2"/>
  <c r="P35" i="2"/>
  <c r="P84" i="2"/>
  <c r="P68" i="2"/>
  <c r="P50" i="2"/>
  <c r="P34" i="2"/>
  <c r="P18" i="2"/>
  <c r="P83" i="2"/>
  <c r="P67" i="2"/>
  <c r="P33" i="2"/>
  <c r="P82" i="2"/>
  <c r="P66" i="2"/>
  <c r="P48" i="2"/>
  <c r="P32" i="2"/>
  <c r="P16" i="2"/>
  <c r="P49" i="2"/>
  <c r="P17" i="2"/>
  <c r="P81" i="2"/>
  <c r="P65" i="2"/>
  <c r="P47" i="2"/>
  <c r="P31" i="2"/>
  <c r="P15" i="2"/>
  <c r="M92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5" i="2"/>
  <c r="H65" i="2"/>
  <c r="H28" i="2" s="1"/>
  <c r="I72" i="2"/>
  <c r="I73" i="2"/>
  <c r="I74" i="2"/>
  <c r="I75" i="2"/>
  <c r="I76" i="2"/>
  <c r="I77" i="2"/>
  <c r="I78" i="2"/>
  <c r="I79" i="2"/>
  <c r="I80" i="2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I90" i="2"/>
  <c r="J78" i="2" l="1"/>
  <c r="J76" i="2"/>
  <c r="J79" i="2"/>
  <c r="J90" i="2"/>
  <c r="J72" i="2"/>
  <c r="J77" i="2"/>
  <c r="J75" i="2"/>
  <c r="J74" i="2"/>
  <c r="J89" i="2"/>
  <c r="J73" i="2"/>
  <c r="J88" i="2"/>
  <c r="J80" i="2"/>
  <c r="D95" i="2" l="1"/>
  <c r="I16" i="2" l="1"/>
  <c r="E71" i="1" l="1"/>
  <c r="E76" i="1" s="1"/>
  <c r="B80" i="1" s="1"/>
  <c r="B98" i="1" s="1"/>
  <c r="I46" i="2" l="1"/>
  <c r="I19" i="2" l="1"/>
  <c r="P4" i="2" l="1"/>
  <c r="Q72" i="2" l="1"/>
  <c r="Q73" i="2" l="1"/>
  <c r="H92" i="2"/>
  <c r="B85" i="1" s="1"/>
  <c r="F92" i="2"/>
  <c r="G92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Q74" i="2" l="1"/>
  <c r="J46" i="2"/>
  <c r="J69" i="2"/>
  <c r="J65" i="2"/>
  <c r="J49" i="2"/>
  <c r="J41" i="2"/>
  <c r="J67" i="2"/>
  <c r="J59" i="2"/>
  <c r="J51" i="2"/>
  <c r="J43" i="2"/>
  <c r="J62" i="2"/>
  <c r="J54" i="2"/>
  <c r="P54" i="2" s="1"/>
  <c r="J61" i="2"/>
  <c r="J53" i="2"/>
  <c r="J45" i="2"/>
  <c r="J71" i="2"/>
  <c r="J63" i="2"/>
  <c r="J55" i="2"/>
  <c r="J47" i="2"/>
  <c r="J70" i="2"/>
  <c r="J68" i="2"/>
  <c r="J64" i="2"/>
  <c r="J60" i="2"/>
  <c r="J56" i="2"/>
  <c r="J52" i="2"/>
  <c r="J48" i="2"/>
  <c r="J44" i="2"/>
  <c r="J66" i="2"/>
  <c r="J50" i="2"/>
  <c r="J42" i="2"/>
  <c r="I6" i="2"/>
  <c r="I7" i="2"/>
  <c r="I8" i="2"/>
  <c r="I9" i="2"/>
  <c r="I10" i="2"/>
  <c r="I11" i="2"/>
  <c r="I12" i="2"/>
  <c r="I13" i="2"/>
  <c r="I14" i="2"/>
  <c r="I15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5" i="2"/>
  <c r="Q75" i="2" l="1"/>
  <c r="Q48" i="2"/>
  <c r="Q42" i="2"/>
  <c r="Q44" i="2"/>
  <c r="Q60" i="2"/>
  <c r="Q70" i="2"/>
  <c r="Q71" i="2"/>
  <c r="Q54" i="2"/>
  <c r="Q59" i="2"/>
  <c r="Q65" i="2"/>
  <c r="Q64" i="2"/>
  <c r="Q47" i="2"/>
  <c r="Q45" i="2"/>
  <c r="Q62" i="2"/>
  <c r="Q67" i="2"/>
  <c r="Q41" i="2"/>
  <c r="Q69" i="2"/>
  <c r="Q50" i="2"/>
  <c r="Q52" i="2"/>
  <c r="Q68" i="2"/>
  <c r="Q55" i="2"/>
  <c r="Q53" i="2"/>
  <c r="Q43" i="2"/>
  <c r="Q49" i="2"/>
  <c r="Q46" i="2"/>
  <c r="Q66" i="2"/>
  <c r="Q56" i="2"/>
  <c r="Q63" i="2"/>
  <c r="Q61" i="2"/>
  <c r="Q51" i="2"/>
  <c r="B81" i="1"/>
  <c r="I92" i="2"/>
  <c r="J35" i="2"/>
  <c r="J36" i="2"/>
  <c r="J39" i="2"/>
  <c r="J40" i="2"/>
  <c r="J38" i="2"/>
  <c r="J37" i="2"/>
  <c r="J22" i="2"/>
  <c r="J10" i="2"/>
  <c r="J33" i="2"/>
  <c r="J29" i="2"/>
  <c r="J25" i="2"/>
  <c r="J21" i="2"/>
  <c r="J17" i="2"/>
  <c r="J13" i="2"/>
  <c r="J9" i="2"/>
  <c r="J26" i="2"/>
  <c r="J18" i="2"/>
  <c r="J6" i="2"/>
  <c r="J32" i="2"/>
  <c r="J28" i="2"/>
  <c r="J24" i="2"/>
  <c r="J20" i="2"/>
  <c r="P20" i="2" s="1"/>
  <c r="J16" i="2"/>
  <c r="J12" i="2"/>
  <c r="J8" i="2"/>
  <c r="J34" i="2"/>
  <c r="J14" i="2"/>
  <c r="J31" i="2"/>
  <c r="J27" i="2"/>
  <c r="J23" i="2"/>
  <c r="J19" i="2"/>
  <c r="P19" i="2" s="1"/>
  <c r="J15" i="2"/>
  <c r="J11" i="2"/>
  <c r="Q11" i="2" s="1"/>
  <c r="J7" i="2"/>
  <c r="J30" i="2"/>
  <c r="J5" i="2"/>
  <c r="K92" i="2"/>
  <c r="Q76" i="2" l="1"/>
  <c r="J92" i="2"/>
  <c r="A38" i="1"/>
  <c r="A39" i="1" s="1"/>
  <c r="Q77" i="2" l="1"/>
  <c r="E61" i="1"/>
  <c r="E65" i="1" s="1"/>
  <c r="Q78" i="2" l="1"/>
  <c r="Q79" i="2" l="1"/>
  <c r="Q40" i="2"/>
  <c r="Q38" i="2"/>
  <c r="Q34" i="2"/>
  <c r="Q30" i="2"/>
  <c r="Q26" i="2"/>
  <c r="Q22" i="2"/>
  <c r="Q18" i="2"/>
  <c r="Q14" i="2"/>
  <c r="Q10" i="2"/>
  <c r="Q6" i="2"/>
  <c r="Q5" i="2"/>
  <c r="Q37" i="2"/>
  <c r="Q33" i="2"/>
  <c r="Q29" i="2"/>
  <c r="Q25" i="2"/>
  <c r="Q21" i="2"/>
  <c r="Q17" i="2"/>
  <c r="Q13" i="2"/>
  <c r="Q9" i="2"/>
  <c r="Q36" i="2"/>
  <c r="Q28" i="2"/>
  <c r="Q24" i="2"/>
  <c r="Q20" i="2"/>
  <c r="Q16" i="2"/>
  <c r="Q12" i="2"/>
  <c r="Q8" i="2"/>
  <c r="Q39" i="2"/>
  <c r="Q31" i="2"/>
  <c r="Q27" i="2"/>
  <c r="Q23" i="2"/>
  <c r="Q19" i="2"/>
  <c r="Q15" i="2"/>
  <c r="Q7" i="2"/>
  <c r="Q35" i="2"/>
  <c r="L92" i="2"/>
  <c r="Q80" i="2" l="1"/>
  <c r="B79" i="1"/>
  <c r="Q81" i="2" l="1"/>
  <c r="B95" i="1"/>
  <c r="B99" i="1" s="1"/>
  <c r="B78" i="1"/>
  <c r="Q82" i="2" l="1"/>
  <c r="Q83" i="2" l="1"/>
  <c r="Q32" i="2"/>
  <c r="Q84" i="2" l="1"/>
  <c r="Q85" i="2" l="1"/>
  <c r="Q86" i="2" l="1"/>
  <c r="Q87" i="2"/>
  <c r="Q88" i="2" l="1"/>
  <c r="Q89" i="2" l="1"/>
  <c r="Q90" i="2" l="1"/>
  <c r="Q92" i="2" s="1"/>
  <c r="P92" i="2"/>
</calcChain>
</file>

<file path=xl/sharedStrings.xml><?xml version="1.0" encoding="utf-8"?>
<sst xmlns="http://schemas.openxmlformats.org/spreadsheetml/2006/main" count="347" uniqueCount="288">
  <si>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</si>
  <si>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</si>
  <si>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</si>
  <si>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</si>
  <si>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</si>
  <si>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</si>
  <si>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Dpto.</t>
  </si>
  <si>
    <t>UF</t>
  </si>
  <si>
    <t>Propietario</t>
  </si>
  <si>
    <t xml:space="preserve">Ingreso 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</si>
  <si>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</si>
  <si>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</si>
  <si>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</si>
  <si>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</si>
  <si>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</si>
  <si>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</si>
  <si>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</si>
  <si>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</si>
  <si>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</si>
  <si>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</si>
  <si>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</si>
  <si>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</si>
  <si>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</si>
  <si>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</si>
  <si>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</si>
  <si>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</si>
  <si>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</si>
  <si>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</si>
  <si>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</si>
  <si>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TELEFONO: 11 5320-2676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</si>
  <si>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</si>
  <si>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</si>
  <si>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</si>
  <si>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</si>
  <si>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</si>
  <si>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</si>
  <si>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</si>
  <si>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</si>
  <si>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</si>
  <si>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</si>
  <si>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</si>
  <si>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EXTRAORDINARIOS CON PREVISION:</t>
  </si>
  <si>
    <t>Suther</t>
  </si>
  <si>
    <t xml:space="preserve">Deposito sin identificar </t>
  </si>
  <si>
    <t>Interes 3%</t>
  </si>
  <si>
    <t>GASTOS EXTRAORDINARIOS:</t>
  </si>
  <si>
    <t>Punitorios mal cobrados</t>
  </si>
  <si>
    <t xml:space="preserve">ARCA 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</si>
  <si>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</si>
  <si>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</si>
  <si>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</si>
  <si>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</si>
  <si>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</si>
  <si>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</si>
  <si>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</si>
  <si>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</si>
  <si>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</si>
  <si>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</si>
  <si>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2°B</t>
  </si>
  <si>
    <t>Jose Luis Gurtubay</t>
  </si>
  <si>
    <t>2°C</t>
  </si>
  <si>
    <t>2°D</t>
  </si>
  <si>
    <t>Juan Carlos Alonso</t>
  </si>
  <si>
    <t>3°A</t>
  </si>
  <si>
    <t>Lucas Oscar Ramil</t>
  </si>
  <si>
    <t>3°B</t>
  </si>
  <si>
    <t>Raul Boffi</t>
  </si>
  <si>
    <t>3°C</t>
  </si>
  <si>
    <t>3°D</t>
  </si>
  <si>
    <t>Roxana Elena Maya</t>
  </si>
  <si>
    <t>4°A</t>
  </si>
  <si>
    <t>4°B</t>
  </si>
  <si>
    <t>4°C</t>
  </si>
  <si>
    <t>4°D</t>
  </si>
  <si>
    <t>Hernán Gastón Padilla</t>
  </si>
  <si>
    <t>5°A</t>
  </si>
  <si>
    <t>5°B</t>
  </si>
  <si>
    <t>5°C</t>
  </si>
  <si>
    <t>5°D</t>
  </si>
  <si>
    <t>Fernando Andres Canepa</t>
  </si>
  <si>
    <t>6°A</t>
  </si>
  <si>
    <t>Andres Gabriel Devouassoux</t>
  </si>
  <si>
    <t>6°B</t>
  </si>
  <si>
    <t>6°C</t>
  </si>
  <si>
    <t>Barbara Eugenia GARCIA FONTENLA</t>
  </si>
  <si>
    <t>6°D</t>
  </si>
  <si>
    <t>Javier Alejandro Panaccio</t>
  </si>
  <si>
    <t>7°A</t>
  </si>
  <si>
    <t>Mirta Isabel Asturino</t>
  </si>
  <si>
    <t>7°B</t>
  </si>
  <si>
    <t>Jorge Antonio Mendiola</t>
  </si>
  <si>
    <t>7°C</t>
  </si>
  <si>
    <t>Nelson Ariel FRAGA</t>
  </si>
  <si>
    <t>7°D</t>
  </si>
  <si>
    <t>Domingo Alifraco</t>
  </si>
  <si>
    <t>8°A</t>
  </si>
  <si>
    <t>Juan Pablo Charpin</t>
  </si>
  <si>
    <t>8°B</t>
  </si>
  <si>
    <t>Adriana Del Bagno</t>
  </si>
  <si>
    <t>8°C</t>
  </si>
  <si>
    <t>Claudio Moroni</t>
  </si>
  <si>
    <t>8°D</t>
  </si>
  <si>
    <t>Karina Edith Mastandrea</t>
  </si>
  <si>
    <t>9°A</t>
  </si>
  <si>
    <t>Fernando Fernandez</t>
  </si>
  <si>
    <t>9°B</t>
  </si>
  <si>
    <t>Gonzalo Cadiz</t>
  </si>
  <si>
    <t>9°C</t>
  </si>
  <si>
    <t>Hernan Miñambres</t>
  </si>
  <si>
    <t>9°D</t>
  </si>
  <si>
    <t>Matías Ezequiel Tobío </t>
  </si>
  <si>
    <t>10°A</t>
  </si>
  <si>
    <t>Ariel Marcelo FERNANDEZ</t>
  </si>
  <si>
    <t>10°B</t>
  </si>
  <si>
    <t>10°C</t>
  </si>
  <si>
    <t>Antonio Carlos Caputo</t>
  </si>
  <si>
    <t>10°D</t>
  </si>
  <si>
    <t>11°A</t>
  </si>
  <si>
    <t>Manuel Salvador FERNANDEZ</t>
  </si>
  <si>
    <t>11°B</t>
  </si>
  <si>
    <t>Jorge Antonio VILLONE</t>
  </si>
  <si>
    <t>11°C</t>
  </si>
  <si>
    <t>Daniela Noemi Araujo</t>
  </si>
  <si>
    <t>11°D</t>
  </si>
  <si>
    <t>Gabriela Santiso/Claudio Touzon</t>
  </si>
  <si>
    <t>12°A</t>
  </si>
  <si>
    <t>12°B</t>
  </si>
  <si>
    <t>12°C</t>
  </si>
  <si>
    <t>Pedro Eugenio Negri</t>
  </si>
  <si>
    <t>12°D</t>
  </si>
  <si>
    <t>Luis Alberto Guarch</t>
  </si>
  <si>
    <t>13°A</t>
  </si>
  <si>
    <t>Soraya Mariel Varela</t>
  </si>
  <si>
    <t>13°B</t>
  </si>
  <si>
    <t>13°C</t>
  </si>
  <si>
    <t>Maria Gabriela Diaz</t>
  </si>
  <si>
    <t>13°D</t>
  </si>
  <si>
    <t>Fabiana Besteiro</t>
  </si>
  <si>
    <t>P.B.1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</si>
  <si>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</si>
  <si>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</si>
  <si>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</si>
  <si>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</si>
  <si>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</si>
  <si>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</si>
  <si>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</si>
  <si>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</si>
  <si>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</si>
  <si>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</si>
  <si>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</si>
  <si>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</si>
  <si>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P.B.10</t>
  </si>
  <si>
    <t>P.B.11</t>
  </si>
  <si>
    <t>García</t>
  </si>
  <si>
    <t>P.B.12</t>
  </si>
  <si>
    <t>P.B.13</t>
  </si>
  <si>
    <t>P.B.14</t>
  </si>
  <si>
    <t>P.B.15</t>
  </si>
  <si>
    <t>GALPON</t>
  </si>
  <si>
    <t>Club Atlético Banfield</t>
  </si>
  <si>
    <t>S.S.16</t>
  </si>
  <si>
    <t>S.S.17</t>
  </si>
  <si>
    <t>S.S.18</t>
  </si>
  <si>
    <t>Diaz Laura Natalia</t>
  </si>
  <si>
    <t>S.S.19</t>
  </si>
  <si>
    <t>S.S.20</t>
  </si>
  <si>
    <t>S.S.21</t>
  </si>
  <si>
    <t>Alejandro DI LEO -</t>
  </si>
  <si>
    <t>S.S.22</t>
  </si>
  <si>
    <t>S.S.23</t>
  </si>
  <si>
    <t>S.S.24</t>
  </si>
  <si>
    <t>S.S.25</t>
  </si>
  <si>
    <t>S.S.26</t>
  </si>
  <si>
    <t>S.S.27</t>
  </si>
  <si>
    <t>S.S.28</t>
  </si>
  <si>
    <t>S.S.29</t>
  </si>
  <si>
    <t>S.S.30</t>
  </si>
  <si>
    <t>S.S.31</t>
  </si>
  <si>
    <t xml:space="preserve">Saldo Ord </t>
  </si>
  <si>
    <t>Saldo anterior</t>
  </si>
  <si>
    <t>MAIL: consorciovergara1670@gmail.com</t>
  </si>
  <si>
    <t>Servicio de mantenimiento de ascensores - ADS</t>
  </si>
  <si>
    <t>EDESUR</t>
  </si>
  <si>
    <t>METROGAS</t>
  </si>
  <si>
    <t>EDESUR:</t>
  </si>
  <si>
    <t>METROGAS:</t>
  </si>
  <si>
    <t>AYSA - Nro de cliente. 318350</t>
  </si>
  <si>
    <t>Deducciones</t>
  </si>
  <si>
    <t>Redondeo</t>
  </si>
  <si>
    <t>Remunerativos encargado Gonzalo Guenaga</t>
  </si>
  <si>
    <t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t>
  </si>
  <si>
    <t>CONSORCIO DE PROPIETARIOS DEL EDIFICIO CALLE  VERGARA 1670</t>
  </si>
  <si>
    <t>Micaela Contreras</t>
  </si>
  <si>
    <t>Aranda Jonhatan</t>
  </si>
  <si>
    <t>Dario Javier Flecha</t>
  </si>
  <si>
    <t>Micaela Acevedo</t>
  </si>
  <si>
    <t>Jesica Romina Tobio</t>
  </si>
  <si>
    <t>Daniela Bernabe</t>
  </si>
  <si>
    <t>Emiliano Calderon Alberto</t>
  </si>
  <si>
    <t>Gian y Micaela Parra</t>
  </si>
  <si>
    <t>Laura Quintana</t>
  </si>
  <si>
    <t>Micaela Dib</t>
  </si>
  <si>
    <t>Paula Murado</t>
  </si>
  <si>
    <t>Sol Gatti Maria</t>
  </si>
  <si>
    <t>Lujan / Natalia Capece</t>
  </si>
  <si>
    <t>Macarena Barraza</t>
  </si>
  <si>
    <t>Santiago Flores</t>
  </si>
  <si>
    <t>Antonela escobar</t>
  </si>
  <si>
    <t>Ignacio Touzon</t>
  </si>
  <si>
    <t>Fanta / Alejandro Gabriel Lopez</t>
  </si>
  <si>
    <t>Matias / Carla Esteves</t>
  </si>
  <si>
    <t xml:space="preserve">Olivera Rodrigo </t>
  </si>
  <si>
    <t>Barbara Bañon / Delia Martinez</t>
  </si>
  <si>
    <t>Nicolas Iudice</t>
  </si>
  <si>
    <t>Maria Florencia Boffi</t>
  </si>
  <si>
    <t>Benitez Gabriela</t>
  </si>
  <si>
    <t>CBU: 2990024602400258030006</t>
  </si>
  <si>
    <t xml:space="preserve">CUIT DEL EDIFICIO: 30-71802922-4 </t>
  </si>
  <si>
    <t>ALIAS: VERGARA.1670</t>
  </si>
  <si>
    <t>Seguro integral consorcio. Póliza 346504 Mapfre (4116-6397/6652 4458-5065)</t>
  </si>
  <si>
    <t>Seguro de accidentes personales. Póliza 2151088 Mapfre</t>
  </si>
  <si>
    <t>Gastos banacarios</t>
  </si>
  <si>
    <t>Mantenimiento de cuenta</t>
  </si>
  <si>
    <t>Edesur - cliente nro. 01469567</t>
  </si>
  <si>
    <t>Metrogas - Cliente nro. 30015090344</t>
  </si>
  <si>
    <t>Magali Carrivale</t>
  </si>
  <si>
    <t>Romanatti Carlos cioua de reglamento digital de copropiedad</t>
  </si>
  <si>
    <t>Tranfs 10/04</t>
  </si>
  <si>
    <t>Vto 01/04</t>
  </si>
  <si>
    <t>Transf 01/04</t>
  </si>
  <si>
    <t>Transf 10/04</t>
  </si>
  <si>
    <t>Debito 09/04</t>
  </si>
  <si>
    <t>Debito 14/04</t>
  </si>
  <si>
    <t>Transf 22/04</t>
  </si>
  <si>
    <t>Vto 28/04</t>
  </si>
  <si>
    <t>Transf 28/04</t>
  </si>
  <si>
    <t>Transf 14/04</t>
  </si>
  <si>
    <t>Cablevision -  servicio</t>
  </si>
  <si>
    <t>Debito 06/03</t>
  </si>
  <si>
    <t>Debito 07/04</t>
  </si>
  <si>
    <t>Claudia / Laura Avido</t>
  </si>
  <si>
    <t>Transferencia ya identificada del mes pasado</t>
  </si>
  <si>
    <t>Mayne Romero</t>
  </si>
  <si>
    <t xml:space="preserve">Biyik / Jefferson barreto 
</t>
  </si>
  <si>
    <t xml:space="preserve">
Brenda Carrasco</t>
  </si>
  <si>
    <t>Clobas Ezequiel / Lencina mariana mabel</t>
  </si>
  <si>
    <t>Malbares Gaston Emiliano</t>
  </si>
  <si>
    <t>Camila Benitez Nahiara</t>
  </si>
  <si>
    <t>Javier Enrique Zambrano</t>
  </si>
  <si>
    <t>Barbara Fusito y Ezequiel</t>
  </si>
  <si>
    <t>Carlos Mehinger Lisa</t>
  </si>
  <si>
    <t>Rosa Garnica</t>
  </si>
  <si>
    <t>Nadia Santillan Soledad</t>
  </si>
  <si>
    <t>Ayelen Agustina</t>
  </si>
  <si>
    <t>Agustina Malfigliaccio y Alan Pons</t>
  </si>
  <si>
    <t>Ezequiel /Maria Delfina Saavedra</t>
  </si>
  <si>
    <t>Diego Coronel / Mirta Beatriz Castañeda</t>
  </si>
  <si>
    <t>Araceli Lohaysa</t>
  </si>
  <si>
    <t>Tranferencia no identificada - 8/04 - Santiago Torregarosa</t>
  </si>
  <si>
    <t>Transferencia a nombre de Guillermo Rosenth Walter - 11/04</t>
  </si>
  <si>
    <t>Transferencia sin identificar a nombre de Finochiaro Camila - 14/04</t>
  </si>
  <si>
    <t xml:space="preserve">PREVISION ORDINARIA </t>
  </si>
  <si>
    <t>Edesur</t>
  </si>
  <si>
    <t>Metrogas:</t>
  </si>
  <si>
    <t>Plan de pago metrogas:</t>
  </si>
  <si>
    <t>PREVISION EXTRAORDINARIA - Prevision compra de bomba para cochera (evitar inundaciones como la del 07/05)</t>
  </si>
  <si>
    <t>Expensas extraord</t>
  </si>
  <si>
    <t>Extras:</t>
  </si>
  <si>
    <t>ARACELI EL 31 DE MARZO ABONO $78097 Y NO SE LO IMPUTAMOS, HAY QUE CORREGIR ESO, este mes abono 164.320,44  (el 08/05) y le prometimos que su deuda iba a quedar en 0</t>
  </si>
  <si>
    <t>ESTA ES CAMILA FINOCCHIARO - EL MES PASADO PAGO PERO LA PUSIMOS COMO TRANSF SIN IDENTIFICAR</t>
  </si>
  <si>
    <t xml:space="preserve">Armando Ezequiel Garro </t>
  </si>
  <si>
    <t>Norberto omar picin</t>
  </si>
  <si>
    <t xml:space="preserve"> TODO LO QUE HABIA DEPOSITADO NORBERTO OMAR PICIN SE LO HABIAMOS PUESTO A EZEQUIEL GARRO ERRONEAMENTE, HAY QUE CORREGIR ESO)</t>
  </si>
  <si>
    <t>40000+9980+20000+20000+48097+20000+20000+ TODO ESTO ES DE PICIN</t>
  </si>
  <si>
    <t>VTO 16/06</t>
  </si>
  <si>
    <t>PERÍODO: MAYO - ADMINISTRADORA: CAROLINA CANCIANI MP:1148</t>
  </si>
  <si>
    <t>Marcela De Biase-  Sra. Contadora - Mes de MAYO</t>
  </si>
  <si>
    <t>Sindicatos mes de MAYO</t>
  </si>
  <si>
    <t>Honorarios administracion - Mes de ABRIL - Se debe MAYO</t>
  </si>
  <si>
    <t>JPL articulos de limpieza - MAYO y ABRIL</t>
  </si>
  <si>
    <t>Zaffalon Veronica - Bomba sumergible 075hp 220 vol</t>
  </si>
  <si>
    <t>Tranfs 13/05</t>
  </si>
  <si>
    <t>Zaffalon Veronica - Vaciemiento de cochera inundada</t>
  </si>
  <si>
    <t>Zaffalon Veronica - Instalacion de bomba de achique tipo encamisada nueva y vaciamiento de pozo</t>
  </si>
  <si>
    <t>Doartero Julio - Mano de obra y materiales reparacion de entrada de agua</t>
  </si>
  <si>
    <t>Metrogas Plan de pagos cuota 6</t>
  </si>
  <si>
    <t>Tranfs 16/05</t>
  </si>
  <si>
    <t>Matafuegos Firex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</si>
</sst>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0.0"/>
    <numFmt numFmtId="169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164" fontId="3" fillId="0" borderId="0" xfId="0" applyNumberFormat="1" applyFont="1"/>
    <xf numFmtId="0" fontId="5" fillId="0" borderId="1" xfId="0" applyFont="1" applyBorder="1"/>
    <xf numFmtId="4" fontId="0" fillId="0" borderId="0" xfId="0" applyNumberFormat="1"/>
    <xf numFmtId="4" fontId="5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6" fillId="4" borderId="6" xfId="0" applyNumberFormat="1" applyFont="1" applyFill="1" applyBorder="1"/>
    <xf numFmtId="0" fontId="2" fillId="8" borderId="1" xfId="0" applyFont="1" applyFill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0" fontId="18" fillId="11" borderId="1" xfId="0" applyFont="1" applyFill="1" applyBorder="1"/>
    <xf numFmtId="44" fontId="0" fillId="4" borderId="0" xfId="1" applyFont="1" applyFill="1"/>
    <xf numFmtId="44" fontId="6" fillId="0" borderId="1" xfId="1" applyFont="1" applyBorder="1"/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9" fillId="4" borderId="1" xfId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20" fillId="0" borderId="25" xfId="1" applyFont="1" applyBorder="1"/>
    <xf numFmtId="44" fontId="20" fillId="0" borderId="27" xfId="1" applyFont="1" applyBorder="1"/>
    <xf numFmtId="165" fontId="21" fillId="0" borderId="1" xfId="0" applyNumberFormat="1" applyFont="1" applyBorder="1"/>
    <xf numFmtId="0" fontId="14" fillId="2" borderId="1" xfId="0" applyFont="1" applyFill="1" applyBorder="1" applyAlignment="1">
      <alignment wrapText="1"/>
    </xf>
    <xf numFmtId="2" fontId="14" fillId="2" borderId="1" xfId="0" applyNumberFormat="1" applyFont="1" applyFill="1" applyBorder="1" applyAlignment="1">
      <alignment horizontal="center"/>
    </xf>
    <xf numFmtId="0" fontId="14" fillId="0" borderId="7" xfId="0" applyFont="1" applyBorder="1"/>
    <xf numFmtId="0" fontId="14" fillId="0" borderId="23" xfId="0" applyFont="1" applyBorder="1"/>
    <xf numFmtId="0" fontId="14" fillId="2" borderId="2" xfId="0" applyFont="1" applyFill="1" applyBorder="1"/>
    <xf numFmtId="2" fontId="14" fillId="2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10" borderId="21" xfId="0" applyFont="1" applyFill="1" applyBorder="1"/>
    <xf numFmtId="0" fontId="14" fillId="4" borderId="26" xfId="0" applyFont="1" applyFill="1" applyBorder="1"/>
    <xf numFmtId="44" fontId="14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165" fontId="14" fillId="2" borderId="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9" fillId="4" borderId="13" xfId="1" applyNumberFormat="1" applyFont="1" applyFill="1" applyBorder="1"/>
    <xf numFmtId="44" fontId="9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23" fillId="0" borderId="1" xfId="1" applyFont="1" applyBorder="1"/>
    <xf numFmtId="44" fontId="9" fillId="4" borderId="13" xfId="1" applyFont="1" applyFill="1" applyBorder="1"/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23" fillId="2" borderId="3" xfId="1" applyFont="1" applyFill="1" applyBorder="1"/>
    <xf numFmtId="8" fontId="6" fillId="4" borderId="22" xfId="0" applyNumberFormat="1" applyFont="1" applyFill="1" applyBorder="1"/>
    <xf numFmtId="0" fontId="23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23" fillId="0" borderId="17" xfId="0" applyFont="1" applyBorder="1"/>
    <xf numFmtId="0" fontId="6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8" fillId="6" borderId="0" xfId="0" applyNumberFormat="1" applyFont="1" applyFill="1"/>
    <xf numFmtId="44" fontId="4" fillId="2" borderId="1" xfId="1" applyFont="1" applyFill="1" applyBorder="1"/>
    <xf numFmtId="44" fontId="23" fillId="2" borderId="1" xfId="1" applyFont="1" applyFill="1" applyBorder="1" applyAlignment="1">
      <alignment wrapText="1"/>
    </xf>
    <xf numFmtId="8" fontId="19" fillId="11" borderId="1" xfId="0" applyNumberFormat="1" applyFont="1" applyFill="1" applyBorder="1"/>
    <xf numFmtId="0" fontId="23" fillId="2" borderId="1" xfId="0" applyFont="1" applyFill="1" applyBorder="1"/>
    <xf numFmtId="0" fontId="15" fillId="0" borderId="1" xfId="1" applyNumberFormat="1" applyFont="1" applyBorder="1"/>
    <xf numFmtId="8" fontId="4" fillId="2" borderId="1" xfId="0" applyNumberFormat="1" applyFont="1" applyFill="1" applyBorder="1"/>
    <xf numFmtId="44" fontId="4" fillId="2" borderId="1" xfId="1" applyFont="1" applyFill="1" applyBorder="1" applyAlignment="1"/>
    <xf numFmtId="0" fontId="5" fillId="0" borderId="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4" fillId="10" borderId="26" xfId="0" applyFont="1" applyFill="1" applyBorder="1"/>
    <xf numFmtId="166" fontId="20" fillId="2" borderId="1" xfId="1" applyNumberFormat="1" applyFont="1" applyFill="1" applyBorder="1"/>
    <xf numFmtId="0" fontId="0" fillId="2" borderId="0" xfId="0" applyFill="1"/>
    <xf numFmtId="44" fontId="5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0" fontId="21" fillId="0" borderId="1" xfId="0" applyFont="1" applyBorder="1"/>
    <xf numFmtId="44" fontId="4" fillId="2" borderId="1" xfId="1" applyFont="1" applyFill="1" applyBorder="1" applyAlignment="1">
      <alignment wrapText="1"/>
    </xf>
    <xf numFmtId="0" fontId="14" fillId="4" borderId="21" xfId="0" applyFont="1" applyFill="1" applyBorder="1"/>
    <xf numFmtId="165" fontId="14" fillId="4" borderId="21" xfId="0" applyNumberFormat="1" applyFont="1" applyFill="1" applyBorder="1"/>
    <xf numFmtId="166" fontId="14" fillId="4" borderId="21" xfId="0" applyNumberFormat="1" applyFont="1" applyFill="1" applyBorder="1"/>
    <xf numFmtId="168" fontId="14" fillId="4" borderId="21" xfId="0" applyNumberFormat="1" applyFont="1" applyFill="1" applyBorder="1" applyAlignment="1">
      <alignment horizontal="center"/>
    </xf>
    <xf numFmtId="0" fontId="2" fillId="7" borderId="1" xfId="0" applyFont="1" applyFill="1" applyBorder="1"/>
    <xf numFmtId="44" fontId="6" fillId="7" borderId="1" xfId="1" applyFont="1" applyFill="1" applyBorder="1"/>
    <xf numFmtId="0" fontId="0" fillId="0" borderId="7" xfId="0" applyBorder="1" applyAlignment="1">
      <alignment horizontal="left" wrapText="1"/>
    </xf>
    <xf numFmtId="165" fontId="14" fillId="0" borderId="7" xfId="1" applyNumberFormat="1" applyFont="1" applyBorder="1"/>
    <xf numFmtId="14" fontId="0" fillId="0" borderId="1" xfId="0" applyNumberForma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5" fillId="3" borderId="8" xfId="0" applyFont="1" applyFill="1" applyBorder="1"/>
    <xf numFmtId="43" fontId="0" fillId="0" borderId="0" xfId="0" applyNumberFormat="1"/>
    <xf numFmtId="165" fontId="9" fillId="5" borderId="11" xfId="0" applyNumberFormat="1" applyFont="1" applyFill="1" applyBorder="1"/>
    <xf numFmtId="165" fontId="9" fillId="8" borderId="13" xfId="1" applyNumberFormat="1" applyFont="1" applyFill="1" applyBorder="1"/>
    <xf numFmtId="0" fontId="0" fillId="0" borderId="6" xfId="0" applyBorder="1" applyAlignment="1">
      <alignment horizontal="left"/>
    </xf>
    <xf numFmtId="44" fontId="0" fillId="3" borderId="0" xfId="0" applyNumberFormat="1" applyFill="1" applyAlignment="1">
      <alignment horizontal="center"/>
    </xf>
    <xf numFmtId="44" fontId="7" fillId="0" borderId="1" xfId="1" applyFont="1" applyBorder="1"/>
    <xf numFmtId="169" fontId="0" fillId="3" borderId="8" xfId="0" applyNumberFormat="1" applyFill="1" applyBorder="1" applyAlignment="1">
      <alignment horizontal="center"/>
    </xf>
    <xf numFmtId="0" fontId="14" fillId="0" borderId="2" xfId="0" applyFont="1" applyBorder="1"/>
    <xf numFmtId="0" fontId="14" fillId="9" borderId="1" xfId="0" applyFont="1" applyFill="1" applyBorder="1"/>
    <xf numFmtId="165" fontId="0" fillId="0" borderId="0" xfId="0" applyNumberFormat="1"/>
    <xf numFmtId="44" fontId="12" fillId="8" borderId="13" xfId="1" applyFont="1" applyFill="1" applyBorder="1" applyAlignment="1">
      <alignment vertical="center"/>
    </xf>
    <xf numFmtId="166" fontId="5" fillId="5" borderId="11" xfId="0" applyNumberFormat="1" applyFont="1" applyFill="1" applyBorder="1"/>
    <xf numFmtId="0" fontId="0" fillId="9" borderId="0" xfId="0" applyFill="1"/>
    <xf numFmtId="166" fontId="20" fillId="4" borderId="1" xfId="1" applyNumberFormat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44" fontId="0" fillId="3" borderId="8" xfId="1" applyFont="1" applyFill="1" applyBorder="1" applyAlignment="1">
      <alignment horizontal="center"/>
    </xf>
    <xf numFmtId="44" fontId="0" fillId="3" borderId="0" xfId="0" applyNumberFormat="1" applyFill="1" applyAlignment="1">
      <alignment horizont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169" fontId="0" fillId="3" borderId="8" xfId="0" applyNumberFormat="1" applyFill="1" applyBorder="1" applyAlignment="1">
      <alignment horizontal="center"/>
    </xf>
    <xf numFmtId="169" fontId="24" fillId="3" borderId="0" xfId="1" applyNumberFormat="1" applyFont="1" applyFill="1" applyAlignment="1">
      <alignment horizontal="center"/>
    </xf>
    <xf numFmtId="169" fontId="0" fillId="3" borderId="8" xfId="1" applyNumberFormat="1" applyFont="1" applyFill="1" applyBorder="1" applyAlignment="1">
      <alignment horizontal="center" vertical="center"/>
    </xf>
    <xf numFmtId="44" fontId="7" fillId="2" borderId="1" xfId="1" applyFont="1" applyFill="1" applyBorder="1"/>
    <xf numFmtId="165" fontId="9" fillId="4" borderId="2" xfId="1" applyNumberFormat="1" applyFont="1" applyFill="1" applyBorder="1"/>
    <xf numFmtId="44" fontId="7" fillId="2" borderId="6" xfId="1" applyFont="1" applyFill="1" applyBorder="1"/>
    <xf numFmtId="0" fontId="0" fillId="9" borderId="6" xfId="0" applyFill="1" applyBorder="1" applyAlignment="1">
      <alignment horizontal="left" wrapText="1"/>
    </xf>
    <xf numFmtId="0" fontId="0" fillId="9" borderId="24" xfId="0" applyFill="1" applyBorder="1" applyAlignment="1">
      <alignment horizontal="left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0</xdr:col>
      <xdr:colOff>2009775</xdr:colOff>
      <xdr:row>2</xdr:row>
      <xdr:rowOff>380999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599"/>
          <a:ext cx="1971675" cy="7334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topLeftCell="A16" workbookViewId="0">
      <selection activeCell="B8" sqref="B8:C10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33203125" customWidth="1"/>
    <col min="5" max="5" width="14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x14ac:dyDescent="0.3">
      <c r="A1" s="15"/>
      <c r="B1" s="68" t="s">
        <v>180</v>
      </c>
      <c r="C1" s="68"/>
      <c r="D1" s="68"/>
      <c r="E1" s="69"/>
    </row>
    <row r="2" spans="1:5" x14ac:dyDescent="0.3">
      <c r="A2" s="16"/>
      <c r="B2" s="149" t="s">
        <v>31</v>
      </c>
      <c r="C2" s="149"/>
      <c r="D2" s="149"/>
      <c r="E2" s="70"/>
    </row>
    <row r="3" spans="1:5" ht="32.25" customHeight="1" thickBot="1" x14ac:dyDescent="0.35">
      <c r="A3" s="16"/>
      <c r="B3" s="150" t="s">
        <v>216</v>
      </c>
      <c r="C3" s="149"/>
      <c r="D3" s="151" t="s">
        <v>29</v>
      </c>
      <c r="E3" s="70"/>
    </row>
    <row r="4" spans="1:5" ht="15" thickBot="1" x14ac:dyDescent="0.35">
      <c r="A4" s="17" t="s">
        <v>0</v>
      </c>
      <c r="B4" s="89" t="s">
        <v>218</v>
      </c>
      <c r="C4" s="18"/>
      <c r="D4" s="18"/>
      <c r="E4" s="19"/>
    </row>
    <row r="5" spans="1:5" ht="30.75" customHeight="1" thickBot="1" x14ac:dyDescent="0.35">
      <c r="A5" s="16" t="s">
        <v>217</v>
      </c>
      <c r="B5" s="169" t="s">
        <v>275</v>
      </c>
      <c r="C5" s="169"/>
      <c r="D5" s="169"/>
      <c r="E5" s="170"/>
    </row>
    <row r="6" spans="1:5" ht="15" thickBot="1" x14ac:dyDescent="0.35">
      <c r="A6" s="17" t="s">
        <v>191</v>
      </c>
      <c r="B6" s="18"/>
      <c r="C6" s="18"/>
      <c r="D6" s="152" t="s">
        <v>32</v>
      </c>
      <c r="E6" s="19"/>
    </row>
    <row r="8" spans="1:5" x14ac:dyDescent="0.3">
      <c r="B8" s="172" t="s">
        <v>274</v>
      </c>
      <c r="C8" s="172"/>
    </row>
    <row r="9" spans="1:5" x14ac:dyDescent="0.3">
      <c r="B9" s="172"/>
      <c r="C9" s="172"/>
    </row>
    <row r="10" spans="1:5" x14ac:dyDescent="0.3">
      <c r="B10" s="172"/>
      <c r="C10" s="172"/>
    </row>
    <row r="12" spans="1:5" hidden="1" x14ac:dyDescent="0.3"/>
    <row r="13" spans="1:5" ht="15" customHeight="1" x14ac:dyDescent="0.3">
      <c r="A13" s="171" t="s">
        <v>190</v>
      </c>
      <c r="B13" s="171"/>
      <c r="C13" s="171"/>
      <c r="D13" s="171"/>
      <c r="E13" s="171"/>
    </row>
    <row r="14" spans="1:5" ht="15" customHeight="1" x14ac:dyDescent="0.3">
      <c r="A14" s="171"/>
      <c r="B14" s="171"/>
      <c r="C14" s="171"/>
      <c r="D14" s="171"/>
      <c r="E14" s="171"/>
    </row>
    <row r="15" spans="1:5" ht="15" customHeight="1" x14ac:dyDescent="0.3">
      <c r="A15" s="171"/>
      <c r="B15" s="171"/>
      <c r="C15" s="171"/>
      <c r="D15" s="171"/>
      <c r="E15" s="171"/>
    </row>
    <row r="16" spans="1:5" ht="53.25" customHeight="1" x14ac:dyDescent="0.3">
      <c r="A16" s="171"/>
      <c r="B16" s="171"/>
      <c r="C16" s="171"/>
      <c r="D16" s="171"/>
      <c r="E16" s="171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11</v>
      </c>
      <c r="B20" s="12"/>
      <c r="C20" s="13"/>
      <c r="D20" s="9"/>
      <c r="E20" s="14"/>
    </row>
    <row r="21" spans="1:7" x14ac:dyDescent="0.3">
      <c r="A21" s="33" t="s">
        <v>37</v>
      </c>
      <c r="B21" s="33"/>
      <c r="C21" s="33"/>
      <c r="D21" s="31"/>
      <c r="E21" s="31"/>
    </row>
    <row r="22" spans="1:7" x14ac:dyDescent="0.3">
      <c r="A22" s="5" t="s">
        <v>189</v>
      </c>
      <c r="B22" s="5"/>
      <c r="C22" s="5"/>
      <c r="D22" s="126">
        <v>590585.1</v>
      </c>
      <c r="E22" s="93"/>
    </row>
    <row r="23" spans="1:7" x14ac:dyDescent="0.3">
      <c r="A23" s="5" t="s">
        <v>187</v>
      </c>
      <c r="B23" s="5"/>
      <c r="C23" s="5"/>
      <c r="D23" s="126">
        <v>-138117.69</v>
      </c>
      <c r="E23" s="93"/>
      <c r="G23" s="20"/>
    </row>
    <row r="24" spans="1:7" x14ac:dyDescent="0.3">
      <c r="A24" s="5" t="s">
        <v>188</v>
      </c>
      <c r="B24" s="5"/>
      <c r="C24" s="5"/>
      <c r="D24" s="126">
        <v>0.59</v>
      </c>
      <c r="E24" s="93"/>
      <c r="G24" s="20"/>
    </row>
    <row r="25" spans="1:7" x14ac:dyDescent="0.3">
      <c r="A25" s="56" t="s">
        <v>38</v>
      </c>
      <c r="B25" s="56"/>
      <c r="C25" s="56"/>
      <c r="D25" s="123">
        <f>SUM(D22:D24)</f>
        <v>452468</v>
      </c>
      <c r="E25" s="94"/>
      <c r="G25" s="20"/>
    </row>
    <row r="26" spans="1:7" ht="15" thickBot="1" x14ac:dyDescent="0.35">
      <c r="A26" s="26" t="s">
        <v>1</v>
      </c>
      <c r="B26" s="26"/>
      <c r="C26" s="26"/>
      <c r="D26" s="28"/>
      <c r="E26" s="95">
        <f>D25</f>
        <v>452468</v>
      </c>
      <c r="F26" s="20"/>
    </row>
    <row r="27" spans="1:7" x14ac:dyDescent="0.3">
      <c r="A27" s="33" t="s">
        <v>23</v>
      </c>
      <c r="B27" s="33"/>
      <c r="C27" s="33"/>
      <c r="D27" s="34"/>
      <c r="E27" s="96"/>
    </row>
    <row r="28" spans="1:7" ht="18" customHeight="1" x14ac:dyDescent="0.3">
      <c r="A28" s="167" t="s">
        <v>276</v>
      </c>
      <c r="B28" s="168"/>
      <c r="C28" s="5"/>
      <c r="D28" s="126">
        <v>31000</v>
      </c>
      <c r="E28" s="97" t="s">
        <v>230</v>
      </c>
    </row>
    <row r="29" spans="1:7" ht="33" customHeight="1" thickBot="1" x14ac:dyDescent="0.35">
      <c r="A29" s="167" t="s">
        <v>278</v>
      </c>
      <c r="B29" s="168"/>
      <c r="C29" s="5"/>
      <c r="D29" s="126">
        <v>470000</v>
      </c>
      <c r="E29" s="97" t="s">
        <v>230</v>
      </c>
    </row>
    <row r="30" spans="1:7" ht="15" thickBot="1" x14ac:dyDescent="0.35">
      <c r="A30" s="26" t="s">
        <v>17</v>
      </c>
      <c r="B30" s="26"/>
      <c r="C30" s="26"/>
      <c r="D30" s="37"/>
      <c r="E30" s="98">
        <f>SUM(D28:D29)</f>
        <v>501000</v>
      </c>
    </row>
    <row r="31" spans="1:7" x14ac:dyDescent="0.3">
      <c r="A31" s="31" t="s">
        <v>34</v>
      </c>
      <c r="B31" s="32"/>
      <c r="C31" s="32"/>
      <c r="D31" s="35"/>
      <c r="E31" s="67"/>
    </row>
    <row r="32" spans="1:7" s="40" customFormat="1" ht="33" customHeight="1" x14ac:dyDescent="0.3">
      <c r="A32" s="167" t="s">
        <v>219</v>
      </c>
      <c r="B32" s="168"/>
      <c r="C32" s="54"/>
      <c r="D32" s="138">
        <v>226692</v>
      </c>
      <c r="E32" s="122"/>
    </row>
    <row r="33" spans="1:7" ht="14.25" customHeight="1" x14ac:dyDescent="0.3">
      <c r="A33" s="167" t="s">
        <v>220</v>
      </c>
      <c r="B33" s="168"/>
      <c r="C33" s="54"/>
      <c r="D33" s="127">
        <v>719.9</v>
      </c>
      <c r="E33" s="122"/>
    </row>
    <row r="34" spans="1:7" ht="15" thickBot="1" x14ac:dyDescent="0.35">
      <c r="A34" s="26" t="s">
        <v>2</v>
      </c>
      <c r="B34" s="26"/>
      <c r="C34" s="26"/>
      <c r="D34" s="37"/>
      <c r="E34" s="99">
        <f>SUM(D32:D33)</f>
        <v>227411.9</v>
      </c>
    </row>
    <row r="35" spans="1:7" x14ac:dyDescent="0.3">
      <c r="A35" s="33" t="s">
        <v>18</v>
      </c>
      <c r="B35" s="27"/>
      <c r="C35" s="27"/>
      <c r="D35" s="38"/>
      <c r="E35" s="100"/>
    </row>
    <row r="36" spans="1:7" x14ac:dyDescent="0.3">
      <c r="A36" s="5" t="s">
        <v>47</v>
      </c>
      <c r="B36" s="5"/>
      <c r="C36" s="53"/>
      <c r="D36" s="158">
        <v>295029.98</v>
      </c>
      <c r="E36" s="124" t="s">
        <v>231</v>
      </c>
      <c r="G36" s="133"/>
    </row>
    <row r="37" spans="1:7" x14ac:dyDescent="0.3">
      <c r="A37" s="5" t="s">
        <v>277</v>
      </c>
      <c r="B37" s="5" t="s">
        <v>22</v>
      </c>
      <c r="C37" s="5"/>
      <c r="D37" s="200">
        <v>26576.33</v>
      </c>
      <c r="E37" s="109" t="s">
        <v>232</v>
      </c>
    </row>
    <row r="38" spans="1:7" x14ac:dyDescent="0.3">
      <c r="A38" s="5" t="str">
        <f>A37</f>
        <v>Sindicatos mes de MAYO</v>
      </c>
      <c r="B38" s="5" t="s">
        <v>42</v>
      </c>
      <c r="C38" s="5"/>
      <c r="D38" s="200">
        <v>50388.03</v>
      </c>
      <c r="E38" s="109" t="str">
        <f>E37</f>
        <v>Debito 14/04</v>
      </c>
    </row>
    <row r="39" spans="1:7" x14ac:dyDescent="0.3">
      <c r="A39" s="5" t="str">
        <f>A38</f>
        <v>Sindicatos mes de MAYO</v>
      </c>
      <c r="B39" s="5" t="s">
        <v>21</v>
      </c>
      <c r="C39" s="5"/>
      <c r="D39" s="200">
        <v>2952.93</v>
      </c>
      <c r="E39" s="110" t="str">
        <f>E37</f>
        <v>Debito 14/04</v>
      </c>
    </row>
    <row r="40" spans="1:7" ht="15" customHeight="1" thickBot="1" x14ac:dyDescent="0.35">
      <c r="A40" s="26" t="s">
        <v>3</v>
      </c>
      <c r="B40" s="27"/>
      <c r="C40" s="27"/>
      <c r="D40" s="39"/>
      <c r="E40" s="99">
        <f>SUM(D36:D39)</f>
        <v>374947.26999999996</v>
      </c>
    </row>
    <row r="41" spans="1:7" x14ac:dyDescent="0.3">
      <c r="A41" s="33" t="s">
        <v>20</v>
      </c>
      <c r="B41" s="27"/>
      <c r="C41" s="27"/>
      <c r="D41" s="38"/>
      <c r="E41" s="100"/>
    </row>
    <row r="42" spans="1:7" ht="14.25" customHeight="1" x14ac:dyDescent="0.3">
      <c r="A42" s="5" t="s">
        <v>186</v>
      </c>
      <c r="B42" s="5" t="s">
        <v>228</v>
      </c>
      <c r="C42" s="5"/>
      <c r="D42" s="121">
        <v>179199.38</v>
      </c>
      <c r="E42" s="107" t="s">
        <v>229</v>
      </c>
    </row>
    <row r="43" spans="1:7" ht="14.25" customHeight="1" x14ac:dyDescent="0.3">
      <c r="A43" s="5" t="s">
        <v>186</v>
      </c>
      <c r="B43" s="5" t="s">
        <v>234</v>
      </c>
      <c r="C43" s="5"/>
      <c r="D43" s="121">
        <v>179199.38</v>
      </c>
      <c r="E43" s="107" t="s">
        <v>235</v>
      </c>
    </row>
    <row r="44" spans="1:7" ht="14.25" customHeight="1" x14ac:dyDescent="0.3">
      <c r="A44" s="5" t="s">
        <v>181</v>
      </c>
      <c r="B44" s="5"/>
      <c r="C44" s="5"/>
      <c r="D44" s="121">
        <v>35000</v>
      </c>
      <c r="E44" s="107" t="s">
        <v>233</v>
      </c>
    </row>
    <row r="45" spans="1:7" x14ac:dyDescent="0.3">
      <c r="A45" s="5" t="s">
        <v>237</v>
      </c>
      <c r="B45" s="5"/>
      <c r="C45" s="5"/>
      <c r="D45" s="121">
        <v>77164.73</v>
      </c>
      <c r="E45" s="107" t="s">
        <v>238</v>
      </c>
    </row>
    <row r="46" spans="1:7" x14ac:dyDescent="0.3">
      <c r="A46" s="167" t="s">
        <v>237</v>
      </c>
      <c r="B46" s="168"/>
      <c r="C46" s="5"/>
      <c r="D46" s="121">
        <v>79061.399999999994</v>
      </c>
      <c r="E46" s="107" t="s">
        <v>239</v>
      </c>
    </row>
    <row r="47" spans="1:7" ht="15" thickBot="1" x14ac:dyDescent="0.35">
      <c r="A47" s="26" t="s">
        <v>4</v>
      </c>
      <c r="B47" s="26"/>
      <c r="C47" s="26"/>
      <c r="D47" s="37"/>
      <c r="E47" s="99">
        <f>SUM(D42:D46)</f>
        <v>549624.89</v>
      </c>
    </row>
    <row r="48" spans="1:7" ht="15" customHeight="1" thickBot="1" x14ac:dyDescent="0.35">
      <c r="A48" s="33" t="s">
        <v>19</v>
      </c>
      <c r="B48" s="26"/>
      <c r="C48" s="26"/>
      <c r="D48" s="37"/>
      <c r="E48" s="103"/>
    </row>
    <row r="49" spans="1:10" x14ac:dyDescent="0.3">
      <c r="A49" s="203" t="s">
        <v>287</v>
      </c>
      <c r="B49" s="204"/>
      <c r="C49" s="65"/>
      <c r="D49" s="200">
        <v>84500</v>
      </c>
      <c r="E49" s="102" t="s">
        <v>286</v>
      </c>
    </row>
    <row r="50" spans="1:10" x14ac:dyDescent="0.3">
      <c r="A50" s="203" t="s">
        <v>287</v>
      </c>
      <c r="B50" s="204"/>
      <c r="C50" s="65"/>
      <c r="D50" s="200">
        <v>262099.86</v>
      </c>
      <c r="E50" s="102" t="s">
        <v>286</v>
      </c>
    </row>
    <row r="51" spans="1:10" ht="15" customHeight="1" x14ac:dyDescent="0.3">
      <c r="A51" s="175" t="s">
        <v>284</v>
      </c>
      <c r="B51" s="176"/>
      <c r="C51" s="55"/>
      <c r="D51" s="200">
        <v>165000</v>
      </c>
      <c r="E51" s="102" t="s">
        <v>281</v>
      </c>
    </row>
    <row r="52" spans="1:10" ht="35.4" customHeight="1" x14ac:dyDescent="0.3">
      <c r="A52" s="167" t="s">
        <v>283</v>
      </c>
      <c r="B52" s="168"/>
      <c r="C52" s="55"/>
      <c r="D52" s="200">
        <v>230000</v>
      </c>
      <c r="E52" s="102" t="s">
        <v>281</v>
      </c>
    </row>
    <row r="53" spans="1:10" ht="15" customHeight="1" x14ac:dyDescent="0.3">
      <c r="A53" s="156" t="s">
        <v>282</v>
      </c>
      <c r="B53" s="145"/>
      <c r="C53" s="55"/>
      <c r="D53" s="200">
        <v>385000</v>
      </c>
      <c r="E53" s="102" t="s">
        <v>281</v>
      </c>
    </row>
    <row r="54" spans="1:10" ht="15" customHeight="1" x14ac:dyDescent="0.3">
      <c r="A54" s="156" t="s">
        <v>280</v>
      </c>
      <c r="B54" s="145"/>
      <c r="C54" s="55"/>
      <c r="D54" s="200">
        <v>670000</v>
      </c>
      <c r="E54" s="102" t="s">
        <v>281</v>
      </c>
    </row>
    <row r="55" spans="1:10" x14ac:dyDescent="0.3">
      <c r="A55" s="177" t="s">
        <v>279</v>
      </c>
      <c r="B55" s="178"/>
      <c r="C55" s="5"/>
      <c r="D55" s="121">
        <v>81500</v>
      </c>
      <c r="E55" s="125" t="s">
        <v>235</v>
      </c>
    </row>
    <row r="56" spans="1:10" ht="15" customHeight="1" x14ac:dyDescent="0.3">
      <c r="A56" s="177" t="s">
        <v>226</v>
      </c>
      <c r="B56" s="178"/>
      <c r="C56" s="5"/>
      <c r="D56" s="105">
        <v>202100</v>
      </c>
      <c r="E56" s="102" t="s">
        <v>227</v>
      </c>
      <c r="I56" s="167"/>
      <c r="J56" s="168"/>
    </row>
    <row r="57" spans="1:10" ht="15" thickBot="1" x14ac:dyDescent="0.35">
      <c r="A57" s="26" t="s">
        <v>10</v>
      </c>
      <c r="B57" s="33"/>
      <c r="C57" s="33"/>
      <c r="D57" s="31"/>
      <c r="E57" s="201">
        <f>SUM(D49:D56)</f>
        <v>2080199.8599999999</v>
      </c>
    </row>
    <row r="58" spans="1:10" ht="15" thickBot="1" x14ac:dyDescent="0.35">
      <c r="A58" s="33" t="s">
        <v>13</v>
      </c>
      <c r="B58" s="66"/>
      <c r="C58" s="26"/>
      <c r="D58" s="28"/>
      <c r="E58" s="103"/>
    </row>
    <row r="59" spans="1:10" x14ac:dyDescent="0.3">
      <c r="A59" s="5" t="s">
        <v>221</v>
      </c>
      <c r="B59" s="5"/>
      <c r="C59" s="5"/>
      <c r="D59" s="121">
        <v>105869.88</v>
      </c>
      <c r="E59" s="111"/>
    </row>
    <row r="60" spans="1:10" x14ac:dyDescent="0.3">
      <c r="A60" s="5" t="s">
        <v>222</v>
      </c>
      <c r="B60" s="5"/>
      <c r="C60" s="5"/>
      <c r="D60" s="121">
        <v>49082</v>
      </c>
      <c r="E60" s="108"/>
    </row>
    <row r="61" spans="1:10" ht="15" thickBot="1" x14ac:dyDescent="0.35">
      <c r="A61" s="52" t="s">
        <v>17</v>
      </c>
      <c r="B61" s="52"/>
      <c r="C61" s="52"/>
      <c r="D61" s="112"/>
      <c r="E61" s="99">
        <f>SUM(D59:D60)</f>
        <v>154951.88</v>
      </c>
    </row>
    <row r="62" spans="1:10" ht="15" thickBot="1" x14ac:dyDescent="0.35">
      <c r="A62" s="5"/>
      <c r="B62" s="5"/>
      <c r="C62" s="5"/>
      <c r="D62" s="93"/>
      <c r="E62" s="113"/>
    </row>
    <row r="63" spans="1:10" ht="15" thickBot="1" x14ac:dyDescent="0.35">
      <c r="A63" s="29" t="s">
        <v>261</v>
      </c>
      <c r="B63" s="29"/>
      <c r="C63" s="29"/>
      <c r="D63" s="114"/>
      <c r="E63" s="155">
        <v>623172</v>
      </c>
    </row>
    <row r="64" spans="1:10" ht="15" thickBot="1" x14ac:dyDescent="0.35">
      <c r="A64" s="1"/>
      <c r="D64" s="115"/>
      <c r="E64" s="116"/>
      <c r="F64" s="45"/>
      <c r="G64" s="162"/>
    </row>
    <row r="65" spans="1:6" ht="15" thickBot="1" x14ac:dyDescent="0.35">
      <c r="A65" s="3" t="s">
        <v>14</v>
      </c>
      <c r="B65" s="10"/>
      <c r="C65" s="4"/>
      <c r="D65" s="117"/>
      <c r="E65" s="154">
        <f>(SUM(E26:E63))</f>
        <v>4963775.8</v>
      </c>
      <c r="F65" s="153"/>
    </row>
    <row r="66" spans="1:6" x14ac:dyDescent="0.3">
      <c r="D66" s="115"/>
      <c r="E66" s="115"/>
    </row>
    <row r="67" spans="1:6" ht="15" thickBot="1" x14ac:dyDescent="0.35">
      <c r="D67" s="115"/>
      <c r="E67" s="115"/>
    </row>
    <row r="68" spans="1:6" x14ac:dyDescent="0.3">
      <c r="A68" s="11" t="s">
        <v>45</v>
      </c>
      <c r="B68" s="12"/>
      <c r="C68" s="13"/>
      <c r="D68" s="118"/>
      <c r="E68" s="119"/>
    </row>
    <row r="69" spans="1:6" x14ac:dyDescent="0.3">
      <c r="A69" s="167" t="s">
        <v>285</v>
      </c>
      <c r="B69" s="168"/>
      <c r="C69" s="5"/>
      <c r="D69" s="202">
        <v>568429.56999999995</v>
      </c>
      <c r="E69" s="101" t="s">
        <v>236</v>
      </c>
    </row>
    <row r="70" spans="1:6" x14ac:dyDescent="0.3">
      <c r="A70" s="104"/>
      <c r="B70" s="106"/>
      <c r="C70" s="5"/>
      <c r="D70" s="105"/>
      <c r="E70" s="101"/>
    </row>
    <row r="71" spans="1:6" x14ac:dyDescent="0.3">
      <c r="A71" s="50"/>
      <c r="B71" s="49"/>
      <c r="C71" s="49"/>
      <c r="D71" s="57"/>
      <c r="E71" s="57">
        <f>SUM(D69:D70)</f>
        <v>568429.56999999995</v>
      </c>
    </row>
    <row r="72" spans="1:6" ht="15" customHeight="1" thickBot="1" x14ac:dyDescent="0.35"/>
    <row r="73" spans="1:6" ht="15" hidden="1" thickBot="1" x14ac:dyDescent="0.35"/>
    <row r="74" spans="1:6" ht="57" customHeight="1" thickBot="1" x14ac:dyDescent="0.35">
      <c r="A74" s="179" t="s">
        <v>265</v>
      </c>
      <c r="B74" s="180"/>
      <c r="C74" s="180"/>
      <c r="D74" s="181"/>
      <c r="E74" s="163">
        <v>1000000</v>
      </c>
    </row>
    <row r="75" spans="1:6" ht="15" thickBot="1" x14ac:dyDescent="0.35"/>
    <row r="76" spans="1:6" ht="15" thickBot="1" x14ac:dyDescent="0.35">
      <c r="A76" s="3" t="s">
        <v>24</v>
      </c>
      <c r="B76" s="10"/>
      <c r="C76" s="4"/>
      <c r="D76" s="4"/>
      <c r="E76" s="164">
        <f>E71+E74</f>
        <v>1568429.5699999998</v>
      </c>
    </row>
    <row r="77" spans="1:6" ht="15" thickBot="1" x14ac:dyDescent="0.35"/>
    <row r="78" spans="1:6" ht="15" thickBot="1" x14ac:dyDescent="0.35">
      <c r="A78" s="90" t="s">
        <v>15</v>
      </c>
      <c r="B78" s="91">
        <f>E65</f>
        <v>4963775.8</v>
      </c>
    </row>
    <row r="79" spans="1:6" ht="15" thickBot="1" x14ac:dyDescent="0.35">
      <c r="A79" s="90" t="s">
        <v>16</v>
      </c>
      <c r="B79" s="91">
        <f>E65-E63</f>
        <v>4340603.8</v>
      </c>
    </row>
    <row r="80" spans="1:6" ht="15" thickBot="1" x14ac:dyDescent="0.35">
      <c r="A80" s="90" t="s">
        <v>25</v>
      </c>
      <c r="B80" s="91">
        <f>E76-E74</f>
        <v>568429.56999999983</v>
      </c>
    </row>
    <row r="81" spans="1:3" ht="15" thickBot="1" x14ac:dyDescent="0.35">
      <c r="A81" s="90" t="s">
        <v>41</v>
      </c>
      <c r="B81" s="91">
        <f>E76</f>
        <v>1568429.5699999998</v>
      </c>
    </row>
    <row r="82" spans="1:3" ht="73.5" customHeight="1" x14ac:dyDescent="0.3"/>
    <row r="83" spans="1:3" x14ac:dyDescent="0.3">
      <c r="A83" s="46" t="s">
        <v>36</v>
      </c>
      <c r="B83" s="134"/>
      <c r="C83" s="21"/>
    </row>
    <row r="84" spans="1:3" x14ac:dyDescent="0.3">
      <c r="A84" s="30" t="s">
        <v>179</v>
      </c>
      <c r="B84" s="58">
        <v>131072.42461679748</v>
      </c>
      <c r="C84" s="23"/>
    </row>
    <row r="85" spans="1:3" x14ac:dyDescent="0.3">
      <c r="A85" s="22" t="s">
        <v>9</v>
      </c>
      <c r="B85" s="42">
        <f>PRORRATEO!H92</f>
        <v>6819818.0899999999</v>
      </c>
      <c r="C85" s="21"/>
    </row>
    <row r="86" spans="1:3" x14ac:dyDescent="0.3">
      <c r="A86" s="22" t="s">
        <v>43</v>
      </c>
      <c r="B86" s="108">
        <f>B107</f>
        <v>119259.82</v>
      </c>
      <c r="C86" s="21"/>
    </row>
    <row r="87" spans="1:3" x14ac:dyDescent="0.3">
      <c r="A87" s="128" t="s">
        <v>46</v>
      </c>
      <c r="B87" s="48">
        <f>-(846+54301)</f>
        <v>-55147</v>
      </c>
      <c r="C87" s="21"/>
    </row>
    <row r="88" spans="1:3" x14ac:dyDescent="0.3">
      <c r="A88" s="128" t="s">
        <v>241</v>
      </c>
      <c r="B88" s="48">
        <v>-163147</v>
      </c>
      <c r="C88" s="21"/>
    </row>
    <row r="89" spans="1:3" x14ac:dyDescent="0.3">
      <c r="A89" s="128" t="s">
        <v>241</v>
      </c>
      <c r="B89" s="158">
        <v>-113493</v>
      </c>
      <c r="C89" s="21"/>
    </row>
    <row r="90" spans="1:3" x14ac:dyDescent="0.3">
      <c r="A90" s="128" t="s">
        <v>241</v>
      </c>
      <c r="B90" s="158">
        <v>48097</v>
      </c>
      <c r="C90" s="21"/>
    </row>
    <row r="91" spans="1:3" x14ac:dyDescent="0.3">
      <c r="A91" s="128" t="s">
        <v>241</v>
      </c>
      <c r="B91" s="158">
        <v>-44900</v>
      </c>
      <c r="C91" s="21"/>
    </row>
    <row r="92" spans="1:3" x14ac:dyDescent="0.3">
      <c r="A92" s="128" t="s">
        <v>241</v>
      </c>
      <c r="B92" s="158">
        <v>-113493</v>
      </c>
      <c r="C92" s="21"/>
    </row>
    <row r="93" spans="1:3" x14ac:dyDescent="0.3">
      <c r="A93" s="128" t="s">
        <v>241</v>
      </c>
      <c r="B93" s="158">
        <v>-141707</v>
      </c>
      <c r="C93" s="21"/>
    </row>
    <row r="94" spans="1:3" x14ac:dyDescent="0.3">
      <c r="A94" s="128" t="s">
        <v>241</v>
      </c>
      <c r="B94" s="48">
        <v>20000</v>
      </c>
      <c r="C94" s="21"/>
    </row>
    <row r="95" spans="1:3" x14ac:dyDescent="0.3">
      <c r="A95" s="41" t="s">
        <v>26</v>
      </c>
      <c r="B95" s="48">
        <f>-B79</f>
        <v>-4340603.8</v>
      </c>
      <c r="C95" s="21"/>
    </row>
    <row r="96" spans="1:3" x14ac:dyDescent="0.3">
      <c r="A96" s="41" t="s">
        <v>223</v>
      </c>
      <c r="B96" s="48">
        <f>-PRORRATEO!F1</f>
        <v>-2102777.02</v>
      </c>
      <c r="C96" s="21"/>
    </row>
    <row r="97" spans="1:13" x14ac:dyDescent="0.3">
      <c r="A97" s="41" t="s">
        <v>224</v>
      </c>
      <c r="B97" s="48">
        <f>-PRORRATEO!F2</f>
        <v>-568429.56999999995</v>
      </c>
      <c r="C97" s="21"/>
    </row>
    <row r="98" spans="1:13" x14ac:dyDescent="0.3">
      <c r="A98" s="25" t="s">
        <v>27</v>
      </c>
      <c r="B98" s="48">
        <f>-(B80)</f>
        <v>-568429.56999999983</v>
      </c>
      <c r="C98" s="21"/>
    </row>
    <row r="99" spans="1:13" x14ac:dyDescent="0.3">
      <c r="A99" s="143" t="s">
        <v>10</v>
      </c>
      <c r="B99" s="144">
        <f>SUM(B84:B98)</f>
        <v>-1073879.6253832015</v>
      </c>
      <c r="C99" s="24"/>
      <c r="D99" s="45"/>
    </row>
    <row r="100" spans="1:13" x14ac:dyDescent="0.3">
      <c r="B100" s="43"/>
      <c r="C100" s="24"/>
      <c r="D100" s="45"/>
      <c r="E100" s="135"/>
      <c r="F100" s="136"/>
    </row>
    <row r="101" spans="1:13" x14ac:dyDescent="0.3">
      <c r="B101" s="43"/>
      <c r="C101" s="24"/>
      <c r="D101" s="45"/>
      <c r="E101" s="135"/>
      <c r="F101" s="136"/>
    </row>
    <row r="102" spans="1:13" x14ac:dyDescent="0.3">
      <c r="A102" s="174" t="s">
        <v>35</v>
      </c>
      <c r="B102" s="174"/>
      <c r="C102" s="174"/>
    </row>
    <row r="103" spans="1:13" x14ac:dyDescent="0.3">
      <c r="A103" s="174"/>
      <c r="B103" s="174"/>
      <c r="C103" s="174"/>
    </row>
    <row r="104" spans="1:13" ht="40.5" customHeight="1" x14ac:dyDescent="0.3">
      <c r="A104" s="54" t="s">
        <v>258</v>
      </c>
      <c r="B104" s="36">
        <v>28214</v>
      </c>
      <c r="C104" s="36">
        <v>11948.17</v>
      </c>
    </row>
    <row r="105" spans="1:13" ht="36.75" customHeight="1" x14ac:dyDescent="0.3">
      <c r="A105" s="54" t="s">
        <v>259</v>
      </c>
      <c r="B105" s="36">
        <v>1065</v>
      </c>
      <c r="C105" s="36"/>
    </row>
    <row r="106" spans="1:13" ht="33.75" customHeight="1" x14ac:dyDescent="0.3">
      <c r="A106" s="147" t="s">
        <v>260</v>
      </c>
      <c r="B106" s="36">
        <v>89980.82</v>
      </c>
      <c r="C106" s="36">
        <v>61209</v>
      </c>
    </row>
    <row r="107" spans="1:13" x14ac:dyDescent="0.3">
      <c r="A107" s="46" t="s">
        <v>10</v>
      </c>
      <c r="B107" s="120">
        <f>SUM(B104:B106)</f>
        <v>119259.82</v>
      </c>
      <c r="C107" s="47"/>
    </row>
    <row r="108" spans="1:13" x14ac:dyDescent="0.3">
      <c r="M108" s="8"/>
    </row>
    <row r="109" spans="1:13" ht="15" customHeight="1" x14ac:dyDescent="0.3">
      <c r="A109" s="173"/>
      <c r="B109" s="173"/>
      <c r="C109" s="173"/>
      <c r="D109" s="173"/>
      <c r="E109" s="173"/>
    </row>
    <row r="110" spans="1:13" x14ac:dyDescent="0.3">
      <c r="A110" s="173"/>
      <c r="B110" s="173"/>
      <c r="C110" s="173"/>
      <c r="D110" s="173"/>
      <c r="E110" s="173"/>
    </row>
    <row r="111" spans="1:13" x14ac:dyDescent="0.3">
      <c r="A111" s="173"/>
      <c r="B111" s="173"/>
      <c r="C111" s="173"/>
      <c r="D111" s="173"/>
      <c r="E111" s="173"/>
    </row>
    <row r="112" spans="1:13" x14ac:dyDescent="0.3">
      <c r="A112" s="173"/>
      <c r="B112" s="173"/>
      <c r="C112" s="173"/>
      <c r="D112" s="173"/>
      <c r="E112" s="173"/>
    </row>
  </sheetData>
  <mergeCells count="19">
    <mergeCell ref="I56:J56"/>
    <mergeCell ref="A109:E112"/>
    <mergeCell ref="A102:C103"/>
    <mergeCell ref="A49:B49"/>
    <mergeCell ref="A69:B69"/>
    <mergeCell ref="A51:B51"/>
    <mergeCell ref="A56:B56"/>
    <mergeCell ref="A55:B55"/>
    <mergeCell ref="A74:D74"/>
    <mergeCell ref="A52:B52"/>
    <mergeCell ref="A50:B50"/>
    <mergeCell ref="A33:B33"/>
    <mergeCell ref="A46:B46"/>
    <mergeCell ref="A29:B29"/>
    <mergeCell ref="A28:B28"/>
    <mergeCell ref="B5:E5"/>
    <mergeCell ref="A13:E16"/>
    <mergeCell ref="B8:C10"/>
    <mergeCell ref="A32:B3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E1" zoomScaleNormal="100" workbookViewId="0">
      <selection activeCell="F3" sqref="F3:F4"/>
    </sheetView>
  </sheetViews>
  <sheetFormatPr baseColWidth="10" defaultRowHeight="14.4" x14ac:dyDescent="0.3"/>
  <cols>
    <col min="1" max="1" width="4.33203125" hidden="1" customWidth="1"/>
    <col min="2" max="3" width="4.33203125" customWidth="1"/>
    <col min="4" max="4" width="18.33203125" customWidth="1"/>
    <col min="5" max="5" width="32.44140625" bestFit="1" customWidth="1"/>
    <col min="6" max="6" width="5.44140625" customWidth="1"/>
    <col min="7" max="7" width="14.109375" customWidth="1"/>
    <col min="8" max="8" width="11.5546875" customWidth="1"/>
    <col min="9" max="9" width="10.5546875" customWidth="1"/>
    <col min="10" max="11" width="9.5546875" customWidth="1"/>
    <col min="12" max="12" width="11.6640625" bestFit="1" customWidth="1"/>
    <col min="13" max="15" width="11.6640625" customWidth="1"/>
    <col min="16" max="16" width="14.6640625" customWidth="1"/>
    <col min="17" max="17" width="14.33203125" customWidth="1"/>
    <col min="18" max="18" width="10.44140625" hidden="1" customWidth="1"/>
    <col min="19" max="19" width="12" bestFit="1" customWidth="1"/>
    <col min="20" max="20" width="13" bestFit="1" customWidth="1"/>
  </cols>
  <sheetData>
    <row r="1" spans="1:20" ht="12.9" customHeight="1" x14ac:dyDescent="0.3">
      <c r="A1" s="6"/>
      <c r="B1" s="6"/>
      <c r="C1" s="6"/>
      <c r="D1" s="6" t="s">
        <v>262</v>
      </c>
      <c r="E1" s="6" t="s">
        <v>184</v>
      </c>
      <c r="F1" s="191">
        <v>2102777.02</v>
      </c>
      <c r="G1" s="191"/>
      <c r="H1" s="6"/>
      <c r="I1" s="6"/>
      <c r="J1" s="6"/>
      <c r="K1" s="7" t="s">
        <v>5</v>
      </c>
      <c r="L1" s="6"/>
      <c r="M1" s="193">
        <f>P1</f>
        <v>3600000</v>
      </c>
      <c r="N1" s="193"/>
      <c r="O1" s="157"/>
      <c r="P1" s="198">
        <v>3600000</v>
      </c>
      <c r="Q1" s="198"/>
      <c r="R1" s="20"/>
    </row>
    <row r="2" spans="1:20" ht="12.9" customHeight="1" thickBot="1" x14ac:dyDescent="0.35">
      <c r="A2" s="6"/>
      <c r="B2" s="6"/>
      <c r="C2" s="6"/>
      <c r="D2" s="6" t="s">
        <v>263</v>
      </c>
      <c r="E2" s="6" t="s">
        <v>185</v>
      </c>
      <c r="F2" s="192">
        <v>568429.56999999995</v>
      </c>
      <c r="G2" s="192"/>
      <c r="H2" s="6" t="s">
        <v>267</v>
      </c>
      <c r="I2" s="197">
        <v>1000000</v>
      </c>
      <c r="J2" s="197"/>
      <c r="K2" s="6" t="s">
        <v>264</v>
      </c>
      <c r="L2" s="6"/>
      <c r="M2" s="197">
        <v>304993.06</v>
      </c>
      <c r="N2" s="197"/>
      <c r="O2" s="159"/>
      <c r="P2" s="199"/>
      <c r="Q2" s="199"/>
    </row>
    <row r="3" spans="1:20" ht="24" customHeight="1" x14ac:dyDescent="0.3">
      <c r="A3" s="182" t="s">
        <v>6</v>
      </c>
      <c r="B3" s="129"/>
      <c r="C3" s="184" t="s">
        <v>7</v>
      </c>
      <c r="D3" s="184" t="s">
        <v>8</v>
      </c>
      <c r="E3" s="184" t="s">
        <v>30</v>
      </c>
      <c r="F3" s="184" t="s">
        <v>12</v>
      </c>
      <c r="G3" s="186" t="s">
        <v>178</v>
      </c>
      <c r="H3" s="184" t="s">
        <v>9</v>
      </c>
      <c r="I3" s="188" t="s">
        <v>33</v>
      </c>
      <c r="J3" s="186" t="s">
        <v>44</v>
      </c>
      <c r="K3" s="186" t="str">
        <f>K2</f>
        <v>Plan de pago metrogas:</v>
      </c>
      <c r="L3" s="186" t="s">
        <v>28</v>
      </c>
      <c r="M3" s="186" t="s">
        <v>182</v>
      </c>
      <c r="N3" s="186" t="s">
        <v>183</v>
      </c>
      <c r="O3" s="186" t="s">
        <v>266</v>
      </c>
      <c r="P3" s="60" t="s">
        <v>40</v>
      </c>
      <c r="Q3" s="194" t="s">
        <v>39</v>
      </c>
      <c r="T3" s="45"/>
    </row>
    <row r="4" spans="1:20" ht="25.5" customHeight="1" x14ac:dyDescent="0.3">
      <c r="A4" s="183"/>
      <c r="B4" s="130"/>
      <c r="C4" s="185"/>
      <c r="D4" s="185"/>
      <c r="E4" s="196"/>
      <c r="F4" s="185"/>
      <c r="G4" s="187"/>
      <c r="H4" s="185"/>
      <c r="I4" s="189"/>
      <c r="J4" s="187"/>
      <c r="K4" s="190"/>
      <c r="L4" s="187"/>
      <c r="M4" s="187"/>
      <c r="N4" s="187"/>
      <c r="O4" s="187"/>
      <c r="P4" s="59" t="str">
        <f>RESUMEN!B8</f>
        <v>VTO 16/06</v>
      </c>
      <c r="Q4" s="195"/>
    </row>
    <row r="5" spans="1:20" ht="17.100000000000001" customHeight="1" x14ac:dyDescent="0.3">
      <c r="A5" s="62"/>
      <c r="B5" s="62" t="s">
        <v>48</v>
      </c>
      <c r="C5" s="62">
        <v>33</v>
      </c>
      <c r="D5" s="62" t="s">
        <v>49</v>
      </c>
      <c r="E5" s="62"/>
      <c r="F5" s="71">
        <v>2.0199999999999999E-2</v>
      </c>
      <c r="G5" s="72">
        <v>130762.33</v>
      </c>
      <c r="H5" s="132">
        <f>G5</f>
        <v>130762.33</v>
      </c>
      <c r="I5" s="73">
        <f t="shared" ref="I5:I36" si="0">G5-H5</f>
        <v>0</v>
      </c>
      <c r="J5" s="73">
        <f>IF(I5&gt;0,I5*3%,0)</f>
        <v>0</v>
      </c>
      <c r="K5" s="75">
        <f>M$2*F5</f>
        <v>6160.8598119999997</v>
      </c>
      <c r="L5" s="75">
        <f>M$1*F5</f>
        <v>72720</v>
      </c>
      <c r="M5" s="146">
        <f>F$1*F5</f>
        <v>42476.095803999997</v>
      </c>
      <c r="N5" s="146">
        <f>F$2*F5</f>
        <v>11482.277313999999</v>
      </c>
      <c r="O5" s="146">
        <f>I$2*F5</f>
        <v>20200</v>
      </c>
      <c r="P5" s="76">
        <f>ROUND(SUM(I5:O5),0) + R5</f>
        <v>153039.32999999999</v>
      </c>
      <c r="Q5" s="77">
        <f t="shared" ref="Q5:Q36" si="1">ROUND(P5*3%,0) + P5</f>
        <v>157630.32999999999</v>
      </c>
      <c r="R5" s="45">
        <f>ROUND(0.001+C5/100,2)</f>
        <v>0.33</v>
      </c>
    </row>
    <row r="6" spans="1:20" ht="17.100000000000001" customHeight="1" x14ac:dyDescent="0.3">
      <c r="A6" s="62"/>
      <c r="B6" s="62" t="s">
        <v>50</v>
      </c>
      <c r="C6" s="62">
        <v>34</v>
      </c>
      <c r="D6" s="62" t="s">
        <v>51</v>
      </c>
      <c r="E6" s="63"/>
      <c r="F6" s="71">
        <v>1.3899999999999999E-2</v>
      </c>
      <c r="G6" s="72">
        <v>172659.34</v>
      </c>
      <c r="H6" s="132">
        <f>G6</f>
        <v>172659.34</v>
      </c>
      <c r="I6" s="73">
        <f t="shared" si="0"/>
        <v>0</v>
      </c>
      <c r="J6" s="73">
        <f t="shared" ref="J6:J69" si="2">IF(I6&gt;0,I6*3%,0)</f>
        <v>0</v>
      </c>
      <c r="K6" s="75">
        <f t="shared" ref="K6:K69" si="3">M$2*F6</f>
        <v>4239.403534</v>
      </c>
      <c r="L6" s="75">
        <f t="shared" ref="L6:L69" si="4">M$1*F6</f>
        <v>50040</v>
      </c>
      <c r="M6" s="146">
        <f t="shared" ref="M6:M69" si="5">F$1*F6</f>
        <v>29228.600577999998</v>
      </c>
      <c r="N6" s="146">
        <f t="shared" ref="N6:N69" si="6">F$2*F6</f>
        <v>7901.171022999999</v>
      </c>
      <c r="O6" s="146">
        <f t="shared" ref="O6:O69" si="7">I$2*F6</f>
        <v>13900</v>
      </c>
      <c r="P6" s="76">
        <f>ROUND(SUM(I6:O6),0) + R6</f>
        <v>105309.34</v>
      </c>
      <c r="Q6" s="77">
        <f t="shared" si="1"/>
        <v>108468.34</v>
      </c>
      <c r="R6" s="45">
        <f t="shared" ref="R6:R69" si="8">ROUND(0.001+C6/100,2)</f>
        <v>0.34</v>
      </c>
      <c r="S6" s="45"/>
    </row>
    <row r="7" spans="1:20" ht="17.100000000000001" customHeight="1" x14ac:dyDescent="0.3">
      <c r="A7" s="62">
        <v>1</v>
      </c>
      <c r="B7" s="62" t="s">
        <v>52</v>
      </c>
      <c r="C7" s="62">
        <v>35</v>
      </c>
      <c r="D7" s="62" t="s">
        <v>53</v>
      </c>
      <c r="E7" s="63"/>
      <c r="F7" s="71">
        <v>1.4200000000000001E-2</v>
      </c>
      <c r="G7" s="72">
        <v>91922.35</v>
      </c>
      <c r="H7" s="132"/>
      <c r="I7" s="73">
        <f t="shared" si="0"/>
        <v>91922.35</v>
      </c>
      <c r="J7" s="73">
        <f t="shared" si="2"/>
        <v>2757.6705000000002</v>
      </c>
      <c r="K7" s="75">
        <f t="shared" si="3"/>
        <v>4330.9014520000001</v>
      </c>
      <c r="L7" s="75">
        <f t="shared" si="4"/>
        <v>51120</v>
      </c>
      <c r="M7" s="146">
        <f t="shared" si="5"/>
        <v>29859.433684000003</v>
      </c>
      <c r="N7" s="146">
        <f t="shared" si="6"/>
        <v>8071.6998939999994</v>
      </c>
      <c r="O7" s="146">
        <f t="shared" si="7"/>
        <v>14200</v>
      </c>
      <c r="P7" s="76">
        <f>ROUND(SUM(I7:O7),0) + R7</f>
        <v>202262.35</v>
      </c>
      <c r="Q7" s="77">
        <f t="shared" si="1"/>
        <v>208330.35</v>
      </c>
      <c r="R7" s="45">
        <f t="shared" si="8"/>
        <v>0.35</v>
      </c>
    </row>
    <row r="8" spans="1:20" ht="17.100000000000001" customHeight="1" x14ac:dyDescent="0.3">
      <c r="A8" s="62">
        <v>2</v>
      </c>
      <c r="B8" s="62" t="s">
        <v>54</v>
      </c>
      <c r="C8" s="62">
        <v>36</v>
      </c>
      <c r="D8" s="62" t="s">
        <v>55</v>
      </c>
      <c r="E8" s="63"/>
      <c r="F8" s="71">
        <v>2.0199999999999999E-2</v>
      </c>
      <c r="G8" s="72">
        <v>130761.36</v>
      </c>
      <c r="H8" s="132">
        <f>100000+36000-H64</f>
        <v>134704.78</v>
      </c>
      <c r="I8" s="73">
        <f t="shared" si="0"/>
        <v>-3943.4199999999983</v>
      </c>
      <c r="J8" s="73">
        <f t="shared" si="2"/>
        <v>0</v>
      </c>
      <c r="K8" s="75">
        <f t="shared" si="3"/>
        <v>6160.8598119999997</v>
      </c>
      <c r="L8" s="75">
        <f t="shared" si="4"/>
        <v>72720</v>
      </c>
      <c r="M8" s="146">
        <f t="shared" si="5"/>
        <v>42476.095803999997</v>
      </c>
      <c r="N8" s="146">
        <f t="shared" si="6"/>
        <v>11482.277313999999</v>
      </c>
      <c r="O8" s="146">
        <f t="shared" si="7"/>
        <v>20200</v>
      </c>
      <c r="P8" s="76">
        <f t="shared" ref="P8:P69" si="9">ROUND(SUM(I8:O8),0) + R8</f>
        <v>149096.35999999999</v>
      </c>
      <c r="Q8" s="77">
        <f t="shared" si="1"/>
        <v>153569.35999999999</v>
      </c>
      <c r="R8" s="45">
        <f t="shared" si="8"/>
        <v>0.36</v>
      </c>
      <c r="T8" s="45"/>
    </row>
    <row r="9" spans="1:20" ht="17.100000000000001" customHeight="1" x14ac:dyDescent="0.3">
      <c r="A9" s="62">
        <v>3</v>
      </c>
      <c r="B9" s="62" t="s">
        <v>56</v>
      </c>
      <c r="C9" s="62">
        <v>37</v>
      </c>
      <c r="D9" s="62" t="s">
        <v>57</v>
      </c>
      <c r="E9" s="63" t="s">
        <v>240</v>
      </c>
      <c r="F9" s="71">
        <v>2.0199999999999999E-2</v>
      </c>
      <c r="G9" s="72">
        <v>247660.37</v>
      </c>
      <c r="H9" s="132">
        <f>147882.97+163447-H63</f>
        <v>308938.75999999995</v>
      </c>
      <c r="I9" s="73">
        <f t="shared" si="0"/>
        <v>-61278.389999999956</v>
      </c>
      <c r="J9" s="73">
        <f t="shared" si="2"/>
        <v>0</v>
      </c>
      <c r="K9" s="75">
        <f t="shared" si="3"/>
        <v>6160.8598119999997</v>
      </c>
      <c r="L9" s="75">
        <f t="shared" si="4"/>
        <v>72720</v>
      </c>
      <c r="M9" s="146">
        <f t="shared" si="5"/>
        <v>42476.095803999997</v>
      </c>
      <c r="N9" s="146">
        <f t="shared" si="6"/>
        <v>11482.277313999999</v>
      </c>
      <c r="O9" s="146">
        <f t="shared" si="7"/>
        <v>20200</v>
      </c>
      <c r="P9" s="76">
        <f t="shared" si="9"/>
        <v>91761.37</v>
      </c>
      <c r="Q9" s="77">
        <f t="shared" si="1"/>
        <v>94514.37</v>
      </c>
      <c r="R9" s="45">
        <f t="shared" si="8"/>
        <v>0.37</v>
      </c>
      <c r="T9" s="45"/>
    </row>
    <row r="10" spans="1:20" ht="17.100000000000001" customHeight="1" x14ac:dyDescent="0.3">
      <c r="A10" s="62">
        <v>4</v>
      </c>
      <c r="B10" s="62" t="s">
        <v>58</v>
      </c>
      <c r="C10" s="62">
        <v>38</v>
      </c>
      <c r="D10" s="62" t="s">
        <v>59</v>
      </c>
      <c r="E10" s="62" t="s">
        <v>206</v>
      </c>
      <c r="F10" s="71">
        <v>1.3899999999999999E-2</v>
      </c>
      <c r="G10" s="72">
        <v>61766.38</v>
      </c>
      <c r="H10" s="132">
        <f>124289.43+846-H79</f>
        <v>61766.37999999999</v>
      </c>
      <c r="I10" s="73">
        <f t="shared" si="0"/>
        <v>0</v>
      </c>
      <c r="J10" s="73">
        <f t="shared" si="2"/>
        <v>0</v>
      </c>
      <c r="K10" s="75">
        <f t="shared" si="3"/>
        <v>4239.403534</v>
      </c>
      <c r="L10" s="75">
        <f t="shared" si="4"/>
        <v>50040</v>
      </c>
      <c r="M10" s="146">
        <f t="shared" si="5"/>
        <v>29228.600577999998</v>
      </c>
      <c r="N10" s="146">
        <f t="shared" si="6"/>
        <v>7901.171022999999</v>
      </c>
      <c r="O10" s="146">
        <f t="shared" si="7"/>
        <v>13900</v>
      </c>
      <c r="P10" s="76">
        <f t="shared" si="9"/>
        <v>105309.38</v>
      </c>
      <c r="Q10" s="77">
        <f t="shared" si="1"/>
        <v>108468.38</v>
      </c>
      <c r="R10" s="45">
        <f t="shared" si="8"/>
        <v>0.38</v>
      </c>
    </row>
    <row r="11" spans="1:20" ht="17.100000000000001" customHeight="1" x14ac:dyDescent="0.3">
      <c r="A11" s="62">
        <v>5</v>
      </c>
      <c r="B11" s="62" t="s">
        <v>60</v>
      </c>
      <c r="C11" s="62">
        <v>39</v>
      </c>
      <c r="D11" s="61" t="s">
        <v>225</v>
      </c>
      <c r="E11" s="62"/>
      <c r="F11" s="71">
        <v>1.3899999999999999E-2</v>
      </c>
      <c r="G11" s="72">
        <v>89980.39</v>
      </c>
      <c r="H11" s="132">
        <f>G11</f>
        <v>89980.39</v>
      </c>
      <c r="I11" s="73">
        <f t="shared" si="0"/>
        <v>0</v>
      </c>
      <c r="J11" s="73">
        <f t="shared" si="2"/>
        <v>0</v>
      </c>
      <c r="K11" s="75">
        <f t="shared" si="3"/>
        <v>4239.403534</v>
      </c>
      <c r="L11" s="75">
        <f t="shared" si="4"/>
        <v>50040</v>
      </c>
      <c r="M11" s="146">
        <f t="shared" si="5"/>
        <v>29228.600577999998</v>
      </c>
      <c r="N11" s="146">
        <f t="shared" si="6"/>
        <v>7901.171022999999</v>
      </c>
      <c r="O11" s="146">
        <f t="shared" si="7"/>
        <v>13900</v>
      </c>
      <c r="P11" s="76">
        <f t="shared" si="9"/>
        <v>105309.39</v>
      </c>
      <c r="Q11" s="77">
        <f>ROUND(P11*3%,0) + P11</f>
        <v>108468.39</v>
      </c>
      <c r="R11" s="45">
        <f t="shared" si="8"/>
        <v>0.39</v>
      </c>
    </row>
    <row r="12" spans="1:20" ht="17.100000000000001" customHeight="1" x14ac:dyDescent="0.3">
      <c r="A12" s="62">
        <v>6</v>
      </c>
      <c r="B12" s="62" t="s">
        <v>61</v>
      </c>
      <c r="C12" s="62">
        <v>40</v>
      </c>
      <c r="D12" s="62" t="s">
        <v>62</v>
      </c>
      <c r="E12" s="63"/>
      <c r="F12" s="71">
        <v>2.0199999999999999E-2</v>
      </c>
      <c r="G12" s="72">
        <v>130762.4</v>
      </c>
      <c r="H12" s="132">
        <f>170023.44-H78</f>
        <v>135714.4</v>
      </c>
      <c r="I12" s="73">
        <f t="shared" si="0"/>
        <v>-4952</v>
      </c>
      <c r="J12" s="73">
        <f t="shared" si="2"/>
        <v>0</v>
      </c>
      <c r="K12" s="75">
        <f t="shared" si="3"/>
        <v>6160.8598119999997</v>
      </c>
      <c r="L12" s="75">
        <f t="shared" si="4"/>
        <v>72720</v>
      </c>
      <c r="M12" s="146">
        <f t="shared" si="5"/>
        <v>42476.095803999997</v>
      </c>
      <c r="N12" s="146">
        <f t="shared" si="6"/>
        <v>11482.277313999999</v>
      </c>
      <c r="O12" s="146">
        <f t="shared" si="7"/>
        <v>20200</v>
      </c>
      <c r="P12" s="76">
        <f t="shared" si="9"/>
        <v>148087.4</v>
      </c>
      <c r="Q12" s="77">
        <f t="shared" si="1"/>
        <v>152530.4</v>
      </c>
      <c r="R12" s="45">
        <f t="shared" si="8"/>
        <v>0.4</v>
      </c>
    </row>
    <row r="13" spans="1:20" ht="17.100000000000001" customHeight="1" x14ac:dyDescent="0.3">
      <c r="A13" s="62">
        <v>7</v>
      </c>
      <c r="B13" s="62" t="s">
        <v>63</v>
      </c>
      <c r="C13" s="62">
        <v>41</v>
      </c>
      <c r="D13" s="62" t="s">
        <v>64</v>
      </c>
      <c r="E13" s="63" t="s">
        <v>247</v>
      </c>
      <c r="F13" s="71">
        <v>2.0199999999999999E-2</v>
      </c>
      <c r="G13" s="72">
        <v>130762.41</v>
      </c>
      <c r="H13" s="132">
        <f>G13</f>
        <v>130762.41</v>
      </c>
      <c r="I13" s="73">
        <f t="shared" si="0"/>
        <v>0</v>
      </c>
      <c r="J13" s="73">
        <f t="shared" si="2"/>
        <v>0</v>
      </c>
      <c r="K13" s="75">
        <f t="shared" si="3"/>
        <v>6160.8598119999997</v>
      </c>
      <c r="L13" s="75">
        <f t="shared" si="4"/>
        <v>72720</v>
      </c>
      <c r="M13" s="146">
        <f t="shared" si="5"/>
        <v>42476.095803999997</v>
      </c>
      <c r="N13" s="146">
        <f t="shared" si="6"/>
        <v>11482.277313999999</v>
      </c>
      <c r="O13" s="146">
        <f t="shared" si="7"/>
        <v>20200</v>
      </c>
      <c r="P13" s="76">
        <f t="shared" si="9"/>
        <v>153039.41</v>
      </c>
      <c r="Q13" s="77">
        <f t="shared" si="1"/>
        <v>157630.41</v>
      </c>
      <c r="R13" s="45">
        <f t="shared" si="8"/>
        <v>0.41</v>
      </c>
    </row>
    <row r="14" spans="1:20" ht="17.100000000000001" customHeight="1" x14ac:dyDescent="0.3">
      <c r="A14" s="62">
        <v>8</v>
      </c>
      <c r="B14" s="62" t="s">
        <v>65</v>
      </c>
      <c r="C14" s="62">
        <v>42</v>
      </c>
      <c r="D14" s="62" t="s">
        <v>66</v>
      </c>
      <c r="E14" s="62" t="s">
        <v>199</v>
      </c>
      <c r="F14" s="71">
        <v>1.3899999999999999E-2</v>
      </c>
      <c r="G14" s="72">
        <v>89980.42</v>
      </c>
      <c r="H14" s="132">
        <f>G14</f>
        <v>89980.42</v>
      </c>
      <c r="I14" s="73">
        <f t="shared" si="0"/>
        <v>0</v>
      </c>
      <c r="J14" s="73">
        <f t="shared" si="2"/>
        <v>0</v>
      </c>
      <c r="K14" s="75">
        <f t="shared" si="3"/>
        <v>4239.403534</v>
      </c>
      <c r="L14" s="75">
        <f t="shared" si="4"/>
        <v>50040</v>
      </c>
      <c r="M14" s="146">
        <f t="shared" si="5"/>
        <v>29228.600577999998</v>
      </c>
      <c r="N14" s="146">
        <f t="shared" si="6"/>
        <v>7901.171022999999</v>
      </c>
      <c r="O14" s="146">
        <f t="shared" si="7"/>
        <v>13900</v>
      </c>
      <c r="P14" s="76">
        <f t="shared" si="9"/>
        <v>105309.42</v>
      </c>
      <c r="Q14" s="77">
        <f t="shared" si="1"/>
        <v>108468.42</v>
      </c>
      <c r="R14" s="45">
        <f t="shared" si="8"/>
        <v>0.42</v>
      </c>
    </row>
    <row r="15" spans="1:20" ht="17.100000000000001" customHeight="1" x14ac:dyDescent="0.3">
      <c r="A15" s="62">
        <v>1</v>
      </c>
      <c r="B15" s="62" t="s">
        <v>67</v>
      </c>
      <c r="C15" s="62">
        <v>43</v>
      </c>
      <c r="D15" s="62" t="s">
        <v>66</v>
      </c>
      <c r="E15" s="62" t="s">
        <v>204</v>
      </c>
      <c r="F15" s="71">
        <v>1.3899999999999999E-2</v>
      </c>
      <c r="G15" s="72">
        <v>89980.43</v>
      </c>
      <c r="H15" s="132"/>
      <c r="I15" s="73">
        <f t="shared" si="0"/>
        <v>89980.43</v>
      </c>
      <c r="J15" s="73">
        <f t="shared" si="2"/>
        <v>2699.4128999999998</v>
      </c>
      <c r="K15" s="75">
        <f t="shared" si="3"/>
        <v>4239.403534</v>
      </c>
      <c r="L15" s="75">
        <f t="shared" si="4"/>
        <v>50040</v>
      </c>
      <c r="M15" s="146">
        <f t="shared" si="5"/>
        <v>29228.600577999998</v>
      </c>
      <c r="N15" s="146">
        <f t="shared" si="6"/>
        <v>7901.171022999999</v>
      </c>
      <c r="O15" s="146">
        <f t="shared" si="7"/>
        <v>13900</v>
      </c>
      <c r="P15" s="76">
        <f t="shared" si="9"/>
        <v>197989.43</v>
      </c>
      <c r="Q15" s="77">
        <f t="shared" si="1"/>
        <v>203929.43</v>
      </c>
      <c r="R15" s="45">
        <f t="shared" si="8"/>
        <v>0.43</v>
      </c>
    </row>
    <row r="16" spans="1:20" ht="17.100000000000001" customHeight="1" x14ac:dyDescent="0.3">
      <c r="A16" s="62">
        <v>1</v>
      </c>
      <c r="B16" s="62" t="s">
        <v>68</v>
      </c>
      <c r="C16" s="62">
        <v>44</v>
      </c>
      <c r="D16" s="62" t="s">
        <v>69</v>
      </c>
      <c r="E16" s="63" t="s">
        <v>197</v>
      </c>
      <c r="F16" s="71">
        <v>2.0199999999999999E-2</v>
      </c>
      <c r="G16" s="72">
        <v>130762.44</v>
      </c>
      <c r="H16" s="132">
        <v>135685.44</v>
      </c>
      <c r="I16" s="73">
        <f t="shared" si="0"/>
        <v>-4923</v>
      </c>
      <c r="J16" s="73">
        <f t="shared" si="2"/>
        <v>0</v>
      </c>
      <c r="K16" s="75">
        <f t="shared" si="3"/>
        <v>6160.8598119999997</v>
      </c>
      <c r="L16" s="75">
        <f t="shared" si="4"/>
        <v>72720</v>
      </c>
      <c r="M16" s="146">
        <f t="shared" si="5"/>
        <v>42476.095803999997</v>
      </c>
      <c r="N16" s="146">
        <f t="shared" si="6"/>
        <v>11482.277313999999</v>
      </c>
      <c r="O16" s="146">
        <f t="shared" si="7"/>
        <v>20200</v>
      </c>
      <c r="P16" s="76">
        <f t="shared" si="9"/>
        <v>148116.44</v>
      </c>
      <c r="Q16" s="77">
        <f t="shared" si="1"/>
        <v>152559.44</v>
      </c>
      <c r="R16" s="45">
        <f t="shared" si="8"/>
        <v>0.44</v>
      </c>
    </row>
    <row r="17" spans="1:20" ht="17.100000000000001" customHeight="1" x14ac:dyDescent="0.3">
      <c r="A17" s="62">
        <v>2</v>
      </c>
      <c r="B17" s="62" t="s">
        <v>70</v>
      </c>
      <c r="C17" s="62">
        <v>45</v>
      </c>
      <c r="D17" s="62" t="s">
        <v>66</v>
      </c>
      <c r="E17" s="63" t="s">
        <v>202</v>
      </c>
      <c r="F17" s="71">
        <v>2.0199999999999999E-2</v>
      </c>
      <c r="G17" s="72">
        <v>130762.45</v>
      </c>
      <c r="H17" s="132">
        <f>G17</f>
        <v>130762.45</v>
      </c>
      <c r="I17" s="73">
        <f t="shared" si="0"/>
        <v>0</v>
      </c>
      <c r="J17" s="73">
        <f t="shared" si="2"/>
        <v>0</v>
      </c>
      <c r="K17" s="75">
        <f t="shared" si="3"/>
        <v>6160.8598119999997</v>
      </c>
      <c r="L17" s="75">
        <f t="shared" si="4"/>
        <v>72720</v>
      </c>
      <c r="M17" s="146">
        <f t="shared" si="5"/>
        <v>42476.095803999997</v>
      </c>
      <c r="N17" s="146">
        <f t="shared" si="6"/>
        <v>11482.277313999999</v>
      </c>
      <c r="O17" s="146">
        <f t="shared" si="7"/>
        <v>20200</v>
      </c>
      <c r="P17" s="76">
        <f t="shared" si="9"/>
        <v>153039.45000000001</v>
      </c>
      <c r="Q17" s="77">
        <f t="shared" si="1"/>
        <v>157630.45000000001</v>
      </c>
      <c r="R17" s="45">
        <f t="shared" si="8"/>
        <v>0.45</v>
      </c>
    </row>
    <row r="18" spans="1:20" ht="17.100000000000001" customHeight="1" x14ac:dyDescent="0.3">
      <c r="A18" s="62">
        <v>2</v>
      </c>
      <c r="B18" s="62" t="s">
        <v>71</v>
      </c>
      <c r="C18" s="62">
        <v>46</v>
      </c>
      <c r="D18" s="62" t="s">
        <v>66</v>
      </c>
      <c r="E18" s="62" t="s">
        <v>214</v>
      </c>
      <c r="F18" s="71">
        <v>1.3899999999999999E-2</v>
      </c>
      <c r="G18" s="72">
        <v>92769.46</v>
      </c>
      <c r="H18" s="132">
        <f>G18</f>
        <v>92769.46</v>
      </c>
      <c r="I18" s="73">
        <f t="shared" si="0"/>
        <v>0</v>
      </c>
      <c r="J18" s="73">
        <f t="shared" si="2"/>
        <v>0</v>
      </c>
      <c r="K18" s="75">
        <f t="shared" si="3"/>
        <v>4239.403534</v>
      </c>
      <c r="L18" s="75">
        <f t="shared" si="4"/>
        <v>50040</v>
      </c>
      <c r="M18" s="146">
        <f t="shared" si="5"/>
        <v>29228.600577999998</v>
      </c>
      <c r="N18" s="146">
        <f t="shared" si="6"/>
        <v>7901.171022999999</v>
      </c>
      <c r="O18" s="146">
        <f t="shared" si="7"/>
        <v>13900</v>
      </c>
      <c r="P18" s="76">
        <f t="shared" si="9"/>
        <v>105309.46</v>
      </c>
      <c r="Q18" s="77">
        <f t="shared" si="1"/>
        <v>108468.46</v>
      </c>
      <c r="R18" s="45">
        <f t="shared" si="8"/>
        <v>0.46</v>
      </c>
    </row>
    <row r="19" spans="1:20" ht="17.100000000000001" customHeight="1" x14ac:dyDescent="0.3">
      <c r="A19" s="62">
        <v>3</v>
      </c>
      <c r="B19" s="62" t="s">
        <v>72</v>
      </c>
      <c r="C19" s="62">
        <v>47</v>
      </c>
      <c r="D19" s="62" t="s">
        <v>66</v>
      </c>
      <c r="E19" s="63" t="s">
        <v>271</v>
      </c>
      <c r="F19" s="71">
        <v>1.3899999999999999E-2</v>
      </c>
      <c r="G19" s="72">
        <v>139520.47</v>
      </c>
      <c r="H19" s="166"/>
      <c r="I19" s="73">
        <f t="shared" si="0"/>
        <v>139520.47</v>
      </c>
      <c r="J19" s="73">
        <f t="shared" si="2"/>
        <v>4185.6140999999998</v>
      </c>
      <c r="K19" s="75">
        <f t="shared" si="3"/>
        <v>4239.403534</v>
      </c>
      <c r="L19" s="75">
        <f t="shared" si="4"/>
        <v>50040</v>
      </c>
      <c r="M19" s="146">
        <f t="shared" si="5"/>
        <v>29228.600577999998</v>
      </c>
      <c r="N19" s="146">
        <f t="shared" si="6"/>
        <v>7901.171022999999</v>
      </c>
      <c r="O19" s="146">
        <f t="shared" si="7"/>
        <v>13900</v>
      </c>
      <c r="P19" s="76">
        <f t="shared" si="9"/>
        <v>249015.47</v>
      </c>
      <c r="Q19" s="77">
        <f t="shared" si="1"/>
        <v>256485.47</v>
      </c>
      <c r="R19" s="45">
        <f t="shared" si="8"/>
        <v>0.47</v>
      </c>
      <c r="S19" s="49" t="s">
        <v>272</v>
      </c>
    </row>
    <row r="20" spans="1:20" ht="17.100000000000001" customHeight="1" x14ac:dyDescent="0.3">
      <c r="A20" s="62">
        <v>3</v>
      </c>
      <c r="B20" s="62" t="s">
        <v>73</v>
      </c>
      <c r="C20" s="62">
        <v>48</v>
      </c>
      <c r="D20" s="62" t="s">
        <v>74</v>
      </c>
      <c r="E20" s="62" t="s">
        <v>270</v>
      </c>
      <c r="F20" s="71">
        <v>2.0199999999999999E-2</v>
      </c>
      <c r="G20" s="72">
        <v>130762.48</v>
      </c>
      <c r="H20" s="166">
        <f>40000+9980+20000+20000+48097+20000+20000+165071.63-H89</f>
        <v>308839.48</v>
      </c>
      <c r="I20" s="73">
        <f t="shared" si="0"/>
        <v>-178077</v>
      </c>
      <c r="J20" s="73">
        <f t="shared" si="2"/>
        <v>0</v>
      </c>
      <c r="K20" s="75">
        <f t="shared" si="3"/>
        <v>6160.8598119999997</v>
      </c>
      <c r="L20" s="75">
        <f t="shared" si="4"/>
        <v>72720</v>
      </c>
      <c r="M20" s="146">
        <f t="shared" si="5"/>
        <v>42476.095803999997</v>
      </c>
      <c r="N20" s="146">
        <f t="shared" si="6"/>
        <v>11482.277313999999</v>
      </c>
      <c r="O20" s="146">
        <f t="shared" si="7"/>
        <v>20200</v>
      </c>
      <c r="P20" s="76">
        <f t="shared" si="9"/>
        <v>-25037.52</v>
      </c>
      <c r="Q20" s="77">
        <f t="shared" si="1"/>
        <v>-25788.52</v>
      </c>
      <c r="R20" s="45">
        <f t="shared" si="8"/>
        <v>0.48</v>
      </c>
      <c r="S20" s="49" t="s">
        <v>273</v>
      </c>
      <c r="T20" s="44"/>
    </row>
    <row r="21" spans="1:20" ht="17.100000000000001" customHeight="1" x14ac:dyDescent="0.3">
      <c r="A21" s="62">
        <v>4</v>
      </c>
      <c r="B21" s="62" t="s">
        <v>75</v>
      </c>
      <c r="C21" s="62">
        <v>49</v>
      </c>
      <c r="D21" s="62" t="s">
        <v>66</v>
      </c>
      <c r="E21" s="63" t="s">
        <v>249</v>
      </c>
      <c r="F21" s="71">
        <v>2.0199999999999999E-2</v>
      </c>
      <c r="G21" s="72">
        <v>130762.49</v>
      </c>
      <c r="H21" s="132">
        <f>G21</f>
        <v>130762.49</v>
      </c>
      <c r="I21" s="73">
        <f t="shared" si="0"/>
        <v>0</v>
      </c>
      <c r="J21" s="73">
        <f t="shared" si="2"/>
        <v>0</v>
      </c>
      <c r="K21" s="75">
        <f t="shared" si="3"/>
        <v>6160.8598119999997</v>
      </c>
      <c r="L21" s="75">
        <f t="shared" si="4"/>
        <v>72720</v>
      </c>
      <c r="M21" s="146">
        <f t="shared" si="5"/>
        <v>42476.095803999997</v>
      </c>
      <c r="N21" s="146">
        <f t="shared" si="6"/>
        <v>11482.277313999999</v>
      </c>
      <c r="O21" s="146">
        <f t="shared" si="7"/>
        <v>20200</v>
      </c>
      <c r="P21" s="76">
        <f t="shared" si="9"/>
        <v>153039.49</v>
      </c>
      <c r="Q21" s="77">
        <f t="shared" si="1"/>
        <v>157630.49</v>
      </c>
      <c r="R21" s="45">
        <f t="shared" si="8"/>
        <v>0.49</v>
      </c>
    </row>
    <row r="22" spans="1:20" ht="17.100000000000001" customHeight="1" x14ac:dyDescent="0.3">
      <c r="A22" s="62">
        <v>4</v>
      </c>
      <c r="B22" s="62" t="s">
        <v>76</v>
      </c>
      <c r="C22" s="62">
        <v>50</v>
      </c>
      <c r="D22" s="62" t="s">
        <v>66</v>
      </c>
      <c r="E22" s="137"/>
      <c r="F22" s="71">
        <v>1.3899999999999999E-2</v>
      </c>
      <c r="G22" s="72">
        <v>228654.5</v>
      </c>
      <c r="H22" s="132"/>
      <c r="I22" s="73">
        <f t="shared" si="0"/>
        <v>228654.5</v>
      </c>
      <c r="J22" s="73">
        <f t="shared" si="2"/>
        <v>6859.6349999999993</v>
      </c>
      <c r="K22" s="75">
        <f t="shared" si="3"/>
        <v>4239.403534</v>
      </c>
      <c r="L22" s="75">
        <f t="shared" si="4"/>
        <v>50040</v>
      </c>
      <c r="M22" s="146">
        <f t="shared" si="5"/>
        <v>29228.600577999998</v>
      </c>
      <c r="N22" s="146">
        <f t="shared" si="6"/>
        <v>7901.171022999999</v>
      </c>
      <c r="O22" s="146">
        <f t="shared" si="7"/>
        <v>13900</v>
      </c>
      <c r="P22" s="76">
        <f t="shared" si="9"/>
        <v>340823.5</v>
      </c>
      <c r="Q22" s="77">
        <f t="shared" si="1"/>
        <v>351048.5</v>
      </c>
      <c r="R22" s="45">
        <f t="shared" si="8"/>
        <v>0.5</v>
      </c>
    </row>
    <row r="23" spans="1:20" ht="17.100000000000001" customHeight="1" x14ac:dyDescent="0.3">
      <c r="A23" s="62">
        <v>5</v>
      </c>
      <c r="B23" s="62" t="s">
        <v>77</v>
      </c>
      <c r="C23" s="62">
        <v>51</v>
      </c>
      <c r="D23" s="62" t="s">
        <v>66</v>
      </c>
      <c r="E23" s="63" t="s">
        <v>244</v>
      </c>
      <c r="F23" s="71">
        <v>1.3899999999999999E-2</v>
      </c>
      <c r="G23" s="72">
        <v>170420.51</v>
      </c>
      <c r="H23" s="132">
        <f>106311</f>
        <v>106311</v>
      </c>
      <c r="I23" s="73">
        <f t="shared" si="0"/>
        <v>64109.510000000009</v>
      </c>
      <c r="J23" s="73">
        <f t="shared" si="2"/>
        <v>1923.2853000000002</v>
      </c>
      <c r="K23" s="75">
        <f t="shared" si="3"/>
        <v>4239.403534</v>
      </c>
      <c r="L23" s="75">
        <f t="shared" si="4"/>
        <v>50040</v>
      </c>
      <c r="M23" s="146">
        <f t="shared" si="5"/>
        <v>29228.600577999998</v>
      </c>
      <c r="N23" s="146">
        <f t="shared" si="6"/>
        <v>7901.171022999999</v>
      </c>
      <c r="O23" s="146">
        <f t="shared" si="7"/>
        <v>13900</v>
      </c>
      <c r="P23" s="76">
        <f t="shared" si="9"/>
        <v>171342.51</v>
      </c>
      <c r="Q23" s="77">
        <f t="shared" si="1"/>
        <v>176482.51</v>
      </c>
      <c r="R23" s="45">
        <f t="shared" si="8"/>
        <v>0.51</v>
      </c>
    </row>
    <row r="24" spans="1:20" ht="17.100000000000001" customHeight="1" x14ac:dyDescent="0.3">
      <c r="A24" s="62">
        <v>5</v>
      </c>
      <c r="B24" s="62" t="s">
        <v>78</v>
      </c>
      <c r="C24" s="62">
        <v>52</v>
      </c>
      <c r="D24" s="62" t="s">
        <v>79</v>
      </c>
      <c r="E24" s="62" t="s">
        <v>210</v>
      </c>
      <c r="F24" s="71">
        <v>2.0199999999999999E-2</v>
      </c>
      <c r="G24" s="72">
        <v>130762.52</v>
      </c>
      <c r="H24" s="132">
        <f>130762.52+34309.12-G86</f>
        <v>130762.52000000002</v>
      </c>
      <c r="I24" s="92">
        <f t="shared" si="0"/>
        <v>0</v>
      </c>
      <c r="J24" s="73">
        <f t="shared" si="2"/>
        <v>0</v>
      </c>
      <c r="K24" s="75">
        <f t="shared" si="3"/>
        <v>6160.8598119999997</v>
      </c>
      <c r="L24" s="75">
        <f t="shared" si="4"/>
        <v>72720</v>
      </c>
      <c r="M24" s="146">
        <f t="shared" si="5"/>
        <v>42476.095803999997</v>
      </c>
      <c r="N24" s="146">
        <f t="shared" si="6"/>
        <v>11482.277313999999</v>
      </c>
      <c r="O24" s="146">
        <f t="shared" si="7"/>
        <v>20200</v>
      </c>
      <c r="P24" s="76">
        <f t="shared" si="9"/>
        <v>153039.51999999999</v>
      </c>
      <c r="Q24" s="77">
        <f t="shared" si="1"/>
        <v>157630.51999999999</v>
      </c>
      <c r="R24" s="45">
        <f t="shared" si="8"/>
        <v>0.52</v>
      </c>
    </row>
    <row r="25" spans="1:20" ht="17.100000000000001" customHeight="1" x14ac:dyDescent="0.3">
      <c r="A25" s="62">
        <v>6</v>
      </c>
      <c r="B25" s="62" t="s">
        <v>80</v>
      </c>
      <c r="C25" s="62">
        <v>53</v>
      </c>
      <c r="D25" s="62" t="s">
        <v>81</v>
      </c>
      <c r="E25" s="63"/>
      <c r="F25" s="71">
        <v>2.0199999999999999E-2</v>
      </c>
      <c r="G25" s="72">
        <v>130762.53</v>
      </c>
      <c r="H25" s="132">
        <v>164685.53</v>
      </c>
      <c r="I25" s="73">
        <f t="shared" si="0"/>
        <v>-33923</v>
      </c>
      <c r="J25" s="73">
        <f t="shared" si="2"/>
        <v>0</v>
      </c>
      <c r="K25" s="75">
        <f t="shared" si="3"/>
        <v>6160.8598119999997</v>
      </c>
      <c r="L25" s="75">
        <f t="shared" si="4"/>
        <v>72720</v>
      </c>
      <c r="M25" s="146">
        <f t="shared" si="5"/>
        <v>42476.095803999997</v>
      </c>
      <c r="N25" s="146">
        <f t="shared" si="6"/>
        <v>11482.277313999999</v>
      </c>
      <c r="O25" s="146">
        <f t="shared" si="7"/>
        <v>20200</v>
      </c>
      <c r="P25" s="76">
        <f t="shared" si="9"/>
        <v>119116.53</v>
      </c>
      <c r="Q25" s="77">
        <f t="shared" si="1"/>
        <v>122689.53</v>
      </c>
      <c r="R25" s="45">
        <f t="shared" si="8"/>
        <v>0.53</v>
      </c>
    </row>
    <row r="26" spans="1:20" ht="17.100000000000001" customHeight="1" x14ac:dyDescent="0.3">
      <c r="A26" s="62">
        <v>6</v>
      </c>
      <c r="B26" s="62" t="s">
        <v>82</v>
      </c>
      <c r="C26" s="62">
        <v>54</v>
      </c>
      <c r="D26" s="62" t="s">
        <v>66</v>
      </c>
      <c r="E26" s="63" t="s">
        <v>213</v>
      </c>
      <c r="F26" s="71">
        <v>1.3899999999999999E-2</v>
      </c>
      <c r="G26" s="72">
        <v>89980.54</v>
      </c>
      <c r="H26" s="132">
        <f>G26</f>
        <v>89980.54</v>
      </c>
      <c r="I26" s="73">
        <f t="shared" si="0"/>
        <v>0</v>
      </c>
      <c r="J26" s="73">
        <f t="shared" si="2"/>
        <v>0</v>
      </c>
      <c r="K26" s="75">
        <f t="shared" si="3"/>
        <v>4239.403534</v>
      </c>
      <c r="L26" s="75">
        <f t="shared" si="4"/>
        <v>50040</v>
      </c>
      <c r="M26" s="146">
        <f t="shared" si="5"/>
        <v>29228.600577999998</v>
      </c>
      <c r="N26" s="146">
        <f t="shared" si="6"/>
        <v>7901.171022999999</v>
      </c>
      <c r="O26" s="146">
        <f t="shared" si="7"/>
        <v>13900</v>
      </c>
      <c r="P26" s="76">
        <f t="shared" si="9"/>
        <v>105309.54</v>
      </c>
      <c r="Q26" s="77">
        <f t="shared" si="1"/>
        <v>108468.54</v>
      </c>
      <c r="R26" s="45">
        <f t="shared" si="8"/>
        <v>0.54</v>
      </c>
    </row>
    <row r="27" spans="1:20" ht="17.100000000000001" customHeight="1" x14ac:dyDescent="0.3">
      <c r="A27" s="62">
        <v>7</v>
      </c>
      <c r="B27" s="62" t="s">
        <v>83</v>
      </c>
      <c r="C27" s="62">
        <v>55</v>
      </c>
      <c r="D27" s="62" t="s">
        <v>84</v>
      </c>
      <c r="E27" s="63" t="s">
        <v>256</v>
      </c>
      <c r="F27" s="71">
        <v>1.3899999999999999E-2</v>
      </c>
      <c r="G27" s="72">
        <v>151029.54999999999</v>
      </c>
      <c r="H27" s="132">
        <f>151029</f>
        <v>151029</v>
      </c>
      <c r="I27" s="73">
        <f t="shared" si="0"/>
        <v>0.54999999998835847</v>
      </c>
      <c r="J27" s="73">
        <f t="shared" si="2"/>
        <v>1.6499999999650752E-2</v>
      </c>
      <c r="K27" s="75">
        <f t="shared" si="3"/>
        <v>4239.403534</v>
      </c>
      <c r="L27" s="75">
        <f t="shared" si="4"/>
        <v>50040</v>
      </c>
      <c r="M27" s="146">
        <f t="shared" si="5"/>
        <v>29228.600577999998</v>
      </c>
      <c r="N27" s="146">
        <f t="shared" si="6"/>
        <v>7901.171022999999</v>
      </c>
      <c r="O27" s="146">
        <f t="shared" si="7"/>
        <v>13900</v>
      </c>
      <c r="P27" s="76">
        <f t="shared" si="9"/>
        <v>105310.55</v>
      </c>
      <c r="Q27" s="77">
        <f t="shared" si="1"/>
        <v>108469.55</v>
      </c>
      <c r="R27" s="45">
        <f t="shared" si="8"/>
        <v>0.55000000000000004</v>
      </c>
    </row>
    <row r="28" spans="1:20" ht="17.100000000000001" customHeight="1" x14ac:dyDescent="0.3">
      <c r="A28" s="62">
        <v>7</v>
      </c>
      <c r="B28" s="62" t="s">
        <v>85</v>
      </c>
      <c r="C28" s="62">
        <v>56</v>
      </c>
      <c r="D28" s="62" t="s">
        <v>86</v>
      </c>
      <c r="E28" s="63" t="s">
        <v>248</v>
      </c>
      <c r="F28" s="71">
        <v>2.0199999999999999E-2</v>
      </c>
      <c r="G28" s="72">
        <v>252041.56</v>
      </c>
      <c r="H28" s="132">
        <f>173012.81-H65</f>
        <v>171717.58</v>
      </c>
      <c r="I28" s="73">
        <f t="shared" si="0"/>
        <v>80323.98000000001</v>
      </c>
      <c r="J28" s="73">
        <f t="shared" si="2"/>
        <v>2409.7194000000004</v>
      </c>
      <c r="K28" s="75">
        <f t="shared" si="3"/>
        <v>6160.8598119999997</v>
      </c>
      <c r="L28" s="75">
        <f t="shared" si="4"/>
        <v>72720</v>
      </c>
      <c r="M28" s="146">
        <f t="shared" si="5"/>
        <v>42476.095803999997</v>
      </c>
      <c r="N28" s="146">
        <f t="shared" si="6"/>
        <v>11482.277313999999</v>
      </c>
      <c r="O28" s="146">
        <f t="shared" si="7"/>
        <v>20200</v>
      </c>
      <c r="P28" s="76">
        <f t="shared" si="9"/>
        <v>235773.56</v>
      </c>
      <c r="Q28" s="77">
        <f t="shared" si="1"/>
        <v>242846.56</v>
      </c>
      <c r="R28" s="45">
        <f t="shared" si="8"/>
        <v>0.56000000000000005</v>
      </c>
    </row>
    <row r="29" spans="1:20" ht="17.100000000000001" customHeight="1" x14ac:dyDescent="0.3">
      <c r="A29" s="62">
        <v>8</v>
      </c>
      <c r="B29" s="62" t="s">
        <v>87</v>
      </c>
      <c r="C29" s="62">
        <v>57</v>
      </c>
      <c r="D29" s="62" t="s">
        <v>88</v>
      </c>
      <c r="E29" s="62"/>
      <c r="F29" s="71">
        <v>2.0199999999999999E-2</v>
      </c>
      <c r="G29" s="72">
        <v>130762.57</v>
      </c>
      <c r="H29" s="132">
        <f>G29</f>
        <v>130762.57</v>
      </c>
      <c r="I29" s="73">
        <f t="shared" si="0"/>
        <v>0</v>
      </c>
      <c r="J29" s="73">
        <f t="shared" si="2"/>
        <v>0</v>
      </c>
      <c r="K29" s="75">
        <f t="shared" si="3"/>
        <v>6160.8598119999997</v>
      </c>
      <c r="L29" s="75">
        <f t="shared" si="4"/>
        <v>72720</v>
      </c>
      <c r="M29" s="146">
        <f t="shared" si="5"/>
        <v>42476.095803999997</v>
      </c>
      <c r="N29" s="146">
        <f t="shared" si="6"/>
        <v>11482.277313999999</v>
      </c>
      <c r="O29" s="146">
        <f t="shared" si="7"/>
        <v>20200</v>
      </c>
      <c r="P29" s="76">
        <f t="shared" si="9"/>
        <v>153039.57</v>
      </c>
      <c r="Q29" s="77">
        <f t="shared" si="1"/>
        <v>157630.57</v>
      </c>
      <c r="R29" s="45">
        <f t="shared" si="8"/>
        <v>0.56999999999999995</v>
      </c>
    </row>
    <row r="30" spans="1:20" ht="17.100000000000001" customHeight="1" x14ac:dyDescent="0.3">
      <c r="A30" s="62">
        <v>8</v>
      </c>
      <c r="B30" s="62" t="s">
        <v>89</v>
      </c>
      <c r="C30" s="62">
        <v>58</v>
      </c>
      <c r="D30" s="62" t="s">
        <v>90</v>
      </c>
      <c r="E30" s="62" t="s">
        <v>250</v>
      </c>
      <c r="F30" s="71">
        <v>1.3899999999999999E-2</v>
      </c>
      <c r="G30" s="72">
        <v>415281.58</v>
      </c>
      <c r="H30" s="132">
        <f>89980.58+271000+54301</f>
        <v>415281.58</v>
      </c>
      <c r="I30" s="73">
        <f t="shared" si="0"/>
        <v>0</v>
      </c>
      <c r="J30" s="73">
        <f t="shared" si="2"/>
        <v>0</v>
      </c>
      <c r="K30" s="75">
        <f t="shared" si="3"/>
        <v>4239.403534</v>
      </c>
      <c r="L30" s="75">
        <f t="shared" si="4"/>
        <v>50040</v>
      </c>
      <c r="M30" s="146">
        <f t="shared" si="5"/>
        <v>29228.600577999998</v>
      </c>
      <c r="N30" s="146">
        <f t="shared" si="6"/>
        <v>7901.171022999999</v>
      </c>
      <c r="O30" s="146">
        <f t="shared" si="7"/>
        <v>13900</v>
      </c>
      <c r="P30" s="76">
        <f t="shared" si="9"/>
        <v>105309.58</v>
      </c>
      <c r="Q30" s="77">
        <f t="shared" si="1"/>
        <v>108468.58</v>
      </c>
      <c r="R30" s="45">
        <f t="shared" si="8"/>
        <v>0.57999999999999996</v>
      </c>
    </row>
    <row r="31" spans="1:20" ht="17.100000000000001" customHeight="1" x14ac:dyDescent="0.3">
      <c r="A31" s="62">
        <v>9</v>
      </c>
      <c r="B31" s="62" t="s">
        <v>91</v>
      </c>
      <c r="C31" s="62">
        <v>59</v>
      </c>
      <c r="D31" s="62" t="s">
        <v>92</v>
      </c>
      <c r="E31" s="63"/>
      <c r="F31" s="71">
        <v>1.3899999999999999E-2</v>
      </c>
      <c r="G31" s="72">
        <v>90445.59</v>
      </c>
      <c r="H31" s="132"/>
      <c r="I31" s="73">
        <f t="shared" si="0"/>
        <v>90445.59</v>
      </c>
      <c r="J31" s="73">
        <f t="shared" si="2"/>
        <v>2713.3676999999998</v>
      </c>
      <c r="K31" s="75">
        <f t="shared" si="3"/>
        <v>4239.403534</v>
      </c>
      <c r="L31" s="75">
        <f t="shared" si="4"/>
        <v>50040</v>
      </c>
      <c r="M31" s="146">
        <f t="shared" si="5"/>
        <v>29228.600577999998</v>
      </c>
      <c r="N31" s="146">
        <f t="shared" si="6"/>
        <v>7901.171022999999</v>
      </c>
      <c r="O31" s="146">
        <f t="shared" si="7"/>
        <v>13900</v>
      </c>
      <c r="P31" s="76">
        <f t="shared" si="9"/>
        <v>198468.59</v>
      </c>
      <c r="Q31" s="77">
        <f t="shared" si="1"/>
        <v>204422.59</v>
      </c>
      <c r="R31" s="45">
        <f t="shared" si="8"/>
        <v>0.59</v>
      </c>
    </row>
    <row r="32" spans="1:20" ht="17.100000000000001" customHeight="1" x14ac:dyDescent="0.3">
      <c r="A32" s="62">
        <v>9</v>
      </c>
      <c r="B32" s="62" t="s">
        <v>93</v>
      </c>
      <c r="C32" s="62">
        <v>60</v>
      </c>
      <c r="D32" s="62" t="s">
        <v>94</v>
      </c>
      <c r="E32" s="62" t="s">
        <v>192</v>
      </c>
      <c r="F32" s="71">
        <v>2.0199999999999999E-2</v>
      </c>
      <c r="G32" s="72">
        <v>130762.6</v>
      </c>
      <c r="H32" s="132">
        <v>134686</v>
      </c>
      <c r="I32" s="73">
        <f t="shared" si="0"/>
        <v>-3923.3999999999942</v>
      </c>
      <c r="J32" s="73">
        <f t="shared" si="2"/>
        <v>0</v>
      </c>
      <c r="K32" s="75">
        <f t="shared" si="3"/>
        <v>6160.8598119999997</v>
      </c>
      <c r="L32" s="75">
        <f t="shared" si="4"/>
        <v>72720</v>
      </c>
      <c r="M32" s="146">
        <f t="shared" si="5"/>
        <v>42476.095803999997</v>
      </c>
      <c r="N32" s="146">
        <f t="shared" si="6"/>
        <v>11482.277313999999</v>
      </c>
      <c r="O32" s="146">
        <f t="shared" si="7"/>
        <v>20200</v>
      </c>
      <c r="P32" s="76">
        <f t="shared" si="9"/>
        <v>149116.6</v>
      </c>
      <c r="Q32" s="77">
        <f t="shared" si="1"/>
        <v>153589.6</v>
      </c>
      <c r="R32" s="45">
        <f t="shared" si="8"/>
        <v>0.6</v>
      </c>
    </row>
    <row r="33" spans="1:20" ht="17.100000000000001" customHeight="1" x14ac:dyDescent="0.3">
      <c r="A33" s="62">
        <v>10</v>
      </c>
      <c r="B33" s="62" t="s">
        <v>95</v>
      </c>
      <c r="C33" s="62">
        <v>61</v>
      </c>
      <c r="D33" s="62" t="s">
        <v>96</v>
      </c>
      <c r="E33" s="62"/>
      <c r="F33" s="71">
        <v>2.0199999999999999E-2</v>
      </c>
      <c r="G33" s="72">
        <v>130762.61</v>
      </c>
      <c r="H33" s="132">
        <f>165071.74-H87</f>
        <v>130762.60999999999</v>
      </c>
      <c r="I33" s="73">
        <f t="shared" si="0"/>
        <v>0</v>
      </c>
      <c r="J33" s="73">
        <f t="shared" si="2"/>
        <v>0</v>
      </c>
      <c r="K33" s="75">
        <f t="shared" si="3"/>
        <v>6160.8598119999997</v>
      </c>
      <c r="L33" s="75">
        <f t="shared" si="4"/>
        <v>72720</v>
      </c>
      <c r="M33" s="146">
        <f t="shared" si="5"/>
        <v>42476.095803999997</v>
      </c>
      <c r="N33" s="146">
        <f t="shared" si="6"/>
        <v>11482.277313999999</v>
      </c>
      <c r="O33" s="146">
        <f t="shared" si="7"/>
        <v>20200</v>
      </c>
      <c r="P33" s="76">
        <f t="shared" si="9"/>
        <v>153039.60999999999</v>
      </c>
      <c r="Q33" s="77">
        <f t="shared" si="1"/>
        <v>157630.60999999999</v>
      </c>
      <c r="R33" s="45">
        <f t="shared" si="8"/>
        <v>0.61</v>
      </c>
    </row>
    <row r="34" spans="1:20" ht="17.100000000000001" customHeight="1" x14ac:dyDescent="0.3">
      <c r="A34" s="62">
        <v>10</v>
      </c>
      <c r="B34" s="62" t="s">
        <v>97</v>
      </c>
      <c r="C34" s="62">
        <v>62</v>
      </c>
      <c r="D34" s="62" t="s">
        <v>98</v>
      </c>
      <c r="E34" s="62" t="s">
        <v>209</v>
      </c>
      <c r="F34" s="71">
        <v>1.3899999999999999E-2</v>
      </c>
      <c r="G34" s="72">
        <v>89980.62</v>
      </c>
      <c r="H34" s="132">
        <f>G34</f>
        <v>89980.62</v>
      </c>
      <c r="I34" s="73">
        <f t="shared" si="0"/>
        <v>0</v>
      </c>
      <c r="J34" s="73">
        <f t="shared" si="2"/>
        <v>0</v>
      </c>
      <c r="K34" s="75">
        <f t="shared" si="3"/>
        <v>4239.403534</v>
      </c>
      <c r="L34" s="75">
        <f t="shared" si="4"/>
        <v>50040</v>
      </c>
      <c r="M34" s="146">
        <f t="shared" si="5"/>
        <v>29228.600577999998</v>
      </c>
      <c r="N34" s="146">
        <f t="shared" si="6"/>
        <v>7901.171022999999</v>
      </c>
      <c r="O34" s="146">
        <f t="shared" si="7"/>
        <v>13900</v>
      </c>
      <c r="P34" s="76">
        <f t="shared" si="9"/>
        <v>105309.62</v>
      </c>
      <c r="Q34" s="77">
        <f t="shared" si="1"/>
        <v>108468.62</v>
      </c>
      <c r="R34" s="45">
        <f t="shared" si="8"/>
        <v>0.62</v>
      </c>
    </row>
    <row r="35" spans="1:20" x14ac:dyDescent="0.3">
      <c r="A35" s="62">
        <v>11</v>
      </c>
      <c r="B35" s="62" t="s">
        <v>99</v>
      </c>
      <c r="C35" s="62">
        <v>63</v>
      </c>
      <c r="D35" s="62" t="s">
        <v>100</v>
      </c>
      <c r="E35" s="62" t="s">
        <v>205</v>
      </c>
      <c r="F35" s="71">
        <v>1.3899999999999999E-2</v>
      </c>
      <c r="G35" s="72">
        <v>89980.63</v>
      </c>
      <c r="H35" s="132">
        <f>G35</f>
        <v>89980.63</v>
      </c>
      <c r="I35" s="78">
        <f t="shared" si="0"/>
        <v>0</v>
      </c>
      <c r="J35" s="73">
        <f t="shared" si="2"/>
        <v>0</v>
      </c>
      <c r="K35" s="75">
        <f t="shared" si="3"/>
        <v>4239.403534</v>
      </c>
      <c r="L35" s="75">
        <f t="shared" si="4"/>
        <v>50040</v>
      </c>
      <c r="M35" s="146">
        <f t="shared" si="5"/>
        <v>29228.600577999998</v>
      </c>
      <c r="N35" s="146">
        <f t="shared" si="6"/>
        <v>7901.171022999999</v>
      </c>
      <c r="O35" s="146">
        <f t="shared" si="7"/>
        <v>13900</v>
      </c>
      <c r="P35" s="76">
        <f t="shared" si="9"/>
        <v>105309.63</v>
      </c>
      <c r="Q35" s="77">
        <f t="shared" si="1"/>
        <v>108468.63</v>
      </c>
      <c r="R35" s="45">
        <f t="shared" si="8"/>
        <v>0.63</v>
      </c>
    </row>
    <row r="36" spans="1:20" ht="17.100000000000001" customHeight="1" x14ac:dyDescent="0.3">
      <c r="A36" s="62">
        <v>11</v>
      </c>
      <c r="B36" s="62" t="s">
        <v>101</v>
      </c>
      <c r="C36" s="62">
        <v>64</v>
      </c>
      <c r="D36" s="62" t="s">
        <v>102</v>
      </c>
      <c r="E36" s="63" t="s">
        <v>253</v>
      </c>
      <c r="F36" s="71">
        <v>2.0199999999999999E-2</v>
      </c>
      <c r="G36" s="72">
        <v>247660.64</v>
      </c>
      <c r="H36" s="132">
        <f>171707.48+141707</f>
        <v>313414.48</v>
      </c>
      <c r="I36" s="73">
        <f t="shared" si="0"/>
        <v>-65753.839999999967</v>
      </c>
      <c r="J36" s="73">
        <f t="shared" si="2"/>
        <v>0</v>
      </c>
      <c r="K36" s="75">
        <f t="shared" si="3"/>
        <v>6160.8598119999997</v>
      </c>
      <c r="L36" s="75">
        <f t="shared" si="4"/>
        <v>72720</v>
      </c>
      <c r="M36" s="146">
        <f t="shared" si="5"/>
        <v>42476.095803999997</v>
      </c>
      <c r="N36" s="146">
        <f t="shared" si="6"/>
        <v>11482.277313999999</v>
      </c>
      <c r="O36" s="146">
        <f t="shared" si="7"/>
        <v>20200</v>
      </c>
      <c r="P36" s="76">
        <f t="shared" si="9"/>
        <v>87285.64</v>
      </c>
      <c r="Q36" s="77">
        <f t="shared" si="1"/>
        <v>89904.639999999999</v>
      </c>
      <c r="R36" s="45">
        <f t="shared" si="8"/>
        <v>0.64</v>
      </c>
    </row>
    <row r="37" spans="1:20" ht="17.100000000000001" customHeight="1" x14ac:dyDescent="0.3">
      <c r="A37" s="62">
        <v>12</v>
      </c>
      <c r="B37" s="62" t="s">
        <v>103</v>
      </c>
      <c r="C37" s="62">
        <v>65</v>
      </c>
      <c r="D37" s="62" t="s">
        <v>104</v>
      </c>
      <c r="E37" s="63" t="s">
        <v>211</v>
      </c>
      <c r="F37" s="71">
        <v>2.0199999999999999E-2</v>
      </c>
      <c r="G37" s="72">
        <v>130762.65</v>
      </c>
      <c r="H37" s="132">
        <v>134684.65</v>
      </c>
      <c r="I37" s="73">
        <f t="shared" ref="I37:I68" si="10">G37-H37</f>
        <v>-3922</v>
      </c>
      <c r="J37" s="73">
        <f t="shared" si="2"/>
        <v>0</v>
      </c>
      <c r="K37" s="75">
        <f t="shared" si="3"/>
        <v>6160.8598119999997</v>
      </c>
      <c r="L37" s="75">
        <f t="shared" si="4"/>
        <v>72720</v>
      </c>
      <c r="M37" s="146">
        <f t="shared" si="5"/>
        <v>42476.095803999997</v>
      </c>
      <c r="N37" s="146">
        <f t="shared" si="6"/>
        <v>11482.277313999999</v>
      </c>
      <c r="O37" s="146">
        <f t="shared" si="7"/>
        <v>20200</v>
      </c>
      <c r="P37" s="76">
        <f t="shared" si="9"/>
        <v>149117.65</v>
      </c>
      <c r="Q37" s="77">
        <f t="shared" ref="Q37:Q68" si="11">ROUND(P37*3%,0) + P37</f>
        <v>153591.65</v>
      </c>
      <c r="R37" s="45">
        <f t="shared" si="8"/>
        <v>0.65</v>
      </c>
    </row>
    <row r="38" spans="1:20" ht="17.100000000000001" customHeight="1" x14ac:dyDescent="0.3">
      <c r="A38" s="62">
        <v>12</v>
      </c>
      <c r="B38" s="62" t="s">
        <v>105</v>
      </c>
      <c r="C38" s="62">
        <v>66</v>
      </c>
      <c r="D38" s="62" t="s">
        <v>106</v>
      </c>
      <c r="E38" s="62" t="s">
        <v>201</v>
      </c>
      <c r="F38" s="71">
        <v>1.3899999999999999E-2</v>
      </c>
      <c r="G38" s="72">
        <v>89980.66</v>
      </c>
      <c r="H38" s="132"/>
      <c r="I38" s="73">
        <f t="shared" si="10"/>
        <v>89980.66</v>
      </c>
      <c r="J38" s="73">
        <f t="shared" si="2"/>
        <v>2699.4198000000001</v>
      </c>
      <c r="K38" s="75">
        <f t="shared" si="3"/>
        <v>4239.403534</v>
      </c>
      <c r="L38" s="75">
        <f t="shared" si="4"/>
        <v>50040</v>
      </c>
      <c r="M38" s="146">
        <f t="shared" si="5"/>
        <v>29228.600577999998</v>
      </c>
      <c r="N38" s="146">
        <f t="shared" si="6"/>
        <v>7901.171022999999</v>
      </c>
      <c r="O38" s="146">
        <f t="shared" si="7"/>
        <v>13900</v>
      </c>
      <c r="P38" s="76">
        <f t="shared" si="9"/>
        <v>197989.66</v>
      </c>
      <c r="Q38" s="77">
        <f t="shared" si="11"/>
        <v>203929.66</v>
      </c>
      <c r="R38" s="45">
        <f t="shared" si="8"/>
        <v>0.66</v>
      </c>
    </row>
    <row r="39" spans="1:20" ht="17.100000000000001" customHeight="1" x14ac:dyDescent="0.3">
      <c r="A39" s="62">
        <v>1</v>
      </c>
      <c r="B39" s="62" t="s">
        <v>107</v>
      </c>
      <c r="C39" s="62">
        <v>67</v>
      </c>
      <c r="D39" s="62" t="s">
        <v>108</v>
      </c>
      <c r="E39" s="63" t="s">
        <v>200</v>
      </c>
      <c r="F39" s="71">
        <v>1.3899999999999999E-2</v>
      </c>
      <c r="G39" s="72">
        <v>89980.67</v>
      </c>
      <c r="H39" s="132">
        <v>15824</v>
      </c>
      <c r="I39" s="73">
        <f t="shared" si="10"/>
        <v>74156.67</v>
      </c>
      <c r="J39" s="73">
        <f t="shared" si="2"/>
        <v>2224.7001</v>
      </c>
      <c r="K39" s="75">
        <f t="shared" si="3"/>
        <v>4239.403534</v>
      </c>
      <c r="L39" s="75">
        <f t="shared" si="4"/>
        <v>50040</v>
      </c>
      <c r="M39" s="146">
        <f t="shared" si="5"/>
        <v>29228.600577999998</v>
      </c>
      <c r="N39" s="146">
        <f t="shared" si="6"/>
        <v>7901.171022999999</v>
      </c>
      <c r="O39" s="146">
        <f t="shared" si="7"/>
        <v>13900</v>
      </c>
      <c r="P39" s="76">
        <f t="shared" si="9"/>
        <v>181691.67</v>
      </c>
      <c r="Q39" s="77">
        <f t="shared" si="11"/>
        <v>187142.67</v>
      </c>
      <c r="R39" s="45">
        <f t="shared" si="8"/>
        <v>0.67</v>
      </c>
    </row>
    <row r="40" spans="1:20" ht="17.100000000000001" customHeight="1" x14ac:dyDescent="0.3">
      <c r="A40" s="62">
        <v>1</v>
      </c>
      <c r="B40" s="62" t="s">
        <v>109</v>
      </c>
      <c r="C40" s="62">
        <v>68</v>
      </c>
      <c r="D40" s="62" t="s">
        <v>110</v>
      </c>
      <c r="E40" s="63" t="str">
        <f>D76</f>
        <v>Jesica Romina Tobio</v>
      </c>
      <c r="F40" s="71">
        <v>2.0199999999999999E-2</v>
      </c>
      <c r="G40" s="72">
        <v>130762.68</v>
      </c>
      <c r="H40" s="132">
        <f>177358.66-H76</f>
        <v>135928.64000000001</v>
      </c>
      <c r="I40" s="73">
        <f t="shared" si="10"/>
        <v>-5165.960000000021</v>
      </c>
      <c r="J40" s="73">
        <f t="shared" si="2"/>
        <v>0</v>
      </c>
      <c r="K40" s="75">
        <f t="shared" si="3"/>
        <v>6160.8598119999997</v>
      </c>
      <c r="L40" s="75">
        <f t="shared" si="4"/>
        <v>72720</v>
      </c>
      <c r="M40" s="146">
        <f t="shared" si="5"/>
        <v>42476.095803999997</v>
      </c>
      <c r="N40" s="146">
        <f t="shared" si="6"/>
        <v>11482.277313999999</v>
      </c>
      <c r="O40" s="146">
        <f t="shared" si="7"/>
        <v>20200</v>
      </c>
      <c r="P40" s="76">
        <f t="shared" si="9"/>
        <v>147873.68</v>
      </c>
      <c r="Q40" s="77">
        <f t="shared" si="11"/>
        <v>152309.68</v>
      </c>
      <c r="R40" s="45">
        <f t="shared" si="8"/>
        <v>0.68</v>
      </c>
    </row>
    <row r="41" spans="1:20" ht="17.100000000000001" customHeight="1" x14ac:dyDescent="0.3">
      <c r="A41" s="61">
        <v>1</v>
      </c>
      <c r="B41" s="61" t="s">
        <v>111</v>
      </c>
      <c r="C41" s="62">
        <v>69</v>
      </c>
      <c r="D41" s="61" t="s">
        <v>112</v>
      </c>
      <c r="E41" s="63" t="s">
        <v>203</v>
      </c>
      <c r="F41" s="80">
        <v>2.0199999999999999E-2</v>
      </c>
      <c r="G41" s="72">
        <v>130762.69</v>
      </c>
      <c r="H41" s="132">
        <v>137610</v>
      </c>
      <c r="I41" s="73">
        <f t="shared" si="10"/>
        <v>-6847.3099999999977</v>
      </c>
      <c r="J41" s="73">
        <f t="shared" si="2"/>
        <v>0</v>
      </c>
      <c r="K41" s="75">
        <f t="shared" si="3"/>
        <v>6160.8598119999997</v>
      </c>
      <c r="L41" s="75">
        <f t="shared" si="4"/>
        <v>72720</v>
      </c>
      <c r="M41" s="146">
        <f t="shared" si="5"/>
        <v>42476.095803999997</v>
      </c>
      <c r="N41" s="146">
        <f t="shared" si="6"/>
        <v>11482.277313999999</v>
      </c>
      <c r="O41" s="146">
        <f t="shared" si="7"/>
        <v>20200</v>
      </c>
      <c r="P41" s="76">
        <f t="shared" si="9"/>
        <v>146192.69</v>
      </c>
      <c r="Q41" s="77">
        <f t="shared" si="11"/>
        <v>150578.69</v>
      </c>
      <c r="R41" s="45">
        <f t="shared" si="8"/>
        <v>0.69</v>
      </c>
    </row>
    <row r="42" spans="1:20" ht="17.100000000000001" customHeight="1" x14ac:dyDescent="0.3">
      <c r="A42" s="62">
        <v>2</v>
      </c>
      <c r="B42" s="81" t="s">
        <v>113</v>
      </c>
      <c r="C42" s="62">
        <v>70</v>
      </c>
      <c r="D42" s="61" t="s">
        <v>59</v>
      </c>
      <c r="E42" s="61" t="s">
        <v>207</v>
      </c>
      <c r="F42" s="80">
        <v>1.3899999999999999E-2</v>
      </c>
      <c r="G42" s="72">
        <v>89980.7</v>
      </c>
      <c r="H42" s="132">
        <f>G42</f>
        <v>89980.7</v>
      </c>
      <c r="I42" s="73">
        <f t="shared" si="10"/>
        <v>0</v>
      </c>
      <c r="J42" s="73">
        <f t="shared" si="2"/>
        <v>0</v>
      </c>
      <c r="K42" s="75">
        <f t="shared" si="3"/>
        <v>4239.403534</v>
      </c>
      <c r="L42" s="75">
        <f t="shared" si="4"/>
        <v>50040</v>
      </c>
      <c r="M42" s="146">
        <f t="shared" si="5"/>
        <v>29228.600577999998</v>
      </c>
      <c r="N42" s="146">
        <f t="shared" si="6"/>
        <v>7901.171022999999</v>
      </c>
      <c r="O42" s="146">
        <f t="shared" si="7"/>
        <v>13900</v>
      </c>
      <c r="P42" s="76">
        <f t="shared" si="9"/>
        <v>105309.7</v>
      </c>
      <c r="Q42" s="77">
        <f t="shared" si="11"/>
        <v>108468.7</v>
      </c>
      <c r="R42" s="45">
        <f t="shared" si="8"/>
        <v>0.7</v>
      </c>
    </row>
    <row r="43" spans="1:20" ht="17.100000000000001" customHeight="1" x14ac:dyDescent="0.3">
      <c r="A43" s="62">
        <v>2</v>
      </c>
      <c r="B43" s="81" t="s">
        <v>114</v>
      </c>
      <c r="C43" s="62">
        <v>71</v>
      </c>
      <c r="D43" s="61" t="s">
        <v>115</v>
      </c>
      <c r="E43" s="79" t="s">
        <v>215</v>
      </c>
      <c r="F43" s="80">
        <v>1.3899999999999999E-2</v>
      </c>
      <c r="G43" s="72">
        <v>92679.91</v>
      </c>
      <c r="H43" s="132">
        <v>92679.71</v>
      </c>
      <c r="I43" s="73">
        <f t="shared" si="10"/>
        <v>0.19999999999708962</v>
      </c>
      <c r="J43" s="73">
        <f t="shared" si="2"/>
        <v>5.999999999912688E-3</v>
      </c>
      <c r="K43" s="75">
        <f t="shared" si="3"/>
        <v>4239.403534</v>
      </c>
      <c r="L43" s="75">
        <f t="shared" si="4"/>
        <v>50040</v>
      </c>
      <c r="M43" s="146">
        <f t="shared" si="5"/>
        <v>29228.600577999998</v>
      </c>
      <c r="N43" s="146">
        <f t="shared" si="6"/>
        <v>7901.171022999999</v>
      </c>
      <c r="O43" s="146">
        <f t="shared" si="7"/>
        <v>13900</v>
      </c>
      <c r="P43" s="76">
        <f t="shared" si="9"/>
        <v>105309.71</v>
      </c>
      <c r="Q43" s="77">
        <f t="shared" si="11"/>
        <v>108468.71</v>
      </c>
      <c r="R43" s="45">
        <f t="shared" si="8"/>
        <v>0.71</v>
      </c>
    </row>
    <row r="44" spans="1:20" ht="17.100000000000001" customHeight="1" x14ac:dyDescent="0.3">
      <c r="A44" s="62">
        <v>2</v>
      </c>
      <c r="B44" s="81" t="s">
        <v>116</v>
      </c>
      <c r="C44" s="62">
        <v>72</v>
      </c>
      <c r="D44" s="61" t="s">
        <v>115</v>
      </c>
      <c r="E44" s="61" t="s">
        <v>254</v>
      </c>
      <c r="F44" s="80">
        <v>2.0199999999999999E-2</v>
      </c>
      <c r="G44" s="72">
        <v>130762.72</v>
      </c>
      <c r="H44" s="132">
        <f>170023.74-H83</f>
        <v>135714.65</v>
      </c>
      <c r="I44" s="73">
        <f t="shared" si="10"/>
        <v>-4951.929999999993</v>
      </c>
      <c r="J44" s="73">
        <f t="shared" si="2"/>
        <v>0</v>
      </c>
      <c r="K44" s="75">
        <f t="shared" si="3"/>
        <v>6160.8598119999997</v>
      </c>
      <c r="L44" s="75">
        <f t="shared" si="4"/>
        <v>72720</v>
      </c>
      <c r="M44" s="146">
        <f t="shared" si="5"/>
        <v>42476.095803999997</v>
      </c>
      <c r="N44" s="146">
        <f t="shared" si="6"/>
        <v>11482.277313999999</v>
      </c>
      <c r="O44" s="146">
        <f t="shared" si="7"/>
        <v>20200</v>
      </c>
      <c r="P44" s="76">
        <f t="shared" si="9"/>
        <v>148087.72</v>
      </c>
      <c r="Q44" s="77">
        <f t="shared" si="11"/>
        <v>152530.72</v>
      </c>
      <c r="R44" s="45">
        <f t="shared" si="8"/>
        <v>0.72</v>
      </c>
    </row>
    <row r="45" spans="1:20" ht="17.100000000000001" customHeight="1" x14ac:dyDescent="0.3">
      <c r="A45" s="62">
        <v>3</v>
      </c>
      <c r="B45" s="81" t="s">
        <v>117</v>
      </c>
      <c r="C45" s="62">
        <v>73</v>
      </c>
      <c r="D45" s="61" t="s">
        <v>118</v>
      </c>
      <c r="E45" s="61" t="s">
        <v>252</v>
      </c>
      <c r="F45" s="80">
        <v>2.0199999999999999E-2</v>
      </c>
      <c r="G45" s="72">
        <v>254115.73</v>
      </c>
      <c r="H45" s="132">
        <f>G45</f>
        <v>254115.73</v>
      </c>
      <c r="I45" s="73">
        <f t="shared" si="10"/>
        <v>0</v>
      </c>
      <c r="J45" s="73">
        <f t="shared" si="2"/>
        <v>0</v>
      </c>
      <c r="K45" s="75">
        <f t="shared" si="3"/>
        <v>6160.8598119999997</v>
      </c>
      <c r="L45" s="75">
        <f t="shared" si="4"/>
        <v>72720</v>
      </c>
      <c r="M45" s="146">
        <f t="shared" si="5"/>
        <v>42476.095803999997</v>
      </c>
      <c r="N45" s="146">
        <f t="shared" si="6"/>
        <v>11482.277313999999</v>
      </c>
      <c r="O45" s="146">
        <f t="shared" si="7"/>
        <v>20200</v>
      </c>
      <c r="P45" s="76">
        <f t="shared" si="9"/>
        <v>153039.73000000001</v>
      </c>
      <c r="Q45" s="77">
        <f t="shared" si="11"/>
        <v>157630.73000000001</v>
      </c>
      <c r="R45" s="45">
        <f t="shared" si="8"/>
        <v>0.73</v>
      </c>
    </row>
    <row r="46" spans="1:20" ht="17.100000000000001" customHeight="1" x14ac:dyDescent="0.3">
      <c r="A46" s="62">
        <v>3</v>
      </c>
      <c r="B46" s="81" t="s">
        <v>119</v>
      </c>
      <c r="C46" s="62">
        <v>74</v>
      </c>
      <c r="D46" s="61" t="s">
        <v>120</v>
      </c>
      <c r="E46" s="79" t="s">
        <v>195</v>
      </c>
      <c r="F46" s="80">
        <v>1.3899999999999999E-2</v>
      </c>
      <c r="G46" s="72">
        <v>89980.74</v>
      </c>
      <c r="H46" s="132">
        <f>G46</f>
        <v>89980.74</v>
      </c>
      <c r="I46" s="73">
        <f t="shared" si="10"/>
        <v>0</v>
      </c>
      <c r="J46" s="73">
        <f t="shared" si="2"/>
        <v>0</v>
      </c>
      <c r="K46" s="75">
        <f t="shared" si="3"/>
        <v>4239.403534</v>
      </c>
      <c r="L46" s="75">
        <f t="shared" si="4"/>
        <v>50040</v>
      </c>
      <c r="M46" s="146">
        <f t="shared" si="5"/>
        <v>29228.600577999998</v>
      </c>
      <c r="N46" s="146">
        <f t="shared" si="6"/>
        <v>7901.171022999999</v>
      </c>
      <c r="O46" s="146">
        <f t="shared" si="7"/>
        <v>13900</v>
      </c>
      <c r="P46" s="76">
        <f t="shared" si="9"/>
        <v>105309.74</v>
      </c>
      <c r="Q46" s="77">
        <f t="shared" si="11"/>
        <v>108468.74</v>
      </c>
      <c r="R46" s="45">
        <f t="shared" si="8"/>
        <v>0.74</v>
      </c>
    </row>
    <row r="47" spans="1:20" ht="17.100000000000001" customHeight="1" x14ac:dyDescent="0.3">
      <c r="A47" s="62">
        <v>3</v>
      </c>
      <c r="B47" s="81" t="s">
        <v>121</v>
      </c>
      <c r="C47" s="62">
        <v>75</v>
      </c>
      <c r="D47" s="61" t="s">
        <v>122</v>
      </c>
      <c r="E47" s="79" t="s">
        <v>257</v>
      </c>
      <c r="F47" s="80">
        <v>1.3899999999999999E-2</v>
      </c>
      <c r="G47" s="72">
        <v>170420.75</v>
      </c>
      <c r="H47" s="132">
        <v>89980</v>
      </c>
      <c r="I47" s="73">
        <f t="shared" si="10"/>
        <v>80440.75</v>
      </c>
      <c r="J47" s="73">
        <f t="shared" si="2"/>
        <v>2413.2224999999999</v>
      </c>
      <c r="K47" s="75">
        <f t="shared" si="3"/>
        <v>4239.403534</v>
      </c>
      <c r="L47" s="75">
        <f t="shared" si="4"/>
        <v>50040</v>
      </c>
      <c r="M47" s="146">
        <f t="shared" si="5"/>
        <v>29228.600577999998</v>
      </c>
      <c r="N47" s="146">
        <f t="shared" si="6"/>
        <v>7901.171022999999</v>
      </c>
      <c r="O47" s="146">
        <f t="shared" si="7"/>
        <v>13900</v>
      </c>
      <c r="P47" s="76">
        <f t="shared" si="9"/>
        <v>188163.75</v>
      </c>
      <c r="Q47" s="77">
        <f t="shared" si="11"/>
        <v>193808.75</v>
      </c>
      <c r="R47" s="45">
        <f t="shared" si="8"/>
        <v>0.75</v>
      </c>
      <c r="T47" s="165" t="s">
        <v>268</v>
      </c>
    </row>
    <row r="48" spans="1:20" ht="17.100000000000001" customHeight="1" x14ac:dyDescent="0.3">
      <c r="A48" s="62">
        <v>4</v>
      </c>
      <c r="B48" s="81" t="s">
        <v>123</v>
      </c>
      <c r="C48" s="62">
        <v>76</v>
      </c>
      <c r="D48" s="61" t="s">
        <v>124</v>
      </c>
      <c r="E48" s="148" t="s">
        <v>208</v>
      </c>
      <c r="F48" s="80">
        <v>2.0199999999999999E-2</v>
      </c>
      <c r="G48" s="72">
        <v>130762.76</v>
      </c>
      <c r="H48" s="132">
        <f>G48</f>
        <v>130762.76</v>
      </c>
      <c r="I48" s="73">
        <f t="shared" si="10"/>
        <v>0</v>
      </c>
      <c r="J48" s="73">
        <f t="shared" si="2"/>
        <v>0</v>
      </c>
      <c r="K48" s="75">
        <f t="shared" si="3"/>
        <v>6160.8598119999997</v>
      </c>
      <c r="L48" s="75">
        <f t="shared" si="4"/>
        <v>72720</v>
      </c>
      <c r="M48" s="146">
        <f t="shared" si="5"/>
        <v>42476.095803999997</v>
      </c>
      <c r="N48" s="146">
        <f t="shared" si="6"/>
        <v>11482.277313999999</v>
      </c>
      <c r="O48" s="146">
        <f t="shared" si="7"/>
        <v>20200</v>
      </c>
      <c r="P48" s="76">
        <f t="shared" si="9"/>
        <v>153039.76</v>
      </c>
      <c r="Q48" s="77">
        <f t="shared" si="11"/>
        <v>157630.76</v>
      </c>
      <c r="R48" s="45">
        <f t="shared" si="8"/>
        <v>0.76</v>
      </c>
    </row>
    <row r="49" spans="1:18" ht="17.100000000000001" customHeight="1" x14ac:dyDescent="0.3">
      <c r="A49" s="62">
        <v>4</v>
      </c>
      <c r="B49" s="81" t="s">
        <v>125</v>
      </c>
      <c r="C49" s="62">
        <v>77</v>
      </c>
      <c r="D49" s="61" t="s">
        <v>115</v>
      </c>
      <c r="E49" s="61" t="s">
        <v>255</v>
      </c>
      <c r="F49" s="80">
        <v>2.0199999999999999E-2</v>
      </c>
      <c r="G49" s="72">
        <v>306835.77</v>
      </c>
      <c r="H49" s="132">
        <v>130762</v>
      </c>
      <c r="I49" s="73">
        <f t="shared" si="10"/>
        <v>176073.77000000002</v>
      </c>
      <c r="J49" s="73">
        <f t="shared" si="2"/>
        <v>5282.2130999999999</v>
      </c>
      <c r="K49" s="75">
        <f t="shared" si="3"/>
        <v>6160.8598119999997</v>
      </c>
      <c r="L49" s="75">
        <f t="shared" si="4"/>
        <v>72720</v>
      </c>
      <c r="M49" s="146">
        <f t="shared" si="5"/>
        <v>42476.095803999997</v>
      </c>
      <c r="N49" s="146">
        <f t="shared" si="6"/>
        <v>11482.277313999999</v>
      </c>
      <c r="O49" s="146">
        <f t="shared" si="7"/>
        <v>20200</v>
      </c>
      <c r="P49" s="76">
        <f t="shared" si="9"/>
        <v>334395.77</v>
      </c>
      <c r="Q49" s="77">
        <f t="shared" si="11"/>
        <v>344427.77</v>
      </c>
      <c r="R49" s="45">
        <f t="shared" si="8"/>
        <v>0.77</v>
      </c>
    </row>
    <row r="50" spans="1:18" ht="17.100000000000001" customHeight="1" x14ac:dyDescent="0.3">
      <c r="A50" s="62">
        <v>4</v>
      </c>
      <c r="B50" s="81" t="s">
        <v>126</v>
      </c>
      <c r="C50" s="62">
        <v>78</v>
      </c>
      <c r="D50" s="61" t="s">
        <v>115</v>
      </c>
      <c r="E50" s="61" t="s">
        <v>242</v>
      </c>
      <c r="F50" s="80">
        <v>1.3899999999999999E-2</v>
      </c>
      <c r="G50" s="72">
        <v>172659.78</v>
      </c>
      <c r="H50" s="132">
        <f>78096</f>
        <v>78096</v>
      </c>
      <c r="I50" s="73">
        <f t="shared" si="10"/>
        <v>94563.78</v>
      </c>
      <c r="J50" s="73">
        <f t="shared" si="2"/>
        <v>2836.9133999999999</v>
      </c>
      <c r="K50" s="75">
        <f t="shared" si="3"/>
        <v>4239.403534</v>
      </c>
      <c r="L50" s="75">
        <f t="shared" si="4"/>
        <v>50040</v>
      </c>
      <c r="M50" s="146">
        <f t="shared" si="5"/>
        <v>29228.600577999998</v>
      </c>
      <c r="N50" s="146">
        <f t="shared" si="6"/>
        <v>7901.171022999999</v>
      </c>
      <c r="O50" s="146">
        <f t="shared" si="7"/>
        <v>13900</v>
      </c>
      <c r="P50" s="76">
        <f t="shared" si="9"/>
        <v>202710.78</v>
      </c>
      <c r="Q50" s="77">
        <f t="shared" si="11"/>
        <v>208791.78</v>
      </c>
      <c r="R50" s="45">
        <f t="shared" si="8"/>
        <v>0.78</v>
      </c>
    </row>
    <row r="51" spans="1:18" ht="17.100000000000001" customHeight="1" x14ac:dyDescent="0.3">
      <c r="A51" s="62">
        <v>5</v>
      </c>
      <c r="B51" s="81" t="s">
        <v>127</v>
      </c>
      <c r="C51" s="62">
        <v>79</v>
      </c>
      <c r="D51" s="61" t="s">
        <v>128</v>
      </c>
      <c r="E51" s="79"/>
      <c r="F51" s="80">
        <v>1.3899999999999999E-2</v>
      </c>
      <c r="G51" s="72">
        <v>89979.79</v>
      </c>
      <c r="H51" s="132">
        <f>G51</f>
        <v>89979.79</v>
      </c>
      <c r="I51" s="73">
        <f t="shared" si="10"/>
        <v>0</v>
      </c>
      <c r="J51" s="73">
        <f t="shared" si="2"/>
        <v>0</v>
      </c>
      <c r="K51" s="75">
        <f t="shared" si="3"/>
        <v>4239.403534</v>
      </c>
      <c r="L51" s="75">
        <f t="shared" si="4"/>
        <v>50040</v>
      </c>
      <c r="M51" s="146">
        <f t="shared" si="5"/>
        <v>29228.600577999998</v>
      </c>
      <c r="N51" s="146">
        <f t="shared" si="6"/>
        <v>7901.171022999999</v>
      </c>
      <c r="O51" s="146">
        <f t="shared" si="7"/>
        <v>13900</v>
      </c>
      <c r="P51" s="76">
        <f t="shared" si="9"/>
        <v>105309.79</v>
      </c>
      <c r="Q51" s="77">
        <f t="shared" si="11"/>
        <v>108468.79</v>
      </c>
      <c r="R51" s="45">
        <f t="shared" si="8"/>
        <v>0.79</v>
      </c>
    </row>
    <row r="52" spans="1:18" ht="17.100000000000001" customHeight="1" x14ac:dyDescent="0.3">
      <c r="A52" s="62">
        <v>5</v>
      </c>
      <c r="B52" s="81" t="s">
        <v>129</v>
      </c>
      <c r="C52" s="62">
        <v>80</v>
      </c>
      <c r="D52" s="61" t="s">
        <v>130</v>
      </c>
      <c r="E52" s="61" t="s">
        <v>243</v>
      </c>
      <c r="F52" s="80">
        <v>2.0199999999999999E-2</v>
      </c>
      <c r="G52" s="72">
        <v>247660.79999999999</v>
      </c>
      <c r="H52" s="132">
        <f>141607+113493</f>
        <v>255100</v>
      </c>
      <c r="I52" s="73">
        <f t="shared" si="10"/>
        <v>-7439.2000000000116</v>
      </c>
      <c r="J52" s="73">
        <f t="shared" si="2"/>
        <v>0</v>
      </c>
      <c r="K52" s="75">
        <f t="shared" si="3"/>
        <v>6160.8598119999997</v>
      </c>
      <c r="L52" s="75">
        <f t="shared" si="4"/>
        <v>72720</v>
      </c>
      <c r="M52" s="146">
        <f t="shared" si="5"/>
        <v>42476.095803999997</v>
      </c>
      <c r="N52" s="146">
        <f t="shared" si="6"/>
        <v>11482.277313999999</v>
      </c>
      <c r="O52" s="146">
        <f t="shared" si="7"/>
        <v>20200</v>
      </c>
      <c r="P52" s="76">
        <f t="shared" si="9"/>
        <v>145600.79999999999</v>
      </c>
      <c r="Q52" s="77">
        <f t="shared" si="11"/>
        <v>149968.79999999999</v>
      </c>
      <c r="R52" s="45">
        <f t="shared" si="8"/>
        <v>0.8</v>
      </c>
    </row>
    <row r="53" spans="1:18" ht="17.100000000000001" customHeight="1" x14ac:dyDescent="0.3">
      <c r="A53" s="62">
        <v>5</v>
      </c>
      <c r="B53" s="81" t="s">
        <v>131</v>
      </c>
      <c r="C53" s="62">
        <v>81</v>
      </c>
      <c r="D53" s="61" t="s">
        <v>132</v>
      </c>
      <c r="E53" s="61" t="s">
        <v>251</v>
      </c>
      <c r="F53" s="80">
        <v>2.0199999999999999E-2</v>
      </c>
      <c r="G53" s="72">
        <v>247660.81</v>
      </c>
      <c r="H53" s="132">
        <v>131000</v>
      </c>
      <c r="I53" s="73">
        <f t="shared" si="10"/>
        <v>116660.81</v>
      </c>
      <c r="J53" s="73">
        <f t="shared" si="2"/>
        <v>3499.8242999999998</v>
      </c>
      <c r="K53" s="75">
        <f t="shared" si="3"/>
        <v>6160.8598119999997</v>
      </c>
      <c r="L53" s="75">
        <f t="shared" si="4"/>
        <v>72720</v>
      </c>
      <c r="M53" s="146">
        <f t="shared" si="5"/>
        <v>42476.095803999997</v>
      </c>
      <c r="N53" s="146">
        <f t="shared" si="6"/>
        <v>11482.277313999999</v>
      </c>
      <c r="O53" s="146">
        <f t="shared" si="7"/>
        <v>20200</v>
      </c>
      <c r="P53" s="76">
        <f t="shared" si="9"/>
        <v>273200.81</v>
      </c>
      <c r="Q53" s="77">
        <f t="shared" si="11"/>
        <v>281396.81</v>
      </c>
      <c r="R53" s="45">
        <f t="shared" si="8"/>
        <v>0.81</v>
      </c>
    </row>
    <row r="54" spans="1:18" ht="17.100000000000001" customHeight="1" x14ac:dyDescent="0.3">
      <c r="A54" s="62">
        <v>6</v>
      </c>
      <c r="B54" s="81" t="s">
        <v>133</v>
      </c>
      <c r="C54" s="62">
        <v>82</v>
      </c>
      <c r="D54" s="161" t="s">
        <v>269</v>
      </c>
      <c r="E54" s="161"/>
      <c r="F54" s="80">
        <v>1.3899999999999999E-2</v>
      </c>
      <c r="G54" s="72">
        <v>89980.82</v>
      </c>
      <c r="H54" s="132"/>
      <c r="I54" s="73">
        <f t="shared" si="10"/>
        <v>89980.82</v>
      </c>
      <c r="J54" s="73">
        <f t="shared" si="2"/>
        <v>2699.4246000000003</v>
      </c>
      <c r="K54" s="75">
        <f t="shared" si="3"/>
        <v>4239.403534</v>
      </c>
      <c r="L54" s="75">
        <f t="shared" si="4"/>
        <v>50040</v>
      </c>
      <c r="M54" s="146">
        <f t="shared" si="5"/>
        <v>29228.600577999998</v>
      </c>
      <c r="N54" s="146">
        <f t="shared" si="6"/>
        <v>7901.171022999999</v>
      </c>
      <c r="O54" s="146">
        <f t="shared" si="7"/>
        <v>13900</v>
      </c>
      <c r="P54" s="76">
        <f t="shared" si="9"/>
        <v>197989.82</v>
      </c>
      <c r="Q54" s="77">
        <f t="shared" si="11"/>
        <v>203929.82</v>
      </c>
      <c r="R54" s="45">
        <f t="shared" si="8"/>
        <v>0.82</v>
      </c>
    </row>
    <row r="55" spans="1:18" ht="17.100000000000001" customHeight="1" x14ac:dyDescent="0.3">
      <c r="A55" s="62">
        <v>6</v>
      </c>
      <c r="B55" s="81" t="s">
        <v>134</v>
      </c>
      <c r="C55" s="62">
        <v>83</v>
      </c>
      <c r="D55" s="61" t="s">
        <v>135</v>
      </c>
      <c r="E55" s="61" t="s">
        <v>245</v>
      </c>
      <c r="F55" s="80">
        <v>1.3899999999999999E-2</v>
      </c>
      <c r="G55" s="72">
        <v>89980.83</v>
      </c>
      <c r="H55" s="132">
        <f>G55</f>
        <v>89980.83</v>
      </c>
      <c r="I55" s="73">
        <f t="shared" si="10"/>
        <v>0</v>
      </c>
      <c r="J55" s="73">
        <f t="shared" si="2"/>
        <v>0</v>
      </c>
      <c r="K55" s="75">
        <f t="shared" si="3"/>
        <v>4239.403534</v>
      </c>
      <c r="L55" s="75">
        <f t="shared" si="4"/>
        <v>50040</v>
      </c>
      <c r="M55" s="146">
        <f t="shared" si="5"/>
        <v>29228.600577999998</v>
      </c>
      <c r="N55" s="146">
        <f t="shared" si="6"/>
        <v>7901.171022999999</v>
      </c>
      <c r="O55" s="146">
        <f t="shared" si="7"/>
        <v>13900</v>
      </c>
      <c r="P55" s="76">
        <f t="shared" si="9"/>
        <v>105309.83</v>
      </c>
      <c r="Q55" s="77">
        <f t="shared" si="11"/>
        <v>108468.83</v>
      </c>
      <c r="R55" s="45">
        <f t="shared" si="8"/>
        <v>0.83</v>
      </c>
    </row>
    <row r="56" spans="1:18" ht="17.100000000000001" customHeight="1" x14ac:dyDescent="0.3">
      <c r="A56" s="62">
        <v>6</v>
      </c>
      <c r="B56" s="81" t="s">
        <v>136</v>
      </c>
      <c r="C56" s="62">
        <v>84</v>
      </c>
      <c r="D56" s="61" t="s">
        <v>137</v>
      </c>
      <c r="E56" s="79"/>
      <c r="F56" s="80">
        <v>2.0199999999999999E-2</v>
      </c>
      <c r="G56" s="72">
        <v>130762.84</v>
      </c>
      <c r="H56" s="132">
        <f>G56</f>
        <v>130762.84</v>
      </c>
      <c r="I56" s="73">
        <f t="shared" si="10"/>
        <v>0</v>
      </c>
      <c r="J56" s="73">
        <f t="shared" si="2"/>
        <v>0</v>
      </c>
      <c r="K56" s="75">
        <f t="shared" si="3"/>
        <v>6160.8598119999997</v>
      </c>
      <c r="L56" s="75">
        <f t="shared" si="4"/>
        <v>72720</v>
      </c>
      <c r="M56" s="146">
        <f t="shared" si="5"/>
        <v>42476.095803999997</v>
      </c>
      <c r="N56" s="146">
        <f t="shared" si="6"/>
        <v>11482.277313999999</v>
      </c>
      <c r="O56" s="146">
        <f t="shared" si="7"/>
        <v>20200</v>
      </c>
      <c r="P56" s="76">
        <f t="shared" si="9"/>
        <v>153039.84</v>
      </c>
      <c r="Q56" s="77">
        <f t="shared" si="11"/>
        <v>157630.84</v>
      </c>
      <c r="R56" s="45">
        <f t="shared" si="8"/>
        <v>0.84</v>
      </c>
    </row>
    <row r="57" spans="1:18" ht="17.100000000000001" customHeight="1" x14ac:dyDescent="0.3">
      <c r="A57" s="62">
        <v>7</v>
      </c>
      <c r="B57" s="81"/>
      <c r="C57" s="62"/>
      <c r="D57" s="61"/>
      <c r="E57" s="79"/>
      <c r="F57" s="80"/>
      <c r="G57" s="72">
        <v>0</v>
      </c>
      <c r="H57" s="132"/>
      <c r="I57" s="73"/>
      <c r="J57" s="73"/>
      <c r="K57" s="75"/>
      <c r="L57" s="75">
        <f t="shared" si="4"/>
        <v>0</v>
      </c>
      <c r="M57" s="146"/>
      <c r="N57" s="146"/>
      <c r="O57" s="146">
        <f t="shared" si="7"/>
        <v>0</v>
      </c>
      <c r="P57" s="76">
        <f t="shared" si="9"/>
        <v>0</v>
      </c>
      <c r="Q57" s="77"/>
      <c r="R57" s="45">
        <f t="shared" si="8"/>
        <v>0</v>
      </c>
    </row>
    <row r="58" spans="1:18" ht="17.100000000000001" customHeight="1" x14ac:dyDescent="0.3">
      <c r="A58" s="62">
        <v>7</v>
      </c>
      <c r="B58" s="81"/>
      <c r="C58" s="62"/>
      <c r="D58" s="61"/>
      <c r="E58" s="61"/>
      <c r="F58" s="80"/>
      <c r="G58" s="72">
        <v>0</v>
      </c>
      <c r="H58" s="132"/>
      <c r="I58" s="73"/>
      <c r="J58" s="73"/>
      <c r="K58" s="75"/>
      <c r="L58" s="75">
        <f t="shared" si="4"/>
        <v>0</v>
      </c>
      <c r="M58" s="146"/>
      <c r="N58" s="146"/>
      <c r="O58" s="146">
        <f t="shared" si="7"/>
        <v>0</v>
      </c>
      <c r="P58" s="76">
        <f t="shared" si="9"/>
        <v>0</v>
      </c>
      <c r="Q58" s="77"/>
      <c r="R58" s="45">
        <f t="shared" si="8"/>
        <v>0</v>
      </c>
    </row>
    <row r="59" spans="1:18" ht="17.100000000000001" customHeight="1" x14ac:dyDescent="0.3">
      <c r="A59" s="62">
        <v>7</v>
      </c>
      <c r="B59" s="81" t="s">
        <v>138</v>
      </c>
      <c r="C59" s="62">
        <v>17</v>
      </c>
      <c r="D59" s="61" t="s">
        <v>115</v>
      </c>
      <c r="E59" s="61" t="s">
        <v>212</v>
      </c>
      <c r="F59" s="80">
        <v>3.2000000000000002E-3</v>
      </c>
      <c r="G59" s="72">
        <v>20714.169999999998</v>
      </c>
      <c r="H59" s="132">
        <f>22009.47-H72</f>
        <v>20714.170000000002</v>
      </c>
      <c r="I59" s="73">
        <f t="shared" si="10"/>
        <v>0</v>
      </c>
      <c r="J59" s="73">
        <f t="shared" si="2"/>
        <v>0</v>
      </c>
      <c r="K59" s="75">
        <f t="shared" si="3"/>
        <v>975.97779200000002</v>
      </c>
      <c r="L59" s="75">
        <f t="shared" si="4"/>
        <v>11520</v>
      </c>
      <c r="M59" s="146">
        <f t="shared" si="5"/>
        <v>6728.8864640000002</v>
      </c>
      <c r="N59" s="146">
        <f t="shared" si="6"/>
        <v>1818.9746239999999</v>
      </c>
      <c r="O59" s="146">
        <f t="shared" si="7"/>
        <v>3200</v>
      </c>
      <c r="P59" s="76">
        <f t="shared" si="9"/>
        <v>24244.17</v>
      </c>
      <c r="Q59" s="77">
        <f t="shared" si="11"/>
        <v>24971.17</v>
      </c>
      <c r="R59" s="45">
        <f t="shared" si="8"/>
        <v>0.17</v>
      </c>
    </row>
    <row r="60" spans="1:18" ht="17.100000000000001" customHeight="1" x14ac:dyDescent="0.3">
      <c r="A60" s="62">
        <v>8</v>
      </c>
      <c r="B60" s="81" t="s">
        <v>139</v>
      </c>
      <c r="C60" s="62">
        <v>18</v>
      </c>
      <c r="D60" s="61" t="s">
        <v>140</v>
      </c>
      <c r="E60" s="79"/>
      <c r="F60" s="80">
        <v>3.3E-3</v>
      </c>
      <c r="G60" s="72">
        <v>114244.18</v>
      </c>
      <c r="H60" s="132"/>
      <c r="I60" s="73">
        <f t="shared" si="10"/>
        <v>114244.18</v>
      </c>
      <c r="J60" s="73">
        <f t="shared" si="2"/>
        <v>3427.3253999999997</v>
      </c>
      <c r="K60" s="75">
        <f t="shared" si="3"/>
        <v>1006.477098</v>
      </c>
      <c r="L60" s="75">
        <f t="shared" si="4"/>
        <v>11880</v>
      </c>
      <c r="M60" s="146">
        <f t="shared" si="5"/>
        <v>6939.1641660000005</v>
      </c>
      <c r="N60" s="146">
        <f t="shared" si="6"/>
        <v>1875.8175809999998</v>
      </c>
      <c r="O60" s="146">
        <f t="shared" si="7"/>
        <v>3300</v>
      </c>
      <c r="P60" s="76">
        <f t="shared" si="9"/>
        <v>142673.18</v>
      </c>
      <c r="Q60" s="77">
        <f t="shared" si="11"/>
        <v>146953.18</v>
      </c>
      <c r="R60" s="45">
        <f t="shared" si="8"/>
        <v>0.18</v>
      </c>
    </row>
    <row r="61" spans="1:18" ht="17.100000000000001" customHeight="1" x14ac:dyDescent="0.3">
      <c r="A61" s="62">
        <v>8</v>
      </c>
      <c r="B61" s="81" t="s">
        <v>141</v>
      </c>
      <c r="C61" s="62">
        <v>19</v>
      </c>
      <c r="D61" s="61" t="s">
        <v>142</v>
      </c>
      <c r="E61" s="79"/>
      <c r="F61" s="80">
        <v>4.0000000000000002E-4</v>
      </c>
      <c r="G61" s="72">
        <v>-1214.81</v>
      </c>
      <c r="H61" s="132">
        <f>2200.21-H62</f>
        <v>905.01</v>
      </c>
      <c r="I61" s="73">
        <f t="shared" si="10"/>
        <v>-2119.8199999999997</v>
      </c>
      <c r="J61" s="73">
        <f t="shared" si="2"/>
        <v>0</v>
      </c>
      <c r="K61" s="75">
        <f t="shared" si="3"/>
        <v>121.997224</v>
      </c>
      <c r="L61" s="75">
        <f t="shared" si="4"/>
        <v>1440</v>
      </c>
      <c r="M61" s="146">
        <f t="shared" si="5"/>
        <v>841.11080800000002</v>
      </c>
      <c r="N61" s="146">
        <f t="shared" si="6"/>
        <v>227.37182799999999</v>
      </c>
      <c r="O61" s="146">
        <f t="shared" si="7"/>
        <v>400</v>
      </c>
      <c r="P61" s="76">
        <f t="shared" si="9"/>
        <v>911.19</v>
      </c>
      <c r="Q61" s="77">
        <f t="shared" si="11"/>
        <v>938.19</v>
      </c>
      <c r="R61" s="45">
        <f t="shared" si="8"/>
        <v>0.19</v>
      </c>
    </row>
    <row r="62" spans="1:18" ht="17.100000000000001" customHeight="1" x14ac:dyDescent="0.3">
      <c r="A62" s="62">
        <v>8</v>
      </c>
      <c r="B62" s="81" t="s">
        <v>143</v>
      </c>
      <c r="C62" s="62">
        <v>20</v>
      </c>
      <c r="D62" s="61" t="s">
        <v>142</v>
      </c>
      <c r="E62" s="79"/>
      <c r="F62" s="80">
        <v>2.0000000000000001E-4</v>
      </c>
      <c r="G62" s="72">
        <v>1295.2</v>
      </c>
      <c r="H62" s="132">
        <f>G62</f>
        <v>1295.2</v>
      </c>
      <c r="I62" s="73">
        <f t="shared" si="10"/>
        <v>0</v>
      </c>
      <c r="J62" s="73">
        <f t="shared" si="2"/>
        <v>0</v>
      </c>
      <c r="K62" s="75">
        <f t="shared" si="3"/>
        <v>60.998612000000001</v>
      </c>
      <c r="L62" s="75">
        <f t="shared" si="4"/>
        <v>720</v>
      </c>
      <c r="M62" s="146">
        <f t="shared" si="5"/>
        <v>420.55540400000001</v>
      </c>
      <c r="N62" s="146">
        <f t="shared" si="6"/>
        <v>113.685914</v>
      </c>
      <c r="O62" s="146">
        <f t="shared" si="7"/>
        <v>200</v>
      </c>
      <c r="P62" s="76">
        <f t="shared" si="9"/>
        <v>1515.2</v>
      </c>
      <c r="Q62" s="77">
        <f t="shared" si="11"/>
        <v>1560.2</v>
      </c>
      <c r="R62" s="45">
        <f t="shared" si="8"/>
        <v>0.2</v>
      </c>
    </row>
    <row r="63" spans="1:18" ht="17.100000000000001" customHeight="1" x14ac:dyDescent="0.3">
      <c r="A63" s="62">
        <v>9</v>
      </c>
      <c r="B63" s="81" t="s">
        <v>144</v>
      </c>
      <c r="C63" s="62">
        <v>21</v>
      </c>
      <c r="D63" s="61" t="s">
        <v>145</v>
      </c>
      <c r="E63" s="63" t="s">
        <v>240</v>
      </c>
      <c r="F63" s="80">
        <v>2.0000000000000001E-4</v>
      </c>
      <c r="G63" s="72">
        <v>2391.21</v>
      </c>
      <c r="H63" s="132">
        <f>G63</f>
        <v>2391.21</v>
      </c>
      <c r="I63" s="73">
        <f t="shared" si="10"/>
        <v>0</v>
      </c>
      <c r="J63" s="73">
        <f t="shared" si="2"/>
        <v>0</v>
      </c>
      <c r="K63" s="75">
        <f t="shared" si="3"/>
        <v>60.998612000000001</v>
      </c>
      <c r="L63" s="75">
        <f t="shared" si="4"/>
        <v>720</v>
      </c>
      <c r="M63" s="146">
        <f t="shared" si="5"/>
        <v>420.55540400000001</v>
      </c>
      <c r="N63" s="146">
        <f t="shared" si="6"/>
        <v>113.685914</v>
      </c>
      <c r="O63" s="146">
        <f t="shared" si="7"/>
        <v>200</v>
      </c>
      <c r="P63" s="76">
        <f t="shared" si="9"/>
        <v>1515.21</v>
      </c>
      <c r="Q63" s="77">
        <f t="shared" si="11"/>
        <v>1560.21</v>
      </c>
      <c r="R63" s="45">
        <f t="shared" si="8"/>
        <v>0.21</v>
      </c>
    </row>
    <row r="64" spans="1:18" ht="17.100000000000001" customHeight="1" x14ac:dyDescent="0.3">
      <c r="A64" s="62">
        <v>9</v>
      </c>
      <c r="B64" s="81" t="s">
        <v>146</v>
      </c>
      <c r="C64" s="62">
        <v>22</v>
      </c>
      <c r="D64" s="61" t="s">
        <v>55</v>
      </c>
      <c r="E64" s="63"/>
      <c r="F64" s="80">
        <v>2.0000000000000001E-4</v>
      </c>
      <c r="G64" s="72">
        <v>1295.22</v>
      </c>
      <c r="H64" s="132">
        <f>G64</f>
        <v>1295.22</v>
      </c>
      <c r="I64" s="73">
        <f t="shared" si="10"/>
        <v>0</v>
      </c>
      <c r="J64" s="73">
        <f t="shared" si="2"/>
        <v>0</v>
      </c>
      <c r="K64" s="75">
        <f t="shared" si="3"/>
        <v>60.998612000000001</v>
      </c>
      <c r="L64" s="75">
        <f t="shared" si="4"/>
        <v>720</v>
      </c>
      <c r="M64" s="146">
        <f t="shared" si="5"/>
        <v>420.55540400000001</v>
      </c>
      <c r="N64" s="146">
        <f t="shared" si="6"/>
        <v>113.685914</v>
      </c>
      <c r="O64" s="146">
        <f t="shared" si="7"/>
        <v>200</v>
      </c>
      <c r="P64" s="76">
        <f t="shared" si="9"/>
        <v>1515.22</v>
      </c>
      <c r="Q64" s="77">
        <f t="shared" si="11"/>
        <v>1560.22</v>
      </c>
      <c r="R64" s="45">
        <f t="shared" si="8"/>
        <v>0.22</v>
      </c>
    </row>
    <row r="65" spans="1:18" ht="17.100000000000001" customHeight="1" x14ac:dyDescent="0.3">
      <c r="A65" s="62">
        <v>9</v>
      </c>
      <c r="B65" s="81" t="s">
        <v>147</v>
      </c>
      <c r="C65" s="62">
        <v>23</v>
      </c>
      <c r="D65" s="61" t="s">
        <v>86</v>
      </c>
      <c r="E65" s="63" t="s">
        <v>248</v>
      </c>
      <c r="F65" s="80">
        <v>2.0000000000000001E-4</v>
      </c>
      <c r="G65" s="72">
        <v>1295.23</v>
      </c>
      <c r="H65" s="132">
        <f t="shared" ref="H65" si="12">G65</f>
        <v>1295.23</v>
      </c>
      <c r="I65" s="73">
        <f t="shared" si="10"/>
        <v>0</v>
      </c>
      <c r="J65" s="73">
        <f t="shared" si="2"/>
        <v>0</v>
      </c>
      <c r="K65" s="75">
        <f t="shared" si="3"/>
        <v>60.998612000000001</v>
      </c>
      <c r="L65" s="75">
        <f t="shared" si="4"/>
        <v>720</v>
      </c>
      <c r="M65" s="146">
        <f t="shared" si="5"/>
        <v>420.55540400000001</v>
      </c>
      <c r="N65" s="146">
        <f t="shared" si="6"/>
        <v>113.685914</v>
      </c>
      <c r="O65" s="146">
        <f t="shared" si="7"/>
        <v>200</v>
      </c>
      <c r="P65" s="76">
        <f t="shared" si="9"/>
        <v>1515.23</v>
      </c>
      <c r="Q65" s="77">
        <f t="shared" si="11"/>
        <v>1560.23</v>
      </c>
      <c r="R65" s="45">
        <f t="shared" si="8"/>
        <v>0.23</v>
      </c>
    </row>
    <row r="66" spans="1:18" ht="17.100000000000001" customHeight="1" x14ac:dyDescent="0.3">
      <c r="A66" s="62">
        <v>10</v>
      </c>
      <c r="B66" s="81" t="s">
        <v>148</v>
      </c>
      <c r="C66" s="62">
        <v>24</v>
      </c>
      <c r="D66" s="61" t="s">
        <v>128</v>
      </c>
      <c r="E66" s="79"/>
      <c r="F66" s="80">
        <v>2.0000000000000001E-4</v>
      </c>
      <c r="G66" s="72">
        <v>1295.24</v>
      </c>
      <c r="H66" s="132">
        <f>G66</f>
        <v>1295.24</v>
      </c>
      <c r="I66" s="73">
        <f t="shared" si="10"/>
        <v>0</v>
      </c>
      <c r="J66" s="73">
        <f t="shared" si="2"/>
        <v>0</v>
      </c>
      <c r="K66" s="75">
        <f t="shared" si="3"/>
        <v>60.998612000000001</v>
      </c>
      <c r="L66" s="75">
        <f t="shared" si="4"/>
        <v>720</v>
      </c>
      <c r="M66" s="146">
        <f t="shared" si="5"/>
        <v>420.55540400000001</v>
      </c>
      <c r="N66" s="146">
        <f t="shared" si="6"/>
        <v>113.685914</v>
      </c>
      <c r="O66" s="146">
        <f t="shared" si="7"/>
        <v>200</v>
      </c>
      <c r="P66" s="76">
        <f t="shared" si="9"/>
        <v>1515.24</v>
      </c>
      <c r="Q66" s="77">
        <f t="shared" si="11"/>
        <v>1560.24</v>
      </c>
      <c r="R66" s="45">
        <f t="shared" si="8"/>
        <v>0.24</v>
      </c>
    </row>
    <row r="67" spans="1:18" ht="17.100000000000001" customHeight="1" x14ac:dyDescent="0.3">
      <c r="A67" s="62">
        <v>10</v>
      </c>
      <c r="B67" s="81" t="s">
        <v>149</v>
      </c>
      <c r="C67" s="62">
        <v>25</v>
      </c>
      <c r="D67" s="61" t="s">
        <v>150</v>
      </c>
      <c r="E67" s="61" t="s">
        <v>198</v>
      </c>
      <c r="F67" s="80">
        <v>2.0000000000000001E-4</v>
      </c>
      <c r="G67" s="72">
        <v>1295.25</v>
      </c>
      <c r="H67" s="132">
        <f>G67</f>
        <v>1295.25</v>
      </c>
      <c r="I67" s="73">
        <f t="shared" si="10"/>
        <v>0</v>
      </c>
      <c r="J67" s="73">
        <f t="shared" si="2"/>
        <v>0</v>
      </c>
      <c r="K67" s="75">
        <f t="shared" si="3"/>
        <v>60.998612000000001</v>
      </c>
      <c r="L67" s="75">
        <f t="shared" si="4"/>
        <v>720</v>
      </c>
      <c r="M67" s="146">
        <f t="shared" si="5"/>
        <v>420.55540400000001</v>
      </c>
      <c r="N67" s="146">
        <f t="shared" si="6"/>
        <v>113.685914</v>
      </c>
      <c r="O67" s="146">
        <f t="shared" si="7"/>
        <v>200</v>
      </c>
      <c r="P67" s="76">
        <f t="shared" si="9"/>
        <v>1515.25</v>
      </c>
      <c r="Q67" s="77">
        <f t="shared" si="11"/>
        <v>1560.25</v>
      </c>
      <c r="R67" s="45">
        <f t="shared" si="8"/>
        <v>0.25</v>
      </c>
    </row>
    <row r="68" spans="1:18" ht="17.100000000000001" customHeight="1" x14ac:dyDescent="0.3">
      <c r="A68" s="62">
        <v>10</v>
      </c>
      <c r="B68" s="81" t="s">
        <v>151</v>
      </c>
      <c r="C68" s="62">
        <v>26</v>
      </c>
      <c r="D68" s="61" t="s">
        <v>90</v>
      </c>
      <c r="E68" s="61"/>
      <c r="F68" s="80">
        <v>2.0000000000000001E-4</v>
      </c>
      <c r="G68" s="72">
        <v>1295.26</v>
      </c>
      <c r="H68" s="132">
        <v>1334.26</v>
      </c>
      <c r="I68" s="73">
        <f t="shared" si="10"/>
        <v>-39</v>
      </c>
      <c r="J68" s="73">
        <f t="shared" si="2"/>
        <v>0</v>
      </c>
      <c r="K68" s="75">
        <f t="shared" si="3"/>
        <v>60.998612000000001</v>
      </c>
      <c r="L68" s="75">
        <f t="shared" si="4"/>
        <v>720</v>
      </c>
      <c r="M68" s="146">
        <f t="shared" si="5"/>
        <v>420.55540400000001</v>
      </c>
      <c r="N68" s="146">
        <f t="shared" si="6"/>
        <v>113.685914</v>
      </c>
      <c r="O68" s="146">
        <f t="shared" si="7"/>
        <v>200</v>
      </c>
      <c r="P68" s="76">
        <f t="shared" si="9"/>
        <v>1476.26</v>
      </c>
      <c r="Q68" s="77">
        <f t="shared" si="11"/>
        <v>1520.26</v>
      </c>
      <c r="R68" s="45">
        <f t="shared" si="8"/>
        <v>0.26</v>
      </c>
    </row>
    <row r="69" spans="1:18" ht="17.100000000000001" customHeight="1" x14ac:dyDescent="0.3">
      <c r="A69" s="62">
        <v>11</v>
      </c>
      <c r="B69" s="81" t="s">
        <v>152</v>
      </c>
      <c r="C69" s="62">
        <v>27</v>
      </c>
      <c r="D69" s="61" t="s">
        <v>153</v>
      </c>
      <c r="E69" s="79"/>
      <c r="F69" s="80">
        <v>2.0000000000000001E-4</v>
      </c>
      <c r="G69" s="72">
        <v>8287.27</v>
      </c>
      <c r="H69" s="132"/>
      <c r="I69" s="73">
        <f t="shared" ref="I69:I90" si="13">G69-H69</f>
        <v>8287.27</v>
      </c>
      <c r="J69" s="73">
        <f t="shared" si="2"/>
        <v>248.6181</v>
      </c>
      <c r="K69" s="75">
        <f t="shared" si="3"/>
        <v>60.998612000000001</v>
      </c>
      <c r="L69" s="75">
        <f t="shared" si="4"/>
        <v>720</v>
      </c>
      <c r="M69" s="146">
        <f t="shared" si="5"/>
        <v>420.55540400000001</v>
      </c>
      <c r="N69" s="146">
        <f t="shared" si="6"/>
        <v>113.685914</v>
      </c>
      <c r="O69" s="146">
        <f t="shared" si="7"/>
        <v>200</v>
      </c>
      <c r="P69" s="76">
        <f t="shared" si="9"/>
        <v>10051.27</v>
      </c>
      <c r="Q69" s="77">
        <f t="shared" ref="Q69:Q90" si="14">ROUND(P69*3%,0) + P69</f>
        <v>10353.27</v>
      </c>
      <c r="R69" s="45">
        <f t="shared" si="8"/>
        <v>0.27</v>
      </c>
    </row>
    <row r="70" spans="1:18" ht="17.100000000000001" customHeight="1" x14ac:dyDescent="0.3">
      <c r="A70" s="62">
        <v>11</v>
      </c>
      <c r="B70" s="81" t="s">
        <v>154</v>
      </c>
      <c r="C70" s="62">
        <v>28</v>
      </c>
      <c r="D70" s="61" t="s">
        <v>153</v>
      </c>
      <c r="E70" s="79"/>
      <c r="F70" s="80">
        <v>2.0000000000000001E-4</v>
      </c>
      <c r="G70" s="72">
        <v>8287.2800000000007</v>
      </c>
      <c r="H70" s="132"/>
      <c r="I70" s="73">
        <f t="shared" si="13"/>
        <v>8287.2800000000007</v>
      </c>
      <c r="J70" s="73">
        <f t="shared" ref="J70:J90" si="15">IF(I70&gt;0,I70*3%,0)</f>
        <v>248.61840000000001</v>
      </c>
      <c r="K70" s="75">
        <f t="shared" ref="K70:K90" si="16">M$2*F70</f>
        <v>60.998612000000001</v>
      </c>
      <c r="L70" s="75">
        <f t="shared" ref="L70:L90" si="17">M$1*F70</f>
        <v>720</v>
      </c>
      <c r="M70" s="146">
        <f t="shared" ref="M70:M90" si="18">F$1*F70</f>
        <v>420.55540400000001</v>
      </c>
      <c r="N70" s="146">
        <f t="shared" ref="N70:N90" si="19">F$2*F70</f>
        <v>113.685914</v>
      </c>
      <c r="O70" s="146">
        <f t="shared" ref="O70:O90" si="20">I$2*F70</f>
        <v>200</v>
      </c>
      <c r="P70" s="76">
        <f t="shared" ref="P70:P90" si="21">ROUND(SUM(I70:O70),0) + R70</f>
        <v>10051.280000000001</v>
      </c>
      <c r="Q70" s="77">
        <f t="shared" si="14"/>
        <v>10353.280000000001</v>
      </c>
      <c r="R70" s="45">
        <f t="shared" ref="R70:R90" si="22">ROUND(0.001+C70/100,2)</f>
        <v>0.28000000000000003</v>
      </c>
    </row>
    <row r="71" spans="1:18" ht="17.100000000000001" customHeight="1" x14ac:dyDescent="0.3">
      <c r="A71" s="62">
        <v>11</v>
      </c>
      <c r="B71" s="81" t="s">
        <v>155</v>
      </c>
      <c r="C71" s="62">
        <v>29</v>
      </c>
      <c r="D71" s="61" t="s">
        <v>66</v>
      </c>
      <c r="E71" s="61" t="s">
        <v>194</v>
      </c>
      <c r="F71" s="80">
        <v>2.0000000000000001E-4</v>
      </c>
      <c r="G71" s="72">
        <v>1295.29</v>
      </c>
      <c r="H71" s="132"/>
      <c r="I71" s="73">
        <f t="shared" si="13"/>
        <v>1295.29</v>
      </c>
      <c r="J71" s="73">
        <f t="shared" si="15"/>
        <v>38.858699999999999</v>
      </c>
      <c r="K71" s="75">
        <f t="shared" si="16"/>
        <v>60.998612000000001</v>
      </c>
      <c r="L71" s="75">
        <f t="shared" si="17"/>
        <v>720</v>
      </c>
      <c r="M71" s="146">
        <f t="shared" si="18"/>
        <v>420.55540400000001</v>
      </c>
      <c r="N71" s="146">
        <f t="shared" si="19"/>
        <v>113.685914</v>
      </c>
      <c r="O71" s="146">
        <f t="shared" si="20"/>
        <v>200</v>
      </c>
      <c r="P71" s="76">
        <f t="shared" si="21"/>
        <v>2849.29</v>
      </c>
      <c r="Q71" s="77">
        <f t="shared" si="14"/>
        <v>2934.29</v>
      </c>
      <c r="R71" s="45">
        <f t="shared" si="22"/>
        <v>0.28999999999999998</v>
      </c>
    </row>
    <row r="72" spans="1:18" ht="17.100000000000001" customHeight="1" x14ac:dyDescent="0.3">
      <c r="A72" s="62"/>
      <c r="B72" s="82" t="s">
        <v>156</v>
      </c>
      <c r="C72" s="62">
        <v>30</v>
      </c>
      <c r="D72" s="83" t="s">
        <v>66</v>
      </c>
      <c r="E72" s="61" t="s">
        <v>212</v>
      </c>
      <c r="F72" s="84">
        <v>2.0000000000000001E-4</v>
      </c>
      <c r="G72" s="72">
        <v>1295.3</v>
      </c>
      <c r="H72" s="132">
        <f>G72</f>
        <v>1295.3</v>
      </c>
      <c r="I72" s="73">
        <f t="shared" si="13"/>
        <v>0</v>
      </c>
      <c r="J72" s="73">
        <f t="shared" si="15"/>
        <v>0</v>
      </c>
      <c r="K72" s="75">
        <f t="shared" si="16"/>
        <v>60.998612000000001</v>
      </c>
      <c r="L72" s="75">
        <f t="shared" si="17"/>
        <v>720</v>
      </c>
      <c r="M72" s="146">
        <f t="shared" si="18"/>
        <v>420.55540400000001</v>
      </c>
      <c r="N72" s="146">
        <f t="shared" si="19"/>
        <v>113.685914</v>
      </c>
      <c r="O72" s="146">
        <f t="shared" si="20"/>
        <v>200</v>
      </c>
      <c r="P72" s="76">
        <f t="shared" si="21"/>
        <v>1515.3</v>
      </c>
      <c r="Q72" s="77">
        <f t="shared" si="14"/>
        <v>1560.3</v>
      </c>
      <c r="R72" s="45">
        <f t="shared" si="22"/>
        <v>0.3</v>
      </c>
    </row>
    <row r="73" spans="1:18" ht="17.100000000000001" customHeight="1" x14ac:dyDescent="0.3">
      <c r="A73" s="62"/>
      <c r="B73" s="82" t="s">
        <v>157</v>
      </c>
      <c r="C73" s="62">
        <v>31</v>
      </c>
      <c r="D73" s="83" t="s">
        <v>66</v>
      </c>
      <c r="E73" s="83"/>
      <c r="F73" s="84">
        <v>2.0000000000000001E-4</v>
      </c>
      <c r="G73" s="72">
        <v>2391.31</v>
      </c>
      <c r="H73" s="132"/>
      <c r="I73" s="73">
        <f t="shared" si="13"/>
        <v>2391.31</v>
      </c>
      <c r="J73" s="73">
        <f t="shared" si="15"/>
        <v>71.7393</v>
      </c>
      <c r="K73" s="75">
        <f t="shared" si="16"/>
        <v>60.998612000000001</v>
      </c>
      <c r="L73" s="75">
        <f t="shared" si="17"/>
        <v>720</v>
      </c>
      <c r="M73" s="146">
        <f t="shared" si="18"/>
        <v>420.55540400000001</v>
      </c>
      <c r="N73" s="146">
        <f t="shared" si="19"/>
        <v>113.685914</v>
      </c>
      <c r="O73" s="146">
        <f t="shared" si="20"/>
        <v>200</v>
      </c>
      <c r="P73" s="76">
        <f t="shared" si="21"/>
        <v>3978.31</v>
      </c>
      <c r="Q73" s="77">
        <f t="shared" si="14"/>
        <v>4097.3099999999995</v>
      </c>
      <c r="R73" s="45">
        <f t="shared" si="22"/>
        <v>0.31</v>
      </c>
    </row>
    <row r="74" spans="1:18" ht="17.100000000000001" customHeight="1" x14ac:dyDescent="0.3">
      <c r="A74" s="62"/>
      <c r="B74" s="82" t="s">
        <v>158</v>
      </c>
      <c r="C74" s="62">
        <v>32</v>
      </c>
      <c r="D74" s="83" t="s">
        <v>159</v>
      </c>
      <c r="E74" s="83"/>
      <c r="F74" s="84">
        <v>1.5800000000000002E-2</v>
      </c>
      <c r="G74" s="72">
        <v>2059806.32</v>
      </c>
      <c r="H74" s="132"/>
      <c r="I74" s="73">
        <f t="shared" si="13"/>
        <v>2059806.32</v>
      </c>
      <c r="J74" s="73">
        <f t="shared" si="15"/>
        <v>61794.189599999998</v>
      </c>
      <c r="K74" s="75">
        <f t="shared" si="16"/>
        <v>4818.8903480000008</v>
      </c>
      <c r="L74" s="75">
        <f t="shared" si="17"/>
        <v>56880.000000000007</v>
      </c>
      <c r="M74" s="146">
        <f t="shared" si="18"/>
        <v>33223.876916000001</v>
      </c>
      <c r="N74" s="146">
        <f t="shared" si="19"/>
        <v>8981.1872060000005</v>
      </c>
      <c r="O74" s="146">
        <f t="shared" si="20"/>
        <v>15800.000000000002</v>
      </c>
      <c r="P74" s="76">
        <f t="shared" si="21"/>
        <v>2241304.3199999998</v>
      </c>
      <c r="Q74" s="77">
        <f t="shared" si="14"/>
        <v>2308543.3199999998</v>
      </c>
      <c r="R74" s="45">
        <f t="shared" si="22"/>
        <v>0.32</v>
      </c>
    </row>
    <row r="75" spans="1:18" ht="17.100000000000001" customHeight="1" x14ac:dyDescent="0.3">
      <c r="A75" s="62"/>
      <c r="B75" s="82" t="s">
        <v>160</v>
      </c>
      <c r="C75" s="62">
        <v>1</v>
      </c>
      <c r="D75" s="83" t="s">
        <v>115</v>
      </c>
      <c r="E75" s="83"/>
      <c r="F75" s="84">
        <v>6.1000000000000004E-3</v>
      </c>
      <c r="G75" s="72">
        <v>181049.01</v>
      </c>
      <c r="H75" s="132"/>
      <c r="I75" s="73">
        <f t="shared" si="13"/>
        <v>181049.01</v>
      </c>
      <c r="J75" s="73">
        <f t="shared" si="15"/>
        <v>5431.4703</v>
      </c>
      <c r="K75" s="75">
        <f t="shared" si="16"/>
        <v>1860.457666</v>
      </c>
      <c r="L75" s="75">
        <f t="shared" si="17"/>
        <v>21960</v>
      </c>
      <c r="M75" s="146">
        <f t="shared" si="18"/>
        <v>12826.939822</v>
      </c>
      <c r="N75" s="146">
        <f t="shared" si="19"/>
        <v>3467.4203769999999</v>
      </c>
      <c r="O75" s="146">
        <f t="shared" si="20"/>
        <v>6100</v>
      </c>
      <c r="P75" s="76">
        <f t="shared" si="21"/>
        <v>232695.01</v>
      </c>
      <c r="Q75" s="77">
        <f t="shared" si="14"/>
        <v>239676.01</v>
      </c>
      <c r="R75" s="45">
        <f t="shared" si="22"/>
        <v>0.01</v>
      </c>
    </row>
    <row r="76" spans="1:18" ht="17.100000000000001" customHeight="1" x14ac:dyDescent="0.3">
      <c r="A76" s="62"/>
      <c r="B76" s="82" t="s">
        <v>161</v>
      </c>
      <c r="C76" s="62">
        <v>2</v>
      </c>
      <c r="D76" s="83" t="s">
        <v>196</v>
      </c>
      <c r="E76" s="83"/>
      <c r="F76" s="84">
        <v>6.4000000000000003E-3</v>
      </c>
      <c r="G76" s="72">
        <v>41430.019999999997</v>
      </c>
      <c r="H76" s="132">
        <f>G76</f>
        <v>41430.019999999997</v>
      </c>
      <c r="I76" s="73">
        <f t="shared" si="13"/>
        <v>0</v>
      </c>
      <c r="J76" s="73">
        <f t="shared" si="15"/>
        <v>0</v>
      </c>
      <c r="K76" s="75">
        <f t="shared" si="16"/>
        <v>1951.955584</v>
      </c>
      <c r="L76" s="75">
        <f t="shared" si="17"/>
        <v>23040</v>
      </c>
      <c r="M76" s="146">
        <f t="shared" si="18"/>
        <v>13457.772928</v>
      </c>
      <c r="N76" s="146">
        <f t="shared" si="19"/>
        <v>3637.9492479999999</v>
      </c>
      <c r="O76" s="146">
        <f t="shared" si="20"/>
        <v>6400</v>
      </c>
      <c r="P76" s="76">
        <f t="shared" si="21"/>
        <v>48488.02</v>
      </c>
      <c r="Q76" s="77">
        <f t="shared" si="14"/>
        <v>49943.02</v>
      </c>
      <c r="R76" s="45">
        <f t="shared" si="22"/>
        <v>0.02</v>
      </c>
    </row>
    <row r="77" spans="1:18" ht="17.100000000000001" customHeight="1" x14ac:dyDescent="0.3">
      <c r="A77" s="62"/>
      <c r="B77" s="82" t="s">
        <v>162</v>
      </c>
      <c r="C77" s="62">
        <v>3</v>
      </c>
      <c r="D77" s="83" t="s">
        <v>163</v>
      </c>
      <c r="E77" s="83"/>
      <c r="F77" s="84">
        <v>5.7000000000000002E-3</v>
      </c>
      <c r="G77" s="72">
        <v>36898.03</v>
      </c>
      <c r="H77" s="132">
        <v>38005.03</v>
      </c>
      <c r="I77" s="73">
        <f t="shared" si="13"/>
        <v>-1107</v>
      </c>
      <c r="J77" s="73">
        <f t="shared" si="15"/>
        <v>0</v>
      </c>
      <c r="K77" s="75">
        <f t="shared" si="16"/>
        <v>1738.4604420000001</v>
      </c>
      <c r="L77" s="75">
        <f t="shared" si="17"/>
        <v>20520</v>
      </c>
      <c r="M77" s="146">
        <f t="shared" si="18"/>
        <v>11985.829014000001</v>
      </c>
      <c r="N77" s="146">
        <f t="shared" si="19"/>
        <v>3240.0485489999996</v>
      </c>
      <c r="O77" s="146">
        <f t="shared" si="20"/>
        <v>5700</v>
      </c>
      <c r="P77" s="76">
        <f t="shared" si="21"/>
        <v>42077.03</v>
      </c>
      <c r="Q77" s="77">
        <f t="shared" si="14"/>
        <v>43339.03</v>
      </c>
      <c r="R77" s="45">
        <f t="shared" si="22"/>
        <v>0.03</v>
      </c>
    </row>
    <row r="78" spans="1:18" ht="17.100000000000001" customHeight="1" x14ac:dyDescent="0.3">
      <c r="A78" s="62"/>
      <c r="B78" s="82" t="s">
        <v>164</v>
      </c>
      <c r="C78" s="62">
        <v>4</v>
      </c>
      <c r="D78" s="83" t="s">
        <v>62</v>
      </c>
      <c r="E78" s="83"/>
      <c r="F78" s="84">
        <v>5.3E-3</v>
      </c>
      <c r="G78" s="72">
        <v>34309.040000000001</v>
      </c>
      <c r="H78" s="132">
        <f>G78</f>
        <v>34309.040000000001</v>
      </c>
      <c r="I78" s="73">
        <f t="shared" si="13"/>
        <v>0</v>
      </c>
      <c r="J78" s="73">
        <f t="shared" si="15"/>
        <v>0</v>
      </c>
      <c r="K78" s="75">
        <f t="shared" si="16"/>
        <v>1616.4632180000001</v>
      </c>
      <c r="L78" s="75">
        <f t="shared" si="17"/>
        <v>19080</v>
      </c>
      <c r="M78" s="146">
        <f t="shared" si="18"/>
        <v>11144.718206</v>
      </c>
      <c r="N78" s="146">
        <f t="shared" si="19"/>
        <v>3012.6767209999998</v>
      </c>
      <c r="O78" s="146">
        <f t="shared" si="20"/>
        <v>5300</v>
      </c>
      <c r="P78" s="76">
        <f t="shared" si="21"/>
        <v>40154.04</v>
      </c>
      <c r="Q78" s="77">
        <f t="shared" si="14"/>
        <v>41359.040000000001</v>
      </c>
      <c r="R78" s="45">
        <f t="shared" si="22"/>
        <v>0.04</v>
      </c>
    </row>
    <row r="79" spans="1:18" ht="17.100000000000001" customHeight="1" x14ac:dyDescent="0.3">
      <c r="A79" s="62"/>
      <c r="B79" s="82" t="s">
        <v>165</v>
      </c>
      <c r="C79" s="62">
        <v>5</v>
      </c>
      <c r="D79" s="83" t="s">
        <v>59</v>
      </c>
      <c r="E79" s="62" t="s">
        <v>206</v>
      </c>
      <c r="F79" s="84">
        <v>5.3E-3</v>
      </c>
      <c r="G79" s="72">
        <v>63369.05</v>
      </c>
      <c r="H79" s="132">
        <f>G79</f>
        <v>63369.05</v>
      </c>
      <c r="I79" s="73">
        <f t="shared" si="13"/>
        <v>0</v>
      </c>
      <c r="J79" s="73">
        <f t="shared" si="15"/>
        <v>0</v>
      </c>
      <c r="K79" s="75">
        <f t="shared" si="16"/>
        <v>1616.4632180000001</v>
      </c>
      <c r="L79" s="75">
        <f t="shared" si="17"/>
        <v>19080</v>
      </c>
      <c r="M79" s="146">
        <f t="shared" si="18"/>
        <v>11144.718206</v>
      </c>
      <c r="N79" s="146">
        <f t="shared" si="19"/>
        <v>3012.6767209999998</v>
      </c>
      <c r="O79" s="146">
        <f t="shared" si="20"/>
        <v>5300</v>
      </c>
      <c r="P79" s="76">
        <f t="shared" si="21"/>
        <v>40154.050000000003</v>
      </c>
      <c r="Q79" s="77">
        <f t="shared" si="14"/>
        <v>41359.050000000003</v>
      </c>
      <c r="R79" s="45">
        <f t="shared" si="22"/>
        <v>0.05</v>
      </c>
    </row>
    <row r="80" spans="1:18" ht="17.100000000000001" customHeight="1" x14ac:dyDescent="0.3">
      <c r="A80" s="62"/>
      <c r="B80" s="82" t="s">
        <v>166</v>
      </c>
      <c r="C80" s="62">
        <v>6</v>
      </c>
      <c r="D80" s="83" t="s">
        <v>167</v>
      </c>
      <c r="E80" s="83"/>
      <c r="F80" s="84">
        <v>5.3E-3</v>
      </c>
      <c r="G80" s="72">
        <v>63369.06</v>
      </c>
      <c r="H80" s="132"/>
      <c r="I80" s="73">
        <f t="shared" si="13"/>
        <v>63369.06</v>
      </c>
      <c r="J80" s="73">
        <f t="shared" si="15"/>
        <v>1901.0717999999999</v>
      </c>
      <c r="K80" s="75">
        <f t="shared" si="16"/>
        <v>1616.4632180000001</v>
      </c>
      <c r="L80" s="75">
        <f t="shared" si="17"/>
        <v>19080</v>
      </c>
      <c r="M80" s="146">
        <f t="shared" si="18"/>
        <v>11144.718206</v>
      </c>
      <c r="N80" s="146">
        <f t="shared" si="19"/>
        <v>3012.6767209999998</v>
      </c>
      <c r="O80" s="146">
        <f t="shared" si="20"/>
        <v>5300</v>
      </c>
      <c r="P80" s="76">
        <f t="shared" si="21"/>
        <v>105424.06</v>
      </c>
      <c r="Q80" s="77">
        <f t="shared" si="14"/>
        <v>108587.06</v>
      </c>
      <c r="R80" s="45">
        <f t="shared" si="22"/>
        <v>0.06</v>
      </c>
    </row>
    <row r="81" spans="1:18" ht="17.100000000000001" customHeight="1" x14ac:dyDescent="0.3">
      <c r="A81" s="62">
        <v>12</v>
      </c>
      <c r="B81" s="82" t="s">
        <v>168</v>
      </c>
      <c r="C81" s="62">
        <v>7</v>
      </c>
      <c r="D81" s="83" t="s">
        <v>102</v>
      </c>
      <c r="E81" s="83"/>
      <c r="F81" s="84">
        <v>5.3E-3</v>
      </c>
      <c r="G81" s="72">
        <v>63369.07</v>
      </c>
      <c r="H81" s="132"/>
      <c r="I81" s="73">
        <f t="shared" si="13"/>
        <v>63369.07</v>
      </c>
      <c r="J81" s="73">
        <f t="shared" si="15"/>
        <v>1901.0720999999999</v>
      </c>
      <c r="K81" s="75">
        <f t="shared" si="16"/>
        <v>1616.4632180000001</v>
      </c>
      <c r="L81" s="75">
        <f t="shared" si="17"/>
        <v>19080</v>
      </c>
      <c r="M81" s="146">
        <f t="shared" si="18"/>
        <v>11144.718206</v>
      </c>
      <c r="N81" s="146">
        <f t="shared" si="19"/>
        <v>3012.6767209999998</v>
      </c>
      <c r="O81" s="146">
        <f t="shared" si="20"/>
        <v>5300</v>
      </c>
      <c r="P81" s="76">
        <f t="shared" si="21"/>
        <v>105424.07</v>
      </c>
      <c r="Q81" s="77">
        <f t="shared" si="14"/>
        <v>108587.07</v>
      </c>
      <c r="R81" s="45">
        <f t="shared" si="22"/>
        <v>7.0000000000000007E-2</v>
      </c>
    </row>
    <row r="82" spans="1:18" ht="17.100000000000001" customHeight="1" x14ac:dyDescent="0.3">
      <c r="A82" s="62">
        <v>12</v>
      </c>
      <c r="B82" s="81" t="s">
        <v>169</v>
      </c>
      <c r="C82" s="62">
        <v>8</v>
      </c>
      <c r="D82" s="62" t="s">
        <v>115</v>
      </c>
      <c r="E82" s="85"/>
      <c r="F82" s="84">
        <v>5.3E-3</v>
      </c>
      <c r="G82" s="72">
        <v>63369.08</v>
      </c>
      <c r="H82" s="132"/>
      <c r="I82" s="73">
        <f t="shared" si="13"/>
        <v>63369.08</v>
      </c>
      <c r="J82" s="73">
        <f t="shared" si="15"/>
        <v>1901.0724</v>
      </c>
      <c r="K82" s="75">
        <f t="shared" si="16"/>
        <v>1616.4632180000001</v>
      </c>
      <c r="L82" s="75">
        <f t="shared" si="17"/>
        <v>19080</v>
      </c>
      <c r="M82" s="146">
        <f t="shared" si="18"/>
        <v>11144.718206</v>
      </c>
      <c r="N82" s="146">
        <f t="shared" si="19"/>
        <v>3012.6767209999998</v>
      </c>
      <c r="O82" s="146">
        <f t="shared" si="20"/>
        <v>5300</v>
      </c>
      <c r="P82" s="76">
        <f t="shared" si="21"/>
        <v>105424.08</v>
      </c>
      <c r="Q82" s="77">
        <f t="shared" si="14"/>
        <v>108587.08</v>
      </c>
      <c r="R82" s="45">
        <f t="shared" si="22"/>
        <v>0.08</v>
      </c>
    </row>
    <row r="83" spans="1:18" ht="16.5" customHeight="1" x14ac:dyDescent="0.3">
      <c r="A83" s="62">
        <v>12</v>
      </c>
      <c r="B83" s="81" t="s">
        <v>170</v>
      </c>
      <c r="C83" s="62">
        <v>9</v>
      </c>
      <c r="D83" s="62" t="s">
        <v>115</v>
      </c>
      <c r="E83" s="160" t="str">
        <f>E44</f>
        <v>Agustina Malfigliaccio y Alan Pons</v>
      </c>
      <c r="F83" s="84">
        <v>5.3E-3</v>
      </c>
      <c r="G83" s="72">
        <v>34309.089999999997</v>
      </c>
      <c r="H83" s="132">
        <f>G83</f>
        <v>34309.089999999997</v>
      </c>
      <c r="I83" s="73">
        <f t="shared" si="13"/>
        <v>0</v>
      </c>
      <c r="J83" s="73">
        <f t="shared" si="15"/>
        <v>0</v>
      </c>
      <c r="K83" s="75">
        <f t="shared" si="16"/>
        <v>1616.4632180000001</v>
      </c>
      <c r="L83" s="75">
        <f t="shared" si="17"/>
        <v>19080</v>
      </c>
      <c r="M83" s="146">
        <f t="shared" si="18"/>
        <v>11144.718206</v>
      </c>
      <c r="N83" s="146">
        <f t="shared" si="19"/>
        <v>3012.6767209999998</v>
      </c>
      <c r="O83" s="146">
        <f t="shared" si="20"/>
        <v>5300</v>
      </c>
      <c r="P83" s="76">
        <f t="shared" si="21"/>
        <v>40154.089999999997</v>
      </c>
      <c r="Q83" s="77">
        <f t="shared" si="14"/>
        <v>41359.089999999997</v>
      </c>
      <c r="R83" s="45">
        <f t="shared" si="22"/>
        <v>0.09</v>
      </c>
    </row>
    <row r="84" spans="1:18" x14ac:dyDescent="0.3">
      <c r="A84" s="62"/>
      <c r="B84" s="81" t="s">
        <v>171</v>
      </c>
      <c r="C84" s="81">
        <v>10</v>
      </c>
      <c r="D84" s="62" t="s">
        <v>115</v>
      </c>
      <c r="E84" s="63"/>
      <c r="F84" s="71">
        <v>5.3E-3</v>
      </c>
      <c r="G84" s="72">
        <v>154141.1</v>
      </c>
      <c r="H84" s="132"/>
      <c r="I84" s="73">
        <f t="shared" si="13"/>
        <v>154141.1</v>
      </c>
      <c r="J84" s="73">
        <f t="shared" si="15"/>
        <v>4624.2330000000002</v>
      </c>
      <c r="K84" s="75">
        <f t="shared" si="16"/>
        <v>1616.4632180000001</v>
      </c>
      <c r="L84" s="75">
        <f t="shared" si="17"/>
        <v>19080</v>
      </c>
      <c r="M84" s="146">
        <f t="shared" si="18"/>
        <v>11144.718206</v>
      </c>
      <c r="N84" s="146">
        <f t="shared" si="19"/>
        <v>3012.6767209999998</v>
      </c>
      <c r="O84" s="146">
        <f t="shared" si="20"/>
        <v>5300</v>
      </c>
      <c r="P84" s="76">
        <f t="shared" si="21"/>
        <v>198919.1</v>
      </c>
      <c r="Q84" s="77">
        <f t="shared" si="14"/>
        <v>204887.1</v>
      </c>
      <c r="R84" s="45">
        <f t="shared" si="22"/>
        <v>0.1</v>
      </c>
    </row>
    <row r="85" spans="1:18" x14ac:dyDescent="0.3">
      <c r="A85" s="62"/>
      <c r="B85" s="81" t="s">
        <v>172</v>
      </c>
      <c r="C85" s="81">
        <v>11</v>
      </c>
      <c r="D85" s="62" t="s">
        <v>115</v>
      </c>
      <c r="E85" s="63"/>
      <c r="F85" s="71">
        <v>5.3E-3</v>
      </c>
      <c r="G85" s="72">
        <v>114609.11</v>
      </c>
      <c r="H85" s="132"/>
      <c r="I85" s="73">
        <f t="shared" si="13"/>
        <v>114609.11</v>
      </c>
      <c r="J85" s="73">
        <f t="shared" si="15"/>
        <v>3438.2732999999998</v>
      </c>
      <c r="K85" s="75">
        <f t="shared" si="16"/>
        <v>1616.4632180000001</v>
      </c>
      <c r="L85" s="75">
        <f t="shared" si="17"/>
        <v>19080</v>
      </c>
      <c r="M85" s="146">
        <f t="shared" si="18"/>
        <v>11144.718206</v>
      </c>
      <c r="N85" s="146">
        <f t="shared" si="19"/>
        <v>3012.6767209999998</v>
      </c>
      <c r="O85" s="146">
        <f t="shared" si="20"/>
        <v>5300</v>
      </c>
      <c r="P85" s="76">
        <f t="shared" si="21"/>
        <v>158201.10999999999</v>
      </c>
      <c r="Q85" s="77">
        <f t="shared" si="14"/>
        <v>162947.10999999999</v>
      </c>
      <c r="R85" s="45">
        <f t="shared" si="22"/>
        <v>0.11</v>
      </c>
    </row>
    <row r="86" spans="1:18" x14ac:dyDescent="0.3">
      <c r="A86" s="62"/>
      <c r="B86" s="81" t="s">
        <v>173</v>
      </c>
      <c r="C86" s="81">
        <v>12</v>
      </c>
      <c r="D86" s="64" t="s">
        <v>79</v>
      </c>
      <c r="E86" s="62" t="s">
        <v>210</v>
      </c>
      <c r="F86" s="71">
        <v>5.3E-3</v>
      </c>
      <c r="G86" s="72">
        <v>34309.120000000003</v>
      </c>
      <c r="H86" s="132">
        <f>G86</f>
        <v>34309.120000000003</v>
      </c>
      <c r="I86" s="73">
        <f t="shared" si="13"/>
        <v>0</v>
      </c>
      <c r="J86" s="73">
        <f t="shared" si="15"/>
        <v>0</v>
      </c>
      <c r="K86" s="75">
        <f t="shared" si="16"/>
        <v>1616.4632180000001</v>
      </c>
      <c r="L86" s="75">
        <f t="shared" si="17"/>
        <v>19080</v>
      </c>
      <c r="M86" s="146">
        <f t="shared" si="18"/>
        <v>11144.718206</v>
      </c>
      <c r="N86" s="146">
        <f t="shared" si="19"/>
        <v>3012.6767209999998</v>
      </c>
      <c r="O86" s="146">
        <f t="shared" si="20"/>
        <v>5300</v>
      </c>
      <c r="P86" s="76">
        <f t="shared" si="21"/>
        <v>40154.120000000003</v>
      </c>
      <c r="Q86" s="77">
        <f t="shared" si="14"/>
        <v>41359.120000000003</v>
      </c>
      <c r="R86" s="45">
        <f t="shared" si="22"/>
        <v>0.12</v>
      </c>
    </row>
    <row r="87" spans="1:18" x14ac:dyDescent="0.3">
      <c r="A87" s="62"/>
      <c r="B87" s="62" t="s">
        <v>174</v>
      </c>
      <c r="C87" s="62">
        <v>13</v>
      </c>
      <c r="D87" s="64" t="s">
        <v>96</v>
      </c>
      <c r="E87" s="63"/>
      <c r="F87" s="71">
        <v>5.3E-3</v>
      </c>
      <c r="G87" s="72">
        <v>34309.129999999997</v>
      </c>
      <c r="H87" s="132">
        <f>G87</f>
        <v>34309.129999999997</v>
      </c>
      <c r="I87" s="73">
        <f t="shared" si="13"/>
        <v>0</v>
      </c>
      <c r="J87" s="73">
        <f t="shared" si="15"/>
        <v>0</v>
      </c>
      <c r="K87" s="75">
        <f t="shared" si="16"/>
        <v>1616.4632180000001</v>
      </c>
      <c r="L87" s="75">
        <f t="shared" si="17"/>
        <v>19080</v>
      </c>
      <c r="M87" s="146">
        <f t="shared" si="18"/>
        <v>11144.718206</v>
      </c>
      <c r="N87" s="146">
        <f t="shared" si="19"/>
        <v>3012.6767209999998</v>
      </c>
      <c r="O87" s="146">
        <f t="shared" si="20"/>
        <v>5300</v>
      </c>
      <c r="P87" s="76">
        <f t="shared" si="21"/>
        <v>40154.129999999997</v>
      </c>
      <c r="Q87" s="77">
        <f t="shared" si="14"/>
        <v>41359.129999999997</v>
      </c>
      <c r="R87" s="45">
        <f t="shared" si="22"/>
        <v>0.13</v>
      </c>
    </row>
    <row r="88" spans="1:18" x14ac:dyDescent="0.3">
      <c r="A88" s="62"/>
      <c r="B88" s="62" t="s">
        <v>175</v>
      </c>
      <c r="C88" s="62">
        <v>14</v>
      </c>
      <c r="D88" s="64" t="s">
        <v>86</v>
      </c>
      <c r="E88" s="63" t="s">
        <v>246</v>
      </c>
      <c r="F88" s="71">
        <v>5.3E-3</v>
      </c>
      <c r="G88" s="72">
        <v>83462.14</v>
      </c>
      <c r="H88" s="132">
        <v>85966.14</v>
      </c>
      <c r="I88" s="73">
        <f t="shared" si="13"/>
        <v>-2504</v>
      </c>
      <c r="J88" s="73">
        <f t="shared" si="15"/>
        <v>0</v>
      </c>
      <c r="K88" s="75">
        <f t="shared" si="16"/>
        <v>1616.4632180000001</v>
      </c>
      <c r="L88" s="75">
        <f t="shared" si="17"/>
        <v>19080</v>
      </c>
      <c r="M88" s="146">
        <f t="shared" si="18"/>
        <v>11144.718206</v>
      </c>
      <c r="N88" s="146">
        <f t="shared" si="19"/>
        <v>3012.6767209999998</v>
      </c>
      <c r="O88" s="146">
        <f t="shared" si="20"/>
        <v>5300</v>
      </c>
      <c r="P88" s="76">
        <f t="shared" si="21"/>
        <v>37650.14</v>
      </c>
      <c r="Q88" s="77">
        <f t="shared" si="14"/>
        <v>38780.14</v>
      </c>
      <c r="R88" s="45">
        <f t="shared" si="22"/>
        <v>0.14000000000000001</v>
      </c>
    </row>
    <row r="89" spans="1:18" x14ac:dyDescent="0.3">
      <c r="A89" s="62"/>
      <c r="B89" s="62" t="s">
        <v>176</v>
      </c>
      <c r="C89" s="62">
        <v>15</v>
      </c>
      <c r="D89" s="64" t="s">
        <v>74</v>
      </c>
      <c r="E89" s="63" t="str">
        <f>E20</f>
        <v xml:space="preserve">Armando Ezequiel Garro </v>
      </c>
      <c r="F89" s="71">
        <v>5.3E-3</v>
      </c>
      <c r="G89" s="72">
        <v>34309.15</v>
      </c>
      <c r="H89" s="132">
        <f>G89</f>
        <v>34309.15</v>
      </c>
      <c r="I89" s="73">
        <f t="shared" si="13"/>
        <v>0</v>
      </c>
      <c r="J89" s="73">
        <f t="shared" si="15"/>
        <v>0</v>
      </c>
      <c r="K89" s="75">
        <f t="shared" si="16"/>
        <v>1616.4632180000001</v>
      </c>
      <c r="L89" s="75">
        <f t="shared" si="17"/>
        <v>19080</v>
      </c>
      <c r="M89" s="146">
        <f t="shared" si="18"/>
        <v>11144.718206</v>
      </c>
      <c r="N89" s="146">
        <f t="shared" si="19"/>
        <v>3012.6767209999998</v>
      </c>
      <c r="O89" s="146">
        <f t="shared" si="20"/>
        <v>5300</v>
      </c>
      <c r="P89" s="76">
        <f t="shared" si="21"/>
        <v>40154.15</v>
      </c>
      <c r="Q89" s="77">
        <f t="shared" si="14"/>
        <v>41359.15</v>
      </c>
      <c r="R89" s="45">
        <f t="shared" si="22"/>
        <v>0.15</v>
      </c>
    </row>
    <row r="90" spans="1:18" x14ac:dyDescent="0.3">
      <c r="A90" s="61"/>
      <c r="B90" s="61" t="s">
        <v>177</v>
      </c>
      <c r="C90" s="62">
        <v>16</v>
      </c>
      <c r="D90" s="62" t="s">
        <v>94</v>
      </c>
      <c r="E90" s="63" t="s">
        <v>193</v>
      </c>
      <c r="F90" s="71">
        <v>6.1999999999999998E-3</v>
      </c>
      <c r="G90" s="72">
        <v>40135.160000000003</v>
      </c>
      <c r="H90" s="132"/>
      <c r="I90" s="73">
        <f t="shared" si="13"/>
        <v>40135.160000000003</v>
      </c>
      <c r="J90" s="73">
        <f t="shared" si="15"/>
        <v>1204.0548000000001</v>
      </c>
      <c r="K90" s="75">
        <f t="shared" si="16"/>
        <v>1890.956972</v>
      </c>
      <c r="L90" s="75">
        <f t="shared" si="17"/>
        <v>22320</v>
      </c>
      <c r="M90" s="146">
        <f t="shared" si="18"/>
        <v>13037.217524</v>
      </c>
      <c r="N90" s="146">
        <f t="shared" si="19"/>
        <v>3524.2633339999998</v>
      </c>
      <c r="O90" s="146">
        <f t="shared" si="20"/>
        <v>6200</v>
      </c>
      <c r="P90" s="76">
        <f t="shared" si="21"/>
        <v>88312.16</v>
      </c>
      <c r="Q90" s="77">
        <f t="shared" si="14"/>
        <v>90961.16</v>
      </c>
      <c r="R90" s="45">
        <f t="shared" si="22"/>
        <v>0.16</v>
      </c>
    </row>
    <row r="91" spans="1:18" ht="17.100000000000001" customHeight="1" x14ac:dyDescent="0.3">
      <c r="A91" s="62"/>
      <c r="B91" s="62"/>
      <c r="C91" s="62"/>
      <c r="D91" s="62"/>
      <c r="E91" s="62"/>
      <c r="F91" s="71"/>
      <c r="G91" s="72"/>
      <c r="I91" s="73"/>
      <c r="J91" s="73"/>
      <c r="K91" s="74"/>
      <c r="L91" s="75"/>
      <c r="M91" s="75"/>
      <c r="N91" s="75"/>
      <c r="O91" s="75"/>
      <c r="P91" s="72"/>
      <c r="Q91" s="72"/>
      <c r="R91" s="45"/>
    </row>
    <row r="92" spans="1:18" ht="17.100000000000001" customHeight="1" thickBot="1" x14ac:dyDescent="0.35">
      <c r="A92" s="86"/>
      <c r="B92" s="131"/>
      <c r="C92" s="87"/>
      <c r="D92" s="139"/>
      <c r="E92" s="139"/>
      <c r="F92" s="142">
        <f>SUM(F5:F91)</f>
        <v>0.99999999999999956</v>
      </c>
      <c r="G92" s="88">
        <f>SUM(G5:G91)</f>
        <v>10810115.899999999</v>
      </c>
      <c r="H92" s="140">
        <f>SUM(H5:H91)</f>
        <v>6819818.0899999999</v>
      </c>
      <c r="I92" s="140">
        <f>SUM(I5:I91)</f>
        <v>3990297.8100000005</v>
      </c>
      <c r="J92" s="140">
        <f t="shared" ref="J92:P92" si="23">SUM(J5:J91)</f>
        <v>131435.04240000001</v>
      </c>
      <c r="K92" s="140">
        <f t="shared" si="23"/>
        <v>304993.06000000075</v>
      </c>
      <c r="L92" s="141">
        <f t="shared" si="23"/>
        <v>3600000</v>
      </c>
      <c r="M92" s="141">
        <f>SUM(M5:M90)</f>
        <v>2102777.0200000014</v>
      </c>
      <c r="N92" s="141">
        <f>SUM(N5:N90)</f>
        <v>568429.56999999948</v>
      </c>
      <c r="O92" s="141">
        <f>SUM(O5:O90)</f>
        <v>1000000</v>
      </c>
      <c r="P92" s="88">
        <f t="shared" si="23"/>
        <v>11697958.699999999</v>
      </c>
      <c r="Q92" s="88">
        <f>SUM(Q5:Q91)</f>
        <v>12048891.699999999</v>
      </c>
    </row>
    <row r="93" spans="1:18" x14ac:dyDescent="0.3">
      <c r="D93" s="51"/>
      <c r="E93" s="51"/>
    </row>
    <row r="95" spans="1:18" ht="9" customHeight="1" x14ac:dyDescent="0.3">
      <c r="D95" s="173" t="str">
        <f>RESUMEN!A13</f>
        <v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v>
      </c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</row>
    <row r="96" spans="1:18" ht="12" hidden="1" customHeight="1" x14ac:dyDescent="0.3"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</row>
    <row r="97" spans="4:16" ht="12" hidden="1" customHeight="1" x14ac:dyDescent="0.3"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</row>
    <row r="98" spans="4:16" ht="12" hidden="1" customHeight="1" x14ac:dyDescent="0.3"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</row>
    <row r="99" spans="4:16" ht="12" hidden="1" customHeight="1" x14ac:dyDescent="0.3"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</row>
    <row r="100" spans="4:16" ht="60.75" customHeight="1" x14ac:dyDescent="0.3"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</row>
  </sheetData>
  <mergeCells count="23">
    <mergeCell ref="F1:G1"/>
    <mergeCell ref="F2:G2"/>
    <mergeCell ref="M1:N1"/>
    <mergeCell ref="Q3:Q4"/>
    <mergeCell ref="D95:P100"/>
    <mergeCell ref="E3:E4"/>
    <mergeCell ref="N3:N4"/>
    <mergeCell ref="M2:N2"/>
    <mergeCell ref="O3:O4"/>
    <mergeCell ref="P1:Q1"/>
    <mergeCell ref="P2:Q2"/>
    <mergeCell ref="I2:J2"/>
    <mergeCell ref="A3:A4"/>
    <mergeCell ref="C3:C4"/>
    <mergeCell ref="D3:D4"/>
    <mergeCell ref="F3:F4"/>
    <mergeCell ref="M3:M4"/>
    <mergeCell ref="J3:J4"/>
    <mergeCell ref="G3:G4"/>
    <mergeCell ref="H3:H4"/>
    <mergeCell ref="I3:I4"/>
    <mergeCell ref="K3:K4"/>
    <mergeCell ref="L3:L4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2025-05-08T14:54:24Z</cp:lastPrinted>
  <dcterms:created xsi:type="dcterms:W3CDTF">2023-09-17T12:29:07Z</dcterms:created>
  <dcterms:modified xsi:type="dcterms:W3CDTF">2025-05-20T14:58:00Z</dcterms:modified>
</cp:coreProperties>
</file>