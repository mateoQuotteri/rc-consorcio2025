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VERGARA\febrero\"/>
    </mc:Choice>
  </mc:AlternateContent>
  <xr:revisionPtr revIDLastSave="0" documentId="13_ncr:1_{F7228AA1-A119-4290-B763-14B54EEBC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Hoja1!$O$1:$S$56</definedName>
  </definedNames>
  <calcPr calcId="181029"/>
</workbook>
</file>

<file path=xl/calcChain.xml><?xml version="1.0" encoding="utf-8"?>
<calcChain xmlns="http://schemas.openxmlformats.org/spreadsheetml/2006/main">
  <c r="R43" i="1" l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63" i="1"/>
  <c r="F6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9" i="1"/>
  <c r="Q54" i="1"/>
  <c r="Q35" i="1"/>
  <c r="Q31" i="1"/>
  <c r="P19" i="1"/>
  <c r="P14" i="1"/>
  <c r="R13" i="1"/>
  <c r="R11" i="1"/>
  <c r="K95" i="1"/>
  <c r="G95" i="1"/>
  <c r="E95" i="1"/>
  <c r="L94" i="1"/>
  <c r="J94" i="1"/>
  <c r="H94" i="1"/>
  <c r="J93" i="1"/>
  <c r="H93" i="1"/>
  <c r="L92" i="1"/>
  <c r="J92" i="1"/>
  <c r="H92" i="1"/>
  <c r="J91" i="1"/>
  <c r="H91" i="1"/>
  <c r="J90" i="1"/>
  <c r="H90" i="1"/>
  <c r="L89" i="1"/>
  <c r="J89" i="1"/>
  <c r="H89" i="1"/>
  <c r="L88" i="1"/>
  <c r="J88" i="1"/>
  <c r="H88" i="1"/>
  <c r="J87" i="1"/>
  <c r="H87" i="1"/>
  <c r="J86" i="1"/>
  <c r="H86" i="1"/>
  <c r="J85" i="1"/>
  <c r="H85" i="1"/>
  <c r="M85" i="1" s="1"/>
  <c r="J84" i="1"/>
  <c r="H84" i="1"/>
  <c r="M84" i="1" s="1"/>
  <c r="J83" i="1"/>
  <c r="H83" i="1"/>
  <c r="J82" i="1"/>
  <c r="H82" i="1"/>
  <c r="J81" i="1"/>
  <c r="H81" i="1"/>
  <c r="M81" i="1"/>
  <c r="J80" i="1"/>
  <c r="H80" i="1"/>
  <c r="M80" i="1"/>
  <c r="L79" i="1"/>
  <c r="J79" i="1"/>
  <c r="H79" i="1"/>
  <c r="L78" i="1"/>
  <c r="J78" i="1"/>
  <c r="H78" i="1"/>
  <c r="J77" i="1"/>
  <c r="H77" i="1"/>
  <c r="J76" i="1"/>
  <c r="H76" i="1"/>
  <c r="L75" i="1"/>
  <c r="J75" i="1"/>
  <c r="H75" i="1"/>
  <c r="L74" i="1"/>
  <c r="J74" i="1"/>
  <c r="H74" i="1"/>
  <c r="L73" i="1"/>
  <c r="J73" i="1"/>
  <c r="H73" i="1"/>
  <c r="J72" i="1"/>
  <c r="H72" i="1"/>
  <c r="J71" i="1"/>
  <c r="H71" i="1"/>
  <c r="M71" i="1"/>
  <c r="J70" i="1"/>
  <c r="H70" i="1"/>
  <c r="L69" i="1"/>
  <c r="J69" i="1"/>
  <c r="H69" i="1"/>
  <c r="L68" i="1"/>
  <c r="J68" i="1"/>
  <c r="H68" i="1"/>
  <c r="J67" i="1"/>
  <c r="H67" i="1"/>
  <c r="J66" i="1"/>
  <c r="H66" i="1"/>
  <c r="M66" i="1" s="1"/>
  <c r="J65" i="1"/>
  <c r="H65" i="1"/>
  <c r="L64" i="1"/>
  <c r="J64" i="1"/>
  <c r="H64" i="1"/>
  <c r="M64" i="1" s="1"/>
  <c r="J63" i="1"/>
  <c r="H63" i="1"/>
  <c r="J60" i="1"/>
  <c r="I60" i="1"/>
  <c r="H60" i="1"/>
  <c r="L59" i="1"/>
  <c r="J59" i="1"/>
  <c r="I59" i="1"/>
  <c r="H59" i="1"/>
  <c r="J58" i="1"/>
  <c r="I58" i="1"/>
  <c r="H58" i="1"/>
  <c r="M58" i="1" s="1"/>
  <c r="J57" i="1"/>
  <c r="I57" i="1"/>
  <c r="H57" i="1"/>
  <c r="J56" i="1"/>
  <c r="I56" i="1"/>
  <c r="H56" i="1"/>
  <c r="M56" i="1" s="1"/>
  <c r="J55" i="1"/>
  <c r="I55" i="1"/>
  <c r="H55" i="1"/>
  <c r="M55" i="1" s="1"/>
  <c r="L54" i="1"/>
  <c r="J54" i="1"/>
  <c r="I54" i="1"/>
  <c r="H54" i="1"/>
  <c r="L53" i="1"/>
  <c r="J53" i="1"/>
  <c r="I53" i="1"/>
  <c r="H53" i="1"/>
  <c r="L52" i="1"/>
  <c r="J52" i="1"/>
  <c r="I52" i="1"/>
  <c r="H52" i="1"/>
  <c r="J51" i="1"/>
  <c r="I51" i="1"/>
  <c r="H51" i="1"/>
  <c r="J50" i="1"/>
  <c r="I50" i="1"/>
  <c r="H50" i="1"/>
  <c r="L49" i="1"/>
  <c r="J49" i="1"/>
  <c r="I49" i="1"/>
  <c r="H49" i="1"/>
  <c r="J48" i="1"/>
  <c r="M48" i="1" s="1"/>
  <c r="I48" i="1"/>
  <c r="H48" i="1"/>
  <c r="J47" i="1"/>
  <c r="M47" i="1" s="1"/>
  <c r="I47" i="1"/>
  <c r="H47" i="1"/>
  <c r="J46" i="1"/>
  <c r="M46" i="1" s="1"/>
  <c r="I46" i="1"/>
  <c r="H46" i="1"/>
  <c r="J45" i="1"/>
  <c r="M45" i="1" s="1"/>
  <c r="I45" i="1"/>
  <c r="H45" i="1"/>
  <c r="J44" i="1"/>
  <c r="M44" i="1" s="1"/>
  <c r="I44" i="1"/>
  <c r="H44" i="1"/>
  <c r="J43" i="1"/>
  <c r="M43" i="1" s="1"/>
  <c r="I43" i="1"/>
  <c r="H43" i="1"/>
  <c r="J42" i="1"/>
  <c r="M42" i="1" s="1"/>
  <c r="I42" i="1"/>
  <c r="H42" i="1"/>
  <c r="J41" i="1"/>
  <c r="M41" i="1" s="1"/>
  <c r="I41" i="1"/>
  <c r="H41" i="1"/>
  <c r="J40" i="1"/>
  <c r="M40" i="1" s="1"/>
  <c r="I40" i="1"/>
  <c r="H40" i="1"/>
  <c r="J39" i="1"/>
  <c r="M39" i="1" s="1"/>
  <c r="I39" i="1"/>
  <c r="H39" i="1"/>
  <c r="J38" i="1"/>
  <c r="M38" i="1" s="1"/>
  <c r="I38" i="1"/>
  <c r="H38" i="1"/>
  <c r="J37" i="1"/>
  <c r="M37" i="1" s="1"/>
  <c r="I37" i="1"/>
  <c r="H37" i="1"/>
  <c r="J36" i="1"/>
  <c r="M36" i="1" s="1"/>
  <c r="I36" i="1"/>
  <c r="H36" i="1"/>
  <c r="L35" i="1"/>
  <c r="J35" i="1"/>
  <c r="I35" i="1"/>
  <c r="H35" i="1"/>
  <c r="L34" i="1"/>
  <c r="J34" i="1"/>
  <c r="I34" i="1"/>
  <c r="H34" i="1"/>
  <c r="J33" i="1"/>
  <c r="I33" i="1"/>
  <c r="H33" i="1"/>
  <c r="L32" i="1"/>
  <c r="J32" i="1"/>
  <c r="I32" i="1"/>
  <c r="H32" i="1"/>
  <c r="L31" i="1"/>
  <c r="J31" i="1"/>
  <c r="I31" i="1"/>
  <c r="H31" i="1"/>
  <c r="J30" i="1"/>
  <c r="I30" i="1"/>
  <c r="H30" i="1"/>
  <c r="M30" i="1" s="1"/>
  <c r="J29" i="1"/>
  <c r="I29" i="1"/>
  <c r="H29" i="1"/>
  <c r="M29" i="1" s="1"/>
  <c r="J28" i="1"/>
  <c r="I28" i="1"/>
  <c r="H28" i="1"/>
  <c r="M28" i="1" s="1"/>
  <c r="J27" i="1"/>
  <c r="I27" i="1"/>
  <c r="M27" i="1" s="1"/>
  <c r="H27" i="1"/>
  <c r="L26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L12" i="1"/>
  <c r="J12" i="1"/>
  <c r="I12" i="1"/>
  <c r="H12" i="1"/>
  <c r="J11" i="1"/>
  <c r="I11" i="1"/>
  <c r="H11" i="1"/>
  <c r="M11" i="1" s="1"/>
  <c r="L10" i="1"/>
  <c r="J10" i="1"/>
  <c r="I10" i="1"/>
  <c r="H10" i="1"/>
  <c r="J9" i="1"/>
  <c r="I9" i="1"/>
  <c r="H9" i="1"/>
  <c r="M63" i="1" l="1"/>
  <c r="M91" i="1"/>
  <c r="M79" i="1"/>
  <c r="J95" i="1"/>
  <c r="L95" i="1"/>
  <c r="M78" i="1"/>
  <c r="M57" i="1"/>
  <c r="M49" i="1"/>
  <c r="I95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5" i="1"/>
  <c r="M53" i="1"/>
  <c r="M54" i="1"/>
  <c r="M67" i="1"/>
  <c r="M72" i="1"/>
  <c r="Q27" i="1"/>
  <c r="Q43" i="1" s="1"/>
  <c r="M88" i="1"/>
  <c r="M89" i="1"/>
  <c r="M90" i="1"/>
  <c r="R27" i="1"/>
  <c r="M9" i="1"/>
  <c r="M31" i="1"/>
  <c r="M32" i="1"/>
  <c r="M50" i="1"/>
  <c r="M51" i="1"/>
  <c r="M52" i="1"/>
  <c r="M59" i="1"/>
  <c r="M60" i="1"/>
  <c r="M65" i="1"/>
  <c r="M68" i="1"/>
  <c r="M69" i="1"/>
  <c r="M70" i="1"/>
  <c r="M77" i="1"/>
  <c r="M83" i="1"/>
  <c r="M87" i="1"/>
  <c r="M94" i="1"/>
  <c r="H95" i="1"/>
  <c r="M10" i="1"/>
  <c r="M12" i="1"/>
  <c r="M33" i="1"/>
  <c r="M34" i="1"/>
  <c r="M73" i="1"/>
  <c r="M74" i="1"/>
  <c r="M75" i="1"/>
  <c r="M76" i="1"/>
  <c r="M82" i="1"/>
  <c r="M86" i="1"/>
  <c r="M92" i="1"/>
  <c r="M93" i="1"/>
  <c r="F95" i="1"/>
  <c r="M95" i="1" l="1"/>
</calcChain>
</file>

<file path=xl/sharedStrings.xml><?xml version="1.0" encoding="utf-8"?>
<sst xmlns="http://schemas.openxmlformats.org/spreadsheetml/2006/main" count="275" uniqueCount="226">
  <si>
    <t xml:space="preserve">Consorcio de propietarios de la calle Vergara 1670 </t>
  </si>
  <si>
    <t>Expensas periodo: FEBRERO 2025</t>
  </si>
  <si>
    <t>Piso/</t>
  </si>
  <si>
    <t>Propietario</t>
  </si>
  <si>
    <t>%</t>
  </si>
  <si>
    <t>Expensas</t>
  </si>
  <si>
    <t>Servicios</t>
  </si>
  <si>
    <t xml:space="preserve">Saldo </t>
  </si>
  <si>
    <t xml:space="preserve">Interés </t>
  </si>
  <si>
    <t xml:space="preserve">Total a </t>
  </si>
  <si>
    <t>Depto.</t>
  </si>
  <si>
    <t>Ordinaria</t>
  </si>
  <si>
    <t>Extraordinaria</t>
  </si>
  <si>
    <t>Edesur</t>
  </si>
  <si>
    <t>Metrogas*</t>
  </si>
  <si>
    <t>Aysa</t>
  </si>
  <si>
    <t>Anterior*</t>
  </si>
  <si>
    <t>punitorio</t>
  </si>
  <si>
    <t>Pagar: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</si>
  <si>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</si>
  <si>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</si>
  <si>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</si>
  <si>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</si>
  <si>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</si>
  <si>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</si>
  <si>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</si>
  <si>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</si>
  <si>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</si>
  <si>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</si>
  <si>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2°B</t>
  </si>
  <si>
    <t>Jose Luis Gurtubay</t>
  </si>
  <si>
    <t>2°C</t>
  </si>
  <si>
    <t>Elba Noemi Iglesias</t>
  </si>
  <si>
    <t>2°D</t>
  </si>
  <si>
    <t>Juan Carlos Alonso</t>
  </si>
  <si>
    <t>3°A</t>
  </si>
  <si>
    <t>Lucas Oscar Ramil</t>
  </si>
  <si>
    <t>3°B</t>
  </si>
  <si>
    <t>Raul Boffi</t>
  </si>
  <si>
    <t>3°C</t>
  </si>
  <si>
    <t>CANCELÓ PLAN</t>
  </si>
  <si>
    <t>3°D</t>
  </si>
  <si>
    <t>Roxana Elena Maya</t>
  </si>
  <si>
    <t>4°A</t>
  </si>
  <si>
    <t>4°B</t>
  </si>
  <si>
    <t>4°C</t>
  </si>
  <si>
    <t>4°D</t>
  </si>
  <si>
    <t>Hernán Gastón Padilla</t>
  </si>
  <si>
    <t>5°A</t>
  </si>
  <si>
    <t>5°B</t>
  </si>
  <si>
    <t>5°C</t>
  </si>
  <si>
    <t>5°D</t>
  </si>
  <si>
    <t>Fernando Andres Canepa</t>
  </si>
  <si>
    <t>6°A</t>
  </si>
  <si>
    <t>Andres Gabriel Devouassoux</t>
  </si>
  <si>
    <t>6°B</t>
  </si>
  <si>
    <t>6°C</t>
  </si>
  <si>
    <t>Barbara Eugenia GARCIA FONTENLA</t>
  </si>
  <si>
    <t>6°D</t>
  </si>
  <si>
    <t>Javier Alejandro Panaccio</t>
  </si>
  <si>
    <t>7°A</t>
  </si>
  <si>
    <t>Mirta Isabel Asturino</t>
  </si>
  <si>
    <t>7°B</t>
  </si>
  <si>
    <t>Jorge Antonio Mendiola</t>
  </si>
  <si>
    <t>7°C</t>
  </si>
  <si>
    <t>Nelson Ariel FRAGA</t>
  </si>
  <si>
    <t>7°D</t>
  </si>
  <si>
    <t>Domingo Alifraco</t>
  </si>
  <si>
    <t>8°A</t>
  </si>
  <si>
    <t>Juan Pablo Charpin</t>
  </si>
  <si>
    <t>8°B</t>
  </si>
  <si>
    <t>Adriana Del Bagno</t>
  </si>
  <si>
    <t>8°C</t>
  </si>
  <si>
    <t>Claudio Moroni</t>
  </si>
  <si>
    <t>8°D</t>
  </si>
  <si>
    <t>Karina Edith Mastandrea</t>
  </si>
  <si>
    <t>9°A</t>
  </si>
  <si>
    <t>Fernando Fernandez</t>
  </si>
  <si>
    <t>9°B</t>
  </si>
  <si>
    <t>Gonzalo Cadiz</t>
  </si>
  <si>
    <t>9°C</t>
  </si>
  <si>
    <t>Hernan Miñambres</t>
  </si>
  <si>
    <t>9°D</t>
  </si>
  <si>
    <t>Matías Ezequiel Tobío </t>
  </si>
  <si>
    <t>10°A</t>
  </si>
  <si>
    <t>Ariel Marcelo FERNANDEZ</t>
  </si>
  <si>
    <t>10°B</t>
  </si>
  <si>
    <t>10°C</t>
  </si>
  <si>
    <t>Antonio Carlos Caputo</t>
  </si>
  <si>
    <t>10°D</t>
  </si>
  <si>
    <t>11°A</t>
  </si>
  <si>
    <t>Manuel Salvador FERNANDEZ</t>
  </si>
  <si>
    <t>11°B</t>
  </si>
  <si>
    <t>Jorge Antonio VILLONE</t>
  </si>
  <si>
    <t>11°C</t>
  </si>
  <si>
    <t>Daniela Noemi Araujo</t>
  </si>
  <si>
    <t>11°D</t>
  </si>
  <si>
    <t>Gabriela Santiso/Claudio Touzon</t>
  </si>
  <si>
    <t>12°A</t>
  </si>
  <si>
    <t>12°B</t>
  </si>
  <si>
    <t>12°C</t>
  </si>
  <si>
    <t>Pedro Eugenio Negri</t>
  </si>
  <si>
    <t>12°D</t>
  </si>
  <si>
    <t>Luis Alberto Guarch</t>
  </si>
  <si>
    <t>13°A</t>
  </si>
  <si>
    <t>Soraya Mariel Varela</t>
  </si>
  <si>
    <t>13°B</t>
  </si>
  <si>
    <t>Rubén Dario LIBERALI</t>
  </si>
  <si>
    <t>13°C</t>
  </si>
  <si>
    <t>Maria Gabriela Diaz</t>
  </si>
  <si>
    <t>13°D</t>
  </si>
  <si>
    <t>Fabiana Besteiro</t>
  </si>
  <si>
    <t>Cochera</t>
  </si>
  <si>
    <t>Extraord</t>
  </si>
  <si>
    <t>Gasto cochera</t>
  </si>
  <si>
    <t>P.B.1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</si>
  <si>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</si>
  <si>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</si>
  <si>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</si>
  <si>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</si>
  <si>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</si>
  <si>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</si>
  <si>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</si>
  <si>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</si>
  <si>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</si>
  <si>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</si>
  <si>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</si>
  <si>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</si>
  <si>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P.B.10</t>
  </si>
  <si>
    <t>P.B.11</t>
  </si>
  <si>
    <t>García</t>
  </si>
  <si>
    <t>P.B.12</t>
  </si>
  <si>
    <t>P.B.13</t>
  </si>
  <si>
    <t>P.B.14</t>
  </si>
  <si>
    <t>P.B.15</t>
  </si>
  <si>
    <t>GALPON</t>
  </si>
  <si>
    <t>Club Atlético Banfield</t>
  </si>
  <si>
    <t>S.S.16</t>
  </si>
  <si>
    <t>S.S.17</t>
  </si>
  <si>
    <t>S.S.18</t>
  </si>
  <si>
    <t>Diaz Laura Natalia</t>
  </si>
  <si>
    <t>S.S.19</t>
  </si>
  <si>
    <t>S.S.20</t>
  </si>
  <si>
    <t>S.S.21</t>
  </si>
  <si>
    <t>Alejandro DI LEO -</t>
  </si>
  <si>
    <t>S.S.22</t>
  </si>
  <si>
    <t>S.S.23</t>
  </si>
  <si>
    <t>S.S.24</t>
  </si>
  <si>
    <t>S.S.25</t>
  </si>
  <si>
    <t>S.S.26</t>
  </si>
  <si>
    <t>S.S.27</t>
  </si>
  <si>
    <t>S.S.28</t>
  </si>
  <si>
    <t>S.S.29</t>
  </si>
  <si>
    <t>S.S.30</t>
  </si>
  <si>
    <t>S.S.31</t>
  </si>
  <si>
    <t>TOTALES</t>
  </si>
  <si>
    <t xml:space="preserve">Notas: </t>
  </si>
  <si>
    <t>*Punitorios: los saldos adeudados tienen un interés mensual del 4%.</t>
  </si>
  <si>
    <t xml:space="preserve">DATOS CUENTA BANCARIA PARA EL PAGO DE LAS EXPENSAS.: BANCO COMAFI. CTA CTE $0 240-02580-3 CBU: 2990024602400258030006 CUIT 30-71802922-4 </t>
  </si>
  <si>
    <t>ALIAS: VERGARA.1670</t>
  </si>
  <si>
    <t>SALDO ANTERIOR: Hay un pago sin identificar con fecha 19/02 por $54.364. por favor a quien corresponda comunicarse con la administración para su imputación</t>
  </si>
  <si>
    <t>FEBRERO 2025</t>
  </si>
  <si>
    <t xml:space="preserve">Detalle de gastos y movimientos de fondos </t>
  </si>
  <si>
    <t>Consorcio Vergara 1670</t>
  </si>
  <si>
    <t>GASTOS</t>
  </si>
  <si>
    <t>ABONADO</t>
  </si>
  <si>
    <t>SUB-TOTAL</t>
  </si>
  <si>
    <t>A/PAGAR</t>
  </si>
  <si>
    <t>Sueldos y Jornales</t>
  </si>
  <si>
    <t>Sueldo encargado Gonzalo Guenaga 2/2025 y plus vacacional</t>
  </si>
  <si>
    <t>Reemplazo encargado por vacaciones. 36 horas</t>
  </si>
  <si>
    <t>Aportes Afip periodo 2/2025</t>
  </si>
  <si>
    <t>Sindicato y Federación argentina de trabajadores de edificio. Suterh y Fateryh. 09/2024 y 01/2025</t>
  </si>
  <si>
    <t>Gastos varios</t>
  </si>
  <si>
    <t xml:space="preserve">Honorarios Administrativos Enero </t>
  </si>
  <si>
    <t>Honorarios Administrativos Febrero</t>
  </si>
  <si>
    <t>Seguro integral consorcio. Póliza 346504 Mapfre (4116-6397/6652 4458-5065)</t>
  </si>
  <si>
    <t>Seguro de accidentes personales. Póliza 2151088 Mapfre</t>
  </si>
  <si>
    <t>Contador Dra. Marcela Di Biase. Liquidación de sueldo, libro de sueldo digital, aportes afip y sindicales periodo 1/2025</t>
  </si>
  <si>
    <t>Gastos cuenta bancaria. Mantenimiento de cuenta e impuestos.</t>
  </si>
  <si>
    <t>Art de limpieza. 10 L liq piso, 5 L lavandina, 3 Glade, 2 Lisoform, 5 bolsas 80x110, 1 cif crema, 1 para de guantes, 1 WD40</t>
  </si>
  <si>
    <t>Fotocopias. Fact 3081</t>
  </si>
  <si>
    <t>Service control de fases de luz. RAP reparaciones. Fact 2474</t>
  </si>
  <si>
    <t>Total de Expensas Ordinaria</t>
  </si>
  <si>
    <t xml:space="preserve">Expensa Extraordinaria. </t>
  </si>
  <si>
    <t xml:space="preserve">Expensa Cocheras. </t>
  </si>
  <si>
    <t>Reemplazo de tuerca accionadora en rampa. Regulación de cierre portón de entrada. Materiales y mano de obra. Fact 409</t>
  </si>
  <si>
    <t>A PAGAR</t>
  </si>
  <si>
    <t>Metrogas. Periodo 1/2025 liquidación 1 de 2 Serv Generales y acuerdo de pago Número de cliente  30015090344</t>
  </si>
  <si>
    <t xml:space="preserve">AySA cta de servicios 318350 periodo 01/2025 al 03/2025 tramo 2 de 2 </t>
  </si>
  <si>
    <t>Edesur cliente 01469567-2 bimestre 1/2025 1°tramo</t>
  </si>
  <si>
    <t>Total Gastos a prorratear</t>
  </si>
  <si>
    <t>MOVIMIENTO DE CAJA</t>
  </si>
  <si>
    <t>Saldo de caja conforme liquidación mes anterior</t>
  </si>
  <si>
    <t>deudor</t>
  </si>
  <si>
    <t>Ingresado por cobro de expensas</t>
  </si>
  <si>
    <t xml:space="preserve">Ingreso sin identificar fecha 19/02 </t>
  </si>
  <si>
    <t>Gastos totales del periodo a prorratear</t>
  </si>
  <si>
    <t>Gastos recaudados con anticipación:</t>
  </si>
  <si>
    <t>Aportes Afip periodo 1/2025</t>
  </si>
  <si>
    <t>Edesur cliente 01469567-2 bimestre 6/2024 2°tramo</t>
  </si>
  <si>
    <t xml:space="preserve">Saldo en caja </t>
  </si>
  <si>
    <t>UF</t>
  </si>
  <si>
    <r>
      <t>Jesica Romina Tobio -</t>
    </r>
    <r>
      <rPr>
        <b/>
        <sz val="10"/>
        <rFont val="Calibri"/>
        <family val="2"/>
        <scheme val="minor"/>
      </rPr>
      <t xml:space="preserve"> </t>
    </r>
  </si>
  <si>
    <t xml:space="preserve">Claudia </t>
  </si>
  <si>
    <t>Santiago</t>
  </si>
  <si>
    <t>Camila</t>
  </si>
  <si>
    <t>Gian y Micaela</t>
  </si>
  <si>
    <t>Lujan</t>
  </si>
  <si>
    <t>Paula</t>
  </si>
  <si>
    <t>Armando</t>
  </si>
  <si>
    <t>Barbara y Ezequiel</t>
  </si>
  <si>
    <t>Micaela</t>
  </si>
  <si>
    <t>Araceli</t>
  </si>
  <si>
    <t>Ezequiel</t>
  </si>
  <si>
    <t>Mayne</t>
  </si>
  <si>
    <t>Biyik</t>
  </si>
  <si>
    <t>Matias</t>
  </si>
  <si>
    <t>Nicolas</t>
  </si>
  <si>
    <t>Fanta</t>
  </si>
  <si>
    <t>Macarena</t>
  </si>
  <si>
    <t>Ayelen</t>
  </si>
  <si>
    <t>MIcaela</t>
  </si>
  <si>
    <t>Sol</t>
  </si>
  <si>
    <t>Antonela</t>
  </si>
  <si>
    <t>Agustina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</si>
</sst>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b/>
      <sz val="14"/>
      <color indexed="18"/>
      <name val="Arial"/>
      <family val="2"/>
    </font>
    <font>
      <b/>
      <sz val="9"/>
      <color indexed="1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10" fontId="4" fillId="0" borderId="2" xfId="1" applyNumberFormat="1" applyFont="1" applyFill="1" applyBorder="1" applyAlignment="1">
      <alignment horizontal="left"/>
    </xf>
    <xf numFmtId="165" fontId="3" fillId="0" borderId="2" xfId="1" applyFont="1" applyFill="1" applyBorder="1" applyAlignment="1"/>
    <xf numFmtId="165" fontId="3" fillId="0" borderId="2" xfId="1" applyFont="1" applyFill="1" applyBorder="1" applyAlignment="1">
      <alignment horizontal="center"/>
    </xf>
    <xf numFmtId="165" fontId="3" fillId="0" borderId="3" xfId="1" applyFont="1" applyFill="1" applyBorder="1" applyAlignment="1"/>
    <xf numFmtId="0" fontId="3" fillId="0" borderId="4" xfId="0" applyFont="1" applyBorder="1"/>
    <xf numFmtId="0" fontId="3" fillId="0" borderId="0" xfId="0" applyFont="1"/>
    <xf numFmtId="165" fontId="3" fillId="0" borderId="0" xfId="1" applyFont="1" applyFill="1" applyBorder="1" applyAlignment="1">
      <alignment horizontal="center"/>
    </xf>
    <xf numFmtId="165" fontId="3" fillId="0" borderId="5" xfId="1" applyFont="1" applyFill="1" applyBorder="1" applyAlignment="1"/>
    <xf numFmtId="0" fontId="3" fillId="0" borderId="6" xfId="0" applyFont="1" applyBorder="1"/>
    <xf numFmtId="0" fontId="3" fillId="0" borderId="7" xfId="0" applyFont="1" applyBorder="1"/>
    <xf numFmtId="10" fontId="4" fillId="0" borderId="7" xfId="1" applyNumberFormat="1" applyFont="1" applyFill="1" applyBorder="1" applyAlignment="1"/>
    <xf numFmtId="165" fontId="7" fillId="0" borderId="7" xfId="1" applyFont="1" applyFill="1" applyBorder="1" applyAlignment="1"/>
    <xf numFmtId="165" fontId="3" fillId="0" borderId="8" xfId="1" applyFont="1" applyFill="1" applyBorder="1" applyAlignment="1"/>
    <xf numFmtId="165" fontId="0" fillId="0" borderId="0" xfId="1" applyFont="1" applyFill="1"/>
    <xf numFmtId="0" fontId="8" fillId="0" borderId="9" xfId="0" applyFont="1" applyBorder="1" applyAlignment="1">
      <alignment horizontal="center" vertical="center"/>
    </xf>
    <xf numFmtId="165" fontId="10" fillId="0" borderId="10" xfId="1" applyFont="1" applyFill="1" applyBorder="1" applyAlignment="1">
      <alignment horizontal="center" vertical="center"/>
    </xf>
    <xf numFmtId="165" fontId="10" fillId="0" borderId="9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5" fontId="10" fillId="0" borderId="14" xfId="1" applyFont="1" applyFill="1" applyBorder="1" applyAlignment="1">
      <alignment horizontal="center" vertical="center"/>
    </xf>
    <xf numFmtId="166" fontId="11" fillId="0" borderId="14" xfId="2" applyNumberFormat="1" applyFont="1" applyFill="1" applyBorder="1" applyAlignment="1">
      <alignment horizontal="center"/>
    </xf>
    <xf numFmtId="164" fontId="0" fillId="0" borderId="14" xfId="1" applyNumberFormat="1" applyFont="1" applyFill="1" applyBorder="1"/>
    <xf numFmtId="164" fontId="0" fillId="0" borderId="10" xfId="1" applyNumberFormat="1" applyFont="1" applyFill="1" applyBorder="1" applyAlignment="1">
      <alignment horizontal="center"/>
    </xf>
    <xf numFmtId="166" fontId="11" fillId="0" borderId="10" xfId="2" applyNumberFormat="1" applyFont="1" applyFill="1" applyBorder="1" applyAlignment="1">
      <alignment horizontal="center"/>
    </xf>
    <xf numFmtId="164" fontId="0" fillId="0" borderId="10" xfId="1" applyNumberFormat="1" applyFont="1" applyFill="1" applyBorder="1"/>
    <xf numFmtId="164" fontId="10" fillId="0" borderId="10" xfId="1" applyNumberFormat="1" applyFont="1" applyFill="1" applyBorder="1" applyAlignment="1">
      <alignment horizontal="center" vertical="center"/>
    </xf>
    <xf numFmtId="164" fontId="10" fillId="0" borderId="9" xfId="1" applyNumberFormat="1" applyFont="1" applyFill="1" applyBorder="1" applyAlignment="1">
      <alignment horizontal="center" vertical="center"/>
    </xf>
    <xf numFmtId="164" fontId="10" fillId="0" borderId="14" xfId="1" applyNumberFormat="1" applyFont="1" applyFill="1" applyBorder="1" applyAlignment="1">
      <alignment horizontal="center" vertical="center"/>
    </xf>
    <xf numFmtId="9" fontId="12" fillId="0" borderId="10" xfId="1" applyNumberFormat="1" applyFont="1" applyFill="1" applyBorder="1" applyAlignment="1">
      <alignment horizontal="center"/>
    </xf>
    <xf numFmtId="164" fontId="2" fillId="0" borderId="10" xfId="1" applyNumberFormat="1" applyFont="1" applyFill="1" applyBorder="1"/>
    <xf numFmtId="0" fontId="13" fillId="0" borderId="0" xfId="0" applyFont="1"/>
    <xf numFmtId="10" fontId="1" fillId="0" borderId="0" xfId="1" applyNumberFormat="1" applyFont="1" applyFill="1"/>
    <xf numFmtId="0" fontId="8" fillId="0" borderId="0" xfId="0" applyFont="1"/>
    <xf numFmtId="165" fontId="0" fillId="0" borderId="0" xfId="0" applyNumberFormat="1"/>
    <xf numFmtId="164" fontId="0" fillId="0" borderId="0" xfId="1" applyNumberFormat="1" applyFont="1" applyFill="1" applyBorder="1" applyAlignment="1">
      <alignment horizontal="center"/>
    </xf>
    <xf numFmtId="0" fontId="14" fillId="0" borderId="0" xfId="0" applyFont="1"/>
    <xf numFmtId="165" fontId="16" fillId="0" borderId="0" xfId="1" applyFont="1" applyFill="1" applyAlignment="1">
      <alignment horizontal="center"/>
    </xf>
    <xf numFmtId="164" fontId="16" fillId="0" borderId="0" xfId="1" applyNumberFormat="1" applyFont="1" applyFill="1" applyAlignment="1">
      <alignment horizontal="center"/>
    </xf>
    <xf numFmtId="165" fontId="10" fillId="0" borderId="11" xfId="1" applyFont="1" applyFill="1" applyBorder="1"/>
    <xf numFmtId="164" fontId="10" fillId="0" borderId="12" xfId="1" applyNumberFormat="1" applyFont="1" applyFill="1" applyBorder="1"/>
    <xf numFmtId="164" fontId="10" fillId="0" borderId="12" xfId="1" applyNumberFormat="1" applyFont="1" applyFill="1" applyBorder="1" applyAlignment="1">
      <alignment horizontal="center"/>
    </xf>
    <xf numFmtId="164" fontId="0" fillId="0" borderId="13" xfId="1" applyNumberFormat="1" applyFont="1" applyFill="1" applyBorder="1"/>
    <xf numFmtId="165" fontId="10" fillId="0" borderId="1" xfId="1" applyFont="1" applyFill="1" applyBorder="1"/>
    <xf numFmtId="164" fontId="0" fillId="0" borderId="2" xfId="1" applyNumberFormat="1" applyFont="1" applyFill="1" applyBorder="1"/>
    <xf numFmtId="164" fontId="0" fillId="0" borderId="3" xfId="1" applyNumberFormat="1" applyFont="1" applyFill="1" applyBorder="1"/>
    <xf numFmtId="0" fontId="0" fillId="0" borderId="4" xfId="0" applyBorder="1"/>
    <xf numFmtId="164" fontId="0" fillId="0" borderId="0" xfId="1" applyNumberFormat="1" applyFont="1" applyFill="1" applyBorder="1"/>
    <xf numFmtId="164" fontId="0" fillId="0" borderId="0" xfId="0" applyNumberFormat="1"/>
    <xf numFmtId="164" fontId="0" fillId="0" borderId="5" xfId="1" applyNumberFormat="1" applyFont="1" applyFill="1" applyBorder="1"/>
    <xf numFmtId="165" fontId="10" fillId="0" borderId="4" xfId="1" applyFont="1" applyFill="1" applyBorder="1"/>
    <xf numFmtId="0" fontId="18" fillId="0" borderId="4" xfId="0" applyFont="1" applyBorder="1"/>
    <xf numFmtId="164" fontId="16" fillId="0" borderId="0" xfId="1" applyNumberFormat="1" applyFont="1" applyFill="1" applyBorder="1" applyAlignment="1">
      <alignment horizontal="center"/>
    </xf>
    <xf numFmtId="164" fontId="18" fillId="0" borderId="0" xfId="1" applyNumberFormat="1" applyFont="1" applyFill="1" applyBorder="1" applyAlignment="1">
      <alignment horizontal="center"/>
    </xf>
    <xf numFmtId="164" fontId="19" fillId="0" borderId="0" xfId="1" applyNumberFormat="1" applyFont="1" applyFill="1" applyBorder="1"/>
    <xf numFmtId="165" fontId="0" fillId="0" borderId="4" xfId="1" applyFont="1" applyFill="1" applyBorder="1"/>
    <xf numFmtId="0" fontId="10" fillId="0" borderId="6" xfId="0" applyFont="1" applyBorder="1"/>
    <xf numFmtId="164" fontId="0" fillId="0" borderId="7" xfId="1" applyNumberFormat="1" applyFont="1" applyFill="1" applyBorder="1"/>
    <xf numFmtId="164" fontId="10" fillId="0" borderId="10" xfId="1" applyNumberFormat="1" applyFont="1" applyFill="1" applyBorder="1"/>
    <xf numFmtId="164" fontId="0" fillId="0" borderId="8" xfId="1" applyNumberFormat="1" applyFont="1" applyFill="1" applyBorder="1"/>
    <xf numFmtId="0" fontId="10" fillId="0" borderId="1" xfId="0" applyFont="1" applyBorder="1"/>
    <xf numFmtId="164" fontId="1" fillId="0" borderId="0" xfId="1" applyNumberFormat="1" applyFont="1" applyFill="1" applyBorder="1"/>
    <xf numFmtId="164" fontId="1" fillId="0" borderId="2" xfId="1" applyNumberFormat="1" applyFont="1" applyFill="1" applyBorder="1"/>
    <xf numFmtId="0" fontId="10" fillId="0" borderId="4" xfId="0" applyFont="1" applyBorder="1"/>
    <xf numFmtId="164" fontId="18" fillId="0" borderId="0" xfId="1" applyNumberFormat="1" applyFont="1" applyFill="1" applyBorder="1"/>
    <xf numFmtId="164" fontId="1" fillId="0" borderId="0" xfId="1" applyNumberFormat="1" applyFont="1" applyFill="1" applyBorder="1" applyAlignment="1">
      <alignment horizontal="center"/>
    </xf>
    <xf numFmtId="0" fontId="18" fillId="0" borderId="6" xfId="0" applyFont="1" applyBorder="1"/>
    <xf numFmtId="164" fontId="20" fillId="0" borderId="10" xfId="1" applyNumberFormat="1" applyFont="1" applyFill="1" applyBorder="1"/>
    <xf numFmtId="164" fontId="21" fillId="0" borderId="0" xfId="1" applyNumberFormat="1" applyFont="1" applyFill="1" applyBorder="1"/>
    <xf numFmtId="164" fontId="10" fillId="0" borderId="0" xfId="1" applyNumberFormat="1" applyFont="1" applyFill="1" applyBorder="1"/>
    <xf numFmtId="164" fontId="22" fillId="0" borderId="0" xfId="1" applyNumberFormat="1" applyFont="1" applyFill="1" applyBorder="1" applyAlignment="1">
      <alignment horizontal="center"/>
    </xf>
    <xf numFmtId="164" fontId="2" fillId="0" borderId="2" xfId="1" applyNumberFormat="1" applyFont="1" applyFill="1" applyBorder="1" applyAlignment="1">
      <alignment horizontal="center"/>
    </xf>
    <xf numFmtId="164" fontId="23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0" fillId="0" borderId="10" xfId="0" applyNumberFormat="1" applyBorder="1"/>
    <xf numFmtId="164" fontId="10" fillId="0" borderId="7" xfId="1" applyNumberFormat="1" applyFont="1" applyFill="1" applyBorder="1"/>
    <xf numFmtId="165" fontId="16" fillId="0" borderId="4" xfId="1" applyFont="1" applyFill="1" applyBorder="1" applyAlignment="1">
      <alignment horizontal="center"/>
    </xf>
    <xf numFmtId="164" fontId="16" fillId="0" borderId="5" xfId="1" applyNumberFormat="1" applyFont="1" applyFill="1" applyBorder="1" applyAlignment="1">
      <alignment horizontal="center"/>
    </xf>
    <xf numFmtId="164" fontId="24" fillId="0" borderId="0" xfId="1" applyNumberFormat="1" applyFont="1" applyFill="1" applyBorder="1"/>
    <xf numFmtId="164" fontId="2" fillId="0" borderId="0" xfId="0" applyNumberFormat="1" applyFont="1"/>
    <xf numFmtId="164" fontId="1" fillId="0" borderId="5" xfId="1" applyNumberFormat="1" applyFont="1" applyFill="1" applyBorder="1"/>
    <xf numFmtId="164" fontId="24" fillId="0" borderId="0" xfId="1" applyNumberFormat="1" applyFont="1" applyFill="1" applyBorder="1" applyAlignment="1">
      <alignment horizontal="center"/>
    </xf>
    <xf numFmtId="164" fontId="16" fillId="0" borderId="10" xfId="1" applyNumberFormat="1" applyFont="1" applyFill="1" applyBorder="1"/>
    <xf numFmtId="164" fontId="18" fillId="0" borderId="6" xfId="1" applyNumberFormat="1" applyFont="1" applyFill="1" applyBorder="1"/>
    <xf numFmtId="164" fontId="0" fillId="0" borderId="7" xfId="0" applyNumberFormat="1" applyBorder="1"/>
    <xf numFmtId="164" fontId="0" fillId="0" borderId="12" xfId="0" applyNumberFormat="1" applyBorder="1"/>
    <xf numFmtId="164" fontId="0" fillId="0" borderId="8" xfId="0" applyNumberFormat="1" applyBorder="1"/>
    <xf numFmtId="164" fontId="0" fillId="0" borderId="10" xfId="1" applyNumberFormat="1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center"/>
    </xf>
    <xf numFmtId="0" fontId="11" fillId="0" borderId="14" xfId="0" applyFont="1" applyBorder="1"/>
    <xf numFmtId="0" fontId="11" fillId="0" borderId="10" xfId="0" applyFont="1" applyBorder="1" applyAlignment="1">
      <alignment horizontal="center"/>
    </xf>
    <xf numFmtId="0" fontId="11" fillId="0" borderId="10" xfId="0" applyFont="1" applyBorder="1"/>
    <xf numFmtId="0" fontId="21" fillId="0" borderId="10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1" fillId="0" borderId="10" xfId="0" applyFont="1" applyBorder="1" applyAlignment="1">
      <alignment wrapText="1"/>
    </xf>
    <xf numFmtId="0" fontId="11" fillId="0" borderId="10" xfId="0" applyFont="1" applyBorder="1" applyAlignment="1">
      <alignment vertical="center"/>
    </xf>
    <xf numFmtId="0" fontId="18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18" fillId="0" borderId="4" xfId="0" applyFont="1" applyBorder="1" applyAlignment="1">
      <alignment wrapText="1"/>
    </xf>
    <xf numFmtId="0" fontId="12" fillId="0" borderId="10" xfId="0" applyFont="1" applyBorder="1" applyAlignment="1">
      <alignment horizontal="center"/>
    </xf>
    <xf numFmtId="165" fontId="10" fillId="0" borderId="11" xfId="1" applyFont="1" applyFill="1" applyBorder="1" applyAlignment="1">
      <alignment horizontal="center"/>
    </xf>
    <xf numFmtId="165" fontId="10" fillId="0" borderId="12" xfId="1" applyFont="1" applyFill="1" applyBorder="1" applyAlignment="1">
      <alignment horizontal="center"/>
    </xf>
    <xf numFmtId="165" fontId="10" fillId="0" borderId="13" xfId="1" applyFont="1" applyFill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166" fontId="9" fillId="0" borderId="10" xfId="2" applyNumberFormat="1" applyFont="1" applyFill="1" applyBorder="1" applyAlignment="1">
      <alignment horizontal="center" vertical="center"/>
    </xf>
    <xf numFmtId="164" fontId="10" fillId="0" borderId="10" xfId="1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10" fontId="5" fillId="0" borderId="0" xfId="1" applyNumberFormat="1" applyFont="1" applyFill="1" applyBorder="1" applyAlignment="1">
      <alignment horizontal="center"/>
    </xf>
    <xf numFmtId="10" fontId="6" fillId="0" borderId="0" xfId="1" applyNumberFormat="1" applyFont="1" applyFill="1" applyBorder="1" applyAlignment="1">
      <alignment horizontal="center"/>
    </xf>
    <xf numFmtId="10" fontId="9" fillId="0" borderId="9" xfId="1" applyNumberFormat="1" applyFont="1" applyFill="1" applyBorder="1" applyAlignment="1">
      <alignment horizontal="center" vertical="center"/>
    </xf>
    <xf numFmtId="10" fontId="9" fillId="0" borderId="14" xfId="1" applyNumberFormat="1" applyFont="1" applyFill="1" applyBorder="1" applyAlignment="1">
      <alignment horizontal="center" vertical="center"/>
    </xf>
    <xf numFmtId="165" fontId="10" fillId="0" borderId="10" xfId="1" applyFont="1" applyFill="1" applyBorder="1" applyAlignment="1">
      <alignment horizontal="center" vertical="center"/>
    </xf>
    <xf numFmtId="165" fontId="10" fillId="0" borderId="11" xfId="1" applyFont="1" applyFill="1" applyBorder="1" applyAlignment="1">
      <alignment horizontal="center" vertical="center"/>
    </xf>
    <xf numFmtId="165" fontId="10" fillId="0" borderId="12" xfId="1" applyFont="1" applyFill="1" applyBorder="1" applyAlignment="1">
      <alignment horizontal="center" vertical="center"/>
    </xf>
    <xf numFmtId="165" fontId="10" fillId="0" borderId="13" xfId="1" applyFont="1" applyFill="1" applyBorder="1" applyAlignment="1">
      <alignment horizontal="center" vertical="center"/>
    </xf>
    <xf numFmtId="49" fontId="15" fillId="0" borderId="0" xfId="1" applyNumberFormat="1" applyFont="1" applyFill="1" applyAlignment="1">
      <alignment horizontal="right"/>
    </xf>
    <xf numFmtId="165" fontId="17" fillId="0" borderId="0" xfId="1" applyFont="1" applyFill="1" applyAlignment="1">
      <alignment horizontal="center"/>
    </xf>
    <xf numFmtId="165" fontId="16" fillId="0" borderId="0" xfId="1" applyFont="1" applyFill="1" applyAlignment="1">
      <alignment horizontal="center"/>
    </xf>
    <xf numFmtId="165" fontId="0" fillId="0" borderId="0" xfId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zoomScale="80" zoomScaleNormal="80" workbookViewId="0">
      <selection activeCell="H61" sqref="H61:J78"/>
    </sheetView>
  </sheetViews>
  <sheetFormatPr baseColWidth="10" defaultRowHeight="15" x14ac:dyDescent="0.25"/>
  <cols>
    <col min="1" max="1" width="8.7109375" customWidth="1"/>
    <col min="2" max="2" width="5.85546875" customWidth="1"/>
    <col min="3" max="4" width="27.7109375" customWidth="1"/>
    <col min="5" max="5" width="8.28515625" customWidth="1"/>
    <col min="6" max="6" width="13.42578125" customWidth="1"/>
    <col min="7" max="7" width="14.140625" hidden="1" customWidth="1"/>
    <col min="8" max="8" width="13.5703125" customWidth="1"/>
    <col min="9" max="9" width="12" customWidth="1"/>
    <col min="10" max="10" width="11" customWidth="1"/>
    <col min="11" max="11" width="14.5703125" customWidth="1"/>
    <col min="12" max="12" width="11.85546875" customWidth="1"/>
    <col min="13" max="13" width="13.85546875" customWidth="1"/>
    <col min="15" max="15" width="86" customWidth="1"/>
    <col min="16" max="16" width="15" customWidth="1"/>
    <col min="17" max="17" width="14.85546875" customWidth="1"/>
    <col min="18" max="18" width="16.42578125" customWidth="1"/>
    <col min="19" max="19" width="1.42578125" customWidth="1"/>
  </cols>
  <sheetData>
    <row r="1" spans="1:19" x14ac:dyDescent="0.25">
      <c r="A1" s="1"/>
      <c r="B1" s="2"/>
      <c r="C1" s="2"/>
      <c r="D1" s="2"/>
      <c r="E1" s="3"/>
      <c r="F1" s="4"/>
      <c r="G1" s="4"/>
      <c r="H1" s="4"/>
      <c r="I1" s="5"/>
      <c r="J1" s="5"/>
      <c r="K1" s="5"/>
      <c r="L1" s="5"/>
      <c r="M1" s="6"/>
      <c r="O1" s="122" t="s">
        <v>161</v>
      </c>
      <c r="P1" s="122"/>
      <c r="Q1" s="122"/>
      <c r="R1" s="122"/>
      <c r="S1" s="122"/>
    </row>
    <row r="2" spans="1:19" ht="18" x14ac:dyDescent="0.25">
      <c r="A2" s="7"/>
      <c r="B2" s="8"/>
      <c r="C2" s="8"/>
      <c r="D2" s="8"/>
      <c r="E2" s="114" t="s">
        <v>0</v>
      </c>
      <c r="F2" s="114"/>
      <c r="G2" s="114"/>
      <c r="H2" s="114"/>
      <c r="I2" s="114"/>
      <c r="J2" s="114"/>
      <c r="K2" s="114"/>
      <c r="L2" s="9"/>
      <c r="M2" s="10"/>
      <c r="O2" s="122"/>
      <c r="P2" s="122"/>
      <c r="Q2" s="122"/>
      <c r="R2" s="122"/>
      <c r="S2" s="122"/>
    </row>
    <row r="3" spans="1:19" ht="18" x14ac:dyDescent="0.25">
      <c r="A3" s="7"/>
      <c r="B3" s="8"/>
      <c r="C3" s="8"/>
      <c r="D3" s="8"/>
      <c r="E3" s="114" t="s">
        <v>1</v>
      </c>
      <c r="F3" s="114"/>
      <c r="G3" s="114"/>
      <c r="H3" s="114"/>
      <c r="I3" s="114"/>
      <c r="J3" s="114"/>
      <c r="K3" s="114"/>
      <c r="L3" s="9"/>
      <c r="M3" s="10"/>
      <c r="O3" s="122"/>
      <c r="P3" s="122"/>
      <c r="Q3" s="122"/>
      <c r="R3" s="122"/>
      <c r="S3" s="122"/>
    </row>
    <row r="4" spans="1:19" ht="18" x14ac:dyDescent="0.25">
      <c r="A4" s="7"/>
      <c r="B4" s="8"/>
      <c r="C4" s="8"/>
      <c r="D4" s="8"/>
      <c r="E4" s="115"/>
      <c r="F4" s="115"/>
      <c r="G4" s="115"/>
      <c r="H4" s="115"/>
      <c r="I4" s="115"/>
      <c r="J4" s="115"/>
      <c r="K4" s="115"/>
      <c r="L4" s="115"/>
      <c r="M4" s="10"/>
      <c r="O4" s="122"/>
      <c r="P4" s="122"/>
      <c r="Q4" s="122"/>
      <c r="R4" s="122"/>
      <c r="S4" s="122"/>
    </row>
    <row r="5" spans="1:19" x14ac:dyDescent="0.25">
      <c r="A5" s="11"/>
      <c r="B5" s="12"/>
      <c r="C5" s="12"/>
      <c r="D5" s="12"/>
      <c r="E5" s="13"/>
      <c r="F5" s="14"/>
      <c r="G5" s="14"/>
      <c r="H5" s="14"/>
      <c r="I5" s="14"/>
      <c r="J5" s="14"/>
      <c r="K5" s="14"/>
      <c r="L5" s="14"/>
      <c r="M5" s="15"/>
      <c r="O5" s="38"/>
      <c r="P5" s="39"/>
      <c r="Q5" s="39"/>
      <c r="R5" s="39"/>
      <c r="S5" s="39"/>
    </row>
    <row r="6" spans="1:19" ht="15.75" x14ac:dyDescent="0.25">
      <c r="M6" s="16"/>
      <c r="O6" s="123" t="s">
        <v>162</v>
      </c>
      <c r="P6" s="123"/>
      <c r="Q6" s="123"/>
      <c r="R6" s="123"/>
      <c r="S6" s="123"/>
    </row>
    <row r="7" spans="1:19" ht="15.75" x14ac:dyDescent="0.25">
      <c r="A7" s="17" t="s">
        <v>2</v>
      </c>
      <c r="B7" s="110" t="s">
        <v>202</v>
      </c>
      <c r="C7" s="110" t="s">
        <v>3</v>
      </c>
      <c r="D7" s="17"/>
      <c r="E7" s="116" t="s">
        <v>4</v>
      </c>
      <c r="F7" s="118" t="s">
        <v>5</v>
      </c>
      <c r="G7" s="118"/>
      <c r="H7" s="119" t="s">
        <v>6</v>
      </c>
      <c r="I7" s="120"/>
      <c r="J7" s="121"/>
      <c r="K7" s="19" t="s">
        <v>7</v>
      </c>
      <c r="L7" s="19" t="s">
        <v>8</v>
      </c>
      <c r="M7" s="19" t="s">
        <v>9</v>
      </c>
      <c r="O7" s="124" t="s">
        <v>163</v>
      </c>
      <c r="P7" s="124"/>
      <c r="Q7" s="124"/>
      <c r="R7" s="124"/>
      <c r="S7" s="124"/>
    </row>
    <row r="8" spans="1:19" ht="15.75" x14ac:dyDescent="0.25">
      <c r="A8" s="20" t="s">
        <v>10</v>
      </c>
      <c r="B8" s="111"/>
      <c r="C8" s="111"/>
      <c r="D8" s="20"/>
      <c r="E8" s="117"/>
      <c r="F8" s="18" t="s">
        <v>11</v>
      </c>
      <c r="G8" s="18" t="s">
        <v>12</v>
      </c>
      <c r="H8" s="18" t="s">
        <v>13</v>
      </c>
      <c r="I8" s="18" t="s">
        <v>14</v>
      </c>
      <c r="J8" s="18" t="s">
        <v>15</v>
      </c>
      <c r="K8" s="21" t="s">
        <v>16</v>
      </c>
      <c r="L8" s="21" t="s">
        <v>17</v>
      </c>
      <c r="M8" s="21" t="s">
        <v>18</v>
      </c>
      <c r="O8" s="125"/>
      <c r="P8" s="125"/>
      <c r="Q8" s="125"/>
      <c r="R8" s="125"/>
      <c r="S8" s="125"/>
    </row>
    <row r="9" spans="1:19" x14ac:dyDescent="0.25">
      <c r="A9" s="89" t="s">
        <v>19</v>
      </c>
      <c r="B9" s="89">
        <v>33</v>
      </c>
      <c r="C9" s="90" t="s">
        <v>20</v>
      </c>
      <c r="D9" s="90"/>
      <c r="E9" s="22">
        <v>2.0199999999999999E-2</v>
      </c>
      <c r="F9" s="23">
        <f>(3000000)*E9</f>
        <v>60600</v>
      </c>
      <c r="G9" s="23"/>
      <c r="H9" s="23">
        <f>2285288*E9</f>
        <v>46162.817599999995</v>
      </c>
      <c r="I9" s="23">
        <f>261689*E9/0.8869</f>
        <v>5960.2185139249068</v>
      </c>
      <c r="J9" s="23">
        <f>38134*E9</f>
        <v>770.30679999999995</v>
      </c>
      <c r="K9" s="23"/>
      <c r="L9" s="24"/>
      <c r="M9" s="23">
        <f t="shared" ref="M9:M40" si="0">SUM(F9:L9)</f>
        <v>113493.34291392491</v>
      </c>
      <c r="O9" s="40" t="s">
        <v>164</v>
      </c>
      <c r="P9" s="41" t="s">
        <v>165</v>
      </c>
      <c r="Q9" s="42" t="s">
        <v>166</v>
      </c>
      <c r="R9" s="42" t="s">
        <v>167</v>
      </c>
      <c r="S9" s="43"/>
    </row>
    <row r="10" spans="1:19" x14ac:dyDescent="0.25">
      <c r="A10" s="91" t="s">
        <v>21</v>
      </c>
      <c r="B10" s="91">
        <v>34</v>
      </c>
      <c r="C10" s="92" t="s">
        <v>22</v>
      </c>
      <c r="D10" s="92"/>
      <c r="E10" s="25">
        <v>1.3899999999999999E-2</v>
      </c>
      <c r="F10" s="23">
        <f t="shared" ref="F10:F59" si="1">(3000000)*E10</f>
        <v>41700</v>
      </c>
      <c r="G10" s="23"/>
      <c r="H10" s="23">
        <f t="shared" ref="H10:H60" si="2">2285288*E10</f>
        <v>31765.503199999999</v>
      </c>
      <c r="I10" s="23">
        <f t="shared" ref="I10:I60" si="3">261689*E10/0.8869</f>
        <v>4101.3384823542674</v>
      </c>
      <c r="J10" s="23">
        <f t="shared" ref="J10:J60" si="4">38134*E10</f>
        <v>530.06259999999997</v>
      </c>
      <c r="K10" s="26">
        <v>54364</v>
      </c>
      <c r="L10" s="24">
        <f>K10*4%</f>
        <v>2174.56</v>
      </c>
      <c r="M10" s="26">
        <f t="shared" si="0"/>
        <v>134635.46428235428</v>
      </c>
      <c r="O10" s="44" t="s">
        <v>168</v>
      </c>
      <c r="P10" s="45"/>
      <c r="Q10" s="45"/>
      <c r="R10" s="45"/>
      <c r="S10" s="46"/>
    </row>
    <row r="11" spans="1:19" x14ac:dyDescent="0.25">
      <c r="A11" s="91" t="s">
        <v>23</v>
      </c>
      <c r="B11" s="89">
        <v>35</v>
      </c>
      <c r="C11" s="92" t="s">
        <v>24</v>
      </c>
      <c r="D11" s="92"/>
      <c r="E11" s="25">
        <v>1.4200000000000001E-2</v>
      </c>
      <c r="F11" s="23">
        <f t="shared" si="1"/>
        <v>42600</v>
      </c>
      <c r="G11" s="23"/>
      <c r="H11" s="23">
        <f t="shared" si="2"/>
        <v>32451.089600000003</v>
      </c>
      <c r="I11" s="23">
        <f t="shared" si="3"/>
        <v>4189.8565790957273</v>
      </c>
      <c r="J11" s="23">
        <f t="shared" si="4"/>
        <v>541.50279999999998</v>
      </c>
      <c r="K11" s="26"/>
      <c r="L11" s="24"/>
      <c r="M11" s="26">
        <f>SUM(F11:L11)</f>
        <v>79782.44897909573</v>
      </c>
      <c r="O11" s="47" t="s">
        <v>169</v>
      </c>
      <c r="P11" s="48"/>
      <c r="Q11" s="49"/>
      <c r="R11" s="48">
        <f>217259+228122</f>
        <v>445381</v>
      </c>
      <c r="S11" s="50"/>
    </row>
    <row r="12" spans="1:19" x14ac:dyDescent="0.25">
      <c r="A12" s="91" t="s">
        <v>25</v>
      </c>
      <c r="B12" s="91">
        <v>36</v>
      </c>
      <c r="C12" s="92" t="s">
        <v>26</v>
      </c>
      <c r="D12" s="92"/>
      <c r="E12" s="25">
        <v>2.0199999999999999E-2</v>
      </c>
      <c r="F12" s="23">
        <f t="shared" si="1"/>
        <v>60600</v>
      </c>
      <c r="G12" s="23"/>
      <c r="H12" s="23">
        <f t="shared" si="2"/>
        <v>46162.817599999995</v>
      </c>
      <c r="I12" s="23">
        <f t="shared" si="3"/>
        <v>5960.2185139249068</v>
      </c>
      <c r="J12" s="23">
        <f t="shared" si="4"/>
        <v>770.30679999999995</v>
      </c>
      <c r="K12" s="26">
        <v>78530</v>
      </c>
      <c r="L12" s="24">
        <f>K12*4%</f>
        <v>3141.2000000000003</v>
      </c>
      <c r="M12" s="26">
        <f t="shared" si="0"/>
        <v>195164.5429139249</v>
      </c>
      <c r="O12" s="47" t="s">
        <v>170</v>
      </c>
      <c r="P12" s="48">
        <v>151200</v>
      </c>
      <c r="Q12" s="49"/>
      <c r="R12" s="48"/>
      <c r="S12" s="50"/>
    </row>
    <row r="13" spans="1:19" x14ac:dyDescent="0.25">
      <c r="A13" s="91" t="s">
        <v>27</v>
      </c>
      <c r="B13" s="89">
        <v>37</v>
      </c>
      <c r="C13" s="92" t="s">
        <v>28</v>
      </c>
      <c r="D13" s="92" t="s">
        <v>204</v>
      </c>
      <c r="E13" s="25">
        <v>2.0199999999999999E-2</v>
      </c>
      <c r="F13" s="23">
        <f t="shared" si="1"/>
        <v>60600</v>
      </c>
      <c r="G13" s="23"/>
      <c r="H13" s="23">
        <f t="shared" si="2"/>
        <v>46162.817599999995</v>
      </c>
      <c r="I13" s="23">
        <f t="shared" si="3"/>
        <v>5960.2185139249068</v>
      </c>
      <c r="J13" s="23">
        <f t="shared" si="4"/>
        <v>770.30679999999995</v>
      </c>
      <c r="K13" s="26"/>
      <c r="L13" s="24"/>
      <c r="M13" s="26">
        <f t="shared" si="0"/>
        <v>113493.34291392491</v>
      </c>
      <c r="O13" s="47" t="s">
        <v>171</v>
      </c>
      <c r="P13" s="48"/>
      <c r="Q13" s="49"/>
      <c r="R13" s="48">
        <f>111682.74+86286.87+50342.07+25171.04+25632.55+175.89</f>
        <v>299291.15999999997</v>
      </c>
      <c r="S13" s="50"/>
    </row>
    <row r="14" spans="1:19" ht="30" customHeight="1" x14ac:dyDescent="0.25">
      <c r="A14" s="91" t="s">
        <v>29</v>
      </c>
      <c r="B14" s="91">
        <v>38</v>
      </c>
      <c r="C14" s="92" t="s">
        <v>30</v>
      </c>
      <c r="D14" s="92" t="s">
        <v>205</v>
      </c>
      <c r="E14" s="25">
        <v>1.3899999999999999E-2</v>
      </c>
      <c r="F14" s="23">
        <f t="shared" si="1"/>
        <v>41700</v>
      </c>
      <c r="G14" s="23"/>
      <c r="H14" s="23">
        <f t="shared" si="2"/>
        <v>31765.503199999999</v>
      </c>
      <c r="I14" s="23">
        <f t="shared" si="3"/>
        <v>4101.3384823542674</v>
      </c>
      <c r="J14" s="23">
        <f t="shared" si="4"/>
        <v>530.06259999999997</v>
      </c>
      <c r="K14" s="26"/>
      <c r="L14" s="24"/>
      <c r="M14" s="26">
        <f t="shared" si="0"/>
        <v>78096.904282354284</v>
      </c>
      <c r="O14" s="101" t="s">
        <v>172</v>
      </c>
      <c r="P14" s="48">
        <f>454444.52+3103.68+27933.08+38566.5+2634.04+23706.34</f>
        <v>550388.16</v>
      </c>
      <c r="Q14" s="49"/>
      <c r="R14" s="48"/>
      <c r="S14" s="50"/>
    </row>
    <row r="15" spans="1:19" x14ac:dyDescent="0.25">
      <c r="A15" s="91" t="s">
        <v>31</v>
      </c>
      <c r="B15" s="89">
        <v>39</v>
      </c>
      <c r="C15" s="92" t="s">
        <v>32</v>
      </c>
      <c r="D15" s="92"/>
      <c r="E15" s="25">
        <v>1.3899999999999999E-2</v>
      </c>
      <c r="F15" s="23">
        <f t="shared" si="1"/>
        <v>41700</v>
      </c>
      <c r="G15" s="23"/>
      <c r="H15" s="23">
        <f t="shared" si="2"/>
        <v>31765.503199999999</v>
      </c>
      <c r="I15" s="23">
        <f t="shared" si="3"/>
        <v>4101.3384823542674</v>
      </c>
      <c r="J15" s="23">
        <f t="shared" si="4"/>
        <v>530.06259999999997</v>
      </c>
      <c r="K15" s="26"/>
      <c r="L15" s="24"/>
      <c r="M15" s="26">
        <f t="shared" si="0"/>
        <v>78096.904282354284</v>
      </c>
      <c r="O15" s="47"/>
      <c r="P15" s="48"/>
      <c r="Q15" s="49"/>
      <c r="R15" s="48"/>
      <c r="S15" s="50"/>
    </row>
    <row r="16" spans="1:19" x14ac:dyDescent="0.25">
      <c r="A16" s="91" t="s">
        <v>33</v>
      </c>
      <c r="B16" s="91">
        <v>40</v>
      </c>
      <c r="C16" s="92" t="s">
        <v>34</v>
      </c>
      <c r="D16" s="92"/>
      <c r="E16" s="25">
        <v>2.0199999999999999E-2</v>
      </c>
      <c r="F16" s="23">
        <f t="shared" si="1"/>
        <v>60600</v>
      </c>
      <c r="G16" s="23"/>
      <c r="H16" s="23">
        <f t="shared" si="2"/>
        <v>46162.817599999995</v>
      </c>
      <c r="I16" s="23">
        <f t="shared" si="3"/>
        <v>5960.2185139249068</v>
      </c>
      <c r="J16" s="23">
        <f t="shared" si="4"/>
        <v>770.30679999999995</v>
      </c>
      <c r="K16" s="26"/>
      <c r="L16" s="24"/>
      <c r="M16" s="26">
        <f t="shared" si="0"/>
        <v>113493.34291392491</v>
      </c>
      <c r="O16" s="51" t="s">
        <v>173</v>
      </c>
      <c r="P16" s="48"/>
      <c r="Q16" s="48"/>
      <c r="R16" s="48"/>
      <c r="S16" s="50"/>
    </row>
    <row r="17" spans="1:19" x14ac:dyDescent="0.25">
      <c r="A17" s="91" t="s">
        <v>35</v>
      </c>
      <c r="B17" s="89">
        <v>41</v>
      </c>
      <c r="C17" s="92" t="s">
        <v>36</v>
      </c>
      <c r="D17" s="92" t="s">
        <v>206</v>
      </c>
      <c r="E17" s="25">
        <v>2.0199999999999999E-2</v>
      </c>
      <c r="F17" s="23">
        <f t="shared" si="1"/>
        <v>60600</v>
      </c>
      <c r="G17" s="23"/>
      <c r="H17" s="23">
        <f t="shared" si="2"/>
        <v>46162.817599999995</v>
      </c>
      <c r="I17" s="23">
        <f t="shared" si="3"/>
        <v>5960.2185139249068</v>
      </c>
      <c r="J17" s="23">
        <f t="shared" si="4"/>
        <v>770.30679999999995</v>
      </c>
      <c r="K17" s="26"/>
      <c r="L17" s="24"/>
      <c r="M17" s="26">
        <f t="shared" si="0"/>
        <v>113493.34291392491</v>
      </c>
      <c r="O17" s="52" t="s">
        <v>174</v>
      </c>
      <c r="P17" s="48">
        <v>321300</v>
      </c>
      <c r="Q17" s="49"/>
      <c r="R17" s="48"/>
      <c r="S17" s="50"/>
    </row>
    <row r="18" spans="1:19" x14ac:dyDescent="0.25">
      <c r="A18" s="91" t="s">
        <v>37</v>
      </c>
      <c r="B18" s="91">
        <v>42</v>
      </c>
      <c r="C18" s="92" t="s">
        <v>38</v>
      </c>
      <c r="D18" s="92" t="s">
        <v>207</v>
      </c>
      <c r="E18" s="25">
        <v>1.3899999999999999E-2</v>
      </c>
      <c r="F18" s="23">
        <f t="shared" si="1"/>
        <v>41700</v>
      </c>
      <c r="G18" s="23"/>
      <c r="H18" s="23">
        <f t="shared" si="2"/>
        <v>31765.503199999999</v>
      </c>
      <c r="I18" s="23">
        <f t="shared" si="3"/>
        <v>4101.3384823542674</v>
      </c>
      <c r="J18" s="23">
        <f t="shared" si="4"/>
        <v>530.06259999999997</v>
      </c>
      <c r="K18" s="26"/>
      <c r="L18" s="24"/>
      <c r="M18" s="26">
        <f t="shared" si="0"/>
        <v>78096.904282354284</v>
      </c>
      <c r="O18" s="52" t="s">
        <v>175</v>
      </c>
      <c r="P18" s="48">
        <v>321300</v>
      </c>
      <c r="Q18" s="49"/>
      <c r="R18" s="48"/>
      <c r="S18" s="50"/>
    </row>
    <row r="19" spans="1:19" ht="31.5" customHeight="1" x14ac:dyDescent="0.25">
      <c r="A19" s="91" t="s">
        <v>39</v>
      </c>
      <c r="B19" s="89">
        <v>43</v>
      </c>
      <c r="C19" s="99" t="s">
        <v>38</v>
      </c>
      <c r="D19" s="99" t="s">
        <v>208</v>
      </c>
      <c r="E19" s="25">
        <v>1.3899999999999999E-2</v>
      </c>
      <c r="F19" s="23">
        <f t="shared" si="1"/>
        <v>41700</v>
      </c>
      <c r="G19" s="23"/>
      <c r="H19" s="23">
        <f t="shared" si="2"/>
        <v>31765.503199999999</v>
      </c>
      <c r="I19" s="23">
        <f t="shared" si="3"/>
        <v>4101.3384823542674</v>
      </c>
      <c r="J19" s="23">
        <f t="shared" si="4"/>
        <v>530.06259999999997</v>
      </c>
      <c r="K19" s="26"/>
      <c r="L19" s="88" t="s">
        <v>40</v>
      </c>
      <c r="M19" s="26">
        <f t="shared" si="0"/>
        <v>78096.904282354284</v>
      </c>
      <c r="O19" s="47" t="s">
        <v>176</v>
      </c>
      <c r="P19" s="48">
        <f>227412-720</f>
        <v>226692</v>
      </c>
      <c r="Q19" s="53"/>
      <c r="R19" s="54"/>
      <c r="S19" s="50"/>
    </row>
    <row r="20" spans="1:19" x14ac:dyDescent="0.25">
      <c r="A20" s="91" t="s">
        <v>41</v>
      </c>
      <c r="B20" s="91">
        <v>44</v>
      </c>
      <c r="C20" s="92" t="s">
        <v>42</v>
      </c>
      <c r="D20" s="92"/>
      <c r="E20" s="25">
        <v>2.0199999999999999E-2</v>
      </c>
      <c r="F20" s="23">
        <f t="shared" si="1"/>
        <v>60600</v>
      </c>
      <c r="G20" s="23"/>
      <c r="H20" s="23">
        <f t="shared" si="2"/>
        <v>46162.817599999995</v>
      </c>
      <c r="I20" s="23">
        <f t="shared" si="3"/>
        <v>5960.2185139249068</v>
      </c>
      <c r="J20" s="23">
        <f t="shared" si="4"/>
        <v>770.30679999999995</v>
      </c>
      <c r="K20" s="26"/>
      <c r="L20" s="24"/>
      <c r="M20" s="26">
        <f t="shared" si="0"/>
        <v>113493.34291392491</v>
      </c>
      <c r="O20" s="47" t="s">
        <v>177</v>
      </c>
      <c r="P20" s="48">
        <v>719.9</v>
      </c>
      <c r="Q20" s="53"/>
      <c r="R20" s="54"/>
      <c r="S20" s="50"/>
    </row>
    <row r="21" spans="1:19" ht="26.25" customHeight="1" x14ac:dyDescent="0.25">
      <c r="A21" s="91" t="s">
        <v>43</v>
      </c>
      <c r="B21" s="89">
        <v>45</v>
      </c>
      <c r="C21" s="92" t="s">
        <v>38</v>
      </c>
      <c r="D21" s="92" t="s">
        <v>209</v>
      </c>
      <c r="E21" s="25">
        <v>2.0199999999999999E-2</v>
      </c>
      <c r="F21" s="23">
        <f t="shared" si="1"/>
        <v>60600</v>
      </c>
      <c r="G21" s="23"/>
      <c r="H21" s="23">
        <f t="shared" si="2"/>
        <v>46162.817599999995</v>
      </c>
      <c r="I21" s="23">
        <f t="shared" si="3"/>
        <v>5960.2185139249068</v>
      </c>
      <c r="J21" s="23">
        <f t="shared" si="4"/>
        <v>770.30679999999995</v>
      </c>
      <c r="K21" s="26"/>
      <c r="L21" s="24"/>
      <c r="M21" s="26">
        <f t="shared" si="0"/>
        <v>113493.34291392491</v>
      </c>
      <c r="O21" s="100" t="s">
        <v>178</v>
      </c>
      <c r="P21" s="48">
        <v>28000</v>
      </c>
      <c r="Q21" s="53"/>
      <c r="R21" s="54"/>
      <c r="S21" s="50"/>
    </row>
    <row r="22" spans="1:19" x14ac:dyDescent="0.25">
      <c r="A22" s="91" t="s">
        <v>44</v>
      </c>
      <c r="B22" s="91">
        <v>46</v>
      </c>
      <c r="C22" s="92" t="s">
        <v>38</v>
      </c>
      <c r="D22" s="92"/>
      <c r="E22" s="25">
        <v>1.3899999999999999E-2</v>
      </c>
      <c r="F22" s="23">
        <f t="shared" si="1"/>
        <v>41700</v>
      </c>
      <c r="G22" s="23"/>
      <c r="H22" s="23">
        <f t="shared" si="2"/>
        <v>31765.503199999999</v>
      </c>
      <c r="I22" s="23">
        <f t="shared" si="3"/>
        <v>4101.3384823542674</v>
      </c>
      <c r="J22" s="23">
        <f t="shared" si="4"/>
        <v>530.06259999999997</v>
      </c>
      <c r="K22" s="26"/>
      <c r="L22" s="24"/>
      <c r="M22" s="26">
        <f t="shared" si="0"/>
        <v>78096.904282354284</v>
      </c>
      <c r="O22" s="52" t="s">
        <v>179</v>
      </c>
      <c r="P22" s="55">
        <v>152849.29999999999</v>
      </c>
      <c r="Q22" s="53"/>
      <c r="R22" s="54"/>
      <c r="S22" s="50"/>
    </row>
    <row r="23" spans="1:19" ht="30.75" customHeight="1" x14ac:dyDescent="0.25">
      <c r="A23" s="91" t="s">
        <v>45</v>
      </c>
      <c r="B23" s="89">
        <v>47</v>
      </c>
      <c r="C23" s="92" t="s">
        <v>38</v>
      </c>
      <c r="D23" s="92"/>
      <c r="E23" s="25">
        <v>1.3899999999999999E-2</v>
      </c>
      <c r="F23" s="23">
        <f t="shared" si="1"/>
        <v>41700</v>
      </c>
      <c r="G23" s="23"/>
      <c r="H23" s="23">
        <f t="shared" si="2"/>
        <v>31765.503199999999</v>
      </c>
      <c r="I23" s="23">
        <f t="shared" si="3"/>
        <v>4101.3384823542674</v>
      </c>
      <c r="J23" s="23">
        <f t="shared" si="4"/>
        <v>530.06259999999997</v>
      </c>
      <c r="K23" s="26">
        <v>-30000</v>
      </c>
      <c r="L23" s="24"/>
      <c r="M23" s="26">
        <f t="shared" si="0"/>
        <v>48096.904282354284</v>
      </c>
      <c r="O23" s="102" t="s">
        <v>180</v>
      </c>
      <c r="P23" s="48">
        <v>44900</v>
      </c>
      <c r="Q23" s="53"/>
      <c r="R23" s="54"/>
      <c r="S23" s="50"/>
    </row>
    <row r="24" spans="1:19" x14ac:dyDescent="0.25">
      <c r="A24" s="91" t="s">
        <v>46</v>
      </c>
      <c r="B24" s="91">
        <v>48</v>
      </c>
      <c r="C24" s="92" t="s">
        <v>47</v>
      </c>
      <c r="D24" s="92" t="s">
        <v>210</v>
      </c>
      <c r="E24" s="25">
        <v>2.0199999999999999E-2</v>
      </c>
      <c r="F24" s="23">
        <f t="shared" si="1"/>
        <v>60600</v>
      </c>
      <c r="G24" s="23"/>
      <c r="H24" s="23">
        <f t="shared" si="2"/>
        <v>46162.817599999995</v>
      </c>
      <c r="I24" s="23">
        <f t="shared" si="3"/>
        <v>5960.2185139249068</v>
      </c>
      <c r="J24" s="23">
        <f t="shared" si="4"/>
        <v>770.30679999999995</v>
      </c>
      <c r="K24" s="26"/>
      <c r="L24" s="24"/>
      <c r="M24" s="26">
        <f t="shared" si="0"/>
        <v>113493.34291392491</v>
      </c>
      <c r="O24" s="52" t="s">
        <v>181</v>
      </c>
      <c r="P24" s="48">
        <v>6480</v>
      </c>
      <c r="Q24" s="53"/>
      <c r="R24" s="54"/>
      <c r="S24" s="50"/>
    </row>
    <row r="25" spans="1:19" x14ac:dyDescent="0.25">
      <c r="A25" s="91" t="s">
        <v>48</v>
      </c>
      <c r="B25" s="89">
        <v>49</v>
      </c>
      <c r="C25" s="92" t="s">
        <v>38</v>
      </c>
      <c r="D25" s="92" t="s">
        <v>211</v>
      </c>
      <c r="E25" s="25">
        <v>2.0199999999999999E-2</v>
      </c>
      <c r="F25" s="23">
        <f t="shared" si="1"/>
        <v>60600</v>
      </c>
      <c r="G25" s="23"/>
      <c r="H25" s="23">
        <f t="shared" si="2"/>
        <v>46162.817599999995</v>
      </c>
      <c r="I25" s="23">
        <f t="shared" si="3"/>
        <v>5960.2185139249068</v>
      </c>
      <c r="J25" s="23">
        <f t="shared" si="4"/>
        <v>770.30679999999995</v>
      </c>
      <c r="K25" s="26"/>
      <c r="L25" s="24"/>
      <c r="M25" s="26">
        <f t="shared" si="0"/>
        <v>113493.34291392491</v>
      </c>
      <c r="O25" s="52" t="s">
        <v>182</v>
      </c>
      <c r="P25" s="48">
        <v>15000</v>
      </c>
      <c r="Q25" s="53"/>
      <c r="R25" s="54"/>
      <c r="S25" s="50"/>
    </row>
    <row r="26" spans="1:19" x14ac:dyDescent="0.25">
      <c r="A26" s="91" t="s">
        <v>49</v>
      </c>
      <c r="B26" s="91">
        <v>50</v>
      </c>
      <c r="C26" s="92" t="s">
        <v>38</v>
      </c>
      <c r="D26" s="92"/>
      <c r="E26" s="25">
        <v>1.3899999999999999E-2</v>
      </c>
      <c r="F26" s="23">
        <f t="shared" si="1"/>
        <v>41700</v>
      </c>
      <c r="G26" s="23"/>
      <c r="H26" s="23">
        <f t="shared" si="2"/>
        <v>31765.503199999999</v>
      </c>
      <c r="I26" s="23">
        <f t="shared" si="3"/>
        <v>4101.3384823542674</v>
      </c>
      <c r="J26" s="23">
        <f t="shared" si="4"/>
        <v>530.06259999999997</v>
      </c>
      <c r="K26" s="26">
        <v>54364</v>
      </c>
      <c r="L26" s="24">
        <f>K26*4%</f>
        <v>2174.56</v>
      </c>
      <c r="M26" s="26">
        <f t="shared" si="0"/>
        <v>134635.46428235428</v>
      </c>
      <c r="O26" s="56"/>
      <c r="P26" s="48"/>
      <c r="Q26" s="48"/>
      <c r="R26" s="48"/>
      <c r="S26" s="50"/>
    </row>
    <row r="27" spans="1:19" x14ac:dyDescent="0.25">
      <c r="A27" s="91" t="s">
        <v>50</v>
      </c>
      <c r="B27" s="89">
        <v>51</v>
      </c>
      <c r="C27" s="92" t="s">
        <v>38</v>
      </c>
      <c r="D27" s="92"/>
      <c r="E27" s="25">
        <v>1.3899999999999999E-2</v>
      </c>
      <c r="F27" s="23">
        <f t="shared" si="1"/>
        <v>41700</v>
      </c>
      <c r="G27" s="23"/>
      <c r="H27" s="23">
        <f t="shared" si="2"/>
        <v>31765.503199999999</v>
      </c>
      <c r="I27" s="23">
        <f t="shared" si="3"/>
        <v>4101.3384823542674</v>
      </c>
      <c r="J27" s="23">
        <f t="shared" si="4"/>
        <v>530.06259999999997</v>
      </c>
      <c r="K27" s="26"/>
      <c r="L27" s="24"/>
      <c r="M27" s="26">
        <f t="shared" si="0"/>
        <v>78096.904282354284</v>
      </c>
      <c r="O27" s="57" t="s">
        <v>183</v>
      </c>
      <c r="P27" s="58"/>
      <c r="Q27" s="59">
        <f>SUM(P11:Q26)</f>
        <v>1818829.36</v>
      </c>
      <c r="R27" s="59">
        <f>SUM(R10:R24)</f>
        <v>744672.15999999992</v>
      </c>
      <c r="S27" s="60"/>
    </row>
    <row r="28" spans="1:19" x14ac:dyDescent="0.25">
      <c r="A28" s="91" t="s">
        <v>51</v>
      </c>
      <c r="B28" s="91">
        <v>52</v>
      </c>
      <c r="C28" s="92" t="s">
        <v>52</v>
      </c>
      <c r="D28" s="92" t="s">
        <v>217</v>
      </c>
      <c r="E28" s="25">
        <v>2.0199999999999999E-2</v>
      </c>
      <c r="F28" s="23">
        <f t="shared" si="1"/>
        <v>60600</v>
      </c>
      <c r="G28" s="23"/>
      <c r="H28" s="23">
        <f t="shared" si="2"/>
        <v>46162.817599999995</v>
      </c>
      <c r="I28" s="23">
        <f t="shared" si="3"/>
        <v>5960.2185139249068</v>
      </c>
      <c r="J28" s="23">
        <f t="shared" si="4"/>
        <v>770.30679999999995</v>
      </c>
      <c r="K28" s="26"/>
      <c r="L28" s="24"/>
      <c r="M28" s="26">
        <f t="shared" si="0"/>
        <v>113493.34291392491</v>
      </c>
      <c r="O28" s="61"/>
      <c r="P28" s="45"/>
      <c r="Q28" s="62"/>
      <c r="R28" s="63"/>
      <c r="S28" s="46"/>
    </row>
    <row r="29" spans="1:19" x14ac:dyDescent="0.25">
      <c r="A29" s="91" t="s">
        <v>53</v>
      </c>
      <c r="B29" s="89">
        <v>53</v>
      </c>
      <c r="C29" s="92" t="s">
        <v>54</v>
      </c>
      <c r="D29" s="92"/>
      <c r="E29" s="25">
        <v>2.0199999999999999E-2</v>
      </c>
      <c r="F29" s="23">
        <f t="shared" si="1"/>
        <v>60600</v>
      </c>
      <c r="G29" s="23"/>
      <c r="H29" s="23">
        <f t="shared" si="2"/>
        <v>46162.817599999995</v>
      </c>
      <c r="I29" s="23">
        <f t="shared" si="3"/>
        <v>5960.2185139249068</v>
      </c>
      <c r="J29" s="23">
        <f t="shared" si="4"/>
        <v>770.30679999999995</v>
      </c>
      <c r="K29" s="26"/>
      <c r="L29" s="24"/>
      <c r="M29" s="26">
        <f t="shared" si="0"/>
        <v>113493.34291392491</v>
      </c>
      <c r="O29" s="64" t="s">
        <v>184</v>
      </c>
      <c r="P29" s="48"/>
      <c r="Q29" s="65"/>
      <c r="R29" s="36"/>
      <c r="S29" s="50"/>
    </row>
    <row r="30" spans="1:19" x14ac:dyDescent="0.25">
      <c r="A30" s="91" t="s">
        <v>55</v>
      </c>
      <c r="B30" s="91">
        <v>54</v>
      </c>
      <c r="C30" s="92" t="s">
        <v>38</v>
      </c>
      <c r="D30" s="92" t="s">
        <v>218</v>
      </c>
      <c r="E30" s="25">
        <v>1.3899999999999999E-2</v>
      </c>
      <c r="F30" s="23">
        <f t="shared" si="1"/>
        <v>41700</v>
      </c>
      <c r="G30" s="23"/>
      <c r="H30" s="23">
        <f t="shared" si="2"/>
        <v>31765.503199999999</v>
      </c>
      <c r="I30" s="23">
        <f t="shared" si="3"/>
        <v>4101.3384823542674</v>
      </c>
      <c r="J30" s="23">
        <f t="shared" si="4"/>
        <v>530.06259999999997</v>
      </c>
      <c r="K30" s="26"/>
      <c r="L30" s="24"/>
      <c r="M30" s="26">
        <f t="shared" si="0"/>
        <v>78096.904282354284</v>
      </c>
      <c r="O30" s="52"/>
      <c r="P30" s="48"/>
      <c r="Q30" s="65"/>
      <c r="R30" s="66"/>
      <c r="S30" s="50"/>
    </row>
    <row r="31" spans="1:19" ht="26.25" customHeight="1" x14ac:dyDescent="0.25">
      <c r="A31" s="91" t="s">
        <v>56</v>
      </c>
      <c r="B31" s="89">
        <v>55</v>
      </c>
      <c r="C31" s="98" t="s">
        <v>57</v>
      </c>
      <c r="D31" s="98"/>
      <c r="E31" s="25">
        <v>1.3899999999999999E-2</v>
      </c>
      <c r="F31" s="23">
        <f t="shared" si="1"/>
        <v>41700</v>
      </c>
      <c r="G31" s="23"/>
      <c r="H31" s="23">
        <f t="shared" si="2"/>
        <v>31765.503199999999</v>
      </c>
      <c r="I31" s="23">
        <f t="shared" si="3"/>
        <v>4101.3384823542674</v>
      </c>
      <c r="J31" s="23">
        <f t="shared" si="4"/>
        <v>530.06259999999997</v>
      </c>
      <c r="K31" s="26">
        <v>54364</v>
      </c>
      <c r="L31" s="24">
        <f t="shared" ref="L31:L32" si="5">K31*4%</f>
        <v>2174.56</v>
      </c>
      <c r="M31" s="26">
        <f t="shared" si="0"/>
        <v>134635.46428235428</v>
      </c>
      <c r="O31" s="67"/>
      <c r="P31" s="58"/>
      <c r="Q31" s="68">
        <f>SUM(P29:P31)</f>
        <v>0</v>
      </c>
      <c r="R31" s="58"/>
      <c r="S31" s="60"/>
    </row>
    <row r="32" spans="1:19" x14ac:dyDescent="0.25">
      <c r="A32" s="91" t="s">
        <v>58</v>
      </c>
      <c r="B32" s="91">
        <v>56</v>
      </c>
      <c r="C32" s="92" t="s">
        <v>59</v>
      </c>
      <c r="D32" s="92"/>
      <c r="E32" s="25">
        <v>2.0199999999999999E-2</v>
      </c>
      <c r="F32" s="23">
        <f t="shared" si="1"/>
        <v>60600</v>
      </c>
      <c r="G32" s="23"/>
      <c r="H32" s="23">
        <f t="shared" si="2"/>
        <v>46162.817599999995</v>
      </c>
      <c r="I32" s="23">
        <f t="shared" si="3"/>
        <v>5960.2185139249068</v>
      </c>
      <c r="J32" s="23">
        <f t="shared" si="4"/>
        <v>770.30679999999995</v>
      </c>
      <c r="K32" s="26">
        <v>79004</v>
      </c>
      <c r="L32" s="24">
        <f t="shared" si="5"/>
        <v>3160.16</v>
      </c>
      <c r="M32" s="26">
        <f t="shared" si="0"/>
        <v>195657.50291392489</v>
      </c>
      <c r="O32" s="61"/>
      <c r="P32" s="45"/>
      <c r="Q32" s="69"/>
      <c r="R32" s="45"/>
      <c r="S32" s="46"/>
    </row>
    <row r="33" spans="1:19" x14ac:dyDescent="0.25">
      <c r="A33" s="91" t="s">
        <v>60</v>
      </c>
      <c r="B33" s="89">
        <v>57</v>
      </c>
      <c r="C33" s="92" t="s">
        <v>61</v>
      </c>
      <c r="D33" s="92"/>
      <c r="E33" s="25">
        <v>2.0199999999999999E-2</v>
      </c>
      <c r="F33" s="23">
        <f t="shared" si="1"/>
        <v>60600</v>
      </c>
      <c r="G33" s="23"/>
      <c r="H33" s="23">
        <f t="shared" si="2"/>
        <v>46162.817599999995</v>
      </c>
      <c r="I33" s="23">
        <f t="shared" si="3"/>
        <v>5960.2185139249068</v>
      </c>
      <c r="J33" s="23">
        <f t="shared" si="4"/>
        <v>770.30679999999995</v>
      </c>
      <c r="K33" s="26"/>
      <c r="L33" s="24"/>
      <c r="M33" s="26">
        <f t="shared" si="0"/>
        <v>113493.34291392491</v>
      </c>
      <c r="O33" s="64" t="s">
        <v>185</v>
      </c>
      <c r="P33" s="48"/>
      <c r="Q33" s="70"/>
      <c r="R33" s="48"/>
      <c r="S33" s="50"/>
    </row>
    <row r="34" spans="1:19" x14ac:dyDescent="0.25">
      <c r="A34" s="91" t="s">
        <v>62</v>
      </c>
      <c r="B34" s="91">
        <v>58</v>
      </c>
      <c r="C34" s="92" t="s">
        <v>63</v>
      </c>
      <c r="D34" s="92"/>
      <c r="E34" s="25">
        <v>1.3899999999999999E-2</v>
      </c>
      <c r="F34" s="23">
        <f t="shared" si="1"/>
        <v>41700</v>
      </c>
      <c r="G34" s="23"/>
      <c r="H34" s="23">
        <f t="shared" si="2"/>
        <v>31765.503199999999</v>
      </c>
      <c r="I34" s="23">
        <f t="shared" si="3"/>
        <v>4101.3384823542674</v>
      </c>
      <c r="J34" s="23">
        <f t="shared" si="4"/>
        <v>530.06259999999997</v>
      </c>
      <c r="K34" s="26">
        <v>303679</v>
      </c>
      <c r="L34" s="24">
        <f t="shared" ref="L34:L35" si="6">K34*4%</f>
        <v>12147.16</v>
      </c>
      <c r="M34" s="26">
        <f t="shared" si="0"/>
        <v>393923.06428235426</v>
      </c>
      <c r="O34" s="112" t="s">
        <v>186</v>
      </c>
      <c r="P34" s="48">
        <v>94000</v>
      </c>
      <c r="Q34" s="70"/>
      <c r="R34" s="48"/>
      <c r="S34" s="50"/>
    </row>
    <row r="35" spans="1:19" x14ac:dyDescent="0.25">
      <c r="A35" s="91" t="s">
        <v>64</v>
      </c>
      <c r="B35" s="89">
        <v>59</v>
      </c>
      <c r="C35" s="92" t="s">
        <v>65</v>
      </c>
      <c r="D35" s="92"/>
      <c r="E35" s="25">
        <v>1.3899999999999999E-2</v>
      </c>
      <c r="F35" s="23">
        <f t="shared" si="1"/>
        <v>41700</v>
      </c>
      <c r="G35" s="23"/>
      <c r="H35" s="23">
        <f t="shared" si="2"/>
        <v>31765.503199999999</v>
      </c>
      <c r="I35" s="23">
        <f t="shared" si="3"/>
        <v>4101.3384823542674</v>
      </c>
      <c r="J35" s="23">
        <f t="shared" si="4"/>
        <v>530.06259999999997</v>
      </c>
      <c r="K35" s="26">
        <v>55149</v>
      </c>
      <c r="L35" s="24">
        <f t="shared" si="6"/>
        <v>2205.96</v>
      </c>
      <c r="M35" s="26">
        <f t="shared" si="0"/>
        <v>135451.86428235428</v>
      </c>
      <c r="O35" s="113"/>
      <c r="P35" s="58"/>
      <c r="Q35" s="68">
        <f>SUM(P32:P35)</f>
        <v>94000</v>
      </c>
      <c r="R35" s="58"/>
      <c r="S35" s="60"/>
    </row>
    <row r="36" spans="1:19" x14ac:dyDescent="0.25">
      <c r="A36" s="91" t="s">
        <v>66</v>
      </c>
      <c r="B36" s="91">
        <v>60</v>
      </c>
      <c r="C36" s="92" t="s">
        <v>67</v>
      </c>
      <c r="D36" s="92" t="s">
        <v>212</v>
      </c>
      <c r="E36" s="25">
        <v>2.0199999999999999E-2</v>
      </c>
      <c r="F36" s="23">
        <f t="shared" si="1"/>
        <v>60600</v>
      </c>
      <c r="G36" s="23"/>
      <c r="H36" s="23">
        <f t="shared" si="2"/>
        <v>46162.817599999995</v>
      </c>
      <c r="I36" s="23">
        <f t="shared" si="3"/>
        <v>5960.2185139249068</v>
      </c>
      <c r="J36" s="23">
        <f t="shared" si="4"/>
        <v>770.30679999999995</v>
      </c>
      <c r="K36" s="26"/>
      <c r="L36" s="24"/>
      <c r="M36" s="26">
        <f t="shared" si="0"/>
        <v>113493.34291392491</v>
      </c>
      <c r="O36" s="61" t="s">
        <v>6</v>
      </c>
      <c r="P36" s="45"/>
      <c r="Q36" s="71"/>
      <c r="R36" s="72"/>
      <c r="S36" s="46"/>
    </row>
    <row r="37" spans="1:19" x14ac:dyDescent="0.25">
      <c r="A37" s="91" t="s">
        <v>68</v>
      </c>
      <c r="B37" s="89">
        <v>61</v>
      </c>
      <c r="C37" s="92" t="s">
        <v>69</v>
      </c>
      <c r="D37" s="92"/>
      <c r="E37" s="25">
        <v>2.0199999999999999E-2</v>
      </c>
      <c r="F37" s="23">
        <f t="shared" si="1"/>
        <v>60600</v>
      </c>
      <c r="G37" s="23"/>
      <c r="H37" s="23">
        <f t="shared" si="2"/>
        <v>46162.817599999995</v>
      </c>
      <c r="I37" s="23">
        <f t="shared" si="3"/>
        <v>5960.2185139249068</v>
      </c>
      <c r="J37" s="23">
        <f t="shared" si="4"/>
        <v>770.30679999999995</v>
      </c>
      <c r="K37" s="26"/>
      <c r="L37" s="24"/>
      <c r="M37" s="26">
        <f t="shared" si="0"/>
        <v>113493.34291392491</v>
      </c>
      <c r="O37" s="64"/>
      <c r="P37" s="48"/>
      <c r="Q37" s="73"/>
      <c r="R37" s="74" t="s">
        <v>187</v>
      </c>
      <c r="S37" s="50"/>
    </row>
    <row r="38" spans="1:19" x14ac:dyDescent="0.25">
      <c r="A38" s="91" t="s">
        <v>70</v>
      </c>
      <c r="B38" s="91">
        <v>62</v>
      </c>
      <c r="C38" s="92" t="s">
        <v>71</v>
      </c>
      <c r="D38" s="92" t="s">
        <v>219</v>
      </c>
      <c r="E38" s="25">
        <v>1.3899999999999999E-2</v>
      </c>
      <c r="F38" s="23">
        <f t="shared" si="1"/>
        <v>41700</v>
      </c>
      <c r="G38" s="23"/>
      <c r="H38" s="23">
        <f t="shared" si="2"/>
        <v>31765.503199999999</v>
      </c>
      <c r="I38" s="23">
        <f t="shared" si="3"/>
        <v>4101.3384823542674</v>
      </c>
      <c r="J38" s="23">
        <f t="shared" si="4"/>
        <v>530.06259999999997</v>
      </c>
      <c r="K38" s="26"/>
      <c r="L38" s="24"/>
      <c r="M38" s="26">
        <f t="shared" si="0"/>
        <v>78096.904282354284</v>
      </c>
      <c r="O38" s="64" t="s">
        <v>188</v>
      </c>
      <c r="P38" s="48"/>
      <c r="R38" s="75">
        <v>261689</v>
      </c>
      <c r="S38" s="50"/>
    </row>
    <row r="39" spans="1:19" x14ac:dyDescent="0.25">
      <c r="A39" s="91" t="s">
        <v>72</v>
      </c>
      <c r="B39" s="89">
        <v>63</v>
      </c>
      <c r="C39" s="92" t="s">
        <v>73</v>
      </c>
      <c r="D39" s="92" t="s">
        <v>220</v>
      </c>
      <c r="E39" s="25">
        <v>1.3899999999999999E-2</v>
      </c>
      <c r="F39" s="23">
        <f t="shared" si="1"/>
        <v>41700</v>
      </c>
      <c r="G39" s="23"/>
      <c r="H39" s="23">
        <f t="shared" si="2"/>
        <v>31765.503199999999</v>
      </c>
      <c r="I39" s="23">
        <f t="shared" si="3"/>
        <v>4101.3384823542674</v>
      </c>
      <c r="J39" s="23">
        <f t="shared" si="4"/>
        <v>530.06259999999997</v>
      </c>
      <c r="K39" s="26"/>
      <c r="L39" s="24"/>
      <c r="M39" s="26">
        <f t="shared" si="0"/>
        <v>78096.904282354284</v>
      </c>
      <c r="O39" s="64" t="s">
        <v>189</v>
      </c>
      <c r="P39" s="48"/>
      <c r="R39" s="75">
        <v>38134</v>
      </c>
      <c r="S39" s="50"/>
    </row>
    <row r="40" spans="1:19" x14ac:dyDescent="0.25">
      <c r="A40" s="91" t="s">
        <v>74</v>
      </c>
      <c r="B40" s="91">
        <v>64</v>
      </c>
      <c r="C40" s="92" t="s">
        <v>75</v>
      </c>
      <c r="D40" s="92" t="s">
        <v>221</v>
      </c>
      <c r="E40" s="25">
        <v>2.0199999999999999E-2</v>
      </c>
      <c r="F40" s="23">
        <f t="shared" si="1"/>
        <v>60600</v>
      </c>
      <c r="G40" s="23"/>
      <c r="H40" s="23">
        <f t="shared" si="2"/>
        <v>46162.817599999995</v>
      </c>
      <c r="I40" s="23">
        <f t="shared" si="3"/>
        <v>5960.2185139249068</v>
      </c>
      <c r="J40" s="23">
        <f t="shared" si="4"/>
        <v>770.30679999999995</v>
      </c>
      <c r="K40" s="26"/>
      <c r="L40" s="24"/>
      <c r="M40" s="26">
        <f t="shared" si="0"/>
        <v>113493.34291392491</v>
      </c>
      <c r="O40" s="64" t="s">
        <v>190</v>
      </c>
      <c r="P40" s="48"/>
      <c r="R40" s="26">
        <v>2285288</v>
      </c>
      <c r="S40" s="50"/>
    </row>
    <row r="41" spans="1:19" x14ac:dyDescent="0.25">
      <c r="A41" s="91" t="s">
        <v>76</v>
      </c>
      <c r="B41" s="89">
        <v>65</v>
      </c>
      <c r="C41" s="93" t="s">
        <v>77</v>
      </c>
      <c r="D41" s="93"/>
      <c r="E41" s="25">
        <v>2.0199999999999999E-2</v>
      </c>
      <c r="F41" s="23">
        <f t="shared" si="1"/>
        <v>60600</v>
      </c>
      <c r="G41" s="23"/>
      <c r="H41" s="23">
        <f t="shared" si="2"/>
        <v>46162.817599999995</v>
      </c>
      <c r="I41" s="23">
        <f t="shared" si="3"/>
        <v>5960.2185139249068</v>
      </c>
      <c r="J41" s="23">
        <f t="shared" si="4"/>
        <v>770.30679999999995</v>
      </c>
      <c r="K41" s="26"/>
      <c r="L41" s="24"/>
      <c r="M41" s="26">
        <f t="shared" ref="M41:M60" si="7">SUM(F41:L41)</f>
        <v>113493.34291392491</v>
      </c>
      <c r="O41" s="57"/>
      <c r="P41" s="58"/>
      <c r="Q41" s="76"/>
      <c r="R41" s="58"/>
      <c r="S41" s="60"/>
    </row>
    <row r="42" spans="1:19" x14ac:dyDescent="0.25">
      <c r="A42" s="91" t="s">
        <v>78</v>
      </c>
      <c r="B42" s="91">
        <v>66</v>
      </c>
      <c r="C42" s="92" t="s">
        <v>79</v>
      </c>
      <c r="D42" s="92" t="s">
        <v>222</v>
      </c>
      <c r="E42" s="25">
        <v>1.3899999999999999E-2</v>
      </c>
      <c r="F42" s="23">
        <f t="shared" si="1"/>
        <v>41700</v>
      </c>
      <c r="G42" s="23"/>
      <c r="H42" s="23">
        <f t="shared" si="2"/>
        <v>31765.503199999999</v>
      </c>
      <c r="I42" s="23">
        <f t="shared" si="3"/>
        <v>4101.3384823542674</v>
      </c>
      <c r="J42" s="23">
        <f t="shared" si="4"/>
        <v>530.06259999999997</v>
      </c>
      <c r="K42" s="26"/>
      <c r="L42" s="24"/>
      <c r="M42" s="26">
        <f t="shared" si="7"/>
        <v>78096.904282354284</v>
      </c>
      <c r="O42" s="61"/>
      <c r="P42" s="45"/>
      <c r="Q42" s="45"/>
      <c r="R42" s="72" t="s">
        <v>187</v>
      </c>
      <c r="S42" s="46"/>
    </row>
    <row r="43" spans="1:19" x14ac:dyDescent="0.25">
      <c r="A43" s="91" t="s">
        <v>80</v>
      </c>
      <c r="B43" s="89">
        <v>67</v>
      </c>
      <c r="C43" s="92" t="s">
        <v>81</v>
      </c>
      <c r="D43" s="92"/>
      <c r="E43" s="25">
        <v>1.3899999999999999E-2</v>
      </c>
      <c r="F43" s="23">
        <f t="shared" si="1"/>
        <v>41700</v>
      </c>
      <c r="G43" s="23"/>
      <c r="H43" s="23">
        <f t="shared" si="2"/>
        <v>31765.503199999999</v>
      </c>
      <c r="I43" s="23">
        <f t="shared" si="3"/>
        <v>4101.3384823542674</v>
      </c>
      <c r="J43" s="23">
        <f t="shared" si="4"/>
        <v>530.06259999999997</v>
      </c>
      <c r="K43" s="26"/>
      <c r="L43" s="24"/>
      <c r="M43" s="26">
        <f t="shared" si="7"/>
        <v>78096.904282354284</v>
      </c>
      <c r="O43" s="57" t="s">
        <v>191</v>
      </c>
      <c r="P43" s="58"/>
      <c r="Q43" s="59">
        <f>SUM(Q27:Q42)</f>
        <v>1912829.36</v>
      </c>
      <c r="R43" s="59">
        <f>SUM(R27:R42)</f>
        <v>3329783.16</v>
      </c>
      <c r="S43" s="60"/>
    </row>
    <row r="44" spans="1:19" x14ac:dyDescent="0.25">
      <c r="A44" s="91" t="s">
        <v>82</v>
      </c>
      <c r="B44" s="91">
        <v>68</v>
      </c>
      <c r="C44" s="92" t="s">
        <v>83</v>
      </c>
      <c r="D44" s="92"/>
      <c r="E44" s="25">
        <v>2.0199999999999999E-2</v>
      </c>
      <c r="F44" s="23">
        <f t="shared" si="1"/>
        <v>60600</v>
      </c>
      <c r="G44" s="23"/>
      <c r="H44" s="23">
        <f t="shared" si="2"/>
        <v>46162.817599999995</v>
      </c>
      <c r="I44" s="23">
        <f t="shared" si="3"/>
        <v>5960.2185139249068</v>
      </c>
      <c r="J44" s="23">
        <f t="shared" si="4"/>
        <v>770.30679999999995</v>
      </c>
      <c r="K44" s="26"/>
      <c r="L44" s="24"/>
      <c r="M44" s="26">
        <f t="shared" si="7"/>
        <v>113493.34291392491</v>
      </c>
      <c r="O44" s="51"/>
      <c r="P44" s="48"/>
      <c r="Q44" s="70"/>
      <c r="R44" s="48"/>
      <c r="S44" s="50"/>
    </row>
    <row r="45" spans="1:19" x14ac:dyDescent="0.25">
      <c r="A45" s="91" t="s">
        <v>84</v>
      </c>
      <c r="B45" s="89">
        <v>69</v>
      </c>
      <c r="C45" s="92" t="s">
        <v>85</v>
      </c>
      <c r="D45" s="92" t="s">
        <v>223</v>
      </c>
      <c r="E45" s="25">
        <v>2.0199999999999999E-2</v>
      </c>
      <c r="F45" s="23">
        <f t="shared" si="1"/>
        <v>60600</v>
      </c>
      <c r="G45" s="23"/>
      <c r="H45" s="23">
        <f t="shared" si="2"/>
        <v>46162.817599999995</v>
      </c>
      <c r="I45" s="23">
        <f t="shared" si="3"/>
        <v>5960.2185139249068</v>
      </c>
      <c r="J45" s="23">
        <f t="shared" si="4"/>
        <v>770.30679999999995</v>
      </c>
      <c r="K45" s="26"/>
      <c r="L45" s="24"/>
      <c r="M45" s="26">
        <f t="shared" si="7"/>
        <v>113493.34291392491</v>
      </c>
      <c r="O45" s="104" t="s">
        <v>192</v>
      </c>
      <c r="P45" s="105"/>
      <c r="Q45" s="105"/>
      <c r="R45" s="105"/>
      <c r="S45" s="106"/>
    </row>
    <row r="46" spans="1:19" x14ac:dyDescent="0.25">
      <c r="A46" s="91" t="s">
        <v>86</v>
      </c>
      <c r="B46" s="91">
        <v>70</v>
      </c>
      <c r="C46" s="92" t="s">
        <v>30</v>
      </c>
      <c r="D46" s="92" t="s">
        <v>224</v>
      </c>
      <c r="E46" s="25">
        <v>1.3899999999999999E-2</v>
      </c>
      <c r="F46" s="23">
        <f t="shared" si="1"/>
        <v>41700</v>
      </c>
      <c r="G46" s="23"/>
      <c r="H46" s="23">
        <f t="shared" si="2"/>
        <v>31765.503199999999</v>
      </c>
      <c r="I46" s="23">
        <f t="shared" si="3"/>
        <v>4101.3384823542674</v>
      </c>
      <c r="J46" s="23">
        <f t="shared" si="4"/>
        <v>530.06259999999997</v>
      </c>
      <c r="K46" s="26"/>
      <c r="L46" s="24"/>
      <c r="M46" s="26">
        <f t="shared" si="7"/>
        <v>78096.904282354284</v>
      </c>
      <c r="O46" s="77"/>
      <c r="P46" s="53"/>
      <c r="Q46" s="53"/>
      <c r="R46" s="53"/>
      <c r="S46" s="78"/>
    </row>
    <row r="47" spans="1:19" x14ac:dyDescent="0.25">
      <c r="A47" s="91" t="s">
        <v>87</v>
      </c>
      <c r="B47" s="89">
        <v>71</v>
      </c>
      <c r="C47" s="92" t="s">
        <v>88</v>
      </c>
      <c r="D47" s="92"/>
      <c r="E47" s="25">
        <v>1.3899999999999999E-2</v>
      </c>
      <c r="F47" s="23">
        <f t="shared" si="1"/>
        <v>41700</v>
      </c>
      <c r="G47" s="23"/>
      <c r="H47" s="23">
        <f t="shared" si="2"/>
        <v>31765.503199999999</v>
      </c>
      <c r="I47" s="23">
        <f t="shared" si="3"/>
        <v>4101.3384823542674</v>
      </c>
      <c r="J47" s="23">
        <f t="shared" si="4"/>
        <v>530.06259999999997</v>
      </c>
      <c r="K47" s="26"/>
      <c r="L47" s="24"/>
      <c r="M47" s="26">
        <f t="shared" si="7"/>
        <v>78096.904282354284</v>
      </c>
      <c r="O47" s="52" t="s">
        <v>193</v>
      </c>
      <c r="P47" s="53"/>
      <c r="Q47" s="79">
        <v>-133163</v>
      </c>
      <c r="R47" s="80" t="s">
        <v>194</v>
      </c>
      <c r="S47" s="81"/>
    </row>
    <row r="48" spans="1:19" x14ac:dyDescent="0.25">
      <c r="A48" s="91" t="s">
        <v>89</v>
      </c>
      <c r="B48" s="91">
        <v>72</v>
      </c>
      <c r="C48" s="92" t="s">
        <v>88</v>
      </c>
      <c r="D48" s="92" t="s">
        <v>225</v>
      </c>
      <c r="E48" s="25">
        <v>2.0199999999999999E-2</v>
      </c>
      <c r="F48" s="23">
        <f t="shared" si="1"/>
        <v>60600</v>
      </c>
      <c r="G48" s="23"/>
      <c r="H48" s="23">
        <f t="shared" si="2"/>
        <v>46162.817599999995</v>
      </c>
      <c r="I48" s="23">
        <f t="shared" si="3"/>
        <v>5960.2185139249068</v>
      </c>
      <c r="J48" s="23">
        <f t="shared" si="4"/>
        <v>770.30679999999995</v>
      </c>
      <c r="K48" s="26"/>
      <c r="L48" s="24"/>
      <c r="M48" s="26">
        <f t="shared" si="7"/>
        <v>113493.34291392491</v>
      </c>
      <c r="O48" s="52" t="s">
        <v>195</v>
      </c>
      <c r="P48" s="62"/>
      <c r="Q48" s="79">
        <v>3598729</v>
      </c>
      <c r="R48" s="49"/>
      <c r="S48" s="81"/>
    </row>
    <row r="49" spans="1:19" x14ac:dyDescent="0.25">
      <c r="A49" s="91" t="s">
        <v>90</v>
      </c>
      <c r="B49" s="89">
        <v>73</v>
      </c>
      <c r="C49" s="92" t="s">
        <v>91</v>
      </c>
      <c r="D49" s="92"/>
      <c r="E49" s="25">
        <v>2.0199999999999999E-2</v>
      </c>
      <c r="F49" s="23">
        <f t="shared" si="1"/>
        <v>60600</v>
      </c>
      <c r="G49" s="23"/>
      <c r="H49" s="23">
        <f t="shared" si="2"/>
        <v>46162.817599999995</v>
      </c>
      <c r="I49" s="23">
        <f t="shared" si="3"/>
        <v>5960.2185139249068</v>
      </c>
      <c r="J49" s="23">
        <f t="shared" si="4"/>
        <v>770.30679999999995</v>
      </c>
      <c r="K49" s="26">
        <v>156668</v>
      </c>
      <c r="L49" s="24">
        <f>K49*4%</f>
        <v>6266.72</v>
      </c>
      <c r="M49" s="26">
        <f t="shared" si="7"/>
        <v>276428.06291392486</v>
      </c>
      <c r="O49" s="52" t="s">
        <v>196</v>
      </c>
      <c r="P49" s="62"/>
      <c r="Q49" s="79">
        <v>54364</v>
      </c>
      <c r="R49" s="49"/>
      <c r="S49" s="81"/>
    </row>
    <row r="50" spans="1:19" x14ac:dyDescent="0.25">
      <c r="A50" s="91" t="s">
        <v>92</v>
      </c>
      <c r="B50" s="91">
        <v>74</v>
      </c>
      <c r="C50" s="92" t="s">
        <v>93</v>
      </c>
      <c r="D50" s="92" t="s">
        <v>212</v>
      </c>
      <c r="E50" s="25">
        <v>1.3899999999999999E-2</v>
      </c>
      <c r="F50" s="23">
        <f t="shared" si="1"/>
        <v>41700</v>
      </c>
      <c r="G50" s="23"/>
      <c r="H50" s="23">
        <f t="shared" si="2"/>
        <v>31765.503199999999</v>
      </c>
      <c r="I50" s="23">
        <f t="shared" si="3"/>
        <v>4101.3384823542674</v>
      </c>
      <c r="J50" s="23">
        <f t="shared" si="4"/>
        <v>530.06259999999997</v>
      </c>
      <c r="K50" s="26"/>
      <c r="L50" s="24"/>
      <c r="M50" s="26">
        <f t="shared" si="7"/>
        <v>78096.904282354284</v>
      </c>
      <c r="O50" s="52" t="s">
        <v>197</v>
      </c>
      <c r="P50" s="48"/>
      <c r="Q50" s="79">
        <v>-1912829</v>
      </c>
      <c r="R50" s="62"/>
      <c r="S50" s="81"/>
    </row>
    <row r="51" spans="1:19" x14ac:dyDescent="0.25">
      <c r="A51" s="91" t="s">
        <v>94</v>
      </c>
      <c r="B51" s="89">
        <v>75</v>
      </c>
      <c r="C51" s="92" t="s">
        <v>95</v>
      </c>
      <c r="D51" s="92"/>
      <c r="E51" s="25">
        <v>1.3899999999999999E-2</v>
      </c>
      <c r="F51" s="23">
        <f t="shared" si="1"/>
        <v>41700</v>
      </c>
      <c r="G51" s="23"/>
      <c r="H51" s="23">
        <f t="shared" si="2"/>
        <v>31765.503199999999</v>
      </c>
      <c r="I51" s="23">
        <f t="shared" si="3"/>
        <v>4101.3384823542674</v>
      </c>
      <c r="J51" s="23">
        <f t="shared" si="4"/>
        <v>530.06259999999997</v>
      </c>
      <c r="K51" s="26"/>
      <c r="L51" s="24"/>
      <c r="M51" s="26">
        <f t="shared" si="7"/>
        <v>78096.904282354284</v>
      </c>
      <c r="O51" s="52" t="s">
        <v>198</v>
      </c>
      <c r="P51" s="62"/>
      <c r="Q51" s="79"/>
      <c r="R51" s="49"/>
      <c r="S51" s="81"/>
    </row>
    <row r="52" spans="1:19" ht="28.5" customHeight="1" x14ac:dyDescent="0.25">
      <c r="A52" s="91" t="s">
        <v>96</v>
      </c>
      <c r="B52" s="91">
        <v>76</v>
      </c>
      <c r="C52" s="98" t="s">
        <v>97</v>
      </c>
      <c r="D52" s="98" t="s">
        <v>213</v>
      </c>
      <c r="E52" s="25">
        <v>2.0199999999999999E-2</v>
      </c>
      <c r="F52" s="23">
        <f t="shared" si="1"/>
        <v>60600</v>
      </c>
      <c r="G52" s="23"/>
      <c r="H52" s="23">
        <f t="shared" si="2"/>
        <v>46162.817599999995</v>
      </c>
      <c r="I52" s="23">
        <f t="shared" si="3"/>
        <v>5960.2185139249068</v>
      </c>
      <c r="J52" s="23">
        <f t="shared" si="4"/>
        <v>770.30679999999995</v>
      </c>
      <c r="K52" s="26">
        <v>79004</v>
      </c>
      <c r="L52" s="24">
        <f>K52*4%</f>
        <v>3160.16</v>
      </c>
      <c r="M52" s="26">
        <f t="shared" si="7"/>
        <v>195657.50291392489</v>
      </c>
      <c r="O52" s="47" t="s">
        <v>199</v>
      </c>
      <c r="P52" s="62"/>
      <c r="Q52" s="82">
        <v>-269570.75</v>
      </c>
      <c r="R52" s="49"/>
      <c r="S52" s="81"/>
    </row>
    <row r="53" spans="1:19" x14ac:dyDescent="0.25">
      <c r="A53" s="91" t="s">
        <v>98</v>
      </c>
      <c r="B53" s="89">
        <v>77</v>
      </c>
      <c r="C53" s="92" t="s">
        <v>88</v>
      </c>
      <c r="D53" s="92" t="s">
        <v>214</v>
      </c>
      <c r="E53" s="25">
        <v>2.0199999999999999E-2</v>
      </c>
      <c r="F53" s="23">
        <f t="shared" si="1"/>
        <v>60600</v>
      </c>
      <c r="G53" s="23"/>
      <c r="H53" s="23">
        <f t="shared" si="2"/>
        <v>46162.817599999995</v>
      </c>
      <c r="I53" s="23">
        <f t="shared" si="3"/>
        <v>5960.2185139249068</v>
      </c>
      <c r="J53" s="23">
        <f t="shared" si="4"/>
        <v>770.30679999999995</v>
      </c>
      <c r="K53" s="26">
        <v>164370</v>
      </c>
      <c r="L53" s="24">
        <f>K53*4%</f>
        <v>6574.8</v>
      </c>
      <c r="M53" s="26">
        <f t="shared" si="7"/>
        <v>284438.14291392488</v>
      </c>
      <c r="O53" s="52" t="s">
        <v>200</v>
      </c>
      <c r="P53" s="48"/>
      <c r="Q53" s="82">
        <v>-1493005.55</v>
      </c>
      <c r="R53" s="48"/>
      <c r="S53" s="50"/>
    </row>
    <row r="54" spans="1:19" x14ac:dyDescent="0.25">
      <c r="A54" s="91" t="s">
        <v>99</v>
      </c>
      <c r="B54" s="91">
        <v>78</v>
      </c>
      <c r="C54" s="92" t="s">
        <v>88</v>
      </c>
      <c r="D54" s="92" t="s">
        <v>215</v>
      </c>
      <c r="E54" s="25">
        <v>1.3899999999999999E-2</v>
      </c>
      <c r="F54" s="23">
        <f t="shared" si="1"/>
        <v>41700</v>
      </c>
      <c r="G54" s="23"/>
      <c r="H54" s="23">
        <f t="shared" si="2"/>
        <v>31765.503199999999</v>
      </c>
      <c r="I54" s="23">
        <f t="shared" si="3"/>
        <v>4101.3384823542674</v>
      </c>
      <c r="J54" s="23">
        <f t="shared" si="4"/>
        <v>530.06259999999997</v>
      </c>
      <c r="K54" s="26">
        <v>54364</v>
      </c>
      <c r="L54" s="24">
        <f>K54*4%</f>
        <v>2174.56</v>
      </c>
      <c r="M54" s="26">
        <f t="shared" si="7"/>
        <v>134635.46428235428</v>
      </c>
      <c r="O54" s="52" t="s">
        <v>201</v>
      </c>
      <c r="Q54" s="83">
        <f>SUM(Q47:Q53)</f>
        <v>-155475.30000000005</v>
      </c>
      <c r="R54" s="80" t="s">
        <v>194</v>
      </c>
      <c r="S54" s="81"/>
    </row>
    <row r="55" spans="1:19" x14ac:dyDescent="0.25">
      <c r="A55" s="91" t="s">
        <v>100</v>
      </c>
      <c r="B55" s="89">
        <v>79</v>
      </c>
      <c r="C55" s="92" t="s">
        <v>101</v>
      </c>
      <c r="D55" s="92"/>
      <c r="E55" s="25">
        <v>1.3899999999999999E-2</v>
      </c>
      <c r="F55" s="23">
        <f t="shared" si="1"/>
        <v>41700</v>
      </c>
      <c r="G55" s="23"/>
      <c r="H55" s="23">
        <f t="shared" si="2"/>
        <v>31765.503199999999</v>
      </c>
      <c r="I55" s="23">
        <f t="shared" si="3"/>
        <v>4101.3384823542674</v>
      </c>
      <c r="J55" s="23">
        <f t="shared" si="4"/>
        <v>530.06259999999997</v>
      </c>
      <c r="K55" s="26"/>
      <c r="L55" s="24"/>
      <c r="M55" s="26">
        <f t="shared" si="7"/>
        <v>78096.904282354284</v>
      </c>
      <c r="O55" s="84"/>
      <c r="P55" s="85"/>
      <c r="Q55" s="86"/>
      <c r="R55" s="85"/>
      <c r="S55" s="87"/>
    </row>
    <row r="56" spans="1:19" x14ac:dyDescent="0.25">
      <c r="A56" s="91" t="s">
        <v>102</v>
      </c>
      <c r="B56" s="91">
        <v>80</v>
      </c>
      <c r="C56" s="92" t="s">
        <v>103</v>
      </c>
      <c r="D56" s="92" t="s">
        <v>216</v>
      </c>
      <c r="E56" s="25">
        <v>2.0199999999999999E-2</v>
      </c>
      <c r="F56" s="23">
        <f t="shared" si="1"/>
        <v>60600</v>
      </c>
      <c r="G56" s="23"/>
      <c r="H56" s="23">
        <f t="shared" si="2"/>
        <v>46162.817599999995</v>
      </c>
      <c r="I56" s="23">
        <f t="shared" si="3"/>
        <v>5960.2185139249068</v>
      </c>
      <c r="J56" s="23">
        <f t="shared" si="4"/>
        <v>770.30679999999995</v>
      </c>
      <c r="K56" s="26"/>
      <c r="L56" s="24"/>
      <c r="M56" s="26">
        <f t="shared" si="7"/>
        <v>113493.34291392491</v>
      </c>
    </row>
    <row r="57" spans="1:19" x14ac:dyDescent="0.25">
      <c r="A57" s="91" t="s">
        <v>104</v>
      </c>
      <c r="B57" s="89">
        <v>81</v>
      </c>
      <c r="C57" s="92" t="s">
        <v>105</v>
      </c>
      <c r="D57" s="92"/>
      <c r="E57" s="25">
        <v>2.0199999999999999E-2</v>
      </c>
      <c r="F57" s="23">
        <f t="shared" si="1"/>
        <v>60600</v>
      </c>
      <c r="G57" s="23"/>
      <c r="H57" s="23">
        <f t="shared" si="2"/>
        <v>46162.817599999995</v>
      </c>
      <c r="I57" s="23">
        <f t="shared" si="3"/>
        <v>5960.2185139249068</v>
      </c>
      <c r="J57" s="23">
        <f t="shared" si="4"/>
        <v>770.30679999999995</v>
      </c>
      <c r="K57" s="26"/>
      <c r="L57" s="24"/>
      <c r="M57" s="26">
        <f t="shared" si="7"/>
        <v>113493.34291392491</v>
      </c>
    </row>
    <row r="58" spans="1:19" x14ac:dyDescent="0.25">
      <c r="A58" s="91" t="s">
        <v>106</v>
      </c>
      <c r="B58" s="91">
        <v>82</v>
      </c>
      <c r="C58" s="92" t="s">
        <v>107</v>
      </c>
      <c r="D58" s="92"/>
      <c r="E58" s="25">
        <v>1.3899999999999999E-2</v>
      </c>
      <c r="F58" s="23">
        <f t="shared" si="1"/>
        <v>41700</v>
      </c>
      <c r="G58" s="23"/>
      <c r="H58" s="23">
        <f t="shared" si="2"/>
        <v>31765.503199999999</v>
      </c>
      <c r="I58" s="23">
        <f t="shared" si="3"/>
        <v>4101.3384823542674</v>
      </c>
      <c r="J58" s="23">
        <f t="shared" si="4"/>
        <v>530.06259999999997</v>
      </c>
      <c r="K58" s="26"/>
      <c r="L58" s="24"/>
      <c r="M58" s="26">
        <f t="shared" si="7"/>
        <v>78096.904282354284</v>
      </c>
    </row>
    <row r="59" spans="1:19" x14ac:dyDescent="0.25">
      <c r="A59" s="91" t="s">
        <v>108</v>
      </c>
      <c r="B59" s="89">
        <v>83</v>
      </c>
      <c r="C59" s="92" t="s">
        <v>109</v>
      </c>
      <c r="D59" s="92"/>
      <c r="E59" s="25">
        <v>1.3899999999999999E-2</v>
      </c>
      <c r="F59" s="23">
        <f t="shared" si="1"/>
        <v>41700</v>
      </c>
      <c r="G59" s="23"/>
      <c r="H59" s="23">
        <f t="shared" si="2"/>
        <v>31765.503199999999</v>
      </c>
      <c r="I59" s="23">
        <f t="shared" si="3"/>
        <v>4101.3384823542674</v>
      </c>
      <c r="J59" s="23">
        <f t="shared" si="4"/>
        <v>530.06259999999997</v>
      </c>
      <c r="K59" s="26">
        <v>107807</v>
      </c>
      <c r="L59" s="24">
        <f>K59*4%</f>
        <v>4312.28</v>
      </c>
      <c r="M59" s="26">
        <f t="shared" si="7"/>
        <v>190216.18428235428</v>
      </c>
    </row>
    <row r="60" spans="1:19" ht="30" customHeight="1" x14ac:dyDescent="0.25">
      <c r="A60" s="91" t="s">
        <v>110</v>
      </c>
      <c r="B60" s="91">
        <v>84</v>
      </c>
      <c r="C60" s="92" t="s">
        <v>111</v>
      </c>
      <c r="D60" s="92"/>
      <c r="E60" s="25">
        <v>2.0199999999999999E-2</v>
      </c>
      <c r="F60" s="23">
        <f>(3000000)*E60</f>
        <v>60600</v>
      </c>
      <c r="G60" s="23"/>
      <c r="H60" s="23">
        <f t="shared" si="2"/>
        <v>46162.817599999995</v>
      </c>
      <c r="I60" s="23">
        <f t="shared" si="3"/>
        <v>5960.2185139249068</v>
      </c>
      <c r="J60" s="23">
        <f t="shared" si="4"/>
        <v>770.30679999999995</v>
      </c>
      <c r="K60" s="26"/>
      <c r="L60" s="24"/>
      <c r="M60" s="26">
        <f t="shared" si="7"/>
        <v>113493.34291392491</v>
      </c>
    </row>
    <row r="61" spans="1:19" x14ac:dyDescent="0.25">
      <c r="A61" s="94" t="s">
        <v>112</v>
      </c>
      <c r="B61" s="94"/>
      <c r="C61" s="107" t="s">
        <v>3</v>
      </c>
      <c r="D61" s="95"/>
      <c r="E61" s="108"/>
      <c r="F61" s="109" t="s">
        <v>5</v>
      </c>
      <c r="G61" s="109"/>
      <c r="H61" s="109" t="s">
        <v>6</v>
      </c>
      <c r="I61" s="109"/>
      <c r="J61" s="109"/>
      <c r="K61" s="28"/>
      <c r="L61" s="28" t="s">
        <v>8</v>
      </c>
      <c r="M61" s="19" t="s">
        <v>9</v>
      </c>
    </row>
    <row r="62" spans="1:19" x14ac:dyDescent="0.25">
      <c r="A62" s="96"/>
      <c r="B62" s="96"/>
      <c r="C62" s="107"/>
      <c r="D62" s="95"/>
      <c r="E62" s="108"/>
      <c r="F62" s="27" t="s">
        <v>11</v>
      </c>
      <c r="G62" s="27" t="s">
        <v>113</v>
      </c>
      <c r="H62" s="27" t="s">
        <v>13</v>
      </c>
      <c r="I62" s="27" t="s">
        <v>114</v>
      </c>
      <c r="J62" s="27" t="s">
        <v>15</v>
      </c>
      <c r="K62" s="29"/>
      <c r="L62" s="29" t="s">
        <v>17</v>
      </c>
      <c r="M62" s="21" t="s">
        <v>18</v>
      </c>
    </row>
    <row r="63" spans="1:19" x14ac:dyDescent="0.25">
      <c r="A63" s="91" t="s">
        <v>115</v>
      </c>
      <c r="B63" s="91">
        <v>17</v>
      </c>
      <c r="C63" s="92" t="s">
        <v>88</v>
      </c>
      <c r="D63" s="92"/>
      <c r="E63" s="25">
        <v>3.2000000000000002E-3</v>
      </c>
      <c r="F63" s="23">
        <f>(3000000)*E63</f>
        <v>9600</v>
      </c>
      <c r="G63" s="23"/>
      <c r="H63" s="23">
        <f t="shared" ref="H63:H94" si="8">2285288*E63</f>
        <v>7312.9216000000006</v>
      </c>
      <c r="I63" s="23"/>
      <c r="J63" s="23">
        <f t="shared" ref="J63:J94" si="9">38134*E63</f>
        <v>122.0288</v>
      </c>
      <c r="K63" s="26"/>
      <c r="L63" s="24"/>
      <c r="M63" s="26">
        <f t="shared" ref="M63:M91" si="10">SUM(F63:L63)</f>
        <v>17034.950400000002</v>
      </c>
    </row>
    <row r="64" spans="1:19" x14ac:dyDescent="0.25">
      <c r="A64" s="91" t="s">
        <v>116</v>
      </c>
      <c r="B64" s="91">
        <v>18</v>
      </c>
      <c r="C64" s="92" t="s">
        <v>117</v>
      </c>
      <c r="D64" s="92"/>
      <c r="E64" s="25">
        <v>3.3E-3</v>
      </c>
      <c r="F64" s="23">
        <f t="shared" ref="F64:F94" si="11">(3000000)*E64</f>
        <v>9900</v>
      </c>
      <c r="G64" s="23"/>
      <c r="H64" s="23">
        <f t="shared" si="8"/>
        <v>7541.4503999999997</v>
      </c>
      <c r="I64" s="23"/>
      <c r="J64" s="23">
        <f t="shared" si="9"/>
        <v>125.84220000000001</v>
      </c>
      <c r="K64" s="26">
        <v>69817</v>
      </c>
      <c r="L64" s="24">
        <f>K64*4%</f>
        <v>2792.68</v>
      </c>
      <c r="M64" s="26">
        <f t="shared" si="10"/>
        <v>90176.972599999994</v>
      </c>
    </row>
    <row r="65" spans="1:13" x14ac:dyDescent="0.25">
      <c r="A65" s="91" t="s">
        <v>118</v>
      </c>
      <c r="B65" s="91">
        <v>19</v>
      </c>
      <c r="C65" s="92" t="s">
        <v>119</v>
      </c>
      <c r="D65" s="92"/>
      <c r="E65" s="25">
        <v>4.0000000000000002E-4</v>
      </c>
      <c r="F65" s="23">
        <f t="shared" si="11"/>
        <v>1200</v>
      </c>
      <c r="G65" s="23"/>
      <c r="H65" s="23">
        <f t="shared" si="8"/>
        <v>914.11520000000007</v>
      </c>
      <c r="I65" s="23"/>
      <c r="J65" s="23">
        <f t="shared" si="9"/>
        <v>15.2536</v>
      </c>
      <c r="K65" s="24"/>
      <c r="L65" s="24"/>
      <c r="M65" s="26">
        <f t="shared" si="10"/>
        <v>2129.3688000000002</v>
      </c>
    </row>
    <row r="66" spans="1:13" x14ac:dyDescent="0.25">
      <c r="A66" s="91" t="s">
        <v>120</v>
      </c>
      <c r="B66" s="91">
        <v>20</v>
      </c>
      <c r="C66" s="92" t="s">
        <v>119</v>
      </c>
      <c r="D66" s="92"/>
      <c r="E66" s="25">
        <v>2.0000000000000001E-4</v>
      </c>
      <c r="F66" s="23">
        <f t="shared" si="11"/>
        <v>600</v>
      </c>
      <c r="G66" s="23"/>
      <c r="H66" s="23">
        <f t="shared" si="8"/>
        <v>457.05760000000004</v>
      </c>
      <c r="I66" s="23"/>
      <c r="J66" s="23">
        <f t="shared" si="9"/>
        <v>7.6268000000000002</v>
      </c>
      <c r="K66" s="24">
        <v>-3804</v>
      </c>
      <c r="L66" s="24"/>
      <c r="M66" s="26">
        <f t="shared" si="10"/>
        <v>-2739.3155999999999</v>
      </c>
    </row>
    <row r="67" spans="1:13" x14ac:dyDescent="0.25">
      <c r="A67" s="91" t="s">
        <v>121</v>
      </c>
      <c r="B67" s="91">
        <v>21</v>
      </c>
      <c r="C67" s="92" t="s">
        <v>122</v>
      </c>
      <c r="D67" s="92"/>
      <c r="E67" s="25">
        <v>2.0000000000000001E-4</v>
      </c>
      <c r="F67" s="23">
        <f t="shared" si="11"/>
        <v>600</v>
      </c>
      <c r="G67" s="23"/>
      <c r="H67" s="23">
        <f t="shared" si="8"/>
        <v>457.05760000000004</v>
      </c>
      <c r="I67" s="23"/>
      <c r="J67" s="23">
        <f t="shared" si="9"/>
        <v>7.6268000000000002</v>
      </c>
      <c r="K67" s="24"/>
      <c r="L67" s="24"/>
      <c r="M67" s="26">
        <f t="shared" si="10"/>
        <v>1064.6844000000001</v>
      </c>
    </row>
    <row r="68" spans="1:13" x14ac:dyDescent="0.25">
      <c r="A68" s="91" t="s">
        <v>123</v>
      </c>
      <c r="B68" s="91">
        <v>22</v>
      </c>
      <c r="C68" s="92" t="s">
        <v>26</v>
      </c>
      <c r="D68" s="92"/>
      <c r="E68" s="25">
        <v>2.0000000000000001E-4</v>
      </c>
      <c r="F68" s="23">
        <f t="shared" si="11"/>
        <v>600</v>
      </c>
      <c r="G68" s="23"/>
      <c r="H68" s="23">
        <f t="shared" si="8"/>
        <v>457.05760000000004</v>
      </c>
      <c r="I68" s="23"/>
      <c r="J68" s="23">
        <f t="shared" si="9"/>
        <v>7.6268000000000002</v>
      </c>
      <c r="K68" s="26">
        <v>708</v>
      </c>
      <c r="L68" s="24">
        <f t="shared" ref="L68:L69" si="12">K68*4%</f>
        <v>28.32</v>
      </c>
      <c r="M68" s="26">
        <f t="shared" si="10"/>
        <v>1801.0044</v>
      </c>
    </row>
    <row r="69" spans="1:13" x14ac:dyDescent="0.25">
      <c r="A69" s="91" t="s">
        <v>124</v>
      </c>
      <c r="B69" s="91">
        <v>23</v>
      </c>
      <c r="C69" s="92" t="s">
        <v>59</v>
      </c>
      <c r="D69" s="92"/>
      <c r="E69" s="25">
        <v>2.0000000000000001E-4</v>
      </c>
      <c r="F69" s="23">
        <f t="shared" si="11"/>
        <v>600</v>
      </c>
      <c r="G69" s="23"/>
      <c r="H69" s="23">
        <f t="shared" si="8"/>
        <v>457.05760000000004</v>
      </c>
      <c r="I69" s="23"/>
      <c r="J69" s="23">
        <f t="shared" si="9"/>
        <v>7.6268000000000002</v>
      </c>
      <c r="K69" s="26">
        <v>708</v>
      </c>
      <c r="L69" s="24">
        <f t="shared" si="12"/>
        <v>28.32</v>
      </c>
      <c r="M69" s="26">
        <f t="shared" si="10"/>
        <v>1801.0044</v>
      </c>
    </row>
    <row r="70" spans="1:13" x14ac:dyDescent="0.25">
      <c r="A70" s="91" t="s">
        <v>125</v>
      </c>
      <c r="B70" s="91">
        <v>24</v>
      </c>
      <c r="C70" s="92" t="s">
        <v>101</v>
      </c>
      <c r="D70" s="92"/>
      <c r="E70" s="25">
        <v>2.0000000000000001E-4</v>
      </c>
      <c r="F70" s="23">
        <f t="shared" si="11"/>
        <v>600</v>
      </c>
      <c r="G70" s="23"/>
      <c r="H70" s="23">
        <f t="shared" si="8"/>
        <v>457.05760000000004</v>
      </c>
      <c r="I70" s="23"/>
      <c r="J70" s="23">
        <f t="shared" si="9"/>
        <v>7.6268000000000002</v>
      </c>
      <c r="K70" s="26"/>
      <c r="L70" s="24"/>
      <c r="M70" s="26">
        <f t="shared" si="10"/>
        <v>1064.6844000000001</v>
      </c>
    </row>
    <row r="71" spans="1:13" x14ac:dyDescent="0.25">
      <c r="A71" s="91" t="s">
        <v>126</v>
      </c>
      <c r="B71" s="91">
        <v>25</v>
      </c>
      <c r="C71" s="92" t="s">
        <v>127</v>
      </c>
      <c r="D71" s="92"/>
      <c r="E71" s="25">
        <v>2.0000000000000001E-4</v>
      </c>
      <c r="F71" s="23">
        <f t="shared" si="11"/>
        <v>600</v>
      </c>
      <c r="G71" s="23"/>
      <c r="H71" s="23">
        <f t="shared" si="8"/>
        <v>457.05760000000004</v>
      </c>
      <c r="I71" s="23"/>
      <c r="J71" s="23">
        <f t="shared" si="9"/>
        <v>7.6268000000000002</v>
      </c>
      <c r="K71" s="26"/>
      <c r="L71" s="24"/>
      <c r="M71" s="26">
        <f t="shared" si="10"/>
        <v>1064.6844000000001</v>
      </c>
    </row>
    <row r="72" spans="1:13" x14ac:dyDescent="0.25">
      <c r="A72" s="91" t="s">
        <v>128</v>
      </c>
      <c r="B72" s="91">
        <v>26</v>
      </c>
      <c r="C72" s="92" t="s">
        <v>63</v>
      </c>
      <c r="D72" s="92"/>
      <c r="E72" s="25">
        <v>2.0000000000000001E-4</v>
      </c>
      <c r="F72" s="23">
        <f t="shared" si="11"/>
        <v>600</v>
      </c>
      <c r="G72" s="23"/>
      <c r="H72" s="23">
        <f t="shared" si="8"/>
        <v>457.05760000000004</v>
      </c>
      <c r="I72" s="23"/>
      <c r="J72" s="23">
        <f t="shared" si="9"/>
        <v>7.6268000000000002</v>
      </c>
      <c r="K72" s="26"/>
      <c r="L72" s="24"/>
      <c r="M72" s="26">
        <f t="shared" si="10"/>
        <v>1064.6844000000001</v>
      </c>
    </row>
    <row r="73" spans="1:13" x14ac:dyDescent="0.25">
      <c r="A73" s="91" t="s">
        <v>129</v>
      </c>
      <c r="B73" s="91">
        <v>27</v>
      </c>
      <c r="C73" s="92" t="s">
        <v>130</v>
      </c>
      <c r="D73" s="92"/>
      <c r="E73" s="25">
        <v>2.0000000000000001E-4</v>
      </c>
      <c r="F73" s="23">
        <f t="shared" si="11"/>
        <v>600</v>
      </c>
      <c r="G73" s="23"/>
      <c r="H73" s="23">
        <f t="shared" si="8"/>
        <v>457.05760000000004</v>
      </c>
      <c r="I73" s="23"/>
      <c r="J73" s="23">
        <f t="shared" si="9"/>
        <v>7.6268000000000002</v>
      </c>
      <c r="K73" s="26">
        <v>5504</v>
      </c>
      <c r="L73" s="24">
        <f t="shared" ref="L73:L75" si="13">K73*4%</f>
        <v>220.16</v>
      </c>
      <c r="M73" s="26">
        <f t="shared" si="10"/>
        <v>6788.8444</v>
      </c>
    </row>
    <row r="74" spans="1:13" x14ac:dyDescent="0.25">
      <c r="A74" s="91" t="s">
        <v>131</v>
      </c>
      <c r="B74" s="91">
        <v>28</v>
      </c>
      <c r="C74" s="92" t="s">
        <v>130</v>
      </c>
      <c r="D74" s="92"/>
      <c r="E74" s="25">
        <v>2.0000000000000001E-4</v>
      </c>
      <c r="F74" s="23">
        <f t="shared" si="11"/>
        <v>600</v>
      </c>
      <c r="G74" s="23"/>
      <c r="H74" s="23">
        <f t="shared" si="8"/>
        <v>457.05760000000004</v>
      </c>
      <c r="I74" s="23"/>
      <c r="J74" s="23">
        <f t="shared" si="9"/>
        <v>7.6268000000000002</v>
      </c>
      <c r="K74" s="26">
        <v>5504</v>
      </c>
      <c r="L74" s="24">
        <f t="shared" si="13"/>
        <v>220.16</v>
      </c>
      <c r="M74" s="26">
        <f t="shared" si="10"/>
        <v>6788.8444</v>
      </c>
    </row>
    <row r="75" spans="1:13" x14ac:dyDescent="0.25">
      <c r="A75" s="91" t="s">
        <v>132</v>
      </c>
      <c r="B75" s="91">
        <v>29</v>
      </c>
      <c r="C75" s="92" t="s">
        <v>38</v>
      </c>
      <c r="D75" s="92"/>
      <c r="E75" s="25">
        <v>2.0000000000000001E-4</v>
      </c>
      <c r="F75" s="23">
        <f t="shared" si="11"/>
        <v>600</v>
      </c>
      <c r="G75" s="23"/>
      <c r="H75" s="23">
        <f t="shared" si="8"/>
        <v>457.05760000000004</v>
      </c>
      <c r="I75" s="23"/>
      <c r="J75" s="23">
        <f t="shared" si="9"/>
        <v>7.6268000000000002</v>
      </c>
      <c r="K75" s="26">
        <v>3113</v>
      </c>
      <c r="L75" s="24">
        <f t="shared" si="13"/>
        <v>124.52</v>
      </c>
      <c r="M75" s="26">
        <f t="shared" si="10"/>
        <v>4302.2044000000005</v>
      </c>
    </row>
    <row r="76" spans="1:13" x14ac:dyDescent="0.25">
      <c r="A76" s="91" t="s">
        <v>133</v>
      </c>
      <c r="B76" s="91">
        <v>30</v>
      </c>
      <c r="C76" s="92" t="s">
        <v>38</v>
      </c>
      <c r="D76" s="92"/>
      <c r="E76" s="25">
        <v>2.0000000000000001E-4</v>
      </c>
      <c r="F76" s="23">
        <f t="shared" si="11"/>
        <v>600</v>
      </c>
      <c r="G76" s="23"/>
      <c r="H76" s="23">
        <f t="shared" si="8"/>
        <v>457.05760000000004</v>
      </c>
      <c r="I76" s="23"/>
      <c r="J76" s="23">
        <f t="shared" si="9"/>
        <v>7.6268000000000002</v>
      </c>
      <c r="K76" s="26"/>
      <c r="L76" s="24"/>
      <c r="M76" s="26">
        <f t="shared" si="10"/>
        <v>1064.6844000000001</v>
      </c>
    </row>
    <row r="77" spans="1:13" x14ac:dyDescent="0.25">
      <c r="A77" s="91" t="s">
        <v>134</v>
      </c>
      <c r="B77" s="91">
        <v>31</v>
      </c>
      <c r="C77" s="92" t="s">
        <v>38</v>
      </c>
      <c r="D77" s="92"/>
      <c r="E77" s="25">
        <v>2.0000000000000001E-4</v>
      </c>
      <c r="F77" s="23">
        <f t="shared" si="11"/>
        <v>600</v>
      </c>
      <c r="G77" s="23"/>
      <c r="H77" s="23">
        <f t="shared" si="8"/>
        <v>457.05760000000004</v>
      </c>
      <c r="I77" s="23"/>
      <c r="J77" s="23">
        <f t="shared" si="9"/>
        <v>7.6268000000000002</v>
      </c>
      <c r="K77" s="26"/>
      <c r="L77" s="24"/>
      <c r="M77" s="26">
        <f t="shared" si="10"/>
        <v>1064.6844000000001</v>
      </c>
    </row>
    <row r="78" spans="1:13" x14ac:dyDescent="0.25">
      <c r="A78" s="91" t="s">
        <v>135</v>
      </c>
      <c r="B78" s="91">
        <v>32</v>
      </c>
      <c r="C78" s="92" t="s">
        <v>136</v>
      </c>
      <c r="D78" s="92"/>
      <c r="E78" s="25">
        <v>1.5800000000000002E-2</v>
      </c>
      <c r="F78" s="23">
        <f t="shared" si="11"/>
        <v>47400.000000000007</v>
      </c>
      <c r="G78" s="23"/>
      <c r="H78" s="23">
        <f t="shared" si="8"/>
        <v>36107.5504</v>
      </c>
      <c r="I78" s="23"/>
      <c r="J78" s="23">
        <f t="shared" si="9"/>
        <v>602.5172</v>
      </c>
      <c r="K78" s="26">
        <v>1746540</v>
      </c>
      <c r="L78" s="24">
        <f>K78*4%</f>
        <v>69861.600000000006</v>
      </c>
      <c r="M78" s="26">
        <f t="shared" si="10"/>
        <v>1900511.6676</v>
      </c>
    </row>
    <row r="79" spans="1:13" x14ac:dyDescent="0.25">
      <c r="A79" s="91" t="s">
        <v>137</v>
      </c>
      <c r="B79" s="91">
        <v>1</v>
      </c>
      <c r="C79" s="92" t="s">
        <v>88</v>
      </c>
      <c r="D79" s="92"/>
      <c r="E79" s="25">
        <v>6.1000000000000004E-3</v>
      </c>
      <c r="F79" s="23">
        <f t="shared" si="11"/>
        <v>18300</v>
      </c>
      <c r="G79" s="23"/>
      <c r="H79" s="23">
        <f t="shared" si="8"/>
        <v>13940.256800000001</v>
      </c>
      <c r="I79" s="23"/>
      <c r="J79" s="23">
        <f t="shared" si="9"/>
        <v>232.6174</v>
      </c>
      <c r="K79" s="26">
        <v>100928</v>
      </c>
      <c r="L79" s="24">
        <f>K79*4%</f>
        <v>4037.12</v>
      </c>
      <c r="M79" s="26">
        <f t="shared" si="10"/>
        <v>137437.99419999999</v>
      </c>
    </row>
    <row r="80" spans="1:13" x14ac:dyDescent="0.25">
      <c r="A80" s="91" t="s">
        <v>138</v>
      </c>
      <c r="B80" s="91">
        <v>2</v>
      </c>
      <c r="C80" s="92" t="s">
        <v>203</v>
      </c>
      <c r="D80" s="92"/>
      <c r="E80" s="25">
        <v>6.4000000000000003E-3</v>
      </c>
      <c r="F80" s="23">
        <f t="shared" si="11"/>
        <v>19200</v>
      </c>
      <c r="G80" s="23"/>
      <c r="H80" s="23">
        <f t="shared" si="8"/>
        <v>14625.843200000001</v>
      </c>
      <c r="I80" s="23"/>
      <c r="J80" s="23">
        <f t="shared" si="9"/>
        <v>244.05760000000001</v>
      </c>
      <c r="K80" s="26"/>
      <c r="L80" s="24"/>
      <c r="M80" s="26">
        <f t="shared" si="10"/>
        <v>34069.900800000003</v>
      </c>
    </row>
    <row r="81" spans="1:13" x14ac:dyDescent="0.25">
      <c r="A81" s="91" t="s">
        <v>139</v>
      </c>
      <c r="B81" s="91">
        <v>3</v>
      </c>
      <c r="C81" s="92" t="s">
        <v>140</v>
      </c>
      <c r="D81" s="92"/>
      <c r="E81" s="25">
        <v>5.7000000000000002E-3</v>
      </c>
      <c r="F81" s="23">
        <f t="shared" si="11"/>
        <v>17100</v>
      </c>
      <c r="G81" s="23"/>
      <c r="H81" s="23">
        <f t="shared" si="8"/>
        <v>13026.141600000001</v>
      </c>
      <c r="I81" s="23"/>
      <c r="J81" s="23">
        <f t="shared" si="9"/>
        <v>217.3638</v>
      </c>
      <c r="K81" s="26"/>
      <c r="L81" s="24"/>
      <c r="M81" s="26">
        <f t="shared" si="10"/>
        <v>30343.505400000002</v>
      </c>
    </row>
    <row r="82" spans="1:13" x14ac:dyDescent="0.25">
      <c r="A82" s="91" t="s">
        <v>141</v>
      </c>
      <c r="B82" s="91">
        <v>4</v>
      </c>
      <c r="C82" s="92" t="s">
        <v>34</v>
      </c>
      <c r="D82" s="92"/>
      <c r="E82" s="25">
        <v>5.3E-3</v>
      </c>
      <c r="F82" s="23">
        <f t="shared" si="11"/>
        <v>15900</v>
      </c>
      <c r="G82" s="23"/>
      <c r="H82" s="23">
        <f t="shared" si="8"/>
        <v>12112.026400000001</v>
      </c>
      <c r="I82" s="23"/>
      <c r="J82" s="23">
        <f t="shared" si="9"/>
        <v>202.11019999999999</v>
      </c>
      <c r="K82" s="26"/>
      <c r="L82" s="24"/>
      <c r="M82" s="26">
        <f t="shared" si="10"/>
        <v>28214.136600000002</v>
      </c>
    </row>
    <row r="83" spans="1:13" x14ac:dyDescent="0.25">
      <c r="A83" s="91" t="s">
        <v>142</v>
      </c>
      <c r="B83" s="91">
        <v>5</v>
      </c>
      <c r="C83" s="92" t="s">
        <v>30</v>
      </c>
      <c r="D83" s="92"/>
      <c r="E83" s="25">
        <v>5.3E-3</v>
      </c>
      <c r="F83" s="23">
        <f t="shared" si="11"/>
        <v>15900</v>
      </c>
      <c r="G83" s="23"/>
      <c r="H83" s="23">
        <f t="shared" si="8"/>
        <v>12112.026400000001</v>
      </c>
      <c r="I83" s="23"/>
      <c r="J83" s="23">
        <f t="shared" si="9"/>
        <v>202.11019999999999</v>
      </c>
      <c r="K83" s="26"/>
      <c r="L83" s="24"/>
      <c r="M83" s="26">
        <f t="shared" si="10"/>
        <v>28214.136600000002</v>
      </c>
    </row>
    <row r="84" spans="1:13" x14ac:dyDescent="0.25">
      <c r="A84" s="91" t="s">
        <v>143</v>
      </c>
      <c r="B84" s="91">
        <v>6</v>
      </c>
      <c r="C84" s="92" t="s">
        <v>144</v>
      </c>
      <c r="D84" s="92"/>
      <c r="E84" s="25">
        <v>5.3E-3</v>
      </c>
      <c r="F84" s="23">
        <f t="shared" si="11"/>
        <v>15900</v>
      </c>
      <c r="G84" s="23"/>
      <c r="H84" s="23">
        <f t="shared" si="8"/>
        <v>12112.026400000001</v>
      </c>
      <c r="I84" s="23"/>
      <c r="J84" s="23">
        <f t="shared" si="9"/>
        <v>202.11019999999999</v>
      </c>
      <c r="K84" s="26"/>
      <c r="L84" s="24"/>
      <c r="M84" s="26">
        <f t="shared" si="10"/>
        <v>28214.136600000002</v>
      </c>
    </row>
    <row r="85" spans="1:13" x14ac:dyDescent="0.25">
      <c r="A85" s="91" t="s">
        <v>145</v>
      </c>
      <c r="B85" s="91">
        <v>7</v>
      </c>
      <c r="C85" s="92" t="s">
        <v>75</v>
      </c>
      <c r="D85" s="92"/>
      <c r="E85" s="25">
        <v>5.3E-3</v>
      </c>
      <c r="F85" s="23">
        <f t="shared" si="11"/>
        <v>15900</v>
      </c>
      <c r="G85" s="23"/>
      <c r="H85" s="23">
        <f t="shared" si="8"/>
        <v>12112.026400000001</v>
      </c>
      <c r="I85" s="23"/>
      <c r="J85" s="23">
        <f t="shared" si="9"/>
        <v>202.11019999999999</v>
      </c>
      <c r="K85" s="26"/>
      <c r="L85" s="24"/>
      <c r="M85" s="26">
        <f t="shared" si="10"/>
        <v>28214.136600000002</v>
      </c>
    </row>
    <row r="86" spans="1:13" x14ac:dyDescent="0.25">
      <c r="A86" s="91" t="s">
        <v>146</v>
      </c>
      <c r="B86" s="91">
        <v>8</v>
      </c>
      <c r="C86" s="92" t="s">
        <v>88</v>
      </c>
      <c r="D86" s="92"/>
      <c r="E86" s="25">
        <v>5.3E-3</v>
      </c>
      <c r="F86" s="23">
        <f t="shared" si="11"/>
        <v>15900</v>
      </c>
      <c r="G86" s="23"/>
      <c r="H86" s="23">
        <f t="shared" si="8"/>
        <v>12112.026400000001</v>
      </c>
      <c r="I86" s="23"/>
      <c r="J86" s="23">
        <f t="shared" si="9"/>
        <v>202.11019999999999</v>
      </c>
      <c r="K86" s="26"/>
      <c r="L86" s="24"/>
      <c r="M86" s="26">
        <f t="shared" si="10"/>
        <v>28214.136600000002</v>
      </c>
    </row>
    <row r="87" spans="1:13" x14ac:dyDescent="0.25">
      <c r="A87" s="91" t="s">
        <v>147</v>
      </c>
      <c r="B87" s="91">
        <v>9</v>
      </c>
      <c r="C87" s="92" t="s">
        <v>88</v>
      </c>
      <c r="D87" s="92"/>
      <c r="E87" s="25">
        <v>5.3E-3</v>
      </c>
      <c r="F87" s="23">
        <f t="shared" si="11"/>
        <v>15900</v>
      </c>
      <c r="G87" s="23"/>
      <c r="H87" s="23">
        <f t="shared" si="8"/>
        <v>12112.026400000001</v>
      </c>
      <c r="I87" s="23"/>
      <c r="J87" s="23">
        <f t="shared" si="9"/>
        <v>202.11019999999999</v>
      </c>
      <c r="K87" s="26"/>
      <c r="L87" s="24"/>
      <c r="M87" s="26">
        <f t="shared" si="10"/>
        <v>28214.136600000002</v>
      </c>
    </row>
    <row r="88" spans="1:13" x14ac:dyDescent="0.25">
      <c r="A88" s="91" t="s">
        <v>148</v>
      </c>
      <c r="B88" s="91">
        <v>10</v>
      </c>
      <c r="C88" s="92" t="s">
        <v>88</v>
      </c>
      <c r="D88" s="92"/>
      <c r="E88" s="25">
        <v>5.3E-3</v>
      </c>
      <c r="F88" s="23">
        <f t="shared" si="11"/>
        <v>15900</v>
      </c>
      <c r="G88" s="23"/>
      <c r="H88" s="23">
        <f t="shared" si="8"/>
        <v>12112.026400000001</v>
      </c>
      <c r="I88" s="23"/>
      <c r="J88" s="23">
        <f t="shared" si="9"/>
        <v>202.11019999999999</v>
      </c>
      <c r="K88" s="26">
        <v>84738</v>
      </c>
      <c r="L88" s="24">
        <f>K88*4%</f>
        <v>3389.52</v>
      </c>
      <c r="M88" s="26">
        <f t="shared" si="10"/>
        <v>116341.6566</v>
      </c>
    </row>
    <row r="89" spans="1:13" x14ac:dyDescent="0.25">
      <c r="A89" s="91" t="s">
        <v>149</v>
      </c>
      <c r="B89" s="91">
        <v>11</v>
      </c>
      <c r="C89" s="92" t="s">
        <v>88</v>
      </c>
      <c r="D89" s="92"/>
      <c r="E89" s="25">
        <v>5.3E-3</v>
      </c>
      <c r="F89" s="23">
        <f t="shared" si="11"/>
        <v>15900</v>
      </c>
      <c r="G89" s="23"/>
      <c r="H89" s="23">
        <f t="shared" si="8"/>
        <v>12112.026400000001</v>
      </c>
      <c r="I89" s="23"/>
      <c r="J89" s="23">
        <f t="shared" si="9"/>
        <v>202.11019999999999</v>
      </c>
      <c r="K89" s="26">
        <v>47834</v>
      </c>
      <c r="L89" s="24">
        <f>K89*4%</f>
        <v>1913.3600000000001</v>
      </c>
      <c r="M89" s="26">
        <f t="shared" si="10"/>
        <v>77961.496599999999</v>
      </c>
    </row>
    <row r="90" spans="1:13" x14ac:dyDescent="0.25">
      <c r="A90" s="91" t="s">
        <v>150</v>
      </c>
      <c r="B90" s="91">
        <v>12</v>
      </c>
      <c r="C90" s="92" t="s">
        <v>52</v>
      </c>
      <c r="D90" s="92"/>
      <c r="E90" s="25">
        <v>5.3E-3</v>
      </c>
      <c r="F90" s="23">
        <f t="shared" si="11"/>
        <v>15900</v>
      </c>
      <c r="G90" s="23"/>
      <c r="H90" s="23">
        <f t="shared" si="8"/>
        <v>12112.026400000001</v>
      </c>
      <c r="I90" s="23"/>
      <c r="J90" s="23">
        <f t="shared" si="9"/>
        <v>202.11019999999999</v>
      </c>
      <c r="K90" s="26"/>
      <c r="L90" s="24"/>
      <c r="M90" s="26">
        <f t="shared" si="10"/>
        <v>28214.136600000002</v>
      </c>
    </row>
    <row r="91" spans="1:13" x14ac:dyDescent="0.25">
      <c r="A91" s="91" t="s">
        <v>151</v>
      </c>
      <c r="B91" s="91">
        <v>13</v>
      </c>
      <c r="C91" s="92" t="s">
        <v>69</v>
      </c>
      <c r="D91" s="92"/>
      <c r="E91" s="25">
        <v>5.3E-3</v>
      </c>
      <c r="F91" s="23">
        <f t="shared" si="11"/>
        <v>15900</v>
      </c>
      <c r="G91" s="23"/>
      <c r="H91" s="23">
        <f t="shared" si="8"/>
        <v>12112.026400000001</v>
      </c>
      <c r="I91" s="23"/>
      <c r="J91" s="23">
        <f t="shared" si="9"/>
        <v>202.11019999999999</v>
      </c>
      <c r="K91" s="26"/>
      <c r="L91" s="24"/>
      <c r="M91" s="26">
        <f t="shared" si="10"/>
        <v>28214.136600000002</v>
      </c>
    </row>
    <row r="92" spans="1:13" x14ac:dyDescent="0.25">
      <c r="A92" s="91" t="s">
        <v>152</v>
      </c>
      <c r="B92" s="91">
        <v>14</v>
      </c>
      <c r="C92" s="92" t="s">
        <v>59</v>
      </c>
      <c r="D92" s="92"/>
      <c r="E92" s="25">
        <v>5.3E-3</v>
      </c>
      <c r="F92" s="23">
        <f t="shared" si="11"/>
        <v>15900</v>
      </c>
      <c r="G92" s="23"/>
      <c r="H92" s="23">
        <f t="shared" si="8"/>
        <v>12112.026400000001</v>
      </c>
      <c r="I92" s="23"/>
      <c r="J92" s="23">
        <f t="shared" si="9"/>
        <v>202.11019999999999</v>
      </c>
      <c r="K92" s="26">
        <v>18757</v>
      </c>
      <c r="L92" s="24">
        <f>K92*4%</f>
        <v>750.28</v>
      </c>
      <c r="M92" s="26">
        <f>SUM(F92:L92)</f>
        <v>47721.416599999997</v>
      </c>
    </row>
    <row r="93" spans="1:13" x14ac:dyDescent="0.25">
      <c r="A93" s="91" t="s">
        <v>153</v>
      </c>
      <c r="B93" s="91">
        <v>15</v>
      </c>
      <c r="C93" s="92" t="s">
        <v>47</v>
      </c>
      <c r="D93" s="92"/>
      <c r="E93" s="25">
        <v>5.3E-3</v>
      </c>
      <c r="F93" s="23">
        <f t="shared" si="11"/>
        <v>15900</v>
      </c>
      <c r="G93" s="23"/>
      <c r="H93" s="23">
        <f t="shared" si="8"/>
        <v>12112.026400000001</v>
      </c>
      <c r="I93" s="23"/>
      <c r="J93" s="23">
        <f t="shared" si="9"/>
        <v>202.11019999999999</v>
      </c>
      <c r="K93" s="26"/>
      <c r="L93" s="24"/>
      <c r="M93" s="26">
        <f>SUM(F93:L93)</f>
        <v>28214.136600000002</v>
      </c>
    </row>
    <row r="94" spans="1:13" x14ac:dyDescent="0.25">
      <c r="A94" s="91" t="s">
        <v>154</v>
      </c>
      <c r="B94" s="91">
        <v>16</v>
      </c>
      <c r="C94" s="92" t="s">
        <v>67</v>
      </c>
      <c r="D94" s="92"/>
      <c r="E94" s="25">
        <v>6.1999999999999998E-3</v>
      </c>
      <c r="F94" s="23">
        <f t="shared" si="11"/>
        <v>18600</v>
      </c>
      <c r="G94" s="23"/>
      <c r="H94" s="23">
        <f t="shared" si="8"/>
        <v>14168.785599999999</v>
      </c>
      <c r="I94" s="23"/>
      <c r="J94" s="23">
        <f t="shared" si="9"/>
        <v>236.4308</v>
      </c>
      <c r="K94" s="26">
        <v>21942</v>
      </c>
      <c r="L94" s="24">
        <f>K94*4%</f>
        <v>877.68000000000006</v>
      </c>
      <c r="M94" s="26">
        <f>SUM(F94:L94)</f>
        <v>55824.896400000005</v>
      </c>
    </row>
    <row r="95" spans="1:13" x14ac:dyDescent="0.25">
      <c r="A95" s="103" t="s">
        <v>155</v>
      </c>
      <c r="B95" s="103"/>
      <c r="C95" s="103"/>
      <c r="D95" s="97"/>
      <c r="E95" s="30">
        <f t="shared" ref="E95:J95" si="14">SUM(E9:E94)</f>
        <v>0.99999999999999956</v>
      </c>
      <c r="F95" s="31">
        <f t="shared" si="14"/>
        <v>3000000</v>
      </c>
      <c r="G95" s="31">
        <f t="shared" si="14"/>
        <v>0</v>
      </c>
      <c r="H95" s="31">
        <f t="shared" si="14"/>
        <v>2285287.9999999963</v>
      </c>
      <c r="I95" s="31">
        <f t="shared" si="14"/>
        <v>261689.00000000023</v>
      </c>
      <c r="J95" s="31">
        <f t="shared" si="14"/>
        <v>38134.000000000007</v>
      </c>
      <c r="K95" s="31">
        <f>SUM(K9:K94)</f>
        <v>3313956</v>
      </c>
      <c r="L95" s="31">
        <f t="shared" ref="L95:M95" si="15">SUM(L9:L94)</f>
        <v>133910.39999999999</v>
      </c>
      <c r="M95" s="31">
        <f t="shared" si="15"/>
        <v>9032977.400000006</v>
      </c>
    </row>
    <row r="96" spans="1:13" ht="15.75" x14ac:dyDescent="0.25">
      <c r="A96" s="32" t="s">
        <v>156</v>
      </c>
      <c r="B96" s="32"/>
      <c r="E96" s="33"/>
      <c r="F96" s="16"/>
      <c r="G96" s="16"/>
      <c r="H96" s="16"/>
      <c r="I96" s="16"/>
      <c r="J96" s="16"/>
      <c r="K96" s="16"/>
      <c r="L96" s="16"/>
      <c r="M96" s="16"/>
    </row>
    <row r="97" spans="1:12" ht="15.75" x14ac:dyDescent="0.25">
      <c r="A97" s="34" t="s">
        <v>157</v>
      </c>
      <c r="B97" s="34"/>
      <c r="K97" s="35"/>
      <c r="L97" s="36"/>
    </row>
    <row r="98" spans="1:12" ht="18.75" x14ac:dyDescent="0.3">
      <c r="A98" s="37" t="s">
        <v>158</v>
      </c>
    </row>
    <row r="99" spans="1:12" ht="18.75" x14ac:dyDescent="0.3">
      <c r="A99" s="37" t="s">
        <v>159</v>
      </c>
    </row>
    <row r="100" spans="1:12" ht="18.75" x14ac:dyDescent="0.3">
      <c r="A100" s="37" t="s">
        <v>160</v>
      </c>
    </row>
  </sheetData>
  <mergeCells count="19">
    <mergeCell ref="B7:B8"/>
    <mergeCell ref="O34:O35"/>
    <mergeCell ref="E2:K2"/>
    <mergeCell ref="E3:K3"/>
    <mergeCell ref="E4:L4"/>
    <mergeCell ref="C7:C8"/>
    <mergeCell ref="E7:E8"/>
    <mergeCell ref="F7:G7"/>
    <mergeCell ref="H7:J7"/>
    <mergeCell ref="O1:S4"/>
    <mergeCell ref="O6:S6"/>
    <mergeCell ref="O7:S7"/>
    <mergeCell ref="O8:S8"/>
    <mergeCell ref="A95:C95"/>
    <mergeCell ref="O45:S45"/>
    <mergeCell ref="C61:C62"/>
    <mergeCell ref="E61:E62"/>
    <mergeCell ref="F61:G61"/>
    <mergeCell ref="H61:J61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Lobillo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Sistemax</cp:lastModifiedBy>
  <cp:lastPrinted>2025-03-07T14:52:52Z</cp:lastPrinted>
  <dcterms:created xsi:type="dcterms:W3CDTF">2025-03-06T18:40:25Z</dcterms:created>
  <dcterms:modified xsi:type="dcterms:W3CDTF">2025-04-04T16:15:59Z</dcterms:modified>
</cp:coreProperties>
</file>