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D:\OneDrive\Desktop\RC CONSORCIO 2025\VERGARA\Agosto\"/>
    </mc:Choice>
  </mc:AlternateContent>
  <xr:revisionPtr revIDLastSave="0" documentId="13_ncr:1_{8E06FAA7-2937-4909-9D08-761D09A317D6}" xr6:coauthVersionLast="47" xr6:coauthVersionMax="47" xr10:uidLastSave="{00000000-0000-0000-0000-000000000000}"/>
  <bookViews>
    <workbookView xWindow="-120" yWindow="-120" windowWidth="20730" windowHeight="11160" tabRatio="850" activeTab="2" xr2:uid="{00000000-000D-0000-FFFF-FFFF00000000}"/>
  </bookViews>
  <sheets>
    <sheet name="RESUMEN" sheetId="1" r:id="rId1"/>
    <sheet name="PRORRATEO" sheetId="2" r:id="rId2"/>
    <sheet name="anotaciones " sheetId="4" r:id="rId3"/>
  </sheets>
  <definedNames>
    <definedName name="_xlnm.Print_Area" localSheetId="1">PRORRATEO!$A$1:$Q$103</definedName>
    <definedName name="_xlnm.Print_Area" localSheetId="0">RESUMEN!$A$1:$E$95</definedName>
  </definedNames>
  <calcPr calcId="181029"/>
</workbook>
</file>

<file path=xl/calcChain.xml><?xml version="1.0" encoding="utf-8"?>
<calcChain xmlns="http://schemas.openxmlformats.org/spreadsheetml/2006/main">
  <c r="H79" i="2" l="1"/>
  <c r="H48" i="2"/>
  <c r="G28" i="2"/>
  <c r="H28" i="2"/>
  <c r="H65" i="2"/>
  <c r="H88" i="2"/>
  <c r="H39" i="2"/>
  <c r="H9" i="2"/>
  <c r="H80" i="2"/>
  <c r="H19" i="2"/>
  <c r="I19" i="2" s="1"/>
  <c r="J19" i="2" s="1"/>
  <c r="B81" i="1"/>
  <c r="H10" i="2"/>
  <c r="H59" i="2"/>
  <c r="H27" i="2"/>
  <c r="H86" i="2"/>
  <c r="H49" i="2"/>
  <c r="H24" i="2"/>
  <c r="I24" i="2" s="1"/>
  <c r="J24" i="2" s="1"/>
  <c r="H7" i="2"/>
  <c r="I7" i="2" s="1"/>
  <c r="J7" i="2" s="1"/>
  <c r="H36" i="2"/>
  <c r="I9" i="2"/>
  <c r="J9" i="2" s="1"/>
  <c r="H26" i="2"/>
  <c r="H25" i="2"/>
  <c r="I25" i="2" s="1"/>
  <c r="J25" i="2" s="1"/>
  <c r="H53" i="2"/>
  <c r="I53" i="2" s="1"/>
  <c r="J53" i="2" s="1"/>
  <c r="H43" i="2"/>
  <c r="I43" i="2" s="1"/>
  <c r="J43" i="2" s="1"/>
  <c r="H30" i="2"/>
  <c r="I30" i="2" s="1"/>
  <c r="J30" i="2" s="1"/>
  <c r="H17" i="2"/>
  <c r="I17" i="2" s="1"/>
  <c r="J17" i="2" s="1"/>
  <c r="H42" i="2"/>
  <c r="I42" i="2" s="1"/>
  <c r="H31" i="2"/>
  <c r="H68" i="2"/>
  <c r="H5" i="2"/>
  <c r="I5" i="2" s="1"/>
  <c r="M5" i="2"/>
  <c r="N5" i="2"/>
  <c r="O5" i="2"/>
  <c r="R5" i="2"/>
  <c r="H6" i="2"/>
  <c r="I6" i="2" s="1"/>
  <c r="M6" i="2"/>
  <c r="N6" i="2"/>
  <c r="O6" i="2"/>
  <c r="R6" i="2"/>
  <c r="M7" i="2"/>
  <c r="N7" i="2"/>
  <c r="O7" i="2"/>
  <c r="R7" i="2"/>
  <c r="M8" i="2"/>
  <c r="N8" i="2"/>
  <c r="O8" i="2"/>
  <c r="R8" i="2"/>
  <c r="M9" i="2"/>
  <c r="N9" i="2"/>
  <c r="O9" i="2"/>
  <c r="R9" i="2"/>
  <c r="M10" i="2"/>
  <c r="N10" i="2"/>
  <c r="O10" i="2"/>
  <c r="R10" i="2"/>
  <c r="I11" i="2"/>
  <c r="J11" i="2" s="1"/>
  <c r="M11" i="2"/>
  <c r="N11" i="2"/>
  <c r="O11" i="2"/>
  <c r="R11" i="2"/>
  <c r="M12" i="2"/>
  <c r="N12" i="2"/>
  <c r="O12" i="2"/>
  <c r="R12" i="2"/>
  <c r="I13" i="2"/>
  <c r="J13" i="2" s="1"/>
  <c r="M13" i="2"/>
  <c r="N13" i="2"/>
  <c r="O13" i="2"/>
  <c r="R13" i="2"/>
  <c r="H14" i="2"/>
  <c r="I14" i="2" s="1"/>
  <c r="J14" i="2" s="1"/>
  <c r="M14" i="2"/>
  <c r="N14" i="2"/>
  <c r="O14" i="2"/>
  <c r="R14" i="2"/>
  <c r="H15" i="2"/>
  <c r="I15" i="2" s="1"/>
  <c r="J15" i="2" s="1"/>
  <c r="M15" i="2"/>
  <c r="N15" i="2"/>
  <c r="O15" i="2"/>
  <c r="R15" i="2"/>
  <c r="I16" i="2"/>
  <c r="J16" i="2" s="1"/>
  <c r="M16" i="2"/>
  <c r="N16" i="2"/>
  <c r="O16" i="2"/>
  <c r="R16" i="2"/>
  <c r="M17" i="2"/>
  <c r="N17" i="2"/>
  <c r="O17" i="2"/>
  <c r="R17" i="2"/>
  <c r="H18" i="2"/>
  <c r="I18" i="2" s="1"/>
  <c r="J18" i="2" s="1"/>
  <c r="M18" i="2"/>
  <c r="N18" i="2"/>
  <c r="O18" i="2"/>
  <c r="R18" i="2"/>
  <c r="M19" i="2"/>
  <c r="N19" i="2"/>
  <c r="O19" i="2"/>
  <c r="R19" i="2"/>
  <c r="M20" i="2"/>
  <c r="N20" i="2"/>
  <c r="O20" i="2"/>
  <c r="R20" i="2"/>
  <c r="H21" i="2"/>
  <c r="I21" i="2" s="1"/>
  <c r="M21" i="2"/>
  <c r="N21" i="2"/>
  <c r="O21" i="2"/>
  <c r="R21" i="2"/>
  <c r="I22" i="2"/>
  <c r="J22" i="2" s="1"/>
  <c r="M22" i="2"/>
  <c r="N22" i="2"/>
  <c r="O22" i="2"/>
  <c r="R22" i="2"/>
  <c r="I23" i="2"/>
  <c r="J23" i="2" s="1"/>
  <c r="M23" i="2"/>
  <c r="N23" i="2"/>
  <c r="O23" i="2"/>
  <c r="R23" i="2"/>
  <c r="M24" i="2"/>
  <c r="N24" i="2"/>
  <c r="O24" i="2"/>
  <c r="R24" i="2"/>
  <c r="M25" i="2"/>
  <c r="N25" i="2"/>
  <c r="O25" i="2"/>
  <c r="R25" i="2"/>
  <c r="I26" i="2"/>
  <c r="J26" i="2" s="1"/>
  <c r="M26" i="2"/>
  <c r="N26" i="2"/>
  <c r="O26" i="2"/>
  <c r="R26" i="2"/>
  <c r="I27" i="2"/>
  <c r="M27" i="2"/>
  <c r="N27" i="2"/>
  <c r="O27" i="2"/>
  <c r="R27" i="2"/>
  <c r="M28" i="2"/>
  <c r="N28" i="2"/>
  <c r="O28" i="2"/>
  <c r="R28" i="2"/>
  <c r="H29" i="2"/>
  <c r="I29" i="2" s="1"/>
  <c r="J29" i="2" s="1"/>
  <c r="M29" i="2"/>
  <c r="N29" i="2"/>
  <c r="O29" i="2"/>
  <c r="R29" i="2"/>
  <c r="M30" i="2"/>
  <c r="N30" i="2"/>
  <c r="O30" i="2"/>
  <c r="R30" i="2"/>
  <c r="I31" i="2"/>
  <c r="J31" i="2" s="1"/>
  <c r="M31" i="2"/>
  <c r="N31" i="2"/>
  <c r="O31" i="2"/>
  <c r="R31" i="2"/>
  <c r="H32" i="2"/>
  <c r="I32" i="2" s="1"/>
  <c r="J32" i="2" s="1"/>
  <c r="M32" i="2"/>
  <c r="N32" i="2"/>
  <c r="O32" i="2"/>
  <c r="R32" i="2"/>
  <c r="M33" i="2"/>
  <c r="N33" i="2"/>
  <c r="O33" i="2"/>
  <c r="R33" i="2"/>
  <c r="H34" i="2"/>
  <c r="I34" i="2" s="1"/>
  <c r="M34" i="2"/>
  <c r="N34" i="2"/>
  <c r="O34" i="2"/>
  <c r="R34" i="2"/>
  <c r="H35" i="2"/>
  <c r="I35" i="2" s="1"/>
  <c r="J35" i="2" s="1"/>
  <c r="M35" i="2"/>
  <c r="N35" i="2"/>
  <c r="O35" i="2"/>
  <c r="R35" i="2"/>
  <c r="M36" i="2"/>
  <c r="N36" i="2"/>
  <c r="O36" i="2"/>
  <c r="R36" i="2"/>
  <c r="H37" i="2"/>
  <c r="I37" i="2" s="1"/>
  <c r="J37" i="2" s="1"/>
  <c r="M37" i="2"/>
  <c r="N37" i="2"/>
  <c r="O37" i="2"/>
  <c r="R37" i="2"/>
  <c r="I38" i="2"/>
  <c r="M38" i="2"/>
  <c r="N38" i="2"/>
  <c r="O38" i="2"/>
  <c r="R38" i="2"/>
  <c r="I39" i="2"/>
  <c r="J39" i="2" s="1"/>
  <c r="M39" i="2"/>
  <c r="N39" i="2"/>
  <c r="O39" i="2"/>
  <c r="R39" i="2"/>
  <c r="I40" i="2"/>
  <c r="J40" i="2" s="1"/>
  <c r="M40" i="2"/>
  <c r="N40" i="2"/>
  <c r="O40" i="2"/>
  <c r="R40" i="2"/>
  <c r="I41" i="2"/>
  <c r="J41" i="2" s="1"/>
  <c r="M41" i="2"/>
  <c r="N41" i="2"/>
  <c r="O41" i="2"/>
  <c r="R41" i="2"/>
  <c r="M42" i="2"/>
  <c r="N42" i="2"/>
  <c r="O42" i="2"/>
  <c r="R42" i="2"/>
  <c r="M43" i="2"/>
  <c r="N43" i="2"/>
  <c r="O43" i="2"/>
  <c r="R43" i="2"/>
  <c r="I44" i="2"/>
  <c r="J44" i="2" s="1"/>
  <c r="M44" i="2"/>
  <c r="N44" i="2"/>
  <c r="O44" i="2"/>
  <c r="R44" i="2"/>
  <c r="I45" i="2"/>
  <c r="J45" i="2" s="1"/>
  <c r="M45" i="2"/>
  <c r="N45" i="2"/>
  <c r="O45" i="2"/>
  <c r="R45" i="2"/>
  <c r="I46" i="2"/>
  <c r="J46" i="2" s="1"/>
  <c r="M46" i="2"/>
  <c r="N46" i="2"/>
  <c r="O46" i="2"/>
  <c r="R46" i="2"/>
  <c r="I47" i="2"/>
  <c r="M47" i="2"/>
  <c r="N47" i="2"/>
  <c r="O47" i="2"/>
  <c r="R47" i="2"/>
  <c r="I48" i="2"/>
  <c r="J48" i="2" s="1"/>
  <c r="M48" i="2"/>
  <c r="N48" i="2"/>
  <c r="O48" i="2"/>
  <c r="R48" i="2"/>
  <c r="I49" i="2"/>
  <c r="M49" i="2"/>
  <c r="N49" i="2"/>
  <c r="O49" i="2"/>
  <c r="R49" i="2"/>
  <c r="I50" i="2"/>
  <c r="J50" i="2" s="1"/>
  <c r="M50" i="2"/>
  <c r="N50" i="2"/>
  <c r="O50" i="2"/>
  <c r="R50" i="2"/>
  <c r="I51" i="2"/>
  <c r="J51" i="2" s="1"/>
  <c r="M51" i="2"/>
  <c r="N51" i="2"/>
  <c r="O51" i="2"/>
  <c r="R51" i="2"/>
  <c r="I52" i="2"/>
  <c r="J52" i="2" s="1"/>
  <c r="M52" i="2"/>
  <c r="N52" i="2"/>
  <c r="O52" i="2"/>
  <c r="R52" i="2"/>
  <c r="M53" i="2"/>
  <c r="N53" i="2"/>
  <c r="O53" i="2"/>
  <c r="R53" i="2"/>
  <c r="H54" i="2"/>
  <c r="I54" i="2" s="1"/>
  <c r="M54" i="2"/>
  <c r="N54" i="2"/>
  <c r="O54" i="2"/>
  <c r="R54" i="2"/>
  <c r="I55" i="2"/>
  <c r="M55" i="2"/>
  <c r="N55" i="2"/>
  <c r="O55" i="2"/>
  <c r="R55" i="2"/>
  <c r="H56" i="2"/>
  <c r="I56" i="2" s="1"/>
  <c r="J56" i="2" s="1"/>
  <c r="M56" i="2"/>
  <c r="N56" i="2"/>
  <c r="O56" i="2"/>
  <c r="R56" i="2"/>
  <c r="D29" i="1"/>
  <c r="J38" i="2" l="1"/>
  <c r="J27" i="2"/>
  <c r="J55" i="2"/>
  <c r="J54" i="2"/>
  <c r="J42" i="2"/>
  <c r="J6" i="2"/>
  <c r="J49" i="2"/>
  <c r="J34" i="2"/>
  <c r="J21" i="2"/>
  <c r="J47" i="2"/>
  <c r="J5" i="2"/>
  <c r="D50" i="1" l="1"/>
  <c r="H81" i="2"/>
  <c r="I36" i="2" s="1"/>
  <c r="J36" i="2" s="1"/>
  <c r="H67" i="2"/>
  <c r="I10" i="2"/>
  <c r="H64" i="2"/>
  <c r="I28" i="2"/>
  <c r="H87" i="2"/>
  <c r="K6" i="2" l="1"/>
  <c r="K11" i="2"/>
  <c r="K14" i="2"/>
  <c r="K18" i="2"/>
  <c r="K21" i="2"/>
  <c r="K25" i="2"/>
  <c r="K28" i="2"/>
  <c r="K31" i="2"/>
  <c r="K34" i="2"/>
  <c r="K37" i="2"/>
  <c r="K38" i="2"/>
  <c r="K44" i="2"/>
  <c r="K48" i="2"/>
  <c r="K52" i="2"/>
  <c r="K56" i="2"/>
  <c r="K26" i="2"/>
  <c r="K39" i="2"/>
  <c r="K53" i="2"/>
  <c r="K5" i="2"/>
  <c r="K8" i="2"/>
  <c r="K10" i="2"/>
  <c r="K13" i="2"/>
  <c r="K17" i="2"/>
  <c r="K20" i="2"/>
  <c r="K24" i="2"/>
  <c r="K30" i="2"/>
  <c r="K33" i="2"/>
  <c r="K36" i="2"/>
  <c r="K41" i="2"/>
  <c r="K43" i="2"/>
  <c r="K47" i="2"/>
  <c r="K51" i="2"/>
  <c r="K55" i="2"/>
  <c r="K15" i="2"/>
  <c r="K19" i="2"/>
  <c r="K32" i="2"/>
  <c r="K35" i="2"/>
  <c r="K49" i="2"/>
  <c r="K12" i="2"/>
  <c r="K16" i="2"/>
  <c r="K23" i="2"/>
  <c r="K27" i="2"/>
  <c r="K40" i="2"/>
  <c r="K46" i="2"/>
  <c r="K50" i="2"/>
  <c r="K54" i="2"/>
  <c r="K7" i="2"/>
  <c r="K9" i="2"/>
  <c r="K22" i="2"/>
  <c r="K29" i="2"/>
  <c r="K42" i="2"/>
  <c r="K45" i="2"/>
  <c r="I33" i="2"/>
  <c r="J33" i="2" s="1"/>
  <c r="H33" i="2"/>
  <c r="H8" i="2"/>
  <c r="I8" i="2" s="1"/>
  <c r="J8" i="2" s="1"/>
  <c r="J10" i="2"/>
  <c r="J28" i="2"/>
  <c r="E40" i="1"/>
  <c r="E39" i="1"/>
  <c r="E38" i="1"/>
  <c r="I90" i="2" l="1"/>
  <c r="J90" i="2" s="1"/>
  <c r="H89" i="2"/>
  <c r="E89" i="2"/>
  <c r="E83" i="2"/>
  <c r="I80" i="2"/>
  <c r="J80" i="2" s="1"/>
  <c r="I12" i="2"/>
  <c r="J12" i="2" s="1"/>
  <c r="I66" i="2"/>
  <c r="J66" i="2" s="1"/>
  <c r="E40" i="2"/>
  <c r="D97" i="2"/>
  <c r="G92" i="2"/>
  <c r="F92" i="2"/>
  <c r="R90" i="2"/>
  <c r="O90" i="2"/>
  <c r="N90" i="2"/>
  <c r="M90" i="2"/>
  <c r="K90" i="2"/>
  <c r="R89" i="2"/>
  <c r="O89" i="2"/>
  <c r="N89" i="2"/>
  <c r="M89" i="2"/>
  <c r="K89" i="2"/>
  <c r="R88" i="2"/>
  <c r="O88" i="2"/>
  <c r="N88" i="2"/>
  <c r="M88" i="2"/>
  <c r="K88" i="2"/>
  <c r="I88" i="2"/>
  <c r="J88" i="2" s="1"/>
  <c r="R87" i="2"/>
  <c r="O87" i="2"/>
  <c r="N87" i="2"/>
  <c r="M87" i="2"/>
  <c r="K87" i="2"/>
  <c r="R86" i="2"/>
  <c r="O86" i="2"/>
  <c r="N86" i="2"/>
  <c r="M86" i="2"/>
  <c r="K86" i="2"/>
  <c r="I86" i="2"/>
  <c r="J86" i="2" s="1"/>
  <c r="R85" i="2"/>
  <c r="O85" i="2"/>
  <c r="N85" i="2"/>
  <c r="M85" i="2"/>
  <c r="K85" i="2"/>
  <c r="I85" i="2"/>
  <c r="J85" i="2" s="1"/>
  <c r="R84" i="2"/>
  <c r="O84" i="2"/>
  <c r="N84" i="2"/>
  <c r="M84" i="2"/>
  <c r="K84" i="2"/>
  <c r="I84" i="2"/>
  <c r="R83" i="2"/>
  <c r="O83" i="2"/>
  <c r="N83" i="2"/>
  <c r="M83" i="2"/>
  <c r="K83" i="2"/>
  <c r="I83" i="2"/>
  <c r="J83" i="2" s="1"/>
  <c r="R82" i="2"/>
  <c r="O82" i="2"/>
  <c r="N82" i="2"/>
  <c r="M82" i="2"/>
  <c r="K82" i="2"/>
  <c r="I82" i="2"/>
  <c r="J82" i="2" s="1"/>
  <c r="R81" i="2"/>
  <c r="O81" i="2"/>
  <c r="N81" i="2"/>
  <c r="M81" i="2"/>
  <c r="K81" i="2"/>
  <c r="I81" i="2"/>
  <c r="J81" i="2" s="1"/>
  <c r="R80" i="2"/>
  <c r="O80" i="2"/>
  <c r="N80" i="2"/>
  <c r="M80" i="2"/>
  <c r="K80" i="2"/>
  <c r="R79" i="2"/>
  <c r="O79" i="2"/>
  <c r="N79" i="2"/>
  <c r="M79" i="2"/>
  <c r="K79" i="2"/>
  <c r="I79" i="2"/>
  <c r="R78" i="2"/>
  <c r="O78" i="2"/>
  <c r="N78" i="2"/>
  <c r="M78" i="2"/>
  <c r="K78" i="2"/>
  <c r="R77" i="2"/>
  <c r="O77" i="2"/>
  <c r="N77" i="2"/>
  <c r="M77" i="2"/>
  <c r="K77" i="2"/>
  <c r="I77" i="2"/>
  <c r="J77" i="2" s="1"/>
  <c r="R76" i="2"/>
  <c r="O76" i="2"/>
  <c r="N76" i="2"/>
  <c r="M76" i="2"/>
  <c r="K76" i="2"/>
  <c r="R75" i="2"/>
  <c r="O75" i="2"/>
  <c r="N75" i="2"/>
  <c r="M75" i="2"/>
  <c r="K75" i="2"/>
  <c r="I75" i="2"/>
  <c r="J75" i="2" s="1"/>
  <c r="R74" i="2"/>
  <c r="O74" i="2"/>
  <c r="N74" i="2"/>
  <c r="M74" i="2"/>
  <c r="K74" i="2"/>
  <c r="I74" i="2"/>
  <c r="J74" i="2" s="1"/>
  <c r="R73" i="2"/>
  <c r="O73" i="2"/>
  <c r="N73" i="2"/>
  <c r="M73" i="2"/>
  <c r="K73" i="2"/>
  <c r="I73" i="2"/>
  <c r="J73" i="2" s="1"/>
  <c r="R72" i="2"/>
  <c r="O72" i="2"/>
  <c r="N72" i="2"/>
  <c r="M72" i="2"/>
  <c r="K72" i="2"/>
  <c r="R71" i="2"/>
  <c r="O71" i="2"/>
  <c r="N71" i="2"/>
  <c r="M71" i="2"/>
  <c r="K71" i="2"/>
  <c r="I71" i="2"/>
  <c r="R70" i="2"/>
  <c r="O70" i="2"/>
  <c r="N70" i="2"/>
  <c r="M70" i="2"/>
  <c r="K70" i="2"/>
  <c r="I70" i="2"/>
  <c r="J70" i="2" s="1"/>
  <c r="R69" i="2"/>
  <c r="O69" i="2"/>
  <c r="N69" i="2"/>
  <c r="M69" i="2"/>
  <c r="K69" i="2"/>
  <c r="I69" i="2"/>
  <c r="R68" i="2"/>
  <c r="O68" i="2"/>
  <c r="N68" i="2"/>
  <c r="M68" i="2"/>
  <c r="K68" i="2"/>
  <c r="I68" i="2"/>
  <c r="J68" i="2" s="1"/>
  <c r="R67" i="2"/>
  <c r="O67" i="2"/>
  <c r="N67" i="2"/>
  <c r="M67" i="2"/>
  <c r="K67" i="2"/>
  <c r="I67" i="2"/>
  <c r="R66" i="2"/>
  <c r="O66" i="2"/>
  <c r="N66" i="2"/>
  <c r="M66" i="2"/>
  <c r="K66" i="2"/>
  <c r="R65" i="2"/>
  <c r="O65" i="2"/>
  <c r="N65" i="2"/>
  <c r="M65" i="2"/>
  <c r="K65" i="2"/>
  <c r="I65" i="2"/>
  <c r="J65" i="2" s="1"/>
  <c r="R64" i="2"/>
  <c r="O64" i="2"/>
  <c r="N64" i="2"/>
  <c r="M64" i="2"/>
  <c r="K64" i="2"/>
  <c r="I64" i="2"/>
  <c r="R63" i="2"/>
  <c r="O63" i="2"/>
  <c r="N63" i="2"/>
  <c r="M63" i="2"/>
  <c r="K63" i="2"/>
  <c r="I63" i="2"/>
  <c r="J63" i="2" s="1"/>
  <c r="R62" i="2"/>
  <c r="O62" i="2"/>
  <c r="N62" i="2"/>
  <c r="M62" i="2"/>
  <c r="K62" i="2"/>
  <c r="I62" i="2"/>
  <c r="J62" i="2" s="1"/>
  <c r="R61" i="2"/>
  <c r="O61" i="2"/>
  <c r="N61" i="2"/>
  <c r="M61" i="2"/>
  <c r="K61" i="2"/>
  <c r="I61" i="2"/>
  <c r="J61" i="2" s="1"/>
  <c r="R60" i="2"/>
  <c r="O60" i="2"/>
  <c r="N60" i="2"/>
  <c r="M60" i="2"/>
  <c r="K60" i="2"/>
  <c r="I60" i="2"/>
  <c r="J60" i="2" s="1"/>
  <c r="R59" i="2"/>
  <c r="O59" i="2"/>
  <c r="N59" i="2"/>
  <c r="M59" i="2"/>
  <c r="K59" i="2"/>
  <c r="R58" i="2"/>
  <c r="O58" i="2"/>
  <c r="R57" i="2"/>
  <c r="O57" i="2"/>
  <c r="P4" i="2"/>
  <c r="K3" i="2"/>
  <c r="M1" i="2"/>
  <c r="B94" i="1"/>
  <c r="B80" i="1" s="1"/>
  <c r="B84" i="1"/>
  <c r="B83" i="1"/>
  <c r="E65" i="1"/>
  <c r="E70" i="1" s="1"/>
  <c r="B74" i="1" s="1"/>
  <c r="B85" i="1" s="1"/>
  <c r="E55" i="1"/>
  <c r="E51" i="1"/>
  <c r="E45" i="1"/>
  <c r="A38" i="1"/>
  <c r="A39" i="1" s="1"/>
  <c r="E34" i="1"/>
  <c r="E30" i="1"/>
  <c r="D25" i="1"/>
  <c r="E26" i="1" s="1"/>
  <c r="I20" i="2" l="1"/>
  <c r="J20" i="2" s="1"/>
  <c r="H20" i="2"/>
  <c r="L81" i="2"/>
  <c r="L7" i="2"/>
  <c r="P7" i="2" s="1"/>
  <c r="Q7" i="2" s="1"/>
  <c r="L9" i="2"/>
  <c r="P9" i="2" s="1"/>
  <c r="Q9" i="2" s="1"/>
  <c r="L15" i="2"/>
  <c r="P15" i="2" s="1"/>
  <c r="Q15" i="2" s="1"/>
  <c r="L19" i="2"/>
  <c r="P19" i="2" s="1"/>
  <c r="Q19" i="2" s="1"/>
  <c r="L22" i="2"/>
  <c r="P22" i="2" s="1"/>
  <c r="Q22" i="2" s="1"/>
  <c r="L26" i="2"/>
  <c r="P26" i="2" s="1"/>
  <c r="Q26" i="2" s="1"/>
  <c r="L29" i="2"/>
  <c r="P29" i="2" s="1"/>
  <c r="Q29" i="2" s="1"/>
  <c r="L32" i="2"/>
  <c r="P32" i="2" s="1"/>
  <c r="Q32" i="2" s="1"/>
  <c r="L35" i="2"/>
  <c r="P35" i="2" s="1"/>
  <c r="Q35" i="2" s="1"/>
  <c r="L39" i="2"/>
  <c r="P39" i="2" s="1"/>
  <c r="Q39" i="2" s="1"/>
  <c r="L42" i="2"/>
  <c r="P42" i="2" s="1"/>
  <c r="Q42" i="2" s="1"/>
  <c r="L45" i="2"/>
  <c r="P45" i="2" s="1"/>
  <c r="Q45" i="2" s="1"/>
  <c r="L49" i="2"/>
  <c r="P49" i="2" s="1"/>
  <c r="Q49" i="2" s="1"/>
  <c r="L53" i="2"/>
  <c r="P53" i="2" s="1"/>
  <c r="Q53" i="2" s="1"/>
  <c r="L55" i="2"/>
  <c r="P55" i="2" s="1"/>
  <c r="Q55" i="2" s="1"/>
  <c r="L12" i="2"/>
  <c r="P12" i="2" s="1"/>
  <c r="Q12" i="2" s="1"/>
  <c r="L16" i="2"/>
  <c r="P16" i="2" s="1"/>
  <c r="Q16" i="2" s="1"/>
  <c r="L6" i="2"/>
  <c r="P6" i="2" s="1"/>
  <c r="Q6" i="2" s="1"/>
  <c r="L11" i="2"/>
  <c r="P11" i="2" s="1"/>
  <c r="Q11" i="2" s="1"/>
  <c r="L14" i="2"/>
  <c r="P14" i="2" s="1"/>
  <c r="Q14" i="2" s="1"/>
  <c r="L18" i="2"/>
  <c r="P18" i="2" s="1"/>
  <c r="Q18" i="2" s="1"/>
  <c r="L21" i="2"/>
  <c r="P21" i="2" s="1"/>
  <c r="Q21" i="2" s="1"/>
  <c r="L25" i="2"/>
  <c r="P25" i="2" s="1"/>
  <c r="Q25" i="2" s="1"/>
  <c r="L28" i="2"/>
  <c r="P28" i="2" s="1"/>
  <c r="Q28" i="2" s="1"/>
  <c r="L31" i="2"/>
  <c r="P31" i="2" s="1"/>
  <c r="Q31" i="2" s="1"/>
  <c r="L34" i="2"/>
  <c r="P34" i="2" s="1"/>
  <c r="Q34" i="2" s="1"/>
  <c r="L37" i="2"/>
  <c r="P37" i="2" s="1"/>
  <c r="Q37" i="2" s="1"/>
  <c r="L38" i="2"/>
  <c r="P38" i="2" s="1"/>
  <c r="Q38" i="2" s="1"/>
  <c r="L44" i="2"/>
  <c r="P44" i="2" s="1"/>
  <c r="Q44" i="2" s="1"/>
  <c r="L48" i="2"/>
  <c r="P48" i="2" s="1"/>
  <c r="Q48" i="2" s="1"/>
  <c r="L52" i="2"/>
  <c r="P52" i="2" s="1"/>
  <c r="Q52" i="2" s="1"/>
  <c r="L56" i="2"/>
  <c r="P56" i="2" s="1"/>
  <c r="Q56" i="2" s="1"/>
  <c r="L23" i="2"/>
  <c r="P23" i="2" s="1"/>
  <c r="Q23" i="2" s="1"/>
  <c r="L50" i="2"/>
  <c r="P50" i="2" s="1"/>
  <c r="Q50" i="2" s="1"/>
  <c r="L54" i="2"/>
  <c r="P54" i="2" s="1"/>
  <c r="Q54" i="2" s="1"/>
  <c r="L5" i="2"/>
  <c r="P5" i="2" s="1"/>
  <c r="Q5" i="2" s="1"/>
  <c r="L8" i="2"/>
  <c r="P8" i="2" s="1"/>
  <c r="Q8" i="2" s="1"/>
  <c r="L10" i="2"/>
  <c r="P10" i="2" s="1"/>
  <c r="Q10" i="2" s="1"/>
  <c r="L13" i="2"/>
  <c r="P13" i="2" s="1"/>
  <c r="Q13" i="2" s="1"/>
  <c r="L17" i="2"/>
  <c r="P17" i="2" s="1"/>
  <c r="Q17" i="2" s="1"/>
  <c r="L20" i="2"/>
  <c r="L24" i="2"/>
  <c r="P24" i="2" s="1"/>
  <c r="Q24" i="2" s="1"/>
  <c r="L30" i="2"/>
  <c r="P30" i="2" s="1"/>
  <c r="Q30" i="2" s="1"/>
  <c r="L33" i="2"/>
  <c r="P33" i="2" s="1"/>
  <c r="Q33" i="2" s="1"/>
  <c r="L36" i="2"/>
  <c r="P36" i="2" s="1"/>
  <c r="Q36" i="2" s="1"/>
  <c r="L41" i="2"/>
  <c r="P41" i="2" s="1"/>
  <c r="Q41" i="2" s="1"/>
  <c r="L43" i="2"/>
  <c r="P43" i="2" s="1"/>
  <c r="Q43" i="2" s="1"/>
  <c r="L47" i="2"/>
  <c r="P47" i="2" s="1"/>
  <c r="Q47" i="2" s="1"/>
  <c r="L51" i="2"/>
  <c r="P51" i="2" s="1"/>
  <c r="Q51" i="2" s="1"/>
  <c r="L27" i="2"/>
  <c r="P27" i="2" s="1"/>
  <c r="Q27" i="2" s="1"/>
  <c r="L40" i="2"/>
  <c r="P40" i="2" s="1"/>
  <c r="Q40" i="2" s="1"/>
  <c r="L46" i="2"/>
  <c r="P46" i="2" s="1"/>
  <c r="Q46" i="2" s="1"/>
  <c r="I89" i="2"/>
  <c r="J89" i="2" s="1"/>
  <c r="I78" i="2"/>
  <c r="J78" i="2" s="1"/>
  <c r="I72" i="2"/>
  <c r="J72" i="2" s="1"/>
  <c r="I59" i="2"/>
  <c r="J59" i="2" s="1"/>
  <c r="I76" i="2"/>
  <c r="J76" i="2" s="1"/>
  <c r="P76" i="2" s="1"/>
  <c r="Q76" i="2" s="1"/>
  <c r="O92" i="2"/>
  <c r="I87" i="2"/>
  <c r="J87" i="2" s="1"/>
  <c r="K92" i="2"/>
  <c r="M92" i="2"/>
  <c r="N92" i="2"/>
  <c r="E59" i="1"/>
  <c r="B73" i="1" s="1"/>
  <c r="B82" i="1" s="1"/>
  <c r="P81" i="2"/>
  <c r="Q81" i="2" s="1"/>
  <c r="L61" i="2"/>
  <c r="P61" i="2" s="1"/>
  <c r="Q61" i="2" s="1"/>
  <c r="L75" i="2"/>
  <c r="P75" i="2" s="1"/>
  <c r="Q75" i="2" s="1"/>
  <c r="L87" i="2"/>
  <c r="B75" i="1"/>
  <c r="L62" i="2"/>
  <c r="P62" i="2" s="1"/>
  <c r="Q62" i="2" s="1"/>
  <c r="L65" i="2"/>
  <c r="P65" i="2" s="1"/>
  <c r="Q65" i="2" s="1"/>
  <c r="J69" i="2"/>
  <c r="L72" i="2"/>
  <c r="L77" i="2"/>
  <c r="P77" i="2" s="1"/>
  <c r="Q77" i="2" s="1"/>
  <c r="L80" i="2"/>
  <c r="P80" i="2" s="1"/>
  <c r="Q80" i="2" s="1"/>
  <c r="J84" i="2"/>
  <c r="L88" i="2"/>
  <c r="P88" i="2" s="1"/>
  <c r="Q88" i="2" s="1"/>
  <c r="L59" i="2"/>
  <c r="L73" i="2"/>
  <c r="P73" i="2" s="1"/>
  <c r="Q73" i="2" s="1"/>
  <c r="L84" i="2"/>
  <c r="L79" i="2"/>
  <c r="L76" i="2"/>
  <c r="L71" i="2"/>
  <c r="L69" i="2"/>
  <c r="L67" i="2"/>
  <c r="L64" i="2"/>
  <c r="L90" i="2"/>
  <c r="P90" i="2" s="1"/>
  <c r="Q90" i="2" s="1"/>
  <c r="L86" i="2"/>
  <c r="P86" i="2" s="1"/>
  <c r="Q86" i="2" s="1"/>
  <c r="L83" i="2"/>
  <c r="P83" i="2" s="1"/>
  <c r="Q83" i="2" s="1"/>
  <c r="L78" i="2"/>
  <c r="L70" i="2"/>
  <c r="P70" i="2" s="1"/>
  <c r="Q70" i="2" s="1"/>
  <c r="L68" i="2"/>
  <c r="P68" i="2" s="1"/>
  <c r="Q68" i="2" s="1"/>
  <c r="L66" i="2"/>
  <c r="P66" i="2" s="1"/>
  <c r="Q66" i="2" s="1"/>
  <c r="L63" i="2"/>
  <c r="P63" i="2" s="1"/>
  <c r="Q63" i="2" s="1"/>
  <c r="L57" i="2"/>
  <c r="P57" i="2" s="1"/>
  <c r="L58" i="2"/>
  <c r="P58" i="2" s="1"/>
  <c r="L60" i="2"/>
  <c r="P60" i="2" s="1"/>
  <c r="Q60" i="2" s="1"/>
  <c r="J64" i="2"/>
  <c r="P64" i="2" s="1"/>
  <c r="Q64" i="2" s="1"/>
  <c r="J67" i="2"/>
  <c r="J71" i="2"/>
  <c r="L74" i="2"/>
  <c r="P74" i="2" s="1"/>
  <c r="Q74" i="2" s="1"/>
  <c r="J79" i="2"/>
  <c r="L82" i="2"/>
  <c r="P82" i="2" s="1"/>
  <c r="Q82" i="2" s="1"/>
  <c r="L85" i="2"/>
  <c r="P85" i="2" s="1"/>
  <c r="Q85" i="2" s="1"/>
  <c r="L89" i="2"/>
  <c r="P79" i="2" l="1"/>
  <c r="Q79" i="2" s="1"/>
  <c r="P67" i="2"/>
  <c r="Q67" i="2" s="1"/>
  <c r="P89" i="2"/>
  <c r="Q89" i="2" s="1"/>
  <c r="P72" i="2"/>
  <c r="Q72" i="2" s="1"/>
  <c r="P78" i="2"/>
  <c r="Q78" i="2" s="1"/>
  <c r="P71" i="2"/>
  <c r="Q71" i="2" s="1"/>
  <c r="P20" i="2"/>
  <c r="Q20" i="2" s="1"/>
  <c r="H92" i="2"/>
  <c r="B79" i="1" s="1"/>
  <c r="B86" i="1" s="1"/>
  <c r="P59" i="2"/>
  <c r="Q59" i="2" s="1"/>
  <c r="I92" i="2"/>
  <c r="P87" i="2"/>
  <c r="Q87" i="2" s="1"/>
  <c r="P84" i="2"/>
  <c r="Q84" i="2" s="1"/>
  <c r="P69" i="2"/>
  <c r="Q69" i="2" s="1"/>
  <c r="B72" i="1"/>
  <c r="L92" i="2"/>
  <c r="J92" i="2"/>
  <c r="Q92" i="2" l="1"/>
  <c r="P92" i="2"/>
</calcChain>
</file>

<file path=xl/sharedStrings.xml><?xml version="1.0" encoding="utf-8"?>
<sst xmlns="http://schemas.openxmlformats.org/spreadsheetml/2006/main" count="326" uniqueCount="278">
  <si>
    <t>MAIL: consorciovergara1670@gmail.com</t>
  </si>
  <si>
    <t>CUIT ADMINISTRACION: 27231256879</t>
  </si>
  <si>
    <t>CBU: 2990024602400258030006</t>
  </si>
  <si>
    <t>TELEFONO: 11 5320-2676</t>
  </si>
  <si>
    <t>LIQUIDACION DE EXPENSAS</t>
  </si>
  <si>
    <t>ALIAS: VERGARA.1670</t>
  </si>
  <si>
    <t xml:space="preserve">CUIT DEL EDIFICIO: 30-71802922-4 </t>
  </si>
  <si>
    <t>CONSORCIO DE PROPIETARIOS DEL EDIFICIO CALLE  VERGARA 1670</t>
  </si>
  <si>
    <t>HORARIOS DE ATENCION: LUNES A VIERNES</t>
  </si>
  <si>
    <t>GASTOS ORDINARIOS UNIDADES FUNCIONALES:</t>
  </si>
  <si>
    <t>HABERES ENCARGADOS</t>
  </si>
  <si>
    <t>Remunerativos encargado Gonzalo Guenaga</t>
  </si>
  <si>
    <t>Deducciones</t>
  </si>
  <si>
    <t>Redondeo</t>
  </si>
  <si>
    <t>Neto</t>
  </si>
  <si>
    <t>TOTAL SUELDO</t>
  </si>
  <si>
    <t>HONORARIOS</t>
  </si>
  <si>
    <t xml:space="preserve">TOTAL </t>
  </si>
  <si>
    <t xml:space="preserve">SEGUROS </t>
  </si>
  <si>
    <t>Seguro integral consorcio. Póliza 2161474</t>
  </si>
  <si>
    <t>Seguro de accidentes personales</t>
  </si>
  <si>
    <t>TOTAL IMPUESTO</t>
  </si>
  <si>
    <t>APORTES Y CONTRIBUCIONES</t>
  </si>
  <si>
    <t xml:space="preserve">ARCA </t>
  </si>
  <si>
    <t>Fatheryh</t>
  </si>
  <si>
    <t>Suther</t>
  </si>
  <si>
    <t>Seracarh</t>
  </si>
  <si>
    <t>TOTAL Aportes y Contribuciones - Sindicato</t>
  </si>
  <si>
    <t>ABONOS Y SERVICIOS</t>
  </si>
  <si>
    <t>AYSA - Nro de cliente. 318350</t>
  </si>
  <si>
    <t xml:space="preserve">Servicio de mantenimiento de ascensores </t>
  </si>
  <si>
    <t>Cablevision -  servicio</t>
  </si>
  <si>
    <t>TOTAL ABONOS Y SERVICIOS</t>
  </si>
  <si>
    <t>GASTOS GENERALES / MANTENIMIENTO</t>
  </si>
  <si>
    <t>TOTAL</t>
  </si>
  <si>
    <t>GASTOS BANCARIOS</t>
  </si>
  <si>
    <t>Gastos banacarios</t>
  </si>
  <si>
    <t>Mantenimiento de cuenta</t>
  </si>
  <si>
    <t xml:space="preserve">PREVISION ORDINARIA </t>
  </si>
  <si>
    <t xml:space="preserve">TOTAL ORDINARIOS </t>
  </si>
  <si>
    <t>GASTOS EXTRAORDINARIOS:</t>
  </si>
  <si>
    <t>PREVISION EXTRAORDINARIA</t>
  </si>
  <si>
    <t xml:space="preserve">TOTAL EXTRAORDINARIOS </t>
  </si>
  <si>
    <t>GASTOS ORDINARIOS + PREVISION :</t>
  </si>
  <si>
    <t>GASTOS ORDINARIOS SIN PREVISION:</t>
  </si>
  <si>
    <t>GASTOS EXTRAORDINARIOS SIN PREVISION:</t>
  </si>
  <si>
    <t>GASTOS EXTRAORDINARIOS CON PREVISION:</t>
  </si>
  <si>
    <t>RESUMEN</t>
  </si>
  <si>
    <t>Saldo anterior</t>
  </si>
  <si>
    <t xml:space="preserve">Ingreso </t>
  </si>
  <si>
    <t xml:space="preserve">Deposito sin identificar </t>
  </si>
  <si>
    <t>Punitorios mal cobrados</t>
  </si>
  <si>
    <t>Egresos Ordinarios</t>
  </si>
  <si>
    <t>Edesur - cliente nro. 01469567</t>
  </si>
  <si>
    <t>Metrogas - Cliente nro. 30015090344</t>
  </si>
  <si>
    <t>Egresos Extraordinarios</t>
  </si>
  <si>
    <t>DEPOSITOS NO IDENTIFICADOS</t>
  </si>
  <si>
    <t>EDESUR:</t>
  </si>
  <si>
    <t>Gastos Ordinarios:</t>
  </si>
  <si>
    <t>METROGAS:</t>
  </si>
  <si>
    <t>Extras:</t>
  </si>
  <si>
    <t>Plan de pago metrogas:</t>
  </si>
  <si>
    <t>Dpto.</t>
  </si>
  <si>
    <t>UF</t>
  </si>
  <si>
    <t>Propietario</t>
  </si>
  <si>
    <t>Inquilinos</t>
  </si>
  <si>
    <t xml:space="preserve"> (%)</t>
  </si>
  <si>
    <t xml:space="preserve">Saldo Ord </t>
  </si>
  <si>
    <t>Deuda o Saldo a favor</t>
  </si>
  <si>
    <t>Interes 3%</t>
  </si>
  <si>
    <t>Expensas ord.</t>
  </si>
  <si>
    <t>EDESUR</t>
  </si>
  <si>
    <t>METROGAS</t>
  </si>
  <si>
    <t>Expensas extraord</t>
  </si>
  <si>
    <t>Total 1er Vto</t>
  </si>
  <si>
    <t>Total 2do Vto</t>
  </si>
  <si>
    <t>1°A</t>
  </si>
  <si>
    <t>Alejandro Raul Cuezzo</t>
  </si>
  <si>
    <t>1°B</t>
  </si>
  <si>
    <t>Daniel Julian Guzzo</t>
  </si>
  <si>
    <t>1°C</t>
  </si>
  <si>
    <t>Pablo Plebs</t>
  </si>
  <si>
    <t>1°D</t>
  </si>
  <si>
    <t>Adrian Alejandro Pozo</t>
  </si>
  <si>
    <t>2°A</t>
  </si>
  <si>
    <t>Guillen Maria / Alejandro DI LEO</t>
  </si>
  <si>
    <t>Claudia / Laura Avido</t>
  </si>
  <si>
    <t>2°B</t>
  </si>
  <si>
    <t>Jose Luis Gurtubay</t>
  </si>
  <si>
    <t>Santiago Flores</t>
  </si>
  <si>
    <t>2°C</t>
  </si>
  <si>
    <t>Magali Carrivale</t>
  </si>
  <si>
    <t>2°D</t>
  </si>
  <si>
    <t>Juan Carlos Alonso</t>
  </si>
  <si>
    <t>3°A</t>
  </si>
  <si>
    <t>Lucas Oscar Ramil</t>
  </si>
  <si>
    <t>Camila Benitez Nahiara</t>
  </si>
  <si>
    <t>3°B</t>
  </si>
  <si>
    <t>Raul Boffi</t>
  </si>
  <si>
    <t>Gian y Micaela Parra</t>
  </si>
  <si>
    <t>3°C</t>
  </si>
  <si>
    <t>Lujan / Natalia Capece</t>
  </si>
  <si>
    <t>3°D</t>
  </si>
  <si>
    <t>Roxana Elena Maya</t>
  </si>
  <si>
    <t>Daniela Bernabe</t>
  </si>
  <si>
    <t>4°A</t>
  </si>
  <si>
    <t>Paula Murado</t>
  </si>
  <si>
    <t>4°B</t>
  </si>
  <si>
    <t>Maria Florencia Boffi</t>
  </si>
  <si>
    <t>4°C</t>
  </si>
  <si>
    <t>4°D</t>
  </si>
  <si>
    <t>Hernán Gastón Padilla</t>
  </si>
  <si>
    <t xml:space="preserve">Armando Ezequiel Garro </t>
  </si>
  <si>
    <t>5°A</t>
  </si>
  <si>
    <t>Barbara Fucito</t>
  </si>
  <si>
    <t>5°B</t>
  </si>
  <si>
    <t>5°C</t>
  </si>
  <si>
    <t xml:space="preserve">
Brenda Carrasco</t>
  </si>
  <si>
    <t>5°D</t>
  </si>
  <si>
    <t>Fernando Andres Canepa</t>
  </si>
  <si>
    <t>Matias / Carla Esteves</t>
  </si>
  <si>
    <t>6°A</t>
  </si>
  <si>
    <t>Andres Gabriel Devouassoux</t>
  </si>
  <si>
    <t>6°B</t>
  </si>
  <si>
    <t>Nicolas Iudice</t>
  </si>
  <si>
    <t>6°C</t>
  </si>
  <si>
    <t>Barbara Eugenia GARCIA FONTENLA</t>
  </si>
  <si>
    <t>Diego Coronel / Mirta Beatriz Castañeda</t>
  </si>
  <si>
    <t>6°D</t>
  </si>
  <si>
    <t>Javier Alejandro Panaccio</t>
  </si>
  <si>
    <t>Javier Enrique Zambrano</t>
  </si>
  <si>
    <t>7°A</t>
  </si>
  <si>
    <t>Mirta Isabel Asturino</t>
  </si>
  <si>
    <t>7°B</t>
  </si>
  <si>
    <t>Jorge Antonio Mendiola</t>
  </si>
  <si>
    <t>Carlos Mehinger Lisa</t>
  </si>
  <si>
    <t>7°C</t>
  </si>
  <si>
    <t>Nelson Ariel FRAGA</t>
  </si>
  <si>
    <t>7°D</t>
  </si>
  <si>
    <t>Domingo Alifraco</t>
  </si>
  <si>
    <t>8°A</t>
  </si>
  <si>
    <t>Juan Pablo Charpin</t>
  </si>
  <si>
    <t>8°B</t>
  </si>
  <si>
    <t>Adriana Del Bagno</t>
  </si>
  <si>
    <t>Fanta / Alejandro Gabriel Lopez</t>
  </si>
  <si>
    <t>8°C</t>
  </si>
  <si>
    <t>Claudio Moroni</t>
  </si>
  <si>
    <t>Macarena Barraza</t>
  </si>
  <si>
    <t>8°D</t>
  </si>
  <si>
    <t>Karina Edith Mastandrea</t>
  </si>
  <si>
    <t>Ayelen Agustina</t>
  </si>
  <si>
    <t>9°A</t>
  </si>
  <si>
    <t>Fernando Fernandez</t>
  </si>
  <si>
    <t xml:space="preserve">Olivera Rodrigo </t>
  </si>
  <si>
    <t>9°B</t>
  </si>
  <si>
    <t>Gonzalo Cadiz</t>
  </si>
  <si>
    <t xml:space="preserve">Micaela Dib </t>
  </si>
  <si>
    <t>9°C</t>
  </si>
  <si>
    <t>Hernan Miñambres</t>
  </si>
  <si>
    <t>Laura Quintana</t>
  </si>
  <si>
    <t>9°D</t>
  </si>
  <si>
    <t>Matías Ezequiel Tobío </t>
  </si>
  <si>
    <t>10°A</t>
  </si>
  <si>
    <t>Ariel Marcelo FERNANDEZ</t>
  </si>
  <si>
    <t>Sol Gatti Maria</t>
  </si>
  <si>
    <t>10°B</t>
  </si>
  <si>
    <t xml:space="preserve">Antonela escobar </t>
  </si>
  <si>
    <t>10°C</t>
  </si>
  <si>
    <t>Antonio Carlos Caputo</t>
  </si>
  <si>
    <t>Benitez Gabriela</t>
  </si>
  <si>
    <t>10°D</t>
  </si>
  <si>
    <t>11°A</t>
  </si>
  <si>
    <t>Manuel Salvador FERNANDEZ</t>
  </si>
  <si>
    <t>Nadia Santillan Soledad</t>
  </si>
  <si>
    <t>11°B</t>
  </si>
  <si>
    <t>Jorge Antonio VILLONE</t>
  </si>
  <si>
    <t>Micaela Acevedo</t>
  </si>
  <si>
    <t>11°C</t>
  </si>
  <si>
    <t>Daniela Noemi Araujo</t>
  </si>
  <si>
    <t>Araceli Lohaysa</t>
  </si>
  <si>
    <t>11°D</t>
  </si>
  <si>
    <t>Gabriela Santiso/Claudio Touzon</t>
  </si>
  <si>
    <t>Ignacio Touzon</t>
  </si>
  <si>
    <t>12°A</t>
  </si>
  <si>
    <t>Ezequiel /Maria Delfina Saavedra</t>
  </si>
  <si>
    <t>12°B</t>
  </si>
  <si>
    <t>Mayne Romero</t>
  </si>
  <si>
    <t>12°C</t>
  </si>
  <si>
    <t>Pedro Eugenio Negri</t>
  </si>
  <si>
    <t>12°D</t>
  </si>
  <si>
    <t>Luis Alberto Guarch</t>
  </si>
  <si>
    <t xml:space="preserve">Biyik / Jefferson barreto 
</t>
  </si>
  <si>
    <t>13°A</t>
  </si>
  <si>
    <t>Soraya Mariel Varela</t>
  </si>
  <si>
    <t>Rosa Garnica</t>
  </si>
  <si>
    <t>13°B</t>
  </si>
  <si>
    <t xml:space="preserve">Camila Finocchiaro </t>
  </si>
  <si>
    <t>13°C</t>
  </si>
  <si>
    <t>Maria Gabriela Diaz</t>
  </si>
  <si>
    <t>Clobas Ezequiel / Lencina mariana mabel</t>
  </si>
  <si>
    <t>13°D</t>
  </si>
  <si>
    <t>Fabiana Besteiro</t>
  </si>
  <si>
    <t>P.B.1</t>
  </si>
  <si>
    <t>Barbara Bañon / Delia Martinez</t>
  </si>
  <si>
    <t>P.B.2</t>
  </si>
  <si>
    <t>Osvaldo Ricardo Colombo</t>
  </si>
  <si>
    <t>P.B.3</t>
  </si>
  <si>
    <t>Fernando Saavedra</t>
  </si>
  <si>
    <t>P.B.4</t>
  </si>
  <si>
    <t>P.B.5</t>
  </si>
  <si>
    <t>Ayelen Bárbara Kisch</t>
  </si>
  <si>
    <t>P.B.6</t>
  </si>
  <si>
    <t>P.B.7</t>
  </si>
  <si>
    <t>P.B.8</t>
  </si>
  <si>
    <t>P.B.9</t>
  </si>
  <si>
    <t>Laura Natalia Carrillo</t>
  </si>
  <si>
    <t>Emiliano Calderon Alberto</t>
  </si>
  <si>
    <t>P.B.10</t>
  </si>
  <si>
    <t>P.B.11</t>
  </si>
  <si>
    <t>García</t>
  </si>
  <si>
    <t>P.B.12</t>
  </si>
  <si>
    <t>P.B.13</t>
  </si>
  <si>
    <t>Dario Javier Flecha</t>
  </si>
  <si>
    <t>P.B.14</t>
  </si>
  <si>
    <t>P.B.15</t>
  </si>
  <si>
    <t>GALPON</t>
  </si>
  <si>
    <t>Club Atlético Banfield</t>
  </si>
  <si>
    <t>S.S.16</t>
  </si>
  <si>
    <t>S.S.17</t>
  </si>
  <si>
    <t>Jesica Romina Tobio</t>
  </si>
  <si>
    <t>S.S.18</t>
  </si>
  <si>
    <t>Diaz Laura Natalia</t>
  </si>
  <si>
    <t>S.S.19</t>
  </si>
  <si>
    <t>S.S.20</t>
  </si>
  <si>
    <t>S.S.21</t>
  </si>
  <si>
    <t>Alejandro DI LEO -</t>
  </si>
  <si>
    <t>HABIA PAGADO LOS 5300, SU DEUDA DEBE ESTAR EN 0</t>
  </si>
  <si>
    <t>S.S.22</t>
  </si>
  <si>
    <t>S.S.23</t>
  </si>
  <si>
    <t>S.S.24</t>
  </si>
  <si>
    <t>S.S.25</t>
  </si>
  <si>
    <t>S.S.26</t>
  </si>
  <si>
    <t>S.S.27</t>
  </si>
  <si>
    <t>S.S.28</t>
  </si>
  <si>
    <t>S.S.29</t>
  </si>
  <si>
    <t>Malbares Gaston Emiliano</t>
  </si>
  <si>
    <t>S.S.30</t>
  </si>
  <si>
    <t>S.S.31</t>
  </si>
  <si>
    <t xml:space="preserve">Articulos de limpieza </t>
  </si>
  <si>
    <t>Luz Maria Alberio</t>
  </si>
  <si>
    <t>Transf 09/06</t>
  </si>
  <si>
    <t>PMC 09/06</t>
  </si>
  <si>
    <t>ESTE ES ROBIN</t>
  </si>
  <si>
    <t xml:space="preserve">Maria Victoria </t>
  </si>
  <si>
    <t>ESTIMADOS PROPIETARIOS E INQUILINOS: POR FAVOR LOS QUE ABONAN EN PRIMER VENCIMIENTO ABONEN EL MONTO DE PRIMER VENCIMIENTO, ASI AGILIZAN LA LIQUIDACION, LES PEDIMOS ENCARECIDAMENTE QUE RESPETEN LOS CENTAVOS CORRESPONDIENTES A LA UNIDAD FUNCIONAL. ES DE CARÁCTER OBLIGATORIO INFORMAR VIA MAIL LAS EXPENSAS. IMPORTANTE PARA DUEÑOS O INQUILINOS DE DEPARTAMENTOS O COCHERAS: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</si>
  <si>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PERÍODO: JULIO - ADMINISTRADORA: CAROLINA CANCIANI MP:1148</t>
  </si>
  <si>
    <t>Marcela De Biase-  Sra. Contadora - Mes de JULIO</t>
  </si>
  <si>
    <t>Sindicatos mes de JULIO</t>
  </si>
  <si>
    <t>Honorarios administracion - Mes de JUNIO Y JULIO</t>
  </si>
  <si>
    <t>Transf 17/07</t>
  </si>
  <si>
    <t>Servisur - Reemplazo 1 plafon psio 9 - 1 plafon sala de medidores - 3 lamparas salade gas</t>
  </si>
  <si>
    <t>Transf 21/07</t>
  </si>
  <si>
    <t>Casa ruan - compra de materiales</t>
  </si>
  <si>
    <t>VTO 18/08</t>
  </si>
  <si>
    <t>Debito 03/07</t>
  </si>
  <si>
    <t>Debito 16/07</t>
  </si>
  <si>
    <t>Transf 28/07</t>
  </si>
  <si>
    <t>Transf 14/07</t>
  </si>
  <si>
    <t>Servisur - Mano de obra y materiales cambio de lamparas y plafones</t>
  </si>
  <si>
    <t>NOS QUEDO PENDIENTE PARA SEPTIEMBR3 UN GASTO DE 125MIL QUE NO SUPIMOS IDENTIFICA</t>
  </si>
  <si>
    <t>No se abono</t>
  </si>
  <si>
    <t>Matias Zeolla</t>
  </si>
  <si>
    <t xml:space="preserve">
Carolina Lopez</t>
  </si>
  <si>
    <t>QUIENES ESTAN MARCADO DE COLOR ROJO NO ESTAN RESPETANDO LOS CENTAVOS AL ABONAR</t>
  </si>
  <si>
    <t>EL MES PASADO PAGO BIEN EL 08/07  $145.692,44 Y LA PUSIMOS NO PAGA</t>
  </si>
  <si>
    <t>PAGO LO QUE QUISO:</t>
  </si>
  <si>
    <t>Departamento 4 D: $131653,48
Cochera N° 30:        $34542,15
Total abonado:        $166195,63.</t>
  </si>
  <si>
    <t>SE QUEJA POR MAIL DE DEUDA INEXISTENTE Y ADJUNTA COMPROBANTES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</si>
</sst>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quot;$&quot;\ #,##0.00;[Red]\-&quot;$&quot;\ #,##0.00"/>
    <numFmt numFmtId="165" formatCode="_-&quot;$&quot;\ * #,##0.00_-;\-&quot;$&quot;\ * #,##0.00_-;_-&quot;$&quot;\ * &quot;-&quot;??_-;_-@_-"/>
    <numFmt numFmtId="166" formatCode="_ &quot;$&quot;\ * #,##0.00_ ;_ &quot;$&quot;\ * \-#,##0.00_ ;_ &quot;$&quot;\ * &quot;-&quot;??_ ;_ @_ "/>
    <numFmt numFmtId="167" formatCode="_-&quot;$&quot;\ * #,##0_-;\-&quot;$&quot;\ * #,##0_-;_-&quot;$&quot;\ * &quot;-&quot;??_-;_-@_-"/>
    <numFmt numFmtId="168" formatCode="_-&quot;$&quot;\ * #,##0.0_-;\-&quot;$&quot;\ * #,##0.0_-;_-&quot;$&quot;\ * &quot;-&quot;??_-;_-@_-"/>
    <numFmt numFmtId="169" formatCode="_-&quot;$&quot;\ * #,##0.0_-;\-&quot;$&quot;\ * #,##0.0_-;_-&quot;$&quot;\ * &quot;-&quot;?_-;_-@_-"/>
    <numFmt numFmtId="170" formatCode="_-[$$-2C0A]\ * #,##0.00_-;\-[$$-2C0A]\ * #,##0.00_-;_-[$$-2C0A]\ * &quot;-&quot;??_-;_-@_-"/>
    <numFmt numFmtId="171" formatCode="0.0"/>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b/>
      <i/>
      <sz val="1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sz val="11"/>
      <color theme="4" tint="0.59999389629810485"/>
      <name val="Calibri"/>
      <family val="2"/>
      <scheme val="minor"/>
    </font>
    <font>
      <b/>
      <sz val="12"/>
      <color theme="1"/>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rgb="FFC00000"/>
        <bgColor indexed="64"/>
      </patternFill>
    </fill>
    <fill>
      <patternFill patternType="solid">
        <fgColor rgb="FF7030A0"/>
        <bgColor indexed="64"/>
      </patternFill>
    </fill>
    <fill>
      <patternFill patternType="solid">
        <fgColor theme="2" tint="-0.749992370372631"/>
        <bgColor indexed="64"/>
      </patternFill>
    </fill>
    <fill>
      <patternFill patternType="solid">
        <fgColor theme="9" tint="-0.249977111117893"/>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3">
    <xf numFmtId="0" fontId="0" fillId="0" borderId="0"/>
    <xf numFmtId="165" fontId="1" fillId="0" borderId="0"/>
    <xf numFmtId="166" fontId="1" fillId="0" borderId="0"/>
  </cellStyleXfs>
  <cellXfs count="235">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164" fontId="0" fillId="0" borderId="0" xfId="0" applyNumberFormat="1"/>
    <xf numFmtId="166" fontId="3" fillId="0" borderId="0" xfId="0" applyNumberFormat="1" applyFont="1"/>
    <xf numFmtId="0" fontId="5" fillId="0" borderId="1" xfId="0" applyFont="1" applyBorder="1"/>
    <xf numFmtId="4" fontId="0" fillId="0" borderId="0" xfId="0" applyNumberFormat="1"/>
    <xf numFmtId="4" fontId="5" fillId="0" borderId="0" xfId="0" applyNumberFormat="1" applyFont="1"/>
    <xf numFmtId="0" fontId="5" fillId="0" borderId="1" xfId="0" applyFont="1" applyBorder="1" applyAlignment="1">
      <alignment vertical="center" wrapText="1"/>
    </xf>
    <xf numFmtId="0" fontId="2" fillId="4" borderId="1" xfId="0" applyFont="1" applyFill="1" applyBorder="1"/>
    <xf numFmtId="0" fontId="0" fillId="4" borderId="1" xfId="0" applyFill="1" applyBorder="1"/>
    <xf numFmtId="164" fontId="6" fillId="4" borderId="6" xfId="0" applyNumberFormat="1" applyFont="1" applyFill="1" applyBorder="1"/>
    <xf numFmtId="0" fontId="2" fillId="8" borderId="1" xfId="0" applyFont="1" applyFill="1" applyBorder="1"/>
    <xf numFmtId="0" fontId="9" fillId="2" borderId="0" xfId="0" applyFont="1" applyFill="1"/>
    <xf numFmtId="0" fontId="10" fillId="4" borderId="1" xfId="0" applyFont="1" applyFill="1" applyBorder="1"/>
    <xf numFmtId="0" fontId="6" fillId="4" borderId="1" xfId="0" applyFont="1" applyFill="1" applyBorder="1"/>
    <xf numFmtId="0" fontId="11" fillId="4" borderId="1" xfId="0" applyFont="1" applyFill="1" applyBorder="1"/>
    <xf numFmtId="164" fontId="10" fillId="4" borderId="1" xfId="0" applyNumberFormat="1" applyFont="1" applyFill="1" applyBorder="1"/>
    <xf numFmtId="165" fontId="6" fillId="4" borderId="1" xfId="1" applyFont="1" applyFill="1" applyBorder="1"/>
    <xf numFmtId="165" fontId="0" fillId="0" borderId="1" xfId="1" applyFont="1" applyBorder="1"/>
    <xf numFmtId="165" fontId="6" fillId="4" borderId="6" xfId="1" applyFont="1" applyFill="1" applyBorder="1"/>
    <xf numFmtId="165" fontId="4" fillId="4" borderId="1" xfId="1" applyFont="1" applyFill="1" applyBorder="1"/>
    <xf numFmtId="165" fontId="4" fillId="4" borderId="6" xfId="1" applyFont="1" applyFill="1" applyBorder="1"/>
    <xf numFmtId="0" fontId="0" fillId="0" borderId="0" xfId="0" applyAlignment="1">
      <alignment wrapText="1"/>
    </xf>
    <xf numFmtId="0" fontId="5" fillId="0" borderId="1" xfId="0" applyFont="1" applyBorder="1" applyAlignment="1">
      <alignment vertical="top" wrapText="1"/>
    </xf>
    <xf numFmtId="165" fontId="3" fillId="2" borderId="1" xfId="1" applyFont="1" applyFill="1" applyBorder="1"/>
    <xf numFmtId="165" fontId="0" fillId="0" borderId="0" xfId="1" applyFont="1"/>
    <xf numFmtId="0" fontId="7" fillId="2" borderId="0" xfId="0" applyFont="1" applyFill="1"/>
    <xf numFmtId="165" fontId="0" fillId="0" borderId="0" xfId="0" applyNumberFormat="1"/>
    <xf numFmtId="0" fontId="8" fillId="6" borderId="0" xfId="0" applyFont="1" applyFill="1"/>
    <xf numFmtId="165" fontId="8" fillId="6" borderId="0" xfId="1" applyFont="1" applyFill="1"/>
    <xf numFmtId="165" fontId="13" fillId="2" borderId="1" xfId="1" applyFont="1" applyFill="1" applyBorder="1"/>
    <xf numFmtId="0" fontId="0" fillId="4" borderId="0" xfId="0" applyFill="1"/>
    <xf numFmtId="0" fontId="2" fillId="4" borderId="0" xfId="0" applyFont="1" applyFill="1"/>
    <xf numFmtId="0" fontId="12"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16" fontId="3" fillId="0" borderId="1" xfId="0" applyNumberFormat="1" applyFont="1" applyBorder="1"/>
    <xf numFmtId="0" fontId="17" fillId="11" borderId="1" xfId="0" applyFont="1" applyFill="1" applyBorder="1"/>
    <xf numFmtId="165" fontId="0" fillId="4" borderId="0" xfId="1" applyFont="1" applyFill="1"/>
    <xf numFmtId="165" fontId="6" fillId="0" borderId="1" xfId="1" applyFont="1" applyBorder="1"/>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4" fillId="2" borderId="1" xfId="0" applyFont="1" applyFill="1" applyBorder="1"/>
    <xf numFmtId="0" fontId="14" fillId="0" borderId="1" xfId="0" applyFont="1" applyBorder="1"/>
    <xf numFmtId="0" fontId="14" fillId="0" borderId="1" xfId="0" applyFont="1" applyBorder="1" applyAlignment="1">
      <alignment wrapText="1"/>
    </xf>
    <xf numFmtId="0" fontId="2" fillId="4" borderId="1" xfId="0" applyFont="1" applyFill="1" applyBorder="1" applyAlignment="1">
      <alignment wrapText="1"/>
    </xf>
    <xf numFmtId="165" fontId="9" fillId="4" borderId="1" xfId="1" applyFont="1" applyFill="1" applyBorder="1"/>
    <xf numFmtId="0" fontId="5" fillId="3" borderId="12" xfId="0" applyFont="1" applyFill="1" applyBorder="1"/>
    <xf numFmtId="0" fontId="5" fillId="3" borderId="15" xfId="0" applyFont="1" applyFill="1" applyBorder="1"/>
    <xf numFmtId="0" fontId="5" fillId="3" borderId="17" xfId="0" applyFont="1" applyFill="1" applyBorder="1"/>
    <xf numFmtId="0" fontId="14" fillId="0" borderId="1" xfId="0" applyFont="1" applyBorder="1" applyAlignment="1">
      <alignment horizontal="center"/>
    </xf>
    <xf numFmtId="165" fontId="19" fillId="0" borderId="1" xfId="1" applyFont="1" applyBorder="1"/>
    <xf numFmtId="167" fontId="14" fillId="0" borderId="1" xfId="0" applyNumberFormat="1" applyFont="1" applyBorder="1"/>
    <xf numFmtId="167" fontId="14" fillId="0" borderId="1" xfId="1" applyNumberFormat="1" applyFont="1" applyBorder="1"/>
    <xf numFmtId="165" fontId="19" fillId="0" borderId="25" xfId="1" applyFont="1" applyBorder="1"/>
    <xf numFmtId="165" fontId="19" fillId="0" borderId="26" xfId="1" applyFont="1" applyBorder="1"/>
    <xf numFmtId="0" fontId="14" fillId="2" borderId="1" xfId="0" applyFont="1" applyFill="1" applyBorder="1" applyAlignment="1">
      <alignment wrapText="1"/>
    </xf>
    <xf numFmtId="2" fontId="14" fillId="2" borderId="1" xfId="0" applyNumberFormat="1" applyFont="1" applyFill="1" applyBorder="1" applyAlignment="1">
      <alignment horizontal="center"/>
    </xf>
    <xf numFmtId="0" fontId="14" fillId="0" borderId="7" xfId="0" applyFont="1" applyBorder="1"/>
    <xf numFmtId="0" fontId="14" fillId="0" borderId="23" xfId="0" applyFont="1" applyBorder="1"/>
    <xf numFmtId="0" fontId="14" fillId="2" borderId="2" xfId="0" applyFont="1" applyFill="1" applyBorder="1"/>
    <xf numFmtId="2" fontId="14" fillId="2" borderId="2" xfId="0" applyNumberFormat="1" applyFont="1" applyFill="1" applyBorder="1" applyAlignment="1">
      <alignment horizontal="center"/>
    </xf>
    <xf numFmtId="0" fontId="14" fillId="10" borderId="21" xfId="0" applyFont="1" applyFill="1" applyBorder="1"/>
    <xf numFmtId="0" fontId="2" fillId="3" borderId="10" xfId="0" applyFont="1" applyFill="1" applyBorder="1" applyAlignment="1">
      <alignment horizontal="left"/>
    </xf>
    <xf numFmtId="0" fontId="5" fillId="7" borderId="9" xfId="0" applyFont="1" applyFill="1" applyBorder="1"/>
    <xf numFmtId="165" fontId="5" fillId="7" borderId="11" xfId="0" applyNumberFormat="1" applyFont="1" applyFill="1" applyBorder="1"/>
    <xf numFmtId="167" fontId="14" fillId="2" borderId="1" xfId="0" applyNumberFormat="1" applyFont="1" applyFill="1" applyBorder="1"/>
    <xf numFmtId="0" fontId="4" fillId="0" borderId="1" xfId="0" applyFont="1" applyBorder="1"/>
    <xf numFmtId="0" fontId="4" fillId="11" borderId="1" xfId="0" applyFont="1" applyFill="1" applyBorder="1"/>
    <xf numFmtId="164" fontId="9" fillId="4" borderId="21" xfId="1" applyNumberFormat="1" applyFont="1" applyFill="1" applyBorder="1"/>
    <xf numFmtId="165" fontId="21" fillId="4" borderId="3" xfId="1" applyFont="1" applyFill="1" applyBorder="1"/>
    <xf numFmtId="165" fontId="22" fillId="0" borderId="3" xfId="1" applyFont="1" applyBorder="1"/>
    <xf numFmtId="164" fontId="9" fillId="4" borderId="13" xfId="1" applyNumberFormat="1" applyFont="1" applyFill="1" applyBorder="1"/>
    <xf numFmtId="165" fontId="9" fillId="4" borderId="21" xfId="1" applyFont="1" applyFill="1" applyBorder="1"/>
    <xf numFmtId="165" fontId="22" fillId="4" borderId="3" xfId="1" applyFont="1" applyFill="1" applyBorder="1"/>
    <xf numFmtId="0" fontId="22" fillId="0" borderId="1" xfId="1" applyNumberFormat="1" applyFont="1" applyBorder="1" applyAlignment="1">
      <alignment horizontal="left"/>
    </xf>
    <xf numFmtId="165" fontId="9" fillId="4" borderId="13" xfId="1" applyFont="1" applyFill="1" applyBorder="1"/>
    <xf numFmtId="0" fontId="0" fillId="0" borderId="6" xfId="0" applyBorder="1" applyAlignment="1">
      <alignment horizontal="left" vertical="center" wrapText="1"/>
    </xf>
    <xf numFmtId="165" fontId="4" fillId="2" borderId="6" xfId="1" applyFont="1" applyFill="1" applyBorder="1"/>
    <xf numFmtId="0" fontId="0" fillId="0" borderId="24" xfId="0" applyBorder="1" applyAlignment="1">
      <alignment horizontal="left" vertical="center" wrapText="1"/>
    </xf>
    <xf numFmtId="0" fontId="22" fillId="2" borderId="1" xfId="1" applyNumberFormat="1" applyFont="1" applyFill="1" applyBorder="1" applyAlignment="1">
      <alignment horizontal="left"/>
    </xf>
    <xf numFmtId="165" fontId="22" fillId="2" borderId="1" xfId="1" applyFont="1" applyFill="1" applyBorder="1"/>
    <xf numFmtId="0" fontId="22" fillId="2" borderId="1" xfId="1" applyNumberFormat="1" applyFont="1" applyFill="1" applyBorder="1"/>
    <xf numFmtId="0" fontId="22" fillId="2" borderId="2" xfId="1" applyNumberFormat="1" applyFont="1" applyFill="1" applyBorder="1"/>
    <xf numFmtId="165" fontId="22" fillId="2" borderId="3" xfId="1" applyFont="1" applyFill="1" applyBorder="1"/>
    <xf numFmtId="164" fontId="6" fillId="4" borderId="22" xfId="0" applyNumberFormat="1" applyFont="1" applyFill="1" applyBorder="1"/>
    <xf numFmtId="0" fontId="22" fillId="0" borderId="4" xfId="0" applyFont="1" applyBorder="1"/>
    <xf numFmtId="0" fontId="6" fillId="8" borderId="6" xfId="0" applyFont="1" applyFill="1" applyBorder="1"/>
    <xf numFmtId="0" fontId="4" fillId="0" borderId="0" xfId="0" applyFont="1"/>
    <xf numFmtId="0" fontId="22" fillId="0" borderId="17" xfId="0" applyFont="1" applyBorder="1"/>
    <xf numFmtId="0" fontId="6" fillId="5" borderId="10" xfId="0" applyFont="1" applyFill="1" applyBorder="1"/>
    <xf numFmtId="0" fontId="4" fillId="5" borderId="12" xfId="0" applyFont="1" applyFill="1" applyBorder="1"/>
    <xf numFmtId="0" fontId="4" fillId="5" borderId="15" xfId="0" applyFont="1" applyFill="1" applyBorder="1"/>
    <xf numFmtId="165" fontId="8" fillId="6" borderId="0" xfId="0" applyNumberFormat="1" applyFont="1" applyFill="1"/>
    <xf numFmtId="165" fontId="22" fillId="2" borderId="1" xfId="1" applyFont="1" applyFill="1" applyBorder="1" applyAlignment="1">
      <alignment wrapText="1"/>
    </xf>
    <xf numFmtId="164" fontId="18" fillId="11" borderId="1" xfId="0" applyNumberFormat="1" applyFont="1" applyFill="1" applyBorder="1"/>
    <xf numFmtId="0" fontId="22" fillId="2" borderId="1" xfId="0" applyFont="1" applyFill="1" applyBorder="1"/>
    <xf numFmtId="0" fontId="5" fillId="0" borderId="1" xfId="0" applyFont="1" applyBorder="1" applyAlignment="1">
      <alignment horizontal="left" vertical="center" wrapText="1"/>
    </xf>
    <xf numFmtId="0" fontId="12" fillId="3" borderId="14" xfId="0" applyFont="1" applyFill="1" applyBorder="1" applyAlignment="1">
      <alignment horizontal="center" vertical="center"/>
    </xf>
    <xf numFmtId="0" fontId="12" fillId="3" borderId="16" xfId="0" applyFont="1" applyFill="1" applyBorder="1" applyAlignment="1">
      <alignment horizontal="center" vertical="center"/>
    </xf>
    <xf numFmtId="168" fontId="19" fillId="2" borderId="1" xfId="1" applyNumberFormat="1" applyFont="1" applyFill="1" applyBorder="1"/>
    <xf numFmtId="0" fontId="0" fillId="2" borderId="0" xfId="0" applyFill="1"/>
    <xf numFmtId="165" fontId="5" fillId="6" borderId="1" xfId="1" applyFont="1" applyFill="1" applyBorder="1"/>
    <xf numFmtId="168" fontId="0" fillId="0" borderId="0" xfId="0" applyNumberFormat="1"/>
    <xf numFmtId="169" fontId="0" fillId="0" borderId="0" xfId="0" applyNumberFormat="1"/>
    <xf numFmtId="0" fontId="2" fillId="7" borderId="1" xfId="0" applyFont="1" applyFill="1" applyBorder="1"/>
    <xf numFmtId="165" fontId="6" fillId="7" borderId="1" xfId="1" applyFont="1" applyFill="1" applyBorder="1"/>
    <xf numFmtId="167" fontId="14" fillId="0" borderId="7" xfId="1" applyNumberFormat="1" applyFont="1" applyBorder="1"/>
    <xf numFmtId="14" fontId="0" fillId="0" borderId="1" xfId="0" applyNumberFormat="1" applyBorder="1" applyAlignment="1">
      <alignment wrapText="1"/>
    </xf>
    <xf numFmtId="0" fontId="19" fillId="2" borderId="1" xfId="0" applyFont="1" applyFill="1" applyBorder="1" applyAlignment="1">
      <alignment wrapText="1"/>
    </xf>
    <xf numFmtId="0" fontId="5" fillId="3" borderId="0" xfId="0" applyFont="1" applyFill="1"/>
    <xf numFmtId="0" fontId="2" fillId="3" borderId="0" xfId="0" applyFont="1" applyFill="1" applyAlignment="1">
      <alignment wrapText="1"/>
    </xf>
    <xf numFmtId="0" fontId="2" fillId="3" borderId="0" xfId="0" applyFont="1" applyFill="1" applyAlignment="1">
      <alignment vertical="center"/>
    </xf>
    <xf numFmtId="0" fontId="5" fillId="3" borderId="8" xfId="0" applyFont="1" applyFill="1" applyBorder="1"/>
    <xf numFmtId="43" fontId="0" fillId="0" borderId="0" xfId="0" applyNumberFormat="1"/>
    <xf numFmtId="167" fontId="9" fillId="5" borderId="11" xfId="0" applyNumberFormat="1" applyFont="1" applyFill="1" applyBorder="1"/>
    <xf numFmtId="167" fontId="9" fillId="8" borderId="13" xfId="1" applyNumberFormat="1" applyFont="1" applyFill="1" applyBorder="1"/>
    <xf numFmtId="165" fontId="0" fillId="3" borderId="0" xfId="0" applyNumberFormat="1" applyFill="1" applyAlignment="1">
      <alignment horizontal="center"/>
    </xf>
    <xf numFmtId="165" fontId="7" fillId="0" borderId="1" xfId="1" applyFont="1" applyBorder="1"/>
    <xf numFmtId="170" fontId="0" fillId="3" borderId="8" xfId="0" applyNumberFormat="1" applyFill="1" applyBorder="1" applyAlignment="1">
      <alignment horizontal="center"/>
    </xf>
    <xf numFmtId="0" fontId="14" fillId="0" borderId="2" xfId="0" applyFont="1" applyBorder="1"/>
    <xf numFmtId="167" fontId="0" fillId="0" borderId="0" xfId="0" applyNumberFormat="1"/>
    <xf numFmtId="165" fontId="12" fillId="8" borderId="13" xfId="1" applyFont="1" applyFill="1" applyBorder="1" applyAlignment="1">
      <alignment vertical="center"/>
    </xf>
    <xf numFmtId="168" fontId="5" fillId="5" borderId="11" xfId="0" applyNumberFormat="1" applyFont="1" applyFill="1" applyBorder="1"/>
    <xf numFmtId="0" fontId="0" fillId="9" borderId="0" xfId="0" applyFill="1"/>
    <xf numFmtId="167" fontId="9" fillId="4" borderId="2" xfId="1" applyNumberFormat="1" applyFont="1" applyFill="1" applyBorder="1"/>
    <xf numFmtId="0" fontId="0" fillId="0" borderId="7" xfId="0" applyBorder="1" applyAlignment="1">
      <alignment horizontal="left" vertical="center" wrapText="1"/>
    </xf>
    <xf numFmtId="165" fontId="22" fillId="0" borderId="1" xfId="1" applyFont="1" applyBorder="1"/>
    <xf numFmtId="0" fontId="15" fillId="0" borderId="1" xfId="1" applyNumberFormat="1" applyFont="1" applyBorder="1"/>
    <xf numFmtId="43" fontId="0" fillId="0" borderId="0" xfId="0" applyNumberFormat="1" applyAlignment="1">
      <alignment wrapText="1"/>
    </xf>
    <xf numFmtId="0" fontId="0" fillId="2" borderId="6" xfId="0" applyFill="1" applyBorder="1" applyAlignment="1">
      <alignment horizontal="left" vertical="center" wrapText="1"/>
    </xf>
    <xf numFmtId="165" fontId="19" fillId="0" borderId="6" xfId="1" applyFont="1" applyBorder="1"/>
    <xf numFmtId="167" fontId="14" fillId="0" borderId="7" xfId="0" applyNumberFormat="1" applyFont="1" applyBorder="1"/>
    <xf numFmtId="0" fontId="14" fillId="0" borderId="2" xfId="0" applyFont="1" applyBorder="1" applyAlignment="1">
      <alignment horizontal="center"/>
    </xf>
    <xf numFmtId="165" fontId="19" fillId="0" borderId="27" xfId="1" applyFont="1" applyBorder="1"/>
    <xf numFmtId="0" fontId="0" fillId="0" borderId="2" xfId="0" applyBorder="1"/>
    <xf numFmtId="167" fontId="14" fillId="0" borderId="23" xfId="0" applyNumberFormat="1" applyFont="1" applyBorder="1"/>
    <xf numFmtId="167" fontId="14" fillId="0" borderId="2" xfId="0" applyNumberFormat="1" applyFont="1" applyBorder="1"/>
    <xf numFmtId="165" fontId="14" fillId="0" borderId="2" xfId="1" applyFont="1" applyBorder="1"/>
    <xf numFmtId="167" fontId="14" fillId="0" borderId="2" xfId="1" applyNumberFormat="1" applyFont="1" applyBorder="1"/>
    <xf numFmtId="165" fontId="19" fillId="0" borderId="2" xfId="1" applyFont="1" applyBorder="1"/>
    <xf numFmtId="0" fontId="14" fillId="10" borderId="13" xfId="0" applyFont="1" applyFill="1" applyBorder="1"/>
    <xf numFmtId="0" fontId="14" fillId="4" borderId="11" xfId="0" applyFont="1" applyFill="1" applyBorder="1"/>
    <xf numFmtId="0" fontId="14" fillId="4" borderId="13" xfId="0" applyFont="1" applyFill="1" applyBorder="1"/>
    <xf numFmtId="171" fontId="14" fillId="4" borderId="13" xfId="0" applyNumberFormat="1" applyFont="1" applyFill="1" applyBorder="1" applyAlignment="1">
      <alignment horizontal="center"/>
    </xf>
    <xf numFmtId="165" fontId="14" fillId="4" borderId="9" xfId="0" applyNumberFormat="1" applyFont="1" applyFill="1" applyBorder="1"/>
    <xf numFmtId="167" fontId="14" fillId="4" borderId="28" xfId="0" applyNumberFormat="1" applyFont="1" applyFill="1" applyBorder="1"/>
    <xf numFmtId="167" fontId="14" fillId="4" borderId="11" xfId="0" applyNumberFormat="1" applyFont="1" applyFill="1" applyBorder="1"/>
    <xf numFmtId="167" fontId="14" fillId="4" borderId="13" xfId="0" applyNumberFormat="1" applyFont="1" applyFill="1" applyBorder="1"/>
    <xf numFmtId="168" fontId="14" fillId="4" borderId="13" xfId="0" applyNumberFormat="1" applyFont="1" applyFill="1" applyBorder="1"/>
    <xf numFmtId="165" fontId="14" fillId="4" borderId="13" xfId="0" applyNumberFormat="1" applyFont="1" applyFill="1" applyBorder="1"/>
    <xf numFmtId="0" fontId="0" fillId="11" borderId="0" xfId="0" applyFill="1"/>
    <xf numFmtId="0" fontId="20" fillId="2" borderId="1" xfId="0" applyFont="1" applyFill="1" applyBorder="1"/>
    <xf numFmtId="0" fontId="14" fillId="2" borderId="2" xfId="0" applyFont="1" applyFill="1" applyBorder="1" applyAlignment="1">
      <alignment wrapText="1"/>
    </xf>
    <xf numFmtId="0" fontId="14" fillId="2" borderId="1" xfId="0" applyFont="1" applyFill="1" applyBorder="1" applyAlignment="1">
      <alignment vertical="center" wrapText="1"/>
    </xf>
    <xf numFmtId="165" fontId="4" fillId="2" borderId="1" xfId="1" applyFont="1" applyFill="1" applyBorder="1"/>
    <xf numFmtId="165" fontId="4" fillId="2" borderId="1" xfId="1" applyFont="1" applyFill="1" applyBorder="1" applyAlignment="1">
      <alignment wrapText="1"/>
    </xf>
    <xf numFmtId="0" fontId="4" fillId="3" borderId="0" xfId="0" applyFont="1" applyFill="1"/>
    <xf numFmtId="164" fontId="4" fillId="3" borderId="0" xfId="0" applyNumberFormat="1" applyFont="1" applyFill="1"/>
    <xf numFmtId="165" fontId="15" fillId="0" borderId="1" xfId="1" applyFont="1" applyBorder="1"/>
    <xf numFmtId="0" fontId="14" fillId="12" borderId="1" xfId="0" applyFont="1" applyFill="1" applyBorder="1"/>
    <xf numFmtId="0" fontId="14" fillId="12" borderId="1" xfId="0" applyFont="1" applyFill="1" applyBorder="1" applyAlignment="1">
      <alignment horizontal="center"/>
    </xf>
    <xf numFmtId="0" fontId="14" fillId="12" borderId="1" xfId="0" applyFont="1" applyFill="1" applyBorder="1" applyAlignment="1">
      <alignment vertical="center" wrapText="1"/>
    </xf>
    <xf numFmtId="0" fontId="14" fillId="12" borderId="1" xfId="0" applyFont="1" applyFill="1" applyBorder="1" applyAlignment="1">
      <alignment wrapText="1"/>
    </xf>
    <xf numFmtId="2" fontId="14" fillId="12" borderId="1" xfId="0" applyNumberFormat="1" applyFont="1" applyFill="1" applyBorder="1" applyAlignment="1">
      <alignment horizontal="center"/>
    </xf>
    <xf numFmtId="165" fontId="19" fillId="2" borderId="1" xfId="1" applyFont="1" applyFill="1" applyBorder="1"/>
    <xf numFmtId="164" fontId="4" fillId="2" borderId="1" xfId="0" applyNumberFormat="1" applyFont="1" applyFill="1" applyBorder="1"/>
    <xf numFmtId="165" fontId="4" fillId="0" borderId="1" xfId="1" applyFont="1" applyBorder="1"/>
    <xf numFmtId="0" fontId="14" fillId="13" borderId="1" xfId="0" applyFont="1" applyFill="1" applyBorder="1"/>
    <xf numFmtId="0" fontId="14" fillId="13" borderId="1" xfId="0" applyFont="1" applyFill="1" applyBorder="1" applyAlignment="1">
      <alignment wrapText="1"/>
    </xf>
    <xf numFmtId="0" fontId="14" fillId="13" borderId="1" xfId="0" applyFont="1" applyFill="1" applyBorder="1" applyAlignment="1">
      <alignment horizontal="center"/>
    </xf>
    <xf numFmtId="165" fontId="19" fillId="13" borderId="1" xfId="1" applyFont="1" applyFill="1" applyBorder="1"/>
    <xf numFmtId="0" fontId="0" fillId="13" borderId="0" xfId="0" applyFill="1"/>
    <xf numFmtId="0" fontId="14" fillId="14" borderId="1" xfId="0" applyFont="1" applyFill="1" applyBorder="1"/>
    <xf numFmtId="0" fontId="14" fillId="14" borderId="1" xfId="0" applyFont="1" applyFill="1" applyBorder="1" applyAlignment="1">
      <alignment horizontal="center"/>
    </xf>
    <xf numFmtId="0" fontId="0" fillId="14" borderId="0" xfId="0" applyFill="1"/>
    <xf numFmtId="0" fontId="2" fillId="9" borderId="0" xfId="0" applyFont="1" applyFill="1" applyAlignment="1">
      <alignment horizontal="center" vertical="center" wrapText="1"/>
    </xf>
    <xf numFmtId="0" fontId="0" fillId="0" borderId="0" xfId="0"/>
    <xf numFmtId="0" fontId="0" fillId="0" borderId="1" xfId="0" applyBorder="1" applyAlignment="1">
      <alignment horizontal="left" vertical="center" wrapText="1"/>
    </xf>
    <xf numFmtId="0" fontId="0" fillId="0" borderId="7" xfId="0" applyBorder="1"/>
    <xf numFmtId="0" fontId="0" fillId="2" borderId="1" xfId="0" applyFill="1" applyBorder="1" applyAlignment="1">
      <alignment horizontal="left" vertical="center" wrapText="1"/>
    </xf>
    <xf numFmtId="0" fontId="0" fillId="2" borderId="7" xfId="0" applyFill="1" applyBorder="1" applyAlignment="1">
      <alignment vertical="center" wrapText="1"/>
    </xf>
    <xf numFmtId="0" fontId="0" fillId="2" borderId="7" xfId="0" applyFill="1" applyBorder="1"/>
    <xf numFmtId="0" fontId="8" fillId="6" borderId="0" xfId="0" applyFont="1" applyFill="1" applyAlignment="1">
      <alignment horizontal="center" vertical="center"/>
    </xf>
    <xf numFmtId="0" fontId="2" fillId="8" borderId="13" xfId="0" applyFont="1" applyFill="1" applyBorder="1" applyAlignment="1">
      <alignment horizontal="left" vertical="center" wrapText="1"/>
    </xf>
    <xf numFmtId="0" fontId="0" fillId="0" borderId="10" xfId="0" applyBorder="1"/>
    <xf numFmtId="0" fontId="0" fillId="0" borderId="11" xfId="0" applyBorder="1"/>
    <xf numFmtId="0" fontId="2" fillId="3" borderId="11" xfId="0" applyFont="1" applyFill="1" applyBorder="1" applyAlignment="1">
      <alignment horizontal="left" wrapText="1"/>
    </xf>
    <xf numFmtId="0" fontId="16" fillId="9" borderId="0" xfId="0" applyFont="1" applyFill="1" applyAlignment="1">
      <alignment horizontal="center" vertical="center"/>
    </xf>
    <xf numFmtId="0" fontId="2" fillId="7" borderId="0" xfId="0" applyFont="1" applyFill="1" applyAlignment="1">
      <alignment horizontal="left" vertical="center" wrapText="1"/>
    </xf>
    <xf numFmtId="0" fontId="0" fillId="0" borderId="0" xfId="0" applyAlignment="1">
      <alignment horizontal="left"/>
    </xf>
    <xf numFmtId="0" fontId="24" fillId="12" borderId="0" xfId="0" applyFont="1" applyFill="1" applyAlignment="1">
      <alignment horizontal="center" vertical="center"/>
    </xf>
    <xf numFmtId="165" fontId="4" fillId="3" borderId="8" xfId="1" applyFont="1" applyFill="1" applyBorder="1" applyAlignment="1">
      <alignment horizontal="center"/>
    </xf>
    <xf numFmtId="0" fontId="4" fillId="0" borderId="8" xfId="0" applyFont="1" applyBorder="1"/>
    <xf numFmtId="0" fontId="12" fillId="3" borderId="18" xfId="0" applyFont="1" applyFill="1" applyBorder="1" applyAlignment="1">
      <alignment horizontal="center" vertical="center"/>
    </xf>
    <xf numFmtId="0" fontId="0" fillId="0" borderId="19" xfId="0" applyBorder="1"/>
    <xf numFmtId="0" fontId="12" fillId="3" borderId="29" xfId="0" applyFont="1" applyFill="1" applyBorder="1" applyAlignment="1">
      <alignment horizontal="center" vertical="center" wrapText="1"/>
    </xf>
    <xf numFmtId="0" fontId="0" fillId="0" borderId="20" xfId="0" applyBorder="1"/>
    <xf numFmtId="0" fontId="12" fillId="3" borderId="18" xfId="0" applyFont="1" applyFill="1" applyBorder="1" applyAlignment="1">
      <alignment horizontal="center" vertical="center" wrapText="1"/>
    </xf>
    <xf numFmtId="0" fontId="12" fillId="3" borderId="29" xfId="0" applyFont="1" applyFill="1" applyBorder="1" applyAlignment="1">
      <alignment horizontal="center" vertical="center"/>
    </xf>
    <xf numFmtId="170" fontId="23" fillId="3" borderId="0" xfId="1" applyNumberFormat="1" applyFont="1" applyFill="1" applyAlignment="1">
      <alignment horizontal="center"/>
    </xf>
    <xf numFmtId="165" fontId="4" fillId="3" borderId="0" xfId="0" applyNumberFormat="1" applyFont="1" applyFill="1" applyAlignment="1">
      <alignment horizontal="center"/>
    </xf>
    <xf numFmtId="0" fontId="4" fillId="0" borderId="0" xfId="0" applyFont="1"/>
    <xf numFmtId="170" fontId="4" fillId="3" borderId="8" xfId="0" applyNumberFormat="1" applyFont="1" applyFill="1" applyBorder="1" applyAlignment="1">
      <alignment horizontal="center"/>
    </xf>
    <xf numFmtId="165" fontId="4" fillId="3" borderId="0" xfId="1" applyFont="1" applyFill="1" applyAlignment="1">
      <alignment horizontal="center"/>
    </xf>
    <xf numFmtId="0" fontId="12" fillId="3" borderId="14" xfId="0" applyFont="1" applyFill="1" applyBorder="1" applyAlignment="1">
      <alignment horizontal="center" vertical="center"/>
    </xf>
    <xf numFmtId="0" fontId="0" fillId="0" borderId="16" xfId="0" applyBorder="1"/>
    <xf numFmtId="0" fontId="14" fillId="3" borderId="29" xfId="0" applyFont="1" applyFill="1" applyBorder="1" applyAlignment="1">
      <alignment horizontal="center" vertical="center" wrapText="1"/>
    </xf>
    <xf numFmtId="170" fontId="0" fillId="3" borderId="8" xfId="1" applyNumberFormat="1" applyFont="1" applyFill="1" applyBorder="1" applyAlignment="1">
      <alignment horizontal="center" vertical="center"/>
    </xf>
    <xf numFmtId="0" fontId="0" fillId="0" borderId="8" xfId="0" applyBorder="1"/>
    <xf numFmtId="0" fontId="15" fillId="3" borderId="18" xfId="0" applyFont="1" applyFill="1" applyBorder="1" applyAlignment="1">
      <alignment horizontal="center" vertical="center" wrapText="1"/>
    </xf>
    <xf numFmtId="0" fontId="0" fillId="14" borderId="0" xfId="0" applyFill="1" applyAlignment="1">
      <alignment horizontal="left" vertical="center" wrapText="1"/>
    </xf>
    <xf numFmtId="0" fontId="14" fillId="15" borderId="1" xfId="0" applyFont="1" applyFill="1" applyBorder="1"/>
    <xf numFmtId="0" fontId="14" fillId="15" borderId="1" xfId="0" applyFont="1" applyFill="1" applyBorder="1" applyAlignment="1">
      <alignment wrapText="1"/>
    </xf>
    <xf numFmtId="0" fontId="14" fillId="15" borderId="23" xfId="0" applyFont="1" applyFill="1" applyBorder="1"/>
    <xf numFmtId="0" fontId="14" fillId="15" borderId="2" xfId="0" applyFont="1" applyFill="1" applyBorder="1"/>
    <xf numFmtId="0" fontId="0" fillId="15" borderId="0" xfId="0" applyFill="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161926</xdr:colOff>
      <xdr:row>0</xdr:row>
      <xdr:rowOff>28575</xdr:rowOff>
    </xdr:from>
    <xdr:to>
      <xdr:col>0</xdr:col>
      <xdr:colOff>2143126</xdr:colOff>
      <xdr:row>2</xdr:row>
      <xdr:rowOff>677269</xdr:rowOff>
    </xdr:to>
    <xdr:pic>
      <xdr:nvPicPr>
        <xdr:cNvPr id="2" name="Imagen 1">
          <a:extLst>
            <a:ext uri="{FF2B5EF4-FFF2-40B4-BE49-F238E27FC236}">
              <a16:creationId xmlns:a16="http://schemas.microsoft.com/office/drawing/2014/main" id="{64EBF4A0-8501-468F-9C8F-1AE7A01C41E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23" r="10240"/>
        <a:stretch/>
      </xdr:blipFill>
      <xdr:spPr>
        <a:xfrm>
          <a:off x="161926" y="28575"/>
          <a:ext cx="1981200" cy="102969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
  <sheetViews>
    <sheetView topLeftCell="A59" workbookViewId="0">
      <selection activeCell="D22" sqref="D22:D54"/>
    </sheetView>
  </sheetViews>
  <sheetFormatPr baseColWidth="10" defaultRowHeight="15" x14ac:dyDescent="0.25"/>
  <cols>
    <col min="1" max="1" width="37.5703125" customWidth="1"/>
    <col min="2" max="2" width="24.7109375" customWidth="1"/>
    <col min="3" max="3" width="15.85546875" hidden="1" customWidth="1"/>
    <col min="4" max="4" width="21.28515625" customWidth="1"/>
    <col min="5" max="5" width="14" customWidth="1"/>
    <col min="6" max="6" width="13" bestFit="1" customWidth="1"/>
    <col min="7" max="7" width="13.140625" bestFit="1" customWidth="1"/>
    <col min="11" max="11" width="18" customWidth="1"/>
    <col min="12" max="12" width="18.28515625" customWidth="1"/>
  </cols>
  <sheetData>
    <row r="1" spans="1:5" x14ac:dyDescent="0.25">
      <c r="A1" s="14"/>
      <c r="B1" s="65" t="s">
        <v>0</v>
      </c>
      <c r="C1" s="65"/>
      <c r="D1" s="65"/>
      <c r="E1" s="66"/>
    </row>
    <row r="2" spans="1:5" x14ac:dyDescent="0.25">
      <c r="A2" s="15"/>
      <c r="B2" s="128" t="s">
        <v>1</v>
      </c>
      <c r="C2" s="128"/>
      <c r="D2" s="128"/>
      <c r="E2" s="67"/>
    </row>
    <row r="3" spans="1:5" ht="56.25" customHeight="1" thickBot="1" x14ac:dyDescent="0.3">
      <c r="A3" s="15"/>
      <c r="B3" s="129" t="s">
        <v>2</v>
      </c>
      <c r="C3" s="128"/>
      <c r="D3" s="130" t="s">
        <v>3</v>
      </c>
      <c r="E3" s="67"/>
    </row>
    <row r="4" spans="1:5" ht="15.75" customHeight="1" thickBot="1" x14ac:dyDescent="0.3">
      <c r="A4" s="16" t="s">
        <v>4</v>
      </c>
      <c r="B4" s="81" t="s">
        <v>5</v>
      </c>
      <c r="C4" s="17"/>
      <c r="D4" s="17"/>
      <c r="E4" s="18"/>
    </row>
    <row r="5" spans="1:5" ht="30.75" customHeight="1" thickBot="1" x14ac:dyDescent="0.3">
      <c r="A5" s="15" t="s">
        <v>6</v>
      </c>
      <c r="B5" s="205" t="s">
        <v>255</v>
      </c>
      <c r="C5" s="203"/>
      <c r="D5" s="203"/>
      <c r="E5" s="204"/>
    </row>
    <row r="6" spans="1:5" ht="15.75" customHeight="1" thickBot="1" x14ac:dyDescent="0.3">
      <c r="A6" s="16" t="s">
        <v>7</v>
      </c>
      <c r="B6" s="17"/>
      <c r="C6" s="17"/>
      <c r="D6" s="131" t="s">
        <v>8</v>
      </c>
      <c r="E6" s="18"/>
    </row>
    <row r="8" spans="1:5" x14ac:dyDescent="0.25">
      <c r="B8" s="206" t="s">
        <v>263</v>
      </c>
      <c r="C8" s="195"/>
    </row>
    <row r="9" spans="1:5" x14ac:dyDescent="0.25">
      <c r="B9" s="195"/>
      <c r="C9" s="195"/>
    </row>
    <row r="10" spans="1:5" x14ac:dyDescent="0.25">
      <c r="B10" s="195"/>
      <c r="C10" s="195"/>
    </row>
    <row r="12" spans="1:5" hidden="1" x14ac:dyDescent="0.25"/>
    <row r="13" spans="1:5" ht="15" customHeight="1" x14ac:dyDescent="0.25">
      <c r="A13" s="207" t="s">
        <v>254</v>
      </c>
      <c r="B13" s="208"/>
      <c r="C13" s="208"/>
      <c r="D13" s="208"/>
      <c r="E13" s="208"/>
    </row>
    <row r="14" spans="1:5" ht="15" customHeight="1" x14ac:dyDescent="0.25">
      <c r="A14" s="208"/>
      <c r="B14" s="208"/>
      <c r="C14" s="208"/>
      <c r="D14" s="208"/>
      <c r="E14" s="208"/>
    </row>
    <row r="15" spans="1:5" ht="15" customHeight="1" x14ac:dyDescent="0.25">
      <c r="A15" s="208"/>
      <c r="B15" s="208"/>
      <c r="C15" s="208"/>
      <c r="D15" s="208"/>
      <c r="E15" s="208"/>
    </row>
    <row r="16" spans="1:5" ht="216" customHeight="1" x14ac:dyDescent="0.25">
      <c r="A16" s="208"/>
      <c r="B16" s="208"/>
      <c r="C16" s="208"/>
      <c r="D16" s="208"/>
      <c r="E16" s="208"/>
    </row>
    <row r="17" spans="1:7" ht="14.25" customHeight="1" thickBot="1" x14ac:dyDescent="0.3"/>
    <row r="18" spans="1:7" hidden="1" x14ac:dyDescent="0.25">
      <c r="A18" s="2"/>
    </row>
    <row r="19" spans="1:7" ht="15.75" hidden="1" customHeight="1" thickBot="1" x14ac:dyDescent="0.3"/>
    <row r="20" spans="1:7" x14ac:dyDescent="0.25">
      <c r="A20" s="10" t="s">
        <v>9</v>
      </c>
      <c r="B20" s="11"/>
      <c r="C20" s="12"/>
      <c r="D20" s="8"/>
      <c r="E20" s="13"/>
    </row>
    <row r="21" spans="1:7" x14ac:dyDescent="0.25">
      <c r="A21" s="32" t="s">
        <v>10</v>
      </c>
      <c r="B21" s="32"/>
      <c r="C21" s="32"/>
      <c r="D21" s="30"/>
      <c r="E21" s="30"/>
    </row>
    <row r="22" spans="1:7" x14ac:dyDescent="0.25">
      <c r="A22" s="5" t="s">
        <v>11</v>
      </c>
      <c r="B22" s="5"/>
      <c r="C22" s="5"/>
      <c r="D22" s="184">
        <v>612874.4</v>
      </c>
      <c r="E22" s="85"/>
    </row>
    <row r="23" spans="1:7" x14ac:dyDescent="0.25">
      <c r="A23" s="5" t="s">
        <v>12</v>
      </c>
      <c r="B23" s="5"/>
      <c r="C23" s="5"/>
      <c r="D23" s="184">
        <v>-143013.39000000001</v>
      </c>
      <c r="E23" s="85"/>
      <c r="G23" s="19"/>
    </row>
    <row r="24" spans="1:7" x14ac:dyDescent="0.25">
      <c r="A24" s="5" t="s">
        <v>13</v>
      </c>
      <c r="B24" s="5"/>
      <c r="C24" s="5"/>
      <c r="D24" s="184">
        <v>0.99</v>
      </c>
      <c r="E24" s="85"/>
      <c r="G24" s="19"/>
    </row>
    <row r="25" spans="1:7" x14ac:dyDescent="0.25">
      <c r="A25" s="55" t="s">
        <v>14</v>
      </c>
      <c r="B25" s="55"/>
      <c r="C25" s="55"/>
      <c r="D25" s="113">
        <f>SUM(D22:D24)</f>
        <v>469862</v>
      </c>
      <c r="E25" s="86"/>
      <c r="G25" s="19"/>
    </row>
    <row r="26" spans="1:7" ht="15.75" customHeight="1" thickBot="1" x14ac:dyDescent="0.3">
      <c r="A26" s="25" t="s">
        <v>15</v>
      </c>
      <c r="B26" s="25"/>
      <c r="C26" s="25"/>
      <c r="D26" s="27"/>
      <c r="E26" s="87">
        <f>D25</f>
        <v>469862</v>
      </c>
      <c r="F26" s="19"/>
    </row>
    <row r="27" spans="1:7" x14ac:dyDescent="0.25">
      <c r="A27" s="32" t="s">
        <v>16</v>
      </c>
      <c r="B27" s="32"/>
      <c r="C27" s="32"/>
      <c r="D27" s="33"/>
      <c r="E27" s="88"/>
    </row>
    <row r="28" spans="1:7" ht="18" customHeight="1" x14ac:dyDescent="0.25">
      <c r="A28" s="196" t="s">
        <v>256</v>
      </c>
      <c r="B28" s="197"/>
      <c r="C28" s="5"/>
      <c r="D28" s="184">
        <v>35000</v>
      </c>
      <c r="E28" s="89" t="s">
        <v>267</v>
      </c>
    </row>
    <row r="29" spans="1:7" ht="33" customHeight="1" thickBot="1" x14ac:dyDescent="0.3">
      <c r="A29" s="196" t="s">
        <v>258</v>
      </c>
      <c r="B29" s="197"/>
      <c r="C29" s="5"/>
      <c r="D29" s="184">
        <f>470000</f>
        <v>470000</v>
      </c>
      <c r="E29" s="89" t="s">
        <v>250</v>
      </c>
    </row>
    <row r="30" spans="1:7" ht="15.75" customHeight="1" thickBot="1" x14ac:dyDescent="0.3">
      <c r="A30" s="25" t="s">
        <v>17</v>
      </c>
      <c r="B30" s="25"/>
      <c r="C30" s="25"/>
      <c r="D30" s="36"/>
      <c r="E30" s="90">
        <f>SUM(D28:D29)</f>
        <v>505000</v>
      </c>
    </row>
    <row r="31" spans="1:7" x14ac:dyDescent="0.25">
      <c r="A31" s="30" t="s">
        <v>18</v>
      </c>
      <c r="B31" s="31"/>
      <c r="C31" s="31"/>
      <c r="D31" s="34"/>
      <c r="E31" s="64"/>
    </row>
    <row r="32" spans="1:7" s="39" customFormat="1" ht="15.75" customHeight="1" x14ac:dyDescent="0.25">
      <c r="A32" s="148" t="s">
        <v>19</v>
      </c>
      <c r="B32" s="144"/>
      <c r="C32" s="53"/>
      <c r="D32" s="174">
        <v>70868</v>
      </c>
      <c r="E32" s="112"/>
      <c r="G32" s="147"/>
    </row>
    <row r="33" spans="1:8" ht="14.25" customHeight="1" x14ac:dyDescent="0.25">
      <c r="A33" s="196" t="s">
        <v>20</v>
      </c>
      <c r="B33" s="197"/>
      <c r="C33" s="53"/>
      <c r="D33" s="173">
        <v>719.9</v>
      </c>
      <c r="E33" s="112"/>
    </row>
    <row r="34" spans="1:8" ht="15.75" customHeight="1" thickBot="1" x14ac:dyDescent="0.3">
      <c r="A34" s="25" t="s">
        <v>21</v>
      </c>
      <c r="B34" s="25"/>
      <c r="C34" s="25"/>
      <c r="D34" s="36"/>
      <c r="E34" s="91">
        <f>SUM(D32:D33)</f>
        <v>71587.899999999994</v>
      </c>
    </row>
    <row r="35" spans="1:8" x14ac:dyDescent="0.25">
      <c r="A35" s="32" t="s">
        <v>22</v>
      </c>
      <c r="B35" s="26"/>
      <c r="C35" s="26"/>
      <c r="D35" s="37"/>
      <c r="E35" s="92"/>
    </row>
    <row r="36" spans="1:8" x14ac:dyDescent="0.25">
      <c r="A36" s="5" t="s">
        <v>23</v>
      </c>
      <c r="B36" s="5"/>
      <c r="C36" s="52"/>
      <c r="D36" s="185">
        <v>466260.75</v>
      </c>
      <c r="E36" s="114" t="s">
        <v>251</v>
      </c>
      <c r="G36" s="119"/>
    </row>
    <row r="37" spans="1:8" x14ac:dyDescent="0.25">
      <c r="A37" s="5" t="s">
        <v>257</v>
      </c>
      <c r="B37" s="5" t="s">
        <v>24</v>
      </c>
      <c r="C37" s="5"/>
      <c r="D37" s="173">
        <v>45243</v>
      </c>
      <c r="E37" s="100" t="s">
        <v>265</v>
      </c>
    </row>
    <row r="38" spans="1:8" x14ac:dyDescent="0.25">
      <c r="A38" s="5" t="str">
        <f>A37</f>
        <v>Sindicatos mes de JULIO</v>
      </c>
      <c r="B38" s="5" t="s">
        <v>25</v>
      </c>
      <c r="C38" s="5"/>
      <c r="D38" s="173">
        <v>83582.350000000006</v>
      </c>
      <c r="E38" s="100" t="str">
        <f>E37</f>
        <v>Debito 16/07</v>
      </c>
    </row>
    <row r="39" spans="1:8" x14ac:dyDescent="0.25">
      <c r="A39" s="5" t="str">
        <f>A38</f>
        <v>Sindicatos mes de JULIO</v>
      </c>
      <c r="B39" s="5" t="s">
        <v>26</v>
      </c>
      <c r="C39" s="5"/>
      <c r="D39" s="173">
        <v>5027</v>
      </c>
      <c r="E39" s="101" t="str">
        <f>E37</f>
        <v>Debito 16/07</v>
      </c>
    </row>
    <row r="40" spans="1:8" ht="15" customHeight="1" thickBot="1" x14ac:dyDescent="0.3">
      <c r="A40" s="25" t="s">
        <v>27</v>
      </c>
      <c r="B40" s="26"/>
      <c r="C40" s="26"/>
      <c r="D40" s="38"/>
      <c r="E40" s="91">
        <f>SUM(D36:D39)</f>
        <v>600113.1</v>
      </c>
    </row>
    <row r="41" spans="1:8" x14ac:dyDescent="0.25">
      <c r="A41" s="32" t="s">
        <v>28</v>
      </c>
      <c r="B41" s="26"/>
      <c r="C41" s="26"/>
      <c r="D41" s="37"/>
      <c r="E41" s="92"/>
    </row>
    <row r="42" spans="1:8" ht="14.25" customHeight="1" x14ac:dyDescent="0.25">
      <c r="A42" s="5" t="s">
        <v>29</v>
      </c>
      <c r="B42" s="52"/>
      <c r="C42" s="52"/>
      <c r="D42" s="173">
        <v>1397945.13</v>
      </c>
      <c r="E42" s="98" t="s">
        <v>266</v>
      </c>
    </row>
    <row r="43" spans="1:8" ht="14.25" customHeight="1" x14ac:dyDescent="0.25">
      <c r="A43" s="5" t="s">
        <v>30</v>
      </c>
      <c r="B43" s="5"/>
      <c r="C43" s="5"/>
      <c r="D43" s="173" t="s">
        <v>270</v>
      </c>
      <c r="E43" s="98"/>
    </row>
    <row r="44" spans="1:8" x14ac:dyDescent="0.25">
      <c r="A44" s="196" t="s">
        <v>31</v>
      </c>
      <c r="B44" s="197"/>
      <c r="C44" s="5"/>
      <c r="D44" s="173">
        <v>88711.15</v>
      </c>
      <c r="E44" s="98" t="s">
        <v>264</v>
      </c>
    </row>
    <row r="45" spans="1:8" ht="15.75" customHeight="1" thickBot="1" x14ac:dyDescent="0.3">
      <c r="A45" s="25" t="s">
        <v>32</v>
      </c>
      <c r="B45" s="25"/>
      <c r="C45" s="25"/>
      <c r="D45" s="36"/>
      <c r="E45" s="91">
        <f>SUM(D42:D44)</f>
        <v>1486656.2799999998</v>
      </c>
    </row>
    <row r="46" spans="1:8" ht="15" customHeight="1" thickBot="1" x14ac:dyDescent="0.3">
      <c r="A46" s="32" t="s">
        <v>33</v>
      </c>
      <c r="B46" s="25"/>
      <c r="C46" s="25"/>
      <c r="D46" s="36"/>
      <c r="E46" s="94"/>
    </row>
    <row r="47" spans="1:8" ht="32.25" customHeight="1" x14ac:dyDescent="0.25">
      <c r="A47" s="196" t="s">
        <v>268</v>
      </c>
      <c r="B47" s="197"/>
      <c r="C47" s="54"/>
      <c r="D47" s="173">
        <v>76500</v>
      </c>
      <c r="E47" s="145" t="s">
        <v>261</v>
      </c>
    </row>
    <row r="48" spans="1:8" ht="30.75" customHeight="1" x14ac:dyDescent="0.25">
      <c r="A48" s="196" t="s">
        <v>262</v>
      </c>
      <c r="B48" s="197"/>
      <c r="C48" s="54"/>
      <c r="D48" s="173">
        <v>16500</v>
      </c>
      <c r="E48" s="146" t="s">
        <v>261</v>
      </c>
      <c r="H48" s="142" t="s">
        <v>269</v>
      </c>
    </row>
    <row r="49" spans="1:10" ht="34.9" customHeight="1" x14ac:dyDescent="0.25">
      <c r="A49" s="198" t="s">
        <v>260</v>
      </c>
      <c r="B49" s="199"/>
      <c r="C49" s="5"/>
      <c r="D49" s="173">
        <v>60000</v>
      </c>
      <c r="E49" s="146" t="s">
        <v>261</v>
      </c>
    </row>
    <row r="50" spans="1:10" ht="33.75" customHeight="1" x14ac:dyDescent="0.25">
      <c r="A50" s="196" t="s">
        <v>248</v>
      </c>
      <c r="B50" s="197"/>
      <c r="C50" s="5"/>
      <c r="D50" s="96">
        <f>60650+58080</f>
        <v>118730</v>
      </c>
      <c r="E50" s="177" t="s">
        <v>259</v>
      </c>
      <c r="I50" s="196"/>
      <c r="J50" s="197"/>
    </row>
    <row r="51" spans="1:10" ht="15.75" customHeight="1" thickBot="1" x14ac:dyDescent="0.3">
      <c r="A51" s="25" t="s">
        <v>34</v>
      </c>
      <c r="B51" s="32"/>
      <c r="C51" s="32"/>
      <c r="D51" s="30"/>
      <c r="E51" s="143">
        <f>SUM(D47:D50)</f>
        <v>271730</v>
      </c>
    </row>
    <row r="52" spans="1:10" ht="15.75" customHeight="1" thickBot="1" x14ac:dyDescent="0.3">
      <c r="A52" s="32" t="s">
        <v>35</v>
      </c>
      <c r="B52" s="63"/>
      <c r="C52" s="25"/>
      <c r="D52" s="27"/>
      <c r="E52" s="94"/>
    </row>
    <row r="53" spans="1:10" x14ac:dyDescent="0.25">
      <c r="A53" s="5" t="s">
        <v>36</v>
      </c>
      <c r="B53" s="5"/>
      <c r="C53" s="5"/>
      <c r="D53" s="173">
        <v>107565.66</v>
      </c>
      <c r="E53" s="102"/>
    </row>
    <row r="54" spans="1:10" x14ac:dyDescent="0.25">
      <c r="A54" s="5" t="s">
        <v>37</v>
      </c>
      <c r="B54" s="5"/>
      <c r="C54" s="5"/>
      <c r="D54" s="173">
        <v>49082</v>
      </c>
      <c r="E54" s="99"/>
    </row>
    <row r="55" spans="1:10" ht="15.75" customHeight="1" thickBot="1" x14ac:dyDescent="0.3">
      <c r="A55" s="51" t="s">
        <v>17</v>
      </c>
      <c r="B55" s="51"/>
      <c r="C55" s="51"/>
      <c r="D55" s="103"/>
      <c r="E55" s="91">
        <f>SUM(D53:D54)</f>
        <v>156647.66</v>
      </c>
    </row>
    <row r="56" spans="1:10" ht="15.75" customHeight="1" thickBot="1" x14ac:dyDescent="0.3">
      <c r="A56" s="5"/>
      <c r="B56" s="5"/>
      <c r="C56" s="5"/>
      <c r="D56" s="85"/>
      <c r="E56" s="104"/>
    </row>
    <row r="57" spans="1:10" ht="15.75" customHeight="1" thickBot="1" x14ac:dyDescent="0.3">
      <c r="A57" s="28" t="s">
        <v>38</v>
      </c>
      <c r="B57" s="28"/>
      <c r="C57" s="28"/>
      <c r="D57" s="105"/>
      <c r="E57" s="134"/>
    </row>
    <row r="58" spans="1:10" ht="15.75" customHeight="1" thickBot="1" x14ac:dyDescent="0.3">
      <c r="A58" s="1"/>
      <c r="D58" s="106"/>
      <c r="E58" s="107"/>
      <c r="F58" s="44"/>
      <c r="G58" s="139"/>
    </row>
    <row r="59" spans="1:10" ht="15.75" customHeight="1" thickBot="1" x14ac:dyDescent="0.3">
      <c r="A59" s="3" t="s">
        <v>39</v>
      </c>
      <c r="B59" s="9"/>
      <c r="C59" s="4"/>
      <c r="D59" s="108"/>
      <c r="E59" s="133">
        <f>(SUM(E26:E57))</f>
        <v>3561596.94</v>
      </c>
      <c r="F59" s="132"/>
    </row>
    <row r="60" spans="1:10" x14ac:dyDescent="0.25">
      <c r="D60" s="106"/>
      <c r="E60" s="106"/>
    </row>
    <row r="61" spans="1:10" ht="15.75" customHeight="1" thickBot="1" x14ac:dyDescent="0.3">
      <c r="D61" s="106"/>
      <c r="E61" s="106"/>
    </row>
    <row r="62" spans="1:10" x14ac:dyDescent="0.25">
      <c r="A62" s="10" t="s">
        <v>40</v>
      </c>
      <c r="B62" s="11"/>
      <c r="C62" s="12"/>
      <c r="D62" s="109"/>
      <c r="E62" s="110"/>
    </row>
    <row r="63" spans="1:10" x14ac:dyDescent="0.25">
      <c r="A63" s="198"/>
      <c r="B63" s="200"/>
      <c r="C63" s="5"/>
      <c r="D63" s="96"/>
      <c r="E63" s="93"/>
    </row>
    <row r="64" spans="1:10" x14ac:dyDescent="0.25">
      <c r="A64" s="95"/>
      <c r="B64" s="97"/>
      <c r="C64" s="5"/>
      <c r="D64" s="96"/>
      <c r="E64" s="93"/>
    </row>
    <row r="65" spans="1:5" x14ac:dyDescent="0.25">
      <c r="A65" s="49"/>
      <c r="B65" s="48"/>
      <c r="C65" s="48"/>
      <c r="D65" s="56"/>
      <c r="E65" s="56">
        <f>SUM(D63:D64)</f>
        <v>0</v>
      </c>
    </row>
    <row r="66" spans="1:5" ht="15" customHeight="1" thickBot="1" x14ac:dyDescent="0.3"/>
    <row r="67" spans="1:5" ht="15.75" hidden="1" customHeight="1" thickBot="1" x14ac:dyDescent="0.3"/>
    <row r="68" spans="1:5" ht="24" customHeight="1" thickBot="1" x14ac:dyDescent="0.3">
      <c r="A68" s="202" t="s">
        <v>41</v>
      </c>
      <c r="B68" s="203"/>
      <c r="C68" s="203"/>
      <c r="D68" s="204"/>
      <c r="E68" s="140"/>
    </row>
    <row r="69" spans="1:5" ht="15.75" customHeight="1" thickBot="1" x14ac:dyDescent="0.3"/>
    <row r="70" spans="1:5" ht="15.75" customHeight="1" thickBot="1" x14ac:dyDescent="0.3">
      <c r="A70" s="3" t="s">
        <v>42</v>
      </c>
      <c r="B70" s="9"/>
      <c r="C70" s="4"/>
      <c r="D70" s="4"/>
      <c r="E70" s="141">
        <f>E65+E68</f>
        <v>0</v>
      </c>
    </row>
    <row r="71" spans="1:5" ht="15.75" customHeight="1" thickBot="1" x14ac:dyDescent="0.3"/>
    <row r="72" spans="1:5" ht="15.75" customHeight="1" thickBot="1" x14ac:dyDescent="0.3">
      <c r="A72" s="82" t="s">
        <v>43</v>
      </c>
      <c r="B72" s="83">
        <f>E59</f>
        <v>3561596.94</v>
      </c>
    </row>
    <row r="73" spans="1:5" ht="15.75" customHeight="1" thickBot="1" x14ac:dyDescent="0.3">
      <c r="A73" s="82" t="s">
        <v>44</v>
      </c>
      <c r="B73" s="83">
        <f>E59-E57</f>
        <v>3561596.94</v>
      </c>
    </row>
    <row r="74" spans="1:5" ht="15.75" customHeight="1" thickBot="1" x14ac:dyDescent="0.3">
      <c r="A74" s="82" t="s">
        <v>45</v>
      </c>
      <c r="B74" s="83">
        <f>E70-E68</f>
        <v>0</v>
      </c>
    </row>
    <row r="75" spans="1:5" ht="15.75" customHeight="1" thickBot="1" x14ac:dyDescent="0.3">
      <c r="A75" s="82" t="s">
        <v>46</v>
      </c>
      <c r="B75" s="83">
        <f>E70</f>
        <v>0</v>
      </c>
    </row>
    <row r="76" spans="1:5" ht="73.5" customHeight="1" x14ac:dyDescent="0.25"/>
    <row r="77" spans="1:5" x14ac:dyDescent="0.25">
      <c r="A77" s="45" t="s">
        <v>47</v>
      </c>
      <c r="B77" s="120"/>
      <c r="C77" s="20"/>
    </row>
    <row r="78" spans="1:5" x14ac:dyDescent="0.25">
      <c r="A78" s="29" t="s">
        <v>48</v>
      </c>
      <c r="B78" s="57">
        <v>831778.51</v>
      </c>
      <c r="C78" s="22"/>
    </row>
    <row r="79" spans="1:5" x14ac:dyDescent="0.25">
      <c r="A79" s="21" t="s">
        <v>49</v>
      </c>
      <c r="B79" s="41">
        <f>PRORRATEO!H92</f>
        <v>6886831.2500000009</v>
      </c>
      <c r="C79" s="20"/>
    </row>
    <row r="80" spans="1:5" x14ac:dyDescent="0.25">
      <c r="A80" s="21" t="s">
        <v>50</v>
      </c>
      <c r="B80" s="99">
        <f>B94</f>
        <v>0</v>
      </c>
      <c r="C80" s="20"/>
    </row>
    <row r="81" spans="1:13" x14ac:dyDescent="0.25">
      <c r="A81" s="115" t="s">
        <v>51</v>
      </c>
      <c r="B81" s="47">
        <f>-21080</f>
        <v>-21080</v>
      </c>
      <c r="C81" s="20"/>
    </row>
    <row r="82" spans="1:13" x14ac:dyDescent="0.25">
      <c r="A82" s="40" t="s">
        <v>52</v>
      </c>
      <c r="B82" s="47">
        <f>-B73</f>
        <v>-3561596.94</v>
      </c>
      <c r="C82" s="20"/>
    </row>
    <row r="83" spans="1:13" x14ac:dyDescent="0.25">
      <c r="A83" s="40" t="s">
        <v>53</v>
      </c>
      <c r="B83" s="47">
        <f>-PRORRATEO!F1</f>
        <v>-2147076</v>
      </c>
      <c r="C83" s="20"/>
    </row>
    <row r="84" spans="1:13" x14ac:dyDescent="0.25">
      <c r="A84" s="40" t="s">
        <v>54</v>
      </c>
      <c r="B84" s="47">
        <f>-PRORRATEO!F2</f>
        <v>-770367.15</v>
      </c>
      <c r="C84" s="20"/>
    </row>
    <row r="85" spans="1:13" x14ac:dyDescent="0.25">
      <c r="A85" s="24" t="s">
        <v>55</v>
      </c>
      <c r="B85" s="47">
        <f>-(B74)</f>
        <v>0</v>
      </c>
      <c r="C85" s="20"/>
    </row>
    <row r="86" spans="1:13" x14ac:dyDescent="0.25">
      <c r="A86" s="123" t="s">
        <v>34</v>
      </c>
      <c r="B86" s="124">
        <f>SUM(B78:B85)</f>
        <v>1218489.6700000009</v>
      </c>
      <c r="C86" s="23"/>
      <c r="D86" s="44"/>
    </row>
    <row r="87" spans="1:13" x14ac:dyDescent="0.25">
      <c r="B87" s="42"/>
      <c r="C87" s="23"/>
      <c r="D87" s="44"/>
      <c r="E87" s="121"/>
      <c r="F87" s="122"/>
    </row>
    <row r="88" spans="1:13" x14ac:dyDescent="0.25">
      <c r="B88" s="42"/>
      <c r="C88" s="23"/>
      <c r="D88" s="44"/>
      <c r="E88" s="121"/>
      <c r="F88" s="122"/>
    </row>
    <row r="89" spans="1:13" x14ac:dyDescent="0.25">
      <c r="A89" s="201" t="s">
        <v>56</v>
      </c>
      <c r="B89" s="195"/>
      <c r="C89" s="195"/>
    </row>
    <row r="90" spans="1:13" x14ac:dyDescent="0.25">
      <c r="A90" s="195"/>
      <c r="B90" s="195"/>
      <c r="C90" s="195"/>
    </row>
    <row r="91" spans="1:13" ht="40.5" customHeight="1" x14ac:dyDescent="0.25">
      <c r="A91" s="53"/>
      <c r="B91" s="136"/>
      <c r="C91" s="35">
        <v>11948.17</v>
      </c>
    </row>
    <row r="92" spans="1:13" ht="36.75" customHeight="1" x14ac:dyDescent="0.25">
      <c r="A92" s="53"/>
      <c r="B92" s="35"/>
      <c r="C92" s="35"/>
    </row>
    <row r="93" spans="1:13" ht="33.75" customHeight="1" x14ac:dyDescent="0.25">
      <c r="A93" s="126"/>
      <c r="B93" s="35"/>
      <c r="C93" s="35">
        <v>61209</v>
      </c>
    </row>
    <row r="94" spans="1:13" x14ac:dyDescent="0.25">
      <c r="A94" s="45" t="s">
        <v>34</v>
      </c>
      <c r="B94" s="111">
        <f>SUM(B91:B93)</f>
        <v>0</v>
      </c>
      <c r="C94" s="46"/>
    </row>
    <row r="95" spans="1:13" x14ac:dyDescent="0.25">
      <c r="M95" s="7"/>
    </row>
    <row r="96" spans="1:13" ht="15" customHeight="1" x14ac:dyDescent="0.25">
      <c r="A96" s="194"/>
      <c r="B96" s="195"/>
      <c r="C96" s="195"/>
      <c r="D96" s="195"/>
      <c r="E96" s="195"/>
    </row>
    <row r="97" spans="1:5" x14ac:dyDescent="0.25">
      <c r="A97" s="195"/>
      <c r="B97" s="195"/>
      <c r="C97" s="195"/>
      <c r="D97" s="195"/>
      <c r="E97" s="195"/>
    </row>
    <row r="98" spans="1:5" x14ac:dyDescent="0.25">
      <c r="A98" s="195"/>
      <c r="B98" s="195"/>
      <c r="C98" s="195"/>
      <c r="D98" s="195"/>
      <c r="E98" s="195"/>
    </row>
    <row r="99" spans="1:5" x14ac:dyDescent="0.25">
      <c r="A99" s="195"/>
      <c r="B99" s="195"/>
      <c r="C99" s="195"/>
      <c r="D99" s="195"/>
      <c r="E99" s="195"/>
    </row>
  </sheetData>
  <mergeCells count="16">
    <mergeCell ref="B5:E5"/>
    <mergeCell ref="B8:C10"/>
    <mergeCell ref="A13:E16"/>
    <mergeCell ref="A29:B29"/>
    <mergeCell ref="A28:B28"/>
    <mergeCell ref="A96:E99"/>
    <mergeCell ref="I50:J50"/>
    <mergeCell ref="A48:B48"/>
    <mergeCell ref="A49:B49"/>
    <mergeCell ref="A33:B33"/>
    <mergeCell ref="A63:B63"/>
    <mergeCell ref="A89:C90"/>
    <mergeCell ref="A44:B44"/>
    <mergeCell ref="A68:D68"/>
    <mergeCell ref="A47:B47"/>
    <mergeCell ref="A50:B50"/>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2"/>
  <sheetViews>
    <sheetView topLeftCell="B65" zoomScaleNormal="100" workbookViewId="0">
      <selection activeCell="E76" sqref="B76:E76"/>
    </sheetView>
  </sheetViews>
  <sheetFormatPr baseColWidth="10" defaultRowHeight="15" x14ac:dyDescent="0.25"/>
  <cols>
    <col min="1" max="1" width="4.28515625" hidden="1" customWidth="1"/>
    <col min="2" max="3" width="4.28515625" customWidth="1"/>
    <col min="4" max="4" width="18.28515625" customWidth="1"/>
    <col min="5" max="5" width="32.42578125" bestFit="1" customWidth="1"/>
    <col min="6" max="6" width="5.42578125" customWidth="1"/>
    <col min="7" max="7" width="14.140625" customWidth="1"/>
    <col min="8" max="8" width="11.5703125" customWidth="1"/>
    <col min="9" max="9" width="10.5703125" customWidth="1"/>
    <col min="10" max="11" width="9.5703125" customWidth="1"/>
    <col min="12" max="12" width="11.7109375" bestFit="1" customWidth="1"/>
    <col min="13" max="15" width="11.7109375" customWidth="1"/>
    <col min="16" max="16" width="14.7109375" customWidth="1"/>
    <col min="17" max="17" width="14.28515625" customWidth="1"/>
    <col min="18" max="18" width="10.42578125" hidden="1" customWidth="1"/>
    <col min="19" max="19" width="12" bestFit="1" customWidth="1"/>
    <col min="20" max="20" width="13" bestFit="1" customWidth="1"/>
  </cols>
  <sheetData>
    <row r="1" spans="1:20" ht="18" customHeight="1" x14ac:dyDescent="0.25">
      <c r="A1" s="6"/>
      <c r="B1" s="6"/>
      <c r="C1" s="6"/>
      <c r="D1" s="6"/>
      <c r="E1" s="6" t="s">
        <v>57</v>
      </c>
      <c r="F1" s="222">
        <v>2147076</v>
      </c>
      <c r="G1" s="220"/>
      <c r="H1" s="175"/>
      <c r="I1" s="175"/>
      <c r="J1" s="175"/>
      <c r="K1" s="176" t="s">
        <v>58</v>
      </c>
      <c r="L1" s="175"/>
      <c r="M1" s="219">
        <f>P1</f>
        <v>3600000</v>
      </c>
      <c r="N1" s="220"/>
      <c r="O1" s="135"/>
      <c r="P1" s="218">
        <v>3600000</v>
      </c>
      <c r="Q1" s="195"/>
      <c r="R1" s="19"/>
    </row>
    <row r="2" spans="1:20" ht="18" customHeight="1" thickBot="1" x14ac:dyDescent="0.3">
      <c r="A2" s="6"/>
      <c r="B2" s="6"/>
      <c r="C2" s="6"/>
      <c r="D2" s="6"/>
      <c r="E2" s="6" t="s">
        <v>59</v>
      </c>
      <c r="F2" s="210">
        <v>770367.15</v>
      </c>
      <c r="G2" s="211"/>
      <c r="H2" s="175" t="s">
        <v>60</v>
      </c>
      <c r="I2" s="221"/>
      <c r="J2" s="211"/>
      <c r="K2" s="175" t="s">
        <v>61</v>
      </c>
      <c r="L2" s="175"/>
      <c r="M2" s="221"/>
      <c r="N2" s="211"/>
      <c r="O2" s="137"/>
      <c r="P2" s="226"/>
      <c r="Q2" s="227"/>
    </row>
    <row r="3" spans="1:20" ht="24" customHeight="1" x14ac:dyDescent="0.25">
      <c r="A3" s="223" t="s">
        <v>62</v>
      </c>
      <c r="B3" s="116"/>
      <c r="C3" s="212" t="s">
        <v>63</v>
      </c>
      <c r="D3" s="212" t="s">
        <v>64</v>
      </c>
      <c r="E3" s="217" t="s">
        <v>65</v>
      </c>
      <c r="F3" s="212" t="s">
        <v>66</v>
      </c>
      <c r="G3" s="214" t="s">
        <v>67</v>
      </c>
      <c r="H3" s="212" t="s">
        <v>49</v>
      </c>
      <c r="I3" s="225" t="s">
        <v>68</v>
      </c>
      <c r="J3" s="214" t="s">
        <v>69</v>
      </c>
      <c r="K3" s="216" t="str">
        <f>K2</f>
        <v>Plan de pago metrogas:</v>
      </c>
      <c r="L3" s="214" t="s">
        <v>70</v>
      </c>
      <c r="M3" s="214" t="s">
        <v>71</v>
      </c>
      <c r="N3" s="214" t="s">
        <v>72</v>
      </c>
      <c r="O3" s="214" t="s">
        <v>73</v>
      </c>
      <c r="P3" s="59" t="s">
        <v>74</v>
      </c>
      <c r="Q3" s="228" t="s">
        <v>75</v>
      </c>
      <c r="T3" s="44"/>
    </row>
    <row r="4" spans="1:20" ht="25.5" customHeight="1" x14ac:dyDescent="0.25">
      <c r="A4" s="224"/>
      <c r="B4" s="117"/>
      <c r="C4" s="213"/>
      <c r="D4" s="213"/>
      <c r="E4" s="215"/>
      <c r="F4" s="213"/>
      <c r="G4" s="215"/>
      <c r="H4" s="213"/>
      <c r="I4" s="215"/>
      <c r="J4" s="215"/>
      <c r="K4" s="213"/>
      <c r="L4" s="215"/>
      <c r="M4" s="215"/>
      <c r="N4" s="215"/>
      <c r="O4" s="215"/>
      <c r="P4" s="58" t="str">
        <f>RESUMEN!B8</f>
        <v>VTO 18/08</v>
      </c>
      <c r="Q4" s="213"/>
    </row>
    <row r="5" spans="1:20" ht="17.100000000000001" customHeight="1" x14ac:dyDescent="0.25">
      <c r="A5" s="61"/>
      <c r="B5" s="61" t="s">
        <v>76</v>
      </c>
      <c r="C5" s="61">
        <v>33</v>
      </c>
      <c r="D5" s="61" t="s">
        <v>77</v>
      </c>
      <c r="E5" s="61"/>
      <c r="F5" s="68">
        <v>2.0199999999999999E-2</v>
      </c>
      <c r="G5" s="69">
        <v>145692.32999999999</v>
      </c>
      <c r="H5" s="118">
        <f>G5</f>
        <v>145692.32999999999</v>
      </c>
      <c r="I5" s="70">
        <f t="shared" ref="I5:I36" si="0">G5-H5</f>
        <v>0</v>
      </c>
      <c r="J5" s="70">
        <f t="shared" ref="J5:J36" si="1">IF(I5&gt;0,I5*3%,0)</f>
        <v>0</v>
      </c>
      <c r="K5" s="71">
        <f t="shared" ref="K5:K36" si="2">M$2*F5</f>
        <v>0</v>
      </c>
      <c r="L5" s="71">
        <f t="shared" ref="L5:L36" si="3">M$1*F5</f>
        <v>72720</v>
      </c>
      <c r="M5" s="125">
        <f t="shared" ref="M5:M36" si="4">F$1*F5</f>
        <v>43370.9352</v>
      </c>
      <c r="N5" s="125">
        <f t="shared" ref="N5:N36" si="5">F$2*F5</f>
        <v>15561.416429999999</v>
      </c>
      <c r="O5" s="125">
        <f t="shared" ref="O5:O36" si="6">I$2*F5</f>
        <v>0</v>
      </c>
      <c r="P5" s="72">
        <f t="shared" ref="P5:P36" si="7">ROUND(SUM(I5:O5),0) + R5</f>
        <v>131652.32999999999</v>
      </c>
      <c r="Q5" s="73">
        <f t="shared" ref="Q5:Q36" si="8">ROUND(P5*3%,0) + P5</f>
        <v>135602.32999999999</v>
      </c>
      <c r="R5" s="44">
        <f t="shared" ref="R5:R36" si="9">ROUND(0.001+C5/100,2)</f>
        <v>0.33</v>
      </c>
    </row>
    <row r="6" spans="1:20" ht="17.100000000000001" customHeight="1" x14ac:dyDescent="0.25">
      <c r="A6" s="61"/>
      <c r="B6" s="61" t="s">
        <v>78</v>
      </c>
      <c r="C6" s="61">
        <v>34</v>
      </c>
      <c r="D6" s="61" t="s">
        <v>79</v>
      </c>
      <c r="E6" s="62"/>
      <c r="F6" s="68">
        <v>1.3899999999999999E-2</v>
      </c>
      <c r="G6" s="69">
        <v>100253.34</v>
      </c>
      <c r="H6" s="118">
        <f>G6</f>
        <v>100253.34</v>
      </c>
      <c r="I6" s="70">
        <f t="shared" si="0"/>
        <v>0</v>
      </c>
      <c r="J6" s="70">
        <f t="shared" si="1"/>
        <v>0</v>
      </c>
      <c r="K6" s="71">
        <f t="shared" si="2"/>
        <v>0</v>
      </c>
      <c r="L6" s="71">
        <f t="shared" si="3"/>
        <v>50040</v>
      </c>
      <c r="M6" s="125">
        <f t="shared" si="4"/>
        <v>29844.356399999997</v>
      </c>
      <c r="N6" s="125">
        <f t="shared" si="5"/>
        <v>10708.103385</v>
      </c>
      <c r="O6" s="125">
        <f t="shared" si="6"/>
        <v>0</v>
      </c>
      <c r="P6" s="72">
        <f t="shared" si="7"/>
        <v>90592.34</v>
      </c>
      <c r="Q6" s="73">
        <f t="shared" si="8"/>
        <v>93310.34</v>
      </c>
      <c r="R6" s="44">
        <f t="shared" si="9"/>
        <v>0.34</v>
      </c>
      <c r="S6" s="44"/>
    </row>
    <row r="7" spans="1:20" ht="17.100000000000001" customHeight="1" x14ac:dyDescent="0.25">
      <c r="A7" s="61">
        <v>1</v>
      </c>
      <c r="B7" s="61" t="s">
        <v>80</v>
      </c>
      <c r="C7" s="61">
        <v>35</v>
      </c>
      <c r="D7" s="178" t="s">
        <v>81</v>
      </c>
      <c r="E7" s="181"/>
      <c r="F7" s="179">
        <v>1.4200000000000001E-2</v>
      </c>
      <c r="G7" s="69">
        <v>96180.35</v>
      </c>
      <c r="H7" s="118">
        <f>G7</f>
        <v>96180.35</v>
      </c>
      <c r="I7" s="70">
        <f t="shared" si="0"/>
        <v>0</v>
      </c>
      <c r="J7" s="70">
        <f t="shared" si="1"/>
        <v>0</v>
      </c>
      <c r="K7" s="71">
        <f t="shared" si="2"/>
        <v>0</v>
      </c>
      <c r="L7" s="71">
        <f t="shared" si="3"/>
        <v>51120</v>
      </c>
      <c r="M7" s="125">
        <f t="shared" si="4"/>
        <v>30488.479200000002</v>
      </c>
      <c r="N7" s="125">
        <f t="shared" si="5"/>
        <v>10939.213530000001</v>
      </c>
      <c r="O7" s="125">
        <f t="shared" si="6"/>
        <v>0</v>
      </c>
      <c r="P7" s="72">
        <f t="shared" si="7"/>
        <v>92548.35</v>
      </c>
      <c r="Q7" s="73">
        <f t="shared" si="8"/>
        <v>95324.35</v>
      </c>
      <c r="R7" s="44">
        <f t="shared" si="9"/>
        <v>0.35</v>
      </c>
    </row>
    <row r="8" spans="1:20" ht="17.100000000000001" customHeight="1" x14ac:dyDescent="0.25">
      <c r="A8" s="61">
        <v>2</v>
      </c>
      <c r="B8" s="61" t="s">
        <v>82</v>
      </c>
      <c r="C8" s="61">
        <v>36</v>
      </c>
      <c r="D8" s="178" t="s">
        <v>83</v>
      </c>
      <c r="E8" s="181"/>
      <c r="F8" s="179">
        <v>2.0199999999999999E-2</v>
      </c>
      <c r="G8" s="69">
        <v>136239.35999999999</v>
      </c>
      <c r="H8" s="118">
        <f>141812-H64</f>
        <v>140369.78</v>
      </c>
      <c r="I8" s="70">
        <f t="shared" si="0"/>
        <v>-4130.4200000000128</v>
      </c>
      <c r="J8" s="70">
        <f t="shared" si="1"/>
        <v>0</v>
      </c>
      <c r="K8" s="71">
        <f t="shared" si="2"/>
        <v>0</v>
      </c>
      <c r="L8" s="71">
        <f t="shared" si="3"/>
        <v>72720</v>
      </c>
      <c r="M8" s="125">
        <f t="shared" si="4"/>
        <v>43370.9352</v>
      </c>
      <c r="N8" s="125">
        <f t="shared" si="5"/>
        <v>15561.416429999999</v>
      </c>
      <c r="O8" s="125">
        <f t="shared" si="6"/>
        <v>0</v>
      </c>
      <c r="P8" s="72">
        <f t="shared" si="7"/>
        <v>127522.36</v>
      </c>
      <c r="Q8" s="73">
        <f t="shared" si="8"/>
        <v>131348.35999999999</v>
      </c>
      <c r="R8" s="44">
        <f t="shared" si="9"/>
        <v>0.36</v>
      </c>
      <c r="T8" s="44"/>
    </row>
    <row r="9" spans="1:20" ht="17.100000000000001" customHeight="1" x14ac:dyDescent="0.25">
      <c r="A9" s="61">
        <v>3</v>
      </c>
      <c r="B9" s="61" t="s">
        <v>84</v>
      </c>
      <c r="C9" s="61">
        <v>37</v>
      </c>
      <c r="D9" s="60" t="s">
        <v>85</v>
      </c>
      <c r="E9" s="74" t="s">
        <v>86</v>
      </c>
      <c r="F9" s="68">
        <v>2.0199999999999999E-2</v>
      </c>
      <c r="G9" s="69">
        <v>116853.37</v>
      </c>
      <c r="H9" s="118">
        <f>24240.37+120239.37</f>
        <v>144479.74</v>
      </c>
      <c r="I9" s="70">
        <f t="shared" si="0"/>
        <v>-27626.369999999995</v>
      </c>
      <c r="J9" s="70">
        <f t="shared" si="1"/>
        <v>0</v>
      </c>
      <c r="K9" s="71">
        <f t="shared" si="2"/>
        <v>0</v>
      </c>
      <c r="L9" s="71">
        <f t="shared" si="3"/>
        <v>72720</v>
      </c>
      <c r="M9" s="125">
        <f t="shared" si="4"/>
        <v>43370.9352</v>
      </c>
      <c r="N9" s="125">
        <f t="shared" si="5"/>
        <v>15561.416429999999</v>
      </c>
      <c r="O9" s="125">
        <f t="shared" si="6"/>
        <v>0</v>
      </c>
      <c r="P9" s="72">
        <f t="shared" si="7"/>
        <v>104026.37</v>
      </c>
      <c r="Q9" s="73">
        <f t="shared" si="8"/>
        <v>107147.37</v>
      </c>
      <c r="R9" s="44">
        <f t="shared" si="9"/>
        <v>0.37</v>
      </c>
      <c r="T9" s="44"/>
    </row>
    <row r="10" spans="1:20" ht="17.100000000000001" customHeight="1" x14ac:dyDescent="0.25">
      <c r="A10" s="61">
        <v>4</v>
      </c>
      <c r="B10" s="61" t="s">
        <v>87</v>
      </c>
      <c r="C10" s="61">
        <v>38</v>
      </c>
      <c r="D10" s="60" t="s">
        <v>88</v>
      </c>
      <c r="E10" s="60" t="s">
        <v>89</v>
      </c>
      <c r="F10" s="68">
        <v>1.3899999999999999E-2</v>
      </c>
      <c r="G10" s="69">
        <v>166932.38</v>
      </c>
      <c r="H10" s="118">
        <f>83573.38+16680+66679</f>
        <v>166932.38</v>
      </c>
      <c r="I10" s="70">
        <f t="shared" si="0"/>
        <v>0</v>
      </c>
      <c r="J10" s="70">
        <f t="shared" si="1"/>
        <v>0</v>
      </c>
      <c r="K10" s="71">
        <f t="shared" si="2"/>
        <v>0</v>
      </c>
      <c r="L10" s="71">
        <f t="shared" si="3"/>
        <v>50040</v>
      </c>
      <c r="M10" s="125">
        <f t="shared" si="4"/>
        <v>29844.356399999997</v>
      </c>
      <c r="N10" s="125">
        <f t="shared" si="5"/>
        <v>10708.103385</v>
      </c>
      <c r="O10" s="125">
        <f t="shared" si="6"/>
        <v>0</v>
      </c>
      <c r="P10" s="72">
        <f t="shared" si="7"/>
        <v>90592.38</v>
      </c>
      <c r="Q10" s="73">
        <f t="shared" si="8"/>
        <v>93310.38</v>
      </c>
      <c r="R10" s="44">
        <f t="shared" si="9"/>
        <v>0.38</v>
      </c>
    </row>
    <row r="11" spans="1:20" ht="17.100000000000001" customHeight="1" x14ac:dyDescent="0.25">
      <c r="A11" s="61">
        <v>5</v>
      </c>
      <c r="B11" s="61" t="s">
        <v>90</v>
      </c>
      <c r="C11" s="61">
        <v>39</v>
      </c>
      <c r="D11" s="60" t="s">
        <v>91</v>
      </c>
      <c r="E11" s="60"/>
      <c r="F11" s="68">
        <v>1.3899999999999999E-2</v>
      </c>
      <c r="G11" s="69">
        <v>100253.39</v>
      </c>
      <c r="H11" s="118">
        <v>100253.39</v>
      </c>
      <c r="I11" s="70">
        <f t="shared" si="0"/>
        <v>0</v>
      </c>
      <c r="J11" s="70">
        <f t="shared" si="1"/>
        <v>0</v>
      </c>
      <c r="K11" s="71">
        <f t="shared" si="2"/>
        <v>0</v>
      </c>
      <c r="L11" s="71">
        <f t="shared" si="3"/>
        <v>50040</v>
      </c>
      <c r="M11" s="125">
        <f t="shared" si="4"/>
        <v>29844.356399999997</v>
      </c>
      <c r="N11" s="125">
        <f t="shared" si="5"/>
        <v>10708.103385</v>
      </c>
      <c r="O11" s="125">
        <f t="shared" si="6"/>
        <v>0</v>
      </c>
      <c r="P11" s="72">
        <f t="shared" si="7"/>
        <v>90592.39</v>
      </c>
      <c r="Q11" s="73">
        <f t="shared" si="8"/>
        <v>93310.39</v>
      </c>
      <c r="R11" s="44">
        <f t="shared" si="9"/>
        <v>0.39</v>
      </c>
    </row>
    <row r="12" spans="1:20" ht="17.100000000000001" customHeight="1" x14ac:dyDescent="0.25">
      <c r="A12" s="61">
        <v>6</v>
      </c>
      <c r="B12" s="61" t="s">
        <v>92</v>
      </c>
      <c r="C12" s="61">
        <v>40</v>
      </c>
      <c r="D12" s="60" t="s">
        <v>93</v>
      </c>
      <c r="E12" s="74"/>
      <c r="F12" s="68">
        <v>2.0199999999999999E-2</v>
      </c>
      <c r="G12" s="69">
        <v>145693.4</v>
      </c>
      <c r="H12" s="118"/>
      <c r="I12" s="70">
        <f t="shared" si="0"/>
        <v>145693.4</v>
      </c>
      <c r="J12" s="70">
        <f t="shared" si="1"/>
        <v>4370.8019999999997</v>
      </c>
      <c r="K12" s="71">
        <f t="shared" si="2"/>
        <v>0</v>
      </c>
      <c r="L12" s="71">
        <f t="shared" si="3"/>
        <v>72720</v>
      </c>
      <c r="M12" s="125">
        <f t="shared" si="4"/>
        <v>43370.9352</v>
      </c>
      <c r="N12" s="125">
        <f t="shared" si="5"/>
        <v>15561.416429999999</v>
      </c>
      <c r="O12" s="125">
        <f t="shared" si="6"/>
        <v>0</v>
      </c>
      <c r="P12" s="72">
        <f t="shared" si="7"/>
        <v>281717.40000000002</v>
      </c>
      <c r="Q12" s="73">
        <f t="shared" si="8"/>
        <v>290169.40000000002</v>
      </c>
      <c r="R12" s="44">
        <f t="shared" si="9"/>
        <v>0.4</v>
      </c>
    </row>
    <row r="13" spans="1:20" ht="17.100000000000001" customHeight="1" x14ac:dyDescent="0.25">
      <c r="A13" s="61">
        <v>7</v>
      </c>
      <c r="B13" s="61" t="s">
        <v>94</v>
      </c>
      <c r="C13" s="61">
        <v>41</v>
      </c>
      <c r="D13" s="178" t="s">
        <v>95</v>
      </c>
      <c r="E13" s="181" t="s">
        <v>96</v>
      </c>
      <c r="F13" s="179">
        <v>2.0199999999999999E-2</v>
      </c>
      <c r="G13" s="69">
        <v>192089.41</v>
      </c>
      <c r="H13" s="118">
        <v>121453</v>
      </c>
      <c r="I13" s="70">
        <f t="shared" si="0"/>
        <v>70636.41</v>
      </c>
      <c r="J13" s="70">
        <f t="shared" si="1"/>
        <v>2119.0923000000003</v>
      </c>
      <c r="K13" s="71">
        <f t="shared" si="2"/>
        <v>0</v>
      </c>
      <c r="L13" s="71">
        <f t="shared" si="3"/>
        <v>72720</v>
      </c>
      <c r="M13" s="125">
        <f t="shared" si="4"/>
        <v>43370.9352</v>
      </c>
      <c r="N13" s="125">
        <f t="shared" si="5"/>
        <v>15561.416429999999</v>
      </c>
      <c r="O13" s="125">
        <f t="shared" si="6"/>
        <v>0</v>
      </c>
      <c r="P13" s="72">
        <f t="shared" si="7"/>
        <v>204408.41</v>
      </c>
      <c r="Q13" s="73">
        <f t="shared" si="8"/>
        <v>210540.41</v>
      </c>
      <c r="R13" s="44">
        <f t="shared" si="9"/>
        <v>0.41</v>
      </c>
    </row>
    <row r="14" spans="1:20" ht="17.100000000000001" customHeight="1" x14ac:dyDescent="0.25">
      <c r="A14" s="61">
        <v>8</v>
      </c>
      <c r="B14" s="61" t="s">
        <v>97</v>
      </c>
      <c r="C14" s="61">
        <v>42</v>
      </c>
      <c r="D14" s="60" t="s">
        <v>98</v>
      </c>
      <c r="E14" s="60" t="s">
        <v>99</v>
      </c>
      <c r="F14" s="68">
        <v>1.3899999999999999E-2</v>
      </c>
      <c r="G14" s="69">
        <v>100253.42</v>
      </c>
      <c r="H14" s="118">
        <f>G14</f>
        <v>100253.42</v>
      </c>
      <c r="I14" s="70">
        <f t="shared" si="0"/>
        <v>0</v>
      </c>
      <c r="J14" s="70">
        <f t="shared" si="1"/>
        <v>0</v>
      </c>
      <c r="K14" s="71">
        <f t="shared" si="2"/>
        <v>0</v>
      </c>
      <c r="L14" s="71">
        <f t="shared" si="3"/>
        <v>50040</v>
      </c>
      <c r="M14" s="125">
        <f t="shared" si="4"/>
        <v>29844.356399999997</v>
      </c>
      <c r="N14" s="125">
        <f t="shared" si="5"/>
        <v>10708.103385</v>
      </c>
      <c r="O14" s="125">
        <f t="shared" si="6"/>
        <v>0</v>
      </c>
      <c r="P14" s="72">
        <f t="shared" si="7"/>
        <v>90592.42</v>
      </c>
      <c r="Q14" s="73">
        <f t="shared" si="8"/>
        <v>93310.42</v>
      </c>
      <c r="R14" s="44">
        <f t="shared" si="9"/>
        <v>0.42</v>
      </c>
    </row>
    <row r="15" spans="1:20" ht="17.100000000000001" customHeight="1" x14ac:dyDescent="0.25">
      <c r="A15" s="61">
        <v>1</v>
      </c>
      <c r="B15" s="61" t="s">
        <v>100</v>
      </c>
      <c r="C15" s="61">
        <v>43</v>
      </c>
      <c r="D15" s="60" t="s">
        <v>98</v>
      </c>
      <c r="E15" s="60" t="s">
        <v>101</v>
      </c>
      <c r="F15" s="68">
        <v>1.3899999999999999E-2</v>
      </c>
      <c r="G15" s="69">
        <v>100253.43</v>
      </c>
      <c r="H15" s="118">
        <f>G15</f>
        <v>100253.43</v>
      </c>
      <c r="I15" s="70">
        <f t="shared" si="0"/>
        <v>0</v>
      </c>
      <c r="J15" s="70">
        <f t="shared" si="1"/>
        <v>0</v>
      </c>
      <c r="K15" s="71">
        <f t="shared" si="2"/>
        <v>0</v>
      </c>
      <c r="L15" s="71">
        <f t="shared" si="3"/>
        <v>50040</v>
      </c>
      <c r="M15" s="125">
        <f t="shared" si="4"/>
        <v>29844.356399999997</v>
      </c>
      <c r="N15" s="125">
        <f t="shared" si="5"/>
        <v>10708.103385</v>
      </c>
      <c r="O15" s="125">
        <f t="shared" si="6"/>
        <v>0</v>
      </c>
      <c r="P15" s="72">
        <f t="shared" si="7"/>
        <v>90592.43</v>
      </c>
      <c r="Q15" s="73">
        <f t="shared" si="8"/>
        <v>93310.43</v>
      </c>
      <c r="R15" s="44">
        <f t="shared" si="9"/>
        <v>0.43</v>
      </c>
    </row>
    <row r="16" spans="1:20" ht="17.100000000000001" customHeight="1" x14ac:dyDescent="0.25">
      <c r="A16" s="61">
        <v>1</v>
      </c>
      <c r="B16" s="61" t="s">
        <v>102</v>
      </c>
      <c r="C16" s="61">
        <v>44</v>
      </c>
      <c r="D16" s="186" t="s">
        <v>103</v>
      </c>
      <c r="E16" s="187" t="s">
        <v>104</v>
      </c>
      <c r="F16" s="188">
        <v>2.0199999999999999E-2</v>
      </c>
      <c r="G16" s="189">
        <v>145692.44</v>
      </c>
      <c r="H16" s="118"/>
      <c r="I16" s="70">
        <f t="shared" si="0"/>
        <v>145692.44</v>
      </c>
      <c r="J16" s="70">
        <f t="shared" si="1"/>
        <v>4370.7731999999996</v>
      </c>
      <c r="K16" s="71">
        <f t="shared" si="2"/>
        <v>0</v>
      </c>
      <c r="L16" s="71">
        <f t="shared" si="3"/>
        <v>72720</v>
      </c>
      <c r="M16" s="125">
        <f t="shared" si="4"/>
        <v>43370.9352</v>
      </c>
      <c r="N16" s="125">
        <f t="shared" si="5"/>
        <v>15561.416429999999</v>
      </c>
      <c r="O16" s="125">
        <f t="shared" si="6"/>
        <v>0</v>
      </c>
      <c r="P16" s="72">
        <f t="shared" si="7"/>
        <v>281716.44</v>
      </c>
      <c r="Q16" s="73">
        <f t="shared" si="8"/>
        <v>290167.44</v>
      </c>
      <c r="R16" s="44">
        <f t="shared" si="9"/>
        <v>0.44</v>
      </c>
    </row>
    <row r="17" spans="1:20" ht="17.100000000000001" customHeight="1" x14ac:dyDescent="0.25">
      <c r="A17" s="61">
        <v>2</v>
      </c>
      <c r="B17" s="61" t="s">
        <v>105</v>
      </c>
      <c r="C17" s="61">
        <v>45</v>
      </c>
      <c r="D17" s="60" t="s">
        <v>98</v>
      </c>
      <c r="E17" s="74" t="s">
        <v>106</v>
      </c>
      <c r="F17" s="68">
        <v>2.0199999999999999E-2</v>
      </c>
      <c r="G17" s="69">
        <v>145692.45000000001</v>
      </c>
      <c r="H17" s="118">
        <f>G17</f>
        <v>145692.45000000001</v>
      </c>
      <c r="I17" s="70">
        <f t="shared" si="0"/>
        <v>0</v>
      </c>
      <c r="J17" s="70">
        <f t="shared" si="1"/>
        <v>0</v>
      </c>
      <c r="K17" s="71">
        <f t="shared" si="2"/>
        <v>0</v>
      </c>
      <c r="L17" s="71">
        <f t="shared" si="3"/>
        <v>72720</v>
      </c>
      <c r="M17" s="125">
        <f t="shared" si="4"/>
        <v>43370.9352</v>
      </c>
      <c r="N17" s="125">
        <f t="shared" si="5"/>
        <v>15561.416429999999</v>
      </c>
      <c r="O17" s="125">
        <f t="shared" si="6"/>
        <v>0</v>
      </c>
      <c r="P17" s="72">
        <f t="shared" si="7"/>
        <v>131652.45000000001</v>
      </c>
      <c r="Q17" s="73">
        <f t="shared" si="8"/>
        <v>135602.45000000001</v>
      </c>
      <c r="R17" s="44">
        <f t="shared" si="9"/>
        <v>0.45</v>
      </c>
    </row>
    <row r="18" spans="1:20" ht="17.100000000000001" customHeight="1" x14ac:dyDescent="0.25">
      <c r="A18" s="61">
        <v>2</v>
      </c>
      <c r="B18" s="61" t="s">
        <v>107</v>
      </c>
      <c r="C18" s="61">
        <v>46</v>
      </c>
      <c r="D18" s="60" t="s">
        <v>98</v>
      </c>
      <c r="E18" s="60" t="s">
        <v>108</v>
      </c>
      <c r="F18" s="68">
        <v>1.3899999999999999E-2</v>
      </c>
      <c r="G18" s="69">
        <v>100253.46</v>
      </c>
      <c r="H18" s="118">
        <f>G18</f>
        <v>100253.46</v>
      </c>
      <c r="I18" s="70">
        <f t="shared" si="0"/>
        <v>0</v>
      </c>
      <c r="J18" s="70">
        <f t="shared" si="1"/>
        <v>0</v>
      </c>
      <c r="K18" s="71">
        <f t="shared" si="2"/>
        <v>0</v>
      </c>
      <c r="L18" s="71">
        <f t="shared" si="3"/>
        <v>50040</v>
      </c>
      <c r="M18" s="125">
        <f t="shared" si="4"/>
        <v>29844.356399999997</v>
      </c>
      <c r="N18" s="125">
        <f t="shared" si="5"/>
        <v>10708.103385</v>
      </c>
      <c r="O18" s="125">
        <f t="shared" si="6"/>
        <v>0</v>
      </c>
      <c r="P18" s="72">
        <f t="shared" si="7"/>
        <v>90592.46</v>
      </c>
      <c r="Q18" s="73">
        <f t="shared" si="8"/>
        <v>93310.46</v>
      </c>
      <c r="R18" s="44">
        <f t="shared" si="9"/>
        <v>0.46</v>
      </c>
      <c r="S18" s="119"/>
    </row>
    <row r="19" spans="1:20" ht="17.100000000000001" customHeight="1" x14ac:dyDescent="0.25">
      <c r="A19" s="61">
        <v>3</v>
      </c>
      <c r="B19" s="61" t="s">
        <v>109</v>
      </c>
      <c r="C19" s="61">
        <v>47</v>
      </c>
      <c r="D19" s="60" t="s">
        <v>98</v>
      </c>
      <c r="E19" s="74" t="s">
        <v>272</v>
      </c>
      <c r="F19" s="68">
        <v>1.3899999999999999E-2</v>
      </c>
      <c r="G19" s="69">
        <v>95238.47</v>
      </c>
      <c r="H19" s="118">
        <f>95238</f>
        <v>95238</v>
      </c>
      <c r="I19" s="70">
        <f t="shared" si="0"/>
        <v>0.47000000000116415</v>
      </c>
      <c r="J19" s="70">
        <f t="shared" si="1"/>
        <v>1.4100000000034925E-2</v>
      </c>
      <c r="K19" s="71">
        <f t="shared" si="2"/>
        <v>0</v>
      </c>
      <c r="L19" s="71">
        <f t="shared" si="3"/>
        <v>50040</v>
      </c>
      <c r="M19" s="125">
        <f t="shared" si="4"/>
        <v>29844.356399999997</v>
      </c>
      <c r="N19" s="125">
        <f t="shared" si="5"/>
        <v>10708.103385</v>
      </c>
      <c r="O19" s="125">
        <f t="shared" si="6"/>
        <v>0</v>
      </c>
      <c r="P19" s="72">
        <f t="shared" si="7"/>
        <v>90593.47</v>
      </c>
      <c r="Q19" s="73">
        <f t="shared" si="8"/>
        <v>93311.47</v>
      </c>
      <c r="R19" s="44">
        <f t="shared" si="9"/>
        <v>0.47</v>
      </c>
      <c r="S19" s="119"/>
    </row>
    <row r="20" spans="1:20" ht="17.100000000000001" customHeight="1" x14ac:dyDescent="0.25">
      <c r="A20" s="61">
        <v>3</v>
      </c>
      <c r="B20" s="61" t="s">
        <v>110</v>
      </c>
      <c r="C20" s="61">
        <v>48</v>
      </c>
      <c r="D20" s="191" t="s">
        <v>111</v>
      </c>
      <c r="E20" s="191" t="s">
        <v>112</v>
      </c>
      <c r="F20" s="192">
        <v>2.0199999999999999E-2</v>
      </c>
      <c r="G20" s="69">
        <v>145692.48000000001</v>
      </c>
      <c r="H20" s="118">
        <f>183918-H89</f>
        <v>145691.85</v>
      </c>
      <c r="I20" s="70">
        <f t="shared" si="0"/>
        <v>0.63000000000465661</v>
      </c>
      <c r="J20" s="70">
        <f t="shared" si="1"/>
        <v>1.8900000000139697E-2</v>
      </c>
      <c r="K20" s="71">
        <f t="shared" si="2"/>
        <v>0</v>
      </c>
      <c r="L20" s="71">
        <f t="shared" si="3"/>
        <v>72720</v>
      </c>
      <c r="M20" s="125">
        <f t="shared" si="4"/>
        <v>43370.9352</v>
      </c>
      <c r="N20" s="125">
        <f t="shared" si="5"/>
        <v>15561.416429999999</v>
      </c>
      <c r="O20" s="125">
        <f t="shared" si="6"/>
        <v>0</v>
      </c>
      <c r="P20" s="72">
        <f t="shared" si="7"/>
        <v>131653.48000000001</v>
      </c>
      <c r="Q20" s="73">
        <f t="shared" si="8"/>
        <v>135603.48000000001</v>
      </c>
      <c r="R20" s="44">
        <f t="shared" si="9"/>
        <v>0.48</v>
      </c>
      <c r="S20" s="119"/>
      <c r="T20" s="43"/>
    </row>
    <row r="21" spans="1:20" ht="17.100000000000001" customHeight="1" x14ac:dyDescent="0.25">
      <c r="A21" s="61">
        <v>4</v>
      </c>
      <c r="B21" s="61" t="s">
        <v>113</v>
      </c>
      <c r="C21" s="61">
        <v>49</v>
      </c>
      <c r="D21" s="60" t="s">
        <v>98</v>
      </c>
      <c r="E21" s="74" t="s">
        <v>114</v>
      </c>
      <c r="F21" s="68">
        <v>2.0199999999999999E-2</v>
      </c>
      <c r="G21" s="69">
        <v>145692.49</v>
      </c>
      <c r="H21" s="118">
        <f>G21</f>
        <v>145692.49</v>
      </c>
      <c r="I21" s="70">
        <f t="shared" si="0"/>
        <v>0</v>
      </c>
      <c r="J21" s="70">
        <f t="shared" si="1"/>
        <v>0</v>
      </c>
      <c r="K21" s="71">
        <f t="shared" si="2"/>
        <v>0</v>
      </c>
      <c r="L21" s="71">
        <f t="shared" si="3"/>
        <v>72720</v>
      </c>
      <c r="M21" s="125">
        <f t="shared" si="4"/>
        <v>43370.9352</v>
      </c>
      <c r="N21" s="125">
        <f t="shared" si="5"/>
        <v>15561.416429999999</v>
      </c>
      <c r="O21" s="125">
        <f t="shared" si="6"/>
        <v>0</v>
      </c>
      <c r="P21" s="72">
        <f t="shared" si="7"/>
        <v>131652.49</v>
      </c>
      <c r="Q21" s="73">
        <f t="shared" si="8"/>
        <v>135602.49</v>
      </c>
      <c r="R21" s="44">
        <f t="shared" si="9"/>
        <v>0.49</v>
      </c>
    </row>
    <row r="22" spans="1:20" ht="17.100000000000001" customHeight="1" x14ac:dyDescent="0.25">
      <c r="A22" s="61">
        <v>4</v>
      </c>
      <c r="B22" s="61" t="s">
        <v>115</v>
      </c>
      <c r="C22" s="61">
        <v>50</v>
      </c>
      <c r="D22" s="60" t="s">
        <v>98</v>
      </c>
      <c r="E22" s="170"/>
      <c r="F22" s="68">
        <v>1.3899999999999999E-2</v>
      </c>
      <c r="G22" s="69">
        <v>574079.5</v>
      </c>
      <c r="H22" s="118">
        <v>100000</v>
      </c>
      <c r="I22" s="70">
        <f t="shared" si="0"/>
        <v>474079.5</v>
      </c>
      <c r="J22" s="70">
        <f t="shared" si="1"/>
        <v>14222.385</v>
      </c>
      <c r="K22" s="71">
        <f t="shared" si="2"/>
        <v>0</v>
      </c>
      <c r="L22" s="71">
        <f t="shared" si="3"/>
        <v>50040</v>
      </c>
      <c r="M22" s="125">
        <f t="shared" si="4"/>
        <v>29844.356399999997</v>
      </c>
      <c r="N22" s="125">
        <f t="shared" si="5"/>
        <v>10708.103385</v>
      </c>
      <c r="O22" s="125">
        <f t="shared" si="6"/>
        <v>0</v>
      </c>
      <c r="P22" s="72">
        <f t="shared" si="7"/>
        <v>578894.5</v>
      </c>
      <c r="Q22" s="73">
        <f t="shared" si="8"/>
        <v>596261.5</v>
      </c>
      <c r="R22" s="44">
        <f t="shared" si="9"/>
        <v>0.5</v>
      </c>
    </row>
    <row r="23" spans="1:20" ht="17.100000000000001" customHeight="1" x14ac:dyDescent="0.25">
      <c r="A23" s="61">
        <v>5</v>
      </c>
      <c r="B23" s="61" t="s">
        <v>116</v>
      </c>
      <c r="C23" s="61">
        <v>51</v>
      </c>
      <c r="D23" s="60" t="s">
        <v>98</v>
      </c>
      <c r="E23" s="74" t="s">
        <v>117</v>
      </c>
      <c r="F23" s="68">
        <v>1.3899999999999999E-2</v>
      </c>
      <c r="G23" s="69">
        <v>394277.51</v>
      </c>
      <c r="H23" s="118">
        <v>448716.51</v>
      </c>
      <c r="I23" s="70">
        <f t="shared" si="0"/>
        <v>-54439</v>
      </c>
      <c r="J23" s="70">
        <f t="shared" si="1"/>
        <v>0</v>
      </c>
      <c r="K23" s="71">
        <f t="shared" si="2"/>
        <v>0</v>
      </c>
      <c r="L23" s="71">
        <f t="shared" si="3"/>
        <v>50040</v>
      </c>
      <c r="M23" s="125">
        <f t="shared" si="4"/>
        <v>29844.356399999997</v>
      </c>
      <c r="N23" s="125">
        <f t="shared" si="5"/>
        <v>10708.103385</v>
      </c>
      <c r="O23" s="125">
        <f t="shared" si="6"/>
        <v>0</v>
      </c>
      <c r="P23" s="72">
        <f t="shared" si="7"/>
        <v>36153.51</v>
      </c>
      <c r="Q23" s="73">
        <f t="shared" si="8"/>
        <v>37238.51</v>
      </c>
      <c r="R23" s="44">
        <f t="shared" si="9"/>
        <v>0.51</v>
      </c>
    </row>
    <row r="24" spans="1:20" ht="17.100000000000001" customHeight="1" x14ac:dyDescent="0.25">
      <c r="A24" s="61">
        <v>5</v>
      </c>
      <c r="B24" s="61" t="s">
        <v>118</v>
      </c>
      <c r="C24" s="61">
        <v>52</v>
      </c>
      <c r="D24" s="60" t="s">
        <v>119</v>
      </c>
      <c r="E24" s="60" t="s">
        <v>120</v>
      </c>
      <c r="F24" s="68">
        <v>2.0199999999999999E-2</v>
      </c>
      <c r="G24" s="69">
        <v>145692.51999999999</v>
      </c>
      <c r="H24" s="118">
        <f>24240.52+121452</f>
        <v>145692.51999999999</v>
      </c>
      <c r="I24" s="84">
        <f t="shared" si="0"/>
        <v>0</v>
      </c>
      <c r="J24" s="70">
        <f t="shared" si="1"/>
        <v>0</v>
      </c>
      <c r="K24" s="71">
        <f t="shared" si="2"/>
        <v>0</v>
      </c>
      <c r="L24" s="71">
        <f t="shared" si="3"/>
        <v>72720</v>
      </c>
      <c r="M24" s="125">
        <f t="shared" si="4"/>
        <v>43370.9352</v>
      </c>
      <c r="N24" s="125">
        <f t="shared" si="5"/>
        <v>15561.416429999999</v>
      </c>
      <c r="O24" s="125">
        <f t="shared" si="6"/>
        <v>0</v>
      </c>
      <c r="P24" s="72">
        <f t="shared" si="7"/>
        <v>131652.51999999999</v>
      </c>
      <c r="Q24" s="73">
        <f t="shared" si="8"/>
        <v>135602.51999999999</v>
      </c>
      <c r="R24" s="44">
        <f t="shared" si="9"/>
        <v>0.52</v>
      </c>
    </row>
    <row r="25" spans="1:20" ht="17.100000000000001" customHeight="1" x14ac:dyDescent="0.25">
      <c r="A25" s="61">
        <v>6</v>
      </c>
      <c r="B25" s="61" t="s">
        <v>121</v>
      </c>
      <c r="C25" s="61">
        <v>53</v>
      </c>
      <c r="D25" s="60" t="s">
        <v>122</v>
      </c>
      <c r="E25" s="74"/>
      <c r="F25" s="68">
        <v>2.0199999999999999E-2</v>
      </c>
      <c r="G25" s="69">
        <v>141065.53</v>
      </c>
      <c r="H25" s="118">
        <f>G25</f>
        <v>141065.53</v>
      </c>
      <c r="I25" s="70">
        <f t="shared" si="0"/>
        <v>0</v>
      </c>
      <c r="J25" s="70">
        <f t="shared" si="1"/>
        <v>0</v>
      </c>
      <c r="K25" s="71">
        <f t="shared" si="2"/>
        <v>0</v>
      </c>
      <c r="L25" s="71">
        <f t="shared" si="3"/>
        <v>72720</v>
      </c>
      <c r="M25" s="125">
        <f t="shared" si="4"/>
        <v>43370.9352</v>
      </c>
      <c r="N25" s="125">
        <f t="shared" si="5"/>
        <v>15561.416429999999</v>
      </c>
      <c r="O25" s="125">
        <f t="shared" si="6"/>
        <v>0</v>
      </c>
      <c r="P25" s="72">
        <f t="shared" si="7"/>
        <v>131652.53</v>
      </c>
      <c r="Q25" s="73">
        <f t="shared" si="8"/>
        <v>135602.53</v>
      </c>
      <c r="R25" s="44">
        <f t="shared" si="9"/>
        <v>0.53</v>
      </c>
    </row>
    <row r="26" spans="1:20" ht="17.100000000000001" customHeight="1" x14ac:dyDescent="0.25">
      <c r="A26" s="61">
        <v>6</v>
      </c>
      <c r="B26" s="61" t="s">
        <v>123</v>
      </c>
      <c r="C26" s="61">
        <v>54</v>
      </c>
      <c r="D26" s="60" t="s">
        <v>98</v>
      </c>
      <c r="E26" s="74" t="s">
        <v>124</v>
      </c>
      <c r="F26" s="68">
        <v>1.3899999999999999E-2</v>
      </c>
      <c r="G26" s="69">
        <v>97010.54</v>
      </c>
      <c r="H26" s="118">
        <f>G26</f>
        <v>97010.54</v>
      </c>
      <c r="I26" s="70">
        <f t="shared" si="0"/>
        <v>0</v>
      </c>
      <c r="J26" s="70">
        <f t="shared" si="1"/>
        <v>0</v>
      </c>
      <c r="K26" s="71">
        <f t="shared" si="2"/>
        <v>0</v>
      </c>
      <c r="L26" s="71">
        <f t="shared" si="3"/>
        <v>50040</v>
      </c>
      <c r="M26" s="125">
        <f t="shared" si="4"/>
        <v>29844.356399999997</v>
      </c>
      <c r="N26" s="125">
        <f t="shared" si="5"/>
        <v>10708.103385</v>
      </c>
      <c r="O26" s="125">
        <f t="shared" si="6"/>
        <v>0</v>
      </c>
      <c r="P26" s="72">
        <f t="shared" si="7"/>
        <v>90592.54</v>
      </c>
      <c r="Q26" s="73">
        <f t="shared" si="8"/>
        <v>93310.54</v>
      </c>
      <c r="R26" s="44">
        <f t="shared" si="9"/>
        <v>0.54</v>
      </c>
    </row>
    <row r="27" spans="1:20" ht="17.100000000000001" customHeight="1" x14ac:dyDescent="0.25">
      <c r="A27" s="61">
        <v>7</v>
      </c>
      <c r="B27" s="61" t="s">
        <v>125</v>
      </c>
      <c r="C27" s="61">
        <v>55</v>
      </c>
      <c r="D27" s="178" t="s">
        <v>126</v>
      </c>
      <c r="E27" s="181" t="s">
        <v>127</v>
      </c>
      <c r="F27" s="179">
        <v>1.3899999999999999E-2</v>
      </c>
      <c r="G27" s="69">
        <v>117734.55</v>
      </c>
      <c r="H27" s="118">
        <f>106171</f>
        <v>106171</v>
      </c>
      <c r="I27" s="70">
        <f t="shared" si="0"/>
        <v>11563.550000000003</v>
      </c>
      <c r="J27" s="70">
        <f t="shared" si="1"/>
        <v>346.90650000000005</v>
      </c>
      <c r="K27" s="71">
        <f t="shared" si="2"/>
        <v>0</v>
      </c>
      <c r="L27" s="71">
        <f t="shared" si="3"/>
        <v>50040</v>
      </c>
      <c r="M27" s="125">
        <f t="shared" si="4"/>
        <v>29844.356399999997</v>
      </c>
      <c r="N27" s="125">
        <f t="shared" si="5"/>
        <v>10708.103385</v>
      </c>
      <c r="O27" s="125">
        <f t="shared" si="6"/>
        <v>0</v>
      </c>
      <c r="P27" s="72">
        <f t="shared" si="7"/>
        <v>102503.55</v>
      </c>
      <c r="Q27" s="73">
        <f t="shared" si="8"/>
        <v>105578.55</v>
      </c>
      <c r="R27" s="44">
        <f t="shared" si="9"/>
        <v>0.55000000000000004</v>
      </c>
    </row>
    <row r="28" spans="1:20" ht="17.100000000000001" customHeight="1" x14ac:dyDescent="0.25">
      <c r="A28" s="61">
        <v>7</v>
      </c>
      <c r="B28" s="61" t="s">
        <v>128</v>
      </c>
      <c r="C28" s="61">
        <v>56</v>
      </c>
      <c r="D28" s="60" t="s">
        <v>129</v>
      </c>
      <c r="E28" s="74" t="s">
        <v>130</v>
      </c>
      <c r="F28" s="68">
        <v>2.0199999999999999E-2</v>
      </c>
      <c r="G28" s="69">
        <f>3521+145670.56</f>
        <v>149191.56</v>
      </c>
      <c r="H28" s="118">
        <f>24240.56+124951.23</f>
        <v>149191.79</v>
      </c>
      <c r="I28" s="70">
        <f t="shared" si="0"/>
        <v>-0.23000000001047738</v>
      </c>
      <c r="J28" s="70">
        <f t="shared" si="1"/>
        <v>0</v>
      </c>
      <c r="K28" s="71">
        <f t="shared" si="2"/>
        <v>0</v>
      </c>
      <c r="L28" s="71">
        <f t="shared" si="3"/>
        <v>72720</v>
      </c>
      <c r="M28" s="125">
        <f t="shared" si="4"/>
        <v>43370.9352</v>
      </c>
      <c r="N28" s="125">
        <f t="shared" si="5"/>
        <v>15561.416429999999</v>
      </c>
      <c r="O28" s="125">
        <f t="shared" si="6"/>
        <v>0</v>
      </c>
      <c r="P28" s="72">
        <f t="shared" si="7"/>
        <v>131652.56</v>
      </c>
      <c r="Q28" s="73">
        <f t="shared" si="8"/>
        <v>135602.56</v>
      </c>
      <c r="R28" s="44">
        <f t="shared" si="9"/>
        <v>0.56000000000000005</v>
      </c>
    </row>
    <row r="29" spans="1:20" ht="17.100000000000001" customHeight="1" x14ac:dyDescent="0.25">
      <c r="A29" s="61">
        <v>8</v>
      </c>
      <c r="B29" s="61" t="s">
        <v>131</v>
      </c>
      <c r="C29" s="61">
        <v>57</v>
      </c>
      <c r="D29" s="60" t="s">
        <v>132</v>
      </c>
      <c r="E29" s="60"/>
      <c r="F29" s="68">
        <v>2.0199999999999999E-2</v>
      </c>
      <c r="G29" s="69">
        <v>145692.57</v>
      </c>
      <c r="H29" s="118">
        <f>G29</f>
        <v>145692.57</v>
      </c>
      <c r="I29" s="70">
        <f t="shared" si="0"/>
        <v>0</v>
      </c>
      <c r="J29" s="70">
        <f t="shared" si="1"/>
        <v>0</v>
      </c>
      <c r="K29" s="71">
        <f t="shared" si="2"/>
        <v>0</v>
      </c>
      <c r="L29" s="71">
        <f t="shared" si="3"/>
        <v>72720</v>
      </c>
      <c r="M29" s="125">
        <f t="shared" si="4"/>
        <v>43370.9352</v>
      </c>
      <c r="N29" s="125">
        <f t="shared" si="5"/>
        <v>15561.416429999999</v>
      </c>
      <c r="O29" s="125">
        <f t="shared" si="6"/>
        <v>0</v>
      </c>
      <c r="P29" s="72">
        <f t="shared" si="7"/>
        <v>131652.57</v>
      </c>
      <c r="Q29" s="73">
        <f t="shared" si="8"/>
        <v>135602.57</v>
      </c>
      <c r="R29" s="44">
        <f t="shared" si="9"/>
        <v>0.56999999999999995</v>
      </c>
    </row>
    <row r="30" spans="1:20" ht="17.100000000000001" customHeight="1" x14ac:dyDescent="0.25">
      <c r="A30" s="61">
        <v>8</v>
      </c>
      <c r="B30" s="61" t="s">
        <v>133</v>
      </c>
      <c r="C30" s="61">
        <v>58</v>
      </c>
      <c r="D30" s="60" t="s">
        <v>134</v>
      </c>
      <c r="E30" s="60" t="s">
        <v>135</v>
      </c>
      <c r="F30" s="68">
        <v>1.3899999999999999E-2</v>
      </c>
      <c r="G30" s="69">
        <v>83572.58</v>
      </c>
      <c r="H30" s="118">
        <f>G30</f>
        <v>83572.58</v>
      </c>
      <c r="I30" s="70">
        <f t="shared" si="0"/>
        <v>0</v>
      </c>
      <c r="J30" s="70">
        <f t="shared" si="1"/>
        <v>0</v>
      </c>
      <c r="K30" s="71">
        <f t="shared" si="2"/>
        <v>0</v>
      </c>
      <c r="L30" s="71">
        <f t="shared" si="3"/>
        <v>50040</v>
      </c>
      <c r="M30" s="125">
        <f t="shared" si="4"/>
        <v>29844.356399999997</v>
      </c>
      <c r="N30" s="125">
        <f t="shared" si="5"/>
        <v>10708.103385</v>
      </c>
      <c r="O30" s="125">
        <f t="shared" si="6"/>
        <v>0</v>
      </c>
      <c r="P30" s="72">
        <f t="shared" si="7"/>
        <v>90592.58</v>
      </c>
      <c r="Q30" s="73">
        <f t="shared" si="8"/>
        <v>93310.58</v>
      </c>
      <c r="R30" s="44">
        <f t="shared" si="9"/>
        <v>0.57999999999999996</v>
      </c>
    </row>
    <row r="31" spans="1:20" ht="17.100000000000001" customHeight="1" x14ac:dyDescent="0.25">
      <c r="A31" s="61">
        <v>9</v>
      </c>
      <c r="B31" s="61" t="s">
        <v>136</v>
      </c>
      <c r="C31" s="61">
        <v>59</v>
      </c>
      <c r="D31" s="60" t="s">
        <v>137</v>
      </c>
      <c r="E31" s="74"/>
      <c r="F31" s="68">
        <v>1.3899999999999999E-2</v>
      </c>
      <c r="G31" s="69">
        <v>211586.59</v>
      </c>
      <c r="H31" s="118">
        <f>G31</f>
        <v>211586.59</v>
      </c>
      <c r="I31" s="70">
        <f t="shared" si="0"/>
        <v>0</v>
      </c>
      <c r="J31" s="70">
        <f t="shared" si="1"/>
        <v>0</v>
      </c>
      <c r="K31" s="71">
        <f t="shared" si="2"/>
        <v>0</v>
      </c>
      <c r="L31" s="71">
        <f t="shared" si="3"/>
        <v>50040</v>
      </c>
      <c r="M31" s="125">
        <f t="shared" si="4"/>
        <v>29844.356399999997</v>
      </c>
      <c r="N31" s="125">
        <f t="shared" si="5"/>
        <v>10708.103385</v>
      </c>
      <c r="O31" s="125">
        <f t="shared" si="6"/>
        <v>0</v>
      </c>
      <c r="P31" s="72">
        <f t="shared" si="7"/>
        <v>90592.59</v>
      </c>
      <c r="Q31" s="73">
        <f t="shared" si="8"/>
        <v>93310.59</v>
      </c>
      <c r="R31" s="44">
        <f t="shared" si="9"/>
        <v>0.59</v>
      </c>
    </row>
    <row r="32" spans="1:20" ht="17.100000000000001" customHeight="1" x14ac:dyDescent="0.25">
      <c r="A32" s="61">
        <v>9</v>
      </c>
      <c r="B32" s="61" t="s">
        <v>138</v>
      </c>
      <c r="C32" s="61">
        <v>60</v>
      </c>
      <c r="D32" s="60" t="s">
        <v>139</v>
      </c>
      <c r="E32" s="60"/>
      <c r="F32" s="68">
        <v>2.0199999999999999E-2</v>
      </c>
      <c r="G32" s="69">
        <v>145692.6</v>
      </c>
      <c r="H32" s="118">
        <f>G32</f>
        <v>145692.6</v>
      </c>
      <c r="I32" s="70">
        <f t="shared" si="0"/>
        <v>0</v>
      </c>
      <c r="J32" s="70">
        <f t="shared" si="1"/>
        <v>0</v>
      </c>
      <c r="K32" s="71">
        <f t="shared" si="2"/>
        <v>0</v>
      </c>
      <c r="L32" s="71">
        <f t="shared" si="3"/>
        <v>72720</v>
      </c>
      <c r="M32" s="125">
        <f t="shared" si="4"/>
        <v>43370.9352</v>
      </c>
      <c r="N32" s="125">
        <f t="shared" si="5"/>
        <v>15561.416429999999</v>
      </c>
      <c r="O32" s="125">
        <f t="shared" si="6"/>
        <v>0</v>
      </c>
      <c r="P32" s="72">
        <f t="shared" si="7"/>
        <v>131652.6</v>
      </c>
      <c r="Q32" s="73">
        <f t="shared" si="8"/>
        <v>135602.6</v>
      </c>
      <c r="R32" s="44">
        <f t="shared" si="9"/>
        <v>0.6</v>
      </c>
    </row>
    <row r="33" spans="1:20" ht="17.100000000000001" customHeight="1" x14ac:dyDescent="0.25">
      <c r="A33" s="61">
        <v>10</v>
      </c>
      <c r="B33" s="61" t="s">
        <v>140</v>
      </c>
      <c r="C33" s="61">
        <v>61</v>
      </c>
      <c r="D33" s="178" t="s">
        <v>141</v>
      </c>
      <c r="E33" s="178"/>
      <c r="F33" s="179">
        <v>2.0199999999999999E-2</v>
      </c>
      <c r="G33" s="183">
        <v>145692.60999999999</v>
      </c>
      <c r="H33" s="118">
        <f>183918-H87</f>
        <v>145691.87</v>
      </c>
      <c r="I33" s="70">
        <f t="shared" si="0"/>
        <v>0.73999999999068677</v>
      </c>
      <c r="J33" s="70">
        <f t="shared" si="1"/>
        <v>2.2199999999720603E-2</v>
      </c>
      <c r="K33" s="71">
        <f t="shared" si="2"/>
        <v>0</v>
      </c>
      <c r="L33" s="71">
        <f t="shared" si="3"/>
        <v>72720</v>
      </c>
      <c r="M33" s="125">
        <f t="shared" si="4"/>
        <v>43370.9352</v>
      </c>
      <c r="N33" s="125">
        <f t="shared" si="5"/>
        <v>15561.416429999999</v>
      </c>
      <c r="O33" s="125">
        <f t="shared" si="6"/>
        <v>0</v>
      </c>
      <c r="P33" s="72">
        <f t="shared" si="7"/>
        <v>131653.60999999999</v>
      </c>
      <c r="Q33" s="73">
        <f t="shared" si="8"/>
        <v>135603.60999999999</v>
      </c>
      <c r="R33" s="44">
        <f t="shared" si="9"/>
        <v>0.61</v>
      </c>
    </row>
    <row r="34" spans="1:20" ht="17.100000000000001" customHeight="1" x14ac:dyDescent="0.25">
      <c r="A34" s="61">
        <v>10</v>
      </c>
      <c r="B34" s="61" t="s">
        <v>142</v>
      </c>
      <c r="C34" s="61">
        <v>62</v>
      </c>
      <c r="D34" s="60" t="s">
        <v>143</v>
      </c>
      <c r="E34" s="60" t="s">
        <v>144</v>
      </c>
      <c r="F34" s="68">
        <v>1.3899999999999999E-2</v>
      </c>
      <c r="G34" s="69">
        <v>100253.62</v>
      </c>
      <c r="H34" s="118">
        <f>G34</f>
        <v>100253.62</v>
      </c>
      <c r="I34" s="70">
        <f t="shared" si="0"/>
        <v>0</v>
      </c>
      <c r="J34" s="70">
        <f t="shared" si="1"/>
        <v>0</v>
      </c>
      <c r="K34" s="71">
        <f t="shared" si="2"/>
        <v>0</v>
      </c>
      <c r="L34" s="71">
        <f t="shared" si="3"/>
        <v>50040</v>
      </c>
      <c r="M34" s="125">
        <f t="shared" si="4"/>
        <v>29844.356399999997</v>
      </c>
      <c r="N34" s="125">
        <f t="shared" si="5"/>
        <v>10708.103385</v>
      </c>
      <c r="O34" s="125">
        <f t="shared" si="6"/>
        <v>0</v>
      </c>
      <c r="P34" s="72">
        <f t="shared" si="7"/>
        <v>90592.62</v>
      </c>
      <c r="Q34" s="73">
        <f t="shared" si="8"/>
        <v>93310.62</v>
      </c>
      <c r="R34" s="44">
        <f t="shared" si="9"/>
        <v>0.62</v>
      </c>
    </row>
    <row r="35" spans="1:20" x14ac:dyDescent="0.25">
      <c r="A35" s="61">
        <v>11</v>
      </c>
      <c r="B35" s="61" t="s">
        <v>145</v>
      </c>
      <c r="C35" s="61">
        <v>63</v>
      </c>
      <c r="D35" s="60" t="s">
        <v>146</v>
      </c>
      <c r="E35" s="60" t="s">
        <v>147</v>
      </c>
      <c r="F35" s="68">
        <v>1.3899999999999999E-2</v>
      </c>
      <c r="G35" s="69">
        <v>100253.63</v>
      </c>
      <c r="H35" s="118">
        <f>G35</f>
        <v>100253.63</v>
      </c>
      <c r="I35" s="70">
        <f t="shared" si="0"/>
        <v>0</v>
      </c>
      <c r="J35" s="70">
        <f t="shared" si="1"/>
        <v>0</v>
      </c>
      <c r="K35" s="71">
        <f t="shared" si="2"/>
        <v>0</v>
      </c>
      <c r="L35" s="71">
        <f t="shared" si="3"/>
        <v>50040</v>
      </c>
      <c r="M35" s="125">
        <f t="shared" si="4"/>
        <v>29844.356399999997</v>
      </c>
      <c r="N35" s="125">
        <f t="shared" si="5"/>
        <v>10708.103385</v>
      </c>
      <c r="O35" s="125">
        <f t="shared" si="6"/>
        <v>0</v>
      </c>
      <c r="P35" s="72">
        <f t="shared" si="7"/>
        <v>90592.63</v>
      </c>
      <c r="Q35" s="73">
        <f t="shared" si="8"/>
        <v>93310.63</v>
      </c>
      <c r="R35" s="44">
        <f t="shared" si="9"/>
        <v>0.63</v>
      </c>
    </row>
    <row r="36" spans="1:20" ht="17.100000000000001" customHeight="1" x14ac:dyDescent="0.25">
      <c r="A36" s="61">
        <v>11</v>
      </c>
      <c r="B36" s="61" t="s">
        <v>148</v>
      </c>
      <c r="C36" s="61">
        <v>64</v>
      </c>
      <c r="D36" s="60" t="s">
        <v>149</v>
      </c>
      <c r="E36" s="74" t="s">
        <v>150</v>
      </c>
      <c r="F36" s="68">
        <v>2.0199999999999999E-2</v>
      </c>
      <c r="G36" s="69">
        <v>169987.64</v>
      </c>
      <c r="H36" s="118">
        <f>G36</f>
        <v>169987.64</v>
      </c>
      <c r="I36" s="70">
        <f t="shared" si="0"/>
        <v>0</v>
      </c>
      <c r="J36" s="70">
        <f t="shared" si="1"/>
        <v>0</v>
      </c>
      <c r="K36" s="71">
        <f t="shared" si="2"/>
        <v>0</v>
      </c>
      <c r="L36" s="71">
        <f t="shared" si="3"/>
        <v>72720</v>
      </c>
      <c r="M36" s="125">
        <f t="shared" si="4"/>
        <v>43370.9352</v>
      </c>
      <c r="N36" s="125">
        <f t="shared" si="5"/>
        <v>15561.416429999999</v>
      </c>
      <c r="O36" s="125">
        <f t="shared" si="6"/>
        <v>0</v>
      </c>
      <c r="P36" s="72">
        <f t="shared" si="7"/>
        <v>131652.64000000001</v>
      </c>
      <c r="Q36" s="73">
        <f t="shared" si="8"/>
        <v>135602.64000000001</v>
      </c>
      <c r="R36" s="44">
        <f t="shared" si="9"/>
        <v>0.64</v>
      </c>
    </row>
    <row r="37" spans="1:20" ht="17.100000000000001" customHeight="1" x14ac:dyDescent="0.25">
      <c r="A37" s="61">
        <v>12</v>
      </c>
      <c r="B37" s="61" t="s">
        <v>151</v>
      </c>
      <c r="C37" s="61">
        <v>65</v>
      </c>
      <c r="D37" s="60" t="s">
        <v>152</v>
      </c>
      <c r="E37" s="74" t="s">
        <v>153</v>
      </c>
      <c r="F37" s="68">
        <v>2.0199999999999999E-2</v>
      </c>
      <c r="G37" s="69">
        <v>145692.65</v>
      </c>
      <c r="H37" s="118">
        <f>G37</f>
        <v>145692.65</v>
      </c>
      <c r="I37" s="70">
        <f t="shared" ref="I37:I56" si="10">G37-H37</f>
        <v>0</v>
      </c>
      <c r="J37" s="70">
        <f t="shared" ref="J37:J56" si="11">IF(I37&gt;0,I37*3%,0)</f>
        <v>0</v>
      </c>
      <c r="K37" s="71">
        <f t="shared" ref="K37:K56" si="12">M$2*F37</f>
        <v>0</v>
      </c>
      <c r="L37" s="71">
        <f t="shared" ref="L37:L68" si="13">M$1*F37</f>
        <v>72720</v>
      </c>
      <c r="M37" s="125">
        <f t="shared" ref="M37:M56" si="14">F$1*F37</f>
        <v>43370.9352</v>
      </c>
      <c r="N37" s="125">
        <f t="shared" ref="N37:N56" si="15">F$2*F37</f>
        <v>15561.416429999999</v>
      </c>
      <c r="O37" s="125">
        <f t="shared" ref="O37:O68" si="16">I$2*F37</f>
        <v>0</v>
      </c>
      <c r="P37" s="72">
        <f t="shared" ref="P37:P68" si="17">ROUND(SUM(I37:O37),0) + R37</f>
        <v>131652.65</v>
      </c>
      <c r="Q37" s="73">
        <f t="shared" ref="Q37:Q56" si="18">ROUND(P37*3%,0) + P37</f>
        <v>135602.65</v>
      </c>
      <c r="R37" s="44">
        <f t="shared" ref="R37:R68" si="19">ROUND(0.001+C37/100,2)</f>
        <v>0.65</v>
      </c>
    </row>
    <row r="38" spans="1:20" ht="17.100000000000001" customHeight="1" x14ac:dyDescent="0.25">
      <c r="A38" s="61">
        <v>12</v>
      </c>
      <c r="B38" s="61" t="s">
        <v>154</v>
      </c>
      <c r="C38" s="61">
        <v>66</v>
      </c>
      <c r="D38" s="60" t="s">
        <v>155</v>
      </c>
      <c r="E38" s="60" t="s">
        <v>156</v>
      </c>
      <c r="F38" s="68">
        <v>1.3899999999999999E-2</v>
      </c>
      <c r="G38" s="69">
        <v>211585.66</v>
      </c>
      <c r="H38" s="118"/>
      <c r="I38" s="70">
        <f t="shared" si="10"/>
        <v>211585.66</v>
      </c>
      <c r="J38" s="70">
        <f t="shared" si="11"/>
        <v>6347.5698000000002</v>
      </c>
      <c r="K38" s="71">
        <f t="shared" si="12"/>
        <v>0</v>
      </c>
      <c r="L38" s="71">
        <f t="shared" si="13"/>
        <v>50040</v>
      </c>
      <c r="M38" s="125">
        <f t="shared" si="14"/>
        <v>29844.356399999997</v>
      </c>
      <c r="N38" s="125">
        <f t="shared" si="15"/>
        <v>10708.103385</v>
      </c>
      <c r="O38" s="125">
        <f t="shared" si="16"/>
        <v>0</v>
      </c>
      <c r="P38" s="72">
        <f t="shared" si="17"/>
        <v>308526.65999999997</v>
      </c>
      <c r="Q38" s="73">
        <f t="shared" si="18"/>
        <v>317782.65999999997</v>
      </c>
      <c r="R38" s="44">
        <f t="shared" si="19"/>
        <v>0.66</v>
      </c>
    </row>
    <row r="39" spans="1:20" ht="17.100000000000001" customHeight="1" x14ac:dyDescent="0.25">
      <c r="A39" s="61">
        <v>1</v>
      </c>
      <c r="B39" s="61" t="s">
        <v>157</v>
      </c>
      <c r="C39" s="61">
        <v>67</v>
      </c>
      <c r="D39" s="60" t="s">
        <v>158</v>
      </c>
      <c r="E39" s="74" t="s">
        <v>159</v>
      </c>
      <c r="F39" s="68">
        <v>1.3899999999999999E-2</v>
      </c>
      <c r="G39" s="69">
        <v>120956.67</v>
      </c>
      <c r="H39" s="118">
        <f>17179.67+103777</f>
        <v>120956.67</v>
      </c>
      <c r="I39" s="70">
        <f t="shared" si="10"/>
        <v>0</v>
      </c>
      <c r="J39" s="70">
        <f t="shared" si="11"/>
        <v>0</v>
      </c>
      <c r="K39" s="71">
        <f t="shared" si="12"/>
        <v>0</v>
      </c>
      <c r="L39" s="71">
        <f t="shared" si="13"/>
        <v>50040</v>
      </c>
      <c r="M39" s="125">
        <f t="shared" si="14"/>
        <v>29844.356399999997</v>
      </c>
      <c r="N39" s="125">
        <f t="shared" si="15"/>
        <v>10708.103385</v>
      </c>
      <c r="O39" s="125">
        <f t="shared" si="16"/>
        <v>0</v>
      </c>
      <c r="P39" s="72">
        <f t="shared" si="17"/>
        <v>90592.67</v>
      </c>
      <c r="Q39" s="73">
        <f t="shared" si="18"/>
        <v>93310.67</v>
      </c>
      <c r="R39" s="44">
        <f t="shared" si="19"/>
        <v>0.67</v>
      </c>
    </row>
    <row r="40" spans="1:20" ht="17.100000000000001" customHeight="1" x14ac:dyDescent="0.25">
      <c r="A40" s="61">
        <v>1</v>
      </c>
      <c r="B40" s="61" t="s">
        <v>160</v>
      </c>
      <c r="C40" s="230">
        <v>68</v>
      </c>
      <c r="D40" s="230" t="s">
        <v>161</v>
      </c>
      <c r="E40" s="231" t="str">
        <f>D76</f>
        <v>Jesica Romina Tobio</v>
      </c>
      <c r="F40" s="68">
        <v>2.0199999999999999E-2</v>
      </c>
      <c r="G40" s="69">
        <v>145692.68</v>
      </c>
      <c r="H40" s="118"/>
      <c r="I40" s="70">
        <f t="shared" si="10"/>
        <v>145692.68</v>
      </c>
      <c r="J40" s="70">
        <f t="shared" si="11"/>
        <v>4370.7803999999996</v>
      </c>
      <c r="K40" s="71">
        <f t="shared" si="12"/>
        <v>0</v>
      </c>
      <c r="L40" s="71">
        <f t="shared" si="13"/>
        <v>72720</v>
      </c>
      <c r="M40" s="125">
        <f t="shared" si="14"/>
        <v>43370.9352</v>
      </c>
      <c r="N40" s="125">
        <f t="shared" si="15"/>
        <v>15561.416429999999</v>
      </c>
      <c r="O40" s="125">
        <f t="shared" si="16"/>
        <v>0</v>
      </c>
      <c r="P40" s="72">
        <f t="shared" si="17"/>
        <v>281716.68</v>
      </c>
      <c r="Q40" s="73">
        <f t="shared" si="18"/>
        <v>290168.68</v>
      </c>
      <c r="R40" s="44">
        <f t="shared" si="19"/>
        <v>0.68</v>
      </c>
    </row>
    <row r="41" spans="1:20" ht="17.100000000000001" customHeight="1" x14ac:dyDescent="0.25">
      <c r="A41" s="60">
        <v>1</v>
      </c>
      <c r="B41" s="60" t="s">
        <v>162</v>
      </c>
      <c r="C41" s="61">
        <v>69</v>
      </c>
      <c r="D41" s="60" t="s">
        <v>163</v>
      </c>
      <c r="E41" s="74" t="s">
        <v>164</v>
      </c>
      <c r="F41" s="75">
        <v>2.0199999999999999E-2</v>
      </c>
      <c r="G41" s="69">
        <v>145677.69</v>
      </c>
      <c r="H41" s="118">
        <v>145677.69</v>
      </c>
      <c r="I41" s="70">
        <f t="shared" si="10"/>
        <v>0</v>
      </c>
      <c r="J41" s="70">
        <f t="shared" si="11"/>
        <v>0</v>
      </c>
      <c r="K41" s="71">
        <f t="shared" si="12"/>
        <v>0</v>
      </c>
      <c r="L41" s="71">
        <f t="shared" si="13"/>
        <v>72720</v>
      </c>
      <c r="M41" s="125">
        <f t="shared" si="14"/>
        <v>43370.9352</v>
      </c>
      <c r="N41" s="125">
        <f t="shared" si="15"/>
        <v>15561.416429999999</v>
      </c>
      <c r="O41" s="125">
        <f t="shared" si="16"/>
        <v>0</v>
      </c>
      <c r="P41" s="72">
        <f t="shared" si="17"/>
        <v>131652.69</v>
      </c>
      <c r="Q41" s="73">
        <f t="shared" si="18"/>
        <v>135602.69</v>
      </c>
      <c r="R41" s="44">
        <f t="shared" si="19"/>
        <v>0.69</v>
      </c>
    </row>
    <row r="42" spans="1:20" ht="17.100000000000001" customHeight="1" x14ac:dyDescent="0.25">
      <c r="A42" s="61">
        <v>2</v>
      </c>
      <c r="B42" s="76" t="s">
        <v>165</v>
      </c>
      <c r="C42" s="61">
        <v>70</v>
      </c>
      <c r="D42" s="60" t="s">
        <v>88</v>
      </c>
      <c r="E42" s="60" t="s">
        <v>166</v>
      </c>
      <c r="F42" s="75">
        <v>1.3899999999999999E-2</v>
      </c>
      <c r="G42" s="69">
        <v>248195.7</v>
      </c>
      <c r="H42" s="118">
        <f>16680+191852.7</f>
        <v>208532.7</v>
      </c>
      <c r="I42" s="70">
        <f t="shared" si="10"/>
        <v>39663</v>
      </c>
      <c r="J42" s="70">
        <f t="shared" si="11"/>
        <v>1189.8899999999999</v>
      </c>
      <c r="K42" s="71">
        <f t="shared" si="12"/>
        <v>0</v>
      </c>
      <c r="L42" s="71">
        <f t="shared" si="13"/>
        <v>50040</v>
      </c>
      <c r="M42" s="125">
        <f t="shared" si="14"/>
        <v>29844.356399999997</v>
      </c>
      <c r="N42" s="125">
        <f t="shared" si="15"/>
        <v>10708.103385</v>
      </c>
      <c r="O42" s="125">
        <f t="shared" si="16"/>
        <v>0</v>
      </c>
      <c r="P42" s="72">
        <f t="shared" si="17"/>
        <v>131445.70000000001</v>
      </c>
      <c r="Q42" s="73">
        <f t="shared" si="18"/>
        <v>135388.70000000001</v>
      </c>
      <c r="R42" s="44">
        <f t="shared" si="19"/>
        <v>0.7</v>
      </c>
    </row>
    <row r="43" spans="1:20" ht="17.100000000000001" customHeight="1" x14ac:dyDescent="0.25">
      <c r="A43" s="61">
        <v>2</v>
      </c>
      <c r="B43" s="76" t="s">
        <v>167</v>
      </c>
      <c r="C43" s="61">
        <v>71</v>
      </c>
      <c r="D43" s="60" t="s">
        <v>168</v>
      </c>
      <c r="E43" s="74" t="s">
        <v>169</v>
      </c>
      <c r="F43" s="75">
        <v>1.3899999999999999E-2</v>
      </c>
      <c r="G43" s="69">
        <v>100254.71</v>
      </c>
      <c r="H43" s="118">
        <f>G43</f>
        <v>100254.71</v>
      </c>
      <c r="I43" s="70">
        <f t="shared" si="10"/>
        <v>0</v>
      </c>
      <c r="J43" s="70">
        <f t="shared" si="11"/>
        <v>0</v>
      </c>
      <c r="K43" s="71">
        <f t="shared" si="12"/>
        <v>0</v>
      </c>
      <c r="L43" s="71">
        <f t="shared" si="13"/>
        <v>50040</v>
      </c>
      <c r="M43" s="125">
        <f t="shared" si="14"/>
        <v>29844.356399999997</v>
      </c>
      <c r="N43" s="125">
        <f t="shared" si="15"/>
        <v>10708.103385</v>
      </c>
      <c r="O43" s="125">
        <f t="shared" si="16"/>
        <v>0</v>
      </c>
      <c r="P43" s="72">
        <f t="shared" si="17"/>
        <v>90592.71</v>
      </c>
      <c r="Q43" s="73">
        <f t="shared" si="18"/>
        <v>93310.71</v>
      </c>
      <c r="R43" s="44">
        <f t="shared" si="19"/>
        <v>0.71</v>
      </c>
    </row>
    <row r="44" spans="1:20" ht="17.100000000000001" customHeight="1" x14ac:dyDescent="0.25">
      <c r="A44" s="61">
        <v>2</v>
      </c>
      <c r="B44" s="76" t="s">
        <v>170</v>
      </c>
      <c r="C44" s="61">
        <v>72</v>
      </c>
      <c r="D44" s="178" t="s">
        <v>168</v>
      </c>
      <c r="E44" s="178" t="s">
        <v>249</v>
      </c>
      <c r="F44" s="182">
        <v>2.0199999999999999E-2</v>
      </c>
      <c r="G44" s="69">
        <v>465918.71999999997</v>
      </c>
      <c r="H44" s="118">
        <v>155020</v>
      </c>
      <c r="I44" s="70">
        <f t="shared" si="10"/>
        <v>310898.71999999997</v>
      </c>
      <c r="J44" s="70">
        <f t="shared" si="11"/>
        <v>9326.9615999999987</v>
      </c>
      <c r="K44" s="71">
        <f t="shared" si="12"/>
        <v>0</v>
      </c>
      <c r="L44" s="71">
        <f t="shared" si="13"/>
        <v>72720</v>
      </c>
      <c r="M44" s="125">
        <f t="shared" si="14"/>
        <v>43370.9352</v>
      </c>
      <c r="N44" s="125">
        <f t="shared" si="15"/>
        <v>15561.416429999999</v>
      </c>
      <c r="O44" s="125">
        <f t="shared" si="16"/>
        <v>0</v>
      </c>
      <c r="P44" s="72">
        <f t="shared" si="17"/>
        <v>451878.72</v>
      </c>
      <c r="Q44" s="73">
        <f t="shared" si="18"/>
        <v>465434.72</v>
      </c>
      <c r="R44" s="44">
        <f t="shared" si="19"/>
        <v>0.72</v>
      </c>
    </row>
    <row r="45" spans="1:20" ht="17.100000000000001" customHeight="1" x14ac:dyDescent="0.25">
      <c r="A45" s="61">
        <v>3</v>
      </c>
      <c r="B45" s="76" t="s">
        <v>171</v>
      </c>
      <c r="C45" s="61">
        <v>73</v>
      </c>
      <c r="D45" s="60" t="s">
        <v>172</v>
      </c>
      <c r="E45" s="60" t="s">
        <v>173</v>
      </c>
      <c r="F45" s="75">
        <v>2.0199999999999999E-2</v>
      </c>
      <c r="G45" s="69">
        <v>471172.73</v>
      </c>
      <c r="H45" s="118"/>
      <c r="I45" s="70">
        <f t="shared" si="10"/>
        <v>471172.73</v>
      </c>
      <c r="J45" s="70">
        <f t="shared" si="11"/>
        <v>14135.1819</v>
      </c>
      <c r="K45" s="71">
        <f t="shared" si="12"/>
        <v>0</v>
      </c>
      <c r="L45" s="71">
        <f t="shared" si="13"/>
        <v>72720</v>
      </c>
      <c r="M45" s="125">
        <f t="shared" si="14"/>
        <v>43370.9352</v>
      </c>
      <c r="N45" s="125">
        <f t="shared" si="15"/>
        <v>15561.416429999999</v>
      </c>
      <c r="O45" s="125">
        <f t="shared" si="16"/>
        <v>0</v>
      </c>
      <c r="P45" s="72">
        <f t="shared" si="17"/>
        <v>616960.73</v>
      </c>
      <c r="Q45" s="73">
        <f t="shared" si="18"/>
        <v>635469.73</v>
      </c>
      <c r="R45" s="44">
        <f t="shared" si="19"/>
        <v>0.73</v>
      </c>
    </row>
    <row r="46" spans="1:20" ht="17.100000000000001" customHeight="1" x14ac:dyDescent="0.25">
      <c r="A46" s="61">
        <v>3</v>
      </c>
      <c r="B46" s="76" t="s">
        <v>174</v>
      </c>
      <c r="C46" s="61">
        <v>74</v>
      </c>
      <c r="D46" s="60" t="s">
        <v>175</v>
      </c>
      <c r="E46" s="74" t="s">
        <v>176</v>
      </c>
      <c r="F46" s="75">
        <v>1.3899999999999999E-2</v>
      </c>
      <c r="G46" s="69">
        <v>100253.74</v>
      </c>
      <c r="H46" s="118">
        <v>100253.74</v>
      </c>
      <c r="I46" s="70">
        <f t="shared" si="10"/>
        <v>0</v>
      </c>
      <c r="J46" s="70">
        <f t="shared" si="11"/>
        <v>0</v>
      </c>
      <c r="K46" s="71">
        <f t="shared" si="12"/>
        <v>0</v>
      </c>
      <c r="L46" s="71">
        <f t="shared" si="13"/>
        <v>50040</v>
      </c>
      <c r="M46" s="125">
        <f t="shared" si="14"/>
        <v>29844.356399999997</v>
      </c>
      <c r="N46" s="125">
        <f t="shared" si="15"/>
        <v>10708.103385</v>
      </c>
      <c r="O46" s="125">
        <f t="shared" si="16"/>
        <v>0</v>
      </c>
      <c r="P46" s="72">
        <f t="shared" si="17"/>
        <v>90592.74</v>
      </c>
      <c r="Q46" s="73">
        <f t="shared" si="18"/>
        <v>93310.74</v>
      </c>
      <c r="R46" s="44">
        <f t="shared" si="19"/>
        <v>0.74</v>
      </c>
    </row>
    <row r="47" spans="1:20" ht="17.100000000000001" customHeight="1" x14ac:dyDescent="0.25">
      <c r="A47" s="61">
        <v>3</v>
      </c>
      <c r="B47" s="76" t="s">
        <v>177</v>
      </c>
      <c r="C47" s="61">
        <v>75</v>
      </c>
      <c r="D47" s="60" t="s">
        <v>178</v>
      </c>
      <c r="E47" s="74" t="s">
        <v>179</v>
      </c>
      <c r="F47" s="75">
        <v>1.3899999999999999E-2</v>
      </c>
      <c r="G47" s="69">
        <v>100253.75</v>
      </c>
      <c r="H47" s="118"/>
      <c r="I47" s="70">
        <f t="shared" si="10"/>
        <v>100253.75</v>
      </c>
      <c r="J47" s="70">
        <f t="shared" si="11"/>
        <v>3007.6124999999997</v>
      </c>
      <c r="K47" s="71">
        <f t="shared" si="12"/>
        <v>0</v>
      </c>
      <c r="L47" s="71">
        <f t="shared" si="13"/>
        <v>50040</v>
      </c>
      <c r="M47" s="125">
        <f t="shared" si="14"/>
        <v>29844.356399999997</v>
      </c>
      <c r="N47" s="125">
        <f t="shared" si="15"/>
        <v>10708.103385</v>
      </c>
      <c r="O47" s="125">
        <f t="shared" si="16"/>
        <v>0</v>
      </c>
      <c r="P47" s="72">
        <f t="shared" si="17"/>
        <v>193854.75</v>
      </c>
      <c r="Q47" s="73">
        <f t="shared" si="18"/>
        <v>199670.75</v>
      </c>
      <c r="R47" s="44">
        <f t="shared" si="19"/>
        <v>0.75</v>
      </c>
      <c r="T47" s="142"/>
    </row>
    <row r="48" spans="1:20" ht="17.100000000000001" customHeight="1" x14ac:dyDescent="0.25">
      <c r="A48" s="61">
        <v>4</v>
      </c>
      <c r="B48" s="76" t="s">
        <v>180</v>
      </c>
      <c r="C48" s="61">
        <v>76</v>
      </c>
      <c r="D48" s="60" t="s">
        <v>181</v>
      </c>
      <c r="E48" s="127" t="s">
        <v>182</v>
      </c>
      <c r="F48" s="75">
        <v>2.0199999999999999E-2</v>
      </c>
      <c r="G48" s="69">
        <v>145692.76</v>
      </c>
      <c r="H48" s="118">
        <f>G48</f>
        <v>145692.76</v>
      </c>
      <c r="I48" s="70">
        <f t="shared" si="10"/>
        <v>0</v>
      </c>
      <c r="J48" s="70">
        <f t="shared" si="11"/>
        <v>0</v>
      </c>
      <c r="K48" s="71">
        <f t="shared" si="12"/>
        <v>0</v>
      </c>
      <c r="L48" s="71">
        <f t="shared" si="13"/>
        <v>72720</v>
      </c>
      <c r="M48" s="125">
        <f t="shared" si="14"/>
        <v>43370.9352</v>
      </c>
      <c r="N48" s="125">
        <f t="shared" si="15"/>
        <v>15561.416429999999</v>
      </c>
      <c r="O48" s="125">
        <f t="shared" si="16"/>
        <v>0</v>
      </c>
      <c r="P48" s="72">
        <f t="shared" si="17"/>
        <v>131652.76</v>
      </c>
      <c r="Q48" s="73">
        <f t="shared" si="18"/>
        <v>135602.76</v>
      </c>
      <c r="R48" s="44">
        <f t="shared" si="19"/>
        <v>0.76</v>
      </c>
    </row>
    <row r="49" spans="1:20" ht="17.100000000000001" customHeight="1" x14ac:dyDescent="0.25">
      <c r="A49" s="61">
        <v>4</v>
      </c>
      <c r="B49" s="76" t="s">
        <v>183</v>
      </c>
      <c r="C49" s="61">
        <v>77</v>
      </c>
      <c r="D49" s="178" t="s">
        <v>168</v>
      </c>
      <c r="E49" s="178" t="s">
        <v>184</v>
      </c>
      <c r="F49" s="182">
        <v>2.0199999999999999E-2</v>
      </c>
      <c r="G49" s="69">
        <v>145692.76999999999</v>
      </c>
      <c r="H49" s="118">
        <f>G49</f>
        <v>145692.76999999999</v>
      </c>
      <c r="I49" s="70">
        <f t="shared" si="10"/>
        <v>0</v>
      </c>
      <c r="J49" s="70">
        <f t="shared" si="11"/>
        <v>0</v>
      </c>
      <c r="K49" s="71">
        <f t="shared" si="12"/>
        <v>0</v>
      </c>
      <c r="L49" s="71">
        <f t="shared" si="13"/>
        <v>72720</v>
      </c>
      <c r="M49" s="125">
        <f t="shared" si="14"/>
        <v>43370.9352</v>
      </c>
      <c r="N49" s="125">
        <f t="shared" si="15"/>
        <v>15561.416429999999</v>
      </c>
      <c r="O49" s="125">
        <f t="shared" si="16"/>
        <v>0</v>
      </c>
      <c r="P49" s="72">
        <f t="shared" si="17"/>
        <v>131652.76999999999</v>
      </c>
      <c r="Q49" s="73">
        <f t="shared" si="18"/>
        <v>135602.76999999999</v>
      </c>
      <c r="R49" s="44">
        <f t="shared" si="19"/>
        <v>0.77</v>
      </c>
    </row>
    <row r="50" spans="1:20" ht="17.100000000000001" customHeight="1" x14ac:dyDescent="0.25">
      <c r="A50" s="61">
        <v>4</v>
      </c>
      <c r="B50" s="76" t="s">
        <v>185</v>
      </c>
      <c r="C50" s="61">
        <v>78</v>
      </c>
      <c r="D50" s="60" t="s">
        <v>168</v>
      </c>
      <c r="E50" s="60" t="s">
        <v>186</v>
      </c>
      <c r="F50" s="75">
        <v>1.3899999999999999E-2</v>
      </c>
      <c r="G50" s="69">
        <v>427555.78</v>
      </c>
      <c r="H50" s="118">
        <v>327301.78000000003</v>
      </c>
      <c r="I50" s="70">
        <f t="shared" si="10"/>
        <v>100254</v>
      </c>
      <c r="J50" s="70">
        <f t="shared" si="11"/>
        <v>3007.62</v>
      </c>
      <c r="K50" s="71">
        <f t="shared" si="12"/>
        <v>0</v>
      </c>
      <c r="L50" s="71">
        <f t="shared" si="13"/>
        <v>50040</v>
      </c>
      <c r="M50" s="125">
        <f t="shared" si="14"/>
        <v>29844.356399999997</v>
      </c>
      <c r="N50" s="125">
        <f t="shared" si="15"/>
        <v>10708.103385</v>
      </c>
      <c r="O50" s="125">
        <f t="shared" si="16"/>
        <v>0</v>
      </c>
      <c r="P50" s="72">
        <f t="shared" si="17"/>
        <v>193854.78</v>
      </c>
      <c r="Q50" s="73">
        <f t="shared" si="18"/>
        <v>199670.78</v>
      </c>
      <c r="R50" s="44">
        <f t="shared" si="19"/>
        <v>0.78</v>
      </c>
    </row>
    <row r="51" spans="1:20" ht="17.100000000000001" customHeight="1" x14ac:dyDescent="0.25">
      <c r="A51" s="61">
        <v>5</v>
      </c>
      <c r="B51" s="76" t="s">
        <v>187</v>
      </c>
      <c r="C51" s="61">
        <v>79</v>
      </c>
      <c r="D51" s="60" t="s">
        <v>188</v>
      </c>
      <c r="E51" s="74"/>
      <c r="F51" s="75">
        <v>1.3899999999999999E-2</v>
      </c>
      <c r="G51" s="69">
        <v>100253.79</v>
      </c>
      <c r="H51" s="118">
        <v>103261.79</v>
      </c>
      <c r="I51" s="70">
        <f t="shared" si="10"/>
        <v>-3008</v>
      </c>
      <c r="J51" s="70">
        <f t="shared" si="11"/>
        <v>0</v>
      </c>
      <c r="K51" s="71">
        <f t="shared" si="12"/>
        <v>0</v>
      </c>
      <c r="L51" s="71">
        <f t="shared" si="13"/>
        <v>50040</v>
      </c>
      <c r="M51" s="125">
        <f t="shared" si="14"/>
        <v>29844.356399999997</v>
      </c>
      <c r="N51" s="125">
        <f t="shared" si="15"/>
        <v>10708.103385</v>
      </c>
      <c r="O51" s="125">
        <f t="shared" si="16"/>
        <v>0</v>
      </c>
      <c r="P51" s="72">
        <f t="shared" si="17"/>
        <v>87584.79</v>
      </c>
      <c r="Q51" s="73">
        <f t="shared" si="18"/>
        <v>90212.79</v>
      </c>
      <c r="R51" s="44">
        <f t="shared" si="19"/>
        <v>0.79</v>
      </c>
    </row>
    <row r="52" spans="1:20" ht="17.100000000000001" customHeight="1" x14ac:dyDescent="0.25">
      <c r="A52" s="61">
        <v>5</v>
      </c>
      <c r="B52" s="76" t="s">
        <v>189</v>
      </c>
      <c r="C52" s="61">
        <v>80</v>
      </c>
      <c r="D52" s="60" t="s">
        <v>190</v>
      </c>
      <c r="E52" s="60" t="s">
        <v>191</v>
      </c>
      <c r="F52" s="75">
        <v>2.0199999999999999E-2</v>
      </c>
      <c r="G52" s="69">
        <v>277978.8</v>
      </c>
      <c r="H52" s="118">
        <v>286317.8</v>
      </c>
      <c r="I52" s="70">
        <f t="shared" si="10"/>
        <v>-8339</v>
      </c>
      <c r="J52" s="70">
        <f t="shared" si="11"/>
        <v>0</v>
      </c>
      <c r="K52" s="71">
        <f t="shared" si="12"/>
        <v>0</v>
      </c>
      <c r="L52" s="71">
        <f t="shared" si="13"/>
        <v>72720</v>
      </c>
      <c r="M52" s="125">
        <f t="shared" si="14"/>
        <v>43370.9352</v>
      </c>
      <c r="N52" s="125">
        <f t="shared" si="15"/>
        <v>15561.416429999999</v>
      </c>
      <c r="O52" s="125">
        <f t="shared" si="16"/>
        <v>0</v>
      </c>
      <c r="P52" s="72">
        <f t="shared" si="17"/>
        <v>123313.8</v>
      </c>
      <c r="Q52" s="73">
        <f t="shared" si="18"/>
        <v>127012.8</v>
      </c>
      <c r="R52" s="44">
        <f t="shared" si="19"/>
        <v>0.8</v>
      </c>
    </row>
    <row r="53" spans="1:20" ht="17.100000000000001" customHeight="1" x14ac:dyDescent="0.25">
      <c r="A53" s="61">
        <v>5</v>
      </c>
      <c r="B53" s="76" t="s">
        <v>192</v>
      </c>
      <c r="C53" s="61">
        <v>81</v>
      </c>
      <c r="D53" s="60" t="s">
        <v>193</v>
      </c>
      <c r="E53" s="60" t="s">
        <v>194</v>
      </c>
      <c r="F53" s="75">
        <v>2.0199999999999999E-2</v>
      </c>
      <c r="G53" s="69">
        <v>145692.81</v>
      </c>
      <c r="H53" s="118">
        <f>G53</f>
        <v>145692.81</v>
      </c>
      <c r="I53" s="70">
        <f t="shared" si="10"/>
        <v>0</v>
      </c>
      <c r="J53" s="70">
        <f t="shared" si="11"/>
        <v>0</v>
      </c>
      <c r="K53" s="71">
        <f t="shared" si="12"/>
        <v>0</v>
      </c>
      <c r="L53" s="71">
        <f t="shared" si="13"/>
        <v>72720</v>
      </c>
      <c r="M53" s="125">
        <f t="shared" si="14"/>
        <v>43370.9352</v>
      </c>
      <c r="N53" s="125">
        <f t="shared" si="15"/>
        <v>15561.416429999999</v>
      </c>
      <c r="O53" s="125">
        <f t="shared" si="16"/>
        <v>0</v>
      </c>
      <c r="P53" s="72">
        <f t="shared" si="17"/>
        <v>131652.81</v>
      </c>
      <c r="Q53" s="73">
        <f t="shared" si="18"/>
        <v>135602.81</v>
      </c>
      <c r="R53" s="44">
        <f t="shared" si="19"/>
        <v>0.81</v>
      </c>
      <c r="T53" t="s">
        <v>252</v>
      </c>
    </row>
    <row r="54" spans="1:20" ht="17.100000000000001" customHeight="1" x14ac:dyDescent="0.25">
      <c r="A54" s="61">
        <v>6</v>
      </c>
      <c r="B54" s="76" t="s">
        <v>195</v>
      </c>
      <c r="C54" s="61">
        <v>82</v>
      </c>
      <c r="D54" s="60" t="s">
        <v>196</v>
      </c>
      <c r="E54" s="60"/>
      <c r="F54" s="75">
        <v>1.3899999999999999E-2</v>
      </c>
      <c r="G54" s="69">
        <v>100253.82</v>
      </c>
      <c r="H54" s="118">
        <f>G54</f>
        <v>100253.82</v>
      </c>
      <c r="I54" s="70">
        <f t="shared" si="10"/>
        <v>0</v>
      </c>
      <c r="J54" s="70">
        <f t="shared" si="11"/>
        <v>0</v>
      </c>
      <c r="K54" s="71">
        <f t="shared" si="12"/>
        <v>0</v>
      </c>
      <c r="L54" s="71">
        <f t="shared" si="13"/>
        <v>50040</v>
      </c>
      <c r="M54" s="125">
        <f t="shared" si="14"/>
        <v>29844.356399999997</v>
      </c>
      <c r="N54" s="125">
        <f t="shared" si="15"/>
        <v>10708.103385</v>
      </c>
      <c r="O54" s="125">
        <f t="shared" si="16"/>
        <v>0</v>
      </c>
      <c r="P54" s="72">
        <f t="shared" si="17"/>
        <v>90592.82</v>
      </c>
      <c r="Q54" s="73">
        <f t="shared" si="18"/>
        <v>93310.82</v>
      </c>
      <c r="R54" s="44">
        <f t="shared" si="19"/>
        <v>0.82</v>
      </c>
    </row>
    <row r="55" spans="1:20" ht="17.100000000000001" customHeight="1" x14ac:dyDescent="0.25">
      <c r="A55" s="61">
        <v>6</v>
      </c>
      <c r="B55" s="76" t="s">
        <v>197</v>
      </c>
      <c r="C55" s="61">
        <v>83</v>
      </c>
      <c r="D55" s="60" t="s">
        <v>198</v>
      </c>
      <c r="E55" s="60" t="s">
        <v>199</v>
      </c>
      <c r="F55" s="75">
        <v>1.3899999999999999E-2</v>
      </c>
      <c r="G55" s="69">
        <v>324223.83</v>
      </c>
      <c r="H55" s="118"/>
      <c r="I55" s="70">
        <f t="shared" si="10"/>
        <v>324223.83</v>
      </c>
      <c r="J55" s="70">
        <f t="shared" si="11"/>
        <v>9726.7149000000009</v>
      </c>
      <c r="K55" s="71">
        <f t="shared" si="12"/>
        <v>0</v>
      </c>
      <c r="L55" s="71">
        <f t="shared" si="13"/>
        <v>50040</v>
      </c>
      <c r="M55" s="125">
        <f t="shared" si="14"/>
        <v>29844.356399999997</v>
      </c>
      <c r="N55" s="125">
        <f t="shared" si="15"/>
        <v>10708.103385</v>
      </c>
      <c r="O55" s="125">
        <f t="shared" si="16"/>
        <v>0</v>
      </c>
      <c r="P55" s="72">
        <f t="shared" si="17"/>
        <v>424543.83</v>
      </c>
      <c r="Q55" s="73">
        <f t="shared" si="18"/>
        <v>437279.83</v>
      </c>
      <c r="R55" s="44">
        <f t="shared" si="19"/>
        <v>0.83</v>
      </c>
    </row>
    <row r="56" spans="1:20" ht="17.100000000000001" customHeight="1" x14ac:dyDescent="0.25">
      <c r="A56" s="61">
        <v>6</v>
      </c>
      <c r="B56" s="76" t="s">
        <v>200</v>
      </c>
      <c r="C56" s="61">
        <v>84</v>
      </c>
      <c r="D56" s="60" t="s">
        <v>201</v>
      </c>
      <c r="E56" s="74"/>
      <c r="F56" s="75">
        <v>2.0199999999999999E-2</v>
      </c>
      <c r="G56" s="69">
        <v>145692.84</v>
      </c>
      <c r="H56" s="118">
        <f>G56</f>
        <v>145692.84</v>
      </c>
      <c r="I56" s="70">
        <f t="shared" si="10"/>
        <v>0</v>
      </c>
      <c r="J56" s="70">
        <f t="shared" si="11"/>
        <v>0</v>
      </c>
      <c r="K56" s="71">
        <f t="shared" si="12"/>
        <v>0</v>
      </c>
      <c r="L56" s="71">
        <f t="shared" si="13"/>
        <v>72720</v>
      </c>
      <c r="M56" s="125">
        <f t="shared" si="14"/>
        <v>43370.9352</v>
      </c>
      <c r="N56" s="125">
        <f t="shared" si="15"/>
        <v>15561.416429999999</v>
      </c>
      <c r="O56" s="125">
        <f t="shared" si="16"/>
        <v>0</v>
      </c>
      <c r="P56" s="72">
        <f t="shared" si="17"/>
        <v>131652.84</v>
      </c>
      <c r="Q56" s="73">
        <f t="shared" si="18"/>
        <v>135602.84</v>
      </c>
      <c r="R56" s="44">
        <f t="shared" si="19"/>
        <v>0.84</v>
      </c>
    </row>
    <row r="57" spans="1:20" ht="17.100000000000001" customHeight="1" x14ac:dyDescent="0.25">
      <c r="A57" s="61">
        <v>7</v>
      </c>
      <c r="B57" s="76"/>
      <c r="C57" s="61"/>
      <c r="D57" s="60"/>
      <c r="E57" s="74"/>
      <c r="F57" s="75"/>
      <c r="G57" s="69">
        <v>0</v>
      </c>
      <c r="H57" s="118"/>
      <c r="I57" s="70"/>
      <c r="J57" s="70"/>
      <c r="K57" s="71"/>
      <c r="L57" s="71">
        <f t="shared" si="13"/>
        <v>0</v>
      </c>
      <c r="M57" s="125"/>
      <c r="N57" s="125"/>
      <c r="O57" s="125">
        <f t="shared" si="16"/>
        <v>0</v>
      </c>
      <c r="P57" s="72">
        <f t="shared" si="17"/>
        <v>0</v>
      </c>
      <c r="Q57" s="73"/>
      <c r="R57" s="44">
        <f t="shared" si="19"/>
        <v>0</v>
      </c>
    </row>
    <row r="58" spans="1:20" ht="17.100000000000001" customHeight="1" x14ac:dyDescent="0.25">
      <c r="A58" s="61">
        <v>7</v>
      </c>
      <c r="B58" s="76"/>
      <c r="C58" s="61"/>
      <c r="D58" s="60"/>
      <c r="E58" s="60"/>
      <c r="F58" s="75"/>
      <c r="G58" s="69">
        <v>0</v>
      </c>
      <c r="H58" s="118"/>
      <c r="I58" s="70"/>
      <c r="J58" s="70"/>
      <c r="K58" s="71"/>
      <c r="L58" s="71">
        <f t="shared" si="13"/>
        <v>0</v>
      </c>
      <c r="M58" s="125"/>
      <c r="N58" s="125"/>
      <c r="O58" s="125">
        <f t="shared" si="16"/>
        <v>0</v>
      </c>
      <c r="P58" s="72">
        <f t="shared" si="17"/>
        <v>0</v>
      </c>
      <c r="Q58" s="73"/>
      <c r="R58" s="44">
        <f t="shared" si="19"/>
        <v>0</v>
      </c>
    </row>
    <row r="59" spans="1:20" ht="17.100000000000001" customHeight="1" x14ac:dyDescent="0.25">
      <c r="A59" s="61">
        <v>7</v>
      </c>
      <c r="B59" s="76" t="s">
        <v>202</v>
      </c>
      <c r="C59" s="61">
        <v>17</v>
      </c>
      <c r="D59" s="60" t="s">
        <v>168</v>
      </c>
      <c r="E59" s="60" t="s">
        <v>203</v>
      </c>
      <c r="F59" s="75">
        <v>3.2000000000000002E-3</v>
      </c>
      <c r="G59" s="69">
        <v>22286.17</v>
      </c>
      <c r="H59" s="118">
        <f>G59</f>
        <v>22286.17</v>
      </c>
      <c r="I59" s="70">
        <f t="shared" ref="I59:I90" si="20">G59-H59</f>
        <v>0</v>
      </c>
      <c r="J59" s="70">
        <f t="shared" ref="J59:J90" si="21">IF(I59&gt;0,I59*3%,0)</f>
        <v>0</v>
      </c>
      <c r="K59" s="71">
        <f t="shared" ref="K59:K90" si="22">M$2*F59</f>
        <v>0</v>
      </c>
      <c r="L59" s="71">
        <f t="shared" si="13"/>
        <v>11520</v>
      </c>
      <c r="M59" s="125">
        <f t="shared" ref="M59:M90" si="23">F$1*F59</f>
        <v>6870.6432000000004</v>
      </c>
      <c r="N59" s="125">
        <f t="shared" ref="N59:N90" si="24">F$2*F59</f>
        <v>2465.17488</v>
      </c>
      <c r="O59" s="125">
        <f t="shared" si="16"/>
        <v>0</v>
      </c>
      <c r="P59" s="72">
        <f t="shared" si="17"/>
        <v>20856.169999999998</v>
      </c>
      <c r="Q59" s="73">
        <f t="shared" ref="Q59:Q90" si="25">ROUND(P59*3%,0) + P59</f>
        <v>21482.17</v>
      </c>
      <c r="R59" s="44">
        <f t="shared" si="19"/>
        <v>0.17</v>
      </c>
    </row>
    <row r="60" spans="1:20" ht="17.100000000000001" customHeight="1" x14ac:dyDescent="0.25">
      <c r="A60" s="61">
        <v>8</v>
      </c>
      <c r="B60" s="76" t="s">
        <v>204</v>
      </c>
      <c r="C60" s="61">
        <v>18</v>
      </c>
      <c r="D60" s="60" t="s">
        <v>205</v>
      </c>
      <c r="E60" s="74"/>
      <c r="F60" s="75">
        <v>3.3E-3</v>
      </c>
      <c r="G60" s="69">
        <v>201811.18</v>
      </c>
      <c r="H60" s="118"/>
      <c r="I60" s="70">
        <f t="shared" si="20"/>
        <v>201811.18</v>
      </c>
      <c r="J60" s="70">
        <f t="shared" si="21"/>
        <v>6054.3353999999999</v>
      </c>
      <c r="K60" s="71">
        <f t="shared" si="22"/>
        <v>0</v>
      </c>
      <c r="L60" s="71">
        <f t="shared" si="13"/>
        <v>11880</v>
      </c>
      <c r="M60" s="125">
        <f t="shared" si="23"/>
        <v>7085.3508000000002</v>
      </c>
      <c r="N60" s="125">
        <f t="shared" si="24"/>
        <v>2542.2115950000002</v>
      </c>
      <c r="O60" s="125">
        <f t="shared" si="16"/>
        <v>0</v>
      </c>
      <c r="P60" s="72">
        <f t="shared" si="17"/>
        <v>229373.18</v>
      </c>
      <c r="Q60" s="73">
        <f t="shared" si="25"/>
        <v>236254.18</v>
      </c>
      <c r="R60" s="44">
        <f t="shared" si="19"/>
        <v>0.18</v>
      </c>
    </row>
    <row r="61" spans="1:20" ht="17.100000000000001" customHeight="1" x14ac:dyDescent="0.25">
      <c r="A61" s="61">
        <v>8</v>
      </c>
      <c r="B61" s="76" t="s">
        <v>206</v>
      </c>
      <c r="C61" s="61">
        <v>19</v>
      </c>
      <c r="D61" s="60" t="s">
        <v>207</v>
      </c>
      <c r="E61" s="74"/>
      <c r="F61" s="75">
        <v>4.0000000000000002E-4</v>
      </c>
      <c r="G61" s="69">
        <v>7081.19</v>
      </c>
      <c r="H61" s="118"/>
      <c r="I61" s="70">
        <f t="shared" si="20"/>
        <v>7081.19</v>
      </c>
      <c r="J61" s="70">
        <f t="shared" si="21"/>
        <v>212.43569999999997</v>
      </c>
      <c r="K61" s="71">
        <f t="shared" si="22"/>
        <v>0</v>
      </c>
      <c r="L61" s="71">
        <f t="shared" si="13"/>
        <v>1440</v>
      </c>
      <c r="M61" s="125">
        <f t="shared" si="23"/>
        <v>858.83040000000005</v>
      </c>
      <c r="N61" s="125">
        <f t="shared" si="24"/>
        <v>308.14686</v>
      </c>
      <c r="O61" s="125">
        <f t="shared" si="16"/>
        <v>0</v>
      </c>
      <c r="P61" s="72">
        <f t="shared" si="17"/>
        <v>9901.19</v>
      </c>
      <c r="Q61" s="73">
        <f t="shared" si="25"/>
        <v>10198.19</v>
      </c>
      <c r="R61" s="44">
        <f t="shared" si="19"/>
        <v>0.19</v>
      </c>
    </row>
    <row r="62" spans="1:20" ht="17.100000000000001" customHeight="1" x14ac:dyDescent="0.25">
      <c r="A62" s="61">
        <v>8</v>
      </c>
      <c r="B62" s="76" t="s">
        <v>208</v>
      </c>
      <c r="C62" s="61">
        <v>20</v>
      </c>
      <c r="D62" s="60" t="s">
        <v>253</v>
      </c>
      <c r="E62" s="74"/>
      <c r="F62" s="75">
        <v>2.0000000000000001E-4</v>
      </c>
      <c r="G62" s="69">
        <v>1442.2</v>
      </c>
      <c r="H62" s="118"/>
      <c r="I62" s="70">
        <f t="shared" si="20"/>
        <v>1442.2</v>
      </c>
      <c r="J62" s="70">
        <f t="shared" si="21"/>
        <v>43.265999999999998</v>
      </c>
      <c r="K62" s="71">
        <f t="shared" si="22"/>
        <v>0</v>
      </c>
      <c r="L62" s="71">
        <f t="shared" si="13"/>
        <v>720</v>
      </c>
      <c r="M62" s="125">
        <f t="shared" si="23"/>
        <v>429.41520000000003</v>
      </c>
      <c r="N62" s="125">
        <f t="shared" si="24"/>
        <v>154.07343</v>
      </c>
      <c r="O62" s="125">
        <f t="shared" si="16"/>
        <v>0</v>
      </c>
      <c r="P62" s="72">
        <f t="shared" si="17"/>
        <v>2789.2</v>
      </c>
      <c r="Q62" s="73">
        <f t="shared" si="25"/>
        <v>2873.2</v>
      </c>
      <c r="R62" s="44">
        <f t="shared" si="19"/>
        <v>0.2</v>
      </c>
    </row>
    <row r="63" spans="1:20" ht="17.100000000000001" customHeight="1" x14ac:dyDescent="0.25">
      <c r="A63" s="61">
        <v>9</v>
      </c>
      <c r="B63" s="76" t="s">
        <v>209</v>
      </c>
      <c r="C63" s="61">
        <v>21</v>
      </c>
      <c r="D63" s="60" t="s">
        <v>210</v>
      </c>
      <c r="E63" s="74" t="s">
        <v>86</v>
      </c>
      <c r="F63" s="75">
        <v>2.0000000000000001E-4</v>
      </c>
      <c r="G63" s="69">
        <v>-45074.79</v>
      </c>
      <c r="H63" s="118"/>
      <c r="I63" s="70">
        <f t="shared" si="20"/>
        <v>-45074.79</v>
      </c>
      <c r="J63" s="70">
        <f t="shared" si="21"/>
        <v>0</v>
      </c>
      <c r="K63" s="71">
        <f t="shared" si="22"/>
        <v>0</v>
      </c>
      <c r="L63" s="71">
        <f t="shared" si="13"/>
        <v>720</v>
      </c>
      <c r="M63" s="125">
        <f t="shared" si="23"/>
        <v>429.41520000000003</v>
      </c>
      <c r="N63" s="125">
        <f t="shared" si="24"/>
        <v>154.07343</v>
      </c>
      <c r="O63" s="125">
        <f t="shared" si="16"/>
        <v>0</v>
      </c>
      <c r="P63" s="72">
        <f t="shared" si="17"/>
        <v>-43770.79</v>
      </c>
      <c r="Q63" s="73">
        <f t="shared" si="25"/>
        <v>-45083.79</v>
      </c>
      <c r="R63" s="44">
        <f t="shared" si="19"/>
        <v>0.21</v>
      </c>
    </row>
    <row r="64" spans="1:20" ht="17.100000000000001" customHeight="1" x14ac:dyDescent="0.25">
      <c r="A64" s="61">
        <v>9</v>
      </c>
      <c r="B64" s="76" t="s">
        <v>211</v>
      </c>
      <c r="C64" s="61">
        <v>22</v>
      </c>
      <c r="D64" s="178" t="s">
        <v>83</v>
      </c>
      <c r="E64" s="181"/>
      <c r="F64" s="182">
        <v>2.0000000000000001E-4</v>
      </c>
      <c r="G64" s="69">
        <v>1442.22</v>
      </c>
      <c r="H64" s="118">
        <f>G64</f>
        <v>1442.22</v>
      </c>
      <c r="I64" s="70">
        <f t="shared" si="20"/>
        <v>0</v>
      </c>
      <c r="J64" s="70">
        <f t="shared" si="21"/>
        <v>0</v>
      </c>
      <c r="K64" s="71">
        <f t="shared" si="22"/>
        <v>0</v>
      </c>
      <c r="L64" s="71">
        <f t="shared" si="13"/>
        <v>720</v>
      </c>
      <c r="M64" s="125">
        <f t="shared" si="23"/>
        <v>429.41520000000003</v>
      </c>
      <c r="N64" s="125">
        <f t="shared" si="24"/>
        <v>154.07343</v>
      </c>
      <c r="O64" s="125">
        <f t="shared" si="16"/>
        <v>0</v>
      </c>
      <c r="P64" s="72">
        <f t="shared" si="17"/>
        <v>1303.22</v>
      </c>
      <c r="Q64" s="73">
        <f t="shared" si="25"/>
        <v>1342.22</v>
      </c>
      <c r="R64" s="44">
        <f t="shared" si="19"/>
        <v>0.22</v>
      </c>
    </row>
    <row r="65" spans="1:19" ht="17.100000000000001" customHeight="1" x14ac:dyDescent="0.25">
      <c r="A65" s="61">
        <v>9</v>
      </c>
      <c r="B65" s="76" t="s">
        <v>212</v>
      </c>
      <c r="C65" s="61">
        <v>23</v>
      </c>
      <c r="D65" s="60" t="s">
        <v>129</v>
      </c>
      <c r="E65" s="74" t="s">
        <v>130</v>
      </c>
      <c r="F65" s="75">
        <v>2.0000000000000001E-4</v>
      </c>
      <c r="G65" s="69">
        <v>1202.23</v>
      </c>
      <c r="H65" s="118">
        <f>240.23</f>
        <v>240.23</v>
      </c>
      <c r="I65" s="70">
        <f t="shared" si="20"/>
        <v>962</v>
      </c>
      <c r="J65" s="70">
        <f t="shared" si="21"/>
        <v>28.86</v>
      </c>
      <c r="K65" s="71">
        <f t="shared" si="22"/>
        <v>0</v>
      </c>
      <c r="L65" s="71">
        <f t="shared" si="13"/>
        <v>720</v>
      </c>
      <c r="M65" s="125">
        <f t="shared" si="23"/>
        <v>429.41520000000003</v>
      </c>
      <c r="N65" s="125">
        <f t="shared" si="24"/>
        <v>154.07343</v>
      </c>
      <c r="O65" s="125">
        <f t="shared" si="16"/>
        <v>0</v>
      </c>
      <c r="P65" s="72">
        <f t="shared" si="17"/>
        <v>2294.23</v>
      </c>
      <c r="Q65" s="73">
        <f t="shared" si="25"/>
        <v>2363.23</v>
      </c>
      <c r="R65" s="44">
        <f t="shared" si="19"/>
        <v>0.23</v>
      </c>
    </row>
    <row r="66" spans="1:19" ht="17.100000000000001" customHeight="1" x14ac:dyDescent="0.25">
      <c r="A66" s="61">
        <v>10</v>
      </c>
      <c r="B66" s="76" t="s">
        <v>213</v>
      </c>
      <c r="C66" s="61">
        <v>24</v>
      </c>
      <c r="D66" s="60" t="s">
        <v>188</v>
      </c>
      <c r="E66" s="74"/>
      <c r="F66" s="75">
        <v>2.0000000000000001E-4</v>
      </c>
      <c r="G66" s="69">
        <v>1442.24</v>
      </c>
      <c r="H66" s="118">
        <v>1485.24</v>
      </c>
      <c r="I66" s="70">
        <f t="shared" si="20"/>
        <v>-43</v>
      </c>
      <c r="J66" s="70">
        <f t="shared" si="21"/>
        <v>0</v>
      </c>
      <c r="K66" s="71">
        <f t="shared" si="22"/>
        <v>0</v>
      </c>
      <c r="L66" s="71">
        <f t="shared" si="13"/>
        <v>720</v>
      </c>
      <c r="M66" s="125">
        <f t="shared" si="23"/>
        <v>429.41520000000003</v>
      </c>
      <c r="N66" s="125">
        <f t="shared" si="24"/>
        <v>154.07343</v>
      </c>
      <c r="O66" s="125">
        <f t="shared" si="16"/>
        <v>0</v>
      </c>
      <c r="P66" s="72">
        <f t="shared" si="17"/>
        <v>1260.24</v>
      </c>
      <c r="Q66" s="73">
        <f t="shared" si="25"/>
        <v>1298.24</v>
      </c>
      <c r="R66" s="44">
        <f t="shared" si="19"/>
        <v>0.24</v>
      </c>
    </row>
    <row r="67" spans="1:19" ht="17.100000000000001" customHeight="1" x14ac:dyDescent="0.25">
      <c r="A67" s="61">
        <v>10</v>
      </c>
      <c r="B67" s="76" t="s">
        <v>214</v>
      </c>
      <c r="C67" s="61">
        <v>25</v>
      </c>
      <c r="D67" s="60" t="s">
        <v>215</v>
      </c>
      <c r="E67" s="60" t="s">
        <v>216</v>
      </c>
      <c r="F67" s="75">
        <v>2.0000000000000001E-4</v>
      </c>
      <c r="G67" s="69">
        <v>1442.25</v>
      </c>
      <c r="H67" s="118">
        <f>G67</f>
        <v>1442.25</v>
      </c>
      <c r="I67" s="70">
        <f t="shared" si="20"/>
        <v>0</v>
      </c>
      <c r="J67" s="70">
        <f t="shared" si="21"/>
        <v>0</v>
      </c>
      <c r="K67" s="71">
        <f t="shared" si="22"/>
        <v>0</v>
      </c>
      <c r="L67" s="71">
        <f t="shared" si="13"/>
        <v>720</v>
      </c>
      <c r="M67" s="125">
        <f t="shared" si="23"/>
        <v>429.41520000000003</v>
      </c>
      <c r="N67" s="125">
        <f t="shared" si="24"/>
        <v>154.07343</v>
      </c>
      <c r="O67" s="125">
        <f t="shared" si="16"/>
        <v>0</v>
      </c>
      <c r="P67" s="72">
        <f t="shared" si="17"/>
        <v>1303.25</v>
      </c>
      <c r="Q67" s="73">
        <f t="shared" si="25"/>
        <v>1342.25</v>
      </c>
      <c r="R67" s="44">
        <f t="shared" si="19"/>
        <v>0.25</v>
      </c>
    </row>
    <row r="68" spans="1:19" ht="17.100000000000001" customHeight="1" x14ac:dyDescent="0.25">
      <c r="A68" s="61">
        <v>10</v>
      </c>
      <c r="B68" s="76" t="s">
        <v>217</v>
      </c>
      <c r="C68" s="61">
        <v>26</v>
      </c>
      <c r="D68" s="60" t="s">
        <v>134</v>
      </c>
      <c r="E68" s="60" t="s">
        <v>271</v>
      </c>
      <c r="F68" s="75">
        <v>2.0000000000000001E-4</v>
      </c>
      <c r="G68" s="69">
        <v>1064.26</v>
      </c>
      <c r="H68" s="118">
        <f>1064.26</f>
        <v>1064.26</v>
      </c>
      <c r="I68" s="70">
        <f t="shared" si="20"/>
        <v>0</v>
      </c>
      <c r="J68" s="70">
        <f t="shared" si="21"/>
        <v>0</v>
      </c>
      <c r="K68" s="71">
        <f t="shared" si="22"/>
        <v>0</v>
      </c>
      <c r="L68" s="71">
        <f t="shared" si="13"/>
        <v>720</v>
      </c>
      <c r="M68" s="125">
        <f t="shared" si="23"/>
        <v>429.41520000000003</v>
      </c>
      <c r="N68" s="125">
        <f t="shared" si="24"/>
        <v>154.07343</v>
      </c>
      <c r="O68" s="125">
        <f t="shared" si="16"/>
        <v>0</v>
      </c>
      <c r="P68" s="72">
        <f t="shared" si="17"/>
        <v>1303.26</v>
      </c>
      <c r="Q68" s="73">
        <f t="shared" si="25"/>
        <v>1342.26</v>
      </c>
      <c r="R68" s="44">
        <f t="shared" si="19"/>
        <v>0.26</v>
      </c>
    </row>
    <row r="69" spans="1:19" ht="17.100000000000001" customHeight="1" x14ac:dyDescent="0.25">
      <c r="A69" s="61">
        <v>11</v>
      </c>
      <c r="B69" s="76" t="s">
        <v>218</v>
      </c>
      <c r="C69" s="61">
        <v>27</v>
      </c>
      <c r="D69" s="60" t="s">
        <v>219</v>
      </c>
      <c r="E69" s="74"/>
      <c r="F69" s="75">
        <v>2.0000000000000001E-4</v>
      </c>
      <c r="G69" s="69">
        <v>13721.27</v>
      </c>
      <c r="H69" s="118"/>
      <c r="I69" s="70">
        <f t="shared" si="20"/>
        <v>13721.27</v>
      </c>
      <c r="J69" s="70">
        <f t="shared" si="21"/>
        <v>411.63810000000001</v>
      </c>
      <c r="K69" s="71">
        <f t="shared" si="22"/>
        <v>0</v>
      </c>
      <c r="L69" s="71">
        <f t="shared" ref="L69:L90" si="26">M$1*F69</f>
        <v>720</v>
      </c>
      <c r="M69" s="125">
        <f t="shared" si="23"/>
        <v>429.41520000000003</v>
      </c>
      <c r="N69" s="125">
        <f t="shared" si="24"/>
        <v>154.07343</v>
      </c>
      <c r="O69" s="125">
        <f t="shared" ref="O69:O90" si="27">I$2*F69</f>
        <v>0</v>
      </c>
      <c r="P69" s="72">
        <f t="shared" ref="P69:P90" si="28">ROUND(SUM(I69:O69),0) + R69</f>
        <v>15436.27</v>
      </c>
      <c r="Q69" s="73">
        <f t="shared" si="25"/>
        <v>15899.27</v>
      </c>
      <c r="R69" s="44">
        <f t="shared" ref="R69:R90" si="29">ROUND(0.001+C69/100,2)</f>
        <v>0.27</v>
      </c>
    </row>
    <row r="70" spans="1:19" ht="17.100000000000001" customHeight="1" x14ac:dyDescent="0.25">
      <c r="A70" s="61">
        <v>11</v>
      </c>
      <c r="B70" s="76" t="s">
        <v>220</v>
      </c>
      <c r="C70" s="61">
        <v>28</v>
      </c>
      <c r="D70" s="60" t="s">
        <v>219</v>
      </c>
      <c r="E70" s="74"/>
      <c r="F70" s="75">
        <v>2.0000000000000001E-4</v>
      </c>
      <c r="G70" s="69">
        <v>13721.28</v>
      </c>
      <c r="H70" s="118"/>
      <c r="I70" s="70">
        <f t="shared" si="20"/>
        <v>13721.28</v>
      </c>
      <c r="J70" s="70">
        <f t="shared" si="21"/>
        <v>411.63839999999999</v>
      </c>
      <c r="K70" s="71">
        <f t="shared" si="22"/>
        <v>0</v>
      </c>
      <c r="L70" s="71">
        <f t="shared" si="26"/>
        <v>720</v>
      </c>
      <c r="M70" s="125">
        <f t="shared" si="23"/>
        <v>429.41520000000003</v>
      </c>
      <c r="N70" s="125">
        <f t="shared" si="24"/>
        <v>154.07343</v>
      </c>
      <c r="O70" s="125">
        <f t="shared" si="27"/>
        <v>0</v>
      </c>
      <c r="P70" s="72">
        <f t="shared" si="28"/>
        <v>15436.28</v>
      </c>
      <c r="Q70" s="73">
        <f t="shared" si="25"/>
        <v>15899.28</v>
      </c>
      <c r="R70" s="44">
        <f t="shared" si="29"/>
        <v>0.28000000000000003</v>
      </c>
    </row>
    <row r="71" spans="1:19" ht="17.100000000000001" customHeight="1" x14ac:dyDescent="0.25">
      <c r="A71" s="61">
        <v>11</v>
      </c>
      <c r="B71" s="76" t="s">
        <v>221</v>
      </c>
      <c r="C71" s="61">
        <v>29</v>
      </c>
      <c r="D71" s="60" t="s">
        <v>98</v>
      </c>
      <c r="E71" s="60" t="s">
        <v>222</v>
      </c>
      <c r="F71" s="75">
        <v>2.0000000000000001E-4</v>
      </c>
      <c r="G71" s="69">
        <v>2959.29</v>
      </c>
      <c r="H71" s="118"/>
      <c r="I71" s="70">
        <f t="shared" si="20"/>
        <v>2959.29</v>
      </c>
      <c r="J71" s="70">
        <f t="shared" si="21"/>
        <v>88.778700000000001</v>
      </c>
      <c r="K71" s="71">
        <f t="shared" si="22"/>
        <v>0</v>
      </c>
      <c r="L71" s="71">
        <f t="shared" si="26"/>
        <v>720</v>
      </c>
      <c r="M71" s="125">
        <f t="shared" si="23"/>
        <v>429.41520000000003</v>
      </c>
      <c r="N71" s="125">
        <f t="shared" si="24"/>
        <v>154.07343</v>
      </c>
      <c r="O71" s="125">
        <f t="shared" si="27"/>
        <v>0</v>
      </c>
      <c r="P71" s="72">
        <f t="shared" si="28"/>
        <v>4352.29</v>
      </c>
      <c r="Q71" s="73">
        <f t="shared" si="25"/>
        <v>4483.29</v>
      </c>
      <c r="R71" s="44">
        <f t="shared" si="29"/>
        <v>0.28999999999999998</v>
      </c>
    </row>
    <row r="72" spans="1:19" ht="17.100000000000001" customHeight="1" x14ac:dyDescent="0.25">
      <c r="A72" s="61"/>
      <c r="B72" s="77" t="s">
        <v>223</v>
      </c>
      <c r="C72" s="61">
        <v>30</v>
      </c>
      <c r="D72" s="78" t="s">
        <v>98</v>
      </c>
      <c r="E72" s="60" t="s">
        <v>203</v>
      </c>
      <c r="F72" s="79">
        <v>2.0000000000000001E-4</v>
      </c>
      <c r="G72" s="69">
        <v>1442.3</v>
      </c>
      <c r="H72" s="118"/>
      <c r="I72" s="70">
        <f t="shared" si="20"/>
        <v>1442.3</v>
      </c>
      <c r="J72" s="70">
        <f t="shared" si="21"/>
        <v>43.268999999999998</v>
      </c>
      <c r="K72" s="71">
        <f t="shared" si="22"/>
        <v>0</v>
      </c>
      <c r="L72" s="71">
        <f t="shared" si="26"/>
        <v>720</v>
      </c>
      <c r="M72" s="125">
        <f t="shared" si="23"/>
        <v>429.41520000000003</v>
      </c>
      <c r="N72" s="125">
        <f t="shared" si="24"/>
        <v>154.07343</v>
      </c>
      <c r="O72" s="125">
        <f t="shared" si="27"/>
        <v>0</v>
      </c>
      <c r="P72" s="72">
        <f t="shared" si="28"/>
        <v>2789.3</v>
      </c>
      <c r="Q72" s="73">
        <f t="shared" si="25"/>
        <v>2873.3</v>
      </c>
      <c r="R72" s="44">
        <f t="shared" si="29"/>
        <v>0.3</v>
      </c>
    </row>
    <row r="73" spans="1:19" ht="17.100000000000001" customHeight="1" x14ac:dyDescent="0.25">
      <c r="A73" s="61"/>
      <c r="B73" s="77" t="s">
        <v>224</v>
      </c>
      <c r="C73" s="61">
        <v>31</v>
      </c>
      <c r="D73" s="78" t="s">
        <v>98</v>
      </c>
      <c r="E73" s="78"/>
      <c r="F73" s="79">
        <v>2.0000000000000001E-4</v>
      </c>
      <c r="G73" s="69">
        <v>7279.31</v>
      </c>
      <c r="H73" s="118"/>
      <c r="I73" s="70">
        <f t="shared" si="20"/>
        <v>7279.31</v>
      </c>
      <c r="J73" s="70">
        <f t="shared" si="21"/>
        <v>218.3793</v>
      </c>
      <c r="K73" s="71">
        <f t="shared" si="22"/>
        <v>0</v>
      </c>
      <c r="L73" s="71">
        <f t="shared" si="26"/>
        <v>720</v>
      </c>
      <c r="M73" s="125">
        <f t="shared" si="23"/>
        <v>429.41520000000003</v>
      </c>
      <c r="N73" s="125">
        <f t="shared" si="24"/>
        <v>154.07343</v>
      </c>
      <c r="O73" s="125">
        <f t="shared" si="27"/>
        <v>0</v>
      </c>
      <c r="P73" s="72">
        <f t="shared" si="28"/>
        <v>8801.31</v>
      </c>
      <c r="Q73" s="73">
        <f t="shared" si="25"/>
        <v>9065.31</v>
      </c>
      <c r="R73" s="44">
        <f t="shared" si="29"/>
        <v>0.31</v>
      </c>
    </row>
    <row r="74" spans="1:19" ht="17.100000000000001" customHeight="1" x14ac:dyDescent="0.25">
      <c r="A74" s="61"/>
      <c r="B74" s="77" t="s">
        <v>225</v>
      </c>
      <c r="C74" s="61">
        <v>32</v>
      </c>
      <c r="D74" s="78" t="s">
        <v>226</v>
      </c>
      <c r="E74" s="78"/>
      <c r="F74" s="79">
        <v>1.5800000000000002E-2</v>
      </c>
      <c r="G74" s="69">
        <v>2619346.3199999998</v>
      </c>
      <c r="H74" s="118"/>
      <c r="I74" s="70">
        <f t="shared" si="20"/>
        <v>2619346.3199999998</v>
      </c>
      <c r="J74" s="70">
        <f t="shared" si="21"/>
        <v>78580.389599999995</v>
      </c>
      <c r="K74" s="71">
        <f t="shared" si="22"/>
        <v>0</v>
      </c>
      <c r="L74" s="71">
        <f t="shared" si="26"/>
        <v>56880.000000000007</v>
      </c>
      <c r="M74" s="125">
        <f t="shared" si="23"/>
        <v>33923.800800000005</v>
      </c>
      <c r="N74" s="125">
        <f t="shared" si="24"/>
        <v>12171.800970000002</v>
      </c>
      <c r="O74" s="125">
        <f t="shared" si="27"/>
        <v>0</v>
      </c>
      <c r="P74" s="72">
        <f t="shared" si="28"/>
        <v>2800902.32</v>
      </c>
      <c r="Q74" s="73">
        <f t="shared" si="25"/>
        <v>2884929.32</v>
      </c>
      <c r="R74" s="44">
        <f t="shared" si="29"/>
        <v>0.32</v>
      </c>
    </row>
    <row r="75" spans="1:19" ht="17.100000000000001" customHeight="1" x14ac:dyDescent="0.25">
      <c r="A75" s="61"/>
      <c r="B75" s="77" t="s">
        <v>227</v>
      </c>
      <c r="C75" s="61">
        <v>1</v>
      </c>
      <c r="D75" s="78" t="s">
        <v>168</v>
      </c>
      <c r="E75" s="78"/>
      <c r="F75" s="79">
        <v>6.1000000000000004E-3</v>
      </c>
      <c r="G75" s="69">
        <v>340121.01</v>
      </c>
      <c r="H75" s="118"/>
      <c r="I75" s="70">
        <f t="shared" si="20"/>
        <v>340121.01</v>
      </c>
      <c r="J75" s="70">
        <f t="shared" si="21"/>
        <v>10203.630300000001</v>
      </c>
      <c r="K75" s="71">
        <f t="shared" si="22"/>
        <v>0</v>
      </c>
      <c r="L75" s="71">
        <f t="shared" si="26"/>
        <v>21960</v>
      </c>
      <c r="M75" s="125">
        <f t="shared" si="23"/>
        <v>13097.163600000002</v>
      </c>
      <c r="N75" s="125">
        <f t="shared" si="24"/>
        <v>4699.2396150000004</v>
      </c>
      <c r="O75" s="125">
        <f t="shared" si="27"/>
        <v>0</v>
      </c>
      <c r="P75" s="72">
        <f t="shared" si="28"/>
        <v>390081.01</v>
      </c>
      <c r="Q75" s="73">
        <f t="shared" si="25"/>
        <v>401783.01</v>
      </c>
      <c r="R75" s="44">
        <f t="shared" si="29"/>
        <v>0.01</v>
      </c>
    </row>
    <row r="76" spans="1:19" ht="17.100000000000001" customHeight="1" x14ac:dyDescent="0.25">
      <c r="A76" s="61"/>
      <c r="B76" s="232" t="s">
        <v>228</v>
      </c>
      <c r="C76" s="230">
        <v>2</v>
      </c>
      <c r="D76" s="233" t="s">
        <v>229</v>
      </c>
      <c r="E76" s="233"/>
      <c r="F76" s="79">
        <v>6.4000000000000003E-3</v>
      </c>
      <c r="G76" s="69">
        <v>46160.02</v>
      </c>
      <c r="H76" s="118"/>
      <c r="I76" s="70">
        <f t="shared" si="20"/>
        <v>46160.02</v>
      </c>
      <c r="J76" s="70">
        <f t="shared" si="21"/>
        <v>1384.8005999999998</v>
      </c>
      <c r="K76" s="71">
        <f t="shared" si="22"/>
        <v>0</v>
      </c>
      <c r="L76" s="71">
        <f t="shared" si="26"/>
        <v>23040</v>
      </c>
      <c r="M76" s="125">
        <f t="shared" si="23"/>
        <v>13741.286400000001</v>
      </c>
      <c r="N76" s="125">
        <f t="shared" si="24"/>
        <v>4930.3497600000001</v>
      </c>
      <c r="O76" s="125">
        <f t="shared" si="27"/>
        <v>0</v>
      </c>
      <c r="P76" s="72">
        <f t="shared" si="28"/>
        <v>89256.02</v>
      </c>
      <c r="Q76" s="73">
        <f t="shared" si="25"/>
        <v>91934.02</v>
      </c>
      <c r="R76" s="44">
        <f t="shared" si="29"/>
        <v>0.02</v>
      </c>
    </row>
    <row r="77" spans="1:19" ht="17.100000000000001" customHeight="1" x14ac:dyDescent="0.25">
      <c r="A77" s="61"/>
      <c r="B77" s="77" t="s">
        <v>230</v>
      </c>
      <c r="C77" s="61">
        <v>3</v>
      </c>
      <c r="D77" s="78" t="s">
        <v>231</v>
      </c>
      <c r="E77" s="78"/>
      <c r="F77" s="79">
        <v>5.7000000000000002E-3</v>
      </c>
      <c r="G77" s="69">
        <v>41111.03</v>
      </c>
      <c r="H77" s="118">
        <v>41111.03</v>
      </c>
      <c r="I77" s="70">
        <f t="shared" si="20"/>
        <v>0</v>
      </c>
      <c r="J77" s="70">
        <f t="shared" si="21"/>
        <v>0</v>
      </c>
      <c r="K77" s="71">
        <f t="shared" si="22"/>
        <v>0</v>
      </c>
      <c r="L77" s="71">
        <f t="shared" si="26"/>
        <v>20520</v>
      </c>
      <c r="M77" s="125">
        <f t="shared" si="23"/>
        <v>12238.333200000001</v>
      </c>
      <c r="N77" s="125">
        <f t="shared" si="24"/>
        <v>4391.0927550000006</v>
      </c>
      <c r="O77" s="125">
        <f t="shared" si="27"/>
        <v>0</v>
      </c>
      <c r="P77" s="72">
        <f t="shared" si="28"/>
        <v>37149.03</v>
      </c>
      <c r="Q77" s="73">
        <f t="shared" si="25"/>
        <v>38263.03</v>
      </c>
      <c r="R77" s="44">
        <f t="shared" si="29"/>
        <v>0.03</v>
      </c>
    </row>
    <row r="78" spans="1:19" ht="17.100000000000001" customHeight="1" x14ac:dyDescent="0.25">
      <c r="A78" s="61"/>
      <c r="B78" s="77" t="s">
        <v>232</v>
      </c>
      <c r="C78" s="61">
        <v>4</v>
      </c>
      <c r="D78" s="78" t="s">
        <v>93</v>
      </c>
      <c r="E78" s="78"/>
      <c r="F78" s="79">
        <v>5.3E-3</v>
      </c>
      <c r="G78" s="69">
        <v>38226.04</v>
      </c>
      <c r="H78" s="118"/>
      <c r="I78" s="70">
        <f t="shared" si="20"/>
        <v>38226.04</v>
      </c>
      <c r="J78" s="70">
        <f t="shared" si="21"/>
        <v>1146.7811999999999</v>
      </c>
      <c r="K78" s="71">
        <f t="shared" si="22"/>
        <v>0</v>
      </c>
      <c r="L78" s="71">
        <f t="shared" si="26"/>
        <v>19080</v>
      </c>
      <c r="M78" s="125">
        <f t="shared" si="23"/>
        <v>11379.5028</v>
      </c>
      <c r="N78" s="125">
        <f t="shared" si="24"/>
        <v>4082.9458950000003</v>
      </c>
      <c r="O78" s="125">
        <f t="shared" si="27"/>
        <v>0</v>
      </c>
      <c r="P78" s="72">
        <f t="shared" si="28"/>
        <v>73915.039999999994</v>
      </c>
      <c r="Q78" s="73">
        <f t="shared" si="25"/>
        <v>76132.039999999994</v>
      </c>
      <c r="R78" s="44">
        <f t="shared" si="29"/>
        <v>0.04</v>
      </c>
    </row>
    <row r="79" spans="1:19" ht="17.100000000000001" customHeight="1" x14ac:dyDescent="0.25">
      <c r="A79" s="61"/>
      <c r="B79" s="77" t="s">
        <v>233</v>
      </c>
      <c r="C79" s="61">
        <v>5</v>
      </c>
      <c r="D79" s="78" t="s">
        <v>88</v>
      </c>
      <c r="E79" s="60" t="s">
        <v>89</v>
      </c>
      <c r="F79" s="79">
        <v>5.3E-3</v>
      </c>
      <c r="G79" s="69">
        <v>38226.050000000003</v>
      </c>
      <c r="H79" s="118">
        <f>6360+31866.05</f>
        <v>38226.050000000003</v>
      </c>
      <c r="I79" s="70">
        <f t="shared" si="20"/>
        <v>0</v>
      </c>
      <c r="J79" s="70">
        <f t="shared" si="21"/>
        <v>0</v>
      </c>
      <c r="K79" s="71">
        <f t="shared" si="22"/>
        <v>0</v>
      </c>
      <c r="L79" s="71">
        <f t="shared" si="26"/>
        <v>19080</v>
      </c>
      <c r="M79" s="125">
        <f t="shared" si="23"/>
        <v>11379.5028</v>
      </c>
      <c r="N79" s="125">
        <f t="shared" si="24"/>
        <v>4082.9458950000003</v>
      </c>
      <c r="O79" s="125">
        <f t="shared" si="27"/>
        <v>0</v>
      </c>
      <c r="P79" s="72">
        <f t="shared" si="28"/>
        <v>34542.050000000003</v>
      </c>
      <c r="Q79" s="73">
        <f t="shared" si="25"/>
        <v>35578.050000000003</v>
      </c>
      <c r="R79" s="44">
        <f t="shared" si="29"/>
        <v>0.05</v>
      </c>
    </row>
    <row r="80" spans="1:19" ht="17.100000000000001" customHeight="1" x14ac:dyDescent="0.25">
      <c r="A80" s="61"/>
      <c r="B80" s="77" t="s">
        <v>234</v>
      </c>
      <c r="C80" s="61">
        <v>6</v>
      </c>
      <c r="D80" s="78" t="s">
        <v>235</v>
      </c>
      <c r="E80" s="74" t="s">
        <v>86</v>
      </c>
      <c r="F80" s="79">
        <v>5.3E-3</v>
      </c>
      <c r="G80" s="69">
        <v>38226.06</v>
      </c>
      <c r="H80" s="118">
        <f>6360.06+39373.06</f>
        <v>45733.119999999995</v>
      </c>
      <c r="I80" s="84">
        <f t="shared" si="20"/>
        <v>-7507.0599999999977</v>
      </c>
      <c r="J80" s="70">
        <f t="shared" si="21"/>
        <v>0</v>
      </c>
      <c r="K80" s="71">
        <f t="shared" si="22"/>
        <v>0</v>
      </c>
      <c r="L80" s="71">
        <f t="shared" si="26"/>
        <v>19080</v>
      </c>
      <c r="M80" s="125">
        <f t="shared" si="23"/>
        <v>11379.5028</v>
      </c>
      <c r="N80" s="125">
        <f t="shared" si="24"/>
        <v>4082.9458950000003</v>
      </c>
      <c r="O80" s="125">
        <f t="shared" si="27"/>
        <v>0</v>
      </c>
      <c r="P80" s="72">
        <f t="shared" si="28"/>
        <v>27035.06</v>
      </c>
      <c r="Q80" s="73">
        <f t="shared" si="25"/>
        <v>27846.06</v>
      </c>
      <c r="R80" s="44">
        <f t="shared" si="29"/>
        <v>0.06</v>
      </c>
      <c r="S80" s="169" t="s">
        <v>236</v>
      </c>
    </row>
    <row r="81" spans="1:18" ht="17.100000000000001" customHeight="1" x14ac:dyDescent="0.25">
      <c r="A81" s="61">
        <v>12</v>
      </c>
      <c r="B81" s="77" t="s">
        <v>237</v>
      </c>
      <c r="C81" s="61">
        <v>7</v>
      </c>
      <c r="D81" s="78" t="s">
        <v>149</v>
      </c>
      <c r="E81" s="74" t="s">
        <v>150</v>
      </c>
      <c r="F81" s="79">
        <v>5.3E-3</v>
      </c>
      <c r="G81" s="69">
        <v>38226.07</v>
      </c>
      <c r="H81" s="118">
        <f>G81</f>
        <v>38226.07</v>
      </c>
      <c r="I81" s="70">
        <f t="shared" si="20"/>
        <v>0</v>
      </c>
      <c r="J81" s="70">
        <f t="shared" si="21"/>
        <v>0</v>
      </c>
      <c r="K81" s="71">
        <f t="shared" si="22"/>
        <v>0</v>
      </c>
      <c r="L81" s="71">
        <f t="shared" si="26"/>
        <v>19080</v>
      </c>
      <c r="M81" s="125">
        <f t="shared" si="23"/>
        <v>11379.5028</v>
      </c>
      <c r="N81" s="125">
        <f t="shared" si="24"/>
        <v>4082.9458950000003</v>
      </c>
      <c r="O81" s="125">
        <f t="shared" si="27"/>
        <v>0</v>
      </c>
      <c r="P81" s="72">
        <f t="shared" si="28"/>
        <v>34542.07</v>
      </c>
      <c r="Q81" s="73">
        <f t="shared" si="25"/>
        <v>35578.07</v>
      </c>
      <c r="R81" s="44">
        <f t="shared" si="29"/>
        <v>7.0000000000000007E-2</v>
      </c>
    </row>
    <row r="82" spans="1:18" ht="17.100000000000001" customHeight="1" x14ac:dyDescent="0.25">
      <c r="A82" s="61">
        <v>12</v>
      </c>
      <c r="B82" s="76" t="s">
        <v>238</v>
      </c>
      <c r="C82" s="61">
        <v>8</v>
      </c>
      <c r="D82" s="60" t="s">
        <v>168</v>
      </c>
      <c r="E82" s="171"/>
      <c r="F82" s="79">
        <v>5.3E-3</v>
      </c>
      <c r="G82" s="69">
        <v>192869.08</v>
      </c>
      <c r="H82" s="118"/>
      <c r="I82" s="70">
        <f t="shared" si="20"/>
        <v>192869.08</v>
      </c>
      <c r="J82" s="70">
        <f t="shared" si="21"/>
        <v>5786.0723999999991</v>
      </c>
      <c r="K82" s="71">
        <f t="shared" si="22"/>
        <v>0</v>
      </c>
      <c r="L82" s="71">
        <f t="shared" si="26"/>
        <v>19080</v>
      </c>
      <c r="M82" s="125">
        <f t="shared" si="23"/>
        <v>11379.5028</v>
      </c>
      <c r="N82" s="125">
        <f t="shared" si="24"/>
        <v>4082.9458950000003</v>
      </c>
      <c r="O82" s="125">
        <f t="shared" si="27"/>
        <v>0</v>
      </c>
      <c r="P82" s="72">
        <f t="shared" si="28"/>
        <v>233198.07999999999</v>
      </c>
      <c r="Q82" s="73">
        <f t="shared" si="25"/>
        <v>240194.08</v>
      </c>
      <c r="R82" s="44">
        <f t="shared" si="29"/>
        <v>0.08</v>
      </c>
    </row>
    <row r="83" spans="1:18" ht="16.5" customHeight="1" x14ac:dyDescent="0.25">
      <c r="A83" s="61">
        <v>12</v>
      </c>
      <c r="B83" s="76" t="s">
        <v>239</v>
      </c>
      <c r="C83" s="61">
        <v>9</v>
      </c>
      <c r="D83" s="60" t="s">
        <v>168</v>
      </c>
      <c r="E83" s="78" t="str">
        <f>E44</f>
        <v>Luz Maria Alberio</v>
      </c>
      <c r="F83" s="79">
        <v>5.3E-3</v>
      </c>
      <c r="G83" s="69">
        <v>123624.09</v>
      </c>
      <c r="H83" s="118"/>
      <c r="I83" s="70">
        <f t="shared" si="20"/>
        <v>123624.09</v>
      </c>
      <c r="J83" s="70">
        <f t="shared" si="21"/>
        <v>3708.7226999999998</v>
      </c>
      <c r="K83" s="71">
        <f t="shared" si="22"/>
        <v>0</v>
      </c>
      <c r="L83" s="71">
        <f t="shared" si="26"/>
        <v>19080</v>
      </c>
      <c r="M83" s="125">
        <f t="shared" si="23"/>
        <v>11379.5028</v>
      </c>
      <c r="N83" s="125">
        <f t="shared" si="24"/>
        <v>4082.9458950000003</v>
      </c>
      <c r="O83" s="125">
        <f t="shared" si="27"/>
        <v>0</v>
      </c>
      <c r="P83" s="72">
        <f t="shared" si="28"/>
        <v>161875.09</v>
      </c>
      <c r="Q83" s="73">
        <f t="shared" si="25"/>
        <v>166731.09</v>
      </c>
      <c r="R83" s="44">
        <f t="shared" si="29"/>
        <v>0.09</v>
      </c>
    </row>
    <row r="84" spans="1:18" x14ac:dyDescent="0.25">
      <c r="A84" s="61"/>
      <c r="B84" s="76" t="s">
        <v>240</v>
      </c>
      <c r="C84" s="76">
        <v>10</v>
      </c>
      <c r="D84" s="60" t="s">
        <v>168</v>
      </c>
      <c r="E84" s="74"/>
      <c r="F84" s="68">
        <v>5.3E-3</v>
      </c>
      <c r="G84" s="69">
        <v>292057.09999999998</v>
      </c>
      <c r="H84" s="118"/>
      <c r="I84" s="70">
        <f t="shared" si="20"/>
        <v>292057.09999999998</v>
      </c>
      <c r="J84" s="70">
        <f t="shared" si="21"/>
        <v>8761.7129999999997</v>
      </c>
      <c r="K84" s="71">
        <f t="shared" si="22"/>
        <v>0</v>
      </c>
      <c r="L84" s="71">
        <f t="shared" si="26"/>
        <v>19080</v>
      </c>
      <c r="M84" s="125">
        <f t="shared" si="23"/>
        <v>11379.5028</v>
      </c>
      <c r="N84" s="125">
        <f t="shared" si="24"/>
        <v>4082.9458950000003</v>
      </c>
      <c r="O84" s="125">
        <f t="shared" si="27"/>
        <v>0</v>
      </c>
      <c r="P84" s="72">
        <f t="shared" si="28"/>
        <v>335361.09999999998</v>
      </c>
      <c r="Q84" s="73">
        <f t="shared" si="25"/>
        <v>345422.1</v>
      </c>
      <c r="R84" s="44">
        <f t="shared" si="29"/>
        <v>0.1</v>
      </c>
    </row>
    <row r="85" spans="1:18" x14ac:dyDescent="0.25">
      <c r="A85" s="61"/>
      <c r="B85" s="76" t="s">
        <v>241</v>
      </c>
      <c r="C85" s="76">
        <v>11</v>
      </c>
      <c r="D85" s="178" t="s">
        <v>168</v>
      </c>
      <c r="E85" s="178" t="s">
        <v>271</v>
      </c>
      <c r="F85" s="179">
        <v>5.3E-3</v>
      </c>
      <c r="G85" s="69">
        <v>117437.11</v>
      </c>
      <c r="H85" s="118">
        <v>28633</v>
      </c>
      <c r="I85" s="70">
        <f t="shared" si="20"/>
        <v>88804.11</v>
      </c>
      <c r="J85" s="70">
        <f t="shared" si="21"/>
        <v>2664.1232999999997</v>
      </c>
      <c r="K85" s="71">
        <f t="shared" si="22"/>
        <v>0</v>
      </c>
      <c r="L85" s="71">
        <f t="shared" si="26"/>
        <v>19080</v>
      </c>
      <c r="M85" s="125">
        <f t="shared" si="23"/>
        <v>11379.5028</v>
      </c>
      <c r="N85" s="125">
        <f t="shared" si="24"/>
        <v>4082.9458950000003</v>
      </c>
      <c r="O85" s="125">
        <f t="shared" si="27"/>
        <v>0</v>
      </c>
      <c r="P85" s="72">
        <f t="shared" si="28"/>
        <v>126011.11</v>
      </c>
      <c r="Q85" s="73">
        <f t="shared" si="25"/>
        <v>129791.11</v>
      </c>
      <c r="R85" s="44">
        <f t="shared" si="29"/>
        <v>0.11</v>
      </c>
    </row>
    <row r="86" spans="1:18" x14ac:dyDescent="0.25">
      <c r="A86" s="61"/>
      <c r="B86" s="76" t="s">
        <v>242</v>
      </c>
      <c r="C86" s="76">
        <v>12</v>
      </c>
      <c r="D86" s="172" t="s">
        <v>119</v>
      </c>
      <c r="E86" s="60" t="s">
        <v>120</v>
      </c>
      <c r="F86" s="68">
        <v>5.3E-3</v>
      </c>
      <c r="G86" s="69">
        <v>38226.120000000003</v>
      </c>
      <c r="H86" s="118">
        <f>31866+6360.12</f>
        <v>38226.120000000003</v>
      </c>
      <c r="I86" s="70">
        <f t="shared" si="20"/>
        <v>0</v>
      </c>
      <c r="J86" s="70">
        <f t="shared" si="21"/>
        <v>0</v>
      </c>
      <c r="K86" s="71">
        <f t="shared" si="22"/>
        <v>0</v>
      </c>
      <c r="L86" s="71">
        <f t="shared" si="26"/>
        <v>19080</v>
      </c>
      <c r="M86" s="125">
        <f t="shared" si="23"/>
        <v>11379.5028</v>
      </c>
      <c r="N86" s="125">
        <f t="shared" si="24"/>
        <v>4082.9458950000003</v>
      </c>
      <c r="O86" s="125">
        <f t="shared" si="27"/>
        <v>0</v>
      </c>
      <c r="P86" s="72">
        <f t="shared" si="28"/>
        <v>34542.120000000003</v>
      </c>
      <c r="Q86" s="73">
        <f t="shared" si="25"/>
        <v>35578.120000000003</v>
      </c>
      <c r="R86" s="44">
        <f t="shared" si="29"/>
        <v>0.12</v>
      </c>
    </row>
    <row r="87" spans="1:18" x14ac:dyDescent="0.25">
      <c r="A87" s="61"/>
      <c r="B87" s="61" t="s">
        <v>243</v>
      </c>
      <c r="C87" s="61">
        <v>13</v>
      </c>
      <c r="D87" s="180" t="s">
        <v>141</v>
      </c>
      <c r="E87" s="181"/>
      <c r="F87" s="179">
        <v>5.3E-3</v>
      </c>
      <c r="G87" s="69">
        <v>38226.129999999997</v>
      </c>
      <c r="H87" s="118">
        <f>G87</f>
        <v>38226.129999999997</v>
      </c>
      <c r="I87" s="70">
        <f t="shared" si="20"/>
        <v>0</v>
      </c>
      <c r="J87" s="70">
        <f t="shared" si="21"/>
        <v>0</v>
      </c>
      <c r="K87" s="71">
        <f t="shared" si="22"/>
        <v>0</v>
      </c>
      <c r="L87" s="71">
        <f t="shared" si="26"/>
        <v>19080</v>
      </c>
      <c r="M87" s="125">
        <f t="shared" si="23"/>
        <v>11379.5028</v>
      </c>
      <c r="N87" s="125">
        <f t="shared" si="24"/>
        <v>4082.9458950000003</v>
      </c>
      <c r="O87" s="125">
        <f t="shared" si="27"/>
        <v>0</v>
      </c>
      <c r="P87" s="72">
        <f t="shared" si="28"/>
        <v>34542.129999999997</v>
      </c>
      <c r="Q87" s="73">
        <f t="shared" si="25"/>
        <v>35578.129999999997</v>
      </c>
      <c r="R87" s="44">
        <f t="shared" si="29"/>
        <v>0.13</v>
      </c>
    </row>
    <row r="88" spans="1:18" ht="22.5" customHeight="1" x14ac:dyDescent="0.25">
      <c r="A88" s="61"/>
      <c r="B88" s="61" t="s">
        <v>244</v>
      </c>
      <c r="C88" s="61">
        <v>14</v>
      </c>
      <c r="D88" s="172" t="s">
        <v>129</v>
      </c>
      <c r="E88" s="74" t="s">
        <v>245</v>
      </c>
      <c r="F88" s="68">
        <v>5.3E-3</v>
      </c>
      <c r="G88" s="69">
        <v>29456.14</v>
      </c>
      <c r="H88" s="118">
        <f>6360.14+30340.14</f>
        <v>36700.28</v>
      </c>
      <c r="I88" s="70">
        <f t="shared" si="20"/>
        <v>-7244.1399999999994</v>
      </c>
      <c r="J88" s="70">
        <f t="shared" si="21"/>
        <v>0</v>
      </c>
      <c r="K88" s="71">
        <f t="shared" si="22"/>
        <v>0</v>
      </c>
      <c r="L88" s="71">
        <f t="shared" si="26"/>
        <v>19080</v>
      </c>
      <c r="M88" s="125">
        <f t="shared" si="23"/>
        <v>11379.5028</v>
      </c>
      <c r="N88" s="125">
        <f t="shared" si="24"/>
        <v>4082.9458950000003</v>
      </c>
      <c r="O88" s="125">
        <f t="shared" si="27"/>
        <v>0</v>
      </c>
      <c r="P88" s="72">
        <f t="shared" si="28"/>
        <v>27298.14</v>
      </c>
      <c r="Q88" s="73">
        <f t="shared" si="25"/>
        <v>28117.14</v>
      </c>
      <c r="R88" s="44">
        <f t="shared" si="29"/>
        <v>0.14000000000000001</v>
      </c>
    </row>
    <row r="89" spans="1:18" x14ac:dyDescent="0.25">
      <c r="A89" s="61"/>
      <c r="B89" s="61" t="s">
        <v>246</v>
      </c>
      <c r="C89" s="61">
        <v>15</v>
      </c>
      <c r="D89" s="172" t="s">
        <v>111</v>
      </c>
      <c r="E89" s="74" t="str">
        <f>E20</f>
        <v xml:space="preserve">Armando Ezequiel Garro </v>
      </c>
      <c r="F89" s="68">
        <v>5.3E-3</v>
      </c>
      <c r="G89" s="69">
        <v>38226.15</v>
      </c>
      <c r="H89" s="118">
        <f>G89</f>
        <v>38226.15</v>
      </c>
      <c r="I89" s="70">
        <f t="shared" si="20"/>
        <v>0</v>
      </c>
      <c r="J89" s="70">
        <f t="shared" si="21"/>
        <v>0</v>
      </c>
      <c r="K89" s="71">
        <f t="shared" si="22"/>
        <v>0</v>
      </c>
      <c r="L89" s="71">
        <f t="shared" si="26"/>
        <v>19080</v>
      </c>
      <c r="M89" s="125">
        <f t="shared" si="23"/>
        <v>11379.5028</v>
      </c>
      <c r="N89" s="125">
        <f t="shared" si="24"/>
        <v>4082.9458950000003</v>
      </c>
      <c r="O89" s="125">
        <f t="shared" si="27"/>
        <v>0</v>
      </c>
      <c r="P89" s="72">
        <f t="shared" si="28"/>
        <v>34542.15</v>
      </c>
      <c r="Q89" s="73">
        <f t="shared" si="25"/>
        <v>35578.15</v>
      </c>
      <c r="R89" s="44">
        <f t="shared" si="29"/>
        <v>0.15</v>
      </c>
    </row>
    <row r="90" spans="1:18" x14ac:dyDescent="0.25">
      <c r="A90" s="60"/>
      <c r="B90" s="60" t="s">
        <v>247</v>
      </c>
      <c r="C90" s="61">
        <v>16</v>
      </c>
      <c r="D90" s="60" t="s">
        <v>139</v>
      </c>
      <c r="E90" s="60"/>
      <c r="F90" s="68">
        <v>6.1999999999999998E-3</v>
      </c>
      <c r="G90" s="149">
        <v>44717.16</v>
      </c>
      <c r="H90" s="118"/>
      <c r="I90" s="150">
        <f t="shared" si="20"/>
        <v>44717.16</v>
      </c>
      <c r="J90" s="70">
        <f t="shared" si="21"/>
        <v>1341.5148000000002</v>
      </c>
      <c r="K90" s="71">
        <f t="shared" si="22"/>
        <v>0</v>
      </c>
      <c r="L90" s="71">
        <f t="shared" si="26"/>
        <v>22320</v>
      </c>
      <c r="M90" s="125">
        <f t="shared" si="23"/>
        <v>13311.8712</v>
      </c>
      <c r="N90" s="125">
        <f t="shared" si="24"/>
        <v>4776.2763299999997</v>
      </c>
      <c r="O90" s="125">
        <f t="shared" si="27"/>
        <v>0</v>
      </c>
      <c r="P90" s="72">
        <f t="shared" si="28"/>
        <v>86467.16</v>
      </c>
      <c r="Q90" s="73">
        <f t="shared" si="25"/>
        <v>89061.16</v>
      </c>
      <c r="R90" s="44">
        <f t="shared" si="29"/>
        <v>0.16</v>
      </c>
    </row>
    <row r="91" spans="1:18" ht="17.100000000000001" customHeight="1" thickBot="1" x14ac:dyDescent="0.3">
      <c r="A91" s="61"/>
      <c r="B91" s="138"/>
      <c r="C91" s="138"/>
      <c r="D91" s="138"/>
      <c r="E91" s="138"/>
      <c r="F91" s="151"/>
      <c r="G91" s="152"/>
      <c r="H91" s="153"/>
      <c r="I91" s="154"/>
      <c r="J91" s="155"/>
      <c r="K91" s="156"/>
      <c r="L91" s="157"/>
      <c r="M91" s="157"/>
      <c r="N91" s="157"/>
      <c r="O91" s="157"/>
      <c r="P91" s="158"/>
      <c r="Q91" s="158"/>
      <c r="R91" s="44"/>
    </row>
    <row r="92" spans="1:18" ht="17.100000000000001" customHeight="1" thickBot="1" x14ac:dyDescent="0.3">
      <c r="A92" s="80"/>
      <c r="B92" s="159"/>
      <c r="C92" s="160"/>
      <c r="D92" s="161"/>
      <c r="E92" s="161"/>
      <c r="F92" s="162">
        <f t="shared" ref="F92:L92" si="30">SUM(F5:F91)</f>
        <v>0.99999999999999956</v>
      </c>
      <c r="G92" s="163">
        <f t="shared" si="30"/>
        <v>13317175.699999997</v>
      </c>
      <c r="H92" s="164">
        <f t="shared" si="30"/>
        <v>6886831.2500000009</v>
      </c>
      <c r="I92" s="165">
        <f t="shared" si="30"/>
        <v>6430344.4500000002</v>
      </c>
      <c r="J92" s="166">
        <f t="shared" si="30"/>
        <v>197632.69379999998</v>
      </c>
      <c r="K92" s="166">
        <f t="shared" si="30"/>
        <v>0</v>
      </c>
      <c r="L92" s="167">
        <f t="shared" si="30"/>
        <v>3600000</v>
      </c>
      <c r="M92" s="167">
        <f>SUM(M5:M90)</f>
        <v>2147075.9999999967</v>
      </c>
      <c r="N92" s="167">
        <f>SUM(N5:N90)</f>
        <v>770367.15</v>
      </c>
      <c r="O92" s="167">
        <f>SUM(O5:O90)</f>
        <v>0</v>
      </c>
      <c r="P92" s="168">
        <f>SUM(P5:P91)</f>
        <v>13145437.699999997</v>
      </c>
      <c r="Q92" s="168">
        <f>SUM(Q5:Q91)</f>
        <v>13539810.699999997</v>
      </c>
    </row>
    <row r="93" spans="1:18" x14ac:dyDescent="0.25">
      <c r="D93" s="50"/>
      <c r="E93" s="50"/>
    </row>
    <row r="94" spans="1:18" x14ac:dyDescent="0.25">
      <c r="D94" s="209" t="s">
        <v>273</v>
      </c>
      <c r="E94" s="209"/>
      <c r="F94" s="209"/>
      <c r="G94" s="209"/>
      <c r="H94" s="209"/>
      <c r="I94" s="209"/>
      <c r="J94" s="209"/>
      <c r="K94" s="209"/>
      <c r="L94" s="209"/>
      <c r="M94" s="209"/>
      <c r="N94" s="209"/>
      <c r="O94" s="209"/>
      <c r="P94" s="209"/>
    </row>
    <row r="95" spans="1:18" x14ac:dyDescent="0.25">
      <c r="D95" s="209"/>
      <c r="E95" s="209"/>
      <c r="F95" s="209"/>
      <c r="G95" s="209"/>
      <c r="H95" s="209"/>
      <c r="I95" s="209"/>
      <c r="J95" s="209"/>
      <c r="K95" s="209"/>
      <c r="L95" s="209"/>
      <c r="M95" s="209"/>
      <c r="N95" s="209"/>
      <c r="O95" s="209"/>
      <c r="P95" s="209"/>
    </row>
    <row r="96" spans="1:18" x14ac:dyDescent="0.25">
      <c r="H96" s="119"/>
    </row>
    <row r="97" spans="4:16" ht="9" customHeight="1" x14ac:dyDescent="0.25">
      <c r="D97" s="194" t="str">
        <f>RESUMEN!A13</f>
        <v>ESTIMADOS PROPIETARIOS E INQUILINOS: POR FAVOR LOS QUE ABONAN EN PRIMER VENCIMIENTO ABONEN EL MONTO DE PRIMER VENCIMIENTO, ASI AGILIZAN LA LIQUIDACION, LES PEDIMOS ENCARECIDAMENTE QUE RESPETEN LOS CENTAVOS CORRESPONDIENTES A LA UNIDAD FUNCIONAL. ES DE CARÁCTER OBLIGATORIO INFORMAR VIA MAIL LAS EXPENSAS. IMPORTANTE PARA DUEÑOS O INQUILINOS DE DEPARTAMENTOS O COCHERAS: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E97" s="195"/>
      <c r="F97" s="195"/>
      <c r="G97" s="195"/>
      <c r="H97" s="195"/>
      <c r="I97" s="195"/>
      <c r="J97" s="195"/>
      <c r="K97" s="195"/>
      <c r="L97" s="195"/>
      <c r="M97" s="195"/>
      <c r="N97" s="195"/>
      <c r="O97" s="195"/>
      <c r="P97" s="195"/>
    </row>
    <row r="98" spans="4:16" ht="12" hidden="1" customHeight="1" x14ac:dyDescent="0.25">
      <c r="D98" s="195"/>
      <c r="E98" s="195"/>
      <c r="F98" s="195"/>
      <c r="G98" s="195"/>
      <c r="H98" s="195"/>
      <c r="I98" s="195"/>
      <c r="J98" s="195"/>
      <c r="K98" s="195"/>
      <c r="L98" s="195"/>
      <c r="M98" s="195"/>
      <c r="N98" s="195"/>
      <c r="O98" s="195"/>
      <c r="P98" s="195"/>
    </row>
    <row r="99" spans="4:16" ht="12" hidden="1" customHeight="1" x14ac:dyDescent="0.25">
      <c r="D99" s="195"/>
      <c r="E99" s="195"/>
      <c r="F99" s="195"/>
      <c r="G99" s="195"/>
      <c r="H99" s="195"/>
      <c r="I99" s="195"/>
      <c r="J99" s="195"/>
      <c r="K99" s="195"/>
      <c r="L99" s="195"/>
      <c r="M99" s="195"/>
      <c r="N99" s="195"/>
      <c r="O99" s="195"/>
      <c r="P99" s="195"/>
    </row>
    <row r="100" spans="4:16" ht="12" hidden="1" customHeight="1" x14ac:dyDescent="0.25">
      <c r="D100" s="195"/>
      <c r="E100" s="195"/>
      <c r="F100" s="195"/>
      <c r="G100" s="195"/>
      <c r="H100" s="195"/>
      <c r="I100" s="195"/>
      <c r="J100" s="195"/>
      <c r="K100" s="195"/>
      <c r="L100" s="195"/>
      <c r="M100" s="195"/>
      <c r="N100" s="195"/>
      <c r="O100" s="195"/>
      <c r="P100" s="195"/>
    </row>
    <row r="101" spans="4:16" ht="12" hidden="1" customHeight="1" x14ac:dyDescent="0.25">
      <c r="D101" s="195"/>
      <c r="E101" s="195"/>
      <c r="F101" s="195"/>
      <c r="G101" s="195"/>
      <c r="H101" s="195"/>
      <c r="I101" s="195"/>
      <c r="J101" s="195"/>
      <c r="K101" s="195"/>
      <c r="L101" s="195"/>
      <c r="M101" s="195"/>
      <c r="N101" s="195"/>
      <c r="O101" s="195"/>
      <c r="P101" s="195"/>
    </row>
    <row r="102" spans="4:16" ht="147" customHeight="1" x14ac:dyDescent="0.25">
      <c r="D102" s="195"/>
      <c r="E102" s="195"/>
      <c r="F102" s="195"/>
      <c r="G102" s="195"/>
      <c r="H102" s="195"/>
      <c r="I102" s="195"/>
      <c r="J102" s="195"/>
      <c r="K102" s="195"/>
      <c r="L102" s="195"/>
      <c r="M102" s="195"/>
      <c r="N102" s="195"/>
      <c r="O102" s="195"/>
      <c r="P102" s="195"/>
    </row>
  </sheetData>
  <mergeCells count="24">
    <mergeCell ref="P1:Q1"/>
    <mergeCell ref="M1:N1"/>
    <mergeCell ref="M2:N2"/>
    <mergeCell ref="F1:G1"/>
    <mergeCell ref="A3:A4"/>
    <mergeCell ref="G3:G4"/>
    <mergeCell ref="M3:M4"/>
    <mergeCell ref="I3:I4"/>
    <mergeCell ref="P2:Q2"/>
    <mergeCell ref="D3:D4"/>
    <mergeCell ref="C3:C4"/>
    <mergeCell ref="Q3:Q4"/>
    <mergeCell ref="L3:L4"/>
    <mergeCell ref="I2:J2"/>
    <mergeCell ref="N3:N4"/>
    <mergeCell ref="F3:F4"/>
    <mergeCell ref="D94:P95"/>
    <mergeCell ref="D97:P102"/>
    <mergeCell ref="F2:G2"/>
    <mergeCell ref="H3:H4"/>
    <mergeCell ref="J3:J4"/>
    <mergeCell ref="K3:K4"/>
    <mergeCell ref="O3:O4"/>
    <mergeCell ref="E3:E4"/>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AEA40-856C-4C69-BDF8-B1FFAA30BA95}">
  <dimension ref="D3:I21"/>
  <sheetViews>
    <sheetView tabSelected="1" topLeftCell="B4" workbookViewId="0">
      <selection activeCell="E15" sqref="D15:I15"/>
    </sheetView>
  </sheetViews>
  <sheetFormatPr baseColWidth="10" defaultRowHeight="15" x14ac:dyDescent="0.25"/>
  <sheetData>
    <row r="3" spans="4:9" x14ac:dyDescent="0.25">
      <c r="D3" s="119"/>
    </row>
    <row r="4" spans="4:9" x14ac:dyDescent="0.25">
      <c r="D4" s="119"/>
    </row>
    <row r="5" spans="4:9" x14ac:dyDescent="0.25">
      <c r="D5" s="119"/>
    </row>
    <row r="6" spans="4:9" x14ac:dyDescent="0.25">
      <c r="D6" s="119"/>
    </row>
    <row r="7" spans="4:9" x14ac:dyDescent="0.25">
      <c r="D7" s="119"/>
    </row>
    <row r="8" spans="4:9" x14ac:dyDescent="0.25">
      <c r="D8" s="190" t="s">
        <v>274</v>
      </c>
    </row>
    <row r="9" spans="4:9" x14ac:dyDescent="0.25">
      <c r="D9" s="119"/>
    </row>
    <row r="10" spans="4:9" x14ac:dyDescent="0.25">
      <c r="D10" s="119"/>
    </row>
    <row r="11" spans="4:9" ht="67.5" customHeight="1" x14ac:dyDescent="0.25">
      <c r="D11" s="193" t="s">
        <v>275</v>
      </c>
      <c r="E11" s="193"/>
      <c r="F11" s="193"/>
      <c r="G11" s="229" t="s">
        <v>276</v>
      </c>
      <c r="H11" s="229"/>
      <c r="I11" s="229"/>
    </row>
    <row r="12" spans="4:9" x14ac:dyDescent="0.25">
      <c r="D12" s="119"/>
    </row>
    <row r="13" spans="4:9" x14ac:dyDescent="0.25">
      <c r="D13" s="119"/>
    </row>
    <row r="14" spans="4:9" x14ac:dyDescent="0.25">
      <c r="D14" s="119"/>
    </row>
    <row r="15" spans="4:9" x14ac:dyDescent="0.25">
      <c r="D15" s="234" t="s">
        <v>277</v>
      </c>
      <c r="E15" s="234"/>
      <c r="F15" s="234"/>
      <c r="G15" s="234"/>
      <c r="H15" s="234"/>
      <c r="I15" s="234"/>
    </row>
    <row r="18" spans="4:7" x14ac:dyDescent="0.25">
      <c r="D18" s="119"/>
    </row>
    <row r="21" spans="4:7" x14ac:dyDescent="0.25">
      <c r="D21" s="119"/>
      <c r="E21" s="119"/>
      <c r="F21" s="119"/>
      <c r="G21" s="119"/>
    </row>
  </sheetData>
  <mergeCells count="1">
    <mergeCell ref="G11:I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 </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2025-08-11T20:14:17Z</cp:lastPrinted>
  <dcterms:created xsi:type="dcterms:W3CDTF">2023-09-17T12:29:07Z</dcterms:created>
  <dcterms:modified xsi:type="dcterms:W3CDTF">2025-08-25T13:24:49Z</dcterms:modified>
</cp:coreProperties>
</file>