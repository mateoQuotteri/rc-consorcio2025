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VERGARA\Junio\"/>
    </mc:Choice>
  </mc:AlternateContent>
  <xr:revisionPtr revIDLastSave="0" documentId="13_ncr:1_{297BA86C-A02A-42B9-A5BB-3DE092A8AEA8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anotaciones " sheetId="4" r:id="rId3"/>
  </sheets>
  <definedNames>
    <definedName name="_xlnm.Print_Area" localSheetId="1">PRORRATEO!$A$1:$Q$101</definedName>
    <definedName name="_xlnm.Print_Area" localSheetId="0">RESUMEN!$A$1:$E$105</definedName>
  </definedNames>
  <calcPr calcId="181029"/>
</workbook>
</file>

<file path=xl/calcChain.xml><?xml version="1.0" encoding="utf-8"?>
<calcChain xmlns="http://schemas.openxmlformats.org/spreadsheetml/2006/main">
  <c r="H90" i="2" l="1"/>
  <c r="H89" i="2"/>
  <c r="H20" i="2" s="1"/>
  <c r="E89" i="2"/>
  <c r="H87" i="2"/>
  <c r="H33" i="2" s="1"/>
  <c r="I33" i="2" s="1"/>
  <c r="J33" i="2" s="1"/>
  <c r="H86" i="2"/>
  <c r="H85" i="2"/>
  <c r="E83" i="2"/>
  <c r="H80" i="2"/>
  <c r="I80" i="2" s="1"/>
  <c r="J80" i="2" s="1"/>
  <c r="H78" i="2"/>
  <c r="H77" i="2"/>
  <c r="H76" i="2"/>
  <c r="H72" i="2"/>
  <c r="I72" i="2" s="1"/>
  <c r="J72" i="2" s="1"/>
  <c r="H66" i="2"/>
  <c r="H65" i="2"/>
  <c r="H63" i="2"/>
  <c r="H59" i="2"/>
  <c r="H56" i="2"/>
  <c r="H54" i="2"/>
  <c r="H53" i="2"/>
  <c r="H52" i="2"/>
  <c r="H51" i="2"/>
  <c r="H49" i="2"/>
  <c r="H48" i="2"/>
  <c r="H47" i="2"/>
  <c r="H46" i="2"/>
  <c r="H42" i="2"/>
  <c r="H40" i="2"/>
  <c r="E40" i="2"/>
  <c r="H39" i="2"/>
  <c r="H37" i="2"/>
  <c r="H36" i="2"/>
  <c r="H35" i="2"/>
  <c r="I35" i="2" s="1"/>
  <c r="J35" i="2" s="1"/>
  <c r="H34" i="2"/>
  <c r="H31" i="2"/>
  <c r="H30" i="2"/>
  <c r="I30" i="2" s="1"/>
  <c r="J30" i="2" s="1"/>
  <c r="H29" i="2"/>
  <c r="H28" i="2"/>
  <c r="H27" i="2"/>
  <c r="H26" i="2"/>
  <c r="I26" i="2" s="1"/>
  <c r="J26" i="2" s="1"/>
  <c r="H24" i="2"/>
  <c r="H21" i="2"/>
  <c r="H18" i="2"/>
  <c r="I18" i="2" s="1"/>
  <c r="J18" i="2" s="1"/>
  <c r="H17" i="2"/>
  <c r="H16" i="2"/>
  <c r="H15" i="2"/>
  <c r="H14" i="2"/>
  <c r="I14" i="2" s="1"/>
  <c r="J14" i="2" s="1"/>
  <c r="H13" i="2"/>
  <c r="H12" i="2"/>
  <c r="H11" i="2"/>
  <c r="H10" i="2"/>
  <c r="I10" i="2" s="1"/>
  <c r="J10" i="2" s="1"/>
  <c r="H9" i="2"/>
  <c r="H6" i="2"/>
  <c r="H5" i="2"/>
  <c r="D95" i="2"/>
  <c r="G92" i="2"/>
  <c r="F92" i="2"/>
  <c r="R90" i="2"/>
  <c r="O90" i="2"/>
  <c r="N90" i="2"/>
  <c r="M90" i="2"/>
  <c r="K90" i="2"/>
  <c r="I90" i="2"/>
  <c r="J90" i="2" s="1"/>
  <c r="R89" i="2"/>
  <c r="O89" i="2"/>
  <c r="N89" i="2"/>
  <c r="M89" i="2"/>
  <c r="K89" i="2"/>
  <c r="I89" i="2"/>
  <c r="J89" i="2" s="1"/>
  <c r="R88" i="2"/>
  <c r="O88" i="2"/>
  <c r="N88" i="2"/>
  <c r="M88" i="2"/>
  <c r="K88" i="2"/>
  <c r="J88" i="2"/>
  <c r="I88" i="2"/>
  <c r="R87" i="2"/>
  <c r="O87" i="2"/>
  <c r="N87" i="2"/>
  <c r="M87" i="2"/>
  <c r="K87" i="2"/>
  <c r="R86" i="2"/>
  <c r="O86" i="2"/>
  <c r="N86" i="2"/>
  <c r="M86" i="2"/>
  <c r="K86" i="2"/>
  <c r="I86" i="2"/>
  <c r="J86" i="2" s="1"/>
  <c r="R85" i="2"/>
  <c r="O85" i="2"/>
  <c r="N85" i="2"/>
  <c r="M85" i="2"/>
  <c r="K85" i="2"/>
  <c r="I85" i="2"/>
  <c r="J85" i="2" s="1"/>
  <c r="R84" i="2"/>
  <c r="O84" i="2"/>
  <c r="N84" i="2"/>
  <c r="M84" i="2"/>
  <c r="K84" i="2"/>
  <c r="I84" i="2"/>
  <c r="R83" i="2"/>
  <c r="O83" i="2"/>
  <c r="N83" i="2"/>
  <c r="M83" i="2"/>
  <c r="K83" i="2"/>
  <c r="I83" i="2"/>
  <c r="J83" i="2" s="1"/>
  <c r="R82" i="2"/>
  <c r="O82" i="2"/>
  <c r="N82" i="2"/>
  <c r="M82" i="2"/>
  <c r="K82" i="2"/>
  <c r="I82" i="2"/>
  <c r="J82" i="2" s="1"/>
  <c r="R81" i="2"/>
  <c r="O81" i="2"/>
  <c r="N81" i="2"/>
  <c r="M81" i="2"/>
  <c r="K81" i="2"/>
  <c r="J81" i="2"/>
  <c r="I81" i="2"/>
  <c r="R80" i="2"/>
  <c r="O80" i="2"/>
  <c r="N80" i="2"/>
  <c r="M80" i="2"/>
  <c r="K80" i="2"/>
  <c r="R79" i="2"/>
  <c r="O79" i="2"/>
  <c r="N79" i="2"/>
  <c r="M79" i="2"/>
  <c r="K79" i="2"/>
  <c r="I79" i="2"/>
  <c r="R78" i="2"/>
  <c r="O78" i="2"/>
  <c r="N78" i="2"/>
  <c r="M78" i="2"/>
  <c r="K78" i="2"/>
  <c r="I78" i="2"/>
  <c r="J78" i="2" s="1"/>
  <c r="R77" i="2"/>
  <c r="O77" i="2"/>
  <c r="N77" i="2"/>
  <c r="M77" i="2"/>
  <c r="K77" i="2"/>
  <c r="I77" i="2"/>
  <c r="J77" i="2" s="1"/>
  <c r="R76" i="2"/>
  <c r="O76" i="2"/>
  <c r="N76" i="2"/>
  <c r="M76" i="2"/>
  <c r="K76" i="2"/>
  <c r="I76" i="2"/>
  <c r="R75" i="2"/>
  <c r="O75" i="2"/>
  <c r="N75" i="2"/>
  <c r="M75" i="2"/>
  <c r="K75" i="2"/>
  <c r="I75" i="2"/>
  <c r="J75" i="2" s="1"/>
  <c r="R74" i="2"/>
  <c r="O74" i="2"/>
  <c r="N74" i="2"/>
  <c r="M74" i="2"/>
  <c r="K74" i="2"/>
  <c r="J74" i="2"/>
  <c r="I74" i="2"/>
  <c r="R73" i="2"/>
  <c r="O73" i="2"/>
  <c r="N73" i="2"/>
  <c r="M73" i="2"/>
  <c r="K73" i="2"/>
  <c r="I73" i="2"/>
  <c r="J73" i="2" s="1"/>
  <c r="R72" i="2"/>
  <c r="O72" i="2"/>
  <c r="N72" i="2"/>
  <c r="M72" i="2"/>
  <c r="K72" i="2"/>
  <c r="R71" i="2"/>
  <c r="O71" i="2"/>
  <c r="N71" i="2"/>
  <c r="M71" i="2"/>
  <c r="K71" i="2"/>
  <c r="I71" i="2"/>
  <c r="R70" i="2"/>
  <c r="O70" i="2"/>
  <c r="N70" i="2"/>
  <c r="M70" i="2"/>
  <c r="K70" i="2"/>
  <c r="I70" i="2"/>
  <c r="J70" i="2" s="1"/>
  <c r="R69" i="2"/>
  <c r="O69" i="2"/>
  <c r="N69" i="2"/>
  <c r="M69" i="2"/>
  <c r="K69" i="2"/>
  <c r="I69" i="2"/>
  <c r="R68" i="2"/>
  <c r="O68" i="2"/>
  <c r="N68" i="2"/>
  <c r="M68" i="2"/>
  <c r="K68" i="2"/>
  <c r="I68" i="2"/>
  <c r="J68" i="2" s="1"/>
  <c r="R67" i="2"/>
  <c r="O67" i="2"/>
  <c r="N67" i="2"/>
  <c r="M67" i="2"/>
  <c r="K67" i="2"/>
  <c r="I67" i="2"/>
  <c r="R66" i="2"/>
  <c r="O66" i="2"/>
  <c r="N66" i="2"/>
  <c r="M66" i="2"/>
  <c r="K66" i="2"/>
  <c r="I66" i="2"/>
  <c r="J66" i="2" s="1"/>
  <c r="R65" i="2"/>
  <c r="O65" i="2"/>
  <c r="N65" i="2"/>
  <c r="M65" i="2"/>
  <c r="K65" i="2"/>
  <c r="I65" i="2"/>
  <c r="J65" i="2" s="1"/>
  <c r="R64" i="2"/>
  <c r="O64" i="2"/>
  <c r="N64" i="2"/>
  <c r="M64" i="2"/>
  <c r="K64" i="2"/>
  <c r="I64" i="2"/>
  <c r="R63" i="2"/>
  <c r="O63" i="2"/>
  <c r="N63" i="2"/>
  <c r="M63" i="2"/>
  <c r="K63" i="2"/>
  <c r="I63" i="2"/>
  <c r="J63" i="2" s="1"/>
  <c r="R62" i="2"/>
  <c r="O62" i="2"/>
  <c r="N62" i="2"/>
  <c r="M62" i="2"/>
  <c r="K62" i="2"/>
  <c r="J62" i="2"/>
  <c r="I62" i="2"/>
  <c r="R61" i="2"/>
  <c r="O61" i="2"/>
  <c r="N61" i="2"/>
  <c r="M61" i="2"/>
  <c r="K61" i="2"/>
  <c r="I61" i="2"/>
  <c r="J61" i="2" s="1"/>
  <c r="R60" i="2"/>
  <c r="O60" i="2"/>
  <c r="N60" i="2"/>
  <c r="M60" i="2"/>
  <c r="K60" i="2"/>
  <c r="J60" i="2"/>
  <c r="I60" i="2"/>
  <c r="R59" i="2"/>
  <c r="O59" i="2"/>
  <c r="N59" i="2"/>
  <c r="M59" i="2"/>
  <c r="K59" i="2"/>
  <c r="I59" i="2"/>
  <c r="J59" i="2" s="1"/>
  <c r="R58" i="2"/>
  <c r="O58" i="2"/>
  <c r="R57" i="2"/>
  <c r="O57" i="2"/>
  <c r="R56" i="2"/>
  <c r="O56" i="2"/>
  <c r="N56" i="2"/>
  <c r="M56" i="2"/>
  <c r="K56" i="2"/>
  <c r="I56" i="2"/>
  <c r="J56" i="2" s="1"/>
  <c r="R55" i="2"/>
  <c r="O55" i="2"/>
  <c r="N55" i="2"/>
  <c r="M55" i="2"/>
  <c r="K55" i="2"/>
  <c r="J55" i="2"/>
  <c r="I55" i="2"/>
  <c r="R54" i="2"/>
  <c r="O54" i="2"/>
  <c r="N54" i="2"/>
  <c r="M54" i="2"/>
  <c r="K54" i="2"/>
  <c r="I54" i="2"/>
  <c r="J54" i="2" s="1"/>
  <c r="R53" i="2"/>
  <c r="O53" i="2"/>
  <c r="N53" i="2"/>
  <c r="M53" i="2"/>
  <c r="K53" i="2"/>
  <c r="I53" i="2"/>
  <c r="J53" i="2" s="1"/>
  <c r="R52" i="2"/>
  <c r="O52" i="2"/>
  <c r="N52" i="2"/>
  <c r="M52" i="2"/>
  <c r="K52" i="2"/>
  <c r="I52" i="2"/>
  <c r="J52" i="2" s="1"/>
  <c r="R51" i="2"/>
  <c r="O51" i="2"/>
  <c r="N51" i="2"/>
  <c r="M51" i="2"/>
  <c r="K51" i="2"/>
  <c r="I51" i="2"/>
  <c r="R50" i="2"/>
  <c r="O50" i="2"/>
  <c r="N50" i="2"/>
  <c r="M50" i="2"/>
  <c r="K50" i="2"/>
  <c r="J50" i="2"/>
  <c r="I50" i="2"/>
  <c r="R49" i="2"/>
  <c r="O49" i="2"/>
  <c r="N49" i="2"/>
  <c r="M49" i="2"/>
  <c r="K49" i="2"/>
  <c r="I49" i="2"/>
  <c r="J49" i="2" s="1"/>
  <c r="R48" i="2"/>
  <c r="O48" i="2"/>
  <c r="N48" i="2"/>
  <c r="M48" i="2"/>
  <c r="K48" i="2"/>
  <c r="I48" i="2"/>
  <c r="R47" i="2"/>
  <c r="O47" i="2"/>
  <c r="N47" i="2"/>
  <c r="M47" i="2"/>
  <c r="K47" i="2"/>
  <c r="I47" i="2"/>
  <c r="J47" i="2" s="1"/>
  <c r="R46" i="2"/>
  <c r="O46" i="2"/>
  <c r="N46" i="2"/>
  <c r="M46" i="2"/>
  <c r="K46" i="2"/>
  <c r="I46" i="2"/>
  <c r="J46" i="2" s="1"/>
  <c r="R45" i="2"/>
  <c r="O45" i="2"/>
  <c r="N45" i="2"/>
  <c r="M45" i="2"/>
  <c r="K45" i="2"/>
  <c r="J45" i="2"/>
  <c r="I45" i="2"/>
  <c r="R44" i="2"/>
  <c r="O44" i="2"/>
  <c r="N44" i="2"/>
  <c r="M44" i="2"/>
  <c r="K44" i="2"/>
  <c r="I44" i="2"/>
  <c r="J44" i="2" s="1"/>
  <c r="R43" i="2"/>
  <c r="O43" i="2"/>
  <c r="N43" i="2"/>
  <c r="M43" i="2"/>
  <c r="K43" i="2"/>
  <c r="J43" i="2"/>
  <c r="I43" i="2"/>
  <c r="R42" i="2"/>
  <c r="O42" i="2"/>
  <c r="N42" i="2"/>
  <c r="M42" i="2"/>
  <c r="K42" i="2"/>
  <c r="I42" i="2"/>
  <c r="J42" i="2" s="1"/>
  <c r="R41" i="2"/>
  <c r="O41" i="2"/>
  <c r="N41" i="2"/>
  <c r="M41" i="2"/>
  <c r="K41" i="2"/>
  <c r="I41" i="2"/>
  <c r="J41" i="2" s="1"/>
  <c r="R40" i="2"/>
  <c r="O40" i="2"/>
  <c r="N40" i="2"/>
  <c r="M40" i="2"/>
  <c r="K40" i="2"/>
  <c r="I40" i="2"/>
  <c r="R39" i="2"/>
  <c r="O39" i="2"/>
  <c r="N39" i="2"/>
  <c r="M39" i="2"/>
  <c r="K39" i="2"/>
  <c r="I39" i="2"/>
  <c r="R38" i="2"/>
  <c r="O38" i="2"/>
  <c r="N38" i="2"/>
  <c r="M38" i="2"/>
  <c r="K38" i="2"/>
  <c r="J38" i="2"/>
  <c r="I38" i="2"/>
  <c r="R37" i="2"/>
  <c r="O37" i="2"/>
  <c r="N37" i="2"/>
  <c r="M37" i="2"/>
  <c r="K37" i="2"/>
  <c r="I37" i="2"/>
  <c r="J37" i="2" s="1"/>
  <c r="R36" i="2"/>
  <c r="O36" i="2"/>
  <c r="N36" i="2"/>
  <c r="M36" i="2"/>
  <c r="K36" i="2"/>
  <c r="I36" i="2"/>
  <c r="R35" i="2"/>
  <c r="O35" i="2"/>
  <c r="N35" i="2"/>
  <c r="M35" i="2"/>
  <c r="K35" i="2"/>
  <c r="R34" i="2"/>
  <c r="O34" i="2"/>
  <c r="N34" i="2"/>
  <c r="M34" i="2"/>
  <c r="K34" i="2"/>
  <c r="I34" i="2"/>
  <c r="J34" i="2" s="1"/>
  <c r="R33" i="2"/>
  <c r="O33" i="2"/>
  <c r="N33" i="2"/>
  <c r="M33" i="2"/>
  <c r="K33" i="2"/>
  <c r="R32" i="2"/>
  <c r="O32" i="2"/>
  <c r="N32" i="2"/>
  <c r="M32" i="2"/>
  <c r="K32" i="2"/>
  <c r="I32" i="2"/>
  <c r="R31" i="2"/>
  <c r="O31" i="2"/>
  <c r="N31" i="2"/>
  <c r="M31" i="2"/>
  <c r="K31" i="2"/>
  <c r="I31" i="2"/>
  <c r="J31" i="2" s="1"/>
  <c r="R30" i="2"/>
  <c r="O30" i="2"/>
  <c r="N30" i="2"/>
  <c r="M30" i="2"/>
  <c r="K30" i="2"/>
  <c r="R29" i="2"/>
  <c r="O29" i="2"/>
  <c r="N29" i="2"/>
  <c r="M29" i="2"/>
  <c r="K29" i="2"/>
  <c r="I29" i="2"/>
  <c r="R28" i="2"/>
  <c r="O28" i="2"/>
  <c r="N28" i="2"/>
  <c r="M28" i="2"/>
  <c r="K28" i="2"/>
  <c r="I28" i="2"/>
  <c r="J28" i="2" s="1"/>
  <c r="R27" i="2"/>
  <c r="O27" i="2"/>
  <c r="N27" i="2"/>
  <c r="M27" i="2"/>
  <c r="K27" i="2"/>
  <c r="I27" i="2"/>
  <c r="J27" i="2" s="1"/>
  <c r="R26" i="2"/>
  <c r="O26" i="2"/>
  <c r="N26" i="2"/>
  <c r="M26" i="2"/>
  <c r="K26" i="2"/>
  <c r="R25" i="2"/>
  <c r="O25" i="2"/>
  <c r="N25" i="2"/>
  <c r="M25" i="2"/>
  <c r="K25" i="2"/>
  <c r="I25" i="2"/>
  <c r="J25" i="2" s="1"/>
  <c r="R24" i="2"/>
  <c r="O24" i="2"/>
  <c r="N24" i="2"/>
  <c r="M24" i="2"/>
  <c r="K24" i="2"/>
  <c r="J24" i="2"/>
  <c r="I24" i="2"/>
  <c r="R23" i="2"/>
  <c r="O23" i="2"/>
  <c r="N23" i="2"/>
  <c r="M23" i="2"/>
  <c r="K23" i="2"/>
  <c r="I23" i="2"/>
  <c r="J23" i="2" s="1"/>
  <c r="R22" i="2"/>
  <c r="O22" i="2"/>
  <c r="N22" i="2"/>
  <c r="M22" i="2"/>
  <c r="K22" i="2"/>
  <c r="I22" i="2"/>
  <c r="J22" i="2" s="1"/>
  <c r="R21" i="2"/>
  <c r="O21" i="2"/>
  <c r="N21" i="2"/>
  <c r="M21" i="2"/>
  <c r="K21" i="2"/>
  <c r="I21" i="2"/>
  <c r="R20" i="2"/>
  <c r="O20" i="2"/>
  <c r="N20" i="2"/>
  <c r="M20" i="2"/>
  <c r="K20" i="2"/>
  <c r="R19" i="2"/>
  <c r="O19" i="2"/>
  <c r="N19" i="2"/>
  <c r="M19" i="2"/>
  <c r="K19" i="2"/>
  <c r="J19" i="2"/>
  <c r="I19" i="2"/>
  <c r="R18" i="2"/>
  <c r="O18" i="2"/>
  <c r="N18" i="2"/>
  <c r="M18" i="2"/>
  <c r="K18" i="2"/>
  <c r="R17" i="2"/>
  <c r="O17" i="2"/>
  <c r="N17" i="2"/>
  <c r="M17" i="2"/>
  <c r="K17" i="2"/>
  <c r="I17" i="2"/>
  <c r="R16" i="2"/>
  <c r="O16" i="2"/>
  <c r="N16" i="2"/>
  <c r="M16" i="2"/>
  <c r="K16" i="2"/>
  <c r="I16" i="2"/>
  <c r="J16" i="2" s="1"/>
  <c r="R15" i="2"/>
  <c r="O15" i="2"/>
  <c r="N15" i="2"/>
  <c r="M15" i="2"/>
  <c r="K15" i="2"/>
  <c r="J15" i="2"/>
  <c r="I15" i="2"/>
  <c r="R14" i="2"/>
  <c r="O14" i="2"/>
  <c r="N14" i="2"/>
  <c r="M14" i="2"/>
  <c r="K14" i="2"/>
  <c r="R13" i="2"/>
  <c r="O13" i="2"/>
  <c r="N13" i="2"/>
  <c r="M13" i="2"/>
  <c r="K13" i="2"/>
  <c r="I13" i="2"/>
  <c r="J13" i="2" s="1"/>
  <c r="R12" i="2"/>
  <c r="O12" i="2"/>
  <c r="N12" i="2"/>
  <c r="M12" i="2"/>
  <c r="K12" i="2"/>
  <c r="I12" i="2"/>
  <c r="J12" i="2" s="1"/>
  <c r="R11" i="2"/>
  <c r="O11" i="2"/>
  <c r="N11" i="2"/>
  <c r="M11" i="2"/>
  <c r="K11" i="2"/>
  <c r="I11" i="2"/>
  <c r="J11" i="2" s="1"/>
  <c r="R10" i="2"/>
  <c r="O10" i="2"/>
  <c r="N10" i="2"/>
  <c r="M10" i="2"/>
  <c r="K10" i="2"/>
  <c r="R9" i="2"/>
  <c r="O9" i="2"/>
  <c r="N9" i="2"/>
  <c r="M9" i="2"/>
  <c r="K9" i="2"/>
  <c r="I9" i="2"/>
  <c r="R8" i="2"/>
  <c r="O8" i="2"/>
  <c r="N8" i="2"/>
  <c r="M8" i="2"/>
  <c r="K8" i="2"/>
  <c r="I8" i="2"/>
  <c r="J8" i="2" s="1"/>
  <c r="R7" i="2"/>
  <c r="O7" i="2"/>
  <c r="N7" i="2"/>
  <c r="M7" i="2"/>
  <c r="K7" i="2"/>
  <c r="J7" i="2"/>
  <c r="I7" i="2"/>
  <c r="R6" i="2"/>
  <c r="O6" i="2"/>
  <c r="N6" i="2"/>
  <c r="M6" i="2"/>
  <c r="K6" i="2"/>
  <c r="I6" i="2"/>
  <c r="J6" i="2" s="1"/>
  <c r="R5" i="2"/>
  <c r="O5" i="2"/>
  <c r="N5" i="2"/>
  <c r="M5" i="2"/>
  <c r="K5" i="2"/>
  <c r="I5" i="2"/>
  <c r="P4" i="2"/>
  <c r="K3" i="2"/>
  <c r="M1" i="2"/>
  <c r="L81" i="2" s="1"/>
  <c r="B104" i="1"/>
  <c r="B94" i="1"/>
  <c r="B93" i="1"/>
  <c r="B89" i="1"/>
  <c r="B88" i="1"/>
  <c r="E78" i="1"/>
  <c r="B82" i="1" s="1"/>
  <c r="B95" i="1" s="1"/>
  <c r="E73" i="1"/>
  <c r="D61" i="1"/>
  <c r="E63" i="1" s="1"/>
  <c r="E59" i="1"/>
  <c r="E45" i="1"/>
  <c r="E40" i="1"/>
  <c r="E39" i="1"/>
  <c r="E38" i="1"/>
  <c r="A38" i="1"/>
  <c r="A39" i="1" s="1"/>
  <c r="E34" i="1"/>
  <c r="E30" i="1"/>
  <c r="E26" i="1"/>
  <c r="D25" i="1"/>
  <c r="H92" i="2" l="1"/>
  <c r="B87" i="1" s="1"/>
  <c r="I20" i="2"/>
  <c r="O92" i="2"/>
  <c r="I87" i="2"/>
  <c r="J87" i="2" s="1"/>
  <c r="K92" i="2"/>
  <c r="M92" i="2"/>
  <c r="N92" i="2"/>
  <c r="E67" i="1"/>
  <c r="B81" i="1" s="1"/>
  <c r="B92" i="1" s="1"/>
  <c r="B96" i="1" s="1"/>
  <c r="J9" i="2"/>
  <c r="P81" i="2"/>
  <c r="Q81" i="2" s="1"/>
  <c r="J20" i="2"/>
  <c r="P8" i="2"/>
  <c r="Q8" i="2" s="1"/>
  <c r="J17" i="2"/>
  <c r="J21" i="2"/>
  <c r="P21" i="2"/>
  <c r="Q21" i="2" s="1"/>
  <c r="L6" i="2"/>
  <c r="P6" i="2" s="1"/>
  <c r="Q6" i="2" s="1"/>
  <c r="L8" i="2"/>
  <c r="L10" i="2"/>
  <c r="P10" i="2" s="1"/>
  <c r="Q10" i="2" s="1"/>
  <c r="L13" i="2"/>
  <c r="P13" i="2" s="1"/>
  <c r="Q13" i="2" s="1"/>
  <c r="L19" i="2"/>
  <c r="P19" i="2" s="1"/>
  <c r="Q19" i="2" s="1"/>
  <c r="L21" i="2"/>
  <c r="L26" i="2"/>
  <c r="P26" i="2" s="1"/>
  <c r="Q26" i="2" s="1"/>
  <c r="L30" i="2"/>
  <c r="P30" i="2" s="1"/>
  <c r="Q30" i="2" s="1"/>
  <c r="L33" i="2"/>
  <c r="P33" i="2" s="1"/>
  <c r="Q33" i="2" s="1"/>
  <c r="J36" i="2"/>
  <c r="L42" i="2"/>
  <c r="P42" i="2" s="1"/>
  <c r="Q42" i="2" s="1"/>
  <c r="L47" i="2"/>
  <c r="P47" i="2" s="1"/>
  <c r="Q47" i="2" s="1"/>
  <c r="L54" i="2"/>
  <c r="P54" i="2" s="1"/>
  <c r="Q54" i="2" s="1"/>
  <c r="L61" i="2"/>
  <c r="P61" i="2" s="1"/>
  <c r="Q61" i="2" s="1"/>
  <c r="L75" i="2"/>
  <c r="P75" i="2" s="1"/>
  <c r="Q75" i="2" s="1"/>
  <c r="L87" i="2"/>
  <c r="B83" i="1"/>
  <c r="L5" i="2"/>
  <c r="L9" i="2"/>
  <c r="L20" i="2"/>
  <c r="L25" i="2"/>
  <c r="P25" i="2" s="1"/>
  <c r="Q25" i="2" s="1"/>
  <c r="L35" i="2"/>
  <c r="P35" i="2" s="1"/>
  <c r="Q35" i="2" s="1"/>
  <c r="L43" i="2"/>
  <c r="P43" i="2" s="1"/>
  <c r="Q43" i="2" s="1"/>
  <c r="L49" i="2"/>
  <c r="P49" i="2" s="1"/>
  <c r="Q49" i="2" s="1"/>
  <c r="P51" i="2"/>
  <c r="Q51" i="2" s="1"/>
  <c r="J51" i="2"/>
  <c r="L55" i="2"/>
  <c r="P55" i="2" s="1"/>
  <c r="Q55" i="2" s="1"/>
  <c r="L62" i="2"/>
  <c r="P62" i="2" s="1"/>
  <c r="Q62" i="2" s="1"/>
  <c r="L65" i="2"/>
  <c r="P65" i="2" s="1"/>
  <c r="Q65" i="2" s="1"/>
  <c r="J69" i="2"/>
  <c r="L72" i="2"/>
  <c r="P72" i="2" s="1"/>
  <c r="Q72" i="2" s="1"/>
  <c r="L77" i="2"/>
  <c r="P77" i="2" s="1"/>
  <c r="Q77" i="2" s="1"/>
  <c r="L80" i="2"/>
  <c r="P80" i="2" s="1"/>
  <c r="Q80" i="2" s="1"/>
  <c r="J84" i="2"/>
  <c r="L88" i="2"/>
  <c r="P88" i="2" s="1"/>
  <c r="Q88" i="2" s="1"/>
  <c r="L7" i="2"/>
  <c r="P7" i="2" s="1"/>
  <c r="Q7" i="2" s="1"/>
  <c r="L16" i="2"/>
  <c r="P16" i="2" s="1"/>
  <c r="Q16" i="2" s="1"/>
  <c r="L18" i="2"/>
  <c r="P18" i="2" s="1"/>
  <c r="Q18" i="2" s="1"/>
  <c r="L22" i="2"/>
  <c r="P22" i="2" s="1"/>
  <c r="Q22" i="2" s="1"/>
  <c r="J29" i="2"/>
  <c r="P29" i="2" s="1"/>
  <c r="Q29" i="2" s="1"/>
  <c r="J32" i="2"/>
  <c r="L37" i="2"/>
  <c r="P37" i="2" s="1"/>
  <c r="Q37" i="2" s="1"/>
  <c r="J39" i="2"/>
  <c r="P39" i="2" s="1"/>
  <c r="Q39" i="2" s="1"/>
  <c r="L44" i="2"/>
  <c r="P44" i="2" s="1"/>
  <c r="Q44" i="2" s="1"/>
  <c r="L50" i="2"/>
  <c r="P50" i="2" s="1"/>
  <c r="Q50" i="2" s="1"/>
  <c r="L59" i="2"/>
  <c r="P59" i="2" s="1"/>
  <c r="Q59" i="2" s="1"/>
  <c r="L73" i="2"/>
  <c r="P73" i="2" s="1"/>
  <c r="Q73" i="2" s="1"/>
  <c r="L84" i="2"/>
  <c r="L79" i="2"/>
  <c r="L76" i="2"/>
  <c r="L71" i="2"/>
  <c r="L69" i="2"/>
  <c r="L67" i="2"/>
  <c r="L64" i="2"/>
  <c r="L51" i="2"/>
  <c r="L48" i="2"/>
  <c r="L40" i="2"/>
  <c r="L39" i="2"/>
  <c r="L36" i="2"/>
  <c r="L32" i="2"/>
  <c r="P32" i="2" s="1"/>
  <c r="Q32" i="2" s="1"/>
  <c r="L29" i="2"/>
  <c r="L90" i="2"/>
  <c r="P90" i="2" s="1"/>
  <c r="Q90" i="2" s="1"/>
  <c r="L86" i="2"/>
  <c r="P86" i="2" s="1"/>
  <c r="Q86" i="2" s="1"/>
  <c r="L83" i="2"/>
  <c r="P83" i="2" s="1"/>
  <c r="Q83" i="2" s="1"/>
  <c r="L78" i="2"/>
  <c r="P78" i="2" s="1"/>
  <c r="Q78" i="2" s="1"/>
  <c r="L70" i="2"/>
  <c r="P70" i="2" s="1"/>
  <c r="Q70" i="2" s="1"/>
  <c r="L68" i="2"/>
  <c r="P68" i="2" s="1"/>
  <c r="Q68" i="2" s="1"/>
  <c r="L66" i="2"/>
  <c r="P66" i="2" s="1"/>
  <c r="Q66" i="2" s="1"/>
  <c r="L63" i="2"/>
  <c r="P63" i="2" s="1"/>
  <c r="Q63" i="2" s="1"/>
  <c r="L56" i="2"/>
  <c r="P56" i="2" s="1"/>
  <c r="Q56" i="2" s="1"/>
  <c r="L53" i="2"/>
  <c r="P53" i="2" s="1"/>
  <c r="Q53" i="2" s="1"/>
  <c r="L46" i="2"/>
  <c r="P46" i="2" s="1"/>
  <c r="Q46" i="2" s="1"/>
  <c r="L41" i="2"/>
  <c r="P41" i="2" s="1"/>
  <c r="Q41" i="2" s="1"/>
  <c r="L34" i="2"/>
  <c r="P34" i="2" s="1"/>
  <c r="Q34" i="2" s="1"/>
  <c r="L31" i="2"/>
  <c r="P31" i="2" s="1"/>
  <c r="Q31" i="2" s="1"/>
  <c r="L27" i="2"/>
  <c r="P27" i="2" s="1"/>
  <c r="Q27" i="2" s="1"/>
  <c r="L24" i="2"/>
  <c r="P24" i="2" s="1"/>
  <c r="Q24" i="2" s="1"/>
  <c r="L15" i="2"/>
  <c r="P15" i="2" s="1"/>
  <c r="Q15" i="2" s="1"/>
  <c r="L11" i="2"/>
  <c r="P11" i="2" s="1"/>
  <c r="Q11" i="2" s="1"/>
  <c r="I92" i="2"/>
  <c r="J5" i="2"/>
  <c r="P5" i="2" s="1"/>
  <c r="L12" i="2"/>
  <c r="P12" i="2" s="1"/>
  <c r="Q12" i="2" s="1"/>
  <c r="L14" i="2"/>
  <c r="P14" i="2" s="1"/>
  <c r="Q14" i="2" s="1"/>
  <c r="L17" i="2"/>
  <c r="L23" i="2"/>
  <c r="P23" i="2" s="1"/>
  <c r="Q23" i="2" s="1"/>
  <c r="L28" i="2"/>
  <c r="P28" i="2" s="1"/>
  <c r="Q28" i="2" s="1"/>
  <c r="L38" i="2"/>
  <c r="P38" i="2" s="1"/>
  <c r="Q38" i="2" s="1"/>
  <c r="J40" i="2"/>
  <c r="P40" i="2" s="1"/>
  <c r="Q40" i="2" s="1"/>
  <c r="L45" i="2"/>
  <c r="P45" i="2" s="1"/>
  <c r="Q45" i="2" s="1"/>
  <c r="J48" i="2"/>
  <c r="P48" i="2" s="1"/>
  <c r="Q48" i="2" s="1"/>
  <c r="L52" i="2"/>
  <c r="P52" i="2" s="1"/>
  <c r="Q52" i="2" s="1"/>
  <c r="L57" i="2"/>
  <c r="P57" i="2" s="1"/>
  <c r="L58" i="2"/>
  <c r="P58" i="2" s="1"/>
  <c r="L60" i="2"/>
  <c r="P60" i="2" s="1"/>
  <c r="Q60" i="2" s="1"/>
  <c r="J64" i="2"/>
  <c r="P64" i="2" s="1"/>
  <c r="Q64" i="2" s="1"/>
  <c r="J67" i="2"/>
  <c r="P67" i="2" s="1"/>
  <c r="Q67" i="2" s="1"/>
  <c r="J71" i="2"/>
  <c r="P71" i="2" s="1"/>
  <c r="Q71" i="2" s="1"/>
  <c r="L74" i="2"/>
  <c r="P74" i="2" s="1"/>
  <c r="Q74" i="2" s="1"/>
  <c r="J76" i="2"/>
  <c r="P76" i="2" s="1"/>
  <c r="Q76" i="2" s="1"/>
  <c r="J79" i="2"/>
  <c r="P79" i="2" s="1"/>
  <c r="Q79" i="2" s="1"/>
  <c r="L82" i="2"/>
  <c r="P82" i="2" s="1"/>
  <c r="Q82" i="2" s="1"/>
  <c r="L85" i="2"/>
  <c r="P85" i="2" s="1"/>
  <c r="Q85" i="2" s="1"/>
  <c r="L89" i="2"/>
  <c r="P89" i="2" s="1"/>
  <c r="Q89" i="2" s="1"/>
  <c r="P87" i="2" l="1"/>
  <c r="Q87" i="2" s="1"/>
  <c r="P20" i="2"/>
  <c r="Q20" i="2" s="1"/>
  <c r="P84" i="2"/>
  <c r="Q84" i="2" s="1"/>
  <c r="P69" i="2"/>
  <c r="Q69" i="2" s="1"/>
  <c r="P36" i="2"/>
  <c r="Q36" i="2" s="1"/>
  <c r="P17" i="2"/>
  <c r="Q17" i="2" s="1"/>
  <c r="P9" i="2"/>
  <c r="Q9" i="2" s="1"/>
  <c r="B80" i="1"/>
  <c r="Q5" i="2"/>
  <c r="Q92" i="2" s="1"/>
  <c r="L92" i="2"/>
  <c r="J92" i="2"/>
  <c r="P92" i="2" l="1"/>
</calcChain>
</file>

<file path=xl/sharedStrings.xml><?xml version="1.0" encoding="utf-8"?>
<sst xmlns="http://schemas.openxmlformats.org/spreadsheetml/2006/main" count="347" uniqueCount="295">
  <si>
    <t>MAIL: consorciovergara1670@gmail.com</t>
  </si>
  <si>
    <t>CUIT ADMINISTRACION: 27231256879</t>
  </si>
  <si>
    <t>CBU: 2990024602400258030006</t>
  </si>
  <si>
    <t>TELEFONO: 11 5320-2676</t>
  </si>
  <si>
    <t>LIQUIDACION DE EXPENSAS</t>
  </si>
  <si>
    <t>ALIAS: VERGARA.1670</t>
  </si>
  <si>
    <t xml:space="preserve">CUIT DEL EDIFICIO: 30-71802922-4 </t>
  </si>
  <si>
    <t>CONSORCIO DE PROPIETARIOS DEL EDIFICIO CALLE  VERGARA 1670</t>
  </si>
  <si>
    <t>HORARIOS DE ATENCION: LUNES A VIERNES</t>
  </si>
  <si>
    <t>VTO 14/07</t>
  </si>
  <si>
    <t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t>
  </si>
  <si>
    <t>GASTOS ORDINARIOS UNIDADES FUNCIONALES:</t>
  </si>
  <si>
    <t>HABERES ENCARGADOS</t>
  </si>
  <si>
    <t>Remunerativos encargado Gonzalo Guenaga</t>
  </si>
  <si>
    <t>Deducciones</t>
  </si>
  <si>
    <t>Redondeo</t>
  </si>
  <si>
    <t>Neto</t>
  </si>
  <si>
    <t>TOTAL SUELDO</t>
  </si>
  <si>
    <t>HONORARIOS</t>
  </si>
  <si>
    <t>Transf 12/05</t>
  </si>
  <si>
    <t xml:space="preserve">TOTAL </t>
  </si>
  <si>
    <t xml:space="preserve">SEGUROS </t>
  </si>
  <si>
    <t>Seguro integral consorcio. Póliza 2161474</t>
  </si>
  <si>
    <t>Seguro de accidentes personales</t>
  </si>
  <si>
    <t>TOTAL IMPUESTO</t>
  </si>
  <si>
    <t>APORTES Y CONTRIBUCIONES</t>
  </si>
  <si>
    <t xml:space="preserve">ARCA </t>
  </si>
  <si>
    <t>PMC 06/05</t>
  </si>
  <si>
    <t>Fatheryh</t>
  </si>
  <si>
    <t>Debito 12/05</t>
  </si>
  <si>
    <t>Suther</t>
  </si>
  <si>
    <t>Seracarh</t>
  </si>
  <si>
    <t>TOTAL Aportes y Contribuciones - Sindicato</t>
  </si>
  <si>
    <t>ABONOS Y SERVICIOS</t>
  </si>
  <si>
    <t>AYSA - Nro de cliente. 318350</t>
  </si>
  <si>
    <t xml:space="preserve">Servicio de mantenimiento de ascensores </t>
  </si>
  <si>
    <t>Transf 19/05</t>
  </si>
  <si>
    <t>Cablevision -  servicio</t>
  </si>
  <si>
    <t>Debito 07/05</t>
  </si>
  <si>
    <t>TOTAL ABONOS Y SERVICIOS</t>
  </si>
  <si>
    <t>GASTOS GENERALES / MANTENIMIENTO</t>
  </si>
  <si>
    <t xml:space="preserve">Matafuegos Firex compra de matafuego x5 kg </t>
  </si>
  <si>
    <t>Tranfs 16/05</t>
  </si>
  <si>
    <t>Recarga 14 matafuegos x5kg</t>
  </si>
  <si>
    <t>Calderista - Visita tecnica - Bernardo Curcio</t>
  </si>
  <si>
    <t>Transf 27/05</t>
  </si>
  <si>
    <t>Electricista - Busqueda de fuga de corriente salto de disyuntor</t>
  </si>
  <si>
    <t>Transf 307/05</t>
  </si>
  <si>
    <t>Doartero Julio - Mano de obra y materiales reparacion de entrada de agua</t>
  </si>
  <si>
    <t>Tranfs 13/05</t>
  </si>
  <si>
    <t>Zaffalon Veronica - Vaciemiento de cochera inundada</t>
  </si>
  <si>
    <t>Zaffalon Veronica - Compra de bomba de achique zona rampa de cochera</t>
  </si>
  <si>
    <t>Espindola Christian - Tuerca accionadora e instalacion rampa</t>
  </si>
  <si>
    <t>Transf 26/05</t>
  </si>
  <si>
    <t>TOTAL</t>
  </si>
  <si>
    <t>GASTOS BANCARIOS</t>
  </si>
  <si>
    <t>Gastos banacarios</t>
  </si>
  <si>
    <t>Mantenimiento de cuenta</t>
  </si>
  <si>
    <t xml:space="preserve">PREVISION ORDINARIA </t>
  </si>
  <si>
    <t xml:space="preserve">TOTAL ORDINARIOS </t>
  </si>
  <si>
    <t>GASTOS EXTRAORDINARIOS:</t>
  </si>
  <si>
    <t>Metrogas Plan de pagos cuota 6</t>
  </si>
  <si>
    <t>Transf 06/05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</si>
  <si>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</si>
  <si>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</si>
  <si>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</si>
  <si>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</si>
  <si>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</si>
  <si>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</si>
  <si>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</si>
  <si>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</si>
  <si>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 xml:space="preserve">Ingreso </t>
  </si>
  <si>
    <t xml:space="preserve">Deposito sin identificar </t>
  </si>
  <si>
    <t>Transferencia ya identificada mes anterior Santiago Tarragosa</t>
  </si>
  <si>
    <t>Transferencia ya identificada mes anterior</t>
  </si>
  <si>
    <t>Punitorios mal cobrados</t>
  </si>
  <si>
    <t>Egresos Ordinarios</t>
  </si>
  <si>
    <t>Edesur - cliente nro. 01469567</t>
  </si>
  <si>
    <t>Metrogas - Cliente nro. 30015090344</t>
  </si>
  <si>
    <t>Egresos Extraordinarios</t>
  </si>
  <si>
    <t>DEPOSITOS NO IDENTIFICADOS</t>
  </si>
  <si>
    <t>EDESUR:</t>
  </si>
  <si>
    <t>Gastos Ordinarios:</t>
  </si>
  <si>
    <t>METROGAS:</t>
  </si>
  <si>
    <t>Extras:</t>
  </si>
  <si>
    <t>Plan de pago metrogas:</t>
  </si>
  <si>
    <t>Dpto.</t>
  </si>
  <si>
    <t>UF</t>
  </si>
  <si>
    <t>Propietario</t>
  </si>
  <si>
    <t>Inquilinos</t>
  </si>
  <si>
    <t xml:space="preserve"> (%)</t>
  </si>
  <si>
    <t xml:space="preserve">Saldo Ord </t>
  </si>
  <si>
    <t>Deuda o Saldo a favor</t>
  </si>
  <si>
    <t>Interes 3%</t>
  </si>
  <si>
    <t>Expensas ord.</t>
  </si>
  <si>
    <t>EDESUR</t>
  </si>
  <si>
    <t>METROGAS</t>
  </si>
  <si>
    <t>Expensas extraord</t>
  </si>
  <si>
    <t>Total 1er Vto</t>
  </si>
  <si>
    <t>Total 2do Vto</t>
  </si>
  <si>
    <t>1°A</t>
  </si>
  <si>
    <t>Alejandro Raul Cuezzo</t>
  </si>
  <si>
    <t>1°B</t>
  </si>
  <si>
    <t>Daniel Julian Guzzo</t>
  </si>
  <si>
    <t>1°C</t>
  </si>
  <si>
    <t>Pablo Plebs</t>
  </si>
  <si>
    <t>1°D</t>
  </si>
  <si>
    <t>Adrian Alejandro Pozo</t>
  </si>
  <si>
    <t>2°A</t>
  </si>
  <si>
    <t>Guillen Maria / Alejandro DI LEO</t>
  </si>
  <si>
    <t>Claudia / Laura Avido</t>
  </si>
  <si>
    <t>2°B</t>
  </si>
  <si>
    <t>Jose Luis Gurtubay</t>
  </si>
  <si>
    <t>Santiago Flores</t>
  </si>
  <si>
    <t>2°C</t>
  </si>
  <si>
    <t>Magali Carrivale</t>
  </si>
  <si>
    <t>2°D</t>
  </si>
  <si>
    <t>Juan Carlos Alonso</t>
  </si>
  <si>
    <t>3°A</t>
  </si>
  <si>
    <t>Lucas Oscar Ramil</t>
  </si>
  <si>
    <t>Camila Benitez Nahiara</t>
  </si>
  <si>
    <t>3°B</t>
  </si>
  <si>
    <t>Raul Boffi</t>
  </si>
  <si>
    <t>Gian y Micaela Parra</t>
  </si>
  <si>
    <t>3°C</t>
  </si>
  <si>
    <t>Lujan / Natalia Capece</t>
  </si>
  <si>
    <t>3°D</t>
  </si>
  <si>
    <t>Roxana Elena Maya</t>
  </si>
  <si>
    <t>Daniela Bernabe</t>
  </si>
  <si>
    <t>4°A</t>
  </si>
  <si>
    <t>Paula Murado</t>
  </si>
  <si>
    <t>4°B</t>
  </si>
  <si>
    <t>Maria Florencia Boffi</t>
  </si>
  <si>
    <t>4°C</t>
  </si>
  <si>
    <t>Norberto omar picin</t>
  </si>
  <si>
    <t xml:space="preserve"> TODO LO QUE HABIA DEPOSITADO NORBERTO OMAR PICIN SE LO HABIAMOS PUESTO A EZEQUIEL GARRO ERRONEAMENTE, HAY QUE CORREGIR ESO)</t>
  </si>
  <si>
    <t>4°D</t>
  </si>
  <si>
    <t>Hernán Gastón Padilla</t>
  </si>
  <si>
    <t xml:space="preserve">Armando Ezequiel Garro </t>
  </si>
  <si>
    <t>40000+9980+20000+20000+48097+20000+20000+ TODO ESTO ES DE PICIN</t>
  </si>
  <si>
    <t>5°A</t>
  </si>
  <si>
    <t>Barbara Fucito</t>
  </si>
  <si>
    <t>5°B</t>
  </si>
  <si>
    <t>5°C</t>
  </si>
  <si>
    <t xml:space="preserve">
Brenda Carrasco</t>
  </si>
  <si>
    <t>5°D</t>
  </si>
  <si>
    <t>Fernando Andres Canepa</t>
  </si>
  <si>
    <t>Matias / Carla Esteves</t>
  </si>
  <si>
    <t>6°A</t>
  </si>
  <si>
    <t>Andres Gabriel Devouassoux</t>
  </si>
  <si>
    <t>6°B</t>
  </si>
  <si>
    <t>Nicolas Iudice</t>
  </si>
  <si>
    <t>6°C</t>
  </si>
  <si>
    <t>Barbara Eugenia GARCIA FONTENLA</t>
  </si>
  <si>
    <t>Diego Coronel / Mirta Beatriz Castañeda</t>
  </si>
  <si>
    <t>6°D</t>
  </si>
  <si>
    <t>Javier Alejandro Panaccio</t>
  </si>
  <si>
    <t>Javier Enrique Zambrano</t>
  </si>
  <si>
    <t>7°A</t>
  </si>
  <si>
    <t>Mirta Isabel Asturino</t>
  </si>
  <si>
    <t>7°B</t>
  </si>
  <si>
    <t>Jorge Antonio Mendiola</t>
  </si>
  <si>
    <t>Carlos Mehinger Lisa</t>
  </si>
  <si>
    <t>7°C</t>
  </si>
  <si>
    <t>Nelson Ariel FRAGA</t>
  </si>
  <si>
    <t>7°D</t>
  </si>
  <si>
    <t>Domingo Alifraco</t>
  </si>
  <si>
    <t>Micaela Contreras</t>
  </si>
  <si>
    <t>8°A</t>
  </si>
  <si>
    <t>Juan Pablo Charpin</t>
  </si>
  <si>
    <t>8°B</t>
  </si>
  <si>
    <t>Adriana Del Bagno</t>
  </si>
  <si>
    <t>Fanta / Alejandro Gabriel Lopez</t>
  </si>
  <si>
    <t>8°C</t>
  </si>
  <si>
    <t>Claudio Moroni</t>
  </si>
  <si>
    <t>Macarena Barraza</t>
  </si>
  <si>
    <t>8°D</t>
  </si>
  <si>
    <t>Karina Edith Mastandrea</t>
  </si>
  <si>
    <t>Ayelen Agustina</t>
  </si>
  <si>
    <t>9°A</t>
  </si>
  <si>
    <t>Fernando Fernandez</t>
  </si>
  <si>
    <t xml:space="preserve">Olivera Rodrigo </t>
  </si>
  <si>
    <t>9°B</t>
  </si>
  <si>
    <t>Gonzalo Cadiz</t>
  </si>
  <si>
    <t xml:space="preserve">Micaela Dib </t>
  </si>
  <si>
    <t>9°C</t>
  </si>
  <si>
    <t>Hernan Miñambres</t>
  </si>
  <si>
    <t>Laura Quintana</t>
  </si>
  <si>
    <t>9°D</t>
  </si>
  <si>
    <t>Matías Ezequiel Tobío </t>
  </si>
  <si>
    <t>10°A</t>
  </si>
  <si>
    <t>Ariel Marcelo FERNANDEZ</t>
  </si>
  <si>
    <t>Sol Gatti Maria</t>
  </si>
  <si>
    <t>10°B</t>
  </si>
  <si>
    <t xml:space="preserve">Antonela escobar </t>
  </si>
  <si>
    <t>10°C</t>
  </si>
  <si>
    <t>Antonio Carlos Caputo</t>
  </si>
  <si>
    <t>Benitez Gabriela</t>
  </si>
  <si>
    <t>10°D</t>
  </si>
  <si>
    <t>11°A</t>
  </si>
  <si>
    <t>Manuel Salvador FERNANDEZ</t>
  </si>
  <si>
    <t>Nadia Santillan Soledad</t>
  </si>
  <si>
    <t>11°B</t>
  </si>
  <si>
    <t>Jorge Antonio VILLONE</t>
  </si>
  <si>
    <t>Micaela Acevedo</t>
  </si>
  <si>
    <t>11°C</t>
  </si>
  <si>
    <t>Daniela Noemi Araujo</t>
  </si>
  <si>
    <t>Araceli Lohaysa</t>
  </si>
  <si>
    <t>11°D</t>
  </si>
  <si>
    <t>Gabriela Santiso/Claudio Touzon</t>
  </si>
  <si>
    <t>Ignacio Touzon</t>
  </si>
  <si>
    <t>12°A</t>
  </si>
  <si>
    <t>Ezequiel /Maria Delfina Saavedra</t>
  </si>
  <si>
    <t>12°B</t>
  </si>
  <si>
    <t>Mayne Romero</t>
  </si>
  <si>
    <t>12°C</t>
  </si>
  <si>
    <t>Pedro Eugenio Negri</t>
  </si>
  <si>
    <t>12°D</t>
  </si>
  <si>
    <t>Luis Alberto Guarch</t>
  </si>
  <si>
    <t xml:space="preserve">Biyik / Jefferson barreto 
</t>
  </si>
  <si>
    <t>13°A</t>
  </si>
  <si>
    <t>Soraya Mariel Varela</t>
  </si>
  <si>
    <t>Rosa Garnica</t>
  </si>
  <si>
    <t>13°B</t>
  </si>
  <si>
    <t xml:space="preserve">Camila Finocchiaro </t>
  </si>
  <si>
    <t>13°C</t>
  </si>
  <si>
    <t>Maria Gabriela Diaz</t>
  </si>
  <si>
    <t>Clobas Ezequiel / Lencina mariana mabel</t>
  </si>
  <si>
    <t>13°D</t>
  </si>
  <si>
    <t>Fabiana Besteiro</t>
  </si>
  <si>
    <t>P.B.1</t>
  </si>
  <si>
    <t>Barbara Bañon / Delia Martinez</t>
  </si>
  <si>
    <t>P.B.2</t>
  </si>
  <si>
    <t>Osvaldo Ricardo Colombo</t>
  </si>
  <si>
    <t>P.B.3</t>
  </si>
  <si>
    <t>Fernando Saavedra</t>
  </si>
  <si>
    <t>P.B.4</t>
  </si>
  <si>
    <t>P.B.5</t>
  </si>
  <si>
    <t>Ayelen Bárbara Kisch</t>
  </si>
  <si>
    <t>P.B.6</t>
  </si>
  <si>
    <t>P.B.7</t>
  </si>
  <si>
    <t>P.B.8</t>
  </si>
  <si>
    <t>P.B.9</t>
  </si>
  <si>
    <t>Laura Natalia Carrillo</t>
  </si>
  <si>
    <t>Emiliano Calderon Alberto</t>
  </si>
  <si>
    <t>P.B.10</t>
  </si>
  <si>
    <t>P.B.11</t>
  </si>
  <si>
    <t>García</t>
  </si>
  <si>
    <t>P.B.12</t>
  </si>
  <si>
    <t>P.B.13</t>
  </si>
  <si>
    <t>Dario Javier Flecha</t>
  </si>
  <si>
    <t>P.B.14</t>
  </si>
  <si>
    <t>P.B.15</t>
  </si>
  <si>
    <t>GALPON</t>
  </si>
  <si>
    <t>Club Atlético Banfield</t>
  </si>
  <si>
    <t>S.S.16</t>
  </si>
  <si>
    <t>S.S.17</t>
  </si>
  <si>
    <t>Jesica Romina Tobio</t>
  </si>
  <si>
    <t>S.S.18</t>
  </si>
  <si>
    <t>Diaz Laura Natalia</t>
  </si>
  <si>
    <t>S.S.19</t>
  </si>
  <si>
    <t>S.S.20</t>
  </si>
  <si>
    <t>S.S.21</t>
  </si>
  <si>
    <t>Alejandro DI LEO -</t>
  </si>
  <si>
    <t>HABIA PAGADO LOS 5300, SU DEUDA DEBE ESTAR EN 0</t>
  </si>
  <si>
    <t>S.S.22</t>
  </si>
  <si>
    <t>S.S.23</t>
  </si>
  <si>
    <t>S.S.24</t>
  </si>
  <si>
    <t>S.S.25</t>
  </si>
  <si>
    <t>S.S.26</t>
  </si>
  <si>
    <t>Santiago Tarragosa</t>
  </si>
  <si>
    <t>S.S.27</t>
  </si>
  <si>
    <t>S.S.28</t>
  </si>
  <si>
    <t>S.S.29</t>
  </si>
  <si>
    <t>Malbares Gaston Emiliano</t>
  </si>
  <si>
    <t>S.S.30</t>
  </si>
  <si>
    <t>S.S.31</t>
  </si>
  <si>
    <t>LA COCHERA S.S31 DE MICAELA CONTRERAS ESTABA ABONADA EL MES PASADO CON UN MONTO DE 91,358 , SIN EMBARGO ESE MONTO LO PUSIMOS EN LA UF 60 COMO DINERO A FAVOR, CORREGIR ESO</t>
  </si>
  <si>
    <t>AGUSTINA AYELEN MARTINEZ PAGA EK 8D Y LA COCHERA S.S 22, DESDE SIEMPRE LE PONEMOS PAGO EL 8D PERO COMO NO SABIAMOS QUE TAMBIEN PAGA LA COCHERA S.S 22 LA COCHERA LE QUEDABA IMPAGA, RASTREAR LOS PAGOS Y RESTAR LO NECESARIO</t>
  </si>
  <si>
    <t>PERÍODO: JUNIO - ADMINISTRADORA: CAROLINA CANCIANI MP:1148</t>
  </si>
  <si>
    <t>Marcela De Biase-  Sra. Contadora - Mes de JUNIO</t>
  </si>
  <si>
    <t>Sindicatos mes de JUNIO</t>
  </si>
  <si>
    <t>Honorarios administracion - Mes de MAYO - Se debe JUNIO</t>
  </si>
  <si>
    <t>Transf 11/06</t>
  </si>
  <si>
    <t>Zaffalon Veronica -instalacion bomba de napa nueva</t>
  </si>
  <si>
    <t>Transf 12/06</t>
  </si>
  <si>
    <t xml:space="preserve">Articulos de limpieza </t>
  </si>
  <si>
    <t xml:space="preserve">Servisur - busqueda de fuga de corriente por salto de disyuntor </t>
  </si>
  <si>
    <t>Tranfs 29/05</t>
  </si>
  <si>
    <t>Zaffalon Veronica - Compra de bomba pozo napa nieva vazzer</t>
  </si>
  <si>
    <t>Luz Maria Alberio</t>
  </si>
  <si>
    <t>hay que agregar a luzalberio@gmail.com  a la cadena, es nueva inquilina del 10D</t>
  </si>
  <si>
    <t>PABLO PLEBS TIENE UNA TRANSFERENCIA DE $91.922,35 EN ABRIL QUE NO SE LA IMPUTAMOS NUNCA (NI COMO TRANSF NO IDENTIDICADA) POR ENDE NO DEBE TENER DEUDA ALGUNA - ES MAS, SEGÚN ROMI EL PAGO (ESTE MES, EN JUNIO) 119 MIL Y PICO, POR ENDE LE DEBE QUEDAR DINERO A FAVOR</t>
  </si>
  <si>
    <t>QUE QUEDE SIN DEUDA</t>
  </si>
  <si>
    <t>el mes pasado quedo debiendo 5,300$ cuando es incorrecto, debe quedar sin deuda (si es que este mes abono)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</si>
</sst>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\ #,##0.00;[Red]\-&quot;$&quot;\ #,##0.00"/>
    <numFmt numFmtId="165" formatCode="_ &quot;$&quot;\ * #,##0.00_ ;_ &quot;$&quot;\ * \-#,##0.00_ ;_ &quot;$&quot;\ * &quot;-&quot;??_ ;_ @_ 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  <numFmt numFmtId="171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4" tint="0.59999389629810485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/>
    <xf numFmtId="165" fontId="1" fillId="0" borderId="0"/>
  </cellStyleXfs>
  <cellXfs count="23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165" fontId="3" fillId="0" borderId="0" xfId="0" applyNumberFormat="1" applyFont="1"/>
    <xf numFmtId="0" fontId="5" fillId="0" borderId="1" xfId="0" applyFont="1" applyBorder="1"/>
    <xf numFmtId="4" fontId="0" fillId="0" borderId="0" xfId="0" applyNumberFormat="1"/>
    <xf numFmtId="4" fontId="5" fillId="0" borderId="0" xfId="0" applyNumberFormat="1" applyFont="1"/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164" fontId="6" fillId="4" borderId="6" xfId="0" applyNumberFormat="1" applyFont="1" applyFill="1" applyBorder="1"/>
    <xf numFmtId="0" fontId="2" fillId="8" borderId="1" xfId="0" applyFont="1" applyFill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164" fontId="10" fillId="4" borderId="1" xfId="0" applyNumberFormat="1" applyFont="1" applyFill="1" applyBorder="1"/>
    <xf numFmtId="166" fontId="6" fillId="4" borderId="1" xfId="1" applyFont="1" applyFill="1" applyBorder="1"/>
    <xf numFmtId="166" fontId="0" fillId="0" borderId="1" xfId="1" applyFont="1" applyBorder="1"/>
    <xf numFmtId="166" fontId="6" fillId="4" borderId="6" xfId="1" applyFont="1" applyFill="1" applyBorder="1"/>
    <xf numFmtId="166" fontId="4" fillId="4" borderId="1" xfId="1" applyFont="1" applyFill="1" applyBorder="1"/>
    <xf numFmtId="166" fontId="4" fillId="4" borderId="6" xfId="1" applyFont="1" applyFill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vertical="top" wrapText="1"/>
    </xf>
    <xf numFmtId="166" fontId="3" fillId="2" borderId="1" xfId="1" applyFont="1" applyFill="1" applyBorder="1"/>
    <xf numFmtId="166" fontId="0" fillId="0" borderId="0" xfId="1" applyFont="1"/>
    <xf numFmtId="0" fontId="7" fillId="2" borderId="0" xfId="0" applyFont="1" applyFill="1"/>
    <xf numFmtId="166" fontId="0" fillId="0" borderId="0" xfId="0" applyNumberFormat="1"/>
    <xf numFmtId="0" fontId="8" fillId="6" borderId="0" xfId="0" applyFont="1" applyFill="1"/>
    <xf numFmtId="166" fontId="8" fillId="6" borderId="0" xfId="1" applyFont="1" applyFill="1"/>
    <xf numFmtId="166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0" fontId="18" fillId="11" borderId="1" xfId="0" applyFont="1" applyFill="1" applyBorder="1"/>
    <xf numFmtId="166" fontId="0" fillId="4" borderId="0" xfId="1" applyFont="1" applyFill="1"/>
    <xf numFmtId="166" fontId="6" fillId="0" borderId="1" xfId="1" applyFont="1" applyBorder="1"/>
    <xf numFmtId="0" fontId="15" fillId="3" borderId="20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2" fillId="4" borderId="1" xfId="0" applyFont="1" applyFill="1" applyBorder="1" applyAlignment="1">
      <alignment wrapText="1"/>
    </xf>
    <xf numFmtId="166" fontId="9" fillId="4" borderId="1" xfId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14" fillId="0" borderId="1" xfId="0" applyFont="1" applyBorder="1" applyAlignment="1">
      <alignment horizontal="center"/>
    </xf>
    <xf numFmtId="166" fontId="20" fillId="0" borderId="1" xfId="1" applyFont="1" applyBorder="1"/>
    <xf numFmtId="167" fontId="14" fillId="0" borderId="1" xfId="0" applyNumberFormat="1" applyFont="1" applyBorder="1"/>
    <xf numFmtId="167" fontId="14" fillId="0" borderId="1" xfId="1" applyNumberFormat="1" applyFont="1" applyBorder="1"/>
    <xf numFmtId="166" fontId="20" fillId="0" borderId="25" xfId="1" applyFont="1" applyBorder="1"/>
    <xf numFmtId="166" fontId="20" fillId="0" borderId="26" xfId="1" applyFont="1" applyBorder="1"/>
    <xf numFmtId="167" fontId="21" fillId="0" borderId="1" xfId="0" applyNumberFormat="1" applyFont="1" applyBorder="1"/>
    <xf numFmtId="0" fontId="14" fillId="2" borderId="1" xfId="0" applyFont="1" applyFill="1" applyBorder="1" applyAlignment="1">
      <alignment wrapText="1"/>
    </xf>
    <xf numFmtId="2" fontId="14" fillId="2" borderId="1" xfId="0" applyNumberFormat="1" applyFont="1" applyFill="1" applyBorder="1" applyAlignment="1">
      <alignment horizontal="center"/>
    </xf>
    <xf numFmtId="0" fontId="14" fillId="0" borderId="7" xfId="0" applyFont="1" applyBorder="1"/>
    <xf numFmtId="0" fontId="14" fillId="0" borderId="23" xfId="0" applyFont="1" applyBorder="1"/>
    <xf numFmtId="0" fontId="14" fillId="2" borderId="2" xfId="0" applyFont="1" applyFill="1" applyBorder="1"/>
    <xf numFmtId="2" fontId="14" fillId="2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10" borderId="21" xfId="0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166" fontId="5" fillId="7" borderId="11" xfId="0" applyNumberFormat="1" applyFont="1" applyFill="1" applyBorder="1"/>
    <xf numFmtId="167" fontId="14" fillId="2" borderId="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9" fillId="4" borderId="21" xfId="1" applyNumberFormat="1" applyFont="1" applyFill="1" applyBorder="1"/>
    <xf numFmtId="166" fontId="22" fillId="4" borderId="3" xfId="1" applyFont="1" applyFill="1" applyBorder="1"/>
    <xf numFmtId="166" fontId="23" fillId="0" borderId="3" xfId="1" applyFont="1" applyBorder="1"/>
    <xf numFmtId="164" fontId="9" fillId="4" borderId="13" xfId="1" applyNumberFormat="1" applyFont="1" applyFill="1" applyBorder="1"/>
    <xf numFmtId="166" fontId="9" fillId="4" borderId="21" xfId="1" applyFont="1" applyFill="1" applyBorder="1"/>
    <xf numFmtId="166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166" fontId="9" fillId="4" borderId="13" xfId="1" applyFont="1" applyFill="1" applyBorder="1"/>
    <xf numFmtId="0" fontId="0" fillId="0" borderId="6" xfId="0" applyBorder="1" applyAlignment="1">
      <alignment horizontal="left" vertical="center" wrapText="1"/>
    </xf>
    <xf numFmtId="166" fontId="4" fillId="2" borderId="6" xfId="1" applyFont="1" applyFill="1" applyBorder="1"/>
    <xf numFmtId="0" fontId="0" fillId="0" borderId="24" xfId="0" applyBorder="1" applyAlignment="1">
      <alignment horizontal="left" vertical="center" wrapText="1"/>
    </xf>
    <xf numFmtId="0" fontId="23" fillId="2" borderId="1" xfId="1" applyNumberFormat="1" applyFont="1" applyFill="1" applyBorder="1" applyAlignment="1">
      <alignment horizontal="left"/>
    </xf>
    <xf numFmtId="166" fontId="23" fillId="2" borderId="1" xfId="1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166" fontId="23" fillId="2" borderId="3" xfId="1" applyFont="1" applyFill="1" applyBorder="1"/>
    <xf numFmtId="164" fontId="6" fillId="4" borderId="22" xfId="0" applyNumberFormat="1" applyFont="1" applyFill="1" applyBorder="1"/>
    <xf numFmtId="0" fontId="23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23" fillId="0" borderId="17" xfId="0" applyFont="1" applyBorder="1"/>
    <xf numFmtId="0" fontId="6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6" fontId="8" fillId="6" borderId="0" xfId="0" applyNumberFormat="1" applyFont="1" applyFill="1"/>
    <xf numFmtId="166" fontId="4" fillId="2" borderId="1" xfId="1" applyFont="1" applyFill="1" applyBorder="1"/>
    <xf numFmtId="166" fontId="23" fillId="2" borderId="1" xfId="1" applyFont="1" applyFill="1" applyBorder="1" applyAlignment="1">
      <alignment wrapText="1"/>
    </xf>
    <xf numFmtId="164" fontId="19" fillId="11" borderId="1" xfId="0" applyNumberFormat="1" applyFont="1" applyFill="1" applyBorder="1"/>
    <xf numFmtId="0" fontId="23" fillId="2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168" fontId="20" fillId="2" borderId="1" xfId="1" applyNumberFormat="1" applyFont="1" applyFill="1" applyBorder="1"/>
    <xf numFmtId="0" fontId="0" fillId="2" borderId="0" xfId="0" applyFill="1"/>
    <xf numFmtId="166" fontId="5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0" fontId="21" fillId="0" borderId="1" xfId="0" applyFont="1" applyBorder="1"/>
    <xf numFmtId="0" fontId="2" fillId="7" borderId="1" xfId="0" applyFont="1" applyFill="1" applyBorder="1"/>
    <xf numFmtId="166" fontId="6" fillId="7" borderId="1" xfId="1" applyFont="1" applyFill="1" applyBorder="1"/>
    <xf numFmtId="0" fontId="0" fillId="0" borderId="7" xfId="0" applyBorder="1" applyAlignment="1">
      <alignment horizontal="left" wrapText="1"/>
    </xf>
    <xf numFmtId="167" fontId="14" fillId="0" borderId="7" xfId="1" applyNumberFormat="1" applyFont="1" applyBorder="1"/>
    <xf numFmtId="14" fontId="0" fillId="0" borderId="1" xfId="0" applyNumberFormat="1" applyBorder="1" applyAlignment="1">
      <alignment wrapText="1"/>
    </xf>
    <xf numFmtId="0" fontId="20" fillId="2" borderId="1" xfId="0" applyFont="1" applyFill="1" applyBorder="1" applyAlignment="1">
      <alignment wrapText="1"/>
    </xf>
    <xf numFmtId="0" fontId="5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5" fillId="3" borderId="8" xfId="0" applyFont="1" applyFill="1" applyBorder="1"/>
    <xf numFmtId="43" fontId="0" fillId="0" borderId="0" xfId="0" applyNumberFormat="1"/>
    <xf numFmtId="167" fontId="9" fillId="5" borderId="11" xfId="0" applyNumberFormat="1" applyFont="1" applyFill="1" applyBorder="1"/>
    <xf numFmtId="167" fontId="9" fillId="8" borderId="13" xfId="1" applyNumberFormat="1" applyFont="1" applyFill="1" applyBorder="1"/>
    <xf numFmtId="0" fontId="0" fillId="0" borderId="6" xfId="0" applyBorder="1" applyAlignment="1">
      <alignment horizontal="left"/>
    </xf>
    <xf numFmtId="166" fontId="0" fillId="3" borderId="0" xfId="0" applyNumberFormat="1" applyFill="1" applyAlignment="1">
      <alignment horizontal="center"/>
    </xf>
    <xf numFmtId="166" fontId="7" fillId="0" borderId="1" xfId="1" applyFont="1" applyBorder="1"/>
    <xf numFmtId="170" fontId="0" fillId="3" borderId="8" xfId="0" applyNumberFormat="1" applyFill="1" applyBorder="1" applyAlignment="1">
      <alignment horizontal="center"/>
    </xf>
    <xf numFmtId="0" fontId="14" fillId="0" borderId="2" xfId="0" applyFont="1" applyBorder="1"/>
    <xf numFmtId="0" fontId="14" fillId="9" borderId="1" xfId="0" applyFont="1" applyFill="1" applyBorder="1"/>
    <xf numFmtId="167" fontId="0" fillId="0" borderId="0" xfId="0" applyNumberFormat="1"/>
    <xf numFmtId="166" fontId="12" fillId="8" borderId="13" xfId="1" applyFont="1" applyFill="1" applyBorder="1" applyAlignment="1">
      <alignment vertical="center"/>
    </xf>
    <xf numFmtId="168" fontId="5" fillId="5" borderId="11" xfId="0" applyNumberFormat="1" applyFont="1" applyFill="1" applyBorder="1"/>
    <xf numFmtId="0" fontId="0" fillId="9" borderId="0" xfId="0" applyFill="1"/>
    <xf numFmtId="167" fontId="9" fillId="4" borderId="2" xfId="1" applyNumberFormat="1" applyFont="1" applyFill="1" applyBorder="1"/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0" fontId="0" fillId="2" borderId="24" xfId="0" applyFill="1" applyBorder="1" applyAlignment="1">
      <alignment horizontal="left" wrapText="1"/>
    </xf>
    <xf numFmtId="166" fontId="23" fillId="0" borderId="1" xfId="1" applyFont="1" applyBorder="1"/>
    <xf numFmtId="0" fontId="15" fillId="0" borderId="1" xfId="1" applyNumberFormat="1" applyFont="1" applyBorder="1"/>
    <xf numFmtId="43" fontId="0" fillId="0" borderId="0" xfId="0" applyNumberFormat="1" applyAlignment="1">
      <alignment wrapText="1"/>
    </xf>
    <xf numFmtId="0" fontId="0" fillId="2" borderId="6" xfId="0" applyFill="1" applyBorder="1" applyAlignment="1">
      <alignment horizontal="left" vertical="center" wrapText="1"/>
    </xf>
    <xf numFmtId="166" fontId="20" fillId="0" borderId="6" xfId="1" applyFont="1" applyBorder="1"/>
    <xf numFmtId="167" fontId="14" fillId="0" borderId="7" xfId="0" applyNumberFormat="1" applyFont="1" applyBorder="1"/>
    <xf numFmtId="0" fontId="14" fillId="0" borderId="2" xfId="0" applyFont="1" applyBorder="1" applyAlignment="1">
      <alignment horizontal="center"/>
    </xf>
    <xf numFmtId="166" fontId="20" fillId="0" borderId="27" xfId="1" applyFont="1" applyBorder="1"/>
    <xf numFmtId="0" fontId="0" fillId="0" borderId="2" xfId="0" applyBorder="1"/>
    <xf numFmtId="167" fontId="14" fillId="0" borderId="23" xfId="0" applyNumberFormat="1" applyFont="1" applyBorder="1"/>
    <xf numFmtId="167" fontId="14" fillId="0" borderId="2" xfId="0" applyNumberFormat="1" applyFont="1" applyBorder="1"/>
    <xf numFmtId="166" fontId="14" fillId="0" borderId="2" xfId="1" applyFont="1" applyBorder="1"/>
    <xf numFmtId="167" fontId="14" fillId="0" borderId="2" xfId="1" applyNumberFormat="1" applyFont="1" applyBorder="1"/>
    <xf numFmtId="166" fontId="20" fillId="0" borderId="2" xfId="1" applyFont="1" applyBorder="1"/>
    <xf numFmtId="0" fontId="14" fillId="10" borderId="13" xfId="0" applyFont="1" applyFill="1" applyBorder="1"/>
    <xf numFmtId="0" fontId="14" fillId="4" borderId="11" xfId="0" applyFont="1" applyFill="1" applyBorder="1"/>
    <xf numFmtId="0" fontId="14" fillId="4" borderId="13" xfId="0" applyFont="1" applyFill="1" applyBorder="1"/>
    <xf numFmtId="171" fontId="14" fillId="4" borderId="13" xfId="0" applyNumberFormat="1" applyFont="1" applyFill="1" applyBorder="1" applyAlignment="1">
      <alignment horizontal="center"/>
    </xf>
    <xf numFmtId="166" fontId="14" fillId="4" borderId="9" xfId="0" applyNumberFormat="1" applyFont="1" applyFill="1" applyBorder="1"/>
    <xf numFmtId="167" fontId="14" fillId="4" borderId="28" xfId="0" applyNumberFormat="1" applyFont="1" applyFill="1" applyBorder="1"/>
    <xf numFmtId="167" fontId="14" fillId="4" borderId="11" xfId="0" applyNumberFormat="1" applyFont="1" applyFill="1" applyBorder="1"/>
    <xf numFmtId="167" fontId="14" fillId="4" borderId="13" xfId="0" applyNumberFormat="1" applyFont="1" applyFill="1" applyBorder="1"/>
    <xf numFmtId="168" fontId="14" fillId="4" borderId="13" xfId="0" applyNumberFormat="1" applyFont="1" applyFill="1" applyBorder="1"/>
    <xf numFmtId="166" fontId="14" fillId="4" borderId="13" xfId="0" applyNumberFormat="1" applyFont="1" applyFill="1" applyBorder="1"/>
    <xf numFmtId="0" fontId="14" fillId="9" borderId="1" xfId="0" applyFont="1" applyFill="1" applyBorder="1" applyAlignment="1">
      <alignment wrapText="1"/>
    </xf>
    <xf numFmtId="0" fontId="14" fillId="9" borderId="2" xfId="0" applyFont="1" applyFill="1" applyBorder="1"/>
    <xf numFmtId="0" fontId="5" fillId="0" borderId="1" xfId="0" applyFont="1" applyBorder="1" applyAlignment="1">
      <alignment wrapText="1"/>
    </xf>
    <xf numFmtId="164" fontId="4" fillId="2" borderId="1" xfId="0" applyNumberFormat="1" applyFont="1" applyFill="1" applyBorder="1"/>
    <xf numFmtId="166" fontId="4" fillId="2" borderId="1" xfId="1" applyFont="1" applyFill="1" applyBorder="1" applyAlignment="1">
      <alignment wrapText="1"/>
    </xf>
    <xf numFmtId="0" fontId="0" fillId="11" borderId="0" xfId="0" applyFill="1"/>
    <xf numFmtId="168" fontId="20" fillId="12" borderId="1" xfId="1" applyNumberFormat="1" applyFont="1" applyFill="1" applyBorder="1"/>
    <xf numFmtId="0" fontId="0" fillId="12" borderId="0" xfId="0" applyFill="1"/>
    <xf numFmtId="168" fontId="20" fillId="4" borderId="1" xfId="1" applyNumberFormat="1" applyFont="1" applyFill="1" applyBorder="1"/>
    <xf numFmtId="164" fontId="7" fillId="2" borderId="1" xfId="0" applyNumberFormat="1" applyFont="1" applyFill="1" applyBorder="1"/>
    <xf numFmtId="166" fontId="7" fillId="2" borderId="1" xfId="1" applyFont="1" applyFill="1" applyBorder="1"/>
    <xf numFmtId="166" fontId="7" fillId="2" borderId="6" xfId="1" applyFont="1" applyFill="1" applyBorder="1"/>
    <xf numFmtId="0" fontId="2" fillId="3" borderId="11" xfId="0" applyFont="1" applyFill="1" applyBorder="1" applyAlignment="1">
      <alignment horizontal="left" wrapText="1"/>
    </xf>
    <xf numFmtId="0" fontId="0" fillId="0" borderId="10" xfId="0" applyBorder="1"/>
    <xf numFmtId="0" fontId="0" fillId="0" borderId="11" xfId="0" applyBorder="1"/>
    <xf numFmtId="0" fontId="17" fillId="9" borderId="0" xfId="0" applyFont="1" applyFill="1" applyAlignment="1">
      <alignment horizontal="center" vertical="center"/>
    </xf>
    <xf numFmtId="0" fontId="0" fillId="0" borderId="0" xfId="0"/>
    <xf numFmtId="0" fontId="16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/>
    <xf numFmtId="0" fontId="2" fillId="9" borderId="0" xfId="0" applyFont="1" applyFill="1" applyAlignment="1">
      <alignment horizontal="center" vertical="center" wrapText="1"/>
    </xf>
    <xf numFmtId="0" fontId="0" fillId="9" borderId="1" xfId="0" applyFill="1" applyBorder="1" applyAlignment="1">
      <alignment horizontal="left"/>
    </xf>
    <xf numFmtId="0" fontId="0" fillId="9" borderId="7" xfId="0" applyFill="1" applyBorder="1"/>
    <xf numFmtId="0" fontId="0" fillId="2" borderId="6" xfId="0" applyFill="1" applyBorder="1" applyAlignment="1">
      <alignment horizontal="left" wrapText="1"/>
    </xf>
    <xf numFmtId="0" fontId="0" fillId="0" borderId="24" xfId="0" applyBorder="1"/>
    <xf numFmtId="0" fontId="8" fillId="6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7" xfId="0" applyFont="1" applyBorder="1"/>
    <xf numFmtId="0" fontId="2" fillId="8" borderId="13" xfId="0" applyFont="1" applyFill="1" applyBorder="1" applyAlignment="1">
      <alignment horizontal="left" vertical="center" wrapText="1"/>
    </xf>
    <xf numFmtId="170" fontId="24" fillId="3" borderId="0" xfId="1" applyNumberFormat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70" fontId="0" fillId="3" borderId="8" xfId="0" applyNumberFormat="1" applyFill="1" applyBorder="1" applyAlignment="1">
      <alignment horizontal="center"/>
    </xf>
    <xf numFmtId="0" fontId="0" fillId="0" borderId="8" xfId="0" applyBorder="1"/>
    <xf numFmtId="166" fontId="7" fillId="3" borderId="0" xfId="1" applyFont="1" applyFill="1" applyAlignment="1">
      <alignment horizontal="center"/>
    </xf>
    <xf numFmtId="0" fontId="7" fillId="0" borderId="0" xfId="0" applyFont="1"/>
    <xf numFmtId="0" fontId="12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2" fillId="3" borderId="29" xfId="0" applyFont="1" applyFill="1" applyBorder="1" applyAlignment="1">
      <alignment horizontal="center" vertical="center" wrapText="1"/>
    </xf>
    <xf numFmtId="0" fontId="0" fillId="0" borderId="20" xfId="0" applyBorder="1"/>
    <xf numFmtId="0" fontId="14" fillId="3" borderId="29" xfId="0" applyFont="1" applyFill="1" applyBorder="1" applyAlignment="1">
      <alignment horizontal="center" vertical="center" wrapText="1"/>
    </xf>
    <xf numFmtId="170" fontId="0" fillId="3" borderId="8" xfId="1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5" fillId="3" borderId="18" xfId="0" applyFont="1" applyFill="1" applyBorder="1" applyAlignment="1">
      <alignment horizontal="center" vertical="center" wrapText="1"/>
    </xf>
    <xf numFmtId="166" fontId="7" fillId="3" borderId="8" xfId="1" applyFont="1" applyFill="1" applyBorder="1" applyAlignment="1">
      <alignment horizontal="center"/>
    </xf>
    <xf numFmtId="0" fontId="7" fillId="0" borderId="8" xfId="0" applyFont="1" applyBorder="1"/>
    <xf numFmtId="0" fontId="12" fillId="3" borderId="1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168" fontId="20" fillId="13" borderId="1" xfId="1" applyNumberFormat="1" applyFont="1" applyFill="1" applyBorder="1"/>
    <xf numFmtId="0" fontId="14" fillId="14" borderId="1" xfId="0" applyFont="1" applyFill="1" applyBorder="1"/>
    <xf numFmtId="168" fontId="20" fillId="15" borderId="1" xfId="1" applyNumberFormat="1" applyFont="1" applyFill="1" applyBorder="1"/>
    <xf numFmtId="0" fontId="0" fillId="14" borderId="0" xfId="0" applyFill="1"/>
    <xf numFmtId="0" fontId="0" fillId="13" borderId="0" xfId="0" applyFill="1"/>
    <xf numFmtId="0" fontId="0" fillId="15" borderId="0" xfId="0" applyFill="1"/>
    <xf numFmtId="168" fontId="20" fillId="16" borderId="1" xfId="1" applyNumberFormat="1" applyFont="1" applyFill="1" applyBorder="1"/>
    <xf numFmtId="167" fontId="14" fillId="16" borderId="1" xfId="0" applyNumberFormat="1" applyFont="1" applyFill="1" applyBorder="1"/>
    <xf numFmtId="0" fontId="0" fillId="16" borderId="0" xfId="0" applyFill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topLeftCell="A50" workbookViewId="0">
      <selection activeCell="A53" sqref="A53:B53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28515625" customWidth="1"/>
    <col min="5" max="5" width="14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x14ac:dyDescent="0.25">
      <c r="A1" s="15"/>
      <c r="B1" s="68" t="s">
        <v>0</v>
      </c>
      <c r="C1" s="68"/>
      <c r="D1" s="68"/>
      <c r="E1" s="69"/>
    </row>
    <row r="2" spans="1:5" x14ac:dyDescent="0.25">
      <c r="A2" s="16"/>
      <c r="B2" s="136" t="s">
        <v>1</v>
      </c>
      <c r="C2" s="136"/>
      <c r="D2" s="136"/>
      <c r="E2" s="70"/>
    </row>
    <row r="3" spans="1:5" ht="32.25" customHeight="1" thickBot="1" x14ac:dyDescent="0.3">
      <c r="A3" s="16"/>
      <c r="B3" s="137" t="s">
        <v>2</v>
      </c>
      <c r="C3" s="136"/>
      <c r="D3" s="138" t="s">
        <v>3</v>
      </c>
      <c r="E3" s="70"/>
    </row>
    <row r="4" spans="1:5" ht="15.75" customHeight="1" thickBot="1" x14ac:dyDescent="0.3">
      <c r="A4" s="17" t="s">
        <v>4</v>
      </c>
      <c r="B4" s="86" t="s">
        <v>5</v>
      </c>
      <c r="C4" s="18"/>
      <c r="D4" s="18"/>
      <c r="E4" s="19"/>
    </row>
    <row r="5" spans="1:5" ht="30.75" customHeight="1" thickBot="1" x14ac:dyDescent="0.3">
      <c r="A5" s="16" t="s">
        <v>6</v>
      </c>
      <c r="B5" s="193" t="s">
        <v>279</v>
      </c>
      <c r="C5" s="194"/>
      <c r="D5" s="194"/>
      <c r="E5" s="195"/>
    </row>
    <row r="6" spans="1:5" ht="15.75" customHeight="1" thickBot="1" x14ac:dyDescent="0.3">
      <c r="A6" s="17" t="s">
        <v>7</v>
      </c>
      <c r="B6" s="18"/>
      <c r="C6" s="18"/>
      <c r="D6" s="139" t="s">
        <v>8</v>
      </c>
      <c r="E6" s="19"/>
    </row>
    <row r="8" spans="1:5" x14ac:dyDescent="0.25">
      <c r="B8" s="196" t="s">
        <v>9</v>
      </c>
      <c r="C8" s="197"/>
    </row>
    <row r="9" spans="1:5" x14ac:dyDescent="0.25">
      <c r="B9" s="197"/>
      <c r="C9" s="197"/>
    </row>
    <row r="10" spans="1:5" x14ac:dyDescent="0.25">
      <c r="B10" s="197"/>
      <c r="C10" s="197"/>
    </row>
    <row r="12" spans="1:5" hidden="1" x14ac:dyDescent="0.25"/>
    <row r="13" spans="1:5" ht="15" customHeight="1" x14ac:dyDescent="0.25">
      <c r="A13" s="198" t="s">
        <v>10</v>
      </c>
      <c r="B13" s="197"/>
      <c r="C13" s="197"/>
      <c r="D13" s="197"/>
      <c r="E13" s="197"/>
    </row>
    <row r="14" spans="1:5" ht="15" customHeight="1" x14ac:dyDescent="0.25">
      <c r="A14" s="197"/>
      <c r="B14" s="197"/>
      <c r="C14" s="197"/>
      <c r="D14" s="197"/>
      <c r="E14" s="197"/>
    </row>
    <row r="15" spans="1:5" ht="15" customHeight="1" x14ac:dyDescent="0.25">
      <c r="A15" s="197"/>
      <c r="B15" s="197"/>
      <c r="C15" s="197"/>
      <c r="D15" s="197"/>
      <c r="E15" s="197"/>
    </row>
    <row r="16" spans="1:5" ht="53.25" customHeight="1" x14ac:dyDescent="0.25">
      <c r="A16" s="197"/>
      <c r="B16" s="197"/>
      <c r="C16" s="197"/>
      <c r="D16" s="197"/>
      <c r="E16" s="197"/>
    </row>
    <row r="17" spans="1:7" ht="14.25" customHeight="1" thickBot="1" x14ac:dyDescent="0.3"/>
    <row r="18" spans="1:7" hidden="1" x14ac:dyDescent="0.25">
      <c r="A18" s="2"/>
    </row>
    <row r="19" spans="1:7" ht="15.75" hidden="1" customHeight="1" thickBot="1" x14ac:dyDescent="0.3"/>
    <row r="20" spans="1:7" x14ac:dyDescent="0.25">
      <c r="A20" s="11" t="s">
        <v>11</v>
      </c>
      <c r="B20" s="12"/>
      <c r="C20" s="13"/>
      <c r="D20" s="9"/>
      <c r="E20" s="14"/>
    </row>
    <row r="21" spans="1:7" x14ac:dyDescent="0.25">
      <c r="A21" s="33" t="s">
        <v>12</v>
      </c>
      <c r="B21" s="33"/>
      <c r="C21" s="33"/>
      <c r="D21" s="31"/>
      <c r="E21" s="31"/>
    </row>
    <row r="22" spans="1:7" x14ac:dyDescent="0.25">
      <c r="A22" s="5" t="s">
        <v>13</v>
      </c>
      <c r="B22" s="5"/>
      <c r="C22" s="5"/>
      <c r="D22" s="184">
        <v>598522.19999999995</v>
      </c>
      <c r="E22" s="90"/>
    </row>
    <row r="23" spans="1:7" x14ac:dyDescent="0.25">
      <c r="A23" s="5" t="s">
        <v>14</v>
      </c>
      <c r="B23" s="5"/>
      <c r="C23" s="5"/>
      <c r="D23" s="184">
        <v>-139605.89000000001</v>
      </c>
      <c r="E23" s="90"/>
      <c r="G23" s="20"/>
    </row>
    <row r="24" spans="1:7" x14ac:dyDescent="0.25">
      <c r="A24" s="5" t="s">
        <v>15</v>
      </c>
      <c r="B24" s="5"/>
      <c r="C24" s="5"/>
      <c r="D24" s="184">
        <v>0.69</v>
      </c>
      <c r="E24" s="90"/>
      <c r="G24" s="20"/>
    </row>
    <row r="25" spans="1:7" x14ac:dyDescent="0.25">
      <c r="A25" s="56" t="s">
        <v>16</v>
      </c>
      <c r="B25" s="56"/>
      <c r="C25" s="56"/>
      <c r="D25" s="119">
        <f>SUM(D22:D24)</f>
        <v>458916.99999999994</v>
      </c>
      <c r="E25" s="91"/>
      <c r="G25" s="20"/>
    </row>
    <row r="26" spans="1:7" ht="15.75" customHeight="1" thickBot="1" x14ac:dyDescent="0.3">
      <c r="A26" s="26" t="s">
        <v>17</v>
      </c>
      <c r="B26" s="26"/>
      <c r="C26" s="26"/>
      <c r="D26" s="28"/>
      <c r="E26" s="92">
        <f>D25</f>
        <v>458916.99999999994</v>
      </c>
      <c r="F26" s="20"/>
    </row>
    <row r="27" spans="1:7" x14ac:dyDescent="0.25">
      <c r="A27" s="33" t="s">
        <v>18</v>
      </c>
      <c r="B27" s="33"/>
      <c r="C27" s="33"/>
      <c r="D27" s="34"/>
      <c r="E27" s="93"/>
    </row>
    <row r="28" spans="1:7" ht="18" customHeight="1" x14ac:dyDescent="0.25">
      <c r="A28" s="199" t="s">
        <v>280</v>
      </c>
      <c r="B28" s="200"/>
      <c r="C28" s="5"/>
      <c r="D28" s="190">
        <v>35000</v>
      </c>
      <c r="E28" s="94" t="s">
        <v>283</v>
      </c>
    </row>
    <row r="29" spans="1:7" ht="33" customHeight="1" thickBot="1" x14ac:dyDescent="0.3">
      <c r="A29" s="199" t="s">
        <v>282</v>
      </c>
      <c r="B29" s="200"/>
      <c r="C29" s="5"/>
      <c r="D29" s="184">
        <v>470000</v>
      </c>
      <c r="E29" s="94" t="s">
        <v>19</v>
      </c>
    </row>
    <row r="30" spans="1:7" ht="15.75" customHeight="1" thickBot="1" x14ac:dyDescent="0.3">
      <c r="A30" s="26" t="s">
        <v>20</v>
      </c>
      <c r="B30" s="26"/>
      <c r="C30" s="26"/>
      <c r="D30" s="37"/>
      <c r="E30" s="95">
        <f>SUM(D28:D29)</f>
        <v>505000</v>
      </c>
    </row>
    <row r="31" spans="1:7" x14ac:dyDescent="0.25">
      <c r="A31" s="31" t="s">
        <v>21</v>
      </c>
      <c r="B31" s="32"/>
      <c r="C31" s="32"/>
      <c r="D31" s="35"/>
      <c r="E31" s="67"/>
    </row>
    <row r="32" spans="1:7" s="40" customFormat="1" ht="15.75" customHeight="1" x14ac:dyDescent="0.25">
      <c r="A32" s="160" t="s">
        <v>22</v>
      </c>
      <c r="B32" s="154"/>
      <c r="C32" s="54"/>
      <c r="D32" s="185">
        <v>70868</v>
      </c>
      <c r="E32" s="118"/>
      <c r="G32" s="159"/>
    </row>
    <row r="33" spans="1:7" ht="14.25" customHeight="1" x14ac:dyDescent="0.25">
      <c r="A33" s="199" t="s">
        <v>23</v>
      </c>
      <c r="B33" s="200"/>
      <c r="C33" s="54"/>
      <c r="D33" s="117">
        <v>719.9</v>
      </c>
      <c r="E33" s="118"/>
    </row>
    <row r="34" spans="1:7" ht="15.75" customHeight="1" thickBot="1" x14ac:dyDescent="0.3">
      <c r="A34" s="26" t="s">
        <v>24</v>
      </c>
      <c r="B34" s="26"/>
      <c r="C34" s="26"/>
      <c r="D34" s="37"/>
      <c r="E34" s="96">
        <f>SUM(D32:D33)</f>
        <v>71587.899999999994</v>
      </c>
    </row>
    <row r="35" spans="1:7" x14ac:dyDescent="0.25">
      <c r="A35" s="33" t="s">
        <v>25</v>
      </c>
      <c r="B35" s="27"/>
      <c r="C35" s="27"/>
      <c r="D35" s="38"/>
      <c r="E35" s="97"/>
    </row>
    <row r="36" spans="1:7" x14ac:dyDescent="0.25">
      <c r="A36" s="5" t="s">
        <v>26</v>
      </c>
      <c r="B36" s="5"/>
      <c r="C36" s="53"/>
      <c r="D36" s="145">
        <v>371183.27</v>
      </c>
      <c r="E36" s="120" t="s">
        <v>27</v>
      </c>
      <c r="G36" s="125"/>
    </row>
    <row r="37" spans="1:7" x14ac:dyDescent="0.25">
      <c r="A37" s="5" t="s">
        <v>281</v>
      </c>
      <c r="B37" s="5" t="s">
        <v>28</v>
      </c>
      <c r="C37" s="5"/>
      <c r="D37" s="117">
        <v>26576.33</v>
      </c>
      <c r="E37" s="105" t="s">
        <v>29</v>
      </c>
    </row>
    <row r="38" spans="1:7" x14ac:dyDescent="0.25">
      <c r="A38" s="5" t="str">
        <f>A37</f>
        <v>Sindicatos mes de JUNIO</v>
      </c>
      <c r="B38" s="5" t="s">
        <v>30</v>
      </c>
      <c r="C38" s="5"/>
      <c r="D38" s="117">
        <v>50388.03</v>
      </c>
      <c r="E38" s="105" t="str">
        <f>E37</f>
        <v>Debito 12/05</v>
      </c>
    </row>
    <row r="39" spans="1:7" x14ac:dyDescent="0.25">
      <c r="A39" s="5" t="str">
        <f>A38</f>
        <v>Sindicatos mes de JUNIO</v>
      </c>
      <c r="B39" s="5" t="s">
        <v>31</v>
      </c>
      <c r="C39" s="5"/>
      <c r="D39" s="117">
        <v>2952.93</v>
      </c>
      <c r="E39" s="106" t="str">
        <f>E37</f>
        <v>Debito 12/05</v>
      </c>
    </row>
    <row r="40" spans="1:7" ht="15" customHeight="1" thickBot="1" x14ac:dyDescent="0.3">
      <c r="A40" s="26" t="s">
        <v>32</v>
      </c>
      <c r="B40" s="27"/>
      <c r="C40" s="27"/>
      <c r="D40" s="39"/>
      <c r="E40" s="96">
        <f>SUM(D36:D39)</f>
        <v>451100.56</v>
      </c>
    </row>
    <row r="41" spans="1:7" x14ac:dyDescent="0.25">
      <c r="A41" s="33" t="s">
        <v>33</v>
      </c>
      <c r="B41" s="27"/>
      <c r="C41" s="27"/>
      <c r="D41" s="38"/>
      <c r="E41" s="97"/>
    </row>
    <row r="42" spans="1:7" ht="14.25" customHeight="1" x14ac:dyDescent="0.25">
      <c r="A42" s="5" t="s">
        <v>34</v>
      </c>
      <c r="B42" s="53"/>
      <c r="C42" s="53"/>
      <c r="D42" s="191">
        <v>84629.46</v>
      </c>
      <c r="E42" s="103"/>
    </row>
    <row r="43" spans="1:7" ht="14.25" customHeight="1" x14ac:dyDescent="0.25">
      <c r="A43" s="5" t="s">
        <v>35</v>
      </c>
      <c r="B43" s="5"/>
      <c r="C43" s="5"/>
      <c r="D43" s="117">
        <v>50000</v>
      </c>
      <c r="E43" s="103" t="s">
        <v>36</v>
      </c>
    </row>
    <row r="44" spans="1:7" x14ac:dyDescent="0.25">
      <c r="A44" s="199" t="s">
        <v>37</v>
      </c>
      <c r="B44" s="200"/>
      <c r="C44" s="5"/>
      <c r="D44" s="117">
        <v>81423.929999999993</v>
      </c>
      <c r="E44" s="103" t="s">
        <v>38</v>
      </c>
    </row>
    <row r="45" spans="1:7" ht="15.75" customHeight="1" thickBot="1" x14ac:dyDescent="0.3">
      <c r="A45" s="26" t="s">
        <v>39</v>
      </c>
      <c r="B45" s="26"/>
      <c r="C45" s="26"/>
      <c r="D45" s="37"/>
      <c r="E45" s="96">
        <f>SUM(D42:D44)</f>
        <v>216053.39</v>
      </c>
    </row>
    <row r="46" spans="1:7" ht="15" customHeight="1" thickBot="1" x14ac:dyDescent="0.3">
      <c r="A46" s="33" t="s">
        <v>40</v>
      </c>
      <c r="B46" s="26"/>
      <c r="C46" s="26"/>
      <c r="D46" s="37"/>
      <c r="E46" s="99"/>
    </row>
    <row r="47" spans="1:7" x14ac:dyDescent="0.25">
      <c r="A47" s="204" t="s">
        <v>41</v>
      </c>
      <c r="B47" s="205"/>
      <c r="C47" s="65"/>
      <c r="D47" s="117">
        <v>84500</v>
      </c>
      <c r="E47" s="157" t="s">
        <v>42</v>
      </c>
    </row>
    <row r="48" spans="1:7" x14ac:dyDescent="0.25">
      <c r="A48" s="204" t="s">
        <v>43</v>
      </c>
      <c r="B48" s="205"/>
      <c r="C48" s="65"/>
      <c r="D48" s="117">
        <v>262099.86</v>
      </c>
      <c r="E48" s="157" t="s">
        <v>42</v>
      </c>
      <c r="G48" s="140"/>
    </row>
    <row r="49" spans="1:10" x14ac:dyDescent="0.25">
      <c r="A49" s="155" t="s">
        <v>44</v>
      </c>
      <c r="B49" s="156"/>
      <c r="C49" s="65"/>
      <c r="D49" s="117">
        <v>36300</v>
      </c>
      <c r="E49" s="158" t="s">
        <v>45</v>
      </c>
    </row>
    <row r="50" spans="1:10" x14ac:dyDescent="0.25">
      <c r="A50" s="155" t="s">
        <v>46</v>
      </c>
      <c r="B50" s="156"/>
      <c r="C50" s="65"/>
      <c r="D50" s="117">
        <v>25000</v>
      </c>
      <c r="E50" s="158" t="s">
        <v>47</v>
      </c>
    </row>
    <row r="51" spans="1:10" ht="32.25" customHeight="1" x14ac:dyDescent="0.25">
      <c r="A51" s="199" t="s">
        <v>48</v>
      </c>
      <c r="B51" s="200"/>
      <c r="C51" s="55"/>
      <c r="D51" s="117">
        <v>165000</v>
      </c>
      <c r="E51" s="157" t="s">
        <v>49</v>
      </c>
    </row>
    <row r="52" spans="1:10" ht="69.75" customHeight="1" x14ac:dyDescent="0.25">
      <c r="A52" s="207" t="s">
        <v>284</v>
      </c>
      <c r="B52" s="208"/>
      <c r="C52" s="55"/>
      <c r="D52" s="191">
        <v>110000</v>
      </c>
      <c r="E52" s="157" t="s">
        <v>285</v>
      </c>
    </row>
    <row r="53" spans="1:10" ht="35.450000000000003" customHeight="1" x14ac:dyDescent="0.25">
      <c r="A53" s="199" t="s">
        <v>289</v>
      </c>
      <c r="B53" s="200"/>
      <c r="C53" s="55"/>
      <c r="D53" s="191">
        <v>135000</v>
      </c>
      <c r="E53" s="157" t="s">
        <v>49</v>
      </c>
    </row>
    <row r="54" spans="1:10" ht="15" customHeight="1" x14ac:dyDescent="0.25">
      <c r="A54" s="143" t="s">
        <v>50</v>
      </c>
      <c r="B54" s="132"/>
      <c r="C54" s="55"/>
      <c r="D54" s="117">
        <v>385000</v>
      </c>
      <c r="E54" s="157" t="s">
        <v>49</v>
      </c>
    </row>
    <row r="55" spans="1:10" ht="30.75" customHeight="1" x14ac:dyDescent="0.25">
      <c r="A55" s="199" t="s">
        <v>51</v>
      </c>
      <c r="B55" s="200"/>
      <c r="C55" s="55"/>
      <c r="D55" s="117">
        <v>135000</v>
      </c>
      <c r="E55" s="158" t="s">
        <v>45</v>
      </c>
    </row>
    <row r="56" spans="1:10" ht="15" customHeight="1" x14ac:dyDescent="0.25">
      <c r="A56" s="143" t="s">
        <v>287</v>
      </c>
      <c r="B56" s="132"/>
      <c r="C56" s="55"/>
      <c r="D56" s="191">
        <v>25000</v>
      </c>
      <c r="E56" s="157" t="s">
        <v>288</v>
      </c>
    </row>
    <row r="57" spans="1:10" x14ac:dyDescent="0.25">
      <c r="A57" s="202" t="s">
        <v>52</v>
      </c>
      <c r="B57" s="203"/>
      <c r="C57" s="5"/>
      <c r="D57" s="191">
        <v>110000</v>
      </c>
      <c r="E57" s="158" t="s">
        <v>285</v>
      </c>
    </row>
    <row r="58" spans="1:10" ht="33.75" customHeight="1" x14ac:dyDescent="0.25">
      <c r="A58" s="199" t="s">
        <v>286</v>
      </c>
      <c r="B58" s="200"/>
      <c r="C58" s="5"/>
      <c r="D58" s="192">
        <v>51150</v>
      </c>
      <c r="E58" s="157" t="s">
        <v>53</v>
      </c>
      <c r="I58" s="199"/>
      <c r="J58" s="200"/>
    </row>
    <row r="59" spans="1:10" ht="15.75" customHeight="1" thickBot="1" x14ac:dyDescent="0.3">
      <c r="A59" s="26" t="s">
        <v>54</v>
      </c>
      <c r="B59" s="33"/>
      <c r="C59" s="33"/>
      <c r="D59" s="31"/>
      <c r="E59" s="153">
        <f>SUM(D47:D58)</f>
        <v>1524049.8599999999</v>
      </c>
    </row>
    <row r="60" spans="1:10" ht="15.75" customHeight="1" thickBot="1" x14ac:dyDescent="0.3">
      <c r="A60" s="33" t="s">
        <v>55</v>
      </c>
      <c r="B60" s="66"/>
      <c r="C60" s="26"/>
      <c r="D60" s="28"/>
      <c r="E60" s="99"/>
    </row>
    <row r="61" spans="1:10" x14ac:dyDescent="0.25">
      <c r="A61" s="5" t="s">
        <v>56</v>
      </c>
      <c r="B61" s="5"/>
      <c r="C61" s="5"/>
      <c r="D61" s="117">
        <f>23840.19+13389.86+12056.54+26998.34+23983.39+19115.39</f>
        <v>119383.71</v>
      </c>
      <c r="E61" s="107"/>
    </row>
    <row r="62" spans="1:10" x14ac:dyDescent="0.25">
      <c r="A62" s="5" t="s">
        <v>57</v>
      </c>
      <c r="B62" s="5"/>
      <c r="C62" s="5"/>
      <c r="D62" s="117">
        <v>49082</v>
      </c>
      <c r="E62" s="104"/>
    </row>
    <row r="63" spans="1:10" ht="15.75" customHeight="1" thickBot="1" x14ac:dyDescent="0.3">
      <c r="A63" s="52" t="s">
        <v>20</v>
      </c>
      <c r="B63" s="52"/>
      <c r="C63" s="52"/>
      <c r="D63" s="108"/>
      <c r="E63" s="96">
        <f>SUM(D61:D62)</f>
        <v>168465.71000000002</v>
      </c>
    </row>
    <row r="64" spans="1:10" ht="15.75" customHeight="1" thickBot="1" x14ac:dyDescent="0.3">
      <c r="A64" s="5"/>
      <c r="B64" s="5"/>
      <c r="C64" s="5"/>
      <c r="D64" s="90"/>
      <c r="E64" s="109"/>
    </row>
    <row r="65" spans="1:7" ht="15.75" customHeight="1" thickBot="1" x14ac:dyDescent="0.3">
      <c r="A65" s="29" t="s">
        <v>58</v>
      </c>
      <c r="B65" s="29"/>
      <c r="C65" s="29"/>
      <c r="D65" s="110"/>
      <c r="E65" s="142"/>
    </row>
    <row r="66" spans="1:7" ht="15.75" customHeight="1" thickBot="1" x14ac:dyDescent="0.3">
      <c r="A66" s="1"/>
      <c r="D66" s="111"/>
      <c r="E66" s="112"/>
      <c r="F66" s="45"/>
      <c r="G66" s="149"/>
    </row>
    <row r="67" spans="1:7" ht="15.75" customHeight="1" thickBot="1" x14ac:dyDescent="0.3">
      <c r="A67" s="3" t="s">
        <v>59</v>
      </c>
      <c r="B67" s="10"/>
      <c r="C67" s="4"/>
      <c r="D67" s="113"/>
      <c r="E67" s="141">
        <f>(SUM(E26:E65))</f>
        <v>3395174.42</v>
      </c>
      <c r="F67" s="140"/>
    </row>
    <row r="68" spans="1:7" x14ac:dyDescent="0.25">
      <c r="D68" s="111"/>
      <c r="E68" s="111"/>
    </row>
    <row r="69" spans="1:7" ht="15.75" customHeight="1" thickBot="1" x14ac:dyDescent="0.3">
      <c r="D69" s="111"/>
      <c r="E69" s="111"/>
    </row>
    <row r="70" spans="1:7" x14ac:dyDescent="0.25">
      <c r="A70" s="11" t="s">
        <v>60</v>
      </c>
      <c r="B70" s="12"/>
      <c r="C70" s="13"/>
      <c r="D70" s="114"/>
      <c r="E70" s="115"/>
    </row>
    <row r="71" spans="1:7" x14ac:dyDescent="0.25">
      <c r="A71" s="199" t="s">
        <v>61</v>
      </c>
      <c r="B71" s="200"/>
      <c r="C71" s="5"/>
      <c r="D71" s="101">
        <v>304993.06</v>
      </c>
      <c r="E71" s="98" t="s">
        <v>62</v>
      </c>
    </row>
    <row r="72" spans="1:7" x14ac:dyDescent="0.25">
      <c r="A72" s="100"/>
      <c r="B72" s="102"/>
      <c r="C72" s="5"/>
      <c r="D72" s="101"/>
      <c r="E72" s="98"/>
    </row>
    <row r="73" spans="1:7" x14ac:dyDescent="0.25">
      <c r="A73" s="50"/>
      <c r="B73" s="49"/>
      <c r="C73" s="49"/>
      <c r="D73" s="57"/>
      <c r="E73" s="57">
        <f>SUM(D71:D72)</f>
        <v>304993.06</v>
      </c>
    </row>
    <row r="74" spans="1:7" ht="15" customHeight="1" thickBot="1" x14ac:dyDescent="0.3"/>
    <row r="75" spans="1:7" ht="15.75" hidden="1" customHeight="1" thickBot="1" x14ac:dyDescent="0.3"/>
    <row r="76" spans="1:7" ht="24" customHeight="1" thickBot="1" x14ac:dyDescent="0.3">
      <c r="A76" s="209" t="s">
        <v>63</v>
      </c>
      <c r="B76" s="194"/>
      <c r="C76" s="194"/>
      <c r="D76" s="195"/>
      <c r="E76" s="150"/>
    </row>
    <row r="77" spans="1:7" ht="15.75" customHeight="1" thickBot="1" x14ac:dyDescent="0.3"/>
    <row r="78" spans="1:7" ht="15.75" customHeight="1" thickBot="1" x14ac:dyDescent="0.3">
      <c r="A78" s="3" t="s">
        <v>64</v>
      </c>
      <c r="B78" s="10"/>
      <c r="C78" s="4"/>
      <c r="D78" s="4"/>
      <c r="E78" s="151">
        <f>E73+E76</f>
        <v>304993.06</v>
      </c>
    </row>
    <row r="79" spans="1:7" ht="15.75" customHeight="1" thickBot="1" x14ac:dyDescent="0.3"/>
    <row r="80" spans="1:7" ht="15.75" customHeight="1" thickBot="1" x14ac:dyDescent="0.3">
      <c r="A80" s="87" t="s">
        <v>65</v>
      </c>
      <c r="B80" s="88">
        <f>E67</f>
        <v>3395174.42</v>
      </c>
    </row>
    <row r="81" spans="1:4" ht="15.75" customHeight="1" thickBot="1" x14ac:dyDescent="0.3">
      <c r="A81" s="87" t="s">
        <v>66</v>
      </c>
      <c r="B81" s="88">
        <f>E67-E65</f>
        <v>3395174.42</v>
      </c>
    </row>
    <row r="82" spans="1:4" ht="15.75" customHeight="1" thickBot="1" x14ac:dyDescent="0.3">
      <c r="A82" s="87" t="s">
        <v>67</v>
      </c>
      <c r="B82" s="88">
        <f>E78-E76</f>
        <v>304993.06</v>
      </c>
    </row>
    <row r="83" spans="1:4" ht="15.75" customHeight="1" thickBot="1" x14ac:dyDescent="0.3">
      <c r="A83" s="87" t="s">
        <v>68</v>
      </c>
      <c r="B83" s="88">
        <f>E78</f>
        <v>304993.06</v>
      </c>
    </row>
    <row r="84" spans="1:4" ht="73.5" customHeight="1" x14ac:dyDescent="0.25"/>
    <row r="85" spans="1:4" x14ac:dyDescent="0.25">
      <c r="A85" s="46" t="s">
        <v>69</v>
      </c>
      <c r="B85" s="126"/>
      <c r="C85" s="21"/>
    </row>
    <row r="86" spans="1:4" x14ac:dyDescent="0.25">
      <c r="A86" s="30" t="s">
        <v>70</v>
      </c>
      <c r="B86" s="58">
        <v>491399.42461679789</v>
      </c>
      <c r="C86" s="23"/>
    </row>
    <row r="87" spans="1:4" x14ac:dyDescent="0.25">
      <c r="A87" s="22" t="s">
        <v>71</v>
      </c>
      <c r="B87" s="42">
        <f>PRORRATEO!H92</f>
        <v>6723784.4099999983</v>
      </c>
      <c r="C87" s="21"/>
    </row>
    <row r="88" spans="1:4" x14ac:dyDescent="0.25">
      <c r="A88" s="22" t="s">
        <v>72</v>
      </c>
      <c r="B88" s="104">
        <f>B104</f>
        <v>0</v>
      </c>
      <c r="C88" s="21"/>
    </row>
    <row r="89" spans="1:4" ht="28.5" customHeight="1" x14ac:dyDescent="0.25">
      <c r="A89" s="183" t="s">
        <v>73</v>
      </c>
      <c r="B89" s="48">
        <f>-28214*2</f>
        <v>-56428</v>
      </c>
      <c r="C89" s="21"/>
    </row>
    <row r="90" spans="1:4" x14ac:dyDescent="0.25">
      <c r="A90" s="22" t="s">
        <v>74</v>
      </c>
      <c r="B90" s="48">
        <v>-89980.82</v>
      </c>
      <c r="C90" s="21"/>
    </row>
    <row r="91" spans="1:4" x14ac:dyDescent="0.25">
      <c r="A91" s="121" t="s">
        <v>75</v>
      </c>
      <c r="B91" s="48">
        <v>-2699</v>
      </c>
      <c r="C91" s="21"/>
    </row>
    <row r="92" spans="1:4" x14ac:dyDescent="0.25">
      <c r="A92" s="41" t="s">
        <v>76</v>
      </c>
      <c r="B92" s="48">
        <f>-B81</f>
        <v>-3395174.42</v>
      </c>
      <c r="C92" s="21"/>
    </row>
    <row r="93" spans="1:4" x14ac:dyDescent="0.25">
      <c r="A93" s="41" t="s">
        <v>77</v>
      </c>
      <c r="B93" s="48">
        <f>-PRORRATEO!F1</f>
        <v>-1241030.1599999999</v>
      </c>
      <c r="C93" s="21"/>
    </row>
    <row r="94" spans="1:4" x14ac:dyDescent="0.25">
      <c r="A94" s="41" t="s">
        <v>78</v>
      </c>
      <c r="B94" s="48">
        <f>-PRORRATEO!F2</f>
        <v>-561462.80000000005</v>
      </c>
      <c r="C94" s="21"/>
    </row>
    <row r="95" spans="1:4" x14ac:dyDescent="0.25">
      <c r="A95" s="25" t="s">
        <v>79</v>
      </c>
      <c r="B95" s="48">
        <f>-(B82)</f>
        <v>-304993.06</v>
      </c>
      <c r="C95" s="21"/>
    </row>
    <row r="96" spans="1:4" x14ac:dyDescent="0.25">
      <c r="A96" s="130" t="s">
        <v>54</v>
      </c>
      <c r="B96" s="131">
        <f>SUM(B86:B95)</f>
        <v>1563415.5746167956</v>
      </c>
      <c r="C96" s="24"/>
      <c r="D96" s="45"/>
    </row>
    <row r="97" spans="1:13" x14ac:dyDescent="0.25">
      <c r="B97" s="43"/>
      <c r="C97" s="24"/>
      <c r="D97" s="45"/>
      <c r="E97" s="127"/>
      <c r="F97" s="128"/>
    </row>
    <row r="98" spans="1:13" x14ac:dyDescent="0.25">
      <c r="B98" s="43"/>
      <c r="C98" s="24"/>
      <c r="D98" s="45"/>
      <c r="E98" s="127"/>
      <c r="F98" s="128"/>
    </row>
    <row r="99" spans="1:13" x14ac:dyDescent="0.25">
      <c r="A99" s="206" t="s">
        <v>80</v>
      </c>
      <c r="B99" s="197"/>
      <c r="C99" s="197"/>
    </row>
    <row r="100" spans="1:13" x14ac:dyDescent="0.25">
      <c r="A100" s="197"/>
      <c r="B100" s="197"/>
      <c r="C100" s="197"/>
    </row>
    <row r="101" spans="1:13" ht="40.5" customHeight="1" x14ac:dyDescent="0.25">
      <c r="A101" s="54"/>
      <c r="B101" s="145"/>
      <c r="C101" s="36">
        <v>11948.17</v>
      </c>
    </row>
    <row r="102" spans="1:13" ht="36.75" customHeight="1" x14ac:dyDescent="0.25">
      <c r="A102" s="54"/>
      <c r="B102" s="36"/>
      <c r="C102" s="36"/>
    </row>
    <row r="103" spans="1:13" ht="33.75" customHeight="1" x14ac:dyDescent="0.25">
      <c r="A103" s="134"/>
      <c r="B103" s="36"/>
      <c r="C103" s="36">
        <v>61209</v>
      </c>
    </row>
    <row r="104" spans="1:13" x14ac:dyDescent="0.25">
      <c r="A104" s="46" t="s">
        <v>54</v>
      </c>
      <c r="B104" s="116">
        <f>SUM(B101:B103)</f>
        <v>0</v>
      </c>
      <c r="C104" s="47"/>
    </row>
    <row r="105" spans="1:13" x14ac:dyDescent="0.25">
      <c r="M105" s="8"/>
    </row>
    <row r="106" spans="1:13" ht="15" customHeight="1" x14ac:dyDescent="0.25">
      <c r="A106" s="201"/>
      <c r="B106" s="197"/>
      <c r="C106" s="197"/>
      <c r="D106" s="197"/>
      <c r="E106" s="197"/>
    </row>
    <row r="107" spans="1:13" x14ac:dyDescent="0.25">
      <c r="A107" s="197"/>
      <c r="B107" s="197"/>
      <c r="C107" s="197"/>
      <c r="D107" s="197"/>
      <c r="E107" s="197"/>
    </row>
    <row r="108" spans="1:13" x14ac:dyDescent="0.25">
      <c r="A108" s="197"/>
      <c r="B108" s="197"/>
      <c r="C108" s="197"/>
      <c r="D108" s="197"/>
      <c r="E108" s="197"/>
    </row>
    <row r="109" spans="1:13" x14ac:dyDescent="0.25">
      <c r="A109" s="197"/>
      <c r="B109" s="197"/>
      <c r="C109" s="197"/>
      <c r="D109" s="197"/>
      <c r="E109" s="197"/>
    </row>
  </sheetData>
  <mergeCells count="20">
    <mergeCell ref="A106:E109"/>
    <mergeCell ref="I58:J58"/>
    <mergeCell ref="A55:B55"/>
    <mergeCell ref="A57:B57"/>
    <mergeCell ref="A33:B33"/>
    <mergeCell ref="A71:B71"/>
    <mergeCell ref="A47:B47"/>
    <mergeCell ref="A99:C100"/>
    <mergeCell ref="A53:B53"/>
    <mergeCell ref="A52:B52"/>
    <mergeCell ref="A44:B44"/>
    <mergeCell ref="A76:D76"/>
    <mergeCell ref="A48:B48"/>
    <mergeCell ref="A51:B51"/>
    <mergeCell ref="A58:B58"/>
    <mergeCell ref="B5:E5"/>
    <mergeCell ref="B8:C10"/>
    <mergeCell ref="A13:E16"/>
    <mergeCell ref="A29:B29"/>
    <mergeCell ref="A28:B28"/>
  </mergeCells>
  <pageMargins left="0.25" right="0.25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abSelected="1" topLeftCell="B64" zoomScaleNormal="100" workbookViewId="0">
      <selection activeCell="H80" sqref="H80:I80"/>
    </sheetView>
  </sheetViews>
  <sheetFormatPr baseColWidth="10" defaultRowHeight="15" x14ac:dyDescent="0.25"/>
  <cols>
    <col min="1" max="1" width="4.28515625" hidden="1" customWidth="1"/>
    <col min="2" max="3" width="4.28515625" customWidth="1"/>
    <col min="4" max="4" width="18.28515625" customWidth="1"/>
    <col min="5" max="5" width="32.42578125" bestFit="1" customWidth="1"/>
    <col min="6" max="6" width="5.42578125" customWidth="1"/>
    <col min="7" max="7" width="14.140625" customWidth="1"/>
    <col min="8" max="8" width="11.5703125" customWidth="1"/>
    <col min="9" max="9" width="10.5703125" customWidth="1"/>
    <col min="10" max="11" width="9.5703125" customWidth="1"/>
    <col min="12" max="12" width="11.7109375" bestFit="1" customWidth="1"/>
    <col min="13" max="15" width="11.7109375" customWidth="1"/>
    <col min="16" max="16" width="14.7109375" customWidth="1"/>
    <col min="17" max="17" width="14.28515625" customWidth="1"/>
    <col min="18" max="18" width="10.42578125" hidden="1" customWidth="1"/>
    <col min="19" max="19" width="12" bestFit="1" customWidth="1"/>
    <col min="20" max="20" width="13" bestFit="1" customWidth="1"/>
  </cols>
  <sheetData>
    <row r="1" spans="1:20" ht="12.95" customHeight="1" x14ac:dyDescent="0.25">
      <c r="A1" s="6"/>
      <c r="B1" s="6"/>
      <c r="C1" s="6"/>
      <c r="D1" s="6"/>
      <c r="E1" s="6" t="s">
        <v>81</v>
      </c>
      <c r="F1" s="214">
        <v>1241030.1599999999</v>
      </c>
      <c r="G1" s="215"/>
      <c r="H1" s="6"/>
      <c r="I1" s="6"/>
      <c r="J1" s="6"/>
      <c r="K1" s="7" t="s">
        <v>82</v>
      </c>
      <c r="L1" s="6"/>
      <c r="M1" s="211">
        <f>P1</f>
        <v>3600000</v>
      </c>
      <c r="N1" s="197"/>
      <c r="O1" s="144"/>
      <c r="P1" s="210">
        <v>3600000</v>
      </c>
      <c r="Q1" s="197"/>
      <c r="R1" s="20"/>
    </row>
    <row r="2" spans="1:20" ht="12.95" customHeight="1" thickBot="1" x14ac:dyDescent="0.3">
      <c r="A2" s="6"/>
      <c r="B2" s="6"/>
      <c r="C2" s="6"/>
      <c r="D2" s="6"/>
      <c r="E2" s="6" t="s">
        <v>83</v>
      </c>
      <c r="F2" s="225">
        <v>561462.80000000005</v>
      </c>
      <c r="G2" s="226"/>
      <c r="H2" s="6" t="s">
        <v>84</v>
      </c>
      <c r="I2" s="212">
        <v>1200000</v>
      </c>
      <c r="J2" s="213"/>
      <c r="K2" s="6" t="s">
        <v>85</v>
      </c>
      <c r="L2" s="6"/>
      <c r="M2" s="212">
        <v>304993.06</v>
      </c>
      <c r="N2" s="213"/>
      <c r="O2" s="146"/>
      <c r="P2" s="221"/>
      <c r="Q2" s="213"/>
    </row>
    <row r="3" spans="1:20" ht="24" customHeight="1" x14ac:dyDescent="0.25">
      <c r="A3" s="216" t="s">
        <v>86</v>
      </c>
      <c r="B3" s="122"/>
      <c r="C3" s="222" t="s">
        <v>87</v>
      </c>
      <c r="D3" s="222" t="s">
        <v>88</v>
      </c>
      <c r="E3" s="228" t="s">
        <v>89</v>
      </c>
      <c r="F3" s="222" t="s">
        <v>90</v>
      </c>
      <c r="G3" s="218" t="s">
        <v>91</v>
      </c>
      <c r="H3" s="222" t="s">
        <v>71</v>
      </c>
      <c r="I3" s="220" t="s">
        <v>92</v>
      </c>
      <c r="J3" s="218" t="s">
        <v>93</v>
      </c>
      <c r="K3" s="227" t="str">
        <f>K2</f>
        <v>Plan de pago metrogas:</v>
      </c>
      <c r="L3" s="218" t="s">
        <v>94</v>
      </c>
      <c r="M3" s="218" t="s">
        <v>95</v>
      </c>
      <c r="N3" s="218" t="s">
        <v>96</v>
      </c>
      <c r="O3" s="218" t="s">
        <v>97</v>
      </c>
      <c r="P3" s="60" t="s">
        <v>98</v>
      </c>
      <c r="Q3" s="224" t="s">
        <v>99</v>
      </c>
      <c r="T3" s="45"/>
    </row>
    <row r="4" spans="1:20" ht="25.5" customHeight="1" x14ac:dyDescent="0.25">
      <c r="A4" s="217"/>
      <c r="B4" s="123"/>
      <c r="C4" s="223"/>
      <c r="D4" s="223"/>
      <c r="E4" s="219"/>
      <c r="F4" s="223"/>
      <c r="G4" s="219"/>
      <c r="H4" s="223"/>
      <c r="I4" s="219"/>
      <c r="J4" s="219"/>
      <c r="K4" s="223"/>
      <c r="L4" s="219"/>
      <c r="M4" s="219"/>
      <c r="N4" s="219"/>
      <c r="O4" s="219"/>
      <c r="P4" s="59" t="str">
        <f>RESUMEN!B8</f>
        <v>VTO 14/07</v>
      </c>
      <c r="Q4" s="223"/>
    </row>
    <row r="5" spans="1:20" ht="17.100000000000001" customHeight="1" x14ac:dyDescent="0.25">
      <c r="A5" s="62"/>
      <c r="B5" s="62" t="s">
        <v>100</v>
      </c>
      <c r="C5" s="62">
        <v>33</v>
      </c>
      <c r="D5" s="62" t="s">
        <v>101</v>
      </c>
      <c r="E5" s="62"/>
      <c r="F5" s="71">
        <v>2.0199999999999999E-2</v>
      </c>
      <c r="G5" s="72">
        <v>154290.32999999999</v>
      </c>
      <c r="H5" s="124">
        <f>158919.33</f>
        <v>158919.32999999999</v>
      </c>
      <c r="I5" s="73">
        <f t="shared" ref="I5:I36" si="0">G5-H5</f>
        <v>-4629</v>
      </c>
      <c r="J5" s="73">
        <f t="shared" ref="J5:J36" si="1">IF(I5&gt;0,I5*3%,0)</f>
        <v>0</v>
      </c>
      <c r="K5" s="74">
        <f t="shared" ref="K5:K36" si="2">M$2*F5</f>
        <v>6160.8598119999997</v>
      </c>
      <c r="L5" s="74">
        <f t="shared" ref="L5:L36" si="3">M$1*F5</f>
        <v>72720</v>
      </c>
      <c r="M5" s="133">
        <f t="shared" ref="M5:M36" si="4">F$1*F5</f>
        <v>25068.809231999996</v>
      </c>
      <c r="N5" s="133">
        <f t="shared" ref="N5:N36" si="5">F$2*F5</f>
        <v>11341.548560000001</v>
      </c>
      <c r="O5" s="133">
        <f t="shared" ref="O5:O36" si="6">I$2*F5</f>
        <v>24240</v>
      </c>
      <c r="P5" s="75">
        <f t="shared" ref="P5:P36" si="7">ROUND(SUM(I5:O5),0) + R5</f>
        <v>134902.32999999999</v>
      </c>
      <c r="Q5" s="76">
        <f t="shared" ref="Q5:Q36" si="8">ROUND(P5*3%,0) + P5</f>
        <v>138949.32999999999</v>
      </c>
      <c r="R5" s="45">
        <f t="shared" ref="R5:R36" si="9">ROUND(0.001+C5/100,2)</f>
        <v>0.33</v>
      </c>
    </row>
    <row r="6" spans="1:20" ht="17.100000000000001" customHeight="1" x14ac:dyDescent="0.25">
      <c r="A6" s="62"/>
      <c r="B6" s="62" t="s">
        <v>102</v>
      </c>
      <c r="C6" s="62">
        <v>34</v>
      </c>
      <c r="D6" s="62" t="s">
        <v>103</v>
      </c>
      <c r="E6" s="63"/>
      <c r="F6" s="71">
        <v>1.3899999999999999E-2</v>
      </c>
      <c r="G6" s="72">
        <v>106170.34</v>
      </c>
      <c r="H6" s="124">
        <f>G6</f>
        <v>106170.34</v>
      </c>
      <c r="I6" s="73">
        <f t="shared" si="0"/>
        <v>0</v>
      </c>
      <c r="J6" s="73">
        <f t="shared" si="1"/>
        <v>0</v>
      </c>
      <c r="K6" s="74">
        <f t="shared" si="2"/>
        <v>4239.403534</v>
      </c>
      <c r="L6" s="74">
        <f t="shared" si="3"/>
        <v>50040</v>
      </c>
      <c r="M6" s="133">
        <f t="shared" si="4"/>
        <v>17250.319223999999</v>
      </c>
      <c r="N6" s="133">
        <f t="shared" si="5"/>
        <v>7804.3329199999998</v>
      </c>
      <c r="O6" s="133">
        <f t="shared" si="6"/>
        <v>16680</v>
      </c>
      <c r="P6" s="75">
        <f t="shared" si="7"/>
        <v>96014.34</v>
      </c>
      <c r="Q6" s="76">
        <f t="shared" si="8"/>
        <v>98894.34</v>
      </c>
      <c r="R6" s="45">
        <f t="shared" si="9"/>
        <v>0.34</v>
      </c>
      <c r="S6" s="45"/>
    </row>
    <row r="7" spans="1:20" ht="17.100000000000001" customHeight="1" x14ac:dyDescent="0.25">
      <c r="A7" s="62">
        <v>1</v>
      </c>
      <c r="B7" s="62" t="s">
        <v>104</v>
      </c>
      <c r="C7" s="62">
        <v>35</v>
      </c>
      <c r="D7" s="148" t="s">
        <v>105</v>
      </c>
      <c r="E7" s="181"/>
      <c r="F7" s="71">
        <v>1.4200000000000001E-2</v>
      </c>
      <c r="G7" s="72">
        <v>203142.35</v>
      </c>
      <c r="H7" s="229">
        <v>108461</v>
      </c>
      <c r="I7" s="73">
        <f t="shared" si="0"/>
        <v>94681.35</v>
      </c>
      <c r="J7" s="73">
        <f t="shared" si="1"/>
        <v>2840.4405000000002</v>
      </c>
      <c r="K7" s="74">
        <f t="shared" si="2"/>
        <v>4330.9014520000001</v>
      </c>
      <c r="L7" s="74">
        <f t="shared" si="3"/>
        <v>51120</v>
      </c>
      <c r="M7" s="133">
        <f t="shared" si="4"/>
        <v>17622.628271999998</v>
      </c>
      <c r="N7" s="133">
        <f t="shared" si="5"/>
        <v>7972.7717600000014</v>
      </c>
      <c r="O7" s="133">
        <f t="shared" si="6"/>
        <v>17040</v>
      </c>
      <c r="P7" s="75">
        <f t="shared" si="7"/>
        <v>195608.35</v>
      </c>
      <c r="Q7" s="76">
        <f t="shared" si="8"/>
        <v>201476.35</v>
      </c>
      <c r="R7" s="45">
        <f t="shared" si="9"/>
        <v>0.35</v>
      </c>
    </row>
    <row r="8" spans="1:20" ht="17.100000000000001" customHeight="1" x14ac:dyDescent="0.25">
      <c r="A8" s="62">
        <v>2</v>
      </c>
      <c r="B8" s="62" t="s">
        <v>106</v>
      </c>
      <c r="C8" s="62">
        <v>36</v>
      </c>
      <c r="D8" s="62" t="s">
        <v>107</v>
      </c>
      <c r="E8" s="63"/>
      <c r="F8" s="71">
        <v>2.0199999999999999E-2</v>
      </c>
      <c r="G8" s="72">
        <v>150347.35999999999</v>
      </c>
      <c r="H8" s="124"/>
      <c r="I8" s="73">
        <f t="shared" si="0"/>
        <v>150347.35999999999</v>
      </c>
      <c r="J8" s="73">
        <f t="shared" si="1"/>
        <v>4510.420799999999</v>
      </c>
      <c r="K8" s="74">
        <f t="shared" si="2"/>
        <v>6160.8598119999997</v>
      </c>
      <c r="L8" s="74">
        <f t="shared" si="3"/>
        <v>72720</v>
      </c>
      <c r="M8" s="133">
        <f t="shared" si="4"/>
        <v>25068.809231999996</v>
      </c>
      <c r="N8" s="133">
        <f t="shared" si="5"/>
        <v>11341.548560000001</v>
      </c>
      <c r="O8" s="133">
        <f t="shared" si="6"/>
        <v>24240</v>
      </c>
      <c r="P8" s="75">
        <f t="shared" si="7"/>
        <v>294389.36</v>
      </c>
      <c r="Q8" s="76">
        <f t="shared" si="8"/>
        <v>303221.36</v>
      </c>
      <c r="R8" s="45">
        <f t="shared" si="9"/>
        <v>0.36</v>
      </c>
      <c r="T8" s="45"/>
    </row>
    <row r="9" spans="1:20" ht="17.100000000000001" customHeight="1" x14ac:dyDescent="0.25">
      <c r="A9" s="62">
        <v>3</v>
      </c>
      <c r="B9" s="62" t="s">
        <v>108</v>
      </c>
      <c r="C9" s="62">
        <v>37</v>
      </c>
      <c r="D9" s="148" t="s">
        <v>109</v>
      </c>
      <c r="E9" s="181" t="s">
        <v>110</v>
      </c>
      <c r="F9" s="71">
        <v>2.0199999999999999E-2</v>
      </c>
      <c r="G9" s="72">
        <v>93012.37</v>
      </c>
      <c r="H9" s="124">
        <f>20200+5300+72812.37-H63</f>
        <v>96784.159999999989</v>
      </c>
      <c r="I9" s="73">
        <f t="shared" si="0"/>
        <v>-3771.7899999999936</v>
      </c>
      <c r="J9" s="73">
        <f t="shared" si="1"/>
        <v>0</v>
      </c>
      <c r="K9" s="74">
        <f t="shared" si="2"/>
        <v>6160.8598119999997</v>
      </c>
      <c r="L9" s="74">
        <f t="shared" si="3"/>
        <v>72720</v>
      </c>
      <c r="M9" s="133">
        <f t="shared" si="4"/>
        <v>25068.809231999996</v>
      </c>
      <c r="N9" s="133">
        <f t="shared" si="5"/>
        <v>11341.548560000001</v>
      </c>
      <c r="O9" s="133">
        <f t="shared" si="6"/>
        <v>24240</v>
      </c>
      <c r="P9" s="75">
        <f t="shared" si="7"/>
        <v>135759.37</v>
      </c>
      <c r="Q9" s="76">
        <f t="shared" si="8"/>
        <v>139832.37</v>
      </c>
      <c r="R9" s="45">
        <f t="shared" si="9"/>
        <v>0.37</v>
      </c>
      <c r="T9" s="45"/>
    </row>
    <row r="10" spans="1:20" ht="17.100000000000001" customHeight="1" x14ac:dyDescent="0.25">
      <c r="A10" s="62">
        <v>4</v>
      </c>
      <c r="B10" s="62" t="s">
        <v>111</v>
      </c>
      <c r="C10" s="62">
        <v>38</v>
      </c>
      <c r="D10" s="148" t="s">
        <v>112</v>
      </c>
      <c r="E10" s="148" t="s">
        <v>113</v>
      </c>
      <c r="F10" s="71">
        <v>1.3899999999999999E-2</v>
      </c>
      <c r="G10" s="72">
        <v>106170.38</v>
      </c>
      <c r="H10" s="124">
        <f>106170.54</f>
        <v>106170.54</v>
      </c>
      <c r="I10" s="73">
        <f t="shared" si="0"/>
        <v>-0.15999999998894054</v>
      </c>
      <c r="J10" s="73">
        <f t="shared" si="1"/>
        <v>0</v>
      </c>
      <c r="K10" s="74">
        <f t="shared" si="2"/>
        <v>4239.403534</v>
      </c>
      <c r="L10" s="74">
        <f t="shared" si="3"/>
        <v>50040</v>
      </c>
      <c r="M10" s="133">
        <f t="shared" si="4"/>
        <v>17250.319223999999</v>
      </c>
      <c r="N10" s="133">
        <f t="shared" si="5"/>
        <v>7804.3329199999998</v>
      </c>
      <c r="O10" s="133">
        <f t="shared" si="6"/>
        <v>16680</v>
      </c>
      <c r="P10" s="75">
        <f t="shared" si="7"/>
        <v>96014.38</v>
      </c>
      <c r="Q10" s="76">
        <f t="shared" si="8"/>
        <v>98894.38</v>
      </c>
      <c r="R10" s="45">
        <f t="shared" si="9"/>
        <v>0.38</v>
      </c>
    </row>
    <row r="11" spans="1:20" ht="17.100000000000001" customHeight="1" x14ac:dyDescent="0.25">
      <c r="A11" s="62">
        <v>5</v>
      </c>
      <c r="B11" s="62" t="s">
        <v>114</v>
      </c>
      <c r="C11" s="62">
        <v>39</v>
      </c>
      <c r="D11" s="148" t="s">
        <v>115</v>
      </c>
      <c r="E11" s="148"/>
      <c r="F11" s="71">
        <v>1.3899999999999999E-2</v>
      </c>
      <c r="G11" s="72">
        <v>106170.39</v>
      </c>
      <c r="H11" s="124">
        <f>95038.42</f>
        <v>95038.42</v>
      </c>
      <c r="I11" s="73">
        <f t="shared" si="0"/>
        <v>11131.970000000001</v>
      </c>
      <c r="J11" s="73">
        <f t="shared" si="1"/>
        <v>333.95910000000003</v>
      </c>
      <c r="K11" s="74">
        <f t="shared" si="2"/>
        <v>4239.403534</v>
      </c>
      <c r="L11" s="74">
        <f t="shared" si="3"/>
        <v>50040</v>
      </c>
      <c r="M11" s="133">
        <f t="shared" si="4"/>
        <v>17250.319223999999</v>
      </c>
      <c r="N11" s="133">
        <f t="shared" si="5"/>
        <v>7804.3329199999998</v>
      </c>
      <c r="O11" s="133">
        <f t="shared" si="6"/>
        <v>16680</v>
      </c>
      <c r="P11" s="75">
        <f t="shared" si="7"/>
        <v>107480.39</v>
      </c>
      <c r="Q11" s="76">
        <f t="shared" si="8"/>
        <v>110704.39</v>
      </c>
      <c r="R11" s="45">
        <f t="shared" si="9"/>
        <v>0.39</v>
      </c>
    </row>
    <row r="12" spans="1:20" ht="17.100000000000001" customHeight="1" x14ac:dyDescent="0.25">
      <c r="A12" s="62">
        <v>6</v>
      </c>
      <c r="B12" s="62" t="s">
        <v>116</v>
      </c>
      <c r="C12" s="62">
        <v>40</v>
      </c>
      <c r="D12" s="148" t="s">
        <v>117</v>
      </c>
      <c r="E12" s="181"/>
      <c r="F12" s="71">
        <v>2.0199999999999999E-2</v>
      </c>
      <c r="G12" s="72">
        <v>149338.4</v>
      </c>
      <c r="H12" s="124">
        <f>31194+164320.44-H78</f>
        <v>155032.4</v>
      </c>
      <c r="I12" s="73">
        <f t="shared" si="0"/>
        <v>-5694</v>
      </c>
      <c r="J12" s="73">
        <f t="shared" si="1"/>
        <v>0</v>
      </c>
      <c r="K12" s="74">
        <f t="shared" si="2"/>
        <v>6160.8598119999997</v>
      </c>
      <c r="L12" s="74">
        <f t="shared" si="3"/>
        <v>72720</v>
      </c>
      <c r="M12" s="133">
        <f t="shared" si="4"/>
        <v>25068.809231999996</v>
      </c>
      <c r="N12" s="133">
        <f t="shared" si="5"/>
        <v>11341.548560000001</v>
      </c>
      <c r="O12" s="133">
        <f t="shared" si="6"/>
        <v>24240</v>
      </c>
      <c r="P12" s="75">
        <f t="shared" si="7"/>
        <v>133837.4</v>
      </c>
      <c r="Q12" s="76">
        <f t="shared" si="8"/>
        <v>137852.4</v>
      </c>
      <c r="R12" s="45">
        <f t="shared" si="9"/>
        <v>0.4</v>
      </c>
    </row>
    <row r="13" spans="1:20" ht="17.100000000000001" customHeight="1" x14ac:dyDescent="0.25">
      <c r="A13" s="62">
        <v>7</v>
      </c>
      <c r="B13" s="62" t="s">
        <v>118</v>
      </c>
      <c r="C13" s="62">
        <v>41</v>
      </c>
      <c r="D13" s="148" t="s">
        <v>119</v>
      </c>
      <c r="E13" s="181" t="s">
        <v>120</v>
      </c>
      <c r="F13" s="71">
        <v>2.0199999999999999E-2</v>
      </c>
      <c r="G13" s="72">
        <v>154290.41</v>
      </c>
      <c r="H13" s="124">
        <f>134090</f>
        <v>134090</v>
      </c>
      <c r="I13" s="73">
        <f t="shared" si="0"/>
        <v>20200.410000000003</v>
      </c>
      <c r="J13" s="73">
        <f t="shared" si="1"/>
        <v>606.0123000000001</v>
      </c>
      <c r="K13" s="74">
        <f t="shared" si="2"/>
        <v>6160.8598119999997</v>
      </c>
      <c r="L13" s="74">
        <f t="shared" si="3"/>
        <v>72720</v>
      </c>
      <c r="M13" s="133">
        <f t="shared" si="4"/>
        <v>25068.809231999996</v>
      </c>
      <c r="N13" s="133">
        <f t="shared" si="5"/>
        <v>11341.548560000001</v>
      </c>
      <c r="O13" s="133">
        <f t="shared" si="6"/>
        <v>24240</v>
      </c>
      <c r="P13" s="75">
        <f t="shared" si="7"/>
        <v>160338.41</v>
      </c>
      <c r="Q13" s="76">
        <f t="shared" si="8"/>
        <v>165148.41</v>
      </c>
      <c r="R13" s="45">
        <f t="shared" si="9"/>
        <v>0.41</v>
      </c>
    </row>
    <row r="14" spans="1:20" ht="17.100000000000001" customHeight="1" x14ac:dyDescent="0.25">
      <c r="A14" s="62">
        <v>8</v>
      </c>
      <c r="B14" s="62" t="s">
        <v>121</v>
      </c>
      <c r="C14" s="62">
        <v>42</v>
      </c>
      <c r="D14" s="62" t="s">
        <v>122</v>
      </c>
      <c r="E14" s="62" t="s">
        <v>123</v>
      </c>
      <c r="F14" s="71">
        <v>1.3899999999999999E-2</v>
      </c>
      <c r="G14" s="72">
        <v>106170.42</v>
      </c>
      <c r="H14" s="124">
        <f>G14</f>
        <v>106170.42</v>
      </c>
      <c r="I14" s="73">
        <f t="shared" si="0"/>
        <v>0</v>
      </c>
      <c r="J14" s="73">
        <f t="shared" si="1"/>
        <v>0</v>
      </c>
      <c r="K14" s="74">
        <f t="shared" si="2"/>
        <v>4239.403534</v>
      </c>
      <c r="L14" s="74">
        <f t="shared" si="3"/>
        <v>50040</v>
      </c>
      <c r="M14" s="133">
        <f t="shared" si="4"/>
        <v>17250.319223999999</v>
      </c>
      <c r="N14" s="133">
        <f t="shared" si="5"/>
        <v>7804.3329199999998</v>
      </c>
      <c r="O14" s="133">
        <f t="shared" si="6"/>
        <v>16680</v>
      </c>
      <c r="P14" s="75">
        <f t="shared" si="7"/>
        <v>96014.42</v>
      </c>
      <c r="Q14" s="76">
        <f t="shared" si="8"/>
        <v>98894.42</v>
      </c>
      <c r="R14" s="45">
        <f t="shared" si="9"/>
        <v>0.42</v>
      </c>
    </row>
    <row r="15" spans="1:20" ht="17.100000000000001" customHeight="1" x14ac:dyDescent="0.25">
      <c r="A15" s="62">
        <v>1</v>
      </c>
      <c r="B15" s="62" t="s">
        <v>124</v>
      </c>
      <c r="C15" s="62">
        <v>43</v>
      </c>
      <c r="D15" s="62" t="s">
        <v>122</v>
      </c>
      <c r="E15" s="62" t="s">
        <v>125</v>
      </c>
      <c r="F15" s="71">
        <v>1.3899999999999999E-2</v>
      </c>
      <c r="G15" s="72">
        <v>198850.43</v>
      </c>
      <c r="H15" s="124">
        <f>G15</f>
        <v>198850.43</v>
      </c>
      <c r="I15" s="73">
        <f t="shared" si="0"/>
        <v>0</v>
      </c>
      <c r="J15" s="73">
        <f t="shared" si="1"/>
        <v>0</v>
      </c>
      <c r="K15" s="74">
        <f t="shared" si="2"/>
        <v>4239.403534</v>
      </c>
      <c r="L15" s="74">
        <f t="shared" si="3"/>
        <v>50040</v>
      </c>
      <c r="M15" s="133">
        <f t="shared" si="4"/>
        <v>17250.319223999999</v>
      </c>
      <c r="N15" s="133">
        <f t="shared" si="5"/>
        <v>7804.3329199999998</v>
      </c>
      <c r="O15" s="133">
        <f t="shared" si="6"/>
        <v>16680</v>
      </c>
      <c r="P15" s="75">
        <f t="shared" si="7"/>
        <v>96014.43</v>
      </c>
      <c r="Q15" s="76">
        <f t="shared" si="8"/>
        <v>98894.43</v>
      </c>
      <c r="R15" s="45">
        <f t="shared" si="9"/>
        <v>0.43</v>
      </c>
    </row>
    <row r="16" spans="1:20" ht="17.100000000000001" customHeight="1" x14ac:dyDescent="0.25">
      <c r="A16" s="62">
        <v>1</v>
      </c>
      <c r="B16" s="62" t="s">
        <v>126</v>
      </c>
      <c r="C16" s="62">
        <v>44</v>
      </c>
      <c r="D16" s="62" t="s">
        <v>127</v>
      </c>
      <c r="E16" s="63" t="s">
        <v>128</v>
      </c>
      <c r="F16" s="71">
        <v>2.0199999999999999E-2</v>
      </c>
      <c r="G16" s="72">
        <v>149367.44</v>
      </c>
      <c r="H16" s="124">
        <f>153848.44</f>
        <v>153848.44</v>
      </c>
      <c r="I16" s="73">
        <f t="shared" si="0"/>
        <v>-4481</v>
      </c>
      <c r="J16" s="73">
        <f t="shared" si="1"/>
        <v>0</v>
      </c>
      <c r="K16" s="74">
        <f t="shared" si="2"/>
        <v>6160.8598119999997</v>
      </c>
      <c r="L16" s="74">
        <f t="shared" si="3"/>
        <v>72720</v>
      </c>
      <c r="M16" s="133">
        <f t="shared" si="4"/>
        <v>25068.809231999996</v>
      </c>
      <c r="N16" s="133">
        <f t="shared" si="5"/>
        <v>11341.548560000001</v>
      </c>
      <c r="O16" s="133">
        <f t="shared" si="6"/>
        <v>24240</v>
      </c>
      <c r="P16" s="75">
        <f t="shared" si="7"/>
        <v>135050.44</v>
      </c>
      <c r="Q16" s="76">
        <f t="shared" si="8"/>
        <v>139102.44</v>
      </c>
      <c r="R16" s="45">
        <f t="shared" si="9"/>
        <v>0.44</v>
      </c>
    </row>
    <row r="17" spans="1:20" ht="17.100000000000001" customHeight="1" x14ac:dyDescent="0.25">
      <c r="A17" s="62">
        <v>2</v>
      </c>
      <c r="B17" s="62" t="s">
        <v>129</v>
      </c>
      <c r="C17" s="62">
        <v>45</v>
      </c>
      <c r="D17" s="148" t="s">
        <v>122</v>
      </c>
      <c r="E17" s="181" t="s">
        <v>130</v>
      </c>
      <c r="F17" s="71">
        <v>2.0199999999999999E-2</v>
      </c>
      <c r="G17" s="72">
        <v>154290.45000000001</v>
      </c>
      <c r="H17" s="124">
        <f>134090.45+20200</f>
        <v>154290.45000000001</v>
      </c>
      <c r="I17" s="73">
        <f t="shared" si="0"/>
        <v>0</v>
      </c>
      <c r="J17" s="73">
        <f t="shared" si="1"/>
        <v>0</v>
      </c>
      <c r="K17" s="74">
        <f t="shared" si="2"/>
        <v>6160.8598119999997</v>
      </c>
      <c r="L17" s="74">
        <f t="shared" si="3"/>
        <v>72720</v>
      </c>
      <c r="M17" s="133">
        <f t="shared" si="4"/>
        <v>25068.809231999996</v>
      </c>
      <c r="N17" s="133">
        <f t="shared" si="5"/>
        <v>11341.548560000001</v>
      </c>
      <c r="O17" s="133">
        <f t="shared" si="6"/>
        <v>24240</v>
      </c>
      <c r="P17" s="75">
        <f t="shared" si="7"/>
        <v>139531.45000000001</v>
      </c>
      <c r="Q17" s="76">
        <f t="shared" si="8"/>
        <v>143717.45000000001</v>
      </c>
      <c r="R17" s="45">
        <f t="shared" si="9"/>
        <v>0.45</v>
      </c>
    </row>
    <row r="18" spans="1:20" ht="17.100000000000001" customHeight="1" x14ac:dyDescent="0.25">
      <c r="A18" s="62">
        <v>2</v>
      </c>
      <c r="B18" s="62" t="s">
        <v>131</v>
      </c>
      <c r="C18" s="62">
        <v>46</v>
      </c>
      <c r="D18" s="62" t="s">
        <v>122</v>
      </c>
      <c r="E18" s="62" t="s">
        <v>132</v>
      </c>
      <c r="F18" s="71">
        <v>1.3899999999999999E-2</v>
      </c>
      <c r="G18" s="72">
        <v>106170.46</v>
      </c>
      <c r="H18" s="124">
        <f>92270.46+13900+3185</f>
        <v>109355.46</v>
      </c>
      <c r="I18" s="73">
        <f t="shared" si="0"/>
        <v>-3185</v>
      </c>
      <c r="J18" s="73">
        <f t="shared" si="1"/>
        <v>0</v>
      </c>
      <c r="K18" s="74">
        <f t="shared" si="2"/>
        <v>4239.403534</v>
      </c>
      <c r="L18" s="74">
        <f t="shared" si="3"/>
        <v>50040</v>
      </c>
      <c r="M18" s="133">
        <f t="shared" si="4"/>
        <v>17250.319223999999</v>
      </c>
      <c r="N18" s="133">
        <f t="shared" si="5"/>
        <v>7804.3329199999998</v>
      </c>
      <c r="O18" s="133">
        <f t="shared" si="6"/>
        <v>16680</v>
      </c>
      <c r="P18" s="75">
        <f t="shared" si="7"/>
        <v>92829.46</v>
      </c>
      <c r="Q18" s="76">
        <f t="shared" si="8"/>
        <v>95614.46</v>
      </c>
      <c r="R18" s="45">
        <f t="shared" si="9"/>
        <v>0.46</v>
      </c>
    </row>
    <row r="19" spans="1:20" ht="17.100000000000001" customHeight="1" x14ac:dyDescent="0.25">
      <c r="A19" s="62">
        <v>3</v>
      </c>
      <c r="B19" s="62" t="s">
        <v>133</v>
      </c>
      <c r="C19" s="62">
        <v>47</v>
      </c>
      <c r="D19" s="62" t="s">
        <v>122</v>
      </c>
      <c r="E19" s="63" t="s">
        <v>134</v>
      </c>
      <c r="F19" s="71">
        <v>1.3899999999999999E-2</v>
      </c>
      <c r="G19" s="72">
        <v>67614.47</v>
      </c>
      <c r="H19" s="124">
        <v>27614.47</v>
      </c>
      <c r="I19" s="73">
        <f t="shared" si="0"/>
        <v>40000</v>
      </c>
      <c r="J19" s="73">
        <f t="shared" si="1"/>
        <v>1200</v>
      </c>
      <c r="K19" s="74">
        <f t="shared" si="2"/>
        <v>4239.403534</v>
      </c>
      <c r="L19" s="74">
        <f t="shared" si="3"/>
        <v>50040</v>
      </c>
      <c r="M19" s="133">
        <f t="shared" si="4"/>
        <v>17250.319223999999</v>
      </c>
      <c r="N19" s="133">
        <f t="shared" si="5"/>
        <v>7804.3329199999998</v>
      </c>
      <c r="O19" s="133">
        <f t="shared" si="6"/>
        <v>16680</v>
      </c>
      <c r="P19" s="75">
        <f t="shared" si="7"/>
        <v>137214.47</v>
      </c>
      <c r="Q19" s="76">
        <f t="shared" si="8"/>
        <v>141330.47</v>
      </c>
      <c r="R19" s="45">
        <f t="shared" si="9"/>
        <v>0.47</v>
      </c>
      <c r="S19" s="49" t="s">
        <v>135</v>
      </c>
    </row>
    <row r="20" spans="1:20" ht="17.100000000000001" customHeight="1" x14ac:dyDescent="0.25">
      <c r="A20" s="62">
        <v>3</v>
      </c>
      <c r="B20" s="62" t="s">
        <v>136</v>
      </c>
      <c r="C20" s="62">
        <v>48</v>
      </c>
      <c r="D20" s="62" t="s">
        <v>137</v>
      </c>
      <c r="E20" s="62" t="s">
        <v>138</v>
      </c>
      <c r="F20" s="71">
        <v>2.0199999999999999E-2</v>
      </c>
      <c r="G20" s="72">
        <v>154290.48000000001</v>
      </c>
      <c r="H20" s="124">
        <f>194772.48-H89</f>
        <v>154290.33000000002</v>
      </c>
      <c r="I20" s="73">
        <f t="shared" si="0"/>
        <v>0.14999999999417923</v>
      </c>
      <c r="J20" s="73">
        <f t="shared" si="1"/>
        <v>4.4999999998253772E-3</v>
      </c>
      <c r="K20" s="74">
        <f t="shared" si="2"/>
        <v>6160.8598119999997</v>
      </c>
      <c r="L20" s="74">
        <f t="shared" si="3"/>
        <v>72720</v>
      </c>
      <c r="M20" s="133">
        <f t="shared" si="4"/>
        <v>25068.809231999996</v>
      </c>
      <c r="N20" s="133">
        <f t="shared" si="5"/>
        <v>11341.548560000001</v>
      </c>
      <c r="O20" s="133">
        <f t="shared" si="6"/>
        <v>24240</v>
      </c>
      <c r="P20" s="75">
        <f t="shared" si="7"/>
        <v>139531.48000000001</v>
      </c>
      <c r="Q20" s="76">
        <f t="shared" si="8"/>
        <v>143717.48000000001</v>
      </c>
      <c r="R20" s="45">
        <f t="shared" si="9"/>
        <v>0.48</v>
      </c>
      <c r="S20" s="49" t="s">
        <v>139</v>
      </c>
      <c r="T20" s="44"/>
    </row>
    <row r="21" spans="1:20" ht="17.100000000000001" customHeight="1" x14ac:dyDescent="0.25">
      <c r="A21" s="62">
        <v>4</v>
      </c>
      <c r="B21" s="62" t="s">
        <v>140</v>
      </c>
      <c r="C21" s="62">
        <v>49</v>
      </c>
      <c r="D21" s="62" t="s">
        <v>122</v>
      </c>
      <c r="E21" s="63" t="s">
        <v>141</v>
      </c>
      <c r="F21" s="71">
        <v>2.0199999999999999E-2</v>
      </c>
      <c r="G21" s="72">
        <v>154290.49</v>
      </c>
      <c r="H21" s="124">
        <f>G21</f>
        <v>154290.49</v>
      </c>
      <c r="I21" s="73">
        <f t="shared" si="0"/>
        <v>0</v>
      </c>
      <c r="J21" s="73">
        <f t="shared" si="1"/>
        <v>0</v>
      </c>
      <c r="K21" s="74">
        <f t="shared" si="2"/>
        <v>6160.8598119999997</v>
      </c>
      <c r="L21" s="74">
        <f t="shared" si="3"/>
        <v>72720</v>
      </c>
      <c r="M21" s="133">
        <f t="shared" si="4"/>
        <v>25068.809231999996</v>
      </c>
      <c r="N21" s="133">
        <f t="shared" si="5"/>
        <v>11341.548560000001</v>
      </c>
      <c r="O21" s="133">
        <f t="shared" si="6"/>
        <v>24240</v>
      </c>
      <c r="P21" s="75">
        <f t="shared" si="7"/>
        <v>139531.49</v>
      </c>
      <c r="Q21" s="76">
        <f t="shared" si="8"/>
        <v>143717.49</v>
      </c>
      <c r="R21" s="45">
        <f t="shared" si="9"/>
        <v>0.49</v>
      </c>
    </row>
    <row r="22" spans="1:20" ht="17.100000000000001" customHeight="1" x14ac:dyDescent="0.25">
      <c r="A22" s="62">
        <v>4</v>
      </c>
      <c r="B22" s="62" t="s">
        <v>142</v>
      </c>
      <c r="C22" s="62">
        <v>50</v>
      </c>
      <c r="D22" s="62" t="s">
        <v>122</v>
      </c>
      <c r="E22" s="129"/>
      <c r="F22" s="71">
        <v>1.3899999999999999E-2</v>
      </c>
      <c r="G22" s="72">
        <v>341684.5</v>
      </c>
      <c r="H22" s="124"/>
      <c r="I22" s="73">
        <f t="shared" si="0"/>
        <v>341684.5</v>
      </c>
      <c r="J22" s="73">
        <f t="shared" si="1"/>
        <v>10250.535</v>
      </c>
      <c r="K22" s="74">
        <f t="shared" si="2"/>
        <v>4239.403534</v>
      </c>
      <c r="L22" s="74">
        <f t="shared" si="3"/>
        <v>50040</v>
      </c>
      <c r="M22" s="133">
        <f t="shared" si="4"/>
        <v>17250.319223999999</v>
      </c>
      <c r="N22" s="133">
        <f t="shared" si="5"/>
        <v>7804.3329199999998</v>
      </c>
      <c r="O22" s="133">
        <f t="shared" si="6"/>
        <v>16680</v>
      </c>
      <c r="P22" s="75">
        <f t="shared" si="7"/>
        <v>447949.5</v>
      </c>
      <c r="Q22" s="76">
        <f t="shared" si="8"/>
        <v>461387.5</v>
      </c>
      <c r="R22" s="45">
        <f t="shared" si="9"/>
        <v>0.5</v>
      </c>
    </row>
    <row r="23" spans="1:20" ht="17.100000000000001" customHeight="1" x14ac:dyDescent="0.25">
      <c r="A23" s="62">
        <v>5</v>
      </c>
      <c r="B23" s="62" t="s">
        <v>143</v>
      </c>
      <c r="C23" s="62">
        <v>51</v>
      </c>
      <c r="D23" s="62" t="s">
        <v>122</v>
      </c>
      <c r="E23" s="63" t="s">
        <v>144</v>
      </c>
      <c r="F23" s="71">
        <v>1.3899999999999999E-2</v>
      </c>
      <c r="G23" s="72">
        <v>172203.51</v>
      </c>
      <c r="H23" s="124"/>
      <c r="I23" s="73">
        <f t="shared" si="0"/>
        <v>172203.51</v>
      </c>
      <c r="J23" s="73">
        <f t="shared" si="1"/>
        <v>5166.1053000000002</v>
      </c>
      <c r="K23" s="74">
        <f t="shared" si="2"/>
        <v>4239.403534</v>
      </c>
      <c r="L23" s="74">
        <f t="shared" si="3"/>
        <v>50040</v>
      </c>
      <c r="M23" s="133">
        <f t="shared" si="4"/>
        <v>17250.319223999999</v>
      </c>
      <c r="N23" s="133">
        <f t="shared" si="5"/>
        <v>7804.3329199999998</v>
      </c>
      <c r="O23" s="133">
        <f t="shared" si="6"/>
        <v>16680</v>
      </c>
      <c r="P23" s="75">
        <f t="shared" si="7"/>
        <v>273384.51</v>
      </c>
      <c r="Q23" s="76">
        <f t="shared" si="8"/>
        <v>281586.51</v>
      </c>
      <c r="R23" s="45">
        <f t="shared" si="9"/>
        <v>0.51</v>
      </c>
    </row>
    <row r="24" spans="1:20" ht="17.100000000000001" customHeight="1" x14ac:dyDescent="0.25">
      <c r="A24" s="62">
        <v>5</v>
      </c>
      <c r="B24" s="62" t="s">
        <v>145</v>
      </c>
      <c r="C24" s="62">
        <v>52</v>
      </c>
      <c r="D24" s="148" t="s">
        <v>146</v>
      </c>
      <c r="E24" s="148" t="s">
        <v>147</v>
      </c>
      <c r="F24" s="71">
        <v>2.0199999999999999E-2</v>
      </c>
      <c r="G24" s="72">
        <v>154290.51999999999</v>
      </c>
      <c r="H24" s="124">
        <f>20200+150290.52+40482.12-G86</f>
        <v>170490.52</v>
      </c>
      <c r="I24" s="89">
        <f t="shared" si="0"/>
        <v>-16200</v>
      </c>
      <c r="J24" s="73">
        <f t="shared" si="1"/>
        <v>0</v>
      </c>
      <c r="K24" s="74">
        <f t="shared" si="2"/>
        <v>6160.8598119999997</v>
      </c>
      <c r="L24" s="74">
        <f t="shared" si="3"/>
        <v>72720</v>
      </c>
      <c r="M24" s="133">
        <f t="shared" si="4"/>
        <v>25068.809231999996</v>
      </c>
      <c r="N24" s="133">
        <f t="shared" si="5"/>
        <v>11341.548560000001</v>
      </c>
      <c r="O24" s="133">
        <f t="shared" si="6"/>
        <v>24240</v>
      </c>
      <c r="P24" s="75">
        <f t="shared" si="7"/>
        <v>123331.52</v>
      </c>
      <c r="Q24" s="76">
        <f t="shared" si="8"/>
        <v>127031.52</v>
      </c>
      <c r="R24" s="45">
        <f t="shared" si="9"/>
        <v>0.52</v>
      </c>
    </row>
    <row r="25" spans="1:20" ht="17.100000000000001" customHeight="1" x14ac:dyDescent="0.25">
      <c r="A25" s="62">
        <v>6</v>
      </c>
      <c r="B25" s="62" t="s">
        <v>148</v>
      </c>
      <c r="C25" s="62">
        <v>53</v>
      </c>
      <c r="D25" s="62" t="s">
        <v>149</v>
      </c>
      <c r="E25" s="63"/>
      <c r="F25" s="71">
        <v>2.0199999999999999E-2</v>
      </c>
      <c r="G25" s="72">
        <v>120367.53</v>
      </c>
      <c r="H25" s="124">
        <v>123198.53</v>
      </c>
      <c r="I25" s="73">
        <f t="shared" si="0"/>
        <v>-2831</v>
      </c>
      <c r="J25" s="73">
        <f t="shared" si="1"/>
        <v>0</v>
      </c>
      <c r="K25" s="74">
        <f t="shared" si="2"/>
        <v>6160.8598119999997</v>
      </c>
      <c r="L25" s="74">
        <f t="shared" si="3"/>
        <v>72720</v>
      </c>
      <c r="M25" s="133">
        <f t="shared" si="4"/>
        <v>25068.809231999996</v>
      </c>
      <c r="N25" s="133">
        <f t="shared" si="5"/>
        <v>11341.548560000001</v>
      </c>
      <c r="O25" s="133">
        <f t="shared" si="6"/>
        <v>24240</v>
      </c>
      <c r="P25" s="75">
        <f t="shared" si="7"/>
        <v>136700.53</v>
      </c>
      <c r="Q25" s="76">
        <f t="shared" si="8"/>
        <v>140801.53</v>
      </c>
      <c r="R25" s="45">
        <f t="shared" si="9"/>
        <v>0.53</v>
      </c>
    </row>
    <row r="26" spans="1:20" ht="17.100000000000001" customHeight="1" x14ac:dyDescent="0.25">
      <c r="A26" s="62">
        <v>6</v>
      </c>
      <c r="B26" s="62" t="s">
        <v>150</v>
      </c>
      <c r="C26" s="62">
        <v>54</v>
      </c>
      <c r="D26" s="62" t="s">
        <v>122</v>
      </c>
      <c r="E26" s="63" t="s">
        <v>151</v>
      </c>
      <c r="F26" s="71">
        <v>1.3899999999999999E-2</v>
      </c>
      <c r="G26" s="72">
        <v>106170.54</v>
      </c>
      <c r="H26" s="124">
        <f>G26</f>
        <v>106170.54</v>
      </c>
      <c r="I26" s="73">
        <f t="shared" si="0"/>
        <v>0</v>
      </c>
      <c r="J26" s="73">
        <f t="shared" si="1"/>
        <v>0</v>
      </c>
      <c r="K26" s="74">
        <f t="shared" si="2"/>
        <v>4239.403534</v>
      </c>
      <c r="L26" s="74">
        <f t="shared" si="3"/>
        <v>50040</v>
      </c>
      <c r="M26" s="133">
        <f t="shared" si="4"/>
        <v>17250.319223999999</v>
      </c>
      <c r="N26" s="133">
        <f t="shared" si="5"/>
        <v>7804.3329199999998</v>
      </c>
      <c r="O26" s="133">
        <f t="shared" si="6"/>
        <v>16680</v>
      </c>
      <c r="P26" s="75">
        <f t="shared" si="7"/>
        <v>96014.54</v>
      </c>
      <c r="Q26" s="76">
        <f t="shared" si="8"/>
        <v>98894.54</v>
      </c>
      <c r="R26" s="45">
        <f t="shared" si="9"/>
        <v>0.54</v>
      </c>
    </row>
    <row r="27" spans="1:20" ht="17.100000000000001" customHeight="1" x14ac:dyDescent="0.25">
      <c r="A27" s="62">
        <v>7</v>
      </c>
      <c r="B27" s="62" t="s">
        <v>152</v>
      </c>
      <c r="C27" s="62">
        <v>55</v>
      </c>
      <c r="D27" s="62" t="s">
        <v>153</v>
      </c>
      <c r="E27" s="63" t="s">
        <v>154</v>
      </c>
      <c r="F27" s="71">
        <v>1.3899999999999999E-2</v>
      </c>
      <c r="G27" s="72">
        <v>106171.55</v>
      </c>
      <c r="H27" s="124">
        <f>95039.55</f>
        <v>95039.55</v>
      </c>
      <c r="I27" s="73">
        <f t="shared" si="0"/>
        <v>11132</v>
      </c>
      <c r="J27" s="73">
        <f t="shared" si="1"/>
        <v>333.96</v>
      </c>
      <c r="K27" s="74">
        <f t="shared" si="2"/>
        <v>4239.403534</v>
      </c>
      <c r="L27" s="74">
        <f t="shared" si="3"/>
        <v>50040</v>
      </c>
      <c r="M27" s="133">
        <f t="shared" si="4"/>
        <v>17250.319223999999</v>
      </c>
      <c r="N27" s="133">
        <f t="shared" si="5"/>
        <v>7804.3329199999998</v>
      </c>
      <c r="O27" s="133">
        <f t="shared" si="6"/>
        <v>16680</v>
      </c>
      <c r="P27" s="75">
        <f t="shared" si="7"/>
        <v>107480.55</v>
      </c>
      <c r="Q27" s="76">
        <f t="shared" si="8"/>
        <v>110704.55</v>
      </c>
      <c r="R27" s="45">
        <f t="shared" si="9"/>
        <v>0.55000000000000004</v>
      </c>
    </row>
    <row r="28" spans="1:20" ht="17.100000000000001" customHeight="1" x14ac:dyDescent="0.25">
      <c r="A28" s="62">
        <v>7</v>
      </c>
      <c r="B28" s="62" t="s">
        <v>155</v>
      </c>
      <c r="C28" s="62">
        <v>56</v>
      </c>
      <c r="D28" s="148" t="s">
        <v>156</v>
      </c>
      <c r="E28" s="181" t="s">
        <v>157</v>
      </c>
      <c r="F28" s="71">
        <v>2.0199999999999999E-2</v>
      </c>
      <c r="G28" s="72">
        <v>237024.56</v>
      </c>
      <c r="H28" s="124">
        <f>20200.56+200.56+220309-H65</f>
        <v>239181.88999999998</v>
      </c>
      <c r="I28" s="73">
        <f t="shared" si="0"/>
        <v>-2157.3299999999872</v>
      </c>
      <c r="J28" s="73">
        <f t="shared" si="1"/>
        <v>0</v>
      </c>
      <c r="K28" s="74">
        <f t="shared" si="2"/>
        <v>6160.8598119999997</v>
      </c>
      <c r="L28" s="74">
        <f t="shared" si="3"/>
        <v>72720</v>
      </c>
      <c r="M28" s="133">
        <f t="shared" si="4"/>
        <v>25068.809231999996</v>
      </c>
      <c r="N28" s="133">
        <f t="shared" si="5"/>
        <v>11341.548560000001</v>
      </c>
      <c r="O28" s="133">
        <f t="shared" si="6"/>
        <v>24240</v>
      </c>
      <c r="P28" s="75">
        <f t="shared" si="7"/>
        <v>137374.56</v>
      </c>
      <c r="Q28" s="76">
        <f t="shared" si="8"/>
        <v>141495.56</v>
      </c>
      <c r="R28" s="45">
        <f t="shared" si="9"/>
        <v>0.56000000000000005</v>
      </c>
    </row>
    <row r="29" spans="1:20" ht="17.100000000000001" customHeight="1" x14ac:dyDescent="0.25">
      <c r="A29" s="62">
        <v>8</v>
      </c>
      <c r="B29" s="62" t="s">
        <v>158</v>
      </c>
      <c r="C29" s="62">
        <v>57</v>
      </c>
      <c r="D29" s="62" t="s">
        <v>159</v>
      </c>
      <c r="E29" s="62"/>
      <c r="F29" s="71">
        <v>2.0199999999999999E-2</v>
      </c>
      <c r="G29" s="72">
        <v>154290.57</v>
      </c>
      <c r="H29" s="124">
        <f>G29</f>
        <v>154290.57</v>
      </c>
      <c r="I29" s="73">
        <f t="shared" si="0"/>
        <v>0</v>
      </c>
      <c r="J29" s="73">
        <f t="shared" si="1"/>
        <v>0</v>
      </c>
      <c r="K29" s="74">
        <f t="shared" si="2"/>
        <v>6160.8598119999997</v>
      </c>
      <c r="L29" s="74">
        <f t="shared" si="3"/>
        <v>72720</v>
      </c>
      <c r="M29" s="133">
        <f t="shared" si="4"/>
        <v>25068.809231999996</v>
      </c>
      <c r="N29" s="133">
        <f t="shared" si="5"/>
        <v>11341.548560000001</v>
      </c>
      <c r="O29" s="133">
        <f t="shared" si="6"/>
        <v>24240</v>
      </c>
      <c r="P29" s="75">
        <f t="shared" si="7"/>
        <v>139531.57</v>
      </c>
      <c r="Q29" s="76">
        <f t="shared" si="8"/>
        <v>143717.57</v>
      </c>
      <c r="R29" s="45">
        <f t="shared" si="9"/>
        <v>0.56999999999999995</v>
      </c>
    </row>
    <row r="30" spans="1:20" ht="17.100000000000001" customHeight="1" x14ac:dyDescent="0.25">
      <c r="A30" s="62">
        <v>8</v>
      </c>
      <c r="B30" s="62" t="s">
        <v>160</v>
      </c>
      <c r="C30" s="62">
        <v>58</v>
      </c>
      <c r="D30" s="62" t="s">
        <v>161</v>
      </c>
      <c r="E30" s="62" t="s">
        <v>162</v>
      </c>
      <c r="F30" s="71">
        <v>1.3899999999999999E-2</v>
      </c>
      <c r="G30" s="72">
        <v>106170.58</v>
      </c>
      <c r="H30" s="124">
        <f>13900.58+92270.58</f>
        <v>106171.16</v>
      </c>
      <c r="I30" s="73">
        <f t="shared" si="0"/>
        <v>-0.58000000000174623</v>
      </c>
      <c r="J30" s="73">
        <f t="shared" si="1"/>
        <v>0</v>
      </c>
      <c r="K30" s="74">
        <f t="shared" si="2"/>
        <v>4239.403534</v>
      </c>
      <c r="L30" s="74">
        <f t="shared" si="3"/>
        <v>50040</v>
      </c>
      <c r="M30" s="133">
        <f t="shared" si="4"/>
        <v>17250.319223999999</v>
      </c>
      <c r="N30" s="133">
        <f t="shared" si="5"/>
        <v>7804.3329199999998</v>
      </c>
      <c r="O30" s="133">
        <f t="shared" si="6"/>
        <v>16680</v>
      </c>
      <c r="P30" s="75">
        <f t="shared" si="7"/>
        <v>96013.58</v>
      </c>
      <c r="Q30" s="76">
        <f t="shared" si="8"/>
        <v>98893.58</v>
      </c>
      <c r="R30" s="45">
        <f t="shared" si="9"/>
        <v>0.57999999999999996</v>
      </c>
    </row>
    <row r="31" spans="1:20" ht="17.100000000000001" customHeight="1" x14ac:dyDescent="0.25">
      <c r="A31" s="62">
        <v>9</v>
      </c>
      <c r="B31" s="62" t="s">
        <v>163</v>
      </c>
      <c r="C31" s="62">
        <v>59</v>
      </c>
      <c r="D31" s="62" t="s">
        <v>164</v>
      </c>
      <c r="E31" s="63"/>
      <c r="F31" s="71">
        <v>1.3899999999999999E-2</v>
      </c>
      <c r="G31" s="72">
        <v>205309.59</v>
      </c>
      <c r="H31" s="124">
        <f>205309.59</f>
        <v>205309.59</v>
      </c>
      <c r="I31" s="73">
        <f t="shared" si="0"/>
        <v>0</v>
      </c>
      <c r="J31" s="73">
        <f t="shared" si="1"/>
        <v>0</v>
      </c>
      <c r="K31" s="74">
        <f t="shared" si="2"/>
        <v>4239.403534</v>
      </c>
      <c r="L31" s="74">
        <f t="shared" si="3"/>
        <v>50040</v>
      </c>
      <c r="M31" s="133">
        <f t="shared" si="4"/>
        <v>17250.319223999999</v>
      </c>
      <c r="N31" s="133">
        <f t="shared" si="5"/>
        <v>7804.3329199999998</v>
      </c>
      <c r="O31" s="133">
        <f t="shared" si="6"/>
        <v>16680</v>
      </c>
      <c r="P31" s="75">
        <f t="shared" si="7"/>
        <v>96014.59</v>
      </c>
      <c r="Q31" s="76">
        <f t="shared" si="8"/>
        <v>98894.59</v>
      </c>
      <c r="R31" s="45">
        <f t="shared" si="9"/>
        <v>0.59</v>
      </c>
    </row>
    <row r="32" spans="1:20" ht="17.100000000000001" customHeight="1" x14ac:dyDescent="0.25">
      <c r="A32" s="62">
        <v>9</v>
      </c>
      <c r="B32" s="62" t="s">
        <v>165</v>
      </c>
      <c r="C32" s="62">
        <v>60</v>
      </c>
      <c r="D32" s="148" t="s">
        <v>166</v>
      </c>
      <c r="E32" s="148" t="s">
        <v>167</v>
      </c>
      <c r="F32" s="71">
        <v>2.0199999999999999E-2</v>
      </c>
      <c r="G32" s="72">
        <v>154878.6</v>
      </c>
      <c r="H32" s="124">
        <v>154879</v>
      </c>
      <c r="I32" s="73">
        <f t="shared" si="0"/>
        <v>-0.39999999999417923</v>
      </c>
      <c r="J32" s="73">
        <f t="shared" si="1"/>
        <v>0</v>
      </c>
      <c r="K32" s="74">
        <f t="shared" si="2"/>
        <v>6160.8598119999997</v>
      </c>
      <c r="L32" s="74">
        <f t="shared" si="3"/>
        <v>72720</v>
      </c>
      <c r="M32" s="133">
        <f t="shared" si="4"/>
        <v>25068.809231999996</v>
      </c>
      <c r="N32" s="133">
        <f t="shared" si="5"/>
        <v>11341.548560000001</v>
      </c>
      <c r="O32" s="133">
        <f t="shared" si="6"/>
        <v>24240</v>
      </c>
      <c r="P32" s="75">
        <f t="shared" si="7"/>
        <v>139531.6</v>
      </c>
      <c r="Q32" s="76">
        <f t="shared" si="8"/>
        <v>143717.6</v>
      </c>
      <c r="R32" s="45">
        <f t="shared" si="9"/>
        <v>0.6</v>
      </c>
    </row>
    <row r="33" spans="1:20" ht="17.100000000000001" customHeight="1" x14ac:dyDescent="0.25">
      <c r="A33" s="62">
        <v>10</v>
      </c>
      <c r="B33" s="62" t="s">
        <v>168</v>
      </c>
      <c r="C33" s="62">
        <v>61</v>
      </c>
      <c r="D33" s="148" t="s">
        <v>169</v>
      </c>
      <c r="E33" s="148"/>
      <c r="F33" s="71">
        <v>2.0199999999999999E-2</v>
      </c>
      <c r="G33" s="72">
        <v>154290.60999999999</v>
      </c>
      <c r="H33" s="124">
        <f>169272.74-H87</f>
        <v>128790.60999999999</v>
      </c>
      <c r="I33" s="73">
        <f t="shared" si="0"/>
        <v>25500</v>
      </c>
      <c r="J33" s="73">
        <f t="shared" si="1"/>
        <v>765</v>
      </c>
      <c r="K33" s="74">
        <f t="shared" si="2"/>
        <v>6160.8598119999997</v>
      </c>
      <c r="L33" s="74">
        <f t="shared" si="3"/>
        <v>72720</v>
      </c>
      <c r="M33" s="133">
        <f t="shared" si="4"/>
        <v>25068.809231999996</v>
      </c>
      <c r="N33" s="133">
        <f t="shared" si="5"/>
        <v>11341.548560000001</v>
      </c>
      <c r="O33" s="133">
        <f t="shared" si="6"/>
        <v>24240</v>
      </c>
      <c r="P33" s="75">
        <f t="shared" si="7"/>
        <v>165796.60999999999</v>
      </c>
      <c r="Q33" s="76">
        <f t="shared" si="8"/>
        <v>170770.61</v>
      </c>
      <c r="R33" s="45">
        <f t="shared" si="9"/>
        <v>0.61</v>
      </c>
    </row>
    <row r="34" spans="1:20" ht="17.100000000000001" customHeight="1" x14ac:dyDescent="0.25">
      <c r="A34" s="62">
        <v>10</v>
      </c>
      <c r="B34" s="62" t="s">
        <v>170</v>
      </c>
      <c r="C34" s="62">
        <v>62</v>
      </c>
      <c r="D34" s="62" t="s">
        <v>171</v>
      </c>
      <c r="E34" s="62" t="s">
        <v>172</v>
      </c>
      <c r="F34" s="71">
        <v>1.3899999999999999E-2</v>
      </c>
      <c r="G34" s="72">
        <v>106170.62</v>
      </c>
      <c r="H34" s="124">
        <f>109365.52</f>
        <v>109365.52</v>
      </c>
      <c r="I34" s="73">
        <f t="shared" si="0"/>
        <v>-3194.9000000000087</v>
      </c>
      <c r="J34" s="73">
        <f t="shared" si="1"/>
        <v>0</v>
      </c>
      <c r="K34" s="74">
        <f t="shared" si="2"/>
        <v>4239.403534</v>
      </c>
      <c r="L34" s="74">
        <f t="shared" si="3"/>
        <v>50040</v>
      </c>
      <c r="M34" s="133">
        <f t="shared" si="4"/>
        <v>17250.319223999999</v>
      </c>
      <c r="N34" s="133">
        <f t="shared" si="5"/>
        <v>7804.3329199999998</v>
      </c>
      <c r="O34" s="133">
        <f t="shared" si="6"/>
        <v>16680</v>
      </c>
      <c r="P34" s="75">
        <f t="shared" si="7"/>
        <v>92819.62</v>
      </c>
      <c r="Q34" s="76">
        <f t="shared" si="8"/>
        <v>95604.62</v>
      </c>
      <c r="R34" s="45">
        <f t="shared" si="9"/>
        <v>0.62</v>
      </c>
    </row>
    <row r="35" spans="1:20" x14ac:dyDescent="0.25">
      <c r="A35" s="62">
        <v>11</v>
      </c>
      <c r="B35" s="62" t="s">
        <v>173</v>
      </c>
      <c r="C35" s="62">
        <v>63</v>
      </c>
      <c r="D35" s="62" t="s">
        <v>174</v>
      </c>
      <c r="E35" s="62" t="s">
        <v>175</v>
      </c>
      <c r="F35" s="71">
        <v>1.3899999999999999E-2</v>
      </c>
      <c r="G35" s="72">
        <v>106170.63</v>
      </c>
      <c r="H35" s="124">
        <f>G35</f>
        <v>106170.63</v>
      </c>
      <c r="I35" s="77">
        <f t="shared" si="0"/>
        <v>0</v>
      </c>
      <c r="J35" s="73">
        <f t="shared" si="1"/>
        <v>0</v>
      </c>
      <c r="K35" s="74">
        <f t="shared" si="2"/>
        <v>4239.403534</v>
      </c>
      <c r="L35" s="74">
        <f t="shared" si="3"/>
        <v>50040</v>
      </c>
      <c r="M35" s="133">
        <f t="shared" si="4"/>
        <v>17250.319223999999</v>
      </c>
      <c r="N35" s="133">
        <f t="shared" si="5"/>
        <v>7804.3329199999998</v>
      </c>
      <c r="O35" s="133">
        <f t="shared" si="6"/>
        <v>16680</v>
      </c>
      <c r="P35" s="75">
        <f t="shared" si="7"/>
        <v>96014.63</v>
      </c>
      <c r="Q35" s="76">
        <f t="shared" si="8"/>
        <v>98894.63</v>
      </c>
      <c r="R35" s="45">
        <f t="shared" si="9"/>
        <v>0.63</v>
      </c>
    </row>
    <row r="36" spans="1:20" ht="17.100000000000001" customHeight="1" x14ac:dyDescent="0.25">
      <c r="A36" s="62">
        <v>11</v>
      </c>
      <c r="B36" s="62" t="s">
        <v>176</v>
      </c>
      <c r="C36" s="62">
        <v>64</v>
      </c>
      <c r="D36" s="148" t="s">
        <v>177</v>
      </c>
      <c r="E36" s="181" t="s">
        <v>178</v>
      </c>
      <c r="F36" s="71">
        <v>2.0199999999999999E-2</v>
      </c>
      <c r="G36" s="72">
        <v>88536.639999999999</v>
      </c>
      <c r="H36" s="189">
        <f>150000</f>
        <v>150000</v>
      </c>
      <c r="I36" s="73">
        <f t="shared" si="0"/>
        <v>-61463.360000000001</v>
      </c>
      <c r="J36" s="73">
        <f t="shared" si="1"/>
        <v>0</v>
      </c>
      <c r="K36" s="74">
        <f t="shared" si="2"/>
        <v>6160.8598119999997</v>
      </c>
      <c r="L36" s="74">
        <f t="shared" si="3"/>
        <v>72720</v>
      </c>
      <c r="M36" s="133">
        <f t="shared" si="4"/>
        <v>25068.809231999996</v>
      </c>
      <c r="N36" s="133">
        <f t="shared" si="5"/>
        <v>11341.548560000001</v>
      </c>
      <c r="O36" s="133">
        <f t="shared" si="6"/>
        <v>24240</v>
      </c>
      <c r="P36" s="75">
        <f t="shared" si="7"/>
        <v>78068.639999999999</v>
      </c>
      <c r="Q36" s="76">
        <f t="shared" si="8"/>
        <v>80410.64</v>
      </c>
      <c r="R36" s="45">
        <f t="shared" si="9"/>
        <v>0.64</v>
      </c>
    </row>
    <row r="37" spans="1:20" ht="17.100000000000001" customHeight="1" x14ac:dyDescent="0.25">
      <c r="A37" s="62">
        <v>12</v>
      </c>
      <c r="B37" s="62" t="s">
        <v>179</v>
      </c>
      <c r="C37" s="62">
        <v>65</v>
      </c>
      <c r="D37" s="62" t="s">
        <v>180</v>
      </c>
      <c r="E37" s="63" t="s">
        <v>181</v>
      </c>
      <c r="F37" s="71">
        <v>2.0199999999999999E-2</v>
      </c>
      <c r="G37" s="72">
        <v>150368.65</v>
      </c>
      <c r="H37" s="124">
        <f>G37</f>
        <v>150368.65</v>
      </c>
      <c r="I37" s="73">
        <f t="shared" ref="I37:I56" si="10">G37-H37</f>
        <v>0</v>
      </c>
      <c r="J37" s="73">
        <f t="shared" ref="J37:J56" si="11">IF(I37&gt;0,I37*3%,0)</f>
        <v>0</v>
      </c>
      <c r="K37" s="74">
        <f t="shared" ref="K37:K56" si="12">M$2*F37</f>
        <v>6160.8598119999997</v>
      </c>
      <c r="L37" s="74">
        <f t="shared" ref="L37:L68" si="13">M$1*F37</f>
        <v>72720</v>
      </c>
      <c r="M37" s="133">
        <f t="shared" ref="M37:M56" si="14">F$1*F37</f>
        <v>25068.809231999996</v>
      </c>
      <c r="N37" s="133">
        <f t="shared" ref="N37:N56" si="15">F$2*F37</f>
        <v>11341.548560000001</v>
      </c>
      <c r="O37" s="133">
        <f t="shared" ref="O37:O68" si="16">I$2*F37</f>
        <v>24240</v>
      </c>
      <c r="P37" s="75">
        <f t="shared" ref="P37:P68" si="17">ROUND(SUM(I37:O37),0) + R37</f>
        <v>139531.65</v>
      </c>
      <c r="Q37" s="76">
        <f t="shared" ref="Q37:Q56" si="18">ROUND(P37*3%,0) + P37</f>
        <v>143717.65</v>
      </c>
      <c r="R37" s="45">
        <f t="shared" ref="R37:R68" si="19">ROUND(0.001+C37/100,2)</f>
        <v>0.65</v>
      </c>
    </row>
    <row r="38" spans="1:20" ht="17.100000000000001" customHeight="1" x14ac:dyDescent="0.25">
      <c r="A38" s="62">
        <v>12</v>
      </c>
      <c r="B38" s="62" t="s">
        <v>182</v>
      </c>
      <c r="C38" s="62">
        <v>66</v>
      </c>
      <c r="D38" s="62" t="s">
        <v>183</v>
      </c>
      <c r="E38" s="62" t="s">
        <v>184</v>
      </c>
      <c r="F38" s="71">
        <v>1.3899999999999999E-2</v>
      </c>
      <c r="G38" s="72">
        <v>198850.66</v>
      </c>
      <c r="H38" s="124"/>
      <c r="I38" s="73">
        <f t="shared" si="10"/>
        <v>198850.66</v>
      </c>
      <c r="J38" s="73">
        <f t="shared" si="11"/>
        <v>5965.5198</v>
      </c>
      <c r="K38" s="74">
        <f t="shared" si="12"/>
        <v>4239.403534</v>
      </c>
      <c r="L38" s="74">
        <f t="shared" si="13"/>
        <v>50040</v>
      </c>
      <c r="M38" s="133">
        <f t="shared" si="14"/>
        <v>17250.319223999999</v>
      </c>
      <c r="N38" s="133">
        <f t="shared" si="15"/>
        <v>7804.3329199999998</v>
      </c>
      <c r="O38" s="133">
        <f t="shared" si="16"/>
        <v>16680</v>
      </c>
      <c r="P38" s="75">
        <f t="shared" si="17"/>
        <v>300830.65999999997</v>
      </c>
      <c r="Q38" s="76">
        <f t="shared" si="18"/>
        <v>309855.65999999997</v>
      </c>
      <c r="R38" s="45">
        <f t="shared" si="19"/>
        <v>0.66</v>
      </c>
    </row>
    <row r="39" spans="1:20" ht="17.100000000000001" customHeight="1" x14ac:dyDescent="0.25">
      <c r="A39" s="62">
        <v>1</v>
      </c>
      <c r="B39" s="62" t="s">
        <v>185</v>
      </c>
      <c r="C39" s="62">
        <v>67</v>
      </c>
      <c r="D39" s="62" t="s">
        <v>186</v>
      </c>
      <c r="E39" s="63" t="s">
        <v>187</v>
      </c>
      <c r="F39" s="71">
        <v>1.3899999999999999E-2</v>
      </c>
      <c r="G39" s="72">
        <v>188028.67</v>
      </c>
      <c r="H39" s="124">
        <f>168651.67</f>
        <v>168651.67</v>
      </c>
      <c r="I39" s="73">
        <f t="shared" si="10"/>
        <v>19377</v>
      </c>
      <c r="J39" s="73">
        <f t="shared" si="11"/>
        <v>581.30999999999995</v>
      </c>
      <c r="K39" s="74">
        <f t="shared" si="12"/>
        <v>4239.403534</v>
      </c>
      <c r="L39" s="74">
        <f t="shared" si="13"/>
        <v>50040</v>
      </c>
      <c r="M39" s="133">
        <f t="shared" si="14"/>
        <v>17250.319223999999</v>
      </c>
      <c r="N39" s="133">
        <f t="shared" si="15"/>
        <v>7804.3329199999998</v>
      </c>
      <c r="O39" s="133">
        <f t="shared" si="16"/>
        <v>16680</v>
      </c>
      <c r="P39" s="75">
        <f t="shared" si="17"/>
        <v>115972.67</v>
      </c>
      <c r="Q39" s="76">
        <f t="shared" si="18"/>
        <v>119451.67</v>
      </c>
      <c r="R39" s="45">
        <f t="shared" si="19"/>
        <v>0.67</v>
      </c>
    </row>
    <row r="40" spans="1:20" ht="17.100000000000001" customHeight="1" x14ac:dyDescent="0.25">
      <c r="A40" s="62">
        <v>1</v>
      </c>
      <c r="B40" s="62" t="s">
        <v>188</v>
      </c>
      <c r="C40" s="62">
        <v>68</v>
      </c>
      <c r="D40" s="148" t="s">
        <v>189</v>
      </c>
      <c r="E40" s="181" t="str">
        <f>D76</f>
        <v>Jesica Romina Tobio</v>
      </c>
      <c r="F40" s="71">
        <v>2.0199999999999999E-2</v>
      </c>
      <c r="G40" s="72">
        <v>149124.68</v>
      </c>
      <c r="H40" s="124">
        <f>198008.7-H76</f>
        <v>149124.68000000002</v>
      </c>
      <c r="I40" s="73">
        <f t="shared" si="10"/>
        <v>0</v>
      </c>
      <c r="J40" s="73">
        <f t="shared" si="11"/>
        <v>0</v>
      </c>
      <c r="K40" s="74">
        <f t="shared" si="12"/>
        <v>6160.8598119999997</v>
      </c>
      <c r="L40" s="74">
        <f t="shared" si="13"/>
        <v>72720</v>
      </c>
      <c r="M40" s="133">
        <f t="shared" si="14"/>
        <v>25068.809231999996</v>
      </c>
      <c r="N40" s="133">
        <f t="shared" si="15"/>
        <v>11341.548560000001</v>
      </c>
      <c r="O40" s="133">
        <f t="shared" si="16"/>
        <v>24240</v>
      </c>
      <c r="P40" s="75">
        <f t="shared" si="17"/>
        <v>139531.68</v>
      </c>
      <c r="Q40" s="76">
        <f t="shared" si="18"/>
        <v>143717.68</v>
      </c>
      <c r="R40" s="45">
        <f t="shared" si="19"/>
        <v>0.68</v>
      </c>
    </row>
    <row r="41" spans="1:20" ht="17.100000000000001" customHeight="1" x14ac:dyDescent="0.25">
      <c r="A41" s="61">
        <v>1</v>
      </c>
      <c r="B41" s="61" t="s">
        <v>190</v>
      </c>
      <c r="C41" s="62">
        <v>69</v>
      </c>
      <c r="D41" s="148" t="s">
        <v>191</v>
      </c>
      <c r="E41" s="181" t="s">
        <v>192</v>
      </c>
      <c r="F41" s="79">
        <v>2.0199999999999999E-2</v>
      </c>
      <c r="G41" s="72">
        <v>147443.69</v>
      </c>
      <c r="H41" s="124">
        <v>147500</v>
      </c>
      <c r="I41" s="73">
        <f t="shared" si="10"/>
        <v>-56.309999999997672</v>
      </c>
      <c r="J41" s="73">
        <f t="shared" si="11"/>
        <v>0</v>
      </c>
      <c r="K41" s="74">
        <f t="shared" si="12"/>
        <v>6160.8598119999997</v>
      </c>
      <c r="L41" s="74">
        <f t="shared" si="13"/>
        <v>72720</v>
      </c>
      <c r="M41" s="133">
        <f t="shared" si="14"/>
        <v>25068.809231999996</v>
      </c>
      <c r="N41" s="133">
        <f t="shared" si="15"/>
        <v>11341.548560000001</v>
      </c>
      <c r="O41" s="133">
        <f t="shared" si="16"/>
        <v>24240</v>
      </c>
      <c r="P41" s="75">
        <f t="shared" si="17"/>
        <v>139475.69</v>
      </c>
      <c r="Q41" s="76">
        <f t="shared" si="18"/>
        <v>143659.69</v>
      </c>
      <c r="R41" s="45">
        <f t="shared" si="19"/>
        <v>0.69</v>
      </c>
    </row>
    <row r="42" spans="1:20" ht="17.100000000000001" customHeight="1" x14ac:dyDescent="0.25">
      <c r="A42" s="62">
        <v>2</v>
      </c>
      <c r="B42" s="80" t="s">
        <v>193</v>
      </c>
      <c r="C42" s="62">
        <v>70</v>
      </c>
      <c r="D42" s="148" t="s">
        <v>112</v>
      </c>
      <c r="E42" s="148" t="s">
        <v>194</v>
      </c>
      <c r="F42" s="79">
        <v>1.3899999999999999E-2</v>
      </c>
      <c r="G42" s="72">
        <v>106170.7</v>
      </c>
      <c r="H42" s="124">
        <f>33100</f>
        <v>33100</v>
      </c>
      <c r="I42" s="73">
        <f t="shared" si="10"/>
        <v>73070.7</v>
      </c>
      <c r="J42" s="73">
        <f t="shared" si="11"/>
        <v>2192.1209999999996</v>
      </c>
      <c r="K42" s="74">
        <f t="shared" si="12"/>
        <v>4239.403534</v>
      </c>
      <c r="L42" s="74">
        <f t="shared" si="13"/>
        <v>50040</v>
      </c>
      <c r="M42" s="133">
        <f t="shared" si="14"/>
        <v>17250.319223999999</v>
      </c>
      <c r="N42" s="133">
        <f t="shared" si="15"/>
        <v>7804.3329199999998</v>
      </c>
      <c r="O42" s="133">
        <f t="shared" si="16"/>
        <v>16680</v>
      </c>
      <c r="P42" s="75">
        <f t="shared" si="17"/>
        <v>171277.7</v>
      </c>
      <c r="Q42" s="76">
        <f t="shared" si="18"/>
        <v>176415.7</v>
      </c>
      <c r="R42" s="45">
        <f t="shared" si="19"/>
        <v>0.7</v>
      </c>
    </row>
    <row r="43" spans="1:20" ht="17.100000000000001" customHeight="1" x14ac:dyDescent="0.25">
      <c r="A43" s="62">
        <v>2</v>
      </c>
      <c r="B43" s="80" t="s">
        <v>195</v>
      </c>
      <c r="C43" s="62">
        <v>71</v>
      </c>
      <c r="D43" s="61" t="s">
        <v>196</v>
      </c>
      <c r="E43" s="78" t="s">
        <v>197</v>
      </c>
      <c r="F43" s="79">
        <v>1.3899999999999999E-2</v>
      </c>
      <c r="G43" s="72">
        <v>106170.71</v>
      </c>
      <c r="H43" s="124"/>
      <c r="I43" s="73">
        <f t="shared" si="10"/>
        <v>106170.71</v>
      </c>
      <c r="J43" s="73">
        <f t="shared" si="11"/>
        <v>3185.1213000000002</v>
      </c>
      <c r="K43" s="74">
        <f t="shared" si="12"/>
        <v>4239.403534</v>
      </c>
      <c r="L43" s="74">
        <f t="shared" si="13"/>
        <v>50040</v>
      </c>
      <c r="M43" s="133">
        <f t="shared" si="14"/>
        <v>17250.319223999999</v>
      </c>
      <c r="N43" s="133">
        <f t="shared" si="15"/>
        <v>7804.3329199999998</v>
      </c>
      <c r="O43" s="133">
        <f t="shared" si="16"/>
        <v>16680</v>
      </c>
      <c r="P43" s="75">
        <f t="shared" si="17"/>
        <v>205370.71</v>
      </c>
      <c r="Q43" s="76">
        <f t="shared" si="18"/>
        <v>211531.71</v>
      </c>
      <c r="R43" s="45">
        <f t="shared" si="19"/>
        <v>0.71</v>
      </c>
    </row>
    <row r="44" spans="1:20" ht="17.100000000000001" customHeight="1" x14ac:dyDescent="0.25">
      <c r="A44" s="62">
        <v>2</v>
      </c>
      <c r="B44" s="80" t="s">
        <v>198</v>
      </c>
      <c r="C44" s="62">
        <v>72</v>
      </c>
      <c r="D44" s="61" t="s">
        <v>196</v>
      </c>
      <c r="E44" s="230" t="s">
        <v>290</v>
      </c>
      <c r="F44" s="79">
        <v>2.0199999999999999E-2</v>
      </c>
      <c r="G44" s="72">
        <v>149338.72</v>
      </c>
      <c r="H44" s="124"/>
      <c r="I44" s="73">
        <f t="shared" si="10"/>
        <v>149338.72</v>
      </c>
      <c r="J44" s="73">
        <f t="shared" si="11"/>
        <v>4480.1615999999995</v>
      </c>
      <c r="K44" s="74">
        <f t="shared" si="12"/>
        <v>6160.8598119999997</v>
      </c>
      <c r="L44" s="74">
        <f t="shared" si="13"/>
        <v>72720</v>
      </c>
      <c r="M44" s="133">
        <f t="shared" si="14"/>
        <v>25068.809231999996</v>
      </c>
      <c r="N44" s="133">
        <f t="shared" si="15"/>
        <v>11341.548560000001</v>
      </c>
      <c r="O44" s="133">
        <f t="shared" si="16"/>
        <v>24240</v>
      </c>
      <c r="P44" s="75">
        <f t="shared" si="17"/>
        <v>293350.71999999997</v>
      </c>
      <c r="Q44" s="76">
        <f t="shared" si="18"/>
        <v>302151.71999999997</v>
      </c>
      <c r="R44" s="45">
        <f t="shared" si="19"/>
        <v>0.72</v>
      </c>
    </row>
    <row r="45" spans="1:20" ht="17.100000000000001" customHeight="1" x14ac:dyDescent="0.25">
      <c r="A45" s="62">
        <v>3</v>
      </c>
      <c r="B45" s="80" t="s">
        <v>199</v>
      </c>
      <c r="C45" s="62">
        <v>73</v>
      </c>
      <c r="D45" s="61" t="s">
        <v>200</v>
      </c>
      <c r="E45" s="61" t="s">
        <v>201</v>
      </c>
      <c r="F45" s="79">
        <v>2.0199999999999999E-2</v>
      </c>
      <c r="G45" s="72">
        <v>154290.73000000001</v>
      </c>
      <c r="H45" s="124"/>
      <c r="I45" s="73">
        <f t="shared" si="10"/>
        <v>154290.73000000001</v>
      </c>
      <c r="J45" s="73">
        <f t="shared" si="11"/>
        <v>4628.7219000000005</v>
      </c>
      <c r="K45" s="74">
        <f t="shared" si="12"/>
        <v>6160.8598119999997</v>
      </c>
      <c r="L45" s="74">
        <f t="shared" si="13"/>
        <v>72720</v>
      </c>
      <c r="M45" s="133">
        <f t="shared" si="14"/>
        <v>25068.809231999996</v>
      </c>
      <c r="N45" s="133">
        <f t="shared" si="15"/>
        <v>11341.548560000001</v>
      </c>
      <c r="O45" s="133">
        <f t="shared" si="16"/>
        <v>24240</v>
      </c>
      <c r="P45" s="75">
        <f t="shared" si="17"/>
        <v>298451.73</v>
      </c>
      <c r="Q45" s="76">
        <f t="shared" si="18"/>
        <v>307405.73</v>
      </c>
      <c r="R45" s="45">
        <f t="shared" si="19"/>
        <v>0.73</v>
      </c>
    </row>
    <row r="46" spans="1:20" ht="17.100000000000001" customHeight="1" x14ac:dyDescent="0.25">
      <c r="A46" s="62">
        <v>3</v>
      </c>
      <c r="B46" s="80" t="s">
        <v>202</v>
      </c>
      <c r="C46" s="62">
        <v>74</v>
      </c>
      <c r="D46" s="61" t="s">
        <v>203</v>
      </c>
      <c r="E46" s="78" t="s">
        <v>204</v>
      </c>
      <c r="F46" s="79">
        <v>1.3899999999999999E-2</v>
      </c>
      <c r="G46" s="72">
        <v>106170.74</v>
      </c>
      <c r="H46" s="124">
        <f>G46</f>
        <v>106170.74</v>
      </c>
      <c r="I46" s="73">
        <f t="shared" si="10"/>
        <v>0</v>
      </c>
      <c r="J46" s="73">
        <f t="shared" si="11"/>
        <v>0</v>
      </c>
      <c r="K46" s="74">
        <f t="shared" si="12"/>
        <v>4239.403534</v>
      </c>
      <c r="L46" s="74">
        <f t="shared" si="13"/>
        <v>50040</v>
      </c>
      <c r="M46" s="133">
        <f t="shared" si="14"/>
        <v>17250.319223999999</v>
      </c>
      <c r="N46" s="133">
        <f t="shared" si="15"/>
        <v>7804.3329199999998</v>
      </c>
      <c r="O46" s="133">
        <f t="shared" si="16"/>
        <v>16680</v>
      </c>
      <c r="P46" s="75">
        <f t="shared" si="17"/>
        <v>96014.74</v>
      </c>
      <c r="Q46" s="76">
        <f t="shared" si="18"/>
        <v>98894.74</v>
      </c>
      <c r="R46" s="45">
        <f t="shared" si="19"/>
        <v>0.74</v>
      </c>
    </row>
    <row r="47" spans="1:20" ht="17.100000000000001" customHeight="1" x14ac:dyDescent="0.25">
      <c r="A47" s="62">
        <v>3</v>
      </c>
      <c r="B47" s="80" t="s">
        <v>205</v>
      </c>
      <c r="C47" s="62">
        <v>75</v>
      </c>
      <c r="D47" s="61" t="s">
        <v>206</v>
      </c>
      <c r="E47" s="78" t="s">
        <v>207</v>
      </c>
      <c r="F47" s="79">
        <v>1.3899999999999999E-2</v>
      </c>
      <c r="G47" s="72">
        <v>189024.75</v>
      </c>
      <c r="H47" s="124">
        <f>168077</f>
        <v>168077</v>
      </c>
      <c r="I47" s="73">
        <f t="shared" si="10"/>
        <v>20947.75</v>
      </c>
      <c r="J47" s="73">
        <f t="shared" si="11"/>
        <v>628.4325</v>
      </c>
      <c r="K47" s="74">
        <f t="shared" si="12"/>
        <v>4239.403534</v>
      </c>
      <c r="L47" s="74">
        <f t="shared" si="13"/>
        <v>50040</v>
      </c>
      <c r="M47" s="133">
        <f t="shared" si="14"/>
        <v>17250.319223999999</v>
      </c>
      <c r="N47" s="133">
        <f t="shared" si="15"/>
        <v>7804.3329199999998</v>
      </c>
      <c r="O47" s="133">
        <f t="shared" si="16"/>
        <v>16680</v>
      </c>
      <c r="P47" s="75">
        <f t="shared" si="17"/>
        <v>117590.75</v>
      </c>
      <c r="Q47" s="76">
        <f t="shared" si="18"/>
        <v>121118.75</v>
      </c>
      <c r="R47" s="45">
        <f t="shared" si="19"/>
        <v>0.75</v>
      </c>
      <c r="T47" s="152"/>
    </row>
    <row r="48" spans="1:20" ht="17.100000000000001" customHeight="1" x14ac:dyDescent="0.25">
      <c r="A48" s="62">
        <v>4</v>
      </c>
      <c r="B48" s="80" t="s">
        <v>208</v>
      </c>
      <c r="C48" s="62">
        <v>76</v>
      </c>
      <c r="D48" s="61" t="s">
        <v>209</v>
      </c>
      <c r="E48" s="135" t="s">
        <v>210</v>
      </c>
      <c r="F48" s="79">
        <v>2.0199999999999999E-2</v>
      </c>
      <c r="G48" s="72">
        <v>154290.76</v>
      </c>
      <c r="H48" s="124">
        <f>G48</f>
        <v>154290.76</v>
      </c>
      <c r="I48" s="73">
        <f t="shared" si="10"/>
        <v>0</v>
      </c>
      <c r="J48" s="73">
        <f t="shared" si="11"/>
        <v>0</v>
      </c>
      <c r="K48" s="74">
        <f t="shared" si="12"/>
        <v>6160.8598119999997</v>
      </c>
      <c r="L48" s="74">
        <f t="shared" si="13"/>
        <v>72720</v>
      </c>
      <c r="M48" s="133">
        <f t="shared" si="14"/>
        <v>25068.809231999996</v>
      </c>
      <c r="N48" s="133">
        <f t="shared" si="15"/>
        <v>11341.548560000001</v>
      </c>
      <c r="O48" s="133">
        <f t="shared" si="16"/>
        <v>24240</v>
      </c>
      <c r="P48" s="75">
        <f t="shared" si="17"/>
        <v>139531.76</v>
      </c>
      <c r="Q48" s="76">
        <f t="shared" si="18"/>
        <v>143717.76000000001</v>
      </c>
      <c r="R48" s="45">
        <f t="shared" si="19"/>
        <v>0.76</v>
      </c>
    </row>
    <row r="49" spans="1:18" ht="17.100000000000001" customHeight="1" x14ac:dyDescent="0.25">
      <c r="A49" s="62">
        <v>4</v>
      </c>
      <c r="B49" s="80" t="s">
        <v>211</v>
      </c>
      <c r="C49" s="62">
        <v>77</v>
      </c>
      <c r="D49" s="61" t="s">
        <v>196</v>
      </c>
      <c r="E49" s="61" t="s">
        <v>212</v>
      </c>
      <c r="F49" s="79">
        <v>2.0199999999999999E-2</v>
      </c>
      <c r="G49" s="72">
        <v>335646.77</v>
      </c>
      <c r="H49" s="124">
        <f>G49</f>
        <v>335646.77</v>
      </c>
      <c r="I49" s="73">
        <f t="shared" si="10"/>
        <v>0</v>
      </c>
      <c r="J49" s="73">
        <f t="shared" si="11"/>
        <v>0</v>
      </c>
      <c r="K49" s="74">
        <f t="shared" si="12"/>
        <v>6160.8598119999997</v>
      </c>
      <c r="L49" s="74">
        <f t="shared" si="13"/>
        <v>72720</v>
      </c>
      <c r="M49" s="133">
        <f t="shared" si="14"/>
        <v>25068.809231999996</v>
      </c>
      <c r="N49" s="133">
        <f t="shared" si="15"/>
        <v>11341.548560000001</v>
      </c>
      <c r="O49" s="133">
        <f t="shared" si="16"/>
        <v>24240</v>
      </c>
      <c r="P49" s="75">
        <f t="shared" si="17"/>
        <v>139531.76999999999</v>
      </c>
      <c r="Q49" s="76">
        <f t="shared" si="18"/>
        <v>143717.76999999999</v>
      </c>
      <c r="R49" s="45">
        <f t="shared" si="19"/>
        <v>0.77</v>
      </c>
    </row>
    <row r="50" spans="1:18" ht="17.100000000000001" customHeight="1" x14ac:dyDescent="0.25">
      <c r="A50" s="62">
        <v>4</v>
      </c>
      <c r="B50" s="80" t="s">
        <v>213</v>
      </c>
      <c r="C50" s="62">
        <v>78</v>
      </c>
      <c r="D50" s="61" t="s">
        <v>196</v>
      </c>
      <c r="E50" s="61" t="s">
        <v>214</v>
      </c>
      <c r="F50" s="79">
        <v>1.3899999999999999E-2</v>
      </c>
      <c r="G50" s="72">
        <v>203571.78</v>
      </c>
      <c r="H50" s="124"/>
      <c r="I50" s="73">
        <f t="shared" si="10"/>
        <v>203571.78</v>
      </c>
      <c r="J50" s="73">
        <f t="shared" si="11"/>
        <v>6107.1534000000001</v>
      </c>
      <c r="K50" s="74">
        <f t="shared" si="12"/>
        <v>4239.403534</v>
      </c>
      <c r="L50" s="74">
        <f t="shared" si="13"/>
        <v>50040</v>
      </c>
      <c r="M50" s="133">
        <f t="shared" si="14"/>
        <v>17250.319223999999</v>
      </c>
      <c r="N50" s="133">
        <f t="shared" si="15"/>
        <v>7804.3329199999998</v>
      </c>
      <c r="O50" s="133">
        <f t="shared" si="16"/>
        <v>16680</v>
      </c>
      <c r="P50" s="75">
        <f t="shared" si="17"/>
        <v>305693.78000000003</v>
      </c>
      <c r="Q50" s="76">
        <f t="shared" si="18"/>
        <v>314864.78000000003</v>
      </c>
      <c r="R50" s="45">
        <f t="shared" si="19"/>
        <v>0.78</v>
      </c>
    </row>
    <row r="51" spans="1:18" ht="17.100000000000001" customHeight="1" x14ac:dyDescent="0.25">
      <c r="A51" s="62">
        <v>5</v>
      </c>
      <c r="B51" s="80" t="s">
        <v>215</v>
      </c>
      <c r="C51" s="62">
        <v>79</v>
      </c>
      <c r="D51" s="61" t="s">
        <v>216</v>
      </c>
      <c r="E51" s="78"/>
      <c r="F51" s="79">
        <v>1.3899999999999999E-2</v>
      </c>
      <c r="G51" s="72">
        <v>106170.79</v>
      </c>
      <c r="H51" s="124">
        <f>G51</f>
        <v>106170.79</v>
      </c>
      <c r="I51" s="73">
        <f t="shared" si="10"/>
        <v>0</v>
      </c>
      <c r="J51" s="73">
        <f t="shared" si="11"/>
        <v>0</v>
      </c>
      <c r="K51" s="74">
        <f t="shared" si="12"/>
        <v>4239.403534</v>
      </c>
      <c r="L51" s="74">
        <f t="shared" si="13"/>
        <v>50040</v>
      </c>
      <c r="M51" s="133">
        <f t="shared" si="14"/>
        <v>17250.319223999999</v>
      </c>
      <c r="N51" s="133">
        <f t="shared" si="15"/>
        <v>7804.3329199999998</v>
      </c>
      <c r="O51" s="133">
        <f t="shared" si="16"/>
        <v>16680</v>
      </c>
      <c r="P51" s="75">
        <f t="shared" si="17"/>
        <v>96014.79</v>
      </c>
      <c r="Q51" s="76">
        <f t="shared" si="18"/>
        <v>98894.79</v>
      </c>
      <c r="R51" s="45">
        <f t="shared" si="19"/>
        <v>0.79</v>
      </c>
    </row>
    <row r="52" spans="1:18" ht="17.100000000000001" customHeight="1" x14ac:dyDescent="0.25">
      <c r="A52" s="62">
        <v>5</v>
      </c>
      <c r="B52" s="80" t="s">
        <v>217</v>
      </c>
      <c r="C52" s="62">
        <v>80</v>
      </c>
      <c r="D52" s="61" t="s">
        <v>218</v>
      </c>
      <c r="E52" s="61" t="s">
        <v>219</v>
      </c>
      <c r="F52" s="79">
        <v>2.0199999999999999E-2</v>
      </c>
      <c r="G52" s="72">
        <v>146851.79999999999</v>
      </c>
      <c r="H52" s="124">
        <f>151257.8</f>
        <v>151257.79999999999</v>
      </c>
      <c r="I52" s="73">
        <f t="shared" si="10"/>
        <v>-4406</v>
      </c>
      <c r="J52" s="73">
        <f t="shared" si="11"/>
        <v>0</v>
      </c>
      <c r="K52" s="74">
        <f t="shared" si="12"/>
        <v>6160.8598119999997</v>
      </c>
      <c r="L52" s="74">
        <f t="shared" si="13"/>
        <v>72720</v>
      </c>
      <c r="M52" s="133">
        <f t="shared" si="14"/>
        <v>25068.809231999996</v>
      </c>
      <c r="N52" s="133">
        <f t="shared" si="15"/>
        <v>11341.548560000001</v>
      </c>
      <c r="O52" s="133">
        <f t="shared" si="16"/>
        <v>24240</v>
      </c>
      <c r="P52" s="75">
        <f t="shared" si="17"/>
        <v>135125.79999999999</v>
      </c>
      <c r="Q52" s="76">
        <f t="shared" si="18"/>
        <v>139179.79999999999</v>
      </c>
      <c r="R52" s="45">
        <f t="shared" si="19"/>
        <v>0.8</v>
      </c>
    </row>
    <row r="53" spans="1:18" ht="17.100000000000001" customHeight="1" x14ac:dyDescent="0.25">
      <c r="A53" s="62">
        <v>5</v>
      </c>
      <c r="B53" s="80" t="s">
        <v>220</v>
      </c>
      <c r="C53" s="62">
        <v>81</v>
      </c>
      <c r="D53" s="61" t="s">
        <v>221</v>
      </c>
      <c r="E53" s="61" t="s">
        <v>222</v>
      </c>
      <c r="F53" s="79">
        <v>2.0199999999999999E-2</v>
      </c>
      <c r="G53" s="72">
        <v>282685.81</v>
      </c>
      <c r="H53" s="124">
        <f>124377.81+157553.81</f>
        <v>281931.62</v>
      </c>
      <c r="I53" s="73">
        <f t="shared" si="10"/>
        <v>754.19000000000233</v>
      </c>
      <c r="J53" s="73">
        <f t="shared" si="11"/>
        <v>22.625700000000069</v>
      </c>
      <c r="K53" s="74">
        <f t="shared" si="12"/>
        <v>6160.8598119999997</v>
      </c>
      <c r="L53" s="74">
        <f t="shared" si="13"/>
        <v>72720</v>
      </c>
      <c r="M53" s="133">
        <f t="shared" si="14"/>
        <v>25068.809231999996</v>
      </c>
      <c r="N53" s="133">
        <f t="shared" si="15"/>
        <v>11341.548560000001</v>
      </c>
      <c r="O53" s="133">
        <f t="shared" si="16"/>
        <v>24240</v>
      </c>
      <c r="P53" s="75">
        <f t="shared" si="17"/>
        <v>140308.81</v>
      </c>
      <c r="Q53" s="76">
        <f t="shared" si="18"/>
        <v>144517.81</v>
      </c>
      <c r="R53" s="45">
        <f t="shared" si="19"/>
        <v>0.81</v>
      </c>
    </row>
    <row r="54" spans="1:18" ht="17.100000000000001" customHeight="1" x14ac:dyDescent="0.25">
      <c r="A54" s="62">
        <v>6</v>
      </c>
      <c r="B54" s="80" t="s">
        <v>223</v>
      </c>
      <c r="C54" s="62">
        <v>82</v>
      </c>
      <c r="D54" s="61" t="s">
        <v>224</v>
      </c>
      <c r="E54" s="61"/>
      <c r="F54" s="79">
        <v>1.3899999999999999E-2</v>
      </c>
      <c r="G54" s="72">
        <v>198850.82</v>
      </c>
      <c r="H54" s="124">
        <f>106170.82+89980.82+2699</f>
        <v>198850.64</v>
      </c>
      <c r="I54" s="73">
        <f t="shared" si="10"/>
        <v>0.17999999999301508</v>
      </c>
      <c r="J54" s="73">
        <f t="shared" si="11"/>
        <v>5.3999999997904526E-3</v>
      </c>
      <c r="K54" s="74">
        <f t="shared" si="12"/>
        <v>4239.403534</v>
      </c>
      <c r="L54" s="74">
        <f t="shared" si="13"/>
        <v>50040</v>
      </c>
      <c r="M54" s="133">
        <f t="shared" si="14"/>
        <v>17250.319223999999</v>
      </c>
      <c r="N54" s="133">
        <f t="shared" si="15"/>
        <v>7804.3329199999998</v>
      </c>
      <c r="O54" s="133">
        <f t="shared" si="16"/>
        <v>16680</v>
      </c>
      <c r="P54" s="75">
        <f t="shared" si="17"/>
        <v>96014.82</v>
      </c>
      <c r="Q54" s="76">
        <f t="shared" si="18"/>
        <v>98894.82</v>
      </c>
      <c r="R54" s="45">
        <f t="shared" si="19"/>
        <v>0.82</v>
      </c>
    </row>
    <row r="55" spans="1:18" ht="17.100000000000001" customHeight="1" x14ac:dyDescent="0.25">
      <c r="A55" s="62">
        <v>6</v>
      </c>
      <c r="B55" s="80" t="s">
        <v>225</v>
      </c>
      <c r="C55" s="62">
        <v>83</v>
      </c>
      <c r="D55" s="61" t="s">
        <v>226</v>
      </c>
      <c r="E55" s="61" t="s">
        <v>227</v>
      </c>
      <c r="F55" s="79">
        <v>1.3899999999999999E-2</v>
      </c>
      <c r="G55" s="72">
        <v>106170.83</v>
      </c>
      <c r="H55" s="124"/>
      <c r="I55" s="73">
        <f t="shared" si="10"/>
        <v>106170.83</v>
      </c>
      <c r="J55" s="73">
        <f t="shared" si="11"/>
        <v>3185.1248999999998</v>
      </c>
      <c r="K55" s="74">
        <f t="shared" si="12"/>
        <v>4239.403534</v>
      </c>
      <c r="L55" s="74">
        <f t="shared" si="13"/>
        <v>50040</v>
      </c>
      <c r="M55" s="133">
        <f t="shared" si="14"/>
        <v>17250.319223999999</v>
      </c>
      <c r="N55" s="133">
        <f t="shared" si="15"/>
        <v>7804.3329199999998</v>
      </c>
      <c r="O55" s="133">
        <f t="shared" si="16"/>
        <v>16680</v>
      </c>
      <c r="P55" s="75">
        <f t="shared" si="17"/>
        <v>205370.83</v>
      </c>
      <c r="Q55" s="76">
        <f t="shared" si="18"/>
        <v>211531.83</v>
      </c>
      <c r="R55" s="45">
        <f t="shared" si="19"/>
        <v>0.83</v>
      </c>
    </row>
    <row r="56" spans="1:18" ht="17.100000000000001" customHeight="1" x14ac:dyDescent="0.25">
      <c r="A56" s="62">
        <v>6</v>
      </c>
      <c r="B56" s="80" t="s">
        <v>228</v>
      </c>
      <c r="C56" s="62">
        <v>84</v>
      </c>
      <c r="D56" s="61" t="s">
        <v>229</v>
      </c>
      <c r="E56" s="78"/>
      <c r="F56" s="79">
        <v>2.0199999999999999E-2</v>
      </c>
      <c r="G56" s="72">
        <v>154290.84</v>
      </c>
      <c r="H56" s="124">
        <f>134090.84</f>
        <v>134090.84</v>
      </c>
      <c r="I56" s="73">
        <f t="shared" si="10"/>
        <v>20200</v>
      </c>
      <c r="J56" s="73">
        <f t="shared" si="11"/>
        <v>606</v>
      </c>
      <c r="K56" s="74">
        <f t="shared" si="12"/>
        <v>6160.8598119999997</v>
      </c>
      <c r="L56" s="74">
        <f t="shared" si="13"/>
        <v>72720</v>
      </c>
      <c r="M56" s="133">
        <f t="shared" si="14"/>
        <v>25068.809231999996</v>
      </c>
      <c r="N56" s="133">
        <f t="shared" si="15"/>
        <v>11341.548560000001</v>
      </c>
      <c r="O56" s="133">
        <f t="shared" si="16"/>
        <v>24240</v>
      </c>
      <c r="P56" s="75">
        <f t="shared" si="17"/>
        <v>160337.84</v>
      </c>
      <c r="Q56" s="76">
        <f t="shared" si="18"/>
        <v>165147.84</v>
      </c>
      <c r="R56" s="45">
        <f t="shared" si="19"/>
        <v>0.84</v>
      </c>
    </row>
    <row r="57" spans="1:18" ht="17.100000000000001" customHeight="1" x14ac:dyDescent="0.25">
      <c r="A57" s="62">
        <v>7</v>
      </c>
      <c r="B57" s="80"/>
      <c r="C57" s="62"/>
      <c r="D57" s="61"/>
      <c r="E57" s="78"/>
      <c r="F57" s="79"/>
      <c r="G57" s="72">
        <v>0</v>
      </c>
      <c r="H57" s="124"/>
      <c r="I57" s="73"/>
      <c r="J57" s="73"/>
      <c r="K57" s="74"/>
      <c r="L57" s="74">
        <f t="shared" si="13"/>
        <v>0</v>
      </c>
      <c r="M57" s="133"/>
      <c r="N57" s="133"/>
      <c r="O57" s="133">
        <f t="shared" si="16"/>
        <v>0</v>
      </c>
      <c r="P57" s="75">
        <f t="shared" si="17"/>
        <v>0</v>
      </c>
      <c r="Q57" s="76"/>
      <c r="R57" s="45">
        <f t="shared" si="19"/>
        <v>0</v>
      </c>
    </row>
    <row r="58" spans="1:18" ht="17.100000000000001" customHeight="1" x14ac:dyDescent="0.25">
      <c r="A58" s="62">
        <v>7</v>
      </c>
      <c r="B58" s="80"/>
      <c r="C58" s="62"/>
      <c r="D58" s="61"/>
      <c r="E58" s="61"/>
      <c r="F58" s="79"/>
      <c r="G58" s="72">
        <v>0</v>
      </c>
      <c r="H58" s="124"/>
      <c r="I58" s="73"/>
      <c r="J58" s="73"/>
      <c r="K58" s="74"/>
      <c r="L58" s="74">
        <f t="shared" si="13"/>
        <v>0</v>
      </c>
      <c r="M58" s="133"/>
      <c r="N58" s="133"/>
      <c r="O58" s="133">
        <f t="shared" si="16"/>
        <v>0</v>
      </c>
      <c r="P58" s="75">
        <f t="shared" si="17"/>
        <v>0</v>
      </c>
      <c r="Q58" s="76"/>
      <c r="R58" s="45">
        <f t="shared" si="19"/>
        <v>0</v>
      </c>
    </row>
    <row r="59" spans="1:18" ht="17.100000000000001" customHeight="1" x14ac:dyDescent="0.25">
      <c r="A59" s="62">
        <v>7</v>
      </c>
      <c r="B59" s="80" t="s">
        <v>230</v>
      </c>
      <c r="C59" s="62">
        <v>17</v>
      </c>
      <c r="D59" s="148" t="s">
        <v>196</v>
      </c>
      <c r="E59" s="148" t="s">
        <v>231</v>
      </c>
      <c r="F59" s="79">
        <v>3.2000000000000002E-3</v>
      </c>
      <c r="G59" s="72">
        <v>24442.17</v>
      </c>
      <c r="H59" s="124">
        <f>23247.47-H72+2723</f>
        <v>24442.170000000002</v>
      </c>
      <c r="I59" s="73">
        <f t="shared" ref="I59:I90" si="20">G59-H59</f>
        <v>0</v>
      </c>
      <c r="J59" s="73">
        <f t="shared" ref="J59:J90" si="21">IF(I59&gt;0,I59*3%,0)</f>
        <v>0</v>
      </c>
      <c r="K59" s="74">
        <f t="shared" ref="K59:K90" si="22">M$2*F59</f>
        <v>975.97779200000002</v>
      </c>
      <c r="L59" s="74">
        <f t="shared" si="13"/>
        <v>11520</v>
      </c>
      <c r="M59" s="133">
        <f t="shared" ref="M59:M90" si="23">F$1*F59</f>
        <v>3971.2965119999999</v>
      </c>
      <c r="N59" s="133">
        <f t="shared" ref="N59:N90" si="24">F$2*F59</f>
        <v>1796.6809600000001</v>
      </c>
      <c r="O59" s="133">
        <f t="shared" si="16"/>
        <v>3840</v>
      </c>
      <c r="P59" s="75">
        <f t="shared" si="17"/>
        <v>22104.17</v>
      </c>
      <c r="Q59" s="76">
        <f t="shared" ref="Q59:Q90" si="25">ROUND(P59*3%,0) + P59</f>
        <v>22767.17</v>
      </c>
      <c r="R59" s="45">
        <f t="shared" si="19"/>
        <v>0.17</v>
      </c>
    </row>
    <row r="60" spans="1:18" ht="17.100000000000001" customHeight="1" x14ac:dyDescent="0.25">
      <c r="A60" s="62">
        <v>8</v>
      </c>
      <c r="B60" s="80" t="s">
        <v>232</v>
      </c>
      <c r="C60" s="62">
        <v>18</v>
      </c>
      <c r="D60" s="61" t="s">
        <v>233</v>
      </c>
      <c r="E60" s="78"/>
      <c r="F60" s="79">
        <v>3.3E-3</v>
      </c>
      <c r="G60" s="72">
        <v>142877.18</v>
      </c>
      <c r="H60" s="124"/>
      <c r="I60" s="73">
        <f t="shared" si="20"/>
        <v>142877.18</v>
      </c>
      <c r="J60" s="73">
        <f t="shared" si="21"/>
        <v>4286.3153999999995</v>
      </c>
      <c r="K60" s="74">
        <f t="shared" si="22"/>
        <v>1006.477098</v>
      </c>
      <c r="L60" s="74">
        <f t="shared" si="13"/>
        <v>11880</v>
      </c>
      <c r="M60" s="133">
        <f t="shared" si="23"/>
        <v>4095.3995279999999</v>
      </c>
      <c r="N60" s="133">
        <f t="shared" si="24"/>
        <v>1852.8272400000001</v>
      </c>
      <c r="O60" s="133">
        <f t="shared" si="16"/>
        <v>3960</v>
      </c>
      <c r="P60" s="75">
        <f t="shared" si="17"/>
        <v>169958.18</v>
      </c>
      <c r="Q60" s="76">
        <f t="shared" si="25"/>
        <v>175057.18</v>
      </c>
      <c r="R60" s="45">
        <f t="shared" si="19"/>
        <v>0.18</v>
      </c>
    </row>
    <row r="61" spans="1:18" ht="17.100000000000001" customHeight="1" x14ac:dyDescent="0.25">
      <c r="A61" s="62">
        <v>8</v>
      </c>
      <c r="B61" s="80" t="s">
        <v>234</v>
      </c>
      <c r="C61" s="62">
        <v>19</v>
      </c>
      <c r="D61" s="61" t="s">
        <v>235</v>
      </c>
      <c r="E61" s="78"/>
      <c r="F61" s="79">
        <v>4.0000000000000002E-4</v>
      </c>
      <c r="G61" s="72">
        <v>935.19</v>
      </c>
      <c r="H61" s="124"/>
      <c r="I61" s="73">
        <f t="shared" si="20"/>
        <v>935.19</v>
      </c>
      <c r="J61" s="73">
        <f t="shared" si="21"/>
        <v>28.055700000000002</v>
      </c>
      <c r="K61" s="74">
        <f t="shared" si="22"/>
        <v>121.997224</v>
      </c>
      <c r="L61" s="74">
        <f t="shared" si="13"/>
        <v>1440</v>
      </c>
      <c r="M61" s="133">
        <f t="shared" si="23"/>
        <v>496.41206399999999</v>
      </c>
      <c r="N61" s="133">
        <f t="shared" si="24"/>
        <v>224.58512000000002</v>
      </c>
      <c r="O61" s="133">
        <f t="shared" si="16"/>
        <v>480</v>
      </c>
      <c r="P61" s="75">
        <f t="shared" si="17"/>
        <v>3726.19</v>
      </c>
      <c r="Q61" s="76">
        <f t="shared" si="25"/>
        <v>3838.19</v>
      </c>
      <c r="R61" s="45">
        <f t="shared" si="19"/>
        <v>0.19</v>
      </c>
    </row>
    <row r="62" spans="1:18" ht="17.100000000000001" customHeight="1" x14ac:dyDescent="0.25">
      <c r="A62" s="62">
        <v>8</v>
      </c>
      <c r="B62" s="80" t="s">
        <v>236</v>
      </c>
      <c r="C62" s="62">
        <v>20</v>
      </c>
      <c r="D62" s="61" t="s">
        <v>235</v>
      </c>
      <c r="E62" s="78"/>
      <c r="F62" s="79">
        <v>2.0000000000000001E-4</v>
      </c>
      <c r="G62" s="72">
        <v>1528.2</v>
      </c>
      <c r="H62" s="124"/>
      <c r="I62" s="73">
        <f t="shared" si="20"/>
        <v>1528.2</v>
      </c>
      <c r="J62" s="73">
        <f t="shared" si="21"/>
        <v>45.845999999999997</v>
      </c>
      <c r="K62" s="74">
        <f t="shared" si="22"/>
        <v>60.998612000000001</v>
      </c>
      <c r="L62" s="74">
        <f t="shared" si="13"/>
        <v>720</v>
      </c>
      <c r="M62" s="133">
        <f t="shared" si="23"/>
        <v>248.20603199999999</v>
      </c>
      <c r="N62" s="133">
        <f t="shared" si="24"/>
        <v>112.29256000000001</v>
      </c>
      <c r="O62" s="133">
        <f t="shared" si="16"/>
        <v>240</v>
      </c>
      <c r="P62" s="75">
        <f t="shared" si="17"/>
        <v>2956.2</v>
      </c>
      <c r="Q62" s="76">
        <f t="shared" si="25"/>
        <v>3045.2</v>
      </c>
      <c r="R62" s="45">
        <f t="shared" si="19"/>
        <v>0.2</v>
      </c>
    </row>
    <row r="63" spans="1:18" ht="17.100000000000001" customHeight="1" x14ac:dyDescent="0.25">
      <c r="A63" s="62">
        <v>9</v>
      </c>
      <c r="B63" s="80" t="s">
        <v>237</v>
      </c>
      <c r="C63" s="62">
        <v>21</v>
      </c>
      <c r="D63" s="148" t="s">
        <v>238</v>
      </c>
      <c r="E63" s="181" t="s">
        <v>110</v>
      </c>
      <c r="F63" s="79">
        <v>2.0000000000000001E-4</v>
      </c>
      <c r="G63" s="72">
        <v>1528.21</v>
      </c>
      <c r="H63" s="124">
        <f>G63</f>
        <v>1528.21</v>
      </c>
      <c r="I63" s="73">
        <f t="shared" si="20"/>
        <v>0</v>
      </c>
      <c r="J63" s="73">
        <f t="shared" si="21"/>
        <v>0</v>
      </c>
      <c r="K63" s="74">
        <f t="shared" si="22"/>
        <v>60.998612000000001</v>
      </c>
      <c r="L63" s="74">
        <f t="shared" si="13"/>
        <v>720</v>
      </c>
      <c r="M63" s="133">
        <f t="shared" si="23"/>
        <v>248.20603199999999</v>
      </c>
      <c r="N63" s="133">
        <f t="shared" si="24"/>
        <v>112.29256000000001</v>
      </c>
      <c r="O63" s="133">
        <f t="shared" si="16"/>
        <v>240</v>
      </c>
      <c r="P63" s="75">
        <f t="shared" si="17"/>
        <v>1381.21</v>
      </c>
      <c r="Q63" s="76">
        <f t="shared" si="25"/>
        <v>1422.21</v>
      </c>
      <c r="R63" s="45">
        <f t="shared" si="19"/>
        <v>0.21</v>
      </c>
    </row>
    <row r="64" spans="1:18" ht="17.100000000000001" customHeight="1" x14ac:dyDescent="0.25">
      <c r="A64" s="62">
        <v>9</v>
      </c>
      <c r="B64" s="80" t="s">
        <v>239</v>
      </c>
      <c r="C64" s="62">
        <v>22</v>
      </c>
      <c r="D64" s="61" t="s">
        <v>107</v>
      </c>
      <c r="E64" s="63"/>
      <c r="F64" s="79">
        <v>2.0000000000000001E-4</v>
      </c>
      <c r="G64" s="72">
        <v>1528.22</v>
      </c>
      <c r="H64" s="124"/>
      <c r="I64" s="73">
        <f t="shared" si="20"/>
        <v>1528.22</v>
      </c>
      <c r="J64" s="73">
        <f t="shared" si="21"/>
        <v>45.846600000000002</v>
      </c>
      <c r="K64" s="74">
        <f t="shared" si="22"/>
        <v>60.998612000000001</v>
      </c>
      <c r="L64" s="74">
        <f t="shared" si="13"/>
        <v>720</v>
      </c>
      <c r="M64" s="133">
        <f t="shared" si="23"/>
        <v>248.20603199999999</v>
      </c>
      <c r="N64" s="133">
        <f t="shared" si="24"/>
        <v>112.29256000000001</v>
      </c>
      <c r="O64" s="133">
        <f t="shared" si="16"/>
        <v>240</v>
      </c>
      <c r="P64" s="75">
        <f t="shared" si="17"/>
        <v>2956.22</v>
      </c>
      <c r="Q64" s="76">
        <f t="shared" si="25"/>
        <v>3045.22</v>
      </c>
      <c r="R64" s="45">
        <f t="shared" si="19"/>
        <v>0.22</v>
      </c>
    </row>
    <row r="65" spans="1:19" ht="17.100000000000001" customHeight="1" x14ac:dyDescent="0.25">
      <c r="A65" s="62">
        <v>9</v>
      </c>
      <c r="B65" s="80" t="s">
        <v>240</v>
      </c>
      <c r="C65" s="62">
        <v>23</v>
      </c>
      <c r="D65" s="148" t="s">
        <v>156</v>
      </c>
      <c r="E65" s="181" t="s">
        <v>157</v>
      </c>
      <c r="F65" s="79">
        <v>2.0000000000000001E-4</v>
      </c>
      <c r="G65" s="72">
        <v>1528.23</v>
      </c>
      <c r="H65" s="124">
        <f t="shared" ref="H65" si="26">G65</f>
        <v>1528.23</v>
      </c>
      <c r="I65" s="73">
        <f t="shared" si="20"/>
        <v>0</v>
      </c>
      <c r="J65" s="73">
        <f t="shared" si="21"/>
        <v>0</v>
      </c>
      <c r="K65" s="74">
        <f t="shared" si="22"/>
        <v>60.998612000000001</v>
      </c>
      <c r="L65" s="74">
        <f t="shared" si="13"/>
        <v>720</v>
      </c>
      <c r="M65" s="133">
        <f t="shared" si="23"/>
        <v>248.20603199999999</v>
      </c>
      <c r="N65" s="133">
        <f t="shared" si="24"/>
        <v>112.29256000000001</v>
      </c>
      <c r="O65" s="133">
        <f t="shared" si="16"/>
        <v>240</v>
      </c>
      <c r="P65" s="75">
        <f t="shared" si="17"/>
        <v>1381.23</v>
      </c>
      <c r="Q65" s="76">
        <f t="shared" si="25"/>
        <v>1422.23</v>
      </c>
      <c r="R65" s="45">
        <f t="shared" si="19"/>
        <v>0.23</v>
      </c>
    </row>
    <row r="66" spans="1:19" ht="17.100000000000001" customHeight="1" x14ac:dyDescent="0.25">
      <c r="A66" s="62">
        <v>10</v>
      </c>
      <c r="B66" s="80" t="s">
        <v>241</v>
      </c>
      <c r="C66" s="62">
        <v>24</v>
      </c>
      <c r="D66" s="61" t="s">
        <v>216</v>
      </c>
      <c r="E66" s="78"/>
      <c r="F66" s="79">
        <v>2.0000000000000001E-4</v>
      </c>
      <c r="G66" s="72">
        <v>1528.24</v>
      </c>
      <c r="H66" s="124">
        <f>G66</f>
        <v>1528.24</v>
      </c>
      <c r="I66" s="73">
        <f t="shared" si="20"/>
        <v>0</v>
      </c>
      <c r="J66" s="73">
        <f t="shared" si="21"/>
        <v>0</v>
      </c>
      <c r="K66" s="74">
        <f t="shared" si="22"/>
        <v>60.998612000000001</v>
      </c>
      <c r="L66" s="74">
        <f t="shared" si="13"/>
        <v>720</v>
      </c>
      <c r="M66" s="133">
        <f t="shared" si="23"/>
        <v>248.20603199999999</v>
      </c>
      <c r="N66" s="133">
        <f t="shared" si="24"/>
        <v>112.29256000000001</v>
      </c>
      <c r="O66" s="133">
        <f t="shared" si="16"/>
        <v>240</v>
      </c>
      <c r="P66" s="75">
        <f t="shared" si="17"/>
        <v>1381.24</v>
      </c>
      <c r="Q66" s="76">
        <f t="shared" si="25"/>
        <v>1422.24</v>
      </c>
      <c r="R66" s="45">
        <f t="shared" si="19"/>
        <v>0.24</v>
      </c>
    </row>
    <row r="67" spans="1:19" ht="17.100000000000001" customHeight="1" x14ac:dyDescent="0.25">
      <c r="A67" s="62">
        <v>10</v>
      </c>
      <c r="B67" s="80" t="s">
        <v>242</v>
      </c>
      <c r="C67" s="62">
        <v>25</v>
      </c>
      <c r="D67" s="61" t="s">
        <v>243</v>
      </c>
      <c r="E67" s="61" t="s">
        <v>244</v>
      </c>
      <c r="F67" s="79">
        <v>2.0000000000000001E-4</v>
      </c>
      <c r="G67" s="72">
        <v>1528.25</v>
      </c>
      <c r="H67" s="231">
        <v>1328.25</v>
      </c>
      <c r="I67" s="73">
        <f t="shared" si="20"/>
        <v>200</v>
      </c>
      <c r="J67" s="73">
        <f t="shared" si="21"/>
        <v>6</v>
      </c>
      <c r="K67" s="74">
        <f t="shared" si="22"/>
        <v>60.998612000000001</v>
      </c>
      <c r="L67" s="74">
        <f t="shared" si="13"/>
        <v>720</v>
      </c>
      <c r="M67" s="133">
        <f t="shared" si="23"/>
        <v>248.20603199999999</v>
      </c>
      <c r="N67" s="133">
        <f t="shared" si="24"/>
        <v>112.29256000000001</v>
      </c>
      <c r="O67" s="133">
        <f t="shared" si="16"/>
        <v>240</v>
      </c>
      <c r="P67" s="75">
        <f t="shared" si="17"/>
        <v>1587.25</v>
      </c>
      <c r="Q67" s="76">
        <f t="shared" si="25"/>
        <v>1635.25</v>
      </c>
      <c r="R67" s="45">
        <f t="shared" si="19"/>
        <v>0.25</v>
      </c>
    </row>
    <row r="68" spans="1:19" ht="17.100000000000001" customHeight="1" x14ac:dyDescent="0.25">
      <c r="A68" s="62">
        <v>10</v>
      </c>
      <c r="B68" s="80" t="s">
        <v>245</v>
      </c>
      <c r="C68" s="62">
        <v>26</v>
      </c>
      <c r="D68" s="61" t="s">
        <v>161</v>
      </c>
      <c r="E68" s="61"/>
      <c r="F68" s="79">
        <v>2.0000000000000001E-4</v>
      </c>
      <c r="G68" s="72">
        <v>1489.26</v>
      </c>
      <c r="H68" s="124">
        <v>1289.26</v>
      </c>
      <c r="I68" s="73">
        <f t="shared" si="20"/>
        <v>200</v>
      </c>
      <c r="J68" s="73">
        <f t="shared" si="21"/>
        <v>6</v>
      </c>
      <c r="K68" s="74">
        <f t="shared" si="22"/>
        <v>60.998612000000001</v>
      </c>
      <c r="L68" s="74">
        <f t="shared" si="13"/>
        <v>720</v>
      </c>
      <c r="M68" s="133">
        <f t="shared" si="23"/>
        <v>248.20603199999999</v>
      </c>
      <c r="N68" s="133">
        <f t="shared" si="24"/>
        <v>112.29256000000001</v>
      </c>
      <c r="O68" s="133">
        <f t="shared" si="16"/>
        <v>240</v>
      </c>
      <c r="P68" s="75">
        <f t="shared" si="17"/>
        <v>1587.26</v>
      </c>
      <c r="Q68" s="76">
        <f t="shared" si="25"/>
        <v>1635.26</v>
      </c>
      <c r="R68" s="45">
        <f t="shared" si="19"/>
        <v>0.26</v>
      </c>
    </row>
    <row r="69" spans="1:19" ht="17.100000000000001" customHeight="1" x14ac:dyDescent="0.25">
      <c r="A69" s="62">
        <v>11</v>
      </c>
      <c r="B69" s="80" t="s">
        <v>246</v>
      </c>
      <c r="C69" s="62">
        <v>27</v>
      </c>
      <c r="D69" s="61" t="s">
        <v>247</v>
      </c>
      <c r="E69" s="78"/>
      <c r="F69" s="79">
        <v>2.0000000000000001E-4</v>
      </c>
      <c r="G69" s="72">
        <v>10064.27</v>
      </c>
      <c r="H69" s="124"/>
      <c r="I69" s="73">
        <f t="shared" si="20"/>
        <v>10064.27</v>
      </c>
      <c r="J69" s="73">
        <f t="shared" si="21"/>
        <v>301.92810000000003</v>
      </c>
      <c r="K69" s="74">
        <f t="shared" si="22"/>
        <v>60.998612000000001</v>
      </c>
      <c r="L69" s="74">
        <f t="shared" ref="L69:L90" si="27">M$1*F69</f>
        <v>720</v>
      </c>
      <c r="M69" s="133">
        <f t="shared" si="23"/>
        <v>248.20603199999999</v>
      </c>
      <c r="N69" s="133">
        <f t="shared" si="24"/>
        <v>112.29256000000001</v>
      </c>
      <c r="O69" s="133">
        <f t="shared" ref="O69:O90" si="28">I$2*F69</f>
        <v>240</v>
      </c>
      <c r="P69" s="75">
        <f t="shared" ref="P69:P90" si="29">ROUND(SUM(I69:O69),0) + R69</f>
        <v>11748.27</v>
      </c>
      <c r="Q69" s="76">
        <f t="shared" si="25"/>
        <v>12100.27</v>
      </c>
      <c r="R69" s="45">
        <f t="shared" ref="R69:R90" si="30">ROUND(0.001+C69/100,2)</f>
        <v>0.27</v>
      </c>
    </row>
    <row r="70" spans="1:19" ht="17.100000000000001" customHeight="1" x14ac:dyDescent="0.25">
      <c r="A70" s="62">
        <v>11</v>
      </c>
      <c r="B70" s="80" t="s">
        <v>248</v>
      </c>
      <c r="C70" s="62">
        <v>28</v>
      </c>
      <c r="D70" s="61" t="s">
        <v>247</v>
      </c>
      <c r="E70" s="78"/>
      <c r="F70" s="79">
        <v>2.0000000000000001E-4</v>
      </c>
      <c r="G70" s="72">
        <v>10064.280000000001</v>
      </c>
      <c r="H70" s="124"/>
      <c r="I70" s="73">
        <f t="shared" si="20"/>
        <v>10064.280000000001</v>
      </c>
      <c r="J70" s="73">
        <f t="shared" si="21"/>
        <v>301.92840000000001</v>
      </c>
      <c r="K70" s="74">
        <f t="shared" si="22"/>
        <v>60.998612000000001</v>
      </c>
      <c r="L70" s="74">
        <f t="shared" si="27"/>
        <v>720</v>
      </c>
      <c r="M70" s="133">
        <f t="shared" si="23"/>
        <v>248.20603199999999</v>
      </c>
      <c r="N70" s="133">
        <f t="shared" si="24"/>
        <v>112.29256000000001</v>
      </c>
      <c r="O70" s="133">
        <f t="shared" si="28"/>
        <v>240</v>
      </c>
      <c r="P70" s="75">
        <f t="shared" si="29"/>
        <v>11748.28</v>
      </c>
      <c r="Q70" s="76">
        <f t="shared" si="25"/>
        <v>12100.28</v>
      </c>
      <c r="R70" s="45">
        <f t="shared" si="30"/>
        <v>0.28000000000000003</v>
      </c>
    </row>
    <row r="71" spans="1:19" ht="17.100000000000001" customHeight="1" x14ac:dyDescent="0.25">
      <c r="A71" s="62">
        <v>11</v>
      </c>
      <c r="B71" s="80" t="s">
        <v>249</v>
      </c>
      <c r="C71" s="62">
        <v>29</v>
      </c>
      <c r="D71" s="61" t="s">
        <v>122</v>
      </c>
      <c r="E71" s="61" t="s">
        <v>250</v>
      </c>
      <c r="F71" s="79">
        <v>2.0000000000000001E-4</v>
      </c>
      <c r="G71" s="72">
        <v>2862.29</v>
      </c>
      <c r="H71" s="124">
        <v>2945.29</v>
      </c>
      <c r="I71" s="73">
        <f t="shared" si="20"/>
        <v>-83</v>
      </c>
      <c r="J71" s="73">
        <f t="shared" si="21"/>
        <v>0</v>
      </c>
      <c r="K71" s="74">
        <f t="shared" si="22"/>
        <v>60.998612000000001</v>
      </c>
      <c r="L71" s="74">
        <f t="shared" si="27"/>
        <v>720</v>
      </c>
      <c r="M71" s="133">
        <f t="shared" si="23"/>
        <v>248.20603199999999</v>
      </c>
      <c r="N71" s="133">
        <f t="shared" si="24"/>
        <v>112.29256000000001</v>
      </c>
      <c r="O71" s="133">
        <f t="shared" si="28"/>
        <v>240</v>
      </c>
      <c r="P71" s="75">
        <f t="shared" si="29"/>
        <v>1298.29</v>
      </c>
      <c r="Q71" s="76">
        <f t="shared" si="25"/>
        <v>1337.29</v>
      </c>
      <c r="R71" s="45">
        <f t="shared" si="30"/>
        <v>0.28999999999999998</v>
      </c>
    </row>
    <row r="72" spans="1:19" ht="17.100000000000001" customHeight="1" x14ac:dyDescent="0.25">
      <c r="A72" s="62"/>
      <c r="B72" s="81" t="s">
        <v>251</v>
      </c>
      <c r="C72" s="62">
        <v>30</v>
      </c>
      <c r="D72" s="182" t="s">
        <v>122</v>
      </c>
      <c r="E72" s="148" t="s">
        <v>231</v>
      </c>
      <c r="F72" s="83">
        <v>2.0000000000000001E-4</v>
      </c>
      <c r="G72" s="72">
        <v>1528.3</v>
      </c>
      <c r="H72" s="124">
        <f>G72</f>
        <v>1528.3</v>
      </c>
      <c r="I72" s="73">
        <f t="shared" si="20"/>
        <v>0</v>
      </c>
      <c r="J72" s="73">
        <f t="shared" si="21"/>
        <v>0</v>
      </c>
      <c r="K72" s="74">
        <f t="shared" si="22"/>
        <v>60.998612000000001</v>
      </c>
      <c r="L72" s="74">
        <f t="shared" si="27"/>
        <v>720</v>
      </c>
      <c r="M72" s="133">
        <f t="shared" si="23"/>
        <v>248.20603199999999</v>
      </c>
      <c r="N72" s="133">
        <f t="shared" si="24"/>
        <v>112.29256000000001</v>
      </c>
      <c r="O72" s="133">
        <f t="shared" si="28"/>
        <v>240</v>
      </c>
      <c r="P72" s="75">
        <f t="shared" si="29"/>
        <v>1381.3</v>
      </c>
      <c r="Q72" s="76">
        <f t="shared" si="25"/>
        <v>1422.3</v>
      </c>
      <c r="R72" s="45">
        <f t="shared" si="30"/>
        <v>0.3</v>
      </c>
    </row>
    <row r="73" spans="1:19" ht="17.100000000000001" customHeight="1" x14ac:dyDescent="0.25">
      <c r="A73" s="62"/>
      <c r="B73" s="81" t="s">
        <v>252</v>
      </c>
      <c r="C73" s="62">
        <v>31</v>
      </c>
      <c r="D73" s="82" t="s">
        <v>122</v>
      </c>
      <c r="E73" s="82"/>
      <c r="F73" s="83">
        <v>2.0000000000000001E-4</v>
      </c>
      <c r="G73" s="72">
        <v>3991.31</v>
      </c>
      <c r="H73" s="124"/>
      <c r="I73" s="73">
        <f t="shared" si="20"/>
        <v>3991.31</v>
      </c>
      <c r="J73" s="73">
        <f t="shared" si="21"/>
        <v>119.7393</v>
      </c>
      <c r="K73" s="74">
        <f t="shared" si="22"/>
        <v>60.998612000000001</v>
      </c>
      <c r="L73" s="74">
        <f t="shared" si="27"/>
        <v>720</v>
      </c>
      <c r="M73" s="133">
        <f t="shared" si="23"/>
        <v>248.20603199999999</v>
      </c>
      <c r="N73" s="133">
        <f t="shared" si="24"/>
        <v>112.29256000000001</v>
      </c>
      <c r="O73" s="133">
        <f t="shared" si="28"/>
        <v>240</v>
      </c>
      <c r="P73" s="75">
        <f t="shared" si="29"/>
        <v>5493.31</v>
      </c>
      <c r="Q73" s="76">
        <f t="shared" si="25"/>
        <v>5658.31</v>
      </c>
      <c r="R73" s="45">
        <f t="shared" si="30"/>
        <v>0.31</v>
      </c>
    </row>
    <row r="74" spans="1:19" ht="17.100000000000001" customHeight="1" x14ac:dyDescent="0.25">
      <c r="A74" s="62"/>
      <c r="B74" s="81" t="s">
        <v>253</v>
      </c>
      <c r="C74" s="62">
        <v>32</v>
      </c>
      <c r="D74" s="82" t="s">
        <v>254</v>
      </c>
      <c r="E74" s="82"/>
      <c r="F74" s="83">
        <v>1.5800000000000002E-2</v>
      </c>
      <c r="G74" s="72">
        <v>2242283.3199999998</v>
      </c>
      <c r="H74" s="124"/>
      <c r="I74" s="73">
        <f t="shared" si="20"/>
        <v>2242283.3199999998</v>
      </c>
      <c r="J74" s="73">
        <f t="shared" si="21"/>
        <v>67268.499599999996</v>
      </c>
      <c r="K74" s="74">
        <f t="shared" si="22"/>
        <v>4818.8903480000008</v>
      </c>
      <c r="L74" s="74">
        <f t="shared" si="27"/>
        <v>56880.000000000007</v>
      </c>
      <c r="M74" s="133">
        <f t="shared" si="23"/>
        <v>19608.276528000002</v>
      </c>
      <c r="N74" s="133">
        <f t="shared" si="24"/>
        <v>8871.1122400000022</v>
      </c>
      <c r="O74" s="133">
        <f t="shared" si="28"/>
        <v>18960.000000000004</v>
      </c>
      <c r="P74" s="75">
        <f t="shared" si="29"/>
        <v>2418690.3199999998</v>
      </c>
      <c r="Q74" s="76">
        <f t="shared" si="25"/>
        <v>2491251.3199999998</v>
      </c>
      <c r="R74" s="45">
        <f t="shared" si="30"/>
        <v>0.32</v>
      </c>
    </row>
    <row r="75" spans="1:19" ht="17.100000000000001" customHeight="1" x14ac:dyDescent="0.25">
      <c r="A75" s="62"/>
      <c r="B75" s="81" t="s">
        <v>255</v>
      </c>
      <c r="C75" s="62">
        <v>1</v>
      </c>
      <c r="D75" s="82" t="s">
        <v>196</v>
      </c>
      <c r="E75" s="82"/>
      <c r="F75" s="83">
        <v>6.1000000000000004E-3</v>
      </c>
      <c r="G75" s="72">
        <v>233073.01</v>
      </c>
      <c r="H75" s="124"/>
      <c r="I75" s="73">
        <f t="shared" si="20"/>
        <v>233073.01</v>
      </c>
      <c r="J75" s="73">
        <f t="shared" si="21"/>
        <v>6992.1903000000002</v>
      </c>
      <c r="K75" s="74">
        <f t="shared" si="22"/>
        <v>1860.457666</v>
      </c>
      <c r="L75" s="74">
        <f t="shared" si="27"/>
        <v>21960</v>
      </c>
      <c r="M75" s="133">
        <f t="shared" si="23"/>
        <v>7570.2839759999997</v>
      </c>
      <c r="N75" s="133">
        <f t="shared" si="24"/>
        <v>3424.9230800000005</v>
      </c>
      <c r="O75" s="133">
        <f t="shared" si="28"/>
        <v>7320.0000000000009</v>
      </c>
      <c r="P75" s="75">
        <f t="shared" si="29"/>
        <v>282201.01</v>
      </c>
      <c r="Q75" s="76">
        <f t="shared" si="25"/>
        <v>290667.01</v>
      </c>
      <c r="R75" s="45">
        <f t="shared" si="30"/>
        <v>0.01</v>
      </c>
    </row>
    <row r="76" spans="1:19" ht="17.100000000000001" customHeight="1" x14ac:dyDescent="0.25">
      <c r="A76" s="62"/>
      <c r="B76" s="81" t="s">
        <v>256</v>
      </c>
      <c r="C76" s="62">
        <v>2</v>
      </c>
      <c r="D76" s="182" t="s">
        <v>257</v>
      </c>
      <c r="E76" s="182"/>
      <c r="F76" s="83">
        <v>6.4000000000000003E-3</v>
      </c>
      <c r="G76" s="72">
        <v>48884.02</v>
      </c>
      <c r="H76" s="124">
        <f>G76</f>
        <v>48884.02</v>
      </c>
      <c r="I76" s="73">
        <f t="shared" si="20"/>
        <v>0</v>
      </c>
      <c r="J76" s="73">
        <f t="shared" si="21"/>
        <v>0</v>
      </c>
      <c r="K76" s="74">
        <f t="shared" si="22"/>
        <v>1951.955584</v>
      </c>
      <c r="L76" s="74">
        <f t="shared" si="27"/>
        <v>23040</v>
      </c>
      <c r="M76" s="133">
        <f t="shared" si="23"/>
        <v>7942.5930239999998</v>
      </c>
      <c r="N76" s="133">
        <f t="shared" si="24"/>
        <v>3593.3619200000003</v>
      </c>
      <c r="O76" s="133">
        <f t="shared" si="28"/>
        <v>7680</v>
      </c>
      <c r="P76" s="75">
        <f t="shared" si="29"/>
        <v>44208.02</v>
      </c>
      <c r="Q76" s="76">
        <f t="shared" si="25"/>
        <v>45534.02</v>
      </c>
      <c r="R76" s="45">
        <f t="shared" si="30"/>
        <v>0.02</v>
      </c>
    </row>
    <row r="77" spans="1:19" ht="17.100000000000001" customHeight="1" x14ac:dyDescent="0.25">
      <c r="A77" s="62"/>
      <c r="B77" s="81" t="s">
        <v>258</v>
      </c>
      <c r="C77" s="62">
        <v>3</v>
      </c>
      <c r="D77" s="182" t="s">
        <v>259</v>
      </c>
      <c r="E77" s="182"/>
      <c r="F77" s="83">
        <v>5.7000000000000002E-3</v>
      </c>
      <c r="G77" s="72">
        <v>42430.03</v>
      </c>
      <c r="H77" s="124">
        <f>G77</f>
        <v>42430.03</v>
      </c>
      <c r="I77" s="73">
        <f t="shared" si="20"/>
        <v>0</v>
      </c>
      <c r="J77" s="73">
        <f t="shared" si="21"/>
        <v>0</v>
      </c>
      <c r="K77" s="74">
        <f t="shared" si="22"/>
        <v>1738.4604420000001</v>
      </c>
      <c r="L77" s="74">
        <f t="shared" si="27"/>
        <v>20520</v>
      </c>
      <c r="M77" s="133">
        <f t="shared" si="23"/>
        <v>7073.8719119999996</v>
      </c>
      <c r="N77" s="133">
        <f t="shared" si="24"/>
        <v>3200.3379600000003</v>
      </c>
      <c r="O77" s="133">
        <f t="shared" si="28"/>
        <v>6840</v>
      </c>
      <c r="P77" s="75">
        <f t="shared" si="29"/>
        <v>39373.03</v>
      </c>
      <c r="Q77" s="76">
        <f t="shared" si="25"/>
        <v>40554.03</v>
      </c>
      <c r="R77" s="45">
        <f t="shared" si="30"/>
        <v>0.03</v>
      </c>
    </row>
    <row r="78" spans="1:19" ht="17.100000000000001" customHeight="1" x14ac:dyDescent="0.25">
      <c r="A78" s="62"/>
      <c r="B78" s="81" t="s">
        <v>260</v>
      </c>
      <c r="C78" s="62">
        <v>4</v>
      </c>
      <c r="D78" s="182" t="s">
        <v>117</v>
      </c>
      <c r="E78" s="182"/>
      <c r="F78" s="83">
        <v>5.3E-3</v>
      </c>
      <c r="G78" s="72">
        <v>40482.04</v>
      </c>
      <c r="H78" s="124">
        <f>G78</f>
        <v>40482.04</v>
      </c>
      <c r="I78" s="73">
        <f t="shared" si="20"/>
        <v>0</v>
      </c>
      <c r="J78" s="73">
        <f t="shared" si="21"/>
        <v>0</v>
      </c>
      <c r="K78" s="74">
        <f t="shared" si="22"/>
        <v>1616.4632180000001</v>
      </c>
      <c r="L78" s="74">
        <f t="shared" si="27"/>
        <v>19080</v>
      </c>
      <c r="M78" s="133">
        <f t="shared" si="23"/>
        <v>6577.4598479999995</v>
      </c>
      <c r="N78" s="133">
        <f t="shared" si="24"/>
        <v>2975.7528400000001</v>
      </c>
      <c r="O78" s="133">
        <f t="shared" si="28"/>
        <v>6360</v>
      </c>
      <c r="P78" s="75">
        <f t="shared" si="29"/>
        <v>36610.04</v>
      </c>
      <c r="Q78" s="76">
        <f t="shared" si="25"/>
        <v>37708.04</v>
      </c>
      <c r="R78" s="45">
        <f t="shared" si="30"/>
        <v>0.04</v>
      </c>
    </row>
    <row r="79" spans="1:19" ht="17.100000000000001" customHeight="1" x14ac:dyDescent="0.25">
      <c r="A79" s="62"/>
      <c r="B79" s="81" t="s">
        <v>261</v>
      </c>
      <c r="C79" s="62">
        <v>5</v>
      </c>
      <c r="D79" s="82" t="s">
        <v>112</v>
      </c>
      <c r="E79" s="62" t="s">
        <v>113</v>
      </c>
      <c r="F79" s="83">
        <v>5.3E-3</v>
      </c>
      <c r="G79" s="72">
        <v>40482.050000000003</v>
      </c>
      <c r="H79" s="124"/>
      <c r="I79" s="73">
        <f t="shared" si="20"/>
        <v>40482.050000000003</v>
      </c>
      <c r="J79" s="73">
        <f t="shared" si="21"/>
        <v>1214.4615000000001</v>
      </c>
      <c r="K79" s="74">
        <f t="shared" si="22"/>
        <v>1616.4632180000001</v>
      </c>
      <c r="L79" s="74">
        <f t="shared" si="27"/>
        <v>19080</v>
      </c>
      <c r="M79" s="133">
        <f t="shared" si="23"/>
        <v>6577.4598479999995</v>
      </c>
      <c r="N79" s="133">
        <f t="shared" si="24"/>
        <v>2975.7528400000001</v>
      </c>
      <c r="O79" s="133">
        <f t="shared" si="28"/>
        <v>6360</v>
      </c>
      <c r="P79" s="75">
        <f t="shared" si="29"/>
        <v>78306.05</v>
      </c>
      <c r="Q79" s="76">
        <f t="shared" si="25"/>
        <v>80655.05</v>
      </c>
      <c r="R79" s="45">
        <f t="shared" si="30"/>
        <v>0.05</v>
      </c>
    </row>
    <row r="80" spans="1:19" ht="17.100000000000001" customHeight="1" x14ac:dyDescent="0.25">
      <c r="A80" s="62"/>
      <c r="B80" s="81" t="s">
        <v>262</v>
      </c>
      <c r="C80" s="62">
        <v>6</v>
      </c>
      <c r="D80" s="82" t="s">
        <v>263</v>
      </c>
      <c r="E80" s="78" t="s">
        <v>110</v>
      </c>
      <c r="F80" s="83">
        <v>5.3E-3</v>
      </c>
      <c r="G80" s="72">
        <v>105752.06</v>
      </c>
      <c r="H80" s="235">
        <f>100452.06</f>
        <v>100452.06</v>
      </c>
      <c r="I80" s="236">
        <f t="shared" si="20"/>
        <v>5300</v>
      </c>
      <c r="J80" s="73">
        <f t="shared" si="21"/>
        <v>159</v>
      </c>
      <c r="K80" s="74">
        <f t="shared" si="22"/>
        <v>1616.4632180000001</v>
      </c>
      <c r="L80" s="74">
        <f t="shared" si="27"/>
        <v>19080</v>
      </c>
      <c r="M80" s="133">
        <f t="shared" si="23"/>
        <v>6577.4598479999995</v>
      </c>
      <c r="N80" s="133">
        <f t="shared" si="24"/>
        <v>2975.7528400000001</v>
      </c>
      <c r="O80" s="133">
        <f t="shared" si="28"/>
        <v>6360</v>
      </c>
      <c r="P80" s="75">
        <f t="shared" si="29"/>
        <v>42069.06</v>
      </c>
      <c r="Q80" s="76">
        <f t="shared" si="25"/>
        <v>43331.06</v>
      </c>
      <c r="R80" s="45">
        <f t="shared" si="30"/>
        <v>0.06</v>
      </c>
      <c r="S80" s="186" t="s">
        <v>264</v>
      </c>
    </row>
    <row r="81" spans="1:18" ht="17.100000000000001" customHeight="1" x14ac:dyDescent="0.25">
      <c r="A81" s="62">
        <v>12</v>
      </c>
      <c r="B81" s="81" t="s">
        <v>265</v>
      </c>
      <c r="C81" s="62">
        <v>7</v>
      </c>
      <c r="D81" s="182" t="s">
        <v>177</v>
      </c>
      <c r="E81" s="181" t="s">
        <v>178</v>
      </c>
      <c r="F81" s="83">
        <v>5.3E-3</v>
      </c>
      <c r="G81" s="72">
        <v>105752.07</v>
      </c>
      <c r="H81" s="124"/>
      <c r="I81" s="73">
        <f t="shared" si="20"/>
        <v>105752.07</v>
      </c>
      <c r="J81" s="73">
        <f t="shared" si="21"/>
        <v>3172.5621000000001</v>
      </c>
      <c r="K81" s="74">
        <f t="shared" si="22"/>
        <v>1616.4632180000001</v>
      </c>
      <c r="L81" s="74">
        <f t="shared" si="27"/>
        <v>19080</v>
      </c>
      <c r="M81" s="133">
        <f t="shared" si="23"/>
        <v>6577.4598479999995</v>
      </c>
      <c r="N81" s="133">
        <f t="shared" si="24"/>
        <v>2975.7528400000001</v>
      </c>
      <c r="O81" s="133">
        <f t="shared" si="28"/>
        <v>6360</v>
      </c>
      <c r="P81" s="75">
        <f t="shared" si="29"/>
        <v>145534.07</v>
      </c>
      <c r="Q81" s="76">
        <f t="shared" si="25"/>
        <v>149900.07</v>
      </c>
      <c r="R81" s="45">
        <f t="shared" si="30"/>
        <v>7.0000000000000007E-2</v>
      </c>
    </row>
    <row r="82" spans="1:18" ht="17.100000000000001" customHeight="1" x14ac:dyDescent="0.25">
      <c r="A82" s="62">
        <v>12</v>
      </c>
      <c r="B82" s="80" t="s">
        <v>266</v>
      </c>
      <c r="C82" s="62">
        <v>8</v>
      </c>
      <c r="D82" s="62" t="s">
        <v>196</v>
      </c>
      <c r="E82" s="84"/>
      <c r="F82" s="83">
        <v>5.3E-3</v>
      </c>
      <c r="G82" s="72">
        <v>105752.08</v>
      </c>
      <c r="H82" s="124"/>
      <c r="I82" s="73">
        <f t="shared" si="20"/>
        <v>105752.08</v>
      </c>
      <c r="J82" s="73">
        <f t="shared" si="21"/>
        <v>3172.5623999999998</v>
      </c>
      <c r="K82" s="74">
        <f t="shared" si="22"/>
        <v>1616.4632180000001</v>
      </c>
      <c r="L82" s="74">
        <f t="shared" si="27"/>
        <v>19080</v>
      </c>
      <c r="M82" s="133">
        <f t="shared" si="23"/>
        <v>6577.4598479999995</v>
      </c>
      <c r="N82" s="133">
        <f t="shared" si="24"/>
        <v>2975.7528400000001</v>
      </c>
      <c r="O82" s="133">
        <f t="shared" si="28"/>
        <v>6360</v>
      </c>
      <c r="P82" s="75">
        <f t="shared" si="29"/>
        <v>145534.07999999999</v>
      </c>
      <c r="Q82" s="76">
        <f t="shared" si="25"/>
        <v>149900.07999999999</v>
      </c>
      <c r="R82" s="45">
        <f t="shared" si="30"/>
        <v>0.08</v>
      </c>
    </row>
    <row r="83" spans="1:18" ht="16.5" customHeight="1" x14ac:dyDescent="0.25">
      <c r="A83" s="62">
        <v>12</v>
      </c>
      <c r="B83" s="80" t="s">
        <v>267</v>
      </c>
      <c r="C83" s="62">
        <v>9</v>
      </c>
      <c r="D83" s="62" t="s">
        <v>196</v>
      </c>
      <c r="E83" s="147" t="str">
        <f>E44</f>
        <v>Luz Maria Alberio</v>
      </c>
      <c r="F83" s="83">
        <v>5.3E-3</v>
      </c>
      <c r="G83" s="72">
        <v>40482.089999999997</v>
      </c>
      <c r="H83" s="124"/>
      <c r="I83" s="73">
        <f t="shared" si="20"/>
        <v>40482.089999999997</v>
      </c>
      <c r="J83" s="73">
        <f t="shared" si="21"/>
        <v>1214.4626999999998</v>
      </c>
      <c r="K83" s="74">
        <f t="shared" si="22"/>
        <v>1616.4632180000001</v>
      </c>
      <c r="L83" s="74">
        <f t="shared" si="27"/>
        <v>19080</v>
      </c>
      <c r="M83" s="133">
        <f t="shared" si="23"/>
        <v>6577.4598479999995</v>
      </c>
      <c r="N83" s="133">
        <f t="shared" si="24"/>
        <v>2975.7528400000001</v>
      </c>
      <c r="O83" s="133">
        <f t="shared" si="28"/>
        <v>6360</v>
      </c>
      <c r="P83" s="75">
        <f t="shared" si="29"/>
        <v>78306.09</v>
      </c>
      <c r="Q83" s="76">
        <f t="shared" si="25"/>
        <v>80655.09</v>
      </c>
      <c r="R83" s="45">
        <f t="shared" si="30"/>
        <v>0.09</v>
      </c>
    </row>
    <row r="84" spans="1:18" x14ac:dyDescent="0.25">
      <c r="A84" s="62"/>
      <c r="B84" s="80" t="s">
        <v>268</v>
      </c>
      <c r="C84" s="80">
        <v>10</v>
      </c>
      <c r="D84" s="62" t="s">
        <v>196</v>
      </c>
      <c r="E84" s="63"/>
      <c r="F84" s="71">
        <v>5.3E-3</v>
      </c>
      <c r="G84" s="72">
        <v>199247.1</v>
      </c>
      <c r="H84" s="124"/>
      <c r="I84" s="73">
        <f t="shared" si="20"/>
        <v>199247.1</v>
      </c>
      <c r="J84" s="73">
        <f t="shared" si="21"/>
        <v>5977.4129999999996</v>
      </c>
      <c r="K84" s="74">
        <f t="shared" si="22"/>
        <v>1616.4632180000001</v>
      </c>
      <c r="L84" s="74">
        <f t="shared" si="27"/>
        <v>19080</v>
      </c>
      <c r="M84" s="133">
        <f t="shared" si="23"/>
        <v>6577.4598479999995</v>
      </c>
      <c r="N84" s="133">
        <f t="shared" si="24"/>
        <v>2975.7528400000001</v>
      </c>
      <c r="O84" s="133">
        <f t="shared" si="28"/>
        <v>6360</v>
      </c>
      <c r="P84" s="75">
        <f t="shared" si="29"/>
        <v>241834.1</v>
      </c>
      <c r="Q84" s="76">
        <f t="shared" si="25"/>
        <v>249089.1</v>
      </c>
      <c r="R84" s="45">
        <f t="shared" si="30"/>
        <v>0.1</v>
      </c>
    </row>
    <row r="85" spans="1:18" x14ac:dyDescent="0.25">
      <c r="A85" s="62"/>
      <c r="B85" s="80" t="s">
        <v>269</v>
      </c>
      <c r="C85" s="80">
        <v>11</v>
      </c>
      <c r="D85" s="62" t="s">
        <v>196</v>
      </c>
      <c r="E85" s="63" t="s">
        <v>270</v>
      </c>
      <c r="F85" s="71">
        <v>5.3E-3</v>
      </c>
      <c r="G85" s="72">
        <v>158529.10999999999</v>
      </c>
      <c r="H85" s="124">
        <f>28214*2+35181</f>
        <v>91609</v>
      </c>
      <c r="I85" s="73">
        <f t="shared" si="20"/>
        <v>66920.109999999986</v>
      </c>
      <c r="J85" s="73">
        <f t="shared" si="21"/>
        <v>2007.6032999999995</v>
      </c>
      <c r="K85" s="74">
        <f t="shared" si="22"/>
        <v>1616.4632180000001</v>
      </c>
      <c r="L85" s="74">
        <f t="shared" si="27"/>
        <v>19080</v>
      </c>
      <c r="M85" s="133">
        <f t="shared" si="23"/>
        <v>6577.4598479999995</v>
      </c>
      <c r="N85" s="133">
        <f t="shared" si="24"/>
        <v>2975.7528400000001</v>
      </c>
      <c r="O85" s="133">
        <f t="shared" si="28"/>
        <v>6360</v>
      </c>
      <c r="P85" s="75">
        <f t="shared" si="29"/>
        <v>105537.11</v>
      </c>
      <c r="Q85" s="76">
        <f t="shared" si="25"/>
        <v>108703.11</v>
      </c>
      <c r="R85" s="45">
        <f t="shared" si="30"/>
        <v>0.11</v>
      </c>
    </row>
    <row r="86" spans="1:18" x14ac:dyDescent="0.25">
      <c r="A86" s="62"/>
      <c r="B86" s="80" t="s">
        <v>271</v>
      </c>
      <c r="C86" s="80">
        <v>12</v>
      </c>
      <c r="D86" s="64" t="s">
        <v>146</v>
      </c>
      <c r="E86" s="62" t="s">
        <v>147</v>
      </c>
      <c r="F86" s="71">
        <v>5.3E-3</v>
      </c>
      <c r="G86" s="72">
        <v>40482.120000000003</v>
      </c>
      <c r="H86" s="124">
        <f>G86</f>
        <v>40482.120000000003</v>
      </c>
      <c r="I86" s="73">
        <f t="shared" si="20"/>
        <v>0</v>
      </c>
      <c r="J86" s="73">
        <f t="shared" si="21"/>
        <v>0</v>
      </c>
      <c r="K86" s="74">
        <f t="shared" si="22"/>
        <v>1616.4632180000001</v>
      </c>
      <c r="L86" s="74">
        <f t="shared" si="27"/>
        <v>19080</v>
      </c>
      <c r="M86" s="133">
        <f t="shared" si="23"/>
        <v>6577.4598479999995</v>
      </c>
      <c r="N86" s="133">
        <f t="shared" si="24"/>
        <v>2975.7528400000001</v>
      </c>
      <c r="O86" s="133">
        <f t="shared" si="28"/>
        <v>6360</v>
      </c>
      <c r="P86" s="75">
        <f t="shared" si="29"/>
        <v>36610.120000000003</v>
      </c>
      <c r="Q86" s="76">
        <f t="shared" si="25"/>
        <v>37708.120000000003</v>
      </c>
      <c r="R86" s="45">
        <f t="shared" si="30"/>
        <v>0.12</v>
      </c>
    </row>
    <row r="87" spans="1:18" x14ac:dyDescent="0.25">
      <c r="A87" s="62"/>
      <c r="B87" s="62" t="s">
        <v>272</v>
      </c>
      <c r="C87" s="62">
        <v>13</v>
      </c>
      <c r="D87" s="64" t="s">
        <v>169</v>
      </c>
      <c r="E87" s="63"/>
      <c r="F87" s="71">
        <v>5.3E-3</v>
      </c>
      <c r="G87" s="72">
        <v>40482.129999999997</v>
      </c>
      <c r="H87" s="124">
        <f>G87</f>
        <v>40482.129999999997</v>
      </c>
      <c r="I87" s="73">
        <f t="shared" si="20"/>
        <v>0</v>
      </c>
      <c r="J87" s="73">
        <f t="shared" si="21"/>
        <v>0</v>
      </c>
      <c r="K87" s="74">
        <f t="shared" si="22"/>
        <v>1616.4632180000001</v>
      </c>
      <c r="L87" s="74">
        <f t="shared" si="27"/>
        <v>19080</v>
      </c>
      <c r="M87" s="133">
        <f t="shared" si="23"/>
        <v>6577.4598479999995</v>
      </c>
      <c r="N87" s="133">
        <f t="shared" si="24"/>
        <v>2975.7528400000001</v>
      </c>
      <c r="O87" s="133">
        <f t="shared" si="28"/>
        <v>6360</v>
      </c>
      <c r="P87" s="75">
        <f t="shared" si="29"/>
        <v>36610.129999999997</v>
      </c>
      <c r="Q87" s="76">
        <f t="shared" si="25"/>
        <v>37708.129999999997</v>
      </c>
      <c r="R87" s="45">
        <f t="shared" si="30"/>
        <v>0.13</v>
      </c>
    </row>
    <row r="88" spans="1:18" ht="22.5" customHeight="1" x14ac:dyDescent="0.25">
      <c r="A88" s="62"/>
      <c r="B88" s="62" t="s">
        <v>273</v>
      </c>
      <c r="C88" s="62">
        <v>14</v>
      </c>
      <c r="D88" s="64" t="s">
        <v>156</v>
      </c>
      <c r="E88" s="63" t="s">
        <v>274</v>
      </c>
      <c r="F88" s="71">
        <v>5.3E-3</v>
      </c>
      <c r="G88" s="72">
        <v>37978.14</v>
      </c>
      <c r="H88" s="124"/>
      <c r="I88" s="73">
        <f t="shared" si="20"/>
        <v>37978.14</v>
      </c>
      <c r="J88" s="73">
        <f t="shared" si="21"/>
        <v>1139.3442</v>
      </c>
      <c r="K88" s="74">
        <f t="shared" si="22"/>
        <v>1616.4632180000001</v>
      </c>
      <c r="L88" s="74">
        <f t="shared" si="27"/>
        <v>19080</v>
      </c>
      <c r="M88" s="133">
        <f t="shared" si="23"/>
        <v>6577.4598479999995</v>
      </c>
      <c r="N88" s="133">
        <f t="shared" si="24"/>
        <v>2975.7528400000001</v>
      </c>
      <c r="O88" s="133">
        <f t="shared" si="28"/>
        <v>6360</v>
      </c>
      <c r="P88" s="75">
        <f t="shared" si="29"/>
        <v>75727.14</v>
      </c>
      <c r="Q88" s="76">
        <f t="shared" si="25"/>
        <v>77999.14</v>
      </c>
      <c r="R88" s="45">
        <f t="shared" si="30"/>
        <v>0.14000000000000001</v>
      </c>
    </row>
    <row r="89" spans="1:18" x14ac:dyDescent="0.25">
      <c r="A89" s="62"/>
      <c r="B89" s="62" t="s">
        <v>275</v>
      </c>
      <c r="C89" s="62">
        <v>15</v>
      </c>
      <c r="D89" s="64" t="s">
        <v>137</v>
      </c>
      <c r="E89" s="63" t="str">
        <f>E20</f>
        <v xml:space="preserve">Armando Ezequiel Garro </v>
      </c>
      <c r="F89" s="71">
        <v>5.3E-3</v>
      </c>
      <c r="G89" s="72">
        <v>40482.15</v>
      </c>
      <c r="H89" s="124">
        <f>G89</f>
        <v>40482.15</v>
      </c>
      <c r="I89" s="73">
        <f t="shared" si="20"/>
        <v>0</v>
      </c>
      <c r="J89" s="73">
        <f t="shared" si="21"/>
        <v>0</v>
      </c>
      <c r="K89" s="74">
        <f t="shared" si="22"/>
        <v>1616.4632180000001</v>
      </c>
      <c r="L89" s="74">
        <f t="shared" si="27"/>
        <v>19080</v>
      </c>
      <c r="M89" s="133">
        <f t="shared" si="23"/>
        <v>6577.4598479999995</v>
      </c>
      <c r="N89" s="133">
        <f t="shared" si="24"/>
        <v>2975.7528400000001</v>
      </c>
      <c r="O89" s="133">
        <f t="shared" si="28"/>
        <v>6360</v>
      </c>
      <c r="P89" s="75">
        <f t="shared" si="29"/>
        <v>36610.15</v>
      </c>
      <c r="Q89" s="76">
        <f t="shared" si="25"/>
        <v>37708.15</v>
      </c>
      <c r="R89" s="45">
        <f t="shared" si="30"/>
        <v>0.15</v>
      </c>
    </row>
    <row r="90" spans="1:18" x14ac:dyDescent="0.25">
      <c r="A90" s="61"/>
      <c r="B90" s="61" t="s">
        <v>276</v>
      </c>
      <c r="C90" s="62">
        <v>16</v>
      </c>
      <c r="D90" s="148" t="s">
        <v>166</v>
      </c>
      <c r="E90" s="148" t="s">
        <v>167</v>
      </c>
      <c r="F90" s="71">
        <v>6.1999999999999998E-3</v>
      </c>
      <c r="G90" s="161">
        <v>88696.16</v>
      </c>
      <c r="H90" s="187">
        <f>G90</f>
        <v>88696.16</v>
      </c>
      <c r="I90" s="162">
        <f t="shared" si="20"/>
        <v>0</v>
      </c>
      <c r="J90" s="73">
        <f t="shared" si="21"/>
        <v>0</v>
      </c>
      <c r="K90" s="74">
        <f t="shared" si="22"/>
        <v>1890.956972</v>
      </c>
      <c r="L90" s="74">
        <f t="shared" si="27"/>
        <v>22320</v>
      </c>
      <c r="M90" s="133">
        <f t="shared" si="23"/>
        <v>7694.3869919999988</v>
      </c>
      <c r="N90" s="133">
        <f t="shared" si="24"/>
        <v>3481.06936</v>
      </c>
      <c r="O90" s="133">
        <f t="shared" si="28"/>
        <v>7440</v>
      </c>
      <c r="P90" s="75">
        <f t="shared" si="29"/>
        <v>42826.16</v>
      </c>
      <c r="Q90" s="76">
        <f t="shared" si="25"/>
        <v>44111.16</v>
      </c>
      <c r="R90" s="45">
        <f t="shared" si="30"/>
        <v>0.16</v>
      </c>
    </row>
    <row r="91" spans="1:18" ht="17.100000000000001" customHeight="1" thickBot="1" x14ac:dyDescent="0.3">
      <c r="A91" s="62"/>
      <c r="B91" s="147"/>
      <c r="C91" s="147"/>
      <c r="D91" s="147"/>
      <c r="E91" s="147"/>
      <c r="F91" s="163"/>
      <c r="G91" s="164"/>
      <c r="H91" s="165"/>
      <c r="I91" s="166"/>
      <c r="J91" s="167"/>
      <c r="K91" s="168"/>
      <c r="L91" s="169"/>
      <c r="M91" s="169"/>
      <c r="N91" s="169"/>
      <c r="O91" s="169"/>
      <c r="P91" s="170"/>
      <c r="Q91" s="170"/>
      <c r="R91" s="45"/>
    </row>
    <row r="92" spans="1:18" ht="17.100000000000001" customHeight="1" thickBot="1" x14ac:dyDescent="0.3">
      <c r="A92" s="85"/>
      <c r="B92" s="171"/>
      <c r="C92" s="172"/>
      <c r="D92" s="173"/>
      <c r="E92" s="173"/>
      <c r="F92" s="174">
        <f t="shared" ref="F92:L92" si="31">SUM(F5:F91)</f>
        <v>0.99999999999999956</v>
      </c>
      <c r="G92" s="175">
        <f t="shared" si="31"/>
        <v>11779913.699999999</v>
      </c>
      <c r="H92" s="176">
        <f t="shared" si="31"/>
        <v>6723784.4099999983</v>
      </c>
      <c r="I92" s="177">
        <f t="shared" si="31"/>
        <v>5056129.2899999991</v>
      </c>
      <c r="J92" s="178">
        <f t="shared" si="31"/>
        <v>155048.49359999999</v>
      </c>
      <c r="K92" s="178">
        <f t="shared" si="31"/>
        <v>304993.06000000075</v>
      </c>
      <c r="L92" s="179">
        <f t="shared" si="31"/>
        <v>3600000</v>
      </c>
      <c r="M92" s="179">
        <f>SUM(M5:M90)</f>
        <v>1241030.1599999997</v>
      </c>
      <c r="N92" s="179">
        <f>SUM(N5:N90)</f>
        <v>561462.7999999997</v>
      </c>
      <c r="O92" s="179">
        <f>SUM(O5:O90)</f>
        <v>1200000</v>
      </c>
      <c r="P92" s="180">
        <f>SUM(P5:P91)</f>
        <v>12118692.699999997</v>
      </c>
      <c r="Q92" s="180">
        <f>SUM(Q5:Q91)</f>
        <v>12482246.699999997</v>
      </c>
    </row>
    <row r="93" spans="1:18" x14ac:dyDescent="0.25">
      <c r="D93" s="51"/>
      <c r="E93" s="51"/>
    </row>
    <row r="94" spans="1:18" x14ac:dyDescent="0.25">
      <c r="H94" s="125"/>
    </row>
    <row r="95" spans="1:18" ht="9" customHeight="1" x14ac:dyDescent="0.25">
      <c r="D95" s="201" t="str">
        <f>RESUMEN!A13</f>
        <v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v>
      </c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</row>
    <row r="96" spans="1:18" ht="12" hidden="1" customHeight="1" x14ac:dyDescent="0.25"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</row>
    <row r="97" spans="4:16" ht="12" hidden="1" customHeight="1" x14ac:dyDescent="0.25"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</row>
    <row r="98" spans="4:16" ht="12" hidden="1" customHeight="1" x14ac:dyDescent="0.25"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</row>
    <row r="99" spans="4:16" ht="12" hidden="1" customHeight="1" x14ac:dyDescent="0.25"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</row>
    <row r="100" spans="4:16" ht="60.75" customHeight="1" x14ac:dyDescent="0.25"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</row>
  </sheetData>
  <mergeCells count="23">
    <mergeCell ref="D95:P100"/>
    <mergeCell ref="F2:G2"/>
    <mergeCell ref="H3:H4"/>
    <mergeCell ref="J3:J4"/>
    <mergeCell ref="K3:K4"/>
    <mergeCell ref="O3:O4"/>
    <mergeCell ref="E3:E4"/>
    <mergeCell ref="P1:Q1"/>
    <mergeCell ref="M1:N1"/>
    <mergeCell ref="M2:N2"/>
    <mergeCell ref="F1:G1"/>
    <mergeCell ref="A3:A4"/>
    <mergeCell ref="G3:G4"/>
    <mergeCell ref="M3:M4"/>
    <mergeCell ref="I3:I4"/>
    <mergeCell ref="P2:Q2"/>
    <mergeCell ref="D3:D4"/>
    <mergeCell ref="C3:C4"/>
    <mergeCell ref="Q3:Q4"/>
    <mergeCell ref="L3:L4"/>
    <mergeCell ref="I2:J2"/>
    <mergeCell ref="N3:N4"/>
    <mergeCell ref="F3:F4"/>
  </mergeCells>
  <pageMargins left="0.25" right="0.25" top="0.75" bottom="0.75" header="0.3" footer="0.3"/>
  <pageSetup paperSize="3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EA40-856C-4C69-BDF8-B1FFAA30BA95}">
  <dimension ref="D4:G21"/>
  <sheetViews>
    <sheetView workbookViewId="0">
      <selection activeCell="D4" sqref="D4"/>
    </sheetView>
  </sheetViews>
  <sheetFormatPr baseColWidth="10" defaultRowHeight="15" x14ac:dyDescent="0.25"/>
  <sheetData>
    <row r="4" spans="4:4" x14ac:dyDescent="0.25">
      <c r="D4" s="188" t="s">
        <v>277</v>
      </c>
    </row>
    <row r="8" spans="4:4" x14ac:dyDescent="0.25">
      <c r="D8" s="49" t="s">
        <v>278</v>
      </c>
    </row>
    <row r="12" spans="4:4" x14ac:dyDescent="0.25">
      <c r="D12" s="234" t="s">
        <v>293</v>
      </c>
    </row>
    <row r="15" spans="4:4" x14ac:dyDescent="0.25">
      <c r="D15" s="233" t="s">
        <v>292</v>
      </c>
    </row>
    <row r="18" spans="4:7" x14ac:dyDescent="0.25">
      <c r="D18" s="232" t="s">
        <v>291</v>
      </c>
    </row>
    <row r="21" spans="4:7" x14ac:dyDescent="0.25">
      <c r="D21" s="237" t="s">
        <v>294</v>
      </c>
      <c r="E21" s="237"/>
      <c r="F21" s="237"/>
      <c r="G21" s="2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 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2025-05-08T14:54:24Z</cp:lastPrinted>
  <dcterms:created xsi:type="dcterms:W3CDTF">2023-09-17T12:29:07Z</dcterms:created>
  <dcterms:modified xsi:type="dcterms:W3CDTF">2025-06-24T16:44:11Z</dcterms:modified>
</cp:coreProperties>
</file>