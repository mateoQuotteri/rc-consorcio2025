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155" activeTab="1"/>
  </bookViews>
  <sheets>
    <sheet name="detalle y gastos" sheetId="3" r:id="rId1"/>
    <sheet name="prorrateo " sheetId="1" r:id="rId2"/>
  </sheets>
  <calcPr calcId="144525"/>
</workbook>
</file>

<file path=xl/calcChain.xml><?xml version="1.0" encoding="utf-8"?>
<calcChain xmlns="http://schemas.openxmlformats.org/spreadsheetml/2006/main">
  <c r="H7" i="1" l="1"/>
  <c r="H8" i="1"/>
  <c r="H9" i="1"/>
  <c r="G7" i="1"/>
  <c r="G8" i="1"/>
  <c r="G9" i="1"/>
  <c r="J6" i="1"/>
  <c r="J7" i="1"/>
  <c r="J8" i="1"/>
  <c r="J9" i="1"/>
  <c r="J5" i="1"/>
  <c r="D13" i="1"/>
  <c r="K6" i="1"/>
  <c r="C20" i="3"/>
  <c r="L9" i="1" l="1"/>
  <c r="K5" i="1"/>
  <c r="C8" i="1"/>
  <c r="C9" i="1" s="1"/>
  <c r="E13" i="1"/>
  <c r="L8" i="1"/>
  <c r="L7" i="1" l="1"/>
  <c r="F13" i="1" l="1"/>
  <c r="F13" i="3" s="1"/>
  <c r="C37" i="3" l="1"/>
  <c r="G5" i="1" l="1"/>
  <c r="H5" i="1" s="1"/>
  <c r="C27" i="3" l="1"/>
  <c r="C28" i="3" s="1"/>
  <c r="G6" i="1"/>
  <c r="H6" i="1" s="1"/>
  <c r="C40" i="3" l="1"/>
  <c r="F20" i="3" s="1"/>
  <c r="C39" i="3"/>
  <c r="K13" i="1"/>
  <c r="I13" i="1"/>
  <c r="L5" i="1" l="1"/>
  <c r="G13" i="1" l="1"/>
  <c r="H13" i="1"/>
  <c r="L6" i="1"/>
  <c r="L13" i="1" s="1"/>
  <c r="J13" i="1"/>
</calcChain>
</file>

<file path=xl/sharedStrings.xml><?xml version="1.0" encoding="utf-8"?>
<sst xmlns="http://schemas.openxmlformats.org/spreadsheetml/2006/main" count="61" uniqueCount="58">
  <si>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</si>
  <si>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</si>
  <si>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</si>
  <si>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</si>
  <si>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</si>
  <si>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</si>
  <si>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</si>
  <si>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</si>
  <si>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</si>
  <si>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</si>
  <si>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</si>
  <si>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</si>
  <si>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</si>
  <si>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</si>
  <si>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</si>
  <si>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</si>
  <si>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</si>
  <si>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</si>
  <si>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</si>
  <si>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</si>
  <si>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</si>
  <si>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</si>
  <si>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</si>
  <si>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</si>
  <si>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</si>
  <si>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</si>
  <si>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</si>
  <si>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</si>
  <si>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</si>
  <si>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</si>
  <si>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</si>
  <si>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</si>
  <si>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</si>
  <si>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</si>
  <si>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</si>
  <si>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</si>
  <si>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</si>
  <si>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</si>
  <si>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</si>
  <si>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</si>
  <si>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URIARTE 630 - Banfield</t>
  </si>
  <si>
    <t xml:space="preserve">AYSA </t>
  </si>
  <si>
    <t xml:space="preserve">EDESUR </t>
  </si>
  <si>
    <t>HONORARIOS ADMINISTRACION</t>
  </si>
  <si>
    <t xml:space="preserve">SR PROPIETARIO </t>
  </si>
  <si>
    <t>/ Inquilino</t>
  </si>
  <si>
    <t>ARBA</t>
  </si>
  <si>
    <t xml:space="preserve">Sra Monica Gorosito </t>
  </si>
  <si>
    <t xml:space="preserve">TSG </t>
  </si>
  <si>
    <t>SEGURO INTEGRAL</t>
  </si>
  <si>
    <t xml:space="preserve">Liquidacion mes de Mayo </t>
  </si>
  <si>
    <t>Vto. 19/06/2024</t>
  </si>
  <si>
    <t>METROGAS</t>
  </si>
  <si>
    <t>SERVICIO DE INTERNET</t>
  </si>
  <si>
    <t>ARTICULOS DE LIMPIEZA</t>
  </si>
  <si>
    <t>COCHERA 1</t>
  </si>
  <si>
    <t>COCHERA 2</t>
  </si>
  <si>
    <t>COCHERA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</si>
</sst>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4" fontId="0" fillId="0" borderId="0" xfId="0" applyNumberFormat="1"/>
    <xf numFmtId="0" fontId="0" fillId="0" borderId="0" xfId="0" applyFont="1"/>
    <xf numFmtId="0" fontId="7" fillId="0" borderId="0" xfId="0" applyFont="1"/>
    <xf numFmtId="0" fontId="6" fillId="0" borderId="0" xfId="0" applyFont="1" applyBorder="1"/>
    <xf numFmtId="0" fontId="7" fillId="0" borderId="0" xfId="0" applyFont="1" applyBorder="1"/>
    <xf numFmtId="4" fontId="7" fillId="0" borderId="0" xfId="0" applyNumberFormat="1" applyFont="1" applyBorder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5" fillId="0" borderId="2" xfId="0" applyFont="1" applyBorder="1"/>
    <xf numFmtId="0" fontId="0" fillId="0" borderId="11" xfId="0" applyFont="1" applyBorder="1"/>
    <xf numFmtId="0" fontId="0" fillId="0" borderId="5" xfId="0" applyFont="1" applyBorder="1" applyAlignment="1">
      <alignment horizontal="center"/>
    </xf>
    <xf numFmtId="0" fontId="0" fillId="0" borderId="0" xfId="0" applyFont="1" applyBorder="1"/>
    <xf numFmtId="0" fontId="1" fillId="2" borderId="7" xfId="0" applyFont="1" applyFill="1" applyBorder="1"/>
    <xf numFmtId="0" fontId="0" fillId="2" borderId="0" xfId="0" applyFont="1" applyFill="1" applyBorder="1"/>
    <xf numFmtId="164" fontId="1" fillId="2" borderId="1" xfId="2" applyFont="1" applyFill="1" applyBorder="1"/>
    <xf numFmtId="4" fontId="1" fillId="0" borderId="0" xfId="0" applyNumberFormat="1" applyFont="1"/>
    <xf numFmtId="0" fontId="0" fillId="0" borderId="2" xfId="0" applyFont="1" applyBorder="1"/>
    <xf numFmtId="0" fontId="0" fillId="0" borderId="11" xfId="0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4" fontId="9" fillId="6" borderId="10" xfId="0" applyNumberFormat="1" applyFont="1" applyFill="1" applyBorder="1"/>
    <xf numFmtId="0" fontId="10" fillId="6" borderId="0" xfId="0" applyFont="1" applyFill="1" applyBorder="1"/>
    <xf numFmtId="0" fontId="10" fillId="6" borderId="7" xfId="0" applyFont="1" applyFill="1" applyBorder="1"/>
    <xf numFmtId="164" fontId="10" fillId="6" borderId="15" xfId="2" applyFont="1" applyFill="1" applyBorder="1"/>
    <xf numFmtId="4" fontId="0" fillId="0" borderId="14" xfId="0" applyNumberFormat="1" applyFont="1" applyBorder="1"/>
    <xf numFmtId="0" fontId="0" fillId="0" borderId="0" xfId="0" applyBorder="1"/>
    <xf numFmtId="0" fontId="1" fillId="0" borderId="0" xfId="0" applyFont="1" applyBorder="1"/>
    <xf numFmtId="164" fontId="9" fillId="0" borderId="0" xfId="2" applyFont="1" applyBorder="1"/>
    <xf numFmtId="164" fontId="0" fillId="0" borderId="0" xfId="0" applyNumberForma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Font="1" applyBorder="1"/>
    <xf numFmtId="4" fontId="0" fillId="0" borderId="18" xfId="0" applyNumberFormat="1" applyFon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1" fillId="6" borderId="0" xfId="0" applyFont="1" applyFill="1"/>
    <xf numFmtId="0" fontId="8" fillId="4" borderId="11" xfId="0" applyFont="1" applyFill="1" applyBorder="1" applyAlignment="1"/>
    <xf numFmtId="0" fontId="0" fillId="0" borderId="11" xfId="0" applyBorder="1"/>
    <xf numFmtId="17" fontId="1" fillId="2" borderId="21" xfId="0" applyNumberFormat="1" applyFont="1" applyFill="1" applyBorder="1" applyAlignment="1">
      <alignment horizontal="left"/>
    </xf>
    <xf numFmtId="17" fontId="1" fillId="2" borderId="22" xfId="0" applyNumberFormat="1" applyFont="1" applyFill="1" applyBorder="1" applyAlignment="1">
      <alignment horizontal="left"/>
    </xf>
    <xf numFmtId="0" fontId="0" fillId="2" borderId="22" xfId="0" applyFill="1" applyBorder="1"/>
    <xf numFmtId="0" fontId="1" fillId="2" borderId="22" xfId="0" applyFont="1" applyFill="1" applyBorder="1"/>
    <xf numFmtId="164" fontId="1" fillId="2" borderId="22" xfId="2" applyFont="1" applyFill="1" applyBorder="1"/>
    <xf numFmtId="0" fontId="0" fillId="2" borderId="23" xfId="0" applyFill="1" applyBorder="1"/>
    <xf numFmtId="164" fontId="9" fillId="6" borderId="15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10" xfId="0" applyFont="1" applyBorder="1" applyAlignment="1"/>
    <xf numFmtId="0" fontId="0" fillId="0" borderId="9" xfId="0" applyFont="1" applyBorder="1" applyAlignment="1"/>
    <xf numFmtId="4" fontId="10" fillId="0" borderId="1" xfId="0" applyNumberFormat="1" applyFont="1" applyBorder="1"/>
    <xf numFmtId="164" fontId="10" fillId="6" borderId="24" xfId="2" applyFont="1" applyFill="1" applyBorder="1"/>
    <xf numFmtId="4" fontId="10" fillId="6" borderId="1" xfId="0" applyNumberFormat="1" applyFont="1" applyFill="1" applyBorder="1"/>
    <xf numFmtId="164" fontId="1" fillId="2" borderId="6" xfId="2" applyFont="1" applyFill="1" applyBorder="1"/>
    <xf numFmtId="0" fontId="0" fillId="0" borderId="1" xfId="0" applyFont="1" applyBorder="1"/>
    <xf numFmtId="0" fontId="0" fillId="0" borderId="1" xfId="0" applyFont="1" applyFill="1" applyBorder="1"/>
    <xf numFmtId="0" fontId="1" fillId="2" borderId="1" xfId="0" applyFont="1" applyFill="1" applyBorder="1"/>
    <xf numFmtId="0" fontId="0" fillId="2" borderId="1" xfId="0" applyFont="1" applyFill="1" applyBorder="1"/>
    <xf numFmtId="0" fontId="5" fillId="0" borderId="1" xfId="0" applyFont="1" applyBorder="1"/>
    <xf numFmtId="0" fontId="0" fillId="0" borderId="1" xfId="0" applyFont="1" applyBorder="1" applyAlignment="1">
      <alignment horizontal="center"/>
    </xf>
    <xf numFmtId="17" fontId="0" fillId="0" borderId="1" xfId="0" applyNumberFormat="1" applyFont="1" applyBorder="1"/>
    <xf numFmtId="0" fontId="10" fillId="6" borderId="1" xfId="0" applyFont="1" applyFill="1" applyBorder="1"/>
    <xf numFmtId="17" fontId="0" fillId="0" borderId="1" xfId="0" applyNumberFormat="1" applyFont="1" applyBorder="1" applyAlignment="1">
      <alignment horizontal="left"/>
    </xf>
    <xf numFmtId="4" fontId="0" fillId="0" borderId="1" xfId="0" applyNumberFormat="1" applyFont="1" applyBorder="1"/>
    <xf numFmtId="164" fontId="11" fillId="2" borderId="9" xfId="2" applyFont="1" applyFill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ont="1" applyFill="1" applyBorder="1"/>
    <xf numFmtId="16" fontId="0" fillId="0" borderId="1" xfId="0" applyNumberFormat="1" applyFont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17" fontId="1" fillId="2" borderId="8" xfId="0" applyNumberFormat="1" applyFont="1" applyFill="1" applyBorder="1" applyAlignment="1">
      <alignment horizontal="left"/>
    </xf>
    <xf numFmtId="17" fontId="1" fillId="2" borderId="9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165" fontId="0" fillId="0" borderId="25" xfId="0" applyNumberFormat="1" applyBorder="1"/>
    <xf numFmtId="3" fontId="0" fillId="0" borderId="25" xfId="0" applyNumberFormat="1" applyBorder="1"/>
    <xf numFmtId="4" fontId="10" fillId="0" borderId="25" xfId="0" applyNumberFormat="1" applyFont="1" applyBorder="1"/>
    <xf numFmtId="166" fontId="0" fillId="0" borderId="25" xfId="2" applyNumberFormat="1" applyFont="1" applyBorder="1" applyAlignment="1">
      <alignment horizontal="center"/>
    </xf>
    <xf numFmtId="166" fontId="0" fillId="0" borderId="25" xfId="2" applyNumberFormat="1" applyFont="1" applyBorder="1"/>
    <xf numFmtId="4" fontId="0" fillId="0" borderId="25" xfId="0" applyNumberFormat="1" applyBorder="1"/>
    <xf numFmtId="0" fontId="0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center" wrapText="1"/>
    </xf>
    <xf numFmtId="0" fontId="3" fillId="0" borderId="25" xfId="0" applyFont="1" applyBorder="1" applyAlignment="1">
      <alignment wrapText="1"/>
    </xf>
    <xf numFmtId="3" fontId="0" fillId="0" borderId="25" xfId="0" applyNumberFormat="1" applyFont="1" applyBorder="1"/>
    <xf numFmtId="0" fontId="0" fillId="3" borderId="25" xfId="0" applyFill="1" applyBorder="1"/>
    <xf numFmtId="165" fontId="1" fillId="3" borderId="25" xfId="0" applyNumberFormat="1" applyFont="1" applyFill="1" applyBorder="1"/>
    <xf numFmtId="166" fontId="1" fillId="3" borderId="25" xfId="2" applyNumberFormat="1" applyFont="1" applyFill="1" applyBorder="1"/>
    <xf numFmtId="164" fontId="1" fillId="3" borderId="25" xfId="2" applyFont="1" applyFill="1" applyBorder="1"/>
    <xf numFmtId="3" fontId="1" fillId="3" borderId="25" xfId="2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68"/>
  <sheetViews>
    <sheetView topLeftCell="A16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20</v>
      </c>
    </row>
    <row r="3" spans="1:6" x14ac:dyDescent="0.25">
      <c r="B3" t="s">
        <v>11</v>
      </c>
    </row>
    <row r="4" spans="1:6" x14ac:dyDescent="0.25">
      <c r="B4" s="3" t="s">
        <v>8</v>
      </c>
    </row>
    <row r="5" spans="1:6" ht="8.25" customHeight="1" x14ac:dyDescent="0.25">
      <c r="A5" s="2"/>
      <c r="B5" s="16"/>
      <c r="C5" s="2"/>
      <c r="D5" s="37"/>
      <c r="E5" s="37"/>
      <c r="F5" s="37"/>
    </row>
    <row r="6" spans="1:6" x14ac:dyDescent="0.25">
      <c r="D6" s="54"/>
      <c r="E6" s="54"/>
      <c r="F6" s="54"/>
    </row>
    <row r="7" spans="1:6" x14ac:dyDescent="0.25">
      <c r="A7" s="17" t="s">
        <v>40</v>
      </c>
      <c r="B7" s="17"/>
      <c r="C7" s="52"/>
      <c r="D7" s="52"/>
      <c r="E7" s="17" t="s">
        <v>50</v>
      </c>
      <c r="F7" s="82" t="s">
        <v>51</v>
      </c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C9" s="9"/>
    </row>
    <row r="10" spans="1:6" x14ac:dyDescent="0.25">
      <c r="A10" s="15" t="s">
        <v>13</v>
      </c>
      <c r="B10" s="9"/>
    </row>
    <row r="11" spans="1:6" ht="15.75" thickBot="1" x14ac:dyDescent="0.3">
      <c r="A11" s="20" t="s">
        <v>12</v>
      </c>
      <c r="B11" s="21"/>
      <c r="C11" s="22"/>
      <c r="D11" s="4"/>
      <c r="E11" s="85" t="s">
        <v>23</v>
      </c>
      <c r="F11" s="85"/>
    </row>
    <row r="12" spans="1:6" x14ac:dyDescent="0.25">
      <c r="A12" s="70" t="s">
        <v>47</v>
      </c>
      <c r="B12" s="70"/>
      <c r="C12" s="68">
        <v>45000</v>
      </c>
      <c r="D12" s="4"/>
      <c r="E12" s="41" t="s">
        <v>33</v>
      </c>
      <c r="F12" s="42">
        <v>0</v>
      </c>
    </row>
    <row r="13" spans="1:6" x14ac:dyDescent="0.25">
      <c r="A13" s="70" t="s">
        <v>48</v>
      </c>
      <c r="B13" s="70"/>
      <c r="C13" s="66">
        <v>11000</v>
      </c>
      <c r="D13" s="27"/>
      <c r="E13" s="43" t="s">
        <v>9</v>
      </c>
      <c r="F13" s="44">
        <f>'prorrateo '!F13</f>
        <v>0</v>
      </c>
    </row>
    <row r="14" spans="1:6" x14ac:dyDescent="0.25">
      <c r="A14" s="70" t="s">
        <v>49</v>
      </c>
      <c r="B14" s="70"/>
      <c r="C14" s="66">
        <v>18000</v>
      </c>
      <c r="D14" s="27"/>
      <c r="E14" s="43"/>
      <c r="F14" s="44"/>
    </row>
    <row r="15" spans="1:6" x14ac:dyDescent="0.25">
      <c r="A15" s="70" t="s">
        <v>41</v>
      </c>
      <c r="B15" s="84"/>
      <c r="C15" s="68">
        <v>15000</v>
      </c>
      <c r="D15" s="4"/>
      <c r="E15" s="43" t="s">
        <v>21</v>
      </c>
      <c r="F15" s="44">
        <v>0</v>
      </c>
    </row>
    <row r="16" spans="1:6" x14ac:dyDescent="0.25">
      <c r="A16" s="70" t="s">
        <v>46</v>
      </c>
      <c r="B16" s="70"/>
      <c r="C16" s="68">
        <v>6500</v>
      </c>
      <c r="D16" s="4"/>
      <c r="E16" s="43"/>
      <c r="F16" s="44">
        <v>0</v>
      </c>
    </row>
    <row r="17" spans="1:7" ht="15.75" customHeight="1" x14ac:dyDescent="0.25">
      <c r="A17" s="70" t="s">
        <v>42</v>
      </c>
      <c r="B17" s="83"/>
      <c r="C17" s="68">
        <v>20000</v>
      </c>
      <c r="E17" s="43"/>
      <c r="F17" s="44"/>
    </row>
    <row r="18" spans="1:7" ht="15.75" customHeight="1" x14ac:dyDescent="0.25">
      <c r="A18" s="70" t="s">
        <v>53</v>
      </c>
      <c r="B18" s="83"/>
      <c r="C18" s="68">
        <v>9000</v>
      </c>
      <c r="E18" s="43"/>
      <c r="F18" s="44"/>
    </row>
    <row r="19" spans="1:7" x14ac:dyDescent="0.25">
      <c r="A19" s="70" t="s">
        <v>52</v>
      </c>
      <c r="B19" s="71"/>
      <c r="C19" s="66">
        <v>26000</v>
      </c>
      <c r="E19" s="43"/>
      <c r="F19" s="44"/>
    </row>
    <row r="20" spans="1:7" ht="15.75" thickBot="1" x14ac:dyDescent="0.3">
      <c r="A20" s="72"/>
      <c r="B20" s="73"/>
      <c r="C20" s="26">
        <f>SUM(C12:C19)</f>
        <v>150500</v>
      </c>
      <c r="E20" s="45" t="s">
        <v>34</v>
      </c>
      <c r="F20" s="46">
        <f>SUM(F12:F17)</f>
        <v>0</v>
      </c>
      <c r="G20" s="37"/>
    </row>
    <row r="21" spans="1:7" x14ac:dyDescent="0.25">
      <c r="A21" s="74" t="s">
        <v>22</v>
      </c>
      <c r="B21" s="70"/>
      <c r="C21" s="75"/>
      <c r="D21" s="4"/>
      <c r="E21" s="11"/>
      <c r="F21" s="13"/>
      <c r="G21" s="37"/>
    </row>
    <row r="22" spans="1:7" ht="14.25" customHeight="1" x14ac:dyDescent="0.25">
      <c r="A22" s="70" t="s">
        <v>43</v>
      </c>
      <c r="B22" s="76"/>
      <c r="C22" s="68">
        <v>14000</v>
      </c>
      <c r="D22" s="4"/>
      <c r="E22" s="11"/>
      <c r="F22" s="13"/>
      <c r="G22" s="37"/>
    </row>
    <row r="23" spans="1:7" ht="14.25" customHeight="1" x14ac:dyDescent="0.25">
      <c r="A23" s="70" t="s">
        <v>54</v>
      </c>
      <c r="B23" s="76"/>
      <c r="C23" s="66">
        <v>16000</v>
      </c>
      <c r="D23" s="4"/>
      <c r="E23" s="11"/>
      <c r="F23" s="13"/>
      <c r="G23" s="37"/>
    </row>
    <row r="24" spans="1:7" x14ac:dyDescent="0.25">
      <c r="A24" s="77"/>
      <c r="B24" s="78"/>
      <c r="C24" s="68"/>
      <c r="D24" s="4"/>
      <c r="E24" s="11"/>
      <c r="F24" s="13"/>
      <c r="G24" s="37"/>
    </row>
    <row r="25" spans="1:7" x14ac:dyDescent="0.25">
      <c r="A25" s="70"/>
      <c r="B25" s="76"/>
      <c r="C25" s="66"/>
      <c r="D25" s="4"/>
      <c r="E25" s="11"/>
      <c r="F25" s="13"/>
      <c r="G25" s="37"/>
    </row>
    <row r="26" spans="1:7" x14ac:dyDescent="0.25">
      <c r="A26" s="70"/>
      <c r="B26" s="76"/>
      <c r="C26" s="79"/>
      <c r="D26" s="4"/>
      <c r="E26" s="11"/>
      <c r="F26" s="13"/>
      <c r="G26" s="37"/>
    </row>
    <row r="27" spans="1:7" x14ac:dyDescent="0.25">
      <c r="A27" s="24"/>
      <c r="B27" s="25"/>
      <c r="C27" s="69">
        <f>SUM(C21:C26)</f>
        <v>30000</v>
      </c>
      <c r="D27" s="4"/>
      <c r="E27" s="38"/>
      <c r="F27" s="39"/>
      <c r="G27" s="40"/>
    </row>
    <row r="28" spans="1:7" x14ac:dyDescent="0.25">
      <c r="A28" s="30" t="s">
        <v>14</v>
      </c>
      <c r="B28" s="31"/>
      <c r="C28" s="32">
        <f>+C27+C20</f>
        <v>180500</v>
      </c>
      <c r="D28" s="4"/>
      <c r="E28" s="11"/>
      <c r="F28" s="13"/>
      <c r="G28" s="37"/>
    </row>
    <row r="29" spans="1:7" ht="14.25" customHeight="1" x14ac:dyDescent="0.25">
      <c r="A29" s="53" t="s">
        <v>25</v>
      </c>
      <c r="B29" s="65"/>
      <c r="C29" s="64"/>
      <c r="E29" s="11"/>
      <c r="F29" s="13"/>
      <c r="G29" s="37"/>
    </row>
    <row r="30" spans="1:7" hidden="1" x14ac:dyDescent="0.25">
      <c r="A30" s="15" t="s">
        <v>25</v>
      </c>
      <c r="B30" s="23"/>
      <c r="C30" s="23"/>
    </row>
    <row r="31" spans="1:7" hidden="1" x14ac:dyDescent="0.25">
      <c r="A31" s="28"/>
      <c r="B31" s="29"/>
      <c r="C31" s="36"/>
      <c r="F31" s="5"/>
    </row>
    <row r="32" spans="1:7" hidden="1" x14ac:dyDescent="0.25">
      <c r="A32" s="34"/>
      <c r="B32" s="33"/>
      <c r="C32" s="35">
        <v>0</v>
      </c>
      <c r="F32" s="5"/>
    </row>
    <row r="33" spans="1:6" hidden="1" x14ac:dyDescent="0.25">
      <c r="A33" s="47"/>
      <c r="B33" s="48"/>
      <c r="C33" s="35">
        <v>0</v>
      </c>
      <c r="F33" s="5"/>
    </row>
    <row r="34" spans="1:6" x14ac:dyDescent="0.25">
      <c r="A34" s="62"/>
      <c r="B34" s="63"/>
      <c r="C34" s="67"/>
      <c r="F34" s="5"/>
    </row>
    <row r="35" spans="1:6" ht="15" customHeight="1" x14ac:dyDescent="0.25">
      <c r="A35" s="86"/>
      <c r="B35" s="86"/>
      <c r="C35" s="35"/>
      <c r="F35" s="5"/>
    </row>
    <row r="36" spans="1:6" x14ac:dyDescent="0.25">
      <c r="A36" s="34"/>
      <c r="B36" s="33"/>
      <c r="C36" s="35">
        <v>0</v>
      </c>
      <c r="F36" s="5"/>
    </row>
    <row r="37" spans="1:6" x14ac:dyDescent="0.25">
      <c r="A37" s="49" t="s">
        <v>24</v>
      </c>
      <c r="B37" s="50"/>
      <c r="C37" s="51">
        <f>SUM(C32:C36)</f>
        <v>0</v>
      </c>
    </row>
    <row r="38" spans="1:6" x14ac:dyDescent="0.25">
      <c r="A38" s="9"/>
      <c r="B38" s="9"/>
      <c r="C38" s="35"/>
      <c r="F38" s="5"/>
    </row>
    <row r="39" spans="1:6" x14ac:dyDescent="0.25">
      <c r="A39" s="4" t="s">
        <v>39</v>
      </c>
      <c r="B39" s="9"/>
      <c r="C39" s="61">
        <f>C38+C28</f>
        <v>180500</v>
      </c>
      <c r="F39" s="5"/>
    </row>
    <row r="40" spans="1:6" x14ac:dyDescent="0.25">
      <c r="A40" s="49" t="s">
        <v>15</v>
      </c>
      <c r="B40" s="50"/>
      <c r="C40" s="51">
        <f>+C28+C37</f>
        <v>180500</v>
      </c>
      <c r="E40" s="8"/>
    </row>
    <row r="44" spans="1:6" x14ac:dyDescent="0.25">
      <c r="C44" s="9"/>
    </row>
    <row r="45" spans="1:6" x14ac:dyDescent="0.25">
      <c r="D45" s="5"/>
    </row>
    <row r="46" spans="1:6" x14ac:dyDescent="0.25">
      <c r="D46" s="8"/>
      <c r="E46" s="8"/>
    </row>
    <row r="47" spans="1:6" x14ac:dyDescent="0.25">
      <c r="D47" s="8"/>
      <c r="E47" s="8"/>
    </row>
    <row r="48" spans="1:6" x14ac:dyDescent="0.25">
      <c r="D48" s="8"/>
    </row>
    <row r="49" spans="1:4" x14ac:dyDescent="0.25">
      <c r="D49" s="8"/>
    </row>
    <row r="61" spans="1:4" x14ac:dyDescent="0.25">
      <c r="A61" s="11"/>
      <c r="B61" s="12"/>
      <c r="C61" s="13"/>
    </row>
    <row r="62" spans="1:4" x14ac:dyDescent="0.25">
      <c r="A62" s="10"/>
      <c r="B62" s="10"/>
      <c r="C62" s="10"/>
    </row>
    <row r="63" spans="1:4" x14ac:dyDescent="0.25">
      <c r="A63" s="10"/>
      <c r="B63" s="10"/>
      <c r="C63" s="10"/>
    </row>
    <row r="64" spans="1:4" x14ac:dyDescent="0.25">
      <c r="A64" s="10"/>
      <c r="B64" s="10"/>
      <c r="C64" s="10"/>
    </row>
    <row r="65" spans="1:3" x14ac:dyDescent="0.25">
      <c r="A65" s="10"/>
      <c r="B65" s="10"/>
      <c r="C65" s="10"/>
    </row>
    <row r="66" spans="1:3" x14ac:dyDescent="0.25">
      <c r="A66" s="10"/>
      <c r="B66" s="10"/>
      <c r="C66" s="10"/>
    </row>
    <row r="67" spans="1:3" x14ac:dyDescent="0.25">
      <c r="A67" s="10"/>
      <c r="B67" s="10"/>
      <c r="C67" s="10"/>
    </row>
    <row r="68" spans="1:3" x14ac:dyDescent="0.25">
      <c r="A68" s="10"/>
      <c r="B68" s="10"/>
      <c r="C68" s="10"/>
    </row>
  </sheetData>
  <mergeCells count="2">
    <mergeCell ref="E11:F11"/>
    <mergeCell ref="A35:B35"/>
  </mergeCells>
  <hyperlinks>
    <hyperlink ref="B4" r:id="rId1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tabSelected="1" workbookViewId="0">
      <selection activeCell="E5" sqref="E5"/>
    </sheetView>
  </sheetViews>
  <sheetFormatPr baseColWidth="10" defaultRowHeight="15" x14ac:dyDescent="0.25"/>
  <cols>
    <col min="1" max="1" width="5.28515625" style="1" customWidth="1"/>
    <col min="2" max="2" width="0.140625" style="1" customWidth="1"/>
    <col min="3" max="3" width="25" customWidth="1"/>
    <col min="4" max="4" width="10.5703125" bestFit="1" customWidth="1"/>
    <col min="5" max="5" width="9.855468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7.7109375" customWidth="1"/>
    <col min="11" max="11" width="14.28515625" bestFit="1" customWidth="1"/>
    <col min="12" max="12" width="12.42578125" bestFit="1" customWidth="1"/>
    <col min="14" max="14" width="11.42578125" style="14"/>
  </cols>
  <sheetData>
    <row r="1" spans="1:13" x14ac:dyDescent="0.25">
      <c r="A1" s="87"/>
      <c r="B1" s="88"/>
      <c r="C1" s="88"/>
      <c r="D1" s="19"/>
      <c r="E1" s="18"/>
      <c r="F1" s="19"/>
      <c r="G1" s="18" t="s">
        <v>37</v>
      </c>
      <c r="H1" s="19"/>
      <c r="I1" s="19"/>
      <c r="J1" s="19"/>
      <c r="K1" s="80">
        <v>84295.42</v>
      </c>
      <c r="L1" s="81">
        <v>180500</v>
      </c>
    </row>
    <row r="2" spans="1:13" ht="15.75" thickBot="1" x14ac:dyDescent="0.3">
      <c r="A2" s="55"/>
      <c r="B2" s="56"/>
      <c r="C2" s="56"/>
      <c r="D2" s="57"/>
      <c r="E2" s="58"/>
      <c r="F2" s="57"/>
      <c r="G2" s="58" t="s">
        <v>38</v>
      </c>
      <c r="H2" s="57"/>
      <c r="I2" s="57"/>
      <c r="J2" s="57"/>
      <c r="K2" s="59"/>
      <c r="L2" s="60"/>
    </row>
    <row r="3" spans="1:13" ht="15.75" thickBot="1" x14ac:dyDescent="0.3">
      <c r="A3" s="90" t="s">
        <v>0</v>
      </c>
      <c r="B3" s="90" t="s">
        <v>1</v>
      </c>
      <c r="C3" s="90" t="s">
        <v>2</v>
      </c>
      <c r="D3" s="90" t="s">
        <v>6</v>
      </c>
      <c r="E3" s="90" t="s">
        <v>18</v>
      </c>
      <c r="F3" s="90" t="s">
        <v>3</v>
      </c>
      <c r="G3" s="90" t="s">
        <v>35</v>
      </c>
      <c r="H3" s="90" t="s">
        <v>26</v>
      </c>
      <c r="I3" s="90" t="s">
        <v>31</v>
      </c>
      <c r="J3" s="90" t="s">
        <v>16</v>
      </c>
      <c r="K3" s="90" t="s">
        <v>29</v>
      </c>
      <c r="L3" s="98" t="s">
        <v>4</v>
      </c>
    </row>
    <row r="4" spans="1:13" ht="15.75" thickBot="1" x14ac:dyDescent="0.3">
      <c r="A4" s="90"/>
      <c r="B4" s="90"/>
      <c r="C4" s="90" t="s">
        <v>45</v>
      </c>
      <c r="D4" s="90" t="s">
        <v>7</v>
      </c>
      <c r="E4" s="90" t="s">
        <v>19</v>
      </c>
      <c r="F4" s="90" t="s">
        <v>36</v>
      </c>
      <c r="G4" s="90"/>
      <c r="H4" s="91">
        <v>7.6999999999999999E-2</v>
      </c>
      <c r="I4" s="90" t="s">
        <v>32</v>
      </c>
      <c r="J4" s="90" t="s">
        <v>17</v>
      </c>
      <c r="K4" s="90" t="s">
        <v>30</v>
      </c>
      <c r="L4" s="98" t="s">
        <v>5</v>
      </c>
    </row>
    <row r="5" spans="1:13" ht="15.75" thickBot="1" x14ac:dyDescent="0.3">
      <c r="A5" s="90">
        <v>1</v>
      </c>
      <c r="B5" s="99" t="s">
        <v>27</v>
      </c>
      <c r="C5" s="100" t="s">
        <v>44</v>
      </c>
      <c r="D5" s="92"/>
      <c r="E5" s="93">
        <v>0</v>
      </c>
      <c r="F5" s="94"/>
      <c r="G5" s="95">
        <f>E5-F5</f>
        <v>0</v>
      </c>
      <c r="H5" s="96">
        <f>IF(G5&gt;0,G5*8.4%,0)</f>
        <v>0</v>
      </c>
      <c r="I5" s="97">
        <v>0</v>
      </c>
      <c r="J5" s="93">
        <f>(L$1*D5)</f>
        <v>0</v>
      </c>
      <c r="K5" s="97">
        <f>K$2*D5</f>
        <v>0</v>
      </c>
      <c r="L5" s="101">
        <f>J5+K5+H5+G5</f>
        <v>0</v>
      </c>
    </row>
    <row r="6" spans="1:13" ht="15.75" thickBot="1" x14ac:dyDescent="0.3">
      <c r="A6" s="90">
        <v>2</v>
      </c>
      <c r="B6" s="99" t="s">
        <v>28</v>
      </c>
      <c r="C6" s="100" t="s">
        <v>44</v>
      </c>
      <c r="D6" s="92"/>
      <c r="E6" s="93">
        <v>0</v>
      </c>
      <c r="F6" s="94"/>
      <c r="G6" s="95">
        <f t="shared" ref="G6:G9" si="0">E6-F6</f>
        <v>0</v>
      </c>
      <c r="H6" s="96">
        <f t="shared" ref="H6:H9" si="1">IF(G6&gt;0,G6*8.4%,0)</f>
        <v>0</v>
      </c>
      <c r="I6" s="97">
        <v>0</v>
      </c>
      <c r="J6" s="93">
        <f t="shared" ref="J6:J9" si="2">(L$1*D6)</f>
        <v>0</v>
      </c>
      <c r="K6" s="97">
        <f>K$2*D6</f>
        <v>0</v>
      </c>
      <c r="L6" s="101">
        <f>J6+K6+H6+G6</f>
        <v>0</v>
      </c>
    </row>
    <row r="7" spans="1:13" ht="15.75" thickBot="1" x14ac:dyDescent="0.3">
      <c r="A7" s="90">
        <v>3</v>
      </c>
      <c r="B7" s="99"/>
      <c r="C7" s="100" t="s">
        <v>44</v>
      </c>
      <c r="D7" s="92"/>
      <c r="E7" s="93">
        <v>0</v>
      </c>
      <c r="F7" s="94"/>
      <c r="G7" s="95">
        <f t="shared" si="0"/>
        <v>0</v>
      </c>
      <c r="H7" s="96">
        <f t="shared" si="1"/>
        <v>0</v>
      </c>
      <c r="I7" s="97"/>
      <c r="J7" s="93">
        <f t="shared" si="2"/>
        <v>0</v>
      </c>
      <c r="K7" s="97">
        <v>0</v>
      </c>
      <c r="L7" s="101">
        <f t="shared" ref="L7:L9" si="3">J7+K7+H7+G7</f>
        <v>0</v>
      </c>
    </row>
    <row r="8" spans="1:13" ht="15.75" thickBot="1" x14ac:dyDescent="0.3">
      <c r="A8" s="90">
        <v>4</v>
      </c>
      <c r="B8" s="99"/>
      <c r="C8" s="100" t="str">
        <f>C7</f>
        <v xml:space="preserve">SR PROPIETARIO </v>
      </c>
      <c r="D8" s="92"/>
      <c r="E8" s="93">
        <v>0</v>
      </c>
      <c r="F8" s="94"/>
      <c r="G8" s="95">
        <f t="shared" si="0"/>
        <v>0</v>
      </c>
      <c r="H8" s="96">
        <f t="shared" si="1"/>
        <v>0</v>
      </c>
      <c r="I8" s="97"/>
      <c r="J8" s="93">
        <f t="shared" si="2"/>
        <v>0</v>
      </c>
      <c r="K8" s="97">
        <v>0</v>
      </c>
      <c r="L8" s="101">
        <f t="shared" si="3"/>
        <v>0</v>
      </c>
    </row>
    <row r="9" spans="1:13" ht="15.75" thickBot="1" x14ac:dyDescent="0.3">
      <c r="A9" s="90">
        <v>5</v>
      </c>
      <c r="B9" s="99"/>
      <c r="C9" s="100" t="str">
        <f>C8</f>
        <v xml:space="preserve">SR PROPIETARIO </v>
      </c>
      <c r="D9" s="92"/>
      <c r="E9" s="93">
        <v>0</v>
      </c>
      <c r="F9" s="94"/>
      <c r="G9" s="95">
        <f t="shared" si="0"/>
        <v>0</v>
      </c>
      <c r="H9" s="96">
        <f t="shared" si="1"/>
        <v>0</v>
      </c>
      <c r="I9" s="97"/>
      <c r="J9" s="93">
        <f t="shared" si="2"/>
        <v>0</v>
      </c>
      <c r="K9" s="97">
        <v>0</v>
      </c>
      <c r="L9" s="101">
        <f t="shared" si="3"/>
        <v>0</v>
      </c>
    </row>
    <row r="10" spans="1:13" ht="15.75" thickBot="1" x14ac:dyDescent="0.3">
      <c r="A10" s="90">
        <v>6</v>
      </c>
      <c r="B10" s="99"/>
      <c r="C10" s="100" t="s">
        <v>55</v>
      </c>
      <c r="D10" s="92"/>
      <c r="E10" s="93"/>
      <c r="F10" s="94"/>
      <c r="G10" s="95"/>
      <c r="H10" s="96"/>
      <c r="I10" s="97"/>
      <c r="J10" s="93"/>
      <c r="K10" s="97"/>
      <c r="L10" s="101"/>
      <c r="M10" s="37"/>
    </row>
    <row r="11" spans="1:13" ht="15.75" thickBot="1" x14ac:dyDescent="0.3">
      <c r="A11" s="90">
        <v>7</v>
      </c>
      <c r="B11" s="99"/>
      <c r="C11" s="100" t="s">
        <v>56</v>
      </c>
      <c r="D11" s="92"/>
      <c r="E11" s="93"/>
      <c r="F11" s="94"/>
      <c r="G11" s="95"/>
      <c r="H11" s="96"/>
      <c r="I11" s="97"/>
      <c r="J11" s="93"/>
      <c r="K11" s="97"/>
      <c r="L11" s="101"/>
    </row>
    <row r="12" spans="1:13" ht="15.75" thickBot="1" x14ac:dyDescent="0.3">
      <c r="A12" s="90">
        <v>8</v>
      </c>
      <c r="B12" s="99"/>
      <c r="C12" s="100" t="s">
        <v>57</v>
      </c>
      <c r="D12" s="92"/>
      <c r="E12" s="93"/>
      <c r="F12" s="94"/>
      <c r="G12" s="95"/>
      <c r="H12" s="96"/>
      <c r="I12" s="97"/>
      <c r="J12" s="93"/>
      <c r="K12" s="97"/>
      <c r="L12" s="101"/>
    </row>
    <row r="13" spans="1:13" ht="15.75" thickBot="1" x14ac:dyDescent="0.3">
      <c r="A13" s="6" t="s">
        <v>10</v>
      </c>
      <c r="B13" s="7"/>
      <c r="C13" s="102"/>
      <c r="D13" s="103">
        <f>SUM(D5:D9)</f>
        <v>0</v>
      </c>
      <c r="E13" s="104">
        <f>SUM(E5:E9)</f>
        <v>0</v>
      </c>
      <c r="F13" s="104">
        <f>SUM(F5:F9)</f>
        <v>0</v>
      </c>
      <c r="G13" s="104">
        <f>SUM(G5:G6)</f>
        <v>0</v>
      </c>
      <c r="H13" s="104">
        <f>SUM(H5:H6)</f>
        <v>0</v>
      </c>
      <c r="I13" s="105">
        <f>SUM(I5:I6)</f>
        <v>0</v>
      </c>
      <c r="J13" s="106">
        <f>SUM(J5:J9)</f>
        <v>0</v>
      </c>
      <c r="K13" s="106">
        <f>SUM(K5:K6)</f>
        <v>0</v>
      </c>
      <c r="L13" s="104">
        <f>SUM(L5:L9)</f>
        <v>0</v>
      </c>
    </row>
    <row r="14" spans="1:13" ht="12.75" customHeight="1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</row>
    <row r="15" spans="1:13" x14ac:dyDescent="0.25">
      <c r="L15" s="5"/>
    </row>
    <row r="18" spans="6:7" x14ac:dyDescent="0.25">
      <c r="F18" s="5"/>
      <c r="G18" s="5"/>
    </row>
  </sheetData>
  <mergeCells count="2">
    <mergeCell ref="A1:C1"/>
    <mergeCell ref="A14:L1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y gastos</vt:lpstr>
      <vt:lpstr>prorrateo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2024-05-24T12:58:06Z</cp:lastPrinted>
  <dcterms:created xsi:type="dcterms:W3CDTF">2020-12-10T00:27:53Z</dcterms:created>
  <dcterms:modified xsi:type="dcterms:W3CDTF">2024-05-24T12:58:16Z</dcterms:modified>
</cp:coreProperties>
</file>