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defaultThemeVersion="124226"/>
  <mc:AlternateContent xmlns:mc="http://schemas.openxmlformats.org/markup-compatibility/2006">
    <mc:Choice Requires="x15">
      <x15ac:absPath xmlns:x15ac="http://schemas.microsoft.com/office/spreadsheetml/2010/11/ac" url="D:\OneDrive\Desktop\RC CONSORCIO 2025\EL MIRADOR\"/>
    </mc:Choice>
  </mc:AlternateContent>
  <xr:revisionPtr revIDLastSave="0" documentId="13_ncr:1_{52E64B61-DC1C-46D5-A59F-CDA783193FB0}"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COCHERA" sheetId="3" r:id="rId3"/>
  </sheets>
  <definedNames>
    <definedName name="_xlnm.Print_Area" localSheetId="1">PRORRATEO!$A$1:$M$138</definedName>
    <definedName name="_xlnm.Print_Area" localSheetId="0">RESUMEN!$A$1:$J$116</definedName>
  </definedNames>
  <calcPr calcId="181029"/>
</workbook>
</file>

<file path=xl/calcChain.xml><?xml version="1.0" encoding="utf-8"?>
<calcChain xmlns="http://schemas.openxmlformats.org/spreadsheetml/2006/main">
  <c r="E130" i="2" l="1"/>
  <c r="L58" i="1" l="1"/>
  <c r="K58" i="1"/>
  <c r="E58" i="1"/>
  <c r="L2" i="2"/>
  <c r="J12" i="2" s="1"/>
  <c r="E57" i="1"/>
  <c r="G57" i="1"/>
  <c r="J79" i="1"/>
  <c r="I79" i="1"/>
  <c r="I80" i="1" s="1"/>
  <c r="H79" i="1"/>
  <c r="G79" i="1"/>
  <c r="G80" i="1" s="1"/>
  <c r="F79" i="1"/>
  <c r="J78" i="1"/>
  <c r="I78" i="1"/>
  <c r="H78" i="1"/>
  <c r="H80" i="1" s="1"/>
  <c r="G78" i="1"/>
  <c r="F78" i="1"/>
  <c r="F80" i="1" s="1"/>
  <c r="J74" i="1"/>
  <c r="I74" i="1"/>
  <c r="I77" i="1" s="1"/>
  <c r="H74" i="1"/>
  <c r="H77" i="1" s="1"/>
  <c r="G74" i="1"/>
  <c r="G77" i="1" s="1"/>
  <c r="F74" i="1"/>
  <c r="F77" i="1" s="1"/>
  <c r="J68" i="1"/>
  <c r="I68" i="1"/>
  <c r="I70" i="1" s="1"/>
  <c r="H68" i="1"/>
  <c r="H70" i="1" s="1"/>
  <c r="G68" i="1"/>
  <c r="G70" i="1" s="1"/>
  <c r="F68" i="1"/>
  <c r="F70" i="1" s="1"/>
  <c r="K57" i="1"/>
  <c r="J59" i="1"/>
  <c r="I59" i="1"/>
  <c r="H59" i="1"/>
  <c r="G59" i="1"/>
  <c r="F59" i="1"/>
  <c r="J57" i="1"/>
  <c r="I57" i="1"/>
  <c r="H57" i="1"/>
  <c r="F57" i="1"/>
  <c r="J56" i="1"/>
  <c r="I56" i="1"/>
  <c r="H56" i="1"/>
  <c r="G56" i="1"/>
  <c r="G64" i="1" s="1"/>
  <c r="F56" i="1"/>
  <c r="I50" i="1"/>
  <c r="I53" i="1" s="1"/>
  <c r="H50" i="1"/>
  <c r="G50" i="1"/>
  <c r="F50" i="1"/>
  <c r="J50" i="1"/>
  <c r="K55" i="1"/>
  <c r="I23" i="2"/>
  <c r="E93" i="1"/>
  <c r="D48" i="1"/>
  <c r="J48" i="1"/>
  <c r="E48" i="1"/>
  <c r="E60" i="1"/>
  <c r="L60" i="1" s="1"/>
  <c r="K60" i="1"/>
  <c r="N60" i="1" s="1"/>
  <c r="D51" i="1"/>
  <c r="I51" i="1" s="1"/>
  <c r="E52" i="1"/>
  <c r="J52" i="1"/>
  <c r="E79" i="1"/>
  <c r="E78" i="1"/>
  <c r="E74" i="1"/>
  <c r="E68" i="1"/>
  <c r="E59" i="1"/>
  <c r="E56" i="1"/>
  <c r="E50" i="1"/>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44" i="2"/>
  <c r="D31" i="1"/>
  <c r="D26" i="1"/>
  <c r="H12" i="2"/>
  <c r="H13" i="2"/>
  <c r="H14" i="2"/>
  <c r="H15" i="2"/>
  <c r="H16" i="2"/>
  <c r="H18" i="2"/>
  <c r="H21" i="2"/>
  <c r="H22" i="2"/>
  <c r="H23" i="2"/>
  <c r="H25" i="2"/>
  <c r="H27" i="2"/>
  <c r="H28" i="2"/>
  <c r="H29" i="2"/>
  <c r="H30" i="2"/>
  <c r="H31" i="2"/>
  <c r="H32" i="2"/>
  <c r="H33" i="2"/>
  <c r="H34" i="2"/>
  <c r="H35" i="2"/>
  <c r="H36" i="2"/>
  <c r="H24" i="2"/>
  <c r="H20" i="2"/>
  <c r="H39" i="2"/>
  <c r="H40" i="2"/>
  <c r="H19" i="2"/>
  <c r="H41" i="2"/>
  <c r="H42" i="2"/>
  <c r="H43" i="2"/>
  <c r="H45" i="2"/>
  <c r="H46" i="2"/>
  <c r="H47" i="2"/>
  <c r="H17" i="2"/>
  <c r="H49" i="2"/>
  <c r="D80" i="1"/>
  <c r="D77" i="1"/>
  <c r="B115" i="1"/>
  <c r="K62" i="1"/>
  <c r="N62" i="1" s="1"/>
  <c r="E62" i="1"/>
  <c r="L62" i="1" s="1"/>
  <c r="L56" i="1" l="1"/>
  <c r="F64" i="1"/>
  <c r="I64" i="1"/>
  <c r="L59" i="1"/>
  <c r="H64" i="1"/>
  <c r="F51" i="1"/>
  <c r="F53" i="1" s="1"/>
  <c r="G51" i="1"/>
  <c r="G53" i="1" s="1"/>
  <c r="H51" i="1"/>
  <c r="H53" i="1" s="1"/>
  <c r="L57" i="1"/>
  <c r="M62" i="1"/>
  <c r="J51" i="1"/>
  <c r="J53" i="1" s="1"/>
  <c r="I12" i="2"/>
  <c r="I115" i="2"/>
  <c r="I99" i="2"/>
  <c r="I83" i="2"/>
  <c r="I67" i="2"/>
  <c r="I51" i="2"/>
  <c r="I35" i="2"/>
  <c r="I19" i="2"/>
  <c r="I111" i="2"/>
  <c r="I95" i="2"/>
  <c r="I79" i="2"/>
  <c r="I63" i="2"/>
  <c r="I47" i="2"/>
  <c r="I31" i="2"/>
  <c r="I15" i="2"/>
  <c r="I123" i="2"/>
  <c r="I107" i="2"/>
  <c r="I91" i="2"/>
  <c r="I75" i="2"/>
  <c r="I59" i="2"/>
  <c r="I43" i="2"/>
  <c r="I27" i="2"/>
  <c r="I119" i="2"/>
  <c r="I103" i="2"/>
  <c r="I87" i="2"/>
  <c r="I71" i="2"/>
  <c r="I55" i="2"/>
  <c r="I39" i="2"/>
  <c r="E51" i="1"/>
  <c r="I122" i="2"/>
  <c r="I118" i="2"/>
  <c r="I114" i="2"/>
  <c r="I110" i="2"/>
  <c r="I106" i="2"/>
  <c r="I102" i="2"/>
  <c r="I98" i="2"/>
  <c r="I94" i="2"/>
  <c r="I90" i="2"/>
  <c r="I86" i="2"/>
  <c r="I82" i="2"/>
  <c r="I78" i="2"/>
  <c r="I74" i="2"/>
  <c r="I70" i="2"/>
  <c r="I66" i="2"/>
  <c r="I62" i="2"/>
  <c r="I58" i="2"/>
  <c r="I54" i="2"/>
  <c r="I50" i="2"/>
  <c r="I46" i="2"/>
  <c r="I42" i="2"/>
  <c r="I38" i="2"/>
  <c r="I34" i="2"/>
  <c r="I30" i="2"/>
  <c r="I26" i="2"/>
  <c r="I22" i="2"/>
  <c r="I18" i="2"/>
  <c r="I14" i="2"/>
  <c r="I121" i="2"/>
  <c r="I117" i="2"/>
  <c r="I113" i="2"/>
  <c r="I109" i="2"/>
  <c r="I105" i="2"/>
  <c r="I101" i="2"/>
  <c r="I97" i="2"/>
  <c r="I93" i="2"/>
  <c r="I89" i="2"/>
  <c r="I85" i="2"/>
  <c r="I81" i="2"/>
  <c r="I77" i="2"/>
  <c r="I73" i="2"/>
  <c r="I69" i="2"/>
  <c r="I65" i="2"/>
  <c r="I61" i="2"/>
  <c r="I57" i="2"/>
  <c r="I53" i="2"/>
  <c r="I49" i="2"/>
  <c r="I45" i="2"/>
  <c r="I41" i="2"/>
  <c r="I37" i="2"/>
  <c r="I33" i="2"/>
  <c r="I29" i="2"/>
  <c r="I25" i="2"/>
  <c r="I21" i="2"/>
  <c r="I17" i="2"/>
  <c r="I13" i="2"/>
  <c r="I124" i="2"/>
  <c r="I120" i="2"/>
  <c r="I116" i="2"/>
  <c r="I112" i="2"/>
  <c r="I108" i="2"/>
  <c r="I104" i="2"/>
  <c r="I100" i="2"/>
  <c r="I96" i="2"/>
  <c r="I92" i="2"/>
  <c r="I88" i="2"/>
  <c r="I84" i="2"/>
  <c r="I80" i="2"/>
  <c r="I76" i="2"/>
  <c r="I72" i="2"/>
  <c r="I68" i="2"/>
  <c r="I64" i="2"/>
  <c r="I60" i="2"/>
  <c r="I56" i="2"/>
  <c r="I52" i="2"/>
  <c r="I48" i="2"/>
  <c r="I44" i="2"/>
  <c r="I40" i="2"/>
  <c r="I36" i="2"/>
  <c r="I32" i="2"/>
  <c r="I28" i="2"/>
  <c r="I24" i="2"/>
  <c r="I20" i="2"/>
  <c r="I16" i="2"/>
  <c r="J113" i="2"/>
  <c r="J49" i="2"/>
  <c r="J97" i="2"/>
  <c r="J81" i="2"/>
  <c r="J17" i="2"/>
  <c r="J33" i="2"/>
  <c r="J65" i="2"/>
  <c r="J109" i="2"/>
  <c r="J93" i="2"/>
  <c r="J77" i="2"/>
  <c r="J61" i="2"/>
  <c r="J45" i="2"/>
  <c r="J29" i="2"/>
  <c r="J13" i="2"/>
  <c r="J121" i="2"/>
  <c r="J105" i="2"/>
  <c r="J89" i="2"/>
  <c r="J73" i="2"/>
  <c r="J57" i="2"/>
  <c r="J41" i="2"/>
  <c r="J25" i="2"/>
  <c r="J117" i="2"/>
  <c r="J101" i="2"/>
  <c r="J85" i="2"/>
  <c r="J69" i="2"/>
  <c r="J53" i="2"/>
  <c r="J37" i="2"/>
  <c r="J21"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6" i="2"/>
  <c r="J123" i="2"/>
  <c r="J119" i="2"/>
  <c r="J115" i="2"/>
  <c r="J111" i="2"/>
  <c r="J107" i="2"/>
  <c r="J103" i="2"/>
  <c r="J99" i="2"/>
  <c r="J95" i="2"/>
  <c r="J91" i="2"/>
  <c r="J87" i="2"/>
  <c r="J83" i="2"/>
  <c r="J79" i="2"/>
  <c r="J75" i="2"/>
  <c r="J71" i="2"/>
  <c r="J67" i="2"/>
  <c r="J63" i="2"/>
  <c r="J59" i="2"/>
  <c r="J55" i="2"/>
  <c r="J51" i="2"/>
  <c r="J47" i="2"/>
  <c r="J43" i="2"/>
  <c r="J39" i="2"/>
  <c r="J35" i="2"/>
  <c r="J31" i="2"/>
  <c r="J27" i="2"/>
  <c r="J23" i="2"/>
  <c r="L23" i="2" s="1"/>
  <c r="M23" i="2" s="1"/>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D32" i="1"/>
  <c r="H26" i="2"/>
  <c r="H37" i="2"/>
  <c r="H48" i="2"/>
  <c r="H38" i="2"/>
  <c r="H32" i="1" l="1"/>
  <c r="H84" i="1" s="1"/>
  <c r="G32" i="1"/>
  <c r="G84" i="1" s="1"/>
  <c r="J32" i="1"/>
  <c r="F32" i="1"/>
  <c r="F84" i="1" s="1"/>
  <c r="I32" i="1"/>
  <c r="I84" i="1" s="1"/>
  <c r="J126" i="2"/>
  <c r="I126" i="2"/>
  <c r="L16" i="2"/>
  <c r="M16" i="2" s="1"/>
  <c r="E32" i="1"/>
  <c r="D53" i="1"/>
  <c r="D64" i="1"/>
  <c r="K32" i="1" l="1"/>
  <c r="G123" i="2"/>
  <c r="H123" i="2" s="1"/>
  <c r="N55" i="1"/>
  <c r="E55" i="1"/>
  <c r="L55" i="1" l="1"/>
  <c r="M55" i="1" s="1"/>
  <c r="N57" i="1" l="1"/>
  <c r="F126" i="2"/>
  <c r="D70" i="1"/>
  <c r="M57" i="1" l="1"/>
  <c r="E61" i="1"/>
  <c r="L61" i="1" s="1"/>
  <c r="D95" i="1" l="1"/>
  <c r="B105" i="1" l="1"/>
  <c r="E95" i="1"/>
  <c r="J95" i="1"/>
  <c r="L95" i="1" l="1"/>
  <c r="M95" i="1" s="1"/>
  <c r="E69" i="1" l="1"/>
  <c r="K48" i="1" l="1"/>
  <c r="J40" i="1"/>
  <c r="J39" i="1"/>
  <c r="J38" i="1"/>
  <c r="E40" i="1"/>
  <c r="E39" i="1"/>
  <c r="E38" i="1"/>
  <c r="K56" i="1" l="1"/>
  <c r="N56" i="1" s="1"/>
  <c r="K59" i="1"/>
  <c r="N59" i="1" s="1"/>
  <c r="K61" i="1"/>
  <c r="N61" i="1" s="1"/>
  <c r="M63" i="1" l="1"/>
  <c r="M61" i="1" l="1"/>
  <c r="J82" i="1" l="1"/>
  <c r="E82" i="1"/>
  <c r="K82" i="1" l="1"/>
  <c r="L82" i="1" s="1"/>
  <c r="J34" i="1" l="1"/>
  <c r="J33" i="1"/>
  <c r="E34" i="1"/>
  <c r="E33" i="1"/>
  <c r="J64" i="1" l="1"/>
  <c r="E64" i="1"/>
  <c r="M56" i="1"/>
  <c r="M59" i="1"/>
  <c r="J80" i="1"/>
  <c r="E80" i="1"/>
  <c r="K80" i="1" s="1"/>
  <c r="E77" i="1"/>
  <c r="J77" i="1"/>
  <c r="E70" i="1"/>
  <c r="J70" i="1"/>
  <c r="K70" i="1" s="1"/>
  <c r="E37" i="1"/>
  <c r="E41" i="1" s="1"/>
  <c r="J37" i="1"/>
  <c r="K77" i="1" l="1"/>
  <c r="K64" i="1"/>
  <c r="M64" i="1" s="1"/>
  <c r="L32" i="1"/>
  <c r="K37" i="1"/>
  <c r="D37" i="1"/>
  <c r="D84" i="1" s="1"/>
  <c r="L64" i="1" l="1"/>
  <c r="B99" i="1"/>
  <c r="B104" i="1" s="1"/>
  <c r="D41" i="1"/>
  <c r="L70" i="1"/>
  <c r="L37" i="1"/>
  <c r="L80" i="1"/>
  <c r="L77" i="1"/>
  <c r="C89" i="1"/>
  <c r="B107" i="1" s="1"/>
  <c r="K1" i="2" l="1"/>
  <c r="O4" i="2" s="1"/>
  <c r="E53" i="1"/>
  <c r="E84" i="1" s="1"/>
  <c r="K53" i="1" l="1"/>
  <c r="L53" i="1" s="1"/>
  <c r="B98" i="1"/>
  <c r="A3" i="2" l="1"/>
  <c r="E45" i="1" l="1"/>
  <c r="J45" i="1"/>
  <c r="J127" i="2" l="1"/>
  <c r="B106" i="1"/>
  <c r="I4" i="2" l="1"/>
  <c r="K44" i="2" l="1"/>
  <c r="L44" i="2" s="1"/>
  <c r="M44" i="2" s="1"/>
  <c r="K48" i="2"/>
  <c r="L48" i="2" s="1"/>
  <c r="M48" i="2" s="1"/>
  <c r="K52" i="2"/>
  <c r="L52" i="2" s="1"/>
  <c r="M52" i="2" s="1"/>
  <c r="K56" i="2"/>
  <c r="L56" i="2" s="1"/>
  <c r="M56" i="2" s="1"/>
  <c r="K60" i="2"/>
  <c r="L60" i="2" s="1"/>
  <c r="M60" i="2" s="1"/>
  <c r="K64" i="2"/>
  <c r="L64" i="2" s="1"/>
  <c r="M64" i="2" s="1"/>
  <c r="K68" i="2"/>
  <c r="L68" i="2" s="1"/>
  <c r="M68" i="2" s="1"/>
  <c r="K72" i="2"/>
  <c r="L72" i="2" s="1"/>
  <c r="M72" i="2" s="1"/>
  <c r="K76" i="2"/>
  <c r="L76" i="2" s="1"/>
  <c r="M76" i="2" s="1"/>
  <c r="K80" i="2"/>
  <c r="L80" i="2" s="1"/>
  <c r="M80" i="2" s="1"/>
  <c r="K84" i="2"/>
  <c r="L84" i="2" s="1"/>
  <c r="M84" i="2" s="1"/>
  <c r="K88" i="2"/>
  <c r="L88" i="2" s="1"/>
  <c r="M88" i="2" s="1"/>
  <c r="K92" i="2"/>
  <c r="L92" i="2" s="1"/>
  <c r="M92" i="2" s="1"/>
  <c r="K96" i="2"/>
  <c r="L96" i="2" s="1"/>
  <c r="M96" i="2" s="1"/>
  <c r="K100" i="2"/>
  <c r="L100" i="2" s="1"/>
  <c r="M100" i="2" s="1"/>
  <c r="K104" i="2"/>
  <c r="L104" i="2" s="1"/>
  <c r="M104" i="2" s="1"/>
  <c r="K108" i="2"/>
  <c r="L108" i="2" s="1"/>
  <c r="M108" i="2" s="1"/>
  <c r="K112" i="2"/>
  <c r="L112" i="2" s="1"/>
  <c r="M112" i="2" s="1"/>
  <c r="K116" i="2"/>
  <c r="L116" i="2" s="1"/>
  <c r="M116" i="2" s="1"/>
  <c r="K120" i="2"/>
  <c r="L120" i="2" s="1"/>
  <c r="M120" i="2" s="1"/>
  <c r="K124" i="2"/>
  <c r="K12" i="2"/>
  <c r="L12" i="2" s="1"/>
  <c r="M12" i="2" s="1"/>
  <c r="K35" i="2"/>
  <c r="L35" i="2" s="1"/>
  <c r="M35" i="2" s="1"/>
  <c r="K37" i="2"/>
  <c r="L37" i="2" s="1"/>
  <c r="M37" i="2" s="1"/>
  <c r="K39" i="2"/>
  <c r="L39" i="2" s="1"/>
  <c r="M39" i="2" s="1"/>
  <c r="K43" i="2"/>
  <c r="L43" i="2" s="1"/>
  <c r="M43" i="2" s="1"/>
  <c r="K75" i="2"/>
  <c r="L75" i="2" s="1"/>
  <c r="M75" i="2" s="1"/>
  <c r="K83" i="2"/>
  <c r="L83" i="2" s="1"/>
  <c r="M83" i="2" s="1"/>
  <c r="K99" i="2"/>
  <c r="L99" i="2" s="1"/>
  <c r="M99" i="2" s="1"/>
  <c r="K107" i="2"/>
  <c r="L107" i="2" s="1"/>
  <c r="M107" i="2" s="1"/>
  <c r="K119" i="2"/>
  <c r="L119" i="2" s="1"/>
  <c r="M119" i="2" s="1"/>
  <c r="K20" i="2"/>
  <c r="L20" i="2" s="1"/>
  <c r="M20" i="2" s="1"/>
  <c r="K28" i="2"/>
  <c r="L28" i="2" s="1"/>
  <c r="M28" i="2" s="1"/>
  <c r="K30" i="2"/>
  <c r="L30" i="2" s="1"/>
  <c r="M30" i="2" s="1"/>
  <c r="K45" i="2"/>
  <c r="L45" i="2" s="1"/>
  <c r="M45" i="2" s="1"/>
  <c r="K49" i="2"/>
  <c r="L49" i="2" s="1"/>
  <c r="M49" i="2" s="1"/>
  <c r="K53" i="2"/>
  <c r="L53" i="2" s="1"/>
  <c r="M53" i="2" s="1"/>
  <c r="K57" i="2"/>
  <c r="L57" i="2" s="1"/>
  <c r="M57" i="2" s="1"/>
  <c r="K61" i="2"/>
  <c r="L61" i="2" s="1"/>
  <c r="M61" i="2" s="1"/>
  <c r="K65" i="2"/>
  <c r="L65" i="2" s="1"/>
  <c r="M65" i="2" s="1"/>
  <c r="K69" i="2"/>
  <c r="L69" i="2" s="1"/>
  <c r="M69" i="2" s="1"/>
  <c r="K73" i="2"/>
  <c r="L73" i="2" s="1"/>
  <c r="M73" i="2" s="1"/>
  <c r="K77" i="2"/>
  <c r="L77" i="2" s="1"/>
  <c r="M77" i="2" s="1"/>
  <c r="K81" i="2"/>
  <c r="L81" i="2" s="1"/>
  <c r="M81" i="2" s="1"/>
  <c r="K85" i="2"/>
  <c r="L85" i="2" s="1"/>
  <c r="M85" i="2" s="1"/>
  <c r="K89" i="2"/>
  <c r="L89" i="2" s="1"/>
  <c r="M89" i="2" s="1"/>
  <c r="K93" i="2"/>
  <c r="L93" i="2" s="1"/>
  <c r="M93" i="2" s="1"/>
  <c r="K97" i="2"/>
  <c r="L97" i="2" s="1"/>
  <c r="M97" i="2" s="1"/>
  <c r="K101" i="2"/>
  <c r="L101" i="2" s="1"/>
  <c r="M101" i="2" s="1"/>
  <c r="K105" i="2"/>
  <c r="L105" i="2" s="1"/>
  <c r="M105" i="2" s="1"/>
  <c r="K109" i="2"/>
  <c r="L109" i="2" s="1"/>
  <c r="M109" i="2" s="1"/>
  <c r="K113" i="2"/>
  <c r="L113" i="2" s="1"/>
  <c r="M113" i="2" s="1"/>
  <c r="K117" i="2"/>
  <c r="L117" i="2" s="1"/>
  <c r="M117" i="2" s="1"/>
  <c r="K121" i="2"/>
  <c r="L121" i="2" s="1"/>
  <c r="M121" i="2" s="1"/>
  <c r="K15" i="2"/>
  <c r="L15" i="2" s="1"/>
  <c r="M15" i="2" s="1"/>
  <c r="K18" i="2"/>
  <c r="L18" i="2" s="1"/>
  <c r="M18" i="2" s="1"/>
  <c r="K21" i="2"/>
  <c r="L21" i="2" s="1"/>
  <c r="M21" i="2" s="1"/>
  <c r="K24" i="2"/>
  <c r="L24" i="2" s="1"/>
  <c r="M24" i="2" s="1"/>
  <c r="K27" i="2"/>
  <c r="L27" i="2" s="1"/>
  <c r="M27" i="2" s="1"/>
  <c r="K29" i="2"/>
  <c r="L29" i="2" s="1"/>
  <c r="M29" i="2" s="1"/>
  <c r="K31" i="2"/>
  <c r="L31" i="2" s="1"/>
  <c r="M31" i="2" s="1"/>
  <c r="K47" i="2"/>
  <c r="L47" i="2" s="1"/>
  <c r="M47" i="2" s="1"/>
  <c r="K51" i="2"/>
  <c r="L51" i="2" s="1"/>
  <c r="M51" i="2" s="1"/>
  <c r="K55" i="2"/>
  <c r="L55" i="2" s="1"/>
  <c r="M55" i="2" s="1"/>
  <c r="K59" i="2"/>
  <c r="L59" i="2" s="1"/>
  <c r="M59" i="2" s="1"/>
  <c r="K63" i="2"/>
  <c r="L63" i="2" s="1"/>
  <c r="M63" i="2" s="1"/>
  <c r="K67" i="2"/>
  <c r="L67" i="2" s="1"/>
  <c r="M67" i="2" s="1"/>
  <c r="K79" i="2"/>
  <c r="L79" i="2" s="1"/>
  <c r="M79" i="2" s="1"/>
  <c r="K91" i="2"/>
  <c r="L91" i="2" s="1"/>
  <c r="M91" i="2" s="1"/>
  <c r="K95" i="2"/>
  <c r="L95" i="2" s="1"/>
  <c r="M95" i="2" s="1"/>
  <c r="K103" i="2"/>
  <c r="L103" i="2" s="1"/>
  <c r="M103" i="2" s="1"/>
  <c r="K115" i="2"/>
  <c r="L115" i="2" s="1"/>
  <c r="M115" i="2" s="1"/>
  <c r="K14" i="2"/>
  <c r="L14" i="2" s="1"/>
  <c r="M14" i="2" s="1"/>
  <c r="K22" i="2"/>
  <c r="L22" i="2" s="1"/>
  <c r="M22" i="2" s="1"/>
  <c r="K46" i="2"/>
  <c r="L46" i="2" s="1"/>
  <c r="M46" i="2" s="1"/>
  <c r="K50" i="2"/>
  <c r="L50" i="2" s="1"/>
  <c r="M50" i="2" s="1"/>
  <c r="K54" i="2"/>
  <c r="L54" i="2" s="1"/>
  <c r="M54" i="2" s="1"/>
  <c r="K58" i="2"/>
  <c r="L58" i="2" s="1"/>
  <c r="M58" i="2" s="1"/>
  <c r="K62" i="2"/>
  <c r="L62" i="2" s="1"/>
  <c r="M62" i="2" s="1"/>
  <c r="K66" i="2"/>
  <c r="L66" i="2" s="1"/>
  <c r="M66" i="2" s="1"/>
  <c r="K70" i="2"/>
  <c r="L70" i="2" s="1"/>
  <c r="M70" i="2" s="1"/>
  <c r="K74" i="2"/>
  <c r="L74" i="2" s="1"/>
  <c r="M74" i="2" s="1"/>
  <c r="K78" i="2"/>
  <c r="L78" i="2" s="1"/>
  <c r="M78" i="2" s="1"/>
  <c r="K82" i="2"/>
  <c r="L82" i="2" s="1"/>
  <c r="M82" i="2" s="1"/>
  <c r="K86" i="2"/>
  <c r="L86" i="2" s="1"/>
  <c r="M86" i="2" s="1"/>
  <c r="K90" i="2"/>
  <c r="L90" i="2" s="1"/>
  <c r="M90" i="2" s="1"/>
  <c r="K94" i="2"/>
  <c r="L94" i="2" s="1"/>
  <c r="M94" i="2" s="1"/>
  <c r="K98" i="2"/>
  <c r="L98" i="2" s="1"/>
  <c r="M98" i="2" s="1"/>
  <c r="K102" i="2"/>
  <c r="L102" i="2" s="1"/>
  <c r="M102" i="2" s="1"/>
  <c r="K106" i="2"/>
  <c r="L106" i="2" s="1"/>
  <c r="M106" i="2" s="1"/>
  <c r="K110" i="2"/>
  <c r="L110" i="2" s="1"/>
  <c r="M110" i="2" s="1"/>
  <c r="K114" i="2"/>
  <c r="L114" i="2" s="1"/>
  <c r="M114" i="2" s="1"/>
  <c r="K118" i="2"/>
  <c r="L118" i="2" s="1"/>
  <c r="M118" i="2" s="1"/>
  <c r="K122" i="2"/>
  <c r="L122" i="2" s="1"/>
  <c r="M122" i="2" s="1"/>
  <c r="K13" i="2"/>
  <c r="L13" i="2" s="1"/>
  <c r="M13" i="2" s="1"/>
  <c r="K19" i="2"/>
  <c r="L19" i="2" s="1"/>
  <c r="M19" i="2" s="1"/>
  <c r="K34" i="2"/>
  <c r="L34" i="2" s="1"/>
  <c r="M34" i="2" s="1"/>
  <c r="K36" i="2"/>
  <c r="L36" i="2" s="1"/>
  <c r="M36" i="2" s="1"/>
  <c r="K38" i="2"/>
  <c r="L38" i="2" s="1"/>
  <c r="M38" i="2" s="1"/>
  <c r="K40" i="2"/>
  <c r="L40" i="2" s="1"/>
  <c r="M40" i="2" s="1"/>
  <c r="K42" i="2"/>
  <c r="L42" i="2" s="1"/>
  <c r="M42" i="2" s="1"/>
  <c r="K71" i="2"/>
  <c r="L71" i="2" s="1"/>
  <c r="M71" i="2" s="1"/>
  <c r="K87" i="2"/>
  <c r="L87" i="2" s="1"/>
  <c r="M87" i="2" s="1"/>
  <c r="K111" i="2"/>
  <c r="L111" i="2" s="1"/>
  <c r="M111" i="2" s="1"/>
  <c r="K123" i="2"/>
  <c r="L123" i="2" s="1"/>
  <c r="M123" i="2" s="1"/>
  <c r="K17" i="2"/>
  <c r="L17" i="2" s="1"/>
  <c r="M17" i="2" s="1"/>
  <c r="K26" i="2"/>
  <c r="L26" i="2" s="1"/>
  <c r="M26" i="2" s="1"/>
  <c r="K32" i="2"/>
  <c r="L32" i="2" s="1"/>
  <c r="M32" i="2" s="1"/>
  <c r="K41" i="2"/>
  <c r="L41" i="2" s="1"/>
  <c r="M41" i="2" s="1"/>
  <c r="K25" i="2"/>
  <c r="L25" i="2" s="1"/>
  <c r="M25" i="2" s="1"/>
  <c r="K33" i="2"/>
  <c r="L33" i="2" s="1"/>
  <c r="M33" i="2" s="1"/>
  <c r="K8" i="2"/>
  <c r="K11" i="2"/>
  <c r="K10" i="2"/>
  <c r="K9" i="2"/>
  <c r="G124" i="2" l="1"/>
  <c r="H124" i="2" s="1"/>
  <c r="L124" i="2" s="1"/>
  <c r="M124" i="2" s="1"/>
  <c r="J41" i="1" l="1"/>
  <c r="N1" i="3" l="1"/>
  <c r="K126" i="2" l="1"/>
  <c r="E126" i="2"/>
  <c r="H10" i="2" l="1"/>
  <c r="H8" i="2"/>
  <c r="L8" i="2" s="1"/>
  <c r="H11" i="2"/>
  <c r="H7" i="2"/>
  <c r="L7" i="2" s="1"/>
  <c r="E8" i="3"/>
  <c r="E9" i="3"/>
  <c r="E10" i="3"/>
  <c r="E11" i="3"/>
  <c r="E12" i="3"/>
  <c r="E13" i="3"/>
  <c r="E14" i="3"/>
  <c r="E15" i="3"/>
  <c r="E16" i="3"/>
  <c r="E17" i="3"/>
  <c r="E18" i="3"/>
  <c r="E19" i="3"/>
  <c r="E20" i="3"/>
  <c r="E21" i="3"/>
  <c r="E22" i="3"/>
  <c r="E23" i="3"/>
  <c r="E24" i="3"/>
  <c r="E25" i="3"/>
  <c r="E26" i="3"/>
  <c r="E27" i="3"/>
  <c r="E28" i="3"/>
  <c r="E7" i="3"/>
  <c r="H9" i="2" l="1"/>
  <c r="L9" i="2" s="1"/>
  <c r="M9" i="2" s="1"/>
  <c r="M7" i="2"/>
  <c r="L11" i="2"/>
  <c r="M11" i="2" s="1"/>
  <c r="L10" i="2"/>
  <c r="M10" i="2" s="1"/>
  <c r="G126" i="2" l="1"/>
  <c r="B103" i="1" s="1"/>
  <c r="B109" i="1" s="1"/>
  <c r="M8" i="2"/>
  <c r="M126" i="2" s="1"/>
  <c r="L126" i="2"/>
  <c r="J84" i="1"/>
  <c r="K84" i="1" s="1"/>
  <c r="L84" i="1" l="1"/>
  <c r="M84" i="1"/>
</calcChain>
</file>

<file path=xl/sharedStrings.xml><?xml version="1.0" encoding="utf-8"?>
<sst xmlns="http://schemas.openxmlformats.org/spreadsheetml/2006/main" count="461" uniqueCount="304">
  <si>
    <t>consorciobelgrano1640@gmail.com</t>
  </si>
  <si>
    <t>LIQUIDACION DE EXPENSAS</t>
  </si>
  <si>
    <t>Deducciones</t>
  </si>
  <si>
    <t>TOTAL SUELDO</t>
  </si>
  <si>
    <t>APORTES Y CONTRIBUCIONES</t>
  </si>
  <si>
    <t>TOTAL Aportes y Contribuciones - Sindicato</t>
  </si>
  <si>
    <t>ABONOS Y SERVICIOS</t>
  </si>
  <si>
    <t xml:space="preserve">Seguro Poliza </t>
  </si>
  <si>
    <t>EDESUR</t>
  </si>
  <si>
    <t>AYSA</t>
  </si>
  <si>
    <t>TOTAL ABONOS Y SERVICIOS</t>
  </si>
  <si>
    <t xml:space="preserve">GASTOS DE ADMINISTRACION </t>
  </si>
  <si>
    <t>RC Adm Cons. CANCIANI, Carolina</t>
  </si>
  <si>
    <t>TOTAL GASTOS DE ADMINISTRACION</t>
  </si>
  <si>
    <t>TOTAL GASTOS GENERALES / MANTENIMIENTO</t>
  </si>
  <si>
    <t>ESTADO DE CUENTA Y PRORRATEO</t>
  </si>
  <si>
    <t>BELGRANO Nº 1640</t>
  </si>
  <si>
    <t>Piso</t>
  </si>
  <si>
    <t>Dpto.</t>
  </si>
  <si>
    <t>UF</t>
  </si>
  <si>
    <t>Propietario</t>
  </si>
  <si>
    <t xml:space="preserve">Saldo </t>
  </si>
  <si>
    <t xml:space="preserve">Ingreso </t>
  </si>
  <si>
    <t>SALDO</t>
  </si>
  <si>
    <t>Expensas extraor.</t>
  </si>
  <si>
    <t>Intereses</t>
  </si>
  <si>
    <t>Expensas</t>
  </si>
  <si>
    <t>TOTAL</t>
  </si>
  <si>
    <t>Anterior</t>
  </si>
  <si>
    <t>Exp. Ord.</t>
  </si>
  <si>
    <t>Ord.</t>
  </si>
  <si>
    <t>RUSSO, JUAN ANTONIO</t>
  </si>
  <si>
    <t>DI TORO, ALEJANDRO</t>
  </si>
  <si>
    <t>MARANTE, MAURO</t>
  </si>
  <si>
    <t>CAMPANA, NESTOR</t>
  </si>
  <si>
    <t>JARA, CLAUDIO</t>
  </si>
  <si>
    <t>MIRAMONTES, HORACIO</t>
  </si>
  <si>
    <t>MELINA, ANDRES</t>
  </si>
  <si>
    <t>GARCIA, MARIA SOL</t>
  </si>
  <si>
    <t>DAVIN, ALEJANDRO</t>
  </si>
  <si>
    <t>VROONLAND, DANIEL</t>
  </si>
  <si>
    <t>VELAZ, ATILIO</t>
  </si>
  <si>
    <t>AGÜERO, MIRIAM S</t>
  </si>
  <si>
    <t>VILLA, JUAN MANUEL</t>
  </si>
  <si>
    <t>TOLOSA, FABIO</t>
  </si>
  <si>
    <t>TOTAL EXPENSAS 1er VTO</t>
  </si>
  <si>
    <t>TOTAL EXPENSAS 2do VTO</t>
  </si>
  <si>
    <t>Expensas ord</t>
  </si>
  <si>
    <t xml:space="preserve">Vencimiento </t>
  </si>
  <si>
    <t>Gastos Ordinario:</t>
  </si>
  <si>
    <t>Gastos Extr.:</t>
  </si>
  <si>
    <t>Cochera</t>
  </si>
  <si>
    <t xml:space="preserve">Porcentaje </t>
  </si>
  <si>
    <t>DEUDAS</t>
  </si>
  <si>
    <t>Deuda exp</t>
  </si>
  <si>
    <t>porcentaje</t>
  </si>
  <si>
    <t>1ER Vto.</t>
  </si>
  <si>
    <t>2DO Vto.</t>
  </si>
  <si>
    <t>(%)</t>
  </si>
  <si>
    <t>Extraord</t>
  </si>
  <si>
    <t>%</t>
  </si>
  <si>
    <t>Extr.</t>
  </si>
  <si>
    <t>EXPENSAS</t>
  </si>
  <si>
    <t>RUIZ, DIEGO ARIEL</t>
  </si>
  <si>
    <t>GASTOS ORDINARIOS UNIDADES FUNCIONALES:</t>
  </si>
  <si>
    <t>Santander cuenta 039-010552/1</t>
  </si>
  <si>
    <t>CBU: 0720039720000001055218</t>
  </si>
  <si>
    <t>CAJA EFECTIVO $ (pesos)</t>
  </si>
  <si>
    <t xml:space="preserve">Saldo anterior </t>
  </si>
  <si>
    <t>Ingresos</t>
  </si>
  <si>
    <t xml:space="preserve">  </t>
  </si>
  <si>
    <t>Saldo al cierre</t>
  </si>
  <si>
    <t>CAJA EFECTIVO SUM $ (pesos)</t>
  </si>
  <si>
    <t>COC</t>
  </si>
  <si>
    <t xml:space="preserve"> (%)</t>
  </si>
  <si>
    <t>CONSORCIO DE PROPIETARIOS DEL EDIFICIO CALLE BELGRANO NUMERO 1640/1646 BANFIELD PARTIDO DE LOMAS DE ZAMORA</t>
  </si>
  <si>
    <t>CUIT: 33-71826987-9</t>
  </si>
  <si>
    <t>GASTOS BANCARIOS</t>
  </si>
  <si>
    <t>Gastos bancarios</t>
  </si>
  <si>
    <t>Mantenimiento de cuenta</t>
  </si>
  <si>
    <t xml:space="preserve">TOTAL ORDINARIOS </t>
  </si>
  <si>
    <t>GASTOS ORDINARIOS + PREVISION :</t>
  </si>
  <si>
    <t>Dinero ingreso SUM</t>
  </si>
  <si>
    <t>GASTOS ORDINARIOS SIN PREVISION:</t>
  </si>
  <si>
    <t>SAC</t>
  </si>
  <si>
    <t>TOTAL SAC</t>
  </si>
  <si>
    <t>Redondeo</t>
  </si>
  <si>
    <t>GASTOS EXTRAORDINARIOS</t>
  </si>
  <si>
    <t>Egresos Extraordinarios</t>
  </si>
  <si>
    <t>Egresos Ordinarios</t>
  </si>
  <si>
    <t>MP:1148</t>
  </si>
  <si>
    <t xml:space="preserve">TOTAL </t>
  </si>
  <si>
    <t>Domicilio: Dr. Melo Nº 2958 - 8VO PISO - Con cita previa</t>
  </si>
  <si>
    <t>Gastos particulares</t>
  </si>
  <si>
    <t>LOCAL</t>
  </si>
  <si>
    <t>SUM/ GASTOS PART</t>
  </si>
  <si>
    <t>SE GASTO:</t>
  </si>
  <si>
    <t>SE PRORRATEA EN LAS UF:</t>
  </si>
  <si>
    <t xml:space="preserve">Haberes </t>
  </si>
  <si>
    <t xml:space="preserve">Redondeo </t>
  </si>
  <si>
    <t xml:space="preserve">FONDO DE GASTOS ORDINARIOS </t>
  </si>
  <si>
    <r>
      <t xml:space="preserve">Los gastos que se encuentras </t>
    </r>
    <r>
      <rPr>
        <b/>
        <u/>
        <sz val="14"/>
        <color theme="1"/>
        <rFont val="Calibri"/>
        <family val="2"/>
        <scheme val="minor"/>
      </rPr>
      <t>subrayados</t>
    </r>
    <r>
      <rPr>
        <sz val="14"/>
        <color theme="1"/>
        <rFont val="Calibri"/>
        <family val="2"/>
        <scheme val="minor"/>
      </rPr>
      <t xml:space="preserve"> </t>
    </r>
    <r>
      <rPr>
        <b/>
        <sz val="14"/>
        <color theme="1"/>
        <rFont val="Calibri"/>
        <family val="2"/>
        <scheme val="minor"/>
      </rPr>
      <t>son los que corresponden tanto a las unidades funcionales como tambien al local</t>
    </r>
  </si>
  <si>
    <t>VTO. 16/06</t>
  </si>
  <si>
    <t>PERÍODO: MAYO</t>
  </si>
  <si>
    <t>Ingreso mes de ABRIL</t>
  </si>
  <si>
    <t>Articulos de limpieza</t>
  </si>
  <si>
    <t>Sueldo encargado</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</si>
  <si>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</si>
  <si>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</si>
  <si>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</si>
  <si>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</si>
  <si>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</si>
  <si>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</si>
  <si>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</si>
  <si>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</si>
  <si>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</si>
  <si>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</si>
  <si>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</si>
  <si>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</si>
  <si>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</si>
  <si>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</si>
  <si>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</si>
  <si>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</si>
  <si>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</si>
  <si>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</si>
  <si>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</si>
  <si>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</si>
  <si>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</si>
  <si>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</si>
  <si>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</si>
  <si>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</si>
  <si>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</si>
  <si>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</si>
  <si>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</si>
  <si>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</si>
  <si>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</si>
  <si>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</si>
  <si>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</si>
  <si>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</si>
  <si>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</si>
  <si>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</si>
  <si>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</si>
  <si>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</si>
  <si>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</si>
  <si>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</si>
  <si>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</si>
  <si>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</si>
  <si>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</si>
  <si>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</si>
  <si>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</si>
  <si>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</si>
  <si>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</si>
  <si>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</si>
  <si>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</si>
  <si>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</si>
  <si>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</si>
  <si>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</si>
  <si>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</si>
  <si>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</si>
  <si>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</si>
  <si>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</si>
  <si>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</si>
  <si>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</si>
  <si>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</si>
  <si>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</si>
  <si>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</si>
  <si>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</si>
  <si>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</si>
  <si>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</si>
  <si>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</si>
  <si>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</si>
  <si>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</si>
  <si>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</si>
  <si>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</si>
  <si>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</si>
  <si>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</si>
  <si>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</si>
  <si>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</si>
  <si>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</si>
  <si>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</si>
  <si>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</si>
  <si>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</si>
  <si>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</si>
  <si>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</si>
  <si>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</si>
  <si>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</si>
  <si>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</si>
  <si>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</si>
  <si>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</si>
  <si>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</si>
  <si>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</si>
  <si>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</si>
  <si>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</si>
  <si>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</si>
  <si>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</si>
  <si>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</si>
  <si>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</si>
  <si>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</si>
  <si>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</si>
  <si>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</si>
  <si>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</si>
  <si>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</si>
  <si>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</si>
  <si>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</si>
  <si>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</si>
  <si>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</si>
  <si>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</si>
  <si>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</si>
  <si>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</si>
  <si>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</si>
  <si>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</si>
  <si>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</si>
  <si>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</si>
  <si>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</si>
  <si>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</si>
  <si>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</si>
  <si>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</si>
  <si>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</si>
  <si>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</si>
  <si>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</si>
  <si>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</si>
  <si>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</si>
  <si>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</si>
  <si>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</si>
  <si>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</si>
  <si>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</si>
  <si>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</si>
  <si>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</si>
  <si>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</si>
  <si>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</si>
  <si>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</si>
  <si>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8,09% de ciertos gastos y en otros no realizan abonos. Por esta razón, es necesario prorratear un monto superior al gasto real, con el objetivo de que, al finalizar el período, se pueda recaudar en su totalidad el importe correspondiente a los gastos realizados.</t>
  </si>
  <si>
    <t>SUBTOTAL</t>
  </si>
  <si>
    <t>UF 93,20%</t>
  </si>
  <si>
    <t>Seguro obligatorio Sres encargados</t>
  </si>
  <si>
    <t>ADS - Mantenimiento de ascensores</t>
  </si>
  <si>
    <t>Aportes y contribuciones</t>
  </si>
  <si>
    <t xml:space="preserve">Fumigacion </t>
  </si>
  <si>
    <t>Mantenimiento grupo electrogeno</t>
  </si>
  <si>
    <t>Sr Piletero - Mantenimiento de Pileta</t>
  </si>
  <si>
    <t>Insumos pileta</t>
  </si>
  <si>
    <t xml:space="preserve">Compra de Gasoil </t>
  </si>
  <si>
    <t>LOCAL 1 (1,08%)</t>
  </si>
  <si>
    <t>LOCAL 2 (1,28%)</t>
  </si>
  <si>
    <t>LOCAL 3 (1,21%)</t>
  </si>
  <si>
    <t>LOCAL 4 (1,49%)</t>
  </si>
  <si>
    <t>LOCAL 5 (1,74%)</t>
  </si>
  <si>
    <t>Metrogas</t>
  </si>
  <si>
    <t>Fernandez, Cristian</t>
  </si>
  <si>
    <t>Passeri, Hernán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</si>
  <si>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</si>
  <si>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</si>
  <si>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</si>
  <si>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</si>
  <si>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</si>
  <si>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</si>
  <si>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</si>
  <si>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</si>
  <si>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</si>
  <si>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Calzetta, Gabriel Andrés Felipe</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</si>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</sst>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Red]\-&quot;$&quot;\ #,##0"/>
    <numFmt numFmtId="165" formatCode="&quot;$&quot;\ #,##0.00;[Red]\-&quot;$&quot;\ #,##0.00"/>
    <numFmt numFmtId="166" formatCode="_-&quot;$&quot;\ * #,##0.00_-;\-&quot;$&quot;\ * #,##0.00_-;_-&quot;$&quot;\ * &quot;-&quot;??_-;_-@_-"/>
    <numFmt numFmtId="167" formatCode="_ &quot;$&quot;\ * #,##0.00_ ;_ &quot;$&quot;\ * \-#,##0.00_ ;_ &quot;$&quot;\ * &quot;-&quot;??_ ;_ @_ "/>
    <numFmt numFmtId="168" formatCode="#,##0.0000"/>
    <numFmt numFmtId="169" formatCode="_ &quot;$&quot;\ * #,##0_ ;_ &quot;$&quot;\ * \-#,##0_ ;_ &quot;$&quot;\ * &quot;-&quot;??_ ;_ @_ "/>
    <numFmt numFmtId="170" formatCode="_-&quot;$&quot;\ * #,##0_-;\-&quot;$&quot;\ * #,##0_-;_-&quot;$&quot;\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rgb="FF000000"/>
      <name val="Arial"/>
      <family val="2"/>
    </font>
    <font>
      <sz val="10"/>
      <color theme="1"/>
      <name val="Calibri"/>
      <family val="2"/>
      <scheme val="minor"/>
    </font>
    <font>
      <sz val="11"/>
      <color theme="3" tint="0.79998168889431442"/>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sz val="8"/>
      <color rgb="FF000000"/>
      <name val="Arial"/>
      <family val="2"/>
    </font>
    <font>
      <sz val="8"/>
      <name val="Arial"/>
      <family val="2"/>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b/>
      <u/>
      <sz val="14"/>
      <color theme="1"/>
      <name val="Calibri"/>
      <family val="2"/>
      <scheme val="minor"/>
    </font>
    <font>
      <sz val="8"/>
      <name val="Calibri"/>
      <family val="2"/>
      <scheme val="minor"/>
    </font>
  </fonts>
  <fills count="14">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9" tint="-0.249977111117893"/>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4">
    <xf numFmtId="0" fontId="0" fillId="0" borderId="0"/>
    <xf numFmtId="166"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cellStyleXfs>
  <cellXfs count="249">
    <xf numFmtId="0" fontId="0" fillId="0" borderId="0" xfId="0"/>
    <xf numFmtId="0" fontId="0" fillId="0" borderId="33" xfId="0" applyBorder="1"/>
    <xf numFmtId="0" fontId="2" fillId="0" borderId="0" xfId="0" applyFont="1"/>
    <xf numFmtId="0" fontId="2" fillId="7" borderId="25" xfId="0" applyFont="1" applyFill="1" applyBorder="1"/>
    <xf numFmtId="0" fontId="2" fillId="7" borderId="26" xfId="0" applyFont="1" applyFill="1" applyBorder="1"/>
    <xf numFmtId="3" fontId="0" fillId="0" borderId="1" xfId="0" applyNumberFormat="1" applyBorder="1"/>
    <xf numFmtId="0" fontId="0" fillId="0" borderId="1" xfId="0" applyBorder="1"/>
    <xf numFmtId="0" fontId="0" fillId="5" borderId="0" xfId="0" applyFill="1"/>
    <xf numFmtId="165" fontId="0" fillId="5" borderId="0" xfId="0" applyNumberFormat="1" applyFill="1"/>
    <xf numFmtId="4" fontId="0" fillId="0" borderId="1" xfId="0" applyNumberFormat="1" applyBorder="1"/>
    <xf numFmtId="0" fontId="0" fillId="0" borderId="9" xfId="0" applyBorder="1"/>
    <xf numFmtId="0" fontId="0" fillId="2" borderId="4" xfId="0" applyFill="1" applyBorder="1" applyAlignment="1">
      <alignment horizontal="center"/>
    </xf>
    <xf numFmtId="0" fontId="0" fillId="2" borderId="4" xfId="0" applyFill="1" applyBorder="1"/>
    <xf numFmtId="0" fontId="3" fillId="0" borderId="1" xfId="0" applyFont="1" applyBorder="1" applyAlignment="1">
      <alignment horizontal="center" wrapText="1"/>
    </xf>
    <xf numFmtId="4" fontId="2" fillId="2" borderId="4" xfId="0" applyNumberFormat="1" applyFont="1" applyFill="1" applyBorder="1"/>
    <xf numFmtId="168" fontId="0" fillId="0" borderId="11" xfId="0" applyNumberFormat="1" applyBorder="1"/>
    <xf numFmtId="4" fontId="0" fillId="0" borderId="13" xfId="0" applyNumberFormat="1" applyBorder="1"/>
    <xf numFmtId="0" fontId="0" fillId="2" borderId="5" xfId="0" applyFill="1" applyBorder="1"/>
    <xf numFmtId="3" fontId="2" fillId="2" borderId="5" xfId="2" applyNumberFormat="1" applyFont="1" applyFill="1" applyBorder="1"/>
    <xf numFmtId="3" fontId="0" fillId="0" borderId="19" xfId="0" applyNumberFormat="1" applyBorder="1"/>
    <xf numFmtId="3" fontId="2" fillId="2" borderId="22" xfId="2" applyNumberFormat="1" applyFont="1" applyFill="1" applyBorder="1"/>
    <xf numFmtId="3" fontId="0" fillId="0" borderId="18" xfId="0" applyNumberFormat="1" applyBorder="1"/>
    <xf numFmtId="3" fontId="2" fillId="2" borderId="20" xfId="2" applyNumberFormat="1" applyFont="1" applyFill="1" applyBorder="1"/>
    <xf numFmtId="3" fontId="2" fillId="2" borderId="21" xfId="2" applyNumberFormat="1" applyFont="1" applyFill="1" applyBorder="1"/>
    <xf numFmtId="3" fontId="2" fillId="2" borderId="7" xfId="2" applyNumberFormat="1" applyFont="1" applyFill="1" applyBorder="1"/>
    <xf numFmtId="3" fontId="0" fillId="0" borderId="12" xfId="0" applyNumberFormat="1" applyBorder="1"/>
    <xf numFmtId="167" fontId="2" fillId="2" borderId="20" xfId="2" applyFont="1" applyFill="1" applyBorder="1"/>
    <xf numFmtId="3" fontId="0" fillId="0" borderId="13" xfId="0" applyNumberFormat="1" applyBorder="1"/>
    <xf numFmtId="169" fontId="2" fillId="2" borderId="7" xfId="2" applyNumberFormat="1" applyFont="1" applyFill="1" applyBorder="1"/>
    <xf numFmtId="3" fontId="2" fillId="2" borderId="13" xfId="0" applyNumberFormat="1" applyFont="1" applyFill="1" applyBorder="1"/>
    <xf numFmtId="3" fontId="2" fillId="2" borderId="24" xfId="0" applyNumberFormat="1" applyFont="1" applyFill="1" applyBorder="1"/>
    <xf numFmtId="169" fontId="0" fillId="0" borderId="0" xfId="0" applyNumberFormat="1"/>
    <xf numFmtId="0" fontId="3" fillId="0" borderId="1" xfId="0" applyFont="1" applyBorder="1" applyAlignment="1">
      <alignment wrapText="1"/>
    </xf>
    <xf numFmtId="0" fontId="2" fillId="5" borderId="6" xfId="0" applyFont="1" applyFill="1" applyBorder="1" applyAlignment="1">
      <alignment horizontal="center"/>
    </xf>
    <xf numFmtId="0" fontId="2" fillId="5" borderId="2" xfId="0" applyFont="1" applyFill="1" applyBorder="1" applyAlignment="1">
      <alignment horizontal="center"/>
    </xf>
    <xf numFmtId="0" fontId="2" fillId="5" borderId="15" xfId="0" applyFont="1" applyFill="1" applyBorder="1" applyAlignment="1">
      <alignment horizontal="center"/>
    </xf>
    <xf numFmtId="0" fontId="2" fillId="5" borderId="23" xfId="0" applyFont="1" applyFill="1" applyBorder="1" applyAlignment="1">
      <alignment horizontal="center"/>
    </xf>
    <xf numFmtId="0" fontId="2" fillId="5" borderId="14" xfId="0" applyFont="1" applyFill="1" applyBorder="1" applyAlignment="1">
      <alignment horizontal="center"/>
    </xf>
    <xf numFmtId="0" fontId="2" fillId="5" borderId="28" xfId="0" applyFont="1" applyFill="1" applyBorder="1" applyAlignment="1">
      <alignment horizontal="center"/>
    </xf>
    <xf numFmtId="0" fontId="2" fillId="5" borderId="3" xfId="0" applyFont="1" applyFill="1" applyBorder="1" applyAlignment="1">
      <alignment horizontal="center"/>
    </xf>
    <xf numFmtId="0" fontId="2" fillId="5" borderId="8" xfId="0" applyFont="1" applyFill="1" applyBorder="1" applyAlignment="1">
      <alignment horizontal="center"/>
    </xf>
    <xf numFmtId="0" fontId="2" fillId="5" borderId="9" xfId="0" applyFont="1" applyFill="1" applyBorder="1" applyAlignment="1">
      <alignment horizontal="center"/>
    </xf>
    <xf numFmtId="0" fontId="2" fillId="5" borderId="17" xfId="0" applyFont="1" applyFill="1" applyBorder="1" applyAlignment="1">
      <alignment horizontal="center"/>
    </xf>
    <xf numFmtId="9" fontId="2" fillId="5" borderId="0" xfId="0" applyNumberFormat="1" applyFont="1" applyFill="1" applyAlignment="1">
      <alignment horizontal="center"/>
    </xf>
    <xf numFmtId="0" fontId="2" fillId="5" borderId="16" xfId="0" applyFont="1" applyFill="1" applyBorder="1" applyAlignment="1">
      <alignment horizontal="center"/>
    </xf>
    <xf numFmtId="0" fontId="2" fillId="5" borderId="10" xfId="0" applyFont="1" applyFill="1" applyBorder="1" applyAlignment="1">
      <alignment horizontal="center"/>
    </xf>
    <xf numFmtId="0" fontId="0" fillId="4" borderId="0" xfId="0" applyFill="1" applyAlignment="1">
      <alignment horizontal="center"/>
    </xf>
    <xf numFmtId="0" fontId="0" fillId="4" borderId="0" xfId="0" applyFill="1"/>
    <xf numFmtId="0" fontId="2" fillId="4" borderId="0" xfId="0" applyFont="1" applyFill="1"/>
    <xf numFmtId="0" fontId="0" fillId="4" borderId="0" xfId="0" applyFill="1" applyAlignment="1">
      <alignment horizontal="left"/>
    </xf>
    <xf numFmtId="16" fontId="0" fillId="4" borderId="0" xfId="0" applyNumberFormat="1" applyFill="1"/>
    <xf numFmtId="167" fontId="2" fillId="4" borderId="0" xfId="2" applyFont="1" applyFill="1"/>
    <xf numFmtId="0" fontId="5" fillId="4" borderId="0" xfId="0" applyFont="1" applyFill="1"/>
    <xf numFmtId="0" fontId="2" fillId="5" borderId="6" xfId="0" applyFont="1" applyFill="1" applyBorder="1" applyAlignment="1">
      <alignment horizontal="center" vertical="center" wrapText="1"/>
    </xf>
    <xf numFmtId="0" fontId="2" fillId="5" borderId="8" xfId="0" applyFont="1" applyFill="1" applyBorder="1" applyAlignment="1">
      <alignment horizontal="center" vertical="center" wrapText="1"/>
    </xf>
    <xf numFmtId="168" fontId="0" fillId="2" borderId="4" xfId="0" applyNumberFormat="1" applyFill="1" applyBorder="1"/>
    <xf numFmtId="3" fontId="6" fillId="0" borderId="1" xfId="0" applyNumberFormat="1" applyFont="1" applyBorder="1"/>
    <xf numFmtId="0" fontId="0" fillId="7" borderId="29" xfId="0" applyFill="1" applyBorder="1"/>
    <xf numFmtId="10" fontId="2" fillId="7" borderId="26" xfId="0" applyNumberFormat="1" applyFont="1" applyFill="1" applyBorder="1"/>
    <xf numFmtId="0" fontId="2" fillId="7" borderId="31" xfId="0" applyFont="1" applyFill="1" applyBorder="1"/>
    <xf numFmtId="0" fontId="2" fillId="7" borderId="29" xfId="0" applyFont="1" applyFill="1" applyBorder="1"/>
    <xf numFmtId="10" fontId="2" fillId="7" borderId="29" xfId="0" applyNumberFormat="1" applyFont="1" applyFill="1" applyBorder="1"/>
    <xf numFmtId="0" fontId="2" fillId="5" borderId="31" xfId="0" applyFont="1" applyFill="1" applyBorder="1"/>
    <xf numFmtId="0" fontId="2" fillId="5" borderId="29" xfId="0" applyFont="1" applyFill="1" applyBorder="1"/>
    <xf numFmtId="0" fontId="2" fillId="5" borderId="32" xfId="0" applyFont="1" applyFill="1" applyBorder="1"/>
    <xf numFmtId="0" fontId="2" fillId="5" borderId="33" xfId="0" applyFont="1" applyFill="1" applyBorder="1"/>
    <xf numFmtId="0" fontId="2" fillId="5" borderId="0" xfId="0" applyFont="1" applyFill="1"/>
    <xf numFmtId="0" fontId="2" fillId="5" borderId="34" xfId="0" applyFont="1" applyFill="1" applyBorder="1"/>
    <xf numFmtId="0" fontId="2" fillId="5" borderId="25" xfId="0" applyFont="1" applyFill="1" applyBorder="1"/>
    <xf numFmtId="0" fontId="2" fillId="5" borderId="26" xfId="0" applyFont="1" applyFill="1" applyBorder="1"/>
    <xf numFmtId="0" fontId="2" fillId="5" borderId="27" xfId="0" applyFont="1" applyFill="1" applyBorder="1"/>
    <xf numFmtId="165" fontId="0" fillId="0" borderId="0" xfId="0" applyNumberFormat="1"/>
    <xf numFmtId="0" fontId="7" fillId="8" borderId="0" xfId="0" applyFont="1" applyFill="1"/>
    <xf numFmtId="167" fontId="8" fillId="0" borderId="1" xfId="2" applyFont="1" applyBorder="1"/>
    <xf numFmtId="167" fontId="4" fillId="0" borderId="0" xfId="0" applyNumberFormat="1" applyFont="1"/>
    <xf numFmtId="0" fontId="8" fillId="0" borderId="1" xfId="0" applyFont="1" applyBorder="1"/>
    <xf numFmtId="4" fontId="0" fillId="0" borderId="0" xfId="0" applyNumberFormat="1"/>
    <xf numFmtId="0" fontId="4" fillId="0" borderId="1" xfId="0" applyFont="1" applyBorder="1"/>
    <xf numFmtId="0" fontId="4" fillId="0" borderId="0" xfId="0" applyFont="1"/>
    <xf numFmtId="167" fontId="4" fillId="0" borderId="1" xfId="0" applyNumberFormat="1" applyFont="1" applyBorder="1"/>
    <xf numFmtId="4" fontId="8" fillId="0" borderId="0" xfId="0" applyNumberFormat="1" applyFont="1"/>
    <xf numFmtId="167" fontId="0" fillId="0" borderId="0" xfId="0" applyNumberFormat="1"/>
    <xf numFmtId="0" fontId="10" fillId="0" borderId="1" xfId="0" applyFont="1" applyBorder="1" applyAlignment="1">
      <alignment wrapText="1"/>
    </xf>
    <xf numFmtId="0" fontId="10" fillId="3" borderId="1" xfId="0" applyFont="1" applyFill="1" applyBorder="1" applyAlignment="1">
      <alignment wrapText="1"/>
    </xf>
    <xf numFmtId="0" fontId="11" fillId="0" borderId="1" xfId="0" applyFont="1" applyBorder="1" applyAlignment="1">
      <alignment wrapText="1"/>
    </xf>
    <xf numFmtId="4" fontId="3" fillId="0" borderId="1" xfId="0" applyNumberFormat="1" applyFont="1" applyBorder="1" applyAlignment="1">
      <alignment wrapText="1"/>
    </xf>
    <xf numFmtId="170" fontId="0" fillId="0" borderId="1" xfId="1" applyNumberFormat="1" applyFont="1" applyBorder="1"/>
    <xf numFmtId="0" fontId="0" fillId="9" borderId="1" xfId="0" applyFill="1" applyBorder="1"/>
    <xf numFmtId="170" fontId="0" fillId="9" borderId="1" xfId="0" applyNumberFormat="1" applyFill="1" applyBorder="1"/>
    <xf numFmtId="3" fontId="0" fillId="9" borderId="1" xfId="0" applyNumberFormat="1" applyFill="1" applyBorder="1"/>
    <xf numFmtId="167" fontId="9" fillId="3" borderId="1" xfId="2" applyFont="1" applyFill="1" applyBorder="1"/>
    <xf numFmtId="167" fontId="4" fillId="3" borderId="1" xfId="2" applyFont="1" applyFill="1" applyBorder="1"/>
    <xf numFmtId="0" fontId="12" fillId="0" borderId="1" xfId="0" applyFont="1" applyBorder="1"/>
    <xf numFmtId="0" fontId="2" fillId="6" borderId="1" xfId="0" applyFont="1" applyFill="1" applyBorder="1"/>
    <xf numFmtId="0" fontId="0" fillId="6" borderId="1" xfId="0" applyFill="1" applyBorder="1"/>
    <xf numFmtId="43" fontId="0" fillId="5" borderId="0" xfId="3" applyFont="1" applyFill="1"/>
    <xf numFmtId="0" fontId="0" fillId="3" borderId="1" xfId="0" applyFill="1" applyBorder="1"/>
    <xf numFmtId="0" fontId="2" fillId="0" borderId="1" xfId="0" applyFont="1" applyBorder="1"/>
    <xf numFmtId="167" fontId="2" fillId="0" borderId="1" xfId="2" applyFont="1" applyBorder="1"/>
    <xf numFmtId="0" fontId="2" fillId="9" borderId="25" xfId="0" applyFont="1" applyFill="1" applyBorder="1"/>
    <xf numFmtId="166" fontId="2" fillId="9" borderId="27" xfId="0" applyNumberFormat="1" applyFont="1" applyFill="1" applyBorder="1"/>
    <xf numFmtId="0" fontId="2" fillId="9" borderId="38" xfId="0" applyFont="1" applyFill="1" applyBorder="1"/>
    <xf numFmtId="166" fontId="2" fillId="9" borderId="22" xfId="0" applyNumberFormat="1" applyFont="1" applyFill="1" applyBorder="1"/>
    <xf numFmtId="166" fontId="14" fillId="6" borderId="11" xfId="1" applyFont="1" applyFill="1" applyBorder="1"/>
    <xf numFmtId="166" fontId="6" fillId="6" borderId="11" xfId="1" applyFont="1" applyFill="1" applyBorder="1"/>
    <xf numFmtId="166" fontId="0" fillId="0" borderId="0" xfId="0" applyNumberFormat="1"/>
    <xf numFmtId="165" fontId="2" fillId="6" borderId="34" xfId="0" applyNumberFormat="1" applyFont="1" applyFill="1" applyBorder="1"/>
    <xf numFmtId="0" fontId="2" fillId="3" borderId="1" xfId="0" applyFont="1" applyFill="1" applyBorder="1"/>
    <xf numFmtId="166" fontId="2" fillId="6" borderId="0" xfId="0" applyNumberFormat="1" applyFont="1" applyFill="1"/>
    <xf numFmtId="166" fontId="6" fillId="3" borderId="1" xfId="1" applyFont="1" applyFill="1" applyBorder="1"/>
    <xf numFmtId="0" fontId="0" fillId="0" borderId="11" xfId="0" applyBorder="1"/>
    <xf numFmtId="0" fontId="0" fillId="0" borderId="39" xfId="0" applyBorder="1"/>
    <xf numFmtId="0" fontId="0" fillId="3" borderId="2" xfId="0" applyFill="1" applyBorder="1"/>
    <xf numFmtId="166" fontId="2" fillId="10" borderId="25" xfId="1" applyFont="1" applyFill="1" applyBorder="1"/>
    <xf numFmtId="165" fontId="2" fillId="6" borderId="1" xfId="0" applyNumberFormat="1" applyFont="1" applyFill="1" applyBorder="1"/>
    <xf numFmtId="165" fontId="2" fillId="3" borderId="1" xfId="0" applyNumberFormat="1" applyFont="1" applyFill="1" applyBorder="1"/>
    <xf numFmtId="0" fontId="16" fillId="0" borderId="1" xfId="0" applyFont="1" applyBorder="1"/>
    <xf numFmtId="0" fontId="0" fillId="0" borderId="1" xfId="0" applyBorder="1" applyAlignment="1">
      <alignment horizontal="center"/>
    </xf>
    <xf numFmtId="1" fontId="17" fillId="5" borderId="0" xfId="0" applyNumberFormat="1" applyFont="1" applyFill="1"/>
    <xf numFmtId="0" fontId="18" fillId="5" borderId="0" xfId="0" applyFont="1" applyFill="1"/>
    <xf numFmtId="166" fontId="6" fillId="3" borderId="0" xfId="1" applyFont="1" applyFill="1" applyBorder="1"/>
    <xf numFmtId="0" fontId="19" fillId="0" borderId="1" xfId="0" applyFont="1" applyBorder="1"/>
    <xf numFmtId="170" fontId="0" fillId="9" borderId="1" xfId="1" applyNumberFormat="1" applyFont="1" applyFill="1" applyBorder="1"/>
    <xf numFmtId="164" fontId="0" fillId="5" borderId="0" xfId="0" applyNumberFormat="1" applyFill="1" applyAlignment="1">
      <alignment horizontal="right" wrapText="1"/>
    </xf>
    <xf numFmtId="0" fontId="12" fillId="3" borderId="1" xfId="0" applyFont="1" applyFill="1" applyBorder="1"/>
    <xf numFmtId="0" fontId="6" fillId="3" borderId="11" xfId="0" applyFont="1" applyFill="1" applyBorder="1"/>
    <xf numFmtId="170" fontId="15" fillId="0" borderId="1" xfId="0" applyNumberFormat="1" applyFont="1" applyBorder="1"/>
    <xf numFmtId="170" fontId="19" fillId="0" borderId="1" xfId="0" applyNumberFormat="1" applyFont="1" applyBorder="1"/>
    <xf numFmtId="0" fontId="15" fillId="0" borderId="1" xfId="0" applyFont="1" applyBorder="1"/>
    <xf numFmtId="166" fontId="0" fillId="0" borderId="1" xfId="0" applyNumberFormat="1" applyBorder="1"/>
    <xf numFmtId="164" fontId="0" fillId="0" borderId="0" xfId="0" applyNumberFormat="1"/>
    <xf numFmtId="164" fontId="0" fillId="3" borderId="0" xfId="0" applyNumberFormat="1" applyFill="1" applyAlignment="1">
      <alignment horizontal="right" wrapText="1"/>
    </xf>
    <xf numFmtId="170" fontId="0" fillId="0" borderId="0" xfId="0" applyNumberFormat="1"/>
    <xf numFmtId="166" fontId="0" fillId="0" borderId="34" xfId="1" applyFont="1" applyBorder="1"/>
    <xf numFmtId="166" fontId="0" fillId="0" borderId="30" xfId="1" applyFont="1" applyBorder="1"/>
    <xf numFmtId="0" fontId="0" fillId="11" borderId="30" xfId="0" applyFill="1" applyBorder="1"/>
    <xf numFmtId="0" fontId="0" fillId="11" borderId="25" xfId="0" applyFill="1" applyBorder="1"/>
    <xf numFmtId="0" fontId="0" fillId="0" borderId="25" xfId="0" applyBorder="1"/>
    <xf numFmtId="0" fontId="0" fillId="0" borderId="27" xfId="0" applyBorder="1"/>
    <xf numFmtId="166" fontId="2" fillId="6" borderId="11" xfId="0" applyNumberFormat="1" applyFont="1" applyFill="1" applyBorder="1"/>
    <xf numFmtId="166" fontId="2" fillId="7" borderId="26" xfId="0" applyNumberFormat="1" applyFont="1" applyFill="1" applyBorder="1"/>
    <xf numFmtId="166" fontId="0" fillId="0" borderId="11" xfId="0" applyNumberFormat="1" applyBorder="1"/>
    <xf numFmtId="0" fontId="20" fillId="0" borderId="0" xfId="0" applyFont="1"/>
    <xf numFmtId="164" fontId="6" fillId="5" borderId="0" xfId="0" applyNumberFormat="1" applyFont="1" applyFill="1" applyAlignment="1">
      <alignment horizontal="right" wrapText="1"/>
    </xf>
    <xf numFmtId="166" fontId="6" fillId="5" borderId="0" xfId="0" applyNumberFormat="1" applyFont="1" applyFill="1"/>
    <xf numFmtId="164" fontId="6" fillId="5" borderId="0" xfId="0" applyNumberFormat="1" applyFont="1" applyFill="1"/>
    <xf numFmtId="166" fontId="4" fillId="0" borderId="0" xfId="0" applyNumberFormat="1" applyFont="1"/>
    <xf numFmtId="0" fontId="0" fillId="0" borderId="1" xfId="0" applyBorder="1" applyAlignment="1">
      <alignment vertical="center"/>
    </xf>
    <xf numFmtId="0" fontId="4" fillId="0" borderId="1" xfId="0" applyFont="1" applyBorder="1" applyAlignment="1">
      <alignment vertical="center" wrapText="1"/>
    </xf>
    <xf numFmtId="166" fontId="14" fillId="6" borderId="11" xfId="0" applyNumberFormat="1" applyFont="1" applyFill="1" applyBorder="1"/>
    <xf numFmtId="0" fontId="0" fillId="3" borderId="0" xfId="0" applyFill="1"/>
    <xf numFmtId="166" fontId="20" fillId="0" borderId="0" xfId="0" applyNumberFormat="1" applyFont="1"/>
    <xf numFmtId="166" fontId="0" fillId="0" borderId="2" xfId="0" applyNumberFormat="1" applyBorder="1"/>
    <xf numFmtId="164" fontId="15" fillId="3" borderId="1" xfId="0" applyNumberFormat="1" applyFont="1" applyFill="1" applyBorder="1"/>
    <xf numFmtId="166" fontId="6" fillId="3" borderId="1" xfId="1" applyFont="1" applyFill="1" applyBorder="1" applyAlignment="1"/>
    <xf numFmtId="0" fontId="2" fillId="3" borderId="0" xfId="0" applyFont="1" applyFill="1" applyAlignment="1">
      <alignment vertical="center" wrapText="1"/>
    </xf>
    <xf numFmtId="166" fontId="2" fillId="6" borderId="1" xfId="0" applyNumberFormat="1" applyFont="1" applyFill="1" applyBorder="1"/>
    <xf numFmtId="166" fontId="2" fillId="6" borderId="1" xfId="1" applyFont="1" applyFill="1" applyBorder="1"/>
    <xf numFmtId="166" fontId="14" fillId="6" borderId="1" xfId="1" applyFont="1" applyFill="1" applyBorder="1" applyAlignment="1">
      <alignment horizontal="center"/>
    </xf>
    <xf numFmtId="0" fontId="2" fillId="6" borderId="1" xfId="0" applyFont="1" applyFill="1" applyBorder="1" applyAlignment="1">
      <alignment horizontal="center"/>
    </xf>
    <xf numFmtId="0" fontId="0" fillId="3" borderId="13" xfId="0" applyFill="1" applyBorder="1" applyAlignment="1">
      <alignment horizontal="left" vertical="center" wrapText="1"/>
    </xf>
    <xf numFmtId="166" fontId="15" fillId="9" borderId="1" xfId="1" applyFont="1" applyFill="1" applyBorder="1"/>
    <xf numFmtId="167" fontId="21" fillId="3" borderId="1" xfId="2" applyFont="1" applyFill="1" applyBorder="1"/>
    <xf numFmtId="0" fontId="0" fillId="0" borderId="12" xfId="0" applyBorder="1"/>
    <xf numFmtId="0" fontId="0" fillId="0" borderId="13" xfId="0" applyBorder="1"/>
    <xf numFmtId="43" fontId="0" fillId="0" borderId="0" xfId="0" applyNumberFormat="1"/>
    <xf numFmtId="0" fontId="0" fillId="3" borderId="12" xfId="0" applyFill="1" applyBorder="1"/>
    <xf numFmtId="0" fontId="0" fillId="3" borderId="13" xfId="0" applyFill="1" applyBorder="1"/>
    <xf numFmtId="166" fontId="6" fillId="3" borderId="11" xfId="1" applyFont="1" applyFill="1" applyBorder="1"/>
    <xf numFmtId="166" fontId="6" fillId="0" borderId="11" xfId="1" applyFont="1" applyBorder="1"/>
    <xf numFmtId="0" fontId="6" fillId="0" borderId="0" xfId="0" applyFont="1"/>
    <xf numFmtId="166" fontId="6" fillId="0" borderId="1" xfId="1" applyFont="1" applyBorder="1"/>
    <xf numFmtId="166" fontId="14" fillId="7" borderId="26" xfId="0" applyNumberFormat="1" applyFont="1" applyFill="1" applyBorder="1"/>
    <xf numFmtId="0" fontId="0" fillId="0" borderId="13" xfId="0" applyBorder="1" applyAlignment="1">
      <alignment horizontal="left" vertical="center" wrapText="1"/>
    </xf>
    <xf numFmtId="0" fontId="0" fillId="0" borderId="11" xfId="0" applyBorder="1" applyAlignment="1">
      <alignment vertical="center"/>
    </xf>
    <xf numFmtId="170" fontId="6" fillId="0" borderId="1" xfId="1" applyNumberFormat="1" applyFont="1" applyBorder="1"/>
    <xf numFmtId="170" fontId="6" fillId="3" borderId="1" xfId="1" applyNumberFormat="1" applyFont="1" applyFill="1" applyBorder="1"/>
    <xf numFmtId="0" fontId="0" fillId="0" borderId="11" xfId="0" applyBorder="1" applyAlignment="1">
      <alignment horizontal="left" vertical="center"/>
    </xf>
    <xf numFmtId="0" fontId="0" fillId="0" borderId="12" xfId="0" applyBorder="1" applyAlignment="1">
      <alignment horizontal="left" vertical="center"/>
    </xf>
    <xf numFmtId="0" fontId="2" fillId="3" borderId="0" xfId="0" applyFont="1" applyFill="1" applyAlignment="1">
      <alignment horizontal="center" vertical="center" wrapText="1"/>
    </xf>
    <xf numFmtId="166" fontId="0" fillId="0" borderId="0" xfId="0" applyNumberFormat="1" applyAlignment="1">
      <alignment horizontal="left"/>
    </xf>
    <xf numFmtId="0" fontId="0" fillId="11" borderId="1" xfId="0" applyFill="1" applyBorder="1"/>
    <xf numFmtId="0" fontId="15" fillId="11" borderId="1" xfId="0" applyFont="1" applyFill="1" applyBorder="1"/>
    <xf numFmtId="10" fontId="0" fillId="0" borderId="7" xfId="0" applyNumberFormat="1" applyBorder="1"/>
    <xf numFmtId="10" fontId="0" fillId="0" borderId="1" xfId="0" applyNumberFormat="1" applyBorder="1"/>
    <xf numFmtId="0" fontId="0" fillId="3" borderId="0" xfId="0" applyFill="1" applyAlignment="1">
      <alignment horizontal="center" vertical="center" wrapText="1"/>
    </xf>
    <xf numFmtId="0" fontId="0" fillId="12" borderId="1" xfId="0" applyFill="1" applyBorder="1"/>
    <xf numFmtId="166" fontId="6" fillId="12" borderId="11" xfId="1" applyFont="1" applyFill="1" applyBorder="1"/>
    <xf numFmtId="166" fontId="0" fillId="12" borderId="1" xfId="0" applyNumberFormat="1" applyFill="1" applyBorder="1"/>
    <xf numFmtId="0" fontId="2" fillId="12" borderId="1" xfId="0" applyFont="1" applyFill="1" applyBorder="1"/>
    <xf numFmtId="0" fontId="0" fillId="3" borderId="11" xfId="0" applyFill="1" applyBorder="1"/>
    <xf numFmtId="10" fontId="0" fillId="0" borderId="0" xfId="0" applyNumberFormat="1"/>
    <xf numFmtId="0" fontId="0" fillId="0" borderId="7" xfId="0" applyBorder="1"/>
    <xf numFmtId="10" fontId="2" fillId="7" borderId="30" xfId="0" applyNumberFormat="1" applyFont="1" applyFill="1" applyBorder="1" applyAlignment="1">
      <alignment horizontal="center" vertical="center"/>
    </xf>
    <xf numFmtId="0" fontId="2" fillId="7" borderId="30" xfId="0" applyFont="1" applyFill="1" applyBorder="1" applyAlignment="1">
      <alignment horizontal="center" vertical="center"/>
    </xf>
    <xf numFmtId="0" fontId="0" fillId="0" borderId="6" xfId="0" applyBorder="1"/>
    <xf numFmtId="0" fontId="6" fillId="0" borderId="6" xfId="0" applyFont="1" applyBorder="1"/>
    <xf numFmtId="0" fontId="2" fillId="10" borderId="40" xfId="0" applyFont="1" applyFill="1" applyBorder="1"/>
    <xf numFmtId="0" fontId="2" fillId="10" borderId="41" xfId="0" applyFont="1" applyFill="1" applyBorder="1"/>
    <xf numFmtId="166" fontId="14" fillId="10" borderId="42" xfId="1" applyFont="1" applyFill="1" applyBorder="1"/>
    <xf numFmtId="166" fontId="2" fillId="10" borderId="26" xfId="1" applyFont="1" applyFill="1" applyBorder="1"/>
    <xf numFmtId="166" fontId="2" fillId="10" borderId="43" xfId="0" applyNumberFormat="1" applyFont="1" applyFill="1" applyBorder="1"/>
    <xf numFmtId="0" fontId="2" fillId="3" borderId="33" xfId="0" applyFont="1" applyFill="1" applyBorder="1"/>
    <xf numFmtId="0" fontId="2" fillId="3" borderId="0" xfId="0" applyFont="1" applyFill="1"/>
    <xf numFmtId="166" fontId="14" fillId="3" borderId="0" xfId="1" applyFont="1" applyFill="1" applyBorder="1"/>
    <xf numFmtId="166" fontId="2" fillId="3" borderId="0" xfId="1" applyFont="1" applyFill="1" applyBorder="1"/>
    <xf numFmtId="166" fontId="2" fillId="3" borderId="34" xfId="0" applyNumberFormat="1" applyFont="1" applyFill="1" applyBorder="1"/>
    <xf numFmtId="0" fontId="0" fillId="3" borderId="0" xfId="0" applyFill="1" applyAlignment="1">
      <alignment horizontal="center" vertical="center" wrapText="1"/>
    </xf>
    <xf numFmtId="0" fontId="2" fillId="3" borderId="0" xfId="0" applyFont="1" applyFill="1" applyAlignment="1">
      <alignment horizontal="center" vertical="center" wrapText="1"/>
    </xf>
    <xf numFmtId="0" fontId="13" fillId="9" borderId="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3" fillId="9" borderId="3"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3" fillId="9" borderId="0" xfId="0" applyFont="1" applyFill="1" applyAlignment="1">
      <alignment horizontal="center" vertical="center" wrapText="1"/>
    </xf>
    <xf numFmtId="0" fontId="13" fillId="9" borderId="10" xfId="0" applyFont="1" applyFill="1" applyBorder="1" applyAlignment="1">
      <alignment horizontal="center" vertical="center" wrapText="1"/>
    </xf>
    <xf numFmtId="0" fontId="13" fillId="9" borderId="39" xfId="0" applyFont="1" applyFill="1" applyBorder="1" applyAlignment="1">
      <alignment horizontal="center" vertical="center" wrapText="1"/>
    </xf>
    <xf numFmtId="0" fontId="13" fillId="9" borderId="4"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2" fillId="6" borderId="11" xfId="0" applyFont="1" applyFill="1" applyBorder="1" applyAlignment="1">
      <alignment horizontal="left"/>
    </xf>
    <xf numFmtId="0" fontId="2" fillId="6" borderId="12" xfId="0" applyFont="1" applyFill="1" applyBorder="1" applyAlignment="1">
      <alignment horizontal="left"/>
    </xf>
    <xf numFmtId="0" fontId="2" fillId="6" borderId="13" xfId="0" applyFont="1" applyFill="1" applyBorder="1" applyAlignment="1">
      <alignment horizontal="left"/>
    </xf>
    <xf numFmtId="0" fontId="2" fillId="6" borderId="11" xfId="0" applyFont="1" applyFill="1" applyBorder="1" applyAlignment="1">
      <alignment horizontal="center"/>
    </xf>
    <xf numFmtId="0" fontId="2" fillId="6" borderId="12" xfId="0" applyFont="1" applyFill="1" applyBorder="1" applyAlignment="1">
      <alignment horizontal="center"/>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3" borderId="11" xfId="0" applyFill="1" applyBorder="1" applyAlignment="1">
      <alignment horizontal="left" vertical="center" wrapText="1"/>
    </xf>
    <xf numFmtId="0" fontId="0" fillId="3" borderId="12" xfId="0" applyFill="1" applyBorder="1" applyAlignment="1">
      <alignment horizontal="left" vertical="center" wrapText="1"/>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2" fillId="11" borderId="0" xfId="0" applyFont="1" applyFill="1" applyAlignment="1">
      <alignment horizontal="center" vertical="center" wrapText="1"/>
    </xf>
    <xf numFmtId="166" fontId="0" fillId="5" borderId="0" xfId="0" applyNumberFormat="1" applyFill="1" applyAlignment="1">
      <alignment horizontal="center" wrapText="1"/>
    </xf>
    <xf numFmtId="164" fontId="0" fillId="5" borderId="0" xfId="0" applyNumberFormat="1" applyFill="1" applyAlignment="1">
      <alignment horizontal="center" wrapText="1"/>
    </xf>
    <xf numFmtId="0" fontId="0" fillId="5" borderId="35" xfId="0" applyFill="1" applyBorder="1" applyAlignment="1">
      <alignment horizontal="center" vertical="center" wrapText="1"/>
    </xf>
    <xf numFmtId="0" fontId="0" fillId="5" borderId="36" xfId="0" applyFill="1" applyBorder="1" applyAlignment="1">
      <alignment horizontal="center" vertical="center" wrapText="1"/>
    </xf>
    <xf numFmtId="0" fontId="15" fillId="5" borderId="31" xfId="0" applyFont="1" applyFill="1" applyBorder="1" applyAlignment="1">
      <alignment horizontal="center" vertical="center"/>
    </xf>
    <xf numFmtId="0" fontId="15" fillId="5" borderId="33" xfId="0" applyFont="1" applyFill="1" applyBorder="1" applyAlignment="1">
      <alignment horizontal="center" vertical="center"/>
    </xf>
    <xf numFmtId="0" fontId="0" fillId="5" borderId="37" xfId="0" applyFill="1" applyBorder="1" applyAlignment="1">
      <alignment horizontal="center" vertical="center" wrapText="1"/>
    </xf>
    <xf numFmtId="0" fontId="19" fillId="5" borderId="35" xfId="0" applyFont="1" applyFill="1" applyBorder="1" applyAlignment="1">
      <alignment horizontal="center" vertical="center" wrapText="1"/>
    </xf>
    <xf numFmtId="0" fontId="19" fillId="5" borderId="36" xfId="0" applyFont="1" applyFill="1" applyBorder="1" applyAlignment="1">
      <alignment horizontal="center" vertical="center" wrapText="1"/>
    </xf>
    <xf numFmtId="0" fontId="0" fillId="5" borderId="31" xfId="0" applyFill="1" applyBorder="1" applyAlignment="1">
      <alignment horizontal="center" vertical="center"/>
    </xf>
    <xf numFmtId="0" fontId="0" fillId="5" borderId="33" xfId="0" applyFill="1" applyBorder="1" applyAlignment="1">
      <alignment horizontal="center" vertical="center"/>
    </xf>
    <xf numFmtId="0" fontId="15" fillId="5" borderId="35" xfId="0" applyFont="1" applyFill="1" applyBorder="1" applyAlignment="1">
      <alignment horizontal="center" vertical="center"/>
    </xf>
    <xf numFmtId="0" fontId="15" fillId="5" borderId="36" xfId="0" applyFont="1" applyFill="1" applyBorder="1" applyAlignment="1">
      <alignment horizontal="center" vertical="center"/>
    </xf>
    <xf numFmtId="0" fontId="2" fillId="5" borderId="6"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15" fillId="3" borderId="1" xfId="0" applyFont="1" applyFill="1" applyBorder="1"/>
    <xf numFmtId="0" fontId="0" fillId="13" borderId="1" xfId="0" applyFill="1" applyBorder="1"/>
    <xf numFmtId="0" fontId="15" fillId="13" borderId="1" xfId="0" applyFont="1" applyFill="1" applyBorder="1"/>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28575</xdr:colOff>
      <xdr:row>0</xdr:row>
      <xdr:rowOff>76200</xdr:rowOff>
    </xdr:from>
    <xdr:to>
      <xdr:col>0</xdr:col>
      <xdr:colOff>2190750</xdr:colOff>
      <xdr:row>3</xdr:row>
      <xdr:rowOff>333375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 y="76200"/>
          <a:ext cx="2162175" cy="838200"/>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6"/>
  <sheetViews>
    <sheetView topLeftCell="A5" zoomScale="90" zoomScaleNormal="90" workbookViewId="0">
      <selection activeCell="A61" sqref="A61:C61"/>
    </sheetView>
  </sheetViews>
  <sheetFormatPr baseColWidth="10" defaultRowHeight="15" x14ac:dyDescent="0.25"/>
  <cols>
    <col min="1" max="1" width="33.42578125" customWidth="1"/>
    <col min="2" max="2" width="36.85546875" customWidth="1"/>
    <col min="3" max="3" width="17.42578125" customWidth="1"/>
    <col min="4" max="4" width="21.7109375" customWidth="1"/>
    <col min="5"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9" ht="15.75" thickBot="1" x14ac:dyDescent="0.3">
      <c r="A1" s="7"/>
      <c r="B1" s="95" t="s">
        <v>92</v>
      </c>
      <c r="C1" s="7"/>
      <c r="D1" s="7"/>
      <c r="E1" s="7"/>
      <c r="F1" s="7"/>
      <c r="G1" s="7"/>
      <c r="H1" s="7"/>
      <c r="I1" s="7"/>
    </row>
    <row r="2" spans="1:9" x14ac:dyDescent="0.25">
      <c r="A2" s="62"/>
      <c r="B2" s="63" t="s">
        <v>0</v>
      </c>
      <c r="C2" s="63"/>
      <c r="D2" s="63"/>
      <c r="E2" s="64"/>
      <c r="F2" s="66"/>
      <c r="G2" s="66"/>
      <c r="H2" s="66"/>
      <c r="I2" s="66"/>
    </row>
    <row r="3" spans="1:9" x14ac:dyDescent="0.25">
      <c r="A3" s="65"/>
      <c r="B3" s="66" t="s">
        <v>65</v>
      </c>
      <c r="C3" s="66"/>
      <c r="D3" s="66"/>
      <c r="E3" s="67"/>
      <c r="F3" s="66"/>
      <c r="G3" s="66"/>
      <c r="H3" s="66"/>
      <c r="I3" s="66"/>
    </row>
    <row r="4" spans="1:9" ht="33.75" customHeight="1" thickBot="1" x14ac:dyDescent="0.3">
      <c r="A4" s="65"/>
      <c r="B4" s="66" t="s">
        <v>66</v>
      </c>
      <c r="C4" s="66"/>
      <c r="D4" s="66"/>
      <c r="E4" s="67"/>
      <c r="F4" s="66"/>
      <c r="G4" s="66"/>
      <c r="H4" s="66"/>
      <c r="I4" s="66"/>
    </row>
    <row r="5" spans="1:9" ht="15.75" thickBot="1" x14ac:dyDescent="0.3">
      <c r="A5" s="68" t="s">
        <v>1</v>
      </c>
      <c r="B5" s="69" t="s">
        <v>103</v>
      </c>
      <c r="C5" s="69" t="s">
        <v>102</v>
      </c>
      <c r="D5" s="69"/>
      <c r="E5" s="70"/>
      <c r="F5" s="66"/>
      <c r="G5" s="66"/>
      <c r="H5" s="66"/>
      <c r="I5" s="66"/>
    </row>
    <row r="6" spans="1:9" ht="15.75" thickBot="1" x14ac:dyDescent="0.3">
      <c r="A6" s="65" t="s">
        <v>76</v>
      </c>
      <c r="B6" s="66"/>
      <c r="C6" s="66"/>
      <c r="D6" s="66"/>
      <c r="E6" s="67"/>
      <c r="F6" s="66"/>
      <c r="G6" s="66"/>
      <c r="H6" s="66"/>
      <c r="I6" s="66"/>
    </row>
    <row r="7" spans="1:9" ht="15.75" thickBot="1" x14ac:dyDescent="0.3">
      <c r="A7" s="68" t="s">
        <v>75</v>
      </c>
      <c r="B7" s="69"/>
      <c r="C7" s="69"/>
      <c r="D7" s="69"/>
      <c r="E7" s="70"/>
      <c r="F7" s="66"/>
      <c r="G7" s="66"/>
      <c r="H7" s="66"/>
      <c r="I7" s="66"/>
    </row>
    <row r="9" spans="1:9" hidden="1" x14ac:dyDescent="0.25"/>
    <row r="10" spans="1:9" hidden="1" x14ac:dyDescent="0.25"/>
    <row r="11" spans="1:9" hidden="1" x14ac:dyDescent="0.25"/>
    <row r="12" spans="1:9" hidden="1" x14ac:dyDescent="0.25"/>
    <row r="14" spans="1:9" x14ac:dyDescent="0.25">
      <c r="B14" s="209" t="s">
        <v>101</v>
      </c>
      <c r="C14" s="210"/>
      <c r="D14" s="211"/>
    </row>
    <row r="15" spans="1:9" x14ac:dyDescent="0.25">
      <c r="B15" s="212"/>
      <c r="C15" s="213"/>
      <c r="D15" s="214"/>
    </row>
    <row r="16" spans="1:9" x14ac:dyDescent="0.25">
      <c r="B16" s="212"/>
      <c r="C16" s="213"/>
      <c r="D16" s="214"/>
      <c r="H16" s="191"/>
    </row>
    <row r="17" spans="1:12" x14ac:dyDescent="0.25">
      <c r="B17" s="215"/>
      <c r="C17" s="216"/>
      <c r="D17" s="217"/>
      <c r="H17" s="191"/>
    </row>
    <row r="18" spans="1:12" x14ac:dyDescent="0.25">
      <c r="H18" s="191"/>
    </row>
    <row r="19" spans="1:12" x14ac:dyDescent="0.25">
      <c r="A19" s="2"/>
      <c r="H19" s="191"/>
    </row>
    <row r="20" spans="1:12" ht="15.75" thickBot="1" x14ac:dyDescent="0.3">
      <c r="H20" s="191"/>
    </row>
    <row r="21" spans="1:12" ht="15.75" thickBot="1" x14ac:dyDescent="0.3">
      <c r="A21" s="59" t="s">
        <v>64</v>
      </c>
      <c r="B21" s="60"/>
      <c r="C21" s="61"/>
      <c r="D21" s="57"/>
      <c r="E21" s="193" t="s">
        <v>233</v>
      </c>
      <c r="F21" s="193" t="s">
        <v>242</v>
      </c>
      <c r="G21" s="193" t="s">
        <v>243</v>
      </c>
      <c r="H21" s="193" t="s">
        <v>244</v>
      </c>
      <c r="I21" s="193" t="s">
        <v>245</v>
      </c>
      <c r="J21" s="194" t="s">
        <v>246</v>
      </c>
    </row>
    <row r="22" spans="1:12" x14ac:dyDescent="0.25">
      <c r="A22" s="116" t="s">
        <v>106</v>
      </c>
      <c r="B22" s="6"/>
      <c r="C22" s="6"/>
      <c r="D22" s="125"/>
      <c r="E22" s="192"/>
      <c r="F22" s="192"/>
      <c r="G22" s="192"/>
      <c r="H22" s="192"/>
      <c r="I22" s="192"/>
      <c r="J22" s="192"/>
    </row>
    <row r="23" spans="1:12" x14ac:dyDescent="0.25">
      <c r="A23" s="116" t="s">
        <v>98</v>
      </c>
      <c r="B23" s="6"/>
      <c r="C23" s="6"/>
      <c r="D23" s="168">
        <v>1000000</v>
      </c>
      <c r="E23" s="129"/>
      <c r="F23" s="129"/>
      <c r="G23" s="129"/>
      <c r="H23" s="129"/>
      <c r="I23" s="129"/>
      <c r="J23" s="129"/>
    </row>
    <row r="24" spans="1:12" x14ac:dyDescent="0.25">
      <c r="A24" s="116" t="s">
        <v>2</v>
      </c>
      <c r="B24" s="6"/>
      <c r="C24" s="6"/>
      <c r="D24" s="168">
        <v>-10000</v>
      </c>
      <c r="E24" s="129"/>
      <c r="F24" s="129"/>
      <c r="G24" s="129"/>
      <c r="H24" s="129"/>
      <c r="I24" s="129"/>
      <c r="J24" s="129"/>
    </row>
    <row r="25" spans="1:12" x14ac:dyDescent="0.25">
      <c r="A25" s="116" t="s">
        <v>86</v>
      </c>
      <c r="B25" s="6"/>
      <c r="C25" s="6"/>
      <c r="D25" s="168">
        <v>0</v>
      </c>
      <c r="E25" s="129"/>
      <c r="F25" s="129"/>
      <c r="G25" s="129"/>
      <c r="H25" s="129"/>
      <c r="I25" s="129"/>
      <c r="J25" s="129"/>
    </row>
    <row r="26" spans="1:12" x14ac:dyDescent="0.25">
      <c r="A26" s="189" t="s">
        <v>232</v>
      </c>
      <c r="B26" s="186"/>
      <c r="C26" s="186"/>
      <c r="D26" s="187">
        <f>SUM(D23:D25)</f>
        <v>990000</v>
      </c>
      <c r="E26" s="188"/>
      <c r="F26" s="188"/>
      <c r="G26" s="188"/>
      <c r="H26" s="188"/>
      <c r="I26" s="188"/>
      <c r="J26" s="188"/>
    </row>
    <row r="27" spans="1:12" x14ac:dyDescent="0.25">
      <c r="A27" s="116" t="s">
        <v>106</v>
      </c>
      <c r="B27" s="6"/>
      <c r="C27" s="6"/>
      <c r="D27" s="125"/>
      <c r="E27" s="6"/>
      <c r="F27" s="6"/>
      <c r="G27" s="6"/>
      <c r="H27" s="6"/>
      <c r="I27" s="6"/>
      <c r="J27" s="6"/>
    </row>
    <row r="28" spans="1:12" x14ac:dyDescent="0.25">
      <c r="A28" s="116" t="s">
        <v>98</v>
      </c>
      <c r="B28" s="6"/>
      <c r="C28" s="6"/>
      <c r="D28" s="168">
        <v>1000000</v>
      </c>
      <c r="E28" s="129"/>
      <c r="F28" s="129"/>
      <c r="G28" s="129"/>
      <c r="H28" s="129"/>
      <c r="I28" s="129"/>
      <c r="J28" s="129"/>
    </row>
    <row r="29" spans="1:12" x14ac:dyDescent="0.25">
      <c r="A29" s="116" t="s">
        <v>2</v>
      </c>
      <c r="B29" s="6"/>
      <c r="C29" s="6"/>
      <c r="D29" s="168">
        <v>-100000</v>
      </c>
      <c r="E29" s="129"/>
      <c r="F29" s="129"/>
      <c r="G29" s="129"/>
      <c r="H29" s="129"/>
      <c r="I29" s="129"/>
      <c r="J29" s="129"/>
    </row>
    <row r="30" spans="1:12" x14ac:dyDescent="0.25">
      <c r="A30" s="116" t="s">
        <v>86</v>
      </c>
      <c r="B30" s="6"/>
      <c r="C30" s="6"/>
      <c r="D30" s="168"/>
      <c r="E30" s="129"/>
      <c r="F30" s="129"/>
      <c r="G30" s="129"/>
      <c r="H30" s="129"/>
      <c r="I30" s="129"/>
      <c r="J30" s="129"/>
    </row>
    <row r="31" spans="1:12" x14ac:dyDescent="0.25">
      <c r="A31" s="189" t="s">
        <v>232</v>
      </c>
      <c r="B31" s="186"/>
      <c r="C31" s="186"/>
      <c r="D31" s="187">
        <f>SUM(D28:D30)</f>
        <v>900000</v>
      </c>
      <c r="E31" s="188"/>
      <c r="F31" s="188"/>
      <c r="G31" s="188"/>
      <c r="H31" s="188"/>
      <c r="I31" s="188"/>
      <c r="J31" s="188"/>
    </row>
    <row r="32" spans="1:12" ht="13.5" customHeight="1" x14ac:dyDescent="0.25">
      <c r="A32" s="93" t="s">
        <v>3</v>
      </c>
      <c r="B32" s="93"/>
      <c r="C32" s="93"/>
      <c r="D32" s="103">
        <f>D26+D31</f>
        <v>1890000</v>
      </c>
      <c r="E32" s="103">
        <f>D32*93.2%</f>
        <v>1761480</v>
      </c>
      <c r="F32" s="156">
        <f>$D32*1.08%</f>
        <v>20412</v>
      </c>
      <c r="G32" s="156">
        <f>$D32*1.28%</f>
        <v>24192</v>
      </c>
      <c r="H32" s="156">
        <f>$D32*1.21%</f>
        <v>22869</v>
      </c>
      <c r="I32" s="156">
        <f>$D32*1.49%</f>
        <v>28161</v>
      </c>
      <c r="J32" s="156">
        <f>D32*1.74%</f>
        <v>32886</v>
      </c>
      <c r="K32" s="105">
        <f>E32+J32+F32+G32+H32+I32</f>
        <v>1890000</v>
      </c>
      <c r="L32" s="142" t="str">
        <f>IF(D32=K32, "", "Error")</f>
        <v/>
      </c>
    </row>
    <row r="33" spans="1:12" hidden="1" x14ac:dyDescent="0.25">
      <c r="A33" s="92" t="s">
        <v>84</v>
      </c>
      <c r="B33" s="6"/>
      <c r="C33" s="6"/>
      <c r="D33" s="169">
        <v>0</v>
      </c>
      <c r="E33" s="129">
        <f>D33*91.91%</f>
        <v>0</v>
      </c>
      <c r="F33" s="129"/>
      <c r="G33" s="129"/>
      <c r="H33" s="129"/>
      <c r="I33" s="129"/>
      <c r="J33" s="129">
        <f>D33*8.09%</f>
        <v>0</v>
      </c>
      <c r="L33" s="142"/>
    </row>
    <row r="34" spans="1:12" hidden="1" x14ac:dyDescent="0.25">
      <c r="A34" s="92"/>
      <c r="B34" s="6"/>
      <c r="C34" s="6"/>
      <c r="D34" s="168">
        <v>0</v>
      </c>
      <c r="E34" s="129">
        <f>D34*91.91%</f>
        <v>0</v>
      </c>
      <c r="F34" s="129"/>
      <c r="G34" s="129"/>
      <c r="H34" s="129"/>
      <c r="I34" s="129"/>
      <c r="J34" s="129">
        <f>D34*8.09%</f>
        <v>0</v>
      </c>
      <c r="L34" s="142"/>
    </row>
    <row r="35" spans="1:12" hidden="1" x14ac:dyDescent="0.25">
      <c r="A35" s="92"/>
      <c r="B35" s="6"/>
      <c r="C35" s="6"/>
      <c r="D35" s="168"/>
      <c r="E35" s="6"/>
      <c r="F35" s="6"/>
      <c r="G35" s="6"/>
      <c r="H35" s="6"/>
      <c r="I35" s="6"/>
      <c r="J35" s="6"/>
      <c r="L35" s="142"/>
    </row>
    <row r="36" spans="1:12" hidden="1" x14ac:dyDescent="0.25">
      <c r="A36" s="92"/>
      <c r="B36" s="6"/>
      <c r="C36" s="6"/>
      <c r="D36" s="168"/>
      <c r="E36" s="6"/>
      <c r="F36" s="6"/>
      <c r="G36" s="6"/>
      <c r="H36" s="6"/>
      <c r="I36" s="6"/>
      <c r="J36" s="6"/>
      <c r="L36" s="142"/>
    </row>
    <row r="37" spans="1:12" hidden="1" x14ac:dyDescent="0.25">
      <c r="A37" s="93" t="s">
        <v>91</v>
      </c>
      <c r="B37" s="93"/>
      <c r="C37" s="93"/>
      <c r="D37" s="103">
        <f>SUM(D33:D35)</f>
        <v>0</v>
      </c>
      <c r="E37" s="103">
        <f t="shared" ref="E37:J37" si="0">SUM(E33:E35)</f>
        <v>0</v>
      </c>
      <c r="F37" s="103"/>
      <c r="G37" s="103"/>
      <c r="H37" s="103"/>
      <c r="I37" s="103"/>
      <c r="J37" s="103">
        <f t="shared" si="0"/>
        <v>0</v>
      </c>
      <c r="K37" s="105">
        <f>E37+J37</f>
        <v>0</v>
      </c>
      <c r="L37" s="142" t="str">
        <f>IF(D37=K37, "", "Error")</f>
        <v/>
      </c>
    </row>
    <row r="38" spans="1:12" hidden="1" x14ac:dyDescent="0.25">
      <c r="A38" s="92" t="s">
        <v>84</v>
      </c>
      <c r="B38" s="6"/>
      <c r="C38" s="6"/>
      <c r="D38" s="169"/>
      <c r="E38" s="129">
        <f>D38*91.91%</f>
        <v>0</v>
      </c>
      <c r="F38" s="129"/>
      <c r="G38" s="129"/>
      <c r="H38" s="129"/>
      <c r="I38" s="129"/>
      <c r="J38" s="129">
        <f>D38*8.09%</f>
        <v>0</v>
      </c>
      <c r="L38" s="142"/>
    </row>
    <row r="39" spans="1:12" hidden="1" x14ac:dyDescent="0.25">
      <c r="A39" s="6" t="s">
        <v>99</v>
      </c>
      <c r="B39" s="6"/>
      <c r="C39" s="6"/>
      <c r="D39" s="168"/>
      <c r="E39" s="129">
        <f t="shared" ref="E39:E40" si="1">D39*91.91%</f>
        <v>0</v>
      </c>
      <c r="F39" s="129"/>
      <c r="G39" s="129"/>
      <c r="H39" s="129"/>
      <c r="I39" s="129"/>
      <c r="J39" s="129">
        <f t="shared" ref="J39:J40" si="2">D39*8.09%</f>
        <v>0</v>
      </c>
      <c r="L39" s="142"/>
    </row>
    <row r="40" spans="1:12" hidden="1" x14ac:dyDescent="0.25">
      <c r="A40" s="92" t="s">
        <v>2</v>
      </c>
      <c r="B40" s="6"/>
      <c r="C40" s="6"/>
      <c r="D40" s="168"/>
      <c r="E40" s="129">
        <f t="shared" si="1"/>
        <v>0</v>
      </c>
      <c r="F40" s="129"/>
      <c r="G40" s="129"/>
      <c r="H40" s="129"/>
      <c r="I40" s="129"/>
      <c r="J40" s="129">
        <f t="shared" si="2"/>
        <v>0</v>
      </c>
      <c r="L40" s="142"/>
    </row>
    <row r="41" spans="1:12" hidden="1" x14ac:dyDescent="0.25">
      <c r="A41" s="93" t="s">
        <v>85</v>
      </c>
      <c r="B41" s="93"/>
      <c r="C41" s="93"/>
      <c r="D41" s="103">
        <f>SUM(D34:D40)</f>
        <v>0</v>
      </c>
      <c r="E41" s="103">
        <f t="shared" ref="E41" si="3">SUM(E34:E40)</f>
        <v>0</v>
      </c>
      <c r="F41" s="103"/>
      <c r="G41" s="103"/>
      <c r="H41" s="103"/>
      <c r="I41" s="103"/>
      <c r="J41" s="114">
        <f>E41*8.09%</f>
        <v>0</v>
      </c>
      <c r="L41" s="142"/>
    </row>
    <row r="42" spans="1:12" ht="0.75" hidden="1" customHeight="1" x14ac:dyDescent="0.25">
      <c r="A42" s="124"/>
      <c r="B42" s="96"/>
      <c r="C42" s="96"/>
      <c r="D42" s="168"/>
      <c r="E42" s="115"/>
      <c r="F42" s="115"/>
      <c r="G42" s="115"/>
      <c r="H42" s="115"/>
      <c r="I42" s="115"/>
      <c r="J42" s="115"/>
      <c r="L42" s="142"/>
    </row>
    <row r="43" spans="1:12" hidden="1" x14ac:dyDescent="0.25">
      <c r="A43" s="124"/>
      <c r="B43" s="96"/>
      <c r="C43" s="96"/>
      <c r="D43" s="168"/>
      <c r="E43" s="115"/>
      <c r="F43" s="115"/>
      <c r="G43" s="115"/>
      <c r="H43" s="115"/>
      <c r="I43" s="115"/>
      <c r="J43" s="115"/>
      <c r="L43" s="142"/>
    </row>
    <row r="44" spans="1:12" hidden="1" x14ac:dyDescent="0.25">
      <c r="A44" s="96"/>
      <c r="B44" s="96"/>
      <c r="C44" s="107"/>
      <c r="D44" s="168"/>
      <c r="E44" s="115"/>
      <c r="F44" s="115"/>
      <c r="G44" s="115"/>
      <c r="H44" s="115"/>
      <c r="I44" s="115"/>
      <c r="J44" s="115"/>
      <c r="L44" s="142"/>
    </row>
    <row r="45" spans="1:12" ht="0.75" customHeight="1" x14ac:dyDescent="0.25">
      <c r="A45" s="93" t="s">
        <v>91</v>
      </c>
      <c r="B45" s="93"/>
      <c r="C45" s="93"/>
      <c r="D45" s="103"/>
      <c r="E45" s="108">
        <f>SUM(D42:D44)</f>
        <v>0</v>
      </c>
      <c r="F45" s="108"/>
      <c r="G45" s="108"/>
      <c r="H45" s="108"/>
      <c r="I45" s="108"/>
      <c r="J45" s="106">
        <f>(D42)*8.09%</f>
        <v>0</v>
      </c>
      <c r="L45" s="142"/>
    </row>
    <row r="46" spans="1:12" x14ac:dyDescent="0.25">
      <c r="A46" s="6" t="s">
        <v>239</v>
      </c>
      <c r="B46" s="6"/>
      <c r="C46" s="6"/>
      <c r="D46" s="109"/>
      <c r="E46" s="110"/>
      <c r="F46" s="110"/>
      <c r="G46" s="110"/>
      <c r="H46" s="110"/>
      <c r="I46" s="110"/>
      <c r="J46" s="6"/>
      <c r="L46" s="142"/>
    </row>
    <row r="47" spans="1:12" x14ac:dyDescent="0.25">
      <c r="A47" s="6" t="s">
        <v>240</v>
      </c>
      <c r="B47" s="6"/>
      <c r="C47" s="6"/>
      <c r="D47" s="109"/>
      <c r="E47" s="152"/>
      <c r="F47" s="152"/>
      <c r="G47" s="152"/>
      <c r="H47" s="152"/>
      <c r="I47" s="152"/>
      <c r="J47" s="6"/>
      <c r="L47" s="142"/>
    </row>
    <row r="48" spans="1:12" x14ac:dyDescent="0.25">
      <c r="A48" s="93" t="s">
        <v>91</v>
      </c>
      <c r="B48" s="93"/>
      <c r="C48" s="93"/>
      <c r="D48" s="103">
        <f>SUM(D46:D47)</f>
        <v>0</v>
      </c>
      <c r="E48" s="156">
        <f>SUM(E46:E47)</f>
        <v>0</v>
      </c>
      <c r="F48" s="156"/>
      <c r="G48" s="156"/>
      <c r="H48" s="156"/>
      <c r="I48" s="156"/>
      <c r="J48" s="156">
        <f>SUM(J46:J47)</f>
        <v>0</v>
      </c>
      <c r="K48" s="105">
        <f>E48+J48</f>
        <v>0</v>
      </c>
      <c r="L48" s="142"/>
    </row>
    <row r="49" spans="1:14" x14ac:dyDescent="0.25">
      <c r="A49" s="92" t="s">
        <v>4</v>
      </c>
      <c r="B49" s="6"/>
      <c r="C49" s="6"/>
      <c r="D49" s="171"/>
      <c r="E49" s="111"/>
      <c r="F49" s="111"/>
      <c r="G49" s="111"/>
      <c r="H49" s="111"/>
      <c r="I49" s="111"/>
      <c r="J49" s="97"/>
      <c r="L49" s="142"/>
    </row>
    <row r="50" spans="1:14" x14ac:dyDescent="0.25">
      <c r="A50" s="92" t="s">
        <v>234</v>
      </c>
      <c r="B50" s="6"/>
      <c r="C50" s="96"/>
      <c r="D50" s="109">
        <v>15000</v>
      </c>
      <c r="E50" s="129">
        <f>D50*93.2%</f>
        <v>13980</v>
      </c>
      <c r="F50" s="129">
        <f>$D50*1.08%</f>
        <v>162</v>
      </c>
      <c r="G50" s="129">
        <f>$D50*1.28%</f>
        <v>192</v>
      </c>
      <c r="H50" s="129">
        <f>$D50*1.21%</f>
        <v>181.5</v>
      </c>
      <c r="I50" s="129">
        <f>$D50*1.49%</f>
        <v>223.5</v>
      </c>
      <c r="J50" s="129">
        <f>D50*1.74%</f>
        <v>261</v>
      </c>
      <c r="L50" s="142"/>
    </row>
    <row r="51" spans="1:14" x14ac:dyDescent="0.25">
      <c r="A51" s="92" t="s">
        <v>236</v>
      </c>
      <c r="B51" s="6"/>
      <c r="C51" s="6"/>
      <c r="D51" s="109">
        <f>102143.27+6011.02+54099.18</f>
        <v>162253.47</v>
      </c>
      <c r="E51" s="129">
        <f t="shared" ref="E51:E52" si="4">D51*93.2%</f>
        <v>151220.23404000001</v>
      </c>
      <c r="F51" s="129">
        <f>$D51*1.08%</f>
        <v>1752.3374760000002</v>
      </c>
      <c r="G51" s="129">
        <f>$D51*1.28%</f>
        <v>2076.8444159999999</v>
      </c>
      <c r="H51" s="129">
        <f>$D51*1.21%</f>
        <v>1963.266987</v>
      </c>
      <c r="I51" s="129">
        <f>$D51*1.49%</f>
        <v>2417.5767030000002</v>
      </c>
      <c r="J51" s="129">
        <f>D51*1.74%</f>
        <v>2823.2103779999998</v>
      </c>
      <c r="L51" s="142"/>
    </row>
    <row r="52" spans="1:14" x14ac:dyDescent="0.25">
      <c r="A52" s="92"/>
      <c r="B52" s="6"/>
      <c r="C52" s="6"/>
      <c r="D52" s="109"/>
      <c r="E52" s="129">
        <f t="shared" si="4"/>
        <v>0</v>
      </c>
      <c r="F52" s="129"/>
      <c r="G52" s="129"/>
      <c r="H52" s="129"/>
      <c r="I52" s="129"/>
      <c r="J52" s="129">
        <f t="shared" ref="J52" si="5">D52*6.8%</f>
        <v>0</v>
      </c>
      <c r="L52" s="142"/>
    </row>
    <row r="53" spans="1:14" x14ac:dyDescent="0.25">
      <c r="A53" s="93" t="s">
        <v>5</v>
      </c>
      <c r="B53" s="94"/>
      <c r="C53" s="94"/>
      <c r="D53" s="104">
        <f>SUM(D50:D52)</f>
        <v>177253.47</v>
      </c>
      <c r="E53" s="104">
        <f>SUM(E50:E52)</f>
        <v>165200.23404000001</v>
      </c>
      <c r="F53" s="104">
        <f t="shared" ref="F53:I53" si="6">SUM(F50:F52)</f>
        <v>1914.3374760000002</v>
      </c>
      <c r="G53" s="104">
        <f t="shared" si="6"/>
        <v>2268.8444159999999</v>
      </c>
      <c r="H53" s="104">
        <f t="shared" si="6"/>
        <v>2144.766987</v>
      </c>
      <c r="I53" s="104">
        <f t="shared" si="6"/>
        <v>2641.0767030000002</v>
      </c>
      <c r="J53" s="104">
        <f>SUM(J50:J52)</f>
        <v>3084.2103779999998</v>
      </c>
      <c r="K53" s="105">
        <f>E53+J53+F53+G53+H53+I53</f>
        <v>177253.47</v>
      </c>
      <c r="L53" s="142" t="str">
        <f>IF(D53=K53, "", "Error")</f>
        <v/>
      </c>
    </row>
    <row r="54" spans="1:14" x14ac:dyDescent="0.25">
      <c r="A54" s="6" t="s">
        <v>6</v>
      </c>
      <c r="B54" s="6"/>
      <c r="C54" s="6"/>
      <c r="D54" s="171"/>
      <c r="E54" s="111"/>
      <c r="F54" s="111"/>
      <c r="G54" s="111"/>
      <c r="H54" s="111"/>
      <c r="I54" s="111"/>
      <c r="J54" s="6"/>
      <c r="L54" s="142"/>
    </row>
    <row r="55" spans="1:14" ht="16.5" customHeight="1" x14ac:dyDescent="0.25">
      <c r="A55" s="174" t="s">
        <v>235</v>
      </c>
      <c r="B55" s="163"/>
      <c r="C55" s="164"/>
      <c r="D55" s="109">
        <v>200000</v>
      </c>
      <c r="E55" s="141">
        <f>D55</f>
        <v>200000</v>
      </c>
      <c r="F55" s="141"/>
      <c r="G55" s="141"/>
      <c r="H55" s="141"/>
      <c r="I55" s="141"/>
      <c r="J55" s="6"/>
      <c r="K55" s="105">
        <f t="shared" ref="K55:K62" si="7">D55</f>
        <v>200000</v>
      </c>
      <c r="L55" s="151">
        <f>E55+J55</f>
        <v>200000</v>
      </c>
      <c r="M55" s="165">
        <f>L55-D55</f>
        <v>0</v>
      </c>
      <c r="N55" s="165">
        <f>K55-D55</f>
        <v>0</v>
      </c>
    </row>
    <row r="56" spans="1:14" x14ac:dyDescent="0.25">
      <c r="A56" s="92" t="s">
        <v>7</v>
      </c>
      <c r="B56" s="6"/>
      <c r="C56" s="6"/>
      <c r="D56" s="109">
        <v>190000</v>
      </c>
      <c r="E56" s="141">
        <f>D56*93.2%</f>
        <v>177080</v>
      </c>
      <c r="F56" s="129">
        <f>$D56*1.08%</f>
        <v>2052</v>
      </c>
      <c r="G56" s="129">
        <f>$D56*1.28%</f>
        <v>2432</v>
      </c>
      <c r="H56" s="129">
        <f>$D56*1.21%</f>
        <v>2299</v>
      </c>
      <c r="I56" s="129">
        <f>$D56*1.49%</f>
        <v>2831</v>
      </c>
      <c r="J56" s="129">
        <f>D56*1.74%</f>
        <v>3305.9999999999995</v>
      </c>
      <c r="K56" s="105">
        <f t="shared" si="7"/>
        <v>190000</v>
      </c>
      <c r="L56" s="151">
        <f>E56+J56+I56+H56+G56+F56</f>
        <v>190000</v>
      </c>
      <c r="M56" s="165">
        <f>L56-D56</f>
        <v>0</v>
      </c>
      <c r="N56" s="165">
        <f>K56-D56</f>
        <v>0</v>
      </c>
    </row>
    <row r="57" spans="1:14" x14ac:dyDescent="0.25">
      <c r="A57" s="92" t="s">
        <v>9</v>
      </c>
      <c r="B57" s="6"/>
      <c r="C57" s="6"/>
      <c r="D57" s="109">
        <v>800000</v>
      </c>
      <c r="E57" s="141">
        <f>D57*93.2%</f>
        <v>745600</v>
      </c>
      <c r="F57" s="129">
        <f>$D57*1.08%</f>
        <v>8640</v>
      </c>
      <c r="G57" s="129">
        <f>$D57*1.28%</f>
        <v>10240</v>
      </c>
      <c r="H57" s="129">
        <f>$D57*1.21%</f>
        <v>9680</v>
      </c>
      <c r="I57" s="129">
        <f>$D57*1.49%</f>
        <v>11920</v>
      </c>
      <c r="J57" s="129">
        <f>D57*1.74%</f>
        <v>13919.999999999998</v>
      </c>
      <c r="K57" s="105">
        <f t="shared" si="7"/>
        <v>800000</v>
      </c>
      <c r="L57" s="151">
        <f>E57+J57+I57+H57+G57+F57</f>
        <v>800000</v>
      </c>
      <c r="M57" s="165">
        <f>L57-D57</f>
        <v>0</v>
      </c>
      <c r="N57" s="165">
        <f>K57-D57</f>
        <v>0</v>
      </c>
    </row>
    <row r="58" spans="1:14" x14ac:dyDescent="0.25">
      <c r="A58" s="6" t="s">
        <v>247</v>
      </c>
      <c r="B58" s="6"/>
      <c r="C58" s="6"/>
      <c r="D58" s="109">
        <v>800000</v>
      </c>
      <c r="E58" s="141">
        <f>D58</f>
        <v>800000</v>
      </c>
      <c r="F58" s="129"/>
      <c r="G58" s="129"/>
      <c r="H58" s="129"/>
      <c r="I58" s="129"/>
      <c r="J58" s="129"/>
      <c r="K58" s="105">
        <f t="shared" si="7"/>
        <v>800000</v>
      </c>
      <c r="L58" s="151">
        <f>E58+J58+I58+H58+G58+F58</f>
        <v>800000</v>
      </c>
      <c r="M58" s="165"/>
      <c r="N58" s="165"/>
    </row>
    <row r="59" spans="1:14" x14ac:dyDescent="0.25">
      <c r="A59" s="124" t="s">
        <v>8</v>
      </c>
      <c r="B59" s="96"/>
      <c r="C59" s="96"/>
      <c r="D59" s="109">
        <v>846331.1</v>
      </c>
      <c r="E59" s="141">
        <f>D59*93.2%</f>
        <v>788780.58519999997</v>
      </c>
      <c r="F59" s="129">
        <f>$D59*1.08%</f>
        <v>9140.3758799999996</v>
      </c>
      <c r="G59" s="129">
        <f>$D59*1.28%</f>
        <v>10833.03808</v>
      </c>
      <c r="H59" s="129">
        <f>$D59*1.21%</f>
        <v>10240.606309999999</v>
      </c>
      <c r="I59" s="129">
        <f>$D59*1.49%</f>
        <v>12610.33339</v>
      </c>
      <c r="J59" s="129">
        <f>D59*1.74%</f>
        <v>14726.161139999998</v>
      </c>
      <c r="K59" s="105">
        <f t="shared" si="7"/>
        <v>846331.1</v>
      </c>
      <c r="L59" s="151">
        <f t="shared" ref="L59:L62" si="8">E59+J59+I59+H59+G59+F59</f>
        <v>846331.09999999986</v>
      </c>
      <c r="M59" s="165">
        <f>L59-D59</f>
        <v>0</v>
      </c>
      <c r="N59" s="165">
        <f>K59-D59</f>
        <v>0</v>
      </c>
    </row>
    <row r="60" spans="1:14" x14ac:dyDescent="0.25">
      <c r="A60" s="190" t="s">
        <v>238</v>
      </c>
      <c r="B60" s="166"/>
      <c r="C60" s="167"/>
      <c r="D60" s="109">
        <v>100000</v>
      </c>
      <c r="E60" s="141">
        <f>D60</f>
        <v>100000</v>
      </c>
      <c r="F60" s="141"/>
      <c r="G60" s="141"/>
      <c r="H60" s="141"/>
      <c r="I60" s="141"/>
      <c r="J60" s="129"/>
      <c r="K60" s="105">
        <f t="shared" si="7"/>
        <v>100000</v>
      </c>
      <c r="L60" s="151">
        <f t="shared" si="8"/>
        <v>100000</v>
      </c>
      <c r="M60" s="165"/>
      <c r="N60" s="165">
        <f>K60-D60</f>
        <v>0</v>
      </c>
    </row>
    <row r="61" spans="1:14" x14ac:dyDescent="0.25">
      <c r="A61" s="223" t="s">
        <v>237</v>
      </c>
      <c r="B61" s="224"/>
      <c r="C61" s="225"/>
      <c r="D61" s="109">
        <v>80000</v>
      </c>
      <c r="E61" s="141">
        <f t="shared" ref="E61:E62" si="9">D61</f>
        <v>80000</v>
      </c>
      <c r="F61" s="141"/>
      <c r="G61" s="141"/>
      <c r="H61" s="141"/>
      <c r="I61" s="141"/>
      <c r="J61" s="129"/>
      <c r="K61" s="105">
        <f t="shared" si="7"/>
        <v>80000</v>
      </c>
      <c r="L61" s="151">
        <f t="shared" si="8"/>
        <v>80000</v>
      </c>
      <c r="M61" s="165">
        <f>L61-D61</f>
        <v>0</v>
      </c>
      <c r="N61" s="165">
        <f>K61-D61</f>
        <v>0</v>
      </c>
    </row>
    <row r="62" spans="1:14" ht="15" customHeight="1" x14ac:dyDescent="0.25">
      <c r="A62" s="177" t="s">
        <v>241</v>
      </c>
      <c r="B62" s="178"/>
      <c r="C62" s="173"/>
      <c r="D62" s="109">
        <v>150000</v>
      </c>
      <c r="E62" s="141">
        <f t="shared" si="9"/>
        <v>150000</v>
      </c>
      <c r="F62" s="141"/>
      <c r="G62" s="141"/>
      <c r="H62" s="141"/>
      <c r="I62" s="141"/>
      <c r="J62" s="129"/>
      <c r="K62" s="105">
        <f t="shared" si="7"/>
        <v>150000</v>
      </c>
      <c r="L62" s="151">
        <f t="shared" si="8"/>
        <v>150000</v>
      </c>
      <c r="M62" s="165">
        <f>L62-D62</f>
        <v>0</v>
      </c>
      <c r="N62" s="165">
        <f>K62-D62</f>
        <v>0</v>
      </c>
    </row>
    <row r="63" spans="1:14" x14ac:dyDescent="0.25">
      <c r="A63" s="147"/>
      <c r="B63" s="148"/>
      <c r="C63" s="148"/>
      <c r="D63" s="154"/>
      <c r="E63" s="141"/>
      <c r="F63" s="141"/>
      <c r="G63" s="141"/>
      <c r="H63" s="141"/>
      <c r="I63" s="141"/>
      <c r="J63" s="129"/>
      <c r="K63" s="105"/>
      <c r="L63" s="151"/>
      <c r="M63" t="str">
        <f>IF(K63=L63, "", "Error")</f>
        <v/>
      </c>
    </row>
    <row r="64" spans="1:14" x14ac:dyDescent="0.25">
      <c r="A64" s="94" t="s">
        <v>10</v>
      </c>
      <c r="B64" s="94"/>
      <c r="C64" s="94"/>
      <c r="D64" s="104">
        <f>SUM(D55:D63)</f>
        <v>3166331.1</v>
      </c>
      <c r="E64" s="104">
        <f>SUM(E55:E63)</f>
        <v>3041460.5852000001</v>
      </c>
      <c r="F64" s="104">
        <f t="shared" ref="F64:I64" si="10">SUM(F55:F63)</f>
        <v>19832.37588</v>
      </c>
      <c r="G64" s="104">
        <f t="shared" si="10"/>
        <v>23505.038079999998</v>
      </c>
      <c r="H64" s="104">
        <f t="shared" si="10"/>
        <v>22219.606309999999</v>
      </c>
      <c r="I64" s="104">
        <f t="shared" si="10"/>
        <v>27361.33339</v>
      </c>
      <c r="J64" s="104">
        <f>SUM(J55:J63)</f>
        <v>31952.161139999997</v>
      </c>
      <c r="K64" s="105">
        <f>E64+J64+F64+G64+H64+I64</f>
        <v>3166331.1</v>
      </c>
      <c r="L64" s="142" t="str">
        <f>IF(D64=K64, "", "Error")</f>
        <v/>
      </c>
      <c r="M64" s="165">
        <f>D64-K64</f>
        <v>0</v>
      </c>
    </row>
    <row r="65" spans="1:14" hidden="1" x14ac:dyDescent="0.25">
      <c r="A65" s="6"/>
      <c r="B65" s="6"/>
      <c r="C65" s="6"/>
      <c r="D65" s="171"/>
      <c r="E65" s="111"/>
      <c r="F65" s="111"/>
      <c r="G65" s="111"/>
      <c r="H65" s="111"/>
      <c r="I65" s="111"/>
      <c r="J65" s="6"/>
      <c r="L65" s="142"/>
    </row>
    <row r="66" spans="1:14" hidden="1" x14ac:dyDescent="0.25">
      <c r="A66" s="6"/>
      <c r="B66" s="6"/>
      <c r="C66" s="6"/>
      <c r="D66" s="171"/>
      <c r="E66" s="110"/>
      <c r="F66" s="110"/>
      <c r="G66" s="110"/>
      <c r="H66" s="110"/>
      <c r="I66" s="110"/>
      <c r="J66" s="6"/>
      <c r="L66" s="142"/>
    </row>
    <row r="67" spans="1:14" hidden="1" x14ac:dyDescent="0.25">
      <c r="A67" s="6"/>
      <c r="B67" s="6"/>
      <c r="C67" s="6"/>
      <c r="D67" s="171"/>
      <c r="E67" s="110"/>
      <c r="F67" s="110"/>
      <c r="G67" s="110"/>
      <c r="H67" s="110"/>
      <c r="I67" s="110"/>
      <c r="J67" s="6"/>
      <c r="L67" s="142"/>
    </row>
    <row r="68" spans="1:14" x14ac:dyDescent="0.25">
      <c r="A68" s="92" t="s">
        <v>105</v>
      </c>
      <c r="B68" s="96"/>
      <c r="C68" s="6"/>
      <c r="D68" s="109">
        <v>330000</v>
      </c>
      <c r="E68" s="141">
        <f>D68*93.2%</f>
        <v>307560</v>
      </c>
      <c r="F68" s="129">
        <f>$D68*1.08%</f>
        <v>3564</v>
      </c>
      <c r="G68" s="129">
        <f>$D68*1.28%</f>
        <v>4224</v>
      </c>
      <c r="H68" s="129">
        <f>$D68*1.21%</f>
        <v>3993</v>
      </c>
      <c r="I68" s="129">
        <f>$D68*1.49%</f>
        <v>4917</v>
      </c>
      <c r="J68" s="129">
        <f>D68*1.74%</f>
        <v>5742</v>
      </c>
      <c r="K68" s="150"/>
      <c r="L68" s="142"/>
    </row>
    <row r="69" spans="1:14" x14ac:dyDescent="0.25">
      <c r="A69" s="6"/>
      <c r="B69" s="6"/>
      <c r="C69" s="6"/>
      <c r="D69" s="109"/>
      <c r="E69" s="152">
        <f>D69</f>
        <v>0</v>
      </c>
      <c r="F69" s="152"/>
      <c r="G69" s="152"/>
      <c r="H69" s="152"/>
      <c r="I69" s="152"/>
      <c r="J69" s="6"/>
      <c r="L69" s="142"/>
      <c r="M69" s="105"/>
    </row>
    <row r="70" spans="1:14" ht="13.5" customHeight="1" x14ac:dyDescent="0.25">
      <c r="A70" s="93" t="s">
        <v>14</v>
      </c>
      <c r="B70" s="93"/>
      <c r="C70" s="93"/>
      <c r="D70" s="103">
        <f>SUM(D68:D69)</f>
        <v>330000</v>
      </c>
      <c r="E70" s="103">
        <f>SUM(E68:E69)</f>
        <v>307560</v>
      </c>
      <c r="F70" s="103">
        <f t="shared" ref="F70:I70" si="11">SUM(F68:F69)</f>
        <v>3564</v>
      </c>
      <c r="G70" s="103">
        <f t="shared" si="11"/>
        <v>4224</v>
      </c>
      <c r="H70" s="103">
        <f t="shared" si="11"/>
        <v>3993</v>
      </c>
      <c r="I70" s="103">
        <f t="shared" si="11"/>
        <v>4917</v>
      </c>
      <c r="J70" s="103">
        <f>SUM(J68:J69)</f>
        <v>5742</v>
      </c>
      <c r="K70" s="105">
        <f>E70+J70+F70+G70+H70+I70</f>
        <v>330000</v>
      </c>
      <c r="L70" s="142" t="str">
        <f>IF(D70=K70, "", "Error")</f>
        <v/>
      </c>
      <c r="N70" s="105"/>
    </row>
    <row r="71" spans="1:14" hidden="1" x14ac:dyDescent="0.25">
      <c r="A71" s="6"/>
      <c r="B71" s="6"/>
      <c r="C71" s="6"/>
      <c r="D71" s="171"/>
      <c r="E71" s="111"/>
      <c r="F71" s="111"/>
      <c r="G71" s="111"/>
      <c r="H71" s="111"/>
      <c r="I71" s="111"/>
      <c r="J71" s="6"/>
      <c r="L71" s="142"/>
    </row>
    <row r="72" spans="1:14" hidden="1" x14ac:dyDescent="0.25">
      <c r="A72" s="6"/>
      <c r="B72" s="6"/>
      <c r="C72" s="6"/>
      <c r="D72" s="171"/>
      <c r="E72" s="110"/>
      <c r="F72" s="110"/>
      <c r="G72" s="110"/>
      <c r="H72" s="110"/>
      <c r="I72" s="110"/>
      <c r="J72" s="6"/>
      <c r="L72" s="142"/>
    </row>
    <row r="73" spans="1:14" x14ac:dyDescent="0.25">
      <c r="A73" s="92" t="s">
        <v>11</v>
      </c>
      <c r="B73" s="6"/>
      <c r="C73" s="6"/>
      <c r="D73" s="171"/>
      <c r="E73" s="110"/>
      <c r="F73" s="110"/>
      <c r="G73" s="110"/>
      <c r="H73" s="110"/>
      <c r="I73" s="110"/>
      <c r="J73" s="6"/>
      <c r="L73" s="142"/>
    </row>
    <row r="74" spans="1:14" ht="14.25" customHeight="1" x14ac:dyDescent="0.25">
      <c r="A74" s="92" t="s">
        <v>12</v>
      </c>
      <c r="B74" s="6" t="s">
        <v>90</v>
      </c>
      <c r="C74" s="6"/>
      <c r="D74" s="109">
        <v>700000</v>
      </c>
      <c r="E74" s="141">
        <f>D74*93.2%</f>
        <v>652400</v>
      </c>
      <c r="F74" s="129">
        <f>$D74*1.08%</f>
        <v>7560</v>
      </c>
      <c r="G74" s="129">
        <f>$D74*1.28%</f>
        <v>8960</v>
      </c>
      <c r="H74" s="129">
        <f>$D74*1.21%</f>
        <v>8470</v>
      </c>
      <c r="I74" s="129">
        <f>$D74*1.49%</f>
        <v>10430</v>
      </c>
      <c r="J74" s="129">
        <f>D74*1.74%</f>
        <v>12180</v>
      </c>
      <c r="L74" s="142"/>
    </row>
    <row r="75" spans="1:14" x14ac:dyDescent="0.25">
      <c r="A75" s="92"/>
      <c r="B75" s="6"/>
      <c r="C75" s="6"/>
      <c r="D75" s="109"/>
      <c r="E75" s="141"/>
      <c r="F75" s="141"/>
      <c r="G75" s="141"/>
      <c r="H75" s="141"/>
      <c r="I75" s="141"/>
      <c r="J75" s="129"/>
      <c r="L75" s="142"/>
      <c r="N75" s="109"/>
    </row>
    <row r="76" spans="1:14" x14ac:dyDescent="0.25">
      <c r="A76" s="6"/>
      <c r="B76" s="6"/>
      <c r="C76" s="6"/>
      <c r="D76" s="171"/>
      <c r="E76" s="112"/>
      <c r="F76" s="112"/>
      <c r="G76" s="112"/>
      <c r="H76" s="112"/>
      <c r="I76" s="112"/>
      <c r="J76" s="6"/>
      <c r="L76" s="142"/>
      <c r="N76" s="105"/>
    </row>
    <row r="77" spans="1:14" x14ac:dyDescent="0.25">
      <c r="A77" s="93" t="s">
        <v>77</v>
      </c>
      <c r="B77" s="93"/>
      <c r="C77" s="93"/>
      <c r="D77" s="103">
        <f>SUM(D74:D76)</f>
        <v>700000</v>
      </c>
      <c r="E77" s="103">
        <f>SUM(E74:E76)</f>
        <v>652400</v>
      </c>
      <c r="F77" s="103">
        <f t="shared" ref="F77:I77" si="12">SUM(F74:F76)</f>
        <v>7560</v>
      </c>
      <c r="G77" s="103">
        <f t="shared" si="12"/>
        <v>8960</v>
      </c>
      <c r="H77" s="103">
        <f t="shared" si="12"/>
        <v>8470</v>
      </c>
      <c r="I77" s="103">
        <f t="shared" si="12"/>
        <v>10430</v>
      </c>
      <c r="J77" s="103">
        <f>SUM(J74:J76)</f>
        <v>12180</v>
      </c>
      <c r="K77" s="105">
        <f>E77+J77+F77+G77+H77+I77</f>
        <v>700000</v>
      </c>
      <c r="L77" s="142" t="str">
        <f>IF(D77=K77, "", "Error")</f>
        <v/>
      </c>
      <c r="N77" s="105"/>
    </row>
    <row r="78" spans="1:14" x14ac:dyDescent="0.25">
      <c r="A78" s="92" t="s">
        <v>78</v>
      </c>
      <c r="B78" s="6"/>
      <c r="C78" s="6"/>
      <c r="D78" s="109">
        <v>100104.56</v>
      </c>
      <c r="E78" s="141">
        <f>D78*93.2%</f>
        <v>93297.449919999999</v>
      </c>
      <c r="F78" s="129">
        <f>$D78*1.08%</f>
        <v>1081.129248</v>
      </c>
      <c r="G78" s="129">
        <f>$D78*1.28%</f>
        <v>1281.3383679999999</v>
      </c>
      <c r="H78" s="129">
        <f>$D78*1.21%</f>
        <v>1211.2651759999999</v>
      </c>
      <c r="I78" s="129">
        <f>$D78*1.49%</f>
        <v>1491.5579439999999</v>
      </c>
      <c r="J78" s="129">
        <f>D78*1.74%</f>
        <v>1741.8193439999998</v>
      </c>
      <c r="L78" s="142"/>
    </row>
    <row r="79" spans="1:14" x14ac:dyDescent="0.25">
      <c r="A79" s="92" t="s">
        <v>79</v>
      </c>
      <c r="B79" s="6"/>
      <c r="C79" s="117"/>
      <c r="D79" s="109">
        <v>44400</v>
      </c>
      <c r="E79" s="141">
        <f>D79*93.2%</f>
        <v>41380.800000000003</v>
      </c>
      <c r="F79" s="129">
        <f>$D79*1.08%</f>
        <v>479.52000000000004</v>
      </c>
      <c r="G79" s="129">
        <f>$D79*1.28%</f>
        <v>568.32000000000005</v>
      </c>
      <c r="H79" s="129">
        <f>$D79*1.21%</f>
        <v>537.24</v>
      </c>
      <c r="I79" s="129">
        <f>$D79*1.49%</f>
        <v>661.56</v>
      </c>
      <c r="J79" s="129">
        <f>D79*1.74%</f>
        <v>772.56</v>
      </c>
      <c r="L79" s="142"/>
    </row>
    <row r="80" spans="1:14" x14ac:dyDescent="0.25">
      <c r="A80" s="93" t="s">
        <v>13</v>
      </c>
      <c r="B80" s="93"/>
      <c r="C80" s="93"/>
      <c r="D80" s="149">
        <f>SUM(D78:D79)</f>
        <v>144504.56</v>
      </c>
      <c r="E80" s="139">
        <f t="shared" ref="E80:J80" si="13">SUM(E78:E79)</f>
        <v>134678.24992</v>
      </c>
      <c r="F80" s="139">
        <f t="shared" si="13"/>
        <v>1560.6492479999999</v>
      </c>
      <c r="G80" s="139">
        <f t="shared" si="13"/>
        <v>1849.6583679999999</v>
      </c>
      <c r="H80" s="139">
        <f t="shared" si="13"/>
        <v>1748.5051759999999</v>
      </c>
      <c r="I80" s="139">
        <f t="shared" si="13"/>
        <v>2153.1179439999996</v>
      </c>
      <c r="J80" s="139">
        <f t="shared" si="13"/>
        <v>2514.3793439999999</v>
      </c>
      <c r="K80" s="105">
        <f>E80+J80+F80+G80+H80+I80</f>
        <v>144504.56</v>
      </c>
      <c r="L80" s="142" t="str">
        <f>IF(D80=K80, "", "Error")</f>
        <v/>
      </c>
    </row>
    <row r="81" spans="1:13" ht="15.75" thickBot="1" x14ac:dyDescent="0.3">
      <c r="A81" s="195"/>
      <c r="B81" s="195"/>
      <c r="C81" s="195"/>
      <c r="D81" s="196"/>
      <c r="E81" s="10"/>
      <c r="F81" s="10"/>
      <c r="G81" s="10"/>
      <c r="H81" s="10"/>
      <c r="I81" s="10"/>
      <c r="J81" s="195"/>
      <c r="L81" s="142"/>
    </row>
    <row r="82" spans="1:13" ht="15.75" thickBot="1" x14ac:dyDescent="0.3">
      <c r="A82" s="197" t="s">
        <v>100</v>
      </c>
      <c r="B82" s="198"/>
      <c r="C82" s="198"/>
      <c r="D82" s="199"/>
      <c r="E82" s="113">
        <f>D82*91.91%</f>
        <v>0</v>
      </c>
      <c r="F82" s="200"/>
      <c r="G82" s="200"/>
      <c r="H82" s="200"/>
      <c r="I82" s="200"/>
      <c r="J82" s="201">
        <f>D82*8.09%</f>
        <v>0</v>
      </c>
      <c r="K82" s="105">
        <f>E82+J82</f>
        <v>0</v>
      </c>
      <c r="L82" s="142" t="str">
        <f>IF(D82=K82, "", "Error")</f>
        <v/>
      </c>
    </row>
    <row r="83" spans="1:13" ht="15.75" thickBot="1" x14ac:dyDescent="0.3">
      <c r="A83" s="202"/>
      <c r="B83" s="203"/>
      <c r="C83" s="203"/>
      <c r="D83" s="204"/>
      <c r="E83" s="205"/>
      <c r="F83" s="205"/>
      <c r="G83" s="205"/>
      <c r="H83" s="205"/>
      <c r="I83" s="205"/>
      <c r="J83" s="206"/>
      <c r="K83" s="105"/>
      <c r="L83" s="142"/>
    </row>
    <row r="84" spans="1:13" ht="15.75" thickBot="1" x14ac:dyDescent="0.3">
      <c r="A84" s="3" t="s">
        <v>80</v>
      </c>
      <c r="B84" s="58"/>
      <c r="C84" s="4"/>
      <c r="D84" s="172">
        <f>SUM(D82+D80+D77+D70+D64+D53+D37+D32+D48)</f>
        <v>6408089.1299999999</v>
      </c>
      <c r="E84" s="140">
        <f>SUM(E82+E80+E77+E70+E64+E53+E37+E32+E48)</f>
        <v>6062779.0691599995</v>
      </c>
      <c r="F84" s="140">
        <f t="shared" ref="F84:I84" si="14">SUM(F82+F80+F77+F70+F64+F53+F37+F32+F48)</f>
        <v>54843.362604000002</v>
      </c>
      <c r="G84" s="140">
        <f t="shared" si="14"/>
        <v>64999.540864000002</v>
      </c>
      <c r="H84" s="140">
        <f t="shared" si="14"/>
        <v>61444.878473000004</v>
      </c>
      <c r="I84" s="140">
        <f t="shared" si="14"/>
        <v>75663.528036999996</v>
      </c>
      <c r="J84" s="140">
        <f>SUM(J82+J80+J77+J70+J64+J53+J37+J32+J48)</f>
        <v>88358.750862000001</v>
      </c>
      <c r="K84" s="105">
        <f>E84+J84+F84+G84+H84+I84</f>
        <v>6408089.129999999</v>
      </c>
      <c r="L84" s="142" t="str">
        <f>IF(D84=K84, "", "Error")</f>
        <v/>
      </c>
      <c r="M84" s="165">
        <f>D84-K84</f>
        <v>0</v>
      </c>
    </row>
    <row r="85" spans="1:13" ht="15.75" thickBot="1" x14ac:dyDescent="0.3">
      <c r="D85" s="170"/>
      <c r="E85" s="105"/>
      <c r="F85" s="105"/>
      <c r="G85" s="105"/>
      <c r="H85" s="105"/>
      <c r="I85" s="105"/>
    </row>
    <row r="86" spans="1:13" ht="15.75" thickBot="1" x14ac:dyDescent="0.3">
      <c r="A86" s="136" t="s">
        <v>93</v>
      </c>
      <c r="B86" s="135"/>
      <c r="C86" s="135"/>
      <c r="E86" s="105"/>
      <c r="F86" s="105"/>
      <c r="G86" s="105"/>
      <c r="H86" s="105"/>
      <c r="I86" s="105"/>
    </row>
    <row r="87" spans="1:13" x14ac:dyDescent="0.25">
      <c r="A87" s="1"/>
      <c r="C87" s="133"/>
      <c r="E87" s="105"/>
      <c r="F87" s="105"/>
      <c r="G87" s="105"/>
      <c r="H87" s="105"/>
      <c r="I87" s="105"/>
    </row>
    <row r="88" spans="1:13" ht="15.75" thickBot="1" x14ac:dyDescent="0.3">
      <c r="A88" s="1"/>
      <c r="C88" s="133"/>
      <c r="E88" s="105"/>
      <c r="F88" s="105"/>
      <c r="G88" s="105"/>
      <c r="H88" s="105"/>
      <c r="I88" s="105"/>
    </row>
    <row r="89" spans="1:13" ht="15.75" thickBot="1" x14ac:dyDescent="0.3">
      <c r="A89" s="137" t="s">
        <v>27</v>
      </c>
      <c r="B89" s="138"/>
      <c r="C89" s="134">
        <f>SUM(C87:C88)</f>
        <v>0</v>
      </c>
      <c r="E89" s="105"/>
      <c r="F89" s="105"/>
      <c r="G89" s="105"/>
      <c r="H89" s="105"/>
      <c r="I89" s="105"/>
    </row>
    <row r="90" spans="1:13" x14ac:dyDescent="0.25">
      <c r="E90" s="105"/>
      <c r="F90" s="105"/>
      <c r="G90" s="105"/>
      <c r="H90" s="105"/>
      <c r="I90" s="105"/>
    </row>
    <row r="91" spans="1:13" x14ac:dyDescent="0.25">
      <c r="E91" s="131"/>
      <c r="F91" s="131"/>
      <c r="G91" s="131"/>
      <c r="H91" s="131"/>
      <c r="I91" s="131"/>
    </row>
    <row r="92" spans="1:13" x14ac:dyDescent="0.25">
      <c r="A92" s="221" t="s">
        <v>87</v>
      </c>
      <c r="B92" s="222"/>
      <c r="C92" s="222"/>
      <c r="D92" s="222"/>
      <c r="E92" s="158" t="s">
        <v>19</v>
      </c>
      <c r="F92" s="158"/>
      <c r="G92" s="158"/>
      <c r="H92" s="158"/>
      <c r="I92" s="158"/>
      <c r="J92" s="159" t="s">
        <v>94</v>
      </c>
    </row>
    <row r="93" spans="1:13" ht="22.5" customHeight="1" x14ac:dyDescent="0.25">
      <c r="A93" s="226"/>
      <c r="B93" s="227"/>
      <c r="C93" s="160"/>
      <c r="D93" s="109"/>
      <c r="E93" s="141">
        <f>D93</f>
        <v>0</v>
      </c>
      <c r="F93" s="141"/>
      <c r="G93" s="141"/>
      <c r="H93" s="141"/>
      <c r="I93" s="141"/>
      <c r="J93" s="129"/>
    </row>
    <row r="94" spans="1:13" ht="24.75" customHeight="1" x14ac:dyDescent="0.25">
      <c r="A94" s="226"/>
      <c r="B94" s="227"/>
      <c r="C94" s="160"/>
      <c r="D94" s="109"/>
      <c r="E94" s="141"/>
      <c r="F94" s="141"/>
      <c r="G94" s="141"/>
      <c r="H94" s="141"/>
      <c r="I94" s="141"/>
      <c r="J94" s="129"/>
    </row>
    <row r="95" spans="1:13" x14ac:dyDescent="0.25">
      <c r="A95" s="218" t="s">
        <v>27</v>
      </c>
      <c r="B95" s="219"/>
      <c r="C95" s="220"/>
      <c r="D95" s="157">
        <f>SUM(D93:D94)</f>
        <v>0</v>
      </c>
      <c r="E95" s="157">
        <f>SUM(E93:E94)</f>
        <v>0</v>
      </c>
      <c r="F95" s="157"/>
      <c r="G95" s="157"/>
      <c r="H95" s="157"/>
      <c r="I95" s="157"/>
      <c r="J95" s="157">
        <f>SUM(J93:J94)</f>
        <v>0</v>
      </c>
      <c r="L95" s="105">
        <f>E95+J95</f>
        <v>0</v>
      </c>
      <c r="M95" s="142" t="str">
        <f>IF(D95=L95, "", "Error")</f>
        <v/>
      </c>
    </row>
    <row r="97" spans="1:11" ht="15.75" thickBot="1" x14ac:dyDescent="0.3">
      <c r="E97" s="105"/>
      <c r="F97" s="105"/>
      <c r="G97" s="105"/>
      <c r="H97" s="105"/>
      <c r="I97" s="105"/>
    </row>
    <row r="98" spans="1:11" ht="15.75" thickBot="1" x14ac:dyDescent="0.3">
      <c r="A98" s="99" t="s">
        <v>81</v>
      </c>
      <c r="B98" s="100">
        <f>D84</f>
        <v>6408089.1299999999</v>
      </c>
    </row>
    <row r="99" spans="1:11" ht="15.75" thickBot="1" x14ac:dyDescent="0.3">
      <c r="A99" s="101" t="s">
        <v>83</v>
      </c>
      <c r="B99" s="102">
        <f>D84-D82</f>
        <v>6408089.1299999999</v>
      </c>
    </row>
    <row r="100" spans="1:11" x14ac:dyDescent="0.25">
      <c r="D100" s="208"/>
      <c r="E100" s="208"/>
      <c r="F100" s="179"/>
      <c r="G100" s="179"/>
      <c r="H100" s="179"/>
      <c r="I100" s="179"/>
    </row>
    <row r="101" spans="1:11" x14ac:dyDescent="0.25">
      <c r="A101" s="72" t="s">
        <v>67</v>
      </c>
      <c r="B101" s="73"/>
      <c r="C101" s="74"/>
      <c r="D101" s="208"/>
      <c r="E101" s="208"/>
      <c r="F101" s="179"/>
      <c r="G101" s="179"/>
      <c r="H101" s="179"/>
      <c r="I101" s="179"/>
    </row>
    <row r="102" spans="1:11" x14ac:dyDescent="0.25">
      <c r="A102" s="75" t="s">
        <v>68</v>
      </c>
      <c r="B102" s="9">
        <v>0</v>
      </c>
      <c r="C102" s="76"/>
      <c r="D102" s="208"/>
      <c r="E102" s="208"/>
      <c r="F102" s="179"/>
      <c r="G102" s="179"/>
      <c r="H102" s="179"/>
      <c r="I102" s="179"/>
    </row>
    <row r="103" spans="1:11" x14ac:dyDescent="0.25">
      <c r="A103" s="77" t="s">
        <v>69</v>
      </c>
      <c r="B103" s="90">
        <f>PRORRATEO!G126</f>
        <v>0</v>
      </c>
      <c r="C103" s="76" t="s">
        <v>70</v>
      </c>
      <c r="D103" s="208"/>
      <c r="E103" s="208"/>
      <c r="F103" s="179"/>
      <c r="G103" s="179"/>
      <c r="H103" s="179"/>
      <c r="I103" s="179"/>
    </row>
    <row r="104" spans="1:11" x14ac:dyDescent="0.25">
      <c r="A104" s="77" t="s">
        <v>89</v>
      </c>
      <c r="B104" s="162">
        <f>-B99</f>
        <v>-6408089.1299999999</v>
      </c>
      <c r="C104" s="74"/>
      <c r="D104" s="208"/>
      <c r="E104" s="208"/>
      <c r="F104" s="179"/>
      <c r="G104" s="179"/>
      <c r="H104" s="179"/>
      <c r="I104" s="179"/>
      <c r="K104" s="109"/>
    </row>
    <row r="105" spans="1:11" x14ac:dyDescent="0.25">
      <c r="A105" s="77" t="s">
        <v>88</v>
      </c>
      <c r="B105" s="162">
        <f>-D95</f>
        <v>0</v>
      </c>
      <c r="C105" s="74"/>
      <c r="D105" s="208"/>
      <c r="E105" s="208"/>
      <c r="F105" s="179"/>
      <c r="G105" s="179"/>
      <c r="H105" s="179"/>
      <c r="I105" s="179"/>
      <c r="K105" s="120"/>
    </row>
    <row r="106" spans="1:11" x14ac:dyDescent="0.25">
      <c r="A106" s="77" t="s">
        <v>82</v>
      </c>
      <c r="B106" s="162">
        <f>-B113</f>
        <v>0</v>
      </c>
      <c r="C106" s="78"/>
    </row>
    <row r="107" spans="1:11" x14ac:dyDescent="0.25">
      <c r="A107" s="77" t="s">
        <v>93</v>
      </c>
      <c r="B107" s="91">
        <f>-C89</f>
        <v>0</v>
      </c>
      <c r="C107" s="78"/>
    </row>
    <row r="108" spans="1:11" x14ac:dyDescent="0.25">
      <c r="A108" s="77"/>
      <c r="B108" s="73"/>
      <c r="C108" s="78"/>
    </row>
    <row r="109" spans="1:11" x14ac:dyDescent="0.25">
      <c r="A109" s="75" t="s">
        <v>71</v>
      </c>
      <c r="B109" s="79">
        <f>SUM(B102:B108)</f>
        <v>-6408089.1299999999</v>
      </c>
      <c r="C109" s="146"/>
    </row>
    <row r="110" spans="1:11" x14ac:dyDescent="0.25">
      <c r="A110" s="78"/>
      <c r="C110" s="74"/>
      <c r="D110" s="81"/>
    </row>
    <row r="111" spans="1:11" x14ac:dyDescent="0.25">
      <c r="C111" s="74"/>
      <c r="D111" s="105"/>
      <c r="E111" s="165"/>
      <c r="F111" s="165"/>
      <c r="G111" s="165"/>
      <c r="H111" s="165"/>
      <c r="I111" s="165"/>
    </row>
    <row r="112" spans="1:11" x14ac:dyDescent="0.25">
      <c r="A112" s="72" t="s">
        <v>72</v>
      </c>
      <c r="B112" s="9">
        <v>0</v>
      </c>
      <c r="C112" s="80"/>
      <c r="D112" s="165"/>
      <c r="E112" s="165"/>
      <c r="F112" s="165"/>
      <c r="G112" s="165"/>
      <c r="H112" s="165"/>
      <c r="I112" s="165"/>
      <c r="J112" s="165"/>
    </row>
    <row r="113" spans="1:18" ht="15" customHeight="1" x14ac:dyDescent="0.25">
      <c r="A113" s="75" t="s">
        <v>104</v>
      </c>
      <c r="B113" s="91"/>
      <c r="C113" s="80"/>
      <c r="D113" s="165"/>
      <c r="E113" s="180"/>
      <c r="F113" s="180"/>
      <c r="G113" s="180"/>
      <c r="H113" s="180"/>
      <c r="I113" s="180"/>
    </row>
    <row r="114" spans="1:18" x14ac:dyDescent="0.25">
      <c r="A114" s="75"/>
      <c r="B114" s="162"/>
      <c r="C114" s="80"/>
      <c r="E114" s="105"/>
      <c r="F114" s="105"/>
      <c r="G114" s="105"/>
      <c r="H114" s="105"/>
      <c r="I114" s="105"/>
    </row>
    <row r="115" spans="1:18" x14ac:dyDescent="0.25">
      <c r="A115" s="97" t="s">
        <v>27</v>
      </c>
      <c r="B115" s="98">
        <f>SUM(B112:B114)</f>
        <v>0</v>
      </c>
      <c r="C115" s="80"/>
    </row>
    <row r="116" spans="1:18" x14ac:dyDescent="0.25">
      <c r="C116" s="81"/>
      <c r="D116" s="165"/>
    </row>
    <row r="117" spans="1:18" x14ac:dyDescent="0.25">
      <c r="B117" s="78"/>
      <c r="C117" s="74"/>
    </row>
    <row r="119" spans="1:18" x14ac:dyDescent="0.25">
      <c r="R119" s="10"/>
    </row>
    <row r="122" spans="1:18" x14ac:dyDescent="0.25">
      <c r="B122" s="207"/>
      <c r="C122" s="207"/>
      <c r="D122" s="207"/>
      <c r="E122" s="207"/>
      <c r="F122" s="185"/>
      <c r="G122" s="185"/>
      <c r="H122" s="185"/>
      <c r="I122" s="185"/>
    </row>
    <row r="123" spans="1:18" x14ac:dyDescent="0.25">
      <c r="B123" s="207"/>
      <c r="C123" s="207"/>
      <c r="D123" s="207"/>
      <c r="E123" s="207"/>
      <c r="F123" s="185"/>
      <c r="G123" s="185"/>
      <c r="H123" s="185"/>
      <c r="I123" s="185"/>
    </row>
    <row r="124" spans="1:18" x14ac:dyDescent="0.25">
      <c r="B124" s="207"/>
      <c r="C124" s="207"/>
      <c r="D124" s="207"/>
      <c r="E124" s="207"/>
      <c r="F124" s="185"/>
      <c r="G124" s="185"/>
      <c r="H124" s="185"/>
      <c r="I124" s="185"/>
    </row>
    <row r="125" spans="1:18" x14ac:dyDescent="0.25">
      <c r="B125" s="207"/>
      <c r="C125" s="207"/>
      <c r="D125" s="207"/>
      <c r="E125" s="207"/>
      <c r="F125" s="185"/>
      <c r="G125" s="185"/>
      <c r="H125" s="185"/>
      <c r="I125" s="185"/>
    </row>
    <row r="126" spans="1:18" x14ac:dyDescent="0.25">
      <c r="B126" s="207"/>
      <c r="C126" s="207"/>
      <c r="D126" s="207"/>
      <c r="E126" s="207"/>
      <c r="F126" s="185"/>
      <c r="G126" s="185"/>
      <c r="H126" s="185"/>
      <c r="I126" s="185"/>
    </row>
  </sheetData>
  <mergeCells count="8">
    <mergeCell ref="B122:E126"/>
    <mergeCell ref="D100:E105"/>
    <mergeCell ref="B14:D17"/>
    <mergeCell ref="A95:C95"/>
    <mergeCell ref="A92:D92"/>
    <mergeCell ref="A61:C61"/>
    <mergeCell ref="A94:B94"/>
    <mergeCell ref="A93:B93"/>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37"/>
  <sheetViews>
    <sheetView tabSelected="1" topLeftCell="C76" zoomScaleNormal="100" workbookViewId="0">
      <selection activeCell="D117" sqref="D117"/>
    </sheetView>
  </sheetViews>
  <sheetFormatPr baseColWidth="10" defaultRowHeight="15" x14ac:dyDescent="0.25"/>
  <cols>
    <col min="1" max="1" width="4.5703125" hidden="1" customWidth="1"/>
    <col min="2" max="2" width="5.85546875" hidden="1" customWidth="1"/>
    <col min="3" max="3" width="8.140625" customWidth="1"/>
    <col min="4" max="4" width="43.5703125" customWidth="1"/>
    <col min="5" max="5" width="9.42578125" customWidth="1"/>
    <col min="6" max="7" width="12" bestFit="1" customWidth="1"/>
    <col min="8" max="8" width="11.28515625" customWidth="1"/>
    <col min="9" max="9" width="13.7109375" customWidth="1"/>
    <col min="10" max="10" width="13.28515625" customWidth="1"/>
    <col min="11" max="11" width="10.42578125" customWidth="1"/>
    <col min="12" max="12" width="14.28515625" customWidth="1"/>
    <col min="13" max="13" width="13.7109375" customWidth="1"/>
    <col min="14" max="14" width="11.42578125" customWidth="1"/>
    <col min="15" max="15" width="14.5703125" bestFit="1" customWidth="1"/>
  </cols>
  <sheetData>
    <row r="1" spans="1:15" x14ac:dyDescent="0.25">
      <c r="A1" s="7"/>
      <c r="B1" s="7"/>
      <c r="C1" s="7"/>
      <c r="D1" s="7"/>
      <c r="E1" s="7"/>
      <c r="F1" s="7" t="s">
        <v>15</v>
      </c>
      <c r="G1" s="7"/>
      <c r="H1" s="7"/>
      <c r="I1" s="7"/>
      <c r="J1" s="7" t="s">
        <v>96</v>
      </c>
      <c r="K1" s="231">
        <f>RESUMEN!D84</f>
        <v>6408089.1299999999</v>
      </c>
      <c r="L1" s="232"/>
      <c r="M1" s="144"/>
      <c r="N1" s="130"/>
    </row>
    <row r="2" spans="1:15" x14ac:dyDescent="0.25">
      <c r="A2" s="7"/>
      <c r="B2" s="7"/>
      <c r="C2" s="7"/>
      <c r="D2" s="7"/>
      <c r="E2" s="7"/>
      <c r="F2" s="7"/>
      <c r="G2" s="7"/>
      <c r="H2" s="7"/>
      <c r="I2" s="7"/>
      <c r="J2" s="7" t="s">
        <v>97</v>
      </c>
      <c r="K2" s="7"/>
      <c r="L2" s="144">
        <f>5792711+50000+1000+200+10</f>
        <v>5843921</v>
      </c>
      <c r="M2" s="145"/>
      <c r="N2" s="130"/>
    </row>
    <row r="3" spans="1:15" x14ac:dyDescent="0.25">
      <c r="A3" s="7" t="str">
        <f>RESUMEN!C5</f>
        <v>VTO. 16/06</v>
      </c>
      <c r="B3" s="7"/>
      <c r="C3" s="7"/>
      <c r="D3" s="7"/>
      <c r="E3" s="7"/>
      <c r="F3" s="7"/>
      <c r="G3" s="7"/>
      <c r="H3" s="7"/>
      <c r="I3" s="8"/>
      <c r="J3" s="7"/>
      <c r="K3" s="7"/>
      <c r="L3" s="123"/>
      <c r="M3" s="143"/>
      <c r="N3" s="71"/>
    </row>
    <row r="4" spans="1:15" ht="15.75" thickBot="1" x14ac:dyDescent="0.3">
      <c r="A4" s="7"/>
      <c r="B4" s="7"/>
      <c r="C4" s="7"/>
      <c r="D4" s="7"/>
      <c r="E4" s="7"/>
      <c r="F4" s="7"/>
      <c r="G4" s="7"/>
      <c r="H4" s="7"/>
      <c r="I4" s="118">
        <f>(I3*8.09%)/44</f>
        <v>0</v>
      </c>
      <c r="J4" s="7"/>
      <c r="K4" s="7"/>
      <c r="L4" s="123"/>
      <c r="M4" s="119"/>
      <c r="O4" s="165">
        <f>K1-J126</f>
        <v>615378.24316001497</v>
      </c>
    </row>
    <row r="5" spans="1:15" x14ac:dyDescent="0.25">
      <c r="A5" s="228" t="s">
        <v>17</v>
      </c>
      <c r="B5" s="240" t="s">
        <v>18</v>
      </c>
      <c r="C5" s="228" t="s">
        <v>19</v>
      </c>
      <c r="D5" s="242" t="s">
        <v>20</v>
      </c>
      <c r="E5" s="228" t="s">
        <v>74</v>
      </c>
      <c r="F5" s="228" t="s">
        <v>21</v>
      </c>
      <c r="G5" s="228" t="s">
        <v>22</v>
      </c>
      <c r="H5" s="235" t="s">
        <v>23</v>
      </c>
      <c r="I5" s="233" t="s">
        <v>24</v>
      </c>
      <c r="J5" s="233" t="s">
        <v>47</v>
      </c>
      <c r="K5" s="238" t="s">
        <v>95</v>
      </c>
      <c r="L5" s="233" t="s">
        <v>45</v>
      </c>
      <c r="M5" s="233" t="s">
        <v>46</v>
      </c>
    </row>
    <row r="6" spans="1:15" x14ac:dyDescent="0.25">
      <c r="A6" s="229"/>
      <c r="B6" s="241"/>
      <c r="C6" s="229"/>
      <c r="D6" s="243"/>
      <c r="E6" s="229"/>
      <c r="F6" s="229"/>
      <c r="G6" s="229"/>
      <c r="H6" s="236"/>
      <c r="I6" s="234"/>
      <c r="J6" s="237"/>
      <c r="K6" s="239"/>
      <c r="L6" s="237"/>
      <c r="M6" s="234"/>
    </row>
    <row r="7" spans="1:15" x14ac:dyDescent="0.25">
      <c r="A7" s="6" t="s">
        <v>181</v>
      </c>
      <c r="B7" s="6"/>
      <c r="C7" s="6" t="s">
        <v>176</v>
      </c>
      <c r="D7" s="128" t="s">
        <v>248</v>
      </c>
      <c r="E7" s="184">
        <v>1.0800000000000001E-2</v>
      </c>
      <c r="F7" s="86"/>
      <c r="G7" s="175"/>
      <c r="H7" s="126">
        <f>F7-G7</f>
        <v>0</v>
      </c>
      <c r="I7" s="86">
        <v>0</v>
      </c>
      <c r="J7" s="86">
        <v>56837.280204000002</v>
      </c>
      <c r="K7" s="96">
        <v>0</v>
      </c>
      <c r="L7" s="5">
        <f t="shared" ref="L7:L38" si="0">J7+I7+H7+K7</f>
        <v>56837.280204000002</v>
      </c>
      <c r="M7" s="9">
        <f>L7*6% + L7</f>
        <v>60247.517016240003</v>
      </c>
    </row>
    <row r="8" spans="1:15" x14ac:dyDescent="0.25">
      <c r="A8" s="6"/>
      <c r="B8" s="6"/>
      <c r="C8" s="6" t="s">
        <v>180</v>
      </c>
      <c r="D8" s="128" t="s">
        <v>182</v>
      </c>
      <c r="E8" s="184">
        <v>1.2800000000000001E-2</v>
      </c>
      <c r="F8" s="86"/>
      <c r="G8" s="175"/>
      <c r="H8" s="126">
        <f t="shared" ref="H8:H124" si="1">F8-G8</f>
        <v>0</v>
      </c>
      <c r="I8" s="86">
        <v>0</v>
      </c>
      <c r="J8" s="86">
        <v>67362.702464000002</v>
      </c>
      <c r="K8" s="153">
        <f t="shared" ref="K8:K15" si="2">I$3*E8%+I$4</f>
        <v>0</v>
      </c>
      <c r="L8" s="5">
        <f t="shared" si="0"/>
        <v>67362.702464000002</v>
      </c>
      <c r="M8" s="9">
        <f t="shared" ref="M8:M124" si="3">L8*6% + L8</f>
        <v>71404.464611839998</v>
      </c>
    </row>
    <row r="9" spans="1:15" x14ac:dyDescent="0.25">
      <c r="A9" s="6" t="s">
        <v>181</v>
      </c>
      <c r="B9" s="6"/>
      <c r="C9" s="6" t="s">
        <v>177</v>
      </c>
      <c r="D9" s="128" t="s">
        <v>249</v>
      </c>
      <c r="E9" s="184">
        <v>1.21E-2</v>
      </c>
      <c r="F9" s="86"/>
      <c r="G9" s="176"/>
      <c r="H9" s="126">
        <f t="shared" si="1"/>
        <v>0</v>
      </c>
      <c r="I9" s="86">
        <v>0</v>
      </c>
      <c r="J9" s="86">
        <v>63678.804672999999</v>
      </c>
      <c r="K9" s="153">
        <f t="shared" si="2"/>
        <v>0</v>
      </c>
      <c r="L9" s="5">
        <f t="shared" si="0"/>
        <v>63678.804672999999</v>
      </c>
      <c r="M9" s="9">
        <f t="shared" si="3"/>
        <v>67499.532953379996</v>
      </c>
    </row>
    <row r="10" spans="1:15" x14ac:dyDescent="0.25">
      <c r="A10" s="6" t="s">
        <v>181</v>
      </c>
      <c r="B10" s="6"/>
      <c r="C10" s="6" t="s">
        <v>178</v>
      </c>
      <c r="D10" s="128" t="s">
        <v>250</v>
      </c>
      <c r="E10" s="184">
        <v>1.49E-2</v>
      </c>
      <c r="F10" s="86"/>
      <c r="G10" s="175"/>
      <c r="H10" s="126">
        <f t="shared" si="1"/>
        <v>0</v>
      </c>
      <c r="I10" s="86">
        <v>0</v>
      </c>
      <c r="J10" s="86">
        <v>78414.395836999989</v>
      </c>
      <c r="K10" s="153">
        <f t="shared" si="2"/>
        <v>0</v>
      </c>
      <c r="L10" s="5">
        <f t="shared" si="0"/>
        <v>78414.395836999989</v>
      </c>
      <c r="M10" s="9">
        <f t="shared" si="3"/>
        <v>83119.259587219989</v>
      </c>
    </row>
    <row r="11" spans="1:15" x14ac:dyDescent="0.25">
      <c r="A11" s="6" t="s">
        <v>181</v>
      </c>
      <c r="B11" s="6"/>
      <c r="C11" s="6" t="s">
        <v>179</v>
      </c>
      <c r="D11" s="128" t="s">
        <v>182</v>
      </c>
      <c r="E11" s="184">
        <v>1.7399999999999999E-2</v>
      </c>
      <c r="F11" s="86"/>
      <c r="G11" s="175"/>
      <c r="H11" s="126">
        <f t="shared" si="1"/>
        <v>0</v>
      </c>
      <c r="I11" s="86">
        <v>0</v>
      </c>
      <c r="J11" s="86">
        <v>91571.173662000001</v>
      </c>
      <c r="K11" s="153">
        <f t="shared" si="2"/>
        <v>0</v>
      </c>
      <c r="L11" s="5">
        <f t="shared" si="0"/>
        <v>91571.173662000001</v>
      </c>
      <c r="M11" s="9">
        <f t="shared" si="3"/>
        <v>97065.444081719994</v>
      </c>
    </row>
    <row r="12" spans="1:15" x14ac:dyDescent="0.25">
      <c r="A12" s="128" t="s">
        <v>183</v>
      </c>
      <c r="B12" s="6"/>
      <c r="C12" s="6" t="s">
        <v>107</v>
      </c>
      <c r="D12" s="246" t="s">
        <v>251</v>
      </c>
      <c r="E12" s="183">
        <v>1.8800000000000001E-2</v>
      </c>
      <c r="F12" s="86"/>
      <c r="G12" s="176"/>
      <c r="H12" s="126">
        <f>F12-G12</f>
        <v>0</v>
      </c>
      <c r="I12" s="86">
        <f t="shared" ref="I12:I43" si="4">L$4*E12</f>
        <v>0</v>
      </c>
      <c r="J12" s="86">
        <f t="shared" ref="J12:J43" si="5">L$2*E12</f>
        <v>109865.7148</v>
      </c>
      <c r="K12" s="153">
        <f t="shared" si="2"/>
        <v>0</v>
      </c>
      <c r="L12" s="5">
        <f t="shared" si="0"/>
        <v>109865.7148</v>
      </c>
      <c r="M12" s="9">
        <f t="shared" si="3"/>
        <v>116457.65768800001</v>
      </c>
    </row>
    <row r="13" spans="1:15" x14ac:dyDescent="0.25">
      <c r="A13" s="128" t="s">
        <v>184</v>
      </c>
      <c r="B13" s="6"/>
      <c r="C13" s="6" t="s">
        <v>108</v>
      </c>
      <c r="D13" s="246" t="s">
        <v>252</v>
      </c>
      <c r="E13" s="183">
        <v>8.3999999999999995E-3</v>
      </c>
      <c r="F13" s="86"/>
      <c r="G13" s="176"/>
      <c r="H13" s="126">
        <f t="shared" si="1"/>
        <v>0</v>
      </c>
      <c r="I13" s="86">
        <f t="shared" si="4"/>
        <v>0</v>
      </c>
      <c r="J13" s="86">
        <f t="shared" si="5"/>
        <v>49088.936399999999</v>
      </c>
      <c r="K13" s="153">
        <f t="shared" si="2"/>
        <v>0</v>
      </c>
      <c r="L13" s="5">
        <f t="shared" si="0"/>
        <v>49088.936399999999</v>
      </c>
      <c r="M13" s="9">
        <f t="shared" si="3"/>
        <v>52034.272583999998</v>
      </c>
    </row>
    <row r="14" spans="1:15" x14ac:dyDescent="0.25">
      <c r="A14" s="128" t="s">
        <v>183</v>
      </c>
      <c r="B14" s="6"/>
      <c r="C14" s="6" t="s">
        <v>109</v>
      </c>
      <c r="D14" s="246" t="s">
        <v>253</v>
      </c>
      <c r="E14" s="183">
        <v>2.01E-2</v>
      </c>
      <c r="F14" s="86"/>
      <c r="G14" s="175"/>
      <c r="H14" s="126">
        <f t="shared" si="1"/>
        <v>0</v>
      </c>
      <c r="I14" s="86">
        <f t="shared" si="4"/>
        <v>0</v>
      </c>
      <c r="J14" s="86">
        <f t="shared" si="5"/>
        <v>117462.8121</v>
      </c>
      <c r="K14" s="153">
        <f t="shared" si="2"/>
        <v>0</v>
      </c>
      <c r="L14" s="5">
        <f t="shared" si="0"/>
        <v>117462.8121</v>
      </c>
      <c r="M14" s="9">
        <f t="shared" si="3"/>
        <v>124510.58082599999</v>
      </c>
    </row>
    <row r="15" spans="1:15" x14ac:dyDescent="0.25">
      <c r="A15" s="128" t="s">
        <v>185</v>
      </c>
      <c r="B15" s="6"/>
      <c r="C15" s="6" t="s">
        <v>110</v>
      </c>
      <c r="D15" s="246" t="s">
        <v>254</v>
      </c>
      <c r="E15" s="183">
        <v>9.4000000000000004E-3</v>
      </c>
      <c r="F15" s="86"/>
      <c r="G15" s="176"/>
      <c r="H15" s="126">
        <f t="shared" si="1"/>
        <v>0</v>
      </c>
      <c r="I15" s="86">
        <f t="shared" si="4"/>
        <v>0</v>
      </c>
      <c r="J15" s="86">
        <f t="shared" si="5"/>
        <v>54932.857400000001</v>
      </c>
      <c r="K15" s="153">
        <f t="shared" si="2"/>
        <v>0</v>
      </c>
      <c r="L15" s="5">
        <f t="shared" si="0"/>
        <v>54932.857400000001</v>
      </c>
      <c r="M15" s="9">
        <f t="shared" si="3"/>
        <v>58228.828844000003</v>
      </c>
    </row>
    <row r="16" spans="1:15" x14ac:dyDescent="0.25">
      <c r="A16" s="128" t="s">
        <v>185</v>
      </c>
      <c r="B16" s="6"/>
      <c r="C16" s="6" t="s">
        <v>111</v>
      </c>
      <c r="D16" s="128" t="s">
        <v>255</v>
      </c>
      <c r="E16" s="183">
        <v>8.6999999999999994E-3</v>
      </c>
      <c r="F16" s="86"/>
      <c r="G16" s="176"/>
      <c r="H16" s="126">
        <f t="shared" si="1"/>
        <v>0</v>
      </c>
      <c r="I16" s="86">
        <f t="shared" si="4"/>
        <v>0</v>
      </c>
      <c r="J16" s="86">
        <f t="shared" si="5"/>
        <v>50842.112699999998</v>
      </c>
      <c r="K16" s="153">
        <v>0</v>
      </c>
      <c r="L16" s="5">
        <f t="shared" si="0"/>
        <v>50842.112699999998</v>
      </c>
      <c r="M16" s="9">
        <f t="shared" si="3"/>
        <v>53892.639461999999</v>
      </c>
    </row>
    <row r="17" spans="1:13" x14ac:dyDescent="0.25">
      <c r="A17" s="128" t="s">
        <v>185</v>
      </c>
      <c r="B17" s="6"/>
      <c r="C17" s="6" t="s">
        <v>112</v>
      </c>
      <c r="D17" s="128" t="s">
        <v>256</v>
      </c>
      <c r="E17" s="183">
        <v>9.4999999999999998E-3</v>
      </c>
      <c r="F17" s="86"/>
      <c r="G17" s="175"/>
      <c r="H17" s="126">
        <f t="shared" si="1"/>
        <v>0</v>
      </c>
      <c r="I17" s="86">
        <f t="shared" si="4"/>
        <v>0</v>
      </c>
      <c r="J17" s="86">
        <f t="shared" si="5"/>
        <v>55517.249499999998</v>
      </c>
      <c r="K17" s="153">
        <f t="shared" ref="K17:K22" si="6">I$3*E17%+I$4</f>
        <v>0</v>
      </c>
      <c r="L17" s="5">
        <f t="shared" si="0"/>
        <v>55517.249499999998</v>
      </c>
      <c r="M17" s="9">
        <f t="shared" si="3"/>
        <v>58848.284469999999</v>
      </c>
    </row>
    <row r="18" spans="1:13" x14ac:dyDescent="0.25">
      <c r="A18" s="128" t="s">
        <v>183</v>
      </c>
      <c r="B18" s="6"/>
      <c r="C18" s="6" t="s">
        <v>113</v>
      </c>
      <c r="D18" s="128" t="s">
        <v>256</v>
      </c>
      <c r="E18" s="183">
        <v>1.6500000000000001E-2</v>
      </c>
      <c r="F18" s="86"/>
      <c r="G18" s="175"/>
      <c r="H18" s="126">
        <f t="shared" si="1"/>
        <v>0</v>
      </c>
      <c r="I18" s="86">
        <f t="shared" si="4"/>
        <v>0</v>
      </c>
      <c r="J18" s="86">
        <f t="shared" si="5"/>
        <v>96424.696500000005</v>
      </c>
      <c r="K18" s="153">
        <f t="shared" si="6"/>
        <v>0</v>
      </c>
      <c r="L18" s="5">
        <f t="shared" si="0"/>
        <v>96424.696500000005</v>
      </c>
      <c r="M18" s="9">
        <f t="shared" si="3"/>
        <v>102210.17829000001</v>
      </c>
    </row>
    <row r="19" spans="1:13" x14ac:dyDescent="0.25">
      <c r="A19" s="128" t="s">
        <v>184</v>
      </c>
      <c r="B19" s="6"/>
      <c r="C19" s="6" t="s">
        <v>114</v>
      </c>
      <c r="D19" s="128" t="s">
        <v>257</v>
      </c>
      <c r="E19" s="183">
        <v>7.3000000000000001E-3</v>
      </c>
      <c r="F19" s="86"/>
      <c r="G19" s="176"/>
      <c r="H19" s="126">
        <f t="shared" si="1"/>
        <v>0</v>
      </c>
      <c r="I19" s="86">
        <f t="shared" si="4"/>
        <v>0</v>
      </c>
      <c r="J19" s="86">
        <f t="shared" si="5"/>
        <v>42660.623299999999</v>
      </c>
      <c r="K19" s="153">
        <f t="shared" si="6"/>
        <v>0</v>
      </c>
      <c r="L19" s="5">
        <f t="shared" si="0"/>
        <v>42660.623299999999</v>
      </c>
      <c r="M19" s="9">
        <f t="shared" si="3"/>
        <v>45220.260697999998</v>
      </c>
    </row>
    <row r="20" spans="1:13" x14ac:dyDescent="0.25">
      <c r="A20" s="128" t="s">
        <v>183</v>
      </c>
      <c r="B20" s="6"/>
      <c r="C20" s="6" t="s">
        <v>115</v>
      </c>
      <c r="D20" s="128" t="s">
        <v>256</v>
      </c>
      <c r="E20" s="183">
        <v>1.78E-2</v>
      </c>
      <c r="F20" s="86"/>
      <c r="G20" s="175"/>
      <c r="H20" s="126">
        <f t="shared" si="1"/>
        <v>0</v>
      </c>
      <c r="I20" s="86">
        <f t="shared" si="4"/>
        <v>0</v>
      </c>
      <c r="J20" s="86">
        <f t="shared" si="5"/>
        <v>104021.7938</v>
      </c>
      <c r="K20" s="153">
        <f t="shared" si="6"/>
        <v>0</v>
      </c>
      <c r="L20" s="5">
        <f t="shared" si="0"/>
        <v>104021.7938</v>
      </c>
      <c r="M20" s="9">
        <f t="shared" si="3"/>
        <v>110263.10142799999</v>
      </c>
    </row>
    <row r="21" spans="1:13" x14ac:dyDescent="0.25">
      <c r="A21" s="128" t="s">
        <v>185</v>
      </c>
      <c r="B21" s="6"/>
      <c r="C21" s="6" t="s">
        <v>116</v>
      </c>
      <c r="D21" s="128" t="s">
        <v>257</v>
      </c>
      <c r="E21" s="183">
        <v>9.4000000000000004E-3</v>
      </c>
      <c r="F21" s="86"/>
      <c r="G21" s="175"/>
      <c r="H21" s="126">
        <f t="shared" si="1"/>
        <v>0</v>
      </c>
      <c r="I21" s="86">
        <f t="shared" si="4"/>
        <v>0</v>
      </c>
      <c r="J21" s="86">
        <f t="shared" si="5"/>
        <v>54932.857400000001</v>
      </c>
      <c r="K21" s="153">
        <f t="shared" si="6"/>
        <v>0</v>
      </c>
      <c r="L21" s="5">
        <f t="shared" si="0"/>
        <v>54932.857400000001</v>
      </c>
      <c r="M21" s="9">
        <f t="shared" si="3"/>
        <v>58228.828844000003</v>
      </c>
    </row>
    <row r="22" spans="1:13" x14ac:dyDescent="0.25">
      <c r="A22" s="128" t="s">
        <v>185</v>
      </c>
      <c r="B22" s="6"/>
      <c r="C22" s="6" t="s">
        <v>117</v>
      </c>
      <c r="D22" s="128" t="s">
        <v>257</v>
      </c>
      <c r="E22" s="183">
        <v>8.6999999999999994E-3</v>
      </c>
      <c r="F22" s="86"/>
      <c r="G22" s="175"/>
      <c r="H22" s="126">
        <f t="shared" si="1"/>
        <v>0</v>
      </c>
      <c r="I22" s="86">
        <f t="shared" si="4"/>
        <v>0</v>
      </c>
      <c r="J22" s="86">
        <f t="shared" si="5"/>
        <v>50842.112699999998</v>
      </c>
      <c r="K22" s="153">
        <f t="shared" si="6"/>
        <v>0</v>
      </c>
      <c r="L22" s="5">
        <f t="shared" si="0"/>
        <v>50842.112699999998</v>
      </c>
      <c r="M22" s="9">
        <f t="shared" si="3"/>
        <v>53892.639461999999</v>
      </c>
    </row>
    <row r="23" spans="1:13" x14ac:dyDescent="0.25">
      <c r="A23" s="128" t="s">
        <v>185</v>
      </c>
      <c r="B23" s="6"/>
      <c r="C23" s="6" t="s">
        <v>118</v>
      </c>
      <c r="D23" s="128" t="s">
        <v>257</v>
      </c>
      <c r="E23" s="183">
        <v>9.4999999999999998E-3</v>
      </c>
      <c r="F23" s="86"/>
      <c r="G23" s="176"/>
      <c r="H23" s="126">
        <f t="shared" si="1"/>
        <v>0</v>
      </c>
      <c r="I23" s="86">
        <f t="shared" si="4"/>
        <v>0</v>
      </c>
      <c r="J23" s="86">
        <f t="shared" si="5"/>
        <v>55517.249499999998</v>
      </c>
      <c r="K23" s="153">
        <v>0</v>
      </c>
      <c r="L23" s="5">
        <f t="shared" si="0"/>
        <v>55517.249499999998</v>
      </c>
      <c r="M23" s="9">
        <f t="shared" si="3"/>
        <v>58848.284469999999</v>
      </c>
    </row>
    <row r="24" spans="1:13" x14ac:dyDescent="0.25">
      <c r="A24" s="128" t="s">
        <v>183</v>
      </c>
      <c r="B24" s="6"/>
      <c r="C24" s="6" t="s">
        <v>119</v>
      </c>
      <c r="D24" s="128" t="s">
        <v>258</v>
      </c>
      <c r="E24" s="183">
        <v>1.6400000000000001E-2</v>
      </c>
      <c r="F24" s="86"/>
      <c r="G24" s="175"/>
      <c r="H24" s="126">
        <f t="shared" si="1"/>
        <v>0</v>
      </c>
      <c r="I24" s="86">
        <f t="shared" si="4"/>
        <v>0</v>
      </c>
      <c r="J24" s="86">
        <f t="shared" si="5"/>
        <v>95840.304400000008</v>
      </c>
      <c r="K24" s="153">
        <f t="shared" ref="K24:K55" si="7">I$3*E24%+I$4</f>
        <v>0</v>
      </c>
      <c r="L24" s="5">
        <f t="shared" si="0"/>
        <v>95840.304400000008</v>
      </c>
      <c r="M24" s="9">
        <f t="shared" si="3"/>
        <v>101590.722664</v>
      </c>
    </row>
    <row r="25" spans="1:13" x14ac:dyDescent="0.25">
      <c r="A25" s="128" t="s">
        <v>184</v>
      </c>
      <c r="B25" s="6"/>
      <c r="C25" s="6" t="s">
        <v>120</v>
      </c>
      <c r="D25" s="128" t="s">
        <v>259</v>
      </c>
      <c r="E25" s="183">
        <v>7.1999999999999998E-3</v>
      </c>
      <c r="F25" s="86"/>
      <c r="G25" s="175"/>
      <c r="H25" s="126">
        <f t="shared" si="1"/>
        <v>0</v>
      </c>
      <c r="I25" s="86">
        <f t="shared" si="4"/>
        <v>0</v>
      </c>
      <c r="J25" s="86">
        <f t="shared" si="5"/>
        <v>42076.231200000002</v>
      </c>
      <c r="K25" s="153">
        <f t="shared" si="7"/>
        <v>0</v>
      </c>
      <c r="L25" s="5">
        <f t="shared" si="0"/>
        <v>42076.231200000002</v>
      </c>
      <c r="M25" s="9">
        <f t="shared" si="3"/>
        <v>44600.805072000003</v>
      </c>
    </row>
    <row r="26" spans="1:13" x14ac:dyDescent="0.25">
      <c r="A26" s="128" t="s">
        <v>183</v>
      </c>
      <c r="B26" s="6"/>
      <c r="C26" s="6" t="s">
        <v>121</v>
      </c>
      <c r="D26" s="128" t="s">
        <v>260</v>
      </c>
      <c r="E26" s="183">
        <v>1.7299999999999999E-2</v>
      </c>
      <c r="F26" s="86"/>
      <c r="G26" s="176"/>
      <c r="H26" s="127">
        <f t="shared" si="1"/>
        <v>0</v>
      </c>
      <c r="I26" s="86">
        <f t="shared" si="4"/>
        <v>0</v>
      </c>
      <c r="J26" s="86">
        <f t="shared" si="5"/>
        <v>101099.8333</v>
      </c>
      <c r="K26" s="153">
        <f t="shared" si="7"/>
        <v>0</v>
      </c>
      <c r="L26" s="5">
        <f t="shared" si="0"/>
        <v>101099.8333</v>
      </c>
      <c r="M26" s="9">
        <f t="shared" si="3"/>
        <v>107165.823298</v>
      </c>
    </row>
    <row r="27" spans="1:13" x14ac:dyDescent="0.25">
      <c r="A27" s="128" t="s">
        <v>185</v>
      </c>
      <c r="B27" s="6"/>
      <c r="C27" s="6" t="s">
        <v>122</v>
      </c>
      <c r="D27" s="128" t="s">
        <v>182</v>
      </c>
      <c r="E27" s="183">
        <v>9.4000000000000004E-3</v>
      </c>
      <c r="F27" s="86"/>
      <c r="G27" s="175"/>
      <c r="H27" s="126">
        <f t="shared" si="1"/>
        <v>0</v>
      </c>
      <c r="I27" s="86">
        <f t="shared" si="4"/>
        <v>0</v>
      </c>
      <c r="J27" s="86">
        <f t="shared" si="5"/>
        <v>54932.857400000001</v>
      </c>
      <c r="K27" s="153">
        <f t="shared" si="7"/>
        <v>0</v>
      </c>
      <c r="L27" s="5">
        <f t="shared" si="0"/>
        <v>54932.857400000001</v>
      </c>
      <c r="M27" s="9">
        <f t="shared" si="3"/>
        <v>58228.828844000003</v>
      </c>
    </row>
    <row r="28" spans="1:13" x14ac:dyDescent="0.25">
      <c r="A28" s="128" t="s">
        <v>185</v>
      </c>
      <c r="B28" s="6"/>
      <c r="C28" s="6" t="s">
        <v>123</v>
      </c>
      <c r="D28" s="128" t="s">
        <v>182</v>
      </c>
      <c r="E28" s="183">
        <v>8.6999999999999994E-3</v>
      </c>
      <c r="F28" s="86"/>
      <c r="G28" s="175"/>
      <c r="H28" s="126">
        <f t="shared" si="1"/>
        <v>0</v>
      </c>
      <c r="I28" s="86">
        <f t="shared" si="4"/>
        <v>0</v>
      </c>
      <c r="J28" s="86">
        <f t="shared" si="5"/>
        <v>50842.112699999998</v>
      </c>
      <c r="K28" s="153">
        <f t="shared" si="7"/>
        <v>0</v>
      </c>
      <c r="L28" s="5">
        <f t="shared" si="0"/>
        <v>50842.112699999998</v>
      </c>
      <c r="M28" s="9">
        <f t="shared" si="3"/>
        <v>53892.639461999999</v>
      </c>
    </row>
    <row r="29" spans="1:13" x14ac:dyDescent="0.25">
      <c r="A29" s="128" t="s">
        <v>185</v>
      </c>
      <c r="B29" s="6"/>
      <c r="C29" s="6" t="s">
        <v>124</v>
      </c>
      <c r="D29" s="128" t="s">
        <v>182</v>
      </c>
      <c r="E29" s="183">
        <v>9.4999999999999998E-3</v>
      </c>
      <c r="F29" s="86"/>
      <c r="G29" s="176"/>
      <c r="H29" s="127">
        <f t="shared" si="1"/>
        <v>0</v>
      </c>
      <c r="I29" s="86">
        <f t="shared" si="4"/>
        <v>0</v>
      </c>
      <c r="J29" s="86">
        <f t="shared" si="5"/>
        <v>55517.249499999998</v>
      </c>
      <c r="K29" s="153">
        <f t="shared" si="7"/>
        <v>0</v>
      </c>
      <c r="L29" s="5">
        <f t="shared" si="0"/>
        <v>55517.249499999998</v>
      </c>
      <c r="M29" s="9">
        <f t="shared" si="3"/>
        <v>58848.284469999999</v>
      </c>
    </row>
    <row r="30" spans="1:13" x14ac:dyDescent="0.25">
      <c r="A30" s="128" t="s">
        <v>183</v>
      </c>
      <c r="B30" s="6"/>
      <c r="C30" s="6" t="s">
        <v>125</v>
      </c>
      <c r="D30" s="128" t="s">
        <v>261</v>
      </c>
      <c r="E30" s="183">
        <v>1.6400000000000001E-2</v>
      </c>
      <c r="F30" s="86"/>
      <c r="G30" s="175"/>
      <c r="H30" s="126">
        <f t="shared" si="1"/>
        <v>0</v>
      </c>
      <c r="I30" s="86">
        <f t="shared" si="4"/>
        <v>0</v>
      </c>
      <c r="J30" s="86">
        <f t="shared" si="5"/>
        <v>95840.304400000008</v>
      </c>
      <c r="K30" s="153">
        <f t="shared" si="7"/>
        <v>0</v>
      </c>
      <c r="L30" s="5">
        <f t="shared" si="0"/>
        <v>95840.304400000008</v>
      </c>
      <c r="M30" s="9">
        <f t="shared" si="3"/>
        <v>101590.722664</v>
      </c>
    </row>
    <row r="31" spans="1:13" x14ac:dyDescent="0.25">
      <c r="A31" s="128" t="s">
        <v>184</v>
      </c>
      <c r="B31" s="6"/>
      <c r="C31" s="6" t="s">
        <v>126</v>
      </c>
      <c r="D31" s="128" t="s">
        <v>299</v>
      </c>
      <c r="E31" s="183">
        <v>7.1999999999999998E-3</v>
      </c>
      <c r="F31" s="86"/>
      <c r="G31" s="175"/>
      <c r="H31" s="126">
        <f t="shared" si="1"/>
        <v>0</v>
      </c>
      <c r="I31" s="86">
        <f t="shared" si="4"/>
        <v>0</v>
      </c>
      <c r="J31" s="86">
        <f t="shared" si="5"/>
        <v>42076.231200000002</v>
      </c>
      <c r="K31" s="153">
        <f t="shared" si="7"/>
        <v>0</v>
      </c>
      <c r="L31" s="5">
        <f t="shared" si="0"/>
        <v>42076.231200000002</v>
      </c>
      <c r="M31" s="9">
        <f t="shared" si="3"/>
        <v>44600.805072000003</v>
      </c>
    </row>
    <row r="32" spans="1:13" x14ac:dyDescent="0.25">
      <c r="A32" s="128" t="s">
        <v>183</v>
      </c>
      <c r="B32" s="6"/>
      <c r="C32" s="6" t="s">
        <v>127</v>
      </c>
      <c r="D32" s="128" t="s">
        <v>262</v>
      </c>
      <c r="E32" s="183">
        <v>1.7299999999999999E-2</v>
      </c>
      <c r="F32" s="86"/>
      <c r="G32" s="175"/>
      <c r="H32" s="126">
        <f t="shared" si="1"/>
        <v>0</v>
      </c>
      <c r="I32" s="86">
        <f t="shared" si="4"/>
        <v>0</v>
      </c>
      <c r="J32" s="86">
        <f t="shared" si="5"/>
        <v>101099.8333</v>
      </c>
      <c r="K32" s="153">
        <f t="shared" si="7"/>
        <v>0</v>
      </c>
      <c r="L32" s="5">
        <f t="shared" si="0"/>
        <v>101099.8333</v>
      </c>
      <c r="M32" s="9">
        <f t="shared" si="3"/>
        <v>107165.823298</v>
      </c>
    </row>
    <row r="33" spans="1:16" x14ac:dyDescent="0.25">
      <c r="A33" s="128" t="s">
        <v>185</v>
      </c>
      <c r="B33" s="6"/>
      <c r="C33" s="6" t="s">
        <v>128</v>
      </c>
      <c r="D33" s="128" t="s">
        <v>182</v>
      </c>
      <c r="E33" s="183">
        <v>9.4000000000000004E-3</v>
      </c>
      <c r="F33" s="86"/>
      <c r="G33" s="175"/>
      <c r="H33" s="126">
        <f t="shared" si="1"/>
        <v>0</v>
      </c>
      <c r="I33" s="86">
        <f t="shared" si="4"/>
        <v>0</v>
      </c>
      <c r="J33" s="86">
        <f t="shared" si="5"/>
        <v>54932.857400000001</v>
      </c>
      <c r="K33" s="153">
        <f t="shared" si="7"/>
        <v>0</v>
      </c>
      <c r="L33" s="5">
        <f t="shared" si="0"/>
        <v>54932.857400000001</v>
      </c>
      <c r="M33" s="9">
        <f t="shared" si="3"/>
        <v>58228.828844000003</v>
      </c>
    </row>
    <row r="34" spans="1:16" x14ac:dyDescent="0.25">
      <c r="A34" s="128" t="s">
        <v>185</v>
      </c>
      <c r="B34" s="6"/>
      <c r="C34" s="6" t="s">
        <v>129</v>
      </c>
      <c r="D34" s="128" t="s">
        <v>182</v>
      </c>
      <c r="E34" s="183">
        <v>8.6999999999999994E-3</v>
      </c>
      <c r="F34" s="86"/>
      <c r="G34" s="175"/>
      <c r="H34" s="126">
        <f t="shared" si="1"/>
        <v>0</v>
      </c>
      <c r="I34" s="86">
        <f t="shared" si="4"/>
        <v>0</v>
      </c>
      <c r="J34" s="86">
        <f t="shared" si="5"/>
        <v>50842.112699999998</v>
      </c>
      <c r="K34" s="153">
        <f t="shared" si="7"/>
        <v>0</v>
      </c>
      <c r="L34" s="5">
        <f t="shared" si="0"/>
        <v>50842.112699999998</v>
      </c>
      <c r="M34" s="9">
        <f t="shared" si="3"/>
        <v>53892.639461999999</v>
      </c>
    </row>
    <row r="35" spans="1:16" x14ac:dyDescent="0.25">
      <c r="A35" s="128" t="s">
        <v>185</v>
      </c>
      <c r="B35" s="6"/>
      <c r="C35" s="6" t="s">
        <v>130</v>
      </c>
      <c r="D35" s="128" t="s">
        <v>182</v>
      </c>
      <c r="E35" s="183">
        <v>9.4999999999999998E-3</v>
      </c>
      <c r="F35" s="9"/>
      <c r="G35" s="176"/>
      <c r="H35" s="126">
        <f t="shared" si="1"/>
        <v>0</v>
      </c>
      <c r="I35" s="86">
        <f t="shared" si="4"/>
        <v>0</v>
      </c>
      <c r="J35" s="86">
        <f t="shared" si="5"/>
        <v>55517.249499999998</v>
      </c>
      <c r="K35" s="153">
        <f t="shared" si="7"/>
        <v>0</v>
      </c>
      <c r="L35" s="5">
        <f t="shared" si="0"/>
        <v>55517.249499999998</v>
      </c>
      <c r="M35" s="9">
        <f t="shared" si="3"/>
        <v>58848.284469999999</v>
      </c>
    </row>
    <row r="36" spans="1:16" x14ac:dyDescent="0.25">
      <c r="A36" s="128" t="s">
        <v>183</v>
      </c>
      <c r="B36" s="6"/>
      <c r="C36" s="6" t="s">
        <v>131</v>
      </c>
      <c r="D36" s="128" t="s">
        <v>263</v>
      </c>
      <c r="E36" s="183">
        <v>1.6400000000000001E-2</v>
      </c>
      <c r="F36" s="86"/>
      <c r="G36" s="175"/>
      <c r="H36" s="126">
        <f t="shared" si="1"/>
        <v>0</v>
      </c>
      <c r="I36" s="86">
        <f t="shared" si="4"/>
        <v>0</v>
      </c>
      <c r="J36" s="86">
        <f t="shared" si="5"/>
        <v>95840.304400000008</v>
      </c>
      <c r="K36" s="153">
        <f t="shared" si="7"/>
        <v>0</v>
      </c>
      <c r="L36" s="5">
        <f t="shared" si="0"/>
        <v>95840.304400000008</v>
      </c>
      <c r="M36" s="9">
        <f t="shared" si="3"/>
        <v>101590.722664</v>
      </c>
    </row>
    <row r="37" spans="1:16" x14ac:dyDescent="0.25">
      <c r="A37" s="128" t="s">
        <v>184</v>
      </c>
      <c r="B37" s="6"/>
      <c r="C37" s="6" t="s">
        <v>132</v>
      </c>
      <c r="D37" s="128" t="s">
        <v>264</v>
      </c>
      <c r="E37" s="183">
        <v>7.1999999999999998E-3</v>
      </c>
      <c r="F37" s="86"/>
      <c r="G37" s="175"/>
      <c r="H37" s="126">
        <f t="shared" si="1"/>
        <v>0</v>
      </c>
      <c r="I37" s="86">
        <f t="shared" si="4"/>
        <v>0</v>
      </c>
      <c r="J37" s="86">
        <f t="shared" si="5"/>
        <v>42076.231200000002</v>
      </c>
      <c r="K37" s="153">
        <f t="shared" si="7"/>
        <v>0</v>
      </c>
      <c r="L37" s="5">
        <f t="shared" si="0"/>
        <v>42076.231200000002</v>
      </c>
      <c r="M37" s="9">
        <f t="shared" si="3"/>
        <v>44600.805072000003</v>
      </c>
    </row>
    <row r="38" spans="1:16" x14ac:dyDescent="0.25">
      <c r="A38" s="128" t="s">
        <v>183</v>
      </c>
      <c r="B38" s="6"/>
      <c r="C38" s="6" t="s">
        <v>133</v>
      </c>
      <c r="D38" s="128" t="s">
        <v>265</v>
      </c>
      <c r="E38" s="183">
        <v>1.7299999999999999E-2</v>
      </c>
      <c r="F38" s="86"/>
      <c r="G38" s="175"/>
      <c r="H38" s="126">
        <f t="shared" si="1"/>
        <v>0</v>
      </c>
      <c r="I38" s="86">
        <f t="shared" si="4"/>
        <v>0</v>
      </c>
      <c r="J38" s="86">
        <f t="shared" si="5"/>
        <v>101099.8333</v>
      </c>
      <c r="K38" s="153">
        <f t="shared" si="7"/>
        <v>0</v>
      </c>
      <c r="L38" s="5">
        <f t="shared" si="0"/>
        <v>101099.8333</v>
      </c>
      <c r="M38" s="9">
        <f t="shared" si="3"/>
        <v>107165.823298</v>
      </c>
    </row>
    <row r="39" spans="1:16" x14ac:dyDescent="0.25">
      <c r="A39" s="128" t="s">
        <v>185</v>
      </c>
      <c r="B39" s="6"/>
      <c r="C39" s="6" t="s">
        <v>134</v>
      </c>
      <c r="D39" s="128" t="s">
        <v>182</v>
      </c>
      <c r="E39" s="183">
        <v>9.4000000000000004E-3</v>
      </c>
      <c r="F39" s="86"/>
      <c r="G39" s="175"/>
      <c r="H39" s="126">
        <f t="shared" si="1"/>
        <v>0</v>
      </c>
      <c r="I39" s="86">
        <f t="shared" si="4"/>
        <v>0</v>
      </c>
      <c r="J39" s="86">
        <f t="shared" si="5"/>
        <v>54932.857400000001</v>
      </c>
      <c r="K39" s="153">
        <f t="shared" si="7"/>
        <v>0</v>
      </c>
      <c r="L39" s="5">
        <f t="shared" ref="L39:L70" si="8">J39+I39+H39+K39</f>
        <v>54932.857400000001</v>
      </c>
      <c r="M39" s="9">
        <f t="shared" si="3"/>
        <v>58228.828844000003</v>
      </c>
    </row>
    <row r="40" spans="1:16" x14ac:dyDescent="0.25">
      <c r="A40" s="128" t="s">
        <v>185</v>
      </c>
      <c r="B40" s="6"/>
      <c r="C40" s="6" t="s">
        <v>135</v>
      </c>
      <c r="D40" s="128" t="s">
        <v>255</v>
      </c>
      <c r="E40" s="183">
        <v>8.6999999999999994E-3</v>
      </c>
      <c r="F40" s="86"/>
      <c r="G40" s="175"/>
      <c r="H40" s="126">
        <f t="shared" si="1"/>
        <v>0</v>
      </c>
      <c r="I40" s="86">
        <f t="shared" si="4"/>
        <v>0</v>
      </c>
      <c r="J40" s="86">
        <f t="shared" si="5"/>
        <v>50842.112699999998</v>
      </c>
      <c r="K40" s="153">
        <f t="shared" si="7"/>
        <v>0</v>
      </c>
      <c r="L40" s="5">
        <f t="shared" si="8"/>
        <v>50842.112699999998</v>
      </c>
      <c r="M40" s="9">
        <f t="shared" si="3"/>
        <v>53892.639461999999</v>
      </c>
    </row>
    <row r="41" spans="1:16" x14ac:dyDescent="0.25">
      <c r="A41" s="128" t="s">
        <v>185</v>
      </c>
      <c r="B41" s="6"/>
      <c r="C41" s="6" t="s">
        <v>136</v>
      </c>
      <c r="D41" s="128" t="s">
        <v>266</v>
      </c>
      <c r="E41" s="183">
        <v>9.4999999999999998E-3</v>
      </c>
      <c r="F41" s="86"/>
      <c r="G41" s="175"/>
      <c r="H41" s="126">
        <f t="shared" si="1"/>
        <v>0</v>
      </c>
      <c r="I41" s="86">
        <f t="shared" si="4"/>
        <v>0</v>
      </c>
      <c r="J41" s="86">
        <f t="shared" si="5"/>
        <v>55517.249499999998</v>
      </c>
      <c r="K41" s="153">
        <f t="shared" si="7"/>
        <v>0</v>
      </c>
      <c r="L41" s="5">
        <f t="shared" si="8"/>
        <v>55517.249499999998</v>
      </c>
      <c r="M41" s="9">
        <f t="shared" si="3"/>
        <v>58848.284469999999</v>
      </c>
    </row>
    <row r="42" spans="1:16" x14ac:dyDescent="0.25">
      <c r="A42" s="128" t="s">
        <v>183</v>
      </c>
      <c r="B42" s="6"/>
      <c r="C42" s="6" t="s">
        <v>137</v>
      </c>
      <c r="D42" s="128" t="s">
        <v>267</v>
      </c>
      <c r="E42" s="183">
        <v>1.6400000000000001E-2</v>
      </c>
      <c r="F42" s="86"/>
      <c r="G42" s="175"/>
      <c r="H42" s="126">
        <f t="shared" si="1"/>
        <v>0</v>
      </c>
      <c r="I42" s="86">
        <f t="shared" si="4"/>
        <v>0</v>
      </c>
      <c r="J42" s="86">
        <f t="shared" si="5"/>
        <v>95840.304400000008</v>
      </c>
      <c r="K42" s="153">
        <f t="shared" si="7"/>
        <v>0</v>
      </c>
      <c r="L42" s="5">
        <f t="shared" si="8"/>
        <v>95840.304400000008</v>
      </c>
      <c r="M42" s="9">
        <f t="shared" si="3"/>
        <v>101590.722664</v>
      </c>
    </row>
    <row r="43" spans="1:16" x14ac:dyDescent="0.25">
      <c r="A43" s="128" t="s">
        <v>184</v>
      </c>
      <c r="B43" s="6"/>
      <c r="C43" s="6" t="s">
        <v>138</v>
      </c>
      <c r="D43" s="128" t="s">
        <v>268</v>
      </c>
      <c r="E43" s="183">
        <v>7.1999999999999998E-3</v>
      </c>
      <c r="F43" s="86"/>
      <c r="G43" s="175"/>
      <c r="H43" s="126">
        <f t="shared" si="1"/>
        <v>0</v>
      </c>
      <c r="I43" s="86">
        <f t="shared" si="4"/>
        <v>0</v>
      </c>
      <c r="J43" s="86">
        <f t="shared" si="5"/>
        <v>42076.231200000002</v>
      </c>
      <c r="K43" s="153">
        <f t="shared" si="7"/>
        <v>0</v>
      </c>
      <c r="L43" s="5">
        <f t="shared" si="8"/>
        <v>42076.231200000002</v>
      </c>
      <c r="M43" s="9">
        <f t="shared" si="3"/>
        <v>44600.805072000003</v>
      </c>
      <c r="O43" s="105"/>
    </row>
    <row r="44" spans="1:16" x14ac:dyDescent="0.25">
      <c r="A44" s="128" t="s">
        <v>183</v>
      </c>
      <c r="B44" s="6"/>
      <c r="C44" s="6" t="s">
        <v>139</v>
      </c>
      <c r="D44" s="128" t="s">
        <v>269</v>
      </c>
      <c r="E44" s="183">
        <v>1.7299999999999999E-2</v>
      </c>
      <c r="F44" s="86"/>
      <c r="G44" s="175"/>
      <c r="H44" s="126">
        <f t="shared" si="1"/>
        <v>0</v>
      </c>
      <c r="I44" s="86">
        <f t="shared" ref="I44:I75" si="9">L$4*E44</f>
        <v>0</v>
      </c>
      <c r="J44" s="86">
        <f t="shared" ref="J44:J75" si="10">L$2*E44</f>
        <v>101099.8333</v>
      </c>
      <c r="K44" s="153">
        <f t="shared" si="7"/>
        <v>0</v>
      </c>
      <c r="L44" s="5">
        <f t="shared" si="8"/>
        <v>101099.8333</v>
      </c>
      <c r="M44" s="9">
        <f t="shared" si="3"/>
        <v>107165.823298</v>
      </c>
      <c r="O44" s="105"/>
    </row>
    <row r="45" spans="1:16" x14ac:dyDescent="0.25">
      <c r="A45" s="128" t="s">
        <v>185</v>
      </c>
      <c r="B45" s="6"/>
      <c r="C45" s="6" t="s">
        <v>140</v>
      </c>
      <c r="D45" s="128" t="s">
        <v>270</v>
      </c>
      <c r="E45" s="183">
        <v>9.4000000000000004E-3</v>
      </c>
      <c r="F45" s="86"/>
      <c r="G45" s="175"/>
      <c r="H45" s="126">
        <f t="shared" si="1"/>
        <v>0</v>
      </c>
      <c r="I45" s="86">
        <f t="shared" si="9"/>
        <v>0</v>
      </c>
      <c r="J45" s="86">
        <f t="shared" si="10"/>
        <v>54932.857400000001</v>
      </c>
      <c r="K45" s="153">
        <f t="shared" si="7"/>
        <v>0</v>
      </c>
      <c r="L45" s="5">
        <f t="shared" si="8"/>
        <v>54932.857400000001</v>
      </c>
      <c r="M45" s="9">
        <f t="shared" si="3"/>
        <v>58228.828844000003</v>
      </c>
    </row>
    <row r="46" spans="1:16" x14ac:dyDescent="0.25">
      <c r="A46" s="128" t="s">
        <v>185</v>
      </c>
      <c r="B46" s="6"/>
      <c r="C46" s="6" t="s">
        <v>141</v>
      </c>
      <c r="D46" s="128" t="s">
        <v>300</v>
      </c>
      <c r="E46" s="183">
        <v>8.6999999999999994E-3</v>
      </c>
      <c r="F46" s="86"/>
      <c r="G46" s="175"/>
      <c r="H46" s="126">
        <f t="shared" si="1"/>
        <v>0</v>
      </c>
      <c r="I46" s="86">
        <f t="shared" si="9"/>
        <v>0</v>
      </c>
      <c r="J46" s="86">
        <f t="shared" si="10"/>
        <v>50842.112699999998</v>
      </c>
      <c r="K46" s="153">
        <f t="shared" si="7"/>
        <v>0</v>
      </c>
      <c r="L46" s="5">
        <f t="shared" si="8"/>
        <v>50842.112699999998</v>
      </c>
      <c r="M46" s="9">
        <f t="shared" si="3"/>
        <v>53892.639461999999</v>
      </c>
    </row>
    <row r="47" spans="1:16" x14ac:dyDescent="0.25">
      <c r="A47" s="128" t="s">
        <v>185</v>
      </c>
      <c r="B47" s="6"/>
      <c r="C47" s="6" t="s">
        <v>142</v>
      </c>
      <c r="D47" s="128" t="s">
        <v>271</v>
      </c>
      <c r="E47" s="183">
        <v>9.4999999999999998E-3</v>
      </c>
      <c r="F47" s="86"/>
      <c r="G47" s="175"/>
      <c r="H47" s="126">
        <f t="shared" si="1"/>
        <v>0</v>
      </c>
      <c r="I47" s="86">
        <f t="shared" si="9"/>
        <v>0</v>
      </c>
      <c r="J47" s="86">
        <f t="shared" si="10"/>
        <v>55517.249499999998</v>
      </c>
      <c r="K47" s="153">
        <f t="shared" si="7"/>
        <v>0</v>
      </c>
      <c r="L47" s="5">
        <f t="shared" si="8"/>
        <v>55517.249499999998</v>
      </c>
      <c r="M47" s="9">
        <f t="shared" si="3"/>
        <v>58848.284469999999</v>
      </c>
    </row>
    <row r="48" spans="1:16" x14ac:dyDescent="0.25">
      <c r="A48" s="128" t="s">
        <v>183</v>
      </c>
      <c r="B48" s="6"/>
      <c r="C48" s="6" t="s">
        <v>143</v>
      </c>
      <c r="D48" s="128" t="s">
        <v>267</v>
      </c>
      <c r="E48" s="183">
        <v>1.6400000000000001E-2</v>
      </c>
      <c r="F48" s="86"/>
      <c r="G48" s="175"/>
      <c r="H48" s="126">
        <f t="shared" si="1"/>
        <v>0</v>
      </c>
      <c r="I48" s="86">
        <f t="shared" si="9"/>
        <v>0</v>
      </c>
      <c r="J48" s="86">
        <f t="shared" si="10"/>
        <v>95840.304400000008</v>
      </c>
      <c r="K48" s="153">
        <f t="shared" si="7"/>
        <v>0</v>
      </c>
      <c r="L48" s="5">
        <f t="shared" si="8"/>
        <v>95840.304400000008</v>
      </c>
      <c r="M48" s="9">
        <f t="shared" si="3"/>
        <v>101590.722664</v>
      </c>
      <c r="N48" s="132"/>
      <c r="P48" s="130"/>
    </row>
    <row r="49" spans="1:13" x14ac:dyDescent="0.25">
      <c r="A49" s="128" t="s">
        <v>184</v>
      </c>
      <c r="B49" s="6"/>
      <c r="C49" s="6" t="s">
        <v>144</v>
      </c>
      <c r="D49" s="128" t="s">
        <v>272</v>
      </c>
      <c r="E49" s="183">
        <v>7.1999999999999998E-3</v>
      </c>
      <c r="F49" s="86"/>
      <c r="G49" s="175"/>
      <c r="H49" s="126">
        <f t="shared" si="1"/>
        <v>0</v>
      </c>
      <c r="I49" s="86">
        <f t="shared" si="9"/>
        <v>0</v>
      </c>
      <c r="J49" s="86">
        <f t="shared" si="10"/>
        <v>42076.231200000002</v>
      </c>
      <c r="K49" s="153">
        <f t="shared" si="7"/>
        <v>0</v>
      </c>
      <c r="L49" s="5">
        <f t="shared" si="8"/>
        <v>42076.231200000002</v>
      </c>
      <c r="M49" s="9">
        <f t="shared" si="3"/>
        <v>44600.805072000003</v>
      </c>
    </row>
    <row r="50" spans="1:13" x14ac:dyDescent="0.25">
      <c r="A50" s="128" t="s">
        <v>183</v>
      </c>
      <c r="B50" s="6"/>
      <c r="C50" s="6" t="s">
        <v>145</v>
      </c>
      <c r="D50" s="128" t="s">
        <v>273</v>
      </c>
      <c r="E50" s="183">
        <v>1.7299999999999999E-2</v>
      </c>
      <c r="F50" s="86"/>
      <c r="G50" s="175"/>
      <c r="H50" s="126">
        <f t="shared" si="1"/>
        <v>0</v>
      </c>
      <c r="I50" s="86">
        <f t="shared" si="9"/>
        <v>0</v>
      </c>
      <c r="J50" s="86">
        <f t="shared" si="10"/>
        <v>101099.8333</v>
      </c>
      <c r="K50" s="153">
        <f t="shared" si="7"/>
        <v>0</v>
      </c>
      <c r="L50" s="5">
        <f t="shared" si="8"/>
        <v>101099.8333</v>
      </c>
      <c r="M50" s="9">
        <f t="shared" si="3"/>
        <v>107165.823298</v>
      </c>
    </row>
    <row r="51" spans="1:13" x14ac:dyDescent="0.25">
      <c r="A51" s="128" t="s">
        <v>185</v>
      </c>
      <c r="B51" s="6"/>
      <c r="C51" s="6" t="s">
        <v>146</v>
      </c>
      <c r="D51" s="128" t="s">
        <v>274</v>
      </c>
      <c r="E51" s="183">
        <v>9.4000000000000004E-3</v>
      </c>
      <c r="F51" s="86"/>
      <c r="G51" s="175"/>
      <c r="H51" s="126">
        <f t="shared" si="1"/>
        <v>0</v>
      </c>
      <c r="I51" s="86">
        <f t="shared" si="9"/>
        <v>0</v>
      </c>
      <c r="J51" s="86">
        <f t="shared" si="10"/>
        <v>54932.857400000001</v>
      </c>
      <c r="K51" s="153">
        <f t="shared" si="7"/>
        <v>0</v>
      </c>
      <c r="L51" s="5">
        <f t="shared" si="8"/>
        <v>54932.857400000001</v>
      </c>
      <c r="M51" s="9">
        <f t="shared" si="3"/>
        <v>58228.828844000003</v>
      </c>
    </row>
    <row r="52" spans="1:13" x14ac:dyDescent="0.25">
      <c r="A52" s="128" t="s">
        <v>185</v>
      </c>
      <c r="B52" s="6"/>
      <c r="C52" s="6" t="s">
        <v>147</v>
      </c>
      <c r="D52" s="128" t="s">
        <v>182</v>
      </c>
      <c r="E52" s="183">
        <v>8.6999999999999994E-3</v>
      </c>
      <c r="F52" s="86"/>
      <c r="G52" s="175"/>
      <c r="H52" s="126">
        <f t="shared" si="1"/>
        <v>0</v>
      </c>
      <c r="I52" s="86">
        <f t="shared" si="9"/>
        <v>0</v>
      </c>
      <c r="J52" s="86">
        <f t="shared" si="10"/>
        <v>50842.112699999998</v>
      </c>
      <c r="K52" s="153">
        <f t="shared" si="7"/>
        <v>0</v>
      </c>
      <c r="L52" s="5">
        <f t="shared" si="8"/>
        <v>50842.112699999998</v>
      </c>
      <c r="M52" s="9">
        <f t="shared" si="3"/>
        <v>53892.639461999999</v>
      </c>
    </row>
    <row r="53" spans="1:13" x14ac:dyDescent="0.25">
      <c r="A53" s="128" t="s">
        <v>185</v>
      </c>
      <c r="B53" s="6"/>
      <c r="C53" s="6" t="s">
        <v>148</v>
      </c>
      <c r="D53" s="128" t="s">
        <v>275</v>
      </c>
      <c r="E53" s="183">
        <v>9.4999999999999998E-3</v>
      </c>
      <c r="F53" s="86"/>
      <c r="G53" s="175"/>
      <c r="H53" s="126">
        <f t="shared" si="1"/>
        <v>0</v>
      </c>
      <c r="I53" s="86">
        <f t="shared" si="9"/>
        <v>0</v>
      </c>
      <c r="J53" s="86">
        <f t="shared" si="10"/>
        <v>55517.249499999998</v>
      </c>
      <c r="K53" s="153">
        <f t="shared" si="7"/>
        <v>0</v>
      </c>
      <c r="L53" s="5">
        <f t="shared" si="8"/>
        <v>55517.249499999998</v>
      </c>
      <c r="M53" s="9">
        <f t="shared" si="3"/>
        <v>58848.284469999999</v>
      </c>
    </row>
    <row r="54" spans="1:13" x14ac:dyDescent="0.25">
      <c r="A54" s="128" t="s">
        <v>183</v>
      </c>
      <c r="B54" s="6"/>
      <c r="C54" s="6" t="s">
        <v>149</v>
      </c>
      <c r="D54" s="128" t="s">
        <v>276</v>
      </c>
      <c r="E54" s="183">
        <v>1.6400000000000001E-2</v>
      </c>
      <c r="F54" s="86"/>
      <c r="G54" s="175"/>
      <c r="H54" s="126">
        <f t="shared" si="1"/>
        <v>0</v>
      </c>
      <c r="I54" s="86">
        <f t="shared" si="9"/>
        <v>0</v>
      </c>
      <c r="J54" s="86">
        <f t="shared" si="10"/>
        <v>95840.304400000008</v>
      </c>
      <c r="K54" s="153">
        <f t="shared" si="7"/>
        <v>0</v>
      </c>
      <c r="L54" s="5">
        <f t="shared" si="8"/>
        <v>95840.304400000008</v>
      </c>
      <c r="M54" s="9">
        <f t="shared" si="3"/>
        <v>101590.722664</v>
      </c>
    </row>
    <row r="55" spans="1:13" x14ac:dyDescent="0.25">
      <c r="A55" s="128" t="s">
        <v>184</v>
      </c>
      <c r="B55" s="6"/>
      <c r="C55" s="6" t="s">
        <v>150</v>
      </c>
      <c r="D55" s="128" t="s">
        <v>276</v>
      </c>
      <c r="E55" s="183">
        <v>7.1999999999999998E-3</v>
      </c>
      <c r="F55" s="86"/>
      <c r="G55" s="175"/>
      <c r="H55" s="126">
        <f t="shared" si="1"/>
        <v>0</v>
      </c>
      <c r="I55" s="86">
        <f t="shared" si="9"/>
        <v>0</v>
      </c>
      <c r="J55" s="86">
        <f t="shared" si="10"/>
        <v>42076.231200000002</v>
      </c>
      <c r="K55" s="153">
        <f t="shared" si="7"/>
        <v>0</v>
      </c>
      <c r="L55" s="5">
        <f t="shared" si="8"/>
        <v>42076.231200000002</v>
      </c>
      <c r="M55" s="9">
        <f t="shared" si="3"/>
        <v>44600.805072000003</v>
      </c>
    </row>
    <row r="56" spans="1:13" x14ac:dyDescent="0.25">
      <c r="A56" s="128" t="s">
        <v>183</v>
      </c>
      <c r="B56" s="6"/>
      <c r="C56" s="6" t="s">
        <v>151</v>
      </c>
      <c r="D56" s="128" t="s">
        <v>277</v>
      </c>
      <c r="E56" s="183">
        <v>1.7299999999999999E-2</v>
      </c>
      <c r="F56" s="86"/>
      <c r="G56" s="175"/>
      <c r="H56" s="126">
        <f t="shared" si="1"/>
        <v>0</v>
      </c>
      <c r="I56" s="86">
        <f t="shared" si="9"/>
        <v>0</v>
      </c>
      <c r="J56" s="86">
        <f t="shared" si="10"/>
        <v>101099.8333</v>
      </c>
      <c r="K56" s="153">
        <f t="shared" ref="K56:K87" si="11">I$3*E56%+I$4</f>
        <v>0</v>
      </c>
      <c r="L56" s="5">
        <f t="shared" si="8"/>
        <v>101099.8333</v>
      </c>
      <c r="M56" s="9">
        <f t="shared" si="3"/>
        <v>107165.823298</v>
      </c>
    </row>
    <row r="57" spans="1:13" x14ac:dyDescent="0.25">
      <c r="A57" s="128" t="s">
        <v>185</v>
      </c>
      <c r="B57" s="6"/>
      <c r="C57" s="6" t="s">
        <v>152</v>
      </c>
      <c r="D57" s="128" t="s">
        <v>278</v>
      </c>
      <c r="E57" s="183">
        <v>9.4000000000000004E-3</v>
      </c>
      <c r="F57" s="86"/>
      <c r="G57" s="175"/>
      <c r="H57" s="126">
        <f t="shared" si="1"/>
        <v>0</v>
      </c>
      <c r="I57" s="86">
        <f t="shared" si="9"/>
        <v>0</v>
      </c>
      <c r="J57" s="86">
        <f t="shared" si="10"/>
        <v>54932.857400000001</v>
      </c>
      <c r="K57" s="153">
        <f t="shared" si="11"/>
        <v>0</v>
      </c>
      <c r="L57" s="5">
        <f t="shared" si="8"/>
        <v>54932.857400000001</v>
      </c>
      <c r="M57" s="9">
        <f t="shared" si="3"/>
        <v>58228.828844000003</v>
      </c>
    </row>
    <row r="58" spans="1:13" x14ac:dyDescent="0.25">
      <c r="A58" s="128" t="s">
        <v>185</v>
      </c>
      <c r="B58" s="6"/>
      <c r="C58" s="6" t="s">
        <v>153</v>
      </c>
      <c r="D58" s="128" t="s">
        <v>255</v>
      </c>
      <c r="E58" s="183">
        <v>8.6999999999999994E-3</v>
      </c>
      <c r="F58" s="86"/>
      <c r="G58" s="175"/>
      <c r="H58" s="126">
        <f t="shared" si="1"/>
        <v>0</v>
      </c>
      <c r="I58" s="86">
        <f t="shared" si="9"/>
        <v>0</v>
      </c>
      <c r="J58" s="86">
        <f t="shared" si="10"/>
        <v>50842.112699999998</v>
      </c>
      <c r="K58" s="153">
        <f t="shared" si="11"/>
        <v>0</v>
      </c>
      <c r="L58" s="5">
        <f t="shared" si="8"/>
        <v>50842.112699999998</v>
      </c>
      <c r="M58" s="9">
        <f t="shared" si="3"/>
        <v>53892.639461999999</v>
      </c>
    </row>
    <row r="59" spans="1:13" x14ac:dyDescent="0.25">
      <c r="A59" s="128" t="s">
        <v>185</v>
      </c>
      <c r="B59" s="6"/>
      <c r="C59" s="6" t="s">
        <v>154</v>
      </c>
      <c r="D59" s="128" t="s">
        <v>279</v>
      </c>
      <c r="E59" s="183">
        <v>9.4999999999999998E-3</v>
      </c>
      <c r="F59" s="86"/>
      <c r="G59" s="175"/>
      <c r="H59" s="126">
        <f t="shared" si="1"/>
        <v>0</v>
      </c>
      <c r="I59" s="86">
        <f t="shared" si="9"/>
        <v>0</v>
      </c>
      <c r="J59" s="86">
        <f t="shared" si="10"/>
        <v>55517.249499999998</v>
      </c>
      <c r="K59" s="153">
        <f t="shared" si="11"/>
        <v>0</v>
      </c>
      <c r="L59" s="5">
        <f t="shared" si="8"/>
        <v>55517.249499999998</v>
      </c>
      <c r="M59" s="9">
        <f t="shared" si="3"/>
        <v>58848.284469999999</v>
      </c>
    </row>
    <row r="60" spans="1:13" x14ac:dyDescent="0.25">
      <c r="A60" s="128" t="s">
        <v>183</v>
      </c>
      <c r="B60" s="6"/>
      <c r="C60" s="6" t="s">
        <v>155</v>
      </c>
      <c r="D60" s="128" t="s">
        <v>280</v>
      </c>
      <c r="E60" s="183">
        <v>1.6400000000000001E-2</v>
      </c>
      <c r="F60" s="86"/>
      <c r="G60" s="175"/>
      <c r="H60" s="126">
        <f t="shared" si="1"/>
        <v>0</v>
      </c>
      <c r="I60" s="86">
        <f t="shared" si="9"/>
        <v>0</v>
      </c>
      <c r="J60" s="86">
        <f t="shared" si="10"/>
        <v>95840.304400000008</v>
      </c>
      <c r="K60" s="153">
        <f t="shared" si="11"/>
        <v>0</v>
      </c>
      <c r="L60" s="5">
        <f t="shared" si="8"/>
        <v>95840.304400000008</v>
      </c>
      <c r="M60" s="9">
        <f t="shared" si="3"/>
        <v>101590.722664</v>
      </c>
    </row>
    <row r="61" spans="1:13" x14ac:dyDescent="0.25">
      <c r="A61" s="128" t="s">
        <v>184</v>
      </c>
      <c r="B61" s="6"/>
      <c r="C61" s="6" t="s">
        <v>156</v>
      </c>
      <c r="D61" s="128" t="s">
        <v>281</v>
      </c>
      <c r="E61" s="183">
        <v>7.1999999999999998E-3</v>
      </c>
      <c r="F61" s="86"/>
      <c r="G61" s="175"/>
      <c r="H61" s="126">
        <f t="shared" si="1"/>
        <v>0</v>
      </c>
      <c r="I61" s="86">
        <f t="shared" si="9"/>
        <v>0</v>
      </c>
      <c r="J61" s="86">
        <f t="shared" si="10"/>
        <v>42076.231200000002</v>
      </c>
      <c r="K61" s="153">
        <f t="shared" si="11"/>
        <v>0</v>
      </c>
      <c r="L61" s="5">
        <f t="shared" si="8"/>
        <v>42076.231200000002</v>
      </c>
      <c r="M61" s="9">
        <f t="shared" si="3"/>
        <v>44600.805072000003</v>
      </c>
    </row>
    <row r="62" spans="1:13" x14ac:dyDescent="0.25">
      <c r="A62" s="128" t="s">
        <v>183</v>
      </c>
      <c r="B62" s="6"/>
      <c r="C62" s="6" t="s">
        <v>157</v>
      </c>
      <c r="D62" s="128" t="s">
        <v>282</v>
      </c>
      <c r="E62" s="183">
        <v>1.7299999999999999E-2</v>
      </c>
      <c r="F62" s="86"/>
      <c r="G62" s="175"/>
      <c r="H62" s="126">
        <f t="shared" si="1"/>
        <v>0</v>
      </c>
      <c r="I62" s="86">
        <f t="shared" si="9"/>
        <v>0</v>
      </c>
      <c r="J62" s="86">
        <f t="shared" si="10"/>
        <v>101099.8333</v>
      </c>
      <c r="K62" s="153">
        <f t="shared" si="11"/>
        <v>0</v>
      </c>
      <c r="L62" s="5">
        <f t="shared" si="8"/>
        <v>101099.8333</v>
      </c>
      <c r="M62" s="9">
        <f t="shared" si="3"/>
        <v>107165.823298</v>
      </c>
    </row>
    <row r="63" spans="1:13" x14ac:dyDescent="0.25">
      <c r="A63" s="128" t="s">
        <v>185</v>
      </c>
      <c r="B63" s="6"/>
      <c r="C63" s="6" t="s">
        <v>158</v>
      </c>
      <c r="D63" s="128" t="s">
        <v>283</v>
      </c>
      <c r="E63" s="183">
        <v>9.4000000000000004E-3</v>
      </c>
      <c r="F63" s="86"/>
      <c r="G63" s="175"/>
      <c r="H63" s="126">
        <f t="shared" si="1"/>
        <v>0</v>
      </c>
      <c r="I63" s="86">
        <f t="shared" si="9"/>
        <v>0</v>
      </c>
      <c r="J63" s="86">
        <f t="shared" si="10"/>
        <v>54932.857400000001</v>
      </c>
      <c r="K63" s="153">
        <f t="shared" si="11"/>
        <v>0</v>
      </c>
      <c r="L63" s="5">
        <f t="shared" si="8"/>
        <v>54932.857400000001</v>
      </c>
      <c r="M63" s="9">
        <f t="shared" si="3"/>
        <v>58228.828844000003</v>
      </c>
    </row>
    <row r="64" spans="1:13" x14ac:dyDescent="0.25">
      <c r="A64" s="128" t="s">
        <v>185</v>
      </c>
      <c r="B64" s="6"/>
      <c r="C64" s="6" t="s">
        <v>159</v>
      </c>
      <c r="D64" s="128" t="s">
        <v>182</v>
      </c>
      <c r="E64" s="183">
        <v>8.6999999999999994E-3</v>
      </c>
      <c r="F64" s="86"/>
      <c r="G64" s="175"/>
      <c r="H64" s="126">
        <f t="shared" si="1"/>
        <v>0</v>
      </c>
      <c r="I64" s="86">
        <f t="shared" si="9"/>
        <v>0</v>
      </c>
      <c r="J64" s="86">
        <f t="shared" si="10"/>
        <v>50842.112699999998</v>
      </c>
      <c r="K64" s="153">
        <f t="shared" si="11"/>
        <v>0</v>
      </c>
      <c r="L64" s="5">
        <f t="shared" si="8"/>
        <v>50842.112699999998</v>
      </c>
      <c r="M64" s="9">
        <f t="shared" si="3"/>
        <v>53892.639461999999</v>
      </c>
    </row>
    <row r="65" spans="1:13" x14ac:dyDescent="0.25">
      <c r="A65" s="128" t="s">
        <v>185</v>
      </c>
      <c r="B65" s="6"/>
      <c r="C65" s="6" t="s">
        <v>160</v>
      </c>
      <c r="D65" s="128" t="s">
        <v>284</v>
      </c>
      <c r="E65" s="183">
        <v>9.4999999999999998E-3</v>
      </c>
      <c r="F65" s="86"/>
      <c r="G65" s="175"/>
      <c r="H65" s="126">
        <f t="shared" si="1"/>
        <v>0</v>
      </c>
      <c r="I65" s="86">
        <f t="shared" si="9"/>
        <v>0</v>
      </c>
      <c r="J65" s="86">
        <f t="shared" si="10"/>
        <v>55517.249499999998</v>
      </c>
      <c r="K65" s="153">
        <f t="shared" si="11"/>
        <v>0</v>
      </c>
      <c r="L65" s="5">
        <f t="shared" si="8"/>
        <v>55517.249499999998</v>
      </c>
      <c r="M65" s="9">
        <f t="shared" si="3"/>
        <v>58848.284469999999</v>
      </c>
    </row>
    <row r="66" spans="1:13" x14ac:dyDescent="0.25">
      <c r="A66" s="128" t="s">
        <v>186</v>
      </c>
      <c r="B66" s="6"/>
      <c r="C66" s="6" t="s">
        <v>161</v>
      </c>
      <c r="D66" s="128" t="s">
        <v>285</v>
      </c>
      <c r="E66" s="183">
        <v>2.35E-2</v>
      </c>
      <c r="F66" s="86"/>
      <c r="G66" s="175"/>
      <c r="H66" s="126">
        <f t="shared" si="1"/>
        <v>0</v>
      </c>
      <c r="I66" s="86">
        <f t="shared" si="9"/>
        <v>0</v>
      </c>
      <c r="J66" s="86">
        <f t="shared" si="10"/>
        <v>137332.14350000001</v>
      </c>
      <c r="K66" s="153">
        <f t="shared" si="11"/>
        <v>0</v>
      </c>
      <c r="L66" s="5">
        <f t="shared" si="8"/>
        <v>137332.14350000001</v>
      </c>
      <c r="M66" s="9">
        <f t="shared" si="3"/>
        <v>145572.07211000001</v>
      </c>
    </row>
    <row r="67" spans="1:13" x14ac:dyDescent="0.25">
      <c r="A67" s="128" t="s">
        <v>183</v>
      </c>
      <c r="B67" s="6"/>
      <c r="C67" s="6" t="s">
        <v>162</v>
      </c>
      <c r="D67" s="128" t="s">
        <v>286</v>
      </c>
      <c r="E67" s="183">
        <v>1.7299999999999999E-2</v>
      </c>
      <c r="F67" s="86"/>
      <c r="G67" s="175"/>
      <c r="H67" s="126">
        <f t="shared" si="1"/>
        <v>0</v>
      </c>
      <c r="I67" s="86">
        <f t="shared" si="9"/>
        <v>0</v>
      </c>
      <c r="J67" s="86">
        <f t="shared" si="10"/>
        <v>101099.8333</v>
      </c>
      <c r="K67" s="153">
        <f t="shared" si="11"/>
        <v>0</v>
      </c>
      <c r="L67" s="5">
        <f t="shared" si="8"/>
        <v>101099.8333</v>
      </c>
      <c r="M67" s="9">
        <f t="shared" si="3"/>
        <v>107165.823298</v>
      </c>
    </row>
    <row r="68" spans="1:13" x14ac:dyDescent="0.25">
      <c r="A68" s="128" t="s">
        <v>185</v>
      </c>
      <c r="B68" s="6"/>
      <c r="C68" s="6" t="s">
        <v>163</v>
      </c>
      <c r="D68" s="128" t="s">
        <v>287</v>
      </c>
      <c r="E68" s="183">
        <v>9.4000000000000004E-3</v>
      </c>
      <c r="F68" s="86"/>
      <c r="G68" s="175"/>
      <c r="H68" s="126">
        <f t="shared" si="1"/>
        <v>0</v>
      </c>
      <c r="I68" s="86">
        <f t="shared" si="9"/>
        <v>0</v>
      </c>
      <c r="J68" s="86">
        <f t="shared" si="10"/>
        <v>54932.857400000001</v>
      </c>
      <c r="K68" s="153">
        <f t="shared" si="11"/>
        <v>0</v>
      </c>
      <c r="L68" s="5">
        <f t="shared" si="8"/>
        <v>54932.857400000001</v>
      </c>
      <c r="M68" s="9">
        <f t="shared" si="3"/>
        <v>58228.828844000003</v>
      </c>
    </row>
    <row r="69" spans="1:13" x14ac:dyDescent="0.25">
      <c r="A69" s="128" t="s">
        <v>185</v>
      </c>
      <c r="B69" s="6"/>
      <c r="C69" s="6" t="s">
        <v>164</v>
      </c>
      <c r="D69" s="128" t="s">
        <v>288</v>
      </c>
      <c r="E69" s="183">
        <v>8.6999999999999994E-3</v>
      </c>
      <c r="F69" s="86"/>
      <c r="G69" s="175"/>
      <c r="H69" s="126">
        <f t="shared" si="1"/>
        <v>0</v>
      </c>
      <c r="I69" s="86">
        <f t="shared" si="9"/>
        <v>0</v>
      </c>
      <c r="J69" s="86">
        <f t="shared" si="10"/>
        <v>50842.112699999998</v>
      </c>
      <c r="K69" s="153">
        <f t="shared" si="11"/>
        <v>0</v>
      </c>
      <c r="L69" s="5">
        <f t="shared" si="8"/>
        <v>50842.112699999998</v>
      </c>
      <c r="M69" s="9">
        <f t="shared" si="3"/>
        <v>53892.639461999999</v>
      </c>
    </row>
    <row r="70" spans="1:13" x14ac:dyDescent="0.25">
      <c r="A70" s="128" t="s">
        <v>185</v>
      </c>
      <c r="B70" s="6"/>
      <c r="C70" s="6" t="s">
        <v>165</v>
      </c>
      <c r="D70" s="128" t="s">
        <v>289</v>
      </c>
      <c r="E70" s="183">
        <v>9.4999999999999998E-3</v>
      </c>
      <c r="F70" s="86"/>
      <c r="G70" s="175"/>
      <c r="H70" s="126">
        <f t="shared" si="1"/>
        <v>0</v>
      </c>
      <c r="I70" s="86">
        <f t="shared" si="9"/>
        <v>0</v>
      </c>
      <c r="J70" s="86">
        <f t="shared" si="10"/>
        <v>55517.249499999998</v>
      </c>
      <c r="K70" s="153">
        <f t="shared" si="11"/>
        <v>0</v>
      </c>
      <c r="L70" s="5">
        <f t="shared" si="8"/>
        <v>55517.249499999998</v>
      </c>
      <c r="M70" s="9">
        <f t="shared" si="3"/>
        <v>58848.284469999999</v>
      </c>
    </row>
    <row r="71" spans="1:13" x14ac:dyDescent="0.25">
      <c r="A71" s="128" t="s">
        <v>186</v>
      </c>
      <c r="B71" s="6"/>
      <c r="C71" s="6" t="s">
        <v>166</v>
      </c>
      <c r="D71" s="128" t="s">
        <v>290</v>
      </c>
      <c r="E71" s="183">
        <v>2.35E-2</v>
      </c>
      <c r="F71" s="86"/>
      <c r="G71" s="175"/>
      <c r="H71" s="126">
        <f t="shared" si="1"/>
        <v>0</v>
      </c>
      <c r="I71" s="86">
        <f t="shared" si="9"/>
        <v>0</v>
      </c>
      <c r="J71" s="86">
        <f t="shared" si="10"/>
        <v>137332.14350000001</v>
      </c>
      <c r="K71" s="153">
        <f t="shared" si="11"/>
        <v>0</v>
      </c>
      <c r="L71" s="5">
        <f t="shared" ref="L71:L102" si="12">J71+I71+H71+K71</f>
        <v>137332.14350000001</v>
      </c>
      <c r="M71" s="9">
        <f t="shared" si="3"/>
        <v>145572.07211000001</v>
      </c>
    </row>
    <row r="72" spans="1:13" x14ac:dyDescent="0.25">
      <c r="A72" s="128" t="s">
        <v>183</v>
      </c>
      <c r="B72" s="6"/>
      <c r="C72" s="6" t="s">
        <v>167</v>
      </c>
      <c r="D72" s="128" t="s">
        <v>291</v>
      </c>
      <c r="E72" s="183">
        <v>1.7299999999999999E-2</v>
      </c>
      <c r="F72" s="86"/>
      <c r="G72" s="175"/>
      <c r="H72" s="126">
        <f t="shared" si="1"/>
        <v>0</v>
      </c>
      <c r="I72" s="86">
        <f t="shared" si="9"/>
        <v>0</v>
      </c>
      <c r="J72" s="86">
        <f t="shared" si="10"/>
        <v>101099.8333</v>
      </c>
      <c r="K72" s="153">
        <f t="shared" si="11"/>
        <v>0</v>
      </c>
      <c r="L72" s="5">
        <f t="shared" si="12"/>
        <v>101099.8333</v>
      </c>
      <c r="M72" s="9">
        <f t="shared" si="3"/>
        <v>107165.823298</v>
      </c>
    </row>
    <row r="73" spans="1:13" x14ac:dyDescent="0.25">
      <c r="A73" s="128" t="s">
        <v>185</v>
      </c>
      <c r="B73" s="6"/>
      <c r="C73" s="6" t="s">
        <v>168</v>
      </c>
      <c r="D73" s="128" t="s">
        <v>292</v>
      </c>
      <c r="E73" s="183">
        <v>9.4000000000000004E-3</v>
      </c>
      <c r="F73" s="86"/>
      <c r="G73" s="175"/>
      <c r="H73" s="126">
        <f t="shared" si="1"/>
        <v>0</v>
      </c>
      <c r="I73" s="86">
        <f t="shared" si="9"/>
        <v>0</v>
      </c>
      <c r="J73" s="86">
        <f t="shared" si="10"/>
        <v>54932.857400000001</v>
      </c>
      <c r="K73" s="153">
        <f t="shared" si="11"/>
        <v>0</v>
      </c>
      <c r="L73" s="5">
        <f t="shared" si="12"/>
        <v>54932.857400000001</v>
      </c>
      <c r="M73" s="9">
        <f t="shared" si="3"/>
        <v>58228.828844000003</v>
      </c>
    </row>
    <row r="74" spans="1:13" x14ac:dyDescent="0.25">
      <c r="A74" s="128" t="s">
        <v>185</v>
      </c>
      <c r="B74" s="6"/>
      <c r="C74" s="6" t="s">
        <v>169</v>
      </c>
      <c r="D74" s="128" t="s">
        <v>293</v>
      </c>
      <c r="E74" s="183">
        <v>8.6999999999999994E-3</v>
      </c>
      <c r="F74" s="86"/>
      <c r="G74" s="175"/>
      <c r="H74" s="126">
        <f t="shared" si="1"/>
        <v>0</v>
      </c>
      <c r="I74" s="86">
        <f t="shared" si="9"/>
        <v>0</v>
      </c>
      <c r="J74" s="86">
        <f t="shared" si="10"/>
        <v>50842.112699999998</v>
      </c>
      <c r="K74" s="153">
        <f t="shared" si="11"/>
        <v>0</v>
      </c>
      <c r="L74" s="5">
        <f t="shared" si="12"/>
        <v>50842.112699999998</v>
      </c>
      <c r="M74" s="9">
        <f t="shared" si="3"/>
        <v>53892.639461999999</v>
      </c>
    </row>
    <row r="75" spans="1:13" x14ac:dyDescent="0.25">
      <c r="A75" s="128" t="s">
        <v>185</v>
      </c>
      <c r="B75" s="6"/>
      <c r="C75" s="6" t="s">
        <v>170</v>
      </c>
      <c r="D75" s="128" t="s">
        <v>294</v>
      </c>
      <c r="E75" s="183">
        <v>9.4999999999999998E-3</v>
      </c>
      <c r="F75" s="86"/>
      <c r="G75" s="175"/>
      <c r="H75" s="126">
        <f t="shared" si="1"/>
        <v>0</v>
      </c>
      <c r="I75" s="86">
        <f t="shared" si="9"/>
        <v>0</v>
      </c>
      <c r="J75" s="86">
        <f t="shared" si="10"/>
        <v>55517.249499999998</v>
      </c>
      <c r="K75" s="153">
        <f t="shared" si="11"/>
        <v>0</v>
      </c>
      <c r="L75" s="5">
        <f t="shared" si="12"/>
        <v>55517.249499999998</v>
      </c>
      <c r="M75" s="9">
        <f t="shared" si="3"/>
        <v>58848.284469999999</v>
      </c>
    </row>
    <row r="76" spans="1:13" x14ac:dyDescent="0.25">
      <c r="A76" s="128" t="s">
        <v>186</v>
      </c>
      <c r="B76" s="6"/>
      <c r="C76" s="6" t="s">
        <v>171</v>
      </c>
      <c r="D76" s="128" t="s">
        <v>182</v>
      </c>
      <c r="E76" s="183">
        <v>2.35E-2</v>
      </c>
      <c r="F76" s="86"/>
      <c r="G76" s="175"/>
      <c r="H76" s="126">
        <f t="shared" si="1"/>
        <v>0</v>
      </c>
      <c r="I76" s="86">
        <f t="shared" ref="I76:I107" si="13">L$4*E76</f>
        <v>0</v>
      </c>
      <c r="J76" s="86">
        <f t="shared" ref="J76:J107" si="14">L$2*E76</f>
        <v>137332.14350000001</v>
      </c>
      <c r="K76" s="153">
        <f t="shared" si="11"/>
        <v>0</v>
      </c>
      <c r="L76" s="5">
        <f t="shared" si="12"/>
        <v>137332.14350000001</v>
      </c>
      <c r="M76" s="9">
        <f t="shared" si="3"/>
        <v>145572.07211000001</v>
      </c>
    </row>
    <row r="77" spans="1:13" x14ac:dyDescent="0.25">
      <c r="A77" s="128" t="s">
        <v>183</v>
      </c>
      <c r="B77" s="6"/>
      <c r="C77" s="6" t="s">
        <v>172</v>
      </c>
      <c r="D77" s="128" t="s">
        <v>295</v>
      </c>
      <c r="E77" s="183">
        <v>1.7299999999999999E-2</v>
      </c>
      <c r="F77" s="86"/>
      <c r="G77" s="175"/>
      <c r="H77" s="126">
        <f t="shared" si="1"/>
        <v>0</v>
      </c>
      <c r="I77" s="86">
        <f t="shared" si="13"/>
        <v>0</v>
      </c>
      <c r="J77" s="86">
        <f t="shared" si="14"/>
        <v>101099.8333</v>
      </c>
      <c r="K77" s="153">
        <f t="shared" si="11"/>
        <v>0</v>
      </c>
      <c r="L77" s="5">
        <f t="shared" si="12"/>
        <v>101099.8333</v>
      </c>
      <c r="M77" s="9">
        <f t="shared" si="3"/>
        <v>107165.823298</v>
      </c>
    </row>
    <row r="78" spans="1:13" x14ac:dyDescent="0.25">
      <c r="A78" s="128" t="s">
        <v>185</v>
      </c>
      <c r="B78" s="6"/>
      <c r="C78" s="6" t="s">
        <v>173</v>
      </c>
      <c r="D78" s="128" t="s">
        <v>296</v>
      </c>
      <c r="E78" s="183">
        <v>9.4000000000000004E-3</v>
      </c>
      <c r="F78" s="86"/>
      <c r="G78" s="175"/>
      <c r="H78" s="126">
        <f t="shared" si="1"/>
        <v>0</v>
      </c>
      <c r="I78" s="86">
        <f t="shared" si="13"/>
        <v>0</v>
      </c>
      <c r="J78" s="86">
        <f t="shared" si="14"/>
        <v>54932.857400000001</v>
      </c>
      <c r="K78" s="153">
        <f t="shared" si="11"/>
        <v>0</v>
      </c>
      <c r="L78" s="5">
        <f t="shared" si="12"/>
        <v>54932.857400000001</v>
      </c>
      <c r="M78" s="9">
        <f t="shared" si="3"/>
        <v>58228.828844000003</v>
      </c>
    </row>
    <row r="79" spans="1:13" x14ac:dyDescent="0.25">
      <c r="A79" s="128" t="s">
        <v>185</v>
      </c>
      <c r="B79" s="6"/>
      <c r="C79" s="6" t="s">
        <v>174</v>
      </c>
      <c r="D79" s="128" t="s">
        <v>297</v>
      </c>
      <c r="E79" s="183">
        <v>8.6999999999999994E-3</v>
      </c>
      <c r="F79" s="86"/>
      <c r="G79" s="175"/>
      <c r="H79" s="126">
        <f t="shared" si="1"/>
        <v>0</v>
      </c>
      <c r="I79" s="86">
        <f t="shared" si="13"/>
        <v>0</v>
      </c>
      <c r="J79" s="86">
        <f t="shared" si="14"/>
        <v>50842.112699999998</v>
      </c>
      <c r="K79" s="153">
        <f t="shared" si="11"/>
        <v>0</v>
      </c>
      <c r="L79" s="5">
        <f t="shared" si="12"/>
        <v>50842.112699999998</v>
      </c>
      <c r="M79" s="9">
        <f t="shared" si="3"/>
        <v>53892.639461999999</v>
      </c>
    </row>
    <row r="80" spans="1:13" x14ac:dyDescent="0.25">
      <c r="A80" s="128" t="s">
        <v>185</v>
      </c>
      <c r="B80" s="6"/>
      <c r="C80" s="6" t="s">
        <v>175</v>
      </c>
      <c r="D80" s="128" t="s">
        <v>298</v>
      </c>
      <c r="E80" s="183">
        <v>9.4999999999999998E-3</v>
      </c>
      <c r="F80" s="86"/>
      <c r="G80" s="175"/>
      <c r="H80" s="126">
        <f t="shared" si="1"/>
        <v>0</v>
      </c>
      <c r="I80" s="86">
        <f t="shared" si="13"/>
        <v>0</v>
      </c>
      <c r="J80" s="86">
        <f t="shared" si="14"/>
        <v>55517.249499999998</v>
      </c>
      <c r="K80" s="153">
        <f t="shared" si="11"/>
        <v>0</v>
      </c>
      <c r="L80" s="5">
        <f t="shared" si="12"/>
        <v>55517.249499999998</v>
      </c>
      <c r="M80" s="9">
        <f t="shared" si="3"/>
        <v>58848.284469999999</v>
      </c>
    </row>
    <row r="81" spans="1:13" x14ac:dyDescent="0.25">
      <c r="A81" s="128"/>
      <c r="B81" s="6"/>
      <c r="C81" s="6" t="s">
        <v>187</v>
      </c>
      <c r="D81" s="128" t="s">
        <v>260</v>
      </c>
      <c r="E81" s="184">
        <v>2.3E-3</v>
      </c>
      <c r="F81" s="86"/>
      <c r="G81" s="175"/>
      <c r="H81" s="126">
        <f t="shared" si="1"/>
        <v>0</v>
      </c>
      <c r="I81" s="86">
        <f t="shared" si="13"/>
        <v>0</v>
      </c>
      <c r="J81" s="86">
        <f t="shared" si="14"/>
        <v>13441.0183</v>
      </c>
      <c r="K81" s="153">
        <f t="shared" si="11"/>
        <v>0</v>
      </c>
      <c r="L81" s="5">
        <f t="shared" si="12"/>
        <v>13441.0183</v>
      </c>
      <c r="M81" s="9">
        <f t="shared" si="3"/>
        <v>14247.479397999999</v>
      </c>
    </row>
    <row r="82" spans="1:13" x14ac:dyDescent="0.25">
      <c r="A82" s="128"/>
      <c r="B82" s="6"/>
      <c r="C82" s="181" t="s">
        <v>188</v>
      </c>
      <c r="D82" s="182" t="s">
        <v>182</v>
      </c>
      <c r="E82" s="184">
        <v>2.3E-3</v>
      </c>
      <c r="F82" s="86"/>
      <c r="G82" s="175"/>
      <c r="H82" s="126">
        <f t="shared" si="1"/>
        <v>0</v>
      </c>
      <c r="I82" s="86">
        <f t="shared" si="13"/>
        <v>0</v>
      </c>
      <c r="J82" s="86">
        <f t="shared" si="14"/>
        <v>13441.0183</v>
      </c>
      <c r="K82" s="153">
        <f t="shared" si="11"/>
        <v>0</v>
      </c>
      <c r="L82" s="5">
        <f t="shared" si="12"/>
        <v>13441.0183</v>
      </c>
      <c r="M82" s="9">
        <f t="shared" si="3"/>
        <v>14247.479397999999</v>
      </c>
    </row>
    <row r="83" spans="1:13" x14ac:dyDescent="0.25">
      <c r="A83" s="128"/>
      <c r="B83" s="6"/>
      <c r="C83" s="6" t="s">
        <v>189</v>
      </c>
      <c r="D83" s="128" t="s">
        <v>268</v>
      </c>
      <c r="E83" s="184">
        <v>2.3E-3</v>
      </c>
      <c r="F83" s="86"/>
      <c r="G83" s="175"/>
      <c r="H83" s="126">
        <f t="shared" si="1"/>
        <v>0</v>
      </c>
      <c r="I83" s="86">
        <f t="shared" si="13"/>
        <v>0</v>
      </c>
      <c r="J83" s="86">
        <f t="shared" si="14"/>
        <v>13441.0183</v>
      </c>
      <c r="K83" s="153">
        <f t="shared" si="11"/>
        <v>0</v>
      </c>
      <c r="L83" s="5">
        <f t="shared" si="12"/>
        <v>13441.0183</v>
      </c>
      <c r="M83" s="9">
        <f t="shared" si="3"/>
        <v>14247.479397999999</v>
      </c>
    </row>
    <row r="84" spans="1:13" x14ac:dyDescent="0.25">
      <c r="A84" s="128"/>
      <c r="B84" s="6"/>
      <c r="C84" s="6" t="s">
        <v>190</v>
      </c>
      <c r="D84" s="128" t="s">
        <v>280</v>
      </c>
      <c r="E84" s="184">
        <v>2.3E-3</v>
      </c>
      <c r="F84" s="86"/>
      <c r="G84" s="175"/>
      <c r="H84" s="126">
        <f t="shared" si="1"/>
        <v>0</v>
      </c>
      <c r="I84" s="86">
        <f t="shared" si="13"/>
        <v>0</v>
      </c>
      <c r="J84" s="86">
        <f t="shared" si="14"/>
        <v>13441.0183</v>
      </c>
      <c r="K84" s="153">
        <f t="shared" si="11"/>
        <v>0</v>
      </c>
      <c r="L84" s="5">
        <f t="shared" si="12"/>
        <v>13441.0183</v>
      </c>
      <c r="M84" s="9">
        <f t="shared" si="3"/>
        <v>14247.479397999999</v>
      </c>
    </row>
    <row r="85" spans="1:13" x14ac:dyDescent="0.25">
      <c r="A85" s="128"/>
      <c r="B85" s="6"/>
      <c r="C85" s="6" t="s">
        <v>191</v>
      </c>
      <c r="D85" s="128" t="s">
        <v>275</v>
      </c>
      <c r="E85" s="184">
        <v>2.3E-3</v>
      </c>
      <c r="F85" s="86"/>
      <c r="G85" s="175"/>
      <c r="H85" s="126">
        <f t="shared" si="1"/>
        <v>0</v>
      </c>
      <c r="I85" s="86">
        <f t="shared" si="13"/>
        <v>0</v>
      </c>
      <c r="J85" s="86">
        <f t="shared" si="14"/>
        <v>13441.0183</v>
      </c>
      <c r="K85" s="153">
        <f t="shared" si="11"/>
        <v>0</v>
      </c>
      <c r="L85" s="5">
        <f t="shared" si="12"/>
        <v>13441.0183</v>
      </c>
      <c r="M85" s="9">
        <f t="shared" si="3"/>
        <v>14247.479397999999</v>
      </c>
    </row>
    <row r="86" spans="1:13" x14ac:dyDescent="0.25">
      <c r="A86" s="128"/>
      <c r="B86" s="6"/>
      <c r="C86" s="6" t="s">
        <v>192</v>
      </c>
      <c r="D86" s="128" t="s">
        <v>301</v>
      </c>
      <c r="E86" s="184">
        <v>2.3E-3</v>
      </c>
      <c r="F86" s="86"/>
      <c r="G86" s="175"/>
      <c r="H86" s="126">
        <f t="shared" si="1"/>
        <v>0</v>
      </c>
      <c r="I86" s="86">
        <f t="shared" si="13"/>
        <v>0</v>
      </c>
      <c r="J86" s="86">
        <f t="shared" si="14"/>
        <v>13441.0183</v>
      </c>
      <c r="K86" s="153">
        <f t="shared" si="11"/>
        <v>0</v>
      </c>
      <c r="L86" s="5">
        <f t="shared" si="12"/>
        <v>13441.0183</v>
      </c>
      <c r="M86" s="9">
        <f t="shared" si="3"/>
        <v>14247.479397999999</v>
      </c>
    </row>
    <row r="87" spans="1:13" x14ac:dyDescent="0.25">
      <c r="A87" s="128"/>
      <c r="B87" s="6"/>
      <c r="C87" s="96" t="s">
        <v>193</v>
      </c>
      <c r="D87" s="246" t="s">
        <v>267</v>
      </c>
      <c r="E87" s="184">
        <v>2.3E-3</v>
      </c>
      <c r="F87" s="86"/>
      <c r="G87" s="175"/>
      <c r="H87" s="126">
        <f t="shared" si="1"/>
        <v>0</v>
      </c>
      <c r="I87" s="86">
        <f t="shared" si="13"/>
        <v>0</v>
      </c>
      <c r="J87" s="86">
        <f t="shared" si="14"/>
        <v>13441.0183</v>
      </c>
      <c r="K87" s="153">
        <f t="shared" si="11"/>
        <v>0</v>
      </c>
      <c r="L87" s="5">
        <f t="shared" si="12"/>
        <v>13441.0183</v>
      </c>
      <c r="M87" s="9">
        <f t="shared" si="3"/>
        <v>14247.479397999999</v>
      </c>
    </row>
    <row r="88" spans="1:13" x14ac:dyDescent="0.25">
      <c r="A88" s="128"/>
      <c r="B88" s="6"/>
      <c r="C88" s="6" t="s">
        <v>194</v>
      </c>
      <c r="D88" s="128" t="s">
        <v>267</v>
      </c>
      <c r="E88" s="184">
        <v>2.3E-3</v>
      </c>
      <c r="F88" s="86"/>
      <c r="G88" s="175"/>
      <c r="H88" s="126">
        <f t="shared" si="1"/>
        <v>0</v>
      </c>
      <c r="I88" s="86">
        <f t="shared" si="13"/>
        <v>0</v>
      </c>
      <c r="J88" s="86">
        <f t="shared" si="14"/>
        <v>13441.0183</v>
      </c>
      <c r="K88" s="153">
        <f t="shared" ref="K88:K124" si="15">I$3*E88%+I$4</f>
        <v>0</v>
      </c>
      <c r="L88" s="5">
        <f t="shared" si="12"/>
        <v>13441.0183</v>
      </c>
      <c r="M88" s="9">
        <f t="shared" si="3"/>
        <v>14247.479397999999</v>
      </c>
    </row>
    <row r="89" spans="1:13" x14ac:dyDescent="0.25">
      <c r="A89" s="128"/>
      <c r="B89" s="6"/>
      <c r="C89" s="181" t="s">
        <v>195</v>
      </c>
      <c r="D89" s="182" t="s">
        <v>182</v>
      </c>
      <c r="E89" s="184">
        <v>2.3E-3</v>
      </c>
      <c r="F89" s="86"/>
      <c r="G89" s="175"/>
      <c r="H89" s="126">
        <f t="shared" si="1"/>
        <v>0</v>
      </c>
      <c r="I89" s="86">
        <f t="shared" si="13"/>
        <v>0</v>
      </c>
      <c r="J89" s="86">
        <f t="shared" si="14"/>
        <v>13441.0183</v>
      </c>
      <c r="K89" s="153">
        <f t="shared" si="15"/>
        <v>0</v>
      </c>
      <c r="L89" s="5">
        <f t="shared" si="12"/>
        <v>13441.0183</v>
      </c>
      <c r="M89" s="9">
        <f t="shared" si="3"/>
        <v>14247.479397999999</v>
      </c>
    </row>
    <row r="90" spans="1:13" x14ac:dyDescent="0.25">
      <c r="A90" s="128"/>
      <c r="B90" s="6"/>
      <c r="C90" s="6" t="s">
        <v>196</v>
      </c>
      <c r="D90" s="128" t="s">
        <v>278</v>
      </c>
      <c r="E90" s="184">
        <v>2.3E-3</v>
      </c>
      <c r="F90" s="86"/>
      <c r="G90" s="175"/>
      <c r="H90" s="126">
        <f t="shared" si="1"/>
        <v>0</v>
      </c>
      <c r="I90" s="86">
        <f t="shared" si="13"/>
        <v>0</v>
      </c>
      <c r="J90" s="86">
        <f t="shared" si="14"/>
        <v>13441.0183</v>
      </c>
      <c r="K90" s="153">
        <f t="shared" si="15"/>
        <v>0</v>
      </c>
      <c r="L90" s="5">
        <f t="shared" si="12"/>
        <v>13441.0183</v>
      </c>
      <c r="M90" s="9">
        <f t="shared" si="3"/>
        <v>14247.479397999999</v>
      </c>
    </row>
    <row r="91" spans="1:13" x14ac:dyDescent="0.25">
      <c r="A91" s="128"/>
      <c r="B91" s="6"/>
      <c r="C91" s="6" t="s">
        <v>197</v>
      </c>
      <c r="D91" s="128" t="s">
        <v>260</v>
      </c>
      <c r="E91" s="184">
        <v>2.3E-3</v>
      </c>
      <c r="F91" s="86"/>
      <c r="G91" s="175"/>
      <c r="H91" s="126">
        <f t="shared" si="1"/>
        <v>0</v>
      </c>
      <c r="I91" s="86">
        <f t="shared" si="13"/>
        <v>0</v>
      </c>
      <c r="J91" s="86">
        <f t="shared" si="14"/>
        <v>13441.0183</v>
      </c>
      <c r="K91" s="153">
        <f t="shared" si="15"/>
        <v>0</v>
      </c>
      <c r="L91" s="5">
        <f t="shared" si="12"/>
        <v>13441.0183</v>
      </c>
      <c r="M91" s="9">
        <f t="shared" si="3"/>
        <v>14247.479397999999</v>
      </c>
    </row>
    <row r="92" spans="1:13" x14ac:dyDescent="0.25">
      <c r="A92" s="128"/>
      <c r="B92" s="6"/>
      <c r="C92" s="6" t="s">
        <v>198</v>
      </c>
      <c r="D92" s="128" t="s">
        <v>255</v>
      </c>
      <c r="E92" s="184">
        <v>2.3E-3</v>
      </c>
      <c r="F92" s="86"/>
      <c r="G92" s="175"/>
      <c r="H92" s="126">
        <f t="shared" si="1"/>
        <v>0</v>
      </c>
      <c r="I92" s="86">
        <f t="shared" si="13"/>
        <v>0</v>
      </c>
      <c r="J92" s="86">
        <f t="shared" si="14"/>
        <v>13441.0183</v>
      </c>
      <c r="K92" s="153">
        <f t="shared" si="15"/>
        <v>0</v>
      </c>
      <c r="L92" s="5">
        <f t="shared" si="12"/>
        <v>13441.0183</v>
      </c>
      <c r="M92" s="9">
        <f t="shared" si="3"/>
        <v>14247.479397999999</v>
      </c>
    </row>
    <row r="93" spans="1:13" x14ac:dyDescent="0.25">
      <c r="A93" s="128"/>
      <c r="B93" s="6"/>
      <c r="C93" s="6" t="s">
        <v>199</v>
      </c>
      <c r="D93" s="128" t="s">
        <v>296</v>
      </c>
      <c r="E93" s="184">
        <v>2.3E-3</v>
      </c>
      <c r="F93" s="86"/>
      <c r="G93" s="175"/>
      <c r="H93" s="126">
        <f t="shared" si="1"/>
        <v>0</v>
      </c>
      <c r="I93" s="86">
        <f t="shared" si="13"/>
        <v>0</v>
      </c>
      <c r="J93" s="86">
        <f t="shared" si="14"/>
        <v>13441.0183</v>
      </c>
      <c r="K93" s="153">
        <f t="shared" si="15"/>
        <v>0</v>
      </c>
      <c r="L93" s="5">
        <f t="shared" si="12"/>
        <v>13441.0183</v>
      </c>
      <c r="M93" s="9">
        <f t="shared" si="3"/>
        <v>14247.479397999999</v>
      </c>
    </row>
    <row r="94" spans="1:13" x14ac:dyDescent="0.25">
      <c r="A94" s="128"/>
      <c r="B94" s="6"/>
      <c r="C94" s="6" t="s">
        <v>200</v>
      </c>
      <c r="D94" s="128" t="s">
        <v>302</v>
      </c>
      <c r="E94" s="184">
        <v>2.3E-3</v>
      </c>
      <c r="F94" s="86"/>
      <c r="G94" s="175"/>
      <c r="H94" s="126">
        <f t="shared" si="1"/>
        <v>0</v>
      </c>
      <c r="I94" s="86">
        <f t="shared" si="13"/>
        <v>0</v>
      </c>
      <c r="J94" s="86">
        <f t="shared" si="14"/>
        <v>13441.0183</v>
      </c>
      <c r="K94" s="153">
        <f t="shared" si="15"/>
        <v>0</v>
      </c>
      <c r="L94" s="5">
        <f t="shared" si="12"/>
        <v>13441.0183</v>
      </c>
      <c r="M94" s="9">
        <f t="shared" si="3"/>
        <v>14247.479397999999</v>
      </c>
    </row>
    <row r="95" spans="1:13" ht="15.75" customHeight="1" x14ac:dyDescent="0.25">
      <c r="A95" s="128"/>
      <c r="B95" s="6"/>
      <c r="C95" s="6" t="s">
        <v>201</v>
      </c>
      <c r="D95" s="128" t="s">
        <v>291</v>
      </c>
      <c r="E95" s="184">
        <v>2.3E-3</v>
      </c>
      <c r="F95" s="86"/>
      <c r="G95" s="175"/>
      <c r="H95" s="126">
        <f t="shared" si="1"/>
        <v>0</v>
      </c>
      <c r="I95" s="86">
        <f t="shared" si="13"/>
        <v>0</v>
      </c>
      <c r="J95" s="86">
        <f t="shared" si="14"/>
        <v>13441.0183</v>
      </c>
      <c r="K95" s="153">
        <f t="shared" si="15"/>
        <v>0</v>
      </c>
      <c r="L95" s="5">
        <f t="shared" si="12"/>
        <v>13441.0183</v>
      </c>
      <c r="M95" s="9">
        <f t="shared" si="3"/>
        <v>14247.479397999999</v>
      </c>
    </row>
    <row r="96" spans="1:13" ht="15.75" customHeight="1" x14ac:dyDescent="0.25">
      <c r="A96" s="128"/>
      <c r="B96" s="6"/>
      <c r="C96" s="6" t="s">
        <v>202</v>
      </c>
      <c r="D96" s="128" t="s">
        <v>299</v>
      </c>
      <c r="E96" s="184">
        <v>2.3E-3</v>
      </c>
      <c r="F96" s="86"/>
      <c r="G96" s="175"/>
      <c r="H96" s="126">
        <f t="shared" si="1"/>
        <v>0</v>
      </c>
      <c r="I96" s="86">
        <f t="shared" si="13"/>
        <v>0</v>
      </c>
      <c r="J96" s="86">
        <f t="shared" si="14"/>
        <v>13441.0183</v>
      </c>
      <c r="K96" s="153">
        <f t="shared" si="15"/>
        <v>0</v>
      </c>
      <c r="L96" s="5">
        <f t="shared" si="12"/>
        <v>13441.0183</v>
      </c>
      <c r="M96" s="9">
        <f t="shared" si="3"/>
        <v>14247.479397999999</v>
      </c>
    </row>
    <row r="97" spans="1:13" ht="15.75" customHeight="1" x14ac:dyDescent="0.25">
      <c r="A97" s="128"/>
      <c r="B97" s="6"/>
      <c r="C97" s="6" t="s">
        <v>203</v>
      </c>
      <c r="D97" s="128" t="s">
        <v>282</v>
      </c>
      <c r="E97" s="184">
        <v>2.3E-3</v>
      </c>
      <c r="F97" s="86"/>
      <c r="G97" s="175"/>
      <c r="H97" s="126">
        <f t="shared" si="1"/>
        <v>0</v>
      </c>
      <c r="I97" s="86">
        <f t="shared" si="13"/>
        <v>0</v>
      </c>
      <c r="J97" s="86">
        <f t="shared" si="14"/>
        <v>13441.0183</v>
      </c>
      <c r="K97" s="153">
        <f t="shared" si="15"/>
        <v>0</v>
      </c>
      <c r="L97" s="5">
        <f t="shared" si="12"/>
        <v>13441.0183</v>
      </c>
      <c r="M97" s="9">
        <f t="shared" si="3"/>
        <v>14247.479397999999</v>
      </c>
    </row>
    <row r="98" spans="1:13" ht="15.75" customHeight="1" x14ac:dyDescent="0.25">
      <c r="A98" s="128"/>
      <c r="B98" s="6"/>
      <c r="C98" s="247" t="s">
        <v>204</v>
      </c>
      <c r="D98" s="248" t="s">
        <v>182</v>
      </c>
      <c r="E98" s="184">
        <v>2.3E-3</v>
      </c>
      <c r="F98" s="86"/>
      <c r="G98" s="175"/>
      <c r="H98" s="126">
        <f t="shared" si="1"/>
        <v>0</v>
      </c>
      <c r="I98" s="86">
        <f t="shared" si="13"/>
        <v>0</v>
      </c>
      <c r="J98" s="86">
        <f t="shared" si="14"/>
        <v>13441.0183</v>
      </c>
      <c r="K98" s="153">
        <f t="shared" si="15"/>
        <v>0</v>
      </c>
      <c r="L98" s="5">
        <f t="shared" si="12"/>
        <v>13441.0183</v>
      </c>
      <c r="M98" s="9">
        <f t="shared" si="3"/>
        <v>14247.479397999999</v>
      </c>
    </row>
    <row r="99" spans="1:13" ht="15.75" customHeight="1" x14ac:dyDescent="0.25">
      <c r="A99" s="128"/>
      <c r="B99" s="6"/>
      <c r="C99" s="6" t="s">
        <v>205</v>
      </c>
      <c r="D99" s="128" t="s">
        <v>303</v>
      </c>
      <c r="E99" s="184">
        <v>2.3E-3</v>
      </c>
      <c r="F99" s="86"/>
      <c r="G99" s="175"/>
      <c r="H99" s="126">
        <f t="shared" si="1"/>
        <v>0</v>
      </c>
      <c r="I99" s="86">
        <f t="shared" si="13"/>
        <v>0</v>
      </c>
      <c r="J99" s="86">
        <f t="shared" si="14"/>
        <v>13441.0183</v>
      </c>
      <c r="K99" s="153">
        <f t="shared" si="15"/>
        <v>0</v>
      </c>
      <c r="L99" s="5">
        <f t="shared" si="12"/>
        <v>13441.0183</v>
      </c>
      <c r="M99" s="9">
        <f t="shared" si="3"/>
        <v>14247.479397999999</v>
      </c>
    </row>
    <row r="100" spans="1:13" ht="15.75" customHeight="1" x14ac:dyDescent="0.25">
      <c r="A100" s="128"/>
      <c r="B100" s="6"/>
      <c r="C100" s="6" t="s">
        <v>206</v>
      </c>
      <c r="D100" s="128" t="s">
        <v>279</v>
      </c>
      <c r="E100" s="184">
        <v>2.3E-3</v>
      </c>
      <c r="F100" s="86"/>
      <c r="G100" s="175"/>
      <c r="H100" s="126">
        <f t="shared" si="1"/>
        <v>0</v>
      </c>
      <c r="I100" s="86">
        <f t="shared" si="13"/>
        <v>0</v>
      </c>
      <c r="J100" s="86">
        <f t="shared" si="14"/>
        <v>13441.0183</v>
      </c>
      <c r="K100" s="153">
        <f t="shared" si="15"/>
        <v>0</v>
      </c>
      <c r="L100" s="5">
        <f t="shared" si="12"/>
        <v>13441.0183</v>
      </c>
      <c r="M100" s="9">
        <f t="shared" si="3"/>
        <v>14247.479397999999</v>
      </c>
    </row>
    <row r="101" spans="1:13" ht="15.75" customHeight="1" x14ac:dyDescent="0.25">
      <c r="A101" s="128"/>
      <c r="B101" s="6"/>
      <c r="C101" s="6" t="s">
        <v>207</v>
      </c>
      <c r="D101" s="128" t="s">
        <v>285</v>
      </c>
      <c r="E101" s="184">
        <v>2.3E-3</v>
      </c>
      <c r="F101" s="86"/>
      <c r="G101" s="175"/>
      <c r="H101" s="126">
        <f t="shared" si="1"/>
        <v>0</v>
      </c>
      <c r="I101" s="86">
        <f t="shared" si="13"/>
        <v>0</v>
      </c>
      <c r="J101" s="86">
        <f t="shared" si="14"/>
        <v>13441.0183</v>
      </c>
      <c r="K101" s="153">
        <f t="shared" si="15"/>
        <v>0</v>
      </c>
      <c r="L101" s="5">
        <f t="shared" si="12"/>
        <v>13441.0183</v>
      </c>
      <c r="M101" s="9">
        <f t="shared" si="3"/>
        <v>14247.479397999999</v>
      </c>
    </row>
    <row r="102" spans="1:13" ht="15.75" customHeight="1" x14ac:dyDescent="0.25">
      <c r="A102" s="128"/>
      <c r="B102" s="6"/>
      <c r="C102" s="6" t="s">
        <v>208</v>
      </c>
      <c r="D102" s="128" t="s">
        <v>253</v>
      </c>
      <c r="E102" s="184">
        <v>2.3E-3</v>
      </c>
      <c r="F102" s="86"/>
      <c r="G102" s="175"/>
      <c r="H102" s="126">
        <f t="shared" si="1"/>
        <v>0</v>
      </c>
      <c r="I102" s="86">
        <f t="shared" si="13"/>
        <v>0</v>
      </c>
      <c r="J102" s="86">
        <f t="shared" si="14"/>
        <v>13441.0183</v>
      </c>
      <c r="K102" s="153">
        <f t="shared" si="15"/>
        <v>0</v>
      </c>
      <c r="L102" s="5">
        <f t="shared" si="12"/>
        <v>13441.0183</v>
      </c>
      <c r="M102" s="9">
        <f t="shared" si="3"/>
        <v>14247.479397999999</v>
      </c>
    </row>
    <row r="103" spans="1:13" ht="15.75" customHeight="1" x14ac:dyDescent="0.25">
      <c r="A103" s="128"/>
      <c r="B103" s="6"/>
      <c r="C103" s="6" t="s">
        <v>209</v>
      </c>
      <c r="D103" s="128" t="s">
        <v>284</v>
      </c>
      <c r="E103" s="184">
        <v>2.3E-3</v>
      </c>
      <c r="F103" s="86"/>
      <c r="G103" s="175"/>
      <c r="H103" s="126">
        <f t="shared" si="1"/>
        <v>0</v>
      </c>
      <c r="I103" s="86">
        <f t="shared" si="13"/>
        <v>0</v>
      </c>
      <c r="J103" s="86">
        <f t="shared" si="14"/>
        <v>13441.0183</v>
      </c>
      <c r="K103" s="153">
        <f t="shared" si="15"/>
        <v>0</v>
      </c>
      <c r="L103" s="5">
        <f t="shared" ref="L103:L134" si="16">J103+I103+H103+K103</f>
        <v>13441.0183</v>
      </c>
      <c r="M103" s="9">
        <f t="shared" si="3"/>
        <v>14247.479397999999</v>
      </c>
    </row>
    <row r="104" spans="1:13" ht="15.75" customHeight="1" x14ac:dyDescent="0.25">
      <c r="A104" s="128"/>
      <c r="B104" s="6"/>
      <c r="C104" s="6" t="s">
        <v>210</v>
      </c>
      <c r="D104" s="128" t="s">
        <v>269</v>
      </c>
      <c r="E104" s="184">
        <v>2.3E-3</v>
      </c>
      <c r="F104" s="86"/>
      <c r="G104" s="175"/>
      <c r="H104" s="126">
        <f t="shared" si="1"/>
        <v>0</v>
      </c>
      <c r="I104" s="86">
        <f t="shared" si="13"/>
        <v>0</v>
      </c>
      <c r="J104" s="86">
        <f t="shared" si="14"/>
        <v>13441.0183</v>
      </c>
      <c r="K104" s="153">
        <f t="shared" si="15"/>
        <v>0</v>
      </c>
      <c r="L104" s="5">
        <f t="shared" si="16"/>
        <v>13441.0183</v>
      </c>
      <c r="M104" s="9">
        <f t="shared" si="3"/>
        <v>14247.479397999999</v>
      </c>
    </row>
    <row r="105" spans="1:13" x14ac:dyDescent="0.25">
      <c r="A105" s="128"/>
      <c r="B105" s="6"/>
      <c r="C105" s="6" t="s">
        <v>211</v>
      </c>
      <c r="D105" s="128" t="s">
        <v>251</v>
      </c>
      <c r="E105" s="184">
        <v>2.3E-3</v>
      </c>
      <c r="F105" s="86"/>
      <c r="G105" s="175"/>
      <c r="H105" s="126">
        <f t="shared" si="1"/>
        <v>0</v>
      </c>
      <c r="I105" s="86">
        <f t="shared" si="13"/>
        <v>0</v>
      </c>
      <c r="J105" s="86">
        <f t="shared" si="14"/>
        <v>13441.0183</v>
      </c>
      <c r="K105" s="153">
        <f t="shared" si="15"/>
        <v>0</v>
      </c>
      <c r="L105" s="5">
        <f t="shared" si="16"/>
        <v>13441.0183</v>
      </c>
      <c r="M105" s="9">
        <f t="shared" si="3"/>
        <v>14247.479397999999</v>
      </c>
    </row>
    <row r="106" spans="1:13" x14ac:dyDescent="0.25">
      <c r="A106" s="128"/>
      <c r="B106" s="6"/>
      <c r="C106" s="6" t="s">
        <v>212</v>
      </c>
      <c r="D106" s="128" t="s">
        <v>276</v>
      </c>
      <c r="E106" s="184">
        <v>2.3E-3</v>
      </c>
      <c r="F106" s="86"/>
      <c r="G106" s="175"/>
      <c r="H106" s="126">
        <f t="shared" si="1"/>
        <v>0</v>
      </c>
      <c r="I106" s="86">
        <f t="shared" si="13"/>
        <v>0</v>
      </c>
      <c r="J106" s="86">
        <f t="shared" si="14"/>
        <v>13441.0183</v>
      </c>
      <c r="K106" s="153">
        <f t="shared" si="15"/>
        <v>0</v>
      </c>
      <c r="L106" s="5">
        <f t="shared" si="16"/>
        <v>13441.0183</v>
      </c>
      <c r="M106" s="9">
        <f t="shared" si="3"/>
        <v>14247.479397999999</v>
      </c>
    </row>
    <row r="107" spans="1:13" x14ac:dyDescent="0.25">
      <c r="A107" s="128"/>
      <c r="B107" s="6"/>
      <c r="C107" s="6" t="s">
        <v>213</v>
      </c>
      <c r="D107" s="128" t="s">
        <v>298</v>
      </c>
      <c r="E107" s="184">
        <v>2.3E-3</v>
      </c>
      <c r="F107" s="86"/>
      <c r="G107" s="175"/>
      <c r="H107" s="126">
        <f t="shared" si="1"/>
        <v>0</v>
      </c>
      <c r="I107" s="86">
        <f t="shared" si="13"/>
        <v>0</v>
      </c>
      <c r="J107" s="86">
        <f t="shared" si="14"/>
        <v>13441.0183</v>
      </c>
      <c r="K107" s="153">
        <f t="shared" si="15"/>
        <v>0</v>
      </c>
      <c r="L107" s="5">
        <f t="shared" si="16"/>
        <v>13441.0183</v>
      </c>
      <c r="M107" s="9">
        <f t="shared" si="3"/>
        <v>14247.479397999999</v>
      </c>
    </row>
    <row r="108" spans="1:13" x14ac:dyDescent="0.25">
      <c r="A108" s="128"/>
      <c r="B108" s="6"/>
      <c r="C108" s="6" t="s">
        <v>214</v>
      </c>
      <c r="D108" s="128" t="s">
        <v>263</v>
      </c>
      <c r="E108" s="184">
        <v>2.3E-3</v>
      </c>
      <c r="F108" s="86"/>
      <c r="G108" s="175"/>
      <c r="H108" s="126">
        <f t="shared" si="1"/>
        <v>0</v>
      </c>
      <c r="I108" s="86">
        <f t="shared" ref="I108:I124" si="17">L$4*E108</f>
        <v>0</v>
      </c>
      <c r="J108" s="86">
        <f t="shared" ref="J108:J124" si="18">L$2*E108</f>
        <v>13441.0183</v>
      </c>
      <c r="K108" s="153">
        <f t="shared" si="15"/>
        <v>0</v>
      </c>
      <c r="L108" s="5">
        <f t="shared" si="16"/>
        <v>13441.0183</v>
      </c>
      <c r="M108" s="9">
        <f t="shared" si="3"/>
        <v>14247.479397999999</v>
      </c>
    </row>
    <row r="109" spans="1:13" x14ac:dyDescent="0.25">
      <c r="A109" s="128"/>
      <c r="B109" s="6"/>
      <c r="C109" s="181" t="s">
        <v>215</v>
      </c>
      <c r="D109" s="182" t="s">
        <v>182</v>
      </c>
      <c r="E109" s="184">
        <v>2.3E-3</v>
      </c>
      <c r="F109" s="86"/>
      <c r="G109" s="175"/>
      <c r="H109" s="126">
        <f t="shared" si="1"/>
        <v>0</v>
      </c>
      <c r="I109" s="86">
        <f t="shared" si="17"/>
        <v>0</v>
      </c>
      <c r="J109" s="86">
        <f t="shared" si="18"/>
        <v>13441.0183</v>
      </c>
      <c r="K109" s="153">
        <f t="shared" si="15"/>
        <v>0</v>
      </c>
      <c r="L109" s="5">
        <f t="shared" si="16"/>
        <v>13441.0183</v>
      </c>
      <c r="M109" s="9">
        <f t="shared" si="3"/>
        <v>14247.479397999999</v>
      </c>
    </row>
    <row r="110" spans="1:13" x14ac:dyDescent="0.25">
      <c r="A110" s="128"/>
      <c r="B110" s="6"/>
      <c r="C110" s="181" t="s">
        <v>216</v>
      </c>
      <c r="D110" s="182" t="s">
        <v>182</v>
      </c>
      <c r="E110" s="184">
        <v>2.3E-3</v>
      </c>
      <c r="F110" s="86"/>
      <c r="G110" s="175"/>
      <c r="H110" s="126">
        <f t="shared" si="1"/>
        <v>0</v>
      </c>
      <c r="I110" s="86">
        <f t="shared" si="17"/>
        <v>0</v>
      </c>
      <c r="J110" s="86">
        <f t="shared" si="18"/>
        <v>13441.0183</v>
      </c>
      <c r="K110" s="153">
        <f t="shared" si="15"/>
        <v>0</v>
      </c>
      <c r="L110" s="5">
        <f t="shared" si="16"/>
        <v>13441.0183</v>
      </c>
      <c r="M110" s="9">
        <f t="shared" si="3"/>
        <v>14247.479397999999</v>
      </c>
    </row>
    <row r="111" spans="1:13" x14ac:dyDescent="0.25">
      <c r="A111" s="128"/>
      <c r="B111" s="6"/>
      <c r="C111" s="181" t="s">
        <v>217</v>
      </c>
      <c r="D111" s="182" t="s">
        <v>182</v>
      </c>
      <c r="E111" s="184">
        <v>2.3E-3</v>
      </c>
      <c r="F111" s="86"/>
      <c r="G111" s="175"/>
      <c r="H111" s="126">
        <f t="shared" si="1"/>
        <v>0</v>
      </c>
      <c r="I111" s="86">
        <f t="shared" si="17"/>
        <v>0</v>
      </c>
      <c r="J111" s="86">
        <f t="shared" si="18"/>
        <v>13441.0183</v>
      </c>
      <c r="K111" s="153">
        <f t="shared" si="15"/>
        <v>0</v>
      </c>
      <c r="L111" s="5">
        <f t="shared" si="16"/>
        <v>13441.0183</v>
      </c>
      <c r="M111" s="9">
        <f t="shared" si="3"/>
        <v>14247.479397999999</v>
      </c>
    </row>
    <row r="112" spans="1:13" x14ac:dyDescent="0.25">
      <c r="A112" s="121"/>
      <c r="B112" s="6"/>
      <c r="C112" s="181" t="s">
        <v>218</v>
      </c>
      <c r="D112" s="182" t="s">
        <v>182</v>
      </c>
      <c r="E112" s="184">
        <v>2.3E-3</v>
      </c>
      <c r="F112" s="86"/>
      <c r="G112" s="175"/>
      <c r="H112" s="126">
        <f t="shared" si="1"/>
        <v>0</v>
      </c>
      <c r="I112" s="86">
        <f t="shared" si="17"/>
        <v>0</v>
      </c>
      <c r="J112" s="86">
        <f t="shared" si="18"/>
        <v>13441.0183</v>
      </c>
      <c r="K112" s="153">
        <f t="shared" si="15"/>
        <v>0</v>
      </c>
      <c r="L112" s="5">
        <f t="shared" si="16"/>
        <v>13441.0183</v>
      </c>
      <c r="M112" s="9">
        <f t="shared" si="3"/>
        <v>14247.479397999999</v>
      </c>
    </row>
    <row r="113" spans="1:15" x14ac:dyDescent="0.25">
      <c r="A113" s="121"/>
      <c r="B113" s="6"/>
      <c r="C113" s="6" t="s">
        <v>219</v>
      </c>
      <c r="D113" s="128" t="s">
        <v>265</v>
      </c>
      <c r="E113" s="184">
        <v>2.3E-3</v>
      </c>
      <c r="F113" s="86"/>
      <c r="G113" s="175"/>
      <c r="H113" s="126">
        <f t="shared" si="1"/>
        <v>0</v>
      </c>
      <c r="I113" s="86">
        <f t="shared" si="17"/>
        <v>0</v>
      </c>
      <c r="J113" s="86">
        <f t="shared" si="18"/>
        <v>13441.0183</v>
      </c>
      <c r="K113" s="153">
        <f t="shared" si="15"/>
        <v>0</v>
      </c>
      <c r="L113" s="5">
        <f t="shared" si="16"/>
        <v>13441.0183</v>
      </c>
      <c r="M113" s="9">
        <f t="shared" si="3"/>
        <v>14247.479397999999</v>
      </c>
    </row>
    <row r="114" spans="1:15" x14ac:dyDescent="0.25">
      <c r="A114" s="121"/>
      <c r="B114" s="6"/>
      <c r="C114" s="181" t="s">
        <v>220</v>
      </c>
      <c r="D114" s="182" t="s">
        <v>182</v>
      </c>
      <c r="E114" s="184">
        <v>2.3E-3</v>
      </c>
      <c r="F114" s="86"/>
      <c r="G114" s="175"/>
      <c r="H114" s="126">
        <f t="shared" si="1"/>
        <v>0</v>
      </c>
      <c r="I114" s="86">
        <f t="shared" si="17"/>
        <v>0</v>
      </c>
      <c r="J114" s="86">
        <f t="shared" si="18"/>
        <v>13441.0183</v>
      </c>
      <c r="K114" s="153">
        <f t="shared" si="15"/>
        <v>0</v>
      </c>
      <c r="L114" s="5">
        <f t="shared" si="16"/>
        <v>13441.0183</v>
      </c>
      <c r="M114" s="9">
        <f t="shared" si="3"/>
        <v>14247.479397999999</v>
      </c>
    </row>
    <row r="115" spans="1:15" x14ac:dyDescent="0.25">
      <c r="A115" s="121"/>
      <c r="B115" s="6"/>
      <c r="C115" s="6" t="s">
        <v>221</v>
      </c>
      <c r="D115" s="128" t="s">
        <v>295</v>
      </c>
      <c r="E115" s="184">
        <v>2.3E-3</v>
      </c>
      <c r="F115" s="86"/>
      <c r="G115" s="175"/>
      <c r="H115" s="126">
        <f t="shared" si="1"/>
        <v>0</v>
      </c>
      <c r="I115" s="86">
        <f t="shared" si="17"/>
        <v>0</v>
      </c>
      <c r="J115" s="86">
        <f t="shared" si="18"/>
        <v>13441.0183</v>
      </c>
      <c r="K115" s="153">
        <f t="shared" si="15"/>
        <v>0</v>
      </c>
      <c r="L115" s="5">
        <f t="shared" si="16"/>
        <v>13441.0183</v>
      </c>
      <c r="M115" s="9">
        <f t="shared" si="3"/>
        <v>14247.479397999999</v>
      </c>
    </row>
    <row r="116" spans="1:15" x14ac:dyDescent="0.25">
      <c r="A116" s="121"/>
      <c r="B116" s="6"/>
      <c r="C116" s="6" t="s">
        <v>222</v>
      </c>
      <c r="D116" s="128" t="s">
        <v>290</v>
      </c>
      <c r="E116" s="184">
        <v>2.3E-3</v>
      </c>
      <c r="F116" s="86"/>
      <c r="G116" s="175"/>
      <c r="H116" s="126">
        <f t="shared" si="1"/>
        <v>0</v>
      </c>
      <c r="I116" s="86">
        <f t="shared" si="17"/>
        <v>0</v>
      </c>
      <c r="J116" s="86">
        <f t="shared" si="18"/>
        <v>13441.0183</v>
      </c>
      <c r="K116" s="153">
        <f t="shared" si="15"/>
        <v>0</v>
      </c>
      <c r="L116" s="5">
        <f t="shared" si="16"/>
        <v>13441.0183</v>
      </c>
      <c r="M116" s="9">
        <f t="shared" si="3"/>
        <v>14247.479397999999</v>
      </c>
    </row>
    <row r="117" spans="1:15" x14ac:dyDescent="0.25">
      <c r="A117" s="121"/>
      <c r="B117" s="6"/>
      <c r="C117" s="181" t="s">
        <v>223</v>
      </c>
      <c r="D117" s="182" t="s">
        <v>182</v>
      </c>
      <c r="E117" s="184">
        <v>2.3E-3</v>
      </c>
      <c r="F117" s="86"/>
      <c r="G117" s="175"/>
      <c r="H117" s="126">
        <f t="shared" si="1"/>
        <v>0</v>
      </c>
      <c r="I117" s="86">
        <f t="shared" si="17"/>
        <v>0</v>
      </c>
      <c r="J117" s="86">
        <f t="shared" si="18"/>
        <v>13441.0183</v>
      </c>
      <c r="K117" s="153">
        <f t="shared" si="15"/>
        <v>0</v>
      </c>
      <c r="L117" s="5">
        <f t="shared" si="16"/>
        <v>13441.0183</v>
      </c>
      <c r="M117" s="9">
        <f t="shared" si="3"/>
        <v>14247.479397999999</v>
      </c>
    </row>
    <row r="118" spans="1:15" x14ac:dyDescent="0.25">
      <c r="A118" s="121"/>
      <c r="B118" s="6"/>
      <c r="C118" s="181" t="s">
        <v>224</v>
      </c>
      <c r="D118" s="182" t="s">
        <v>182</v>
      </c>
      <c r="E118" s="184">
        <v>2.3E-3</v>
      </c>
      <c r="F118" s="86"/>
      <c r="G118" s="175"/>
      <c r="H118" s="126">
        <f t="shared" si="1"/>
        <v>0</v>
      </c>
      <c r="I118" s="86">
        <f t="shared" si="17"/>
        <v>0</v>
      </c>
      <c r="J118" s="86">
        <f t="shared" si="18"/>
        <v>13441.0183</v>
      </c>
      <c r="K118" s="153">
        <f t="shared" si="15"/>
        <v>0</v>
      </c>
      <c r="L118" s="5">
        <f t="shared" si="16"/>
        <v>13441.0183</v>
      </c>
      <c r="M118" s="9">
        <f t="shared" si="3"/>
        <v>14247.479397999999</v>
      </c>
    </row>
    <row r="119" spans="1:15" x14ac:dyDescent="0.25">
      <c r="A119" s="121"/>
      <c r="B119" s="6"/>
      <c r="C119" s="181" t="s">
        <v>225</v>
      </c>
      <c r="D119" s="182" t="s">
        <v>182</v>
      </c>
      <c r="E119" s="184">
        <v>2.3E-3</v>
      </c>
      <c r="F119" s="86"/>
      <c r="G119" s="175"/>
      <c r="H119" s="126">
        <f t="shared" si="1"/>
        <v>0</v>
      </c>
      <c r="I119" s="86">
        <f t="shared" si="17"/>
        <v>0</v>
      </c>
      <c r="J119" s="86">
        <f t="shared" si="18"/>
        <v>13441.0183</v>
      </c>
      <c r="K119" s="153">
        <f t="shared" si="15"/>
        <v>0</v>
      </c>
      <c r="L119" s="5">
        <f t="shared" si="16"/>
        <v>13441.0183</v>
      </c>
      <c r="M119" s="9">
        <f t="shared" si="3"/>
        <v>14247.479397999999</v>
      </c>
    </row>
    <row r="120" spans="1:15" x14ac:dyDescent="0.25">
      <c r="A120" s="121"/>
      <c r="B120" s="6"/>
      <c r="C120" s="6" t="s">
        <v>226</v>
      </c>
      <c r="D120" s="128" t="s">
        <v>293</v>
      </c>
      <c r="E120" s="184">
        <v>2.3E-3</v>
      </c>
      <c r="F120" s="86"/>
      <c r="G120" s="175"/>
      <c r="H120" s="126">
        <f t="shared" si="1"/>
        <v>0</v>
      </c>
      <c r="I120" s="86">
        <f t="shared" si="17"/>
        <v>0</v>
      </c>
      <c r="J120" s="86">
        <f t="shared" si="18"/>
        <v>13441.0183</v>
      </c>
      <c r="K120" s="153">
        <f t="shared" si="15"/>
        <v>0</v>
      </c>
      <c r="L120" s="5">
        <f t="shared" si="16"/>
        <v>13441.0183</v>
      </c>
      <c r="M120" s="9">
        <f t="shared" si="3"/>
        <v>14247.479397999999</v>
      </c>
    </row>
    <row r="121" spans="1:15" x14ac:dyDescent="0.25">
      <c r="A121" s="121"/>
      <c r="B121" s="6"/>
      <c r="C121" s="6" t="s">
        <v>227</v>
      </c>
      <c r="D121" s="128" t="s">
        <v>286</v>
      </c>
      <c r="E121" s="184">
        <v>2.3E-3</v>
      </c>
      <c r="F121" s="86"/>
      <c r="G121" s="175"/>
      <c r="H121" s="126">
        <f t="shared" si="1"/>
        <v>0</v>
      </c>
      <c r="I121" s="86">
        <f t="shared" si="17"/>
        <v>0</v>
      </c>
      <c r="J121" s="86">
        <f t="shared" si="18"/>
        <v>13441.0183</v>
      </c>
      <c r="K121" s="153">
        <f t="shared" si="15"/>
        <v>0</v>
      </c>
      <c r="L121" s="5">
        <f t="shared" si="16"/>
        <v>13441.0183</v>
      </c>
      <c r="M121" s="9">
        <f t="shared" si="3"/>
        <v>14247.479397999999</v>
      </c>
    </row>
    <row r="122" spans="1:15" x14ac:dyDescent="0.25">
      <c r="A122" s="121"/>
      <c r="B122" s="6"/>
      <c r="C122" s="6" t="s">
        <v>228</v>
      </c>
      <c r="D122" s="128" t="s">
        <v>297</v>
      </c>
      <c r="E122" s="184">
        <v>2.3E-3</v>
      </c>
      <c r="F122" s="86"/>
      <c r="G122" s="175"/>
      <c r="H122" s="126">
        <f t="shared" si="1"/>
        <v>0</v>
      </c>
      <c r="I122" s="86">
        <f t="shared" si="17"/>
        <v>0</v>
      </c>
      <c r="J122" s="86">
        <f t="shared" si="18"/>
        <v>13441.0183</v>
      </c>
      <c r="K122" s="153">
        <f t="shared" si="15"/>
        <v>0</v>
      </c>
      <c r="L122" s="5">
        <f t="shared" si="16"/>
        <v>13441.0183</v>
      </c>
      <c r="M122" s="9">
        <f t="shared" si="3"/>
        <v>14247.479397999999</v>
      </c>
    </row>
    <row r="123" spans="1:15" x14ac:dyDescent="0.25">
      <c r="A123" s="121" t="s">
        <v>73</v>
      </c>
      <c r="B123" s="6"/>
      <c r="C123" s="6" t="s">
        <v>229</v>
      </c>
      <c r="D123" s="128" t="s">
        <v>277</v>
      </c>
      <c r="E123" s="184">
        <v>2.3E-3</v>
      </c>
      <c r="F123" s="86"/>
      <c r="G123" s="175">
        <f>F123</f>
        <v>0</v>
      </c>
      <c r="H123" s="126">
        <f t="shared" si="1"/>
        <v>0</v>
      </c>
      <c r="I123" s="86">
        <f t="shared" si="17"/>
        <v>0</v>
      </c>
      <c r="J123" s="86">
        <f t="shared" si="18"/>
        <v>13441.0183</v>
      </c>
      <c r="K123" s="153">
        <f t="shared" si="15"/>
        <v>0</v>
      </c>
      <c r="L123" s="5">
        <f t="shared" si="16"/>
        <v>13441.0183</v>
      </c>
      <c r="M123" s="9">
        <f t="shared" si="3"/>
        <v>14247.479397999999</v>
      </c>
    </row>
    <row r="124" spans="1:15" x14ac:dyDescent="0.25">
      <c r="A124" s="121" t="s">
        <v>73</v>
      </c>
      <c r="B124" s="6"/>
      <c r="C124" s="181" t="s">
        <v>230</v>
      </c>
      <c r="D124" s="182" t="s">
        <v>182</v>
      </c>
      <c r="E124" s="184">
        <v>2.3E-3</v>
      </c>
      <c r="F124" s="86"/>
      <c r="G124" s="176">
        <f>F124</f>
        <v>0</v>
      </c>
      <c r="H124" s="126">
        <f t="shared" si="1"/>
        <v>0</v>
      </c>
      <c r="I124" s="86">
        <f t="shared" si="17"/>
        <v>0</v>
      </c>
      <c r="J124" s="86">
        <f t="shared" si="18"/>
        <v>13441.0183</v>
      </c>
      <c r="K124" s="153">
        <f t="shared" si="15"/>
        <v>0</v>
      </c>
      <c r="L124" s="5">
        <f t="shared" si="16"/>
        <v>13441.0183</v>
      </c>
      <c r="M124" s="9">
        <f t="shared" si="3"/>
        <v>14247.479397999999</v>
      </c>
    </row>
    <row r="125" spans="1:15" x14ac:dyDescent="0.25">
      <c r="A125" s="121" t="s">
        <v>73</v>
      </c>
      <c r="B125" s="6"/>
      <c r="C125" s="6"/>
      <c r="D125" s="128"/>
      <c r="E125" s="6"/>
      <c r="F125" s="86"/>
      <c r="G125" s="175"/>
      <c r="H125" s="126"/>
      <c r="I125" s="86"/>
      <c r="J125" s="86"/>
      <c r="K125" s="153"/>
      <c r="L125" s="5"/>
      <c r="M125" s="9"/>
    </row>
    <row r="126" spans="1:15" ht="14.25" customHeight="1" x14ac:dyDescent="0.25">
      <c r="A126" s="87"/>
      <c r="B126" s="87"/>
      <c r="C126" s="87"/>
      <c r="D126" s="87"/>
      <c r="E126" s="87">
        <f>SUM(E7:E125)</f>
        <v>0.99799999999999811</v>
      </c>
      <c r="F126" s="88">
        <f>SUM(F7:F125)</f>
        <v>0</v>
      </c>
      <c r="G126" s="88">
        <f>SUM(G7:G125)</f>
        <v>0</v>
      </c>
      <c r="H126" s="87"/>
      <c r="I126" s="122">
        <f>SUM(I7:I125)</f>
        <v>0</v>
      </c>
      <c r="J126" s="88">
        <f>SUM(J7:J125)</f>
        <v>5792710.8868399849</v>
      </c>
      <c r="K126" s="161">
        <f>SUM(K7:K125)</f>
        <v>0</v>
      </c>
      <c r="L126" s="89">
        <f>SUM(L7:L125)</f>
        <v>5792710.8868399849</v>
      </c>
      <c r="M126" s="88">
        <f>SUM(M7:M125)</f>
        <v>6140273.5400504004</v>
      </c>
      <c r="O126" s="130"/>
    </row>
    <row r="127" spans="1:15" hidden="1" x14ac:dyDescent="0.25">
      <c r="J127" s="132">
        <f>J126-K1</f>
        <v>-615378.24316001497</v>
      </c>
    </row>
    <row r="128" spans="1:15" ht="15" hidden="1" customHeight="1" x14ac:dyDescent="0.25">
      <c r="C128" s="230"/>
      <c r="D128" s="230"/>
      <c r="E128" s="230"/>
      <c r="F128" s="230"/>
      <c r="G128" s="230"/>
      <c r="H128" s="230"/>
      <c r="I128" s="230"/>
      <c r="J128" s="230"/>
      <c r="K128" s="230"/>
      <c r="L128" s="230"/>
      <c r="M128" s="230"/>
    </row>
    <row r="129" spans="3:13" hidden="1" x14ac:dyDescent="0.25">
      <c r="C129" s="230"/>
      <c r="D129" s="230"/>
      <c r="E129" s="230"/>
      <c r="F129" s="230"/>
      <c r="G129" s="230"/>
      <c r="H129" s="230"/>
      <c r="I129" s="230"/>
      <c r="J129" s="230"/>
      <c r="K129" s="230"/>
      <c r="L129" s="230"/>
      <c r="M129" s="230"/>
    </row>
    <row r="130" spans="3:13" x14ac:dyDescent="0.25">
      <c r="C130" s="155"/>
      <c r="D130" s="155"/>
      <c r="E130" s="155">
        <f>1-E126</f>
        <v>2.0000000000018892E-3</v>
      </c>
      <c r="F130" s="155"/>
      <c r="G130" s="155"/>
      <c r="H130" s="155"/>
      <c r="I130" s="155"/>
      <c r="J130" s="155"/>
      <c r="K130" s="155"/>
      <c r="L130" s="155"/>
      <c r="M130" s="155"/>
    </row>
    <row r="131" spans="3:13" x14ac:dyDescent="0.25">
      <c r="C131" s="230" t="s">
        <v>231</v>
      </c>
      <c r="D131" s="230"/>
      <c r="E131" s="230"/>
      <c r="F131" s="230"/>
      <c r="G131" s="230"/>
      <c r="H131" s="230"/>
      <c r="I131" s="230"/>
      <c r="J131" s="230"/>
      <c r="K131" s="230"/>
      <c r="L131" s="230"/>
      <c r="M131" s="230"/>
    </row>
    <row r="132" spans="3:13" x14ac:dyDescent="0.25">
      <c r="C132" s="230"/>
      <c r="D132" s="230"/>
      <c r="E132" s="230"/>
      <c r="F132" s="230"/>
      <c r="G132" s="230"/>
      <c r="H132" s="230"/>
      <c r="I132" s="230"/>
      <c r="J132" s="230"/>
      <c r="K132" s="230"/>
      <c r="L132" s="230"/>
      <c r="M132" s="230"/>
    </row>
    <row r="133" spans="3:13" x14ac:dyDescent="0.25">
      <c r="C133" s="230"/>
      <c r="D133" s="230"/>
      <c r="E133" s="230"/>
      <c r="F133" s="230"/>
      <c r="G133" s="230"/>
      <c r="H133" s="230"/>
      <c r="I133" s="230"/>
      <c r="J133" s="230"/>
      <c r="K133" s="230"/>
      <c r="L133" s="230"/>
      <c r="M133" s="230"/>
    </row>
    <row r="134" spans="3:13" x14ac:dyDescent="0.25">
      <c r="C134" s="230"/>
      <c r="D134" s="230"/>
      <c r="E134" s="230"/>
      <c r="F134" s="230"/>
      <c r="G134" s="230"/>
      <c r="H134" s="230"/>
      <c r="I134" s="230"/>
      <c r="J134" s="230"/>
      <c r="K134" s="230"/>
      <c r="L134" s="230"/>
      <c r="M134" s="230"/>
    </row>
    <row r="135" spans="3:13" x14ac:dyDescent="0.25">
      <c r="C135" s="230"/>
      <c r="D135" s="230"/>
      <c r="E135" s="230"/>
      <c r="F135" s="230"/>
      <c r="G135" s="230"/>
      <c r="H135" s="230"/>
      <c r="I135" s="230"/>
      <c r="J135" s="230"/>
      <c r="K135" s="230"/>
      <c r="L135" s="230"/>
      <c r="M135" s="230"/>
    </row>
    <row r="136" spans="3:13" x14ac:dyDescent="0.25">
      <c r="C136" s="230"/>
      <c r="D136" s="230"/>
      <c r="E136" s="230"/>
      <c r="F136" s="230"/>
      <c r="G136" s="230"/>
      <c r="H136" s="230"/>
      <c r="I136" s="230"/>
      <c r="J136" s="230"/>
      <c r="K136" s="230"/>
      <c r="L136" s="230"/>
      <c r="M136" s="230"/>
    </row>
    <row r="137" spans="3:13" x14ac:dyDescent="0.25">
      <c r="C137" s="230"/>
      <c r="D137" s="230"/>
      <c r="E137" s="230"/>
      <c r="F137" s="230"/>
      <c r="G137" s="230"/>
      <c r="H137" s="230"/>
      <c r="I137" s="230"/>
      <c r="J137" s="230"/>
      <c r="K137" s="230"/>
      <c r="L137" s="230"/>
      <c r="M137" s="230"/>
    </row>
  </sheetData>
  <mergeCells count="16">
    <mergeCell ref="A5:A6"/>
    <mergeCell ref="B5:B6"/>
    <mergeCell ref="C5:C6"/>
    <mergeCell ref="D5:D6"/>
    <mergeCell ref="E5:E6"/>
    <mergeCell ref="F5:F6"/>
    <mergeCell ref="C131:M137"/>
    <mergeCell ref="C128:M129"/>
    <mergeCell ref="K1:L1"/>
    <mergeCell ref="M5:M6"/>
    <mergeCell ref="G5:G6"/>
    <mergeCell ref="H5:H6"/>
    <mergeCell ref="I5:I6"/>
    <mergeCell ref="J5:J6"/>
    <mergeCell ref="K5:K6"/>
    <mergeCell ref="L5:L6"/>
  </mergeCells>
  <phoneticPr fontId="24" type="noConversion"/>
  <pageMargins left="0.25" right="0.25"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3"/>
  <sheetViews>
    <sheetView topLeftCell="A7" workbookViewId="0">
      <selection activeCell="N2" sqref="N2"/>
    </sheetView>
  </sheetViews>
  <sheetFormatPr baseColWidth="10" defaultRowHeight="15" x14ac:dyDescent="0.25"/>
  <cols>
    <col min="1" max="1" width="8.42578125" customWidth="1"/>
    <col min="2" max="2" width="17.7109375" customWidth="1"/>
    <col min="3" max="3" width="8.85546875" customWidth="1"/>
    <col min="12" max="12" width="13.7109375" customWidth="1"/>
    <col min="13" max="13" width="11.42578125" hidden="1" customWidth="1"/>
  </cols>
  <sheetData>
    <row r="1" spans="1:15" x14ac:dyDescent="0.25">
      <c r="A1" s="46"/>
      <c r="B1" s="47"/>
      <c r="C1" s="47"/>
      <c r="D1" s="48" t="s">
        <v>15</v>
      </c>
      <c r="E1" s="48"/>
      <c r="F1" s="47"/>
      <c r="G1" s="47"/>
      <c r="H1" s="47"/>
      <c r="I1" s="47"/>
      <c r="J1" s="47"/>
      <c r="K1" s="47"/>
      <c r="L1" s="48" t="s">
        <v>48</v>
      </c>
      <c r="M1" s="47"/>
      <c r="N1" s="50" t="str">
        <f>RESUMEN!C5</f>
        <v>VTO. 16/06</v>
      </c>
      <c r="O1" s="50"/>
    </row>
    <row r="2" spans="1:15" x14ac:dyDescent="0.25">
      <c r="A2" s="47"/>
      <c r="B2" s="49"/>
      <c r="C2" s="49"/>
      <c r="D2" s="48" t="s">
        <v>16</v>
      </c>
      <c r="E2" s="47"/>
      <c r="F2" s="47"/>
      <c r="G2" s="47"/>
      <c r="H2" s="47"/>
      <c r="I2" s="47"/>
      <c r="J2" s="47"/>
      <c r="K2" s="47"/>
      <c r="L2" s="47"/>
      <c r="M2" s="47"/>
      <c r="N2" s="47"/>
      <c r="O2" s="47"/>
    </row>
    <row r="3" spans="1:15" x14ac:dyDescent="0.25">
      <c r="A3" s="47"/>
      <c r="B3" s="49"/>
      <c r="C3" s="49"/>
      <c r="D3" s="48"/>
      <c r="E3" s="47"/>
      <c r="F3" s="47"/>
      <c r="G3" s="47"/>
      <c r="H3" s="47"/>
      <c r="I3" s="47"/>
      <c r="J3" s="48" t="s">
        <v>49</v>
      </c>
      <c r="K3" s="48"/>
      <c r="L3" s="51">
        <v>249991.29847799998</v>
      </c>
      <c r="M3" s="47"/>
      <c r="N3" s="52">
        <v>-1891.33</v>
      </c>
      <c r="O3" s="52"/>
    </row>
    <row r="4" spans="1:15" ht="15.75" thickBot="1" x14ac:dyDescent="0.3">
      <c r="A4" s="47"/>
      <c r="B4" s="49"/>
      <c r="C4" s="49"/>
      <c r="D4" s="48"/>
      <c r="E4" s="47"/>
      <c r="F4" s="47"/>
      <c r="G4" s="47"/>
      <c r="H4" s="47"/>
      <c r="I4" s="47"/>
      <c r="J4" s="48" t="s">
        <v>50</v>
      </c>
      <c r="K4" s="48"/>
      <c r="L4" s="51">
        <v>0</v>
      </c>
      <c r="M4" s="47"/>
      <c r="N4" s="47"/>
      <c r="O4" s="47"/>
    </row>
    <row r="5" spans="1:15" ht="30" x14ac:dyDescent="0.25">
      <c r="A5" s="244" t="s">
        <v>51</v>
      </c>
      <c r="B5" s="244" t="s">
        <v>20</v>
      </c>
      <c r="C5" s="53" t="s">
        <v>52</v>
      </c>
      <c r="D5" s="33" t="s">
        <v>21</v>
      </c>
      <c r="E5" s="33" t="s">
        <v>22</v>
      </c>
      <c r="F5" s="244" t="s">
        <v>53</v>
      </c>
      <c r="G5" s="35" t="s">
        <v>54</v>
      </c>
      <c r="H5" s="36" t="s">
        <v>25</v>
      </c>
      <c r="I5" s="34" t="s">
        <v>55</v>
      </c>
      <c r="J5" s="37" t="s">
        <v>26</v>
      </c>
      <c r="K5" s="38" t="s">
        <v>26</v>
      </c>
      <c r="L5" s="35" t="s">
        <v>27</v>
      </c>
      <c r="M5" s="39"/>
      <c r="N5" s="244" t="s">
        <v>56</v>
      </c>
      <c r="O5" s="244" t="s">
        <v>57</v>
      </c>
    </row>
    <row r="6" spans="1:15" x14ac:dyDescent="0.25">
      <c r="A6" s="245"/>
      <c r="B6" s="245"/>
      <c r="C6" s="54" t="s">
        <v>58</v>
      </c>
      <c r="D6" s="40" t="s">
        <v>28</v>
      </c>
      <c r="E6" s="40" t="s">
        <v>29</v>
      </c>
      <c r="F6" s="245"/>
      <c r="G6" s="42" t="s">
        <v>59</v>
      </c>
      <c r="H6" s="43">
        <v>0.06</v>
      </c>
      <c r="I6" s="41" t="s">
        <v>60</v>
      </c>
      <c r="J6" s="44" t="s">
        <v>30</v>
      </c>
      <c r="K6" s="45" t="s">
        <v>61</v>
      </c>
      <c r="L6" s="42" t="s">
        <v>62</v>
      </c>
      <c r="M6" s="45"/>
      <c r="N6" s="245"/>
      <c r="O6" s="245"/>
    </row>
    <row r="7" spans="1:15" ht="15" customHeight="1" x14ac:dyDescent="0.25">
      <c r="A7" s="13">
        <v>1</v>
      </c>
      <c r="B7" s="82" t="s">
        <v>41</v>
      </c>
      <c r="C7" s="85">
        <v>5.4</v>
      </c>
      <c r="D7" s="5">
        <v>13967.239436680005</v>
      </c>
      <c r="E7" s="56">
        <f>D7</f>
        <v>13967.239436680005</v>
      </c>
      <c r="F7" s="21">
        <v>0</v>
      </c>
      <c r="G7" s="19">
        <v>0</v>
      </c>
      <c r="H7" s="25">
        <v>0</v>
      </c>
      <c r="I7" s="15">
        <v>0.54</v>
      </c>
      <c r="J7" s="21">
        <v>11608.200117812001</v>
      </c>
      <c r="K7" s="27">
        <v>0</v>
      </c>
      <c r="L7" s="19">
        <v>11608.200117812001</v>
      </c>
      <c r="M7" s="16"/>
      <c r="N7" s="5">
        <v>11608.200117812001</v>
      </c>
      <c r="O7" s="5">
        <v>12304.692124880721</v>
      </c>
    </row>
    <row r="8" spans="1:15" ht="15" customHeight="1" x14ac:dyDescent="0.25">
      <c r="A8" s="13">
        <v>2</v>
      </c>
      <c r="B8" s="82" t="s">
        <v>41</v>
      </c>
      <c r="C8" s="85">
        <v>5.5</v>
      </c>
      <c r="D8" s="5">
        <v>14267.901278100004</v>
      </c>
      <c r="E8" s="56">
        <f t="shared" ref="E8:E28" si="0">D8</f>
        <v>14267.901278100004</v>
      </c>
      <c r="F8" s="21">
        <v>0</v>
      </c>
      <c r="G8" s="19">
        <v>0</v>
      </c>
      <c r="H8" s="25">
        <v>0</v>
      </c>
      <c r="I8" s="15">
        <v>0.55000000000000004</v>
      </c>
      <c r="J8" s="21">
        <v>11858.191416289999</v>
      </c>
      <c r="K8" s="27">
        <v>0</v>
      </c>
      <c r="L8" s="19">
        <v>11858.191416289999</v>
      </c>
      <c r="M8" s="16"/>
      <c r="N8" s="5">
        <v>11858.191416289999</v>
      </c>
      <c r="O8" s="5">
        <v>12569.682901267399</v>
      </c>
    </row>
    <row r="9" spans="1:15" ht="15" customHeight="1" x14ac:dyDescent="0.25">
      <c r="A9" s="13">
        <v>3</v>
      </c>
      <c r="B9" s="82" t="s">
        <v>43</v>
      </c>
      <c r="C9" s="85">
        <v>4.5</v>
      </c>
      <c r="D9" s="5">
        <v>11261.282863900002</v>
      </c>
      <c r="E9" s="56">
        <f t="shared" si="0"/>
        <v>11261.282863900002</v>
      </c>
      <c r="F9" s="21">
        <v>0</v>
      </c>
      <c r="G9" s="19">
        <v>0</v>
      </c>
      <c r="H9" s="25">
        <v>0</v>
      </c>
      <c r="I9" s="15">
        <v>0.45</v>
      </c>
      <c r="J9" s="21">
        <v>9358.278431509998</v>
      </c>
      <c r="K9" s="27">
        <v>0</v>
      </c>
      <c r="L9" s="19">
        <v>9358.278431509998</v>
      </c>
      <c r="M9" s="16"/>
      <c r="N9" s="5">
        <v>9358.278431509998</v>
      </c>
      <c r="O9" s="5">
        <v>9919.7751374005984</v>
      </c>
    </row>
    <row r="10" spans="1:15" ht="15" customHeight="1" x14ac:dyDescent="0.25">
      <c r="A10" s="13">
        <v>4</v>
      </c>
      <c r="B10" s="82" t="s">
        <v>43</v>
      </c>
      <c r="C10" s="85">
        <v>6.1</v>
      </c>
      <c r="D10" s="5">
        <v>16071.872326620005</v>
      </c>
      <c r="E10" s="56">
        <f t="shared" si="0"/>
        <v>16071.872326620005</v>
      </c>
      <c r="F10" s="21">
        <v>0</v>
      </c>
      <c r="G10" s="19">
        <v>0</v>
      </c>
      <c r="H10" s="25">
        <v>0</v>
      </c>
      <c r="I10" s="15">
        <v>0.61</v>
      </c>
      <c r="J10" s="21">
        <v>13358.139207157999</v>
      </c>
      <c r="K10" s="27">
        <v>0</v>
      </c>
      <c r="L10" s="19">
        <v>13358.139207157999</v>
      </c>
      <c r="M10" s="16"/>
      <c r="N10" s="5">
        <v>13358.139207157999</v>
      </c>
      <c r="O10" s="5">
        <v>14159.627559587479</v>
      </c>
    </row>
    <row r="11" spans="1:15" ht="15" customHeight="1" x14ac:dyDescent="0.25">
      <c r="A11" s="13">
        <v>5</v>
      </c>
      <c r="B11" s="82" t="s">
        <v>31</v>
      </c>
      <c r="C11" s="85">
        <v>5.4</v>
      </c>
      <c r="D11" s="5">
        <v>13967.239436680005</v>
      </c>
      <c r="E11" s="56">
        <f t="shared" si="0"/>
        <v>13967.239436680005</v>
      </c>
      <c r="F11" s="21">
        <v>0</v>
      </c>
      <c r="G11" s="19">
        <v>0</v>
      </c>
      <c r="H11" s="25">
        <v>0</v>
      </c>
      <c r="I11" s="15">
        <v>0.54</v>
      </c>
      <c r="J11" s="21">
        <v>11608.200117812001</v>
      </c>
      <c r="K11" s="27">
        <v>0</v>
      </c>
      <c r="L11" s="19">
        <v>11608.200117812001</v>
      </c>
      <c r="M11" s="16"/>
      <c r="N11" s="5">
        <v>11608.200117812001</v>
      </c>
      <c r="O11" s="5">
        <v>12304.692124880721</v>
      </c>
    </row>
    <row r="12" spans="1:15" ht="15" customHeight="1" x14ac:dyDescent="0.25">
      <c r="A12" s="13">
        <v>6</v>
      </c>
      <c r="B12" s="83" t="s">
        <v>33</v>
      </c>
      <c r="C12" s="85">
        <v>5</v>
      </c>
      <c r="D12" s="5">
        <v>12764.592071000003</v>
      </c>
      <c r="E12" s="56">
        <f t="shared" si="0"/>
        <v>12764.592071000003</v>
      </c>
      <c r="F12" s="21">
        <v>0</v>
      </c>
      <c r="G12" s="19">
        <v>0</v>
      </c>
      <c r="H12" s="25">
        <v>0</v>
      </c>
      <c r="I12" s="15">
        <v>0.5</v>
      </c>
      <c r="J12" s="21">
        <v>10608.2349239</v>
      </c>
      <c r="K12" s="27">
        <v>0</v>
      </c>
      <c r="L12" s="19">
        <v>10608.2349239</v>
      </c>
      <c r="M12" s="16"/>
      <c r="N12" s="5">
        <v>10608.2349239</v>
      </c>
      <c r="O12" s="5">
        <v>11244.729019334</v>
      </c>
    </row>
    <row r="13" spans="1:15" ht="15" customHeight="1" x14ac:dyDescent="0.25">
      <c r="A13" s="13">
        <v>7</v>
      </c>
      <c r="B13" s="82" t="s">
        <v>41</v>
      </c>
      <c r="C13" s="85">
        <v>5</v>
      </c>
      <c r="D13" s="5">
        <v>12764.592071000003</v>
      </c>
      <c r="E13" s="56">
        <f t="shared" si="0"/>
        <v>12764.592071000003</v>
      </c>
      <c r="F13" s="21">
        <v>0</v>
      </c>
      <c r="G13" s="19">
        <v>0</v>
      </c>
      <c r="H13" s="25">
        <v>0</v>
      </c>
      <c r="I13" s="15">
        <v>0.5</v>
      </c>
      <c r="J13" s="21">
        <v>10608.2349239</v>
      </c>
      <c r="K13" s="27">
        <v>0</v>
      </c>
      <c r="L13" s="19">
        <v>10608.2349239</v>
      </c>
      <c r="M13" s="16"/>
      <c r="N13" s="5">
        <v>10608.2349239</v>
      </c>
      <c r="O13" s="5">
        <v>11244.729019334</v>
      </c>
    </row>
    <row r="14" spans="1:15" ht="15" customHeight="1" x14ac:dyDescent="0.25">
      <c r="A14" s="13">
        <v>8</v>
      </c>
      <c r="B14" s="82" t="s">
        <v>40</v>
      </c>
      <c r="C14" s="85">
        <v>4.9000000000000004</v>
      </c>
      <c r="D14" s="5">
        <v>12463.930229580003</v>
      </c>
      <c r="E14" s="56">
        <f t="shared" si="0"/>
        <v>12463.930229580003</v>
      </c>
      <c r="F14" s="21">
        <v>0</v>
      </c>
      <c r="G14" s="19">
        <v>0</v>
      </c>
      <c r="H14" s="25">
        <v>0</v>
      </c>
      <c r="I14" s="15">
        <v>0.49</v>
      </c>
      <c r="J14" s="21">
        <v>10358.243625421999</v>
      </c>
      <c r="K14" s="27">
        <v>0</v>
      </c>
      <c r="L14" s="19">
        <v>10358.243625421999</v>
      </c>
      <c r="M14" s="16"/>
      <c r="N14" s="5">
        <v>10358.243625421999</v>
      </c>
      <c r="O14" s="5">
        <v>10979.738242947318</v>
      </c>
    </row>
    <row r="15" spans="1:15" ht="15" customHeight="1" x14ac:dyDescent="0.25">
      <c r="A15" s="13">
        <v>9</v>
      </c>
      <c r="B15" s="82" t="s">
        <v>37</v>
      </c>
      <c r="C15" s="85">
        <v>4.9000000000000004</v>
      </c>
      <c r="D15" s="5">
        <v>12463.930229580003</v>
      </c>
      <c r="E15" s="56">
        <f t="shared" si="0"/>
        <v>12463.930229580003</v>
      </c>
      <c r="F15" s="21">
        <v>0</v>
      </c>
      <c r="G15" s="19">
        <v>0</v>
      </c>
      <c r="H15" s="25">
        <v>0</v>
      </c>
      <c r="I15" s="15">
        <v>0.49</v>
      </c>
      <c r="J15" s="21">
        <v>10358.243625421999</v>
      </c>
      <c r="K15" s="27">
        <v>0</v>
      </c>
      <c r="L15" s="19">
        <v>10358.243625421999</v>
      </c>
      <c r="M15" s="16"/>
      <c r="N15" s="5">
        <v>10358.243625421999</v>
      </c>
      <c r="O15" s="5">
        <v>10979.738242947318</v>
      </c>
    </row>
    <row r="16" spans="1:15" ht="15" customHeight="1" x14ac:dyDescent="0.25">
      <c r="A16" s="13">
        <v>10</v>
      </c>
      <c r="B16" s="82" t="s">
        <v>42</v>
      </c>
      <c r="C16" s="85">
        <v>5.9</v>
      </c>
      <c r="D16" s="5">
        <v>15470.548643780005</v>
      </c>
      <c r="E16" s="56">
        <f t="shared" si="0"/>
        <v>15470.548643780005</v>
      </c>
      <c r="F16" s="21">
        <v>0</v>
      </c>
      <c r="G16" s="19">
        <v>0</v>
      </c>
      <c r="H16" s="25">
        <v>0</v>
      </c>
      <c r="I16" s="15">
        <v>0.59</v>
      </c>
      <c r="J16" s="21">
        <v>12858.156610202001</v>
      </c>
      <c r="K16" s="27">
        <v>0</v>
      </c>
      <c r="L16" s="19">
        <v>12858.156610202001</v>
      </c>
      <c r="M16" s="16"/>
      <c r="N16" s="5">
        <v>12858.156610202001</v>
      </c>
      <c r="O16" s="5">
        <v>13629.64600681412</v>
      </c>
    </row>
    <row r="17" spans="1:15" ht="15" customHeight="1" x14ac:dyDescent="0.25">
      <c r="A17" s="13">
        <v>11</v>
      </c>
      <c r="B17" s="82" t="s">
        <v>42</v>
      </c>
      <c r="C17" s="85">
        <v>5.7</v>
      </c>
      <c r="D17" s="5">
        <v>14869.224960940002</v>
      </c>
      <c r="E17" s="56">
        <f t="shared" si="0"/>
        <v>14869.224960940002</v>
      </c>
      <c r="F17" s="21">
        <v>0</v>
      </c>
      <c r="G17" s="19">
        <v>0</v>
      </c>
      <c r="H17" s="25">
        <v>0</v>
      </c>
      <c r="I17" s="15">
        <v>0.56999999999999995</v>
      </c>
      <c r="J17" s="21">
        <v>12358.174013246</v>
      </c>
      <c r="K17" s="27">
        <v>0</v>
      </c>
      <c r="L17" s="19">
        <v>12358.174013246</v>
      </c>
      <c r="M17" s="16"/>
      <c r="N17" s="5">
        <v>12358.174013246</v>
      </c>
      <c r="O17" s="5">
        <v>13099.66445404076</v>
      </c>
    </row>
    <row r="18" spans="1:15" ht="15" customHeight="1" x14ac:dyDescent="0.25">
      <c r="A18" s="13">
        <v>12</v>
      </c>
      <c r="B18" s="82" t="s">
        <v>36</v>
      </c>
      <c r="C18" s="85">
        <v>5.4</v>
      </c>
      <c r="D18" s="5">
        <v>13967.239436680005</v>
      </c>
      <c r="E18" s="56">
        <f t="shared" si="0"/>
        <v>13967.239436680005</v>
      </c>
      <c r="F18" s="21">
        <v>0</v>
      </c>
      <c r="G18" s="19">
        <v>0</v>
      </c>
      <c r="H18" s="25">
        <v>0</v>
      </c>
      <c r="I18" s="15">
        <v>0.54</v>
      </c>
      <c r="J18" s="21">
        <v>11608.200117812001</v>
      </c>
      <c r="K18" s="27">
        <v>0</v>
      </c>
      <c r="L18" s="19">
        <v>11608.200117812001</v>
      </c>
      <c r="M18" s="16"/>
      <c r="N18" s="5">
        <v>11608.200117812001</v>
      </c>
      <c r="O18" s="5">
        <v>12304.692124880721</v>
      </c>
    </row>
    <row r="19" spans="1:15" ht="15" customHeight="1" x14ac:dyDescent="0.25">
      <c r="A19" s="13">
        <v>13</v>
      </c>
      <c r="B19" s="82" t="s">
        <v>44</v>
      </c>
      <c r="C19" s="85">
        <v>5.5</v>
      </c>
      <c r="D19" s="5">
        <v>14267.901278100004</v>
      </c>
      <c r="E19" s="56">
        <f t="shared" si="0"/>
        <v>14267.901278100004</v>
      </c>
      <c r="F19" s="21">
        <v>0</v>
      </c>
      <c r="G19" s="19">
        <v>0</v>
      </c>
      <c r="H19" s="25">
        <v>0</v>
      </c>
      <c r="I19" s="15">
        <v>0.55000000000000004</v>
      </c>
      <c r="J19" s="21">
        <v>11858.191416289999</v>
      </c>
      <c r="K19" s="27">
        <v>0</v>
      </c>
      <c r="L19" s="19">
        <v>11858.191416289999</v>
      </c>
      <c r="M19" s="16"/>
      <c r="N19" s="5">
        <v>11858.191416289999</v>
      </c>
      <c r="O19" s="5">
        <v>12569.682901267399</v>
      </c>
    </row>
    <row r="20" spans="1:15" ht="15" customHeight="1" x14ac:dyDescent="0.25">
      <c r="A20" s="13">
        <v>14</v>
      </c>
      <c r="B20" s="82" t="s">
        <v>44</v>
      </c>
      <c r="C20" s="85">
        <v>4.5</v>
      </c>
      <c r="D20" s="5">
        <v>11261.282863900002</v>
      </c>
      <c r="E20" s="56">
        <f t="shared" si="0"/>
        <v>11261.282863900002</v>
      </c>
      <c r="F20" s="21">
        <v>0</v>
      </c>
      <c r="G20" s="19">
        <v>0</v>
      </c>
      <c r="H20" s="25">
        <v>0</v>
      </c>
      <c r="I20" s="15">
        <v>0.45</v>
      </c>
      <c r="J20" s="21">
        <v>9358.278431509998</v>
      </c>
      <c r="K20" s="27">
        <v>0</v>
      </c>
      <c r="L20" s="19">
        <v>9358.278431509998</v>
      </c>
      <c r="M20" s="16"/>
      <c r="N20" s="5">
        <v>9358.278431509998</v>
      </c>
      <c r="O20" s="5">
        <v>9919.7751374005984</v>
      </c>
    </row>
    <row r="21" spans="1:15" ht="15" customHeight="1" x14ac:dyDescent="0.25">
      <c r="A21" s="13">
        <v>15</v>
      </c>
      <c r="B21" s="82" t="s">
        <v>44</v>
      </c>
      <c r="C21" s="85">
        <v>6.1</v>
      </c>
      <c r="D21" s="5">
        <v>16071.872326620005</v>
      </c>
      <c r="E21" s="56">
        <f t="shared" si="0"/>
        <v>16071.872326620005</v>
      </c>
      <c r="F21" s="21">
        <v>0</v>
      </c>
      <c r="G21" s="19">
        <v>0</v>
      </c>
      <c r="H21" s="5">
        <v>0</v>
      </c>
      <c r="I21" s="15">
        <v>0.61</v>
      </c>
      <c r="J21" s="21">
        <v>13358.139207157999</v>
      </c>
      <c r="K21" s="27">
        <v>0</v>
      </c>
      <c r="L21" s="19">
        <v>13358.139207157999</v>
      </c>
      <c r="M21" s="16"/>
      <c r="N21" s="5">
        <v>13358.139207157999</v>
      </c>
      <c r="O21" s="5">
        <v>14159.627559587479</v>
      </c>
    </row>
    <row r="22" spans="1:15" ht="15" customHeight="1" x14ac:dyDescent="0.25">
      <c r="A22" s="13">
        <v>16</v>
      </c>
      <c r="B22" s="82" t="s">
        <v>38</v>
      </c>
      <c r="C22" s="85">
        <v>5.4</v>
      </c>
      <c r="D22" s="5">
        <v>13967.239436680005</v>
      </c>
      <c r="E22" s="56">
        <f t="shared" si="0"/>
        <v>13967.239436680005</v>
      </c>
      <c r="F22" s="21">
        <v>0</v>
      </c>
      <c r="G22" s="19">
        <v>0</v>
      </c>
      <c r="H22" s="25">
        <v>0</v>
      </c>
      <c r="I22" s="15">
        <v>0.54</v>
      </c>
      <c r="J22" s="21">
        <v>11608.200117812001</v>
      </c>
      <c r="K22" s="27">
        <v>0</v>
      </c>
      <c r="L22" s="19">
        <v>11608.200117812001</v>
      </c>
      <c r="M22" s="16"/>
      <c r="N22" s="5">
        <v>11608.200117812001</v>
      </c>
      <c r="O22" s="5">
        <v>12304.692124880721</v>
      </c>
    </row>
    <row r="23" spans="1:15" ht="15" customHeight="1" x14ac:dyDescent="0.25">
      <c r="A23" s="13">
        <v>17</v>
      </c>
      <c r="B23" s="82" t="s">
        <v>39</v>
      </c>
      <c r="C23" s="85">
        <v>5</v>
      </c>
      <c r="D23" s="5">
        <v>12764.592071000003</v>
      </c>
      <c r="E23" s="56">
        <f t="shared" si="0"/>
        <v>12764.592071000003</v>
      </c>
      <c r="F23" s="21">
        <v>0</v>
      </c>
      <c r="G23" s="19">
        <v>0</v>
      </c>
      <c r="H23" s="25">
        <v>0</v>
      </c>
      <c r="I23" s="15">
        <v>0.5</v>
      </c>
      <c r="J23" s="21">
        <v>10608.2349239</v>
      </c>
      <c r="K23" s="27">
        <v>0</v>
      </c>
      <c r="L23" s="19">
        <v>10608.2349239</v>
      </c>
      <c r="M23" s="16"/>
      <c r="N23" s="5">
        <v>10608.2349239</v>
      </c>
      <c r="O23" s="5">
        <v>11244.729019334</v>
      </c>
    </row>
    <row r="24" spans="1:15" ht="15" customHeight="1" x14ac:dyDescent="0.25">
      <c r="A24" s="13">
        <v>18</v>
      </c>
      <c r="B24" s="82" t="s">
        <v>34</v>
      </c>
      <c r="C24" s="85">
        <v>5</v>
      </c>
      <c r="D24" s="5">
        <v>12764.592071000003</v>
      </c>
      <c r="E24" s="56">
        <f t="shared" si="0"/>
        <v>12764.592071000003</v>
      </c>
      <c r="F24" s="21">
        <v>0</v>
      </c>
      <c r="G24" s="19">
        <v>0</v>
      </c>
      <c r="H24" s="25">
        <v>0</v>
      </c>
      <c r="I24" s="15">
        <v>0.5</v>
      </c>
      <c r="J24" s="21">
        <v>10608.2349239</v>
      </c>
      <c r="K24" s="27">
        <v>0</v>
      </c>
      <c r="L24" s="19">
        <v>10608.2349239</v>
      </c>
      <c r="M24" s="16"/>
      <c r="N24" s="5">
        <v>10608.2349239</v>
      </c>
      <c r="O24" s="5">
        <v>11244.729019334</v>
      </c>
    </row>
    <row r="25" spans="1:15" ht="15" customHeight="1" x14ac:dyDescent="0.25">
      <c r="A25" s="13">
        <v>19</v>
      </c>
      <c r="B25" s="82" t="s">
        <v>34</v>
      </c>
      <c r="C25" s="85">
        <v>4.9000000000000004</v>
      </c>
      <c r="D25" s="5">
        <v>12463.930229580003</v>
      </c>
      <c r="E25" s="56">
        <f t="shared" si="0"/>
        <v>12463.930229580003</v>
      </c>
      <c r="F25" s="21">
        <v>0</v>
      </c>
      <c r="G25" s="19">
        <v>0</v>
      </c>
      <c r="H25" s="25">
        <v>0</v>
      </c>
      <c r="I25" s="15">
        <v>0.49</v>
      </c>
      <c r="J25" s="21">
        <v>10358.243625421999</v>
      </c>
      <c r="K25" s="27">
        <v>0</v>
      </c>
      <c r="L25" s="19">
        <v>10358.243625421999</v>
      </c>
      <c r="M25" s="16"/>
      <c r="N25" s="5">
        <v>10358.243625421999</v>
      </c>
      <c r="O25" s="5">
        <v>10979.738242947318</v>
      </c>
    </row>
    <row r="26" spans="1:15" ht="15" customHeight="1" x14ac:dyDescent="0.25">
      <c r="A26" s="13">
        <v>20</v>
      </c>
      <c r="B26" s="82" t="s">
        <v>63</v>
      </c>
      <c r="C26" s="85">
        <v>4.9000000000000004</v>
      </c>
      <c r="D26" s="5">
        <v>12463.930229580003</v>
      </c>
      <c r="E26" s="56">
        <f t="shared" si="0"/>
        <v>12463.930229580003</v>
      </c>
      <c r="F26" s="21">
        <v>0</v>
      </c>
      <c r="G26" s="19">
        <v>0</v>
      </c>
      <c r="H26" s="25">
        <v>0</v>
      </c>
      <c r="I26" s="15">
        <v>0.49</v>
      </c>
      <c r="J26" s="21">
        <v>10358.243625421999</v>
      </c>
      <c r="K26" s="27">
        <v>0</v>
      </c>
      <c r="L26" s="19">
        <v>10358.243625421999</v>
      </c>
      <c r="M26" s="16"/>
      <c r="N26" s="5">
        <v>10358.243625421999</v>
      </c>
      <c r="O26" s="5">
        <v>10979.738242947318</v>
      </c>
    </row>
    <row r="27" spans="1:15" ht="15" customHeight="1" x14ac:dyDescent="0.25">
      <c r="A27" s="13">
        <v>21</v>
      </c>
      <c r="B27" s="82" t="s">
        <v>32</v>
      </c>
      <c r="C27" s="85">
        <v>5.9</v>
      </c>
      <c r="D27" s="5">
        <v>15470.548643780005</v>
      </c>
      <c r="E27" s="56">
        <f t="shared" si="0"/>
        <v>15470.548643780005</v>
      </c>
      <c r="F27" s="21">
        <v>0</v>
      </c>
      <c r="G27" s="19">
        <v>0</v>
      </c>
      <c r="H27" s="25">
        <v>0</v>
      </c>
      <c r="I27" s="15">
        <v>0.59</v>
      </c>
      <c r="J27" s="21">
        <v>12858.156610202001</v>
      </c>
      <c r="K27" s="27">
        <v>0</v>
      </c>
      <c r="L27" s="19">
        <v>12858.156610202001</v>
      </c>
      <c r="M27" s="16"/>
      <c r="N27" s="5">
        <v>12858.156610202001</v>
      </c>
      <c r="O27" s="5">
        <v>13629.64600681412</v>
      </c>
    </row>
    <row r="28" spans="1:15" ht="15" customHeight="1" x14ac:dyDescent="0.25">
      <c r="A28" s="13">
        <v>22</v>
      </c>
      <c r="B28" s="84" t="s">
        <v>35</v>
      </c>
      <c r="C28" s="85">
        <v>5.7</v>
      </c>
      <c r="D28" s="5">
        <v>14869.224960940002</v>
      </c>
      <c r="E28" s="56">
        <f t="shared" si="0"/>
        <v>14869.224960940002</v>
      </c>
      <c r="F28" s="21">
        <v>0</v>
      </c>
      <c r="G28" s="19">
        <v>0</v>
      </c>
      <c r="H28" s="25">
        <v>0</v>
      </c>
      <c r="I28" s="15">
        <v>0.56999999999999995</v>
      </c>
      <c r="J28" s="21">
        <v>12358.174013246</v>
      </c>
      <c r="K28" s="27">
        <v>0</v>
      </c>
      <c r="L28" s="19">
        <v>12358.174013246</v>
      </c>
      <c r="M28" s="16"/>
      <c r="N28" s="5">
        <v>12358.174013246</v>
      </c>
      <c r="O28" s="5">
        <v>13099.66445404076</v>
      </c>
    </row>
    <row r="29" spans="1:15" x14ac:dyDescent="0.25">
      <c r="A29" s="13"/>
      <c r="B29" s="32"/>
      <c r="C29" s="32"/>
      <c r="D29" s="5"/>
      <c r="E29" s="5"/>
      <c r="F29" s="21"/>
      <c r="G29" s="19"/>
      <c r="H29" s="25"/>
      <c r="I29" s="15"/>
      <c r="J29" s="21"/>
      <c r="K29" s="27"/>
      <c r="L29" s="19"/>
      <c r="M29" s="16"/>
      <c r="N29" s="5"/>
      <c r="O29" s="5"/>
    </row>
    <row r="30" spans="1:15" ht="15.75" thickBot="1" x14ac:dyDescent="0.3">
      <c r="A30" s="11"/>
      <c r="B30" s="12"/>
      <c r="C30" s="55">
        <v>116.60000000000001</v>
      </c>
      <c r="D30" s="24">
        <v>161487.47195715201</v>
      </c>
      <c r="E30" s="28">
        <v>161487.47195715201</v>
      </c>
      <c r="F30" s="26">
        <v>0</v>
      </c>
      <c r="G30" s="30">
        <v>0</v>
      </c>
      <c r="H30" s="29">
        <v>0</v>
      </c>
      <c r="I30" s="14">
        <v>11.66</v>
      </c>
      <c r="J30" s="22">
        <v>249880.59402534799</v>
      </c>
      <c r="K30" s="23">
        <v>0</v>
      </c>
      <c r="L30" s="20">
        <v>249880.59402534799</v>
      </c>
      <c r="M30" s="17"/>
      <c r="N30" s="18">
        <v>249880.59402534799</v>
      </c>
      <c r="O30" s="18">
        <v>264873.42966686888</v>
      </c>
    </row>
    <row r="33" spans="5:6" x14ac:dyDescent="0.25">
      <c r="E33" s="31"/>
      <c r="F33" s="31"/>
    </row>
  </sheetData>
  <mergeCells count="5">
    <mergeCell ref="A5:A6"/>
    <mergeCell ref="B5:B6"/>
    <mergeCell ref="F5:F6"/>
    <mergeCell ref="N5:N6"/>
    <mergeCell ref="O5:O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COCHERA</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2025-06-10T16:54:21Z</cp:lastPrinted>
  <dcterms:created xsi:type="dcterms:W3CDTF">2023-09-17T12:29:07Z</dcterms:created>
  <dcterms:modified xsi:type="dcterms:W3CDTF">2025-06-16T21:36:37Z</dcterms:modified>
</cp:coreProperties>
</file>