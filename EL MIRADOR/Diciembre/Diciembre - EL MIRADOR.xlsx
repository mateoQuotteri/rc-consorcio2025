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EL MIRADOR\Diciembre\"/>
    </mc:Choice>
  </mc:AlternateContent>
  <xr:revisionPtr revIDLastSave="0" documentId="13_ncr:1_{20538DCC-5140-407C-B5A6-72E5EE64E3B9}" xr6:coauthVersionLast="47" xr6:coauthVersionMax="47" xr10:uidLastSave="{00000000-0000-0000-0000-000000000000}"/>
  <bookViews>
    <workbookView xWindow="-108" yWindow="-108" windowWidth="23256" windowHeight="12576" xr2:uid="{00000000-000D-0000-FFFF-FFFF00000000}"/>
  </bookViews>
  <sheets>
    <sheet name="RESUMEN" sheetId="1" r:id="rId1"/>
    <sheet name="PRORRATEO" sheetId="2" r:id="rId2"/>
    <sheet name="ANOTACIONES" sheetId="3" r:id="rId3"/>
    <sheet name="SUELDOS" sheetId="5" r:id="rId4"/>
    <sheet name="Hoja1" sheetId="4" r:id="rId5"/>
  </sheets>
  <externalReferences>
    <externalReference r:id="rId6"/>
  </externalReferences>
  <definedNames>
    <definedName name="_xlnm.Print_Area" localSheetId="1">PRORRATEO!$A$1:$N$155</definedName>
    <definedName name="_xlnm.Print_Area" localSheetId="0">RESUMEN!$A$1:$J$156</definedName>
    <definedName name="_xlnm.Print_Area" localSheetId="3">SUELDOS!$A$3:$J$28</definedName>
  </definedNames>
  <calcPr calcId="181029"/>
</workbook>
</file>

<file path=xl/calcChain.xml><?xml version="1.0" encoding="utf-8"?>
<calcChain xmlns="http://schemas.openxmlformats.org/spreadsheetml/2006/main">
  <c r="E94" i="1" l="1"/>
  <c r="E82" i="1"/>
  <c r="K82" i="1"/>
  <c r="N82" i="1" s="1"/>
  <c r="E91" i="1"/>
  <c r="E90" i="1"/>
  <c r="K78" i="1"/>
  <c r="N78" i="1"/>
  <c r="E81" i="1"/>
  <c r="H23" i="2"/>
  <c r="D107" i="1"/>
  <c r="E93" i="1"/>
  <c r="E92" i="1"/>
  <c r="L26" i="2"/>
  <c r="H15" i="2" l="1"/>
  <c r="B141" i="1"/>
  <c r="H106" i="2"/>
  <c r="H77" i="2"/>
  <c r="H78" i="2"/>
  <c r="H73" i="2"/>
  <c r="H120" i="2"/>
  <c r="H29" i="2"/>
  <c r="H21" i="2"/>
  <c r="H65" i="2"/>
  <c r="H46" i="2"/>
  <c r="H79" i="2"/>
  <c r="H53" i="2"/>
  <c r="H66" i="2"/>
  <c r="H96" i="2"/>
  <c r="H48" i="2"/>
  <c r="K79" i="1"/>
  <c r="E77" i="1"/>
  <c r="E78" i="1"/>
  <c r="L79" i="1" s="1"/>
  <c r="E80" i="1"/>
  <c r="F77" i="1"/>
  <c r="G77" i="1"/>
  <c r="H77" i="1"/>
  <c r="I77" i="1"/>
  <c r="J77" i="1"/>
  <c r="E89" i="1"/>
  <c r="D58" i="1"/>
  <c r="D28" i="1"/>
  <c r="C20" i="5" l="1"/>
  <c r="C21" i="5"/>
  <c r="C22" i="5"/>
  <c r="C23" i="5"/>
  <c r="C24" i="5"/>
  <c r="C25" i="5"/>
  <c r="G20" i="5"/>
  <c r="G25" i="5"/>
  <c r="G19" i="5"/>
  <c r="C19" i="5"/>
  <c r="G6" i="5"/>
  <c r="G7" i="5"/>
  <c r="G8" i="5"/>
  <c r="G9" i="5"/>
  <c r="G10" i="5"/>
  <c r="C6" i="5"/>
  <c r="C7" i="5"/>
  <c r="C8" i="5"/>
  <c r="C9" i="5"/>
  <c r="C10" i="5"/>
  <c r="C5" i="5"/>
  <c r="G5" i="5"/>
  <c r="C3" i="5"/>
  <c r="C16" i="5" s="1"/>
  <c r="F16" i="5"/>
  <c r="F3" i="5"/>
  <c r="H103" i="2"/>
  <c r="H38" i="2"/>
  <c r="D39" i="1"/>
  <c r="G24" i="5" s="1"/>
  <c r="L133" i="2"/>
  <c r="H71" i="2"/>
  <c r="H72" i="2"/>
  <c r="H59" i="2"/>
  <c r="H126" i="2"/>
  <c r="H39" i="2"/>
  <c r="H93" i="2"/>
  <c r="H90" i="2"/>
  <c r="H58" i="2"/>
  <c r="H74" i="2"/>
  <c r="H128" i="2"/>
  <c r="H16" i="2"/>
  <c r="H95" i="2"/>
  <c r="H112" i="2"/>
  <c r="H52" i="2"/>
  <c r="H114" i="2"/>
  <c r="H83" i="2"/>
  <c r="C122" i="1"/>
  <c r="K69" i="1"/>
  <c r="K70" i="1"/>
  <c r="J70" i="1"/>
  <c r="I70" i="1"/>
  <c r="H70" i="1"/>
  <c r="G70" i="1"/>
  <c r="F70" i="1"/>
  <c r="E70" i="1"/>
  <c r="J69" i="1"/>
  <c r="I69" i="1"/>
  <c r="H69" i="1"/>
  <c r="G69" i="1"/>
  <c r="F69" i="1"/>
  <c r="E69" i="1"/>
  <c r="G12" i="5" l="1"/>
  <c r="L69" i="1"/>
  <c r="L70" i="1"/>
  <c r="D102" i="1" l="1"/>
  <c r="D95" i="1"/>
  <c r="D67" i="1"/>
  <c r="D83" i="1"/>
  <c r="H81" i="2" l="1"/>
  <c r="H64" i="2"/>
  <c r="H18" i="2" l="1"/>
  <c r="H75" i="2"/>
  <c r="H86" i="2"/>
  <c r="H41" i="2"/>
  <c r="H87" i="2"/>
  <c r="H82" i="2"/>
  <c r="H60" i="2"/>
  <c r="H24" i="2"/>
  <c r="D36" i="1"/>
  <c r="D38" i="1"/>
  <c r="G23" i="5" s="1"/>
  <c r="E88" i="1"/>
  <c r="G21" i="5" l="1"/>
  <c r="D37" i="1"/>
  <c r="G22" i="5" s="1"/>
  <c r="D32" i="1"/>
  <c r="L80" i="1"/>
  <c r="K80" i="1"/>
  <c r="N80" i="1" s="1"/>
  <c r="K74" i="1"/>
  <c r="H108" i="2"/>
  <c r="B148" i="1"/>
  <c r="B139" i="1" s="1"/>
  <c r="H56" i="2"/>
  <c r="H20" i="2"/>
  <c r="H44" i="2"/>
  <c r="H32" i="2"/>
  <c r="H105" i="2"/>
  <c r="G26" i="5" l="1"/>
  <c r="D41" i="1"/>
  <c r="D42" i="1" s="1"/>
  <c r="H26" i="2"/>
  <c r="C14" i="4"/>
  <c r="M13" i="2"/>
  <c r="N13" i="2"/>
  <c r="E74" i="1"/>
  <c r="L74" i="1" s="1"/>
  <c r="M74" i="1" s="1"/>
  <c r="N74" i="1"/>
  <c r="J76" i="1"/>
  <c r="I76" i="1"/>
  <c r="H76" i="1"/>
  <c r="G76" i="1"/>
  <c r="F76" i="1"/>
  <c r="E76" i="1"/>
  <c r="E75" i="1"/>
  <c r="J75" i="1"/>
  <c r="I75" i="1"/>
  <c r="H75" i="1"/>
  <c r="G75" i="1"/>
  <c r="F75" i="1"/>
  <c r="K76" i="1"/>
  <c r="N76" i="1" s="1"/>
  <c r="J87" i="1"/>
  <c r="I87" i="1"/>
  <c r="H87" i="1"/>
  <c r="G87" i="1"/>
  <c r="F87" i="1"/>
  <c r="E87" i="1"/>
  <c r="E50" i="1"/>
  <c r="H131" i="2"/>
  <c r="H118" i="2"/>
  <c r="H89" i="2"/>
  <c r="H92" i="2"/>
  <c r="H91" i="2"/>
  <c r="H101" i="2"/>
  <c r="H110" i="2"/>
  <c r="H37" i="2"/>
  <c r="H19" i="2"/>
  <c r="H57" i="2"/>
  <c r="H109" i="2"/>
  <c r="H94" i="2"/>
  <c r="H55" i="2"/>
  <c r="H49" i="2"/>
  <c r="H31" i="2"/>
  <c r="H122" i="2"/>
  <c r="H111" i="2"/>
  <c r="H51" i="2"/>
  <c r="H85" i="2"/>
  <c r="H100" i="2"/>
  <c r="H119" i="2"/>
  <c r="H129" i="2"/>
  <c r="H102" i="2"/>
  <c r="H98" i="2"/>
  <c r="H88" i="2"/>
  <c r="H130" i="2"/>
  <c r="H63" i="2"/>
  <c r="H115" i="2"/>
  <c r="H43" i="2"/>
  <c r="H33" i="2"/>
  <c r="H84" i="2"/>
  <c r="H113" i="2"/>
  <c r="H62" i="2"/>
  <c r="H61" i="2"/>
  <c r="H67" i="2"/>
  <c r="H127" i="2"/>
  <c r="H45" i="2"/>
  <c r="L76" i="1" l="1"/>
  <c r="M76" i="1" s="1"/>
  <c r="K19" i="2" l="1"/>
  <c r="O20" i="2" l="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E107" i="1"/>
  <c r="J107" i="1"/>
  <c r="I107" i="1"/>
  <c r="H107" i="1"/>
  <c r="G107" i="1"/>
  <c r="F107" i="1"/>
  <c r="F133" i="2"/>
  <c r="E71" i="1"/>
  <c r="E49" i="1"/>
  <c r="G58" i="1"/>
  <c r="D62" i="1"/>
  <c r="E62" i="1" s="1"/>
  <c r="J66" i="1"/>
  <c r="I66" i="1"/>
  <c r="H66" i="1"/>
  <c r="G66" i="1"/>
  <c r="F66" i="1"/>
  <c r="K107" i="1" l="1"/>
  <c r="L107" i="1" s="1"/>
  <c r="I62" i="1"/>
  <c r="J62" i="1"/>
  <c r="F62" i="1"/>
  <c r="G62" i="1"/>
  <c r="H62" i="1"/>
  <c r="E58" i="1"/>
  <c r="I58" i="1"/>
  <c r="F58" i="1"/>
  <c r="J58" i="1"/>
  <c r="H58" i="1"/>
  <c r="K72" i="1"/>
  <c r="E72" i="1"/>
  <c r="L72" i="1" s="1"/>
  <c r="J104" i="1"/>
  <c r="I104" i="1"/>
  <c r="H104" i="1"/>
  <c r="G104" i="1"/>
  <c r="F104" i="1"/>
  <c r="J103" i="1"/>
  <c r="I103" i="1"/>
  <c r="H103" i="1"/>
  <c r="G103" i="1"/>
  <c r="F103" i="1"/>
  <c r="J99" i="1"/>
  <c r="I99" i="1"/>
  <c r="I102" i="1" s="1"/>
  <c r="H99" i="1"/>
  <c r="H102" i="1" s="1"/>
  <c r="G99" i="1"/>
  <c r="G102" i="1" s="1"/>
  <c r="F99" i="1"/>
  <c r="F102" i="1" s="1"/>
  <c r="H95" i="1"/>
  <c r="G95" i="1"/>
  <c r="K71" i="1"/>
  <c r="I64" i="1"/>
  <c r="H64" i="1"/>
  <c r="G64" i="1"/>
  <c r="F64" i="1"/>
  <c r="J64" i="1"/>
  <c r="J30" i="2"/>
  <c r="E126" i="1"/>
  <c r="L75" i="1"/>
  <c r="M75" i="1" s="1"/>
  <c r="K75" i="1"/>
  <c r="N75" i="1" s="1"/>
  <c r="I65" i="1"/>
  <c r="E66" i="1"/>
  <c r="K66" i="1" s="1"/>
  <c r="E104" i="1"/>
  <c r="E103" i="1"/>
  <c r="E99" i="1"/>
  <c r="E64"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105" i="1"/>
  <c r="B155" i="1"/>
  <c r="K81" i="1"/>
  <c r="N81" i="1" s="1"/>
  <c r="L81" i="1"/>
  <c r="E95" i="1" l="1"/>
  <c r="I95" i="1"/>
  <c r="F95" i="1"/>
  <c r="K62" i="1"/>
  <c r="L62" i="1" s="1"/>
  <c r="K58" i="1"/>
  <c r="L58" i="1" s="1"/>
  <c r="G83" i="1"/>
  <c r="K64" i="1"/>
  <c r="H105" i="1"/>
  <c r="G105" i="1"/>
  <c r="F105" i="1"/>
  <c r="I105" i="1"/>
  <c r="I67" i="1"/>
  <c r="F83" i="1"/>
  <c r="I83" i="1"/>
  <c r="H83" i="1"/>
  <c r="F65" i="1"/>
  <c r="F67" i="1" s="1"/>
  <c r="G65" i="1"/>
  <c r="G67" i="1" s="1"/>
  <c r="H65" i="1"/>
  <c r="H67" i="1" s="1"/>
  <c r="L71" i="1"/>
  <c r="M81" i="1"/>
  <c r="J65" i="1"/>
  <c r="J67" i="1" s="1"/>
  <c r="J19" i="2"/>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E65" i="1"/>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K120" i="2"/>
  <c r="K56" i="2"/>
  <c r="K104" i="2"/>
  <c r="K88" i="2"/>
  <c r="K24" i="2"/>
  <c r="K40" i="2"/>
  <c r="K72" i="2"/>
  <c r="K116" i="2"/>
  <c r="K100" i="2"/>
  <c r="K84" i="2"/>
  <c r="K68" i="2"/>
  <c r="K52" i="2"/>
  <c r="K36" i="2"/>
  <c r="K20" i="2"/>
  <c r="K128" i="2"/>
  <c r="K112" i="2"/>
  <c r="K96" i="2"/>
  <c r="K80" i="2"/>
  <c r="K64" i="2"/>
  <c r="K48" i="2"/>
  <c r="K32" i="2"/>
  <c r="K124" i="2"/>
  <c r="K108" i="2"/>
  <c r="K92" i="2"/>
  <c r="K76" i="2"/>
  <c r="K60" i="2"/>
  <c r="K44" i="2"/>
  <c r="K28" i="2"/>
  <c r="K131" i="2"/>
  <c r="K127" i="2"/>
  <c r="K123" i="2"/>
  <c r="K119" i="2"/>
  <c r="K115" i="2"/>
  <c r="K111" i="2"/>
  <c r="K107" i="2"/>
  <c r="K103" i="2"/>
  <c r="K99" i="2"/>
  <c r="K95" i="2"/>
  <c r="K91" i="2"/>
  <c r="K87" i="2"/>
  <c r="K83" i="2"/>
  <c r="K79" i="2"/>
  <c r="K75" i="2"/>
  <c r="K71" i="2"/>
  <c r="K67" i="2"/>
  <c r="K63" i="2"/>
  <c r="K59" i="2"/>
  <c r="K55" i="2"/>
  <c r="K51" i="2"/>
  <c r="K47" i="2"/>
  <c r="K43" i="2"/>
  <c r="K39" i="2"/>
  <c r="K35" i="2"/>
  <c r="K31" i="2"/>
  <c r="K27" i="2"/>
  <c r="K23"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29"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I33" i="2"/>
  <c r="I44" i="2"/>
  <c r="I55" i="2"/>
  <c r="I45" i="2"/>
  <c r="E42" i="1" l="1"/>
  <c r="K133" i="2"/>
  <c r="K65" i="1"/>
  <c r="H42" i="1"/>
  <c r="H109" i="1" s="1"/>
  <c r="R18" i="2" s="1"/>
  <c r="G42" i="1"/>
  <c r="G109" i="1" s="1"/>
  <c r="R17" i="2" s="1"/>
  <c r="J42" i="1"/>
  <c r="F42" i="1"/>
  <c r="F109" i="1" s="1"/>
  <c r="R16" i="2" s="1"/>
  <c r="I42" i="1"/>
  <c r="I109" i="1" s="1"/>
  <c r="R19" i="2" s="1"/>
  <c r="J133" i="2"/>
  <c r="K42" i="1" l="1"/>
  <c r="L42" i="1" s="1"/>
  <c r="I130" i="2"/>
  <c r="N71" i="1" l="1"/>
  <c r="M71" i="1" l="1"/>
  <c r="L77" i="1"/>
  <c r="D128" i="1" l="1"/>
  <c r="B138" i="1" l="1"/>
  <c r="E128" i="1"/>
  <c r="J128" i="1"/>
  <c r="L128" i="1" l="1"/>
  <c r="M128" i="1" s="1"/>
  <c r="J51" i="1" l="1"/>
  <c r="J48" i="1"/>
  <c r="E51" i="1"/>
  <c r="E48" i="1"/>
  <c r="K77" i="1" l="1"/>
  <c r="N77" i="1" s="1"/>
  <c r="M82" i="1" l="1"/>
  <c r="M77" i="1" l="1"/>
  <c r="J44" i="1" l="1"/>
  <c r="J43" i="1"/>
  <c r="E44" i="1"/>
  <c r="E43" i="1"/>
  <c r="J83" i="1" l="1"/>
  <c r="E83" i="1"/>
  <c r="J105" i="1"/>
  <c r="E105" i="1"/>
  <c r="E102" i="1"/>
  <c r="J102" i="1"/>
  <c r="J95" i="1"/>
  <c r="K95" i="1" s="1"/>
  <c r="E47" i="1"/>
  <c r="E52" i="1" s="1"/>
  <c r="K52" i="1" s="1"/>
  <c r="J47" i="1"/>
  <c r="J109" i="1" l="1"/>
  <c r="R20" i="2" s="1"/>
  <c r="K83" i="1"/>
  <c r="L83" i="1" s="1"/>
  <c r="K105" i="1"/>
  <c r="K102" i="1"/>
  <c r="K47" i="1"/>
  <c r="D47" i="1"/>
  <c r="D52" i="1" s="1"/>
  <c r="D109" i="1" s="1"/>
  <c r="M83" i="1" l="1"/>
  <c r="L95" i="1"/>
  <c r="L47" i="1"/>
  <c r="L105" i="1"/>
  <c r="L102" i="1"/>
  <c r="B142" i="1"/>
  <c r="L52" i="1" l="1"/>
  <c r="E67" i="1"/>
  <c r="E109" i="1" s="1"/>
  <c r="K109" i="1" s="1"/>
  <c r="B132" i="1" l="1"/>
  <c r="B137" i="1" s="1"/>
  <c r="L1" i="2"/>
  <c r="P8" i="2" s="1"/>
  <c r="L109" i="1"/>
  <c r="K67" i="1"/>
  <c r="L67" i="1" s="1"/>
  <c r="B131" i="1"/>
  <c r="P150" i="2" l="1"/>
  <c r="A3" i="2"/>
  <c r="K134" i="2" l="1"/>
  <c r="B140" i="1"/>
  <c r="M21" i="2" l="1"/>
  <c r="N21" i="2" s="1"/>
  <c r="M26" i="2"/>
  <c r="N26" i="2" s="1"/>
  <c r="M30" i="2"/>
  <c r="N30" i="2" s="1"/>
  <c r="M43" i="2"/>
  <c r="N43" i="2" s="1"/>
  <c r="M51" i="2"/>
  <c r="N51" i="2" s="1"/>
  <c r="M55" i="2"/>
  <c r="N55" i="2" s="1"/>
  <c r="M59" i="2"/>
  <c r="N59" i="2" s="1"/>
  <c r="M63" i="2"/>
  <c r="N63" i="2" s="1"/>
  <c r="M71" i="2"/>
  <c r="N71" i="2" s="1"/>
  <c r="M75" i="2"/>
  <c r="N75" i="2" s="1"/>
  <c r="M79" i="2"/>
  <c r="N79" i="2" s="1"/>
  <c r="M84" i="2"/>
  <c r="N84" i="2" s="1"/>
  <c r="M89" i="2"/>
  <c r="N89" i="2" s="1"/>
  <c r="M93" i="2"/>
  <c r="N93" i="2" s="1"/>
  <c r="M97" i="2"/>
  <c r="N97" i="2" s="1"/>
  <c r="M105" i="2"/>
  <c r="N105" i="2" s="1"/>
  <c r="M109" i="2"/>
  <c r="N109" i="2" s="1"/>
  <c r="M113" i="2"/>
  <c r="N113" i="2" s="1"/>
  <c r="M117" i="2"/>
  <c r="N117" i="2" s="1"/>
  <c r="M121" i="2"/>
  <c r="N121" i="2" s="1"/>
  <c r="M129" i="2"/>
  <c r="N129" i="2" s="1"/>
  <c r="M23" i="2"/>
  <c r="N23" i="2" s="1"/>
  <c r="M27" i="2"/>
  <c r="N27" i="2" s="1"/>
  <c r="M31" i="2"/>
  <c r="N31" i="2" s="1"/>
  <c r="M36" i="2"/>
  <c r="N36" i="2" s="1"/>
  <c r="M40" i="2"/>
  <c r="N40" i="2" s="1"/>
  <c r="M44" i="2"/>
  <c r="N44" i="2" s="1"/>
  <c r="M48" i="2"/>
  <c r="N48" i="2" s="1"/>
  <c r="M52" i="2"/>
  <c r="N52" i="2" s="1"/>
  <c r="M56" i="2"/>
  <c r="N56" i="2" s="1"/>
  <c r="M60" i="2"/>
  <c r="N60" i="2" s="1"/>
  <c r="M64" i="2"/>
  <c r="N64" i="2" s="1"/>
  <c r="M68" i="2"/>
  <c r="N68" i="2" s="1"/>
  <c r="M72" i="2"/>
  <c r="N72" i="2" s="1"/>
  <c r="M76" i="2"/>
  <c r="N76" i="2" s="1"/>
  <c r="M81" i="2"/>
  <c r="N81" i="2" s="1"/>
  <c r="M85" i="2"/>
  <c r="N85" i="2" s="1"/>
  <c r="M90" i="2"/>
  <c r="N90" i="2" s="1"/>
  <c r="M94" i="2"/>
  <c r="N94" i="2" s="1"/>
  <c r="M98" i="2"/>
  <c r="N98" i="2" s="1"/>
  <c r="M102" i="2"/>
  <c r="N102" i="2" s="1"/>
  <c r="M106" i="2"/>
  <c r="N106" i="2" s="1"/>
  <c r="M110" i="2"/>
  <c r="N110" i="2" s="1"/>
  <c r="M114" i="2"/>
  <c r="N114" i="2" s="1"/>
  <c r="M118" i="2"/>
  <c r="N118" i="2" s="1"/>
  <c r="M122" i="2"/>
  <c r="N122" i="2" s="1"/>
  <c r="M126" i="2"/>
  <c r="N126" i="2" s="1"/>
  <c r="M130" i="2"/>
  <c r="N130" i="2" s="1"/>
  <c r="M19" i="2"/>
  <c r="N19" i="2" s="1"/>
  <c r="M24" i="2"/>
  <c r="N24" i="2" s="1"/>
  <c r="M28" i="2"/>
  <c r="N28" i="2" s="1"/>
  <c r="M32" i="2"/>
  <c r="N32" i="2" s="1"/>
  <c r="M37" i="2"/>
  <c r="N37" i="2" s="1"/>
  <c r="M41" i="2"/>
  <c r="N41" i="2" s="1"/>
  <c r="M45" i="2"/>
  <c r="N45" i="2" s="1"/>
  <c r="M49" i="2"/>
  <c r="N49" i="2" s="1"/>
  <c r="M53" i="2"/>
  <c r="N53" i="2" s="1"/>
  <c r="M57" i="2"/>
  <c r="N57" i="2" s="1"/>
  <c r="M61" i="2"/>
  <c r="N61" i="2" s="1"/>
  <c r="M65" i="2"/>
  <c r="N65" i="2" s="1"/>
  <c r="M69" i="2"/>
  <c r="N69" i="2" s="1"/>
  <c r="M73" i="2"/>
  <c r="N73" i="2" s="1"/>
  <c r="M77" i="2"/>
  <c r="N77" i="2" s="1"/>
  <c r="M82" i="2"/>
  <c r="N82" i="2" s="1"/>
  <c r="M86" i="2"/>
  <c r="N86" i="2" s="1"/>
  <c r="M91" i="2"/>
  <c r="N91" i="2" s="1"/>
  <c r="M95" i="2"/>
  <c r="N95" i="2" s="1"/>
  <c r="M99" i="2"/>
  <c r="N99" i="2" s="1"/>
  <c r="M103" i="2"/>
  <c r="N103" i="2" s="1"/>
  <c r="M107" i="2"/>
  <c r="N107" i="2" s="1"/>
  <c r="M111" i="2"/>
  <c r="N111" i="2" s="1"/>
  <c r="M115" i="2"/>
  <c r="N115" i="2" s="1"/>
  <c r="M119" i="2"/>
  <c r="N119" i="2" s="1"/>
  <c r="M25" i="2"/>
  <c r="N25" i="2" s="1"/>
  <c r="M42" i="2"/>
  <c r="N42" i="2" s="1"/>
  <c r="M58" i="2"/>
  <c r="N58" i="2" s="1"/>
  <c r="M74" i="2"/>
  <c r="N74" i="2" s="1"/>
  <c r="M92" i="2"/>
  <c r="N92" i="2" s="1"/>
  <c r="M108" i="2"/>
  <c r="N108" i="2" s="1"/>
  <c r="M123" i="2"/>
  <c r="N123" i="2" s="1"/>
  <c r="M29" i="2"/>
  <c r="N29" i="2" s="1"/>
  <c r="M46" i="2"/>
  <c r="N46" i="2" s="1"/>
  <c r="M62" i="2"/>
  <c r="N62" i="2" s="1"/>
  <c r="M78" i="2"/>
  <c r="N78" i="2" s="1"/>
  <c r="M96" i="2"/>
  <c r="N96" i="2" s="1"/>
  <c r="M112" i="2"/>
  <c r="N112" i="2" s="1"/>
  <c r="M124" i="2"/>
  <c r="N124" i="2" s="1"/>
  <c r="M50" i="2"/>
  <c r="N50" i="2" s="1"/>
  <c r="M66" i="2"/>
  <c r="N66" i="2" s="1"/>
  <c r="M83" i="2"/>
  <c r="N83" i="2" s="1"/>
  <c r="M100" i="2"/>
  <c r="N100" i="2" s="1"/>
  <c r="M116" i="2"/>
  <c r="N116" i="2" s="1"/>
  <c r="M127" i="2"/>
  <c r="N127" i="2" s="1"/>
  <c r="M38" i="2"/>
  <c r="N38" i="2" s="1"/>
  <c r="M54" i="2"/>
  <c r="N54" i="2" s="1"/>
  <c r="M70" i="2"/>
  <c r="N70" i="2" s="1"/>
  <c r="M88" i="2"/>
  <c r="N88" i="2" s="1"/>
  <c r="M104" i="2"/>
  <c r="N104" i="2" s="1"/>
  <c r="M120" i="2"/>
  <c r="N120" i="2" s="1"/>
  <c r="M128" i="2"/>
  <c r="N128" i="2" s="1"/>
  <c r="M33" i="2"/>
  <c r="N33" i="2" s="1"/>
  <c r="M125" i="2"/>
  <c r="N125" i="2" s="1"/>
  <c r="M34" i="2"/>
  <c r="N34" i="2" s="1"/>
  <c r="M35" i="2"/>
  <c r="N35" i="2" s="1"/>
  <c r="M80" i="2"/>
  <c r="N80" i="2" s="1"/>
  <c r="M67" i="2"/>
  <c r="N67" i="2" s="1"/>
  <c r="M87" i="2"/>
  <c r="N87" i="2" s="1"/>
  <c r="M22" i="2"/>
  <c r="N22" i="2" s="1"/>
  <c r="M101" i="2"/>
  <c r="N101" i="2" s="1"/>
  <c r="M39" i="2"/>
  <c r="N39" i="2" s="1"/>
  <c r="I131" i="2" l="1"/>
  <c r="M131" i="2" s="1"/>
  <c r="N131" i="2" s="1"/>
  <c r="I17" i="2" l="1"/>
  <c r="I15" i="2"/>
  <c r="M15" i="2" s="1"/>
  <c r="I18" i="2"/>
  <c r="I14" i="2"/>
  <c r="M14" i="2" s="1"/>
  <c r="I16" i="2" l="1"/>
  <c r="M16" i="2" s="1"/>
  <c r="N16" i="2" s="1"/>
  <c r="N14" i="2"/>
  <c r="M18" i="2"/>
  <c r="N18" i="2" s="1"/>
  <c r="M17" i="2"/>
  <c r="N17" i="2" s="1"/>
  <c r="N15" i="2" l="1"/>
  <c r="M109" i="1" l="1"/>
  <c r="I20" i="2"/>
  <c r="M20" i="2" s="1"/>
  <c r="N20" i="2" l="1"/>
  <c r="G133" i="2"/>
  <c r="H133" i="2"/>
  <c r="B136" i="1" s="1"/>
  <c r="B144" i="1" s="1"/>
  <c r="I47" i="2" l="1"/>
  <c r="M47" i="2" s="1"/>
  <c r="M133" i="2" l="1"/>
  <c r="N47" i="2"/>
  <c r="N133" i="2" s="1"/>
</calcChain>
</file>

<file path=xl/sharedStrings.xml><?xml version="1.0" encoding="utf-8"?>
<sst xmlns="http://schemas.openxmlformats.org/spreadsheetml/2006/main" count="544" uniqueCount="375">
  <si>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</si>
  <si>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</si>
  <si>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</si>
  <si>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</si>
  <si>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</si>
  <si>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</si>
  <si>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</si>
  <si>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</si>
  <si>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</si>
  <si>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</si>
  <si>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</si>
  <si>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</si>
  <si>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</si>
  <si>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</si>
  <si>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</si>
  <si>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</si>
  <si>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</si>
  <si>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</si>
  <si>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</si>
  <si>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</si>
  <si>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</si>
  <si>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</si>
  <si>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</si>
  <si>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</si>
  <si>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</si>
  <si>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</si>
  <si>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</si>
  <si>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</si>
  <si>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</si>
  <si>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</si>
  <si>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</si>
  <si>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</si>
  <si>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</si>
  <si>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</si>
  <si>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</si>
  <si>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</si>
  <si>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</si>
  <si>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</si>
  <si>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</si>
  <si>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</si>
  <si>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</si>
  <si>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</si>
  <si>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</si>
  <si>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</si>
  <si>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</si>
  <si>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</si>
  <si>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</si>
  <si>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</si>
  <si>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</si>
  <si>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</si>
  <si>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</si>
  <si>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</si>
  <si>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</si>
  <si>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</si>
  <si>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</si>
  <si>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</si>
  <si>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</si>
  <si>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</si>
  <si>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</si>
  <si>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</si>
  <si>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</si>
  <si>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</si>
  <si>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</si>
  <si>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</si>
  <si>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</si>
  <si>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</si>
  <si>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</si>
  <si>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</si>
  <si>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</si>
  <si>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</si>
  <si>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</si>
  <si>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</si>
  <si>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</si>
  <si>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</si>
  <si>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</si>
  <si>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</si>
  <si>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</si>
  <si>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</si>
  <si>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</si>
  <si>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</si>
  <si>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</si>
  <si>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</si>
  <si>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</si>
  <si>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</si>
  <si>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</si>
  <si>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</si>
  <si>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</si>
  <si>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</si>
  <si>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</si>
  <si>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</si>
  <si>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</si>
  <si>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</si>
  <si>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</si>
  <si>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</si>
  <si>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</si>
  <si>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</si>
  <si>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</si>
  <si>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</si>
  <si>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</si>
  <si>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</si>
  <si>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</si>
  <si>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</si>
  <si>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</si>
  <si>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</si>
  <si>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</si>
  <si>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</si>
  <si>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</si>
  <si>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</si>
  <si>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</si>
  <si>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</si>
  <si>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</si>
  <si>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</si>
  <si>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</si>
  <si>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</si>
  <si>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</si>
  <si>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</si>
  <si>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</si>
  <si>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</si>
  <si>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</si>
  <si>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</si>
  <si>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</si>
  <si>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</si>
  <si>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</si>
  <si>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</si>
  <si>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</si>
  <si>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</si>
  <si>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</si>
  <si>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</si>
  <si>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</si>
  <si>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</si>
  <si>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</si>
  <si>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</si>
  <si>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</si>
  <si>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</si>
  <si>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</si>
  <si>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</si>
  <si>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</si>
  <si>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</si>
  <si>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</si>
  <si>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</si>
  <si>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</si>
  <si>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</si>
  <si>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</si>
  <si>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</si>
  <si>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</si>
  <si>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</si>
  <si>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</si>
  <si>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</si>
  <si>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</si>
  <si>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</si>
  <si>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</si>
  <si>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</si>
  <si>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</si>
  <si>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</si>
  <si>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</si>
  <si>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</si>
  <si>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</si>
  <si>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</si>
  <si>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</si>
  <si>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</si>
  <si>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</si>
  <si>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</si>
  <si>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</si>
  <si>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</si>
  <si>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</si>
  <si>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</si>
  <si>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</si>
  <si>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</si>
  <si>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</si>
  <si>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</si>
  <si>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</si>
  <si>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</si>
  <si>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</si>
  <si>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</si>
  <si>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</si>
  <si>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</si>
  <si>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</si>
  <si>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</si>
  <si>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</si>
  <si>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</si>
  <si>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</si>
  <si>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</si>
  <si>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</si>
  <si>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</si>
  <si>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</si>
  <si>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</si>
  <si>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</si>
  <si>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</si>
  <si>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</si>
  <si>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</si>
  <si>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</si>
  <si>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</si>
  <si>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</si>
  <si>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</si>
  <si>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</si>
  <si>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</si>
  <si>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</si>
  <si>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</si>
  <si>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</si>
  <si>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</si>
  <si>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</si>
  <si>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</si>
  <si>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</si>
  <si>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</si>
  <si>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</si>
  <si>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</si>
  <si>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</si>
  <si>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</si>
  <si>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</si>
  <si>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</si>
  <si>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</si>
  <si>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</si>
  <si>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</si>
  <si>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</si>
  <si>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</si>
  <si>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</si>
  <si>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</si>
  <si>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</si>
  <si>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</si>
  <si>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</si>
  <si>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</si>
  <si>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</si>
  <si>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</si>
  <si>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</si>
  <si>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</si>
  <si>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</si>
  <si>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</si>
  <si>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</si>
  <si>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</si>
  <si>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</si>
  <si>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</si>
  <si>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</si>
  <si>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</si>
  <si>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</si>
  <si>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</si>
  <si>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</si>
  <si>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</si>
  <si>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</si>
  <si>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</si>
  <si>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</si>
  <si>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</si>
  <si>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</si>
  <si>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</si>
  <si>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</si>
  <si>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</si>
  <si>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</si>
  <si>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</si>
  <si>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</si>
  <si>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</si>
  <si>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</si>
  <si>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197229000</t>
  </si>
  <si>
    <t>COMBUSTIBLE PARA GRUPO ELECTROGENO</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</si>
  <si>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</si>
  <si>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</si>
  <si>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</si>
  <si>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</si>
  <si>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</si>
  <si>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</si>
  <si>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</si>
  <si>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</si>
  <si>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</si>
  <si>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</si>
  <si>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</si>
  <si>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</si>
  <si>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</si>
  <si>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</si>
  <si>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</si>
  <si>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HORARIOS DE ATENCION: LUNES A VIERNES - 10 A 16HS - EMERGENCIAS 24HS</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</si>
  <si>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</si>
  <si>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</si>
  <si>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</si>
  <si>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</si>
  <si>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</si>
  <si>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</si>
  <si>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</si>
  <si>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</si>
  <si>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</si>
  <si>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</si>
  <si>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</si>
  <si>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</si>
  <si>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</si>
  <si>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</si>
  <si>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</si>
  <si>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</si>
  <si>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</si>
  <si>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AYALA</t>
  </si>
  <si>
    <t>3B</t>
  </si>
  <si>
    <t>3D</t>
  </si>
  <si>
    <t>3E</t>
  </si>
  <si>
    <t>3F</t>
  </si>
  <si>
    <t>4D</t>
  </si>
  <si>
    <t>4E</t>
  </si>
  <si>
    <t>4F</t>
  </si>
  <si>
    <t>5E</t>
  </si>
  <si>
    <t>5F</t>
  </si>
  <si>
    <t>Monotributo Sra. Miriam</t>
  </si>
  <si>
    <t>alonso sabrina eugenia</t>
  </si>
  <si>
    <t xml:space="preserve"> Laura Quintas Perez</t>
  </si>
  <si>
    <t>Victor Martinez - Abono mantenimiento control de accesos</t>
  </si>
  <si>
    <t>Gazzaneo, Francisco</t>
  </si>
  <si>
    <t>Solleiro, Carolina Mabel</t>
  </si>
  <si>
    <t>Dallorso, Maria Ines - Dallorso, Ana Paula</t>
  </si>
  <si>
    <t>Matias Cuevas</t>
  </si>
  <si>
    <t>Santiago Rodriguez</t>
  </si>
  <si>
    <t>Lara</t>
  </si>
  <si>
    <t>Iara</t>
  </si>
  <si>
    <t>Punitorios mal cobrados</t>
  </si>
  <si>
    <t>TRANSFERENCIAS SIN IDENTIFICAR</t>
  </si>
  <si>
    <t>Dinero sin identificar</t>
  </si>
  <si>
    <t>Horas extras</t>
  </si>
  <si>
    <t xml:space="preserve">CBU: 0720039720000002171436 </t>
  </si>
  <si>
    <t>Banco Santander Rio.</t>
  </si>
  <si>
    <t>CTA CTE $   0039  - 21714/3    FIDEICOMISO 25 DE MAYO 837 LAN  30716676737</t>
  </si>
  <si>
    <t>Adicional Viaticos</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</si>
  <si>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</si>
  <si>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</si>
  <si>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</si>
  <si>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</si>
  <si>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</si>
  <si>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</si>
  <si>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</si>
  <si>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</si>
  <si>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</si>
  <si>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</si>
  <si>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Heredia, Christian</t>
  </si>
  <si>
    <t>0CTtubr3</t>
  </si>
  <si>
    <t>Matias alejandro ezequiel</t>
  </si>
  <si>
    <t>IMPORTANTE: Quienes estan en violeta NO ha respetado los centavos al abonar. Para la proxima oportunidad, solicitamos que los respeten.</t>
  </si>
  <si>
    <t>LEER LA ANOTACIOn</t>
  </si>
  <si>
    <t>Firma</t>
  </si>
  <si>
    <t>__________________________________</t>
  </si>
  <si>
    <t>Aclaracion</t>
  </si>
  <si>
    <t>ADS - Abono de mantenimiento ascensores NOVIEMBRE del 2025</t>
  </si>
  <si>
    <t>Transf 11/11</t>
  </si>
  <si>
    <t>Servisur - Restablecimiento de emergencia generador por salto de termica</t>
  </si>
  <si>
    <t>PMC 20/11</t>
  </si>
  <si>
    <t>Transf 25/11</t>
  </si>
  <si>
    <t>Transf 26/11</t>
  </si>
  <si>
    <t>PMC 27/11</t>
  </si>
  <si>
    <t>Servisur  - Programacion de reloj filtrado pileta</t>
  </si>
  <si>
    <t>Walter Gabriel Ledesma</t>
  </si>
  <si>
    <t>IMPORTANTE: Las personas marcadas en color naranja abonaron de forma incorrecta mediante Mercado Pago.
A partir de ahora (incluso desde hace meses),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</si>
  <si>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 xml:space="preserve">Cuota adicional </t>
  </si>
  <si>
    <t>Cuota 5</t>
  </si>
  <si>
    <t>Copia de llaves</t>
  </si>
  <si>
    <t>13D</t>
  </si>
  <si>
    <t xml:space="preserve">FONDO DE GASTOS ORDINARIOS - PARA EDESUR </t>
  </si>
  <si>
    <t>El comprobante de $ 90.000.- corresponde a setiembre cochera 37 y 38 $. 20.700 cada una</t>
  </si>
  <si>
    <t>Octubre cochera 29 $ 25.626 y cochera 34 $ 20.700 y el comprobante de $ 71.500 es de la cochera 30 saldo al 30/11</t>
  </si>
  <si>
    <t>El pago de $166.000, es del Dto 2 D</t>
  </si>
  <si>
    <t>El pago de $103.000. Es del Dto 3A</t>
  </si>
  <si>
    <t>Y el pago de $ 730.000 es del Dto 3C</t>
  </si>
  <si>
    <t>Jose ferraro pago con un monton de depositos el 10/12</t>
  </si>
  <si>
    <t>Julieta damiano en septiembre pago $87,000 a la cuenta de carolina en MP - debe estar sin deuda ya que es un pago que se nos traspapelo. Hablamos con rocio soria x mail quien es la dueña del dpto</t>
  </si>
  <si>
    <t>VTO 15/01</t>
  </si>
  <si>
    <t>PERÍODO: DICIEMBRE</t>
  </si>
  <si>
    <t>Mes de DICIEMBRE</t>
  </si>
  <si>
    <t>ADS - Abono de mantenimiento ascensores DICIEMBRE del 2025</t>
  </si>
  <si>
    <t>Articulos de limpieza - Mes de DICIEMBRE</t>
  </si>
  <si>
    <t>Uniforme de trabajo Megasec</t>
  </si>
  <si>
    <t>Transf 23/12</t>
  </si>
  <si>
    <t>Transf 19/12</t>
  </si>
  <si>
    <t>Desobstruccion de columna lavadero en el 3C</t>
  </si>
  <si>
    <t>Transf 18/12</t>
  </si>
  <si>
    <t>Repaso en sector de trabajo (Desobstruccion 3C)</t>
  </si>
  <si>
    <t>Julio Doartero - Colocacion sifon en pileta</t>
  </si>
  <si>
    <t>Loschi Reparacion de burro de arranque, rele y luces testigo</t>
  </si>
  <si>
    <t>Transf 09/12</t>
  </si>
  <si>
    <t>Julio Doartero - Destapacion bacha de cocina</t>
  </si>
  <si>
    <t>Transf 15/12</t>
  </si>
  <si>
    <t>Julio Doartero - Cambio de automaticos</t>
  </si>
  <si>
    <t>Distribuidora Barbiero - Tubo led, plafones y demas articulos</t>
  </si>
  <si>
    <t>Transf 04/12</t>
  </si>
  <si>
    <t>Servisur - Colocacion de 7 tubos 18w en sector cocheras - Regulacion de 31 sensores de movimineto en cocheras y pallieres</t>
  </si>
  <si>
    <t>Transf 05/12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</si>
</sst>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2C0A]\ * #,##0.00_-;\-[$$-2C0A]\ * #,##0.00_-;_-[$$-2C0A]\ * &quot;-&quot;??_-;_-@_-"/>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sz val="12"/>
      <color rgb="FF222222"/>
      <name val="Arial"/>
      <family val="2"/>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50"/>
        <bgColor indexed="64"/>
      </patternFill>
    </fill>
    <fill>
      <patternFill patternType="solid">
        <fgColor theme="9"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314">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0" fontId="0" fillId="0" borderId="1" xfId="0" applyBorder="1" applyAlignment="1">
      <alignment horizontal="left" vertical="center"/>
    </xf>
    <xf numFmtId="167" fontId="0" fillId="0" borderId="0" xfId="0" applyNumberFormat="1"/>
    <xf numFmtId="10" fontId="0" fillId="2" borderId="4" xfId="0" applyNumberFormat="1" applyFill="1" applyBorder="1"/>
    <xf numFmtId="44" fontId="0" fillId="2" borderId="1" xfId="1" applyFont="1" applyFill="1" applyBorder="1"/>
    <xf numFmtId="0" fontId="0" fillId="12" borderId="1" xfId="0" applyFill="1" applyBorder="1"/>
    <xf numFmtId="0" fontId="11" fillId="12" borderId="1" xfId="0" applyFont="1" applyFill="1" applyBorder="1"/>
    <xf numFmtId="0" fontId="0" fillId="12" borderId="0" xfId="0" applyFill="1"/>
    <xf numFmtId="43" fontId="14" fillId="0" borderId="0" xfId="0" applyNumberFormat="1" applyFont="1"/>
    <xf numFmtId="0" fontId="0" fillId="2" borderId="1" xfId="0" applyFill="1" applyBorder="1" applyAlignment="1">
      <alignmen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3" fillId="2" borderId="1" xfId="0" applyNumberFormat="1" applyFont="1" applyFill="1" applyBorder="1"/>
    <xf numFmtId="44" fontId="0" fillId="2" borderId="1" xfId="0" applyNumberFormat="1" applyFill="1" applyBorder="1"/>
    <xf numFmtId="0" fontId="0" fillId="3" borderId="16" xfId="0" applyFill="1" applyBorder="1"/>
    <xf numFmtId="0" fontId="0" fillId="3" borderId="14" xfId="0" applyFill="1" applyBorder="1"/>
    <xf numFmtId="44" fontId="4" fillId="3" borderId="17" xfId="0" applyNumberFormat="1" applyFont="1" applyFill="1" applyBorder="1"/>
    <xf numFmtId="0" fontId="0" fillId="3" borderId="18" xfId="0" applyFill="1" applyBorder="1"/>
    <xf numFmtId="165" fontId="4" fillId="3" borderId="0" xfId="0" applyNumberFormat="1" applyFont="1" applyFill="1"/>
    <xf numFmtId="6" fontId="4" fillId="3" borderId="19" xfId="0" applyNumberFormat="1" applyFont="1" applyFill="1" applyBorder="1"/>
    <xf numFmtId="8" fontId="0" fillId="3" borderId="0" xfId="0" applyNumberFormat="1" applyFill="1"/>
    <xf numFmtId="6" fontId="0" fillId="3" borderId="0" xfId="0" applyNumberFormat="1" applyFill="1" applyAlignment="1">
      <alignment horizontal="right" wrapText="1"/>
    </xf>
    <xf numFmtId="6" fontId="4" fillId="3" borderId="19" xfId="0" applyNumberFormat="1" applyFont="1" applyFill="1" applyBorder="1" applyAlignment="1">
      <alignment horizontal="right" wrapText="1"/>
    </xf>
    <xf numFmtId="0" fontId="0" fillId="3" borderId="23" xfId="0" applyFill="1" applyBorder="1"/>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3" borderId="1" xfId="0" applyFill="1" applyBorder="1"/>
    <xf numFmtId="0" fontId="11" fillId="13" borderId="1" xfId="0" applyFont="1" applyFill="1" applyBorder="1"/>
    <xf numFmtId="0" fontId="11" fillId="13" borderId="4" xfId="0" applyFont="1" applyFill="1" applyBorder="1"/>
    <xf numFmtId="10" fontId="0" fillId="13" borderId="4" xfId="0" applyNumberFormat="1" applyFill="1" applyBorder="1"/>
    <xf numFmtId="44" fontId="0" fillId="13" borderId="1" xfId="1" applyFont="1" applyFill="1" applyBorder="1"/>
    <xf numFmtId="165" fontId="11" fillId="13" borderId="1" xfId="0" applyNumberFormat="1" applyFont="1" applyFill="1" applyBorder="1"/>
    <xf numFmtId="165" fontId="0" fillId="13" borderId="1" xfId="1" applyNumberFormat="1" applyFont="1" applyFill="1" applyBorder="1"/>
    <xf numFmtId="44" fontId="11" fillId="13" borderId="1" xfId="1" applyFont="1" applyFill="1" applyBorder="1"/>
    <xf numFmtId="4" fontId="0" fillId="13" borderId="1" xfId="0" applyNumberFormat="1" applyFill="1" applyBorder="1"/>
    <xf numFmtId="10" fontId="0" fillId="13" borderId="1" xfId="0" applyNumberFormat="1" applyFill="1" applyBorder="1"/>
    <xf numFmtId="0" fontId="0" fillId="5" borderId="1" xfId="0" applyFill="1" applyBorder="1"/>
    <xf numFmtId="0" fontId="11" fillId="5" borderId="1" xfId="0" applyFont="1" applyFill="1" applyBorder="1"/>
    <xf numFmtId="0" fontId="11" fillId="5" borderId="4" xfId="0" applyFont="1" applyFill="1" applyBorder="1"/>
    <xf numFmtId="10" fontId="0" fillId="5" borderId="4" xfId="0" applyNumberFormat="1" applyFill="1" applyBorder="1"/>
    <xf numFmtId="44" fontId="0" fillId="5" borderId="1" xfId="1" applyFont="1" applyFill="1" applyBorder="1"/>
    <xf numFmtId="165" fontId="11" fillId="5" borderId="1" xfId="0" applyNumberFormat="1" applyFont="1" applyFill="1" applyBorder="1"/>
    <xf numFmtId="165" fontId="0" fillId="5" borderId="1" xfId="1" applyNumberFormat="1" applyFont="1" applyFill="1" applyBorder="1"/>
    <xf numFmtId="44" fontId="11" fillId="5" borderId="1" xfId="1" applyFont="1" applyFill="1" applyBorder="1"/>
    <xf numFmtId="4" fontId="0" fillId="5" borderId="1" xfId="0" applyNumberFormat="1" applyFill="1" applyBorder="1"/>
    <xf numFmtId="44" fontId="4" fillId="5" borderId="1" xfId="1" applyFont="1" applyFill="1" applyBorder="1"/>
    <xf numFmtId="2" fontId="0" fillId="2" borderId="0" xfId="0" applyNumberFormat="1" applyFill="1"/>
    <xf numFmtId="165" fontId="11" fillId="7" borderId="1" xfId="1" applyNumberFormat="1" applyFont="1" applyFill="1" applyBorder="1"/>
    <xf numFmtId="0" fontId="0" fillId="9" borderId="0" xfId="0" applyFill="1"/>
    <xf numFmtId="0" fontId="0" fillId="0" borderId="19" xfId="0" applyBorder="1"/>
    <xf numFmtId="0" fontId="0" fillId="0" borderId="0" xfId="0" applyAlignment="1">
      <alignment horizontal="center"/>
    </xf>
    <xf numFmtId="0" fontId="0" fillId="0" borderId="19" xfId="0" applyBorder="1" applyAlignment="1">
      <alignment horizontal="center"/>
    </xf>
    <xf numFmtId="0" fontId="2" fillId="0" borderId="18" xfId="0" applyFont="1" applyBorder="1"/>
    <xf numFmtId="44" fontId="2" fillId="0" borderId="0" xfId="0" applyNumberFormat="1" applyFont="1"/>
    <xf numFmtId="0" fontId="0" fillId="0" borderId="23" xfId="0" applyBorder="1"/>
    <xf numFmtId="0" fontId="0" fillId="0" borderId="9" xfId="0" applyBorder="1"/>
    <xf numFmtId="0" fontId="0" fillId="0" borderId="10" xfId="0" applyBorder="1"/>
    <xf numFmtId="0" fontId="13" fillId="13" borderId="1" xfId="0" applyFont="1" applyFill="1" applyBorder="1"/>
    <xf numFmtId="0" fontId="4" fillId="2" borderId="1" xfId="0" applyFont="1" applyFill="1" applyBorder="1"/>
    <xf numFmtId="0" fontId="20" fillId="2" borderId="1" xfId="0" applyFont="1" applyFill="1" applyBorder="1"/>
    <xf numFmtId="10" fontId="4" fillId="2" borderId="1" xfId="0" applyNumberFormat="1" applyFont="1" applyFill="1" applyBorder="1"/>
    <xf numFmtId="165" fontId="20" fillId="2" borderId="1" xfId="0" applyNumberFormat="1" applyFont="1" applyFill="1" applyBorder="1"/>
    <xf numFmtId="165" fontId="4" fillId="2" borderId="1" xfId="1" applyNumberFormat="1" applyFont="1" applyFill="1" applyBorder="1"/>
    <xf numFmtId="44" fontId="20" fillId="2" borderId="1" xfId="1" applyFont="1" applyFill="1" applyBorder="1"/>
    <xf numFmtId="4" fontId="4" fillId="2" borderId="1" xfId="0" applyNumberFormat="1" applyFont="1" applyFill="1" applyBorder="1"/>
    <xf numFmtId="44" fontId="4" fillId="2" borderId="28" xfId="1" applyFont="1" applyFill="1" applyBorder="1"/>
    <xf numFmtId="44" fontId="4" fillId="13" borderId="1" xfId="1" applyFont="1" applyFill="1" applyBorder="1"/>
    <xf numFmtId="44" fontId="0" fillId="0" borderId="0" xfId="1" applyFont="1"/>
    <xf numFmtId="0" fontId="0" fillId="14" borderId="1" xfId="0" applyFill="1" applyBorder="1"/>
    <xf numFmtId="0" fontId="11" fillId="14" borderId="1" xfId="0" applyFont="1" applyFill="1" applyBorder="1"/>
    <xf numFmtId="10" fontId="0" fillId="14" borderId="1" xfId="0" applyNumberFormat="1" applyFill="1" applyBorder="1"/>
    <xf numFmtId="44" fontId="0" fillId="14" borderId="1" xfId="1" applyFont="1" applyFill="1" applyBorder="1"/>
    <xf numFmtId="44" fontId="4" fillId="14" borderId="1" xfId="1" applyFont="1" applyFill="1" applyBorder="1"/>
    <xf numFmtId="165" fontId="11" fillId="14" borderId="1" xfId="0" applyNumberFormat="1" applyFont="1" applyFill="1" applyBorder="1"/>
    <xf numFmtId="165" fontId="0" fillId="14" borderId="1" xfId="1" applyNumberFormat="1" applyFont="1" applyFill="1" applyBorder="1"/>
    <xf numFmtId="44" fontId="11" fillId="14" borderId="1" xfId="1" applyFont="1" applyFill="1" applyBorder="1"/>
    <xf numFmtId="4" fontId="0" fillId="14" borderId="1" xfId="0" applyNumberFormat="1" applyFill="1" applyBorder="1"/>
    <xf numFmtId="0" fontId="4" fillId="14" borderId="0" xfId="0" applyFont="1" applyFill="1"/>
    <xf numFmtId="0" fontId="0" fillId="14" borderId="0" xfId="0" applyFill="1"/>
    <xf numFmtId="0" fontId="22" fillId="14" borderId="0" xfId="0" applyFont="1" applyFill="1"/>
    <xf numFmtId="0" fontId="0" fillId="14" borderId="4" xfId="0" applyFill="1" applyBorder="1"/>
    <xf numFmtId="0" fontId="11" fillId="14" borderId="4" xfId="0" applyFont="1" applyFill="1" applyBorder="1"/>
    <xf numFmtId="10" fontId="0" fillId="14" borderId="4" xfId="0" applyNumberFormat="1" applyFill="1" applyBorder="1"/>
    <xf numFmtId="44" fontId="0" fillId="14" borderId="4" xfId="1" applyFont="1" applyFill="1" applyBorder="1"/>
    <xf numFmtId="44" fontId="4" fillId="14" borderId="4" xfId="1" applyFont="1" applyFill="1" applyBorder="1"/>
    <xf numFmtId="165" fontId="11" fillId="14" borderId="4" xfId="0" applyNumberFormat="1" applyFont="1" applyFill="1" applyBorder="1"/>
    <xf numFmtId="165" fontId="0" fillId="14" borderId="4" xfId="1" applyNumberFormat="1" applyFont="1" applyFill="1" applyBorder="1"/>
    <xf numFmtId="4" fontId="0" fillId="14" borderId="4" xfId="0" applyNumberFormat="1" applyFill="1" applyBorder="1"/>
    <xf numFmtId="0" fontId="0" fillId="15" borderId="1" xfId="0" applyFill="1" applyBorder="1"/>
    <xf numFmtId="0" fontId="11" fillId="15" borderId="1" xfId="0" applyFont="1" applyFill="1" applyBorder="1"/>
    <xf numFmtId="0" fontId="11" fillId="15" borderId="4" xfId="0" applyFont="1" applyFill="1" applyBorder="1"/>
    <xf numFmtId="10" fontId="0" fillId="15" borderId="4" xfId="0" applyNumberFormat="1" applyFill="1" applyBorder="1"/>
    <xf numFmtId="44" fontId="0" fillId="15" borderId="1" xfId="1" applyFont="1" applyFill="1" applyBorder="1"/>
    <xf numFmtId="44" fontId="4" fillId="15" borderId="1" xfId="1" applyFont="1" applyFill="1" applyBorder="1"/>
    <xf numFmtId="165" fontId="11" fillId="15" borderId="1" xfId="0" applyNumberFormat="1" applyFont="1" applyFill="1" applyBorder="1"/>
    <xf numFmtId="165" fontId="0" fillId="15" borderId="1" xfId="1" applyNumberFormat="1" applyFont="1" applyFill="1" applyBorder="1"/>
    <xf numFmtId="44" fontId="11" fillId="15" borderId="1" xfId="1" applyFont="1" applyFill="1" applyBorder="1"/>
    <xf numFmtId="4" fontId="0" fillId="15" borderId="1" xfId="0" applyNumberFormat="1" applyFill="1" applyBorder="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2" fillId="9" borderId="0" xfId="0" applyFont="1" applyFill="1" applyAlignment="1">
      <alignment horizontal="left" vertical="center" wrapText="1"/>
    </xf>
    <xf numFmtId="0" fontId="0" fillId="2" borderId="8" xfId="0" applyFill="1" applyBorder="1" applyAlignment="1">
      <alignment horizontal="left"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44" fontId="0" fillId="3" borderId="14" xfId="0" applyNumberFormat="1" applyFill="1" applyBorder="1" applyAlignment="1">
      <alignment horizontal="center" wrapText="1"/>
    </xf>
    <xf numFmtId="6" fontId="0" fillId="3" borderId="14" xfId="0" applyNumberForma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21" fillId="13" borderId="16" xfId="0" applyNumberFormat="1" applyFont="1" applyFill="1" applyBorder="1" applyAlignment="1">
      <alignment horizontal="left" vertical="center"/>
    </xf>
    <xf numFmtId="1" fontId="21" fillId="13" borderId="14" xfId="0" applyNumberFormat="1" applyFont="1" applyFill="1" applyBorder="1" applyAlignment="1">
      <alignment horizontal="left" vertical="center"/>
    </xf>
    <xf numFmtId="1" fontId="21" fillId="13" borderId="17" xfId="0" applyNumberFormat="1" applyFont="1" applyFill="1" applyBorder="1" applyAlignment="1">
      <alignment horizontal="left" vertical="center"/>
    </xf>
    <xf numFmtId="1" fontId="21" fillId="13" borderId="23" xfId="0" applyNumberFormat="1" applyFont="1" applyFill="1" applyBorder="1" applyAlignment="1">
      <alignment horizontal="left" vertical="center"/>
    </xf>
    <xf numFmtId="1" fontId="21" fillId="13" borderId="9" xfId="0" applyNumberFormat="1" applyFont="1" applyFill="1" applyBorder="1" applyAlignment="1">
      <alignment horizontal="left" vertical="center"/>
    </xf>
    <xf numFmtId="1" fontId="21" fillId="13" borderId="10" xfId="0" applyNumberFormat="1" applyFont="1" applyFill="1" applyBorder="1" applyAlignment="1">
      <alignment horizontal="left" vertical="center"/>
    </xf>
    <xf numFmtId="0" fontId="22" fillId="15" borderId="0" xfId="0" applyFont="1" applyFill="1" applyAlignment="1">
      <alignment horizontal="left" vertical="center" wrapText="1"/>
    </xf>
    <xf numFmtId="0" fontId="0" fillId="0" borderId="0" xfId="0" applyAlignment="1">
      <alignment horizontal="center"/>
    </xf>
    <xf numFmtId="0" fontId="0" fillId="0" borderId="19" xfId="0" applyBorder="1" applyAlignment="1">
      <alignment horizontal="center"/>
    </xf>
    <xf numFmtId="0" fontId="0" fillId="0" borderId="16" xfId="0" applyBorder="1" applyAlignment="1">
      <alignment horizontal="left"/>
    </xf>
    <xf numFmtId="0" fontId="0" fillId="0" borderId="14" xfId="0" applyBorder="1" applyAlignment="1">
      <alignment horizontal="left"/>
    </xf>
    <xf numFmtId="0" fontId="0" fillId="0" borderId="17" xfId="0" applyBorder="1" applyAlignment="1">
      <alignment horizontal="left"/>
    </xf>
    <xf numFmtId="0" fontId="0" fillId="11" borderId="0" xfId="0" applyFill="1" applyAlignment="1">
      <alignment horizontal="center"/>
    </xf>
    <xf numFmtId="44" fontId="14" fillId="2" borderId="1" xfId="1" applyFont="1" applyFill="1" applyBorder="1"/>
    <xf numFmtId="44" fontId="14" fillId="2" borderId="6" xfId="1" applyFont="1" applyFill="1" applyBorder="1"/>
    <xf numFmtId="0" fontId="0" fillId="2" borderId="8" xfId="0" applyFill="1" applyBorder="1" applyAlignment="1">
      <alignment vertical="center" wrapText="1"/>
    </xf>
    <xf numFmtId="44" fontId="14" fillId="2" borderId="1" xfId="1" applyFont="1" applyFill="1" applyBorder="1" applyAlignment="1"/>
    <xf numFmtId="44" fontId="14" fillId="2" borderId="6" xfId="0" applyNumberFormat="1" applyFont="1" applyFill="1" applyBorder="1"/>
    <xf numFmtId="44" fontId="4" fillId="9" borderId="6" xfId="0" applyNumberFormat="1" applyFont="1" applyFill="1" applyBorder="1"/>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0</xdr:rowOff>
    </xdr:from>
    <xdr:to>
      <xdr:col>3</xdr:col>
      <xdr:colOff>1771650</xdr:colOff>
      <xdr:row>3</xdr:row>
      <xdr:rowOff>161926</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0"/>
          <a:ext cx="2143125" cy="73342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stema\Desktop\rc-consorcio2025\EL%20MIRADOR\Junio\JUNIO%20-%20EL%20MIRADOR%20.xlsx" TargetMode="External"/><Relationship Id="rId1" Type="http://schemas.openxmlformats.org/officeDocument/2006/relationships/externalLinkPath" Target="/Users/Sistema/Desktop/rc-consorcio2025/EL%20MIRADOR/Junio/JUNIO%20-%20EL%20MIRADO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PRORRATEO"/>
      <sheetName val="ANOTACIONES"/>
      <sheetName val="SUELDOS"/>
    </sheetNames>
    <sheetDataSet>
      <sheetData sheetId="0">
        <row r="22">
          <cell r="A22" t="str">
            <v xml:space="preserve">Sueldo encargada Sonia Arzamendia Galeano </v>
          </cell>
        </row>
        <row r="30">
          <cell r="A30" t="str">
            <v>Sueldo encargada Miriam</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6"/>
  <sheetViews>
    <sheetView tabSelected="1" topLeftCell="A65" zoomScale="80" zoomScaleNormal="80" workbookViewId="0">
      <selection activeCell="C70" sqref="C70"/>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8" customWidth="1"/>
    <col min="6" max="9" width="15.6640625" customWidth="1"/>
    <col min="10" max="10" width="14.6640625" customWidth="1"/>
    <col min="11" max="11" width="15.88671875" customWidth="1"/>
    <col min="12" max="12" width="16.109375" customWidth="1"/>
    <col min="13" max="13" width="13" bestFit="1" customWidth="1"/>
    <col min="14" max="14" width="14.5546875" bestFit="1" customWidth="1"/>
    <col min="16" max="16" width="18" customWidth="1"/>
    <col min="17" max="17" width="18.33203125" customWidth="1"/>
  </cols>
  <sheetData>
    <row r="1" spans="1:10" ht="18" x14ac:dyDescent="0.35">
      <c r="A1" s="117"/>
      <c r="B1" s="126"/>
      <c r="C1" s="136" t="s">
        <v>268</v>
      </c>
      <c r="D1" s="136"/>
      <c r="E1" s="137"/>
      <c r="F1" s="137"/>
      <c r="G1" s="115"/>
      <c r="H1" s="115"/>
      <c r="I1" s="115"/>
      <c r="J1" s="116"/>
    </row>
    <row r="2" spans="1:10" ht="18" x14ac:dyDescent="0.35">
      <c r="A2" s="118"/>
      <c r="B2" s="127"/>
      <c r="C2" s="127" t="s">
        <v>264</v>
      </c>
      <c r="D2" s="127"/>
      <c r="E2" s="128"/>
      <c r="F2" s="128"/>
      <c r="G2" s="128"/>
      <c r="H2" s="128"/>
      <c r="I2" s="128"/>
      <c r="J2" s="114"/>
    </row>
    <row r="3" spans="1:10" ht="18" x14ac:dyDescent="0.35">
      <c r="A3" s="118"/>
      <c r="B3" s="127"/>
      <c r="C3" s="127" t="s">
        <v>310</v>
      </c>
      <c r="D3" s="127"/>
      <c r="E3" s="127" t="s">
        <v>265</v>
      </c>
      <c r="F3" s="128"/>
      <c r="G3" s="128"/>
      <c r="H3" s="128"/>
      <c r="I3" s="128"/>
      <c r="J3" s="114"/>
    </row>
    <row r="4" spans="1:10" ht="18" customHeight="1" x14ac:dyDescent="0.35">
      <c r="A4" s="118"/>
      <c r="B4" s="127"/>
      <c r="C4" s="127" t="s">
        <v>266</v>
      </c>
      <c r="D4" s="128"/>
      <c r="E4" s="128"/>
      <c r="F4" s="128"/>
      <c r="G4" s="128"/>
      <c r="H4" s="128"/>
      <c r="I4" s="128"/>
      <c r="J4" s="114"/>
    </row>
    <row r="5" spans="1:10" ht="18" x14ac:dyDescent="0.35">
      <c r="A5" s="122"/>
      <c r="B5" s="127"/>
      <c r="C5" s="127" t="s">
        <v>355</v>
      </c>
      <c r="D5" s="127"/>
      <c r="E5" s="127" t="s">
        <v>267</v>
      </c>
      <c r="F5" s="127"/>
      <c r="G5" s="127"/>
      <c r="H5" s="127"/>
      <c r="I5" s="127"/>
      <c r="J5" s="123"/>
    </row>
    <row r="6" spans="1:10" ht="18" x14ac:dyDescent="0.35">
      <c r="A6" s="122"/>
      <c r="B6" s="127"/>
      <c r="C6" s="127" t="s">
        <v>0</v>
      </c>
      <c r="D6" s="127"/>
      <c r="E6" s="127"/>
      <c r="F6" s="127"/>
      <c r="G6" s="127"/>
      <c r="H6" s="127"/>
      <c r="I6" s="127"/>
      <c r="J6" s="123"/>
    </row>
    <row r="7" spans="1:10" ht="18.600000000000001" thickBot="1" x14ac:dyDescent="0.4">
      <c r="A7" s="124"/>
      <c r="B7" s="125"/>
      <c r="C7" s="125"/>
      <c r="D7" s="125"/>
      <c r="E7" s="125"/>
      <c r="F7" s="125"/>
      <c r="G7" s="125"/>
      <c r="H7" s="125"/>
      <c r="I7" s="125"/>
      <c r="J7" s="129"/>
    </row>
    <row r="9" spans="1:10" hidden="1" x14ac:dyDescent="0.3"/>
    <row r="10" spans="1:10" hidden="1" x14ac:dyDescent="0.3"/>
    <row r="11" spans="1:10" hidden="1" x14ac:dyDescent="0.3"/>
    <row r="12" spans="1:10" hidden="1" x14ac:dyDescent="0.3"/>
    <row r="14" spans="1:10" ht="15" customHeight="1" x14ac:dyDescent="0.3">
      <c r="A14" s="256" t="s">
        <v>263</v>
      </c>
      <c r="B14" s="256"/>
      <c r="C14" s="256"/>
      <c r="D14" s="256"/>
      <c r="E14" s="256"/>
      <c r="F14" s="256"/>
      <c r="G14" s="256"/>
      <c r="H14" s="256"/>
      <c r="I14" s="256"/>
      <c r="J14" s="256"/>
    </row>
    <row r="15" spans="1:10" ht="15" customHeight="1" x14ac:dyDescent="0.3">
      <c r="A15" s="256"/>
      <c r="B15" s="256"/>
      <c r="C15" s="256"/>
      <c r="D15" s="256"/>
      <c r="E15" s="256"/>
      <c r="F15" s="256"/>
      <c r="G15" s="256"/>
      <c r="H15" s="256"/>
      <c r="I15" s="256"/>
      <c r="J15" s="256"/>
    </row>
    <row r="16" spans="1:10" ht="15" customHeight="1" x14ac:dyDescent="0.3">
      <c r="A16" s="256"/>
      <c r="B16" s="256"/>
      <c r="C16" s="256"/>
      <c r="D16" s="256"/>
      <c r="E16" s="256"/>
      <c r="F16" s="256"/>
      <c r="G16" s="256"/>
      <c r="H16" s="256"/>
      <c r="I16" s="256"/>
      <c r="J16" s="256"/>
    </row>
    <row r="17" spans="1:10" ht="25.2" customHeight="1" x14ac:dyDescent="0.3">
      <c r="A17" s="256"/>
      <c r="B17" s="256"/>
      <c r="C17" s="256"/>
      <c r="D17" s="256"/>
      <c r="E17" s="256"/>
      <c r="F17" s="256"/>
      <c r="G17" s="256"/>
      <c r="H17" s="256"/>
      <c r="I17" s="256"/>
      <c r="J17" s="256"/>
    </row>
    <row r="18" spans="1:10" ht="47.4" customHeight="1" x14ac:dyDescent="0.3">
      <c r="A18" s="256"/>
      <c r="B18" s="256"/>
      <c r="C18" s="256"/>
      <c r="D18" s="256"/>
      <c r="E18" s="256"/>
      <c r="F18" s="256"/>
      <c r="G18" s="256"/>
      <c r="H18" s="256"/>
      <c r="I18" s="256"/>
      <c r="J18" s="256"/>
    </row>
    <row r="19" spans="1:10" x14ac:dyDescent="0.3">
      <c r="A19" s="2"/>
      <c r="H19" s="99"/>
    </row>
    <row r="20" spans="1:10" x14ac:dyDescent="0.3">
      <c r="A20" s="265" t="s">
        <v>354</v>
      </c>
      <c r="B20" s="265"/>
      <c r="C20" s="265"/>
      <c r="D20" s="265"/>
      <c r="E20" s="265"/>
      <c r="F20" s="265"/>
      <c r="G20" s="265"/>
      <c r="H20" s="265"/>
      <c r="I20" s="265"/>
      <c r="J20" s="265"/>
    </row>
    <row r="21" spans="1:10" x14ac:dyDescent="0.3">
      <c r="A21" s="265"/>
      <c r="B21" s="265"/>
      <c r="C21" s="265"/>
      <c r="D21" s="265"/>
      <c r="E21" s="265"/>
      <c r="F21" s="265"/>
      <c r="G21" s="265"/>
      <c r="H21" s="265"/>
      <c r="I21" s="265"/>
      <c r="J21" s="265"/>
    </row>
    <row r="22" spans="1:10" x14ac:dyDescent="0.3">
      <c r="A22" s="265"/>
      <c r="B22" s="265"/>
      <c r="C22" s="265"/>
      <c r="D22" s="265"/>
      <c r="E22" s="265"/>
      <c r="F22" s="265"/>
      <c r="G22" s="265"/>
      <c r="H22" s="265"/>
      <c r="I22" s="265"/>
      <c r="J22" s="265"/>
    </row>
    <row r="23" spans="1:10" ht="15" thickBot="1" x14ac:dyDescent="0.35">
      <c r="H23" s="99"/>
    </row>
    <row r="24" spans="1:10" ht="15" thickBot="1" x14ac:dyDescent="0.35">
      <c r="A24" s="12" t="s">
        <v>19</v>
      </c>
      <c r="B24" s="13"/>
      <c r="C24" s="14"/>
      <c r="D24" s="10"/>
      <c r="E24" s="101" t="s">
        <v>171</v>
      </c>
      <c r="F24" s="101" t="s">
        <v>172</v>
      </c>
      <c r="G24" s="101" t="s">
        <v>173</v>
      </c>
      <c r="H24" s="101" t="s">
        <v>174</v>
      </c>
      <c r="I24" s="101" t="s">
        <v>175</v>
      </c>
      <c r="J24" s="102" t="s">
        <v>176</v>
      </c>
    </row>
    <row r="25" spans="1:10" x14ac:dyDescent="0.3">
      <c r="A25" s="50" t="s">
        <v>237</v>
      </c>
      <c r="B25" s="6"/>
      <c r="C25" s="6"/>
      <c r="D25" s="55"/>
      <c r="E25" s="100"/>
      <c r="F25" s="100"/>
      <c r="G25" s="100"/>
      <c r="H25" s="100"/>
      <c r="I25" s="100"/>
      <c r="J25" s="100"/>
    </row>
    <row r="26" spans="1:10" x14ac:dyDescent="0.3">
      <c r="A26" s="6" t="s">
        <v>45</v>
      </c>
      <c r="B26" s="6"/>
      <c r="C26" s="6"/>
      <c r="D26" s="86">
        <v>1042462</v>
      </c>
      <c r="E26" s="58"/>
      <c r="F26" s="58"/>
      <c r="G26" s="58"/>
      <c r="H26" s="58"/>
      <c r="I26" s="58"/>
      <c r="J26" s="58"/>
    </row>
    <row r="27" spans="1:10" x14ac:dyDescent="0.3">
      <c r="A27" s="6" t="s">
        <v>240</v>
      </c>
      <c r="B27" s="6"/>
      <c r="C27" s="6"/>
      <c r="D27" s="86">
        <v>36382.699999999997</v>
      </c>
      <c r="E27" s="58"/>
      <c r="F27" s="58"/>
      <c r="G27" s="58"/>
      <c r="H27" s="58"/>
      <c r="I27" s="58"/>
      <c r="J27" s="58"/>
    </row>
    <row r="28" spans="1:10" x14ac:dyDescent="0.3">
      <c r="A28" s="6" t="s">
        <v>238</v>
      </c>
      <c r="B28" s="6"/>
      <c r="C28" s="6"/>
      <c r="D28" s="86">
        <f>1584.8*80</f>
        <v>126784</v>
      </c>
      <c r="E28" s="58"/>
      <c r="F28" s="58"/>
      <c r="G28" s="58"/>
      <c r="H28" s="58"/>
      <c r="I28" s="58"/>
      <c r="J28" s="58"/>
    </row>
    <row r="29" spans="1:10" x14ac:dyDescent="0.3">
      <c r="A29" s="6" t="s">
        <v>239</v>
      </c>
      <c r="B29" s="6"/>
      <c r="C29" s="6"/>
      <c r="D29" s="86">
        <v>21627.4</v>
      </c>
      <c r="E29" s="58"/>
      <c r="F29" s="58"/>
      <c r="G29" s="58"/>
      <c r="H29" s="58"/>
      <c r="I29" s="58"/>
      <c r="J29" s="58"/>
    </row>
    <row r="30" spans="1:10" x14ac:dyDescent="0.3">
      <c r="A30" s="6" t="s">
        <v>313</v>
      </c>
      <c r="B30" s="6"/>
      <c r="C30" s="6"/>
      <c r="D30" s="86">
        <v>60810.3</v>
      </c>
      <c r="E30" s="58"/>
      <c r="F30" s="58"/>
      <c r="G30" s="58"/>
      <c r="H30" s="58"/>
      <c r="I30" s="58"/>
      <c r="J30" s="58"/>
    </row>
    <row r="31" spans="1:10" x14ac:dyDescent="0.3">
      <c r="A31" s="6" t="s">
        <v>241</v>
      </c>
      <c r="B31" s="6"/>
      <c r="C31" s="6"/>
      <c r="D31" s="86">
        <v>50000</v>
      </c>
      <c r="E31" s="58"/>
      <c r="F31" s="58"/>
      <c r="G31" s="58"/>
      <c r="H31" s="58"/>
      <c r="I31" s="58"/>
      <c r="J31" s="58"/>
    </row>
    <row r="32" spans="1:10" x14ac:dyDescent="0.3">
      <c r="A32" s="98" t="s">
        <v>170</v>
      </c>
      <c r="B32" s="95"/>
      <c r="C32" s="95"/>
      <c r="D32" s="96">
        <f>SUM(D26:D31)</f>
        <v>1338066.3999999999</v>
      </c>
      <c r="E32" s="97"/>
      <c r="F32" s="97"/>
      <c r="G32" s="97"/>
      <c r="H32" s="97"/>
      <c r="I32" s="97"/>
      <c r="J32" s="97"/>
    </row>
    <row r="33" spans="1:12" x14ac:dyDescent="0.3">
      <c r="A33" s="50" t="s">
        <v>236</v>
      </c>
      <c r="B33" s="6"/>
      <c r="C33" s="6"/>
      <c r="D33" s="55"/>
      <c r="E33" s="6"/>
      <c r="F33" s="6"/>
      <c r="G33" s="6"/>
      <c r="H33" s="6"/>
      <c r="I33" s="6"/>
      <c r="J33" s="6"/>
    </row>
    <row r="34" spans="1:12" x14ac:dyDescent="0.3">
      <c r="A34" s="6" t="s">
        <v>45</v>
      </c>
      <c r="B34" s="6"/>
      <c r="C34" s="6"/>
      <c r="D34" s="86">
        <v>521231</v>
      </c>
      <c r="E34" s="58"/>
      <c r="F34" s="58"/>
      <c r="G34" s="58"/>
      <c r="H34" s="58"/>
      <c r="I34" s="58"/>
      <c r="J34" s="58"/>
    </row>
    <row r="35" spans="1:12" x14ac:dyDescent="0.3">
      <c r="A35" s="6" t="s">
        <v>309</v>
      </c>
      <c r="B35" s="6"/>
      <c r="C35" s="6"/>
      <c r="D35" s="86">
        <v>100235</v>
      </c>
      <c r="E35" s="58"/>
      <c r="F35" s="58"/>
      <c r="G35" s="58"/>
      <c r="H35" s="58"/>
      <c r="I35" s="58"/>
      <c r="J35" s="58"/>
    </row>
    <row r="36" spans="1:12" x14ac:dyDescent="0.3">
      <c r="A36" s="6" t="s">
        <v>240</v>
      </c>
      <c r="B36" s="6"/>
      <c r="C36" s="6"/>
      <c r="D36" s="86">
        <f>D27</f>
        <v>36382.699999999997</v>
      </c>
      <c r="E36" s="58"/>
      <c r="F36" s="58"/>
      <c r="G36" s="58"/>
      <c r="H36" s="58"/>
      <c r="I36" s="58"/>
      <c r="J36" s="58"/>
    </row>
    <row r="37" spans="1:12" x14ac:dyDescent="0.3">
      <c r="A37" s="6" t="s">
        <v>238</v>
      </c>
      <c r="B37" s="6"/>
      <c r="C37" s="6"/>
      <c r="D37" s="86">
        <f>D28</f>
        <v>126784</v>
      </c>
      <c r="E37" s="58"/>
      <c r="F37" s="58"/>
      <c r="G37" s="58"/>
      <c r="H37" s="58"/>
      <c r="I37" s="58"/>
      <c r="J37" s="58"/>
    </row>
    <row r="38" spans="1:12" x14ac:dyDescent="0.3">
      <c r="A38" s="6" t="s">
        <v>239</v>
      </c>
      <c r="B38" s="6"/>
      <c r="C38" s="6"/>
      <c r="D38" s="86">
        <f>D29</f>
        <v>21627.4</v>
      </c>
      <c r="E38" s="58"/>
      <c r="F38" s="58"/>
      <c r="G38" s="58"/>
      <c r="H38" s="58"/>
      <c r="I38" s="58"/>
      <c r="J38" s="58"/>
    </row>
    <row r="39" spans="1:12" x14ac:dyDescent="0.3">
      <c r="A39" s="6" t="s">
        <v>313</v>
      </c>
      <c r="B39" s="6"/>
      <c r="C39" s="6"/>
      <c r="D39" s="86">
        <f>D30</f>
        <v>60810.3</v>
      </c>
      <c r="E39" s="58"/>
      <c r="F39" s="58"/>
      <c r="G39" s="58"/>
      <c r="H39" s="58"/>
      <c r="I39" s="58"/>
      <c r="J39" s="58"/>
    </row>
    <row r="40" spans="1:12" x14ac:dyDescent="0.3">
      <c r="A40" s="6" t="s">
        <v>241</v>
      </c>
      <c r="B40" s="6"/>
      <c r="C40" s="6"/>
      <c r="D40" s="86">
        <v>50000</v>
      </c>
      <c r="E40" s="58"/>
      <c r="F40" s="58"/>
      <c r="G40" s="58"/>
      <c r="H40" s="58"/>
      <c r="I40" s="58"/>
      <c r="J40" s="58"/>
    </row>
    <row r="41" spans="1:12" x14ac:dyDescent="0.3">
      <c r="A41" s="98" t="s">
        <v>170</v>
      </c>
      <c r="B41" s="95"/>
      <c r="C41" s="95"/>
      <c r="D41" s="96">
        <f>SUM(D34:D40)</f>
        <v>917070.4</v>
      </c>
      <c r="E41" s="97"/>
      <c r="F41" s="97"/>
      <c r="G41" s="97"/>
      <c r="H41" s="97"/>
      <c r="I41" s="97"/>
      <c r="J41" s="97"/>
    </row>
    <row r="42" spans="1:12" ht="15.75" customHeight="1" x14ac:dyDescent="0.3">
      <c r="A42" s="33" t="s">
        <v>1</v>
      </c>
      <c r="B42" s="33"/>
      <c r="C42" s="33"/>
      <c r="D42" s="42">
        <f>D32+D41</f>
        <v>2255136.7999999998</v>
      </c>
      <c r="E42" s="42">
        <f>D42*93.2%</f>
        <v>2101787.4975999999</v>
      </c>
      <c r="F42" s="79">
        <f>$D42*1.08%</f>
        <v>24355.477439999999</v>
      </c>
      <c r="G42" s="79">
        <f>$D42*1.28%</f>
        <v>28865.751039999999</v>
      </c>
      <c r="H42" s="79">
        <f>$D42*1.21%</f>
        <v>27287.155279999995</v>
      </c>
      <c r="I42" s="79">
        <f>$D42*1.49%</f>
        <v>33601.53832</v>
      </c>
      <c r="J42" s="79">
        <f>D42*1.74%</f>
        <v>39239.380319999997</v>
      </c>
      <c r="K42" s="43">
        <f>E42+J42+F42+G42+H42+I42</f>
        <v>2255136.7999999998</v>
      </c>
      <c r="L42" s="150">
        <f>K42-600000</f>
        <v>1655136.7999999998</v>
      </c>
    </row>
    <row r="43" spans="1:12" hidden="1" x14ac:dyDescent="0.3">
      <c r="A43" s="32" t="s">
        <v>34</v>
      </c>
      <c r="B43" s="6"/>
      <c r="C43" s="6"/>
      <c r="D43" s="87">
        <v>0</v>
      </c>
      <c r="E43" s="58">
        <f>D43*91.91%</f>
        <v>0</v>
      </c>
      <c r="F43" s="58"/>
      <c r="G43" s="58"/>
      <c r="H43" s="58"/>
      <c r="I43" s="58"/>
      <c r="J43" s="58">
        <f>D43*8.09%</f>
        <v>0</v>
      </c>
      <c r="L43" s="69"/>
    </row>
    <row r="44" spans="1:12" hidden="1" x14ac:dyDescent="0.3">
      <c r="A44" s="32"/>
      <c r="B44" s="6"/>
      <c r="C44" s="6"/>
      <c r="D44" s="86">
        <v>0</v>
      </c>
      <c r="E44" s="58">
        <f>D44*91.91%</f>
        <v>0</v>
      </c>
      <c r="F44" s="58"/>
      <c r="G44" s="58"/>
      <c r="H44" s="58"/>
      <c r="I44" s="58"/>
      <c r="J44" s="58">
        <f>D44*8.09%</f>
        <v>0</v>
      </c>
      <c r="L44" s="69"/>
    </row>
    <row r="45" spans="1:12" hidden="1" x14ac:dyDescent="0.3">
      <c r="A45" s="32"/>
      <c r="B45" s="6"/>
      <c r="C45" s="6"/>
      <c r="D45" s="86"/>
      <c r="E45" s="6"/>
      <c r="F45" s="6"/>
      <c r="G45" s="6"/>
      <c r="H45" s="6"/>
      <c r="I45" s="6"/>
      <c r="J45" s="6"/>
      <c r="L45" s="69"/>
    </row>
    <row r="46" spans="1:12" ht="0.75" customHeight="1" x14ac:dyDescent="0.3">
      <c r="A46" s="32"/>
      <c r="B46" s="6"/>
      <c r="C46" s="6"/>
      <c r="D46" s="86"/>
      <c r="E46" s="6"/>
      <c r="F46" s="6"/>
      <c r="G46" s="6"/>
      <c r="H46" s="6"/>
      <c r="I46" s="6"/>
      <c r="J46" s="6"/>
      <c r="L46" s="69"/>
    </row>
    <row r="47" spans="1:12" hidden="1" x14ac:dyDescent="0.3">
      <c r="A47" s="33" t="s">
        <v>40</v>
      </c>
      <c r="B47" s="33"/>
      <c r="C47" s="33"/>
      <c r="D47" s="42">
        <f>SUM(D43:D45)</f>
        <v>0</v>
      </c>
      <c r="E47" s="42">
        <f t="shared" ref="E47:J47" si="0">SUM(E43:E45)</f>
        <v>0</v>
      </c>
      <c r="F47" s="42"/>
      <c r="G47" s="42"/>
      <c r="H47" s="42"/>
      <c r="I47" s="42"/>
      <c r="J47" s="42">
        <f t="shared" si="0"/>
        <v>0</v>
      </c>
      <c r="K47" s="43">
        <f>E47+J47</f>
        <v>0</v>
      </c>
      <c r="L47" s="69" t="str">
        <f>IF(D47=K47, "", "Error")</f>
        <v/>
      </c>
    </row>
    <row r="48" spans="1:12" x14ac:dyDescent="0.3">
      <c r="A48" s="32" t="s">
        <v>251</v>
      </c>
      <c r="B48" s="6"/>
      <c r="C48" s="6"/>
      <c r="D48" s="87"/>
      <c r="E48" s="58">
        <f>D48*91.91%</f>
        <v>0</v>
      </c>
      <c r="F48" s="58"/>
      <c r="G48" s="58"/>
      <c r="H48" s="58"/>
      <c r="I48" s="58"/>
      <c r="J48" s="58">
        <f>D48*8.09%</f>
        <v>0</v>
      </c>
      <c r="L48" s="69"/>
    </row>
    <row r="49" spans="1:12" x14ac:dyDescent="0.3">
      <c r="A49" s="6"/>
      <c r="B49" s="6"/>
      <c r="C49" s="6"/>
      <c r="D49" s="86"/>
      <c r="E49" s="58">
        <f>D49</f>
        <v>0</v>
      </c>
      <c r="F49" s="58"/>
      <c r="G49" s="58"/>
      <c r="H49" s="58"/>
      <c r="I49" s="58"/>
      <c r="J49" s="58"/>
      <c r="L49" s="69"/>
    </row>
    <row r="50" spans="1:12" ht="15.75" customHeight="1" x14ac:dyDescent="0.3">
      <c r="A50" s="6"/>
      <c r="B50" s="6"/>
      <c r="C50" s="6"/>
      <c r="D50" s="86"/>
      <c r="E50" s="58">
        <f t="shared" ref="E50" si="1">D50</f>
        <v>0</v>
      </c>
      <c r="F50" s="58"/>
      <c r="G50" s="58"/>
      <c r="H50" s="58"/>
      <c r="I50" s="58"/>
      <c r="J50" s="58"/>
      <c r="L50" s="69"/>
    </row>
    <row r="51" spans="1:12" x14ac:dyDescent="0.3">
      <c r="A51" s="32"/>
      <c r="B51" s="6"/>
      <c r="C51" s="6"/>
      <c r="D51" s="86"/>
      <c r="E51" s="58">
        <f t="shared" ref="E51" si="2">D51*91.91%</f>
        <v>0</v>
      </c>
      <c r="F51" s="58"/>
      <c r="G51" s="58"/>
      <c r="H51" s="58"/>
      <c r="I51" s="58"/>
      <c r="J51" s="58">
        <f t="shared" ref="J51" si="3">D51*8.09%</f>
        <v>0</v>
      </c>
      <c r="L51" s="69"/>
    </row>
    <row r="52" spans="1:12" x14ac:dyDescent="0.3">
      <c r="A52" s="33" t="s">
        <v>35</v>
      </c>
      <c r="B52" s="33"/>
      <c r="C52" s="33"/>
      <c r="D52" s="42">
        <f>SUM(D44:D51)</f>
        <v>0</v>
      </c>
      <c r="E52" s="42">
        <f>SUM(E44:E51)</f>
        <v>0</v>
      </c>
      <c r="F52" s="42"/>
      <c r="G52" s="42"/>
      <c r="H52" s="42"/>
      <c r="I52" s="42"/>
      <c r="J52" s="48"/>
      <c r="K52" s="43">
        <f>E52+J52+F52+G52+H52+I52</f>
        <v>0</v>
      </c>
      <c r="L52" s="69" t="str">
        <f>IF(D52=K52, "", "Error")</f>
        <v/>
      </c>
    </row>
    <row r="53" spans="1:12" x14ac:dyDescent="0.3">
      <c r="A53" s="32" t="s">
        <v>246</v>
      </c>
      <c r="B53" s="35"/>
      <c r="C53" s="35"/>
      <c r="D53" s="86"/>
      <c r="E53" s="49"/>
      <c r="F53" s="49"/>
      <c r="G53" s="49"/>
      <c r="H53" s="49"/>
      <c r="I53" s="49"/>
      <c r="J53" s="49"/>
      <c r="L53" s="69"/>
    </row>
    <row r="54" spans="1:12" x14ac:dyDescent="0.3">
      <c r="A54" s="35" t="s">
        <v>249</v>
      </c>
      <c r="B54" s="35"/>
      <c r="C54" s="35" t="s">
        <v>342</v>
      </c>
      <c r="D54" s="86">
        <v>278973.90000000002</v>
      </c>
      <c r="E54" s="49"/>
      <c r="F54" s="49"/>
      <c r="G54" s="49"/>
      <c r="H54" s="49"/>
      <c r="I54" s="49"/>
      <c r="J54" s="49"/>
      <c r="L54" s="69"/>
    </row>
    <row r="55" spans="1:12" x14ac:dyDescent="0.3">
      <c r="A55" s="35" t="s">
        <v>249</v>
      </c>
      <c r="B55" s="35"/>
      <c r="C55" s="35" t="s">
        <v>343</v>
      </c>
      <c r="D55" s="86">
        <v>14032.9</v>
      </c>
      <c r="E55" s="49"/>
      <c r="F55" s="49"/>
      <c r="G55" s="49"/>
      <c r="H55" s="49"/>
      <c r="I55" s="49"/>
      <c r="J55" s="49"/>
      <c r="L55" s="69"/>
    </row>
    <row r="56" spans="1:12" x14ac:dyDescent="0.3">
      <c r="A56" s="35" t="s">
        <v>250</v>
      </c>
      <c r="B56" s="35" t="s">
        <v>356</v>
      </c>
      <c r="C56" s="35"/>
      <c r="D56" s="309">
        <v>763852</v>
      </c>
      <c r="E56" s="49"/>
      <c r="F56" s="49"/>
      <c r="G56" s="49"/>
      <c r="H56" s="49"/>
      <c r="I56" s="49"/>
      <c r="J56" s="49"/>
      <c r="L56" s="69"/>
    </row>
    <row r="57" spans="1:12" x14ac:dyDescent="0.3">
      <c r="A57" s="35" t="s">
        <v>250</v>
      </c>
      <c r="B57" s="35" t="s">
        <v>356</v>
      </c>
      <c r="C57" s="35"/>
      <c r="D57" s="309">
        <v>763852</v>
      </c>
      <c r="E57" s="49"/>
      <c r="F57" s="49"/>
      <c r="G57" s="49"/>
      <c r="H57" s="49"/>
      <c r="I57" s="49"/>
      <c r="J57" s="49"/>
      <c r="L57" s="69"/>
    </row>
    <row r="58" spans="1:12" x14ac:dyDescent="0.3">
      <c r="A58" s="33" t="s">
        <v>248</v>
      </c>
      <c r="B58" s="33"/>
      <c r="C58" s="33"/>
      <c r="D58" s="132">
        <f>SUM(D54:D57)</f>
        <v>1820710.8</v>
      </c>
      <c r="E58" s="42">
        <f>D58*93.2%</f>
        <v>1696902.4656000002</v>
      </c>
      <c r="F58" s="79">
        <f>$D58*1.08%</f>
        <v>19663.676640000001</v>
      </c>
      <c r="G58" s="79">
        <f>$D58*1.28%</f>
        <v>23305.098240000003</v>
      </c>
      <c r="H58" s="79">
        <f>$D58*1.21%</f>
        <v>22030.60068</v>
      </c>
      <c r="I58" s="79">
        <f>$D58*1.49%</f>
        <v>27128.590920000002</v>
      </c>
      <c r="J58" s="79">
        <f>D58*1.74%</f>
        <v>31680.367919999997</v>
      </c>
      <c r="K58" s="43">
        <f>E58+J58+F58+G58+H58+I58</f>
        <v>1820710.8000000003</v>
      </c>
      <c r="L58" s="69" t="str">
        <f>IF(D58=K58, "", "Error")</f>
        <v/>
      </c>
    </row>
    <row r="59" spans="1:12" x14ac:dyDescent="0.3">
      <c r="A59" s="32" t="s">
        <v>2</v>
      </c>
      <c r="B59" s="6"/>
      <c r="C59" s="6"/>
      <c r="D59" s="44"/>
      <c r="E59" s="45"/>
      <c r="F59" s="45"/>
      <c r="G59" s="45"/>
      <c r="H59" s="45"/>
      <c r="I59" s="45"/>
      <c r="J59" s="6"/>
      <c r="L59" s="69"/>
    </row>
    <row r="60" spans="1:12" x14ac:dyDescent="0.3">
      <c r="A60" s="6" t="s">
        <v>242</v>
      </c>
      <c r="B60" s="6"/>
      <c r="C60" s="6" t="s">
        <v>335</v>
      </c>
      <c r="D60" s="44">
        <v>56231.41</v>
      </c>
      <c r="E60" s="119"/>
      <c r="F60" s="119"/>
      <c r="G60" s="119"/>
      <c r="H60" s="119"/>
      <c r="I60" s="119"/>
      <c r="J60" s="6"/>
      <c r="L60" s="69"/>
    </row>
    <row r="61" spans="1:12" x14ac:dyDescent="0.3">
      <c r="A61" s="6" t="s">
        <v>295</v>
      </c>
      <c r="B61" s="6"/>
      <c r="C61" s="6" t="s">
        <v>338</v>
      </c>
      <c r="D61" s="44">
        <v>64940.71</v>
      </c>
      <c r="E61" s="76"/>
      <c r="F61" s="76"/>
      <c r="G61" s="76"/>
      <c r="H61" s="76"/>
      <c r="I61" s="76"/>
      <c r="J61" s="6"/>
      <c r="L61" s="69"/>
    </row>
    <row r="62" spans="1:12" x14ac:dyDescent="0.3">
      <c r="A62" s="33" t="s">
        <v>247</v>
      </c>
      <c r="B62" s="33"/>
      <c r="C62" s="33"/>
      <c r="D62" s="42">
        <f>SUM(D59:D61)</f>
        <v>121172.12</v>
      </c>
      <c r="E62" s="42">
        <f>D62*93.2%</f>
        <v>112932.41584</v>
      </c>
      <c r="F62" s="79">
        <f>$D62*1.08%</f>
        <v>1308.6588959999999</v>
      </c>
      <c r="G62" s="79">
        <f>$D62*1.28%</f>
        <v>1551.003136</v>
      </c>
      <c r="H62" s="79">
        <f>$D62*1.21%</f>
        <v>1466.182652</v>
      </c>
      <c r="I62" s="79">
        <f>$D62*1.49%</f>
        <v>1805.464588</v>
      </c>
      <c r="J62" s="79">
        <f>D62*1.74%</f>
        <v>2108.3948879999998</v>
      </c>
      <c r="K62" s="43">
        <f>E62+J62+F62+G62+H62+I62</f>
        <v>121172.12</v>
      </c>
      <c r="L62" s="69" t="str">
        <f>IF(D62=K62, "", "Error")</f>
        <v/>
      </c>
    </row>
    <row r="63" spans="1:12" x14ac:dyDescent="0.3">
      <c r="A63" s="32" t="s">
        <v>229</v>
      </c>
      <c r="B63" s="6"/>
      <c r="C63" s="6"/>
      <c r="D63" s="133"/>
      <c r="E63" s="46"/>
      <c r="F63" s="46"/>
      <c r="G63" s="46"/>
      <c r="H63" s="46"/>
      <c r="I63" s="46"/>
      <c r="J63" s="36"/>
      <c r="L63" s="69"/>
    </row>
    <row r="64" spans="1:12" x14ac:dyDescent="0.3">
      <c r="A64" s="6" t="s">
        <v>233</v>
      </c>
      <c r="B64" s="6"/>
      <c r="C64" s="6"/>
      <c r="D64" s="308">
        <v>160913</v>
      </c>
      <c r="E64" s="58">
        <f>D64*93.2%</f>
        <v>149970.916</v>
      </c>
      <c r="F64" s="58">
        <f>$D64*1.08%</f>
        <v>1737.8604</v>
      </c>
      <c r="G64" s="58">
        <f>$D64*1.28%</f>
        <v>2059.6864</v>
      </c>
      <c r="H64" s="58">
        <f>$D64*1.21%</f>
        <v>1947.0473</v>
      </c>
      <c r="I64" s="58">
        <f>$D64*1.49%</f>
        <v>2397.6037000000001</v>
      </c>
      <c r="J64" s="58">
        <f>D64*1.74%</f>
        <v>2799.8861999999999</v>
      </c>
      <c r="K64" s="43">
        <f>SUM(E64:J64)</f>
        <v>160913.00000000003</v>
      </c>
      <c r="L64" s="69"/>
    </row>
    <row r="65" spans="1:14" x14ac:dyDescent="0.3">
      <c r="A65" s="6" t="s">
        <v>234</v>
      </c>
      <c r="B65" s="6"/>
      <c r="C65" s="6"/>
      <c r="D65" s="308">
        <v>7907</v>
      </c>
      <c r="E65" s="58">
        <f t="shared" ref="E65:E66" si="4">D65*93.2%</f>
        <v>7369.3240000000005</v>
      </c>
      <c r="F65" s="58">
        <f>$D65*1.08%</f>
        <v>85.395600000000002</v>
      </c>
      <c r="G65" s="58">
        <f>$D65*1.28%</f>
        <v>101.20960000000001</v>
      </c>
      <c r="H65" s="58">
        <f>$D65*1.21%</f>
        <v>95.674700000000001</v>
      </c>
      <c r="I65" s="58">
        <f>$D65*1.49%</f>
        <v>117.8143</v>
      </c>
      <c r="J65" s="58">
        <f>D65*1.74%</f>
        <v>137.58179999999999</v>
      </c>
      <c r="K65" s="43">
        <f t="shared" ref="K65:K66" si="5">SUM(E65:J65)</f>
        <v>7907</v>
      </c>
      <c r="L65" s="69"/>
    </row>
    <row r="66" spans="1:14" x14ac:dyDescent="0.3">
      <c r="A66" s="6" t="s">
        <v>235</v>
      </c>
      <c r="B66" s="6"/>
      <c r="C66" s="6"/>
      <c r="D66" s="308">
        <v>7907</v>
      </c>
      <c r="E66" s="58">
        <f t="shared" si="4"/>
        <v>7369.3240000000005</v>
      </c>
      <c r="F66" s="58">
        <f>$D66*1.08%</f>
        <v>85.395600000000002</v>
      </c>
      <c r="G66" s="58">
        <f>$D66*1.28%</f>
        <v>101.20960000000001</v>
      </c>
      <c r="H66" s="58">
        <f>$D66*1.21%</f>
        <v>95.674700000000001</v>
      </c>
      <c r="I66" s="58">
        <f>$D66*1.49%</f>
        <v>117.8143</v>
      </c>
      <c r="J66" s="58">
        <f>D66*1.74%</f>
        <v>137.58179999999999</v>
      </c>
      <c r="K66" s="43">
        <f t="shared" si="5"/>
        <v>7907</v>
      </c>
      <c r="L66" s="69"/>
    </row>
    <row r="67" spans="1:14" x14ac:dyDescent="0.3">
      <c r="A67" s="33" t="s">
        <v>3</v>
      </c>
      <c r="B67" s="34"/>
      <c r="C67" s="34"/>
      <c r="D67" s="42">
        <f>SUM(D64:D66)</f>
        <v>176727</v>
      </c>
      <c r="E67" s="42">
        <f>SUM(E64:E66)</f>
        <v>164709.56399999998</v>
      </c>
      <c r="F67" s="42">
        <f t="shared" ref="F67:I67" si="6">SUM(F64:F66)</f>
        <v>1908.6516000000001</v>
      </c>
      <c r="G67" s="42">
        <f t="shared" si="6"/>
        <v>2262.1056000000003</v>
      </c>
      <c r="H67" s="42">
        <f t="shared" si="6"/>
        <v>2138.3966999999998</v>
      </c>
      <c r="I67" s="42">
        <f t="shared" si="6"/>
        <v>2633.2323000000001</v>
      </c>
      <c r="J67" s="42">
        <f>SUM(J64:J66)</f>
        <v>3075.0497999999998</v>
      </c>
      <c r="K67" s="43">
        <f>E67+J67+F67+G67+H67+I67</f>
        <v>176727.00000000003</v>
      </c>
      <c r="L67" s="69" t="str">
        <f>IF(D67=K67, "", "Error")</f>
        <v/>
      </c>
    </row>
    <row r="68" spans="1:14" x14ac:dyDescent="0.3">
      <c r="A68" s="32" t="s">
        <v>4</v>
      </c>
      <c r="B68" s="6"/>
      <c r="C68" s="6"/>
      <c r="D68" s="89"/>
      <c r="E68" s="46"/>
      <c r="F68" s="46"/>
      <c r="G68" s="46"/>
      <c r="H68" s="46"/>
      <c r="I68" s="46"/>
      <c r="J68" s="6"/>
      <c r="L68" s="69"/>
    </row>
    <row r="69" spans="1:14" ht="16.5" customHeight="1" x14ac:dyDescent="0.3">
      <c r="A69" s="71" t="s">
        <v>243</v>
      </c>
      <c r="B69" s="6"/>
      <c r="C69" s="35" t="s">
        <v>369</v>
      </c>
      <c r="D69" s="312">
        <v>834391.68</v>
      </c>
      <c r="E69" s="68">
        <f>D69*93.2%</f>
        <v>777653.04576000012</v>
      </c>
      <c r="F69" s="58">
        <f>$D69*1.08%</f>
        <v>9011.4301440000017</v>
      </c>
      <c r="G69" s="58">
        <f>$D69*1.28%</f>
        <v>10680.213504000001</v>
      </c>
      <c r="H69" s="58">
        <f>$D69*1.21%</f>
        <v>10096.139328000001</v>
      </c>
      <c r="I69" s="58">
        <f>$D69*1.49%</f>
        <v>12432.436032000001</v>
      </c>
      <c r="J69" s="58">
        <f>D69*1.74%</f>
        <v>14518.415231999999</v>
      </c>
      <c r="K69" s="43">
        <f>D69</f>
        <v>834391.68</v>
      </c>
      <c r="L69" s="75">
        <f>SUM(E69:J69)</f>
        <v>834391.68000000017</v>
      </c>
      <c r="M69" s="85"/>
      <c r="N69" s="85"/>
    </row>
    <row r="70" spans="1:14" x14ac:dyDescent="0.3">
      <c r="A70" s="6" t="s">
        <v>244</v>
      </c>
      <c r="B70" s="6"/>
      <c r="C70" s="35" t="s">
        <v>369</v>
      </c>
      <c r="D70" s="313">
        <v>2334594.12</v>
      </c>
      <c r="E70" s="68">
        <f t="shared" ref="E70" si="7">D70*93.2%</f>
        <v>2175841.7198400004</v>
      </c>
      <c r="F70" s="58">
        <f t="shared" ref="F70" si="8">$D70*1.08%</f>
        <v>25213.616496000002</v>
      </c>
      <c r="G70" s="58">
        <f t="shared" ref="G70" si="9">$D70*1.28%</f>
        <v>29882.804736000002</v>
      </c>
      <c r="H70" s="58">
        <f t="shared" ref="H70" si="10">$D70*1.21%</f>
        <v>28248.588852000001</v>
      </c>
      <c r="I70" s="58">
        <f t="shared" ref="I70" si="11">$D70*1.49%</f>
        <v>34785.452388000005</v>
      </c>
      <c r="J70" s="58">
        <f t="shared" ref="J70" si="12">D70*1.74%</f>
        <v>40621.937687999998</v>
      </c>
      <c r="K70" s="43">
        <f t="shared" ref="K70:K82" si="13">D70</f>
        <v>2334594.12</v>
      </c>
      <c r="L70" s="75">
        <f t="shared" ref="L70" si="14">E70+J70+I70+H70+G70+F70</f>
        <v>2334594.1200000006</v>
      </c>
      <c r="M70" s="85"/>
      <c r="N70" s="85"/>
    </row>
    <row r="71" spans="1:14" x14ac:dyDescent="0.3">
      <c r="A71" s="6" t="s">
        <v>245</v>
      </c>
      <c r="B71" s="6"/>
      <c r="C71" s="6" t="s">
        <v>336</v>
      </c>
      <c r="D71" s="44">
        <v>118908</v>
      </c>
      <c r="E71" s="68">
        <f>D71</f>
        <v>118908</v>
      </c>
      <c r="F71" s="58"/>
      <c r="G71" s="58"/>
      <c r="H71" s="58"/>
      <c r="I71" s="58"/>
      <c r="J71" s="58"/>
      <c r="K71" s="43">
        <f t="shared" si="13"/>
        <v>118908</v>
      </c>
      <c r="L71" s="75">
        <f>E71+J71+I71+H71+G71+F71</f>
        <v>118908</v>
      </c>
      <c r="M71" s="85">
        <f>L71-D71</f>
        <v>0</v>
      </c>
      <c r="N71" s="85">
        <f>K71-D71</f>
        <v>0</v>
      </c>
    </row>
    <row r="72" spans="1:14" x14ac:dyDescent="0.3">
      <c r="A72" s="6" t="s">
        <v>357</v>
      </c>
      <c r="B72" s="6"/>
      <c r="C72" s="6" t="s">
        <v>374</v>
      </c>
      <c r="D72" s="308">
        <v>352314.06</v>
      </c>
      <c r="E72" s="68">
        <f>D72</f>
        <v>352314.06</v>
      </c>
      <c r="F72" s="58"/>
      <c r="G72" s="58"/>
      <c r="H72" s="58"/>
      <c r="I72" s="58"/>
      <c r="J72" s="58"/>
      <c r="K72" s="43">
        <f t="shared" si="13"/>
        <v>352314.06</v>
      </c>
      <c r="L72" s="75">
        <f>E72+J72+I72+H72+G72+F72</f>
        <v>352314.06</v>
      </c>
      <c r="M72" s="85"/>
      <c r="N72" s="85"/>
    </row>
    <row r="73" spans="1:14" x14ac:dyDescent="0.3">
      <c r="A73" s="6" t="s">
        <v>332</v>
      </c>
      <c r="B73" s="6"/>
      <c r="C73" s="6" t="s">
        <v>374</v>
      </c>
      <c r="D73" s="308">
        <v>309917.37</v>
      </c>
      <c r="E73" s="68"/>
      <c r="F73" s="58"/>
      <c r="G73" s="58"/>
      <c r="H73" s="58"/>
      <c r="I73" s="58"/>
      <c r="J73" s="58"/>
      <c r="K73" s="43"/>
      <c r="L73" s="75"/>
      <c r="M73" s="85"/>
      <c r="N73" s="85"/>
    </row>
    <row r="74" spans="1:14" x14ac:dyDescent="0.3">
      <c r="A74" s="35" t="s">
        <v>298</v>
      </c>
      <c r="B74" s="35"/>
      <c r="C74" s="35"/>
      <c r="D74" s="44">
        <v>0</v>
      </c>
      <c r="E74" s="68">
        <f>D74</f>
        <v>0</v>
      </c>
      <c r="F74" s="58"/>
      <c r="G74" s="58"/>
      <c r="H74" s="58"/>
      <c r="I74" s="58"/>
      <c r="J74" s="58"/>
      <c r="K74" s="43">
        <f>D74</f>
        <v>0</v>
      </c>
      <c r="L74" s="75">
        <f t="shared" ref="L74:L81" si="15">E74+J74+I74+H74+G74+F74</f>
        <v>0</v>
      </c>
      <c r="M74" s="85">
        <f>L74-D74</f>
        <v>0</v>
      </c>
      <c r="N74" s="85">
        <f>K74-D74</f>
        <v>0</v>
      </c>
    </row>
    <row r="75" spans="1:14" x14ac:dyDescent="0.3">
      <c r="A75" s="35" t="s">
        <v>280</v>
      </c>
      <c r="B75" s="35"/>
      <c r="C75" s="35"/>
      <c r="D75" s="308">
        <v>1008555.16</v>
      </c>
      <c r="E75" s="68">
        <f>D75*93.2%</f>
        <v>939973.40912000008</v>
      </c>
      <c r="F75" s="58">
        <f>$D75*1.08%</f>
        <v>10892.395728000001</v>
      </c>
      <c r="G75" s="58">
        <f>$D75*1.28%</f>
        <v>12909.506048000001</v>
      </c>
      <c r="H75" s="58">
        <f>$D75*1.21%</f>
        <v>12203.517436</v>
      </c>
      <c r="I75" s="58">
        <f>$D75*1.49%</f>
        <v>15027.471884000001</v>
      </c>
      <c r="J75" s="58">
        <f>D75*1.74%</f>
        <v>17548.859784</v>
      </c>
      <c r="K75" s="43">
        <f t="shared" si="13"/>
        <v>1008555.16</v>
      </c>
      <c r="L75" s="75">
        <f t="shared" si="15"/>
        <v>1008555.16</v>
      </c>
      <c r="M75" s="85">
        <f>L75-D75</f>
        <v>0</v>
      </c>
      <c r="N75" s="85">
        <f t="shared" ref="N75:N82" si="16">K75-D75</f>
        <v>0</v>
      </c>
    </row>
    <row r="76" spans="1:14" x14ac:dyDescent="0.3">
      <c r="A76" s="35" t="s">
        <v>281</v>
      </c>
      <c r="B76" s="35"/>
      <c r="C76" s="35"/>
      <c r="D76" s="308">
        <v>10221.41</v>
      </c>
      <c r="E76" s="68">
        <f>D76*93.2%</f>
        <v>9526.35412</v>
      </c>
      <c r="F76" s="58">
        <f>$D76*1.08%</f>
        <v>110.391228</v>
      </c>
      <c r="G76" s="58">
        <f>$D76*1.28%</f>
        <v>130.834048</v>
      </c>
      <c r="H76" s="58">
        <f>$D76*1.21%</f>
        <v>123.67906099999999</v>
      </c>
      <c r="I76" s="58">
        <f>$D76*1.49%</f>
        <v>152.29900900000001</v>
      </c>
      <c r="J76" s="58">
        <f>D76*1.74%</f>
        <v>177.85253399999999</v>
      </c>
      <c r="K76" s="43">
        <f t="shared" si="13"/>
        <v>10221.41</v>
      </c>
      <c r="L76" s="75">
        <f t="shared" si="15"/>
        <v>10221.410000000002</v>
      </c>
      <c r="M76" s="85">
        <f>L76-D76</f>
        <v>0</v>
      </c>
      <c r="N76" s="85">
        <f t="shared" si="16"/>
        <v>0</v>
      </c>
    </row>
    <row r="77" spans="1:14" x14ac:dyDescent="0.3">
      <c r="A77" s="152" t="s">
        <v>279</v>
      </c>
      <c r="B77" s="151"/>
      <c r="C77" s="6" t="s">
        <v>337</v>
      </c>
      <c r="D77" s="44">
        <v>100000</v>
      </c>
      <c r="E77" s="68">
        <f>D77*93.2%</f>
        <v>93200</v>
      </c>
      <c r="F77" s="68">
        <f>$D77*1.08%</f>
        <v>1080</v>
      </c>
      <c r="G77" s="68">
        <f>$D77*1.28%</f>
        <v>1280</v>
      </c>
      <c r="H77" s="68">
        <f>$D77*1.21%</f>
        <v>1210</v>
      </c>
      <c r="I77" s="68">
        <f>$D77*1.49%</f>
        <v>1490</v>
      </c>
      <c r="J77" s="58">
        <f>D77*1.74%</f>
        <v>1739.9999999999998</v>
      </c>
      <c r="K77" s="43">
        <f t="shared" si="13"/>
        <v>100000</v>
      </c>
      <c r="L77" s="75">
        <f t="shared" si="15"/>
        <v>100000</v>
      </c>
      <c r="M77" s="85">
        <f>L77-D77</f>
        <v>0</v>
      </c>
      <c r="N77" s="85">
        <f t="shared" si="16"/>
        <v>0</v>
      </c>
    </row>
    <row r="78" spans="1:14" x14ac:dyDescent="0.3">
      <c r="A78" s="152" t="s">
        <v>366</v>
      </c>
      <c r="B78" s="310"/>
      <c r="C78" s="6" t="s">
        <v>367</v>
      </c>
      <c r="D78" s="308">
        <v>460000</v>
      </c>
      <c r="E78" s="68">
        <f>D79</f>
        <v>25000</v>
      </c>
      <c r="F78" s="68"/>
      <c r="G78" s="68"/>
      <c r="H78" s="68"/>
      <c r="I78" s="68"/>
      <c r="J78" s="58"/>
      <c r="K78" s="43">
        <f t="shared" si="13"/>
        <v>460000</v>
      </c>
      <c r="L78" s="75"/>
      <c r="M78" s="85"/>
      <c r="N78" s="85">
        <f t="shared" si="16"/>
        <v>0</v>
      </c>
    </row>
    <row r="79" spans="1:14" x14ac:dyDescent="0.3">
      <c r="A79" s="263" t="s">
        <v>339</v>
      </c>
      <c r="B79" s="267"/>
      <c r="C79" s="6" t="s">
        <v>336</v>
      </c>
      <c r="D79" s="44">
        <v>25000</v>
      </c>
      <c r="F79" s="68"/>
      <c r="G79" s="68"/>
      <c r="H79" s="68"/>
      <c r="I79" s="68"/>
      <c r="J79" s="58"/>
      <c r="K79" s="43">
        <f t="shared" si="13"/>
        <v>25000</v>
      </c>
      <c r="L79" s="75">
        <f>E78+J79+I79+H79+G79+F79</f>
        <v>25000</v>
      </c>
      <c r="M79" s="85"/>
      <c r="N79" s="85"/>
    </row>
    <row r="80" spans="1:14" ht="28.5" customHeight="1" x14ac:dyDescent="0.3">
      <c r="A80" s="263" t="s">
        <v>334</v>
      </c>
      <c r="B80" s="267"/>
      <c r="C80" s="151" t="s">
        <v>333</v>
      </c>
      <c r="D80" s="44">
        <v>60000</v>
      </c>
      <c r="E80" s="68">
        <f t="shared" ref="E80:E82" si="17">D80</f>
        <v>60000</v>
      </c>
      <c r="F80" s="68"/>
      <c r="G80" s="68"/>
      <c r="H80" s="68"/>
      <c r="I80" s="68"/>
      <c r="J80" s="58"/>
      <c r="K80" s="43">
        <f t="shared" si="13"/>
        <v>60000</v>
      </c>
      <c r="L80" s="75">
        <f t="shared" si="15"/>
        <v>60000</v>
      </c>
      <c r="M80" s="85"/>
      <c r="N80" s="85">
        <f t="shared" si="16"/>
        <v>0</v>
      </c>
    </row>
    <row r="81" spans="1:14" ht="15" customHeight="1" x14ac:dyDescent="0.3">
      <c r="A81" s="143" t="s">
        <v>359</v>
      </c>
      <c r="B81" s="143"/>
      <c r="C81" s="151" t="s">
        <v>360</v>
      </c>
      <c r="D81" s="308">
        <v>337100</v>
      </c>
      <c r="E81" s="68">
        <f t="shared" si="17"/>
        <v>337100</v>
      </c>
      <c r="F81" s="68"/>
      <c r="G81" s="68"/>
      <c r="H81" s="68"/>
      <c r="I81" s="68"/>
      <c r="J81" s="58"/>
      <c r="K81" s="43">
        <f t="shared" si="13"/>
        <v>337100</v>
      </c>
      <c r="L81" s="75">
        <f t="shared" si="15"/>
        <v>337100</v>
      </c>
      <c r="M81" s="85">
        <f>L81-D81</f>
        <v>0</v>
      </c>
      <c r="N81" s="85">
        <f t="shared" si="16"/>
        <v>0</v>
      </c>
    </row>
    <row r="82" spans="1:14" x14ac:dyDescent="0.3">
      <c r="A82" s="71" t="s">
        <v>371</v>
      </c>
      <c r="B82" s="72"/>
      <c r="C82" s="72" t="s">
        <v>372</v>
      </c>
      <c r="D82" s="311">
        <v>123908</v>
      </c>
      <c r="E82" s="68">
        <f t="shared" si="17"/>
        <v>123908</v>
      </c>
      <c r="F82" s="68"/>
      <c r="G82" s="68"/>
      <c r="H82" s="68"/>
      <c r="I82" s="68"/>
      <c r="J82" s="58"/>
      <c r="K82" s="43">
        <f t="shared" si="13"/>
        <v>123908</v>
      </c>
      <c r="L82" s="75"/>
      <c r="M82" t="str">
        <f>IF(K82=L82, "", "Error")</f>
        <v>Error</v>
      </c>
      <c r="N82" s="85">
        <f t="shared" si="16"/>
        <v>0</v>
      </c>
    </row>
    <row r="83" spans="1:14" ht="14.25" customHeight="1" x14ac:dyDescent="0.3">
      <c r="A83" s="33" t="s">
        <v>5</v>
      </c>
      <c r="B83" s="34"/>
      <c r="C83" s="34"/>
      <c r="D83" s="42">
        <f t="shared" ref="D83:J83" si="18">SUM(D69:D82)</f>
        <v>6074909.8000000007</v>
      </c>
      <c r="E83" s="42">
        <f t="shared" si="18"/>
        <v>5013424.5888400013</v>
      </c>
      <c r="F83" s="42">
        <f t="shared" si="18"/>
        <v>46307.833596000004</v>
      </c>
      <c r="G83" s="42">
        <f t="shared" si="18"/>
        <v>54883.358336000005</v>
      </c>
      <c r="H83" s="42">
        <f t="shared" si="18"/>
        <v>51881.92467700001</v>
      </c>
      <c r="I83" s="42">
        <f t="shared" si="18"/>
        <v>63887.659313000004</v>
      </c>
      <c r="J83" s="42">
        <f t="shared" si="18"/>
        <v>74607.06523800001</v>
      </c>
      <c r="K83" s="43">
        <f>E83+J83+F83+G83+H83+I83</f>
        <v>5304992.4300000016</v>
      </c>
      <c r="L83" s="69" t="str">
        <f>IF(D83=K83, "", "Error")</f>
        <v>Error</v>
      </c>
      <c r="M83" s="85">
        <f>D83-K83</f>
        <v>769917.36999999918</v>
      </c>
    </row>
    <row r="84" spans="1:14" hidden="1" x14ac:dyDescent="0.3">
      <c r="A84" s="6"/>
      <c r="B84" s="6"/>
      <c r="C84" s="6"/>
      <c r="D84" s="89"/>
      <c r="E84" s="46"/>
      <c r="F84" s="46"/>
      <c r="G84" s="46"/>
      <c r="H84" s="46"/>
      <c r="I84" s="46"/>
      <c r="J84" s="6"/>
      <c r="L84" s="69"/>
    </row>
    <row r="85" spans="1:14" hidden="1" x14ac:dyDescent="0.3">
      <c r="A85" s="6"/>
      <c r="B85" s="6"/>
      <c r="C85" s="6"/>
      <c r="D85" s="89"/>
      <c r="E85" s="45"/>
      <c r="F85" s="45"/>
      <c r="G85" s="45"/>
      <c r="H85" s="45"/>
      <c r="I85" s="45"/>
      <c r="J85" s="6"/>
      <c r="L85" s="69"/>
    </row>
    <row r="86" spans="1:14" x14ac:dyDescent="0.3">
      <c r="A86" s="32" t="s">
        <v>230</v>
      </c>
      <c r="B86" s="6"/>
      <c r="C86" s="6"/>
      <c r="D86" s="89"/>
      <c r="E86" s="45"/>
      <c r="F86" s="45"/>
      <c r="G86" s="45"/>
      <c r="H86" s="45"/>
      <c r="I86" s="45"/>
      <c r="J86" s="6"/>
      <c r="L86" s="69"/>
    </row>
    <row r="87" spans="1:14" x14ac:dyDescent="0.3">
      <c r="A87" s="6" t="s">
        <v>358</v>
      </c>
      <c r="B87" s="35"/>
      <c r="C87" s="35" t="s">
        <v>361</v>
      </c>
      <c r="D87" s="308">
        <v>474000</v>
      </c>
      <c r="E87" s="68">
        <f>D87*93.2%</f>
        <v>441768</v>
      </c>
      <c r="F87" s="58">
        <f>$D87*1.08%</f>
        <v>5119.2</v>
      </c>
      <c r="G87" s="58">
        <f>$D87*1.28%</f>
        <v>6067.2000000000007</v>
      </c>
      <c r="H87" s="58">
        <f>$D87*1.21%</f>
        <v>5735.4</v>
      </c>
      <c r="I87" s="58">
        <f>$D87*1.49%</f>
        <v>7062.6</v>
      </c>
      <c r="J87" s="58">
        <f>D87*1.74%</f>
        <v>8247.5999999999985</v>
      </c>
      <c r="K87" s="74"/>
      <c r="L87" s="69"/>
    </row>
    <row r="88" spans="1:14" x14ac:dyDescent="0.3">
      <c r="A88" s="6" t="s">
        <v>358</v>
      </c>
      <c r="B88" s="35"/>
      <c r="C88" s="35" t="s">
        <v>361</v>
      </c>
      <c r="D88" s="308">
        <v>512900</v>
      </c>
      <c r="E88" s="68">
        <f>D88</f>
        <v>512900</v>
      </c>
      <c r="F88" s="58"/>
      <c r="G88" s="58"/>
      <c r="H88" s="58"/>
      <c r="I88" s="58"/>
      <c r="J88" s="58"/>
      <c r="K88" s="74"/>
      <c r="L88" s="69"/>
    </row>
    <row r="89" spans="1:14" x14ac:dyDescent="0.3">
      <c r="A89" s="6" t="s">
        <v>365</v>
      </c>
      <c r="B89" s="35"/>
      <c r="C89" s="35" t="s">
        <v>363</v>
      </c>
      <c r="D89" s="308">
        <v>45000</v>
      </c>
      <c r="E89" s="68">
        <f>D89</f>
        <v>45000</v>
      </c>
      <c r="F89" s="58"/>
      <c r="G89" s="58"/>
      <c r="H89" s="58"/>
      <c r="I89" s="58"/>
      <c r="J89" s="58"/>
      <c r="K89" s="74"/>
      <c r="L89" s="69"/>
    </row>
    <row r="90" spans="1:14" x14ac:dyDescent="0.3">
      <c r="A90" s="6" t="s">
        <v>368</v>
      </c>
      <c r="B90" s="35"/>
      <c r="C90" s="35" t="s">
        <v>369</v>
      </c>
      <c r="D90" s="308">
        <v>85000</v>
      </c>
      <c r="E90" s="68">
        <f>D90</f>
        <v>85000</v>
      </c>
      <c r="F90" s="58"/>
      <c r="G90" s="58"/>
      <c r="H90" s="58"/>
      <c r="I90" s="58"/>
      <c r="J90" s="58"/>
      <c r="K90" s="74"/>
      <c r="L90" s="69"/>
    </row>
    <row r="91" spans="1:14" x14ac:dyDescent="0.3">
      <c r="A91" s="6" t="s">
        <v>370</v>
      </c>
      <c r="B91" s="35"/>
      <c r="C91" s="35" t="s">
        <v>369</v>
      </c>
      <c r="D91" s="308">
        <v>135000</v>
      </c>
      <c r="E91" s="68">
        <f>D91</f>
        <v>135000</v>
      </c>
      <c r="F91" s="58"/>
      <c r="G91" s="58"/>
      <c r="H91" s="58"/>
      <c r="I91" s="58"/>
      <c r="J91" s="58"/>
      <c r="K91" s="74"/>
      <c r="L91" s="69"/>
    </row>
    <row r="92" spans="1:14" x14ac:dyDescent="0.3">
      <c r="A92" s="6" t="s">
        <v>362</v>
      </c>
      <c r="B92" s="35"/>
      <c r="C92" s="35" t="s">
        <v>363</v>
      </c>
      <c r="D92" s="308">
        <v>24100</v>
      </c>
      <c r="E92" s="68">
        <f>D92</f>
        <v>24100</v>
      </c>
      <c r="F92" s="58"/>
      <c r="G92" s="58"/>
      <c r="H92" s="58"/>
      <c r="I92" s="58"/>
      <c r="J92" s="58"/>
      <c r="K92" s="74"/>
      <c r="L92" s="69"/>
    </row>
    <row r="93" spans="1:14" x14ac:dyDescent="0.3">
      <c r="A93" s="6" t="s">
        <v>364</v>
      </c>
      <c r="B93" s="35"/>
      <c r="C93" s="35" t="s">
        <v>363</v>
      </c>
      <c r="D93" s="308">
        <v>24100</v>
      </c>
      <c r="E93" s="68">
        <f>D93</f>
        <v>24100</v>
      </c>
      <c r="F93" s="76"/>
      <c r="G93" s="76"/>
      <c r="H93" s="76"/>
      <c r="I93" s="76"/>
      <c r="J93" s="58"/>
      <c r="K93" s="74"/>
      <c r="L93" s="69"/>
    </row>
    <row r="94" spans="1:14" x14ac:dyDescent="0.3">
      <c r="A94" s="6" t="s">
        <v>373</v>
      </c>
      <c r="B94" s="6"/>
      <c r="C94" s="72" t="s">
        <v>372</v>
      </c>
      <c r="D94" s="44">
        <v>322000</v>
      </c>
      <c r="E94" s="68">
        <f>D94</f>
        <v>322000</v>
      </c>
      <c r="F94" s="58"/>
      <c r="G94" s="58"/>
      <c r="H94" s="58"/>
      <c r="I94" s="58"/>
      <c r="J94" s="58"/>
      <c r="L94" s="69"/>
      <c r="M94" s="43"/>
    </row>
    <row r="95" spans="1:14" ht="13.5" customHeight="1" x14ac:dyDescent="0.3">
      <c r="A95" s="33" t="s">
        <v>231</v>
      </c>
      <c r="B95" s="33"/>
      <c r="C95" s="33"/>
      <c r="D95" s="42">
        <f>SUM(D87:D94)</f>
        <v>1622100</v>
      </c>
      <c r="E95" s="42">
        <f t="shared" ref="E95:J95" si="19">SUM(E87:E94)</f>
        <v>1589868</v>
      </c>
      <c r="F95" s="42">
        <f t="shared" si="19"/>
        <v>5119.2</v>
      </c>
      <c r="G95" s="42">
        <f t="shared" si="19"/>
        <v>6067.2000000000007</v>
      </c>
      <c r="H95" s="42">
        <f t="shared" si="19"/>
        <v>5735.4</v>
      </c>
      <c r="I95" s="42">
        <f t="shared" si="19"/>
        <v>7062.6</v>
      </c>
      <c r="J95" s="42">
        <f t="shared" si="19"/>
        <v>8247.5999999999985</v>
      </c>
      <c r="K95" s="43">
        <f>E95+J95+F95+G95+H95+I95</f>
        <v>1622100</v>
      </c>
      <c r="L95" s="69" t="str">
        <f>IF(D95=K95, "", "Error")</f>
        <v/>
      </c>
      <c r="N95" s="43"/>
    </row>
    <row r="96" spans="1:14" hidden="1" x14ac:dyDescent="0.3">
      <c r="A96" s="6"/>
      <c r="B96" s="6"/>
      <c r="C96" s="6"/>
      <c r="D96" s="89"/>
      <c r="E96" s="46"/>
      <c r="F96" s="46"/>
      <c r="G96" s="46"/>
      <c r="H96" s="46"/>
      <c r="I96" s="46"/>
      <c r="J96" s="6"/>
      <c r="L96" s="69"/>
    </row>
    <row r="97" spans="1:14" hidden="1" x14ac:dyDescent="0.3">
      <c r="A97" s="6"/>
      <c r="B97" s="6"/>
      <c r="C97" s="6"/>
      <c r="D97" s="89"/>
      <c r="E97" s="45"/>
      <c r="F97" s="45"/>
      <c r="G97" s="45"/>
      <c r="H97" s="45"/>
      <c r="I97" s="45"/>
      <c r="J97" s="6"/>
      <c r="L97" s="69"/>
    </row>
    <row r="98" spans="1:14" x14ac:dyDescent="0.3">
      <c r="A98" s="32" t="s">
        <v>6</v>
      </c>
      <c r="B98" s="6"/>
      <c r="C98" s="6"/>
      <c r="D98" s="89"/>
      <c r="E98" s="45"/>
      <c r="F98" s="45"/>
      <c r="G98" s="45"/>
      <c r="H98" s="45"/>
      <c r="I98" s="45"/>
      <c r="J98" s="6"/>
      <c r="L98" s="69"/>
    </row>
    <row r="99" spans="1:14" ht="14.25" customHeight="1" x14ac:dyDescent="0.3">
      <c r="A99" s="6" t="s">
        <v>7</v>
      </c>
      <c r="B99" s="6" t="s">
        <v>39</v>
      </c>
      <c r="C99" s="6"/>
      <c r="D99" s="44">
        <v>753700</v>
      </c>
      <c r="E99" s="68">
        <f>D99*93.2%</f>
        <v>702448.4</v>
      </c>
      <c r="F99" s="58">
        <f>$D99*1.08%</f>
        <v>8139.96</v>
      </c>
      <c r="G99" s="58">
        <f>$D99*1.28%</f>
        <v>9647.36</v>
      </c>
      <c r="H99" s="58">
        <f>$D99*1.21%</f>
        <v>9119.77</v>
      </c>
      <c r="I99" s="58">
        <f>$D99*1.49%</f>
        <v>11230.13</v>
      </c>
      <c r="J99" s="58">
        <f>D99*1.74%</f>
        <v>13114.38</v>
      </c>
      <c r="L99" s="69" t="s">
        <v>325</v>
      </c>
    </row>
    <row r="100" spans="1:14" x14ac:dyDescent="0.3">
      <c r="A100" s="32"/>
      <c r="B100" s="6"/>
      <c r="C100" s="6"/>
      <c r="D100" s="44"/>
      <c r="E100" s="68"/>
      <c r="F100" s="68"/>
      <c r="G100" s="68"/>
      <c r="H100" s="68"/>
      <c r="I100" s="68"/>
      <c r="J100" s="58"/>
      <c r="L100" s="69"/>
      <c r="N100" s="44"/>
    </row>
    <row r="101" spans="1:14" x14ac:dyDescent="0.3">
      <c r="A101" s="6"/>
      <c r="B101" s="6"/>
      <c r="C101" s="6"/>
      <c r="D101" s="89"/>
      <c r="E101" s="47"/>
      <c r="F101" s="47"/>
      <c r="G101" s="47"/>
      <c r="H101" s="47"/>
      <c r="I101" s="47"/>
      <c r="J101" s="6"/>
      <c r="L101" s="69"/>
      <c r="N101" s="43"/>
    </row>
    <row r="102" spans="1:14" x14ac:dyDescent="0.3">
      <c r="A102" s="33" t="s">
        <v>8</v>
      </c>
      <c r="B102" s="33"/>
      <c r="C102" s="33"/>
      <c r="D102" s="42">
        <f>SUM(D99:D101)</f>
        <v>753700</v>
      </c>
      <c r="E102" s="42">
        <f>SUM(E99:E101)</f>
        <v>702448.4</v>
      </c>
      <c r="F102" s="42">
        <f t="shared" ref="F102:I102" si="20">SUM(F99:F101)</f>
        <v>8139.96</v>
      </c>
      <c r="G102" s="42">
        <f t="shared" si="20"/>
        <v>9647.36</v>
      </c>
      <c r="H102" s="42">
        <f t="shared" si="20"/>
        <v>9119.77</v>
      </c>
      <c r="I102" s="42">
        <f t="shared" si="20"/>
        <v>11230.13</v>
      </c>
      <c r="J102" s="42">
        <f>SUM(J99:J101)</f>
        <v>13114.38</v>
      </c>
      <c r="K102" s="43">
        <f>E102+J102+F102+G102+H102+I102</f>
        <v>753700</v>
      </c>
      <c r="L102" s="69" t="str">
        <f>IF(D102=K102, "", "Error")</f>
        <v/>
      </c>
      <c r="N102" s="43"/>
    </row>
    <row r="103" spans="1:14" x14ac:dyDescent="0.3">
      <c r="A103" s="6" t="s">
        <v>28</v>
      </c>
      <c r="B103" s="6"/>
      <c r="C103" s="6"/>
      <c r="D103" s="44">
        <v>119739.39</v>
      </c>
      <c r="E103" s="68">
        <f>D103*93.2%</f>
        <v>111597.11148000001</v>
      </c>
      <c r="F103" s="58">
        <f>$D103*1.08%</f>
        <v>1293.185412</v>
      </c>
      <c r="G103" s="58">
        <f>$D103*1.28%</f>
        <v>1532.664192</v>
      </c>
      <c r="H103" s="58">
        <f>$D103*1.21%</f>
        <v>1448.8466189999999</v>
      </c>
      <c r="I103" s="58">
        <f>$D103*1.49%</f>
        <v>1784.1169110000001</v>
      </c>
      <c r="J103" s="58">
        <f>D103*1.74%</f>
        <v>2083.4653859999999</v>
      </c>
      <c r="L103" s="69"/>
    </row>
    <row r="104" spans="1:14" x14ac:dyDescent="0.3">
      <c r="A104" s="6" t="s">
        <v>29</v>
      </c>
      <c r="B104" s="6"/>
      <c r="C104" s="51"/>
      <c r="D104" s="44"/>
      <c r="E104" s="68">
        <f>D104*93.2%</f>
        <v>0</v>
      </c>
      <c r="F104" s="58">
        <f>$D104*1.08%</f>
        <v>0</v>
      </c>
      <c r="G104" s="58">
        <f>$D104*1.28%</f>
        <v>0</v>
      </c>
      <c r="H104" s="58">
        <f>$D104*1.21%</f>
        <v>0</v>
      </c>
      <c r="I104" s="58">
        <f>$D104*1.49%</f>
        <v>0</v>
      </c>
      <c r="J104" s="58">
        <f>D104*1.74%</f>
        <v>0</v>
      </c>
      <c r="L104" s="69"/>
    </row>
    <row r="105" spans="1:14" x14ac:dyDescent="0.3">
      <c r="A105" s="33" t="s">
        <v>232</v>
      </c>
      <c r="B105" s="33"/>
      <c r="C105" s="33"/>
      <c r="D105" s="73">
        <f>SUM(D103:D104)</f>
        <v>119739.39</v>
      </c>
      <c r="E105" s="67">
        <f t="shared" ref="E105:J105" si="21">SUM(E103:E104)</f>
        <v>111597.11148000001</v>
      </c>
      <c r="F105" s="67">
        <f t="shared" si="21"/>
        <v>1293.185412</v>
      </c>
      <c r="G105" s="67">
        <f t="shared" si="21"/>
        <v>1532.664192</v>
      </c>
      <c r="H105" s="67">
        <f t="shared" si="21"/>
        <v>1448.8466189999999</v>
      </c>
      <c r="I105" s="67">
        <f t="shared" si="21"/>
        <v>1784.1169110000001</v>
      </c>
      <c r="J105" s="67">
        <f t="shared" si="21"/>
        <v>2083.4653859999999</v>
      </c>
      <c r="K105" s="43">
        <f>E105+J105+F105+G105+H105+I105</f>
        <v>119739.39000000001</v>
      </c>
      <c r="L105" s="69" t="str">
        <f>IF(D105=K105, "", "Error")</f>
        <v/>
      </c>
    </row>
    <row r="106" spans="1:14" ht="15" thickBot="1" x14ac:dyDescent="0.35">
      <c r="A106" s="103"/>
      <c r="B106" s="103"/>
      <c r="C106" s="103"/>
      <c r="D106" s="104"/>
      <c r="E106" s="9"/>
      <c r="F106" s="9"/>
      <c r="G106" s="9"/>
      <c r="H106" s="9"/>
      <c r="I106" s="9"/>
      <c r="J106" s="103"/>
      <c r="L106" s="69"/>
    </row>
    <row r="107" spans="1:14" ht="15" thickBot="1" x14ac:dyDescent="0.35">
      <c r="A107" s="105" t="s">
        <v>346</v>
      </c>
      <c r="B107" s="106"/>
      <c r="C107" s="106"/>
      <c r="D107" s="107">
        <f>12500000-10547732.29-60000*2+2000000</f>
        <v>3832267.7100000009</v>
      </c>
      <c r="E107" s="130">
        <f>D107*93.2%</f>
        <v>3571673.5057200012</v>
      </c>
      <c r="F107" s="130">
        <f>$D107*1.08%</f>
        <v>41388.491268000012</v>
      </c>
      <c r="G107" s="130">
        <f>$D107*1.28%</f>
        <v>49053.026688000013</v>
      </c>
      <c r="H107" s="130">
        <f>$D107*1.21%</f>
        <v>46370.43929100001</v>
      </c>
      <c r="I107" s="130">
        <f>$D107*1.49%</f>
        <v>57100.788879000014</v>
      </c>
      <c r="J107" s="131">
        <f>D107*1.74%</f>
        <v>66681.458154000007</v>
      </c>
      <c r="K107" s="43">
        <f>E107+J107+F107+G107+H107+I107</f>
        <v>3832267.7100000014</v>
      </c>
      <c r="L107" s="69" t="str">
        <f>IF(D107=K107, "", "Error")</f>
        <v/>
      </c>
    </row>
    <row r="108" spans="1:14" ht="15" thickBot="1" x14ac:dyDescent="0.35">
      <c r="A108" s="108"/>
      <c r="B108" s="109"/>
      <c r="C108" s="109"/>
      <c r="D108" s="110"/>
      <c r="E108" s="111"/>
      <c r="F108" s="111"/>
      <c r="G108" s="111"/>
      <c r="H108" s="111"/>
      <c r="I108" s="111"/>
      <c r="J108" s="112"/>
      <c r="K108" s="43"/>
      <c r="L108" s="69"/>
    </row>
    <row r="109" spans="1:14" ht="15" thickBot="1" x14ac:dyDescent="0.35">
      <c r="A109" s="3" t="s">
        <v>30</v>
      </c>
      <c r="B109" s="11"/>
      <c r="C109" s="4"/>
      <c r="D109" s="90">
        <f>SUM(D107+D58+D52+D105+D102+D95+D83+D67+D47+D42+D62)</f>
        <v>16776463.619999999</v>
      </c>
      <c r="E109" s="90">
        <f>SUM(E107+E58+E52+E105+E102+E95+E83+E67+E47+E42+E62)</f>
        <v>15065343.549080003</v>
      </c>
      <c r="F109" s="90">
        <f>SUM(F107+F58+F52+F105+F102+F95+F83+F67+F47+F42+F62)</f>
        <v>149485.13485200002</v>
      </c>
      <c r="G109" s="90">
        <f>SUM(G107+G58+G52+G105+G102+G95+G83+G67+G47+G42+G62)</f>
        <v>177167.56723200006</v>
      </c>
      <c r="H109" s="90">
        <f>SUM(H107+H58+H52+H105+H102+H95+H83+H67+H47+H42+H62)</f>
        <v>167478.71589900003</v>
      </c>
      <c r="I109" s="90">
        <f>SUM(I107+I58+I52+I105+I102+I95+I83+I67+I47+I42+I62)</f>
        <v>206234.12123100003</v>
      </c>
      <c r="J109" s="90">
        <f>SUM(J107+J58+J52+J105+J102+J95+J83+J67+J47+J42+J62)</f>
        <v>240837.16170600004</v>
      </c>
      <c r="K109" s="61">
        <f>E109+J109+F109+G109+H109+I109</f>
        <v>16006546.250000004</v>
      </c>
      <c r="L109" s="69" t="str">
        <f>IF(D109=K109, "", "Error")</f>
        <v>Error</v>
      </c>
      <c r="M109" s="85">
        <f>D109-K109</f>
        <v>769917.36999999546</v>
      </c>
    </row>
    <row r="110" spans="1:14" ht="15" thickBot="1" x14ac:dyDescent="0.35">
      <c r="D110" s="88"/>
      <c r="E110" s="43"/>
      <c r="F110" s="43"/>
      <c r="G110" s="43"/>
      <c r="H110" s="43"/>
      <c r="I110" s="43"/>
    </row>
    <row r="111" spans="1:14" ht="15" thickBot="1" x14ac:dyDescent="0.35">
      <c r="A111" s="64" t="s">
        <v>41</v>
      </c>
      <c r="B111" s="63"/>
      <c r="C111" s="63"/>
      <c r="E111" s="43"/>
      <c r="F111" s="43"/>
      <c r="G111" s="43"/>
      <c r="H111" s="43"/>
      <c r="I111" s="43"/>
    </row>
    <row r="112" spans="1:14" x14ac:dyDescent="0.3">
      <c r="A112" s="1" t="s">
        <v>344</v>
      </c>
      <c r="B112" t="s">
        <v>286</v>
      </c>
      <c r="C112" s="135">
        <v>24000</v>
      </c>
      <c r="E112" s="43"/>
      <c r="F112" s="43"/>
      <c r="G112" s="43"/>
      <c r="H112" s="43"/>
      <c r="I112" s="43"/>
    </row>
    <row r="113" spans="1:13" x14ac:dyDescent="0.3">
      <c r="A113" s="1" t="s">
        <v>344</v>
      </c>
      <c r="B113" t="s">
        <v>345</v>
      </c>
      <c r="C113" s="135">
        <v>12000</v>
      </c>
      <c r="E113" s="43"/>
      <c r="F113" s="43"/>
      <c r="G113" s="43"/>
      <c r="H113" s="43"/>
      <c r="I113" s="43"/>
    </row>
    <row r="114" spans="1:13" x14ac:dyDescent="0.3">
      <c r="A114" s="1"/>
      <c r="C114" s="135"/>
      <c r="E114" s="43"/>
      <c r="F114" s="43"/>
      <c r="G114" s="43"/>
      <c r="H114" s="43"/>
      <c r="I114" s="43"/>
    </row>
    <row r="115" spans="1:13" x14ac:dyDescent="0.3">
      <c r="A115" s="1"/>
      <c r="C115" s="135"/>
      <c r="E115" s="43"/>
      <c r="F115" s="43"/>
      <c r="G115" s="43"/>
      <c r="H115" s="43"/>
      <c r="I115" s="43"/>
    </row>
    <row r="116" spans="1:13" x14ac:dyDescent="0.3">
      <c r="A116" s="1"/>
      <c r="C116" s="135"/>
      <c r="E116" s="43"/>
      <c r="F116" s="43"/>
      <c r="G116" s="43"/>
      <c r="H116" s="43"/>
      <c r="I116" s="43"/>
    </row>
    <row r="117" spans="1:13" x14ac:dyDescent="0.3">
      <c r="A117" s="1"/>
      <c r="C117" s="135"/>
      <c r="E117" s="43"/>
      <c r="F117" s="43"/>
      <c r="G117" s="43"/>
      <c r="H117" s="43"/>
      <c r="I117" s="43"/>
    </row>
    <row r="118" spans="1:13" x14ac:dyDescent="0.3">
      <c r="A118" s="1"/>
      <c r="C118" s="135"/>
      <c r="E118" s="43"/>
      <c r="F118" s="43"/>
      <c r="G118" s="43"/>
      <c r="H118" s="43"/>
      <c r="I118" s="43"/>
    </row>
    <row r="119" spans="1:13" x14ac:dyDescent="0.3">
      <c r="A119" s="1"/>
      <c r="C119" s="135"/>
      <c r="E119" s="43"/>
      <c r="F119" s="43"/>
      <c r="G119" s="43"/>
      <c r="H119" s="43"/>
      <c r="I119" s="43"/>
    </row>
    <row r="120" spans="1:13" x14ac:dyDescent="0.3">
      <c r="A120" s="1"/>
      <c r="C120" s="135"/>
      <c r="E120" s="43"/>
      <c r="F120" s="43"/>
      <c r="G120" s="43"/>
      <c r="H120" s="43"/>
      <c r="I120" s="43"/>
    </row>
    <row r="121" spans="1:13" ht="15" thickBot="1" x14ac:dyDescent="0.35">
      <c r="A121" s="1"/>
      <c r="C121" s="135"/>
      <c r="E121" s="43"/>
      <c r="F121" s="43"/>
      <c r="G121" s="43"/>
      <c r="H121" s="43"/>
      <c r="I121" s="43"/>
    </row>
    <row r="122" spans="1:13" ht="15" thickBot="1" x14ac:dyDescent="0.35">
      <c r="A122" s="65" t="s">
        <v>17</v>
      </c>
      <c r="B122" s="66"/>
      <c r="C122" s="62">
        <f>SUM(C112:C121)</f>
        <v>36000</v>
      </c>
      <c r="E122" s="43"/>
      <c r="F122" s="43"/>
      <c r="G122" s="43"/>
      <c r="H122" s="43"/>
      <c r="I122" s="43"/>
    </row>
    <row r="123" spans="1:13" x14ac:dyDescent="0.3">
      <c r="E123" s="43"/>
      <c r="F123" s="43"/>
      <c r="G123" s="43"/>
      <c r="H123" s="43"/>
      <c r="I123" s="43"/>
    </row>
    <row r="124" spans="1:13" x14ac:dyDescent="0.3">
      <c r="E124" s="60"/>
      <c r="F124" s="60"/>
      <c r="G124" s="60"/>
      <c r="H124" s="60"/>
      <c r="I124" s="60"/>
    </row>
    <row r="125" spans="1:13" x14ac:dyDescent="0.3">
      <c r="A125" s="261" t="s">
        <v>36</v>
      </c>
      <c r="B125" s="262"/>
      <c r="C125" s="262"/>
      <c r="D125" s="262"/>
      <c r="E125" s="81" t="s">
        <v>11</v>
      </c>
      <c r="F125" s="81" t="s">
        <v>172</v>
      </c>
      <c r="G125" s="81" t="s">
        <v>173</v>
      </c>
      <c r="H125" s="81" t="s">
        <v>174</v>
      </c>
      <c r="I125" s="81" t="s">
        <v>175</v>
      </c>
      <c r="J125" s="82" t="s">
        <v>176</v>
      </c>
    </row>
    <row r="126" spans="1:13" ht="22.5" customHeight="1" x14ac:dyDescent="0.3">
      <c r="A126" s="263"/>
      <c r="B126" s="264"/>
      <c r="C126" s="83"/>
      <c r="D126" s="44"/>
      <c r="E126" s="68">
        <f>D126</f>
        <v>0</v>
      </c>
      <c r="F126" s="68"/>
      <c r="G126" s="68"/>
      <c r="H126" s="68"/>
      <c r="I126" s="68"/>
      <c r="J126" s="58"/>
    </row>
    <row r="127" spans="1:13" ht="24.75" customHeight="1" x14ac:dyDescent="0.3">
      <c r="A127" s="263"/>
      <c r="B127" s="264"/>
      <c r="C127" s="83"/>
      <c r="D127" s="44"/>
      <c r="E127" s="68"/>
      <c r="F127" s="68"/>
      <c r="G127" s="68"/>
      <c r="H127" s="68"/>
      <c r="I127" s="68"/>
      <c r="J127" s="58"/>
    </row>
    <row r="128" spans="1:13" x14ac:dyDescent="0.3">
      <c r="A128" s="258" t="s">
        <v>17</v>
      </c>
      <c r="B128" s="259"/>
      <c r="C128" s="260"/>
      <c r="D128" s="80">
        <f>SUM(D126:D127)</f>
        <v>0</v>
      </c>
      <c r="E128" s="80">
        <f>SUM(E126:E127)</f>
        <v>0</v>
      </c>
      <c r="F128" s="80"/>
      <c r="G128" s="80"/>
      <c r="H128" s="80"/>
      <c r="I128" s="80"/>
      <c r="J128" s="80">
        <f>SUM(J126:J127)</f>
        <v>0</v>
      </c>
      <c r="L128" s="43">
        <f>E128+J128</f>
        <v>0</v>
      </c>
      <c r="M128" s="69" t="str">
        <f>IF(D128=L128, "", "Error")</f>
        <v/>
      </c>
    </row>
    <row r="130" spans="1:11" ht="15" thickBot="1" x14ac:dyDescent="0.35">
      <c r="E130" s="43"/>
      <c r="F130" s="43"/>
      <c r="G130" s="43"/>
      <c r="H130" s="43"/>
      <c r="I130" s="43"/>
    </row>
    <row r="131" spans="1:11" ht="19.5" customHeight="1" thickBot="1" x14ac:dyDescent="0.35">
      <c r="A131" s="38" t="s">
        <v>31</v>
      </c>
      <c r="B131" s="39">
        <f>D109</f>
        <v>16776463.619999999</v>
      </c>
    </row>
    <row r="132" spans="1:11" ht="18.75" customHeight="1" thickBot="1" x14ac:dyDescent="0.35">
      <c r="A132" s="40" t="s">
        <v>33</v>
      </c>
      <c r="B132" s="41">
        <f>D109-D107</f>
        <v>12944195.909999998</v>
      </c>
      <c r="D132" s="266" t="s">
        <v>320</v>
      </c>
      <c r="E132" s="266"/>
      <c r="F132" s="266"/>
      <c r="G132" s="266"/>
      <c r="H132" s="266"/>
      <c r="I132" s="266"/>
    </row>
    <row r="133" spans="1:11" x14ac:dyDescent="0.3">
      <c r="D133" s="266"/>
      <c r="E133" s="266"/>
      <c r="F133" s="266"/>
      <c r="G133" s="266"/>
      <c r="H133" s="266"/>
      <c r="I133" s="266"/>
    </row>
    <row r="134" spans="1:11" x14ac:dyDescent="0.3">
      <c r="A134" s="16" t="s">
        <v>20</v>
      </c>
      <c r="B134" s="17"/>
      <c r="C134" s="18"/>
      <c r="D134" s="266"/>
      <c r="E134" s="266"/>
      <c r="F134" s="266"/>
      <c r="G134" s="266"/>
      <c r="H134" s="266"/>
      <c r="I134" s="266"/>
    </row>
    <row r="135" spans="1:11" x14ac:dyDescent="0.3">
      <c r="A135" s="19" t="s">
        <v>21</v>
      </c>
      <c r="B135" s="8">
        <v>-979600.31345474347</v>
      </c>
      <c r="C135" s="20"/>
      <c r="D135" s="266"/>
      <c r="E135" s="266"/>
      <c r="F135" s="266"/>
      <c r="G135" s="266"/>
      <c r="H135" s="266"/>
      <c r="I135" s="266"/>
    </row>
    <row r="136" spans="1:11" x14ac:dyDescent="0.3">
      <c r="A136" s="21" t="s">
        <v>22</v>
      </c>
      <c r="B136" s="30">
        <f>PRORRATEO!H133</f>
        <v>10274652.129999999</v>
      </c>
      <c r="C136" s="20" t="s">
        <v>23</v>
      </c>
      <c r="D136" s="266"/>
      <c r="E136" s="266"/>
      <c r="F136" s="266"/>
      <c r="G136" s="266"/>
      <c r="H136" s="266"/>
      <c r="I136" s="266"/>
    </row>
    <row r="137" spans="1:11" x14ac:dyDescent="0.3">
      <c r="A137" s="21" t="s">
        <v>38</v>
      </c>
      <c r="B137" s="84">
        <f>-B132</f>
        <v>-12944195.909999998</v>
      </c>
      <c r="C137" s="18"/>
      <c r="D137" s="266"/>
      <c r="E137" s="266"/>
      <c r="F137" s="266"/>
      <c r="G137" s="266"/>
      <c r="H137" s="266"/>
      <c r="I137" s="266"/>
      <c r="K137" s="44"/>
    </row>
    <row r="138" spans="1:11" x14ac:dyDescent="0.3">
      <c r="A138" s="21" t="s">
        <v>37</v>
      </c>
      <c r="B138" s="84">
        <f>-D128</f>
        <v>0</v>
      </c>
      <c r="C138" s="18"/>
      <c r="D138" s="266"/>
      <c r="E138" s="266"/>
      <c r="F138" s="266"/>
      <c r="G138" s="266"/>
      <c r="H138" s="266"/>
      <c r="I138" s="266"/>
      <c r="K138" s="52"/>
    </row>
    <row r="139" spans="1:11" x14ac:dyDescent="0.3">
      <c r="A139" s="21" t="s">
        <v>308</v>
      </c>
      <c r="B139" s="30">
        <f>B148</f>
        <v>0</v>
      </c>
      <c r="C139" s="18"/>
      <c r="D139" s="266"/>
      <c r="E139" s="266"/>
      <c r="F139" s="266"/>
      <c r="G139" s="266"/>
      <c r="H139" s="266"/>
      <c r="I139" s="266"/>
      <c r="K139" s="52"/>
    </row>
    <row r="140" spans="1:11" x14ac:dyDescent="0.3">
      <c r="A140" s="21" t="s">
        <v>32</v>
      </c>
      <c r="B140" s="84">
        <f>-B153</f>
        <v>0</v>
      </c>
      <c r="C140" s="22"/>
      <c r="D140" s="266"/>
      <c r="E140" s="266"/>
      <c r="F140" s="266"/>
      <c r="G140" s="266"/>
      <c r="H140" s="266"/>
      <c r="I140" s="266"/>
    </row>
    <row r="141" spans="1:11" x14ac:dyDescent="0.3">
      <c r="A141" s="21" t="s">
        <v>306</v>
      </c>
      <c r="B141" s="84">
        <f>-23500-3840</f>
        <v>-27340</v>
      </c>
      <c r="C141" s="22"/>
      <c r="D141" s="266"/>
      <c r="E141" s="266"/>
      <c r="F141" s="266"/>
      <c r="G141" s="266"/>
      <c r="H141" s="266"/>
      <c r="I141" s="266"/>
    </row>
    <row r="142" spans="1:11" x14ac:dyDescent="0.3">
      <c r="A142" s="21" t="s">
        <v>41</v>
      </c>
      <c r="B142" s="84">
        <f>-C122</f>
        <v>-36000</v>
      </c>
      <c r="C142" s="22"/>
      <c r="D142" s="266"/>
      <c r="E142" s="266"/>
      <c r="F142" s="266"/>
      <c r="G142" s="266"/>
      <c r="H142" s="266"/>
      <c r="I142" s="266"/>
    </row>
    <row r="143" spans="1:11" x14ac:dyDescent="0.3">
      <c r="A143" s="21"/>
      <c r="B143" s="183"/>
      <c r="C143" s="22"/>
      <c r="D143" s="266"/>
      <c r="E143" s="266"/>
      <c r="F143" s="266"/>
      <c r="G143" s="266"/>
      <c r="H143" s="266"/>
      <c r="I143" s="266"/>
    </row>
    <row r="144" spans="1:11" x14ac:dyDescent="0.3">
      <c r="A144" s="19" t="s">
        <v>24</v>
      </c>
      <c r="B144" s="23">
        <f>SUM(B135:B143)</f>
        <v>-3712484.0934547428</v>
      </c>
      <c r="C144" s="70"/>
      <c r="D144" s="266"/>
      <c r="E144" s="266"/>
      <c r="F144" s="266"/>
      <c r="G144" s="266"/>
      <c r="H144" s="266"/>
      <c r="I144" s="266"/>
    </row>
    <row r="145" spans="1:18" x14ac:dyDescent="0.3">
      <c r="A145" s="22"/>
      <c r="C145" s="18"/>
      <c r="D145" s="266"/>
      <c r="E145" s="266"/>
      <c r="F145" s="266"/>
      <c r="G145" s="266"/>
      <c r="H145" s="266"/>
      <c r="I145" s="266"/>
    </row>
    <row r="146" spans="1:18" x14ac:dyDescent="0.3">
      <c r="A146" s="16" t="s">
        <v>307</v>
      </c>
      <c r="B146" s="8"/>
      <c r="C146" s="18"/>
      <c r="D146" s="266"/>
      <c r="E146" s="266"/>
      <c r="F146" s="266"/>
      <c r="G146" s="266"/>
      <c r="H146" s="266"/>
      <c r="I146" s="266"/>
    </row>
    <row r="147" spans="1:18" ht="17.25" customHeight="1" x14ac:dyDescent="0.3">
      <c r="A147" s="19"/>
      <c r="B147" s="30"/>
      <c r="C147" s="18"/>
      <c r="D147" s="25"/>
    </row>
    <row r="148" spans="1:18" x14ac:dyDescent="0.3">
      <c r="A148" s="36" t="s">
        <v>17</v>
      </c>
      <c r="B148" s="37">
        <f>SUM(B146:B147)</f>
        <v>0</v>
      </c>
      <c r="C148" s="18"/>
      <c r="D148" s="25"/>
    </row>
    <row r="149" spans="1:18" x14ac:dyDescent="0.3">
      <c r="A149" s="22"/>
      <c r="C149" s="18"/>
      <c r="D149" s="25"/>
    </row>
    <row r="150" spans="1:18" x14ac:dyDescent="0.3">
      <c r="A150" s="22"/>
      <c r="C150" s="18"/>
      <c r="D150" s="25"/>
    </row>
    <row r="151" spans="1:18" x14ac:dyDescent="0.3">
      <c r="C151" s="18"/>
      <c r="D151" s="43"/>
      <c r="E151" s="85"/>
      <c r="F151" s="85"/>
      <c r="G151" s="85"/>
      <c r="H151" s="85"/>
      <c r="I151" s="85"/>
    </row>
    <row r="152" spans="1:18" x14ac:dyDescent="0.3">
      <c r="A152" s="16" t="s">
        <v>25</v>
      </c>
      <c r="B152" s="8">
        <v>0</v>
      </c>
      <c r="C152" s="24"/>
      <c r="D152" s="85"/>
      <c r="E152" s="85"/>
      <c r="F152" s="85"/>
      <c r="G152" s="85"/>
      <c r="H152" s="85"/>
      <c r="I152" s="85"/>
      <c r="J152" s="85"/>
    </row>
    <row r="153" spans="1:18" ht="15" customHeight="1" x14ac:dyDescent="0.3">
      <c r="A153" s="19" t="s">
        <v>258</v>
      </c>
      <c r="B153" s="31"/>
      <c r="C153" s="24"/>
      <c r="D153" s="85"/>
      <c r="E153" s="92"/>
      <c r="F153" s="92"/>
      <c r="G153" s="92"/>
      <c r="H153" s="92"/>
      <c r="I153" s="92"/>
    </row>
    <row r="154" spans="1:18" x14ac:dyDescent="0.3">
      <c r="A154" s="19"/>
      <c r="B154" s="84"/>
      <c r="C154" s="24"/>
      <c r="E154" s="43"/>
      <c r="F154" s="43"/>
      <c r="G154" s="43"/>
      <c r="H154" s="43"/>
      <c r="I154" s="43"/>
    </row>
    <row r="155" spans="1:18" x14ac:dyDescent="0.3">
      <c r="A155" s="36" t="s">
        <v>17</v>
      </c>
      <c r="B155" s="37">
        <f>SUM(B152:B154)</f>
        <v>0</v>
      </c>
      <c r="C155" s="24"/>
    </row>
    <row r="156" spans="1:18" x14ac:dyDescent="0.3">
      <c r="C156" s="25"/>
      <c r="D156" s="85"/>
    </row>
    <row r="157" spans="1:18" x14ac:dyDescent="0.3">
      <c r="B157" s="22"/>
      <c r="C157" s="18"/>
    </row>
    <row r="159" spans="1:18" x14ac:dyDescent="0.3">
      <c r="R159" s="9"/>
    </row>
    <row r="162" spans="2:9" x14ac:dyDescent="0.3">
      <c r="B162" s="257"/>
      <c r="C162" s="257"/>
      <c r="D162" s="257"/>
      <c r="E162" s="257"/>
      <c r="F162" s="94"/>
      <c r="G162" s="94"/>
      <c r="H162" s="94"/>
      <c r="I162" s="94"/>
    </row>
    <row r="163" spans="2:9" x14ac:dyDescent="0.3">
      <c r="B163" s="257"/>
      <c r="C163" s="257"/>
      <c r="D163" s="257"/>
      <c r="E163" s="257"/>
      <c r="F163" s="94"/>
      <c r="G163" s="94"/>
      <c r="H163" s="94"/>
      <c r="I163" s="94"/>
    </row>
    <row r="164" spans="2:9" x14ac:dyDescent="0.3">
      <c r="B164" s="257"/>
      <c r="C164" s="257"/>
      <c r="D164" s="257"/>
      <c r="E164" s="257"/>
      <c r="F164" s="94"/>
      <c r="G164" s="94"/>
      <c r="H164" s="94"/>
      <c r="I164" s="94"/>
    </row>
    <row r="165" spans="2:9" x14ac:dyDescent="0.3">
      <c r="B165" s="257"/>
      <c r="C165" s="257"/>
      <c r="D165" s="257"/>
      <c r="E165" s="257"/>
      <c r="F165" s="94"/>
      <c r="G165" s="94"/>
      <c r="H165" s="94"/>
      <c r="I165" s="94"/>
    </row>
    <row r="166" spans="2:9" x14ac:dyDescent="0.3">
      <c r="B166" s="257"/>
      <c r="C166" s="257"/>
      <c r="D166" s="257"/>
      <c r="E166" s="257"/>
      <c r="F166" s="94"/>
      <c r="G166" s="94"/>
      <c r="H166" s="94"/>
      <c r="I166" s="94"/>
    </row>
  </sheetData>
  <mergeCells count="10">
    <mergeCell ref="A14:J18"/>
    <mergeCell ref="B162:E166"/>
    <mergeCell ref="A128:C128"/>
    <mergeCell ref="A125:D125"/>
    <mergeCell ref="A127:B127"/>
    <mergeCell ref="A126:B126"/>
    <mergeCell ref="A20:J22"/>
    <mergeCell ref="D132:I146"/>
    <mergeCell ref="A80:B80"/>
    <mergeCell ref="A79:B79"/>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I154"/>
  <sheetViews>
    <sheetView topLeftCell="C19" zoomScaleNormal="100" workbookViewId="0">
      <selection activeCell="C23" sqref="C23:N23"/>
    </sheetView>
  </sheetViews>
  <sheetFormatPr baseColWidth="10" defaultRowHeight="14.4" x14ac:dyDescent="0.3"/>
  <cols>
    <col min="1" max="1" width="4.5546875" hidden="1" customWidth="1"/>
    <col min="2" max="2" width="5.88671875" hidden="1" customWidth="1"/>
    <col min="3" max="3" width="8.109375" customWidth="1"/>
    <col min="4" max="4" width="42.6640625" customWidth="1"/>
    <col min="5" max="6" width="9.44140625" customWidth="1"/>
    <col min="7" max="7" width="13.33203125" customWidth="1"/>
    <col min="8" max="8" width="13" bestFit="1" customWidth="1"/>
    <col min="9" max="9" width="18" customWidth="1"/>
    <col min="10" max="10" width="13.6640625" customWidth="1"/>
    <col min="11" max="11" width="13.33203125" customWidth="1"/>
    <col min="12" max="12" width="10.44140625" customWidth="1"/>
    <col min="13" max="13" width="14.33203125" customWidth="1"/>
    <col min="14" max="14" width="13.6640625" customWidth="1"/>
    <col min="15" max="15" width="11.44140625" customWidth="1"/>
    <col min="16" max="16" width="14.5546875" bestFit="1" customWidth="1"/>
    <col min="18" max="18" width="14.5546875" bestFit="1" customWidth="1"/>
  </cols>
  <sheetData>
    <row r="1" spans="1:18" x14ac:dyDescent="0.3">
      <c r="A1" s="168"/>
      <c r="B1" s="169"/>
      <c r="C1" s="169"/>
      <c r="D1" s="169"/>
      <c r="E1" s="169"/>
      <c r="F1" s="169" t="s">
        <v>311</v>
      </c>
      <c r="G1" s="169"/>
      <c r="H1" s="169"/>
      <c r="I1" s="169"/>
      <c r="J1" s="169"/>
      <c r="K1" s="169" t="s">
        <v>43</v>
      </c>
      <c r="L1" s="277">
        <f>RESUMEN!D109-RESUMEN!D107</f>
        <v>12944195.909999998</v>
      </c>
      <c r="M1" s="278"/>
      <c r="N1" s="170"/>
      <c r="O1" s="59"/>
    </row>
    <row r="2" spans="1:18" x14ac:dyDescent="0.3">
      <c r="A2" s="171"/>
      <c r="B2" s="7"/>
      <c r="C2" s="7"/>
      <c r="D2" s="7"/>
      <c r="E2" s="7"/>
      <c r="F2" s="7" t="s">
        <v>310</v>
      </c>
      <c r="G2" s="7"/>
      <c r="H2" s="7"/>
      <c r="I2" s="7"/>
      <c r="J2" s="7"/>
      <c r="K2" s="7" t="s">
        <v>44</v>
      </c>
      <c r="L2" s="7"/>
      <c r="M2" s="172">
        <v>14500000</v>
      </c>
      <c r="N2" s="173"/>
      <c r="O2" s="59"/>
    </row>
    <row r="3" spans="1:18" x14ac:dyDescent="0.3">
      <c r="A3" s="171" t="str">
        <f>RESUMEN!C5</f>
        <v>PERÍODO: DICIEMBRE</v>
      </c>
      <c r="B3" s="7"/>
      <c r="C3" s="7"/>
      <c r="D3" s="7"/>
      <c r="E3" s="7"/>
      <c r="F3" s="7" t="s">
        <v>312</v>
      </c>
      <c r="G3" s="7"/>
      <c r="H3" s="7"/>
      <c r="I3" s="7"/>
      <c r="J3" s="174"/>
      <c r="K3" s="7"/>
      <c r="L3" s="7"/>
      <c r="M3" s="175"/>
      <c r="N3" s="176"/>
      <c r="O3" s="15"/>
    </row>
    <row r="4" spans="1:18" ht="15" thickBot="1" x14ac:dyDescent="0.35">
      <c r="A4" s="177"/>
      <c r="B4" s="178"/>
      <c r="C4" s="178"/>
      <c r="D4" s="178"/>
      <c r="E4" s="178"/>
      <c r="F4" s="178"/>
      <c r="G4" s="178"/>
      <c r="H4" s="178"/>
      <c r="I4" s="178"/>
      <c r="J4" s="179"/>
      <c r="K4" s="178"/>
      <c r="L4" s="178"/>
      <c r="M4" s="180"/>
      <c r="N4" s="181"/>
      <c r="O4" s="15"/>
    </row>
    <row r="5" spans="1:18" x14ac:dyDescent="0.3">
      <c r="A5" s="7"/>
      <c r="B5" s="7"/>
      <c r="C5" s="286" t="s">
        <v>341</v>
      </c>
      <c r="D5" s="287"/>
      <c r="E5" s="287"/>
      <c r="F5" s="287"/>
      <c r="G5" s="287"/>
      <c r="H5" s="287"/>
      <c r="I5" s="287"/>
      <c r="J5" s="287"/>
      <c r="K5" s="287"/>
      <c r="L5" s="287"/>
      <c r="M5" s="287"/>
      <c r="N5" s="288"/>
      <c r="O5" s="15"/>
    </row>
    <row r="6" spans="1:18" x14ac:dyDescent="0.3">
      <c r="A6" s="7"/>
      <c r="B6" s="7"/>
      <c r="C6" s="289"/>
      <c r="D6" s="290"/>
      <c r="E6" s="290"/>
      <c r="F6" s="290"/>
      <c r="G6" s="290"/>
      <c r="H6" s="290"/>
      <c r="I6" s="290"/>
      <c r="J6" s="290"/>
      <c r="K6" s="290"/>
      <c r="L6" s="290"/>
      <c r="M6" s="290"/>
      <c r="N6" s="291"/>
      <c r="O6" s="15"/>
    </row>
    <row r="7" spans="1:18" x14ac:dyDescent="0.3">
      <c r="A7" s="7"/>
      <c r="B7" s="7"/>
      <c r="C7" s="289"/>
      <c r="D7" s="290"/>
      <c r="E7" s="290"/>
      <c r="F7" s="290"/>
      <c r="G7" s="290"/>
      <c r="H7" s="290"/>
      <c r="I7" s="290"/>
      <c r="J7" s="290"/>
      <c r="K7" s="290"/>
      <c r="L7" s="290"/>
      <c r="M7" s="290"/>
      <c r="N7" s="291"/>
      <c r="O7" s="15"/>
    </row>
    <row r="8" spans="1:18" ht="27.75" customHeight="1" thickBot="1" x14ac:dyDescent="0.35">
      <c r="A8" s="7"/>
      <c r="B8" s="7"/>
      <c r="C8" s="292"/>
      <c r="D8" s="293"/>
      <c r="E8" s="293"/>
      <c r="F8" s="293"/>
      <c r="G8" s="293"/>
      <c r="H8" s="293"/>
      <c r="I8" s="293"/>
      <c r="J8" s="293"/>
      <c r="K8" s="293"/>
      <c r="L8" s="293"/>
      <c r="M8" s="293"/>
      <c r="N8" s="294"/>
      <c r="P8" s="85">
        <f>L1-K133</f>
        <v>-1368465.7826400008</v>
      </c>
    </row>
    <row r="9" spans="1:18" ht="27.75" customHeight="1" x14ac:dyDescent="0.3">
      <c r="A9" s="7"/>
      <c r="B9" s="7"/>
      <c r="C9" s="295" t="s">
        <v>327</v>
      </c>
      <c r="D9" s="296"/>
      <c r="E9" s="296"/>
      <c r="F9" s="296"/>
      <c r="G9" s="296"/>
      <c r="H9" s="296"/>
      <c r="I9" s="296"/>
      <c r="J9" s="296"/>
      <c r="K9" s="296"/>
      <c r="L9" s="296"/>
      <c r="M9" s="296"/>
      <c r="N9" s="297"/>
      <c r="P9" s="85"/>
    </row>
    <row r="10" spans="1:18" ht="27.75" customHeight="1" thickBot="1" x14ac:dyDescent="0.35">
      <c r="A10" s="7"/>
      <c r="B10" s="7"/>
      <c r="C10" s="298"/>
      <c r="D10" s="299"/>
      <c r="E10" s="299"/>
      <c r="F10" s="299"/>
      <c r="G10" s="299"/>
      <c r="H10" s="299"/>
      <c r="I10" s="299"/>
      <c r="J10" s="299"/>
      <c r="K10" s="299"/>
      <c r="L10" s="299"/>
      <c r="M10" s="299"/>
      <c r="N10" s="300"/>
      <c r="P10" s="85"/>
    </row>
    <row r="11" spans="1:18" ht="15" customHeight="1" x14ac:dyDescent="0.3">
      <c r="A11" s="268" t="s">
        <v>9</v>
      </c>
      <c r="B11" s="270" t="s">
        <v>10</v>
      </c>
      <c r="C11" s="268" t="s">
        <v>11</v>
      </c>
      <c r="D11" s="272" t="s">
        <v>12</v>
      </c>
      <c r="E11" s="272" t="s">
        <v>272</v>
      </c>
      <c r="F11" s="268" t="s">
        <v>27</v>
      </c>
      <c r="G11" s="268" t="s">
        <v>13</v>
      </c>
      <c r="H11" s="268" t="s">
        <v>14</v>
      </c>
      <c r="I11" s="279" t="s">
        <v>15</v>
      </c>
      <c r="J11" s="281" t="s">
        <v>16</v>
      </c>
      <c r="K11" s="281" t="s">
        <v>18</v>
      </c>
      <c r="L11" s="284" t="s">
        <v>42</v>
      </c>
      <c r="M11" s="281" t="s">
        <v>283</v>
      </c>
      <c r="N11" s="281" t="s">
        <v>282</v>
      </c>
    </row>
    <row r="12" spans="1:18" ht="28.5" customHeight="1" x14ac:dyDescent="0.3">
      <c r="A12" s="269"/>
      <c r="B12" s="271"/>
      <c r="C12" s="269"/>
      <c r="D12" s="273"/>
      <c r="E12" s="273"/>
      <c r="F12" s="269"/>
      <c r="G12" s="269"/>
      <c r="H12" s="269"/>
      <c r="I12" s="280"/>
      <c r="J12" s="282"/>
      <c r="K12" s="282"/>
      <c r="L12" s="285"/>
      <c r="M12" s="282"/>
      <c r="N12" s="282"/>
    </row>
    <row r="13" spans="1:18" ht="19.5" customHeight="1" x14ac:dyDescent="0.3">
      <c r="A13" s="269"/>
      <c r="B13" s="271"/>
      <c r="C13" s="269"/>
      <c r="D13" s="273"/>
      <c r="E13" s="273"/>
      <c r="F13" s="269"/>
      <c r="G13" s="269"/>
      <c r="H13" s="269"/>
      <c r="I13" s="280"/>
      <c r="J13" s="282"/>
      <c r="K13" s="283"/>
      <c r="L13" s="285"/>
      <c r="M13" s="139" t="str">
        <f>RESUMEN!A20</f>
        <v>VTO 15/01</v>
      </c>
      <c r="N13" s="138" t="str">
        <f>RESUMEN!A20</f>
        <v>VTO 15/01</v>
      </c>
    </row>
    <row r="14" spans="1:18" x14ac:dyDescent="0.3">
      <c r="A14" s="6" t="s">
        <v>120</v>
      </c>
      <c r="B14" s="6"/>
      <c r="C14" s="35" t="s">
        <v>115</v>
      </c>
      <c r="D14" s="113" t="s">
        <v>177</v>
      </c>
      <c r="E14" s="113" t="s">
        <v>318</v>
      </c>
      <c r="F14" s="153">
        <v>1.0800000000000001E-2</v>
      </c>
      <c r="G14" s="146">
        <v>124701</v>
      </c>
      <c r="H14" s="44">
        <v>124701</v>
      </c>
      <c r="I14" s="154">
        <f>G14-H14</f>
        <v>0</v>
      </c>
      <c r="J14" s="155">
        <v>0</v>
      </c>
      <c r="K14" s="155">
        <v>131452.15118400002</v>
      </c>
      <c r="L14" s="182">
        <v>0</v>
      </c>
      <c r="M14" s="156">
        <f>K14+J14+I14+L14</f>
        <v>131452.15118400002</v>
      </c>
      <c r="N14" s="157">
        <f>M14*6% + M14</f>
        <v>139339.28025504001</v>
      </c>
      <c r="O14" s="120"/>
      <c r="Q14" s="274" t="s">
        <v>257</v>
      </c>
      <c r="R14" s="274"/>
    </row>
    <row r="15" spans="1:18" x14ac:dyDescent="0.3">
      <c r="A15" s="6"/>
      <c r="B15" s="6"/>
      <c r="C15" s="35" t="s">
        <v>119</v>
      </c>
      <c r="D15" s="113" t="s">
        <v>121</v>
      </c>
      <c r="E15" s="113"/>
      <c r="F15" s="153">
        <v>1.2999999999999999E-2</v>
      </c>
      <c r="G15" s="146">
        <v>147794</v>
      </c>
      <c r="H15" s="44">
        <f>G15+RESUMEN!D55</f>
        <v>161826.9</v>
      </c>
      <c r="I15" s="154">
        <f t="shared" ref="I15:I131" si="0">G15-H15</f>
        <v>-14032.899999999994</v>
      </c>
      <c r="J15" s="155">
        <v>0</v>
      </c>
      <c r="K15" s="155">
        <v>155795.14214400001</v>
      </c>
      <c r="L15" s="182">
        <v>0</v>
      </c>
      <c r="M15" s="156">
        <f t="shared" ref="M15:M18" si="1">K15+J15+I15+L15</f>
        <v>141762.24214400002</v>
      </c>
      <c r="N15" s="157">
        <f t="shared" ref="N15:N18" si="2">M15*6% + M15</f>
        <v>150267.97667264001</v>
      </c>
      <c r="O15" s="120"/>
      <c r="Q15" s="274"/>
      <c r="R15" s="274"/>
    </row>
    <row r="16" spans="1:18" x14ac:dyDescent="0.3">
      <c r="A16" s="6" t="s">
        <v>120</v>
      </c>
      <c r="B16" s="6"/>
      <c r="C16" s="35" t="s">
        <v>116</v>
      </c>
      <c r="D16" s="113" t="s">
        <v>270</v>
      </c>
      <c r="E16" s="113"/>
      <c r="F16" s="153">
        <v>1.21E-2</v>
      </c>
      <c r="G16" s="146">
        <v>139712</v>
      </c>
      <c r="H16" s="44">
        <f t="shared" ref="H16:H20" si="3">G16</f>
        <v>139712</v>
      </c>
      <c r="I16" s="154">
        <f t="shared" si="0"/>
        <v>0</v>
      </c>
      <c r="J16" s="155">
        <v>0</v>
      </c>
      <c r="K16" s="155">
        <v>147275.09530799999</v>
      </c>
      <c r="L16" s="182">
        <v>0</v>
      </c>
      <c r="M16" s="156">
        <f t="shared" si="1"/>
        <v>147275.09530799999</v>
      </c>
      <c r="N16" s="157">
        <f t="shared" si="2"/>
        <v>156111.60102648</v>
      </c>
      <c r="O16" s="120"/>
      <c r="Q16" t="s">
        <v>252</v>
      </c>
      <c r="R16">
        <f>RESUMEN!F109</f>
        <v>149485.13485200002</v>
      </c>
    </row>
    <row r="17" spans="1:18" x14ac:dyDescent="0.3">
      <c r="A17" s="6" t="s">
        <v>120</v>
      </c>
      <c r="B17" s="6"/>
      <c r="C17" s="35" t="s">
        <v>117</v>
      </c>
      <c r="D17" s="113" t="s">
        <v>178</v>
      </c>
      <c r="E17" s="113"/>
      <c r="F17" s="153">
        <v>1.49E-2</v>
      </c>
      <c r="G17" s="146">
        <v>172042</v>
      </c>
      <c r="H17" s="44"/>
      <c r="I17" s="154">
        <f t="shared" si="0"/>
        <v>172042</v>
      </c>
      <c r="J17" s="155">
        <v>0</v>
      </c>
      <c r="K17" s="155">
        <v>181355.28265200002</v>
      </c>
      <c r="L17" s="182">
        <v>0</v>
      </c>
      <c r="M17" s="156">
        <f t="shared" si="1"/>
        <v>353397.28265200002</v>
      </c>
      <c r="N17" s="157">
        <f t="shared" si="2"/>
        <v>374601.11961112003</v>
      </c>
      <c r="O17" s="120"/>
      <c r="Q17" t="s">
        <v>253</v>
      </c>
      <c r="R17">
        <f>RESUMEN!G109</f>
        <v>177167.56723200006</v>
      </c>
    </row>
    <row r="18" spans="1:18" ht="15" thickBot="1" x14ac:dyDescent="0.35">
      <c r="A18" s="6" t="s">
        <v>120</v>
      </c>
      <c r="B18" s="6"/>
      <c r="C18" s="158" t="s">
        <v>118</v>
      </c>
      <c r="D18" s="159" t="s">
        <v>271</v>
      </c>
      <c r="E18" s="159"/>
      <c r="F18" s="160">
        <v>1.7399999999999999E-2</v>
      </c>
      <c r="G18" s="161">
        <v>200908</v>
      </c>
      <c r="H18" s="223">
        <f t="shared" si="3"/>
        <v>200908</v>
      </c>
      <c r="I18" s="162">
        <f t="shared" si="0"/>
        <v>0</v>
      </c>
      <c r="J18" s="163">
        <v>0</v>
      </c>
      <c r="K18" s="163">
        <v>211784.02135200001</v>
      </c>
      <c r="L18" s="182">
        <v>0</v>
      </c>
      <c r="M18" s="164">
        <f t="shared" si="1"/>
        <v>211784.02135200001</v>
      </c>
      <c r="N18" s="165">
        <f t="shared" si="2"/>
        <v>224491.06263312002</v>
      </c>
      <c r="O18" s="120"/>
      <c r="Q18" t="s">
        <v>254</v>
      </c>
      <c r="R18">
        <f>RESUMEN!H109</f>
        <v>167478.71589900003</v>
      </c>
    </row>
    <row r="19" spans="1:18" x14ac:dyDescent="0.3">
      <c r="A19" s="57" t="s">
        <v>122</v>
      </c>
      <c r="B19" s="6"/>
      <c r="C19" s="238" t="s">
        <v>46</v>
      </c>
      <c r="D19" s="239" t="s">
        <v>179</v>
      </c>
      <c r="E19" s="239"/>
      <c r="F19" s="240">
        <v>1.8800000000000001E-2</v>
      </c>
      <c r="G19" s="241">
        <v>225600.01</v>
      </c>
      <c r="H19" s="242">
        <f t="shared" si="3"/>
        <v>225600.01</v>
      </c>
      <c r="I19" s="243">
        <f>G19-H19</f>
        <v>0</v>
      </c>
      <c r="J19" s="244">
        <f t="shared" ref="J19:J50" si="4">M$8*F19</f>
        <v>0</v>
      </c>
      <c r="K19" s="244">
        <f>M$2*F19</f>
        <v>272600</v>
      </c>
      <c r="L19" s="233">
        <v>0</v>
      </c>
      <c r="M19" s="245">
        <f>ROUND((K19+J19+I19+L19),0) + O19</f>
        <v>272600.01</v>
      </c>
      <c r="N19" s="245">
        <f>ROUND((M19*6% + M19 ),0) + O19</f>
        <v>288956.01</v>
      </c>
      <c r="O19" s="140">
        <v>0.01</v>
      </c>
      <c r="Q19" t="s">
        <v>255</v>
      </c>
      <c r="R19">
        <f>RESUMEN!I109</f>
        <v>206234.12123100003</v>
      </c>
    </row>
    <row r="20" spans="1:18" x14ac:dyDescent="0.3">
      <c r="A20" s="57" t="s">
        <v>123</v>
      </c>
      <c r="B20" s="6"/>
      <c r="C20" s="35" t="s">
        <v>47</v>
      </c>
      <c r="D20" s="113" t="s">
        <v>180</v>
      </c>
      <c r="E20" s="142"/>
      <c r="F20" s="145">
        <v>8.3999999999999995E-3</v>
      </c>
      <c r="G20" s="146">
        <v>100800.02</v>
      </c>
      <c r="H20" s="44">
        <f t="shared" si="3"/>
        <v>100800.02</v>
      </c>
      <c r="I20" s="154">
        <f t="shared" si="0"/>
        <v>0</v>
      </c>
      <c r="J20" s="155">
        <f t="shared" si="4"/>
        <v>0</v>
      </c>
      <c r="K20" s="155">
        <f t="shared" ref="K20:K50" si="5">M$2*F20</f>
        <v>121799.99999999999</v>
      </c>
      <c r="L20" s="182">
        <v>0</v>
      </c>
      <c r="M20" s="157">
        <f>ROUND((K20+J20+I20+L20),0) + O20</f>
        <v>121800.02</v>
      </c>
      <c r="N20" s="157">
        <f t="shared" ref="N20:N83" si="6">ROUND((M20*6% + M20 ),0) + O20</f>
        <v>129108.02</v>
      </c>
      <c r="O20" s="140">
        <f>O19+0.01</f>
        <v>0.02</v>
      </c>
      <c r="Q20" t="s">
        <v>256</v>
      </c>
      <c r="R20">
        <f>RESUMEN!J109</f>
        <v>240837.16170600004</v>
      </c>
    </row>
    <row r="21" spans="1:18" x14ac:dyDescent="0.3">
      <c r="A21" s="57" t="s">
        <v>122</v>
      </c>
      <c r="B21" s="6"/>
      <c r="C21" s="35" t="s">
        <v>48</v>
      </c>
      <c r="D21" s="113" t="s">
        <v>181</v>
      </c>
      <c r="E21" s="142"/>
      <c r="F21" s="145">
        <v>2.01E-2</v>
      </c>
      <c r="G21" s="146">
        <v>227101.03</v>
      </c>
      <c r="H21" s="44">
        <f>G21</f>
        <v>227101.03</v>
      </c>
      <c r="I21" s="154">
        <f t="shared" si="0"/>
        <v>0</v>
      </c>
      <c r="J21" s="155">
        <f t="shared" si="4"/>
        <v>0</v>
      </c>
      <c r="K21" s="155">
        <f t="shared" si="5"/>
        <v>291450</v>
      </c>
      <c r="L21" s="182">
        <v>0</v>
      </c>
      <c r="M21" s="157">
        <f t="shared" ref="M21:M83" si="7">ROUND((K21+J21+I21+L21),0) + O21</f>
        <v>291450.03000000003</v>
      </c>
      <c r="N21" s="157">
        <f t="shared" si="6"/>
        <v>308937.03000000003</v>
      </c>
      <c r="O21" s="140">
        <f t="shared" ref="O21:O84" si="8">O20+0.01</f>
        <v>0.03</v>
      </c>
    </row>
    <row r="22" spans="1:18" x14ac:dyDescent="0.3">
      <c r="A22" s="57" t="s">
        <v>124</v>
      </c>
      <c r="B22" s="6"/>
      <c r="C22" s="184" t="s">
        <v>49</v>
      </c>
      <c r="D22" s="185" t="s">
        <v>182</v>
      </c>
      <c r="E22" s="186" t="s">
        <v>302</v>
      </c>
      <c r="F22" s="187">
        <v>9.4000000000000004E-3</v>
      </c>
      <c r="G22" s="188">
        <v>277972.03999999998</v>
      </c>
      <c r="H22" s="224">
        <v>112800</v>
      </c>
      <c r="I22" s="189">
        <f t="shared" si="0"/>
        <v>165172.03999999998</v>
      </c>
      <c r="J22" s="190">
        <f t="shared" si="4"/>
        <v>0</v>
      </c>
      <c r="K22" s="190">
        <f t="shared" si="5"/>
        <v>136300</v>
      </c>
      <c r="L22" s="191">
        <v>0</v>
      </c>
      <c r="M22" s="192">
        <f t="shared" si="7"/>
        <v>301472.03999999998</v>
      </c>
      <c r="N22" s="192">
        <f t="shared" si="6"/>
        <v>319560.03999999998</v>
      </c>
      <c r="O22" s="140">
        <f t="shared" si="8"/>
        <v>0.04</v>
      </c>
      <c r="P22" t="s">
        <v>326</v>
      </c>
    </row>
    <row r="23" spans="1:18" x14ac:dyDescent="0.3">
      <c r="A23" s="57" t="s">
        <v>124</v>
      </c>
      <c r="B23" s="6"/>
      <c r="C23" s="246" t="s">
        <v>50</v>
      </c>
      <c r="D23" s="247" t="s">
        <v>183</v>
      </c>
      <c r="E23" s="248" t="s">
        <v>323</v>
      </c>
      <c r="F23" s="249">
        <v>8.6999999999999994E-3</v>
      </c>
      <c r="G23" s="250">
        <v>191400.05</v>
      </c>
      <c r="H23" s="251">
        <f>104400.05</f>
        <v>104400.05</v>
      </c>
      <c r="I23" s="252">
        <f t="shared" si="0"/>
        <v>86999.999999999985</v>
      </c>
      <c r="J23" s="253">
        <f t="shared" si="4"/>
        <v>0</v>
      </c>
      <c r="K23" s="253">
        <f t="shared" si="5"/>
        <v>126149.99999999999</v>
      </c>
      <c r="L23" s="254">
        <v>0</v>
      </c>
      <c r="M23" s="255">
        <f t="shared" si="7"/>
        <v>213150.05</v>
      </c>
      <c r="N23" s="255">
        <f t="shared" si="6"/>
        <v>225939.05</v>
      </c>
      <c r="O23" s="140">
        <f t="shared" si="8"/>
        <v>0.05</v>
      </c>
    </row>
    <row r="24" spans="1:18" x14ac:dyDescent="0.3">
      <c r="A24" s="57" t="s">
        <v>124</v>
      </c>
      <c r="B24" s="6"/>
      <c r="C24" s="35" t="s">
        <v>51</v>
      </c>
      <c r="D24" s="113" t="s">
        <v>184</v>
      </c>
      <c r="E24" s="142" t="s">
        <v>317</v>
      </c>
      <c r="F24" s="145">
        <v>9.4999999999999998E-3</v>
      </c>
      <c r="G24" s="146">
        <v>114000.06</v>
      </c>
      <c r="H24" s="44">
        <f t="shared" ref="H24" si="9">G24</f>
        <v>114000.06</v>
      </c>
      <c r="I24" s="154">
        <f t="shared" si="0"/>
        <v>0</v>
      </c>
      <c r="J24" s="155">
        <f t="shared" si="4"/>
        <v>0</v>
      </c>
      <c r="K24" s="155">
        <f t="shared" si="5"/>
        <v>137750</v>
      </c>
      <c r="L24" s="182">
        <v>0</v>
      </c>
      <c r="M24" s="157">
        <f t="shared" si="7"/>
        <v>137750.06</v>
      </c>
      <c r="N24" s="157">
        <f t="shared" si="6"/>
        <v>146015.06</v>
      </c>
      <c r="O24" s="140">
        <f t="shared" si="8"/>
        <v>6.0000000000000005E-2</v>
      </c>
    </row>
    <row r="25" spans="1:18" x14ac:dyDescent="0.3">
      <c r="A25" s="57" t="s">
        <v>122</v>
      </c>
      <c r="B25" s="6"/>
      <c r="C25" s="226" t="s">
        <v>52</v>
      </c>
      <c r="D25" s="227" t="s">
        <v>184</v>
      </c>
      <c r="E25" s="239" t="s">
        <v>340</v>
      </c>
      <c r="F25" s="240">
        <v>1.6500000000000001E-2</v>
      </c>
      <c r="G25" s="229">
        <v>325977.07</v>
      </c>
      <c r="H25" s="230">
        <v>198000</v>
      </c>
      <c r="I25" s="231">
        <f t="shared" si="0"/>
        <v>127977.07</v>
      </c>
      <c r="J25" s="232">
        <f t="shared" si="4"/>
        <v>0</v>
      </c>
      <c r="K25" s="232">
        <f t="shared" si="5"/>
        <v>239250</v>
      </c>
      <c r="L25" s="233">
        <v>0</v>
      </c>
      <c r="M25" s="234">
        <f t="shared" si="7"/>
        <v>367227.07</v>
      </c>
      <c r="N25" s="234">
        <f t="shared" si="6"/>
        <v>389261.07</v>
      </c>
      <c r="O25" s="140">
        <f t="shared" si="8"/>
        <v>7.0000000000000007E-2</v>
      </c>
    </row>
    <row r="26" spans="1:18" x14ac:dyDescent="0.3">
      <c r="A26" s="57" t="s">
        <v>123</v>
      </c>
      <c r="B26" s="6"/>
      <c r="C26" s="35" t="s">
        <v>53</v>
      </c>
      <c r="D26" s="113" t="s">
        <v>273</v>
      </c>
      <c r="E26" s="142"/>
      <c r="F26" s="145">
        <v>7.3000000000000001E-3</v>
      </c>
      <c r="G26" s="146">
        <v>87600.08</v>
      </c>
      <c r="H26" s="44">
        <f>G26</f>
        <v>87600.08</v>
      </c>
      <c r="I26" s="154">
        <f t="shared" si="0"/>
        <v>0</v>
      </c>
      <c r="J26" s="155">
        <f t="shared" si="4"/>
        <v>0</v>
      </c>
      <c r="K26" s="155">
        <f t="shared" si="5"/>
        <v>105850</v>
      </c>
      <c r="L26" s="182">
        <f>24000+20000</f>
        <v>44000</v>
      </c>
      <c r="M26" s="157">
        <f t="shared" si="7"/>
        <v>149850.07999999999</v>
      </c>
      <c r="N26" s="157">
        <f t="shared" si="6"/>
        <v>158841.07999999999</v>
      </c>
      <c r="O26" s="140">
        <f t="shared" si="8"/>
        <v>0.08</v>
      </c>
    </row>
    <row r="27" spans="1:18" x14ac:dyDescent="0.3">
      <c r="A27" s="113" t="s">
        <v>122</v>
      </c>
      <c r="B27" s="35"/>
      <c r="C27" s="226" t="s">
        <v>54</v>
      </c>
      <c r="D27" s="227" t="s">
        <v>184</v>
      </c>
      <c r="E27" s="239"/>
      <c r="F27" s="240">
        <v>1.78E-2</v>
      </c>
      <c r="G27" s="229">
        <v>728372.09</v>
      </c>
      <c r="H27" s="230"/>
      <c r="I27" s="231">
        <f t="shared" si="0"/>
        <v>728372.09</v>
      </c>
      <c r="J27" s="232">
        <f t="shared" si="4"/>
        <v>0</v>
      </c>
      <c r="K27" s="232">
        <f t="shared" si="5"/>
        <v>258100</v>
      </c>
      <c r="L27" s="233">
        <v>0</v>
      </c>
      <c r="M27" s="234">
        <f t="shared" si="7"/>
        <v>986472.09</v>
      </c>
      <c r="N27" s="234">
        <f t="shared" si="6"/>
        <v>1045660.09</v>
      </c>
      <c r="O27" s="140">
        <f t="shared" si="8"/>
        <v>0.09</v>
      </c>
    </row>
    <row r="28" spans="1:18" x14ac:dyDescent="0.3">
      <c r="A28" s="113" t="s">
        <v>124</v>
      </c>
      <c r="B28" s="35"/>
      <c r="C28" s="35" t="s">
        <v>55</v>
      </c>
      <c r="D28" s="113" t="s">
        <v>324</v>
      </c>
      <c r="E28" s="142"/>
      <c r="F28" s="145">
        <v>9.4000000000000004E-3</v>
      </c>
      <c r="G28" s="44">
        <v>112800.1</v>
      </c>
      <c r="H28" s="44"/>
      <c r="I28" s="154">
        <f t="shared" si="0"/>
        <v>112800.1</v>
      </c>
      <c r="J28" s="155">
        <f t="shared" si="4"/>
        <v>0</v>
      </c>
      <c r="K28" s="155">
        <f t="shared" si="5"/>
        <v>136300</v>
      </c>
      <c r="L28" s="182">
        <v>0</v>
      </c>
      <c r="M28" s="157">
        <f t="shared" si="7"/>
        <v>249100.1</v>
      </c>
      <c r="N28" s="157">
        <f t="shared" si="6"/>
        <v>264046.09999999998</v>
      </c>
      <c r="O28" s="140">
        <f t="shared" si="8"/>
        <v>9.9999999999999992E-2</v>
      </c>
    </row>
    <row r="29" spans="1:18" x14ac:dyDescent="0.3">
      <c r="A29" s="113" t="s">
        <v>124</v>
      </c>
      <c r="B29" s="35"/>
      <c r="C29" s="35" t="s">
        <v>56</v>
      </c>
      <c r="D29" s="113" t="s">
        <v>301</v>
      </c>
      <c r="E29" s="142"/>
      <c r="F29" s="145">
        <v>8.6999999999999994E-3</v>
      </c>
      <c r="G29" s="146">
        <v>99744.11</v>
      </c>
      <c r="H29" s="44">
        <f>G29</f>
        <v>99744.11</v>
      </c>
      <c r="I29" s="154">
        <f t="shared" si="0"/>
        <v>0</v>
      </c>
      <c r="J29" s="155">
        <f t="shared" si="4"/>
        <v>0</v>
      </c>
      <c r="K29" s="155">
        <f t="shared" si="5"/>
        <v>126149.99999999999</v>
      </c>
      <c r="L29" s="182">
        <v>0</v>
      </c>
      <c r="M29" s="157">
        <f t="shared" si="7"/>
        <v>126150.11</v>
      </c>
      <c r="N29" s="157">
        <f t="shared" si="6"/>
        <v>133719.10999999999</v>
      </c>
      <c r="O29" s="140">
        <f t="shared" si="8"/>
        <v>0.10999999999999999</v>
      </c>
    </row>
    <row r="30" spans="1:18" x14ac:dyDescent="0.3">
      <c r="A30" s="113" t="s">
        <v>124</v>
      </c>
      <c r="B30" s="35"/>
      <c r="C30" s="35" t="s">
        <v>57</v>
      </c>
      <c r="D30" s="113" t="s">
        <v>185</v>
      </c>
      <c r="E30" s="142"/>
      <c r="F30" s="145">
        <v>9.4999999999999998E-3</v>
      </c>
      <c r="G30" s="146">
        <v>380000.12</v>
      </c>
      <c r="H30" s="44"/>
      <c r="I30" s="154">
        <f t="shared" si="0"/>
        <v>380000.12</v>
      </c>
      <c r="J30" s="155">
        <f t="shared" si="4"/>
        <v>0</v>
      </c>
      <c r="K30" s="155">
        <f t="shared" si="5"/>
        <v>137750</v>
      </c>
      <c r="L30" s="182">
        <v>0</v>
      </c>
      <c r="M30" s="157">
        <f t="shared" si="7"/>
        <v>517750.12</v>
      </c>
      <c r="N30" s="157">
        <f t="shared" si="6"/>
        <v>548815.12</v>
      </c>
      <c r="O30" s="140">
        <f t="shared" si="8"/>
        <v>0.11999999999999998</v>
      </c>
    </row>
    <row r="31" spans="1:18" x14ac:dyDescent="0.3">
      <c r="A31" s="113" t="s">
        <v>122</v>
      </c>
      <c r="B31" s="35"/>
      <c r="C31" s="35" t="s">
        <v>58</v>
      </c>
      <c r="D31" s="113" t="s">
        <v>186</v>
      </c>
      <c r="E31" s="142"/>
      <c r="F31" s="145">
        <v>1.6400000000000001E-2</v>
      </c>
      <c r="G31" s="146">
        <v>196800.13</v>
      </c>
      <c r="H31" s="44">
        <f>G31</f>
        <v>196800.13</v>
      </c>
      <c r="I31" s="154">
        <f t="shared" si="0"/>
        <v>0</v>
      </c>
      <c r="J31" s="155">
        <f t="shared" si="4"/>
        <v>0</v>
      </c>
      <c r="K31" s="155">
        <f t="shared" si="5"/>
        <v>237800.00000000003</v>
      </c>
      <c r="L31" s="182">
        <v>0</v>
      </c>
      <c r="M31" s="157">
        <f t="shared" si="7"/>
        <v>237800.13</v>
      </c>
      <c r="N31" s="157">
        <f t="shared" si="6"/>
        <v>252068.13</v>
      </c>
      <c r="O31" s="140">
        <f t="shared" si="8"/>
        <v>0.12999999999999998</v>
      </c>
    </row>
    <row r="32" spans="1:18" x14ac:dyDescent="0.3">
      <c r="A32" s="57" t="s">
        <v>123</v>
      </c>
      <c r="B32" s="6"/>
      <c r="C32" s="35" t="s">
        <v>59</v>
      </c>
      <c r="D32" s="113" t="s">
        <v>259</v>
      </c>
      <c r="E32" s="142" t="s">
        <v>274</v>
      </c>
      <c r="F32" s="145">
        <v>7.1999999999999998E-3</v>
      </c>
      <c r="G32" s="146">
        <v>86400.14</v>
      </c>
      <c r="H32" s="44">
        <f>G32</f>
        <v>86400.14</v>
      </c>
      <c r="I32" s="154">
        <f t="shared" si="0"/>
        <v>0</v>
      </c>
      <c r="J32" s="155">
        <f t="shared" si="4"/>
        <v>0</v>
      </c>
      <c r="K32" s="155">
        <f t="shared" si="5"/>
        <v>104400</v>
      </c>
      <c r="L32" s="182">
        <v>0</v>
      </c>
      <c r="M32" s="157">
        <f t="shared" si="7"/>
        <v>104400.14</v>
      </c>
      <c r="N32" s="157">
        <f t="shared" si="6"/>
        <v>110664.14</v>
      </c>
      <c r="O32" s="140">
        <f t="shared" si="8"/>
        <v>0.13999999999999999</v>
      </c>
    </row>
    <row r="33" spans="1:113" x14ac:dyDescent="0.3">
      <c r="A33" s="57" t="s">
        <v>122</v>
      </c>
      <c r="B33" s="6"/>
      <c r="C33" s="35" t="s">
        <v>60</v>
      </c>
      <c r="D33" s="113" t="s">
        <v>187</v>
      </c>
      <c r="E33" s="142"/>
      <c r="F33" s="145">
        <v>1.7299999999999999E-2</v>
      </c>
      <c r="G33" s="146">
        <v>207600.15</v>
      </c>
      <c r="H33" s="44">
        <f>G33</f>
        <v>207600.15</v>
      </c>
      <c r="I33" s="166">
        <f t="shared" si="0"/>
        <v>0</v>
      </c>
      <c r="J33" s="155">
        <f t="shared" si="4"/>
        <v>0</v>
      </c>
      <c r="K33" s="155">
        <f t="shared" si="5"/>
        <v>250850</v>
      </c>
      <c r="L33" s="182">
        <v>0</v>
      </c>
      <c r="M33" s="157">
        <f t="shared" si="7"/>
        <v>250850.15</v>
      </c>
      <c r="N33" s="157">
        <f t="shared" si="6"/>
        <v>265901.15000000002</v>
      </c>
      <c r="O33" s="140">
        <f t="shared" si="8"/>
        <v>0.15</v>
      </c>
    </row>
    <row r="34" spans="1:113" x14ac:dyDescent="0.3">
      <c r="A34" s="148" t="s">
        <v>124</v>
      </c>
      <c r="B34" s="147"/>
      <c r="C34" s="35" t="s">
        <v>61</v>
      </c>
      <c r="D34" s="113" t="s">
        <v>321</v>
      </c>
      <c r="E34" s="142"/>
      <c r="F34" s="145">
        <v>9.4000000000000004E-3</v>
      </c>
      <c r="G34" s="146">
        <v>124800.16</v>
      </c>
      <c r="H34" s="44">
        <v>132288.16</v>
      </c>
      <c r="I34" s="154">
        <f t="shared" si="0"/>
        <v>-7488</v>
      </c>
      <c r="J34" s="155">
        <f t="shared" si="4"/>
        <v>0</v>
      </c>
      <c r="K34" s="155">
        <f t="shared" si="5"/>
        <v>136300</v>
      </c>
      <c r="L34" s="182">
        <v>0</v>
      </c>
      <c r="M34" s="157">
        <f t="shared" si="7"/>
        <v>128812.16</v>
      </c>
      <c r="N34" s="157">
        <f t="shared" si="6"/>
        <v>136541.16</v>
      </c>
      <c r="O34" s="140">
        <f t="shared" si="8"/>
        <v>0.16</v>
      </c>
    </row>
    <row r="35" spans="1:113" x14ac:dyDescent="0.3">
      <c r="A35" s="57" t="s">
        <v>124</v>
      </c>
      <c r="B35" s="6"/>
      <c r="C35" s="35" t="s">
        <v>62</v>
      </c>
      <c r="D35" s="113" t="s">
        <v>185</v>
      </c>
      <c r="E35" s="142" t="s">
        <v>305</v>
      </c>
      <c r="F35" s="145">
        <v>8.6999999999999994E-3</v>
      </c>
      <c r="G35" s="146">
        <v>121800.17</v>
      </c>
      <c r="H35" s="44">
        <v>113100.17</v>
      </c>
      <c r="I35" s="154">
        <f t="shared" si="0"/>
        <v>8700</v>
      </c>
      <c r="J35" s="155">
        <f t="shared" si="4"/>
        <v>0</v>
      </c>
      <c r="K35" s="155">
        <f t="shared" si="5"/>
        <v>126149.99999999999</v>
      </c>
      <c r="L35" s="182">
        <v>0</v>
      </c>
      <c r="M35" s="157">
        <f t="shared" si="7"/>
        <v>134850.17000000001</v>
      </c>
      <c r="N35" s="157">
        <f t="shared" si="6"/>
        <v>142941.17000000001</v>
      </c>
      <c r="O35" s="140">
        <f t="shared" si="8"/>
        <v>0.17</v>
      </c>
    </row>
    <row r="36" spans="1:113" x14ac:dyDescent="0.3">
      <c r="A36" s="57" t="s">
        <v>124</v>
      </c>
      <c r="B36" s="6"/>
      <c r="C36" s="35" t="s">
        <v>63</v>
      </c>
      <c r="D36" s="113" t="s">
        <v>185</v>
      </c>
      <c r="E36" s="142"/>
      <c r="F36" s="145">
        <v>9.4999999999999998E-3</v>
      </c>
      <c r="G36" s="146">
        <v>209000.18</v>
      </c>
      <c r="H36" s="44"/>
      <c r="I36" s="166">
        <f t="shared" si="0"/>
        <v>209000.18</v>
      </c>
      <c r="J36" s="155">
        <f t="shared" si="4"/>
        <v>0</v>
      </c>
      <c r="K36" s="155">
        <f t="shared" si="5"/>
        <v>137750</v>
      </c>
      <c r="L36" s="182">
        <v>0</v>
      </c>
      <c r="M36" s="157">
        <f t="shared" si="7"/>
        <v>346750.18</v>
      </c>
      <c r="N36" s="157">
        <f t="shared" si="6"/>
        <v>367555.18</v>
      </c>
      <c r="O36" s="140">
        <f t="shared" si="8"/>
        <v>0.18000000000000002</v>
      </c>
    </row>
    <row r="37" spans="1:113" x14ac:dyDescent="0.3">
      <c r="A37" s="57" t="s">
        <v>122</v>
      </c>
      <c r="B37" s="6"/>
      <c r="C37" s="35" t="s">
        <v>64</v>
      </c>
      <c r="D37" s="113" t="s">
        <v>188</v>
      </c>
      <c r="E37" s="142" t="s">
        <v>303</v>
      </c>
      <c r="F37" s="145">
        <v>1.6400000000000001E-2</v>
      </c>
      <c r="G37" s="146">
        <v>233800.19</v>
      </c>
      <c r="H37" s="44">
        <f>G37</f>
        <v>233800.19</v>
      </c>
      <c r="I37" s="154">
        <f t="shared" si="0"/>
        <v>0</v>
      </c>
      <c r="J37" s="155">
        <f t="shared" si="4"/>
        <v>0</v>
      </c>
      <c r="K37" s="155">
        <f t="shared" si="5"/>
        <v>237800.00000000003</v>
      </c>
      <c r="L37" s="182">
        <v>20000</v>
      </c>
      <c r="M37" s="157">
        <f t="shared" si="7"/>
        <v>257800.19</v>
      </c>
      <c r="N37" s="157">
        <f t="shared" si="6"/>
        <v>273268.19</v>
      </c>
      <c r="O37" s="140">
        <f t="shared" si="8"/>
        <v>0.19000000000000003</v>
      </c>
    </row>
    <row r="38" spans="1:113" x14ac:dyDescent="0.3">
      <c r="A38" s="57" t="s">
        <v>123</v>
      </c>
      <c r="B38" s="6"/>
      <c r="C38" s="35" t="s">
        <v>65</v>
      </c>
      <c r="D38" s="113" t="s">
        <v>224</v>
      </c>
      <c r="E38" s="142"/>
      <c r="F38" s="145">
        <v>7.1999999999999998E-3</v>
      </c>
      <c r="G38" s="146">
        <v>86400.2</v>
      </c>
      <c r="H38" s="44">
        <f>G38</f>
        <v>86400.2</v>
      </c>
      <c r="I38" s="154">
        <f t="shared" si="0"/>
        <v>0</v>
      </c>
      <c r="J38" s="155">
        <f t="shared" si="4"/>
        <v>0</v>
      </c>
      <c r="K38" s="155">
        <f t="shared" si="5"/>
        <v>104400</v>
      </c>
      <c r="L38" s="182">
        <v>0</v>
      </c>
      <c r="M38" s="157">
        <f t="shared" si="7"/>
        <v>104400.2</v>
      </c>
      <c r="N38" s="157">
        <f t="shared" si="6"/>
        <v>110664.2</v>
      </c>
      <c r="O38" s="140">
        <f t="shared" si="8"/>
        <v>0.20000000000000004</v>
      </c>
    </row>
    <row r="39" spans="1:113" s="149" customFormat="1" x14ac:dyDescent="0.3">
      <c r="A39" s="113" t="s">
        <v>122</v>
      </c>
      <c r="B39" s="35"/>
      <c r="C39" s="35" t="s">
        <v>66</v>
      </c>
      <c r="D39" s="113" t="s">
        <v>189</v>
      </c>
      <c r="E39" s="142"/>
      <c r="F39" s="145">
        <v>1.7299999999999999E-2</v>
      </c>
      <c r="G39" s="146">
        <v>207600.21</v>
      </c>
      <c r="H39" s="44">
        <f>G39</f>
        <v>207600.21</v>
      </c>
      <c r="I39" s="154">
        <f t="shared" si="0"/>
        <v>0</v>
      </c>
      <c r="J39" s="155">
        <f t="shared" si="4"/>
        <v>0</v>
      </c>
      <c r="K39" s="155">
        <f t="shared" si="5"/>
        <v>250850</v>
      </c>
      <c r="L39" s="182">
        <v>0</v>
      </c>
      <c r="M39" s="157">
        <f t="shared" si="7"/>
        <v>250850.21</v>
      </c>
      <c r="N39" s="157">
        <f t="shared" si="6"/>
        <v>265901.21000000002</v>
      </c>
      <c r="O39" s="204">
        <f t="shared" si="8"/>
        <v>0.21000000000000005</v>
      </c>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row>
    <row r="40" spans="1:113" s="149" customFormat="1" x14ac:dyDescent="0.3">
      <c r="A40" s="113" t="s">
        <v>124</v>
      </c>
      <c r="B40" s="35"/>
      <c r="C40" s="35" t="s">
        <v>67</v>
      </c>
      <c r="D40" s="113" t="s">
        <v>284</v>
      </c>
      <c r="E40" s="142"/>
      <c r="F40" s="145">
        <v>9.4000000000000004E-3</v>
      </c>
      <c r="G40" s="44">
        <v>206800.22</v>
      </c>
      <c r="H40" s="44"/>
      <c r="I40" s="154">
        <f t="shared" si="0"/>
        <v>206800.22</v>
      </c>
      <c r="J40" s="155">
        <f t="shared" si="4"/>
        <v>0</v>
      </c>
      <c r="K40" s="155">
        <f t="shared" si="5"/>
        <v>136300</v>
      </c>
      <c r="L40" s="182">
        <v>0</v>
      </c>
      <c r="M40" s="157">
        <f t="shared" si="7"/>
        <v>343100.22</v>
      </c>
      <c r="N40" s="157">
        <f t="shared" si="6"/>
        <v>363686.22</v>
      </c>
      <c r="O40" s="204">
        <f t="shared" si="8"/>
        <v>0.22000000000000006</v>
      </c>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row>
    <row r="41" spans="1:113" s="149" customFormat="1" x14ac:dyDescent="0.3">
      <c r="A41" s="113" t="s">
        <v>124</v>
      </c>
      <c r="B41" s="35"/>
      <c r="C41" s="35" t="s">
        <v>68</v>
      </c>
      <c r="D41" s="113" t="s">
        <v>185</v>
      </c>
      <c r="E41" s="142"/>
      <c r="F41" s="145">
        <v>8.6999999999999994E-3</v>
      </c>
      <c r="G41" s="146">
        <v>104400.23</v>
      </c>
      <c r="H41" s="44">
        <f>G41</f>
        <v>104400.23</v>
      </c>
      <c r="I41" s="154">
        <f t="shared" si="0"/>
        <v>0</v>
      </c>
      <c r="J41" s="155">
        <f t="shared" si="4"/>
        <v>0</v>
      </c>
      <c r="K41" s="155">
        <f t="shared" si="5"/>
        <v>126149.99999999999</v>
      </c>
      <c r="L41" s="182">
        <v>0</v>
      </c>
      <c r="M41" s="157">
        <f t="shared" si="7"/>
        <v>126150.23</v>
      </c>
      <c r="N41" s="157">
        <f t="shared" si="6"/>
        <v>133719.23000000001</v>
      </c>
      <c r="O41" s="204">
        <f t="shared" si="8"/>
        <v>0.23000000000000007</v>
      </c>
      <c r="P41" s="74" t="s">
        <v>315</v>
      </c>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row>
    <row r="42" spans="1:113" s="149" customFormat="1" x14ac:dyDescent="0.3">
      <c r="A42" s="113" t="s">
        <v>124</v>
      </c>
      <c r="B42" s="35"/>
      <c r="C42" s="35" t="s">
        <v>69</v>
      </c>
      <c r="D42" s="113" t="s">
        <v>284</v>
      </c>
      <c r="E42" s="142"/>
      <c r="F42" s="145">
        <v>9.4999999999999998E-3</v>
      </c>
      <c r="G42" s="167">
        <v>209000.24</v>
      </c>
      <c r="H42" s="44"/>
      <c r="I42" s="154">
        <f t="shared" si="0"/>
        <v>209000.24</v>
      </c>
      <c r="J42" s="155">
        <f t="shared" si="4"/>
        <v>0</v>
      </c>
      <c r="K42" s="155">
        <f t="shared" si="5"/>
        <v>137750</v>
      </c>
      <c r="L42" s="182">
        <v>0</v>
      </c>
      <c r="M42" s="157">
        <f t="shared" si="7"/>
        <v>346750.24</v>
      </c>
      <c r="N42" s="157">
        <f t="shared" si="6"/>
        <v>367555.24</v>
      </c>
      <c r="O42" s="204">
        <f t="shared" si="8"/>
        <v>0.24000000000000007</v>
      </c>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row>
    <row r="43" spans="1:113" x14ac:dyDescent="0.3">
      <c r="A43" s="57" t="s">
        <v>122</v>
      </c>
      <c r="B43" s="6"/>
      <c r="C43" s="35" t="s">
        <v>70</v>
      </c>
      <c r="D43" s="113" t="s">
        <v>190</v>
      </c>
      <c r="E43" s="142"/>
      <c r="F43" s="145">
        <v>1.6400000000000001E-2</v>
      </c>
      <c r="G43" s="146">
        <v>196800.25</v>
      </c>
      <c r="H43" s="44">
        <f>G43</f>
        <v>196800.25</v>
      </c>
      <c r="I43" s="154">
        <f t="shared" si="0"/>
        <v>0</v>
      </c>
      <c r="J43" s="155">
        <f t="shared" si="4"/>
        <v>0</v>
      </c>
      <c r="K43" s="155">
        <f t="shared" si="5"/>
        <v>237800.00000000003</v>
      </c>
      <c r="L43" s="182">
        <v>0</v>
      </c>
      <c r="M43" s="157">
        <f t="shared" si="7"/>
        <v>237800.25</v>
      </c>
      <c r="N43" s="157">
        <f t="shared" si="6"/>
        <v>252068.25</v>
      </c>
      <c r="O43" s="140">
        <f t="shared" si="8"/>
        <v>0.25000000000000006</v>
      </c>
    </row>
    <row r="44" spans="1:113" x14ac:dyDescent="0.3">
      <c r="A44" s="57" t="s">
        <v>123</v>
      </c>
      <c r="B44" s="6"/>
      <c r="C44" s="35" t="s">
        <v>71</v>
      </c>
      <c r="D44" s="113" t="s">
        <v>191</v>
      </c>
      <c r="E44" s="142" t="s">
        <v>275</v>
      </c>
      <c r="F44" s="145">
        <v>7.1999999999999998E-3</v>
      </c>
      <c r="G44" s="146">
        <v>86400.26</v>
      </c>
      <c r="H44" s="44">
        <f>G44</f>
        <v>86400.26</v>
      </c>
      <c r="I44" s="154">
        <f t="shared" si="0"/>
        <v>0</v>
      </c>
      <c r="J44" s="155">
        <f t="shared" si="4"/>
        <v>0</v>
      </c>
      <c r="K44" s="155">
        <f t="shared" si="5"/>
        <v>104400</v>
      </c>
      <c r="L44" s="182">
        <v>0</v>
      </c>
      <c r="M44" s="157">
        <f t="shared" si="7"/>
        <v>104400.26</v>
      </c>
      <c r="N44" s="157">
        <f t="shared" si="6"/>
        <v>110664.26</v>
      </c>
      <c r="O44" s="140">
        <f t="shared" si="8"/>
        <v>0.26000000000000006</v>
      </c>
    </row>
    <row r="45" spans="1:113" x14ac:dyDescent="0.3">
      <c r="A45" s="57" t="s">
        <v>122</v>
      </c>
      <c r="B45" s="6"/>
      <c r="C45" s="35" t="s">
        <v>72</v>
      </c>
      <c r="D45" s="113" t="s">
        <v>192</v>
      </c>
      <c r="E45" s="142"/>
      <c r="F45" s="145">
        <v>1.7299999999999999E-2</v>
      </c>
      <c r="G45" s="146">
        <v>207600.27</v>
      </c>
      <c r="H45" s="44">
        <f t="shared" ref="H45:H51" si="10">G45</f>
        <v>207600.27</v>
      </c>
      <c r="I45" s="154">
        <f t="shared" si="0"/>
        <v>0</v>
      </c>
      <c r="J45" s="155">
        <f t="shared" si="4"/>
        <v>0</v>
      </c>
      <c r="K45" s="155">
        <f t="shared" si="5"/>
        <v>250850</v>
      </c>
      <c r="L45" s="182">
        <v>0</v>
      </c>
      <c r="M45" s="157">
        <f t="shared" si="7"/>
        <v>250850.27</v>
      </c>
      <c r="N45" s="157">
        <f t="shared" si="6"/>
        <v>265901.27</v>
      </c>
      <c r="O45" s="140">
        <f t="shared" si="8"/>
        <v>0.27000000000000007</v>
      </c>
      <c r="P45" t="s">
        <v>269</v>
      </c>
      <c r="Q45" t="s">
        <v>269</v>
      </c>
    </row>
    <row r="46" spans="1:113" x14ac:dyDescent="0.3">
      <c r="A46" s="57" t="s">
        <v>124</v>
      </c>
      <c r="B46" s="6"/>
      <c r="C46" s="35" t="s">
        <v>73</v>
      </c>
      <c r="D46" s="113" t="s">
        <v>121</v>
      </c>
      <c r="E46" s="142"/>
      <c r="F46" s="145">
        <v>9.4000000000000004E-3</v>
      </c>
      <c r="G46" s="146">
        <v>112800.28</v>
      </c>
      <c r="H46" s="44">
        <f>G46</f>
        <v>112800.28</v>
      </c>
      <c r="I46" s="154">
        <f t="shared" si="0"/>
        <v>0</v>
      </c>
      <c r="J46" s="155">
        <f t="shared" si="4"/>
        <v>0</v>
      </c>
      <c r="K46" s="155">
        <f t="shared" si="5"/>
        <v>136300</v>
      </c>
      <c r="L46" s="182">
        <v>0</v>
      </c>
      <c r="M46" s="157">
        <f t="shared" si="7"/>
        <v>136300.28</v>
      </c>
      <c r="N46" s="157">
        <f t="shared" si="6"/>
        <v>144478.28</v>
      </c>
      <c r="O46" s="140">
        <f t="shared" si="8"/>
        <v>0.28000000000000008</v>
      </c>
      <c r="Q46" t="s">
        <v>261</v>
      </c>
    </row>
    <row r="47" spans="1:113" x14ac:dyDescent="0.3">
      <c r="A47" s="57" t="s">
        <v>124</v>
      </c>
      <c r="B47" s="6"/>
      <c r="C47" s="35" t="s">
        <v>74</v>
      </c>
      <c r="D47" s="113" t="s">
        <v>183</v>
      </c>
      <c r="E47" s="142" t="s">
        <v>322</v>
      </c>
      <c r="F47" s="145">
        <v>8.6999999999999994E-3</v>
      </c>
      <c r="G47" s="157">
        <v>104400.29</v>
      </c>
      <c r="H47" s="44"/>
      <c r="I47" s="154">
        <f t="shared" si="0"/>
        <v>104400.29</v>
      </c>
      <c r="J47" s="155">
        <f t="shared" si="4"/>
        <v>0</v>
      </c>
      <c r="K47" s="155">
        <f t="shared" si="5"/>
        <v>126149.99999999999</v>
      </c>
      <c r="L47" s="182">
        <v>0</v>
      </c>
      <c r="M47" s="157">
        <f t="shared" si="7"/>
        <v>230550.29</v>
      </c>
      <c r="N47" s="157">
        <f t="shared" si="6"/>
        <v>244383.29</v>
      </c>
      <c r="O47" s="140">
        <f t="shared" si="8"/>
        <v>0.29000000000000009</v>
      </c>
    </row>
    <row r="48" spans="1:113" x14ac:dyDescent="0.3">
      <c r="A48" s="57" t="s">
        <v>124</v>
      </c>
      <c r="B48" s="6"/>
      <c r="C48" s="35" t="s">
        <v>75</v>
      </c>
      <c r="D48" s="113" t="s">
        <v>193</v>
      </c>
      <c r="E48" s="142"/>
      <c r="F48" s="145">
        <v>9.4999999999999998E-3</v>
      </c>
      <c r="G48" s="146">
        <v>114000.3</v>
      </c>
      <c r="H48" s="44">
        <f>G48</f>
        <v>114000.3</v>
      </c>
      <c r="I48" s="154">
        <f t="shared" si="0"/>
        <v>0</v>
      </c>
      <c r="J48" s="155">
        <f t="shared" si="4"/>
        <v>0</v>
      </c>
      <c r="K48" s="155">
        <f t="shared" si="5"/>
        <v>137750</v>
      </c>
      <c r="L48" s="182">
        <v>0</v>
      </c>
      <c r="M48" s="157">
        <f t="shared" si="7"/>
        <v>137750.29999999999</v>
      </c>
      <c r="N48" s="157">
        <f t="shared" si="6"/>
        <v>146015.29999999999</v>
      </c>
      <c r="O48" s="140">
        <f t="shared" si="8"/>
        <v>0.3000000000000001</v>
      </c>
    </row>
    <row r="49" spans="1:17" x14ac:dyDescent="0.3">
      <c r="A49" s="57" t="s">
        <v>122</v>
      </c>
      <c r="B49" s="6"/>
      <c r="C49" s="35" t="s">
        <v>76</v>
      </c>
      <c r="D49" s="113" t="s">
        <v>194</v>
      </c>
      <c r="E49" s="142"/>
      <c r="F49" s="145">
        <v>1.6400000000000001E-2</v>
      </c>
      <c r="G49" s="146">
        <v>196800.31</v>
      </c>
      <c r="H49" s="44">
        <f t="shared" si="10"/>
        <v>196800.31</v>
      </c>
      <c r="I49" s="154">
        <f t="shared" si="0"/>
        <v>0</v>
      </c>
      <c r="J49" s="155">
        <f t="shared" si="4"/>
        <v>0</v>
      </c>
      <c r="K49" s="155">
        <f t="shared" si="5"/>
        <v>237800.00000000003</v>
      </c>
      <c r="L49" s="182">
        <v>0</v>
      </c>
      <c r="M49" s="157">
        <f t="shared" si="7"/>
        <v>237800.31</v>
      </c>
      <c r="N49" s="157">
        <f t="shared" si="6"/>
        <v>252068.31</v>
      </c>
      <c r="O49" s="140">
        <f t="shared" si="8"/>
        <v>0.31000000000000011</v>
      </c>
    </row>
    <row r="50" spans="1:17" x14ac:dyDescent="0.3">
      <c r="A50" s="57" t="s">
        <v>123</v>
      </c>
      <c r="B50" s="6"/>
      <c r="C50" s="35" t="s">
        <v>77</v>
      </c>
      <c r="D50" s="113" t="s">
        <v>195</v>
      </c>
      <c r="E50" s="142"/>
      <c r="F50" s="145">
        <v>7.1999999999999998E-3</v>
      </c>
      <c r="G50" s="146">
        <v>86400.320000000007</v>
      </c>
      <c r="H50" s="44"/>
      <c r="I50" s="154">
        <f t="shared" si="0"/>
        <v>86400.320000000007</v>
      </c>
      <c r="J50" s="155">
        <f t="shared" si="4"/>
        <v>0</v>
      </c>
      <c r="K50" s="155">
        <f t="shared" si="5"/>
        <v>104400</v>
      </c>
      <c r="L50" s="182">
        <v>20000</v>
      </c>
      <c r="M50" s="157">
        <f t="shared" si="7"/>
        <v>210800.32</v>
      </c>
      <c r="N50" s="157">
        <f t="shared" si="6"/>
        <v>223448.32000000001</v>
      </c>
      <c r="O50" s="140">
        <f t="shared" si="8"/>
        <v>0.32000000000000012</v>
      </c>
      <c r="P50" s="43"/>
    </row>
    <row r="51" spans="1:17" x14ac:dyDescent="0.3">
      <c r="A51" s="57" t="s">
        <v>122</v>
      </c>
      <c r="B51" s="6"/>
      <c r="C51" s="35" t="s">
        <v>78</v>
      </c>
      <c r="D51" s="113" t="s">
        <v>196</v>
      </c>
      <c r="E51" s="142"/>
      <c r="F51" s="145">
        <v>1.7299999999999999E-2</v>
      </c>
      <c r="G51" s="146">
        <v>207600.33</v>
      </c>
      <c r="H51" s="44">
        <f t="shared" si="10"/>
        <v>207600.33</v>
      </c>
      <c r="I51" s="154">
        <f t="shared" si="0"/>
        <v>0</v>
      </c>
      <c r="J51" s="155">
        <f t="shared" ref="J51:J82" si="11">M$8*F51</f>
        <v>0</v>
      </c>
      <c r="K51" s="155">
        <f t="shared" ref="K51:K82" si="12">M$2*F51</f>
        <v>250850</v>
      </c>
      <c r="L51" s="182">
        <v>0</v>
      </c>
      <c r="M51" s="157">
        <f t="shared" si="7"/>
        <v>250850.33</v>
      </c>
      <c r="N51" s="157">
        <f t="shared" si="6"/>
        <v>265901.33</v>
      </c>
      <c r="O51" s="140">
        <f t="shared" si="8"/>
        <v>0.33000000000000013</v>
      </c>
      <c r="P51" s="43"/>
    </row>
    <row r="52" spans="1:17" x14ac:dyDescent="0.3">
      <c r="A52" s="57" t="s">
        <v>124</v>
      </c>
      <c r="B52" s="6"/>
      <c r="C52" s="35" t="s">
        <v>79</v>
      </c>
      <c r="D52" s="113" t="s">
        <v>300</v>
      </c>
      <c r="E52" s="142"/>
      <c r="F52" s="145">
        <v>9.4000000000000004E-3</v>
      </c>
      <c r="G52" s="146">
        <v>124800.34</v>
      </c>
      <c r="H52" s="44">
        <f>G52</f>
        <v>124800.34</v>
      </c>
      <c r="I52" s="154">
        <f t="shared" si="0"/>
        <v>0</v>
      </c>
      <c r="J52" s="155">
        <f t="shared" si="11"/>
        <v>0</v>
      </c>
      <c r="K52" s="155">
        <f t="shared" si="12"/>
        <v>136300</v>
      </c>
      <c r="L52" s="182">
        <v>20000</v>
      </c>
      <c r="M52" s="157">
        <f t="shared" si="7"/>
        <v>156300.34</v>
      </c>
      <c r="N52" s="157">
        <f t="shared" si="6"/>
        <v>165678.34</v>
      </c>
      <c r="O52" s="140">
        <f t="shared" si="8"/>
        <v>0.34000000000000014</v>
      </c>
      <c r="P52" t="s">
        <v>319</v>
      </c>
    </row>
    <row r="53" spans="1:17" x14ac:dyDescent="0.3">
      <c r="A53" s="57" t="s">
        <v>124</v>
      </c>
      <c r="B53" s="6"/>
      <c r="C53" s="35" t="s">
        <v>80</v>
      </c>
      <c r="D53" s="113" t="s">
        <v>225</v>
      </c>
      <c r="E53" s="142"/>
      <c r="F53" s="145">
        <v>8.6999999999999994E-3</v>
      </c>
      <c r="G53" s="146">
        <v>113100.35</v>
      </c>
      <c r="H53" s="44">
        <f>G53</f>
        <v>113100.35</v>
      </c>
      <c r="I53" s="154">
        <f>G53-H53</f>
        <v>0</v>
      </c>
      <c r="J53" s="155">
        <f t="shared" si="11"/>
        <v>0</v>
      </c>
      <c r="K53" s="155">
        <f t="shared" si="12"/>
        <v>126149.99999999999</v>
      </c>
      <c r="L53" s="182">
        <v>0</v>
      </c>
      <c r="M53" s="157">
        <f t="shared" si="7"/>
        <v>126150.35</v>
      </c>
      <c r="N53" s="157">
        <f t="shared" si="6"/>
        <v>133719.35</v>
      </c>
      <c r="O53" s="140">
        <f t="shared" si="8"/>
        <v>0.35000000000000014</v>
      </c>
    </row>
    <row r="54" spans="1:17" x14ac:dyDescent="0.3">
      <c r="A54" s="57" t="s">
        <v>124</v>
      </c>
      <c r="B54" s="6"/>
      <c r="C54" s="35" t="s">
        <v>81</v>
      </c>
      <c r="D54" s="113" t="s">
        <v>197</v>
      </c>
      <c r="E54" s="142"/>
      <c r="F54" s="145">
        <v>9.4999999999999998E-3</v>
      </c>
      <c r="G54" s="146">
        <v>150000.35999999999</v>
      </c>
      <c r="H54" s="44"/>
      <c r="I54" s="154">
        <f>G54-H54</f>
        <v>150000.35999999999</v>
      </c>
      <c r="J54" s="155">
        <f t="shared" si="11"/>
        <v>0</v>
      </c>
      <c r="K54" s="155">
        <f t="shared" si="12"/>
        <v>137750</v>
      </c>
      <c r="L54" s="182">
        <v>0</v>
      </c>
      <c r="M54" s="157">
        <f t="shared" si="7"/>
        <v>287750.36</v>
      </c>
      <c r="N54" s="157">
        <f t="shared" si="6"/>
        <v>305015.36</v>
      </c>
      <c r="O54" s="140">
        <f t="shared" si="8"/>
        <v>0.36000000000000015</v>
      </c>
    </row>
    <row r="55" spans="1:17" x14ac:dyDescent="0.3">
      <c r="A55" s="57" t="s">
        <v>122</v>
      </c>
      <c r="B55" s="6"/>
      <c r="C55" s="35" t="s">
        <v>82</v>
      </c>
      <c r="D55" s="113" t="s">
        <v>194</v>
      </c>
      <c r="E55" s="142"/>
      <c r="F55" s="145">
        <v>1.6400000000000001E-2</v>
      </c>
      <c r="G55" s="146">
        <v>196800.37</v>
      </c>
      <c r="H55" s="44">
        <f t="shared" ref="H55:H57" si="13">G55</f>
        <v>196800.37</v>
      </c>
      <c r="I55" s="154">
        <f t="shared" si="0"/>
        <v>0</v>
      </c>
      <c r="J55" s="155">
        <f t="shared" si="11"/>
        <v>0</v>
      </c>
      <c r="K55" s="155">
        <f t="shared" si="12"/>
        <v>237800.00000000003</v>
      </c>
      <c r="L55" s="182">
        <v>0</v>
      </c>
      <c r="M55" s="157">
        <f t="shared" si="7"/>
        <v>237800.37</v>
      </c>
      <c r="N55" s="157">
        <f t="shared" si="6"/>
        <v>252068.37</v>
      </c>
      <c r="O55" s="140">
        <f t="shared" si="8"/>
        <v>0.37000000000000016</v>
      </c>
      <c r="Q55" s="59"/>
    </row>
    <row r="56" spans="1:17" x14ac:dyDescent="0.3">
      <c r="A56" s="57" t="s">
        <v>123</v>
      </c>
      <c r="B56" s="6"/>
      <c r="C56" s="35" t="s">
        <v>83</v>
      </c>
      <c r="D56" s="113" t="s">
        <v>198</v>
      </c>
      <c r="E56" s="142" t="s">
        <v>276</v>
      </c>
      <c r="F56" s="145">
        <v>7.1999999999999998E-3</v>
      </c>
      <c r="G56" s="146">
        <v>86400.38</v>
      </c>
      <c r="H56" s="44">
        <f t="shared" si="13"/>
        <v>86400.38</v>
      </c>
      <c r="I56" s="154">
        <f t="shared" si="0"/>
        <v>0</v>
      </c>
      <c r="J56" s="155">
        <f t="shared" si="11"/>
        <v>0</v>
      </c>
      <c r="K56" s="155">
        <f t="shared" si="12"/>
        <v>104400</v>
      </c>
      <c r="L56" s="182">
        <v>0</v>
      </c>
      <c r="M56" s="157">
        <f t="shared" si="7"/>
        <v>104400.38</v>
      </c>
      <c r="N56" s="157">
        <f t="shared" si="6"/>
        <v>110664.38</v>
      </c>
      <c r="O56" s="140">
        <f t="shared" si="8"/>
        <v>0.38000000000000017</v>
      </c>
    </row>
    <row r="57" spans="1:17" x14ac:dyDescent="0.3">
      <c r="A57" s="57" t="s">
        <v>122</v>
      </c>
      <c r="B57" s="6"/>
      <c r="C57" s="35" t="s">
        <v>84</v>
      </c>
      <c r="D57" s="113" t="s">
        <v>199</v>
      </c>
      <c r="E57" s="142"/>
      <c r="F57" s="145">
        <v>1.7299999999999999E-2</v>
      </c>
      <c r="G57" s="146">
        <v>207600.39</v>
      </c>
      <c r="H57" s="44">
        <f t="shared" si="13"/>
        <v>207600.39</v>
      </c>
      <c r="I57" s="154">
        <f t="shared" si="0"/>
        <v>0</v>
      </c>
      <c r="J57" s="155">
        <f t="shared" si="11"/>
        <v>0</v>
      </c>
      <c r="K57" s="155">
        <f t="shared" si="12"/>
        <v>250850</v>
      </c>
      <c r="L57" s="182">
        <v>0</v>
      </c>
      <c r="M57" s="157">
        <f t="shared" si="7"/>
        <v>250850.39</v>
      </c>
      <c r="N57" s="157">
        <f t="shared" si="6"/>
        <v>265901.39</v>
      </c>
      <c r="O57" s="140">
        <f t="shared" si="8"/>
        <v>0.39000000000000018</v>
      </c>
    </row>
    <row r="58" spans="1:17" x14ac:dyDescent="0.3">
      <c r="A58" s="57" t="s">
        <v>124</v>
      </c>
      <c r="B58" s="6"/>
      <c r="C58" s="35" t="s">
        <v>85</v>
      </c>
      <c r="D58" s="113" t="s">
        <v>200</v>
      </c>
      <c r="E58" s="142"/>
      <c r="F58" s="145">
        <v>9.4000000000000004E-3</v>
      </c>
      <c r="G58" s="146">
        <v>112800.4</v>
      </c>
      <c r="H58" s="44">
        <f>G58</f>
        <v>112800.4</v>
      </c>
      <c r="I58" s="154">
        <f t="shared" si="0"/>
        <v>0</v>
      </c>
      <c r="J58" s="155">
        <f t="shared" si="11"/>
        <v>0</v>
      </c>
      <c r="K58" s="155">
        <f t="shared" si="12"/>
        <v>136300</v>
      </c>
      <c r="L58" s="182">
        <v>0</v>
      </c>
      <c r="M58" s="157">
        <f t="shared" si="7"/>
        <v>136300.4</v>
      </c>
      <c r="N58" s="157">
        <f t="shared" si="6"/>
        <v>144478.39999999999</v>
      </c>
      <c r="O58" s="140">
        <f t="shared" si="8"/>
        <v>0.40000000000000019</v>
      </c>
    </row>
    <row r="59" spans="1:17" x14ac:dyDescent="0.3">
      <c r="A59" s="113" t="s">
        <v>124</v>
      </c>
      <c r="B59" s="35"/>
      <c r="C59" s="194" t="s">
        <v>86</v>
      </c>
      <c r="D59" s="195" t="s">
        <v>121</v>
      </c>
      <c r="E59" s="196"/>
      <c r="F59" s="197">
        <v>8.6999999999999994E-3</v>
      </c>
      <c r="G59" s="198">
        <v>104400.41</v>
      </c>
      <c r="H59" s="203">
        <f>G59</f>
        <v>104400.41</v>
      </c>
      <c r="I59" s="199">
        <f t="shared" si="0"/>
        <v>0</v>
      </c>
      <c r="J59" s="200">
        <f t="shared" si="11"/>
        <v>0</v>
      </c>
      <c r="K59" s="200">
        <f t="shared" si="12"/>
        <v>126149.99999999999</v>
      </c>
      <c r="L59" s="201">
        <v>0</v>
      </c>
      <c r="M59" s="202">
        <f t="shared" si="7"/>
        <v>126150.41</v>
      </c>
      <c r="N59" s="202">
        <f t="shared" si="6"/>
        <v>133719.41</v>
      </c>
      <c r="O59" s="140">
        <f t="shared" si="8"/>
        <v>0.4100000000000002</v>
      </c>
      <c r="Q59" t="s">
        <v>260</v>
      </c>
    </row>
    <row r="60" spans="1:17" x14ac:dyDescent="0.3">
      <c r="A60" s="113" t="s">
        <v>124</v>
      </c>
      <c r="B60" s="35"/>
      <c r="C60" s="35" t="s">
        <v>87</v>
      </c>
      <c r="D60" s="113" t="s">
        <v>201</v>
      </c>
      <c r="E60" s="142"/>
      <c r="F60" s="145">
        <v>9.4999999999999998E-3</v>
      </c>
      <c r="G60" s="146">
        <v>114000.42</v>
      </c>
      <c r="H60" s="44">
        <f t="shared" ref="H60:H67" si="14">G60</f>
        <v>114000.42</v>
      </c>
      <c r="I60" s="154">
        <f t="shared" si="0"/>
        <v>0</v>
      </c>
      <c r="J60" s="155">
        <f t="shared" si="11"/>
        <v>0</v>
      </c>
      <c r="K60" s="155">
        <f t="shared" si="12"/>
        <v>137750</v>
      </c>
      <c r="L60" s="182">
        <v>20000</v>
      </c>
      <c r="M60" s="157">
        <f t="shared" si="7"/>
        <v>157750.42000000001</v>
      </c>
      <c r="N60" s="157">
        <f t="shared" si="6"/>
        <v>167215.42000000001</v>
      </c>
      <c r="O60" s="140">
        <f t="shared" si="8"/>
        <v>0.42000000000000021</v>
      </c>
      <c r="P60" t="s">
        <v>296</v>
      </c>
    </row>
    <row r="61" spans="1:17" x14ac:dyDescent="0.3">
      <c r="A61" s="113" t="s">
        <v>122</v>
      </c>
      <c r="B61" s="35"/>
      <c r="C61" s="35" t="s">
        <v>88</v>
      </c>
      <c r="D61" s="113" t="s">
        <v>202</v>
      </c>
      <c r="E61" s="142"/>
      <c r="F61" s="145">
        <v>1.6400000000000001E-2</v>
      </c>
      <c r="G61" s="146">
        <v>196800.43</v>
      </c>
      <c r="H61" s="44">
        <f t="shared" si="14"/>
        <v>196800.43</v>
      </c>
      <c r="I61" s="154">
        <f t="shared" si="0"/>
        <v>0</v>
      </c>
      <c r="J61" s="155">
        <f t="shared" si="11"/>
        <v>0</v>
      </c>
      <c r="K61" s="155">
        <f t="shared" si="12"/>
        <v>237800.00000000003</v>
      </c>
      <c r="L61" s="182">
        <v>0</v>
      </c>
      <c r="M61" s="157">
        <f t="shared" si="7"/>
        <v>237800.43</v>
      </c>
      <c r="N61" s="157">
        <f t="shared" si="6"/>
        <v>252068.43</v>
      </c>
      <c r="O61" s="140">
        <f t="shared" si="8"/>
        <v>0.43000000000000022</v>
      </c>
    </row>
    <row r="62" spans="1:17" x14ac:dyDescent="0.3">
      <c r="A62" s="113" t="s">
        <v>123</v>
      </c>
      <c r="B62" s="35"/>
      <c r="C62" s="35" t="s">
        <v>89</v>
      </c>
      <c r="D62" s="113" t="s">
        <v>202</v>
      </c>
      <c r="E62" s="142"/>
      <c r="F62" s="145">
        <v>7.1999999999999998E-3</v>
      </c>
      <c r="G62" s="146">
        <v>86400.44</v>
      </c>
      <c r="H62" s="44">
        <f t="shared" si="14"/>
        <v>86400.44</v>
      </c>
      <c r="I62" s="154">
        <f t="shared" si="0"/>
        <v>0</v>
      </c>
      <c r="J62" s="155">
        <f t="shared" si="11"/>
        <v>0</v>
      </c>
      <c r="K62" s="155">
        <f t="shared" si="12"/>
        <v>104400</v>
      </c>
      <c r="L62" s="182">
        <v>0</v>
      </c>
      <c r="M62" s="157">
        <f t="shared" si="7"/>
        <v>104400.44</v>
      </c>
      <c r="N62" s="157">
        <f t="shared" si="6"/>
        <v>110664.44</v>
      </c>
      <c r="O62" s="140">
        <f t="shared" si="8"/>
        <v>0.44000000000000022</v>
      </c>
    </row>
    <row r="63" spans="1:17" x14ac:dyDescent="0.3">
      <c r="A63" s="57" t="s">
        <v>122</v>
      </c>
      <c r="B63" s="6"/>
      <c r="C63" s="35" t="s">
        <v>90</v>
      </c>
      <c r="D63" s="113" t="s">
        <v>203</v>
      </c>
      <c r="E63" s="142"/>
      <c r="F63" s="145">
        <v>1.7299999999999999E-2</v>
      </c>
      <c r="G63" s="146">
        <v>243600.45</v>
      </c>
      <c r="H63" s="44">
        <f t="shared" si="14"/>
        <v>243600.45</v>
      </c>
      <c r="I63" s="154">
        <f t="shared" si="0"/>
        <v>0</v>
      </c>
      <c r="J63" s="155">
        <f t="shared" si="11"/>
        <v>0</v>
      </c>
      <c r="K63" s="155">
        <f t="shared" si="12"/>
        <v>250850</v>
      </c>
      <c r="L63" s="182">
        <v>0</v>
      </c>
      <c r="M63" s="157">
        <f t="shared" si="7"/>
        <v>250850.45</v>
      </c>
      <c r="N63" s="157">
        <f t="shared" si="6"/>
        <v>265901.45</v>
      </c>
      <c r="O63" s="140">
        <f t="shared" si="8"/>
        <v>0.45000000000000023</v>
      </c>
    </row>
    <row r="64" spans="1:17" x14ac:dyDescent="0.3">
      <c r="A64" s="57" t="s">
        <v>124</v>
      </c>
      <c r="B64" s="6"/>
      <c r="C64" s="35" t="s">
        <v>91</v>
      </c>
      <c r="D64" s="113" t="s">
        <v>204</v>
      </c>
      <c r="E64" s="142" t="s">
        <v>277</v>
      </c>
      <c r="F64" s="145">
        <v>9.4000000000000004E-3</v>
      </c>
      <c r="G64" s="146">
        <v>112800.46</v>
      </c>
      <c r="H64" s="44">
        <f t="shared" si="14"/>
        <v>112800.46</v>
      </c>
      <c r="I64" s="154">
        <f t="shared" si="0"/>
        <v>0</v>
      </c>
      <c r="J64" s="155">
        <f t="shared" si="11"/>
        <v>0</v>
      </c>
      <c r="K64" s="155">
        <f t="shared" si="12"/>
        <v>136300</v>
      </c>
      <c r="L64" s="182">
        <v>0</v>
      </c>
      <c r="M64" s="157">
        <f t="shared" si="7"/>
        <v>136300.46</v>
      </c>
      <c r="N64" s="157">
        <f t="shared" si="6"/>
        <v>144478.46</v>
      </c>
      <c r="O64" s="204">
        <f t="shared" si="8"/>
        <v>0.46000000000000024</v>
      </c>
    </row>
    <row r="65" spans="1:18" x14ac:dyDescent="0.3">
      <c r="A65" s="57" t="s">
        <v>124</v>
      </c>
      <c r="B65" s="6"/>
      <c r="C65" s="35" t="s">
        <v>92</v>
      </c>
      <c r="D65" s="113" t="s">
        <v>183</v>
      </c>
      <c r="E65" s="142"/>
      <c r="F65" s="145">
        <v>8.6999999999999994E-3</v>
      </c>
      <c r="G65" s="146">
        <v>22200.47</v>
      </c>
      <c r="H65" s="44">
        <f>G65</f>
        <v>22200.47</v>
      </c>
      <c r="I65" s="154">
        <f t="shared" si="0"/>
        <v>0</v>
      </c>
      <c r="J65" s="155">
        <f t="shared" si="11"/>
        <v>0</v>
      </c>
      <c r="K65" s="155">
        <f t="shared" si="12"/>
        <v>126149.99999999999</v>
      </c>
      <c r="L65" s="182">
        <v>0</v>
      </c>
      <c r="M65" s="157">
        <f t="shared" si="7"/>
        <v>126150.47</v>
      </c>
      <c r="N65" s="157">
        <f t="shared" si="6"/>
        <v>133719.47</v>
      </c>
      <c r="O65" s="204">
        <f t="shared" si="8"/>
        <v>0.47000000000000025</v>
      </c>
    </row>
    <row r="66" spans="1:18" x14ac:dyDescent="0.3">
      <c r="A66" s="57" t="s">
        <v>124</v>
      </c>
      <c r="B66" s="6"/>
      <c r="C66" s="35" t="s">
        <v>93</v>
      </c>
      <c r="D66" s="113" t="s">
        <v>205</v>
      </c>
      <c r="E66" s="142"/>
      <c r="F66" s="145">
        <v>9.4999999999999998E-3</v>
      </c>
      <c r="G66" s="146">
        <v>114000.48</v>
      </c>
      <c r="H66" s="44">
        <f>95000.48</f>
        <v>95000.48</v>
      </c>
      <c r="I66" s="154">
        <f t="shared" si="0"/>
        <v>19000</v>
      </c>
      <c r="J66" s="155">
        <f t="shared" si="11"/>
        <v>0</v>
      </c>
      <c r="K66" s="155">
        <f t="shared" si="12"/>
        <v>137750</v>
      </c>
      <c r="L66" s="182">
        <v>0</v>
      </c>
      <c r="M66" s="157">
        <f t="shared" si="7"/>
        <v>156750.48000000001</v>
      </c>
      <c r="N66" s="157">
        <f t="shared" si="6"/>
        <v>166156.48000000001</v>
      </c>
      <c r="O66" s="204">
        <f t="shared" si="8"/>
        <v>0.48000000000000026</v>
      </c>
      <c r="R66" s="225"/>
    </row>
    <row r="67" spans="1:18" x14ac:dyDescent="0.3">
      <c r="A67" s="57" t="s">
        <v>122</v>
      </c>
      <c r="B67" s="6"/>
      <c r="C67" s="35" t="s">
        <v>94</v>
      </c>
      <c r="D67" s="113" t="s">
        <v>206</v>
      </c>
      <c r="E67" s="142"/>
      <c r="F67" s="145">
        <v>1.6400000000000001E-2</v>
      </c>
      <c r="G67" s="146">
        <v>196800.49</v>
      </c>
      <c r="H67" s="44">
        <f t="shared" si="14"/>
        <v>196800.49</v>
      </c>
      <c r="I67" s="154">
        <f t="shared" si="0"/>
        <v>0</v>
      </c>
      <c r="J67" s="155">
        <f t="shared" si="11"/>
        <v>0</v>
      </c>
      <c r="K67" s="155">
        <f t="shared" si="12"/>
        <v>237800.00000000003</v>
      </c>
      <c r="L67" s="182">
        <v>0</v>
      </c>
      <c r="M67" s="157">
        <f t="shared" si="7"/>
        <v>237800.49</v>
      </c>
      <c r="N67" s="157">
        <f t="shared" si="6"/>
        <v>252069.49</v>
      </c>
      <c r="O67" s="140">
        <f t="shared" si="8"/>
        <v>0.49000000000000027</v>
      </c>
      <c r="R67" s="43"/>
    </row>
    <row r="68" spans="1:18" x14ac:dyDescent="0.3">
      <c r="A68" s="148" t="s">
        <v>123</v>
      </c>
      <c r="B68" s="147"/>
      <c r="C68" s="35" t="s">
        <v>95</v>
      </c>
      <c r="D68" s="113" t="s">
        <v>207</v>
      </c>
      <c r="E68" s="142"/>
      <c r="F68" s="145">
        <v>7.1999999999999998E-3</v>
      </c>
      <c r="G68" s="146">
        <v>339431.5</v>
      </c>
      <c r="H68" s="44"/>
      <c r="I68" s="154">
        <f t="shared" si="0"/>
        <v>339431.5</v>
      </c>
      <c r="J68" s="155">
        <f t="shared" si="11"/>
        <v>0</v>
      </c>
      <c r="K68" s="155">
        <f t="shared" si="12"/>
        <v>104400</v>
      </c>
      <c r="L68" s="182">
        <v>0</v>
      </c>
      <c r="M68" s="157">
        <f t="shared" si="7"/>
        <v>443832.5</v>
      </c>
      <c r="N68" s="157">
        <f t="shared" si="6"/>
        <v>470462.5</v>
      </c>
      <c r="O68" s="140">
        <f t="shared" si="8"/>
        <v>0.50000000000000022</v>
      </c>
    </row>
    <row r="69" spans="1:18" x14ac:dyDescent="0.3">
      <c r="A69" s="57" t="s">
        <v>122</v>
      </c>
      <c r="B69" s="6"/>
      <c r="C69" s="35" t="s">
        <v>96</v>
      </c>
      <c r="D69" s="113" t="s">
        <v>208</v>
      </c>
      <c r="E69" s="142"/>
      <c r="F69" s="145">
        <v>1.7299999999999999E-2</v>
      </c>
      <c r="G69" s="146">
        <v>207600.51</v>
      </c>
      <c r="H69" s="44"/>
      <c r="I69" s="154">
        <f t="shared" si="0"/>
        <v>207600.51</v>
      </c>
      <c r="J69" s="155">
        <f t="shared" si="11"/>
        <v>0</v>
      </c>
      <c r="K69" s="155">
        <f t="shared" si="12"/>
        <v>250850</v>
      </c>
      <c r="L69" s="182">
        <v>0</v>
      </c>
      <c r="M69" s="157">
        <f t="shared" si="7"/>
        <v>458451.51</v>
      </c>
      <c r="N69" s="157">
        <f t="shared" si="6"/>
        <v>485959.51</v>
      </c>
      <c r="O69" s="140">
        <f t="shared" si="8"/>
        <v>0.51000000000000023</v>
      </c>
    </row>
    <row r="70" spans="1:18" x14ac:dyDescent="0.3">
      <c r="A70" s="57" t="s">
        <v>124</v>
      </c>
      <c r="B70" s="6"/>
      <c r="C70" s="35" t="s">
        <v>97</v>
      </c>
      <c r="D70" s="113" t="s">
        <v>209</v>
      </c>
      <c r="E70" s="142"/>
      <c r="F70" s="145">
        <v>9.4000000000000004E-3</v>
      </c>
      <c r="G70" s="146">
        <v>112046.52</v>
      </c>
      <c r="H70" s="44"/>
      <c r="I70" s="154">
        <f t="shared" si="0"/>
        <v>112046.52</v>
      </c>
      <c r="J70" s="155">
        <f t="shared" si="11"/>
        <v>0</v>
      </c>
      <c r="K70" s="155">
        <f t="shared" si="12"/>
        <v>136300</v>
      </c>
      <c r="L70" s="182">
        <v>0</v>
      </c>
      <c r="M70" s="157">
        <f t="shared" si="7"/>
        <v>248347.51999999999</v>
      </c>
      <c r="N70" s="157">
        <f t="shared" si="6"/>
        <v>263248.52</v>
      </c>
      <c r="O70" s="140">
        <f t="shared" si="8"/>
        <v>0.52000000000000024</v>
      </c>
    </row>
    <row r="71" spans="1:18" x14ac:dyDescent="0.3">
      <c r="A71" s="57" t="s">
        <v>124</v>
      </c>
      <c r="B71" s="6"/>
      <c r="C71" s="35" t="s">
        <v>98</v>
      </c>
      <c r="D71" s="113" t="s">
        <v>121</v>
      </c>
      <c r="E71" s="142"/>
      <c r="F71" s="145">
        <v>8.6999999999999994E-3</v>
      </c>
      <c r="G71" s="146">
        <v>104400.53</v>
      </c>
      <c r="H71" s="44">
        <f t="shared" ref="H71:H72" si="15">G71</f>
        <v>104400.53</v>
      </c>
      <c r="I71" s="154">
        <f t="shared" si="0"/>
        <v>0</v>
      </c>
      <c r="J71" s="155">
        <f t="shared" si="11"/>
        <v>0</v>
      </c>
      <c r="K71" s="155">
        <f t="shared" si="12"/>
        <v>126149.99999999999</v>
      </c>
      <c r="L71" s="182">
        <v>0</v>
      </c>
      <c r="M71" s="157">
        <f t="shared" si="7"/>
        <v>126150.53</v>
      </c>
      <c r="N71" s="157">
        <f t="shared" si="6"/>
        <v>133720.53</v>
      </c>
      <c r="O71" s="140">
        <f t="shared" si="8"/>
        <v>0.53000000000000025</v>
      </c>
      <c r="Q71" t="s">
        <v>261</v>
      </c>
    </row>
    <row r="72" spans="1:18" x14ac:dyDescent="0.3">
      <c r="A72" s="57" t="s">
        <v>124</v>
      </c>
      <c r="B72" s="6"/>
      <c r="C72" s="35" t="s">
        <v>99</v>
      </c>
      <c r="D72" s="113" t="s">
        <v>210</v>
      </c>
      <c r="E72" s="142"/>
      <c r="F72" s="145">
        <v>9.4999999999999998E-3</v>
      </c>
      <c r="G72" s="146">
        <v>120841.54</v>
      </c>
      <c r="H72" s="44">
        <f t="shared" si="15"/>
        <v>120841.54</v>
      </c>
      <c r="I72" s="154">
        <f t="shared" si="0"/>
        <v>0</v>
      </c>
      <c r="J72" s="155">
        <f t="shared" si="11"/>
        <v>0</v>
      </c>
      <c r="K72" s="155">
        <f t="shared" si="12"/>
        <v>137750</v>
      </c>
      <c r="L72" s="182">
        <v>0</v>
      </c>
      <c r="M72" s="157">
        <f t="shared" si="7"/>
        <v>137750.54</v>
      </c>
      <c r="N72" s="157">
        <f t="shared" si="6"/>
        <v>146016.54</v>
      </c>
      <c r="O72" s="140">
        <f t="shared" si="8"/>
        <v>0.54000000000000026</v>
      </c>
    </row>
    <row r="73" spans="1:18" x14ac:dyDescent="0.3">
      <c r="A73" s="57" t="s">
        <v>125</v>
      </c>
      <c r="B73" s="6"/>
      <c r="C73" s="35" t="s">
        <v>100</v>
      </c>
      <c r="D73" s="113" t="s">
        <v>211</v>
      </c>
      <c r="E73" s="142"/>
      <c r="F73" s="145">
        <v>2.35E-2</v>
      </c>
      <c r="G73" s="146">
        <v>517001.55</v>
      </c>
      <c r="H73" s="44">
        <f>258500.55+235000.55+23500</f>
        <v>517001.1</v>
      </c>
      <c r="I73" s="154">
        <f t="shared" si="0"/>
        <v>0.45000000001164153</v>
      </c>
      <c r="J73" s="155">
        <f t="shared" si="11"/>
        <v>0</v>
      </c>
      <c r="K73" s="155">
        <f t="shared" si="12"/>
        <v>340750</v>
      </c>
      <c r="L73" s="182">
        <v>0</v>
      </c>
      <c r="M73" s="157">
        <f t="shared" si="7"/>
        <v>340750.55</v>
      </c>
      <c r="N73" s="157">
        <f t="shared" si="6"/>
        <v>361196.55</v>
      </c>
      <c r="O73" s="140">
        <f t="shared" si="8"/>
        <v>0.55000000000000027</v>
      </c>
      <c r="P73" s="206" t="s">
        <v>328</v>
      </c>
    </row>
    <row r="74" spans="1:18" x14ac:dyDescent="0.3">
      <c r="A74" s="57" t="s">
        <v>122</v>
      </c>
      <c r="B74" s="6"/>
      <c r="C74" s="35" t="s">
        <v>101</v>
      </c>
      <c r="D74" s="113" t="s">
        <v>212</v>
      </c>
      <c r="E74" s="142"/>
      <c r="F74" s="145">
        <v>1.7299999999999999E-2</v>
      </c>
      <c r="G74" s="146">
        <v>207600.56</v>
      </c>
      <c r="H74" s="44">
        <f>G74</f>
        <v>207600.56</v>
      </c>
      <c r="I74" s="154">
        <f t="shared" si="0"/>
        <v>0</v>
      </c>
      <c r="J74" s="155">
        <f t="shared" si="11"/>
        <v>0</v>
      </c>
      <c r="K74" s="155">
        <f t="shared" si="12"/>
        <v>250850</v>
      </c>
      <c r="L74" s="182">
        <v>0</v>
      </c>
      <c r="M74" s="157">
        <f t="shared" si="7"/>
        <v>250850.56</v>
      </c>
      <c r="N74" s="157">
        <f t="shared" si="6"/>
        <v>265902.56</v>
      </c>
      <c r="O74" s="140">
        <f t="shared" si="8"/>
        <v>0.56000000000000028</v>
      </c>
    </row>
    <row r="75" spans="1:18" x14ac:dyDescent="0.3">
      <c r="A75" s="57" t="s">
        <v>124</v>
      </c>
      <c r="B75" s="6"/>
      <c r="C75" s="35" t="s">
        <v>102</v>
      </c>
      <c r="D75" s="113" t="s">
        <v>259</v>
      </c>
      <c r="E75" s="142"/>
      <c r="F75" s="145">
        <v>9.4000000000000004E-3</v>
      </c>
      <c r="G75" s="146">
        <v>112800.57</v>
      </c>
      <c r="H75" s="44">
        <f>G75</f>
        <v>112800.57</v>
      </c>
      <c r="I75" s="154">
        <f t="shared" si="0"/>
        <v>0</v>
      </c>
      <c r="J75" s="155">
        <f t="shared" si="11"/>
        <v>0</v>
      </c>
      <c r="K75" s="155">
        <f t="shared" si="12"/>
        <v>136300</v>
      </c>
      <c r="L75" s="182">
        <v>0</v>
      </c>
      <c r="M75" s="157">
        <f t="shared" si="7"/>
        <v>136300.57</v>
      </c>
      <c r="N75" s="157">
        <f t="shared" si="6"/>
        <v>144479.57</v>
      </c>
      <c r="O75" s="140">
        <f t="shared" si="8"/>
        <v>0.57000000000000028</v>
      </c>
    </row>
    <row r="76" spans="1:18" x14ac:dyDescent="0.3">
      <c r="A76" s="57" t="s">
        <v>124</v>
      </c>
      <c r="B76" s="6"/>
      <c r="C76" s="35" t="s">
        <v>103</v>
      </c>
      <c r="D76" s="113" t="s">
        <v>213</v>
      </c>
      <c r="E76" s="142" t="s">
        <v>304</v>
      </c>
      <c r="F76" s="145">
        <v>8.6999999999999994E-3</v>
      </c>
      <c r="G76" s="146">
        <v>116400.58</v>
      </c>
      <c r="H76" s="44"/>
      <c r="I76" s="154">
        <f t="shared" si="0"/>
        <v>116400.58</v>
      </c>
      <c r="J76" s="155">
        <f t="shared" si="11"/>
        <v>0</v>
      </c>
      <c r="K76" s="155">
        <f t="shared" si="12"/>
        <v>126149.99999999999</v>
      </c>
      <c r="L76" s="182">
        <v>0</v>
      </c>
      <c r="M76" s="157">
        <f t="shared" si="7"/>
        <v>242551.58</v>
      </c>
      <c r="N76" s="157">
        <f t="shared" si="6"/>
        <v>257105.58</v>
      </c>
      <c r="O76" s="140">
        <f t="shared" si="8"/>
        <v>0.58000000000000029</v>
      </c>
    </row>
    <row r="77" spans="1:18" x14ac:dyDescent="0.3">
      <c r="A77" s="57" t="s">
        <v>124</v>
      </c>
      <c r="B77" s="6"/>
      <c r="C77" s="35" t="s">
        <v>104</v>
      </c>
      <c r="D77" s="113" t="s">
        <v>214</v>
      </c>
      <c r="E77" s="142"/>
      <c r="F77" s="145">
        <v>9.4999999999999998E-3</v>
      </c>
      <c r="G77" s="146">
        <v>115124.59</v>
      </c>
      <c r="H77" s="44">
        <f>G77</f>
        <v>115124.59</v>
      </c>
      <c r="I77" s="154">
        <f t="shared" si="0"/>
        <v>0</v>
      </c>
      <c r="J77" s="155">
        <f t="shared" si="11"/>
        <v>0</v>
      </c>
      <c r="K77" s="155">
        <f t="shared" si="12"/>
        <v>137750</v>
      </c>
      <c r="L77" s="182">
        <v>0</v>
      </c>
      <c r="M77" s="157">
        <f t="shared" si="7"/>
        <v>137750.59</v>
      </c>
      <c r="N77" s="157">
        <f t="shared" si="6"/>
        <v>146016.59</v>
      </c>
      <c r="O77" s="140">
        <f t="shared" si="8"/>
        <v>0.5900000000000003</v>
      </c>
    </row>
    <row r="78" spans="1:18" x14ac:dyDescent="0.3">
      <c r="A78" s="57" t="s">
        <v>125</v>
      </c>
      <c r="B78" s="6"/>
      <c r="C78" s="35" t="s">
        <v>105</v>
      </c>
      <c r="D78" s="113" t="s">
        <v>215</v>
      </c>
      <c r="E78" s="142"/>
      <c r="F78" s="145">
        <v>2.35E-2</v>
      </c>
      <c r="G78" s="146">
        <v>276480.59999999998</v>
      </c>
      <c r="H78" s="44">
        <f>G78</f>
        <v>276480.59999999998</v>
      </c>
      <c r="I78" s="154">
        <f t="shared" si="0"/>
        <v>0</v>
      </c>
      <c r="J78" s="155">
        <f t="shared" si="11"/>
        <v>0</v>
      </c>
      <c r="K78" s="155">
        <f t="shared" si="12"/>
        <v>340750</v>
      </c>
      <c r="L78" s="182">
        <v>0</v>
      </c>
      <c r="M78" s="157">
        <f t="shared" si="7"/>
        <v>340750.6</v>
      </c>
      <c r="N78" s="157">
        <f t="shared" si="6"/>
        <v>361196.6</v>
      </c>
      <c r="O78" s="140">
        <f t="shared" si="8"/>
        <v>0.60000000000000031</v>
      </c>
    </row>
    <row r="79" spans="1:18" x14ac:dyDescent="0.3">
      <c r="A79" s="57" t="s">
        <v>122</v>
      </c>
      <c r="B79" s="6"/>
      <c r="C79" s="35" t="s">
        <v>106</v>
      </c>
      <c r="D79" s="113" t="s">
        <v>216</v>
      </c>
      <c r="E79" s="142"/>
      <c r="F79" s="145">
        <v>1.7299999999999999E-2</v>
      </c>
      <c r="G79" s="146">
        <v>207600.61</v>
      </c>
      <c r="H79" s="44">
        <f>G79</f>
        <v>207600.61</v>
      </c>
      <c r="I79" s="154">
        <f t="shared" si="0"/>
        <v>0</v>
      </c>
      <c r="J79" s="155">
        <f t="shared" si="11"/>
        <v>0</v>
      </c>
      <c r="K79" s="155">
        <f t="shared" si="12"/>
        <v>250850</v>
      </c>
      <c r="L79" s="182">
        <v>0</v>
      </c>
      <c r="M79" s="157">
        <f t="shared" si="7"/>
        <v>250850.61</v>
      </c>
      <c r="N79" s="157">
        <f t="shared" si="6"/>
        <v>265902.61</v>
      </c>
      <c r="O79" s="140">
        <f t="shared" si="8"/>
        <v>0.61000000000000032</v>
      </c>
    </row>
    <row r="80" spans="1:18" x14ac:dyDescent="0.3">
      <c r="A80" s="57" t="s">
        <v>124</v>
      </c>
      <c r="B80" s="6"/>
      <c r="C80" s="35" t="s">
        <v>107</v>
      </c>
      <c r="D80" s="113" t="s">
        <v>217</v>
      </c>
      <c r="E80" s="142"/>
      <c r="F80" s="145">
        <v>9.4000000000000004E-3</v>
      </c>
      <c r="G80" s="146">
        <v>247001.62</v>
      </c>
      <c r="H80" s="44">
        <v>122201.62</v>
      </c>
      <c r="I80" s="154">
        <f t="shared" si="0"/>
        <v>124800</v>
      </c>
      <c r="J80" s="155">
        <f t="shared" si="11"/>
        <v>0</v>
      </c>
      <c r="K80" s="155">
        <f t="shared" si="12"/>
        <v>136300</v>
      </c>
      <c r="L80" s="182">
        <v>0</v>
      </c>
      <c r="M80" s="157">
        <f t="shared" si="7"/>
        <v>261100.62</v>
      </c>
      <c r="N80" s="157">
        <f t="shared" si="6"/>
        <v>276767.62</v>
      </c>
      <c r="O80" s="140">
        <f t="shared" si="8"/>
        <v>0.62000000000000033</v>
      </c>
    </row>
    <row r="81" spans="1:16" x14ac:dyDescent="0.3">
      <c r="A81" s="57" t="s">
        <v>124</v>
      </c>
      <c r="B81" s="6"/>
      <c r="C81" s="35" t="s">
        <v>108</v>
      </c>
      <c r="D81" s="113" t="s">
        <v>218</v>
      </c>
      <c r="E81" s="142" t="s">
        <v>278</v>
      </c>
      <c r="F81" s="145">
        <v>8.6999999999999994E-3</v>
      </c>
      <c r="G81" s="146">
        <v>104400.63</v>
      </c>
      <c r="H81" s="44">
        <f>G81</f>
        <v>104400.63</v>
      </c>
      <c r="I81" s="154">
        <f t="shared" si="0"/>
        <v>0</v>
      </c>
      <c r="J81" s="155">
        <f t="shared" si="11"/>
        <v>0</v>
      </c>
      <c r="K81" s="155">
        <f t="shared" si="12"/>
        <v>126149.99999999999</v>
      </c>
      <c r="L81" s="182">
        <v>0</v>
      </c>
      <c r="M81" s="157">
        <f t="shared" si="7"/>
        <v>126150.63</v>
      </c>
      <c r="N81" s="157">
        <f t="shared" si="6"/>
        <v>133720.63</v>
      </c>
      <c r="O81" s="140">
        <f t="shared" si="8"/>
        <v>0.63000000000000034</v>
      </c>
    </row>
    <row r="82" spans="1:16" x14ac:dyDescent="0.3">
      <c r="A82" s="57" t="s">
        <v>124</v>
      </c>
      <c r="B82" s="6"/>
      <c r="C82" s="35" t="s">
        <v>109</v>
      </c>
      <c r="D82" s="113" t="s">
        <v>219</v>
      </c>
      <c r="E82" s="142"/>
      <c r="F82" s="145">
        <v>9.4999999999999998E-3</v>
      </c>
      <c r="G82" s="146">
        <v>114000.64</v>
      </c>
      <c r="H82" s="44">
        <f>G82</f>
        <v>114000.64</v>
      </c>
      <c r="I82" s="154">
        <f t="shared" si="0"/>
        <v>0</v>
      </c>
      <c r="J82" s="155">
        <f t="shared" si="11"/>
        <v>0</v>
      </c>
      <c r="K82" s="155">
        <f t="shared" si="12"/>
        <v>137750</v>
      </c>
      <c r="L82" s="182">
        <v>0</v>
      </c>
      <c r="M82" s="157">
        <f t="shared" si="7"/>
        <v>137750.64000000001</v>
      </c>
      <c r="N82" s="157">
        <f t="shared" si="6"/>
        <v>146016.64000000001</v>
      </c>
      <c r="O82" s="140">
        <f t="shared" si="8"/>
        <v>0.64000000000000035</v>
      </c>
      <c r="P82" t="s">
        <v>297</v>
      </c>
    </row>
    <row r="83" spans="1:16" x14ac:dyDescent="0.3">
      <c r="A83" s="57" t="s">
        <v>125</v>
      </c>
      <c r="B83" s="6"/>
      <c r="C83" s="35" t="s">
        <v>110</v>
      </c>
      <c r="D83" s="113" t="s">
        <v>299</v>
      </c>
      <c r="E83" s="142"/>
      <c r="F83" s="145">
        <v>2.35E-2</v>
      </c>
      <c r="G83" s="146">
        <v>282000.65000000002</v>
      </c>
      <c r="H83" s="44">
        <f>G83</f>
        <v>282000.65000000002</v>
      </c>
      <c r="I83" s="154">
        <f t="shared" si="0"/>
        <v>0</v>
      </c>
      <c r="J83" s="155">
        <f t="shared" ref="J83:J114" si="16">M$8*F83</f>
        <v>0</v>
      </c>
      <c r="K83" s="155">
        <f t="shared" ref="K83:K114" si="17">M$2*F83</f>
        <v>340750</v>
      </c>
      <c r="L83" s="182">
        <v>0</v>
      </c>
      <c r="M83" s="157">
        <f t="shared" si="7"/>
        <v>340750.65</v>
      </c>
      <c r="N83" s="157">
        <f t="shared" si="6"/>
        <v>361196.65</v>
      </c>
      <c r="O83" s="140">
        <f t="shared" si="8"/>
        <v>0.65000000000000036</v>
      </c>
    </row>
    <row r="84" spans="1:16" x14ac:dyDescent="0.3">
      <c r="A84" s="57" t="s">
        <v>122</v>
      </c>
      <c r="B84" s="6"/>
      <c r="C84" s="35" t="s">
        <v>111</v>
      </c>
      <c r="D84" s="113" t="s">
        <v>220</v>
      </c>
      <c r="E84" s="142"/>
      <c r="F84" s="145">
        <v>1.7299999999999999E-2</v>
      </c>
      <c r="G84" s="146">
        <v>207600.66</v>
      </c>
      <c r="H84" s="44">
        <f t="shared" ref="H84:H92" si="18">G84</f>
        <v>207600.66</v>
      </c>
      <c r="I84" s="154">
        <f t="shared" si="0"/>
        <v>0</v>
      </c>
      <c r="J84" s="155">
        <f t="shared" si="16"/>
        <v>0</v>
      </c>
      <c r="K84" s="155">
        <f t="shared" si="17"/>
        <v>250850</v>
      </c>
      <c r="L84" s="182">
        <v>0</v>
      </c>
      <c r="M84" s="157">
        <f t="shared" ref="M84:M131" si="19">ROUND((K84+J84+I84+L84),0) + O84</f>
        <v>250850.66</v>
      </c>
      <c r="N84" s="157">
        <f t="shared" ref="N84:N131" si="20">ROUND((M84*6% + M84 ),0) + O84</f>
        <v>265902.65999999997</v>
      </c>
      <c r="O84" s="140">
        <f t="shared" si="8"/>
        <v>0.66000000000000036</v>
      </c>
    </row>
    <row r="85" spans="1:16" x14ac:dyDescent="0.3">
      <c r="A85" s="57" t="s">
        <v>124</v>
      </c>
      <c r="B85" s="6"/>
      <c r="C85" s="35" t="s">
        <v>112</v>
      </c>
      <c r="D85" s="113" t="s">
        <v>221</v>
      </c>
      <c r="E85" s="142"/>
      <c r="F85" s="145">
        <v>9.4000000000000004E-3</v>
      </c>
      <c r="G85" s="146">
        <v>112800.67</v>
      </c>
      <c r="H85" s="44">
        <f t="shared" si="18"/>
        <v>112800.67</v>
      </c>
      <c r="I85" s="154">
        <f t="shared" si="0"/>
        <v>0</v>
      </c>
      <c r="J85" s="155">
        <f t="shared" si="16"/>
        <v>0</v>
      </c>
      <c r="K85" s="155">
        <f t="shared" si="17"/>
        <v>136300</v>
      </c>
      <c r="L85" s="182">
        <v>12000</v>
      </c>
      <c r="M85" s="157">
        <f t="shared" si="19"/>
        <v>148300.67000000001</v>
      </c>
      <c r="N85" s="157">
        <f t="shared" si="20"/>
        <v>157199.67000000001</v>
      </c>
      <c r="O85" s="140">
        <f t="shared" ref="O85:O131" si="21">O84+0.01</f>
        <v>0.67000000000000037</v>
      </c>
    </row>
    <row r="86" spans="1:16" x14ac:dyDescent="0.3">
      <c r="A86" s="57" t="s">
        <v>124</v>
      </c>
      <c r="B86" s="6"/>
      <c r="C86" s="35" t="s">
        <v>113</v>
      </c>
      <c r="D86" s="113" t="s">
        <v>222</v>
      </c>
      <c r="E86" s="142"/>
      <c r="F86" s="145">
        <v>8.6999999999999994E-3</v>
      </c>
      <c r="G86" s="146">
        <v>104400.68</v>
      </c>
      <c r="H86" s="44">
        <f>G86</f>
        <v>104400.68</v>
      </c>
      <c r="I86" s="154">
        <f t="shared" si="0"/>
        <v>0</v>
      </c>
      <c r="J86" s="155">
        <f t="shared" si="16"/>
        <v>0</v>
      </c>
      <c r="K86" s="155">
        <f t="shared" si="17"/>
        <v>126149.99999999999</v>
      </c>
      <c r="L86" s="182">
        <v>0</v>
      </c>
      <c r="M86" s="157">
        <f t="shared" si="19"/>
        <v>126150.68</v>
      </c>
      <c r="N86" s="157">
        <f t="shared" si="20"/>
        <v>133720.68</v>
      </c>
      <c r="O86" s="140">
        <f t="shared" si="21"/>
        <v>0.68000000000000038</v>
      </c>
    </row>
    <row r="87" spans="1:16" x14ac:dyDescent="0.3">
      <c r="A87" s="113" t="s">
        <v>124</v>
      </c>
      <c r="B87" s="35"/>
      <c r="C87" s="35" t="s">
        <v>114</v>
      </c>
      <c r="D87" s="113" t="s">
        <v>223</v>
      </c>
      <c r="E87" s="142"/>
      <c r="F87" s="145">
        <v>9.4999999999999998E-3</v>
      </c>
      <c r="G87" s="146">
        <v>114000.69</v>
      </c>
      <c r="H87" s="44">
        <f>G87</f>
        <v>114000.69</v>
      </c>
      <c r="I87" s="154">
        <f t="shared" si="0"/>
        <v>0</v>
      </c>
      <c r="J87" s="155">
        <f t="shared" si="16"/>
        <v>0</v>
      </c>
      <c r="K87" s="155">
        <f t="shared" si="17"/>
        <v>137750</v>
      </c>
      <c r="L87" s="182">
        <v>0</v>
      </c>
      <c r="M87" s="157">
        <f t="shared" si="19"/>
        <v>137750.69</v>
      </c>
      <c r="N87" s="157">
        <f t="shared" si="20"/>
        <v>146016.69</v>
      </c>
      <c r="O87" s="140">
        <f t="shared" si="21"/>
        <v>0.69000000000000039</v>
      </c>
    </row>
    <row r="88" spans="1:16" x14ac:dyDescent="0.3">
      <c r="A88" s="113"/>
      <c r="B88" s="35"/>
      <c r="C88" s="35" t="s">
        <v>126</v>
      </c>
      <c r="D88" s="113" t="s">
        <v>187</v>
      </c>
      <c r="E88" s="113"/>
      <c r="F88" s="153">
        <v>2.3E-3</v>
      </c>
      <c r="G88" s="146">
        <v>27600.7</v>
      </c>
      <c r="H88" s="44">
        <f t="shared" si="18"/>
        <v>27600.7</v>
      </c>
      <c r="I88" s="154">
        <f t="shared" si="0"/>
        <v>0</v>
      </c>
      <c r="J88" s="155">
        <f t="shared" si="16"/>
        <v>0</v>
      </c>
      <c r="K88" s="155">
        <f t="shared" si="17"/>
        <v>33350</v>
      </c>
      <c r="L88" s="182">
        <v>0</v>
      </c>
      <c r="M88" s="157">
        <f t="shared" si="19"/>
        <v>33350.699999999997</v>
      </c>
      <c r="N88" s="157">
        <f t="shared" si="20"/>
        <v>35352.699999999997</v>
      </c>
      <c r="O88" s="140">
        <f t="shared" si="21"/>
        <v>0.7000000000000004</v>
      </c>
    </row>
    <row r="89" spans="1:16" x14ac:dyDescent="0.3">
      <c r="A89" s="113"/>
      <c r="B89" s="35"/>
      <c r="C89" s="35" t="s">
        <v>127</v>
      </c>
      <c r="D89" s="113" t="s">
        <v>121</v>
      </c>
      <c r="E89" s="113"/>
      <c r="F89" s="153">
        <v>2.3E-3</v>
      </c>
      <c r="G89" s="146">
        <v>27600.71</v>
      </c>
      <c r="H89" s="44">
        <f t="shared" si="18"/>
        <v>27600.71</v>
      </c>
      <c r="I89" s="154">
        <f t="shared" si="0"/>
        <v>0</v>
      </c>
      <c r="J89" s="155">
        <f t="shared" si="16"/>
        <v>0</v>
      </c>
      <c r="K89" s="155">
        <f t="shared" si="17"/>
        <v>33350</v>
      </c>
      <c r="L89" s="182">
        <v>0</v>
      </c>
      <c r="M89" s="157">
        <f t="shared" si="19"/>
        <v>33350.71</v>
      </c>
      <c r="N89" s="157">
        <f t="shared" si="20"/>
        <v>35352.71</v>
      </c>
      <c r="O89" s="140">
        <f t="shared" si="21"/>
        <v>0.71000000000000041</v>
      </c>
    </row>
    <row r="90" spans="1:16" x14ac:dyDescent="0.3">
      <c r="A90" s="113"/>
      <c r="B90" s="35"/>
      <c r="C90" s="35" t="s">
        <v>128</v>
      </c>
      <c r="D90" s="113" t="s">
        <v>195</v>
      </c>
      <c r="E90" s="113"/>
      <c r="F90" s="153">
        <v>2.3E-3</v>
      </c>
      <c r="G90" s="146">
        <v>27600.720000000001</v>
      </c>
      <c r="H90" s="44">
        <f>G90</f>
        <v>27600.720000000001</v>
      </c>
      <c r="I90" s="154">
        <f t="shared" si="0"/>
        <v>0</v>
      </c>
      <c r="J90" s="155">
        <f t="shared" si="16"/>
        <v>0</v>
      </c>
      <c r="K90" s="155">
        <f t="shared" si="17"/>
        <v>33350</v>
      </c>
      <c r="L90" s="182">
        <v>0</v>
      </c>
      <c r="M90" s="157">
        <f t="shared" si="19"/>
        <v>33350.720000000001</v>
      </c>
      <c r="N90" s="157">
        <f t="shared" si="20"/>
        <v>35352.720000000001</v>
      </c>
      <c r="O90" s="140">
        <f t="shared" si="21"/>
        <v>0.72000000000000042</v>
      </c>
    </row>
    <row r="91" spans="1:16" x14ac:dyDescent="0.3">
      <c r="A91" s="113"/>
      <c r="B91" s="35"/>
      <c r="C91" s="35" t="s">
        <v>129</v>
      </c>
      <c r="D91" s="113" t="s">
        <v>206</v>
      </c>
      <c r="E91" s="113"/>
      <c r="F91" s="153">
        <v>2.3E-3</v>
      </c>
      <c r="G91" s="146">
        <v>27600.73</v>
      </c>
      <c r="H91" s="44">
        <f t="shared" si="18"/>
        <v>27600.73</v>
      </c>
      <c r="I91" s="154">
        <f t="shared" si="0"/>
        <v>0</v>
      </c>
      <c r="J91" s="155">
        <f t="shared" si="16"/>
        <v>0</v>
      </c>
      <c r="K91" s="155">
        <f t="shared" si="17"/>
        <v>33350</v>
      </c>
      <c r="L91" s="182">
        <v>0</v>
      </c>
      <c r="M91" s="157">
        <f t="shared" si="19"/>
        <v>33350.730000000003</v>
      </c>
      <c r="N91" s="157">
        <f t="shared" si="20"/>
        <v>35352.730000000003</v>
      </c>
      <c r="O91" s="140">
        <f t="shared" si="21"/>
        <v>0.73000000000000043</v>
      </c>
    </row>
    <row r="92" spans="1:16" x14ac:dyDescent="0.3">
      <c r="A92" s="113"/>
      <c r="B92" s="35"/>
      <c r="C92" s="216" t="s">
        <v>130</v>
      </c>
      <c r="D92" s="217" t="s">
        <v>201</v>
      </c>
      <c r="E92" s="217"/>
      <c r="F92" s="218">
        <v>2.3E-3</v>
      </c>
      <c r="G92" s="44">
        <v>27600.74</v>
      </c>
      <c r="H92" s="44">
        <f t="shared" si="18"/>
        <v>27600.74</v>
      </c>
      <c r="I92" s="219">
        <f t="shared" si="0"/>
        <v>0</v>
      </c>
      <c r="J92" s="220">
        <f t="shared" si="16"/>
        <v>0</v>
      </c>
      <c r="K92" s="220">
        <f t="shared" si="17"/>
        <v>33350</v>
      </c>
      <c r="L92" s="221">
        <v>0</v>
      </c>
      <c r="M92" s="222">
        <f t="shared" si="19"/>
        <v>33350.74</v>
      </c>
      <c r="N92" s="222">
        <f t="shared" si="20"/>
        <v>35352.74</v>
      </c>
      <c r="O92" s="140">
        <f t="shared" si="21"/>
        <v>0.74000000000000044</v>
      </c>
      <c r="P92" t="s">
        <v>296</v>
      </c>
    </row>
    <row r="93" spans="1:16" x14ac:dyDescent="0.3">
      <c r="A93" s="113"/>
      <c r="B93" s="35"/>
      <c r="C93" s="35" t="s">
        <v>131</v>
      </c>
      <c r="D93" s="113" t="s">
        <v>226</v>
      </c>
      <c r="E93" s="113"/>
      <c r="F93" s="153">
        <v>2.3E-3</v>
      </c>
      <c r="G93" s="44">
        <v>27600.75</v>
      </c>
      <c r="H93" s="44">
        <f>G93</f>
        <v>27600.75</v>
      </c>
      <c r="I93" s="154">
        <f t="shared" si="0"/>
        <v>0</v>
      </c>
      <c r="J93" s="155">
        <f t="shared" si="16"/>
        <v>0</v>
      </c>
      <c r="K93" s="155">
        <f t="shared" si="17"/>
        <v>33350</v>
      </c>
      <c r="L93" s="182">
        <v>0</v>
      </c>
      <c r="M93" s="157">
        <f t="shared" si="19"/>
        <v>33350.75</v>
      </c>
      <c r="N93" s="157">
        <f t="shared" si="20"/>
        <v>35352.75</v>
      </c>
      <c r="O93" s="140">
        <f t="shared" si="21"/>
        <v>0.75000000000000044</v>
      </c>
    </row>
    <row r="94" spans="1:16" x14ac:dyDescent="0.3">
      <c r="A94" s="113"/>
      <c r="B94" s="35"/>
      <c r="C94" s="35" t="s">
        <v>132</v>
      </c>
      <c r="D94" s="113" t="s">
        <v>194</v>
      </c>
      <c r="E94" s="113"/>
      <c r="F94" s="153">
        <v>2.3E-3</v>
      </c>
      <c r="G94" s="146">
        <v>27600.76</v>
      </c>
      <c r="H94" s="44">
        <f>G94</f>
        <v>27600.76</v>
      </c>
      <c r="I94" s="154">
        <f t="shared" si="0"/>
        <v>0</v>
      </c>
      <c r="J94" s="155">
        <f t="shared" si="16"/>
        <v>0</v>
      </c>
      <c r="K94" s="155">
        <f t="shared" si="17"/>
        <v>33350</v>
      </c>
      <c r="L94" s="182">
        <v>0</v>
      </c>
      <c r="M94" s="157">
        <f t="shared" si="19"/>
        <v>33350.76</v>
      </c>
      <c r="N94" s="157">
        <f t="shared" si="20"/>
        <v>35352.76</v>
      </c>
      <c r="O94" s="140">
        <f t="shared" si="21"/>
        <v>0.76000000000000045</v>
      </c>
    </row>
    <row r="95" spans="1:16" x14ac:dyDescent="0.3">
      <c r="A95" s="113"/>
      <c r="B95" s="35"/>
      <c r="C95" s="35" t="s">
        <v>133</v>
      </c>
      <c r="D95" s="113" t="s">
        <v>194</v>
      </c>
      <c r="E95" s="113"/>
      <c r="F95" s="153">
        <v>2.3E-3</v>
      </c>
      <c r="G95" s="146">
        <v>27600.77</v>
      </c>
      <c r="H95" s="44">
        <f>G95</f>
        <v>27600.77</v>
      </c>
      <c r="I95" s="154">
        <f t="shared" si="0"/>
        <v>0</v>
      </c>
      <c r="J95" s="155">
        <f t="shared" si="16"/>
        <v>0</v>
      </c>
      <c r="K95" s="155">
        <f t="shared" si="17"/>
        <v>33350</v>
      </c>
      <c r="L95" s="182">
        <v>0</v>
      </c>
      <c r="M95" s="157">
        <f t="shared" si="19"/>
        <v>33350.769999999997</v>
      </c>
      <c r="N95" s="157">
        <f t="shared" si="20"/>
        <v>35352.769999999997</v>
      </c>
      <c r="O95" s="140">
        <f t="shared" si="21"/>
        <v>0.77000000000000046</v>
      </c>
    </row>
    <row r="96" spans="1:16" x14ac:dyDescent="0.3">
      <c r="A96" s="113"/>
      <c r="B96" s="35"/>
      <c r="C96" s="35" t="s">
        <v>134</v>
      </c>
      <c r="D96" s="113" t="s">
        <v>299</v>
      </c>
      <c r="E96" s="113"/>
      <c r="F96" s="153">
        <v>2.3E-3</v>
      </c>
      <c r="G96" s="146">
        <v>26219.78</v>
      </c>
      <c r="H96" s="44">
        <f>G96</f>
        <v>26219.78</v>
      </c>
      <c r="I96" s="154">
        <f t="shared" si="0"/>
        <v>0</v>
      </c>
      <c r="J96" s="155">
        <f t="shared" si="16"/>
        <v>0</v>
      </c>
      <c r="K96" s="155">
        <f t="shared" si="17"/>
        <v>33350</v>
      </c>
      <c r="L96" s="182">
        <v>0</v>
      </c>
      <c r="M96" s="157">
        <f t="shared" si="19"/>
        <v>33350.78</v>
      </c>
      <c r="N96" s="157">
        <f t="shared" si="20"/>
        <v>35352.78</v>
      </c>
      <c r="O96" s="140">
        <f t="shared" si="21"/>
        <v>0.78000000000000047</v>
      </c>
    </row>
    <row r="97" spans="1:15" x14ac:dyDescent="0.3">
      <c r="A97" s="113"/>
      <c r="B97" s="35"/>
      <c r="C97" s="35" t="s">
        <v>135</v>
      </c>
      <c r="D97" s="113" t="s">
        <v>204</v>
      </c>
      <c r="E97" s="113"/>
      <c r="F97" s="153">
        <v>2.3E-3</v>
      </c>
      <c r="G97" s="146">
        <v>108432.79</v>
      </c>
      <c r="H97" s="44"/>
      <c r="I97" s="154">
        <f t="shared" si="0"/>
        <v>108432.79</v>
      </c>
      <c r="J97" s="155">
        <f t="shared" si="16"/>
        <v>0</v>
      </c>
      <c r="K97" s="155">
        <f t="shared" si="17"/>
        <v>33350</v>
      </c>
      <c r="L97" s="182">
        <v>0</v>
      </c>
      <c r="M97" s="157">
        <f t="shared" si="19"/>
        <v>141783.79</v>
      </c>
      <c r="N97" s="157">
        <f t="shared" si="20"/>
        <v>150291.79</v>
      </c>
      <c r="O97" s="140">
        <f t="shared" si="21"/>
        <v>0.79000000000000048</v>
      </c>
    </row>
    <row r="98" spans="1:15" x14ac:dyDescent="0.3">
      <c r="A98" s="113"/>
      <c r="B98" s="35"/>
      <c r="C98" s="35" t="s">
        <v>136</v>
      </c>
      <c r="D98" s="113" t="s">
        <v>187</v>
      </c>
      <c r="E98" s="113"/>
      <c r="F98" s="153">
        <v>2.3E-3</v>
      </c>
      <c r="G98" s="146">
        <v>27600.799999999999</v>
      </c>
      <c r="H98" s="44">
        <f t="shared" ref="H98:H103" si="22">G98</f>
        <v>27600.799999999999</v>
      </c>
      <c r="I98" s="154">
        <f t="shared" si="0"/>
        <v>0</v>
      </c>
      <c r="J98" s="155">
        <f t="shared" si="16"/>
        <v>0</v>
      </c>
      <c r="K98" s="155">
        <f t="shared" si="17"/>
        <v>33350</v>
      </c>
      <c r="L98" s="182">
        <v>0</v>
      </c>
      <c r="M98" s="157">
        <f t="shared" si="19"/>
        <v>33350.800000000003</v>
      </c>
      <c r="N98" s="157">
        <f t="shared" si="20"/>
        <v>35352.800000000003</v>
      </c>
      <c r="O98" s="140">
        <f t="shared" si="21"/>
        <v>0.80000000000000049</v>
      </c>
    </row>
    <row r="99" spans="1:15" x14ac:dyDescent="0.3">
      <c r="A99" s="113"/>
      <c r="B99" s="35"/>
      <c r="C99" s="35" t="s">
        <v>137</v>
      </c>
      <c r="D99" s="113" t="s">
        <v>183</v>
      </c>
      <c r="E99" s="113"/>
      <c r="F99" s="93">
        <v>2.3E-3</v>
      </c>
      <c r="G99" s="141">
        <v>27600.81</v>
      </c>
      <c r="H99" s="89"/>
      <c r="I99" s="56">
        <f t="shared" si="0"/>
        <v>27600.81</v>
      </c>
      <c r="J99" s="26">
        <f t="shared" si="16"/>
        <v>0</v>
      </c>
      <c r="K99" s="26">
        <f t="shared" si="17"/>
        <v>33350</v>
      </c>
      <c r="L99" s="182">
        <v>0</v>
      </c>
      <c r="M99" s="8">
        <f t="shared" si="19"/>
        <v>60951.81</v>
      </c>
      <c r="N99" s="8">
        <f t="shared" si="20"/>
        <v>64609.81</v>
      </c>
      <c r="O99" s="140">
        <f t="shared" si="21"/>
        <v>0.8100000000000005</v>
      </c>
    </row>
    <row r="100" spans="1:15" x14ac:dyDescent="0.3">
      <c r="A100" s="113"/>
      <c r="B100" s="35"/>
      <c r="C100" s="35" t="s">
        <v>138</v>
      </c>
      <c r="D100" s="113" t="s">
        <v>314</v>
      </c>
      <c r="E100" s="113"/>
      <c r="F100" s="93">
        <v>2.3E-3</v>
      </c>
      <c r="G100" s="141">
        <v>27600.82</v>
      </c>
      <c r="H100" s="89">
        <f t="shared" si="22"/>
        <v>27600.82</v>
      </c>
      <c r="I100" s="56">
        <f t="shared" si="0"/>
        <v>0</v>
      </c>
      <c r="J100" s="26">
        <f t="shared" si="16"/>
        <v>0</v>
      </c>
      <c r="K100" s="26">
        <f t="shared" si="17"/>
        <v>33350</v>
      </c>
      <c r="L100" s="182">
        <v>0</v>
      </c>
      <c r="M100" s="8">
        <f t="shared" si="19"/>
        <v>33350.82</v>
      </c>
      <c r="N100" s="8">
        <f t="shared" si="20"/>
        <v>35352.82</v>
      </c>
      <c r="O100" s="140">
        <f t="shared" si="21"/>
        <v>0.82000000000000051</v>
      </c>
    </row>
    <row r="101" spans="1:15" x14ac:dyDescent="0.3">
      <c r="A101" s="113"/>
      <c r="B101" s="35"/>
      <c r="C101" s="35" t="s">
        <v>139</v>
      </c>
      <c r="D101" s="113" t="s">
        <v>227</v>
      </c>
      <c r="E101" s="113"/>
      <c r="F101" s="93">
        <v>2.3E-3</v>
      </c>
      <c r="G101" s="141">
        <v>27600.83</v>
      </c>
      <c r="H101" s="89">
        <f t="shared" si="22"/>
        <v>27600.83</v>
      </c>
      <c r="I101" s="56">
        <f t="shared" si="0"/>
        <v>0</v>
      </c>
      <c r="J101" s="26">
        <f t="shared" si="16"/>
        <v>0</v>
      </c>
      <c r="K101" s="26">
        <f t="shared" si="17"/>
        <v>33350</v>
      </c>
      <c r="L101" s="182">
        <v>0</v>
      </c>
      <c r="M101" s="8">
        <f t="shared" si="19"/>
        <v>33350.83</v>
      </c>
      <c r="N101" s="8">
        <f t="shared" si="20"/>
        <v>35352.83</v>
      </c>
      <c r="O101" s="140">
        <f t="shared" si="21"/>
        <v>0.83000000000000052</v>
      </c>
    </row>
    <row r="102" spans="1:15" ht="15.75" customHeight="1" x14ac:dyDescent="0.3">
      <c r="A102" s="113"/>
      <c r="B102" s="35"/>
      <c r="C102" s="35" t="s">
        <v>140</v>
      </c>
      <c r="D102" s="113" t="s">
        <v>216</v>
      </c>
      <c r="E102" s="113"/>
      <c r="F102" s="153">
        <v>2.3E-3</v>
      </c>
      <c r="G102" s="146">
        <v>27600.84</v>
      </c>
      <c r="H102" s="44">
        <f t="shared" si="22"/>
        <v>27600.84</v>
      </c>
      <c r="I102" s="154">
        <f t="shared" si="0"/>
        <v>0</v>
      </c>
      <c r="J102" s="155">
        <f t="shared" si="16"/>
        <v>0</v>
      </c>
      <c r="K102" s="155">
        <f t="shared" si="17"/>
        <v>33350</v>
      </c>
      <c r="L102" s="182">
        <v>0</v>
      </c>
      <c r="M102" s="157">
        <f t="shared" si="19"/>
        <v>33350.839999999997</v>
      </c>
      <c r="N102" s="157">
        <f t="shared" si="20"/>
        <v>35352.839999999997</v>
      </c>
      <c r="O102" s="140">
        <f t="shared" si="21"/>
        <v>0.84000000000000052</v>
      </c>
    </row>
    <row r="103" spans="1:15" ht="15.75" customHeight="1" x14ac:dyDescent="0.3">
      <c r="A103" s="113"/>
      <c r="B103" s="35"/>
      <c r="C103" s="35" t="s">
        <v>141</v>
      </c>
      <c r="D103" s="113" t="s">
        <v>224</v>
      </c>
      <c r="E103" s="113"/>
      <c r="F103" s="153">
        <v>2.3E-3</v>
      </c>
      <c r="G103" s="146">
        <v>27600.85</v>
      </c>
      <c r="H103" s="44">
        <f t="shared" si="22"/>
        <v>27600.85</v>
      </c>
      <c r="I103" s="154">
        <f t="shared" si="0"/>
        <v>0</v>
      </c>
      <c r="J103" s="155">
        <f t="shared" si="16"/>
        <v>0</v>
      </c>
      <c r="K103" s="155">
        <f t="shared" si="17"/>
        <v>33350</v>
      </c>
      <c r="L103" s="182">
        <v>0</v>
      </c>
      <c r="M103" s="157">
        <f t="shared" si="19"/>
        <v>33350.85</v>
      </c>
      <c r="N103" s="157">
        <f t="shared" si="20"/>
        <v>35352.85</v>
      </c>
      <c r="O103" s="140">
        <f t="shared" si="21"/>
        <v>0.85000000000000053</v>
      </c>
    </row>
    <row r="104" spans="1:15" ht="15.75" customHeight="1" x14ac:dyDescent="0.3">
      <c r="A104" s="113"/>
      <c r="B104" s="35"/>
      <c r="C104" s="35" t="s">
        <v>142</v>
      </c>
      <c r="D104" s="113" t="s">
        <v>208</v>
      </c>
      <c r="E104" s="113"/>
      <c r="F104" s="93">
        <v>2.3E-3</v>
      </c>
      <c r="G104" s="141">
        <v>27600.86</v>
      </c>
      <c r="H104" s="89"/>
      <c r="I104" s="56">
        <f t="shared" si="0"/>
        <v>27600.86</v>
      </c>
      <c r="J104" s="26">
        <f t="shared" si="16"/>
        <v>0</v>
      </c>
      <c r="K104" s="26">
        <f t="shared" si="17"/>
        <v>33350</v>
      </c>
      <c r="L104" s="182">
        <v>0</v>
      </c>
      <c r="M104" s="8">
        <f t="shared" si="19"/>
        <v>60951.86</v>
      </c>
      <c r="N104" s="8">
        <f t="shared" si="20"/>
        <v>64609.86</v>
      </c>
      <c r="O104" s="140">
        <f t="shared" si="21"/>
        <v>0.86000000000000054</v>
      </c>
    </row>
    <row r="105" spans="1:15" ht="15.75" customHeight="1" x14ac:dyDescent="0.3">
      <c r="A105" s="113"/>
      <c r="B105" s="35"/>
      <c r="C105" s="35" t="s">
        <v>143</v>
      </c>
      <c r="D105" s="113" t="s">
        <v>121</v>
      </c>
      <c r="E105" s="113"/>
      <c r="F105" s="93">
        <v>2.3E-3</v>
      </c>
      <c r="G105" s="141">
        <v>27600.87</v>
      </c>
      <c r="H105" s="89">
        <f t="shared" ref="H105:H111" si="23">G105</f>
        <v>27600.87</v>
      </c>
      <c r="I105" s="56">
        <f t="shared" si="0"/>
        <v>0</v>
      </c>
      <c r="J105" s="26">
        <f t="shared" si="16"/>
        <v>0</v>
      </c>
      <c r="K105" s="26">
        <f t="shared" si="17"/>
        <v>33350</v>
      </c>
      <c r="L105" s="182">
        <v>0</v>
      </c>
      <c r="M105" s="8">
        <f t="shared" si="19"/>
        <v>33350.870000000003</v>
      </c>
      <c r="N105" s="8">
        <f t="shared" si="20"/>
        <v>35352.870000000003</v>
      </c>
      <c r="O105" s="140">
        <f t="shared" si="21"/>
        <v>0.87000000000000055</v>
      </c>
    </row>
    <row r="106" spans="1:15" ht="15.75" customHeight="1" x14ac:dyDescent="0.3">
      <c r="A106" s="113"/>
      <c r="B106" s="35"/>
      <c r="C106" s="35" t="s">
        <v>144</v>
      </c>
      <c r="D106" s="113" t="s">
        <v>228</v>
      </c>
      <c r="E106" s="113"/>
      <c r="F106" s="93">
        <v>2.3E-3</v>
      </c>
      <c r="G106" s="141">
        <v>27873.88</v>
      </c>
      <c r="H106" s="89">
        <f>G106</f>
        <v>27873.88</v>
      </c>
      <c r="I106" s="56">
        <f t="shared" si="0"/>
        <v>0</v>
      </c>
      <c r="J106" s="26">
        <f t="shared" si="16"/>
        <v>0</v>
      </c>
      <c r="K106" s="26">
        <f t="shared" si="17"/>
        <v>33350</v>
      </c>
      <c r="L106" s="182">
        <v>0</v>
      </c>
      <c r="M106" s="8">
        <f t="shared" si="19"/>
        <v>33350.879999999997</v>
      </c>
      <c r="N106" s="8">
        <f t="shared" si="20"/>
        <v>35352.879999999997</v>
      </c>
      <c r="O106" s="140">
        <f t="shared" si="21"/>
        <v>0.88000000000000056</v>
      </c>
    </row>
    <row r="107" spans="1:15" ht="15.75" customHeight="1" x14ac:dyDescent="0.3">
      <c r="A107" s="113"/>
      <c r="B107" s="35"/>
      <c r="C107" s="35" t="s">
        <v>145</v>
      </c>
      <c r="D107" s="113" t="s">
        <v>205</v>
      </c>
      <c r="E107" s="113"/>
      <c r="F107" s="93">
        <v>2.3E-3</v>
      </c>
      <c r="G107" s="141">
        <v>27600.89</v>
      </c>
      <c r="H107" s="89">
        <v>23000.89</v>
      </c>
      <c r="I107" s="56">
        <f t="shared" si="0"/>
        <v>4600</v>
      </c>
      <c r="J107" s="26">
        <f t="shared" si="16"/>
        <v>0</v>
      </c>
      <c r="K107" s="26">
        <f t="shared" si="17"/>
        <v>33350</v>
      </c>
      <c r="L107" s="182">
        <v>0</v>
      </c>
      <c r="M107" s="8">
        <f t="shared" si="19"/>
        <v>37950.89</v>
      </c>
      <c r="N107" s="8">
        <f t="shared" si="20"/>
        <v>40228.89</v>
      </c>
      <c r="O107" s="140">
        <f t="shared" si="21"/>
        <v>0.89000000000000057</v>
      </c>
    </row>
    <row r="108" spans="1:15" ht="15.75" customHeight="1" x14ac:dyDescent="0.3">
      <c r="A108" s="113"/>
      <c r="B108" s="35"/>
      <c r="C108" s="35" t="s">
        <v>146</v>
      </c>
      <c r="D108" s="113" t="s">
        <v>211</v>
      </c>
      <c r="E108" s="113"/>
      <c r="F108" s="93">
        <v>2.3E-3</v>
      </c>
      <c r="G108" s="141">
        <v>27600.9</v>
      </c>
      <c r="H108" s="89">
        <f t="shared" si="23"/>
        <v>27600.9</v>
      </c>
      <c r="I108" s="56">
        <f t="shared" si="0"/>
        <v>0</v>
      </c>
      <c r="J108" s="26">
        <f t="shared" si="16"/>
        <v>0</v>
      </c>
      <c r="K108" s="26">
        <f t="shared" si="17"/>
        <v>33350</v>
      </c>
      <c r="L108" s="182">
        <v>0</v>
      </c>
      <c r="M108" s="8">
        <f t="shared" si="19"/>
        <v>33350.9</v>
      </c>
      <c r="N108" s="8">
        <f t="shared" si="20"/>
        <v>35352.9</v>
      </c>
      <c r="O108" s="140">
        <f t="shared" si="21"/>
        <v>0.90000000000000058</v>
      </c>
    </row>
    <row r="109" spans="1:15" ht="15.75" customHeight="1" x14ac:dyDescent="0.3">
      <c r="A109" s="113"/>
      <c r="B109" s="35"/>
      <c r="C109" s="35" t="s">
        <v>147</v>
      </c>
      <c r="D109" s="113" t="s">
        <v>181</v>
      </c>
      <c r="E109" s="113"/>
      <c r="F109" s="93">
        <v>2.3E-3</v>
      </c>
      <c r="G109" s="141">
        <v>27600.91</v>
      </c>
      <c r="H109" s="89">
        <f t="shared" si="23"/>
        <v>27600.91</v>
      </c>
      <c r="I109" s="56">
        <f t="shared" si="0"/>
        <v>0</v>
      </c>
      <c r="J109" s="26">
        <f t="shared" si="16"/>
        <v>0</v>
      </c>
      <c r="K109" s="26">
        <f t="shared" si="17"/>
        <v>33350</v>
      </c>
      <c r="L109" s="182">
        <v>0</v>
      </c>
      <c r="M109" s="8">
        <f t="shared" si="19"/>
        <v>33350.910000000003</v>
      </c>
      <c r="N109" s="8">
        <f t="shared" si="20"/>
        <v>35352.910000000003</v>
      </c>
      <c r="O109" s="140">
        <f t="shared" si="21"/>
        <v>0.91000000000000059</v>
      </c>
    </row>
    <row r="110" spans="1:15" ht="15.75" customHeight="1" x14ac:dyDescent="0.3">
      <c r="A110" s="113"/>
      <c r="B110" s="35"/>
      <c r="C110" s="35" t="s">
        <v>148</v>
      </c>
      <c r="D110" s="113" t="s">
        <v>210</v>
      </c>
      <c r="E110" s="113"/>
      <c r="F110" s="153">
        <v>2.3E-3</v>
      </c>
      <c r="G110" s="146">
        <v>29257.919999999998</v>
      </c>
      <c r="H110" s="44">
        <f t="shared" si="23"/>
        <v>29257.919999999998</v>
      </c>
      <c r="I110" s="154">
        <f t="shared" si="0"/>
        <v>0</v>
      </c>
      <c r="J110" s="155">
        <f t="shared" si="16"/>
        <v>0</v>
      </c>
      <c r="K110" s="155">
        <f t="shared" si="17"/>
        <v>33350</v>
      </c>
      <c r="L110" s="182">
        <v>0</v>
      </c>
      <c r="M110" s="157">
        <f t="shared" si="19"/>
        <v>33350.92</v>
      </c>
      <c r="N110" s="157">
        <f t="shared" si="20"/>
        <v>35352.92</v>
      </c>
      <c r="O110" s="140">
        <f t="shared" si="21"/>
        <v>0.9200000000000006</v>
      </c>
    </row>
    <row r="111" spans="1:15" ht="15.75" customHeight="1" x14ac:dyDescent="0.3">
      <c r="A111" s="113"/>
      <c r="B111" s="35"/>
      <c r="C111" s="35" t="s">
        <v>149</v>
      </c>
      <c r="D111" s="113" t="s">
        <v>196</v>
      </c>
      <c r="E111" s="113"/>
      <c r="F111" s="153">
        <v>2.3E-3</v>
      </c>
      <c r="G111" s="146">
        <v>27600.93</v>
      </c>
      <c r="H111" s="44">
        <f t="shared" si="23"/>
        <v>27600.93</v>
      </c>
      <c r="I111" s="154">
        <f t="shared" si="0"/>
        <v>0</v>
      </c>
      <c r="J111" s="155">
        <f t="shared" si="16"/>
        <v>0</v>
      </c>
      <c r="K111" s="155">
        <f t="shared" si="17"/>
        <v>33350</v>
      </c>
      <c r="L111" s="182">
        <v>0</v>
      </c>
      <c r="M111" s="157">
        <f t="shared" si="19"/>
        <v>33350.93</v>
      </c>
      <c r="N111" s="157">
        <f t="shared" si="20"/>
        <v>35352.93</v>
      </c>
      <c r="O111" s="140">
        <f t="shared" si="21"/>
        <v>0.9300000000000006</v>
      </c>
    </row>
    <row r="112" spans="1:15" x14ac:dyDescent="0.3">
      <c r="A112" s="113"/>
      <c r="B112" s="35"/>
      <c r="C112" s="35" t="s">
        <v>150</v>
      </c>
      <c r="D112" s="113" t="s">
        <v>179</v>
      </c>
      <c r="E112" s="113"/>
      <c r="F112" s="153">
        <v>2.3E-3</v>
      </c>
      <c r="G112" s="146">
        <v>27600.94</v>
      </c>
      <c r="H112" s="44">
        <f>G112</f>
        <v>27600.94</v>
      </c>
      <c r="I112" s="154">
        <f t="shared" si="0"/>
        <v>0</v>
      </c>
      <c r="J112" s="155">
        <f t="shared" si="16"/>
        <v>0</v>
      </c>
      <c r="K112" s="155">
        <f t="shared" si="17"/>
        <v>33350</v>
      </c>
      <c r="L112" s="182">
        <v>0</v>
      </c>
      <c r="M112" s="157">
        <f t="shared" si="19"/>
        <v>33350.94</v>
      </c>
      <c r="N112" s="157">
        <f t="shared" si="20"/>
        <v>35352.94</v>
      </c>
      <c r="O112" s="140">
        <f t="shared" si="21"/>
        <v>0.94000000000000061</v>
      </c>
    </row>
    <row r="113" spans="1:16" x14ac:dyDescent="0.3">
      <c r="A113" s="113"/>
      <c r="B113" s="35"/>
      <c r="C113" s="35" t="s">
        <v>151</v>
      </c>
      <c r="D113" s="113" t="s">
        <v>202</v>
      </c>
      <c r="E113" s="113"/>
      <c r="F113" s="153">
        <v>2.3E-3</v>
      </c>
      <c r="G113" s="146">
        <v>27600.95</v>
      </c>
      <c r="H113" s="44">
        <f>G113</f>
        <v>27600.95</v>
      </c>
      <c r="I113" s="154">
        <f t="shared" si="0"/>
        <v>0</v>
      </c>
      <c r="J113" s="155">
        <f t="shared" si="16"/>
        <v>0</v>
      </c>
      <c r="K113" s="155">
        <f t="shared" si="17"/>
        <v>33350</v>
      </c>
      <c r="L113" s="182">
        <v>0</v>
      </c>
      <c r="M113" s="157">
        <f t="shared" si="19"/>
        <v>33350.949999999997</v>
      </c>
      <c r="N113" s="157">
        <f t="shared" si="20"/>
        <v>35352.949999999997</v>
      </c>
      <c r="O113" s="140">
        <f t="shared" si="21"/>
        <v>0.95000000000000062</v>
      </c>
    </row>
    <row r="114" spans="1:16" x14ac:dyDescent="0.3">
      <c r="A114" s="113"/>
      <c r="B114" s="35"/>
      <c r="C114" s="35" t="s">
        <v>152</v>
      </c>
      <c r="D114" s="113" t="s">
        <v>223</v>
      </c>
      <c r="E114" s="113"/>
      <c r="F114" s="153">
        <v>2.3E-3</v>
      </c>
      <c r="G114" s="146">
        <v>27600.959999999999</v>
      </c>
      <c r="H114" s="44">
        <f>G114</f>
        <v>27600.959999999999</v>
      </c>
      <c r="I114" s="154">
        <f t="shared" si="0"/>
        <v>0</v>
      </c>
      <c r="J114" s="155">
        <f t="shared" si="16"/>
        <v>0</v>
      </c>
      <c r="K114" s="155">
        <f t="shared" si="17"/>
        <v>33350</v>
      </c>
      <c r="L114" s="182">
        <v>0</v>
      </c>
      <c r="M114" s="157">
        <f t="shared" si="19"/>
        <v>33350.959999999999</v>
      </c>
      <c r="N114" s="157">
        <f t="shared" si="20"/>
        <v>35352.959999999999</v>
      </c>
      <c r="O114" s="140">
        <f t="shared" si="21"/>
        <v>0.96000000000000063</v>
      </c>
    </row>
    <row r="115" spans="1:16" x14ac:dyDescent="0.3">
      <c r="A115" s="113"/>
      <c r="B115" s="35"/>
      <c r="C115" s="35" t="s">
        <v>153</v>
      </c>
      <c r="D115" s="113" t="s">
        <v>190</v>
      </c>
      <c r="E115" s="113"/>
      <c r="F115" s="153">
        <v>2.3E-3</v>
      </c>
      <c r="G115" s="146">
        <v>27600.97</v>
      </c>
      <c r="H115" s="44">
        <f>G115</f>
        <v>27600.97</v>
      </c>
      <c r="I115" s="154">
        <f t="shared" si="0"/>
        <v>0</v>
      </c>
      <c r="J115" s="155">
        <f t="shared" ref="J115:J131" si="24">M$8*F115</f>
        <v>0</v>
      </c>
      <c r="K115" s="155">
        <f t="shared" ref="K115:K131" si="25">M$2*F115</f>
        <v>33350</v>
      </c>
      <c r="L115" s="182">
        <v>0</v>
      </c>
      <c r="M115" s="157">
        <f t="shared" si="19"/>
        <v>33350.97</v>
      </c>
      <c r="N115" s="157">
        <f t="shared" si="20"/>
        <v>35352.97</v>
      </c>
      <c r="O115" s="140">
        <f t="shared" si="21"/>
        <v>0.97000000000000064</v>
      </c>
    </row>
    <row r="116" spans="1:16" x14ac:dyDescent="0.3">
      <c r="A116" s="113"/>
      <c r="B116" s="35"/>
      <c r="C116" s="226" t="s">
        <v>154</v>
      </c>
      <c r="D116" s="227" t="s">
        <v>184</v>
      </c>
      <c r="E116" s="227" t="s">
        <v>340</v>
      </c>
      <c r="F116" s="228">
        <v>2.3E-3</v>
      </c>
      <c r="G116" s="229">
        <v>53224.98</v>
      </c>
      <c r="H116" s="230">
        <v>27600</v>
      </c>
      <c r="I116" s="231">
        <f t="shared" si="0"/>
        <v>25624.980000000003</v>
      </c>
      <c r="J116" s="232">
        <f t="shared" si="24"/>
        <v>0</v>
      </c>
      <c r="K116" s="232">
        <f t="shared" si="25"/>
        <v>33350</v>
      </c>
      <c r="L116" s="233">
        <v>0</v>
      </c>
      <c r="M116" s="234">
        <f t="shared" si="19"/>
        <v>58975.98</v>
      </c>
      <c r="N116" s="234">
        <f t="shared" si="20"/>
        <v>62515.98</v>
      </c>
      <c r="O116" s="140">
        <f t="shared" si="21"/>
        <v>0.98000000000000065</v>
      </c>
    </row>
    <row r="117" spans="1:16" x14ac:dyDescent="0.3">
      <c r="A117" s="113"/>
      <c r="B117" s="35"/>
      <c r="C117" s="226" t="s">
        <v>155</v>
      </c>
      <c r="D117" s="227" t="s">
        <v>184</v>
      </c>
      <c r="E117" s="227"/>
      <c r="F117" s="228">
        <v>2.3E-3</v>
      </c>
      <c r="G117" s="229">
        <v>71302.990000000005</v>
      </c>
      <c r="H117" s="230"/>
      <c r="I117" s="231">
        <f t="shared" si="0"/>
        <v>71302.990000000005</v>
      </c>
      <c r="J117" s="232">
        <f t="shared" si="24"/>
        <v>0</v>
      </c>
      <c r="K117" s="232">
        <f t="shared" si="25"/>
        <v>33350</v>
      </c>
      <c r="L117" s="233">
        <v>0</v>
      </c>
      <c r="M117" s="234">
        <f t="shared" si="19"/>
        <v>104653.99</v>
      </c>
      <c r="N117" s="234">
        <f t="shared" si="20"/>
        <v>110933.99</v>
      </c>
      <c r="O117" s="140">
        <f t="shared" si="21"/>
        <v>0.99000000000000066</v>
      </c>
    </row>
    <row r="118" spans="1:16" x14ac:dyDescent="0.3">
      <c r="A118" s="113"/>
      <c r="B118" s="35"/>
      <c r="C118" s="184" t="s">
        <v>156</v>
      </c>
      <c r="D118" s="185" t="s">
        <v>185</v>
      </c>
      <c r="E118" s="185"/>
      <c r="F118" s="193">
        <v>2.3E-3</v>
      </c>
      <c r="G118" s="188">
        <v>27601</v>
      </c>
      <c r="H118" s="224">
        <f t="shared" ref="H118" si="26">G118</f>
        <v>27601</v>
      </c>
      <c r="I118" s="189">
        <f t="shared" si="0"/>
        <v>0</v>
      </c>
      <c r="J118" s="190">
        <f t="shared" si="24"/>
        <v>0</v>
      </c>
      <c r="K118" s="190">
        <f t="shared" si="25"/>
        <v>33350</v>
      </c>
      <c r="L118" s="191">
        <v>0</v>
      </c>
      <c r="M118" s="192">
        <f t="shared" si="19"/>
        <v>33351</v>
      </c>
      <c r="N118" s="192">
        <f t="shared" si="20"/>
        <v>35353</v>
      </c>
      <c r="O118" s="140">
        <f t="shared" si="21"/>
        <v>1.0000000000000007</v>
      </c>
      <c r="P118" t="s">
        <v>316</v>
      </c>
    </row>
    <row r="119" spans="1:16" x14ac:dyDescent="0.3">
      <c r="A119" s="134"/>
      <c r="B119" s="35"/>
      <c r="C119" s="35" t="s">
        <v>157</v>
      </c>
      <c r="D119" s="113" t="s">
        <v>314</v>
      </c>
      <c r="E119" s="113"/>
      <c r="F119" s="153">
        <v>2.3E-3</v>
      </c>
      <c r="G119" s="146">
        <v>27601.01</v>
      </c>
      <c r="H119" s="44">
        <f t="shared" ref="H119:H122" si="27">G119</f>
        <v>27601.01</v>
      </c>
      <c r="I119" s="154">
        <f t="shared" si="0"/>
        <v>0</v>
      </c>
      <c r="J119" s="155">
        <f t="shared" si="24"/>
        <v>0</v>
      </c>
      <c r="K119" s="155">
        <f t="shared" si="25"/>
        <v>33350</v>
      </c>
      <c r="L119" s="182">
        <v>0</v>
      </c>
      <c r="M119" s="157">
        <f t="shared" si="19"/>
        <v>33351.01</v>
      </c>
      <c r="N119" s="157">
        <f t="shared" si="20"/>
        <v>35353.01</v>
      </c>
      <c r="O119" s="140">
        <f t="shared" si="21"/>
        <v>1.0100000000000007</v>
      </c>
    </row>
    <row r="120" spans="1:16" x14ac:dyDescent="0.3">
      <c r="A120" s="134"/>
      <c r="B120" s="35"/>
      <c r="C120" s="35" t="s">
        <v>158</v>
      </c>
      <c r="D120" s="113" t="s">
        <v>192</v>
      </c>
      <c r="E120" s="113"/>
      <c r="F120" s="153">
        <v>2.3E-3</v>
      </c>
      <c r="G120" s="146">
        <v>27602.02</v>
      </c>
      <c r="H120" s="44">
        <f>G120</f>
        <v>27602.02</v>
      </c>
      <c r="I120" s="154">
        <f t="shared" si="0"/>
        <v>0</v>
      </c>
      <c r="J120" s="155">
        <f t="shared" si="24"/>
        <v>0</v>
      </c>
      <c r="K120" s="155">
        <f t="shared" si="25"/>
        <v>33350</v>
      </c>
      <c r="L120" s="182">
        <v>0</v>
      </c>
      <c r="M120" s="157">
        <f t="shared" si="19"/>
        <v>33351.019999999997</v>
      </c>
      <c r="N120" s="157">
        <f t="shared" si="20"/>
        <v>35353.019999999997</v>
      </c>
      <c r="O120" s="140">
        <f t="shared" si="21"/>
        <v>1.0200000000000007</v>
      </c>
    </row>
    <row r="121" spans="1:16" x14ac:dyDescent="0.3">
      <c r="A121" s="134"/>
      <c r="B121" s="35"/>
      <c r="C121" s="226" t="s">
        <v>159</v>
      </c>
      <c r="D121" s="227" t="s">
        <v>184</v>
      </c>
      <c r="E121" s="227"/>
      <c r="F121" s="228">
        <v>2.3E-3</v>
      </c>
      <c r="G121" s="229">
        <v>48303.03</v>
      </c>
      <c r="H121" s="230">
        <v>0</v>
      </c>
      <c r="I121" s="231">
        <f t="shared" si="0"/>
        <v>48303.03</v>
      </c>
      <c r="J121" s="232">
        <f t="shared" si="24"/>
        <v>0</v>
      </c>
      <c r="K121" s="232">
        <f t="shared" si="25"/>
        <v>33350</v>
      </c>
      <c r="L121" s="233">
        <v>0</v>
      </c>
      <c r="M121" s="234">
        <f t="shared" si="19"/>
        <v>81654.03</v>
      </c>
      <c r="N121" s="234">
        <f t="shared" si="20"/>
        <v>86554.03</v>
      </c>
      <c r="O121" s="140">
        <f t="shared" si="21"/>
        <v>1.0300000000000007</v>
      </c>
    </row>
    <row r="122" spans="1:16" x14ac:dyDescent="0.3">
      <c r="A122" s="134"/>
      <c r="B122" s="35"/>
      <c r="C122" s="35" t="s">
        <v>160</v>
      </c>
      <c r="D122" s="113" t="s">
        <v>220</v>
      </c>
      <c r="E122" s="113"/>
      <c r="F122" s="93">
        <v>2.3E-3</v>
      </c>
      <c r="G122" s="141">
        <v>27601.040000000001</v>
      </c>
      <c r="H122" s="89">
        <f t="shared" si="27"/>
        <v>27601.040000000001</v>
      </c>
      <c r="I122" s="56">
        <f t="shared" si="0"/>
        <v>0</v>
      </c>
      <c r="J122" s="26">
        <f t="shared" si="24"/>
        <v>0</v>
      </c>
      <c r="K122" s="26">
        <f t="shared" si="25"/>
        <v>33350</v>
      </c>
      <c r="L122" s="182">
        <v>0</v>
      </c>
      <c r="M122" s="8">
        <f t="shared" si="19"/>
        <v>33351.040000000001</v>
      </c>
      <c r="N122" s="8">
        <f t="shared" si="20"/>
        <v>35353.040000000001</v>
      </c>
      <c r="O122" s="140">
        <f t="shared" si="21"/>
        <v>1.0400000000000007</v>
      </c>
    </row>
    <row r="123" spans="1:16" x14ac:dyDescent="0.3">
      <c r="A123" s="134"/>
      <c r="B123" s="35"/>
      <c r="C123" s="35" t="s">
        <v>161</v>
      </c>
      <c r="D123" s="113" t="s">
        <v>215</v>
      </c>
      <c r="E123" s="113"/>
      <c r="F123" s="93">
        <v>2.3E-3</v>
      </c>
      <c r="G123" s="141">
        <v>35111.050000000003</v>
      </c>
      <c r="H123" s="89">
        <v>33123.050000000003</v>
      </c>
      <c r="I123" s="56">
        <f t="shared" si="0"/>
        <v>1988</v>
      </c>
      <c r="J123" s="26">
        <f t="shared" si="24"/>
        <v>0</v>
      </c>
      <c r="K123" s="26">
        <f t="shared" si="25"/>
        <v>33350</v>
      </c>
      <c r="L123" s="182">
        <v>0</v>
      </c>
      <c r="M123" s="8">
        <f t="shared" si="19"/>
        <v>35339.050000000003</v>
      </c>
      <c r="N123" s="8">
        <f t="shared" si="20"/>
        <v>37460.050000000003</v>
      </c>
      <c r="O123" s="140">
        <f t="shared" si="21"/>
        <v>1.0500000000000007</v>
      </c>
    </row>
    <row r="124" spans="1:16" x14ac:dyDescent="0.3">
      <c r="A124" s="134"/>
      <c r="B124" s="35"/>
      <c r="C124" s="226" t="s">
        <v>162</v>
      </c>
      <c r="D124" s="227" t="s">
        <v>184</v>
      </c>
      <c r="E124" s="227"/>
      <c r="F124" s="228">
        <v>2.3E-3</v>
      </c>
      <c r="G124" s="229">
        <v>71303.06</v>
      </c>
      <c r="H124" s="230"/>
      <c r="I124" s="231">
        <f t="shared" si="0"/>
        <v>71303.06</v>
      </c>
      <c r="J124" s="232">
        <f t="shared" si="24"/>
        <v>0</v>
      </c>
      <c r="K124" s="232">
        <f t="shared" si="25"/>
        <v>33350</v>
      </c>
      <c r="L124" s="233">
        <v>0</v>
      </c>
      <c r="M124" s="234">
        <f t="shared" si="19"/>
        <v>104654.06</v>
      </c>
      <c r="N124" s="234">
        <f t="shared" si="20"/>
        <v>110934.06</v>
      </c>
      <c r="O124" s="140">
        <f t="shared" si="21"/>
        <v>1.0600000000000007</v>
      </c>
    </row>
    <row r="125" spans="1:16" x14ac:dyDescent="0.3">
      <c r="A125" s="215"/>
      <c r="B125" s="184"/>
      <c r="C125" s="226" t="s">
        <v>163</v>
      </c>
      <c r="D125" s="227" t="s">
        <v>184</v>
      </c>
      <c r="E125" s="227"/>
      <c r="F125" s="228">
        <v>2.3E-3</v>
      </c>
      <c r="G125" s="229">
        <v>71303.070000000007</v>
      </c>
      <c r="H125" s="230">
        <v>27600</v>
      </c>
      <c r="I125" s="231">
        <f t="shared" si="0"/>
        <v>43703.070000000007</v>
      </c>
      <c r="J125" s="232">
        <f t="shared" si="24"/>
        <v>0</v>
      </c>
      <c r="K125" s="232">
        <f t="shared" si="25"/>
        <v>33350</v>
      </c>
      <c r="L125" s="233">
        <v>0</v>
      </c>
      <c r="M125" s="234">
        <f t="shared" si="19"/>
        <v>77054.070000000007</v>
      </c>
      <c r="N125" s="234">
        <f t="shared" si="20"/>
        <v>81678.070000000007</v>
      </c>
      <c r="O125" s="140">
        <f t="shared" si="21"/>
        <v>1.0700000000000007</v>
      </c>
    </row>
    <row r="126" spans="1:16" x14ac:dyDescent="0.3">
      <c r="A126" s="215"/>
      <c r="B126" s="184"/>
      <c r="C126" s="35" t="s">
        <v>164</v>
      </c>
      <c r="D126" s="113" t="s">
        <v>184</v>
      </c>
      <c r="E126" s="113"/>
      <c r="F126" s="153">
        <v>2.3E-3</v>
      </c>
      <c r="G126" s="146">
        <v>27601.08</v>
      </c>
      <c r="H126" s="44">
        <f t="shared" ref="H126:H131" si="28">G126</f>
        <v>27601.08</v>
      </c>
      <c r="I126" s="154">
        <f t="shared" si="0"/>
        <v>0</v>
      </c>
      <c r="J126" s="155">
        <f t="shared" si="24"/>
        <v>0</v>
      </c>
      <c r="K126" s="155">
        <f t="shared" si="25"/>
        <v>33350</v>
      </c>
      <c r="L126" s="182">
        <v>0</v>
      </c>
      <c r="M126" s="157">
        <f t="shared" si="19"/>
        <v>33351.08</v>
      </c>
      <c r="N126" s="157">
        <f t="shared" si="20"/>
        <v>35353.08</v>
      </c>
      <c r="O126" s="140">
        <f t="shared" si="21"/>
        <v>1.0800000000000007</v>
      </c>
    </row>
    <row r="127" spans="1:16" x14ac:dyDescent="0.3">
      <c r="A127" s="134"/>
      <c r="B127" s="35"/>
      <c r="C127" s="35" t="s">
        <v>165</v>
      </c>
      <c r="D127" s="113" t="s">
        <v>218</v>
      </c>
      <c r="E127" s="113"/>
      <c r="F127" s="153">
        <v>2.3E-3</v>
      </c>
      <c r="G127" s="146">
        <v>27601.09</v>
      </c>
      <c r="H127" s="44">
        <f t="shared" si="28"/>
        <v>27601.09</v>
      </c>
      <c r="I127" s="154">
        <f t="shared" si="0"/>
        <v>0</v>
      </c>
      <c r="J127" s="155">
        <f t="shared" si="24"/>
        <v>0</v>
      </c>
      <c r="K127" s="155">
        <f t="shared" si="25"/>
        <v>33350</v>
      </c>
      <c r="L127" s="182">
        <v>0</v>
      </c>
      <c r="M127" s="157">
        <f t="shared" si="19"/>
        <v>33351.089999999997</v>
      </c>
      <c r="N127" s="157">
        <f t="shared" si="20"/>
        <v>35353.089999999997</v>
      </c>
      <c r="O127" s="140">
        <f t="shared" si="21"/>
        <v>1.0900000000000007</v>
      </c>
    </row>
    <row r="128" spans="1:16" x14ac:dyDescent="0.3">
      <c r="A128" s="134"/>
      <c r="B128" s="35"/>
      <c r="C128" s="35" t="s">
        <v>166</v>
      </c>
      <c r="D128" s="113" t="s">
        <v>212</v>
      </c>
      <c r="E128" s="113"/>
      <c r="F128" s="93">
        <v>2.3E-3</v>
      </c>
      <c r="G128" s="141">
        <v>27601.1</v>
      </c>
      <c r="H128" s="89">
        <f t="shared" si="28"/>
        <v>27601.1</v>
      </c>
      <c r="I128" s="56">
        <f t="shared" si="0"/>
        <v>0</v>
      </c>
      <c r="J128" s="26">
        <f t="shared" si="24"/>
        <v>0</v>
      </c>
      <c r="K128" s="26">
        <f t="shared" si="25"/>
        <v>33350</v>
      </c>
      <c r="L128" s="182">
        <v>0</v>
      </c>
      <c r="M128" s="8">
        <f t="shared" si="19"/>
        <v>33351.1</v>
      </c>
      <c r="N128" s="8">
        <f t="shared" si="20"/>
        <v>35353.1</v>
      </c>
      <c r="O128" s="140">
        <f t="shared" si="21"/>
        <v>1.1000000000000008</v>
      </c>
    </row>
    <row r="129" spans="1:16" x14ac:dyDescent="0.3">
      <c r="A129" s="134"/>
      <c r="B129" s="35"/>
      <c r="C129" s="35" t="s">
        <v>167</v>
      </c>
      <c r="D129" s="113" t="s">
        <v>222</v>
      </c>
      <c r="E129" s="113"/>
      <c r="F129" s="93">
        <v>2.3E-3</v>
      </c>
      <c r="G129" s="141">
        <v>27601.11</v>
      </c>
      <c r="H129" s="89">
        <f t="shared" si="28"/>
        <v>27601.11</v>
      </c>
      <c r="I129" s="56">
        <f t="shared" si="0"/>
        <v>0</v>
      </c>
      <c r="J129" s="26">
        <f t="shared" si="24"/>
        <v>0</v>
      </c>
      <c r="K129" s="26">
        <f t="shared" si="25"/>
        <v>33350</v>
      </c>
      <c r="L129" s="182">
        <v>0</v>
      </c>
      <c r="M129" s="8">
        <f t="shared" si="19"/>
        <v>33351.11</v>
      </c>
      <c r="N129" s="8">
        <f t="shared" si="20"/>
        <v>35353.11</v>
      </c>
      <c r="O129" s="140">
        <f t="shared" si="21"/>
        <v>1.1100000000000008</v>
      </c>
    </row>
    <row r="130" spans="1:16" x14ac:dyDescent="0.3">
      <c r="A130" s="134" t="s">
        <v>26</v>
      </c>
      <c r="B130" s="35"/>
      <c r="C130" s="35" t="s">
        <v>168</v>
      </c>
      <c r="D130" s="113" t="s">
        <v>203</v>
      </c>
      <c r="E130" s="113"/>
      <c r="F130" s="93">
        <v>2.3E-3</v>
      </c>
      <c r="G130" s="141">
        <v>27601.119999999999</v>
      </c>
      <c r="H130" s="89">
        <f t="shared" si="28"/>
        <v>27601.119999999999</v>
      </c>
      <c r="I130" s="56">
        <f t="shared" si="0"/>
        <v>0</v>
      </c>
      <c r="J130" s="26">
        <f t="shared" si="24"/>
        <v>0</v>
      </c>
      <c r="K130" s="26">
        <f t="shared" si="25"/>
        <v>33350</v>
      </c>
      <c r="L130" s="182">
        <v>0</v>
      </c>
      <c r="M130" s="8">
        <f t="shared" si="19"/>
        <v>33351.120000000003</v>
      </c>
      <c r="N130" s="8">
        <f t="shared" si="20"/>
        <v>35353.120000000003</v>
      </c>
      <c r="O130" s="140">
        <f t="shared" si="21"/>
        <v>1.1200000000000008</v>
      </c>
    </row>
    <row r="131" spans="1:16" x14ac:dyDescent="0.3">
      <c r="A131" s="134" t="s">
        <v>26</v>
      </c>
      <c r="B131" s="35"/>
      <c r="C131" s="35" t="s">
        <v>169</v>
      </c>
      <c r="D131" s="113" t="s">
        <v>121</v>
      </c>
      <c r="E131" s="113"/>
      <c r="F131" s="93">
        <v>2.3E-3</v>
      </c>
      <c r="G131" s="141">
        <v>27601.13</v>
      </c>
      <c r="H131" s="89">
        <f t="shared" si="28"/>
        <v>27601.13</v>
      </c>
      <c r="I131" s="56">
        <f t="shared" si="0"/>
        <v>0</v>
      </c>
      <c r="J131" s="26">
        <f t="shared" si="24"/>
        <v>0</v>
      </c>
      <c r="K131" s="26">
        <f t="shared" si="25"/>
        <v>33350</v>
      </c>
      <c r="L131" s="182">
        <v>0</v>
      </c>
      <c r="M131" s="8">
        <f t="shared" si="19"/>
        <v>33351.129999999997</v>
      </c>
      <c r="N131" s="8">
        <f t="shared" si="20"/>
        <v>35353.129999999997</v>
      </c>
      <c r="O131" s="140">
        <f t="shared" si="21"/>
        <v>1.1300000000000008</v>
      </c>
    </row>
    <row r="132" spans="1:16" x14ac:dyDescent="0.3">
      <c r="A132" s="53" t="s">
        <v>26</v>
      </c>
      <c r="B132" s="6"/>
      <c r="C132" s="6"/>
      <c r="D132" s="57"/>
      <c r="E132" s="57"/>
      <c r="F132" s="6"/>
      <c r="G132" s="26"/>
      <c r="H132" s="91"/>
      <c r="I132" s="56"/>
      <c r="J132" s="26"/>
      <c r="K132" s="26"/>
      <c r="L132" s="77"/>
      <c r="M132" s="5"/>
      <c r="N132" s="8"/>
    </row>
    <row r="133" spans="1:16" ht="14.25" customHeight="1" x14ac:dyDescent="0.3">
      <c r="A133" s="27"/>
      <c r="B133" s="27"/>
      <c r="C133" s="27"/>
      <c r="D133" s="27"/>
      <c r="E133" s="27"/>
      <c r="F133" s="121">
        <f>SUM(F14:F132)</f>
        <v>0.99819999999999809</v>
      </c>
      <c r="G133" s="28">
        <f>SUM(G14:G132)</f>
        <v>14350535.41</v>
      </c>
      <c r="H133" s="28">
        <f>SUM(H14:H132)</f>
        <v>10274652.129999999</v>
      </c>
      <c r="I133" s="27"/>
      <c r="J133" s="54">
        <f>SUM(J14:J132)</f>
        <v>0</v>
      </c>
      <c r="K133" s="28">
        <f>SUM(K14:K132)</f>
        <v>14312661.692639999</v>
      </c>
      <c r="L133" s="205">
        <f>SUM(L14:L132)</f>
        <v>136000</v>
      </c>
      <c r="M133" s="29">
        <f>SUM(M14:M132)</f>
        <v>18524609.202640001</v>
      </c>
      <c r="N133" s="28">
        <f>SUM(N14:N132)</f>
        <v>19636145.450198401</v>
      </c>
      <c r="P133" s="59"/>
    </row>
    <row r="134" spans="1:16" hidden="1" x14ac:dyDescent="0.3">
      <c r="K134" s="61">
        <f>K133-L1</f>
        <v>1368465.7826400008</v>
      </c>
    </row>
    <row r="135" spans="1:16" ht="15" hidden="1" customHeight="1" x14ac:dyDescent="0.3">
      <c r="C135" s="276"/>
      <c r="D135" s="276"/>
      <c r="E135" s="276"/>
      <c r="F135" s="276"/>
      <c r="G135" s="276"/>
      <c r="H135" s="276"/>
      <c r="I135" s="276"/>
      <c r="J135" s="276"/>
      <c r="K135" s="276"/>
      <c r="L135" s="276"/>
      <c r="M135" s="276"/>
      <c r="N135" s="276"/>
    </row>
    <row r="136" spans="1:16" hidden="1" x14ac:dyDescent="0.3">
      <c r="C136" s="276"/>
      <c r="D136" s="276"/>
      <c r="E136" s="276"/>
      <c r="F136" s="276"/>
      <c r="G136" s="276"/>
      <c r="H136" s="276"/>
      <c r="I136" s="276"/>
      <c r="J136" s="276"/>
      <c r="K136" s="276"/>
      <c r="L136" s="276"/>
      <c r="M136" s="276"/>
      <c r="N136" s="276"/>
    </row>
    <row r="137" spans="1:16" ht="8.25" customHeight="1" x14ac:dyDescent="0.3">
      <c r="C137" s="78"/>
      <c r="D137" s="78"/>
      <c r="E137" s="78"/>
      <c r="F137" s="78"/>
      <c r="G137" s="78"/>
      <c r="H137" s="78"/>
      <c r="I137" s="78"/>
      <c r="J137" s="78"/>
      <c r="K137" s="78"/>
      <c r="L137" s="78"/>
      <c r="M137" s="78"/>
      <c r="N137" s="78"/>
    </row>
    <row r="138" spans="1:16" x14ac:dyDescent="0.3">
      <c r="C138" s="276" t="s">
        <v>263</v>
      </c>
      <c r="D138" s="276"/>
      <c r="E138" s="276"/>
      <c r="F138" s="276"/>
      <c r="G138" s="276"/>
      <c r="H138" s="276"/>
      <c r="I138" s="276"/>
      <c r="J138" s="276"/>
      <c r="K138" s="276"/>
      <c r="L138" s="276"/>
      <c r="M138" s="276"/>
      <c r="N138" s="276"/>
    </row>
    <row r="139" spans="1:16" x14ac:dyDescent="0.3">
      <c r="C139" s="276"/>
      <c r="D139" s="276"/>
      <c r="E139" s="276"/>
      <c r="F139" s="276"/>
      <c r="G139" s="276"/>
      <c r="H139" s="276"/>
      <c r="I139" s="276"/>
      <c r="J139" s="276"/>
      <c r="K139" s="276"/>
      <c r="L139" s="276"/>
      <c r="M139" s="276"/>
      <c r="N139" s="276"/>
    </row>
    <row r="140" spans="1:16" x14ac:dyDescent="0.3">
      <c r="C140" s="276"/>
      <c r="D140" s="276"/>
      <c r="E140" s="276"/>
      <c r="F140" s="276"/>
      <c r="G140" s="276"/>
      <c r="H140" s="276"/>
      <c r="I140" s="276"/>
      <c r="J140" s="276"/>
      <c r="K140" s="276"/>
      <c r="L140" s="276"/>
      <c r="M140" s="276"/>
      <c r="N140" s="276"/>
    </row>
    <row r="141" spans="1:16" x14ac:dyDescent="0.3">
      <c r="C141" s="276"/>
      <c r="D141" s="276"/>
      <c r="E141" s="276"/>
      <c r="F141" s="276"/>
      <c r="G141" s="276"/>
      <c r="H141" s="276"/>
      <c r="I141" s="276"/>
      <c r="J141" s="276"/>
      <c r="K141" s="276"/>
      <c r="L141" s="276"/>
      <c r="M141" s="276"/>
      <c r="N141" s="276"/>
    </row>
    <row r="142" spans="1:16" x14ac:dyDescent="0.3">
      <c r="C142" s="276"/>
      <c r="D142" s="276"/>
      <c r="E142" s="276"/>
      <c r="F142" s="276"/>
      <c r="G142" s="276"/>
      <c r="H142" s="276"/>
      <c r="I142" s="276"/>
      <c r="J142" s="276"/>
      <c r="K142" s="276"/>
      <c r="L142" s="276"/>
      <c r="M142" s="276"/>
      <c r="N142" s="276"/>
    </row>
    <row r="143" spans="1:16" x14ac:dyDescent="0.3">
      <c r="C143" s="276"/>
      <c r="D143" s="276"/>
      <c r="E143" s="276"/>
      <c r="F143" s="276"/>
      <c r="G143" s="276"/>
      <c r="H143" s="276"/>
      <c r="I143" s="276"/>
      <c r="J143" s="276"/>
      <c r="K143" s="276"/>
      <c r="L143" s="276"/>
      <c r="M143" s="276"/>
      <c r="N143" s="276"/>
    </row>
    <row r="144" spans="1:16" x14ac:dyDescent="0.3">
      <c r="C144" s="276"/>
      <c r="D144" s="276"/>
      <c r="E144" s="276"/>
      <c r="F144" s="276"/>
      <c r="G144" s="276"/>
      <c r="H144" s="276"/>
      <c r="I144" s="276"/>
      <c r="J144" s="276"/>
      <c r="K144" s="276"/>
      <c r="L144" s="276"/>
      <c r="M144" s="276"/>
      <c r="N144" s="276"/>
    </row>
    <row r="145" spans="3:16" x14ac:dyDescent="0.3">
      <c r="C145" s="276"/>
      <c r="D145" s="276"/>
      <c r="E145" s="276"/>
      <c r="F145" s="276"/>
      <c r="G145" s="276"/>
      <c r="H145" s="276"/>
      <c r="I145" s="276"/>
      <c r="J145" s="276"/>
      <c r="K145" s="276"/>
      <c r="L145" s="276"/>
      <c r="M145" s="276"/>
      <c r="N145" s="276"/>
    </row>
    <row r="146" spans="3:16" ht="6" customHeight="1" x14ac:dyDescent="0.3">
      <c r="C146" s="78"/>
      <c r="D146" s="78"/>
      <c r="E146" s="78"/>
      <c r="F146" s="78"/>
      <c r="G146" s="78"/>
      <c r="H146" s="78"/>
      <c r="I146" s="78"/>
      <c r="J146" s="78"/>
      <c r="K146" s="78"/>
      <c r="L146" s="78"/>
      <c r="M146" s="78"/>
      <c r="N146" s="78"/>
    </row>
    <row r="147" spans="3:16" ht="45" hidden="1" customHeight="1" x14ac:dyDescent="0.3">
      <c r="C147" s="78"/>
      <c r="D147" s="78"/>
      <c r="E147" s="78"/>
      <c r="F147" s="78"/>
      <c r="G147" s="78"/>
      <c r="H147" s="78"/>
      <c r="I147" s="78"/>
      <c r="J147" s="78"/>
      <c r="K147" s="78"/>
      <c r="L147" s="78"/>
      <c r="M147" s="78"/>
      <c r="N147" s="78"/>
    </row>
    <row r="148" spans="3:16" x14ac:dyDescent="0.3">
      <c r="C148" s="275" t="s">
        <v>262</v>
      </c>
      <c r="D148" s="275"/>
      <c r="E148" s="275"/>
      <c r="F148" s="275"/>
      <c r="G148" s="275"/>
      <c r="H148" s="275"/>
      <c r="I148" s="275"/>
      <c r="J148" s="275"/>
      <c r="K148" s="275"/>
      <c r="L148" s="275"/>
      <c r="M148" s="275"/>
      <c r="N148" s="275"/>
    </row>
    <row r="149" spans="3:16" x14ac:dyDescent="0.3">
      <c r="C149" s="275"/>
      <c r="D149" s="275"/>
      <c r="E149" s="275"/>
      <c r="F149" s="275"/>
      <c r="G149" s="275"/>
      <c r="H149" s="275"/>
      <c r="I149" s="275"/>
      <c r="J149" s="275"/>
      <c r="K149" s="275"/>
      <c r="L149" s="275"/>
      <c r="M149" s="275"/>
      <c r="N149" s="275"/>
    </row>
    <row r="150" spans="3:16" x14ac:dyDescent="0.3">
      <c r="C150" s="275"/>
      <c r="D150" s="275"/>
      <c r="E150" s="275"/>
      <c r="F150" s="275"/>
      <c r="G150" s="275"/>
      <c r="H150" s="275"/>
      <c r="I150" s="275"/>
      <c r="J150" s="275"/>
      <c r="K150" s="275"/>
      <c r="L150" s="275"/>
      <c r="M150" s="275"/>
      <c r="N150" s="275"/>
      <c r="P150" s="85">
        <f>L1-K133</f>
        <v>-1368465.7826400008</v>
      </c>
    </row>
    <row r="151" spans="3:16" ht="22.5" customHeight="1" x14ac:dyDescent="0.3">
      <c r="C151" s="275"/>
      <c r="D151" s="275"/>
      <c r="E151" s="275"/>
      <c r="F151" s="275"/>
      <c r="G151" s="275"/>
      <c r="H151" s="275"/>
      <c r="I151" s="275"/>
      <c r="J151" s="275"/>
      <c r="K151" s="275"/>
      <c r="L151" s="275"/>
      <c r="M151" s="275"/>
      <c r="N151" s="275"/>
    </row>
    <row r="152" spans="3:16" ht="5.25" customHeight="1" x14ac:dyDescent="0.3">
      <c r="C152" s="275"/>
      <c r="D152" s="275"/>
      <c r="E152" s="275"/>
      <c r="F152" s="275"/>
      <c r="G152" s="275"/>
      <c r="H152" s="275"/>
      <c r="I152" s="275"/>
      <c r="J152" s="275"/>
      <c r="K152" s="275"/>
      <c r="L152" s="275"/>
      <c r="M152" s="275"/>
      <c r="N152" s="275"/>
    </row>
    <row r="153" spans="3:16" hidden="1" x14ac:dyDescent="0.3">
      <c r="C153" s="275"/>
      <c r="D153" s="275"/>
      <c r="E153" s="275"/>
      <c r="F153" s="275"/>
      <c r="G153" s="275"/>
      <c r="H153" s="275"/>
      <c r="I153" s="275"/>
      <c r="J153" s="275"/>
      <c r="K153" s="275"/>
      <c r="L153" s="275"/>
      <c r="M153" s="275"/>
      <c r="N153" s="275"/>
    </row>
    <row r="154" spans="3:16" hidden="1" x14ac:dyDescent="0.3">
      <c r="C154" s="275"/>
      <c r="D154" s="275"/>
      <c r="E154" s="275"/>
      <c r="F154" s="275"/>
      <c r="G154" s="275"/>
      <c r="H154" s="275"/>
      <c r="I154" s="275"/>
      <c r="J154" s="275"/>
      <c r="K154" s="275"/>
      <c r="L154" s="275"/>
      <c r="M154" s="275"/>
      <c r="N154" s="275"/>
    </row>
  </sheetData>
  <mergeCells count="21">
    <mergeCell ref="Q14:R15"/>
    <mergeCell ref="G11:G13"/>
    <mergeCell ref="C148:N154"/>
    <mergeCell ref="C135:N136"/>
    <mergeCell ref="L1:M1"/>
    <mergeCell ref="H11:H13"/>
    <mergeCell ref="I11:I13"/>
    <mergeCell ref="J11:J13"/>
    <mergeCell ref="K11:K13"/>
    <mergeCell ref="L11:L13"/>
    <mergeCell ref="C138:N145"/>
    <mergeCell ref="M11:M12"/>
    <mergeCell ref="N11:N12"/>
    <mergeCell ref="C5:N8"/>
    <mergeCell ref="C9:N10"/>
    <mergeCell ref="A11:A13"/>
    <mergeCell ref="B11:B13"/>
    <mergeCell ref="C11:C13"/>
    <mergeCell ref="D11:D13"/>
    <mergeCell ref="F11:F13"/>
    <mergeCell ref="E11:E13"/>
  </mergeCells>
  <phoneticPr fontId="17"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K19"/>
  <sheetViews>
    <sheetView topLeftCell="A4" workbookViewId="0">
      <selection activeCell="N11" sqref="N11"/>
    </sheetView>
  </sheetViews>
  <sheetFormatPr baseColWidth="10" defaultRowHeight="14.4" x14ac:dyDescent="0.3"/>
  <sheetData>
    <row r="4" spans="2:11" x14ac:dyDescent="0.3">
      <c r="B4" s="235" t="s">
        <v>352</v>
      </c>
      <c r="C4" s="236"/>
      <c r="D4" s="236"/>
      <c r="E4" s="236"/>
      <c r="F4" s="236"/>
      <c r="G4" s="236"/>
      <c r="H4" s="236"/>
      <c r="I4" s="236"/>
      <c r="J4" s="236"/>
      <c r="K4" s="236"/>
    </row>
    <row r="5" spans="2:11" x14ac:dyDescent="0.3">
      <c r="B5" s="236"/>
      <c r="C5" s="236"/>
      <c r="D5" s="236"/>
      <c r="E5" s="236"/>
      <c r="F5" s="236"/>
      <c r="G5" s="236"/>
      <c r="H5" s="236"/>
      <c r="I5" s="236"/>
      <c r="J5" s="236"/>
      <c r="K5" s="236"/>
    </row>
    <row r="6" spans="2:11" ht="15.6" x14ac:dyDescent="0.3">
      <c r="B6" s="237" t="s">
        <v>347</v>
      </c>
      <c r="C6" s="236"/>
      <c r="D6" s="236"/>
      <c r="E6" s="236"/>
      <c r="F6" s="236"/>
      <c r="G6" s="236"/>
      <c r="H6" s="236"/>
      <c r="I6" s="236"/>
      <c r="J6" s="236"/>
      <c r="K6" s="236"/>
    </row>
    <row r="7" spans="2:11" ht="15.6" x14ac:dyDescent="0.3">
      <c r="B7" s="237" t="s">
        <v>348</v>
      </c>
      <c r="C7" s="236"/>
      <c r="D7" s="236"/>
      <c r="E7" s="236"/>
      <c r="F7" s="236"/>
      <c r="G7" s="236"/>
      <c r="H7" s="236"/>
      <c r="I7" s="236"/>
      <c r="J7" s="236"/>
      <c r="K7" s="236"/>
    </row>
    <row r="8" spans="2:11" ht="15.6" x14ac:dyDescent="0.3">
      <c r="B8" s="237" t="s">
        <v>349</v>
      </c>
      <c r="C8" s="236"/>
      <c r="D8" s="236"/>
      <c r="E8" s="236"/>
      <c r="F8" s="236"/>
      <c r="G8" s="236"/>
      <c r="H8" s="236"/>
      <c r="I8" s="236"/>
      <c r="J8" s="236"/>
      <c r="K8" s="236"/>
    </row>
    <row r="9" spans="2:11" ht="15.6" x14ac:dyDescent="0.3">
      <c r="B9" s="237" t="s">
        <v>350</v>
      </c>
      <c r="C9" s="236"/>
      <c r="D9" s="236"/>
      <c r="E9" s="236"/>
      <c r="F9" s="236"/>
      <c r="G9" s="236"/>
      <c r="H9" s="236"/>
      <c r="I9" s="236"/>
      <c r="J9" s="236"/>
      <c r="K9" s="236"/>
    </row>
    <row r="10" spans="2:11" ht="15.6" x14ac:dyDescent="0.3">
      <c r="B10" s="237" t="s">
        <v>351</v>
      </c>
      <c r="C10" s="236"/>
      <c r="D10" s="236"/>
      <c r="E10" s="236"/>
      <c r="F10" s="236"/>
      <c r="G10" s="236"/>
      <c r="H10" s="236"/>
      <c r="I10" s="236"/>
      <c r="J10" s="236"/>
      <c r="K10" s="236"/>
    </row>
    <row r="13" spans="2:11" ht="15.6" customHeight="1" x14ac:dyDescent="0.3">
      <c r="B13" s="301" t="s">
        <v>353</v>
      </c>
      <c r="C13" s="301"/>
      <c r="D13" s="301"/>
      <c r="E13" s="301"/>
      <c r="F13" s="301"/>
      <c r="G13" s="301"/>
      <c r="H13" s="301"/>
      <c r="I13" s="301"/>
      <c r="J13" s="301"/>
      <c r="K13" s="301"/>
    </row>
    <row r="14" spans="2:11" x14ac:dyDescent="0.3">
      <c r="B14" s="301"/>
      <c r="C14" s="301"/>
      <c r="D14" s="301"/>
      <c r="E14" s="301"/>
      <c r="F14" s="301"/>
      <c r="G14" s="301"/>
      <c r="H14" s="301"/>
      <c r="I14" s="301"/>
      <c r="J14" s="301"/>
      <c r="K14" s="301"/>
    </row>
    <row r="15" spans="2:11" x14ac:dyDescent="0.3">
      <c r="B15" s="301"/>
      <c r="C15" s="301"/>
      <c r="D15" s="301"/>
      <c r="E15" s="301"/>
      <c r="F15" s="301"/>
      <c r="G15" s="301"/>
      <c r="H15" s="301"/>
      <c r="I15" s="301"/>
      <c r="J15" s="301"/>
      <c r="K15" s="301"/>
    </row>
    <row r="16" spans="2:11" x14ac:dyDescent="0.3">
      <c r="B16" s="301"/>
      <c r="C16" s="301"/>
      <c r="D16" s="301"/>
      <c r="E16" s="301"/>
      <c r="F16" s="301"/>
      <c r="G16" s="301"/>
      <c r="H16" s="301"/>
      <c r="I16" s="301"/>
      <c r="J16" s="301"/>
      <c r="K16" s="301"/>
    </row>
    <row r="17" spans="2:11" x14ac:dyDescent="0.3">
      <c r="B17" s="301"/>
      <c r="C17" s="301"/>
      <c r="D17" s="301"/>
      <c r="E17" s="301"/>
      <c r="F17" s="301"/>
      <c r="G17" s="301"/>
      <c r="H17" s="301"/>
      <c r="I17" s="301"/>
      <c r="J17" s="301"/>
      <c r="K17" s="301"/>
    </row>
    <row r="18" spans="2:11" x14ac:dyDescent="0.3">
      <c r="B18" s="301"/>
      <c r="C18" s="301"/>
      <c r="D18" s="301"/>
      <c r="E18" s="301"/>
      <c r="F18" s="301"/>
      <c r="G18" s="301"/>
      <c r="H18" s="301"/>
      <c r="I18" s="301"/>
      <c r="J18" s="301"/>
      <c r="K18" s="301"/>
    </row>
    <row r="19" spans="2:11" x14ac:dyDescent="0.3">
      <c r="B19" s="301"/>
      <c r="C19" s="301"/>
      <c r="D19" s="301"/>
      <c r="E19" s="301"/>
      <c r="F19" s="301"/>
      <c r="G19" s="301"/>
      <c r="H19" s="301"/>
      <c r="I19" s="301"/>
      <c r="J19" s="301"/>
      <c r="K19" s="301"/>
    </row>
  </sheetData>
  <mergeCells count="1">
    <mergeCell ref="B13:K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F049-50A4-4ACA-9F6E-1C2F2AD24458}">
  <dimension ref="A2:J27"/>
  <sheetViews>
    <sheetView topLeftCell="C7" workbookViewId="0">
      <selection activeCell="C19" sqref="C19:C25"/>
    </sheetView>
  </sheetViews>
  <sheetFormatPr baseColWidth="10" defaultRowHeight="14.4" x14ac:dyDescent="0.3"/>
  <cols>
    <col min="1" max="2" width="11.5546875" hidden="1" customWidth="1"/>
    <col min="7" max="7" width="14.33203125" bestFit="1" customWidth="1"/>
  </cols>
  <sheetData>
    <row r="2" spans="3:10" ht="15" thickBot="1" x14ac:dyDescent="0.35"/>
    <row r="3" spans="3:10" x14ac:dyDescent="0.3">
      <c r="C3" s="304" t="str">
        <f>RESUMEN!C5</f>
        <v>PERÍODO: DICIEMBRE</v>
      </c>
      <c r="D3" s="305"/>
      <c r="E3" s="305"/>
      <c r="F3" s="305" t="str">
        <f>[1]RESUMEN!A22</f>
        <v xml:space="preserve">Sueldo encargada Sonia Arzamendia Galeano </v>
      </c>
      <c r="G3" s="305"/>
      <c r="H3" s="305"/>
      <c r="I3" s="305"/>
      <c r="J3" s="306"/>
    </row>
    <row r="4" spans="3:10" x14ac:dyDescent="0.3">
      <c r="C4" s="1"/>
      <c r="J4" s="207"/>
    </row>
    <row r="5" spans="3:10" x14ac:dyDescent="0.3">
      <c r="C5" s="1" t="str">
        <f>RESUMEN!A26</f>
        <v xml:space="preserve">Haberes </v>
      </c>
      <c r="G5" s="43">
        <f>RESUMEN!D26</f>
        <v>1042462</v>
      </c>
      <c r="H5" s="302" t="s">
        <v>329</v>
      </c>
      <c r="I5" s="302"/>
      <c r="J5" s="303"/>
    </row>
    <row r="6" spans="3:10" x14ac:dyDescent="0.3">
      <c r="C6" s="1" t="str">
        <f>RESUMEN!A27</f>
        <v>Plus pileta</v>
      </c>
      <c r="G6" s="43">
        <f>RESUMEN!D27</f>
        <v>36382.699999999997</v>
      </c>
      <c r="H6" s="302" t="s">
        <v>330</v>
      </c>
      <c r="I6" s="302"/>
      <c r="J6" s="303"/>
    </row>
    <row r="7" spans="3:10" x14ac:dyDescent="0.3">
      <c r="C7" s="1" t="str">
        <f>RESUMEN!A28</f>
        <v>Plus retiro de basura</v>
      </c>
      <c r="G7" s="43">
        <f>RESUMEN!D28</f>
        <v>126784</v>
      </c>
      <c r="H7" s="302"/>
      <c r="I7" s="302"/>
      <c r="J7" s="303"/>
    </row>
    <row r="8" spans="3:10" x14ac:dyDescent="0.3">
      <c r="C8" s="1" t="str">
        <f>RESUMEN!A29</f>
        <v>Plus cochera</v>
      </c>
      <c r="G8" s="43">
        <f>RESUMEN!D29</f>
        <v>21627.4</v>
      </c>
      <c r="J8" s="207"/>
    </row>
    <row r="9" spans="3:10" x14ac:dyDescent="0.3">
      <c r="C9" s="1" t="str">
        <f>RESUMEN!A30</f>
        <v>Adicional Viaticos</v>
      </c>
      <c r="G9" s="43">
        <f>RESUMEN!D30</f>
        <v>60810.3</v>
      </c>
      <c r="H9" s="302" t="s">
        <v>331</v>
      </c>
      <c r="I9" s="302"/>
      <c r="J9" s="303"/>
    </row>
    <row r="10" spans="3:10" x14ac:dyDescent="0.3">
      <c r="C10" s="1" t="str">
        <f>RESUMEN!A31</f>
        <v>Adicional remuneracion</v>
      </c>
      <c r="G10" s="43">
        <f>RESUMEN!D31</f>
        <v>50000</v>
      </c>
      <c r="H10" s="302" t="s">
        <v>330</v>
      </c>
      <c r="I10" s="302"/>
      <c r="J10" s="303"/>
    </row>
    <row r="11" spans="3:10" x14ac:dyDescent="0.3">
      <c r="C11" s="1"/>
      <c r="H11" s="302"/>
      <c r="I11" s="302"/>
      <c r="J11" s="303"/>
    </row>
    <row r="12" spans="3:10" x14ac:dyDescent="0.3">
      <c r="C12" s="210" t="s">
        <v>17</v>
      </c>
      <c r="D12" s="2"/>
      <c r="E12" s="2"/>
      <c r="F12" s="2"/>
      <c r="G12" s="211">
        <f>SUM(G5:G11)</f>
        <v>1338066.3999999999</v>
      </c>
      <c r="J12" s="207"/>
    </row>
    <row r="13" spans="3:10" ht="15" thickBot="1" x14ac:dyDescent="0.35">
      <c r="C13" s="212"/>
      <c r="D13" s="213"/>
      <c r="E13" s="213"/>
      <c r="F13" s="213"/>
      <c r="G13" s="213"/>
      <c r="H13" s="213"/>
      <c r="I13" s="213"/>
      <c r="J13" s="214"/>
    </row>
    <row r="15" spans="3:10" ht="15" thickBot="1" x14ac:dyDescent="0.35"/>
    <row r="16" spans="3:10" x14ac:dyDescent="0.3">
      <c r="C16" s="304" t="str">
        <f>C3</f>
        <v>PERÍODO: DICIEMBRE</v>
      </c>
      <c r="D16" s="305"/>
      <c r="E16" s="305"/>
      <c r="F16" s="305" t="str">
        <f>[1]RESUMEN!A30</f>
        <v>Sueldo encargada Miriam</v>
      </c>
      <c r="G16" s="305"/>
      <c r="H16" s="305"/>
      <c r="I16" s="305"/>
      <c r="J16" s="306"/>
    </row>
    <row r="17" spans="3:10" x14ac:dyDescent="0.3">
      <c r="C17" s="1"/>
      <c r="J17" s="207"/>
    </row>
    <row r="18" spans="3:10" x14ac:dyDescent="0.3">
      <c r="C18" s="1"/>
      <c r="G18" s="43"/>
      <c r="H18" s="302" t="s">
        <v>329</v>
      </c>
      <c r="I18" s="302"/>
      <c r="J18" s="303"/>
    </row>
    <row r="19" spans="3:10" x14ac:dyDescent="0.3">
      <c r="C19" s="1" t="str">
        <f>RESUMEN!A34</f>
        <v xml:space="preserve">Haberes </v>
      </c>
      <c r="G19" s="43">
        <f>RESUMEN!D34</f>
        <v>521231</v>
      </c>
      <c r="H19" s="302" t="s">
        <v>330</v>
      </c>
      <c r="I19" s="302"/>
      <c r="J19" s="303"/>
    </row>
    <row r="20" spans="3:10" x14ac:dyDescent="0.3">
      <c r="C20" s="1" t="str">
        <f>RESUMEN!A35</f>
        <v>Horas extras</v>
      </c>
      <c r="G20" s="43">
        <f>RESUMEN!D35</f>
        <v>100235</v>
      </c>
      <c r="H20" s="302"/>
      <c r="I20" s="302"/>
      <c r="J20" s="303"/>
    </row>
    <row r="21" spans="3:10" x14ac:dyDescent="0.3">
      <c r="C21" s="1" t="str">
        <f>RESUMEN!A36</f>
        <v>Plus pileta</v>
      </c>
      <c r="G21" s="43">
        <f>RESUMEN!D36</f>
        <v>36382.699999999997</v>
      </c>
      <c r="J21" s="207"/>
    </row>
    <row r="22" spans="3:10" x14ac:dyDescent="0.3">
      <c r="C22" s="1" t="str">
        <f>RESUMEN!A37</f>
        <v>Plus retiro de basura</v>
      </c>
      <c r="G22" s="43">
        <f>RESUMEN!D37</f>
        <v>126784</v>
      </c>
      <c r="H22" s="302" t="s">
        <v>331</v>
      </c>
      <c r="I22" s="302"/>
      <c r="J22" s="303"/>
    </row>
    <row r="23" spans="3:10" x14ac:dyDescent="0.3">
      <c r="C23" s="1" t="str">
        <f>RESUMEN!A38</f>
        <v>Plus cochera</v>
      </c>
      <c r="G23" s="43">
        <f>RESUMEN!D38</f>
        <v>21627.4</v>
      </c>
      <c r="H23" s="302" t="s">
        <v>330</v>
      </c>
      <c r="I23" s="302"/>
      <c r="J23" s="303"/>
    </row>
    <row r="24" spans="3:10" x14ac:dyDescent="0.3">
      <c r="C24" s="1" t="str">
        <f>RESUMEN!A39</f>
        <v>Adicional Viaticos</v>
      </c>
      <c r="G24" s="43">
        <f>RESUMEN!D39</f>
        <v>60810.3</v>
      </c>
      <c r="H24" s="302"/>
      <c r="I24" s="302"/>
      <c r="J24" s="303"/>
    </row>
    <row r="25" spans="3:10" x14ac:dyDescent="0.3">
      <c r="C25" s="1" t="str">
        <f>RESUMEN!A40</f>
        <v>Adicional remuneracion</v>
      </c>
      <c r="G25" s="43">
        <f>RESUMEN!D40</f>
        <v>50000</v>
      </c>
      <c r="H25" s="208"/>
      <c r="I25" s="208"/>
      <c r="J25" s="209"/>
    </row>
    <row r="26" spans="3:10" x14ac:dyDescent="0.3">
      <c r="C26" s="210" t="s">
        <v>17</v>
      </c>
      <c r="D26" s="2"/>
      <c r="E26" s="2"/>
      <c r="F26" s="2"/>
      <c r="G26" s="211">
        <f>SUM(G18:G25)</f>
        <v>917070.4</v>
      </c>
      <c r="J26" s="207"/>
    </row>
    <row r="27" spans="3:10" ht="15" thickBot="1" x14ac:dyDescent="0.35">
      <c r="C27" s="212"/>
      <c r="D27" s="213"/>
      <c r="E27" s="213"/>
      <c r="F27" s="213"/>
      <c r="G27" s="213"/>
      <c r="H27" s="213"/>
      <c r="I27" s="213"/>
      <c r="J27" s="214"/>
    </row>
  </sheetData>
  <mergeCells count="12">
    <mergeCell ref="H23:J24"/>
    <mergeCell ref="C3:E3"/>
    <mergeCell ref="F3:J3"/>
    <mergeCell ref="H5:J5"/>
    <mergeCell ref="H6:J7"/>
    <mergeCell ref="H9:J9"/>
    <mergeCell ref="H10:J11"/>
    <mergeCell ref="C16:E16"/>
    <mergeCell ref="F16:J16"/>
    <mergeCell ref="H18:J18"/>
    <mergeCell ref="H19:J20"/>
    <mergeCell ref="H22:J22"/>
  </mergeCells>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4.4" x14ac:dyDescent="0.3"/>
  <cols>
    <col min="3" max="3" width="13" bestFit="1" customWidth="1"/>
  </cols>
  <sheetData>
    <row r="4" spans="3:4" x14ac:dyDescent="0.3">
      <c r="C4" s="307" t="s">
        <v>285</v>
      </c>
      <c r="D4" s="307"/>
    </row>
    <row r="5" spans="3:4" x14ac:dyDescent="0.3">
      <c r="C5" s="144">
        <v>52141.08</v>
      </c>
      <c r="D5" t="s">
        <v>286</v>
      </c>
    </row>
    <row r="6" spans="3:4" x14ac:dyDescent="0.3">
      <c r="C6" s="144">
        <v>67140.100000000006</v>
      </c>
      <c r="D6" t="s">
        <v>287</v>
      </c>
    </row>
    <row r="7" spans="3:4" x14ac:dyDescent="0.3">
      <c r="C7" s="144">
        <v>52121.11</v>
      </c>
      <c r="D7" t="s">
        <v>288</v>
      </c>
    </row>
    <row r="8" spans="3:4" x14ac:dyDescent="0.3">
      <c r="C8" s="144">
        <v>67885.119999999995</v>
      </c>
      <c r="D8" t="s">
        <v>289</v>
      </c>
    </row>
    <row r="9" spans="3:4" x14ac:dyDescent="0.3">
      <c r="C9" s="144">
        <v>67140.160000000003</v>
      </c>
      <c r="D9" t="s">
        <v>290</v>
      </c>
    </row>
    <row r="10" spans="3:4" x14ac:dyDescent="0.3">
      <c r="C10" s="144">
        <v>62141.17</v>
      </c>
      <c r="D10" t="s">
        <v>291</v>
      </c>
    </row>
    <row r="11" spans="3:4" x14ac:dyDescent="0.3">
      <c r="C11" s="144">
        <v>67855.179999999993</v>
      </c>
      <c r="D11" t="s">
        <v>292</v>
      </c>
    </row>
    <row r="12" spans="3:4" x14ac:dyDescent="0.3">
      <c r="C12" s="144">
        <v>62141.23</v>
      </c>
      <c r="D12" t="s">
        <v>293</v>
      </c>
    </row>
    <row r="13" spans="3:4" x14ac:dyDescent="0.3">
      <c r="C13" s="144">
        <v>67855.240000000005</v>
      </c>
      <c r="D13" t="s">
        <v>294</v>
      </c>
    </row>
    <row r="14" spans="3:4" x14ac:dyDescent="0.3">
      <c r="C14" s="144">
        <f>SUM(C5:C13)</f>
        <v>566420.39</v>
      </c>
    </row>
  </sheetData>
  <mergeCells count="1">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RESUMEN</vt:lpstr>
      <vt:lpstr>PRORRATEO</vt:lpstr>
      <vt:lpstr>ANOTACIONES</vt:lpstr>
      <vt:lpstr>SUELDOS</vt:lpstr>
      <vt:lpstr>Hoja1</vt:lpstr>
      <vt:lpstr>PRORRATEO!Área_de_impresión</vt:lpstr>
      <vt:lpstr>RESUMEN!Área_de_impresión</vt:lpstr>
      <vt:lpstr>SUELDOS!Área_de_impresión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2025-12-16T14:16:02Z</cp:lastPrinted>
  <dcterms:created xsi:type="dcterms:W3CDTF">2023-09-17T12:29:07Z</dcterms:created>
  <dcterms:modified xsi:type="dcterms:W3CDTF">2025-12-26T02:54:58Z</dcterms:modified>
</cp:coreProperties>
</file>