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D:\OneDrive\Desktop\RC CONSORCIO 2025\EL MIRADOR\Julio\"/>
    </mc:Choice>
  </mc:AlternateContent>
  <xr:revisionPtr revIDLastSave="0" documentId="13_ncr:1_{9EA71C41-B385-4400-889E-8B19645D83A8}" xr6:coauthVersionLast="47" xr6:coauthVersionMax="47" xr10:uidLastSave="{00000000-0000-0000-0000-000000000000}"/>
  <bookViews>
    <workbookView xWindow="-120" yWindow="-120" windowWidth="20730" windowHeight="11160" xr2:uid="{00000000-000D-0000-FFFF-FFFF00000000}"/>
  </bookViews>
  <sheets>
    <sheet name="RESUMEN" sheetId="1" r:id="rId1"/>
    <sheet name="PRORRATEO" sheetId="2" r:id="rId2"/>
    <sheet name="Hoja1" sheetId="4" r:id="rId3"/>
    <sheet name="ANOTACIONES" sheetId="3" r:id="rId4"/>
  </sheets>
  <definedNames>
    <definedName name="_xlnm.Print_Area" localSheetId="1">PRORRATEO!$A$1:$N$149</definedName>
    <definedName name="_xlnm.Print_Area" localSheetId="0">RESUMEN!$A$1:$J$145</definedName>
  </definedNames>
  <calcPr calcId="181029"/>
</workbook>
</file>

<file path=xl/calcChain.xml><?xml version="1.0" encoding="utf-8"?>
<calcChain xmlns="http://schemas.openxmlformats.org/spreadsheetml/2006/main">
  <c r="H46" i="2" l="1"/>
  <c r="H35" i="2"/>
  <c r="H36" i="2"/>
  <c r="H28" i="2"/>
  <c r="H29" i="2"/>
  <c r="H30" i="2"/>
  <c r="H24" i="2"/>
  <c r="H23" i="2"/>
  <c r="H22" i="2"/>
  <c r="H20" i="2"/>
  <c r="D52" i="1"/>
  <c r="E48" i="1"/>
  <c r="C14" i="4"/>
  <c r="M7" i="2"/>
  <c r="N7" i="2"/>
  <c r="E72" i="1"/>
  <c r="L72" i="1" s="1"/>
  <c r="M72" i="1" s="1"/>
  <c r="K72" i="1"/>
  <c r="N72" i="1" s="1"/>
  <c r="D78" i="1"/>
  <c r="E86" i="1"/>
  <c r="F86" i="1"/>
  <c r="G86" i="1"/>
  <c r="H86" i="1"/>
  <c r="I86" i="1"/>
  <c r="J86" i="1"/>
  <c r="C106" i="1"/>
  <c r="C118" i="1" s="1"/>
  <c r="J84" i="1"/>
  <c r="I84" i="1"/>
  <c r="H84" i="1"/>
  <c r="G84" i="1"/>
  <c r="F84" i="1"/>
  <c r="E84" i="1"/>
  <c r="J74" i="1"/>
  <c r="I74" i="1"/>
  <c r="H74" i="1"/>
  <c r="G74" i="1"/>
  <c r="F74" i="1"/>
  <c r="E74" i="1"/>
  <c r="E73" i="1"/>
  <c r="J73" i="1"/>
  <c r="I73" i="1"/>
  <c r="H73" i="1"/>
  <c r="G73" i="1"/>
  <c r="F73" i="1"/>
  <c r="K74" i="1"/>
  <c r="N74" i="1" s="1"/>
  <c r="J83" i="1"/>
  <c r="I83" i="1"/>
  <c r="H83" i="1"/>
  <c r="G83" i="1"/>
  <c r="F83" i="1"/>
  <c r="E83" i="1"/>
  <c r="D82" i="1"/>
  <c r="E47" i="1"/>
  <c r="E49" i="1"/>
  <c r="E50" i="1"/>
  <c r="H125" i="2"/>
  <c r="H119" i="2"/>
  <c r="H120" i="2"/>
  <c r="H118" i="2"/>
  <c r="H115" i="2"/>
  <c r="H111" i="2"/>
  <c r="H112" i="2"/>
  <c r="H110" i="2"/>
  <c r="H83" i="2"/>
  <c r="H9" i="2"/>
  <c r="H10" i="2"/>
  <c r="H11" i="2"/>
  <c r="H12" i="2"/>
  <c r="H8" i="2"/>
  <c r="H72" i="2"/>
  <c r="H93" i="2"/>
  <c r="H41" i="2"/>
  <c r="H17" i="2"/>
  <c r="H108" i="2"/>
  <c r="H81" i="2"/>
  <c r="H86" i="2"/>
  <c r="H74" i="2"/>
  <c r="H40" i="2"/>
  <c r="H65" i="2"/>
  <c r="H53" i="2"/>
  <c r="H85" i="2"/>
  <c r="H95" i="2"/>
  <c r="H104" i="2"/>
  <c r="H66" i="2"/>
  <c r="H31" i="2"/>
  <c r="H34" i="2"/>
  <c r="H13" i="2"/>
  <c r="H51" i="2"/>
  <c r="H15" i="2"/>
  <c r="H103" i="2"/>
  <c r="H89" i="2"/>
  <c r="H88" i="2"/>
  <c r="H49" i="2"/>
  <c r="H43" i="2"/>
  <c r="H122" i="2"/>
  <c r="H68" i="2"/>
  <c r="H42" i="2"/>
  <c r="H25" i="2"/>
  <c r="H116" i="2"/>
  <c r="H105" i="2"/>
  <c r="H45" i="2"/>
  <c r="H79" i="2"/>
  <c r="H94" i="2"/>
  <c r="H113" i="2"/>
  <c r="H98" i="2"/>
  <c r="H63" i="2"/>
  <c r="H123" i="2"/>
  <c r="H80" i="2"/>
  <c r="H96" i="2"/>
  <c r="H73" i="2"/>
  <c r="H92" i="2"/>
  <c r="H82" i="2"/>
  <c r="H124" i="2"/>
  <c r="H57" i="2"/>
  <c r="H97" i="2"/>
  <c r="H32" i="2"/>
  <c r="H109" i="2"/>
  <c r="H37" i="2"/>
  <c r="H84" i="2"/>
  <c r="H47" i="2"/>
  <c r="H44" i="2"/>
  <c r="H27" i="2"/>
  <c r="H78" i="2"/>
  <c r="H107" i="2"/>
  <c r="H56" i="2"/>
  <c r="H55" i="2"/>
  <c r="H61" i="2"/>
  <c r="H75" i="2"/>
  <c r="H121" i="2"/>
  <c r="H114" i="2"/>
  <c r="H39" i="2"/>
  <c r="L74" i="1" l="1"/>
  <c r="M74" i="1" s="1"/>
  <c r="K13" i="2" l="1"/>
  <c r="O14" i="2" l="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E101" i="1"/>
  <c r="J101" i="1"/>
  <c r="I101" i="1"/>
  <c r="H101" i="1"/>
  <c r="G101" i="1"/>
  <c r="F101" i="1"/>
  <c r="F127" i="2"/>
  <c r="J85" i="1"/>
  <c r="I85" i="1"/>
  <c r="H85" i="1"/>
  <c r="G85" i="1"/>
  <c r="F85" i="1"/>
  <c r="E85" i="1"/>
  <c r="E70" i="1"/>
  <c r="E46" i="1"/>
  <c r="E87" i="1"/>
  <c r="D57" i="1"/>
  <c r="G57" i="1" s="1"/>
  <c r="D61" i="1"/>
  <c r="E61" i="1" s="1"/>
  <c r="K68" i="1"/>
  <c r="J68" i="1"/>
  <c r="J69" i="1"/>
  <c r="I68" i="1"/>
  <c r="H68" i="1"/>
  <c r="G68" i="1"/>
  <c r="F68" i="1"/>
  <c r="E69" i="1"/>
  <c r="E68" i="1"/>
  <c r="D31" i="1"/>
  <c r="J65" i="1"/>
  <c r="I65" i="1"/>
  <c r="H65" i="1"/>
  <c r="G65" i="1"/>
  <c r="F65" i="1"/>
  <c r="D89" i="1" l="1"/>
  <c r="K101" i="1"/>
  <c r="L101" i="1" s="1"/>
  <c r="I61" i="1"/>
  <c r="J61" i="1"/>
  <c r="F61" i="1"/>
  <c r="G61" i="1"/>
  <c r="H61" i="1"/>
  <c r="L68" i="1"/>
  <c r="M68" i="1" s="1"/>
  <c r="E57" i="1"/>
  <c r="I57" i="1"/>
  <c r="F57" i="1"/>
  <c r="J57" i="1"/>
  <c r="H57" i="1"/>
  <c r="K71" i="1"/>
  <c r="E71" i="1"/>
  <c r="L71" i="1" s="1"/>
  <c r="J98" i="1"/>
  <c r="I98" i="1"/>
  <c r="H98" i="1"/>
  <c r="G98" i="1"/>
  <c r="F98" i="1"/>
  <c r="J97" i="1"/>
  <c r="I97" i="1"/>
  <c r="H97" i="1"/>
  <c r="G97" i="1"/>
  <c r="F97" i="1"/>
  <c r="J93" i="1"/>
  <c r="I93" i="1"/>
  <c r="I96" i="1" s="1"/>
  <c r="H93" i="1"/>
  <c r="H96" i="1" s="1"/>
  <c r="G93" i="1"/>
  <c r="G96" i="1" s="1"/>
  <c r="F93" i="1"/>
  <c r="F96" i="1" s="1"/>
  <c r="J82" i="1"/>
  <c r="I82" i="1"/>
  <c r="H82" i="1"/>
  <c r="H89" i="1" s="1"/>
  <c r="G82" i="1"/>
  <c r="G89" i="1" s="1"/>
  <c r="F82" i="1"/>
  <c r="K70" i="1"/>
  <c r="I69" i="1"/>
  <c r="H69" i="1"/>
  <c r="G69" i="1"/>
  <c r="F69" i="1"/>
  <c r="I63" i="1"/>
  <c r="H63" i="1"/>
  <c r="G63" i="1"/>
  <c r="F63" i="1"/>
  <c r="J63" i="1"/>
  <c r="J24" i="2"/>
  <c r="E122" i="1"/>
  <c r="L73" i="1"/>
  <c r="M73" i="1" s="1"/>
  <c r="K73" i="1"/>
  <c r="N73" i="1" s="1"/>
  <c r="I64" i="1"/>
  <c r="E65" i="1"/>
  <c r="K65" i="1" s="1"/>
  <c r="E98" i="1"/>
  <c r="E97" i="1"/>
  <c r="E93" i="1"/>
  <c r="E82" i="1"/>
  <c r="E63" i="1"/>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45" i="2"/>
  <c r="D38" i="1"/>
  <c r="D39" i="1" s="1"/>
  <c r="I13" i="2"/>
  <c r="I15" i="2"/>
  <c r="I16" i="2"/>
  <c r="I17" i="2"/>
  <c r="I19" i="2"/>
  <c r="I22" i="2"/>
  <c r="I23" i="2"/>
  <c r="I24" i="2"/>
  <c r="I26" i="2"/>
  <c r="I28" i="2"/>
  <c r="I29" i="2"/>
  <c r="I30" i="2"/>
  <c r="I31" i="2"/>
  <c r="I32" i="2"/>
  <c r="I33" i="2"/>
  <c r="I34" i="2"/>
  <c r="I35" i="2"/>
  <c r="I36" i="2"/>
  <c r="I37" i="2"/>
  <c r="I25" i="2"/>
  <c r="I21" i="2"/>
  <c r="I40" i="2"/>
  <c r="I41" i="2"/>
  <c r="I20" i="2"/>
  <c r="I42" i="2"/>
  <c r="I43" i="2"/>
  <c r="I44" i="2"/>
  <c r="I46" i="2"/>
  <c r="I47" i="2"/>
  <c r="I48" i="2"/>
  <c r="I18" i="2"/>
  <c r="I50" i="2"/>
  <c r="D99" i="1"/>
  <c r="D96" i="1"/>
  <c r="B144" i="1"/>
  <c r="K76" i="1"/>
  <c r="N76" i="1" s="1"/>
  <c r="E76" i="1"/>
  <c r="L76" i="1" s="1"/>
  <c r="E89" i="1" l="1"/>
  <c r="I89" i="1"/>
  <c r="F89" i="1"/>
  <c r="K61" i="1"/>
  <c r="L61" i="1" s="1"/>
  <c r="K57" i="1"/>
  <c r="L57" i="1" s="1"/>
  <c r="G78" i="1"/>
  <c r="K63" i="1"/>
  <c r="H99" i="1"/>
  <c r="G99" i="1"/>
  <c r="F99" i="1"/>
  <c r="I99" i="1"/>
  <c r="I66" i="1"/>
  <c r="L69" i="1"/>
  <c r="F78" i="1"/>
  <c r="I78" i="1"/>
  <c r="H78" i="1"/>
  <c r="F64" i="1"/>
  <c r="F66" i="1" s="1"/>
  <c r="G64" i="1"/>
  <c r="G66" i="1" s="1"/>
  <c r="H64" i="1"/>
  <c r="H66" i="1" s="1"/>
  <c r="L70" i="1"/>
  <c r="M76" i="1"/>
  <c r="J64" i="1"/>
  <c r="J66" i="1" s="1"/>
  <c r="J13" i="2"/>
  <c r="J116" i="2"/>
  <c r="J100" i="2"/>
  <c r="J84" i="2"/>
  <c r="J68" i="2"/>
  <c r="J52" i="2"/>
  <c r="J36" i="2"/>
  <c r="J20" i="2"/>
  <c r="J112" i="2"/>
  <c r="J96" i="2"/>
  <c r="J80" i="2"/>
  <c r="J64" i="2"/>
  <c r="J48" i="2"/>
  <c r="J32" i="2"/>
  <c r="J16" i="2"/>
  <c r="J124" i="2"/>
  <c r="J108" i="2"/>
  <c r="J92" i="2"/>
  <c r="J76" i="2"/>
  <c r="J60" i="2"/>
  <c r="J44" i="2"/>
  <c r="J28" i="2"/>
  <c r="J120" i="2"/>
  <c r="J104" i="2"/>
  <c r="J88" i="2"/>
  <c r="J72" i="2"/>
  <c r="J56" i="2"/>
  <c r="J40" i="2"/>
  <c r="E64" i="1"/>
  <c r="J123" i="2"/>
  <c r="J119" i="2"/>
  <c r="J115" i="2"/>
  <c r="J111" i="2"/>
  <c r="J107" i="2"/>
  <c r="J103" i="2"/>
  <c r="J99" i="2"/>
  <c r="J95" i="2"/>
  <c r="J91" i="2"/>
  <c r="J87" i="2"/>
  <c r="J83" i="2"/>
  <c r="J79" i="2"/>
  <c r="J75" i="2"/>
  <c r="J71" i="2"/>
  <c r="J67" i="2"/>
  <c r="J63" i="2"/>
  <c r="J59" i="2"/>
  <c r="J55" i="2"/>
  <c r="J51" i="2"/>
  <c r="J47" i="2"/>
  <c r="J43" i="2"/>
  <c r="J39" i="2"/>
  <c r="J35" i="2"/>
  <c r="J31" i="2"/>
  <c r="J27" i="2"/>
  <c r="J23" i="2"/>
  <c r="J19" i="2"/>
  <c r="J15" i="2"/>
  <c r="J122" i="2"/>
  <c r="J118" i="2"/>
  <c r="J114" i="2"/>
  <c r="J110" i="2"/>
  <c r="J106" i="2"/>
  <c r="J102" i="2"/>
  <c r="J98" i="2"/>
  <c r="J94" i="2"/>
  <c r="J90" i="2"/>
  <c r="J86" i="2"/>
  <c r="J82" i="2"/>
  <c r="J78" i="2"/>
  <c r="J74" i="2"/>
  <c r="J70" i="2"/>
  <c r="J66" i="2"/>
  <c r="J62" i="2"/>
  <c r="J58" i="2"/>
  <c r="J54" i="2"/>
  <c r="J50" i="2"/>
  <c r="J46" i="2"/>
  <c r="J42" i="2"/>
  <c r="J38" i="2"/>
  <c r="J34" i="2"/>
  <c r="J30" i="2"/>
  <c r="J26" i="2"/>
  <c r="J22" i="2"/>
  <c r="J18" i="2"/>
  <c r="J14"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7" i="2"/>
  <c r="K114" i="2"/>
  <c r="K50" i="2"/>
  <c r="K98" i="2"/>
  <c r="K82" i="2"/>
  <c r="K18" i="2"/>
  <c r="K34" i="2"/>
  <c r="K66" i="2"/>
  <c r="K110" i="2"/>
  <c r="K94" i="2"/>
  <c r="K78" i="2"/>
  <c r="K62" i="2"/>
  <c r="K46" i="2"/>
  <c r="K30" i="2"/>
  <c r="K14" i="2"/>
  <c r="K122" i="2"/>
  <c r="K106" i="2"/>
  <c r="K90" i="2"/>
  <c r="K74" i="2"/>
  <c r="K58" i="2"/>
  <c r="K42" i="2"/>
  <c r="K26" i="2"/>
  <c r="K118" i="2"/>
  <c r="K102" i="2"/>
  <c r="K86" i="2"/>
  <c r="K70" i="2"/>
  <c r="K54" i="2"/>
  <c r="K38" i="2"/>
  <c r="K22" i="2"/>
  <c r="K125" i="2"/>
  <c r="K121" i="2"/>
  <c r="K117" i="2"/>
  <c r="K113" i="2"/>
  <c r="K109" i="2"/>
  <c r="K105" i="2"/>
  <c r="K101" i="2"/>
  <c r="K97" i="2"/>
  <c r="K93" i="2"/>
  <c r="K89" i="2"/>
  <c r="K85" i="2"/>
  <c r="K81" i="2"/>
  <c r="K77" i="2"/>
  <c r="K73" i="2"/>
  <c r="K69" i="2"/>
  <c r="K65" i="2"/>
  <c r="K61" i="2"/>
  <c r="K57" i="2"/>
  <c r="K53" i="2"/>
  <c r="K49" i="2"/>
  <c r="K45" i="2"/>
  <c r="K41" i="2"/>
  <c r="K37" i="2"/>
  <c r="K33" i="2"/>
  <c r="K29" i="2"/>
  <c r="K25" i="2"/>
  <c r="K21" i="2"/>
  <c r="K17" i="2"/>
  <c r="K124" i="2"/>
  <c r="K120" i="2"/>
  <c r="K116" i="2"/>
  <c r="K112" i="2"/>
  <c r="K108" i="2"/>
  <c r="K104" i="2"/>
  <c r="K100" i="2"/>
  <c r="K96" i="2"/>
  <c r="K92" i="2"/>
  <c r="K88" i="2"/>
  <c r="K84" i="2"/>
  <c r="K80" i="2"/>
  <c r="K76" i="2"/>
  <c r="K72" i="2"/>
  <c r="K68" i="2"/>
  <c r="K64" i="2"/>
  <c r="K60" i="2"/>
  <c r="K56" i="2"/>
  <c r="K52" i="2"/>
  <c r="K48" i="2"/>
  <c r="K44" i="2"/>
  <c r="K40" i="2"/>
  <c r="K36" i="2"/>
  <c r="K32" i="2"/>
  <c r="K28" i="2"/>
  <c r="K24" i="2"/>
  <c r="K20" i="2"/>
  <c r="K16" i="2"/>
  <c r="K123" i="2"/>
  <c r="K119" i="2"/>
  <c r="K115" i="2"/>
  <c r="K111" i="2"/>
  <c r="K107" i="2"/>
  <c r="K103" i="2"/>
  <c r="K99" i="2"/>
  <c r="K95" i="2"/>
  <c r="K91" i="2"/>
  <c r="K87" i="2"/>
  <c r="K83" i="2"/>
  <c r="K79" i="2"/>
  <c r="K75" i="2"/>
  <c r="K71" i="2"/>
  <c r="K67" i="2"/>
  <c r="K63" i="2"/>
  <c r="K59" i="2"/>
  <c r="K55" i="2"/>
  <c r="K51" i="2"/>
  <c r="K47" i="2"/>
  <c r="K43" i="2"/>
  <c r="K39" i="2"/>
  <c r="K35" i="2"/>
  <c r="K31" i="2"/>
  <c r="K27" i="2"/>
  <c r="K23" i="2"/>
  <c r="K19" i="2"/>
  <c r="K15" i="2"/>
  <c r="I27" i="2"/>
  <c r="I38" i="2"/>
  <c r="I49" i="2"/>
  <c r="I39" i="2"/>
  <c r="E39" i="1" l="1"/>
  <c r="K127" i="2"/>
  <c r="K64" i="1"/>
  <c r="H39" i="1"/>
  <c r="H103" i="1" s="1"/>
  <c r="R12" i="2" s="1"/>
  <c r="G39" i="1"/>
  <c r="G103" i="1" s="1"/>
  <c r="R11" i="2" s="1"/>
  <c r="J39" i="1"/>
  <c r="F39" i="1"/>
  <c r="F103" i="1" s="1"/>
  <c r="R10" i="2" s="1"/>
  <c r="I39" i="1"/>
  <c r="I103" i="1" s="1"/>
  <c r="R13" i="2" s="1"/>
  <c r="J127" i="2"/>
  <c r="D66" i="1"/>
  <c r="K39" i="1" l="1"/>
  <c r="L39" i="1" s="1"/>
  <c r="I124" i="2"/>
  <c r="N68" i="1"/>
  <c r="N70" i="1" l="1"/>
  <c r="G127" i="2"/>
  <c r="M70" i="1" l="1"/>
  <c r="E75" i="1"/>
  <c r="L75" i="1" s="1"/>
  <c r="D124" i="1" l="1"/>
  <c r="B134" i="1" l="1"/>
  <c r="E124" i="1"/>
  <c r="J124" i="1"/>
  <c r="L124" i="1" l="1"/>
  <c r="M124" i="1" s="1"/>
  <c r="J51" i="1" l="1"/>
  <c r="J45" i="1"/>
  <c r="E51" i="1"/>
  <c r="E45" i="1"/>
  <c r="K69" i="1" l="1"/>
  <c r="N69" i="1" s="1"/>
  <c r="K75" i="1"/>
  <c r="N75" i="1" s="1"/>
  <c r="M77" i="1" l="1"/>
  <c r="M75" i="1" l="1"/>
  <c r="J41" i="1" l="1"/>
  <c r="J40" i="1"/>
  <c r="E41" i="1"/>
  <c r="E40" i="1"/>
  <c r="J78" i="1" l="1"/>
  <c r="E78" i="1"/>
  <c r="M69" i="1"/>
  <c r="J99" i="1"/>
  <c r="E99" i="1"/>
  <c r="E96" i="1"/>
  <c r="J96" i="1"/>
  <c r="J89" i="1"/>
  <c r="K89" i="1" s="1"/>
  <c r="E44" i="1"/>
  <c r="E52" i="1" s="1"/>
  <c r="K52" i="1" s="1"/>
  <c r="J44" i="1"/>
  <c r="J103" i="1" l="1"/>
  <c r="R14" i="2" s="1"/>
  <c r="K78" i="1"/>
  <c r="L78" i="1" s="1"/>
  <c r="K99" i="1"/>
  <c r="K96" i="1"/>
  <c r="K44" i="1"/>
  <c r="D44" i="1"/>
  <c r="M78" i="1" l="1"/>
  <c r="L89" i="1"/>
  <c r="L44" i="1"/>
  <c r="L99" i="1"/>
  <c r="L96" i="1"/>
  <c r="B136" i="1"/>
  <c r="L52" i="1" l="1"/>
  <c r="D103" i="1"/>
  <c r="E66" i="1"/>
  <c r="E103" i="1" s="1"/>
  <c r="K103" i="1" s="1"/>
  <c r="B128" i="1" l="1"/>
  <c r="B133" i="1" s="1"/>
  <c r="L1" i="2"/>
  <c r="P4" i="2" s="1"/>
  <c r="L103" i="1"/>
  <c r="K66" i="1"/>
  <c r="L66" i="1" s="1"/>
  <c r="B127" i="1"/>
  <c r="P144" i="2" l="1"/>
  <c r="A3" i="2"/>
  <c r="K128" i="2" l="1"/>
  <c r="B135" i="1"/>
  <c r="J4" i="2" l="1"/>
  <c r="L11" i="2" l="1"/>
  <c r="L15" i="2"/>
  <c r="L19" i="2"/>
  <c r="L23" i="2"/>
  <c r="L27" i="2"/>
  <c r="M27" i="2" s="1"/>
  <c r="N27" i="2" s="1"/>
  <c r="L31" i="2"/>
  <c r="L35" i="2"/>
  <c r="L47" i="2"/>
  <c r="L51" i="2"/>
  <c r="M55" i="2"/>
  <c r="N55" i="2" s="1"/>
  <c r="L59" i="2"/>
  <c r="L63" i="2"/>
  <c r="L67" i="2"/>
  <c r="L71" i="2"/>
  <c r="M71" i="2" s="1"/>
  <c r="N71" i="2" s="1"/>
  <c r="L75" i="2"/>
  <c r="L83" i="2"/>
  <c r="L87" i="2"/>
  <c r="M87" i="2" s="1"/>
  <c r="N87" i="2" s="1"/>
  <c r="L91" i="2"/>
  <c r="L95" i="2"/>
  <c r="L99" i="2"/>
  <c r="L103" i="2"/>
  <c r="M103" i="2" s="1"/>
  <c r="N103" i="2" s="1"/>
  <c r="L107" i="2"/>
  <c r="L111" i="2"/>
  <c r="L115" i="2"/>
  <c r="L119" i="2"/>
  <c r="M119" i="2" s="1"/>
  <c r="N119" i="2" s="1"/>
  <c r="L123" i="2"/>
  <c r="L34" i="2"/>
  <c r="L54" i="2"/>
  <c r="L62" i="2"/>
  <c r="M62" i="2" s="1"/>
  <c r="N62" i="2" s="1"/>
  <c r="L70" i="2"/>
  <c r="L78" i="2"/>
  <c r="L90" i="2"/>
  <c r="L102" i="2"/>
  <c r="L110" i="2"/>
  <c r="L118" i="2"/>
  <c r="L8" i="2"/>
  <c r="L12" i="2"/>
  <c r="L16" i="2"/>
  <c r="L20" i="2"/>
  <c r="L24" i="2"/>
  <c r="M24" i="2" s="1"/>
  <c r="N24" i="2" s="1"/>
  <c r="L28" i="2"/>
  <c r="M28" i="2" s="1"/>
  <c r="N28" i="2" s="1"/>
  <c r="L32" i="2"/>
  <c r="L36" i="2"/>
  <c r="L40" i="2"/>
  <c r="L44" i="2"/>
  <c r="M44" i="2" s="1"/>
  <c r="N44" i="2" s="1"/>
  <c r="L48" i="2"/>
  <c r="L52" i="2"/>
  <c r="L56" i="2"/>
  <c r="L60" i="2"/>
  <c r="M60" i="2" s="1"/>
  <c r="N60" i="2" s="1"/>
  <c r="L64" i="2"/>
  <c r="L68" i="2"/>
  <c r="L72" i="2"/>
  <c r="L76" i="2"/>
  <c r="M76" i="2" s="1"/>
  <c r="N76" i="2" s="1"/>
  <c r="L84" i="2"/>
  <c r="L88" i="2"/>
  <c r="L92" i="2"/>
  <c r="M92" i="2" s="1"/>
  <c r="N92" i="2" s="1"/>
  <c r="L96" i="2"/>
  <c r="L100" i="2"/>
  <c r="L104" i="2"/>
  <c r="L108" i="2"/>
  <c r="M108" i="2" s="1"/>
  <c r="N108" i="2" s="1"/>
  <c r="L112" i="2"/>
  <c r="L116" i="2"/>
  <c r="L120" i="2"/>
  <c r="L124" i="2"/>
  <c r="M124" i="2" s="1"/>
  <c r="N124" i="2" s="1"/>
  <c r="L42" i="2"/>
  <c r="L94" i="2"/>
  <c r="L122" i="2"/>
  <c r="L9" i="2"/>
  <c r="L13" i="2"/>
  <c r="M17" i="2"/>
  <c r="N17" i="2" s="1"/>
  <c r="L21" i="2"/>
  <c r="L25" i="2"/>
  <c r="M25" i="2" s="1"/>
  <c r="N25" i="2" s="1"/>
  <c r="L29" i="2"/>
  <c r="L33" i="2"/>
  <c r="L37" i="2"/>
  <c r="L41" i="2"/>
  <c r="M41" i="2" s="1"/>
  <c r="N41" i="2" s="1"/>
  <c r="L49" i="2"/>
  <c r="L53" i="2"/>
  <c r="L57" i="2"/>
  <c r="M57" i="2" s="1"/>
  <c r="N57" i="2" s="1"/>
  <c r="L61" i="2"/>
  <c r="L65" i="2"/>
  <c r="L69" i="2"/>
  <c r="L73" i="2"/>
  <c r="M73" i="2" s="1"/>
  <c r="N73" i="2" s="1"/>
  <c r="L77" i="2"/>
  <c r="L85" i="2"/>
  <c r="L89" i="2"/>
  <c r="M89" i="2" s="1"/>
  <c r="N89" i="2" s="1"/>
  <c r="L93" i="2"/>
  <c r="L97" i="2"/>
  <c r="L101" i="2"/>
  <c r="L105" i="2"/>
  <c r="M105" i="2" s="1"/>
  <c r="N105" i="2" s="1"/>
  <c r="L109" i="2"/>
  <c r="L113" i="2"/>
  <c r="L117" i="2"/>
  <c r="L121" i="2"/>
  <c r="M121" i="2" s="1"/>
  <c r="N121" i="2" s="1"/>
  <c r="L10" i="2"/>
  <c r="L14" i="2"/>
  <c r="L22" i="2"/>
  <c r="L26" i="2"/>
  <c r="L30" i="2"/>
  <c r="L38" i="2"/>
  <c r="M38" i="2" s="1"/>
  <c r="N38" i="2" s="1"/>
  <c r="L46" i="2"/>
  <c r="M46" i="2" s="1"/>
  <c r="N46" i="2" s="1"/>
  <c r="L50" i="2"/>
  <c r="L58" i="2"/>
  <c r="L66" i="2"/>
  <c r="L74" i="2"/>
  <c r="M74" i="2" s="1"/>
  <c r="N74" i="2" s="1"/>
  <c r="L82" i="2"/>
  <c r="L86" i="2"/>
  <c r="L98" i="2"/>
  <c r="L106" i="2"/>
  <c r="M106" i="2" s="1"/>
  <c r="N106" i="2" s="1"/>
  <c r="L114" i="2"/>
  <c r="M45" i="2"/>
  <c r="N45" i="2" s="1"/>
  <c r="M49" i="2"/>
  <c r="N49" i="2" s="1"/>
  <c r="M53" i="2"/>
  <c r="N53" i="2" s="1"/>
  <c r="M61" i="2"/>
  <c r="N61" i="2" s="1"/>
  <c r="M65" i="2"/>
  <c r="N65" i="2" s="1"/>
  <c r="M69" i="2"/>
  <c r="N69" i="2" s="1"/>
  <c r="M77" i="2"/>
  <c r="N77" i="2" s="1"/>
  <c r="M81" i="2"/>
  <c r="N81" i="2" s="1"/>
  <c r="M85" i="2"/>
  <c r="N85" i="2" s="1"/>
  <c r="M93" i="2"/>
  <c r="N93" i="2" s="1"/>
  <c r="M97" i="2"/>
  <c r="N97" i="2" s="1"/>
  <c r="M101" i="2"/>
  <c r="N101" i="2" s="1"/>
  <c r="M109" i="2"/>
  <c r="N109" i="2" s="1"/>
  <c r="M113" i="2"/>
  <c r="N113" i="2" s="1"/>
  <c r="M117" i="2"/>
  <c r="N117" i="2" s="1"/>
  <c r="L125" i="2"/>
  <c r="M13" i="2"/>
  <c r="N13" i="2" s="1"/>
  <c r="M36" i="2"/>
  <c r="N36" i="2" s="1"/>
  <c r="M40" i="2"/>
  <c r="N40" i="2" s="1"/>
  <c r="M84" i="2"/>
  <c r="N84" i="2" s="1"/>
  <c r="M100" i="2"/>
  <c r="N100" i="2" s="1"/>
  <c r="M120" i="2"/>
  <c r="N120" i="2" s="1"/>
  <c r="M21" i="2"/>
  <c r="N21" i="2" s="1"/>
  <c r="M29" i="2"/>
  <c r="N29" i="2" s="1"/>
  <c r="M31" i="2"/>
  <c r="N31" i="2" s="1"/>
  <c r="M50" i="2"/>
  <c r="N50" i="2" s="1"/>
  <c r="M54" i="2"/>
  <c r="N54" i="2" s="1"/>
  <c r="M58" i="2"/>
  <c r="N58" i="2" s="1"/>
  <c r="M66" i="2"/>
  <c r="N66" i="2" s="1"/>
  <c r="M70" i="2"/>
  <c r="N70" i="2" s="1"/>
  <c r="M78" i="2"/>
  <c r="N78" i="2" s="1"/>
  <c r="M82" i="2"/>
  <c r="N82" i="2" s="1"/>
  <c r="M86" i="2"/>
  <c r="N86" i="2" s="1"/>
  <c r="M90" i="2"/>
  <c r="N90" i="2" s="1"/>
  <c r="M94" i="2"/>
  <c r="N94" i="2" s="1"/>
  <c r="M98" i="2"/>
  <c r="N98" i="2" s="1"/>
  <c r="M102" i="2"/>
  <c r="N102" i="2" s="1"/>
  <c r="M110" i="2"/>
  <c r="N110" i="2" s="1"/>
  <c r="M114" i="2"/>
  <c r="N114" i="2" s="1"/>
  <c r="M118" i="2"/>
  <c r="N118" i="2" s="1"/>
  <c r="M122" i="2"/>
  <c r="N122" i="2" s="1"/>
  <c r="M16" i="2"/>
  <c r="N16" i="2" s="1"/>
  <c r="M19" i="2"/>
  <c r="N19" i="2" s="1"/>
  <c r="M22" i="2"/>
  <c r="N22" i="2" s="1"/>
  <c r="M30" i="2"/>
  <c r="N30" i="2" s="1"/>
  <c r="M32" i="2"/>
  <c r="N32" i="2" s="1"/>
  <c r="M48" i="2"/>
  <c r="N48" i="2" s="1"/>
  <c r="M52" i="2"/>
  <c r="N52" i="2" s="1"/>
  <c r="M56" i="2"/>
  <c r="N56" i="2" s="1"/>
  <c r="M64" i="2"/>
  <c r="N64" i="2" s="1"/>
  <c r="M68" i="2"/>
  <c r="N68" i="2" s="1"/>
  <c r="M80" i="2"/>
  <c r="N80" i="2" s="1"/>
  <c r="M96" i="2"/>
  <c r="N96" i="2" s="1"/>
  <c r="M104" i="2"/>
  <c r="N104" i="2" s="1"/>
  <c r="M116" i="2"/>
  <c r="N116" i="2" s="1"/>
  <c r="M15" i="2"/>
  <c r="N15" i="2" s="1"/>
  <c r="M23" i="2"/>
  <c r="N23" i="2" s="1"/>
  <c r="M47" i="2"/>
  <c r="N47" i="2" s="1"/>
  <c r="M51" i="2"/>
  <c r="N51" i="2" s="1"/>
  <c r="M59" i="2"/>
  <c r="N59" i="2" s="1"/>
  <c r="M63" i="2"/>
  <c r="N63" i="2" s="1"/>
  <c r="M67" i="2"/>
  <c r="N67" i="2" s="1"/>
  <c r="M75" i="2"/>
  <c r="N75" i="2" s="1"/>
  <c r="M79" i="2"/>
  <c r="N79" i="2" s="1"/>
  <c r="M83" i="2"/>
  <c r="N83" i="2" s="1"/>
  <c r="M91" i="2"/>
  <c r="N91" i="2" s="1"/>
  <c r="M95" i="2"/>
  <c r="N95" i="2" s="1"/>
  <c r="M99" i="2"/>
  <c r="N99" i="2" s="1"/>
  <c r="M107" i="2"/>
  <c r="N107" i="2" s="1"/>
  <c r="M111" i="2"/>
  <c r="N111" i="2" s="1"/>
  <c r="M115" i="2"/>
  <c r="N115" i="2" s="1"/>
  <c r="M123" i="2"/>
  <c r="N123" i="2" s="1"/>
  <c r="M20" i="2"/>
  <c r="N20" i="2" s="1"/>
  <c r="M35" i="2"/>
  <c r="N35" i="2" s="1"/>
  <c r="M37" i="2"/>
  <c r="N37" i="2" s="1"/>
  <c r="M39" i="2"/>
  <c r="N39" i="2" s="1"/>
  <c r="M43" i="2"/>
  <c r="N43" i="2" s="1"/>
  <c r="M72" i="2"/>
  <c r="N72" i="2" s="1"/>
  <c r="M88" i="2"/>
  <c r="N88" i="2" s="1"/>
  <c r="M112" i="2"/>
  <c r="N112" i="2" s="1"/>
  <c r="M18" i="2"/>
  <c r="N18" i="2" s="1"/>
  <c r="M33" i="2"/>
  <c r="N33" i="2" s="1"/>
  <c r="M42" i="2"/>
  <c r="N42" i="2" s="1"/>
  <c r="M26" i="2"/>
  <c r="N26" i="2" s="1"/>
  <c r="M34" i="2"/>
  <c r="N34" i="2" s="1"/>
  <c r="I125" i="2" l="1"/>
  <c r="M125" i="2" s="1"/>
  <c r="N125" i="2" s="1"/>
  <c r="L127" i="2" l="1"/>
  <c r="I11" i="2" l="1"/>
  <c r="I9" i="2"/>
  <c r="M9" i="2" s="1"/>
  <c r="I12" i="2"/>
  <c r="I8" i="2"/>
  <c r="M8" i="2" s="1"/>
  <c r="I10" i="2" l="1"/>
  <c r="M10" i="2" s="1"/>
  <c r="N10" i="2" s="1"/>
  <c r="N8" i="2"/>
  <c r="M12" i="2"/>
  <c r="N12" i="2" s="1"/>
  <c r="M11" i="2"/>
  <c r="N11" i="2" s="1"/>
  <c r="N9" i="2" l="1"/>
  <c r="M103" i="1" l="1"/>
  <c r="I14" i="2"/>
  <c r="M14" i="2" s="1"/>
  <c r="H127" i="2"/>
  <c r="B132" i="1" s="1"/>
  <c r="B138" i="1" s="1"/>
  <c r="M127" i="2" l="1"/>
  <c r="N14" i="2"/>
  <c r="N127" i="2" s="1"/>
</calcChain>
</file>

<file path=xl/sharedStrings.xml><?xml version="1.0" encoding="utf-8"?>
<sst xmlns="http://schemas.openxmlformats.org/spreadsheetml/2006/main" count="496" uniqueCount="340">
  <si>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</si>
  <si>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</si>
  <si>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</si>
  <si>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</si>
  <si>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</si>
  <si>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</si>
  <si>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</si>
  <si>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</si>
  <si>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</si>
  <si>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ESTADO DE CUENTA Y PRORRATEO</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</si>
  <si>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</si>
  <si>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</si>
  <si>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</si>
  <si>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</si>
  <si>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</si>
  <si>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</si>
  <si>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</si>
  <si>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</si>
  <si>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</si>
  <si>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</si>
  <si>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</si>
  <si>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</si>
  <si>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</si>
  <si>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</si>
  <si>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</si>
  <si>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</si>
  <si>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</si>
  <si>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</si>
  <si>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</si>
  <si>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</si>
  <si>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</si>
  <si>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</si>
  <si>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</si>
  <si>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</si>
  <si>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</si>
  <si>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SAC</t>
  </si>
  <si>
    <t>TOTAL SAC</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</si>
  <si>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</si>
  <si>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</si>
  <si>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</si>
  <si>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</si>
  <si>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</si>
  <si>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</si>
  <si>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</si>
  <si>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</si>
  <si>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</si>
  <si>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</si>
  <si>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 xml:space="preserve">FONDO DE GASTOS ORDINARIOS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</si>
  <si>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</si>
  <si>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</si>
  <si>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</si>
  <si>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</si>
  <si>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</si>
  <si>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</si>
  <si>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</si>
  <si>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</si>
  <si>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</si>
  <si>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</si>
  <si>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</si>
  <si>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</si>
  <si>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</si>
  <si>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</si>
  <si>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</si>
  <si>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</si>
  <si>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</si>
  <si>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</si>
  <si>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</si>
  <si>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</si>
  <si>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</si>
  <si>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</si>
  <si>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</si>
  <si>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</si>
  <si>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</si>
  <si>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</si>
  <si>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</si>
  <si>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</si>
  <si>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</si>
  <si>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</si>
  <si>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</si>
  <si>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</si>
  <si>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</si>
  <si>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</si>
  <si>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</si>
  <si>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</si>
  <si>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</si>
  <si>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</si>
  <si>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</si>
  <si>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</si>
  <si>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</si>
  <si>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</si>
  <si>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</si>
  <si>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</si>
  <si>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</si>
  <si>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</si>
  <si>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</si>
  <si>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</si>
  <si>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</si>
  <si>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</si>
  <si>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</si>
  <si>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</si>
  <si>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</si>
  <si>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</si>
  <si>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</si>
  <si>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</si>
  <si>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</si>
  <si>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</si>
  <si>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</si>
  <si>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</si>
  <si>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</si>
  <si>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</si>
  <si>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</si>
  <si>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</si>
  <si>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</si>
  <si>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</si>
  <si>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</si>
  <si>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</si>
  <si>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</si>
  <si>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</si>
  <si>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</si>
  <si>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</si>
  <si>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</si>
  <si>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</si>
  <si>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</si>
  <si>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</si>
  <si>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</si>
  <si>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</si>
  <si>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</si>
  <si>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</si>
  <si>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</si>
  <si>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</si>
  <si>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</si>
  <si>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</si>
  <si>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</si>
  <si>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</si>
  <si>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</si>
  <si>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</si>
  <si>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</si>
  <si>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</si>
  <si>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</si>
  <si>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</si>
  <si>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</si>
  <si>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</si>
  <si>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</si>
  <si>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</si>
  <si>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</si>
  <si>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</si>
  <si>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</si>
  <si>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</si>
  <si>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</si>
  <si>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</si>
  <si>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</si>
  <si>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</si>
  <si>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</si>
  <si>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</si>
  <si>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</si>
  <si>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</si>
  <si>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</si>
  <si>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</si>
  <si>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</si>
  <si>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</si>
  <si>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</si>
  <si>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</si>
  <si>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</si>
  <si>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</si>
  <si>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</si>
  <si>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</si>
  <si>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</si>
  <si>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</si>
  <si>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</si>
  <si>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</si>
  <si>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</si>
  <si>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</si>
  <si>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</si>
  <si>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</si>
  <si>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</si>
  <si>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</si>
  <si>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</si>
  <si>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</si>
  <si>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</si>
  <si>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</si>
  <si>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</si>
  <si>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</si>
  <si>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</si>
  <si>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</si>
  <si>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</si>
  <si>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</si>
  <si>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</si>
  <si>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</si>
  <si>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</si>
  <si>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</si>
  <si>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</si>
  <si>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</si>
  <si>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</si>
  <si>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</si>
  <si>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</si>
  <si>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</si>
  <si>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</si>
  <si>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</si>
  <si>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</si>
  <si>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Acosta, Daniela Pilar</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</si>
  <si>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</si>
  <si>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</si>
  <si>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</si>
  <si>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</si>
  <si>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</si>
  <si>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</si>
  <si>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</si>
  <si>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</si>
  <si>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</si>
  <si>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</si>
  <si>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</si>
  <si>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</si>
  <si>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</si>
  <si>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</si>
  <si>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</si>
  <si>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</si>
  <si>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Cadahia, Rosanna Patricia</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</si>
  <si>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</si>
  <si>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</si>
  <si>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</si>
  <si>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</si>
  <si>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</si>
  <si>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</si>
  <si>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</si>
  <si>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</si>
  <si>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</si>
  <si>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</si>
  <si>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</si>
  <si>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</si>
  <si>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</si>
  <si>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</si>
  <si>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</si>
  <si>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</si>
  <si>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</si>
  <si>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</si>
  <si>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</si>
  <si>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</si>
  <si>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</si>
  <si>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</si>
  <si>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</si>
  <si>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</si>
  <si>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 xml:space="preserve">Sueldo encargada Sonia Arzamendia Galeano </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</si>
  <si>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</si>
  <si>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</si>
  <si>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</si>
  <si>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</si>
  <si>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</si>
  <si>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</si>
  <si>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</si>
  <si>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</si>
  <si>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</si>
  <si>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</si>
  <si>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</si>
  <si>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ARBA - Impuesto inmobiliario partida 025024270-0</t>
  </si>
  <si>
    <t>TSG - Partida 197227000</t>
  </si>
  <si>
    <t>TSG - Partida 197229000</t>
  </si>
  <si>
    <t>COMBUSTIBLE PARA GRUPO ELECTROGENO</t>
  </si>
  <si>
    <t>Gas Lanus SA - Compra infinia diesel</t>
  </si>
  <si>
    <t>LOCAL 1</t>
  </si>
  <si>
    <t>LOCAL 2</t>
  </si>
  <si>
    <t>LOCAL 3</t>
  </si>
  <si>
    <t>LOCAL 4</t>
  </si>
  <si>
    <t>LOCAL 5</t>
  </si>
  <si>
    <t>para copias y pegar las expensas ord del local</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</si>
  <si>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</si>
  <si>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</si>
  <si>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</si>
  <si>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</si>
  <si>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</si>
  <si>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</si>
  <si>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</si>
  <si>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</si>
  <si>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</si>
  <si>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CBU: </t>
  </si>
  <si>
    <t>HORARIOS DE ATENCION: LUNES A VIERNES - 10 A 16HS - EMERGENCIAS 24HS</t>
  </si>
  <si>
    <t xml:space="preserve">MAIL: elmiradorconsorcios@gmail.com
</t>
  </si>
  <si>
    <t>PERÍODO: JULIO</t>
  </si>
  <si>
    <t>ADS - Abono de mantenimiento ascensores JULIO del 2025</t>
  </si>
  <si>
    <t>AGREGAR MAILS DEL FOLEO</t>
  </si>
  <si>
    <t>COCHERA 33</t>
  </si>
  <si>
    <t>Schiaffino, Edgardo Angel</t>
  </si>
  <si>
    <t>Orsi, Jose Luis - Fernandez, Cristian Gabriel</t>
  </si>
  <si>
    <t>Inquilinos</t>
  </si>
  <si>
    <t xml:space="preserve">Carolina </t>
  </si>
  <si>
    <t>Balduzzi, Stella Maris</t>
  </si>
  <si>
    <t>Liria</t>
  </si>
  <si>
    <t>Christian</t>
  </si>
  <si>
    <t xml:space="preserve">Aylen </t>
  </si>
  <si>
    <t>Adrian</t>
  </si>
  <si>
    <t>Agustina</t>
  </si>
  <si>
    <t>Efect 24/07</t>
  </si>
  <si>
    <t>Efect 28/07</t>
  </si>
  <si>
    <t>Efect 31/07</t>
  </si>
  <si>
    <t>Mercado P. 09/07</t>
  </si>
  <si>
    <t>Efect. 18/07</t>
  </si>
  <si>
    <t>Efect. 29/07</t>
  </si>
  <si>
    <t>Loschi Mantenimiento grupo electrogeno - Abono bimestral</t>
  </si>
  <si>
    <t>Loschi - Provision bomba electrica para carga de combustible</t>
  </si>
  <si>
    <t>Articulos de limpieza - Mes de Junio</t>
  </si>
  <si>
    <t>Articulos de limpieza - Mes de Julio</t>
  </si>
  <si>
    <t>Metrogas - Cliente nro. 40000496339</t>
  </si>
  <si>
    <t>Vt. 02/07</t>
  </si>
  <si>
    <t>Metrogas - Cliente nro. 40000497007</t>
  </si>
  <si>
    <t>Efect. 24/07</t>
  </si>
  <si>
    <t>Buenas ondas - Compra de guantes mapa negros</t>
  </si>
  <si>
    <t>PMC 10/07</t>
  </si>
  <si>
    <t>Mercado P. 30/07</t>
  </si>
  <si>
    <t>Mundo plus - cancelacion compra tachos de basura</t>
  </si>
  <si>
    <t>Sra Miriam - Control para apertura de cochera</t>
  </si>
  <si>
    <t>2 controles de cochera - UF 13F</t>
  </si>
  <si>
    <t>1 control de cochera - UF 7A</t>
  </si>
  <si>
    <t>LLaves 6C</t>
  </si>
  <si>
    <t>Llaves 7A</t>
  </si>
  <si>
    <t>Llaves 9A</t>
  </si>
  <si>
    <t>Llaves 7C</t>
  </si>
  <si>
    <t>Llaves 2E</t>
  </si>
  <si>
    <t>Llaves 2F</t>
  </si>
  <si>
    <t>Llaves 13D</t>
  </si>
  <si>
    <t>Llaves 13F</t>
  </si>
  <si>
    <t>Baez Veronica Anabella - Compra limpiadores de acero y pilas</t>
  </si>
  <si>
    <t>Victor Martinez - Abono mantenimiento control de accesos - No llego factura</t>
  </si>
  <si>
    <t>No hay cuenta aun</t>
  </si>
  <si>
    <t>Transf 05/07</t>
  </si>
  <si>
    <t>VTO 14/08</t>
  </si>
  <si>
    <t>TOTAL A ABONAR 2DO VTO - DESDE EL</t>
  </si>
  <si>
    <t>TOTAL A ABONAR HASTA</t>
  </si>
  <si>
    <t>Ayala, Agustin</t>
  </si>
  <si>
    <t>AYALA</t>
  </si>
  <si>
    <t>3B</t>
  </si>
  <si>
    <t>3D</t>
  </si>
  <si>
    <t>3E</t>
  </si>
  <si>
    <t>3F</t>
  </si>
  <si>
    <t>4D</t>
  </si>
  <si>
    <t>4E</t>
  </si>
  <si>
    <t>4F</t>
  </si>
  <si>
    <t>5E</t>
  </si>
  <si>
    <t>5F</t>
  </si>
  <si>
    <t>Efect 26/07</t>
  </si>
  <si>
    <t>Monotributo Sra. Miriam</t>
  </si>
  <si>
    <t>Transf 21/07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</si>
</sst>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quot;$&quot;\ #,##0;[Red]\-&quot;$&quot;\ #,##0"/>
    <numFmt numFmtId="165" formatCode="&quot;$&quot;\ #,##0.00;[Red]\-&quot;$&quot;\ #,##0.00"/>
    <numFmt numFmtId="166" formatCode="_-&quot;$&quot;\ * #,##0.00_-;\-&quot;$&quot;\ * #,##0.00_-;_-&quot;$&quot;\ * &quot;-&quot;??_-;_-@_-"/>
    <numFmt numFmtId="167" formatCode="_ &quot;$&quot;\ * #,##0.00_ ;_ &quot;$&quot;\ * \-#,##0.00_ ;_ &quot;$&quot;\ * &quot;-&quot;??_ ;_ @_ "/>
    <numFmt numFmtId="168" formatCode="_-&quot;$&quot;\ * #,##0_-;\-&quot;$&quot;\ * #,##0_-;_-&quot;$&quot;\ * &quot;-&quot;??_-;_-@_-"/>
    <numFmt numFmtId="169" formatCode="0.000"/>
    <numFmt numFmtId="170" formatCode="_-[$$-2C0A]\ * #,##0.00_-;\-[$$-2C0A]\ * #,##0.00_-;_-[$$-2C0A]\ * &quot;-&quot;??_-;_-@_-"/>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4" tint="0.59999389629810485"/>
      <name val="Calibri"/>
      <family val="2"/>
      <scheme val="minor"/>
    </font>
    <font>
      <sz val="11"/>
      <color theme="4" tint="0.59999389629810485"/>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166"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cellStyleXfs>
  <cellXfs count="208">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165" fontId="0" fillId="3" borderId="0" xfId="0" applyNumberFormat="1"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165" fontId="0" fillId="0" borderId="0" xfId="0" applyNumberFormat="1"/>
    <xf numFmtId="0" fontId="5" fillId="6" borderId="0" xfId="0" applyFont="1" applyFill="1"/>
    <xf numFmtId="167" fontId="6" fillId="0" borderId="1" xfId="2" applyFont="1" applyBorder="1"/>
    <xf numFmtId="167"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7" fontId="3" fillId="0" borderId="1" xfId="0" applyNumberFormat="1" applyFont="1" applyBorder="1"/>
    <xf numFmtId="4" fontId="6" fillId="0" borderId="0" xfId="0" applyNumberFormat="1" applyFont="1"/>
    <xf numFmtId="167" fontId="0" fillId="0" borderId="0" xfId="0" applyNumberFormat="1"/>
    <xf numFmtId="168" fontId="0" fillId="0" borderId="1" xfId="1" applyNumberFormat="1" applyFont="1" applyBorder="1"/>
    <xf numFmtId="0" fontId="0" fillId="7" borderId="1" xfId="0" applyFill="1" applyBorder="1"/>
    <xf numFmtId="168" fontId="0" fillId="7" borderId="1" xfId="0" applyNumberFormat="1" applyFill="1" applyBorder="1"/>
    <xf numFmtId="3" fontId="0" fillId="7" borderId="1" xfId="0" applyNumberFormat="1" applyFill="1" applyBorder="1"/>
    <xf numFmtId="167" fontId="7" fillId="2" borderId="1" xfId="2" applyFont="1" applyFill="1" applyBorder="1"/>
    <xf numFmtId="167"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7" fontId="2" fillId="0" borderId="1" xfId="2" applyFont="1" applyBorder="1"/>
    <xf numFmtId="0" fontId="2" fillId="7" borderId="11" xfId="0" applyFont="1" applyFill="1" applyBorder="1"/>
    <xf numFmtId="166" fontId="2" fillId="7" borderId="13" xfId="0" applyNumberFormat="1" applyFont="1" applyFill="1" applyBorder="1"/>
    <xf numFmtId="0" fontId="2" fillId="7" borderId="23" xfId="0" applyFont="1" applyFill="1" applyBorder="1"/>
    <xf numFmtId="166" fontId="2" fillId="7" borderId="10" xfId="0" applyNumberFormat="1" applyFont="1" applyFill="1" applyBorder="1"/>
    <xf numFmtId="166" fontId="10" fillId="4" borderId="6" xfId="1" applyFont="1" applyFill="1" applyBorder="1"/>
    <xf numFmtId="166" fontId="0" fillId="0" borderId="0" xfId="0" applyNumberFormat="1"/>
    <xf numFmtId="166" fontId="4" fillId="2" borderId="1" xfId="1" applyFont="1" applyFill="1" applyBorder="1"/>
    <xf numFmtId="0" fontId="0" fillId="0" borderId="6" xfId="0" applyBorder="1"/>
    <xf numFmtId="0" fontId="0" fillId="0" borderId="24" xfId="0" applyBorder="1"/>
    <xf numFmtId="0" fontId="0" fillId="2" borderId="2" xfId="0" applyFill="1" applyBorder="1"/>
    <xf numFmtId="165" fontId="2" fillId="4" borderId="1" xfId="0" applyNumberFormat="1" applyFont="1" applyFill="1" applyBorder="1"/>
    <xf numFmtId="165" fontId="2" fillId="2" borderId="1" xfId="0" applyNumberFormat="1" applyFont="1" applyFill="1" applyBorder="1"/>
    <xf numFmtId="0" fontId="12" fillId="0" borderId="1" xfId="0" applyFont="1" applyBorder="1"/>
    <xf numFmtId="0" fontId="0" fillId="0" borderId="1" xfId="0" applyBorder="1" applyAlignment="1">
      <alignment horizontal="center"/>
    </xf>
    <xf numFmtId="1" fontId="13" fillId="3" borderId="0" xfId="0" applyNumberFormat="1" applyFont="1" applyFill="1"/>
    <xf numFmtId="0" fontId="14" fillId="3" borderId="0" xfId="0" applyFont="1" applyFill="1"/>
    <xf numFmtId="166" fontId="4" fillId="2" borderId="0" xfId="1" applyFont="1" applyFill="1" applyBorder="1"/>
    <xf numFmtId="0" fontId="15" fillId="0" borderId="1" xfId="0" applyFont="1" applyBorder="1"/>
    <xf numFmtId="168" fontId="0" fillId="7" borderId="1" xfId="1" applyNumberFormat="1" applyFont="1" applyFill="1" applyBorder="1"/>
    <xf numFmtId="164" fontId="0" fillId="3" borderId="0" xfId="0" applyNumberFormat="1" applyFill="1" applyAlignment="1">
      <alignment horizontal="right" wrapText="1"/>
    </xf>
    <xf numFmtId="0" fontId="4" fillId="2" borderId="6" xfId="0" applyFont="1" applyFill="1" applyBorder="1"/>
    <xf numFmtId="168" fontId="11" fillId="0" borderId="1" xfId="0" applyNumberFormat="1" applyFont="1" applyBorder="1"/>
    <xf numFmtId="168" fontId="15" fillId="0" borderId="1" xfId="0" applyNumberFormat="1" applyFont="1" applyBorder="1"/>
    <xf numFmtId="0" fontId="11" fillId="0" borderId="1" xfId="0" applyFont="1" applyBorder="1"/>
    <xf numFmtId="166" fontId="0" fillId="0" borderId="1" xfId="0" applyNumberFormat="1" applyBorder="1"/>
    <xf numFmtId="164" fontId="0" fillId="0" borderId="0" xfId="0" applyNumberFormat="1"/>
    <xf numFmtId="164" fontId="0" fillId="2" borderId="0" xfId="0" applyNumberFormat="1" applyFill="1" applyAlignment="1">
      <alignment horizontal="right" wrapText="1"/>
    </xf>
    <xf numFmtId="168" fontId="0" fillId="0" borderId="0" xfId="0" applyNumberFormat="1"/>
    <xf numFmtId="166"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166" fontId="2" fillId="4" borderId="6" xfId="0" applyNumberFormat="1" applyFont="1" applyFill="1" applyBorder="1"/>
    <xf numFmtId="166" fontId="0" fillId="0" borderId="6" xfId="0" applyNumberFormat="1" applyBorder="1"/>
    <xf numFmtId="0" fontId="16" fillId="0" borderId="0" xfId="0" applyFont="1"/>
    <xf numFmtId="164" fontId="4" fillId="3" borderId="0" xfId="0" applyNumberFormat="1" applyFont="1" applyFill="1" applyAlignment="1">
      <alignment horizontal="right" wrapText="1"/>
    </xf>
    <xf numFmtId="166" fontId="4" fillId="3" borderId="0" xfId="0" applyNumberFormat="1" applyFont="1" applyFill="1"/>
    <xf numFmtId="164" fontId="4" fillId="3" borderId="0" xfId="0" applyNumberFormat="1" applyFont="1" applyFill="1"/>
    <xf numFmtId="166" fontId="3" fillId="0" borderId="0" xfId="0" applyNumberFormat="1" applyFont="1"/>
    <xf numFmtId="0" fontId="0" fillId="0" borderId="1" xfId="0" applyBorder="1" applyAlignment="1">
      <alignment vertical="center"/>
    </xf>
    <xf numFmtId="0" fontId="3" fillId="0" borderId="1" xfId="0" applyFont="1" applyBorder="1" applyAlignment="1">
      <alignment vertical="center" wrapText="1"/>
    </xf>
    <xf numFmtId="166" fontId="10" fillId="4" borderId="6" xfId="0" applyNumberFormat="1" applyFont="1" applyFill="1" applyBorder="1"/>
    <xf numFmtId="0" fontId="0" fillId="2" borderId="0" xfId="0" applyFill="1"/>
    <xf numFmtId="166" fontId="16" fillId="0" borderId="0" xfId="0" applyNumberFormat="1" applyFont="1"/>
    <xf numFmtId="166" fontId="0" fillId="0" borderId="2" xfId="0" applyNumberFormat="1" applyBorder="1"/>
    <xf numFmtId="164" fontId="11" fillId="2" borderId="1" xfId="0" applyNumberFormat="1" applyFont="1" applyFill="1" applyBorder="1"/>
    <xf numFmtId="166" fontId="4" fillId="2" borderId="1" xfId="1" applyFont="1" applyFill="1" applyBorder="1" applyAlignment="1"/>
    <xf numFmtId="0" fontId="2" fillId="2" borderId="0" xfId="0" applyFont="1" applyFill="1" applyAlignment="1">
      <alignment vertical="center" wrapText="1"/>
    </xf>
    <xf numFmtId="166" fontId="2" fillId="4" borderId="1" xfId="0" applyNumberFormat="1" applyFont="1" applyFill="1" applyBorder="1"/>
    <xf numFmtId="166" fontId="2" fillId="4" borderId="1" xfId="1" applyFont="1" applyFill="1" applyBorder="1"/>
    <xf numFmtId="166"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6" fontId="11" fillId="7" borderId="1" xfId="1" applyFont="1" applyFill="1" applyBorder="1"/>
    <xf numFmtId="167" fontId="17" fillId="2" borderId="1" xfId="2" applyFont="1" applyFill="1" applyBorder="1"/>
    <xf numFmtId="43" fontId="0" fillId="0" borderId="0" xfId="0" applyNumberFormat="1"/>
    <xf numFmtId="166" fontId="4" fillId="2" borderId="6" xfId="1" applyFont="1" applyFill="1" applyBorder="1"/>
    <xf numFmtId="166" fontId="4" fillId="0" borderId="6" xfId="1" applyFont="1" applyBorder="1"/>
    <xf numFmtId="0" fontId="4" fillId="0" borderId="0" xfId="0" applyFont="1"/>
    <xf numFmtId="166" fontId="4" fillId="0" borderId="1" xfId="1" applyFont="1" applyBorder="1"/>
    <xf numFmtId="166" fontId="10" fillId="5" borderId="12" xfId="0" applyNumberFormat="1" applyFont="1" applyFill="1" applyBorder="1"/>
    <xf numFmtId="168" fontId="4" fillId="0" borderId="1" xfId="1" applyNumberFormat="1" applyFont="1" applyBorder="1"/>
    <xf numFmtId="0" fontId="2" fillId="2" borderId="0" xfId="0" applyFont="1" applyFill="1" applyAlignment="1">
      <alignment horizontal="center" vertical="center" wrapText="1"/>
    </xf>
    <xf numFmtId="166" fontId="0" fillId="0" borderId="0" xfId="0" applyNumberFormat="1" applyAlignment="1">
      <alignment horizontal="left"/>
    </xf>
    <xf numFmtId="10" fontId="0" fillId="0" borderId="4" xfId="0" applyNumberFormat="1" applyBorder="1"/>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166" fontId="4" fillId="10" borderId="6" xfId="1" applyFont="1" applyFill="1" applyBorder="1"/>
    <xf numFmtId="166"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166" fontId="10" fillId="8" borderId="27" xfId="1" applyFont="1" applyFill="1" applyBorder="1"/>
    <xf numFmtId="0" fontId="2" fillId="2" borderId="18" xfId="0" applyFont="1" applyFill="1" applyBorder="1"/>
    <xf numFmtId="0" fontId="2" fillId="2" borderId="0" xfId="0" applyFont="1" applyFill="1"/>
    <xf numFmtId="166" fontId="10" fillId="2" borderId="0" xfId="1" applyFont="1" applyFill="1" applyBorder="1"/>
    <xf numFmtId="166" fontId="2" fillId="2" borderId="0" xfId="1" applyFont="1" applyFill="1" applyBorder="1"/>
    <xf numFmtId="166"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0" fontId="0" fillId="0" borderId="1" xfId="0" applyBorder="1" applyAlignment="1">
      <alignment vertical="center" wrapText="1"/>
    </xf>
    <xf numFmtId="169" fontId="0" fillId="0" borderId="0" xfId="0" applyNumberFormat="1"/>
    <xf numFmtId="9" fontId="0" fillId="7" borderId="1" xfId="0" applyNumberFormat="1" applyFill="1" applyBorder="1"/>
    <xf numFmtId="0" fontId="9" fillId="11" borderId="18" xfId="0" applyFont="1" applyFill="1" applyBorder="1"/>
    <xf numFmtId="0" fontId="18"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166" fontId="2" fillId="8" borderId="15" xfId="1" applyFont="1" applyFill="1" applyBorder="1"/>
    <xf numFmtId="166" fontId="2" fillId="8" borderId="13" xfId="0" applyNumberFormat="1" applyFont="1" applyFill="1" applyBorder="1"/>
    <xf numFmtId="166" fontId="10" fillId="4" borderId="0" xfId="0" applyNumberFormat="1" applyFont="1" applyFill="1"/>
    <xf numFmtId="0" fontId="4" fillId="0" borderId="1" xfId="0" applyFont="1" applyBorder="1"/>
    <xf numFmtId="166" fontId="4" fillId="0" borderId="6" xfId="0" applyNumberFormat="1" applyFont="1" applyBorder="1"/>
    <xf numFmtId="0" fontId="15" fillId="2" borderId="1" xfId="0" applyFont="1" applyFill="1" applyBorder="1"/>
    <xf numFmtId="166"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166" fontId="0" fillId="0" borderId="1" xfId="1" applyFont="1" applyBorder="1"/>
    <xf numFmtId="0" fontId="11" fillId="2" borderId="4" xfId="0" applyFont="1" applyFill="1" applyBorder="1"/>
    <xf numFmtId="166" fontId="0" fillId="0" borderId="4" xfId="1" applyFont="1" applyBorder="1"/>
    <xf numFmtId="168" fontId="11" fillId="0" borderId="4" xfId="0" applyNumberFormat="1" applyFont="1" applyBorder="1"/>
    <xf numFmtId="168" fontId="0" fillId="0" borderId="4" xfId="1" applyNumberFormat="1" applyFont="1" applyBorder="1"/>
    <xf numFmtId="164" fontId="11" fillId="2" borderId="4" xfId="0" applyNumberFormat="1" applyFont="1" applyFill="1" applyBorder="1"/>
    <xf numFmtId="4" fontId="0" fillId="0" borderId="4" xfId="0" applyNumberFormat="1" applyBorder="1"/>
    <xf numFmtId="0" fontId="0" fillId="0" borderId="28" xfId="0" applyBorder="1"/>
    <xf numFmtId="10" fontId="0" fillId="0" borderId="28" xfId="0" applyNumberFormat="1" applyBorder="1"/>
    <xf numFmtId="166" fontId="0" fillId="0" borderId="28" xfId="1" applyFont="1" applyBorder="1"/>
    <xf numFmtId="168" fontId="11" fillId="0" borderId="28" xfId="0" applyNumberFormat="1" applyFont="1" applyBorder="1"/>
    <xf numFmtId="168" fontId="0" fillId="0" borderId="28" xfId="1" applyNumberFormat="1" applyFont="1" applyBorder="1"/>
    <xf numFmtId="164" fontId="11" fillId="2" borderId="28" xfId="0" applyNumberFormat="1" applyFont="1" applyFill="1" applyBorder="1"/>
    <xf numFmtId="4" fontId="0" fillId="0" borderId="28" xfId="0" applyNumberFormat="1" applyBorder="1"/>
    <xf numFmtId="0" fontId="11" fillId="0" borderId="28" xfId="0" applyFont="1" applyBorder="1"/>
    <xf numFmtId="166" fontId="4" fillId="0" borderId="28" xfId="1" applyFont="1" applyBorder="1"/>
    <xf numFmtId="3" fontId="0" fillId="0" borderId="28" xfId="0" applyNumberFormat="1" applyBorder="1"/>
    <xf numFmtId="0" fontId="11" fillId="0" borderId="4" xfId="0" applyFont="1" applyBorder="1"/>
    <xf numFmtId="0" fontId="0" fillId="0" borderId="1" xfId="0" applyBorder="1" applyAlignment="1">
      <alignment horizontal="left" vertical="center"/>
    </xf>
    <xf numFmtId="0" fontId="0" fillId="0" borderId="1" xfId="0" applyBorder="1" applyAlignment="1">
      <alignment horizontal="left" vertical="center" wrapText="1"/>
    </xf>
    <xf numFmtId="166" fontId="16" fillId="0" borderId="19" xfId="1" applyFont="1" applyBorder="1"/>
    <xf numFmtId="166" fontId="4" fillId="0" borderId="4" xfId="1" applyFont="1" applyBorder="1"/>
    <xf numFmtId="170" fontId="0" fillId="0" borderId="0" xfId="0" applyNumberFormat="1"/>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2" borderId="0" xfId="0" applyFont="1"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0" fillId="11" borderId="0" xfId="0" applyFont="1" applyFill="1" applyAlignment="1">
      <alignment horizontal="center" vertical="center"/>
    </xf>
    <xf numFmtId="0" fontId="0" fillId="0" borderId="0" xfId="0" applyAlignment="1">
      <alignment horizont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6" fillId="9" borderId="0" xfId="0" applyFont="1" applyFill="1" applyAlignment="1">
      <alignment horizontal="center" vertical="center" wrapText="1"/>
    </xf>
    <xf numFmtId="0" fontId="2" fillId="9" borderId="0" xfId="0" applyFont="1" applyFill="1" applyAlignment="1">
      <alignment horizontal="center" vertical="center" wrapText="1"/>
    </xf>
    <xf numFmtId="166" fontId="0" fillId="3" borderId="0" xfId="0" applyNumberFormat="1" applyFill="1" applyAlignment="1">
      <alignment horizontal="center" wrapText="1"/>
    </xf>
    <xf numFmtId="164" fontId="0" fillId="3" borderId="0" xfId="0" applyNumberFormat="1" applyFill="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5" fillId="3" borderId="20"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11" borderId="0" xfId="0" applyFill="1" applyAlignment="1">
      <alignment horizontal="center"/>
    </xf>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190500</xdr:colOff>
      <xdr:row>0</xdr:row>
      <xdr:rowOff>28575</xdr:rowOff>
    </xdr:from>
    <xdr:to>
      <xdr:col>3</xdr:col>
      <xdr:colOff>1733550</xdr:colOff>
      <xdr:row>3</xdr:row>
      <xdr:rowOff>133350</xdr:rowOff>
    </xdr:to>
    <xdr:pic>
      <xdr:nvPicPr>
        <xdr:cNvPr id="3" name="1 Imagen" descr="C:\Users\Particular\Desktop\NATI\CONSORCIOS RC\WhatsApp Image 2020-12-10 at 14.53.20.jpeg">
          <a:extLst>
            <a:ext uri="{FF2B5EF4-FFF2-40B4-BE49-F238E27FC236}">
              <a16:creationId xmlns:a16="http://schemas.microsoft.com/office/drawing/2014/main" id="{9A70E3EF-E20B-4665-AE8E-5E10754DE7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28575"/>
          <a:ext cx="2085975" cy="6762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5"/>
  <sheetViews>
    <sheetView tabSelected="1" topLeftCell="A125" zoomScale="80" zoomScaleNormal="80" workbookViewId="0">
      <selection activeCell="E60" sqref="E60"/>
    </sheetView>
  </sheetViews>
  <sheetFormatPr baseColWidth="10" defaultRowHeight="15" x14ac:dyDescent="0.25"/>
  <cols>
    <col min="1" max="1" width="33.42578125" customWidth="1"/>
    <col min="2" max="2" width="36.85546875" customWidth="1"/>
    <col min="3" max="3" width="17.42578125" customWidth="1"/>
    <col min="4" max="4" width="21.7109375" customWidth="1"/>
    <col min="5" max="9" width="15.7109375" customWidth="1"/>
    <col min="10" max="10" width="14.7109375" customWidth="1"/>
    <col min="11" max="11" width="15.85546875" customWidth="1"/>
    <col min="12" max="12" width="16.140625" customWidth="1"/>
    <col min="13" max="13" width="13" bestFit="1" customWidth="1"/>
    <col min="14" max="14" width="14.5703125" bestFit="1" customWidth="1"/>
    <col min="16" max="16" width="18" customWidth="1"/>
    <col min="17" max="17" width="18.28515625" customWidth="1"/>
  </cols>
  <sheetData>
    <row r="1" spans="1:10" ht="18.75" x14ac:dyDescent="0.3">
      <c r="A1" s="129"/>
      <c r="B1" s="139"/>
      <c r="C1" s="150" t="s">
        <v>275</v>
      </c>
      <c r="D1" s="150"/>
      <c r="E1" s="151"/>
      <c r="F1" s="151"/>
      <c r="G1" s="127"/>
      <c r="H1" s="127"/>
      <c r="I1" s="127"/>
      <c r="J1" s="128"/>
    </row>
    <row r="2" spans="1:10" ht="18.75" x14ac:dyDescent="0.3">
      <c r="A2" s="130"/>
      <c r="B2" s="140"/>
      <c r="C2" s="140" t="s">
        <v>270</v>
      </c>
      <c r="D2" s="140"/>
      <c r="E2" s="141"/>
      <c r="F2" s="141"/>
      <c r="G2" s="141"/>
      <c r="H2" s="141"/>
      <c r="I2" s="141"/>
      <c r="J2" s="126"/>
    </row>
    <row r="3" spans="1:10" ht="18.75" x14ac:dyDescent="0.3">
      <c r="A3" s="130"/>
      <c r="B3" s="140"/>
      <c r="C3" s="140" t="s">
        <v>273</v>
      </c>
      <c r="D3" s="140"/>
      <c r="E3" s="140" t="s">
        <v>271</v>
      </c>
      <c r="F3" s="141"/>
      <c r="G3" s="141"/>
      <c r="H3" s="141"/>
      <c r="I3" s="141"/>
      <c r="J3" s="126"/>
    </row>
    <row r="4" spans="1:10" ht="18" customHeight="1" x14ac:dyDescent="0.3">
      <c r="A4" s="130"/>
      <c r="B4" s="140"/>
      <c r="C4" s="140" t="s">
        <v>272</v>
      </c>
      <c r="D4" s="141"/>
      <c r="E4" s="141"/>
      <c r="F4" s="141"/>
      <c r="G4" s="141"/>
      <c r="H4" s="141"/>
      <c r="I4" s="141"/>
      <c r="J4" s="126"/>
    </row>
    <row r="5" spans="1:10" ht="18.75" x14ac:dyDescent="0.3">
      <c r="A5" s="135"/>
      <c r="B5" s="140"/>
      <c r="C5" s="140" t="s">
        <v>276</v>
      </c>
      <c r="D5" s="140"/>
      <c r="E5" s="140" t="s">
        <v>274</v>
      </c>
      <c r="F5" s="140"/>
      <c r="G5" s="140"/>
      <c r="H5" s="140"/>
      <c r="I5" s="140"/>
      <c r="J5" s="136"/>
    </row>
    <row r="6" spans="1:10" ht="18.75" x14ac:dyDescent="0.3">
      <c r="A6" s="135"/>
      <c r="B6" s="140"/>
      <c r="C6" s="140" t="s">
        <v>0</v>
      </c>
      <c r="D6" s="140"/>
      <c r="E6" s="140"/>
      <c r="F6" s="140"/>
      <c r="G6" s="140"/>
      <c r="H6" s="140"/>
      <c r="I6" s="140"/>
      <c r="J6" s="136"/>
    </row>
    <row r="7" spans="1:10" ht="19.5" thickBot="1" x14ac:dyDescent="0.35">
      <c r="A7" s="137"/>
      <c r="B7" s="138"/>
      <c r="C7" s="138"/>
      <c r="D7" s="138"/>
      <c r="E7" s="138"/>
      <c r="F7" s="138"/>
      <c r="G7" s="138"/>
      <c r="H7" s="138"/>
      <c r="I7" s="138"/>
      <c r="J7" s="142"/>
    </row>
    <row r="9" spans="1:10" hidden="1" x14ac:dyDescent="0.25"/>
    <row r="10" spans="1:10" hidden="1" x14ac:dyDescent="0.25"/>
    <row r="11" spans="1:10" hidden="1" x14ac:dyDescent="0.25"/>
    <row r="12" spans="1:10" hidden="1" x14ac:dyDescent="0.25"/>
    <row r="14" spans="1:10" ht="15" customHeight="1" x14ac:dyDescent="0.25">
      <c r="A14" s="178" t="s">
        <v>269</v>
      </c>
      <c r="B14" s="178"/>
      <c r="C14" s="178"/>
      <c r="D14" s="178"/>
      <c r="E14" s="178"/>
      <c r="F14" s="178"/>
      <c r="G14" s="178"/>
      <c r="H14" s="178"/>
      <c r="I14" s="178"/>
      <c r="J14" s="178"/>
    </row>
    <row r="15" spans="1:10" ht="15" customHeight="1" x14ac:dyDescent="0.25">
      <c r="A15" s="178"/>
      <c r="B15" s="178"/>
      <c r="C15" s="178"/>
      <c r="D15" s="178"/>
      <c r="E15" s="178"/>
      <c r="F15" s="178"/>
      <c r="G15" s="178"/>
      <c r="H15" s="178"/>
      <c r="I15" s="178"/>
      <c r="J15" s="178"/>
    </row>
    <row r="16" spans="1:10" ht="15" customHeight="1" x14ac:dyDescent="0.25">
      <c r="A16" s="178"/>
      <c r="B16" s="178"/>
      <c r="C16" s="178"/>
      <c r="D16" s="178"/>
      <c r="E16" s="178"/>
      <c r="F16" s="178"/>
      <c r="G16" s="178"/>
      <c r="H16" s="178"/>
      <c r="I16" s="178"/>
      <c r="J16" s="178"/>
    </row>
    <row r="17" spans="1:10" ht="25.15" customHeight="1" x14ac:dyDescent="0.25">
      <c r="A17" s="178"/>
      <c r="B17" s="178"/>
      <c r="C17" s="178"/>
      <c r="D17" s="178"/>
      <c r="E17" s="178"/>
      <c r="F17" s="178"/>
      <c r="G17" s="178"/>
      <c r="H17" s="178"/>
      <c r="I17" s="178"/>
      <c r="J17" s="178"/>
    </row>
    <row r="18" spans="1:10" ht="47.45" customHeight="1" x14ac:dyDescent="0.25">
      <c r="A18" s="178"/>
      <c r="B18" s="178"/>
      <c r="C18" s="178"/>
      <c r="D18" s="178"/>
      <c r="E18" s="178"/>
      <c r="F18" s="178"/>
      <c r="G18" s="178"/>
      <c r="H18" s="178"/>
      <c r="I18" s="178"/>
      <c r="J18" s="178"/>
    </row>
    <row r="19" spans="1:10" x14ac:dyDescent="0.25">
      <c r="A19" s="2"/>
      <c r="H19" s="111"/>
    </row>
    <row r="20" spans="1:10" x14ac:dyDescent="0.25">
      <c r="A20" s="188" t="s">
        <v>323</v>
      </c>
      <c r="B20" s="188"/>
      <c r="C20" s="188"/>
      <c r="D20" s="188"/>
      <c r="E20" s="188"/>
      <c r="F20" s="188"/>
      <c r="G20" s="188"/>
      <c r="H20" s="188"/>
      <c r="I20" s="188"/>
      <c r="J20" s="188"/>
    </row>
    <row r="21" spans="1:10" x14ac:dyDescent="0.25">
      <c r="A21" s="188"/>
      <c r="B21" s="188"/>
      <c r="C21" s="188"/>
      <c r="D21" s="188"/>
      <c r="E21" s="188"/>
      <c r="F21" s="188"/>
      <c r="G21" s="188"/>
      <c r="H21" s="188"/>
      <c r="I21" s="188"/>
      <c r="J21" s="188"/>
    </row>
    <row r="22" spans="1:10" x14ac:dyDescent="0.25">
      <c r="A22" s="188"/>
      <c r="B22" s="188"/>
      <c r="C22" s="188"/>
      <c r="D22" s="188"/>
      <c r="E22" s="188"/>
      <c r="F22" s="188"/>
      <c r="G22" s="188"/>
      <c r="H22" s="188"/>
      <c r="I22" s="188"/>
      <c r="J22" s="188"/>
    </row>
    <row r="23" spans="1:10" ht="15.75" thickBot="1" x14ac:dyDescent="0.3">
      <c r="H23" s="111"/>
    </row>
    <row r="24" spans="1:10" ht="15.75" thickBot="1" x14ac:dyDescent="0.3">
      <c r="A24" s="13" t="s">
        <v>20</v>
      </c>
      <c r="B24" s="14"/>
      <c r="C24" s="15"/>
      <c r="D24" s="11"/>
      <c r="E24" s="113" t="s">
        <v>173</v>
      </c>
      <c r="F24" s="113" t="s">
        <v>174</v>
      </c>
      <c r="G24" s="113" t="s">
        <v>175</v>
      </c>
      <c r="H24" s="113" t="s">
        <v>176</v>
      </c>
      <c r="I24" s="113" t="s">
        <v>177</v>
      </c>
      <c r="J24" s="114" t="s">
        <v>178</v>
      </c>
    </row>
    <row r="25" spans="1:10" x14ac:dyDescent="0.25">
      <c r="A25" s="51" t="s">
        <v>241</v>
      </c>
      <c r="B25" s="6"/>
      <c r="C25" s="6"/>
      <c r="D25" s="59"/>
      <c r="E25" s="112"/>
      <c r="F25" s="112"/>
      <c r="G25" s="112"/>
      <c r="H25" s="112"/>
      <c r="I25" s="112"/>
      <c r="J25" s="112"/>
    </row>
    <row r="26" spans="1:10" x14ac:dyDescent="0.25">
      <c r="A26" s="6" t="s">
        <v>46</v>
      </c>
      <c r="B26" s="6"/>
      <c r="C26" s="6"/>
      <c r="D26" s="96">
        <v>977372</v>
      </c>
      <c r="E26" s="63"/>
      <c r="F26" s="63"/>
      <c r="G26" s="63"/>
      <c r="H26" s="63"/>
      <c r="I26" s="63"/>
      <c r="J26" s="63"/>
    </row>
    <row r="27" spans="1:10" x14ac:dyDescent="0.25">
      <c r="A27" s="6" t="s">
        <v>244</v>
      </c>
      <c r="B27" s="6"/>
      <c r="C27" s="6"/>
      <c r="D27" s="96">
        <v>34111</v>
      </c>
      <c r="E27" s="63"/>
      <c r="F27" s="63"/>
      <c r="G27" s="63"/>
      <c r="H27" s="63"/>
      <c r="I27" s="63"/>
      <c r="J27" s="63"/>
    </row>
    <row r="28" spans="1:10" x14ac:dyDescent="0.25">
      <c r="A28" s="6" t="s">
        <v>242</v>
      </c>
      <c r="B28" s="6"/>
      <c r="C28" s="6"/>
      <c r="D28" s="96">
        <v>111256.4</v>
      </c>
      <c r="E28" s="63"/>
      <c r="F28" s="63"/>
      <c r="G28" s="63"/>
      <c r="H28" s="63"/>
      <c r="I28" s="63"/>
      <c r="J28" s="63"/>
    </row>
    <row r="29" spans="1:10" x14ac:dyDescent="0.25">
      <c r="A29" s="6" t="s">
        <v>243</v>
      </c>
      <c r="B29" s="6"/>
      <c r="C29" s="6"/>
      <c r="D29" s="96">
        <v>20777</v>
      </c>
      <c r="E29" s="63"/>
      <c r="F29" s="63"/>
      <c r="G29" s="63"/>
      <c r="H29" s="63"/>
      <c r="I29" s="63"/>
      <c r="J29" s="63"/>
    </row>
    <row r="30" spans="1:10" x14ac:dyDescent="0.25">
      <c r="A30" s="6" t="s">
        <v>245</v>
      </c>
      <c r="B30" s="6"/>
      <c r="C30" s="6"/>
      <c r="D30" s="96">
        <v>50000</v>
      </c>
      <c r="E30" s="63"/>
      <c r="F30" s="63"/>
      <c r="G30" s="63"/>
      <c r="H30" s="63"/>
      <c r="I30" s="63"/>
      <c r="J30" s="63"/>
    </row>
    <row r="31" spans="1:10" x14ac:dyDescent="0.25">
      <c r="A31" s="110" t="s">
        <v>172</v>
      </c>
      <c r="B31" s="107"/>
      <c r="C31" s="107"/>
      <c r="D31" s="108">
        <f>SUM(D26:D30)</f>
        <v>1193516.3999999999</v>
      </c>
      <c r="E31" s="109"/>
      <c r="F31" s="109"/>
      <c r="G31" s="109"/>
      <c r="H31" s="109"/>
      <c r="I31" s="109"/>
      <c r="J31" s="109"/>
    </row>
    <row r="32" spans="1:10" x14ac:dyDescent="0.25">
      <c r="A32" s="51" t="s">
        <v>240</v>
      </c>
      <c r="B32" s="6"/>
      <c r="C32" s="6"/>
      <c r="D32" s="59"/>
      <c r="E32" s="6"/>
      <c r="F32" s="6"/>
      <c r="G32" s="6"/>
      <c r="H32" s="6"/>
      <c r="I32" s="6"/>
      <c r="J32" s="6"/>
    </row>
    <row r="33" spans="1:12" x14ac:dyDescent="0.25">
      <c r="A33" s="6" t="s">
        <v>46</v>
      </c>
      <c r="B33" s="6"/>
      <c r="C33" s="6"/>
      <c r="D33" s="96">
        <v>488686</v>
      </c>
      <c r="E33" s="63"/>
      <c r="F33" s="63"/>
      <c r="G33" s="63"/>
      <c r="H33" s="63"/>
      <c r="I33" s="63"/>
      <c r="J33" s="63"/>
    </row>
    <row r="34" spans="1:12" x14ac:dyDescent="0.25">
      <c r="A34" s="6" t="s">
        <v>244</v>
      </c>
      <c r="B34" s="6"/>
      <c r="C34" s="6"/>
      <c r="D34" s="96">
        <v>34111</v>
      </c>
      <c r="E34" s="63"/>
      <c r="F34" s="63"/>
      <c r="G34" s="63"/>
      <c r="H34" s="63"/>
      <c r="I34" s="63"/>
      <c r="J34" s="63"/>
    </row>
    <row r="35" spans="1:12" x14ac:dyDescent="0.25">
      <c r="A35" s="6" t="s">
        <v>242</v>
      </c>
      <c r="B35" s="6"/>
      <c r="C35" s="6"/>
      <c r="D35" s="96">
        <v>111256.4</v>
      </c>
      <c r="E35" s="63"/>
      <c r="F35" s="63"/>
      <c r="G35" s="63"/>
      <c r="H35" s="63"/>
      <c r="I35" s="63"/>
      <c r="J35" s="63"/>
    </row>
    <row r="36" spans="1:12" x14ac:dyDescent="0.25">
      <c r="A36" s="6" t="s">
        <v>243</v>
      </c>
      <c r="B36" s="6"/>
      <c r="C36" s="6"/>
      <c r="D36" s="96">
        <v>20777</v>
      </c>
      <c r="E36" s="63"/>
      <c r="F36" s="63"/>
      <c r="G36" s="63"/>
      <c r="H36" s="63"/>
      <c r="I36" s="63"/>
      <c r="J36" s="63"/>
    </row>
    <row r="37" spans="1:12" x14ac:dyDescent="0.25">
      <c r="A37" s="6" t="s">
        <v>245</v>
      </c>
      <c r="B37" s="6"/>
      <c r="C37" s="6"/>
      <c r="D37" s="96">
        <v>50000</v>
      </c>
      <c r="E37" s="63"/>
      <c r="F37" s="63"/>
      <c r="G37" s="63"/>
      <c r="H37" s="63"/>
      <c r="I37" s="63"/>
      <c r="J37" s="63"/>
    </row>
    <row r="38" spans="1:12" x14ac:dyDescent="0.25">
      <c r="A38" s="110" t="s">
        <v>172</v>
      </c>
      <c r="B38" s="107"/>
      <c r="C38" s="107"/>
      <c r="D38" s="108">
        <f>SUM(D33:D37)</f>
        <v>704830.4</v>
      </c>
      <c r="E38" s="109"/>
      <c r="F38" s="109"/>
      <c r="G38" s="109"/>
      <c r="H38" s="109"/>
      <c r="I38" s="109"/>
      <c r="J38" s="109"/>
    </row>
    <row r="39" spans="1:12" ht="15.75" customHeight="1" x14ac:dyDescent="0.25">
      <c r="A39" s="34" t="s">
        <v>1</v>
      </c>
      <c r="B39" s="34"/>
      <c r="C39" s="34"/>
      <c r="D39" s="43">
        <f>D31+D38</f>
        <v>1898346.7999999998</v>
      </c>
      <c r="E39" s="43">
        <f>D39*93.2%</f>
        <v>1769259.2175999999</v>
      </c>
      <c r="F39" s="88">
        <f>$D39*1.08%</f>
        <v>20502.14544</v>
      </c>
      <c r="G39" s="88">
        <f>$D39*1.28%</f>
        <v>24298.839039999999</v>
      </c>
      <c r="H39" s="88">
        <f>$D39*1.21%</f>
        <v>22969.996279999996</v>
      </c>
      <c r="I39" s="88">
        <f>$D39*1.49%</f>
        <v>28285.367319999998</v>
      </c>
      <c r="J39" s="88">
        <f>D39*1.74%</f>
        <v>33031.234319999996</v>
      </c>
      <c r="K39" s="44">
        <f>E39+J39+F39+G39+H39+I39</f>
        <v>1898346.8</v>
      </c>
      <c r="L39" s="74" t="str">
        <f>IF(D39=K39, "", "Error")</f>
        <v/>
      </c>
    </row>
    <row r="40" spans="1:12" hidden="1" x14ac:dyDescent="0.25">
      <c r="A40" s="33" t="s">
        <v>35</v>
      </c>
      <c r="B40" s="6"/>
      <c r="C40" s="6"/>
      <c r="D40" s="97">
        <v>0</v>
      </c>
      <c r="E40" s="63">
        <f>D40*91.91%</f>
        <v>0</v>
      </c>
      <c r="F40" s="63"/>
      <c r="G40" s="63"/>
      <c r="H40" s="63"/>
      <c r="I40" s="63"/>
      <c r="J40" s="63">
        <f>D40*8.09%</f>
        <v>0</v>
      </c>
      <c r="L40" s="74"/>
    </row>
    <row r="41" spans="1:12" hidden="1" x14ac:dyDescent="0.25">
      <c r="A41" s="33"/>
      <c r="B41" s="6"/>
      <c r="C41" s="6"/>
      <c r="D41" s="96">
        <v>0</v>
      </c>
      <c r="E41" s="63">
        <f>D41*91.91%</f>
        <v>0</v>
      </c>
      <c r="F41" s="63"/>
      <c r="G41" s="63"/>
      <c r="H41" s="63"/>
      <c r="I41" s="63"/>
      <c r="J41" s="63">
        <f>D41*8.09%</f>
        <v>0</v>
      </c>
      <c r="L41" s="74"/>
    </row>
    <row r="42" spans="1:12" hidden="1" x14ac:dyDescent="0.25">
      <c r="A42" s="33"/>
      <c r="B42" s="6"/>
      <c r="C42" s="6"/>
      <c r="D42" s="96"/>
      <c r="E42" s="6"/>
      <c r="F42" s="6"/>
      <c r="G42" s="6"/>
      <c r="H42" s="6"/>
      <c r="I42" s="6"/>
      <c r="J42" s="6"/>
      <c r="L42" s="74"/>
    </row>
    <row r="43" spans="1:12" ht="0.75" customHeight="1" x14ac:dyDescent="0.25">
      <c r="A43" s="33"/>
      <c r="B43" s="6"/>
      <c r="C43" s="6"/>
      <c r="D43" s="96"/>
      <c r="E43" s="6"/>
      <c r="F43" s="6"/>
      <c r="G43" s="6"/>
      <c r="H43" s="6"/>
      <c r="I43" s="6"/>
      <c r="J43" s="6"/>
      <c r="L43" s="74"/>
    </row>
    <row r="44" spans="1:12" hidden="1" x14ac:dyDescent="0.25">
      <c r="A44" s="34" t="s">
        <v>41</v>
      </c>
      <c r="B44" s="34"/>
      <c r="C44" s="34"/>
      <c r="D44" s="43">
        <f>SUM(D40:D42)</f>
        <v>0</v>
      </c>
      <c r="E44" s="43">
        <f t="shared" ref="E44:J44" si="0">SUM(E40:E42)</f>
        <v>0</v>
      </c>
      <c r="F44" s="43"/>
      <c r="G44" s="43"/>
      <c r="H44" s="43"/>
      <c r="I44" s="43"/>
      <c r="J44" s="43">
        <f t="shared" si="0"/>
        <v>0</v>
      </c>
      <c r="K44" s="44">
        <f>E44+J44</f>
        <v>0</v>
      </c>
      <c r="L44" s="74" t="str">
        <f>IF(D44=K44, "", "Error")</f>
        <v/>
      </c>
    </row>
    <row r="45" spans="1:12" x14ac:dyDescent="0.25">
      <c r="A45" s="33" t="s">
        <v>256</v>
      </c>
      <c r="B45" s="6"/>
      <c r="C45" s="6"/>
      <c r="D45" s="97"/>
      <c r="E45" s="63">
        <f>D45*91.91%</f>
        <v>0</v>
      </c>
      <c r="F45" s="63"/>
      <c r="G45" s="63"/>
      <c r="H45" s="63"/>
      <c r="I45" s="63"/>
      <c r="J45" s="63">
        <f>D45*8.09%</f>
        <v>0</v>
      </c>
      <c r="L45" s="74"/>
    </row>
    <row r="46" spans="1:12" x14ac:dyDescent="0.25">
      <c r="A46" s="6" t="s">
        <v>257</v>
      </c>
      <c r="B46" s="6"/>
      <c r="C46" s="6" t="s">
        <v>290</v>
      </c>
      <c r="D46" s="96">
        <v>37011.99</v>
      </c>
      <c r="E46" s="63">
        <f>D46</f>
        <v>37011.99</v>
      </c>
      <c r="F46" s="63"/>
      <c r="G46" s="63"/>
      <c r="H46" s="63"/>
      <c r="I46" s="63"/>
      <c r="J46" s="63"/>
      <c r="L46" s="74"/>
    </row>
    <row r="47" spans="1:12" x14ac:dyDescent="0.25">
      <c r="A47" s="6" t="s">
        <v>257</v>
      </c>
      <c r="B47" s="6"/>
      <c r="C47" s="6" t="s">
        <v>290</v>
      </c>
      <c r="D47" s="96">
        <v>65006.06</v>
      </c>
      <c r="E47" s="63">
        <f t="shared" ref="E47:E50" si="1">D47</f>
        <v>65006.06</v>
      </c>
      <c r="F47" s="63"/>
      <c r="G47" s="63"/>
      <c r="H47" s="63"/>
      <c r="I47" s="63"/>
      <c r="J47" s="63"/>
      <c r="L47" s="74"/>
    </row>
    <row r="48" spans="1:12" x14ac:dyDescent="0.25">
      <c r="A48" s="6" t="s">
        <v>257</v>
      </c>
      <c r="B48" s="6"/>
      <c r="C48" s="6" t="s">
        <v>337</v>
      </c>
      <c r="D48" s="96">
        <v>26019.040000000001</v>
      </c>
      <c r="E48" s="63">
        <f t="shared" si="1"/>
        <v>26019.040000000001</v>
      </c>
      <c r="F48" s="63"/>
      <c r="G48" s="63"/>
      <c r="H48" s="63"/>
      <c r="I48" s="63"/>
      <c r="J48" s="63"/>
      <c r="L48" s="74"/>
    </row>
    <row r="49" spans="1:12" x14ac:dyDescent="0.25">
      <c r="A49" s="6" t="s">
        <v>257</v>
      </c>
      <c r="B49" s="6"/>
      <c r="C49" s="6" t="s">
        <v>291</v>
      </c>
      <c r="D49" s="96">
        <v>23000</v>
      </c>
      <c r="E49" s="63">
        <f t="shared" si="1"/>
        <v>23000</v>
      </c>
      <c r="F49" s="63"/>
      <c r="G49" s="63"/>
      <c r="H49" s="63"/>
      <c r="I49" s="63"/>
      <c r="J49" s="63"/>
      <c r="L49" s="74"/>
    </row>
    <row r="50" spans="1:12" x14ac:dyDescent="0.25">
      <c r="A50" s="6" t="s">
        <v>257</v>
      </c>
      <c r="B50" s="6"/>
      <c r="C50" s="6" t="s">
        <v>292</v>
      </c>
      <c r="D50" s="96">
        <v>27002.95</v>
      </c>
      <c r="E50" s="63">
        <f t="shared" si="1"/>
        <v>27002.95</v>
      </c>
      <c r="F50" s="63"/>
      <c r="G50" s="63"/>
      <c r="H50" s="63"/>
      <c r="I50" s="63"/>
      <c r="J50" s="63"/>
      <c r="L50" s="74"/>
    </row>
    <row r="51" spans="1:12" x14ac:dyDescent="0.25">
      <c r="A51" s="33"/>
      <c r="B51" s="6"/>
      <c r="C51" s="6"/>
      <c r="D51" s="96"/>
      <c r="E51" s="63">
        <f t="shared" ref="E51" si="2">D51*91.91%</f>
        <v>0</v>
      </c>
      <c r="F51" s="63"/>
      <c r="G51" s="63"/>
      <c r="H51" s="63"/>
      <c r="I51" s="63"/>
      <c r="J51" s="63">
        <f t="shared" ref="J51" si="3">D51*8.09%</f>
        <v>0</v>
      </c>
      <c r="L51" s="74"/>
    </row>
    <row r="52" spans="1:12" x14ac:dyDescent="0.25">
      <c r="A52" s="34" t="s">
        <v>36</v>
      </c>
      <c r="B52" s="34"/>
      <c r="C52" s="34"/>
      <c r="D52" s="43">
        <f>SUM(D41:D51)</f>
        <v>178040.04</v>
      </c>
      <c r="E52" s="43">
        <f t="shared" ref="E52" si="4">SUM(E41:E51)</f>
        <v>178040.04</v>
      </c>
      <c r="F52" s="43"/>
      <c r="G52" s="43"/>
      <c r="H52" s="43"/>
      <c r="I52" s="43"/>
      <c r="J52" s="49"/>
      <c r="K52" s="44">
        <f>E52+J52+F52+G52+H52+I52</f>
        <v>178040.04</v>
      </c>
      <c r="L52" s="74" t="str">
        <f>IF(D52=K52, "", "Error")</f>
        <v/>
      </c>
    </row>
    <row r="53" spans="1:12" x14ac:dyDescent="0.25">
      <c r="A53" s="33" t="s">
        <v>250</v>
      </c>
      <c r="B53" s="36"/>
      <c r="C53" s="36"/>
      <c r="D53" s="96"/>
      <c r="E53" s="50"/>
      <c r="F53" s="50"/>
      <c r="G53" s="50"/>
      <c r="H53" s="50"/>
      <c r="I53" s="50"/>
      <c r="J53" s="50"/>
      <c r="L53" s="74"/>
    </row>
    <row r="54" spans="1:12" x14ac:dyDescent="0.25">
      <c r="A54" s="36" t="s">
        <v>253</v>
      </c>
      <c r="B54" s="36"/>
      <c r="C54" s="36"/>
      <c r="D54" s="96"/>
      <c r="E54" s="50"/>
      <c r="F54" s="50"/>
      <c r="G54" s="50"/>
      <c r="H54" s="50"/>
      <c r="I54" s="50"/>
      <c r="J54" s="50"/>
      <c r="L54" s="74"/>
    </row>
    <row r="55" spans="1:12" x14ac:dyDescent="0.25">
      <c r="A55" s="36" t="s">
        <v>255</v>
      </c>
      <c r="B55" s="36"/>
      <c r="C55" s="36" t="s">
        <v>305</v>
      </c>
      <c r="D55" s="96">
        <v>643422</v>
      </c>
      <c r="E55" s="50"/>
      <c r="F55" s="50"/>
      <c r="G55" s="50"/>
      <c r="H55" s="50"/>
      <c r="I55" s="50"/>
      <c r="J55" s="50"/>
      <c r="L55" s="74"/>
    </row>
    <row r="56" spans="1:12" x14ac:dyDescent="0.25">
      <c r="A56" s="36" t="s">
        <v>254</v>
      </c>
      <c r="B56" s="36"/>
      <c r="C56" s="36" t="s">
        <v>305</v>
      </c>
      <c r="D56" s="96">
        <v>643422</v>
      </c>
      <c r="E56" s="50"/>
      <c r="F56" s="50"/>
      <c r="G56" s="50"/>
      <c r="H56" s="50"/>
      <c r="I56" s="50"/>
      <c r="J56" s="50"/>
      <c r="L56" s="74"/>
    </row>
    <row r="57" spans="1:12" x14ac:dyDescent="0.25">
      <c r="A57" s="34" t="s">
        <v>252</v>
      </c>
      <c r="B57" s="34"/>
      <c r="C57" s="34"/>
      <c r="D57" s="145">
        <f>SUM(D54:D56)</f>
        <v>1286844</v>
      </c>
      <c r="E57" s="43">
        <f>D57*93.2%</f>
        <v>1199338.608</v>
      </c>
      <c r="F57" s="88">
        <f>$D57*1.08%</f>
        <v>13897.915200000001</v>
      </c>
      <c r="G57" s="88">
        <f>$D57*1.28%</f>
        <v>16471.603200000001</v>
      </c>
      <c r="H57" s="88">
        <f>$D57*1.21%</f>
        <v>15570.812399999999</v>
      </c>
      <c r="I57" s="88">
        <f>$D57*1.49%</f>
        <v>19173.975600000002</v>
      </c>
      <c r="J57" s="88">
        <f>D57*1.74%</f>
        <v>22391.085599999999</v>
      </c>
      <c r="K57" s="44">
        <f>E57+J57+F57+G57+H57+I57</f>
        <v>1286844</v>
      </c>
      <c r="L57" s="74" t="str">
        <f>IF(D57=K57, "", "Error")</f>
        <v/>
      </c>
    </row>
    <row r="58" spans="1:12" x14ac:dyDescent="0.25">
      <c r="A58" s="33" t="s">
        <v>2</v>
      </c>
      <c r="B58" s="6"/>
      <c r="C58" s="6"/>
      <c r="D58" s="45"/>
      <c r="E58" s="46"/>
      <c r="F58" s="46"/>
      <c r="G58" s="46"/>
      <c r="H58" s="46"/>
      <c r="I58" s="46"/>
      <c r="J58" s="6"/>
      <c r="L58" s="74"/>
    </row>
    <row r="59" spans="1:12" x14ac:dyDescent="0.25">
      <c r="A59" s="6" t="s">
        <v>246</v>
      </c>
      <c r="B59" s="6"/>
      <c r="C59" s="6" t="s">
        <v>306</v>
      </c>
      <c r="D59" s="45">
        <v>49257.04</v>
      </c>
      <c r="E59" s="131"/>
      <c r="F59" s="131"/>
      <c r="G59" s="131"/>
      <c r="H59" s="131"/>
      <c r="I59" s="131"/>
      <c r="J59" s="6"/>
      <c r="L59" s="74"/>
    </row>
    <row r="60" spans="1:12" x14ac:dyDescent="0.25">
      <c r="A60" s="6" t="s">
        <v>338</v>
      </c>
      <c r="B60" s="6"/>
      <c r="C60" s="6" t="s">
        <v>339</v>
      </c>
      <c r="D60" s="45">
        <v>56422.63</v>
      </c>
      <c r="E60" s="84"/>
      <c r="F60" s="84"/>
      <c r="G60" s="84"/>
      <c r="H60" s="84"/>
      <c r="I60" s="84"/>
      <c r="J60" s="6"/>
      <c r="L60" s="74"/>
    </row>
    <row r="61" spans="1:12" x14ac:dyDescent="0.25">
      <c r="A61" s="34" t="s">
        <v>251</v>
      </c>
      <c r="B61" s="34"/>
      <c r="C61" s="34"/>
      <c r="D61" s="43">
        <f>SUM(D58:D60)</f>
        <v>105679.67</v>
      </c>
      <c r="E61" s="43">
        <f>D61*93.2%</f>
        <v>98493.452440000008</v>
      </c>
      <c r="F61" s="88">
        <f>$D61*1.08%</f>
        <v>1141.340436</v>
      </c>
      <c r="G61" s="88">
        <f>$D61*1.28%</f>
        <v>1352.6997759999999</v>
      </c>
      <c r="H61" s="88">
        <f>$D61*1.21%</f>
        <v>1278.724007</v>
      </c>
      <c r="I61" s="88">
        <f>$D61*1.49%</f>
        <v>1574.6270830000001</v>
      </c>
      <c r="J61" s="88">
        <f>D61*1.74%</f>
        <v>1838.8262579999998</v>
      </c>
      <c r="K61" s="44">
        <f>E61+J61+F61+G61+H61+I61</f>
        <v>105679.67</v>
      </c>
      <c r="L61" s="74" t="str">
        <f>IF(D61=K61, "", "Error")</f>
        <v/>
      </c>
    </row>
    <row r="62" spans="1:12" x14ac:dyDescent="0.25">
      <c r="A62" s="33" t="s">
        <v>233</v>
      </c>
      <c r="B62" s="6"/>
      <c r="C62" s="6"/>
      <c r="D62" s="146"/>
      <c r="E62" s="47"/>
      <c r="F62" s="47"/>
      <c r="G62" s="47"/>
      <c r="H62" s="47"/>
      <c r="I62" s="47"/>
      <c r="J62" s="37"/>
      <c r="L62" s="74"/>
    </row>
    <row r="63" spans="1:12" x14ac:dyDescent="0.25">
      <c r="A63" s="6" t="s">
        <v>237</v>
      </c>
      <c r="B63" s="6"/>
      <c r="C63" s="6" t="s">
        <v>293</v>
      </c>
      <c r="D63" s="45">
        <v>160913</v>
      </c>
      <c r="E63" s="63">
        <f>D63*93.2%</f>
        <v>149970.916</v>
      </c>
      <c r="F63" s="63">
        <f>$D63*1.08%</f>
        <v>1737.8604</v>
      </c>
      <c r="G63" s="63">
        <f>$D63*1.28%</f>
        <v>2059.6864</v>
      </c>
      <c r="H63" s="63">
        <f>$D63*1.21%</f>
        <v>1947.0473</v>
      </c>
      <c r="I63" s="63">
        <f>$D63*1.49%</f>
        <v>2397.6037000000001</v>
      </c>
      <c r="J63" s="63">
        <f>D63*1.74%</f>
        <v>2799.8861999999999</v>
      </c>
      <c r="K63" s="44">
        <f>SUM(E63:J63)</f>
        <v>160913.00000000003</v>
      </c>
      <c r="L63" s="74"/>
    </row>
    <row r="64" spans="1:12" x14ac:dyDescent="0.25">
      <c r="A64" s="6" t="s">
        <v>238</v>
      </c>
      <c r="B64" s="6"/>
      <c r="C64" s="6" t="s">
        <v>293</v>
      </c>
      <c r="D64" s="45">
        <v>7907</v>
      </c>
      <c r="E64" s="63">
        <f t="shared" ref="E64:E65" si="5">D64*93.2%</f>
        <v>7369.3240000000005</v>
      </c>
      <c r="F64" s="63">
        <f>$D64*1.08%</f>
        <v>85.395600000000002</v>
      </c>
      <c r="G64" s="63">
        <f>$D64*1.28%</f>
        <v>101.20960000000001</v>
      </c>
      <c r="H64" s="63">
        <f>$D64*1.21%</f>
        <v>95.674700000000001</v>
      </c>
      <c r="I64" s="63">
        <f>$D64*1.49%</f>
        <v>117.8143</v>
      </c>
      <c r="J64" s="63">
        <f>D64*1.74%</f>
        <v>137.58179999999999</v>
      </c>
      <c r="K64" s="44">
        <f t="shared" ref="K64:K65" si="6">SUM(E64:J64)</f>
        <v>7907</v>
      </c>
      <c r="L64" s="74"/>
    </row>
    <row r="65" spans="1:14" x14ac:dyDescent="0.25">
      <c r="A65" s="6" t="s">
        <v>239</v>
      </c>
      <c r="B65" s="6"/>
      <c r="C65" s="6" t="s">
        <v>293</v>
      </c>
      <c r="D65" s="45">
        <v>7907</v>
      </c>
      <c r="E65" s="63">
        <f t="shared" si="5"/>
        <v>7369.3240000000005</v>
      </c>
      <c r="F65" s="63">
        <f>$D65*1.08%</f>
        <v>85.395600000000002</v>
      </c>
      <c r="G65" s="63">
        <f>$D65*1.28%</f>
        <v>101.20960000000001</v>
      </c>
      <c r="H65" s="63">
        <f>$D65*1.21%</f>
        <v>95.674700000000001</v>
      </c>
      <c r="I65" s="63">
        <f>$D65*1.49%</f>
        <v>117.8143</v>
      </c>
      <c r="J65" s="63">
        <f>D65*1.74%</f>
        <v>137.58179999999999</v>
      </c>
      <c r="K65" s="44">
        <f t="shared" si="6"/>
        <v>7907</v>
      </c>
      <c r="L65" s="74"/>
    </row>
    <row r="66" spans="1:14" x14ac:dyDescent="0.25">
      <c r="A66" s="34" t="s">
        <v>3</v>
      </c>
      <c r="B66" s="35"/>
      <c r="C66" s="35"/>
      <c r="D66" s="43">
        <f>SUM(D63:D65)</f>
        <v>176727</v>
      </c>
      <c r="E66" s="43">
        <f>SUM(E63:E65)</f>
        <v>164709.56399999998</v>
      </c>
      <c r="F66" s="43">
        <f t="shared" ref="F66:I66" si="7">SUM(F63:F65)</f>
        <v>1908.6516000000001</v>
      </c>
      <c r="G66" s="43">
        <f t="shared" si="7"/>
        <v>2262.1056000000003</v>
      </c>
      <c r="H66" s="43">
        <f t="shared" si="7"/>
        <v>2138.3966999999998</v>
      </c>
      <c r="I66" s="43">
        <f t="shared" si="7"/>
        <v>2633.2323000000001</v>
      </c>
      <c r="J66" s="43">
        <f>SUM(J63:J65)</f>
        <v>3075.0497999999998</v>
      </c>
      <c r="K66" s="44">
        <f>E66+J66+F66+G66+H66+I66</f>
        <v>176727.00000000003</v>
      </c>
      <c r="L66" s="74" t="str">
        <f>IF(D66=K66, "", "Error")</f>
        <v/>
      </c>
    </row>
    <row r="67" spans="1:14" x14ac:dyDescent="0.25">
      <c r="A67" s="33" t="s">
        <v>4</v>
      </c>
      <c r="B67" s="6"/>
      <c r="C67" s="6"/>
      <c r="D67" s="99"/>
      <c r="E67" s="47"/>
      <c r="F67" s="47"/>
      <c r="G67" s="47"/>
      <c r="H67" s="47"/>
      <c r="I67" s="47"/>
      <c r="J67" s="6"/>
      <c r="L67" s="74"/>
    </row>
    <row r="68" spans="1:14" ht="16.5" customHeight="1" x14ac:dyDescent="0.25">
      <c r="A68" s="79" t="s">
        <v>247</v>
      </c>
      <c r="B68" s="6"/>
      <c r="C68" s="6" t="s">
        <v>295</v>
      </c>
      <c r="D68" s="147">
        <v>161756.56</v>
      </c>
      <c r="E68" s="73">
        <f>D68*93.2%</f>
        <v>150757.11392</v>
      </c>
      <c r="F68" s="63">
        <f>$D68*1.08%</f>
        <v>1746.9708480000002</v>
      </c>
      <c r="G68" s="63">
        <f>$D68*1.28%</f>
        <v>2070.483968</v>
      </c>
      <c r="H68" s="63">
        <f>$D68*1.21%</f>
        <v>1957.2543759999999</v>
      </c>
      <c r="I68" s="63">
        <f>$D68*1.49%</f>
        <v>2410.172744</v>
      </c>
      <c r="J68" s="63">
        <f>D68*1.74%</f>
        <v>2814.5641439999999</v>
      </c>
      <c r="K68" s="44">
        <f>D68</f>
        <v>161756.56</v>
      </c>
      <c r="L68" s="83">
        <f>SUM(E68:J68)</f>
        <v>161756.56</v>
      </c>
      <c r="M68" s="95">
        <f>L68-D68</f>
        <v>0</v>
      </c>
      <c r="N68" s="95">
        <f>K68-D68</f>
        <v>0</v>
      </c>
    </row>
    <row r="69" spans="1:14" x14ac:dyDescent="0.25">
      <c r="A69" s="6" t="s">
        <v>248</v>
      </c>
      <c r="B69" s="6"/>
      <c r="C69" s="6" t="s">
        <v>294</v>
      </c>
      <c r="D69" s="147">
        <v>1233986.03</v>
      </c>
      <c r="E69" s="73">
        <f>D69*93.2%</f>
        <v>1150074.9799600001</v>
      </c>
      <c r="F69" s="63">
        <f>$D69*1.08%</f>
        <v>13327.049124000001</v>
      </c>
      <c r="G69" s="63">
        <f>$D69*1.28%</f>
        <v>15795.021184000001</v>
      </c>
      <c r="H69" s="63">
        <f>$D69*1.21%</f>
        <v>14931.230963</v>
      </c>
      <c r="I69" s="63">
        <f>$D69*1.49%</f>
        <v>18386.391846999999</v>
      </c>
      <c r="J69" s="63">
        <f>D69*1.74%</f>
        <v>21471.356921999999</v>
      </c>
      <c r="K69" s="44">
        <f t="shared" ref="K69:K76" si="8">D69</f>
        <v>1233986.03</v>
      </c>
      <c r="L69" s="83">
        <f>E69+J69+I69+H69+G69+F69</f>
        <v>1233986.03</v>
      </c>
      <c r="M69" s="95">
        <f>L69-D69</f>
        <v>0</v>
      </c>
      <c r="N69" s="95">
        <f>K69-D69</f>
        <v>0</v>
      </c>
    </row>
    <row r="70" spans="1:14" x14ac:dyDescent="0.25">
      <c r="A70" s="6" t="s">
        <v>249</v>
      </c>
      <c r="B70" s="6"/>
      <c r="C70" s="6" t="s">
        <v>303</v>
      </c>
      <c r="D70" s="45">
        <v>100525.5</v>
      </c>
      <c r="E70" s="73">
        <f>D70</f>
        <v>100525.5</v>
      </c>
      <c r="F70" s="63"/>
      <c r="G70" s="63"/>
      <c r="H70" s="63"/>
      <c r="I70" s="63"/>
      <c r="J70" s="63"/>
      <c r="K70" s="44">
        <f t="shared" si="8"/>
        <v>100525.5</v>
      </c>
      <c r="L70" s="83">
        <f>E70+J70+I70+H70+G70+F70</f>
        <v>100525.5</v>
      </c>
      <c r="M70" s="95">
        <f>L70-D70</f>
        <v>0</v>
      </c>
      <c r="N70" s="95">
        <f>K70-D70</f>
        <v>0</v>
      </c>
    </row>
    <row r="71" spans="1:14" x14ac:dyDescent="0.25">
      <c r="A71" s="6" t="s">
        <v>277</v>
      </c>
      <c r="B71" s="6"/>
      <c r="C71" s="6" t="s">
        <v>322</v>
      </c>
      <c r="D71" s="45">
        <v>263223.14</v>
      </c>
      <c r="E71" s="73">
        <f>D71</f>
        <v>263223.14</v>
      </c>
      <c r="F71" s="63"/>
      <c r="G71" s="63"/>
      <c r="H71" s="63"/>
      <c r="I71" s="63"/>
      <c r="J71" s="63"/>
      <c r="K71" s="44">
        <f t="shared" si="8"/>
        <v>263223.14</v>
      </c>
      <c r="L71" s="83">
        <f>E71+J71+I71+H71+G71+F71</f>
        <v>263223.14</v>
      </c>
      <c r="M71" s="95"/>
      <c r="N71" s="95"/>
    </row>
    <row r="72" spans="1:14" x14ac:dyDescent="0.25">
      <c r="A72" s="36" t="s">
        <v>320</v>
      </c>
      <c r="B72" s="36"/>
      <c r="C72" s="36"/>
      <c r="D72" s="45">
        <v>0</v>
      </c>
      <c r="E72" s="73">
        <f>D72</f>
        <v>0</v>
      </c>
      <c r="F72" s="63"/>
      <c r="G72" s="63"/>
      <c r="H72" s="63"/>
      <c r="I72" s="63"/>
      <c r="J72" s="63"/>
      <c r="K72" s="44">
        <f t="shared" si="8"/>
        <v>0</v>
      </c>
      <c r="L72" s="83">
        <f t="shared" ref="L72:L76" si="9">E72+J72+I72+H72+G72+F72</f>
        <v>0</v>
      </c>
      <c r="M72" s="95">
        <f>L72-D72</f>
        <v>0</v>
      </c>
      <c r="N72" s="95">
        <f>K72-D72</f>
        <v>0</v>
      </c>
    </row>
    <row r="73" spans="1:14" x14ac:dyDescent="0.25">
      <c r="A73" s="36" t="s">
        <v>300</v>
      </c>
      <c r="B73" s="36"/>
      <c r="C73" s="36" t="s">
        <v>301</v>
      </c>
      <c r="D73" s="45">
        <v>25666.87</v>
      </c>
      <c r="E73" s="73">
        <f>D73*93.2%</f>
        <v>23921.522840000001</v>
      </c>
      <c r="F73" s="63">
        <f>$D73*1.08%</f>
        <v>277.20219600000001</v>
      </c>
      <c r="G73" s="63">
        <f>$D73*1.28%</f>
        <v>328.53593599999999</v>
      </c>
      <c r="H73" s="63">
        <f>$D73*1.21%</f>
        <v>310.56912699999998</v>
      </c>
      <c r="I73" s="63">
        <f>$D73*1.49%</f>
        <v>382.43636299999997</v>
      </c>
      <c r="J73" s="63">
        <f>D73*1.74%</f>
        <v>446.60353799999996</v>
      </c>
      <c r="K73" s="44">
        <f t="shared" si="8"/>
        <v>25666.87</v>
      </c>
      <c r="L73" s="83">
        <f t="shared" si="9"/>
        <v>25666.87</v>
      </c>
      <c r="M73" s="95">
        <f>L73-D73</f>
        <v>0</v>
      </c>
      <c r="N73" s="95">
        <f>K73-D73</f>
        <v>0</v>
      </c>
    </row>
    <row r="74" spans="1:14" x14ac:dyDescent="0.25">
      <c r="A74" s="36" t="s">
        <v>302</v>
      </c>
      <c r="B74" s="36"/>
      <c r="C74" s="36" t="s">
        <v>301</v>
      </c>
      <c r="D74" s="45">
        <v>32660.43</v>
      </c>
      <c r="E74" s="73">
        <f>D74*93.2%</f>
        <v>30439.520760000003</v>
      </c>
      <c r="F74" s="63">
        <f>$D74*1.08%</f>
        <v>352.73264399999999</v>
      </c>
      <c r="G74" s="63">
        <f>$D74*1.28%</f>
        <v>418.05350400000003</v>
      </c>
      <c r="H74" s="63">
        <f>$D74*1.21%</f>
        <v>395.19120299999997</v>
      </c>
      <c r="I74" s="63">
        <f>$D74*1.49%</f>
        <v>486.64040699999998</v>
      </c>
      <c r="J74" s="63">
        <f>D74*1.74%</f>
        <v>568.29148199999997</v>
      </c>
      <c r="K74" s="44">
        <f t="shared" si="8"/>
        <v>32660.43</v>
      </c>
      <c r="L74" s="83">
        <f t="shared" si="9"/>
        <v>32660.43</v>
      </c>
      <c r="M74" s="95">
        <f>L74-D74</f>
        <v>0</v>
      </c>
      <c r="N74" s="95">
        <f>K74-D74</f>
        <v>0</v>
      </c>
    </row>
    <row r="75" spans="1:14" x14ac:dyDescent="0.25">
      <c r="A75" s="79" t="s">
        <v>296</v>
      </c>
      <c r="B75" s="132"/>
      <c r="C75" s="132"/>
      <c r="D75" s="45">
        <v>100000</v>
      </c>
      <c r="E75" s="73">
        <f t="shared" ref="E75:E76" si="10">D75</f>
        <v>100000</v>
      </c>
      <c r="F75" s="73"/>
      <c r="G75" s="73"/>
      <c r="H75" s="73"/>
      <c r="I75" s="73"/>
      <c r="J75" s="63"/>
      <c r="K75" s="44">
        <f t="shared" si="8"/>
        <v>100000</v>
      </c>
      <c r="L75" s="83">
        <f t="shared" si="9"/>
        <v>100000</v>
      </c>
      <c r="M75" s="95">
        <f>L75-D75</f>
        <v>0</v>
      </c>
      <c r="N75" s="95">
        <f>K75-D75</f>
        <v>0</v>
      </c>
    </row>
    <row r="76" spans="1:14" ht="15" customHeight="1" x14ac:dyDescent="0.25">
      <c r="A76" s="173" t="s">
        <v>297</v>
      </c>
      <c r="B76" s="173"/>
      <c r="C76" s="174"/>
      <c r="D76" s="45">
        <v>80000</v>
      </c>
      <c r="E76" s="73">
        <f t="shared" si="10"/>
        <v>80000</v>
      </c>
      <c r="F76" s="73"/>
      <c r="G76" s="73"/>
      <c r="H76" s="73"/>
      <c r="I76" s="73"/>
      <c r="J76" s="63"/>
      <c r="K76" s="44">
        <f t="shared" si="8"/>
        <v>80000</v>
      </c>
      <c r="L76" s="83">
        <f t="shared" si="9"/>
        <v>80000</v>
      </c>
      <c r="M76" s="95">
        <f>L76-D76</f>
        <v>0</v>
      </c>
      <c r="N76" s="95">
        <f>K76-D76</f>
        <v>0</v>
      </c>
    </row>
    <row r="77" spans="1:14" x14ac:dyDescent="0.25">
      <c r="A77" s="79"/>
      <c r="B77" s="80"/>
      <c r="C77" s="80"/>
      <c r="D77" s="86"/>
      <c r="E77" s="73"/>
      <c r="F77" s="73"/>
      <c r="G77" s="73"/>
      <c r="H77" s="73"/>
      <c r="I77" s="73"/>
      <c r="J77" s="63"/>
      <c r="K77" s="44"/>
      <c r="L77" s="83"/>
      <c r="M77" t="str">
        <f>IF(K77=L77, "", "Error")</f>
        <v/>
      </c>
    </row>
    <row r="78" spans="1:14" ht="14.25" customHeight="1" x14ac:dyDescent="0.25">
      <c r="A78" s="34" t="s">
        <v>5</v>
      </c>
      <c r="B78" s="35"/>
      <c r="C78" s="35"/>
      <c r="D78" s="43">
        <f t="shared" ref="D78:J78" si="11">SUM(D68:D77)</f>
        <v>1997818.53</v>
      </c>
      <c r="E78" s="43">
        <f t="shared" si="11"/>
        <v>1898941.7774800002</v>
      </c>
      <c r="F78" s="43">
        <f t="shared" si="11"/>
        <v>15703.954812000002</v>
      </c>
      <c r="G78" s="43">
        <f t="shared" si="11"/>
        <v>18612.094592000001</v>
      </c>
      <c r="H78" s="43">
        <f t="shared" si="11"/>
        <v>17594.245668999996</v>
      </c>
      <c r="I78" s="43">
        <f t="shared" si="11"/>
        <v>21665.641360999998</v>
      </c>
      <c r="J78" s="43">
        <f t="shared" si="11"/>
        <v>25300.816085999999</v>
      </c>
      <c r="K78" s="44">
        <f>E78+J78+F78+G78+H78+I78</f>
        <v>1997818.5300000003</v>
      </c>
      <c r="L78" s="74" t="str">
        <f>IF(D78=K78, "", "Error")</f>
        <v/>
      </c>
      <c r="M78" s="95">
        <f>D78-K78</f>
        <v>0</v>
      </c>
    </row>
    <row r="79" spans="1:14" hidden="1" x14ac:dyDescent="0.25">
      <c r="A79" s="6"/>
      <c r="B79" s="6"/>
      <c r="C79" s="6"/>
      <c r="D79" s="99"/>
      <c r="E79" s="47"/>
      <c r="F79" s="47"/>
      <c r="G79" s="47"/>
      <c r="H79" s="47"/>
      <c r="I79" s="47"/>
      <c r="J79" s="6"/>
      <c r="L79" s="74"/>
    </row>
    <row r="80" spans="1:14" hidden="1" x14ac:dyDescent="0.25">
      <c r="A80" s="6"/>
      <c r="B80" s="6"/>
      <c r="C80" s="6"/>
      <c r="D80" s="99"/>
      <c r="E80" s="46"/>
      <c r="F80" s="46"/>
      <c r="G80" s="46"/>
      <c r="H80" s="46"/>
      <c r="I80" s="46"/>
      <c r="J80" s="6"/>
      <c r="L80" s="74"/>
    </row>
    <row r="81" spans="1:14" x14ac:dyDescent="0.25">
      <c r="A81" s="33" t="s">
        <v>234</v>
      </c>
      <c r="B81" s="6"/>
      <c r="C81" s="6"/>
      <c r="D81" s="99"/>
      <c r="E81" s="46"/>
      <c r="F81" s="46"/>
      <c r="G81" s="46"/>
      <c r="H81" s="46"/>
      <c r="I81" s="46"/>
      <c r="J81" s="6"/>
      <c r="L81" s="74"/>
    </row>
    <row r="82" spans="1:14" x14ac:dyDescent="0.25">
      <c r="A82" s="6" t="s">
        <v>298</v>
      </c>
      <c r="B82" s="36"/>
      <c r="C82" s="6"/>
      <c r="D82" s="45">
        <f>184000</f>
        <v>184000</v>
      </c>
      <c r="E82" s="73">
        <f>D82*93.2%</f>
        <v>171488</v>
      </c>
      <c r="F82" s="63">
        <f>$D82*1.08%</f>
        <v>1987.2</v>
      </c>
      <c r="G82" s="63">
        <f>$D82*1.28%</f>
        <v>2355.2000000000003</v>
      </c>
      <c r="H82" s="63">
        <f>$D82*1.21%</f>
        <v>2226.4</v>
      </c>
      <c r="I82" s="63">
        <f>$D82*1.49%</f>
        <v>2741.6</v>
      </c>
      <c r="J82" s="63">
        <f>D82*1.74%</f>
        <v>3201.6</v>
      </c>
      <c r="K82" s="82"/>
      <c r="L82" s="74"/>
    </row>
    <row r="83" spans="1:14" x14ac:dyDescent="0.25">
      <c r="A83" s="6" t="s">
        <v>299</v>
      </c>
      <c r="B83" s="36"/>
      <c r="C83" s="6"/>
      <c r="D83" s="45">
        <v>191550</v>
      </c>
      <c r="E83" s="73">
        <f>D83*93.2%</f>
        <v>178524.6</v>
      </c>
      <c r="F83" s="63">
        <f>$D83*1.08%</f>
        <v>2068.7400000000002</v>
      </c>
      <c r="G83" s="63">
        <f>$D83*1.28%</f>
        <v>2451.84</v>
      </c>
      <c r="H83" s="63">
        <f>$D83*1.21%</f>
        <v>2317.7550000000001</v>
      </c>
      <c r="I83" s="63">
        <f>$D83*1.49%</f>
        <v>2854.0949999999998</v>
      </c>
      <c r="J83" s="63">
        <f>D83*1.74%</f>
        <v>3332.97</v>
      </c>
      <c r="K83" s="82"/>
      <c r="L83" s="74"/>
    </row>
    <row r="84" spans="1:14" x14ac:dyDescent="0.25">
      <c r="A84" s="6" t="s">
        <v>304</v>
      </c>
      <c r="B84" s="36"/>
      <c r="C84" s="6"/>
      <c r="D84" s="45">
        <v>9800</v>
      </c>
      <c r="E84" s="73">
        <f>D84*93.2%</f>
        <v>9133.6</v>
      </c>
      <c r="F84" s="63">
        <f>$D84*1.08%</f>
        <v>105.84</v>
      </c>
      <c r="G84" s="63">
        <f>$D84*1.28%</f>
        <v>125.44000000000001</v>
      </c>
      <c r="H84" s="63">
        <f>$D84*1.21%</f>
        <v>118.58</v>
      </c>
      <c r="I84" s="63">
        <f>$D84*1.49%</f>
        <v>146.02000000000001</v>
      </c>
      <c r="J84" s="63">
        <f>D84*1.74%</f>
        <v>170.51999999999998</v>
      </c>
      <c r="K84" s="82"/>
      <c r="L84" s="74"/>
    </row>
    <row r="85" spans="1:14" x14ac:dyDescent="0.25">
      <c r="A85" s="6" t="s">
        <v>308</v>
      </c>
      <c r="B85" s="36"/>
      <c r="C85" s="6"/>
      <c r="D85" s="45">
        <v>21780</v>
      </c>
      <c r="E85" s="73">
        <f>D85*93.2%</f>
        <v>20298.960000000003</v>
      </c>
      <c r="F85" s="63">
        <f>$D85*1.08%</f>
        <v>235.22400000000002</v>
      </c>
      <c r="G85" s="63">
        <f>$D85*1.28%</f>
        <v>278.78399999999999</v>
      </c>
      <c r="H85" s="63">
        <f>$D85*1.21%</f>
        <v>263.53800000000001</v>
      </c>
      <c r="I85" s="63">
        <f>$D85*1.49%</f>
        <v>324.52199999999999</v>
      </c>
      <c r="J85" s="63">
        <f>D85*1.74%</f>
        <v>378.97199999999998</v>
      </c>
      <c r="K85" s="82"/>
      <c r="L85" s="74"/>
    </row>
    <row r="86" spans="1:14" x14ac:dyDescent="0.25">
      <c r="A86" s="6" t="s">
        <v>319</v>
      </c>
      <c r="B86" s="36"/>
      <c r="C86" s="6"/>
      <c r="D86" s="45">
        <v>78800</v>
      </c>
      <c r="E86" s="73">
        <f>D86*93.2%</f>
        <v>73441.600000000006</v>
      </c>
      <c r="F86" s="63">
        <f>$D86*1.08%</f>
        <v>851.04000000000008</v>
      </c>
      <c r="G86" s="63">
        <f>$D86*1.28%</f>
        <v>1008.6400000000001</v>
      </c>
      <c r="H86" s="63">
        <f>$D86*1.21%</f>
        <v>953.48</v>
      </c>
      <c r="I86" s="63">
        <f>$D86*1.49%</f>
        <v>1174.1199999999999</v>
      </c>
      <c r="J86" s="63">
        <f>D86*1.74%</f>
        <v>1371.12</v>
      </c>
      <c r="K86" s="82"/>
      <c r="L86" s="74"/>
    </row>
    <row r="87" spans="1:14" x14ac:dyDescent="0.25">
      <c r="A87" s="6" t="s">
        <v>307</v>
      </c>
      <c r="B87" s="36"/>
      <c r="C87" s="6"/>
      <c r="D87" s="45">
        <v>813200</v>
      </c>
      <c r="E87" s="84">
        <f>D87</f>
        <v>813200</v>
      </c>
      <c r="F87" s="84"/>
      <c r="G87" s="84"/>
      <c r="H87" s="84"/>
      <c r="I87" s="84"/>
      <c r="J87" s="63"/>
      <c r="K87" s="82"/>
      <c r="L87" s="74"/>
    </row>
    <row r="88" spans="1:14" x14ac:dyDescent="0.25">
      <c r="A88" s="6"/>
      <c r="B88" s="6"/>
      <c r="C88" s="6"/>
      <c r="D88" s="45"/>
      <c r="E88" s="73"/>
      <c r="F88" s="63"/>
      <c r="G88" s="63"/>
      <c r="H88" s="63"/>
      <c r="I88" s="63"/>
      <c r="J88" s="63"/>
      <c r="L88" s="74"/>
      <c r="M88" s="44"/>
    </row>
    <row r="89" spans="1:14" ht="13.5" customHeight="1" x14ac:dyDescent="0.25">
      <c r="A89" s="34" t="s">
        <v>235</v>
      </c>
      <c r="B89" s="34"/>
      <c r="C89" s="34"/>
      <c r="D89" s="43">
        <f t="shared" ref="D89:J89" si="12">SUM(D82:D88)</f>
        <v>1299130</v>
      </c>
      <c r="E89" s="43">
        <f t="shared" si="12"/>
        <v>1266086.76</v>
      </c>
      <c r="F89" s="43">
        <f t="shared" si="12"/>
        <v>5248.0440000000008</v>
      </c>
      <c r="G89" s="43">
        <f t="shared" si="12"/>
        <v>6219.9040000000005</v>
      </c>
      <c r="H89" s="43">
        <f t="shared" si="12"/>
        <v>5879.7530000000006</v>
      </c>
      <c r="I89" s="43">
        <f t="shared" si="12"/>
        <v>7240.357</v>
      </c>
      <c r="J89" s="43">
        <f t="shared" si="12"/>
        <v>8455.1820000000007</v>
      </c>
      <c r="K89" s="44">
        <f>E89+J89+F89+G89+H89+I89</f>
        <v>1299130.0000000002</v>
      </c>
      <c r="L89" s="74" t="str">
        <f>IF(D89=K89, "", "Error")</f>
        <v/>
      </c>
      <c r="N89" s="44"/>
    </row>
    <row r="90" spans="1:14" hidden="1" x14ac:dyDescent="0.25">
      <c r="A90" s="6"/>
      <c r="B90" s="6"/>
      <c r="C90" s="6"/>
      <c r="D90" s="99"/>
      <c r="E90" s="47"/>
      <c r="F90" s="47"/>
      <c r="G90" s="47"/>
      <c r="H90" s="47"/>
      <c r="I90" s="47"/>
      <c r="J90" s="6"/>
      <c r="L90" s="74"/>
    </row>
    <row r="91" spans="1:14" hidden="1" x14ac:dyDescent="0.25">
      <c r="A91" s="6"/>
      <c r="B91" s="6"/>
      <c r="C91" s="6"/>
      <c r="D91" s="99"/>
      <c r="E91" s="46"/>
      <c r="F91" s="46"/>
      <c r="G91" s="46"/>
      <c r="H91" s="46"/>
      <c r="I91" s="46"/>
      <c r="J91" s="6"/>
      <c r="L91" s="74"/>
    </row>
    <row r="92" spans="1:14" x14ac:dyDescent="0.25">
      <c r="A92" s="33" t="s">
        <v>6</v>
      </c>
      <c r="B92" s="6"/>
      <c r="C92" s="6"/>
      <c r="D92" s="99"/>
      <c r="E92" s="46"/>
      <c r="F92" s="46"/>
      <c r="G92" s="46"/>
      <c r="H92" s="46"/>
      <c r="I92" s="46"/>
      <c r="J92" s="6"/>
      <c r="L92" s="74"/>
    </row>
    <row r="93" spans="1:14" ht="14.25" customHeight="1" x14ac:dyDescent="0.25">
      <c r="A93" s="6" t="s">
        <v>7</v>
      </c>
      <c r="B93" s="6" t="s">
        <v>40</v>
      </c>
      <c r="C93" s="6"/>
      <c r="D93" s="45">
        <v>700000</v>
      </c>
      <c r="E93" s="73">
        <f>D93*93.2%</f>
        <v>652400</v>
      </c>
      <c r="F93" s="63">
        <f>$D93*1.08%</f>
        <v>7560</v>
      </c>
      <c r="G93" s="63">
        <f>$D93*1.28%</f>
        <v>8960</v>
      </c>
      <c r="H93" s="63">
        <f>$D93*1.21%</f>
        <v>8470</v>
      </c>
      <c r="I93" s="63">
        <f>$D93*1.49%</f>
        <v>10430</v>
      </c>
      <c r="J93" s="63">
        <f>D93*1.74%</f>
        <v>12180</v>
      </c>
      <c r="L93" s="74"/>
    </row>
    <row r="94" spans="1:14" x14ac:dyDescent="0.25">
      <c r="A94" s="33"/>
      <c r="B94" s="6"/>
      <c r="C94" s="6"/>
      <c r="D94" s="45"/>
      <c r="E94" s="73"/>
      <c r="F94" s="73"/>
      <c r="G94" s="73"/>
      <c r="H94" s="73"/>
      <c r="I94" s="73"/>
      <c r="J94" s="63"/>
      <c r="L94" s="74"/>
      <c r="N94" s="45"/>
    </row>
    <row r="95" spans="1:14" x14ac:dyDescent="0.25">
      <c r="A95" s="6"/>
      <c r="B95" s="6"/>
      <c r="C95" s="6"/>
      <c r="D95" s="99"/>
      <c r="E95" s="48"/>
      <c r="F95" s="48"/>
      <c r="G95" s="48"/>
      <c r="H95" s="48"/>
      <c r="I95" s="48"/>
      <c r="J95" s="6"/>
      <c r="L95" s="74"/>
      <c r="N95" s="44"/>
    </row>
    <row r="96" spans="1:14" x14ac:dyDescent="0.25">
      <c r="A96" s="34" t="s">
        <v>8</v>
      </c>
      <c r="B96" s="34"/>
      <c r="C96" s="34"/>
      <c r="D96" s="43">
        <f>SUM(D93:D95)</f>
        <v>700000</v>
      </c>
      <c r="E96" s="43">
        <f>SUM(E93:E95)</f>
        <v>652400</v>
      </c>
      <c r="F96" s="43">
        <f t="shared" ref="F96:I96" si="13">SUM(F93:F95)</f>
        <v>7560</v>
      </c>
      <c r="G96" s="43">
        <f t="shared" si="13"/>
        <v>8960</v>
      </c>
      <c r="H96" s="43">
        <f t="shared" si="13"/>
        <v>8470</v>
      </c>
      <c r="I96" s="43">
        <f t="shared" si="13"/>
        <v>10430</v>
      </c>
      <c r="J96" s="43">
        <f>SUM(J93:J95)</f>
        <v>12180</v>
      </c>
      <c r="K96" s="44">
        <f>E96+J96+F96+G96+H96+I96</f>
        <v>700000</v>
      </c>
      <c r="L96" s="74" t="str">
        <f>IF(D96=K96, "", "Error")</f>
        <v/>
      </c>
      <c r="N96" s="44"/>
    </row>
    <row r="97" spans="1:13" x14ac:dyDescent="0.25">
      <c r="A97" s="6" t="s">
        <v>29</v>
      </c>
      <c r="B97" s="6" t="s">
        <v>321</v>
      </c>
      <c r="C97" s="6"/>
      <c r="D97" s="45"/>
      <c r="E97" s="73">
        <f>D97*93.2%</f>
        <v>0</v>
      </c>
      <c r="F97" s="63">
        <f>$D97*1.08%</f>
        <v>0</v>
      </c>
      <c r="G97" s="63">
        <f>$D97*1.28%</f>
        <v>0</v>
      </c>
      <c r="H97" s="63">
        <f>$D97*1.21%</f>
        <v>0</v>
      </c>
      <c r="I97" s="63">
        <f>$D97*1.49%</f>
        <v>0</v>
      </c>
      <c r="J97" s="63">
        <f>D97*1.74%</f>
        <v>0</v>
      </c>
      <c r="L97" s="74"/>
    </row>
    <row r="98" spans="1:13" x14ac:dyDescent="0.25">
      <c r="A98" s="6" t="s">
        <v>30</v>
      </c>
      <c r="B98" s="6" t="s">
        <v>321</v>
      </c>
      <c r="C98" s="52"/>
      <c r="D98" s="45"/>
      <c r="E98" s="73">
        <f>D98*93.2%</f>
        <v>0</v>
      </c>
      <c r="F98" s="63">
        <f>$D98*1.08%</f>
        <v>0</v>
      </c>
      <c r="G98" s="63">
        <f>$D98*1.28%</f>
        <v>0</v>
      </c>
      <c r="H98" s="63">
        <f>$D98*1.21%</f>
        <v>0</v>
      </c>
      <c r="I98" s="63">
        <f>$D98*1.49%</f>
        <v>0</v>
      </c>
      <c r="J98" s="63">
        <f>D98*1.74%</f>
        <v>0</v>
      </c>
      <c r="L98" s="74"/>
    </row>
    <row r="99" spans="1:13" x14ac:dyDescent="0.25">
      <c r="A99" s="34" t="s">
        <v>236</v>
      </c>
      <c r="B99" s="34"/>
      <c r="C99" s="34"/>
      <c r="D99" s="81">
        <f>SUM(D97:D98)</f>
        <v>0</v>
      </c>
      <c r="E99" s="72">
        <f t="shared" ref="E99:J99" si="14">SUM(E97:E98)</f>
        <v>0</v>
      </c>
      <c r="F99" s="72">
        <f t="shared" si="14"/>
        <v>0</v>
      </c>
      <c r="G99" s="72">
        <f t="shared" si="14"/>
        <v>0</v>
      </c>
      <c r="H99" s="72">
        <f t="shared" si="14"/>
        <v>0</v>
      </c>
      <c r="I99" s="72">
        <f t="shared" si="14"/>
        <v>0</v>
      </c>
      <c r="J99" s="72">
        <f t="shared" si="14"/>
        <v>0</v>
      </c>
      <c r="K99" s="44">
        <f>E99+J99+F99+G99+H99+I99</f>
        <v>0</v>
      </c>
      <c r="L99" s="74" t="str">
        <f>IF(D99=K99, "", "Error")</f>
        <v/>
      </c>
    </row>
    <row r="100" spans="1:13" ht="15.75" thickBot="1" x14ac:dyDescent="0.3">
      <c r="A100" s="115"/>
      <c r="B100" s="115"/>
      <c r="C100" s="115"/>
      <c r="D100" s="116"/>
      <c r="E100" s="10"/>
      <c r="F100" s="10"/>
      <c r="G100" s="10"/>
      <c r="H100" s="10"/>
      <c r="I100" s="10"/>
      <c r="J100" s="115"/>
      <c r="L100" s="74"/>
    </row>
    <row r="101" spans="1:13" ht="15.75" thickBot="1" x14ac:dyDescent="0.3">
      <c r="A101" s="117" t="s">
        <v>47</v>
      </c>
      <c r="B101" s="118"/>
      <c r="C101" s="118"/>
      <c r="D101" s="119">
        <v>1500000</v>
      </c>
      <c r="E101" s="143">
        <f>D101*93.2%</f>
        <v>1398000</v>
      </c>
      <c r="F101" s="143">
        <f>$D101*1.08%</f>
        <v>16200</v>
      </c>
      <c r="G101" s="143">
        <f>$D101*1.28%</f>
        <v>19200</v>
      </c>
      <c r="H101" s="143">
        <f>$D101*1.21%</f>
        <v>18150</v>
      </c>
      <c r="I101" s="143">
        <f>$D101*1.49%</f>
        <v>22350</v>
      </c>
      <c r="J101" s="144">
        <f>D101*1.74%</f>
        <v>26100</v>
      </c>
      <c r="K101" s="44">
        <f>E101+J101+F101+G101+H101+I101</f>
        <v>1500000</v>
      </c>
      <c r="L101" s="74" t="str">
        <f>IF(D101=K101, "", "Error")</f>
        <v/>
      </c>
    </row>
    <row r="102" spans="1:13" ht="15.75" thickBot="1" x14ac:dyDescent="0.3">
      <c r="A102" s="120"/>
      <c r="B102" s="121"/>
      <c r="C102" s="121"/>
      <c r="D102" s="122"/>
      <c r="E102" s="123"/>
      <c r="F102" s="123"/>
      <c r="G102" s="123"/>
      <c r="H102" s="123"/>
      <c r="I102" s="123"/>
      <c r="J102" s="124"/>
      <c r="K102" s="44"/>
      <c r="L102" s="74"/>
    </row>
    <row r="103" spans="1:13" ht="15.75" thickBot="1" x14ac:dyDescent="0.3">
      <c r="A103" s="3" t="s">
        <v>31</v>
      </c>
      <c r="B103" s="12"/>
      <c r="C103" s="4"/>
      <c r="D103" s="100">
        <f t="shared" ref="D103:J103" si="15">SUM(D101+D57+D52+D99+D96+D89+D78+D66+D44+D39+D61)</f>
        <v>9142586.040000001</v>
      </c>
      <c r="E103" s="100">
        <f t="shared" si="15"/>
        <v>8625269.41952</v>
      </c>
      <c r="F103" s="100">
        <f t="shared" si="15"/>
        <v>82162.051487999997</v>
      </c>
      <c r="G103" s="100">
        <f t="shared" si="15"/>
        <v>97377.246207999997</v>
      </c>
      <c r="H103" s="100">
        <f t="shared" si="15"/>
        <v>92051.928055999975</v>
      </c>
      <c r="I103" s="100">
        <f t="shared" si="15"/>
        <v>113353.200664</v>
      </c>
      <c r="J103" s="100">
        <f t="shared" si="15"/>
        <v>132372.19406399998</v>
      </c>
      <c r="K103" s="44">
        <f>E103+J103+F103+G103+H103+I103</f>
        <v>9142586.0400000028</v>
      </c>
      <c r="L103" s="74" t="str">
        <f>IF(D103=K103, "", "Error")</f>
        <v/>
      </c>
      <c r="M103" s="95">
        <f>D103-K103</f>
        <v>0</v>
      </c>
    </row>
    <row r="104" spans="1:13" ht="15.75" thickBot="1" x14ac:dyDescent="0.3">
      <c r="D104" s="98"/>
      <c r="E104" s="44"/>
      <c r="F104" s="44"/>
      <c r="G104" s="44"/>
      <c r="H104" s="44"/>
      <c r="I104" s="44"/>
    </row>
    <row r="105" spans="1:13" ht="15.75" thickBot="1" x14ac:dyDescent="0.3">
      <c r="A105" s="69" t="s">
        <v>42</v>
      </c>
      <c r="B105" s="68"/>
      <c r="C105" s="68"/>
      <c r="E105" s="44"/>
      <c r="F105" s="44"/>
      <c r="G105" s="44"/>
      <c r="H105" s="44"/>
      <c r="I105" s="44"/>
    </row>
    <row r="106" spans="1:13" x14ac:dyDescent="0.25">
      <c r="A106" s="1" t="s">
        <v>309</v>
      </c>
      <c r="C106" s="149">
        <f>21780*2</f>
        <v>43560</v>
      </c>
      <c r="E106" s="44"/>
      <c r="F106" s="44"/>
      <c r="G106" s="44"/>
      <c r="H106" s="44"/>
      <c r="I106" s="44"/>
    </row>
    <row r="107" spans="1:13" x14ac:dyDescent="0.25">
      <c r="A107" s="1" t="s">
        <v>310</v>
      </c>
      <c r="C107" s="149">
        <v>21780</v>
      </c>
      <c r="E107" s="44"/>
      <c r="F107" s="44"/>
      <c r="G107" s="44"/>
      <c r="H107" s="44"/>
      <c r="I107" s="44"/>
    </row>
    <row r="108" spans="1:13" x14ac:dyDescent="0.25">
      <c r="A108" s="1" t="s">
        <v>311</v>
      </c>
      <c r="C108" s="149">
        <v>18000</v>
      </c>
      <c r="E108" s="44"/>
      <c r="F108" s="44"/>
      <c r="G108" s="44"/>
      <c r="H108" s="44"/>
      <c r="I108" s="44"/>
    </row>
    <row r="109" spans="1:13" x14ac:dyDescent="0.25">
      <c r="A109" s="1" t="s">
        <v>312</v>
      </c>
      <c r="C109" s="149">
        <v>9000</v>
      </c>
      <c r="E109" s="44"/>
      <c r="F109" s="44"/>
      <c r="G109" s="44"/>
      <c r="H109" s="44"/>
      <c r="I109" s="44"/>
    </row>
    <row r="110" spans="1:13" x14ac:dyDescent="0.25">
      <c r="A110" s="1" t="s">
        <v>313</v>
      </c>
      <c r="C110" s="149">
        <v>18000</v>
      </c>
      <c r="E110" s="44"/>
      <c r="F110" s="44"/>
      <c r="G110" s="44"/>
      <c r="H110" s="44"/>
      <c r="I110" s="44"/>
    </row>
    <row r="111" spans="1:13" x14ac:dyDescent="0.25">
      <c r="A111" s="1" t="s">
        <v>314</v>
      </c>
      <c r="C111" s="149">
        <v>18000</v>
      </c>
      <c r="E111" s="44"/>
      <c r="F111" s="44"/>
      <c r="G111" s="44"/>
      <c r="H111" s="44"/>
      <c r="I111" s="44"/>
    </row>
    <row r="112" spans="1:13" x14ac:dyDescent="0.25">
      <c r="A112" s="1" t="s">
        <v>316</v>
      </c>
      <c r="C112" s="149">
        <v>9000</v>
      </c>
      <c r="E112" s="44"/>
      <c r="F112" s="44"/>
      <c r="G112" s="44"/>
      <c r="H112" s="44"/>
      <c r="I112" s="44"/>
    </row>
    <row r="113" spans="1:13" x14ac:dyDescent="0.25">
      <c r="A113" s="1" t="s">
        <v>315</v>
      </c>
      <c r="C113" s="149">
        <v>9000</v>
      </c>
      <c r="E113" s="44"/>
      <c r="F113" s="44"/>
      <c r="G113" s="44"/>
      <c r="H113" s="44"/>
      <c r="I113" s="44"/>
    </row>
    <row r="114" spans="1:13" x14ac:dyDescent="0.25">
      <c r="A114" s="1" t="s">
        <v>317</v>
      </c>
      <c r="C114" s="149">
        <v>9000</v>
      </c>
      <c r="E114" s="44"/>
      <c r="F114" s="44"/>
      <c r="G114" s="44"/>
      <c r="H114" s="44"/>
      <c r="I114" s="44"/>
    </row>
    <row r="115" spans="1:13" x14ac:dyDescent="0.25">
      <c r="A115" s="1" t="s">
        <v>318</v>
      </c>
      <c r="C115" s="149">
        <v>9000</v>
      </c>
      <c r="E115" s="44"/>
      <c r="F115" s="44"/>
      <c r="G115" s="44"/>
      <c r="H115" s="44"/>
      <c r="I115" s="44"/>
    </row>
    <row r="116" spans="1:13" x14ac:dyDescent="0.25">
      <c r="A116" s="1"/>
      <c r="C116" s="175"/>
      <c r="E116" s="44"/>
      <c r="F116" s="44"/>
      <c r="G116" s="44"/>
      <c r="H116" s="44"/>
      <c r="I116" s="44"/>
    </row>
    <row r="117" spans="1:13" ht="15.75" thickBot="1" x14ac:dyDescent="0.3">
      <c r="A117" s="1"/>
      <c r="C117" s="175"/>
      <c r="E117" s="44"/>
      <c r="F117" s="44"/>
      <c r="G117" s="44"/>
      <c r="H117" s="44"/>
      <c r="I117" s="44"/>
    </row>
    <row r="118" spans="1:13" ht="15.75" thickBot="1" x14ac:dyDescent="0.3">
      <c r="A118" s="70" t="s">
        <v>18</v>
      </c>
      <c r="B118" s="71"/>
      <c r="C118" s="67">
        <f>SUM(C106:C116)</f>
        <v>164340</v>
      </c>
      <c r="E118" s="44"/>
      <c r="F118" s="44"/>
      <c r="G118" s="44"/>
      <c r="H118" s="44"/>
      <c r="I118" s="44"/>
    </row>
    <row r="119" spans="1:13" x14ac:dyDescent="0.25">
      <c r="E119" s="44"/>
      <c r="F119" s="44"/>
      <c r="G119" s="44"/>
      <c r="H119" s="44"/>
      <c r="I119" s="44"/>
    </row>
    <row r="120" spans="1:13" x14ac:dyDescent="0.25">
      <c r="E120" s="65"/>
      <c r="F120" s="65"/>
      <c r="G120" s="65"/>
      <c r="H120" s="65"/>
      <c r="I120" s="65"/>
    </row>
    <row r="121" spans="1:13" x14ac:dyDescent="0.25">
      <c r="A121" s="184" t="s">
        <v>37</v>
      </c>
      <c r="B121" s="185"/>
      <c r="C121" s="185"/>
      <c r="D121" s="185"/>
      <c r="E121" s="90" t="s">
        <v>12</v>
      </c>
      <c r="F121" s="90" t="s">
        <v>174</v>
      </c>
      <c r="G121" s="90" t="s">
        <v>175</v>
      </c>
      <c r="H121" s="90" t="s">
        <v>176</v>
      </c>
      <c r="I121" s="90" t="s">
        <v>177</v>
      </c>
      <c r="J121" s="91" t="s">
        <v>178</v>
      </c>
    </row>
    <row r="122" spans="1:13" ht="22.5" customHeight="1" x14ac:dyDescent="0.25">
      <c r="A122" s="186"/>
      <c r="B122" s="187"/>
      <c r="C122" s="92"/>
      <c r="D122" s="45"/>
      <c r="E122" s="73">
        <f>D122</f>
        <v>0</v>
      </c>
      <c r="F122" s="73"/>
      <c r="G122" s="73"/>
      <c r="H122" s="73"/>
      <c r="I122" s="73"/>
      <c r="J122" s="63"/>
    </row>
    <row r="123" spans="1:13" ht="24.75" customHeight="1" x14ac:dyDescent="0.25">
      <c r="A123" s="186"/>
      <c r="B123" s="187"/>
      <c r="C123" s="92"/>
      <c r="D123" s="45"/>
      <c r="E123" s="73"/>
      <c r="F123" s="73"/>
      <c r="G123" s="73"/>
      <c r="H123" s="73"/>
      <c r="I123" s="73"/>
      <c r="J123" s="63"/>
    </row>
    <row r="124" spans="1:13" x14ac:dyDescent="0.25">
      <c r="A124" s="181" t="s">
        <v>18</v>
      </c>
      <c r="B124" s="182"/>
      <c r="C124" s="183"/>
      <c r="D124" s="89">
        <f>SUM(D122:D123)</f>
        <v>0</v>
      </c>
      <c r="E124" s="89">
        <f>SUM(E122:E123)</f>
        <v>0</v>
      </c>
      <c r="F124" s="89"/>
      <c r="G124" s="89"/>
      <c r="H124" s="89"/>
      <c r="I124" s="89"/>
      <c r="J124" s="89">
        <f>SUM(J122:J123)</f>
        <v>0</v>
      </c>
      <c r="L124" s="44">
        <f>E124+J124</f>
        <v>0</v>
      </c>
      <c r="M124" s="74" t="str">
        <f>IF(D124=L124, "", "Error")</f>
        <v/>
      </c>
    </row>
    <row r="126" spans="1:13" ht="15.75" thickBot="1" x14ac:dyDescent="0.3">
      <c r="E126" s="44"/>
      <c r="F126" s="44"/>
      <c r="G126" s="44"/>
      <c r="H126" s="44"/>
      <c r="I126" s="44"/>
    </row>
    <row r="127" spans="1:13" ht="15.75" thickBot="1" x14ac:dyDescent="0.3">
      <c r="A127" s="39" t="s">
        <v>32</v>
      </c>
      <c r="B127" s="40">
        <f>D103</f>
        <v>9142586.040000001</v>
      </c>
    </row>
    <row r="128" spans="1:13" ht="15.75" thickBot="1" x14ac:dyDescent="0.3">
      <c r="A128" s="41" t="s">
        <v>34</v>
      </c>
      <c r="B128" s="42">
        <f>D103-D101</f>
        <v>7642586.040000001</v>
      </c>
    </row>
    <row r="129" spans="1:11" x14ac:dyDescent="0.25">
      <c r="D129" s="180"/>
      <c r="E129" s="180"/>
      <c r="F129" s="102"/>
      <c r="G129" s="102"/>
      <c r="H129" s="102"/>
      <c r="I129" s="102"/>
    </row>
    <row r="130" spans="1:11" x14ac:dyDescent="0.25">
      <c r="A130" s="17" t="s">
        <v>21</v>
      </c>
      <c r="B130" s="18"/>
      <c r="C130" s="19"/>
      <c r="D130" s="180"/>
      <c r="E130" s="180"/>
      <c r="F130" s="102"/>
      <c r="G130" s="102"/>
      <c r="H130" s="102"/>
      <c r="I130" s="102"/>
    </row>
    <row r="131" spans="1:11" x14ac:dyDescent="0.25">
      <c r="A131" s="20" t="s">
        <v>22</v>
      </c>
      <c r="B131" s="9">
        <v>394371.04000000097</v>
      </c>
      <c r="C131" s="21"/>
      <c r="D131" s="180"/>
      <c r="E131" s="180"/>
      <c r="F131" s="102"/>
      <c r="G131" s="102"/>
      <c r="H131" s="102"/>
      <c r="I131" s="102"/>
    </row>
    <row r="132" spans="1:11" x14ac:dyDescent="0.25">
      <c r="A132" s="22" t="s">
        <v>23</v>
      </c>
      <c r="B132" s="31">
        <f>PRORRATEO!H127</f>
        <v>5931731.0433599977</v>
      </c>
      <c r="C132" s="21" t="s">
        <v>24</v>
      </c>
      <c r="D132" s="180"/>
      <c r="E132" s="180"/>
      <c r="F132" s="102"/>
      <c r="G132" s="102"/>
      <c r="H132" s="102"/>
      <c r="I132" s="102"/>
    </row>
    <row r="133" spans="1:11" x14ac:dyDescent="0.25">
      <c r="A133" s="22" t="s">
        <v>39</v>
      </c>
      <c r="B133" s="94">
        <f>-B128</f>
        <v>-7642586.040000001</v>
      </c>
      <c r="C133" s="19"/>
      <c r="D133" s="180"/>
      <c r="E133" s="180"/>
      <c r="F133" s="102"/>
      <c r="G133" s="102"/>
      <c r="H133" s="102"/>
      <c r="I133" s="102"/>
      <c r="K133" s="45"/>
    </row>
    <row r="134" spans="1:11" x14ac:dyDescent="0.25">
      <c r="A134" s="22" t="s">
        <v>38</v>
      </c>
      <c r="B134" s="94">
        <f>-D124</f>
        <v>0</v>
      </c>
      <c r="C134" s="19"/>
      <c r="D134" s="180"/>
      <c r="E134" s="180"/>
      <c r="F134" s="102"/>
      <c r="G134" s="102"/>
      <c r="H134" s="102"/>
      <c r="I134" s="102"/>
      <c r="K134" s="55"/>
    </row>
    <row r="135" spans="1:11" x14ac:dyDescent="0.25">
      <c r="A135" s="22" t="s">
        <v>33</v>
      </c>
      <c r="B135" s="94">
        <f>-B142</f>
        <v>0</v>
      </c>
      <c r="C135" s="23"/>
    </row>
    <row r="136" spans="1:11" x14ac:dyDescent="0.25">
      <c r="A136" s="22" t="s">
        <v>42</v>
      </c>
      <c r="B136" s="94">
        <f>-C118</f>
        <v>-164340</v>
      </c>
      <c r="C136" s="23"/>
    </row>
    <row r="137" spans="1:11" x14ac:dyDescent="0.25">
      <c r="A137" s="22"/>
      <c r="B137" s="18"/>
      <c r="C137" s="23"/>
    </row>
    <row r="138" spans="1:11" x14ac:dyDescent="0.25">
      <c r="A138" s="20" t="s">
        <v>25</v>
      </c>
      <c r="B138" s="24">
        <f>SUM(B131:B137)</f>
        <v>-1480823.9566400023</v>
      </c>
      <c r="C138" s="78"/>
    </row>
    <row r="139" spans="1:11" x14ac:dyDescent="0.25">
      <c r="A139" s="23"/>
      <c r="C139" s="19"/>
      <c r="D139" s="26"/>
    </row>
    <row r="140" spans="1:11" x14ac:dyDescent="0.25">
      <c r="C140" s="19"/>
      <c r="D140" s="44"/>
      <c r="E140" s="95"/>
      <c r="F140" s="95"/>
      <c r="G140" s="95"/>
      <c r="H140" s="95"/>
      <c r="I140" s="95"/>
    </row>
    <row r="141" spans="1:11" x14ac:dyDescent="0.25">
      <c r="A141" s="17" t="s">
        <v>26</v>
      </c>
      <c r="B141" s="9">
        <v>0</v>
      </c>
      <c r="C141" s="25"/>
      <c r="D141" s="95"/>
      <c r="E141" s="95"/>
      <c r="F141" s="95"/>
      <c r="G141" s="95"/>
      <c r="H141" s="95"/>
      <c r="I141" s="95"/>
      <c r="J141" s="95"/>
    </row>
    <row r="142" spans="1:11" ht="15" customHeight="1" x14ac:dyDescent="0.25">
      <c r="A142" s="20" t="s">
        <v>264</v>
      </c>
      <c r="B142" s="32"/>
      <c r="C142" s="25"/>
      <c r="D142" s="95"/>
      <c r="E142" s="103"/>
      <c r="F142" s="103"/>
      <c r="G142" s="103"/>
      <c r="H142" s="103"/>
      <c r="I142" s="103"/>
    </row>
    <row r="143" spans="1:11" x14ac:dyDescent="0.25">
      <c r="A143" s="20"/>
      <c r="B143" s="94"/>
      <c r="C143" s="25"/>
      <c r="E143" s="44"/>
      <c r="F143" s="44"/>
      <c r="G143" s="44"/>
      <c r="H143" s="44"/>
      <c r="I143" s="44"/>
    </row>
    <row r="144" spans="1:11" x14ac:dyDescent="0.25">
      <c r="A144" s="37" t="s">
        <v>18</v>
      </c>
      <c r="B144" s="38">
        <f>SUM(B141:B143)</f>
        <v>0</v>
      </c>
      <c r="C144" s="25"/>
    </row>
    <row r="145" spans="2:18" x14ac:dyDescent="0.25">
      <c r="C145" s="26"/>
      <c r="D145" s="95"/>
    </row>
    <row r="146" spans="2:18" x14ac:dyDescent="0.25">
      <c r="B146" s="23"/>
      <c r="C146" s="19"/>
    </row>
    <row r="148" spans="2:18" x14ac:dyDescent="0.25">
      <c r="R148" s="10"/>
    </row>
    <row r="151" spans="2:18" x14ac:dyDescent="0.25">
      <c r="B151" s="179"/>
      <c r="C151" s="179"/>
      <c r="D151" s="179"/>
      <c r="E151" s="179"/>
      <c r="F151" s="106"/>
      <c r="G151" s="106"/>
      <c r="H151" s="106"/>
      <c r="I151" s="106"/>
    </row>
    <row r="152" spans="2:18" x14ac:dyDescent="0.25">
      <c r="B152" s="179"/>
      <c r="C152" s="179"/>
      <c r="D152" s="179"/>
      <c r="E152" s="179"/>
      <c r="F152" s="106"/>
      <c r="G152" s="106"/>
      <c r="H152" s="106"/>
      <c r="I152" s="106"/>
    </row>
    <row r="153" spans="2:18" x14ac:dyDescent="0.25">
      <c r="B153" s="179"/>
      <c r="C153" s="179"/>
      <c r="D153" s="179"/>
      <c r="E153" s="179"/>
      <c r="F153" s="106"/>
      <c r="G153" s="106"/>
      <c r="H153" s="106"/>
      <c r="I153" s="106"/>
    </row>
    <row r="154" spans="2:18" x14ac:dyDescent="0.25">
      <c r="B154" s="179"/>
      <c r="C154" s="179"/>
      <c r="D154" s="179"/>
      <c r="E154" s="179"/>
      <c r="F154" s="106"/>
      <c r="G154" s="106"/>
      <c r="H154" s="106"/>
      <c r="I154" s="106"/>
    </row>
    <row r="155" spans="2:18" x14ac:dyDescent="0.25">
      <c r="B155" s="179"/>
      <c r="C155" s="179"/>
      <c r="D155" s="179"/>
      <c r="E155" s="179"/>
      <c r="F155" s="106"/>
      <c r="G155" s="106"/>
      <c r="H155" s="106"/>
      <c r="I155" s="106"/>
    </row>
  </sheetData>
  <mergeCells count="8">
    <mergeCell ref="A14:J18"/>
    <mergeCell ref="B151:E155"/>
    <mergeCell ref="D129:E134"/>
    <mergeCell ref="A124:C124"/>
    <mergeCell ref="A121:D121"/>
    <mergeCell ref="A123:B123"/>
    <mergeCell ref="A122:B122"/>
    <mergeCell ref="A20:J22"/>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8"/>
  <sheetViews>
    <sheetView topLeftCell="C1" zoomScaleNormal="100" workbookViewId="0">
      <selection activeCell="H102" sqref="H102"/>
    </sheetView>
  </sheetViews>
  <sheetFormatPr baseColWidth="10" defaultRowHeight="15" x14ac:dyDescent="0.25"/>
  <cols>
    <col min="1" max="1" width="4.5703125" hidden="1" customWidth="1"/>
    <col min="2" max="2" width="5.85546875" hidden="1" customWidth="1"/>
    <col min="3" max="3" width="8.140625" customWidth="1"/>
    <col min="4" max="4" width="43.5703125" customWidth="1"/>
    <col min="5" max="5" width="39.7109375" hidden="1" customWidth="1"/>
    <col min="6" max="6" width="9.42578125" customWidth="1"/>
    <col min="7" max="7" width="13.28515625" customWidth="1"/>
    <col min="8" max="8" width="13" bestFit="1" customWidth="1"/>
    <col min="9" max="9" width="11.28515625" customWidth="1"/>
    <col min="10" max="10" width="13.7109375" customWidth="1"/>
    <col min="11" max="11" width="13.28515625" customWidth="1"/>
    <col min="12" max="12" width="10.42578125" customWidth="1"/>
    <col min="13" max="13" width="14.28515625" customWidth="1"/>
    <col min="14" max="14" width="13.7109375" customWidth="1"/>
    <col min="15" max="15" width="11.42578125" customWidth="1"/>
    <col min="16" max="16" width="14.5703125" bestFit="1" customWidth="1"/>
  </cols>
  <sheetData>
    <row r="1" spans="1:18" x14ac:dyDescent="0.25">
      <c r="A1" s="7"/>
      <c r="B1" s="7"/>
      <c r="C1" s="7"/>
      <c r="D1" s="7"/>
      <c r="E1" s="7"/>
      <c r="F1" s="7"/>
      <c r="G1" s="7" t="s">
        <v>9</v>
      </c>
      <c r="H1" s="7"/>
      <c r="I1" s="7"/>
      <c r="J1" s="7"/>
      <c r="K1" s="7" t="s">
        <v>44</v>
      </c>
      <c r="L1" s="194">
        <f>RESUMEN!D103-RESUMEN!D101</f>
        <v>7642586.040000001</v>
      </c>
      <c r="M1" s="195"/>
      <c r="N1" s="76"/>
      <c r="O1" s="64"/>
    </row>
    <row r="2" spans="1:18" x14ac:dyDescent="0.25">
      <c r="A2" s="7"/>
      <c r="B2" s="7"/>
      <c r="C2" s="7"/>
      <c r="D2" s="7"/>
      <c r="E2" s="7"/>
      <c r="F2" s="7"/>
      <c r="G2" s="7"/>
      <c r="H2" s="7"/>
      <c r="I2" s="7"/>
      <c r="J2" s="7"/>
      <c r="K2" s="7" t="s">
        <v>45</v>
      </c>
      <c r="L2" s="7"/>
      <c r="M2" s="76">
        <v>9000000</v>
      </c>
      <c r="N2" s="77"/>
      <c r="O2" s="64"/>
    </row>
    <row r="3" spans="1:18" x14ac:dyDescent="0.25">
      <c r="A3" s="7" t="str">
        <f>RESUMEN!C5</f>
        <v>PERÍODO: JULIO</v>
      </c>
      <c r="B3" s="7"/>
      <c r="C3" s="7"/>
      <c r="D3" s="7"/>
      <c r="E3" s="7"/>
      <c r="F3" s="7"/>
      <c r="G3" s="7"/>
      <c r="H3" s="7"/>
      <c r="I3" s="7"/>
      <c r="J3" s="8"/>
      <c r="K3" s="7"/>
      <c r="L3" s="7"/>
      <c r="M3" s="58"/>
      <c r="N3" s="75"/>
      <c r="O3" s="16"/>
    </row>
    <row r="4" spans="1:18" ht="15.75" thickBot="1" x14ac:dyDescent="0.3">
      <c r="A4" s="7"/>
      <c r="B4" s="7"/>
      <c r="C4" s="7"/>
      <c r="D4" s="7"/>
      <c r="E4" s="7"/>
      <c r="F4" s="7"/>
      <c r="G4" s="7"/>
      <c r="H4" s="7"/>
      <c r="I4" s="7"/>
      <c r="J4" s="53">
        <f>(J3*8.09%)/44</f>
        <v>0</v>
      </c>
      <c r="K4" s="7"/>
      <c r="L4" s="7"/>
      <c r="M4" s="58"/>
      <c r="N4" s="54"/>
      <c r="P4" s="95">
        <f>L1-K127</f>
        <v>-1240893.8416399993</v>
      </c>
    </row>
    <row r="5" spans="1:18" ht="15" customHeight="1" x14ac:dyDescent="0.25">
      <c r="A5" s="190" t="s">
        <v>10</v>
      </c>
      <c r="B5" s="203" t="s">
        <v>11</v>
      </c>
      <c r="C5" s="190" t="s">
        <v>12</v>
      </c>
      <c r="D5" s="205" t="s">
        <v>13</v>
      </c>
      <c r="E5" s="205" t="s">
        <v>282</v>
      </c>
      <c r="F5" s="190" t="s">
        <v>28</v>
      </c>
      <c r="G5" s="190" t="s">
        <v>14</v>
      </c>
      <c r="H5" s="190" t="s">
        <v>15</v>
      </c>
      <c r="I5" s="196" t="s">
        <v>16</v>
      </c>
      <c r="J5" s="198" t="s">
        <v>17</v>
      </c>
      <c r="K5" s="198" t="s">
        <v>19</v>
      </c>
      <c r="L5" s="201" t="s">
        <v>43</v>
      </c>
      <c r="M5" s="198" t="s">
        <v>325</v>
      </c>
      <c r="N5" s="198" t="s">
        <v>324</v>
      </c>
    </row>
    <row r="6" spans="1:18" ht="28.5" customHeight="1" x14ac:dyDescent="0.25">
      <c r="A6" s="191"/>
      <c r="B6" s="204"/>
      <c r="C6" s="191"/>
      <c r="D6" s="206"/>
      <c r="E6" s="206"/>
      <c r="F6" s="191"/>
      <c r="G6" s="191"/>
      <c r="H6" s="191"/>
      <c r="I6" s="197"/>
      <c r="J6" s="199"/>
      <c r="K6" s="199"/>
      <c r="L6" s="202"/>
      <c r="M6" s="199"/>
      <c r="N6" s="199"/>
    </row>
    <row r="7" spans="1:18" ht="19.5" customHeight="1" x14ac:dyDescent="0.25">
      <c r="A7" s="191"/>
      <c r="B7" s="204"/>
      <c r="C7" s="191"/>
      <c r="D7" s="206"/>
      <c r="E7" s="206"/>
      <c r="F7" s="191"/>
      <c r="G7" s="191"/>
      <c r="H7" s="191"/>
      <c r="I7" s="197"/>
      <c r="J7" s="199"/>
      <c r="K7" s="200"/>
      <c r="L7" s="202"/>
      <c r="M7" s="153" t="str">
        <f>RESUMEN!A20</f>
        <v>VTO 14/08</v>
      </c>
      <c r="N7" s="152" t="str">
        <f>RESUMEN!A20</f>
        <v>VTO 14/08</v>
      </c>
    </row>
    <row r="8" spans="1:18" x14ac:dyDescent="0.25">
      <c r="A8" s="6" t="s">
        <v>122</v>
      </c>
      <c r="B8" s="6"/>
      <c r="C8" s="6" t="s">
        <v>117</v>
      </c>
      <c r="D8" s="62" t="s">
        <v>179</v>
      </c>
      <c r="E8" s="62"/>
      <c r="F8" s="105">
        <v>1.0800000000000001E-2</v>
      </c>
      <c r="G8" s="155">
        <v>70998.78441600001</v>
      </c>
      <c r="H8" s="99">
        <f>G8</f>
        <v>70998.78441600001</v>
      </c>
      <c r="I8" s="60">
        <f>G8-H8</f>
        <v>0</v>
      </c>
      <c r="J8" s="27">
        <v>0</v>
      </c>
      <c r="K8" s="27">
        <v>81552.687084000005</v>
      </c>
      <c r="L8" s="85">
        <f t="shared" ref="L8:L71" si="0">J$3*F8%+J$4</f>
        <v>0</v>
      </c>
      <c r="M8" s="5">
        <f t="shared" ref="M8:M12" si="1">K8+J8+I8+L8</f>
        <v>81552.687084000005</v>
      </c>
      <c r="N8" s="9">
        <f>M8*6% + M8</f>
        <v>86445.848309040011</v>
      </c>
      <c r="O8" s="133"/>
      <c r="Q8" s="189" t="s">
        <v>263</v>
      </c>
      <c r="R8" s="189"/>
    </row>
    <row r="9" spans="1:18" x14ac:dyDescent="0.25">
      <c r="A9" s="6"/>
      <c r="B9" s="6"/>
      <c r="C9" s="6" t="s">
        <v>121</v>
      </c>
      <c r="D9" s="62" t="s">
        <v>123</v>
      </c>
      <c r="E9" s="62"/>
      <c r="F9" s="105">
        <v>1.2999999999999999E-2</v>
      </c>
      <c r="G9" s="155">
        <v>84146.707456000004</v>
      </c>
      <c r="H9" s="99">
        <f t="shared" ref="H9:H12" si="2">G9</f>
        <v>84146.707456000004</v>
      </c>
      <c r="I9" s="60">
        <f t="shared" ref="I9:I125" si="3">G9-H9</f>
        <v>0</v>
      </c>
      <c r="J9" s="27">
        <v>0</v>
      </c>
      <c r="K9" s="27">
        <v>96655.036544000002</v>
      </c>
      <c r="L9" s="85">
        <f t="shared" si="0"/>
        <v>0</v>
      </c>
      <c r="M9" s="5">
        <f t="shared" si="1"/>
        <v>96655.036544000002</v>
      </c>
      <c r="N9" s="9">
        <f t="shared" ref="N9:N12" si="4">M9*6% + M9</f>
        <v>102454.33873664</v>
      </c>
      <c r="O9" s="133"/>
      <c r="Q9" s="189"/>
      <c r="R9" s="189"/>
    </row>
    <row r="10" spans="1:18" x14ac:dyDescent="0.25">
      <c r="A10" s="6" t="s">
        <v>122</v>
      </c>
      <c r="B10" s="6"/>
      <c r="C10" s="6" t="s">
        <v>118</v>
      </c>
      <c r="D10" s="62" t="s">
        <v>280</v>
      </c>
      <c r="E10" s="62"/>
      <c r="F10" s="105">
        <v>1.21E-2</v>
      </c>
      <c r="G10" s="155">
        <v>79544.934391999996</v>
      </c>
      <c r="H10" s="99">
        <f t="shared" si="2"/>
        <v>79544.934391999996</v>
      </c>
      <c r="I10" s="60">
        <f t="shared" si="3"/>
        <v>0</v>
      </c>
      <c r="J10" s="27">
        <v>0</v>
      </c>
      <c r="K10" s="27">
        <v>91369.214232999977</v>
      </c>
      <c r="L10" s="85">
        <f t="shared" si="0"/>
        <v>0</v>
      </c>
      <c r="M10" s="5">
        <f t="shared" si="1"/>
        <v>91369.214232999977</v>
      </c>
      <c r="N10" s="9">
        <f t="shared" si="4"/>
        <v>96851.367086979968</v>
      </c>
      <c r="O10" s="133"/>
      <c r="Q10" t="s">
        <v>258</v>
      </c>
      <c r="R10">
        <f>RESUMEN!F103</f>
        <v>82162.051487999997</v>
      </c>
    </row>
    <row r="11" spans="1:18" x14ac:dyDescent="0.25">
      <c r="A11" s="6" t="s">
        <v>122</v>
      </c>
      <c r="B11" s="6"/>
      <c r="C11" s="6" t="s">
        <v>119</v>
      </c>
      <c r="D11" s="62" t="s">
        <v>180</v>
      </c>
      <c r="E11" s="62"/>
      <c r="F11" s="105">
        <v>1.49E-2</v>
      </c>
      <c r="G11" s="155">
        <v>97952.026647999999</v>
      </c>
      <c r="H11" s="99">
        <f t="shared" si="2"/>
        <v>97952.026647999999</v>
      </c>
      <c r="I11" s="60">
        <f t="shared" si="3"/>
        <v>0</v>
      </c>
      <c r="J11" s="27">
        <v>0</v>
      </c>
      <c r="K11" s="27">
        <v>112512.50347700001</v>
      </c>
      <c r="L11" s="85">
        <f t="shared" si="0"/>
        <v>0</v>
      </c>
      <c r="M11" s="5">
        <f t="shared" si="1"/>
        <v>112512.50347700001</v>
      </c>
      <c r="N11" s="9">
        <f t="shared" si="4"/>
        <v>119263.25368562</v>
      </c>
      <c r="O11" s="133"/>
      <c r="Q11" t="s">
        <v>259</v>
      </c>
      <c r="R11">
        <f>RESUMEN!G103</f>
        <v>97377.246207999997</v>
      </c>
    </row>
    <row r="12" spans="1:18" ht="15.75" thickBot="1" x14ac:dyDescent="0.3">
      <c r="A12" s="6" t="s">
        <v>122</v>
      </c>
      <c r="B12" s="6"/>
      <c r="C12" s="162" t="s">
        <v>120</v>
      </c>
      <c r="D12" s="169" t="s">
        <v>281</v>
      </c>
      <c r="E12" s="169"/>
      <c r="F12" s="163">
        <v>1.7399999999999999E-2</v>
      </c>
      <c r="G12" s="164">
        <v>114386.93044799998</v>
      </c>
      <c r="H12" s="170">
        <f t="shared" si="2"/>
        <v>114386.93044799998</v>
      </c>
      <c r="I12" s="165">
        <f t="shared" si="3"/>
        <v>0</v>
      </c>
      <c r="J12" s="166">
        <v>0</v>
      </c>
      <c r="K12" s="166">
        <v>131390.440302</v>
      </c>
      <c r="L12" s="167">
        <f t="shared" si="0"/>
        <v>0</v>
      </c>
      <c r="M12" s="171">
        <f t="shared" si="1"/>
        <v>131390.440302</v>
      </c>
      <c r="N12" s="168">
        <f t="shared" si="4"/>
        <v>139273.86672012002</v>
      </c>
      <c r="O12" s="133"/>
      <c r="Q12" t="s">
        <v>260</v>
      </c>
      <c r="R12">
        <f>RESUMEN!H103</f>
        <v>92051.928055999975</v>
      </c>
    </row>
    <row r="13" spans="1:18" x14ac:dyDescent="0.25">
      <c r="A13" s="62" t="s">
        <v>124</v>
      </c>
      <c r="B13" s="6"/>
      <c r="C13" s="112" t="s">
        <v>48</v>
      </c>
      <c r="D13" s="156" t="s">
        <v>181</v>
      </c>
      <c r="E13" s="156"/>
      <c r="F13" s="104">
        <v>1.8800000000000001E-2</v>
      </c>
      <c r="G13" s="157">
        <v>134281.01</v>
      </c>
      <c r="H13" s="176">
        <f>G13</f>
        <v>134281.01</v>
      </c>
      <c r="I13" s="158">
        <f>G13-H13</f>
        <v>0</v>
      </c>
      <c r="J13" s="159">
        <f t="shared" ref="J13:J44" si="5">M$4*F13</f>
        <v>0</v>
      </c>
      <c r="K13" s="159">
        <f>M$2*F13</f>
        <v>169200</v>
      </c>
      <c r="L13" s="160">
        <f t="shared" si="0"/>
        <v>0</v>
      </c>
      <c r="M13" s="161">
        <f>ROUND((K13+J13+I13+L13),0) + O13</f>
        <v>169200.01</v>
      </c>
      <c r="N13" s="161">
        <f>ROUND((M13*6% + M13 ),0) + O13</f>
        <v>179352.01</v>
      </c>
      <c r="O13" s="154">
        <v>0.01</v>
      </c>
      <c r="Q13" t="s">
        <v>261</v>
      </c>
      <c r="R13">
        <f>RESUMEN!I103</f>
        <v>113353.200664</v>
      </c>
    </row>
    <row r="14" spans="1:18" x14ac:dyDescent="0.25">
      <c r="A14" s="62" t="s">
        <v>125</v>
      </c>
      <c r="B14" s="6"/>
      <c r="C14" s="6" t="s">
        <v>49</v>
      </c>
      <c r="D14" s="125" t="s">
        <v>182</v>
      </c>
      <c r="E14" s="156"/>
      <c r="F14" s="104">
        <v>8.3999999999999995E-3</v>
      </c>
      <c r="G14" s="155">
        <v>59998.02</v>
      </c>
      <c r="H14" s="45">
        <v>63598.02</v>
      </c>
      <c r="I14" s="60">
        <f t="shared" si="3"/>
        <v>-3600</v>
      </c>
      <c r="J14" s="27">
        <f t="shared" si="5"/>
        <v>0</v>
      </c>
      <c r="K14" s="27">
        <f t="shared" ref="K14:K44" si="6">M$2*F14</f>
        <v>75600</v>
      </c>
      <c r="L14" s="85">
        <f t="shared" si="0"/>
        <v>0</v>
      </c>
      <c r="M14" s="9">
        <f>ROUND((K14+J14+I14+L14),0) + O14</f>
        <v>72000.02</v>
      </c>
      <c r="N14" s="9">
        <f t="shared" ref="N14:N77" si="7">ROUND((M14*6% + M14 ),0) + O14</f>
        <v>76320.02</v>
      </c>
      <c r="O14" s="154">
        <f>O13+0.01</f>
        <v>0.02</v>
      </c>
      <c r="Q14" t="s">
        <v>262</v>
      </c>
      <c r="R14">
        <f>RESUMEN!J103</f>
        <v>132372.19406399998</v>
      </c>
    </row>
    <row r="15" spans="1:18" x14ac:dyDescent="0.25">
      <c r="A15" s="62" t="s">
        <v>124</v>
      </c>
      <c r="B15" s="6"/>
      <c r="C15" s="6" t="s">
        <v>50</v>
      </c>
      <c r="D15" s="125" t="s">
        <v>183</v>
      </c>
      <c r="E15" s="156"/>
      <c r="F15" s="104">
        <v>2.01E-2</v>
      </c>
      <c r="G15" s="155">
        <v>143566.03</v>
      </c>
      <c r="H15" s="99">
        <f>G15</f>
        <v>143566.03</v>
      </c>
      <c r="I15" s="60">
        <f t="shared" si="3"/>
        <v>0</v>
      </c>
      <c r="J15" s="27">
        <f t="shared" si="5"/>
        <v>0</v>
      </c>
      <c r="K15" s="27">
        <f t="shared" si="6"/>
        <v>180900</v>
      </c>
      <c r="L15" s="85">
        <f t="shared" si="0"/>
        <v>0</v>
      </c>
      <c r="M15" s="9">
        <f t="shared" ref="M15:M77" si="8">ROUND((K15+J15+I15+L15),0) + O15</f>
        <v>180900.03</v>
      </c>
      <c r="N15" s="9">
        <f t="shared" si="7"/>
        <v>191754.03</v>
      </c>
      <c r="O15" s="154">
        <f t="shared" ref="O15:O78" si="9">O14+0.01</f>
        <v>0.03</v>
      </c>
    </row>
    <row r="16" spans="1:18" x14ac:dyDescent="0.25">
      <c r="A16" s="62" t="s">
        <v>126</v>
      </c>
      <c r="B16" s="6"/>
      <c r="C16" s="6" t="s">
        <v>51</v>
      </c>
      <c r="D16" s="125" t="s">
        <v>184</v>
      </c>
      <c r="E16" s="156"/>
      <c r="F16" s="104">
        <v>9.4000000000000004E-3</v>
      </c>
      <c r="G16" s="155">
        <v>67140.039999999994</v>
      </c>
      <c r="H16" s="45"/>
      <c r="I16" s="60">
        <f t="shared" si="3"/>
        <v>67140.039999999994</v>
      </c>
      <c r="J16" s="27">
        <f t="shared" si="5"/>
        <v>0</v>
      </c>
      <c r="K16" s="27">
        <f t="shared" si="6"/>
        <v>84600</v>
      </c>
      <c r="L16" s="85">
        <f t="shared" si="0"/>
        <v>0</v>
      </c>
      <c r="M16" s="9">
        <f t="shared" si="8"/>
        <v>151740.04</v>
      </c>
      <c r="N16" s="9">
        <f t="shared" si="7"/>
        <v>160844.04</v>
      </c>
      <c r="O16" s="154">
        <f t="shared" si="9"/>
        <v>0.04</v>
      </c>
    </row>
    <row r="17" spans="1:15" x14ac:dyDescent="0.25">
      <c r="A17" s="62" t="s">
        <v>126</v>
      </c>
      <c r="B17" s="6"/>
      <c r="C17" s="6" t="s">
        <v>52</v>
      </c>
      <c r="D17" s="62" t="s">
        <v>185</v>
      </c>
      <c r="E17" s="172"/>
      <c r="F17" s="104">
        <v>8.6999999999999994E-3</v>
      </c>
      <c r="G17" s="155">
        <v>62141.05</v>
      </c>
      <c r="H17" s="45">
        <f>G17</f>
        <v>62141.05</v>
      </c>
      <c r="I17" s="60">
        <f t="shared" si="3"/>
        <v>0</v>
      </c>
      <c r="J17" s="27">
        <f t="shared" si="5"/>
        <v>0</v>
      </c>
      <c r="K17" s="27">
        <f t="shared" si="6"/>
        <v>78300</v>
      </c>
      <c r="L17" s="85">
        <v>9000</v>
      </c>
      <c r="M17" s="9">
        <f t="shared" si="8"/>
        <v>87300.05</v>
      </c>
      <c r="N17" s="9">
        <f t="shared" si="7"/>
        <v>92538.05</v>
      </c>
      <c r="O17" s="154">
        <f t="shared" si="9"/>
        <v>0.05</v>
      </c>
    </row>
    <row r="18" spans="1:15" x14ac:dyDescent="0.25">
      <c r="A18" s="62" t="s">
        <v>126</v>
      </c>
      <c r="B18" s="6"/>
      <c r="C18" s="6" t="s">
        <v>53</v>
      </c>
      <c r="D18" s="62" t="s">
        <v>186</v>
      </c>
      <c r="E18" s="172" t="s">
        <v>283</v>
      </c>
      <c r="F18" s="104">
        <v>9.4999999999999998E-3</v>
      </c>
      <c r="G18" s="155">
        <v>67855.06</v>
      </c>
      <c r="H18" s="99"/>
      <c r="I18" s="60">
        <f t="shared" si="3"/>
        <v>67855.06</v>
      </c>
      <c r="J18" s="27">
        <f t="shared" si="5"/>
        <v>0</v>
      </c>
      <c r="K18" s="27">
        <f t="shared" si="6"/>
        <v>85500</v>
      </c>
      <c r="L18" s="85">
        <v>9000</v>
      </c>
      <c r="M18" s="9">
        <f t="shared" si="8"/>
        <v>162355.06</v>
      </c>
      <c r="N18" s="9">
        <f t="shared" si="7"/>
        <v>172096.06</v>
      </c>
      <c r="O18" s="154">
        <f t="shared" si="9"/>
        <v>6.0000000000000005E-2</v>
      </c>
    </row>
    <row r="19" spans="1:15" x14ac:dyDescent="0.25">
      <c r="A19" s="62" t="s">
        <v>124</v>
      </c>
      <c r="B19" s="6"/>
      <c r="C19" s="6" t="s">
        <v>54</v>
      </c>
      <c r="D19" s="62" t="s">
        <v>186</v>
      </c>
      <c r="E19" s="172"/>
      <c r="F19" s="104">
        <v>1.6500000000000001E-2</v>
      </c>
      <c r="G19" s="155">
        <v>117853.07</v>
      </c>
      <c r="H19" s="99"/>
      <c r="I19" s="60">
        <f t="shared" si="3"/>
        <v>117853.07</v>
      </c>
      <c r="J19" s="27">
        <f t="shared" si="5"/>
        <v>0</v>
      </c>
      <c r="K19" s="27">
        <f t="shared" si="6"/>
        <v>148500</v>
      </c>
      <c r="L19" s="85">
        <f t="shared" si="0"/>
        <v>0</v>
      </c>
      <c r="M19" s="9">
        <f t="shared" si="8"/>
        <v>266353.07</v>
      </c>
      <c r="N19" s="9">
        <f t="shared" si="7"/>
        <v>282334.07</v>
      </c>
      <c r="O19" s="154">
        <f t="shared" si="9"/>
        <v>7.0000000000000007E-2</v>
      </c>
    </row>
    <row r="20" spans="1:15" x14ac:dyDescent="0.25">
      <c r="A20" s="62" t="s">
        <v>125</v>
      </c>
      <c r="B20" s="6"/>
      <c r="C20" s="6" t="s">
        <v>55</v>
      </c>
      <c r="D20" s="62" t="s">
        <v>284</v>
      </c>
      <c r="E20" s="172"/>
      <c r="F20" s="104">
        <v>7.3000000000000001E-3</v>
      </c>
      <c r="G20" s="155">
        <v>52141.08</v>
      </c>
      <c r="H20" s="45">
        <f>G20</f>
        <v>52141.08</v>
      </c>
      <c r="I20" s="60">
        <f t="shared" si="3"/>
        <v>0</v>
      </c>
      <c r="J20" s="27">
        <f t="shared" si="5"/>
        <v>0</v>
      </c>
      <c r="K20" s="27">
        <f t="shared" si="6"/>
        <v>65700</v>
      </c>
      <c r="L20" s="85">
        <f t="shared" si="0"/>
        <v>0</v>
      </c>
      <c r="M20" s="9">
        <f t="shared" si="8"/>
        <v>65700.08</v>
      </c>
      <c r="N20" s="9">
        <f t="shared" si="7"/>
        <v>69642.080000000002</v>
      </c>
      <c r="O20" s="154">
        <f t="shared" si="9"/>
        <v>0.08</v>
      </c>
    </row>
    <row r="21" spans="1:15" x14ac:dyDescent="0.25">
      <c r="A21" s="62" t="s">
        <v>124</v>
      </c>
      <c r="B21" s="6"/>
      <c r="C21" s="6" t="s">
        <v>56</v>
      </c>
      <c r="D21" s="62" t="s">
        <v>186</v>
      </c>
      <c r="E21" s="172"/>
      <c r="F21" s="104">
        <v>1.78E-2</v>
      </c>
      <c r="G21" s="155">
        <v>127138.09</v>
      </c>
      <c r="H21" s="99"/>
      <c r="I21" s="60">
        <f t="shared" si="3"/>
        <v>127138.09</v>
      </c>
      <c r="J21" s="27">
        <f t="shared" si="5"/>
        <v>0</v>
      </c>
      <c r="K21" s="27">
        <f t="shared" si="6"/>
        <v>160200</v>
      </c>
      <c r="L21" s="85">
        <f t="shared" si="0"/>
        <v>0</v>
      </c>
      <c r="M21" s="9">
        <f t="shared" si="8"/>
        <v>287338.09000000003</v>
      </c>
      <c r="N21" s="9">
        <f t="shared" si="7"/>
        <v>304578.09000000003</v>
      </c>
      <c r="O21" s="154">
        <f t="shared" si="9"/>
        <v>0.09</v>
      </c>
    </row>
    <row r="22" spans="1:15" x14ac:dyDescent="0.25">
      <c r="A22" s="62" t="s">
        <v>126</v>
      </c>
      <c r="B22" s="6"/>
      <c r="C22" s="6" t="s">
        <v>57</v>
      </c>
      <c r="D22" s="62" t="s">
        <v>187</v>
      </c>
      <c r="E22" s="172"/>
      <c r="F22" s="104">
        <v>9.4000000000000004E-3</v>
      </c>
      <c r="G22" s="155">
        <v>67140.100000000006</v>
      </c>
      <c r="H22" s="99">
        <f>G22</f>
        <v>67140.100000000006</v>
      </c>
      <c r="I22" s="60">
        <f t="shared" si="3"/>
        <v>0</v>
      </c>
      <c r="J22" s="27">
        <f t="shared" si="5"/>
        <v>0</v>
      </c>
      <c r="K22" s="27">
        <f t="shared" si="6"/>
        <v>84600</v>
      </c>
      <c r="L22" s="85">
        <f t="shared" si="0"/>
        <v>0</v>
      </c>
      <c r="M22" s="9">
        <f t="shared" si="8"/>
        <v>84600.1</v>
      </c>
      <c r="N22" s="9">
        <f t="shared" si="7"/>
        <v>89676.1</v>
      </c>
      <c r="O22" s="154">
        <f t="shared" si="9"/>
        <v>9.9999999999999992E-2</v>
      </c>
    </row>
    <row r="23" spans="1:15" x14ac:dyDescent="0.25">
      <c r="A23" s="62" t="s">
        <v>126</v>
      </c>
      <c r="B23" s="6"/>
      <c r="C23" s="6" t="s">
        <v>58</v>
      </c>
      <c r="D23" s="62" t="s">
        <v>187</v>
      </c>
      <c r="E23" s="172"/>
      <c r="F23" s="104">
        <v>8.6999999999999994E-3</v>
      </c>
      <c r="G23" s="155">
        <v>62141.11</v>
      </c>
      <c r="H23" s="99">
        <f>G23</f>
        <v>62141.11</v>
      </c>
      <c r="I23" s="60">
        <f t="shared" si="3"/>
        <v>0</v>
      </c>
      <c r="J23" s="27">
        <f t="shared" si="5"/>
        <v>0</v>
      </c>
      <c r="K23" s="27">
        <f t="shared" si="6"/>
        <v>78300</v>
      </c>
      <c r="L23" s="85">
        <f t="shared" si="0"/>
        <v>0</v>
      </c>
      <c r="M23" s="9">
        <f t="shared" si="8"/>
        <v>78300.11</v>
      </c>
      <c r="N23" s="9">
        <f t="shared" si="7"/>
        <v>82998.11</v>
      </c>
      <c r="O23" s="154">
        <f t="shared" si="9"/>
        <v>0.10999999999999999</v>
      </c>
    </row>
    <row r="24" spans="1:15" x14ac:dyDescent="0.25">
      <c r="A24" s="62" t="s">
        <v>126</v>
      </c>
      <c r="B24" s="6"/>
      <c r="C24" s="6" t="s">
        <v>59</v>
      </c>
      <c r="D24" s="62" t="s">
        <v>187</v>
      </c>
      <c r="E24" s="172"/>
      <c r="F24" s="104">
        <v>9.4999999999999998E-3</v>
      </c>
      <c r="G24" s="155">
        <v>67855.12</v>
      </c>
      <c r="H24" s="45">
        <f>G24</f>
        <v>67855.12</v>
      </c>
      <c r="I24" s="60">
        <f t="shared" si="3"/>
        <v>0</v>
      </c>
      <c r="J24" s="27">
        <f t="shared" si="5"/>
        <v>0</v>
      </c>
      <c r="K24" s="27">
        <f t="shared" si="6"/>
        <v>85500</v>
      </c>
      <c r="L24" s="85">
        <f t="shared" si="0"/>
        <v>0</v>
      </c>
      <c r="M24" s="9">
        <f t="shared" si="8"/>
        <v>85500.12</v>
      </c>
      <c r="N24" s="9">
        <f t="shared" si="7"/>
        <v>90630.12</v>
      </c>
      <c r="O24" s="154">
        <f t="shared" si="9"/>
        <v>0.11999999999999998</v>
      </c>
    </row>
    <row r="25" spans="1:15" x14ac:dyDescent="0.25">
      <c r="A25" s="62" t="s">
        <v>124</v>
      </c>
      <c r="B25" s="6"/>
      <c r="C25" s="6" t="s">
        <v>60</v>
      </c>
      <c r="D25" s="62" t="s">
        <v>188</v>
      </c>
      <c r="E25" s="172"/>
      <c r="F25" s="104">
        <v>1.6400000000000001E-2</v>
      </c>
      <c r="G25" s="155">
        <v>135139.13</v>
      </c>
      <c r="H25" s="99">
        <f>G25</f>
        <v>135139.13</v>
      </c>
      <c r="I25" s="60">
        <f t="shared" si="3"/>
        <v>0</v>
      </c>
      <c r="J25" s="27">
        <f t="shared" si="5"/>
        <v>0</v>
      </c>
      <c r="K25" s="27">
        <f t="shared" si="6"/>
        <v>147600</v>
      </c>
      <c r="L25" s="85">
        <f t="shared" si="0"/>
        <v>0</v>
      </c>
      <c r="M25" s="9">
        <f t="shared" si="8"/>
        <v>147600.13</v>
      </c>
      <c r="N25" s="9">
        <f t="shared" si="7"/>
        <v>156456.13</v>
      </c>
      <c r="O25" s="154">
        <f t="shared" si="9"/>
        <v>0.12999999999999998</v>
      </c>
    </row>
    <row r="26" spans="1:15" x14ac:dyDescent="0.25">
      <c r="A26" s="62" t="s">
        <v>125</v>
      </c>
      <c r="B26" s="6"/>
      <c r="C26" s="6" t="s">
        <v>61</v>
      </c>
      <c r="D26" s="62" t="s">
        <v>265</v>
      </c>
      <c r="E26" s="172" t="s">
        <v>285</v>
      </c>
      <c r="F26" s="104">
        <v>7.1999999999999998E-3</v>
      </c>
      <c r="G26" s="155">
        <v>51427.14</v>
      </c>
      <c r="H26" s="99"/>
      <c r="I26" s="60">
        <f t="shared" si="3"/>
        <v>51427.14</v>
      </c>
      <c r="J26" s="27">
        <f t="shared" si="5"/>
        <v>0</v>
      </c>
      <c r="K26" s="27">
        <f t="shared" si="6"/>
        <v>64800</v>
      </c>
      <c r="L26" s="85">
        <f t="shared" si="0"/>
        <v>0</v>
      </c>
      <c r="M26" s="9">
        <f t="shared" si="8"/>
        <v>116227.14</v>
      </c>
      <c r="N26" s="9">
        <f t="shared" si="7"/>
        <v>123201.14</v>
      </c>
      <c r="O26" s="154">
        <f t="shared" si="9"/>
        <v>0.13999999999999999</v>
      </c>
    </row>
    <row r="27" spans="1:15" x14ac:dyDescent="0.25">
      <c r="A27" s="62" t="s">
        <v>124</v>
      </c>
      <c r="B27" s="6"/>
      <c r="C27" s="6" t="s">
        <v>62</v>
      </c>
      <c r="D27" s="62" t="s">
        <v>189</v>
      </c>
      <c r="E27" s="172"/>
      <c r="F27" s="104">
        <v>1.7299999999999999E-2</v>
      </c>
      <c r="G27" s="155">
        <v>150567.15</v>
      </c>
      <c r="H27" s="45">
        <f>G27</f>
        <v>150567.15</v>
      </c>
      <c r="I27" s="61">
        <f t="shared" si="3"/>
        <v>0</v>
      </c>
      <c r="J27" s="27">
        <f t="shared" si="5"/>
        <v>0</v>
      </c>
      <c r="K27" s="27">
        <f t="shared" si="6"/>
        <v>155700</v>
      </c>
      <c r="L27" s="85">
        <f t="shared" si="0"/>
        <v>0</v>
      </c>
      <c r="M27" s="9">
        <f t="shared" si="8"/>
        <v>155700.15</v>
      </c>
      <c r="N27" s="9">
        <f t="shared" si="7"/>
        <v>165042.15</v>
      </c>
      <c r="O27" s="154">
        <f t="shared" si="9"/>
        <v>0.15</v>
      </c>
    </row>
    <row r="28" spans="1:15" x14ac:dyDescent="0.25">
      <c r="A28" s="62" t="s">
        <v>126</v>
      </c>
      <c r="B28" s="6"/>
      <c r="C28" s="6" t="s">
        <v>63</v>
      </c>
      <c r="D28" s="62" t="s">
        <v>187</v>
      </c>
      <c r="E28" s="172"/>
      <c r="F28" s="104">
        <v>9.4000000000000004E-3</v>
      </c>
      <c r="G28" s="155">
        <v>67140.160000000003</v>
      </c>
      <c r="H28" s="45">
        <f t="shared" ref="H28:H30" si="10">G28</f>
        <v>67140.160000000003</v>
      </c>
      <c r="I28" s="60">
        <f t="shared" si="3"/>
        <v>0</v>
      </c>
      <c r="J28" s="27">
        <f t="shared" si="5"/>
        <v>0</v>
      </c>
      <c r="K28" s="27">
        <f t="shared" si="6"/>
        <v>84600</v>
      </c>
      <c r="L28" s="85">
        <f t="shared" si="0"/>
        <v>0</v>
      </c>
      <c r="M28" s="9">
        <f t="shared" si="8"/>
        <v>84600.16</v>
      </c>
      <c r="N28" s="9">
        <f t="shared" si="7"/>
        <v>89676.160000000003</v>
      </c>
      <c r="O28" s="154">
        <f t="shared" si="9"/>
        <v>0.16</v>
      </c>
    </row>
    <row r="29" spans="1:15" x14ac:dyDescent="0.25">
      <c r="A29" s="62" t="s">
        <v>126</v>
      </c>
      <c r="B29" s="6"/>
      <c r="C29" s="6" t="s">
        <v>64</v>
      </c>
      <c r="D29" s="62" t="s">
        <v>187</v>
      </c>
      <c r="E29" s="172"/>
      <c r="F29" s="104">
        <v>8.6999999999999994E-3</v>
      </c>
      <c r="G29" s="155">
        <v>62141.17</v>
      </c>
      <c r="H29" s="45">
        <f t="shared" si="10"/>
        <v>62141.17</v>
      </c>
      <c r="I29" s="60">
        <f t="shared" si="3"/>
        <v>0</v>
      </c>
      <c r="J29" s="27">
        <f t="shared" si="5"/>
        <v>0</v>
      </c>
      <c r="K29" s="27">
        <f t="shared" si="6"/>
        <v>78300</v>
      </c>
      <c r="L29" s="85">
        <f t="shared" si="0"/>
        <v>0</v>
      </c>
      <c r="M29" s="9">
        <f t="shared" si="8"/>
        <v>78300.17</v>
      </c>
      <c r="N29" s="9">
        <f t="shared" si="7"/>
        <v>82998.17</v>
      </c>
      <c r="O29" s="154">
        <f t="shared" si="9"/>
        <v>0.17</v>
      </c>
    </row>
    <row r="30" spans="1:15" x14ac:dyDescent="0.25">
      <c r="A30" s="62" t="s">
        <v>126</v>
      </c>
      <c r="B30" s="6"/>
      <c r="C30" s="6" t="s">
        <v>65</v>
      </c>
      <c r="D30" s="62" t="s">
        <v>187</v>
      </c>
      <c r="E30" s="172"/>
      <c r="F30" s="104">
        <v>9.4999999999999998E-3</v>
      </c>
      <c r="G30" s="155">
        <v>67855.179999999993</v>
      </c>
      <c r="H30" s="45">
        <f t="shared" si="10"/>
        <v>67855.179999999993</v>
      </c>
      <c r="I30" s="61">
        <f t="shared" si="3"/>
        <v>0</v>
      </c>
      <c r="J30" s="27">
        <f t="shared" si="5"/>
        <v>0</v>
      </c>
      <c r="K30" s="27">
        <f t="shared" si="6"/>
        <v>85500</v>
      </c>
      <c r="L30" s="85">
        <f t="shared" si="0"/>
        <v>0</v>
      </c>
      <c r="M30" s="9">
        <f t="shared" si="8"/>
        <v>85500.18</v>
      </c>
      <c r="N30" s="9">
        <f t="shared" si="7"/>
        <v>90630.18</v>
      </c>
      <c r="O30" s="154">
        <f t="shared" si="9"/>
        <v>0.18000000000000002</v>
      </c>
    </row>
    <row r="31" spans="1:15" x14ac:dyDescent="0.25">
      <c r="A31" s="62" t="s">
        <v>124</v>
      </c>
      <c r="B31" s="6"/>
      <c r="C31" s="6" t="s">
        <v>66</v>
      </c>
      <c r="D31" s="62" t="s">
        <v>190</v>
      </c>
      <c r="E31" s="172"/>
      <c r="F31" s="104">
        <v>1.6400000000000001E-2</v>
      </c>
      <c r="G31" s="155">
        <v>117139.19</v>
      </c>
      <c r="H31" s="99">
        <f>G31</f>
        <v>117139.19</v>
      </c>
      <c r="I31" s="60">
        <f t="shared" si="3"/>
        <v>0</v>
      </c>
      <c r="J31" s="27">
        <f t="shared" si="5"/>
        <v>0</v>
      </c>
      <c r="K31" s="27">
        <f t="shared" si="6"/>
        <v>147600</v>
      </c>
      <c r="L31" s="85">
        <f t="shared" si="0"/>
        <v>0</v>
      </c>
      <c r="M31" s="9">
        <f t="shared" si="8"/>
        <v>147600.19</v>
      </c>
      <c r="N31" s="9">
        <f t="shared" si="7"/>
        <v>156456.19</v>
      </c>
      <c r="O31" s="154">
        <f t="shared" si="9"/>
        <v>0.19000000000000003</v>
      </c>
    </row>
    <row r="32" spans="1:15" x14ac:dyDescent="0.25">
      <c r="A32" s="62" t="s">
        <v>125</v>
      </c>
      <c r="B32" s="6"/>
      <c r="C32" s="6" t="s">
        <v>67</v>
      </c>
      <c r="D32" s="62" t="s">
        <v>228</v>
      </c>
      <c r="E32" s="172"/>
      <c r="F32" s="104">
        <v>7.1999999999999998E-3</v>
      </c>
      <c r="G32" s="155">
        <v>51427.199999999997</v>
      </c>
      <c r="H32" s="99">
        <f>G32</f>
        <v>51427.199999999997</v>
      </c>
      <c r="I32" s="60">
        <f t="shared" si="3"/>
        <v>0</v>
      </c>
      <c r="J32" s="27">
        <f t="shared" si="5"/>
        <v>0</v>
      </c>
      <c r="K32" s="27">
        <f t="shared" si="6"/>
        <v>64800</v>
      </c>
      <c r="L32" s="85">
        <f t="shared" si="0"/>
        <v>0</v>
      </c>
      <c r="M32" s="9">
        <f t="shared" si="8"/>
        <v>64800.2</v>
      </c>
      <c r="N32" s="9">
        <f t="shared" si="7"/>
        <v>68688.2</v>
      </c>
      <c r="O32" s="154">
        <f t="shared" si="9"/>
        <v>0.20000000000000004</v>
      </c>
    </row>
    <row r="33" spans="1:17" x14ac:dyDescent="0.25">
      <c r="A33" s="62" t="s">
        <v>124</v>
      </c>
      <c r="B33" s="6"/>
      <c r="C33" s="6" t="s">
        <v>68</v>
      </c>
      <c r="D33" s="62" t="s">
        <v>191</v>
      </c>
      <c r="E33" s="172"/>
      <c r="F33" s="104">
        <v>1.7299999999999999E-2</v>
      </c>
      <c r="G33" s="155">
        <v>123567.21</v>
      </c>
      <c r="H33" s="99"/>
      <c r="I33" s="60">
        <f t="shared" si="3"/>
        <v>123567.21</v>
      </c>
      <c r="J33" s="27">
        <f t="shared" si="5"/>
        <v>0</v>
      </c>
      <c r="K33" s="27">
        <f t="shared" si="6"/>
        <v>155700</v>
      </c>
      <c r="L33" s="85">
        <f t="shared" si="0"/>
        <v>0</v>
      </c>
      <c r="M33" s="9">
        <f t="shared" si="8"/>
        <v>279267.21000000002</v>
      </c>
      <c r="N33" s="9">
        <f t="shared" si="7"/>
        <v>296023.21000000002</v>
      </c>
      <c r="O33" s="154">
        <f t="shared" si="9"/>
        <v>0.21000000000000005</v>
      </c>
    </row>
    <row r="34" spans="1:17" x14ac:dyDescent="0.25">
      <c r="A34" s="62" t="s">
        <v>126</v>
      </c>
      <c r="B34" s="6"/>
      <c r="C34" s="6" t="s">
        <v>69</v>
      </c>
      <c r="D34" s="62" t="s">
        <v>326</v>
      </c>
      <c r="E34" s="172"/>
      <c r="F34" s="104">
        <v>9.4000000000000004E-3</v>
      </c>
      <c r="G34" s="155">
        <v>67140.22</v>
      </c>
      <c r="H34" s="99">
        <f>G34</f>
        <v>67140.22</v>
      </c>
      <c r="I34" s="60">
        <f t="shared" si="3"/>
        <v>0</v>
      </c>
      <c r="J34" s="27">
        <f t="shared" si="5"/>
        <v>0</v>
      </c>
      <c r="K34" s="27">
        <f t="shared" si="6"/>
        <v>84600</v>
      </c>
      <c r="L34" s="85">
        <f t="shared" si="0"/>
        <v>0</v>
      </c>
      <c r="M34" s="9">
        <f t="shared" si="8"/>
        <v>84600.22</v>
      </c>
      <c r="N34" s="9">
        <f t="shared" si="7"/>
        <v>89676.22</v>
      </c>
      <c r="O34" s="154">
        <f t="shared" si="9"/>
        <v>0.22000000000000006</v>
      </c>
    </row>
    <row r="35" spans="1:17" x14ac:dyDescent="0.25">
      <c r="A35" s="62" t="s">
        <v>126</v>
      </c>
      <c r="B35" s="6"/>
      <c r="C35" s="6" t="s">
        <v>70</v>
      </c>
      <c r="D35" s="62" t="s">
        <v>187</v>
      </c>
      <c r="E35" s="172"/>
      <c r="F35" s="104">
        <v>8.6999999999999994E-3</v>
      </c>
      <c r="G35" s="155">
        <v>62141.23</v>
      </c>
      <c r="H35" s="99">
        <f t="shared" ref="H35:H36" si="11">G35</f>
        <v>62141.23</v>
      </c>
      <c r="I35" s="60">
        <f t="shared" si="3"/>
        <v>0</v>
      </c>
      <c r="J35" s="27">
        <f t="shared" si="5"/>
        <v>0</v>
      </c>
      <c r="K35" s="27">
        <f t="shared" si="6"/>
        <v>78300</v>
      </c>
      <c r="L35" s="85">
        <f t="shared" si="0"/>
        <v>0</v>
      </c>
      <c r="M35" s="9">
        <f t="shared" si="8"/>
        <v>78300.23</v>
      </c>
      <c r="N35" s="9">
        <f t="shared" si="7"/>
        <v>82998.23</v>
      </c>
      <c r="O35" s="154">
        <f t="shared" si="9"/>
        <v>0.23000000000000007</v>
      </c>
    </row>
    <row r="36" spans="1:17" x14ac:dyDescent="0.25">
      <c r="A36" s="62" t="s">
        <v>126</v>
      </c>
      <c r="B36" s="6"/>
      <c r="C36" s="6" t="s">
        <v>71</v>
      </c>
      <c r="D36" s="62" t="s">
        <v>326</v>
      </c>
      <c r="E36" s="172"/>
      <c r="F36" s="104">
        <v>9.4999999999999998E-3</v>
      </c>
      <c r="G36" s="63">
        <v>67855.240000000005</v>
      </c>
      <c r="H36" s="99">
        <f t="shared" si="11"/>
        <v>67855.240000000005</v>
      </c>
      <c r="I36" s="60">
        <f t="shared" si="3"/>
        <v>0</v>
      </c>
      <c r="J36" s="27">
        <f t="shared" si="5"/>
        <v>0</v>
      </c>
      <c r="K36" s="27">
        <f t="shared" si="6"/>
        <v>85500</v>
      </c>
      <c r="L36" s="85">
        <f t="shared" si="0"/>
        <v>0</v>
      </c>
      <c r="M36" s="9">
        <f t="shared" si="8"/>
        <v>85500.24</v>
      </c>
      <c r="N36" s="9">
        <f t="shared" si="7"/>
        <v>90630.24</v>
      </c>
      <c r="O36" s="154">
        <f t="shared" si="9"/>
        <v>0.24000000000000007</v>
      </c>
    </row>
    <row r="37" spans="1:17" x14ac:dyDescent="0.25">
      <c r="A37" s="62" t="s">
        <v>124</v>
      </c>
      <c r="B37" s="6"/>
      <c r="C37" s="6" t="s">
        <v>72</v>
      </c>
      <c r="D37" s="62" t="s">
        <v>192</v>
      </c>
      <c r="E37" s="172"/>
      <c r="F37" s="104">
        <v>1.6400000000000001E-2</v>
      </c>
      <c r="G37" s="155">
        <v>117139.25</v>
      </c>
      <c r="H37" s="99">
        <f>G37</f>
        <v>117139.25</v>
      </c>
      <c r="I37" s="60">
        <f t="shared" si="3"/>
        <v>0</v>
      </c>
      <c r="J37" s="27">
        <f t="shared" si="5"/>
        <v>0</v>
      </c>
      <c r="K37" s="27">
        <f t="shared" si="6"/>
        <v>147600</v>
      </c>
      <c r="L37" s="85">
        <f t="shared" si="0"/>
        <v>0</v>
      </c>
      <c r="M37" s="9">
        <f t="shared" si="8"/>
        <v>147600.25</v>
      </c>
      <c r="N37" s="9">
        <f t="shared" si="7"/>
        <v>156456.25</v>
      </c>
      <c r="O37" s="154">
        <f t="shared" si="9"/>
        <v>0.25000000000000006</v>
      </c>
    </row>
    <row r="38" spans="1:17" x14ac:dyDescent="0.25">
      <c r="A38" s="62" t="s">
        <v>125</v>
      </c>
      <c r="B38" s="6"/>
      <c r="C38" s="6" t="s">
        <v>73</v>
      </c>
      <c r="D38" s="62" t="s">
        <v>193</v>
      </c>
      <c r="E38" s="172" t="s">
        <v>286</v>
      </c>
      <c r="F38" s="104">
        <v>7.1999999999999998E-3</v>
      </c>
      <c r="G38" s="155">
        <v>78427.259999999995</v>
      </c>
      <c r="H38" s="99">
        <v>78430</v>
      </c>
      <c r="I38" s="60">
        <f t="shared" si="3"/>
        <v>-2.7400000000052387</v>
      </c>
      <c r="J38" s="27">
        <f t="shared" si="5"/>
        <v>0</v>
      </c>
      <c r="K38" s="27">
        <f t="shared" si="6"/>
        <v>64800</v>
      </c>
      <c r="L38" s="85">
        <f t="shared" si="0"/>
        <v>0</v>
      </c>
      <c r="M38" s="9">
        <f t="shared" si="8"/>
        <v>64797.26</v>
      </c>
      <c r="N38" s="9">
        <f t="shared" si="7"/>
        <v>68685.259999999995</v>
      </c>
      <c r="O38" s="154">
        <f t="shared" si="9"/>
        <v>0.26000000000000006</v>
      </c>
    </row>
    <row r="39" spans="1:17" x14ac:dyDescent="0.25">
      <c r="A39" s="62" t="s">
        <v>124</v>
      </c>
      <c r="B39" s="6"/>
      <c r="C39" s="6" t="s">
        <v>74</v>
      </c>
      <c r="D39" s="62" t="s">
        <v>194</v>
      </c>
      <c r="E39" s="172"/>
      <c r="F39" s="104">
        <v>1.7299999999999999E-2</v>
      </c>
      <c r="G39" s="155">
        <v>123567.27</v>
      </c>
      <c r="H39" s="99">
        <f t="shared" ref="H39:H46" si="12">G39</f>
        <v>123567.27</v>
      </c>
      <c r="I39" s="60">
        <f t="shared" si="3"/>
        <v>0</v>
      </c>
      <c r="J39" s="27">
        <f t="shared" si="5"/>
        <v>0</v>
      </c>
      <c r="K39" s="27">
        <f t="shared" si="6"/>
        <v>155700</v>
      </c>
      <c r="L39" s="85">
        <v>18000</v>
      </c>
      <c r="M39" s="9">
        <f t="shared" si="8"/>
        <v>173700.27</v>
      </c>
      <c r="N39" s="9">
        <f t="shared" si="7"/>
        <v>184122.27</v>
      </c>
      <c r="O39" s="154">
        <f t="shared" si="9"/>
        <v>0.27000000000000007</v>
      </c>
      <c r="P39" t="s">
        <v>279</v>
      </c>
      <c r="Q39" t="s">
        <v>279</v>
      </c>
    </row>
    <row r="40" spans="1:17" x14ac:dyDescent="0.25">
      <c r="A40" s="62" t="s">
        <v>126</v>
      </c>
      <c r="B40" s="6"/>
      <c r="C40" s="6" t="s">
        <v>75</v>
      </c>
      <c r="D40" s="62" t="s">
        <v>123</v>
      </c>
      <c r="E40" s="172"/>
      <c r="F40" s="104">
        <v>9.4000000000000004E-3</v>
      </c>
      <c r="G40" s="155">
        <v>67140.28</v>
      </c>
      <c r="H40" s="99">
        <f t="shared" si="12"/>
        <v>67140.28</v>
      </c>
      <c r="I40" s="60">
        <f t="shared" si="3"/>
        <v>0</v>
      </c>
      <c r="J40" s="27">
        <f t="shared" si="5"/>
        <v>0</v>
      </c>
      <c r="K40" s="27">
        <f t="shared" si="6"/>
        <v>84600</v>
      </c>
      <c r="L40" s="85">
        <f t="shared" si="0"/>
        <v>0</v>
      </c>
      <c r="M40" s="9">
        <f t="shared" si="8"/>
        <v>84600.28</v>
      </c>
      <c r="N40" s="9">
        <f t="shared" si="7"/>
        <v>89676.28</v>
      </c>
      <c r="O40" s="154">
        <f t="shared" si="9"/>
        <v>0.28000000000000008</v>
      </c>
      <c r="Q40" t="s">
        <v>267</v>
      </c>
    </row>
    <row r="41" spans="1:17" x14ac:dyDescent="0.25">
      <c r="A41" s="62" t="s">
        <v>126</v>
      </c>
      <c r="B41" s="6"/>
      <c r="C41" s="6" t="s">
        <v>76</v>
      </c>
      <c r="D41" s="62" t="s">
        <v>185</v>
      </c>
      <c r="E41" s="172"/>
      <c r="F41" s="104">
        <v>8.6999999999999994E-3</v>
      </c>
      <c r="G41" s="155">
        <v>62141.29</v>
      </c>
      <c r="H41" s="99">
        <f t="shared" si="12"/>
        <v>62141.29</v>
      </c>
      <c r="I41" s="60">
        <f t="shared" si="3"/>
        <v>0</v>
      </c>
      <c r="J41" s="27">
        <f t="shared" si="5"/>
        <v>0</v>
      </c>
      <c r="K41" s="27">
        <f t="shared" si="6"/>
        <v>78300</v>
      </c>
      <c r="L41" s="85">
        <f t="shared" si="0"/>
        <v>0</v>
      </c>
      <c r="M41" s="9">
        <f t="shared" si="8"/>
        <v>78300.289999999994</v>
      </c>
      <c r="N41" s="9">
        <f t="shared" si="7"/>
        <v>82998.289999999994</v>
      </c>
      <c r="O41" s="154">
        <f t="shared" si="9"/>
        <v>0.29000000000000009</v>
      </c>
    </row>
    <row r="42" spans="1:17" x14ac:dyDescent="0.25">
      <c r="A42" s="62" t="s">
        <v>126</v>
      </c>
      <c r="B42" s="6"/>
      <c r="C42" s="6" t="s">
        <v>77</v>
      </c>
      <c r="D42" s="62" t="s">
        <v>195</v>
      </c>
      <c r="E42" s="172"/>
      <c r="F42" s="104">
        <v>9.4999999999999998E-3</v>
      </c>
      <c r="G42" s="155">
        <v>67855.3</v>
      </c>
      <c r="H42" s="99">
        <f t="shared" si="12"/>
        <v>67855.3</v>
      </c>
      <c r="I42" s="60">
        <f t="shared" si="3"/>
        <v>0</v>
      </c>
      <c r="J42" s="27">
        <f t="shared" si="5"/>
        <v>0</v>
      </c>
      <c r="K42" s="27">
        <f t="shared" si="6"/>
        <v>85500</v>
      </c>
      <c r="L42" s="85">
        <f t="shared" si="0"/>
        <v>0</v>
      </c>
      <c r="M42" s="9">
        <f t="shared" si="8"/>
        <v>85500.3</v>
      </c>
      <c r="N42" s="9">
        <f t="shared" si="7"/>
        <v>90630.3</v>
      </c>
      <c r="O42" s="154">
        <f t="shared" si="9"/>
        <v>0.3000000000000001</v>
      </c>
    </row>
    <row r="43" spans="1:17" x14ac:dyDescent="0.25">
      <c r="A43" s="62" t="s">
        <v>124</v>
      </c>
      <c r="B43" s="6"/>
      <c r="C43" s="6" t="s">
        <v>78</v>
      </c>
      <c r="D43" s="62" t="s">
        <v>196</v>
      </c>
      <c r="E43" s="172"/>
      <c r="F43" s="104">
        <v>1.6400000000000001E-2</v>
      </c>
      <c r="G43" s="155">
        <v>117139.31</v>
      </c>
      <c r="H43" s="99">
        <f t="shared" si="12"/>
        <v>117139.31</v>
      </c>
      <c r="I43" s="60">
        <f t="shared" si="3"/>
        <v>0</v>
      </c>
      <c r="J43" s="27">
        <f t="shared" si="5"/>
        <v>0</v>
      </c>
      <c r="K43" s="27">
        <f t="shared" si="6"/>
        <v>147600</v>
      </c>
      <c r="L43" s="85">
        <v>9000</v>
      </c>
      <c r="M43" s="9">
        <f t="shared" si="8"/>
        <v>156600.31</v>
      </c>
      <c r="N43" s="9">
        <f t="shared" si="7"/>
        <v>165996.31</v>
      </c>
      <c r="O43" s="154">
        <f t="shared" si="9"/>
        <v>0.31000000000000011</v>
      </c>
    </row>
    <row r="44" spans="1:17" x14ac:dyDescent="0.25">
      <c r="A44" s="62" t="s">
        <v>125</v>
      </c>
      <c r="B44" s="6"/>
      <c r="C44" s="6" t="s">
        <v>79</v>
      </c>
      <c r="D44" s="62" t="s">
        <v>197</v>
      </c>
      <c r="E44" s="172"/>
      <c r="F44" s="104">
        <v>7.1999999999999998E-3</v>
      </c>
      <c r="G44" s="155">
        <v>51427.32</v>
      </c>
      <c r="H44" s="99">
        <f t="shared" si="12"/>
        <v>51427.32</v>
      </c>
      <c r="I44" s="60">
        <f t="shared" si="3"/>
        <v>0</v>
      </c>
      <c r="J44" s="27">
        <f t="shared" si="5"/>
        <v>0</v>
      </c>
      <c r="K44" s="27">
        <f t="shared" si="6"/>
        <v>64800</v>
      </c>
      <c r="L44" s="85">
        <f t="shared" si="0"/>
        <v>0</v>
      </c>
      <c r="M44" s="9">
        <f t="shared" si="8"/>
        <v>64800.32</v>
      </c>
      <c r="N44" s="9">
        <f t="shared" si="7"/>
        <v>68688.320000000007</v>
      </c>
      <c r="O44" s="154">
        <f t="shared" si="9"/>
        <v>0.32000000000000012</v>
      </c>
      <c r="P44" s="44"/>
    </row>
    <row r="45" spans="1:17" x14ac:dyDescent="0.25">
      <c r="A45" s="62" t="s">
        <v>124</v>
      </c>
      <c r="B45" s="6"/>
      <c r="C45" s="6" t="s">
        <v>80</v>
      </c>
      <c r="D45" s="62" t="s">
        <v>198</v>
      </c>
      <c r="E45" s="172"/>
      <c r="F45" s="104">
        <v>1.7299999999999999E-2</v>
      </c>
      <c r="G45" s="155">
        <v>123567.33</v>
      </c>
      <c r="H45" s="99">
        <f t="shared" si="12"/>
        <v>123567.33</v>
      </c>
      <c r="I45" s="60">
        <f t="shared" si="3"/>
        <v>0</v>
      </c>
      <c r="J45" s="27">
        <f t="shared" ref="J45:J76" si="13">M$4*F45</f>
        <v>0</v>
      </c>
      <c r="K45" s="27">
        <f t="shared" ref="K45:K76" si="14">M$2*F45</f>
        <v>155700</v>
      </c>
      <c r="L45" s="85">
        <v>18000</v>
      </c>
      <c r="M45" s="9">
        <f t="shared" si="8"/>
        <v>173700.33</v>
      </c>
      <c r="N45" s="9">
        <f t="shared" si="7"/>
        <v>184122.33</v>
      </c>
      <c r="O45" s="154">
        <f t="shared" si="9"/>
        <v>0.33000000000000013</v>
      </c>
      <c r="P45" s="44"/>
    </row>
    <row r="46" spans="1:17" x14ac:dyDescent="0.25">
      <c r="A46" s="62" t="s">
        <v>126</v>
      </c>
      <c r="B46" s="6"/>
      <c r="C46" s="6" t="s">
        <v>81</v>
      </c>
      <c r="D46" s="62" t="s">
        <v>199</v>
      </c>
      <c r="E46" s="172"/>
      <c r="F46" s="104">
        <v>9.4000000000000004E-3</v>
      </c>
      <c r="G46" s="155">
        <v>67140.34</v>
      </c>
      <c r="H46" s="99">
        <f t="shared" si="12"/>
        <v>67140.34</v>
      </c>
      <c r="I46" s="60">
        <f t="shared" si="3"/>
        <v>0</v>
      </c>
      <c r="J46" s="27">
        <f t="shared" si="13"/>
        <v>0</v>
      </c>
      <c r="K46" s="27">
        <f t="shared" si="14"/>
        <v>84600</v>
      </c>
      <c r="L46" s="85">
        <f t="shared" si="0"/>
        <v>0</v>
      </c>
      <c r="M46" s="9">
        <f t="shared" si="8"/>
        <v>84600.34</v>
      </c>
      <c r="N46" s="9">
        <f t="shared" si="7"/>
        <v>89676.34</v>
      </c>
      <c r="O46" s="154">
        <f t="shared" si="9"/>
        <v>0.34000000000000014</v>
      </c>
    </row>
    <row r="47" spans="1:17" x14ac:dyDescent="0.25">
      <c r="A47" s="62" t="s">
        <v>126</v>
      </c>
      <c r="B47" s="6"/>
      <c r="C47" s="6" t="s">
        <v>82</v>
      </c>
      <c r="D47" s="62" t="s">
        <v>229</v>
      </c>
      <c r="E47" s="172"/>
      <c r="F47" s="104">
        <v>8.6999999999999994E-3</v>
      </c>
      <c r="G47" s="155">
        <v>62141.35</v>
      </c>
      <c r="H47" s="99">
        <f>G47</f>
        <v>62141.35</v>
      </c>
      <c r="I47" s="60">
        <f t="shared" si="3"/>
        <v>0</v>
      </c>
      <c r="J47" s="27">
        <f t="shared" si="13"/>
        <v>0</v>
      </c>
      <c r="K47" s="27">
        <f t="shared" si="14"/>
        <v>78300</v>
      </c>
      <c r="L47" s="85">
        <f t="shared" si="0"/>
        <v>0</v>
      </c>
      <c r="M47" s="9">
        <f t="shared" si="8"/>
        <v>78300.350000000006</v>
      </c>
      <c r="N47" s="9">
        <f t="shared" si="7"/>
        <v>82998.350000000006</v>
      </c>
      <c r="O47" s="154">
        <f t="shared" si="9"/>
        <v>0.35000000000000014</v>
      </c>
    </row>
    <row r="48" spans="1:17" x14ac:dyDescent="0.25">
      <c r="A48" s="62" t="s">
        <v>126</v>
      </c>
      <c r="B48" s="6"/>
      <c r="C48" s="6" t="s">
        <v>83</v>
      </c>
      <c r="D48" s="62" t="s">
        <v>200</v>
      </c>
      <c r="E48" s="172"/>
      <c r="F48" s="104">
        <v>9.4999999999999998E-3</v>
      </c>
      <c r="G48" s="155">
        <v>67855.360000000001</v>
      </c>
      <c r="H48" s="99"/>
      <c r="I48" s="60">
        <f t="shared" si="3"/>
        <v>67855.360000000001</v>
      </c>
      <c r="J48" s="27">
        <f t="shared" si="13"/>
        <v>0</v>
      </c>
      <c r="K48" s="27">
        <f t="shared" si="14"/>
        <v>85500</v>
      </c>
      <c r="L48" s="85">
        <f t="shared" si="0"/>
        <v>0</v>
      </c>
      <c r="M48" s="9">
        <f t="shared" si="8"/>
        <v>153355.35999999999</v>
      </c>
      <c r="N48" s="9">
        <f t="shared" si="7"/>
        <v>162557.35999999999</v>
      </c>
      <c r="O48" s="154">
        <f t="shared" si="9"/>
        <v>0.36000000000000015</v>
      </c>
    </row>
    <row r="49" spans="1:17" x14ac:dyDescent="0.25">
      <c r="A49" s="62" t="s">
        <v>124</v>
      </c>
      <c r="B49" s="6"/>
      <c r="C49" s="6" t="s">
        <v>84</v>
      </c>
      <c r="D49" s="62" t="s">
        <v>196</v>
      </c>
      <c r="E49" s="172"/>
      <c r="F49" s="104">
        <v>1.6400000000000001E-2</v>
      </c>
      <c r="G49" s="155">
        <v>117139.37</v>
      </c>
      <c r="H49" s="99">
        <f>G49</f>
        <v>117139.37</v>
      </c>
      <c r="I49" s="60">
        <f t="shared" si="3"/>
        <v>0</v>
      </c>
      <c r="J49" s="27">
        <f t="shared" si="13"/>
        <v>0</v>
      </c>
      <c r="K49" s="27">
        <f t="shared" si="14"/>
        <v>147600</v>
      </c>
      <c r="L49" s="85">
        <f t="shared" si="0"/>
        <v>0</v>
      </c>
      <c r="M49" s="9">
        <f t="shared" si="8"/>
        <v>147600.37</v>
      </c>
      <c r="N49" s="9">
        <f t="shared" si="7"/>
        <v>156456.37</v>
      </c>
      <c r="O49" s="154">
        <f t="shared" si="9"/>
        <v>0.37000000000000016</v>
      </c>
      <c r="Q49" s="64"/>
    </row>
    <row r="50" spans="1:17" x14ac:dyDescent="0.25">
      <c r="A50" s="62" t="s">
        <v>125</v>
      </c>
      <c r="B50" s="6"/>
      <c r="C50" s="6" t="s">
        <v>85</v>
      </c>
      <c r="D50" s="62" t="s">
        <v>201</v>
      </c>
      <c r="E50" s="172" t="s">
        <v>287</v>
      </c>
      <c r="F50" s="104">
        <v>7.1999999999999998E-3</v>
      </c>
      <c r="G50" s="155">
        <v>51427.38</v>
      </c>
      <c r="H50" s="99">
        <v>54513.38</v>
      </c>
      <c r="I50" s="60">
        <f t="shared" si="3"/>
        <v>-3086</v>
      </c>
      <c r="J50" s="27">
        <f t="shared" si="13"/>
        <v>0</v>
      </c>
      <c r="K50" s="27">
        <f t="shared" si="14"/>
        <v>64800</v>
      </c>
      <c r="L50" s="85">
        <f t="shared" si="0"/>
        <v>0</v>
      </c>
      <c r="M50" s="9">
        <f t="shared" si="8"/>
        <v>61714.38</v>
      </c>
      <c r="N50" s="9">
        <f t="shared" si="7"/>
        <v>65417.38</v>
      </c>
      <c r="O50" s="154">
        <f t="shared" si="9"/>
        <v>0.38000000000000017</v>
      </c>
    </row>
    <row r="51" spans="1:17" x14ac:dyDescent="0.25">
      <c r="A51" s="62" t="s">
        <v>124</v>
      </c>
      <c r="B51" s="6"/>
      <c r="C51" s="6" t="s">
        <v>86</v>
      </c>
      <c r="D51" s="62" t="s">
        <v>202</v>
      </c>
      <c r="E51" s="172"/>
      <c r="F51" s="104">
        <v>1.7299999999999999E-2</v>
      </c>
      <c r="G51" s="155">
        <v>123567.39</v>
      </c>
      <c r="H51" s="99">
        <f>G51</f>
        <v>123567.39</v>
      </c>
      <c r="I51" s="60">
        <f t="shared" si="3"/>
        <v>0</v>
      </c>
      <c r="J51" s="27">
        <f t="shared" si="13"/>
        <v>0</v>
      </c>
      <c r="K51" s="27">
        <f t="shared" si="14"/>
        <v>155700</v>
      </c>
      <c r="L51" s="85">
        <f t="shared" si="0"/>
        <v>0</v>
      </c>
      <c r="M51" s="9">
        <f t="shared" si="8"/>
        <v>155700.39000000001</v>
      </c>
      <c r="N51" s="9">
        <f t="shared" si="7"/>
        <v>165042.39000000001</v>
      </c>
      <c r="O51" s="154">
        <f t="shared" si="9"/>
        <v>0.39000000000000018</v>
      </c>
    </row>
    <row r="52" spans="1:17" x14ac:dyDescent="0.25">
      <c r="A52" s="62" t="s">
        <v>126</v>
      </c>
      <c r="B52" s="6"/>
      <c r="C52" s="6" t="s">
        <v>87</v>
      </c>
      <c r="D52" s="62" t="s">
        <v>203</v>
      </c>
      <c r="E52" s="172"/>
      <c r="F52" s="104">
        <v>9.4000000000000004E-3</v>
      </c>
      <c r="G52" s="155">
        <v>67140.399999999994</v>
      </c>
      <c r="H52" s="99"/>
      <c r="I52" s="60">
        <f t="shared" si="3"/>
        <v>67140.399999999994</v>
      </c>
      <c r="J52" s="27">
        <f t="shared" si="13"/>
        <v>0</v>
      </c>
      <c r="K52" s="27">
        <f t="shared" si="14"/>
        <v>84600</v>
      </c>
      <c r="L52" s="85">
        <f t="shared" si="0"/>
        <v>0</v>
      </c>
      <c r="M52" s="9">
        <f t="shared" si="8"/>
        <v>151740.4</v>
      </c>
      <c r="N52" s="9">
        <f t="shared" si="7"/>
        <v>160845.4</v>
      </c>
      <c r="O52" s="154">
        <f t="shared" si="9"/>
        <v>0.40000000000000019</v>
      </c>
    </row>
    <row r="53" spans="1:17" x14ac:dyDescent="0.25">
      <c r="A53" s="62" t="s">
        <v>126</v>
      </c>
      <c r="B53" s="6"/>
      <c r="C53" s="6" t="s">
        <v>88</v>
      </c>
      <c r="D53" s="62" t="s">
        <v>123</v>
      </c>
      <c r="E53" s="172"/>
      <c r="F53" s="104">
        <v>8.6999999999999994E-3</v>
      </c>
      <c r="G53" s="155">
        <v>62141.41</v>
      </c>
      <c r="H53" s="99">
        <f>G53</f>
        <v>62141.41</v>
      </c>
      <c r="I53" s="60">
        <f t="shared" si="3"/>
        <v>0</v>
      </c>
      <c r="J53" s="27">
        <f t="shared" si="13"/>
        <v>0</v>
      </c>
      <c r="K53" s="27">
        <f t="shared" si="14"/>
        <v>78300</v>
      </c>
      <c r="L53" s="85">
        <f t="shared" si="0"/>
        <v>0</v>
      </c>
      <c r="M53" s="9">
        <f t="shared" si="8"/>
        <v>78300.41</v>
      </c>
      <c r="N53" s="9">
        <f t="shared" si="7"/>
        <v>82998.41</v>
      </c>
      <c r="O53" s="154">
        <f t="shared" si="9"/>
        <v>0.4100000000000002</v>
      </c>
      <c r="Q53" t="s">
        <v>266</v>
      </c>
    </row>
    <row r="54" spans="1:17" x14ac:dyDescent="0.25">
      <c r="A54" s="62" t="s">
        <v>126</v>
      </c>
      <c r="B54" s="6"/>
      <c r="C54" s="6" t="s">
        <v>89</v>
      </c>
      <c r="D54" s="62" t="s">
        <v>204</v>
      </c>
      <c r="E54" s="172"/>
      <c r="F54" s="104">
        <v>9.4999999999999998E-3</v>
      </c>
      <c r="G54" s="155">
        <v>67855.42</v>
      </c>
      <c r="H54" s="99"/>
      <c r="I54" s="60">
        <f t="shared" si="3"/>
        <v>67855.42</v>
      </c>
      <c r="J54" s="27">
        <f t="shared" si="13"/>
        <v>0</v>
      </c>
      <c r="K54" s="27">
        <f t="shared" si="14"/>
        <v>85500</v>
      </c>
      <c r="L54" s="85">
        <f t="shared" si="0"/>
        <v>0</v>
      </c>
      <c r="M54" s="9">
        <f t="shared" si="8"/>
        <v>153355.42000000001</v>
      </c>
      <c r="N54" s="9">
        <f t="shared" si="7"/>
        <v>162557.42000000001</v>
      </c>
      <c r="O54" s="154">
        <f t="shared" si="9"/>
        <v>0.42000000000000021</v>
      </c>
    </row>
    <row r="55" spans="1:17" x14ac:dyDescent="0.25">
      <c r="A55" s="62" t="s">
        <v>124</v>
      </c>
      <c r="B55" s="6"/>
      <c r="C55" s="6" t="s">
        <v>90</v>
      </c>
      <c r="D55" s="62" t="s">
        <v>205</v>
      </c>
      <c r="E55" s="172"/>
      <c r="F55" s="104">
        <v>1.6400000000000001E-2</v>
      </c>
      <c r="G55" s="155">
        <v>117139.43</v>
      </c>
      <c r="H55" s="99">
        <f>G55</f>
        <v>117139.43</v>
      </c>
      <c r="I55" s="60">
        <f t="shared" si="3"/>
        <v>0</v>
      </c>
      <c r="J55" s="27">
        <f t="shared" si="13"/>
        <v>0</v>
      </c>
      <c r="K55" s="27">
        <f t="shared" si="14"/>
        <v>147600</v>
      </c>
      <c r="L55" s="85">
        <v>18000</v>
      </c>
      <c r="M55" s="9">
        <f t="shared" si="8"/>
        <v>165600.43</v>
      </c>
      <c r="N55" s="9">
        <f t="shared" si="7"/>
        <v>175536.43</v>
      </c>
      <c r="O55" s="154">
        <f t="shared" si="9"/>
        <v>0.43000000000000022</v>
      </c>
    </row>
    <row r="56" spans="1:17" x14ac:dyDescent="0.25">
      <c r="A56" s="62" t="s">
        <v>125</v>
      </c>
      <c r="B56" s="6"/>
      <c r="C56" s="6" t="s">
        <v>91</v>
      </c>
      <c r="D56" s="62" t="s">
        <v>205</v>
      </c>
      <c r="E56" s="172"/>
      <c r="F56" s="104">
        <v>7.1999999999999998E-3</v>
      </c>
      <c r="G56" s="155">
        <v>51427.44</v>
      </c>
      <c r="H56" s="99">
        <f>G56</f>
        <v>51427.44</v>
      </c>
      <c r="I56" s="60">
        <f t="shared" si="3"/>
        <v>0</v>
      </c>
      <c r="J56" s="27">
        <f t="shared" si="13"/>
        <v>0</v>
      </c>
      <c r="K56" s="27">
        <f t="shared" si="14"/>
        <v>64800</v>
      </c>
      <c r="L56" s="85">
        <f t="shared" si="0"/>
        <v>0</v>
      </c>
      <c r="M56" s="9">
        <f t="shared" si="8"/>
        <v>64800.44</v>
      </c>
      <c r="N56" s="9">
        <f t="shared" si="7"/>
        <v>68688.44</v>
      </c>
      <c r="O56" s="154">
        <f t="shared" si="9"/>
        <v>0.44000000000000022</v>
      </c>
    </row>
    <row r="57" spans="1:17" x14ac:dyDescent="0.25">
      <c r="A57" s="62" t="s">
        <v>124</v>
      </c>
      <c r="B57" s="6"/>
      <c r="C57" s="6" t="s">
        <v>92</v>
      </c>
      <c r="D57" s="62" t="s">
        <v>206</v>
      </c>
      <c r="E57" s="172"/>
      <c r="F57" s="104">
        <v>1.7299999999999999E-2</v>
      </c>
      <c r="G57" s="155">
        <v>123567.45</v>
      </c>
      <c r="H57" s="99">
        <f>G57</f>
        <v>123567.45</v>
      </c>
      <c r="I57" s="60">
        <f t="shared" si="3"/>
        <v>0</v>
      </c>
      <c r="J57" s="27">
        <f t="shared" si="13"/>
        <v>0</v>
      </c>
      <c r="K57" s="27">
        <f t="shared" si="14"/>
        <v>155700</v>
      </c>
      <c r="L57" s="85">
        <f t="shared" si="0"/>
        <v>0</v>
      </c>
      <c r="M57" s="9">
        <f t="shared" si="8"/>
        <v>155700.45000000001</v>
      </c>
      <c r="N57" s="9">
        <f t="shared" si="7"/>
        <v>165042.45000000001</v>
      </c>
      <c r="O57" s="154">
        <f t="shared" si="9"/>
        <v>0.45000000000000023</v>
      </c>
    </row>
    <row r="58" spans="1:17" x14ac:dyDescent="0.25">
      <c r="A58" s="62" t="s">
        <v>126</v>
      </c>
      <c r="B58" s="6"/>
      <c r="C58" s="6" t="s">
        <v>93</v>
      </c>
      <c r="D58" s="62" t="s">
        <v>207</v>
      </c>
      <c r="E58" s="172" t="s">
        <v>288</v>
      </c>
      <c r="F58" s="104">
        <v>9.4000000000000004E-3</v>
      </c>
      <c r="G58" s="155">
        <v>67140.460000000006</v>
      </c>
      <c r="H58" s="99"/>
      <c r="I58" s="60">
        <f t="shared" si="3"/>
        <v>67140.460000000006</v>
      </c>
      <c r="J58" s="27">
        <f t="shared" si="13"/>
        <v>0</v>
      </c>
      <c r="K58" s="27">
        <f t="shared" si="14"/>
        <v>84600</v>
      </c>
      <c r="L58" s="85">
        <f t="shared" si="0"/>
        <v>0</v>
      </c>
      <c r="M58" s="9">
        <f t="shared" si="8"/>
        <v>151740.46</v>
      </c>
      <c r="N58" s="9">
        <f t="shared" si="7"/>
        <v>160845.46</v>
      </c>
      <c r="O58" s="154">
        <f t="shared" si="9"/>
        <v>0.46000000000000024</v>
      </c>
    </row>
    <row r="59" spans="1:17" x14ac:dyDescent="0.25">
      <c r="A59" s="62" t="s">
        <v>126</v>
      </c>
      <c r="B59" s="6"/>
      <c r="C59" s="6" t="s">
        <v>94</v>
      </c>
      <c r="D59" s="62" t="s">
        <v>185</v>
      </c>
      <c r="E59" s="172"/>
      <c r="F59" s="104">
        <v>8.6999999999999994E-3</v>
      </c>
      <c r="G59" s="155">
        <v>62141.47</v>
      </c>
      <c r="H59" s="99">
        <v>65870.47</v>
      </c>
      <c r="I59" s="60">
        <f t="shared" si="3"/>
        <v>-3729</v>
      </c>
      <c r="J59" s="27">
        <f t="shared" si="13"/>
        <v>0</v>
      </c>
      <c r="K59" s="27">
        <f t="shared" si="14"/>
        <v>78300</v>
      </c>
      <c r="L59" s="85">
        <f t="shared" si="0"/>
        <v>0</v>
      </c>
      <c r="M59" s="9">
        <f t="shared" si="8"/>
        <v>74571.47</v>
      </c>
      <c r="N59" s="9">
        <f t="shared" si="7"/>
        <v>79046.47</v>
      </c>
      <c r="O59" s="154">
        <f t="shared" si="9"/>
        <v>0.47000000000000025</v>
      </c>
    </row>
    <row r="60" spans="1:17" x14ac:dyDescent="0.25">
      <c r="A60" s="62" t="s">
        <v>126</v>
      </c>
      <c r="B60" s="6"/>
      <c r="C60" s="6" t="s">
        <v>95</v>
      </c>
      <c r="D60" s="62" t="s">
        <v>208</v>
      </c>
      <c r="E60" s="172"/>
      <c r="F60" s="104">
        <v>9.4999999999999998E-3</v>
      </c>
      <c r="G60" s="155">
        <v>67855.48</v>
      </c>
      <c r="H60" s="99">
        <v>71927.48</v>
      </c>
      <c r="I60" s="60">
        <f t="shared" si="3"/>
        <v>-4072</v>
      </c>
      <c r="J60" s="27">
        <f t="shared" si="13"/>
        <v>0</v>
      </c>
      <c r="K60" s="27">
        <f t="shared" si="14"/>
        <v>85500</v>
      </c>
      <c r="L60" s="85">
        <f t="shared" si="0"/>
        <v>0</v>
      </c>
      <c r="M60" s="9">
        <f t="shared" si="8"/>
        <v>81428.479999999996</v>
      </c>
      <c r="N60" s="9">
        <f t="shared" si="7"/>
        <v>86314.48</v>
      </c>
      <c r="O60" s="154">
        <f t="shared" si="9"/>
        <v>0.48000000000000026</v>
      </c>
    </row>
    <row r="61" spans="1:17" x14ac:dyDescent="0.25">
      <c r="A61" s="62" t="s">
        <v>124</v>
      </c>
      <c r="B61" s="6"/>
      <c r="C61" s="6" t="s">
        <v>96</v>
      </c>
      <c r="D61" s="62" t="s">
        <v>209</v>
      </c>
      <c r="E61" s="172"/>
      <c r="F61" s="104">
        <v>1.6400000000000001E-2</v>
      </c>
      <c r="G61" s="155">
        <v>117139.49</v>
      </c>
      <c r="H61" s="99">
        <f>G61</f>
        <v>117139.49</v>
      </c>
      <c r="I61" s="60">
        <f t="shared" si="3"/>
        <v>0</v>
      </c>
      <c r="J61" s="27">
        <f t="shared" si="13"/>
        <v>0</v>
      </c>
      <c r="K61" s="27">
        <f t="shared" si="14"/>
        <v>147600</v>
      </c>
      <c r="L61" s="85">
        <f t="shared" si="0"/>
        <v>0</v>
      </c>
      <c r="M61" s="9">
        <f t="shared" si="8"/>
        <v>147600.49</v>
      </c>
      <c r="N61" s="9">
        <f t="shared" si="7"/>
        <v>156457.49</v>
      </c>
      <c r="O61" s="154">
        <f t="shared" si="9"/>
        <v>0.49000000000000027</v>
      </c>
    </row>
    <row r="62" spans="1:17" x14ac:dyDescent="0.25">
      <c r="A62" s="62" t="s">
        <v>125</v>
      </c>
      <c r="B62" s="6"/>
      <c r="C62" s="6" t="s">
        <v>97</v>
      </c>
      <c r="D62" s="62" t="s">
        <v>210</v>
      </c>
      <c r="E62" s="172"/>
      <c r="F62" s="104">
        <v>7.1999999999999998E-3</v>
      </c>
      <c r="G62" s="155">
        <v>51427.5</v>
      </c>
      <c r="H62" s="99"/>
      <c r="I62" s="60">
        <f t="shared" si="3"/>
        <v>51427.5</v>
      </c>
      <c r="J62" s="27">
        <f t="shared" si="13"/>
        <v>0</v>
      </c>
      <c r="K62" s="27">
        <f t="shared" si="14"/>
        <v>64800</v>
      </c>
      <c r="L62" s="85">
        <f t="shared" si="0"/>
        <v>0</v>
      </c>
      <c r="M62" s="9">
        <f t="shared" si="8"/>
        <v>116228.5</v>
      </c>
      <c r="N62" s="9">
        <f t="shared" si="7"/>
        <v>123202.5</v>
      </c>
      <c r="O62" s="154">
        <f t="shared" si="9"/>
        <v>0.50000000000000022</v>
      </c>
    </row>
    <row r="63" spans="1:17" x14ac:dyDescent="0.25">
      <c r="A63" s="62" t="s">
        <v>124</v>
      </c>
      <c r="B63" s="6"/>
      <c r="C63" s="6" t="s">
        <v>98</v>
      </c>
      <c r="D63" s="62" t="s">
        <v>211</v>
      </c>
      <c r="E63" s="172"/>
      <c r="F63" s="104">
        <v>1.7299999999999999E-2</v>
      </c>
      <c r="G63" s="155">
        <v>123567.51</v>
      </c>
      <c r="H63" s="99">
        <f>G63</f>
        <v>123567.51</v>
      </c>
      <c r="I63" s="60">
        <f t="shared" si="3"/>
        <v>0</v>
      </c>
      <c r="J63" s="27">
        <f t="shared" si="13"/>
        <v>0</v>
      </c>
      <c r="K63" s="27">
        <f t="shared" si="14"/>
        <v>155700</v>
      </c>
      <c r="L63" s="85">
        <f t="shared" si="0"/>
        <v>0</v>
      </c>
      <c r="M63" s="9">
        <f t="shared" si="8"/>
        <v>155700.51</v>
      </c>
      <c r="N63" s="9">
        <f t="shared" si="7"/>
        <v>165043.51</v>
      </c>
      <c r="O63" s="154">
        <f t="shared" si="9"/>
        <v>0.51000000000000023</v>
      </c>
    </row>
    <row r="64" spans="1:17" x14ac:dyDescent="0.25">
      <c r="A64" s="62" t="s">
        <v>126</v>
      </c>
      <c r="B64" s="6"/>
      <c r="C64" s="6" t="s">
        <v>99</v>
      </c>
      <c r="D64" s="62" t="s">
        <v>212</v>
      </c>
      <c r="E64" s="172"/>
      <c r="F64" s="104">
        <v>9.4000000000000004E-3</v>
      </c>
      <c r="G64" s="155">
        <v>67140.52</v>
      </c>
      <c r="H64" s="99"/>
      <c r="I64" s="60">
        <f t="shared" si="3"/>
        <v>67140.52</v>
      </c>
      <c r="J64" s="27">
        <f t="shared" si="13"/>
        <v>0</v>
      </c>
      <c r="K64" s="27">
        <f t="shared" si="14"/>
        <v>84600</v>
      </c>
      <c r="L64" s="85">
        <f t="shared" si="0"/>
        <v>0</v>
      </c>
      <c r="M64" s="9">
        <f t="shared" si="8"/>
        <v>151741.51999999999</v>
      </c>
      <c r="N64" s="9">
        <f t="shared" si="7"/>
        <v>160846.51999999999</v>
      </c>
      <c r="O64" s="154">
        <f t="shared" si="9"/>
        <v>0.52000000000000024</v>
      </c>
    </row>
    <row r="65" spans="1:17" x14ac:dyDescent="0.25">
      <c r="A65" s="62" t="s">
        <v>126</v>
      </c>
      <c r="B65" s="6"/>
      <c r="C65" s="6" t="s">
        <v>100</v>
      </c>
      <c r="D65" s="62" t="s">
        <v>123</v>
      </c>
      <c r="E65" s="172"/>
      <c r="F65" s="104">
        <v>8.6999999999999994E-3</v>
      </c>
      <c r="G65" s="155">
        <v>62141.53</v>
      </c>
      <c r="H65" s="99">
        <f>G65</f>
        <v>62141.53</v>
      </c>
      <c r="I65" s="60">
        <f t="shared" si="3"/>
        <v>0</v>
      </c>
      <c r="J65" s="27">
        <f t="shared" si="13"/>
        <v>0</v>
      </c>
      <c r="K65" s="27">
        <f t="shared" si="14"/>
        <v>78300</v>
      </c>
      <c r="L65" s="85">
        <f t="shared" si="0"/>
        <v>0</v>
      </c>
      <c r="M65" s="9">
        <f t="shared" si="8"/>
        <v>78300.53</v>
      </c>
      <c r="N65" s="9">
        <f t="shared" si="7"/>
        <v>82999.53</v>
      </c>
      <c r="O65" s="154">
        <f t="shared" si="9"/>
        <v>0.53000000000000025</v>
      </c>
      <c r="Q65" t="s">
        <v>267</v>
      </c>
    </row>
    <row r="66" spans="1:17" x14ac:dyDescent="0.25">
      <c r="A66" s="62" t="s">
        <v>126</v>
      </c>
      <c r="B66" s="6"/>
      <c r="C66" s="6" t="s">
        <v>101</v>
      </c>
      <c r="D66" s="62" t="s">
        <v>213</v>
      </c>
      <c r="E66" s="172"/>
      <c r="F66" s="104">
        <v>9.4999999999999998E-3</v>
      </c>
      <c r="G66" s="155">
        <v>67855.539999999994</v>
      </c>
      <c r="H66" s="99">
        <f>G66</f>
        <v>67855.539999999994</v>
      </c>
      <c r="I66" s="60">
        <f t="shared" si="3"/>
        <v>0</v>
      </c>
      <c r="J66" s="27">
        <f t="shared" si="13"/>
        <v>0</v>
      </c>
      <c r="K66" s="27">
        <f t="shared" si="14"/>
        <v>85500</v>
      </c>
      <c r="L66" s="85">
        <f t="shared" si="0"/>
        <v>0</v>
      </c>
      <c r="M66" s="9">
        <f t="shared" si="8"/>
        <v>85500.54</v>
      </c>
      <c r="N66" s="9">
        <f t="shared" si="7"/>
        <v>90631.54</v>
      </c>
      <c r="O66" s="154">
        <f t="shared" si="9"/>
        <v>0.54000000000000026</v>
      </c>
    </row>
    <row r="67" spans="1:17" x14ac:dyDescent="0.25">
      <c r="A67" s="62" t="s">
        <v>127</v>
      </c>
      <c r="B67" s="6"/>
      <c r="C67" s="6" t="s">
        <v>102</v>
      </c>
      <c r="D67" s="62" t="s">
        <v>214</v>
      </c>
      <c r="E67" s="172"/>
      <c r="F67" s="104">
        <v>2.35E-2</v>
      </c>
      <c r="G67" s="155">
        <v>167851.55</v>
      </c>
      <c r="H67" s="99">
        <v>177923.55</v>
      </c>
      <c r="I67" s="60">
        <f t="shared" si="3"/>
        <v>-10072</v>
      </c>
      <c r="J67" s="27">
        <f t="shared" si="13"/>
        <v>0</v>
      </c>
      <c r="K67" s="27">
        <f t="shared" si="14"/>
        <v>211500</v>
      </c>
      <c r="L67" s="85">
        <f t="shared" si="0"/>
        <v>0</v>
      </c>
      <c r="M67" s="9">
        <f t="shared" si="8"/>
        <v>201428.55</v>
      </c>
      <c r="N67" s="9">
        <f t="shared" si="7"/>
        <v>213514.55</v>
      </c>
      <c r="O67" s="154">
        <f t="shared" si="9"/>
        <v>0.55000000000000027</v>
      </c>
    </row>
    <row r="68" spans="1:17" x14ac:dyDescent="0.25">
      <c r="A68" s="62" t="s">
        <v>124</v>
      </c>
      <c r="B68" s="6"/>
      <c r="C68" s="6" t="s">
        <v>103</v>
      </c>
      <c r="D68" s="62" t="s">
        <v>215</v>
      </c>
      <c r="E68" s="172"/>
      <c r="F68" s="104">
        <v>1.7299999999999999E-2</v>
      </c>
      <c r="G68" s="155">
        <v>123567.56</v>
      </c>
      <c r="H68" s="99">
        <f>G68</f>
        <v>123567.56</v>
      </c>
      <c r="I68" s="60">
        <f t="shared" si="3"/>
        <v>0</v>
      </c>
      <c r="J68" s="27">
        <f t="shared" si="13"/>
        <v>0</v>
      </c>
      <c r="K68" s="27">
        <f t="shared" si="14"/>
        <v>155700</v>
      </c>
      <c r="L68" s="85">
        <f t="shared" si="0"/>
        <v>0</v>
      </c>
      <c r="M68" s="9">
        <f t="shared" si="8"/>
        <v>155700.56</v>
      </c>
      <c r="N68" s="9">
        <f t="shared" si="7"/>
        <v>165043.56</v>
      </c>
      <c r="O68" s="154">
        <f t="shared" si="9"/>
        <v>0.56000000000000028</v>
      </c>
    </row>
    <row r="69" spans="1:17" x14ac:dyDescent="0.25">
      <c r="A69" s="62" t="s">
        <v>126</v>
      </c>
      <c r="B69" s="6"/>
      <c r="C69" s="6" t="s">
        <v>104</v>
      </c>
      <c r="D69" s="62" t="s">
        <v>216</v>
      </c>
      <c r="E69" s="172"/>
      <c r="F69" s="104">
        <v>9.4000000000000004E-3</v>
      </c>
      <c r="G69" s="155">
        <v>67140.570000000007</v>
      </c>
      <c r="H69" s="99"/>
      <c r="I69" s="60">
        <f t="shared" si="3"/>
        <v>67140.570000000007</v>
      </c>
      <c r="J69" s="27">
        <f t="shared" si="13"/>
        <v>0</v>
      </c>
      <c r="K69" s="27">
        <f t="shared" si="14"/>
        <v>84600</v>
      </c>
      <c r="L69" s="85">
        <f t="shared" si="0"/>
        <v>0</v>
      </c>
      <c r="M69" s="9">
        <f t="shared" si="8"/>
        <v>151741.57</v>
      </c>
      <c r="N69" s="9">
        <f t="shared" si="7"/>
        <v>160846.57</v>
      </c>
      <c r="O69" s="154">
        <f t="shared" si="9"/>
        <v>0.57000000000000028</v>
      </c>
    </row>
    <row r="70" spans="1:17" x14ac:dyDescent="0.25">
      <c r="A70" s="62" t="s">
        <v>126</v>
      </c>
      <c r="B70" s="6"/>
      <c r="C70" s="6" t="s">
        <v>105</v>
      </c>
      <c r="D70" s="62" t="s">
        <v>217</v>
      </c>
      <c r="E70" s="172"/>
      <c r="F70" s="104">
        <v>8.6999999999999994E-3</v>
      </c>
      <c r="G70" s="155">
        <v>62141.58</v>
      </c>
      <c r="H70" s="99"/>
      <c r="I70" s="60">
        <f t="shared" si="3"/>
        <v>62141.58</v>
      </c>
      <c r="J70" s="27">
        <f t="shared" si="13"/>
        <v>0</v>
      </c>
      <c r="K70" s="27">
        <f t="shared" si="14"/>
        <v>78300</v>
      </c>
      <c r="L70" s="85">
        <f t="shared" si="0"/>
        <v>0</v>
      </c>
      <c r="M70" s="9">
        <f t="shared" si="8"/>
        <v>140442.57999999999</v>
      </c>
      <c r="N70" s="9">
        <f t="shared" si="7"/>
        <v>148869.57999999999</v>
      </c>
      <c r="O70" s="154">
        <f t="shared" si="9"/>
        <v>0.58000000000000029</v>
      </c>
    </row>
    <row r="71" spans="1:17" x14ac:dyDescent="0.25">
      <c r="A71" s="62" t="s">
        <v>126</v>
      </c>
      <c r="B71" s="6"/>
      <c r="C71" s="6" t="s">
        <v>106</v>
      </c>
      <c r="D71" s="62" t="s">
        <v>218</v>
      </c>
      <c r="E71" s="172"/>
      <c r="F71" s="104">
        <v>9.4999999999999998E-3</v>
      </c>
      <c r="G71" s="155">
        <v>67855.59</v>
      </c>
      <c r="H71" s="99">
        <v>71927.59</v>
      </c>
      <c r="I71" s="60">
        <f t="shared" si="3"/>
        <v>-4072</v>
      </c>
      <c r="J71" s="27">
        <f t="shared" si="13"/>
        <v>0</v>
      </c>
      <c r="K71" s="27">
        <f t="shared" si="14"/>
        <v>85500</v>
      </c>
      <c r="L71" s="85">
        <f t="shared" si="0"/>
        <v>0</v>
      </c>
      <c r="M71" s="9">
        <f t="shared" si="8"/>
        <v>81428.59</v>
      </c>
      <c r="N71" s="9">
        <f t="shared" si="7"/>
        <v>86314.59</v>
      </c>
      <c r="O71" s="154">
        <f t="shared" si="9"/>
        <v>0.5900000000000003</v>
      </c>
    </row>
    <row r="72" spans="1:17" x14ac:dyDescent="0.25">
      <c r="A72" s="62" t="s">
        <v>127</v>
      </c>
      <c r="B72" s="6"/>
      <c r="C72" s="6" t="s">
        <v>107</v>
      </c>
      <c r="D72" s="62" t="s">
        <v>219</v>
      </c>
      <c r="E72" s="172"/>
      <c r="F72" s="104">
        <v>2.35E-2</v>
      </c>
      <c r="G72" s="155">
        <v>167851.6</v>
      </c>
      <c r="H72" s="99">
        <f>G72</f>
        <v>167851.6</v>
      </c>
      <c r="I72" s="60">
        <f t="shared" si="3"/>
        <v>0</v>
      </c>
      <c r="J72" s="27">
        <f t="shared" si="13"/>
        <v>0</v>
      </c>
      <c r="K72" s="27">
        <f t="shared" si="14"/>
        <v>211500</v>
      </c>
      <c r="L72" s="85">
        <f t="shared" ref="L72:L124" si="15">J$3*F72%+J$4</f>
        <v>0</v>
      </c>
      <c r="M72" s="9">
        <f t="shared" si="8"/>
        <v>211500.6</v>
      </c>
      <c r="N72" s="9">
        <f t="shared" si="7"/>
        <v>224191.6</v>
      </c>
      <c r="O72" s="154">
        <f t="shared" si="9"/>
        <v>0.60000000000000031</v>
      </c>
    </row>
    <row r="73" spans="1:17" x14ac:dyDescent="0.25">
      <c r="A73" s="62" t="s">
        <v>124</v>
      </c>
      <c r="B73" s="6"/>
      <c r="C73" s="6" t="s">
        <v>108</v>
      </c>
      <c r="D73" s="62" t="s">
        <v>220</v>
      </c>
      <c r="E73" s="172"/>
      <c r="F73" s="104">
        <v>1.7299999999999999E-2</v>
      </c>
      <c r="G73" s="155">
        <v>123567.61</v>
      </c>
      <c r="H73" s="99">
        <f>G73</f>
        <v>123567.61</v>
      </c>
      <c r="I73" s="60">
        <f t="shared" si="3"/>
        <v>0</v>
      </c>
      <c r="J73" s="27">
        <f t="shared" si="13"/>
        <v>0</v>
      </c>
      <c r="K73" s="27">
        <f t="shared" si="14"/>
        <v>155700</v>
      </c>
      <c r="L73" s="85">
        <f t="shared" si="15"/>
        <v>0</v>
      </c>
      <c r="M73" s="9">
        <f t="shared" si="8"/>
        <v>155700.60999999999</v>
      </c>
      <c r="N73" s="9">
        <f t="shared" si="7"/>
        <v>165043.60999999999</v>
      </c>
      <c r="O73" s="154">
        <f t="shared" si="9"/>
        <v>0.61000000000000032</v>
      </c>
    </row>
    <row r="74" spans="1:17" x14ac:dyDescent="0.25">
      <c r="A74" s="62" t="s">
        <v>126</v>
      </c>
      <c r="B74" s="6"/>
      <c r="C74" s="6" t="s">
        <v>109</v>
      </c>
      <c r="D74" s="62" t="s">
        <v>221</v>
      </c>
      <c r="E74" s="172"/>
      <c r="F74" s="104">
        <v>9.4000000000000004E-3</v>
      </c>
      <c r="G74" s="155">
        <v>67140.62</v>
      </c>
      <c r="H74" s="99">
        <f>G74</f>
        <v>67140.62</v>
      </c>
      <c r="I74" s="60">
        <f t="shared" si="3"/>
        <v>0</v>
      </c>
      <c r="J74" s="27">
        <f t="shared" si="13"/>
        <v>0</v>
      </c>
      <c r="K74" s="27">
        <f t="shared" si="14"/>
        <v>84600</v>
      </c>
      <c r="L74" s="85">
        <f t="shared" si="15"/>
        <v>0</v>
      </c>
      <c r="M74" s="9">
        <f t="shared" si="8"/>
        <v>84600.62</v>
      </c>
      <c r="N74" s="9">
        <f t="shared" si="7"/>
        <v>89677.62</v>
      </c>
      <c r="O74" s="154">
        <f t="shared" si="9"/>
        <v>0.62000000000000033</v>
      </c>
    </row>
    <row r="75" spans="1:17" x14ac:dyDescent="0.25">
      <c r="A75" s="62" t="s">
        <v>126</v>
      </c>
      <c r="B75" s="6"/>
      <c r="C75" s="6" t="s">
        <v>110</v>
      </c>
      <c r="D75" s="62" t="s">
        <v>222</v>
      </c>
      <c r="E75" s="172" t="s">
        <v>289</v>
      </c>
      <c r="F75" s="104">
        <v>8.6999999999999994E-3</v>
      </c>
      <c r="G75" s="155">
        <v>62141.63</v>
      </c>
      <c r="H75" s="99">
        <f>G75</f>
        <v>62141.63</v>
      </c>
      <c r="I75" s="60">
        <f t="shared" si="3"/>
        <v>0</v>
      </c>
      <c r="J75" s="27">
        <f t="shared" si="13"/>
        <v>0</v>
      </c>
      <c r="K75" s="27">
        <f t="shared" si="14"/>
        <v>78300</v>
      </c>
      <c r="L75" s="85">
        <f t="shared" si="15"/>
        <v>0</v>
      </c>
      <c r="M75" s="9">
        <f t="shared" si="8"/>
        <v>78300.63</v>
      </c>
      <c r="N75" s="9">
        <f t="shared" si="7"/>
        <v>82999.63</v>
      </c>
      <c r="O75" s="154">
        <f t="shared" si="9"/>
        <v>0.63000000000000034</v>
      </c>
    </row>
    <row r="76" spans="1:17" x14ac:dyDescent="0.25">
      <c r="A76" s="62" t="s">
        <v>126</v>
      </c>
      <c r="B76" s="6"/>
      <c r="C76" s="6" t="s">
        <v>111</v>
      </c>
      <c r="D76" s="62" t="s">
        <v>223</v>
      </c>
      <c r="E76" s="172"/>
      <c r="F76" s="104">
        <v>9.4999999999999998E-3</v>
      </c>
      <c r="G76" s="155">
        <v>76855.64</v>
      </c>
      <c r="H76" s="99">
        <v>81467.64</v>
      </c>
      <c r="I76" s="60">
        <f t="shared" si="3"/>
        <v>-4612</v>
      </c>
      <c r="J76" s="27">
        <f t="shared" si="13"/>
        <v>0</v>
      </c>
      <c r="K76" s="27">
        <f t="shared" si="14"/>
        <v>85500</v>
      </c>
      <c r="L76" s="85">
        <f t="shared" si="15"/>
        <v>0</v>
      </c>
      <c r="M76" s="9">
        <f t="shared" si="8"/>
        <v>80888.639999999999</v>
      </c>
      <c r="N76" s="9">
        <f t="shared" si="7"/>
        <v>85742.64</v>
      </c>
      <c r="O76" s="154">
        <f t="shared" si="9"/>
        <v>0.64000000000000035</v>
      </c>
    </row>
    <row r="77" spans="1:17" x14ac:dyDescent="0.25">
      <c r="A77" s="62" t="s">
        <v>127</v>
      </c>
      <c r="B77" s="6"/>
      <c r="C77" s="6" t="s">
        <v>112</v>
      </c>
      <c r="D77" s="62" t="s">
        <v>123</v>
      </c>
      <c r="E77" s="172"/>
      <c r="F77" s="104">
        <v>2.35E-2</v>
      </c>
      <c r="G77" s="155">
        <v>167851.65</v>
      </c>
      <c r="H77" s="99">
        <v>81467.64</v>
      </c>
      <c r="I77" s="60">
        <f t="shared" si="3"/>
        <v>86384.01</v>
      </c>
      <c r="J77" s="27">
        <f t="shared" ref="J77:J108" si="16">M$4*F77</f>
        <v>0</v>
      </c>
      <c r="K77" s="27">
        <f t="shared" ref="K77:K108" si="17">M$2*F77</f>
        <v>211500</v>
      </c>
      <c r="L77" s="85">
        <f t="shared" si="15"/>
        <v>0</v>
      </c>
      <c r="M77" s="9">
        <f t="shared" si="8"/>
        <v>297884.65000000002</v>
      </c>
      <c r="N77" s="9">
        <f t="shared" si="7"/>
        <v>315758.65000000002</v>
      </c>
      <c r="O77" s="154">
        <f t="shared" si="9"/>
        <v>0.65000000000000036</v>
      </c>
    </row>
    <row r="78" spans="1:17" x14ac:dyDescent="0.25">
      <c r="A78" s="62" t="s">
        <v>124</v>
      </c>
      <c r="B78" s="6"/>
      <c r="C78" s="6" t="s">
        <v>113</v>
      </c>
      <c r="D78" s="62" t="s">
        <v>224</v>
      </c>
      <c r="E78" s="172"/>
      <c r="F78" s="104">
        <v>1.7299999999999999E-2</v>
      </c>
      <c r="G78" s="155">
        <v>123567.66</v>
      </c>
      <c r="H78" s="99">
        <f t="shared" ref="H78:H86" si="18">G78</f>
        <v>123567.66</v>
      </c>
      <c r="I78" s="60">
        <f t="shared" si="3"/>
        <v>0</v>
      </c>
      <c r="J78" s="27">
        <f t="shared" si="16"/>
        <v>0</v>
      </c>
      <c r="K78" s="27">
        <f t="shared" si="17"/>
        <v>155700</v>
      </c>
      <c r="L78" s="85">
        <f t="shared" si="15"/>
        <v>0</v>
      </c>
      <c r="M78" s="9">
        <f t="shared" ref="M78:M125" si="19">ROUND((K78+J78+I78+L78),0) + O78</f>
        <v>155700.66</v>
      </c>
      <c r="N78" s="9">
        <f t="shared" ref="N78:N125" si="20">ROUND((M78*6% + M78 ),0) + O78</f>
        <v>165043.66</v>
      </c>
      <c r="O78" s="154">
        <f t="shared" si="9"/>
        <v>0.66000000000000036</v>
      </c>
    </row>
    <row r="79" spans="1:17" x14ac:dyDescent="0.25">
      <c r="A79" s="62" t="s">
        <v>126</v>
      </c>
      <c r="B79" s="6"/>
      <c r="C79" s="6" t="s">
        <v>114</v>
      </c>
      <c r="D79" s="62" t="s">
        <v>225</v>
      </c>
      <c r="E79" s="172"/>
      <c r="F79" s="104">
        <v>9.4000000000000004E-3</v>
      </c>
      <c r="G79" s="155">
        <v>67140.67</v>
      </c>
      <c r="H79" s="99">
        <f t="shared" si="18"/>
        <v>67140.67</v>
      </c>
      <c r="I79" s="60">
        <f t="shared" si="3"/>
        <v>0</v>
      </c>
      <c r="J79" s="27">
        <f t="shared" si="16"/>
        <v>0</v>
      </c>
      <c r="K79" s="27">
        <f t="shared" si="17"/>
        <v>84600</v>
      </c>
      <c r="L79" s="85">
        <v>9000</v>
      </c>
      <c r="M79" s="9">
        <f t="shared" si="19"/>
        <v>93600.67</v>
      </c>
      <c r="N79" s="9">
        <f t="shared" si="20"/>
        <v>99217.67</v>
      </c>
      <c r="O79" s="154">
        <f t="shared" ref="O79:O125" si="21">O78+0.01</f>
        <v>0.67000000000000037</v>
      </c>
    </row>
    <row r="80" spans="1:17" x14ac:dyDescent="0.25">
      <c r="A80" s="62" t="s">
        <v>126</v>
      </c>
      <c r="B80" s="6"/>
      <c r="C80" s="6" t="s">
        <v>115</v>
      </c>
      <c r="D80" s="62" t="s">
        <v>226</v>
      </c>
      <c r="E80" s="172"/>
      <c r="F80" s="104">
        <v>8.6999999999999994E-3</v>
      </c>
      <c r="G80" s="155">
        <v>62141.68</v>
      </c>
      <c r="H80" s="99">
        <f t="shared" si="18"/>
        <v>62141.68</v>
      </c>
      <c r="I80" s="60">
        <f t="shared" si="3"/>
        <v>0</v>
      </c>
      <c r="J80" s="27">
        <f t="shared" si="16"/>
        <v>0</v>
      </c>
      <c r="K80" s="27">
        <f t="shared" si="17"/>
        <v>78300</v>
      </c>
      <c r="L80" s="85">
        <v>9000</v>
      </c>
      <c r="M80" s="9">
        <f t="shared" si="19"/>
        <v>87300.68</v>
      </c>
      <c r="N80" s="9">
        <f t="shared" si="20"/>
        <v>92539.68</v>
      </c>
      <c r="O80" s="154">
        <f t="shared" si="21"/>
        <v>0.68000000000000038</v>
      </c>
    </row>
    <row r="81" spans="1:15" x14ac:dyDescent="0.25">
      <c r="A81" s="125" t="s">
        <v>126</v>
      </c>
      <c r="B81" s="36"/>
      <c r="C81" s="36" t="s">
        <v>116</v>
      </c>
      <c r="D81" s="125" t="s">
        <v>227</v>
      </c>
      <c r="E81" s="156"/>
      <c r="F81" s="104">
        <v>9.4999999999999998E-3</v>
      </c>
      <c r="G81" s="155">
        <v>67855.69</v>
      </c>
      <c r="H81" s="99">
        <f t="shared" si="18"/>
        <v>67855.69</v>
      </c>
      <c r="I81" s="60">
        <f t="shared" si="3"/>
        <v>0</v>
      </c>
      <c r="J81" s="27">
        <f t="shared" si="16"/>
        <v>0</v>
      </c>
      <c r="K81" s="27">
        <f t="shared" si="17"/>
        <v>85500</v>
      </c>
      <c r="L81" s="85">
        <v>43560</v>
      </c>
      <c r="M81" s="9">
        <f t="shared" si="19"/>
        <v>129060.69</v>
      </c>
      <c r="N81" s="9">
        <f t="shared" si="20"/>
        <v>136804.69</v>
      </c>
      <c r="O81" s="154">
        <f t="shared" si="21"/>
        <v>0.69000000000000039</v>
      </c>
    </row>
    <row r="82" spans="1:15" x14ac:dyDescent="0.25">
      <c r="A82" s="125"/>
      <c r="B82" s="36"/>
      <c r="C82" s="36" t="s">
        <v>128</v>
      </c>
      <c r="D82" s="125" t="s">
        <v>189</v>
      </c>
      <c r="E82" s="125"/>
      <c r="F82" s="105">
        <v>2.3E-3</v>
      </c>
      <c r="G82" s="155">
        <v>16428.7</v>
      </c>
      <c r="H82" s="99">
        <f t="shared" si="18"/>
        <v>16428.7</v>
      </c>
      <c r="I82" s="60">
        <f t="shared" si="3"/>
        <v>0</v>
      </c>
      <c r="J82" s="27">
        <f t="shared" si="16"/>
        <v>0</v>
      </c>
      <c r="K82" s="27">
        <f t="shared" si="17"/>
        <v>20700</v>
      </c>
      <c r="L82" s="85">
        <f t="shared" si="15"/>
        <v>0</v>
      </c>
      <c r="M82" s="9">
        <f t="shared" si="19"/>
        <v>20700.7</v>
      </c>
      <c r="N82" s="9">
        <f t="shared" si="20"/>
        <v>21943.7</v>
      </c>
      <c r="O82" s="154">
        <f t="shared" si="21"/>
        <v>0.7000000000000004</v>
      </c>
    </row>
    <row r="83" spans="1:15" x14ac:dyDescent="0.25">
      <c r="A83" s="125"/>
      <c r="B83" s="36"/>
      <c r="C83" s="36" t="s">
        <v>129</v>
      </c>
      <c r="D83" s="125" t="s">
        <v>123</v>
      </c>
      <c r="E83" s="125"/>
      <c r="F83" s="105">
        <v>2.3E-3</v>
      </c>
      <c r="G83" s="155">
        <v>16428.71</v>
      </c>
      <c r="H83" s="99">
        <f t="shared" si="18"/>
        <v>16428.71</v>
      </c>
      <c r="I83" s="60">
        <f t="shared" si="3"/>
        <v>0</v>
      </c>
      <c r="J83" s="27">
        <f t="shared" si="16"/>
        <v>0</v>
      </c>
      <c r="K83" s="27">
        <f t="shared" si="17"/>
        <v>20700</v>
      </c>
      <c r="L83" s="85">
        <f t="shared" si="15"/>
        <v>0</v>
      </c>
      <c r="M83" s="9">
        <f t="shared" si="19"/>
        <v>20700.71</v>
      </c>
      <c r="N83" s="9">
        <f t="shared" si="20"/>
        <v>21943.71</v>
      </c>
      <c r="O83" s="154">
        <f t="shared" si="21"/>
        <v>0.71000000000000041</v>
      </c>
    </row>
    <row r="84" spans="1:15" x14ac:dyDescent="0.25">
      <c r="A84" s="125"/>
      <c r="B84" s="36"/>
      <c r="C84" s="36" t="s">
        <v>130</v>
      </c>
      <c r="D84" s="125" t="s">
        <v>197</v>
      </c>
      <c r="E84" s="125"/>
      <c r="F84" s="105">
        <v>2.3E-3</v>
      </c>
      <c r="G84" s="155">
        <v>16428.72</v>
      </c>
      <c r="H84" s="99">
        <f t="shared" si="18"/>
        <v>16428.72</v>
      </c>
      <c r="I84" s="60">
        <f t="shared" si="3"/>
        <v>0</v>
      </c>
      <c r="J84" s="27">
        <f t="shared" si="16"/>
        <v>0</v>
      </c>
      <c r="K84" s="27">
        <f t="shared" si="17"/>
        <v>20700</v>
      </c>
      <c r="L84" s="85">
        <f t="shared" si="15"/>
        <v>0</v>
      </c>
      <c r="M84" s="9">
        <f t="shared" si="19"/>
        <v>20700.72</v>
      </c>
      <c r="N84" s="9">
        <f t="shared" si="20"/>
        <v>21943.72</v>
      </c>
      <c r="O84" s="154">
        <f t="shared" si="21"/>
        <v>0.72000000000000042</v>
      </c>
    </row>
    <row r="85" spans="1:15" x14ac:dyDescent="0.25">
      <c r="A85" s="125"/>
      <c r="B85" s="36"/>
      <c r="C85" s="36" t="s">
        <v>131</v>
      </c>
      <c r="D85" s="125" t="s">
        <v>209</v>
      </c>
      <c r="E85" s="125"/>
      <c r="F85" s="105">
        <v>2.3E-3</v>
      </c>
      <c r="G85" s="155">
        <v>16428.73</v>
      </c>
      <c r="H85" s="99">
        <f t="shared" si="18"/>
        <v>16428.73</v>
      </c>
      <c r="I85" s="60">
        <f t="shared" si="3"/>
        <v>0</v>
      </c>
      <c r="J85" s="27">
        <f t="shared" si="16"/>
        <v>0</v>
      </c>
      <c r="K85" s="27">
        <f t="shared" si="17"/>
        <v>20700</v>
      </c>
      <c r="L85" s="85">
        <f t="shared" si="15"/>
        <v>0</v>
      </c>
      <c r="M85" s="9">
        <f t="shared" si="19"/>
        <v>20700.73</v>
      </c>
      <c r="N85" s="9">
        <f t="shared" si="20"/>
        <v>21943.73</v>
      </c>
      <c r="O85" s="154">
        <f t="shared" si="21"/>
        <v>0.73000000000000043</v>
      </c>
    </row>
    <row r="86" spans="1:15" x14ac:dyDescent="0.25">
      <c r="A86" s="125"/>
      <c r="B86" s="36"/>
      <c r="C86" s="36" t="s">
        <v>132</v>
      </c>
      <c r="D86" s="125" t="s">
        <v>204</v>
      </c>
      <c r="E86" s="125"/>
      <c r="F86" s="105">
        <v>2.3E-3</v>
      </c>
      <c r="G86" s="155">
        <v>16428.740000000002</v>
      </c>
      <c r="H86" s="99">
        <f t="shared" si="18"/>
        <v>16428.740000000002</v>
      </c>
      <c r="I86" s="60">
        <f t="shared" si="3"/>
        <v>0</v>
      </c>
      <c r="J86" s="27">
        <f t="shared" si="16"/>
        <v>0</v>
      </c>
      <c r="K86" s="27">
        <f t="shared" si="17"/>
        <v>20700</v>
      </c>
      <c r="L86" s="85">
        <f t="shared" si="15"/>
        <v>0</v>
      </c>
      <c r="M86" s="9">
        <f t="shared" si="19"/>
        <v>20700.740000000002</v>
      </c>
      <c r="N86" s="9">
        <f t="shared" si="20"/>
        <v>21943.74</v>
      </c>
      <c r="O86" s="154">
        <f t="shared" si="21"/>
        <v>0.74000000000000044</v>
      </c>
    </row>
    <row r="87" spans="1:15" x14ac:dyDescent="0.25">
      <c r="A87" s="125"/>
      <c r="B87" s="36"/>
      <c r="C87" s="36" t="s">
        <v>133</v>
      </c>
      <c r="D87" s="125" t="s">
        <v>230</v>
      </c>
      <c r="E87" s="125"/>
      <c r="F87" s="105">
        <v>2.3E-3</v>
      </c>
      <c r="G87" s="155">
        <v>16428.75</v>
      </c>
      <c r="H87" s="99"/>
      <c r="I87" s="60">
        <f t="shared" si="3"/>
        <v>16428.75</v>
      </c>
      <c r="J87" s="27">
        <f t="shared" si="16"/>
        <v>0</v>
      </c>
      <c r="K87" s="27">
        <f t="shared" si="17"/>
        <v>20700</v>
      </c>
      <c r="L87" s="85">
        <f t="shared" si="15"/>
        <v>0</v>
      </c>
      <c r="M87" s="9">
        <f t="shared" si="19"/>
        <v>37129.75</v>
      </c>
      <c r="N87" s="9">
        <f t="shared" si="20"/>
        <v>39358.75</v>
      </c>
      <c r="O87" s="154">
        <f t="shared" si="21"/>
        <v>0.75000000000000044</v>
      </c>
    </row>
    <row r="88" spans="1:15" x14ac:dyDescent="0.25">
      <c r="A88" s="125"/>
      <c r="B88" s="36"/>
      <c r="C88" s="36" t="s">
        <v>134</v>
      </c>
      <c r="D88" s="125" t="s">
        <v>196</v>
      </c>
      <c r="E88" s="125"/>
      <c r="F88" s="105">
        <v>2.3E-3</v>
      </c>
      <c r="G88" s="155">
        <v>16428.759999999998</v>
      </c>
      <c r="H88" s="99">
        <f>G88</f>
        <v>16428.759999999998</v>
      </c>
      <c r="I88" s="60">
        <f t="shared" si="3"/>
        <v>0</v>
      </c>
      <c r="J88" s="27">
        <f t="shared" si="16"/>
        <v>0</v>
      </c>
      <c r="K88" s="27">
        <f t="shared" si="17"/>
        <v>20700</v>
      </c>
      <c r="L88" s="85">
        <f t="shared" si="15"/>
        <v>0</v>
      </c>
      <c r="M88" s="9">
        <f t="shared" si="19"/>
        <v>20700.759999999998</v>
      </c>
      <c r="N88" s="9">
        <f t="shared" si="20"/>
        <v>21943.759999999998</v>
      </c>
      <c r="O88" s="154">
        <f t="shared" si="21"/>
        <v>0.76000000000000045</v>
      </c>
    </row>
    <row r="89" spans="1:15" x14ac:dyDescent="0.25">
      <c r="A89" s="125"/>
      <c r="B89" s="36"/>
      <c r="C89" s="36" t="s">
        <v>135</v>
      </c>
      <c r="D89" s="125" t="s">
        <v>196</v>
      </c>
      <c r="E89" s="125"/>
      <c r="F89" s="105">
        <v>2.3E-3</v>
      </c>
      <c r="G89" s="155">
        <v>16428.77</v>
      </c>
      <c r="H89" s="99">
        <f>G89</f>
        <v>16428.77</v>
      </c>
      <c r="I89" s="60">
        <f t="shared" si="3"/>
        <v>0</v>
      </c>
      <c r="J89" s="27">
        <f t="shared" si="16"/>
        <v>0</v>
      </c>
      <c r="K89" s="27">
        <f t="shared" si="17"/>
        <v>20700</v>
      </c>
      <c r="L89" s="85">
        <f t="shared" si="15"/>
        <v>0</v>
      </c>
      <c r="M89" s="9">
        <f t="shared" si="19"/>
        <v>20700.77</v>
      </c>
      <c r="N89" s="9">
        <f t="shared" si="20"/>
        <v>21943.77</v>
      </c>
      <c r="O89" s="154">
        <f t="shared" si="21"/>
        <v>0.77000000000000046</v>
      </c>
    </row>
    <row r="90" spans="1:15" x14ac:dyDescent="0.25">
      <c r="A90" s="125"/>
      <c r="B90" s="36"/>
      <c r="C90" s="36" t="s">
        <v>136</v>
      </c>
      <c r="D90" s="125" t="s">
        <v>123</v>
      </c>
      <c r="E90" s="125"/>
      <c r="F90" s="105">
        <v>2.3E-3</v>
      </c>
      <c r="G90" s="155">
        <v>16428.78</v>
      </c>
      <c r="H90" s="99"/>
      <c r="I90" s="60">
        <f t="shared" si="3"/>
        <v>16428.78</v>
      </c>
      <c r="J90" s="27">
        <f t="shared" si="16"/>
        <v>0</v>
      </c>
      <c r="K90" s="27">
        <f t="shared" si="17"/>
        <v>20700</v>
      </c>
      <c r="L90" s="85">
        <f t="shared" si="15"/>
        <v>0</v>
      </c>
      <c r="M90" s="9">
        <f t="shared" si="19"/>
        <v>37129.78</v>
      </c>
      <c r="N90" s="9">
        <f t="shared" si="20"/>
        <v>39358.78</v>
      </c>
      <c r="O90" s="154">
        <f t="shared" si="21"/>
        <v>0.78000000000000047</v>
      </c>
    </row>
    <row r="91" spans="1:15" x14ac:dyDescent="0.25">
      <c r="A91" s="125"/>
      <c r="B91" s="36"/>
      <c r="C91" s="36" t="s">
        <v>137</v>
      </c>
      <c r="D91" s="125" t="s">
        <v>207</v>
      </c>
      <c r="E91" s="125"/>
      <c r="F91" s="105">
        <v>2.3E-3</v>
      </c>
      <c r="G91" s="155">
        <v>16428.79</v>
      </c>
      <c r="H91" s="99"/>
      <c r="I91" s="60">
        <f t="shared" si="3"/>
        <v>16428.79</v>
      </c>
      <c r="J91" s="27">
        <f t="shared" si="16"/>
        <v>0</v>
      </c>
      <c r="K91" s="27">
        <f t="shared" si="17"/>
        <v>20700</v>
      </c>
      <c r="L91" s="85">
        <f t="shared" si="15"/>
        <v>0</v>
      </c>
      <c r="M91" s="9">
        <f t="shared" si="19"/>
        <v>37129.79</v>
      </c>
      <c r="N91" s="9">
        <f t="shared" si="20"/>
        <v>39358.79</v>
      </c>
      <c r="O91" s="154">
        <f t="shared" si="21"/>
        <v>0.79000000000000048</v>
      </c>
    </row>
    <row r="92" spans="1:15" x14ac:dyDescent="0.25">
      <c r="A92" s="125"/>
      <c r="B92" s="36"/>
      <c r="C92" s="36" t="s">
        <v>138</v>
      </c>
      <c r="D92" s="125" t="s">
        <v>189</v>
      </c>
      <c r="E92" s="125"/>
      <c r="F92" s="105">
        <v>2.3E-3</v>
      </c>
      <c r="G92" s="155">
        <v>16428.8</v>
      </c>
      <c r="H92" s="99">
        <f t="shared" ref="H92:H98" si="22">G92</f>
        <v>16428.8</v>
      </c>
      <c r="I92" s="60">
        <f t="shared" si="3"/>
        <v>0</v>
      </c>
      <c r="J92" s="27">
        <f t="shared" si="16"/>
        <v>0</v>
      </c>
      <c r="K92" s="27">
        <f t="shared" si="17"/>
        <v>20700</v>
      </c>
      <c r="L92" s="85">
        <f t="shared" si="15"/>
        <v>0</v>
      </c>
      <c r="M92" s="9">
        <f t="shared" si="19"/>
        <v>20700.8</v>
      </c>
      <c r="N92" s="9">
        <f t="shared" si="20"/>
        <v>21943.8</v>
      </c>
      <c r="O92" s="154">
        <f t="shared" si="21"/>
        <v>0.80000000000000049</v>
      </c>
    </row>
    <row r="93" spans="1:15" x14ac:dyDescent="0.25">
      <c r="A93" s="125"/>
      <c r="B93" s="36"/>
      <c r="C93" s="36" t="s">
        <v>139</v>
      </c>
      <c r="D93" s="125" t="s">
        <v>185</v>
      </c>
      <c r="E93" s="125"/>
      <c r="F93" s="105">
        <v>2.3E-3</v>
      </c>
      <c r="G93" s="155">
        <v>16428.810000000001</v>
      </c>
      <c r="H93" s="99">
        <f t="shared" si="22"/>
        <v>16428.810000000001</v>
      </c>
      <c r="I93" s="60">
        <f t="shared" si="3"/>
        <v>0</v>
      </c>
      <c r="J93" s="27">
        <f t="shared" si="16"/>
        <v>0</v>
      </c>
      <c r="K93" s="27">
        <f t="shared" si="17"/>
        <v>20700</v>
      </c>
      <c r="L93" s="85">
        <f t="shared" si="15"/>
        <v>0</v>
      </c>
      <c r="M93" s="9">
        <f t="shared" si="19"/>
        <v>20700.810000000001</v>
      </c>
      <c r="N93" s="9">
        <f t="shared" si="20"/>
        <v>21943.81</v>
      </c>
      <c r="O93" s="154">
        <f t="shared" si="21"/>
        <v>0.8100000000000005</v>
      </c>
    </row>
    <row r="94" spans="1:15" x14ac:dyDescent="0.25">
      <c r="A94" s="125"/>
      <c r="B94" s="36"/>
      <c r="C94" s="36" t="s">
        <v>140</v>
      </c>
      <c r="D94" s="125" t="s">
        <v>225</v>
      </c>
      <c r="E94" s="125"/>
      <c r="F94" s="105">
        <v>2.3E-3</v>
      </c>
      <c r="G94" s="155">
        <v>16428.82</v>
      </c>
      <c r="H94" s="99">
        <f t="shared" si="22"/>
        <v>16428.82</v>
      </c>
      <c r="I94" s="60">
        <f t="shared" si="3"/>
        <v>0</v>
      </c>
      <c r="J94" s="27">
        <f t="shared" si="16"/>
        <v>0</v>
      </c>
      <c r="K94" s="27">
        <f t="shared" si="17"/>
        <v>20700</v>
      </c>
      <c r="L94" s="85">
        <f t="shared" si="15"/>
        <v>0</v>
      </c>
      <c r="M94" s="9">
        <f t="shared" si="19"/>
        <v>20700.82</v>
      </c>
      <c r="N94" s="9">
        <f t="shared" si="20"/>
        <v>21943.82</v>
      </c>
      <c r="O94" s="154">
        <f t="shared" si="21"/>
        <v>0.82000000000000051</v>
      </c>
    </row>
    <row r="95" spans="1:15" x14ac:dyDescent="0.25">
      <c r="A95" s="125"/>
      <c r="B95" s="36"/>
      <c r="C95" s="36" t="s">
        <v>141</v>
      </c>
      <c r="D95" s="125" t="s">
        <v>231</v>
      </c>
      <c r="E95" s="125"/>
      <c r="F95" s="105">
        <v>2.3E-3</v>
      </c>
      <c r="G95" s="155">
        <v>16428.830000000002</v>
      </c>
      <c r="H95" s="99">
        <f t="shared" si="22"/>
        <v>16428.830000000002</v>
      </c>
      <c r="I95" s="60">
        <f t="shared" si="3"/>
        <v>0</v>
      </c>
      <c r="J95" s="27">
        <f t="shared" si="16"/>
        <v>0</v>
      </c>
      <c r="K95" s="27">
        <f t="shared" si="17"/>
        <v>20700</v>
      </c>
      <c r="L95" s="85">
        <f t="shared" si="15"/>
        <v>0</v>
      </c>
      <c r="M95" s="9">
        <f t="shared" si="19"/>
        <v>20700.830000000002</v>
      </c>
      <c r="N95" s="9">
        <f t="shared" si="20"/>
        <v>21943.83</v>
      </c>
      <c r="O95" s="154">
        <f t="shared" si="21"/>
        <v>0.83000000000000052</v>
      </c>
    </row>
    <row r="96" spans="1:15" ht="15.75" customHeight="1" x14ac:dyDescent="0.25">
      <c r="A96" s="125"/>
      <c r="B96" s="36"/>
      <c r="C96" s="36" t="s">
        <v>142</v>
      </c>
      <c r="D96" s="125" t="s">
        <v>220</v>
      </c>
      <c r="E96" s="125"/>
      <c r="F96" s="105">
        <v>2.3E-3</v>
      </c>
      <c r="G96" s="155">
        <v>16428.84</v>
      </c>
      <c r="H96" s="99">
        <f t="shared" si="22"/>
        <v>16428.84</v>
      </c>
      <c r="I96" s="60">
        <f t="shared" si="3"/>
        <v>0</v>
      </c>
      <c r="J96" s="27">
        <f t="shared" si="16"/>
        <v>0</v>
      </c>
      <c r="K96" s="27">
        <f t="shared" si="17"/>
        <v>20700</v>
      </c>
      <c r="L96" s="85">
        <f t="shared" si="15"/>
        <v>0</v>
      </c>
      <c r="M96" s="9">
        <f t="shared" si="19"/>
        <v>20700.84</v>
      </c>
      <c r="N96" s="9">
        <f t="shared" si="20"/>
        <v>21943.84</v>
      </c>
      <c r="O96" s="154">
        <f t="shared" si="21"/>
        <v>0.84000000000000052</v>
      </c>
    </row>
    <row r="97" spans="1:15" ht="15.75" customHeight="1" x14ac:dyDescent="0.25">
      <c r="A97" s="125"/>
      <c r="B97" s="36"/>
      <c r="C97" s="36" t="s">
        <v>143</v>
      </c>
      <c r="D97" s="125" t="s">
        <v>228</v>
      </c>
      <c r="E97" s="125"/>
      <c r="F97" s="105">
        <v>2.3E-3</v>
      </c>
      <c r="G97" s="155">
        <v>16428.849999999999</v>
      </c>
      <c r="H97" s="99">
        <f t="shared" si="22"/>
        <v>16428.849999999999</v>
      </c>
      <c r="I97" s="60">
        <f t="shared" si="3"/>
        <v>0</v>
      </c>
      <c r="J97" s="27">
        <f t="shared" si="16"/>
        <v>0</v>
      </c>
      <c r="K97" s="27">
        <f t="shared" si="17"/>
        <v>20700</v>
      </c>
      <c r="L97" s="85">
        <f t="shared" si="15"/>
        <v>0</v>
      </c>
      <c r="M97" s="9">
        <f t="shared" si="19"/>
        <v>20700.849999999999</v>
      </c>
      <c r="N97" s="9">
        <f t="shared" si="20"/>
        <v>21943.85</v>
      </c>
      <c r="O97" s="154">
        <f t="shared" si="21"/>
        <v>0.85000000000000053</v>
      </c>
    </row>
    <row r="98" spans="1:15" ht="15.75" customHeight="1" x14ac:dyDescent="0.25">
      <c r="A98" s="125"/>
      <c r="B98" s="36"/>
      <c r="C98" s="36" t="s">
        <v>144</v>
      </c>
      <c r="D98" s="125" t="s">
        <v>211</v>
      </c>
      <c r="E98" s="125"/>
      <c r="F98" s="105">
        <v>2.3E-3</v>
      </c>
      <c r="G98" s="155">
        <v>16428.86</v>
      </c>
      <c r="H98" s="99">
        <f t="shared" si="22"/>
        <v>16428.86</v>
      </c>
      <c r="I98" s="60">
        <f t="shared" si="3"/>
        <v>0</v>
      </c>
      <c r="J98" s="27">
        <f t="shared" si="16"/>
        <v>0</v>
      </c>
      <c r="K98" s="27">
        <f t="shared" si="17"/>
        <v>20700</v>
      </c>
      <c r="L98" s="85">
        <f t="shared" si="15"/>
        <v>0</v>
      </c>
      <c r="M98" s="9">
        <f t="shared" si="19"/>
        <v>20700.86</v>
      </c>
      <c r="N98" s="9">
        <f t="shared" si="20"/>
        <v>21943.86</v>
      </c>
      <c r="O98" s="154">
        <f t="shared" si="21"/>
        <v>0.86000000000000054</v>
      </c>
    </row>
    <row r="99" spans="1:15" ht="15.75" customHeight="1" x14ac:dyDescent="0.25">
      <c r="A99" s="125"/>
      <c r="B99" s="36"/>
      <c r="C99" s="36" t="s">
        <v>145</v>
      </c>
      <c r="D99" s="125" t="s">
        <v>123</v>
      </c>
      <c r="E99" s="125"/>
      <c r="F99" s="105">
        <v>2.3E-3</v>
      </c>
      <c r="G99" s="155">
        <v>16428.87</v>
      </c>
      <c r="H99" s="99"/>
      <c r="I99" s="60">
        <f t="shared" si="3"/>
        <v>16428.87</v>
      </c>
      <c r="J99" s="27">
        <f t="shared" si="16"/>
        <v>0</v>
      </c>
      <c r="K99" s="27">
        <f t="shared" si="17"/>
        <v>20700</v>
      </c>
      <c r="L99" s="85">
        <f t="shared" si="15"/>
        <v>0</v>
      </c>
      <c r="M99" s="9">
        <f t="shared" si="19"/>
        <v>37129.870000000003</v>
      </c>
      <c r="N99" s="9">
        <f t="shared" si="20"/>
        <v>39358.870000000003</v>
      </c>
      <c r="O99" s="154">
        <f t="shared" si="21"/>
        <v>0.87000000000000055</v>
      </c>
    </row>
    <row r="100" spans="1:15" ht="15.75" customHeight="1" x14ac:dyDescent="0.25">
      <c r="A100" s="125"/>
      <c r="B100" s="36"/>
      <c r="C100" s="36" t="s">
        <v>146</v>
      </c>
      <c r="D100" s="125" t="s">
        <v>232</v>
      </c>
      <c r="E100" s="125"/>
      <c r="F100" s="105">
        <v>2.3E-3</v>
      </c>
      <c r="G100" s="155">
        <v>16428.88</v>
      </c>
      <c r="H100" s="99"/>
      <c r="I100" s="60">
        <f t="shared" si="3"/>
        <v>16428.88</v>
      </c>
      <c r="J100" s="27">
        <f t="shared" si="16"/>
        <v>0</v>
      </c>
      <c r="K100" s="27">
        <f t="shared" si="17"/>
        <v>20700</v>
      </c>
      <c r="L100" s="85">
        <f t="shared" si="15"/>
        <v>0</v>
      </c>
      <c r="M100" s="9">
        <f t="shared" si="19"/>
        <v>37129.879999999997</v>
      </c>
      <c r="N100" s="9">
        <f t="shared" si="20"/>
        <v>39358.879999999997</v>
      </c>
      <c r="O100" s="154">
        <f t="shared" si="21"/>
        <v>0.88000000000000056</v>
      </c>
    </row>
    <row r="101" spans="1:15" ht="15.75" customHeight="1" x14ac:dyDescent="0.25">
      <c r="A101" s="125"/>
      <c r="B101" s="36"/>
      <c r="C101" s="36" t="s">
        <v>147</v>
      </c>
      <c r="D101" s="125" t="s">
        <v>208</v>
      </c>
      <c r="E101" s="125"/>
      <c r="F101" s="105">
        <v>2.3E-3</v>
      </c>
      <c r="G101" s="155">
        <v>16428.89</v>
      </c>
      <c r="H101" s="99">
        <v>17415.89</v>
      </c>
      <c r="I101" s="60">
        <f t="shared" si="3"/>
        <v>-987</v>
      </c>
      <c r="J101" s="27">
        <f t="shared" si="16"/>
        <v>0</v>
      </c>
      <c r="K101" s="27">
        <f t="shared" si="17"/>
        <v>20700</v>
      </c>
      <c r="L101" s="85">
        <f t="shared" si="15"/>
        <v>0</v>
      </c>
      <c r="M101" s="9">
        <f t="shared" si="19"/>
        <v>19713.89</v>
      </c>
      <c r="N101" s="9">
        <f t="shared" si="20"/>
        <v>20897.89</v>
      </c>
      <c r="O101" s="154">
        <f t="shared" si="21"/>
        <v>0.89000000000000057</v>
      </c>
    </row>
    <row r="102" spans="1:15" ht="15.75" customHeight="1" x14ac:dyDescent="0.25">
      <c r="A102" s="125"/>
      <c r="B102" s="36"/>
      <c r="C102" s="36" t="s">
        <v>148</v>
      </c>
      <c r="D102" s="125" t="s">
        <v>214</v>
      </c>
      <c r="E102" s="125"/>
      <c r="F102" s="105">
        <v>2.3E-3</v>
      </c>
      <c r="G102" s="155">
        <v>16428.900000000001</v>
      </c>
      <c r="H102" s="99">
        <v>17415.900000000001</v>
      </c>
      <c r="I102" s="60">
        <f t="shared" si="3"/>
        <v>-987</v>
      </c>
      <c r="J102" s="27">
        <f t="shared" si="16"/>
        <v>0</v>
      </c>
      <c r="K102" s="27">
        <f t="shared" si="17"/>
        <v>20700</v>
      </c>
      <c r="L102" s="85">
        <f t="shared" si="15"/>
        <v>0</v>
      </c>
      <c r="M102" s="9">
        <f t="shared" si="19"/>
        <v>19713.900000000001</v>
      </c>
      <c r="N102" s="9">
        <f t="shared" si="20"/>
        <v>20897.900000000001</v>
      </c>
      <c r="O102" s="154">
        <f t="shared" si="21"/>
        <v>0.90000000000000058</v>
      </c>
    </row>
    <row r="103" spans="1:15" ht="15.75" customHeight="1" x14ac:dyDescent="0.25">
      <c r="A103" s="125"/>
      <c r="B103" s="36"/>
      <c r="C103" s="36" t="s">
        <v>149</v>
      </c>
      <c r="D103" s="125" t="s">
        <v>183</v>
      </c>
      <c r="E103" s="125"/>
      <c r="F103" s="105">
        <v>2.3E-3</v>
      </c>
      <c r="G103" s="155">
        <v>16428.91</v>
      </c>
      <c r="H103" s="99">
        <f>G103</f>
        <v>16428.91</v>
      </c>
      <c r="I103" s="60">
        <f t="shared" si="3"/>
        <v>0</v>
      </c>
      <c r="J103" s="27">
        <f t="shared" si="16"/>
        <v>0</v>
      </c>
      <c r="K103" s="27">
        <f t="shared" si="17"/>
        <v>20700</v>
      </c>
      <c r="L103" s="85">
        <f t="shared" si="15"/>
        <v>0</v>
      </c>
      <c r="M103" s="9">
        <f t="shared" si="19"/>
        <v>20700.91</v>
      </c>
      <c r="N103" s="9">
        <f t="shared" si="20"/>
        <v>21943.91</v>
      </c>
      <c r="O103" s="154">
        <f t="shared" si="21"/>
        <v>0.91000000000000059</v>
      </c>
    </row>
    <row r="104" spans="1:15" ht="15.75" customHeight="1" x14ac:dyDescent="0.25">
      <c r="A104" s="125"/>
      <c r="B104" s="36"/>
      <c r="C104" s="36" t="s">
        <v>150</v>
      </c>
      <c r="D104" s="125" t="s">
        <v>213</v>
      </c>
      <c r="E104" s="125"/>
      <c r="F104" s="105">
        <v>2.3E-3</v>
      </c>
      <c r="G104" s="155">
        <v>16428.919999999998</v>
      </c>
      <c r="H104" s="99">
        <f>G104</f>
        <v>16428.919999999998</v>
      </c>
      <c r="I104" s="60">
        <f t="shared" si="3"/>
        <v>0</v>
      </c>
      <c r="J104" s="27">
        <f t="shared" si="16"/>
        <v>0</v>
      </c>
      <c r="K104" s="27">
        <f t="shared" si="17"/>
        <v>20700</v>
      </c>
      <c r="L104" s="85">
        <f t="shared" si="15"/>
        <v>0</v>
      </c>
      <c r="M104" s="9">
        <f t="shared" si="19"/>
        <v>20700.919999999998</v>
      </c>
      <c r="N104" s="9">
        <f t="shared" si="20"/>
        <v>21943.919999999998</v>
      </c>
      <c r="O104" s="154">
        <f t="shared" si="21"/>
        <v>0.9200000000000006</v>
      </c>
    </row>
    <row r="105" spans="1:15" ht="15.75" customHeight="1" x14ac:dyDescent="0.25">
      <c r="A105" s="125"/>
      <c r="B105" s="36"/>
      <c r="C105" s="36" t="s">
        <v>151</v>
      </c>
      <c r="D105" s="125" t="s">
        <v>198</v>
      </c>
      <c r="E105" s="125"/>
      <c r="F105" s="105">
        <v>2.3E-3</v>
      </c>
      <c r="G105" s="155">
        <v>16428.93</v>
      </c>
      <c r="H105" s="99">
        <f>G105</f>
        <v>16428.93</v>
      </c>
      <c r="I105" s="60">
        <f t="shared" si="3"/>
        <v>0</v>
      </c>
      <c r="J105" s="27">
        <f t="shared" si="16"/>
        <v>0</v>
      </c>
      <c r="K105" s="27">
        <f t="shared" si="17"/>
        <v>20700</v>
      </c>
      <c r="L105" s="85">
        <f t="shared" si="15"/>
        <v>0</v>
      </c>
      <c r="M105" s="9">
        <f t="shared" si="19"/>
        <v>20700.93</v>
      </c>
      <c r="N105" s="9">
        <f t="shared" si="20"/>
        <v>21943.93</v>
      </c>
      <c r="O105" s="154">
        <f t="shared" si="21"/>
        <v>0.9300000000000006</v>
      </c>
    </row>
    <row r="106" spans="1:15" x14ac:dyDescent="0.25">
      <c r="A106" s="125"/>
      <c r="B106" s="36"/>
      <c r="C106" s="36" t="s">
        <v>152</v>
      </c>
      <c r="D106" s="125" t="s">
        <v>181</v>
      </c>
      <c r="E106" s="125"/>
      <c r="F106" s="105">
        <v>2.3E-3</v>
      </c>
      <c r="G106" s="155">
        <v>16428.939999999999</v>
      </c>
      <c r="H106" s="99"/>
      <c r="I106" s="60">
        <f t="shared" si="3"/>
        <v>16428.939999999999</v>
      </c>
      <c r="J106" s="27">
        <f t="shared" si="16"/>
        <v>0</v>
      </c>
      <c r="K106" s="27">
        <f t="shared" si="17"/>
        <v>20700</v>
      </c>
      <c r="L106" s="85">
        <f t="shared" si="15"/>
        <v>0</v>
      </c>
      <c r="M106" s="9">
        <f t="shared" si="19"/>
        <v>37129.94</v>
      </c>
      <c r="N106" s="9">
        <f t="shared" si="20"/>
        <v>39358.94</v>
      </c>
      <c r="O106" s="154">
        <f t="shared" si="21"/>
        <v>0.94000000000000061</v>
      </c>
    </row>
    <row r="107" spans="1:15" x14ac:dyDescent="0.25">
      <c r="A107" s="125"/>
      <c r="B107" s="36"/>
      <c r="C107" s="36" t="s">
        <v>153</v>
      </c>
      <c r="D107" s="125" t="s">
        <v>205</v>
      </c>
      <c r="E107" s="125"/>
      <c r="F107" s="105">
        <v>2.3E-3</v>
      </c>
      <c r="G107" s="155">
        <v>16428.95</v>
      </c>
      <c r="H107" s="99">
        <f>G107</f>
        <v>16428.95</v>
      </c>
      <c r="I107" s="60">
        <f t="shared" si="3"/>
        <v>0</v>
      </c>
      <c r="J107" s="27">
        <f t="shared" si="16"/>
        <v>0</v>
      </c>
      <c r="K107" s="27">
        <f t="shared" si="17"/>
        <v>20700</v>
      </c>
      <c r="L107" s="85">
        <f t="shared" si="15"/>
        <v>0</v>
      </c>
      <c r="M107" s="9">
        <f t="shared" si="19"/>
        <v>20700.95</v>
      </c>
      <c r="N107" s="9">
        <f t="shared" si="20"/>
        <v>21943.95</v>
      </c>
      <c r="O107" s="154">
        <f t="shared" si="21"/>
        <v>0.95000000000000062</v>
      </c>
    </row>
    <row r="108" spans="1:15" x14ac:dyDescent="0.25">
      <c r="A108" s="125"/>
      <c r="B108" s="36"/>
      <c r="C108" s="36" t="s">
        <v>154</v>
      </c>
      <c r="D108" s="125" t="s">
        <v>227</v>
      </c>
      <c r="E108" s="125"/>
      <c r="F108" s="105">
        <v>2.3E-3</v>
      </c>
      <c r="G108" s="155">
        <v>16428.96</v>
      </c>
      <c r="H108" s="99">
        <f>G108</f>
        <v>16428.96</v>
      </c>
      <c r="I108" s="60">
        <f t="shared" si="3"/>
        <v>0</v>
      </c>
      <c r="J108" s="27">
        <f t="shared" si="16"/>
        <v>0</v>
      </c>
      <c r="K108" s="27">
        <f t="shared" si="17"/>
        <v>20700</v>
      </c>
      <c r="L108" s="85">
        <f t="shared" si="15"/>
        <v>0</v>
      </c>
      <c r="M108" s="9">
        <f t="shared" si="19"/>
        <v>20700.96</v>
      </c>
      <c r="N108" s="9">
        <f t="shared" si="20"/>
        <v>21943.96</v>
      </c>
      <c r="O108" s="154">
        <f t="shared" si="21"/>
        <v>0.96000000000000063</v>
      </c>
    </row>
    <row r="109" spans="1:15" x14ac:dyDescent="0.25">
      <c r="A109" s="125"/>
      <c r="B109" s="36"/>
      <c r="C109" s="36" t="s">
        <v>155</v>
      </c>
      <c r="D109" s="125" t="s">
        <v>192</v>
      </c>
      <c r="E109" s="125"/>
      <c r="F109" s="105">
        <v>2.3E-3</v>
      </c>
      <c r="G109" s="155">
        <v>16428.97</v>
      </c>
      <c r="H109" s="99">
        <f>G109</f>
        <v>16428.97</v>
      </c>
      <c r="I109" s="60">
        <f t="shared" si="3"/>
        <v>0</v>
      </c>
      <c r="J109" s="27">
        <f t="shared" ref="J109:J125" si="23">M$4*F109</f>
        <v>0</v>
      </c>
      <c r="K109" s="27">
        <f t="shared" ref="K109:K125" si="24">M$2*F109</f>
        <v>20700</v>
      </c>
      <c r="L109" s="85">
        <f t="shared" si="15"/>
        <v>0</v>
      </c>
      <c r="M109" s="9">
        <f t="shared" si="19"/>
        <v>20700.97</v>
      </c>
      <c r="N109" s="9">
        <f t="shared" si="20"/>
        <v>21943.97</v>
      </c>
      <c r="O109" s="154">
        <f t="shared" si="21"/>
        <v>0.97000000000000064</v>
      </c>
    </row>
    <row r="110" spans="1:15" x14ac:dyDescent="0.25">
      <c r="A110" s="125"/>
      <c r="B110" s="36"/>
      <c r="C110" s="36" t="s">
        <v>156</v>
      </c>
      <c r="D110" s="125" t="s">
        <v>123</v>
      </c>
      <c r="E110" s="125"/>
      <c r="F110" s="105">
        <v>2.3E-3</v>
      </c>
      <c r="G110" s="155">
        <v>16428.98</v>
      </c>
      <c r="H110" s="99">
        <f>G110</f>
        <v>16428.98</v>
      </c>
      <c r="I110" s="60">
        <f t="shared" si="3"/>
        <v>0</v>
      </c>
      <c r="J110" s="27">
        <f t="shared" si="23"/>
        <v>0</v>
      </c>
      <c r="K110" s="27">
        <f t="shared" si="24"/>
        <v>20700</v>
      </c>
      <c r="L110" s="85">
        <f t="shared" si="15"/>
        <v>0</v>
      </c>
      <c r="M110" s="9">
        <f t="shared" si="19"/>
        <v>20700.98</v>
      </c>
      <c r="N110" s="9">
        <f t="shared" si="20"/>
        <v>21943.98</v>
      </c>
      <c r="O110" s="154">
        <f t="shared" si="21"/>
        <v>0.98000000000000065</v>
      </c>
    </row>
    <row r="111" spans="1:15" x14ac:dyDescent="0.25">
      <c r="A111" s="125"/>
      <c r="B111" s="36"/>
      <c r="C111" s="36" t="s">
        <v>157</v>
      </c>
      <c r="D111" s="125" t="s">
        <v>123</v>
      </c>
      <c r="E111" s="125"/>
      <c r="F111" s="105">
        <v>2.3E-3</v>
      </c>
      <c r="G111" s="155">
        <v>16428.990000000002</v>
      </c>
      <c r="H111" s="99">
        <f t="shared" ref="H111:H112" si="25">G111</f>
        <v>16428.990000000002</v>
      </c>
      <c r="I111" s="60">
        <f t="shared" si="3"/>
        <v>0</v>
      </c>
      <c r="J111" s="27">
        <f t="shared" si="23"/>
        <v>0</v>
      </c>
      <c r="K111" s="27">
        <f t="shared" si="24"/>
        <v>20700</v>
      </c>
      <c r="L111" s="85">
        <f t="shared" si="15"/>
        <v>0</v>
      </c>
      <c r="M111" s="9">
        <f t="shared" si="19"/>
        <v>20700.990000000002</v>
      </c>
      <c r="N111" s="9">
        <f t="shared" si="20"/>
        <v>21943.99</v>
      </c>
      <c r="O111" s="154">
        <f t="shared" si="21"/>
        <v>0.99000000000000066</v>
      </c>
    </row>
    <row r="112" spans="1:15" x14ac:dyDescent="0.25">
      <c r="A112" s="125"/>
      <c r="B112" s="36"/>
      <c r="C112" s="36" t="s">
        <v>158</v>
      </c>
      <c r="D112" s="125" t="s">
        <v>123</v>
      </c>
      <c r="E112" s="125"/>
      <c r="F112" s="105">
        <v>2.3E-3</v>
      </c>
      <c r="G112" s="155">
        <v>16429</v>
      </c>
      <c r="H112" s="99">
        <f t="shared" si="25"/>
        <v>16429</v>
      </c>
      <c r="I112" s="60">
        <f t="shared" si="3"/>
        <v>0</v>
      </c>
      <c r="J112" s="27">
        <f t="shared" si="23"/>
        <v>0</v>
      </c>
      <c r="K112" s="27">
        <f t="shared" si="24"/>
        <v>20700</v>
      </c>
      <c r="L112" s="85">
        <f t="shared" si="15"/>
        <v>0</v>
      </c>
      <c r="M112" s="9">
        <f t="shared" si="19"/>
        <v>20701</v>
      </c>
      <c r="N112" s="9">
        <f t="shared" si="20"/>
        <v>21944</v>
      </c>
      <c r="O112" s="154">
        <f t="shared" si="21"/>
        <v>1.0000000000000007</v>
      </c>
    </row>
    <row r="113" spans="1:16" x14ac:dyDescent="0.25">
      <c r="A113" s="148"/>
      <c r="B113" s="36"/>
      <c r="C113" s="36" t="s">
        <v>159</v>
      </c>
      <c r="D113" s="125" t="s">
        <v>225</v>
      </c>
      <c r="E113" s="125"/>
      <c r="F113" s="105">
        <v>2.3E-3</v>
      </c>
      <c r="G113" s="155">
        <v>16429.009999999998</v>
      </c>
      <c r="H113" s="99">
        <f>G113</f>
        <v>16429.009999999998</v>
      </c>
      <c r="I113" s="60">
        <f t="shared" si="3"/>
        <v>0</v>
      </c>
      <c r="J113" s="27">
        <f t="shared" si="23"/>
        <v>0</v>
      </c>
      <c r="K113" s="27">
        <f t="shared" si="24"/>
        <v>20700</v>
      </c>
      <c r="L113" s="85">
        <f t="shared" si="15"/>
        <v>0</v>
      </c>
      <c r="M113" s="9">
        <f t="shared" si="19"/>
        <v>20701.009999999998</v>
      </c>
      <c r="N113" s="9">
        <f t="shared" si="20"/>
        <v>21944.01</v>
      </c>
      <c r="O113" s="154">
        <f t="shared" si="21"/>
        <v>1.0100000000000007</v>
      </c>
    </row>
    <row r="114" spans="1:16" x14ac:dyDescent="0.25">
      <c r="A114" s="148"/>
      <c r="B114" s="36"/>
      <c r="C114" s="36" t="s">
        <v>160</v>
      </c>
      <c r="D114" s="125" t="s">
        <v>194</v>
      </c>
      <c r="E114" s="125"/>
      <c r="F114" s="105">
        <v>2.3E-3</v>
      </c>
      <c r="G114" s="155">
        <v>16429.02</v>
      </c>
      <c r="H114" s="99">
        <f>G114</f>
        <v>16429.02</v>
      </c>
      <c r="I114" s="60">
        <f t="shared" si="3"/>
        <v>0</v>
      </c>
      <c r="J114" s="27">
        <f t="shared" si="23"/>
        <v>0</v>
      </c>
      <c r="K114" s="27">
        <f t="shared" si="24"/>
        <v>20700</v>
      </c>
      <c r="L114" s="85">
        <f t="shared" si="15"/>
        <v>0</v>
      </c>
      <c r="M114" s="9">
        <f t="shared" si="19"/>
        <v>20701.02</v>
      </c>
      <c r="N114" s="9">
        <f t="shared" si="20"/>
        <v>21944.02</v>
      </c>
      <c r="O114" s="154">
        <f t="shared" si="21"/>
        <v>1.0200000000000007</v>
      </c>
    </row>
    <row r="115" spans="1:16" x14ac:dyDescent="0.25">
      <c r="A115" s="148"/>
      <c r="B115" s="36"/>
      <c r="C115" s="36" t="s">
        <v>161</v>
      </c>
      <c r="D115" s="125" t="s">
        <v>123</v>
      </c>
      <c r="E115" s="125"/>
      <c r="F115" s="105">
        <v>2.3E-3</v>
      </c>
      <c r="G115" s="155">
        <v>16429.03</v>
      </c>
      <c r="H115" s="99">
        <f>G115</f>
        <v>16429.03</v>
      </c>
      <c r="I115" s="60">
        <f t="shared" si="3"/>
        <v>0</v>
      </c>
      <c r="J115" s="27">
        <f t="shared" si="23"/>
        <v>0</v>
      </c>
      <c r="K115" s="27">
        <f t="shared" si="24"/>
        <v>20700</v>
      </c>
      <c r="L115" s="85">
        <f t="shared" si="15"/>
        <v>0</v>
      </c>
      <c r="M115" s="9">
        <f t="shared" si="19"/>
        <v>20701.03</v>
      </c>
      <c r="N115" s="9">
        <f t="shared" si="20"/>
        <v>21944.03</v>
      </c>
      <c r="O115" s="154">
        <f t="shared" si="21"/>
        <v>1.0300000000000007</v>
      </c>
    </row>
    <row r="116" spans="1:16" x14ac:dyDescent="0.25">
      <c r="A116" s="148"/>
      <c r="B116" s="36"/>
      <c r="C116" s="36" t="s">
        <v>162</v>
      </c>
      <c r="D116" s="125" t="s">
        <v>224</v>
      </c>
      <c r="E116" s="125"/>
      <c r="F116" s="105">
        <v>2.3E-3</v>
      </c>
      <c r="G116" s="155">
        <v>16429.04</v>
      </c>
      <c r="H116" s="99">
        <f>G116</f>
        <v>16429.04</v>
      </c>
      <c r="I116" s="60">
        <f t="shared" si="3"/>
        <v>0</v>
      </c>
      <c r="J116" s="27">
        <f t="shared" si="23"/>
        <v>0</v>
      </c>
      <c r="K116" s="27">
        <f t="shared" si="24"/>
        <v>20700</v>
      </c>
      <c r="L116" s="85">
        <f t="shared" si="15"/>
        <v>0</v>
      </c>
      <c r="M116" s="9">
        <f t="shared" si="19"/>
        <v>20701.04</v>
      </c>
      <c r="N116" s="9">
        <f t="shared" si="20"/>
        <v>21944.04</v>
      </c>
      <c r="O116" s="154">
        <f t="shared" si="21"/>
        <v>1.0400000000000007</v>
      </c>
    </row>
    <row r="117" spans="1:16" x14ac:dyDescent="0.25">
      <c r="A117" s="148"/>
      <c r="B117" s="36"/>
      <c r="C117" s="36" t="s">
        <v>163</v>
      </c>
      <c r="D117" s="125" t="s">
        <v>219</v>
      </c>
      <c r="E117" s="125"/>
      <c r="F117" s="105">
        <v>2.3E-3</v>
      </c>
      <c r="G117" s="155">
        <v>16429.05</v>
      </c>
      <c r="H117" s="99"/>
      <c r="I117" s="60">
        <f t="shared" si="3"/>
        <v>16429.05</v>
      </c>
      <c r="J117" s="27">
        <f t="shared" si="23"/>
        <v>0</v>
      </c>
      <c r="K117" s="27">
        <f t="shared" si="24"/>
        <v>20700</v>
      </c>
      <c r="L117" s="85">
        <f t="shared" si="15"/>
        <v>0</v>
      </c>
      <c r="M117" s="9">
        <f t="shared" si="19"/>
        <v>37130.050000000003</v>
      </c>
      <c r="N117" s="9">
        <f t="shared" si="20"/>
        <v>39359.050000000003</v>
      </c>
      <c r="O117" s="154">
        <f t="shared" si="21"/>
        <v>1.0500000000000007</v>
      </c>
    </row>
    <row r="118" spans="1:16" x14ac:dyDescent="0.25">
      <c r="A118" s="148"/>
      <c r="B118" s="36"/>
      <c r="C118" s="36" t="s">
        <v>164</v>
      </c>
      <c r="D118" s="125" t="s">
        <v>123</v>
      </c>
      <c r="E118" s="125"/>
      <c r="F118" s="105">
        <v>2.3E-3</v>
      </c>
      <c r="G118" s="155">
        <v>16429.060000000001</v>
      </c>
      <c r="H118" s="99">
        <f>G118</f>
        <v>16429.060000000001</v>
      </c>
      <c r="I118" s="60">
        <f t="shared" si="3"/>
        <v>0</v>
      </c>
      <c r="J118" s="27">
        <f t="shared" si="23"/>
        <v>0</v>
      </c>
      <c r="K118" s="27">
        <f t="shared" si="24"/>
        <v>20700</v>
      </c>
      <c r="L118" s="85">
        <f t="shared" si="15"/>
        <v>0</v>
      </c>
      <c r="M118" s="9">
        <f t="shared" si="19"/>
        <v>20701.060000000001</v>
      </c>
      <c r="N118" s="9">
        <f t="shared" si="20"/>
        <v>21944.06</v>
      </c>
      <c r="O118" s="154">
        <f t="shared" si="21"/>
        <v>1.0600000000000007</v>
      </c>
    </row>
    <row r="119" spans="1:16" x14ac:dyDescent="0.25">
      <c r="A119" s="148"/>
      <c r="B119" s="36"/>
      <c r="C119" s="36" t="s">
        <v>165</v>
      </c>
      <c r="D119" s="125" t="s">
        <v>123</v>
      </c>
      <c r="E119" s="125"/>
      <c r="F119" s="105">
        <v>2.3E-3</v>
      </c>
      <c r="G119" s="155">
        <v>16429.07</v>
      </c>
      <c r="H119" s="99">
        <f t="shared" ref="H119:H120" si="26">G119</f>
        <v>16429.07</v>
      </c>
      <c r="I119" s="60">
        <f t="shared" si="3"/>
        <v>0</v>
      </c>
      <c r="J119" s="27">
        <f t="shared" si="23"/>
        <v>0</v>
      </c>
      <c r="K119" s="27">
        <f t="shared" si="24"/>
        <v>20700</v>
      </c>
      <c r="L119" s="85">
        <f t="shared" si="15"/>
        <v>0</v>
      </c>
      <c r="M119" s="9">
        <f t="shared" si="19"/>
        <v>20701.07</v>
      </c>
      <c r="N119" s="9">
        <f t="shared" si="20"/>
        <v>21944.07</v>
      </c>
      <c r="O119" s="154">
        <f t="shared" si="21"/>
        <v>1.0700000000000007</v>
      </c>
    </row>
    <row r="120" spans="1:16" x14ac:dyDescent="0.25">
      <c r="A120" s="148"/>
      <c r="B120" s="36"/>
      <c r="C120" s="36" t="s">
        <v>166</v>
      </c>
      <c r="D120" s="125" t="s">
        <v>123</v>
      </c>
      <c r="E120" s="125"/>
      <c r="F120" s="105">
        <v>2.3E-3</v>
      </c>
      <c r="G120" s="155">
        <v>16429.080000000002</v>
      </c>
      <c r="H120" s="99">
        <f t="shared" si="26"/>
        <v>16429.080000000002</v>
      </c>
      <c r="I120" s="60">
        <f t="shared" si="3"/>
        <v>0</v>
      </c>
      <c r="J120" s="27">
        <f t="shared" si="23"/>
        <v>0</v>
      </c>
      <c r="K120" s="27">
        <f t="shared" si="24"/>
        <v>20700</v>
      </c>
      <c r="L120" s="85">
        <f t="shared" si="15"/>
        <v>0</v>
      </c>
      <c r="M120" s="9">
        <f t="shared" si="19"/>
        <v>20701.080000000002</v>
      </c>
      <c r="N120" s="9">
        <f t="shared" si="20"/>
        <v>21944.080000000002</v>
      </c>
      <c r="O120" s="154">
        <f t="shared" si="21"/>
        <v>1.0800000000000007</v>
      </c>
    </row>
    <row r="121" spans="1:16" x14ac:dyDescent="0.25">
      <c r="A121" s="148"/>
      <c r="B121" s="36"/>
      <c r="C121" s="36" t="s">
        <v>167</v>
      </c>
      <c r="D121" s="125" t="s">
        <v>222</v>
      </c>
      <c r="E121" s="125"/>
      <c r="F121" s="105">
        <v>2.3E-3</v>
      </c>
      <c r="G121" s="155">
        <v>16429.09</v>
      </c>
      <c r="H121" s="99">
        <f>G121</f>
        <v>16429.09</v>
      </c>
      <c r="I121" s="60">
        <f t="shared" si="3"/>
        <v>0</v>
      </c>
      <c r="J121" s="27">
        <f t="shared" si="23"/>
        <v>0</v>
      </c>
      <c r="K121" s="27">
        <f t="shared" si="24"/>
        <v>20700</v>
      </c>
      <c r="L121" s="85">
        <f t="shared" si="15"/>
        <v>0</v>
      </c>
      <c r="M121" s="9">
        <f t="shared" si="19"/>
        <v>20701.09</v>
      </c>
      <c r="N121" s="9">
        <f t="shared" si="20"/>
        <v>21944.09</v>
      </c>
      <c r="O121" s="154">
        <f t="shared" si="21"/>
        <v>1.0900000000000007</v>
      </c>
    </row>
    <row r="122" spans="1:16" x14ac:dyDescent="0.25">
      <c r="A122" s="148"/>
      <c r="B122" s="36"/>
      <c r="C122" s="36" t="s">
        <v>168</v>
      </c>
      <c r="D122" s="125" t="s">
        <v>215</v>
      </c>
      <c r="E122" s="125"/>
      <c r="F122" s="105">
        <v>2.3E-3</v>
      </c>
      <c r="G122" s="155">
        <v>16429.099999999999</v>
      </c>
      <c r="H122" s="99">
        <f>G122</f>
        <v>16429.099999999999</v>
      </c>
      <c r="I122" s="60">
        <f t="shared" si="3"/>
        <v>0</v>
      </c>
      <c r="J122" s="27">
        <f t="shared" si="23"/>
        <v>0</v>
      </c>
      <c r="K122" s="27">
        <f t="shared" si="24"/>
        <v>20700</v>
      </c>
      <c r="L122" s="85">
        <f t="shared" si="15"/>
        <v>0</v>
      </c>
      <c r="M122" s="9">
        <f t="shared" si="19"/>
        <v>20701.099999999999</v>
      </c>
      <c r="N122" s="9">
        <f t="shared" si="20"/>
        <v>21944.1</v>
      </c>
      <c r="O122" s="154">
        <f t="shared" si="21"/>
        <v>1.1000000000000008</v>
      </c>
    </row>
    <row r="123" spans="1:16" x14ac:dyDescent="0.25">
      <c r="A123" s="148"/>
      <c r="B123" s="36"/>
      <c r="C123" s="36" t="s">
        <v>169</v>
      </c>
      <c r="D123" s="125" t="s">
        <v>226</v>
      </c>
      <c r="E123" s="125"/>
      <c r="F123" s="105">
        <v>2.3E-3</v>
      </c>
      <c r="G123" s="155">
        <v>16429.11</v>
      </c>
      <c r="H123" s="99">
        <f>G123</f>
        <v>16429.11</v>
      </c>
      <c r="I123" s="60">
        <f t="shared" si="3"/>
        <v>0</v>
      </c>
      <c r="J123" s="27">
        <f t="shared" si="23"/>
        <v>0</v>
      </c>
      <c r="K123" s="27">
        <f t="shared" si="24"/>
        <v>20700</v>
      </c>
      <c r="L123" s="85">
        <f t="shared" si="15"/>
        <v>0</v>
      </c>
      <c r="M123" s="9">
        <f t="shared" si="19"/>
        <v>20701.11</v>
      </c>
      <c r="N123" s="9">
        <f t="shared" si="20"/>
        <v>21944.11</v>
      </c>
      <c r="O123" s="154">
        <f t="shared" si="21"/>
        <v>1.1100000000000008</v>
      </c>
    </row>
    <row r="124" spans="1:16" x14ac:dyDescent="0.25">
      <c r="A124" s="148" t="s">
        <v>27</v>
      </c>
      <c r="B124" s="36"/>
      <c r="C124" s="36" t="s">
        <v>170</v>
      </c>
      <c r="D124" s="125" t="s">
        <v>206</v>
      </c>
      <c r="E124" s="125"/>
      <c r="F124" s="105">
        <v>2.3E-3</v>
      </c>
      <c r="G124" s="155">
        <v>16429.12</v>
      </c>
      <c r="H124" s="99">
        <f>G124</f>
        <v>16429.12</v>
      </c>
      <c r="I124" s="60">
        <f t="shared" si="3"/>
        <v>0</v>
      </c>
      <c r="J124" s="27">
        <f t="shared" si="23"/>
        <v>0</v>
      </c>
      <c r="K124" s="27">
        <f t="shared" si="24"/>
        <v>20700</v>
      </c>
      <c r="L124" s="85">
        <f t="shared" si="15"/>
        <v>0</v>
      </c>
      <c r="M124" s="9">
        <f t="shared" si="19"/>
        <v>20701.12</v>
      </c>
      <c r="N124" s="9">
        <f t="shared" si="20"/>
        <v>21944.12</v>
      </c>
      <c r="O124" s="154">
        <f t="shared" si="21"/>
        <v>1.1200000000000008</v>
      </c>
    </row>
    <row r="125" spans="1:16" x14ac:dyDescent="0.25">
      <c r="A125" s="148" t="s">
        <v>27</v>
      </c>
      <c r="B125" s="36"/>
      <c r="C125" s="36" t="s">
        <v>171</v>
      </c>
      <c r="D125" s="125" t="s">
        <v>123</v>
      </c>
      <c r="E125" s="125"/>
      <c r="F125" s="105">
        <v>2.3E-3</v>
      </c>
      <c r="G125" s="155">
        <v>16429.13</v>
      </c>
      <c r="H125" s="99">
        <f>G125</f>
        <v>16429.13</v>
      </c>
      <c r="I125" s="60">
        <f t="shared" si="3"/>
        <v>0</v>
      </c>
      <c r="J125" s="27">
        <f t="shared" si="23"/>
        <v>0</v>
      </c>
      <c r="K125" s="27">
        <f t="shared" si="24"/>
        <v>20700</v>
      </c>
      <c r="L125" s="85">
        <f t="shared" ref="L125" si="27">J$3*F125%+J$4</f>
        <v>0</v>
      </c>
      <c r="M125" s="9">
        <f t="shared" si="19"/>
        <v>20701.13</v>
      </c>
      <c r="N125" s="9">
        <f t="shared" si="20"/>
        <v>21944.13</v>
      </c>
      <c r="O125" s="154">
        <f t="shared" si="21"/>
        <v>1.1300000000000008</v>
      </c>
    </row>
    <row r="126" spans="1:16" x14ac:dyDescent="0.25">
      <c r="A126" s="56" t="s">
        <v>27</v>
      </c>
      <c r="B126" s="6"/>
      <c r="C126" s="6"/>
      <c r="D126" s="62"/>
      <c r="E126" s="62"/>
      <c r="F126" s="6"/>
      <c r="G126" s="27"/>
      <c r="H126" s="101"/>
      <c r="I126" s="60"/>
      <c r="J126" s="27"/>
      <c r="K126" s="27"/>
      <c r="L126" s="85"/>
      <c r="M126" s="5"/>
      <c r="N126" s="9"/>
    </row>
    <row r="127" spans="1:16" ht="14.25" customHeight="1" x14ac:dyDescent="0.25">
      <c r="A127" s="28"/>
      <c r="B127" s="28"/>
      <c r="C127" s="28"/>
      <c r="D127" s="28"/>
      <c r="E127" s="28"/>
      <c r="F127" s="134">
        <f>SUM(F8:F126)</f>
        <v>0.99819999999999809</v>
      </c>
      <c r="G127" s="29">
        <f>SUM(G8:G126)</f>
        <v>7170719.7933599995</v>
      </c>
      <c r="H127" s="29">
        <f>SUM(H8:H126)</f>
        <v>5931731.0433599977</v>
      </c>
      <c r="I127" s="28"/>
      <c r="J127" s="57">
        <f>SUM(J8:J126)</f>
        <v>0</v>
      </c>
      <c r="K127" s="29">
        <f>SUM(K8:K126)</f>
        <v>8883479.8816400003</v>
      </c>
      <c r="L127" s="93">
        <f>SUM(L8:L126)</f>
        <v>142560</v>
      </c>
      <c r="M127" s="30">
        <f>SUM(M8:M126)</f>
        <v>10265093.29164</v>
      </c>
      <c r="N127" s="29">
        <f>SUM(N8:N126)</f>
        <v>10881061.0845384</v>
      </c>
      <c r="P127" s="64"/>
    </row>
    <row r="128" spans="1:16" hidden="1" x14ac:dyDescent="0.25">
      <c r="K128" s="66">
        <f>K127-L1</f>
        <v>1240893.8416399993</v>
      </c>
    </row>
    <row r="129" spans="3:16" ht="15" hidden="1" customHeight="1" x14ac:dyDescent="0.25">
      <c r="C129" s="193"/>
      <c r="D129" s="193"/>
      <c r="E129" s="193"/>
      <c r="F129" s="193"/>
      <c r="G129" s="193"/>
      <c r="H129" s="193"/>
      <c r="I129" s="193"/>
      <c r="J129" s="193"/>
      <c r="K129" s="193"/>
      <c r="L129" s="193"/>
      <c r="M129" s="193"/>
      <c r="N129" s="193"/>
    </row>
    <row r="130" spans="3:16" hidden="1" x14ac:dyDescent="0.25">
      <c r="C130" s="193"/>
      <c r="D130" s="193"/>
      <c r="E130" s="193"/>
      <c r="F130" s="193"/>
      <c r="G130" s="193"/>
      <c r="H130" s="193"/>
      <c r="I130" s="193"/>
      <c r="J130" s="193"/>
      <c r="K130" s="193"/>
      <c r="L130" s="193"/>
      <c r="M130" s="193"/>
      <c r="N130" s="193"/>
    </row>
    <row r="131" spans="3:16" ht="8.25" customHeight="1" x14ac:dyDescent="0.25">
      <c r="C131" s="87"/>
      <c r="D131" s="87"/>
      <c r="E131" s="87"/>
      <c r="F131" s="87"/>
      <c r="G131" s="87"/>
      <c r="H131" s="87"/>
      <c r="I131" s="87"/>
      <c r="J131" s="87"/>
      <c r="K131" s="87"/>
      <c r="L131" s="87"/>
      <c r="M131" s="87"/>
      <c r="N131" s="87"/>
    </row>
    <row r="132" spans="3:16" x14ac:dyDescent="0.25">
      <c r="C132" s="193" t="s">
        <v>269</v>
      </c>
      <c r="D132" s="193"/>
      <c r="E132" s="193"/>
      <c r="F132" s="193"/>
      <c r="G132" s="193"/>
      <c r="H132" s="193"/>
      <c r="I132" s="193"/>
      <c r="J132" s="193"/>
      <c r="K132" s="193"/>
      <c r="L132" s="193"/>
      <c r="M132" s="193"/>
      <c r="N132" s="193"/>
    </row>
    <row r="133" spans="3:16" x14ac:dyDescent="0.25">
      <c r="C133" s="193"/>
      <c r="D133" s="193"/>
      <c r="E133" s="193"/>
      <c r="F133" s="193"/>
      <c r="G133" s="193"/>
      <c r="H133" s="193"/>
      <c r="I133" s="193"/>
      <c r="J133" s="193"/>
      <c r="K133" s="193"/>
      <c r="L133" s="193"/>
      <c r="M133" s="193"/>
      <c r="N133" s="193"/>
    </row>
    <row r="134" spans="3:16" x14ac:dyDescent="0.25">
      <c r="C134" s="193"/>
      <c r="D134" s="193"/>
      <c r="E134" s="193"/>
      <c r="F134" s="193"/>
      <c r="G134" s="193"/>
      <c r="H134" s="193"/>
      <c r="I134" s="193"/>
      <c r="J134" s="193"/>
      <c r="K134" s="193"/>
      <c r="L134" s="193"/>
      <c r="M134" s="193"/>
      <c r="N134" s="193"/>
    </row>
    <row r="135" spans="3:16" x14ac:dyDescent="0.25">
      <c r="C135" s="193"/>
      <c r="D135" s="193"/>
      <c r="E135" s="193"/>
      <c r="F135" s="193"/>
      <c r="G135" s="193"/>
      <c r="H135" s="193"/>
      <c r="I135" s="193"/>
      <c r="J135" s="193"/>
      <c r="K135" s="193"/>
      <c r="L135" s="193"/>
      <c r="M135" s="193"/>
      <c r="N135" s="193"/>
    </row>
    <row r="136" spans="3:16" x14ac:dyDescent="0.25">
      <c r="C136" s="193"/>
      <c r="D136" s="193"/>
      <c r="E136" s="193"/>
      <c r="F136" s="193"/>
      <c r="G136" s="193"/>
      <c r="H136" s="193"/>
      <c r="I136" s="193"/>
      <c r="J136" s="193"/>
      <c r="K136" s="193"/>
      <c r="L136" s="193"/>
      <c r="M136" s="193"/>
      <c r="N136" s="193"/>
    </row>
    <row r="137" spans="3:16" x14ac:dyDescent="0.25">
      <c r="C137" s="193"/>
      <c r="D137" s="193"/>
      <c r="E137" s="193"/>
      <c r="F137" s="193"/>
      <c r="G137" s="193"/>
      <c r="H137" s="193"/>
      <c r="I137" s="193"/>
      <c r="J137" s="193"/>
      <c r="K137" s="193"/>
      <c r="L137" s="193"/>
      <c r="M137" s="193"/>
      <c r="N137" s="193"/>
    </row>
    <row r="138" spans="3:16" x14ac:dyDescent="0.25">
      <c r="C138" s="193"/>
      <c r="D138" s="193"/>
      <c r="E138" s="193"/>
      <c r="F138" s="193"/>
      <c r="G138" s="193"/>
      <c r="H138" s="193"/>
      <c r="I138" s="193"/>
      <c r="J138" s="193"/>
      <c r="K138" s="193"/>
      <c r="L138" s="193"/>
      <c r="M138" s="193"/>
      <c r="N138" s="193"/>
    </row>
    <row r="139" spans="3:16" x14ac:dyDescent="0.25">
      <c r="C139" s="193"/>
      <c r="D139" s="193"/>
      <c r="E139" s="193"/>
      <c r="F139" s="193"/>
      <c r="G139" s="193"/>
      <c r="H139" s="193"/>
      <c r="I139" s="193"/>
      <c r="J139" s="193"/>
      <c r="K139" s="193"/>
      <c r="L139" s="193"/>
      <c r="M139" s="193"/>
      <c r="N139" s="193"/>
    </row>
    <row r="140" spans="3:16" ht="6" customHeight="1" x14ac:dyDescent="0.25">
      <c r="C140" s="87"/>
      <c r="D140" s="87"/>
      <c r="E140" s="87"/>
      <c r="F140" s="87"/>
      <c r="G140" s="87"/>
      <c r="H140" s="87"/>
      <c r="I140" s="87"/>
      <c r="J140" s="87"/>
      <c r="K140" s="87"/>
      <c r="L140" s="87"/>
      <c r="M140" s="87"/>
      <c r="N140" s="87"/>
    </row>
    <row r="141" spans="3:16" ht="45" hidden="1" customHeight="1" x14ac:dyDescent="0.25">
      <c r="C141" s="87"/>
      <c r="D141" s="87"/>
      <c r="E141" s="87"/>
      <c r="F141" s="87"/>
      <c r="G141" s="87"/>
      <c r="H141" s="87"/>
      <c r="I141" s="87"/>
      <c r="J141" s="87"/>
      <c r="K141" s="87"/>
      <c r="L141" s="87"/>
      <c r="M141" s="87"/>
      <c r="N141" s="87"/>
    </row>
    <row r="142" spans="3:16" x14ac:dyDescent="0.25">
      <c r="C142" s="192" t="s">
        <v>268</v>
      </c>
      <c r="D142" s="192"/>
      <c r="E142" s="192"/>
      <c r="F142" s="192"/>
      <c r="G142" s="192"/>
      <c r="H142" s="192"/>
      <c r="I142" s="192"/>
      <c r="J142" s="192"/>
      <c r="K142" s="192"/>
      <c r="L142" s="192"/>
      <c r="M142" s="192"/>
      <c r="N142" s="192"/>
    </row>
    <row r="143" spans="3:16" x14ac:dyDescent="0.25">
      <c r="C143" s="192"/>
      <c r="D143" s="192"/>
      <c r="E143" s="192"/>
      <c r="F143" s="192"/>
      <c r="G143" s="192"/>
      <c r="H143" s="192"/>
      <c r="I143" s="192"/>
      <c r="J143" s="192"/>
      <c r="K143" s="192"/>
      <c r="L143" s="192"/>
      <c r="M143" s="192"/>
      <c r="N143" s="192"/>
    </row>
    <row r="144" spans="3:16" x14ac:dyDescent="0.25">
      <c r="C144" s="192"/>
      <c r="D144" s="192"/>
      <c r="E144" s="192"/>
      <c r="F144" s="192"/>
      <c r="G144" s="192"/>
      <c r="H144" s="192"/>
      <c r="I144" s="192"/>
      <c r="J144" s="192"/>
      <c r="K144" s="192"/>
      <c r="L144" s="192"/>
      <c r="M144" s="192"/>
      <c r="N144" s="192"/>
      <c r="P144" s="95">
        <f>L1-K127</f>
        <v>-1240893.8416399993</v>
      </c>
    </row>
    <row r="145" spans="3:14" ht="22.5" customHeight="1" x14ac:dyDescent="0.25">
      <c r="C145" s="192"/>
      <c r="D145" s="192"/>
      <c r="E145" s="192"/>
      <c r="F145" s="192"/>
      <c r="G145" s="192"/>
      <c r="H145" s="192"/>
      <c r="I145" s="192"/>
      <c r="J145" s="192"/>
      <c r="K145" s="192"/>
      <c r="L145" s="192"/>
      <c r="M145" s="192"/>
      <c r="N145" s="192"/>
    </row>
    <row r="146" spans="3:14" ht="5.25" customHeight="1" x14ac:dyDescent="0.25">
      <c r="C146" s="192"/>
      <c r="D146" s="192"/>
      <c r="E146" s="192"/>
      <c r="F146" s="192"/>
      <c r="G146" s="192"/>
      <c r="H146" s="192"/>
      <c r="I146" s="192"/>
      <c r="J146" s="192"/>
      <c r="K146" s="192"/>
      <c r="L146" s="192"/>
      <c r="M146" s="192"/>
      <c r="N146" s="192"/>
    </row>
    <row r="147" spans="3:14" hidden="1" x14ac:dyDescent="0.25">
      <c r="C147" s="192"/>
      <c r="D147" s="192"/>
      <c r="E147" s="192"/>
      <c r="F147" s="192"/>
      <c r="G147" s="192"/>
      <c r="H147" s="192"/>
      <c r="I147" s="192"/>
      <c r="J147" s="192"/>
      <c r="K147" s="192"/>
      <c r="L147" s="192"/>
      <c r="M147" s="192"/>
      <c r="N147" s="192"/>
    </row>
    <row r="148" spans="3:14" hidden="1" x14ac:dyDescent="0.25">
      <c r="C148" s="192"/>
      <c r="D148" s="192"/>
      <c r="E148" s="192"/>
      <c r="F148" s="192"/>
      <c r="G148" s="192"/>
      <c r="H148" s="192"/>
      <c r="I148" s="192"/>
      <c r="J148" s="192"/>
      <c r="K148" s="192"/>
      <c r="L148" s="192"/>
      <c r="M148" s="192"/>
      <c r="N148" s="192"/>
    </row>
  </sheetData>
  <mergeCells count="19">
    <mergeCell ref="A5:A7"/>
    <mergeCell ref="B5:B7"/>
    <mergeCell ref="C5:C7"/>
    <mergeCell ref="D5:D7"/>
    <mergeCell ref="F5:F7"/>
    <mergeCell ref="E5:E7"/>
    <mergeCell ref="Q8:R9"/>
    <mergeCell ref="G5:G7"/>
    <mergeCell ref="C142:N148"/>
    <mergeCell ref="C129:N130"/>
    <mergeCell ref="L1:M1"/>
    <mergeCell ref="H5:H7"/>
    <mergeCell ref="I5:I7"/>
    <mergeCell ref="J5:J7"/>
    <mergeCell ref="K5:K7"/>
    <mergeCell ref="L5:L7"/>
    <mergeCell ref="C132:N139"/>
    <mergeCell ref="M5:M6"/>
    <mergeCell ref="N5:N6"/>
  </mergeCells>
  <phoneticPr fontId="19" type="noConversion"/>
  <pageMargins left="0.25" right="0.25"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3D07-243A-48F3-942B-AB44D486DEC8}">
  <dimension ref="C4:D14"/>
  <sheetViews>
    <sheetView workbookViewId="0">
      <selection activeCell="C4" sqref="C4:D14"/>
    </sheetView>
  </sheetViews>
  <sheetFormatPr baseColWidth="10" defaultRowHeight="15" x14ac:dyDescent="0.25"/>
  <cols>
    <col min="3" max="3" width="13" bestFit="1" customWidth="1"/>
  </cols>
  <sheetData>
    <row r="4" spans="3:4" x14ac:dyDescent="0.25">
      <c r="C4" s="207" t="s">
        <v>327</v>
      </c>
      <c r="D4" s="207"/>
    </row>
    <row r="5" spans="3:4" x14ac:dyDescent="0.25">
      <c r="C5" s="177">
        <v>52141.08</v>
      </c>
      <c r="D5" t="s">
        <v>328</v>
      </c>
    </row>
    <row r="6" spans="3:4" x14ac:dyDescent="0.25">
      <c r="C6" s="177">
        <v>67140.100000000006</v>
      </c>
      <c r="D6" t="s">
        <v>329</v>
      </c>
    </row>
    <row r="7" spans="3:4" x14ac:dyDescent="0.25">
      <c r="C7" s="177">
        <v>52121.11</v>
      </c>
      <c r="D7" t="s">
        <v>330</v>
      </c>
    </row>
    <row r="8" spans="3:4" x14ac:dyDescent="0.25">
      <c r="C8" s="177">
        <v>67885.119999999995</v>
      </c>
      <c r="D8" t="s">
        <v>331</v>
      </c>
    </row>
    <row r="9" spans="3:4" x14ac:dyDescent="0.25">
      <c r="C9" s="177">
        <v>67140.160000000003</v>
      </c>
      <c r="D9" t="s">
        <v>332</v>
      </c>
    </row>
    <row r="10" spans="3:4" x14ac:dyDescent="0.25">
      <c r="C10" s="177">
        <v>62141.17</v>
      </c>
      <c r="D10" t="s">
        <v>333</v>
      </c>
    </row>
    <row r="11" spans="3:4" x14ac:dyDescent="0.25">
      <c r="C11" s="177">
        <v>67855.179999999993</v>
      </c>
      <c r="D11" t="s">
        <v>334</v>
      </c>
    </row>
    <row r="12" spans="3:4" x14ac:dyDescent="0.25">
      <c r="C12" s="177">
        <v>62141.23</v>
      </c>
      <c r="D12" t="s">
        <v>335</v>
      </c>
    </row>
    <row r="13" spans="3:4" x14ac:dyDescent="0.25">
      <c r="C13" s="177">
        <v>67855.240000000005</v>
      </c>
      <c r="D13" t="s">
        <v>336</v>
      </c>
    </row>
    <row r="14" spans="3:4" x14ac:dyDescent="0.25">
      <c r="C14" s="177">
        <f>SUM(C5:C13)</f>
        <v>566420.39</v>
      </c>
    </row>
  </sheetData>
  <mergeCells count="1">
    <mergeCell ref="C4:D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B4"/>
  <sheetViews>
    <sheetView workbookViewId="0">
      <selection activeCell="B5" sqref="B5"/>
    </sheetView>
  </sheetViews>
  <sheetFormatPr baseColWidth="10" defaultRowHeight="15" x14ac:dyDescent="0.25"/>
  <sheetData>
    <row r="4" spans="2:2" x14ac:dyDescent="0.25">
      <c r="B4"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Hoja1</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2025-07-31T17:28:09Z</cp:lastPrinted>
  <dcterms:created xsi:type="dcterms:W3CDTF">2023-09-17T12:29:07Z</dcterms:created>
  <dcterms:modified xsi:type="dcterms:W3CDTF">2025-08-01T14:17:40Z</dcterms:modified>
</cp:coreProperties>
</file>