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EL MIRADOR\Octubre\"/>
    </mc:Choice>
  </mc:AlternateContent>
  <xr:revisionPtr revIDLastSave="0" documentId="13_ncr:1_{C1FA6DB7-6E57-4435-AB19-4FFAEF69F1BC}" xr6:coauthVersionLast="47" xr6:coauthVersionMax="47" xr10:uidLastSave="{00000000-0000-0000-0000-000000000000}"/>
  <bookViews>
    <workbookView xWindow="-108" yWindow="-108" windowWidth="23256" windowHeight="12576" activeTab="3" xr2:uid="{00000000-000D-0000-FFFF-FFFF00000000}"/>
  </bookViews>
  <sheets>
    <sheet name="RESUMEN" sheetId="1" r:id="rId1"/>
    <sheet name="PRORRATEO" sheetId="2" r:id="rId2"/>
    <sheet name="ANOTACIONES" sheetId="3" r:id="rId3"/>
    <sheet name="SUELDOS" sheetId="5" r:id="rId4"/>
    <sheet name="Hoja1" sheetId="4" r:id="rId5"/>
  </sheets>
  <externalReferences>
    <externalReference r:id="rId6"/>
  </externalReferences>
  <definedNames>
    <definedName name="_xlnm.Print_Area" localSheetId="1">PRORRATEO!$A$1:$N$155</definedName>
    <definedName name="_xlnm.Print_Area" localSheetId="0">RESUMEN!$A$1:$J$159</definedName>
    <definedName name="_xlnm.Print_Area" localSheetId="3">SUELDOS!$A$3:$J$28</definedName>
  </definedNames>
  <calcPr calcId="181029"/>
</workbook>
</file>

<file path=xl/calcChain.xml><?xml version="1.0" encoding="utf-8"?>
<calcChain xmlns="http://schemas.openxmlformats.org/spreadsheetml/2006/main">
  <c r="C20" i="5" l="1"/>
  <c r="C21" i="5"/>
  <c r="C22" i="5"/>
  <c r="C23" i="5"/>
  <c r="C24" i="5"/>
  <c r="C25" i="5"/>
  <c r="G20" i="5"/>
  <c r="G21" i="5"/>
  <c r="G22" i="5"/>
  <c r="G23" i="5"/>
  <c r="G24" i="5"/>
  <c r="G25" i="5"/>
  <c r="G19" i="5"/>
  <c r="C19" i="5"/>
  <c r="G6" i="5"/>
  <c r="G12" i="5" s="1"/>
  <c r="G7" i="5"/>
  <c r="G8" i="5"/>
  <c r="G9" i="5"/>
  <c r="G10" i="5"/>
  <c r="C6" i="5"/>
  <c r="C7" i="5"/>
  <c r="C8" i="5"/>
  <c r="C9" i="5"/>
  <c r="C10" i="5"/>
  <c r="C5" i="5"/>
  <c r="G5" i="5"/>
  <c r="C3" i="5"/>
  <c r="G26" i="5"/>
  <c r="F16" i="5"/>
  <c r="F3" i="5"/>
  <c r="C16" i="5"/>
  <c r="H103" i="2"/>
  <c r="H38" i="2"/>
  <c r="D109" i="1"/>
  <c r="D39" i="1"/>
  <c r="D28" i="1"/>
  <c r="L37" i="2"/>
  <c r="C124" i="1"/>
  <c r="L133" i="2"/>
  <c r="H71" i="2"/>
  <c r="H72" i="2"/>
  <c r="H59" i="2"/>
  <c r="H126" i="2"/>
  <c r="H39" i="2"/>
  <c r="H93" i="2"/>
  <c r="H17" i="2"/>
  <c r="H90" i="2"/>
  <c r="H58" i="2"/>
  <c r="H123" i="2"/>
  <c r="H78" i="2"/>
  <c r="H120" i="2"/>
  <c r="H74" i="2"/>
  <c r="H128" i="2"/>
  <c r="H15" i="2"/>
  <c r="H16" i="2"/>
  <c r="H95" i="2"/>
  <c r="H112" i="2"/>
  <c r="H52" i="2"/>
  <c r="H114" i="2"/>
  <c r="H83" i="2"/>
  <c r="C122" i="1"/>
  <c r="C123" i="1"/>
  <c r="D72" i="1"/>
  <c r="K69" i="1"/>
  <c r="K70" i="1"/>
  <c r="K71" i="1"/>
  <c r="J71" i="1"/>
  <c r="I71" i="1"/>
  <c r="H71" i="1"/>
  <c r="G71" i="1"/>
  <c r="F71" i="1"/>
  <c r="E71" i="1"/>
  <c r="J70" i="1"/>
  <c r="I70" i="1"/>
  <c r="H70" i="1"/>
  <c r="G70" i="1"/>
  <c r="F70" i="1"/>
  <c r="E70" i="1"/>
  <c r="J77" i="1"/>
  <c r="I77" i="1"/>
  <c r="H77" i="1"/>
  <c r="G77" i="1"/>
  <c r="F77" i="1"/>
  <c r="E77" i="1"/>
  <c r="J76" i="1"/>
  <c r="I76" i="1"/>
  <c r="H76" i="1"/>
  <c r="G76" i="1"/>
  <c r="F76" i="1"/>
  <c r="E76" i="1"/>
  <c r="J78" i="1"/>
  <c r="I78" i="1"/>
  <c r="H78" i="1"/>
  <c r="G78" i="1"/>
  <c r="F78" i="1"/>
  <c r="E78" i="1"/>
  <c r="K78" i="1"/>
  <c r="J69" i="1"/>
  <c r="I69" i="1"/>
  <c r="H69" i="1"/>
  <c r="G69" i="1"/>
  <c r="F69" i="1"/>
  <c r="E69" i="1"/>
  <c r="L78" i="1" l="1"/>
  <c r="M78" i="1" s="1"/>
  <c r="L69" i="1"/>
  <c r="L77" i="1"/>
  <c r="M77" i="1" s="1"/>
  <c r="L70" i="1"/>
  <c r="L71" i="1"/>
  <c r="L76" i="1"/>
  <c r="M76" i="1" s="1"/>
  <c r="K77" i="1" l="1"/>
  <c r="N77" i="1" s="1"/>
  <c r="K76" i="1"/>
  <c r="N76" i="1" s="1"/>
  <c r="H34" i="2" l="1"/>
  <c r="D104" i="1" l="1"/>
  <c r="D97" i="1"/>
  <c r="D57" i="1"/>
  <c r="D66" i="1"/>
  <c r="D87" i="1"/>
  <c r="L84" i="1" l="1"/>
  <c r="K84" i="1"/>
  <c r="N84" i="1" s="1"/>
  <c r="L83" i="1"/>
  <c r="K83" i="1"/>
  <c r="N83" i="1" s="1"/>
  <c r="H81" i="2"/>
  <c r="H64" i="2"/>
  <c r="H18" i="2" l="1"/>
  <c r="H14" i="2"/>
  <c r="H75" i="2"/>
  <c r="H76" i="2"/>
  <c r="H86" i="2"/>
  <c r="H41" i="2"/>
  <c r="H87" i="2"/>
  <c r="H82" i="2"/>
  <c r="H60" i="2"/>
  <c r="H24" i="2"/>
  <c r="D36" i="1"/>
  <c r="D38" i="1"/>
  <c r="L82" i="1"/>
  <c r="K82" i="1"/>
  <c r="N82" i="1" s="1"/>
  <c r="E92" i="1"/>
  <c r="D37" i="1" l="1"/>
  <c r="D32" i="1"/>
  <c r="D41" i="1"/>
  <c r="L81" i="1"/>
  <c r="K81" i="1"/>
  <c r="N81" i="1" s="1"/>
  <c r="K74" i="1"/>
  <c r="H108" i="2"/>
  <c r="B151" i="1"/>
  <c r="B141" i="1" s="1"/>
  <c r="H54" i="2"/>
  <c r="H56" i="2"/>
  <c r="H107" i="2"/>
  <c r="H66" i="2"/>
  <c r="H20" i="2"/>
  <c r="H44" i="2"/>
  <c r="H32" i="2"/>
  <c r="H105" i="2"/>
  <c r="D42" i="1" l="1"/>
  <c r="H26" i="2"/>
  <c r="C14" i="4"/>
  <c r="M13" i="2"/>
  <c r="N13" i="2"/>
  <c r="E74" i="1"/>
  <c r="L74" i="1" s="1"/>
  <c r="M74" i="1" s="1"/>
  <c r="N74" i="1"/>
  <c r="J79" i="1"/>
  <c r="I79" i="1"/>
  <c r="H79" i="1"/>
  <c r="G79" i="1"/>
  <c r="F79" i="1"/>
  <c r="E79" i="1"/>
  <c r="E75" i="1"/>
  <c r="J75" i="1"/>
  <c r="I75" i="1"/>
  <c r="H75" i="1"/>
  <c r="G75" i="1"/>
  <c r="F75" i="1"/>
  <c r="K79" i="1"/>
  <c r="N79" i="1" s="1"/>
  <c r="J91" i="1"/>
  <c r="I91" i="1"/>
  <c r="H91" i="1"/>
  <c r="G91" i="1"/>
  <c r="F91" i="1"/>
  <c r="E91" i="1"/>
  <c r="E50" i="1"/>
  <c r="H131" i="2"/>
  <c r="H118" i="2"/>
  <c r="H89" i="2"/>
  <c r="H99" i="2"/>
  <c r="H92" i="2"/>
  <c r="H46" i="2"/>
  <c r="H91" i="2"/>
  <c r="H101" i="2"/>
  <c r="H110" i="2"/>
  <c r="H37" i="2"/>
  <c r="H19" i="2"/>
  <c r="H57" i="2"/>
  <c r="H109" i="2"/>
  <c r="H21" i="2" s="1"/>
  <c r="H94" i="2"/>
  <c r="H55" i="2"/>
  <c r="H49" i="2"/>
  <c r="H48" i="2"/>
  <c r="H31" i="2"/>
  <c r="H122" i="2"/>
  <c r="H111" i="2"/>
  <c r="H51" i="2"/>
  <c r="H85" i="2"/>
  <c r="H100" i="2"/>
  <c r="H119" i="2"/>
  <c r="H104" i="2"/>
  <c r="H69" i="2"/>
  <c r="H129" i="2"/>
  <c r="H102" i="2"/>
  <c r="H98" i="2"/>
  <c r="H88" i="2"/>
  <c r="H130" i="2"/>
  <c r="H63" i="2"/>
  <c r="H115" i="2"/>
  <c r="H43" i="2"/>
  <c r="H50" i="2"/>
  <c r="H33" i="2"/>
  <c r="H84" i="2"/>
  <c r="H113" i="2"/>
  <c r="H62" i="2"/>
  <c r="H61" i="2"/>
  <c r="H67" i="2"/>
  <c r="H127" i="2"/>
  <c r="H45" i="2"/>
  <c r="L79" i="1" l="1"/>
  <c r="M79"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9" i="1"/>
  <c r="J109" i="1"/>
  <c r="I109" i="1"/>
  <c r="H109" i="1"/>
  <c r="G109" i="1"/>
  <c r="F109" i="1"/>
  <c r="F133" i="2"/>
  <c r="E72" i="1"/>
  <c r="E49" i="1"/>
  <c r="G57" i="1"/>
  <c r="D61" i="1"/>
  <c r="E61" i="1" s="1"/>
  <c r="K68" i="1"/>
  <c r="J68" i="1"/>
  <c r="I68" i="1"/>
  <c r="H68" i="1"/>
  <c r="G68" i="1"/>
  <c r="F68" i="1"/>
  <c r="E68" i="1"/>
  <c r="J65" i="1"/>
  <c r="I65" i="1"/>
  <c r="H65" i="1"/>
  <c r="G65" i="1"/>
  <c r="F65" i="1"/>
  <c r="K109" i="1" l="1"/>
  <c r="L109" i="1" s="1"/>
  <c r="I61" i="1"/>
  <c r="J61" i="1"/>
  <c r="F61" i="1"/>
  <c r="G61" i="1"/>
  <c r="H61" i="1"/>
  <c r="L68" i="1"/>
  <c r="M68" i="1" s="1"/>
  <c r="E57" i="1"/>
  <c r="I57" i="1"/>
  <c r="F57" i="1"/>
  <c r="J57" i="1"/>
  <c r="H57" i="1"/>
  <c r="K73" i="1"/>
  <c r="E73" i="1"/>
  <c r="L73" i="1" s="1"/>
  <c r="J106" i="1"/>
  <c r="I106" i="1"/>
  <c r="H106" i="1"/>
  <c r="G106" i="1"/>
  <c r="F106" i="1"/>
  <c r="J105" i="1"/>
  <c r="I105" i="1"/>
  <c r="H105" i="1"/>
  <c r="G105" i="1"/>
  <c r="F105" i="1"/>
  <c r="J101" i="1"/>
  <c r="I101" i="1"/>
  <c r="I104" i="1" s="1"/>
  <c r="H101" i="1"/>
  <c r="H104" i="1" s="1"/>
  <c r="G101" i="1"/>
  <c r="G104" i="1" s="1"/>
  <c r="F101" i="1"/>
  <c r="F104" i="1" s="1"/>
  <c r="H97" i="1"/>
  <c r="G97" i="1"/>
  <c r="K72" i="1"/>
  <c r="I63" i="1"/>
  <c r="H63" i="1"/>
  <c r="G63" i="1"/>
  <c r="F63" i="1"/>
  <c r="J63" i="1"/>
  <c r="J30" i="2"/>
  <c r="E128" i="1"/>
  <c r="L75" i="1"/>
  <c r="M75" i="1" s="1"/>
  <c r="K75" i="1"/>
  <c r="N75" i="1" s="1"/>
  <c r="I64" i="1"/>
  <c r="E65" i="1"/>
  <c r="K65" i="1" s="1"/>
  <c r="E106" i="1"/>
  <c r="E105" i="1"/>
  <c r="E101" i="1"/>
  <c r="E63"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7" i="1"/>
  <c r="B158" i="1"/>
  <c r="K85" i="1"/>
  <c r="N85" i="1" s="1"/>
  <c r="L85" i="1"/>
  <c r="E97" i="1" l="1"/>
  <c r="I97" i="1"/>
  <c r="F97" i="1"/>
  <c r="K61" i="1"/>
  <c r="L61" i="1" s="1"/>
  <c r="K57" i="1"/>
  <c r="L57" i="1" s="1"/>
  <c r="G87" i="1"/>
  <c r="K63" i="1"/>
  <c r="H107" i="1"/>
  <c r="G107" i="1"/>
  <c r="F107" i="1"/>
  <c r="I107" i="1"/>
  <c r="I66" i="1"/>
  <c r="F87" i="1"/>
  <c r="I87" i="1"/>
  <c r="H87" i="1"/>
  <c r="F64" i="1"/>
  <c r="F66" i="1" s="1"/>
  <c r="G64" i="1"/>
  <c r="G66" i="1" s="1"/>
  <c r="H64" i="1"/>
  <c r="H66" i="1" s="1"/>
  <c r="L72" i="1"/>
  <c r="M85" i="1"/>
  <c r="J64" i="1"/>
  <c r="J66"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4"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2" i="1" l="1"/>
  <c r="K133" i="2"/>
  <c r="K64" i="1"/>
  <c r="H42" i="1"/>
  <c r="H111" i="1" s="1"/>
  <c r="R18" i="2" s="1"/>
  <c r="G42" i="1"/>
  <c r="G111" i="1" s="1"/>
  <c r="R17" i="2" s="1"/>
  <c r="J42" i="1"/>
  <c r="F42" i="1"/>
  <c r="F111" i="1" s="1"/>
  <c r="R16" i="2" s="1"/>
  <c r="I42" i="1"/>
  <c r="I111" i="1" s="1"/>
  <c r="R19" i="2" s="1"/>
  <c r="J133" i="2"/>
  <c r="K42" i="1" l="1"/>
  <c r="L42" i="1" s="1"/>
  <c r="I130" i="2"/>
  <c r="N68" i="1"/>
  <c r="N72" i="1" l="1"/>
  <c r="M72" i="1" l="1"/>
  <c r="E80" i="1"/>
  <c r="L80" i="1" s="1"/>
  <c r="D130" i="1" l="1"/>
  <c r="B140" i="1" l="1"/>
  <c r="E130" i="1"/>
  <c r="J130" i="1"/>
  <c r="L130" i="1" l="1"/>
  <c r="M130" i="1" s="1"/>
  <c r="J51" i="1" l="1"/>
  <c r="J48" i="1"/>
  <c r="E51" i="1"/>
  <c r="E48" i="1"/>
  <c r="K80" i="1" l="1"/>
  <c r="N80" i="1" s="1"/>
  <c r="M86" i="1" l="1"/>
  <c r="M80" i="1" l="1"/>
  <c r="J44" i="1" l="1"/>
  <c r="J43" i="1"/>
  <c r="E44" i="1"/>
  <c r="E43" i="1"/>
  <c r="J87" i="1" l="1"/>
  <c r="E87" i="1"/>
  <c r="J107" i="1"/>
  <c r="E107" i="1"/>
  <c r="E104" i="1"/>
  <c r="J104" i="1"/>
  <c r="J97" i="1"/>
  <c r="K97" i="1" s="1"/>
  <c r="E47" i="1"/>
  <c r="E52" i="1" s="1"/>
  <c r="K52" i="1" s="1"/>
  <c r="J47" i="1"/>
  <c r="J111" i="1" l="1"/>
  <c r="R20" i="2" s="1"/>
  <c r="K87" i="1"/>
  <c r="L87" i="1" s="1"/>
  <c r="K107" i="1"/>
  <c r="K104" i="1"/>
  <c r="K47" i="1"/>
  <c r="D47" i="1"/>
  <c r="D52" i="1" s="1"/>
  <c r="D111" i="1" s="1"/>
  <c r="M87" i="1" l="1"/>
  <c r="L97" i="1"/>
  <c r="L47" i="1"/>
  <c r="L107" i="1"/>
  <c r="L104" i="1"/>
  <c r="B144" i="1"/>
  <c r="L52" i="1" l="1"/>
  <c r="E66" i="1"/>
  <c r="E111" i="1" s="1"/>
  <c r="K111" i="1" s="1"/>
  <c r="B134" i="1" l="1"/>
  <c r="B139" i="1" s="1"/>
  <c r="L1" i="2"/>
  <c r="P8" i="2" s="1"/>
  <c r="L111" i="1"/>
  <c r="K66" i="1"/>
  <c r="L66" i="1" s="1"/>
  <c r="B133" i="1"/>
  <c r="P150" i="2" l="1"/>
  <c r="A3" i="2"/>
  <c r="K134" i="2" l="1"/>
  <c r="B142"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11" i="1" l="1"/>
  <c r="I20" i="2"/>
  <c r="M20" i="2" s="1"/>
  <c r="N20" i="2" l="1"/>
  <c r="G133" i="2"/>
  <c r="H47" i="2"/>
  <c r="H133" i="2" s="1"/>
  <c r="B138" i="1" s="1"/>
  <c r="B146" i="1" s="1"/>
  <c r="I47" i="2" l="1"/>
  <c r="M47" i="2" s="1"/>
  <c r="M133" i="2" l="1"/>
  <c r="N47" i="2"/>
  <c r="N133" i="2" s="1"/>
</calcChain>
</file>

<file path=xl/sharedStrings.xml><?xml version="1.0" encoding="utf-8"?>
<sst xmlns="http://schemas.openxmlformats.org/spreadsheetml/2006/main" count="528" uniqueCount="361">
  <si>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</si>
  <si>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</si>
  <si>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</si>
  <si>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</si>
  <si>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</si>
  <si>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</si>
  <si>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</si>
  <si>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</si>
  <si>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</si>
  <si>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</si>
  <si>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</si>
  <si>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</si>
  <si>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</si>
  <si>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</si>
  <si>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</si>
  <si>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</si>
  <si>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</si>
  <si>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</si>
  <si>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</si>
  <si>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</si>
  <si>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</si>
  <si>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</si>
  <si>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</si>
  <si>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</si>
  <si>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</si>
  <si>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</si>
  <si>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</si>
  <si>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</si>
  <si>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</si>
  <si>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</si>
  <si>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</si>
  <si>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</si>
  <si>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</si>
  <si>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</si>
  <si>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</si>
  <si>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</si>
  <si>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</si>
  <si>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</si>
  <si>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</si>
  <si>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</si>
  <si>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</si>
  <si>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</si>
  <si>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</si>
  <si>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</si>
  <si>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</si>
  <si>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</si>
  <si>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</si>
  <si>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</si>
  <si>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</si>
  <si>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</si>
  <si>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</si>
  <si>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</si>
  <si>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</si>
  <si>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</si>
  <si>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</si>
  <si>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</si>
  <si>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</si>
  <si>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</si>
  <si>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</si>
  <si>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</si>
  <si>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</si>
  <si>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</si>
  <si>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</si>
  <si>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</si>
  <si>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</si>
  <si>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</si>
  <si>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</si>
  <si>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</si>
  <si>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</si>
  <si>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</si>
  <si>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</si>
  <si>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</si>
  <si>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</si>
  <si>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</si>
  <si>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</si>
  <si>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</si>
  <si>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</si>
  <si>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</si>
  <si>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</si>
  <si>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</si>
  <si>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</si>
  <si>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</si>
  <si>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</si>
  <si>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</si>
  <si>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</si>
  <si>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</si>
  <si>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</si>
  <si>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</si>
  <si>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</si>
  <si>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</si>
  <si>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</si>
  <si>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</si>
  <si>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</si>
  <si>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</si>
  <si>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</si>
  <si>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</si>
  <si>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</si>
  <si>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</si>
  <si>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</si>
  <si>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</si>
  <si>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</si>
  <si>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</si>
  <si>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</si>
  <si>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</si>
  <si>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</si>
  <si>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</si>
  <si>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</si>
  <si>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</si>
  <si>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</si>
  <si>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</si>
  <si>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</si>
  <si>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</si>
  <si>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</si>
  <si>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</si>
  <si>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</si>
  <si>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</si>
  <si>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</si>
  <si>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</si>
  <si>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</si>
  <si>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</si>
  <si>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</si>
  <si>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</si>
  <si>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</si>
  <si>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</si>
  <si>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</si>
  <si>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</si>
  <si>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</si>
  <si>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</si>
  <si>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</si>
  <si>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</si>
  <si>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</si>
  <si>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</si>
  <si>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</si>
  <si>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</si>
  <si>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</si>
  <si>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</si>
  <si>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</si>
  <si>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</si>
  <si>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</si>
  <si>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</si>
  <si>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</si>
  <si>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</si>
  <si>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</si>
  <si>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</si>
  <si>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</si>
  <si>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</si>
  <si>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</si>
  <si>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</si>
  <si>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</si>
  <si>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</si>
  <si>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</si>
  <si>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</si>
  <si>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</si>
  <si>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</si>
  <si>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</si>
  <si>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</si>
  <si>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</si>
  <si>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</si>
  <si>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</si>
  <si>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</si>
  <si>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</si>
  <si>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</si>
  <si>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</si>
  <si>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</si>
  <si>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</si>
  <si>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</si>
  <si>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</si>
  <si>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</si>
  <si>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</si>
  <si>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</si>
  <si>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</si>
  <si>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</si>
  <si>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</si>
  <si>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</si>
  <si>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</si>
  <si>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</si>
  <si>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</si>
  <si>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</si>
  <si>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</si>
  <si>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</si>
  <si>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</si>
  <si>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</si>
  <si>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</si>
  <si>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</si>
  <si>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</si>
  <si>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</si>
  <si>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</si>
  <si>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</si>
  <si>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</si>
  <si>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</si>
  <si>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</si>
  <si>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</si>
  <si>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</si>
  <si>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</si>
  <si>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</si>
  <si>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</si>
  <si>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</si>
  <si>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</si>
  <si>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</si>
  <si>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</si>
  <si>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</si>
  <si>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</si>
  <si>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</si>
  <si>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</si>
  <si>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</si>
  <si>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</si>
  <si>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</si>
  <si>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</si>
  <si>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</si>
  <si>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</si>
  <si>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</si>
  <si>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</si>
  <si>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</si>
  <si>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</si>
  <si>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</si>
  <si>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</si>
  <si>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</si>
  <si>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</si>
  <si>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</si>
  <si>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</si>
  <si>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</si>
  <si>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</si>
  <si>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</si>
  <si>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</si>
  <si>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</si>
  <si>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</si>
  <si>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</si>
  <si>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</si>
  <si>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</si>
  <si>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</si>
  <si>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</si>
  <si>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</si>
  <si>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</si>
  <si>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</si>
  <si>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</si>
  <si>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</si>
  <si>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</si>
  <si>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</si>
  <si>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</si>
  <si>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</si>
  <si>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</si>
  <si>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</si>
  <si>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</si>
  <si>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</si>
  <si>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</si>
  <si>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</si>
  <si>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</si>
  <si>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</si>
  <si>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</si>
  <si>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</si>
  <si>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</si>
  <si>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</si>
  <si>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</si>
  <si>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</si>
  <si>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</si>
  <si>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</si>
  <si>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</si>
  <si>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</si>
  <si>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</si>
  <si>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</si>
  <si>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</si>
  <si>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</si>
  <si>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</si>
  <si>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</si>
  <si>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</si>
  <si>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</si>
  <si>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</si>
  <si>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</si>
  <si>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</si>
  <si>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</si>
  <si>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</si>
  <si>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</si>
  <si>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</si>
  <si>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</si>
  <si>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</si>
  <si>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</si>
  <si>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</si>
  <si>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</si>
  <si>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</si>
  <si>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</si>
  <si>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</si>
  <si>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</si>
  <si>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</si>
  <si>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</si>
  <si>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</si>
  <si>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</si>
  <si>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</si>
  <si>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</si>
  <si>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</si>
  <si>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</si>
  <si>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</si>
  <si>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</si>
  <si>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</si>
  <si>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</si>
  <si>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</si>
  <si>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</si>
  <si>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</si>
  <si>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</si>
  <si>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</si>
  <si>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</si>
  <si>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</si>
  <si>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Gazzaneo, Francisco</t>
  </si>
  <si>
    <t>Solleiro, Carolina Mabel</t>
  </si>
  <si>
    <t>Dallorso, Maria Ines - Dallorso, Ana Paula</t>
  </si>
  <si>
    <t>Matias Cuevas</t>
  </si>
  <si>
    <t>Santiago Rodriguez</t>
  </si>
  <si>
    <t>Walter</t>
  </si>
  <si>
    <t>Lara</t>
  </si>
  <si>
    <t>Iara</t>
  </si>
  <si>
    <t>Punitorios mal cobrados</t>
  </si>
  <si>
    <t>TRANSFERENCIAS SIN IDENTIFICAR</t>
  </si>
  <si>
    <t>Dinero sin identificar</t>
  </si>
  <si>
    <t>Horas extras</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</si>
  <si>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</si>
  <si>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</si>
  <si>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</si>
  <si>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</si>
  <si>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</si>
  <si>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</si>
  <si>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</si>
  <si>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</si>
  <si>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</si>
  <si>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</si>
  <si>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</si>
  <si>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</si>
  <si>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</si>
  <si>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</si>
  <si>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</si>
  <si>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VTO 14/11</t>
  </si>
  <si>
    <t>PERÍODO: OCTUBRE</t>
  </si>
  <si>
    <t>ADS - Abono de mantenimiento ascensores OCTUBRE del 2025</t>
  </si>
  <si>
    <t>Articulos de limpieza - Mes de OCTUBRE</t>
  </si>
  <si>
    <t>Transf 17/10</t>
  </si>
  <si>
    <t>PMC 14/10</t>
  </si>
  <si>
    <t>PMC 09/10</t>
  </si>
  <si>
    <t>PMC 03/10</t>
  </si>
  <si>
    <t>Ef. 21/10</t>
  </si>
  <si>
    <t>IMPORTANTE: Las personas marcadas en color naranja abonaron de forma incorrecta mediante Mercado Pago.
A partir de ahora (incluso desde el mes anterior),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</si>
  <si>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PMC 08/10</t>
  </si>
  <si>
    <t>PMC 28/10</t>
  </si>
  <si>
    <t>EF 14/10</t>
  </si>
  <si>
    <t>PMC 23/10</t>
  </si>
  <si>
    <t>Bonificacion bancaria</t>
  </si>
  <si>
    <t>Control cochera - 3A</t>
  </si>
  <si>
    <t>Control cochera - 5A</t>
  </si>
  <si>
    <t>Copia de llave - 5A</t>
  </si>
  <si>
    <t>Copia de llave - 12D</t>
  </si>
  <si>
    <t>Copia de llave - 4D</t>
  </si>
  <si>
    <t>Copia de llave - 7D</t>
  </si>
  <si>
    <t>Copia de llave - 11E</t>
  </si>
  <si>
    <t>3 Copias de llave - 9C</t>
  </si>
  <si>
    <t>3 Copias de llave - 7F</t>
  </si>
  <si>
    <t>2 Copias de llave - 3C</t>
  </si>
  <si>
    <t>0CTtubr3</t>
  </si>
  <si>
    <t>Matias alejandro ezequiel</t>
  </si>
  <si>
    <t>IMPORTANTE: Quienes estan en violeta NO ha respetado los centavos al abonar. Para la proxima oportunidad, solicitamos que los respeten.</t>
  </si>
  <si>
    <t>LEER LA ANOTACIOn</t>
  </si>
  <si>
    <t>la uf 55 habia abonado el 14 de oct 235.000,55, NO la pusimos paga, revisar eso y en el banco esta marcada como que la pusimos (sin embargo en el excel no fue asi)</t>
  </si>
  <si>
    <t>Firma</t>
  </si>
  <si>
    <t>__________________________________</t>
  </si>
  <si>
    <t>Aclaracion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</si>
</sst>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300">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43" fontId="14" fillId="0" borderId="0" xfId="0" applyNumberFormat="1" applyFont="1"/>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44" fontId="4"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0" fontId="0" fillId="2" borderId="4" xfId="0" applyFill="1" applyBorder="1"/>
    <xf numFmtId="44" fontId="0" fillId="2" borderId="4" xfId="1" applyFont="1" applyFill="1" applyBorder="1"/>
    <xf numFmtId="44" fontId="4"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5" fontId="13" fillId="2" borderId="1" xfId="0" applyNumberFormat="1" applyFont="1" applyFill="1" applyBorder="1"/>
    <xf numFmtId="44" fontId="0" fillId="2" borderId="1" xfId="0" applyNumberFormat="1" applyFill="1" applyBorder="1"/>
    <xf numFmtId="0" fontId="6" fillId="0" borderId="1" xfId="0" applyFont="1" applyBorder="1" applyAlignment="1">
      <alignment horizontal="left" vertical="center" wrapText="1"/>
    </xf>
    <xf numFmtId="0" fontId="0" fillId="3" borderId="16" xfId="0" applyFill="1" applyBorder="1"/>
    <xf numFmtId="0" fontId="0" fillId="3" borderId="14" xfId="0" applyFill="1" applyBorder="1"/>
    <xf numFmtId="44" fontId="4" fillId="3" borderId="17" xfId="0" applyNumberFormat="1" applyFont="1" applyFill="1" applyBorder="1"/>
    <xf numFmtId="0" fontId="0" fillId="3" borderId="18" xfId="0" applyFill="1" applyBorder="1"/>
    <xf numFmtId="165" fontId="4" fillId="3" borderId="0" xfId="0" applyNumberFormat="1" applyFont="1" applyFill="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23" xfId="0" applyFill="1" applyBorder="1"/>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11" fillId="13" borderId="1" xfId="0" applyFont="1" applyFill="1" applyBorder="1"/>
    <xf numFmtId="0" fontId="11" fillId="13" borderId="4" xfId="0" applyFont="1" applyFill="1" applyBorder="1"/>
    <xf numFmtId="10" fontId="0" fillId="13" borderId="4" xfId="0" applyNumberFormat="1" applyFill="1" applyBorder="1"/>
    <xf numFmtId="44" fontId="0" fillId="13" borderId="1" xfId="1" applyFont="1" applyFill="1" applyBorder="1"/>
    <xf numFmtId="165" fontId="11" fillId="13" borderId="1" xfId="0" applyNumberFormat="1" applyFont="1" applyFill="1" applyBorder="1"/>
    <xf numFmtId="165" fontId="0" fillId="13" borderId="1" xfId="1" applyNumberFormat="1" applyFont="1" applyFill="1" applyBorder="1"/>
    <xf numFmtId="44" fontId="11" fillId="13" borderId="1" xfId="1" applyFont="1" applyFill="1" applyBorder="1"/>
    <xf numFmtId="4" fontId="0" fillId="13" borderId="1" xfId="0" applyNumberFormat="1" applyFill="1" applyBorder="1"/>
    <xf numFmtId="10" fontId="0" fillId="13" borderId="1" xfId="0" applyNumberFormat="1"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10" fontId="0" fillId="5" borderId="1" xfId="0" applyNumberFormat="1" applyFill="1" applyBorder="1"/>
    <xf numFmtId="2" fontId="0" fillId="2" borderId="0" xfId="0" applyNumberFormat="1" applyFill="1"/>
    <xf numFmtId="165" fontId="11" fillId="7" borderId="1" xfId="1" applyNumberFormat="1" applyFont="1" applyFill="1" applyBorder="1"/>
    <xf numFmtId="44" fontId="4" fillId="13" borderId="1" xfId="1" applyFont="1" applyFill="1" applyBorder="1"/>
    <xf numFmtId="44" fontId="4" fillId="2" borderId="6" xfId="0" applyNumberFormat="1" applyFont="1" applyFill="1" applyBorder="1"/>
    <xf numFmtId="44" fontId="4" fillId="0" borderId="6" xfId="0" applyNumberFormat="1" applyFont="1" applyBorder="1"/>
    <xf numFmtId="0" fontId="4" fillId="5" borderId="1" xfId="0" applyFont="1" applyFill="1" applyBorder="1"/>
    <xf numFmtId="0" fontId="20" fillId="5" borderId="1" xfId="0" applyFont="1" applyFill="1" applyBorder="1"/>
    <xf numFmtId="10" fontId="4" fillId="5" borderId="1" xfId="0" applyNumberFormat="1" applyFont="1" applyFill="1" applyBorder="1"/>
    <xf numFmtId="165" fontId="20" fillId="5" borderId="1" xfId="0" applyNumberFormat="1" applyFont="1" applyFill="1" applyBorder="1"/>
    <xf numFmtId="165" fontId="4" fillId="5" borderId="1" xfId="1" applyNumberFormat="1" applyFont="1" applyFill="1" applyBorder="1"/>
    <xf numFmtId="44" fontId="20" fillId="5" borderId="1" xfId="1" applyFont="1" applyFill="1" applyBorder="1"/>
    <xf numFmtId="4" fontId="4" fillId="5" borderId="1" xfId="0" applyNumberFormat="1" applyFont="1" applyFill="1" applyBorder="1"/>
    <xf numFmtId="0" fontId="0" fillId="9" borderId="1" xfId="0" applyFill="1" applyBorder="1"/>
    <xf numFmtId="0" fontId="11" fillId="9" borderId="1" xfId="0" applyFont="1" applyFill="1" applyBorder="1"/>
    <xf numFmtId="0" fontId="11" fillId="9" borderId="4" xfId="0" applyFont="1" applyFill="1" applyBorder="1"/>
    <xf numFmtId="10" fontId="0" fillId="9" borderId="4" xfId="0" applyNumberFormat="1" applyFill="1" applyBorder="1"/>
    <xf numFmtId="44" fontId="0" fillId="9" borderId="1" xfId="1" applyFont="1" applyFill="1" applyBorder="1"/>
    <xf numFmtId="44" fontId="4" fillId="9" borderId="1" xfId="1" applyFont="1" applyFill="1" applyBorder="1"/>
    <xf numFmtId="165" fontId="11" fillId="9" borderId="1" xfId="0" applyNumberFormat="1" applyFont="1" applyFill="1" applyBorder="1"/>
    <xf numFmtId="165" fontId="0" fillId="9" borderId="1" xfId="1" applyNumberFormat="1" applyFont="1" applyFill="1" applyBorder="1"/>
    <xf numFmtId="44" fontId="11" fillId="9" borderId="1" xfId="1" applyFont="1" applyFill="1" applyBorder="1"/>
    <xf numFmtId="4" fontId="0" fillId="9" borderId="1" xfId="0" applyNumberFormat="1" applyFill="1" applyBorder="1"/>
    <xf numFmtId="0" fontId="0" fillId="9" borderId="0" xfId="0" applyFill="1"/>
    <xf numFmtId="0" fontId="4" fillId="9" borderId="0" xfId="0" applyFont="1" applyFill="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0" fillId="2" borderId="8" xfId="0" applyFill="1" applyBorder="1" applyAlignment="1">
      <alignment horizontal="left" vertical="center" wrapText="1"/>
    </xf>
    <xf numFmtId="0" fontId="2" fillId="9" borderId="0" xfId="0" applyFont="1" applyFill="1" applyAlignment="1">
      <alignment horizontal="left"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14" xfId="0" applyNumberFormat="1" applyFill="1" applyBorder="1" applyAlignment="1">
      <alignment horizontal="center" wrapText="1"/>
    </xf>
    <xf numFmtId="6" fontId="0" fillId="3" borderId="14" xfId="0" applyNumberForma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19" fillId="13" borderId="16" xfId="0" applyNumberFormat="1" applyFont="1" applyFill="1" applyBorder="1" applyAlignment="1">
      <alignment horizontal="left" vertical="center"/>
    </xf>
    <xf numFmtId="1" fontId="19" fillId="13" borderId="14" xfId="0" applyNumberFormat="1" applyFont="1" applyFill="1" applyBorder="1" applyAlignment="1">
      <alignment horizontal="left" vertical="center"/>
    </xf>
    <xf numFmtId="1" fontId="19" fillId="13" borderId="17" xfId="0" applyNumberFormat="1" applyFont="1" applyFill="1" applyBorder="1" applyAlignment="1">
      <alignment horizontal="left" vertical="center"/>
    </xf>
    <xf numFmtId="1" fontId="19" fillId="13" borderId="23" xfId="0" applyNumberFormat="1" applyFont="1" applyFill="1" applyBorder="1" applyAlignment="1">
      <alignment horizontal="left" vertical="center"/>
    </xf>
    <xf numFmtId="1" fontId="19" fillId="13" borderId="9" xfId="0" applyNumberFormat="1" applyFont="1" applyFill="1" applyBorder="1" applyAlignment="1">
      <alignment horizontal="left" vertical="center"/>
    </xf>
    <xf numFmtId="1" fontId="19" fillId="13" borderId="10" xfId="0" applyNumberFormat="1" applyFont="1" applyFill="1" applyBorder="1" applyAlignment="1">
      <alignment horizontal="left" vertical="center"/>
    </xf>
    <xf numFmtId="0" fontId="0" fillId="11" borderId="0" xfId="0" applyFill="1" applyAlignment="1">
      <alignment horizontal="center"/>
    </xf>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0" borderId="19" xfId="0" applyBorder="1"/>
    <xf numFmtId="0" fontId="0" fillId="0" borderId="0" xfId="0" applyAlignment="1">
      <alignment horizontal="center"/>
    </xf>
    <xf numFmtId="0" fontId="0" fillId="0" borderId="19" xfId="0" applyBorder="1" applyAlignment="1">
      <alignment horizontal="center"/>
    </xf>
    <xf numFmtId="0" fontId="2" fillId="0" borderId="18" xfId="0" applyFont="1" applyBorder="1"/>
    <xf numFmtId="44" fontId="2" fillId="0" borderId="0" xfId="0" applyNumberFormat="1" applyFont="1"/>
    <xf numFmtId="0" fontId="0" fillId="0" borderId="23" xfId="0" applyBorder="1"/>
    <xf numFmtId="0" fontId="0" fillId="0" borderId="9" xfId="0" applyBorder="1"/>
    <xf numFmtId="0" fontId="0" fillId="0" borderId="10" xfId="0" applyBorder="1"/>
    <xf numFmtId="0" fontId="0" fillId="0" borderId="0" xfId="0" applyAlignment="1">
      <alignment horizontal="center"/>
    </xf>
    <xf numFmtId="0" fontId="0" fillId="0" borderId="19" xfId="0" applyBorder="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3</xdr:col>
      <xdr:colOff>1771650</xdr:colOff>
      <xdr:row>3</xdr:row>
      <xdr:rowOff>161926</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0"/>
          <a:ext cx="2143125" cy="7334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EL%20MIRADOR\Junio\JUNIO%20-%20EL%20MIRADOR%20.xlsx" TargetMode="External"/><Relationship Id="rId1" Type="http://schemas.openxmlformats.org/officeDocument/2006/relationships/externalLinkPath" Target="/Users/Sistema/Desktop/rc-consorcio2025/EL%20MIRADOR/Junio/JUNIO%20-%20EL%20MIRADO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ANOTACIONES"/>
      <sheetName val="SUELDOS"/>
    </sheetNames>
    <sheetDataSet>
      <sheetData sheetId="0">
        <row r="22">
          <cell r="A22" t="str">
            <v xml:space="preserve">Sueldo encargada Sonia Arzamendia Galeano </v>
          </cell>
        </row>
        <row r="30">
          <cell r="A30" t="str">
            <v>Sueldo encargada Miriam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9"/>
  <sheetViews>
    <sheetView topLeftCell="A16" zoomScale="80" zoomScaleNormal="80" workbookViewId="0">
      <selection activeCell="E111" sqref="E111:J112"/>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18"/>
      <c r="B1" s="127"/>
      <c r="C1" s="137" t="s">
        <v>270</v>
      </c>
      <c r="D1" s="137"/>
      <c r="E1" s="138"/>
      <c r="F1" s="138"/>
      <c r="G1" s="116"/>
      <c r="H1" s="116"/>
      <c r="I1" s="116"/>
      <c r="J1" s="117"/>
    </row>
    <row r="2" spans="1:10" ht="18" x14ac:dyDescent="0.35">
      <c r="A2" s="119"/>
      <c r="B2" s="128"/>
      <c r="C2" s="128" t="s">
        <v>266</v>
      </c>
      <c r="D2" s="128"/>
      <c r="E2" s="129"/>
      <c r="F2" s="129"/>
      <c r="G2" s="129"/>
      <c r="H2" s="129"/>
      <c r="I2" s="129"/>
      <c r="J2" s="115"/>
    </row>
    <row r="3" spans="1:10" ht="18" x14ac:dyDescent="0.35">
      <c r="A3" s="119"/>
      <c r="B3" s="128"/>
      <c r="C3" s="128" t="s">
        <v>313</v>
      </c>
      <c r="D3" s="128"/>
      <c r="E3" s="128" t="s">
        <v>267</v>
      </c>
      <c r="F3" s="129"/>
      <c r="G3" s="129"/>
      <c r="H3" s="129"/>
      <c r="I3" s="129"/>
      <c r="J3" s="115"/>
    </row>
    <row r="4" spans="1:10" ht="18" customHeight="1" x14ac:dyDescent="0.35">
      <c r="A4" s="119"/>
      <c r="B4" s="128"/>
      <c r="C4" s="128" t="s">
        <v>268</v>
      </c>
      <c r="D4" s="129"/>
      <c r="E4" s="129"/>
      <c r="F4" s="129"/>
      <c r="G4" s="129"/>
      <c r="H4" s="129"/>
      <c r="I4" s="129"/>
      <c r="J4" s="115"/>
    </row>
    <row r="5" spans="1:10" ht="18" x14ac:dyDescent="0.35">
      <c r="A5" s="123"/>
      <c r="B5" s="128"/>
      <c r="C5" s="128" t="s">
        <v>329</v>
      </c>
      <c r="D5" s="128"/>
      <c r="E5" s="128" t="s">
        <v>269</v>
      </c>
      <c r="F5" s="128"/>
      <c r="G5" s="128"/>
      <c r="H5" s="128"/>
      <c r="I5" s="128"/>
      <c r="J5" s="124"/>
    </row>
    <row r="6" spans="1:10" ht="18" x14ac:dyDescent="0.35">
      <c r="A6" s="123"/>
      <c r="B6" s="128"/>
      <c r="C6" s="128" t="s">
        <v>0</v>
      </c>
      <c r="D6" s="128"/>
      <c r="E6" s="128"/>
      <c r="F6" s="128"/>
      <c r="G6" s="128"/>
      <c r="H6" s="128"/>
      <c r="I6" s="128"/>
      <c r="J6" s="124"/>
    </row>
    <row r="7" spans="1:10" ht="18.600000000000001" thickBot="1" x14ac:dyDescent="0.4">
      <c r="A7" s="125"/>
      <c r="B7" s="126"/>
      <c r="C7" s="126"/>
      <c r="D7" s="126"/>
      <c r="E7" s="126"/>
      <c r="F7" s="126"/>
      <c r="G7" s="126"/>
      <c r="H7" s="126"/>
      <c r="I7" s="126"/>
      <c r="J7" s="130"/>
    </row>
    <row r="9" spans="1:10" hidden="1" x14ac:dyDescent="0.3"/>
    <row r="10" spans="1:10" hidden="1" x14ac:dyDescent="0.3"/>
    <row r="11" spans="1:10" hidden="1" x14ac:dyDescent="0.3"/>
    <row r="12" spans="1:10" hidden="1" x14ac:dyDescent="0.3"/>
    <row r="14" spans="1:10" ht="15" customHeight="1" x14ac:dyDescent="0.3">
      <c r="A14" s="241" t="s">
        <v>265</v>
      </c>
      <c r="B14" s="241"/>
      <c r="C14" s="241"/>
      <c r="D14" s="241"/>
      <c r="E14" s="241"/>
      <c r="F14" s="241"/>
      <c r="G14" s="241"/>
      <c r="H14" s="241"/>
      <c r="I14" s="241"/>
      <c r="J14" s="241"/>
    </row>
    <row r="15" spans="1:10" ht="15" customHeight="1" x14ac:dyDescent="0.3">
      <c r="A15" s="241"/>
      <c r="B15" s="241"/>
      <c r="C15" s="241"/>
      <c r="D15" s="241"/>
      <c r="E15" s="241"/>
      <c r="F15" s="241"/>
      <c r="G15" s="241"/>
      <c r="H15" s="241"/>
      <c r="I15" s="241"/>
      <c r="J15" s="241"/>
    </row>
    <row r="16" spans="1:10" ht="15" customHeight="1" x14ac:dyDescent="0.3">
      <c r="A16" s="241"/>
      <c r="B16" s="241"/>
      <c r="C16" s="241"/>
      <c r="D16" s="241"/>
      <c r="E16" s="241"/>
      <c r="F16" s="241"/>
      <c r="G16" s="241"/>
      <c r="H16" s="241"/>
      <c r="I16" s="241"/>
      <c r="J16" s="241"/>
    </row>
    <row r="17" spans="1:10" ht="25.2" customHeight="1" x14ac:dyDescent="0.3">
      <c r="A17" s="241"/>
      <c r="B17" s="241"/>
      <c r="C17" s="241"/>
      <c r="D17" s="241"/>
      <c r="E17" s="241"/>
      <c r="F17" s="241"/>
      <c r="G17" s="241"/>
      <c r="H17" s="241"/>
      <c r="I17" s="241"/>
      <c r="J17" s="241"/>
    </row>
    <row r="18" spans="1:10" ht="47.4" customHeight="1" x14ac:dyDescent="0.3">
      <c r="A18" s="241"/>
      <c r="B18" s="241"/>
      <c r="C18" s="241"/>
      <c r="D18" s="241"/>
      <c r="E18" s="241"/>
      <c r="F18" s="241"/>
      <c r="G18" s="241"/>
      <c r="H18" s="241"/>
      <c r="I18" s="241"/>
      <c r="J18" s="241"/>
    </row>
    <row r="19" spans="1:10" x14ac:dyDescent="0.3">
      <c r="A19" s="2"/>
      <c r="H19" s="100"/>
    </row>
    <row r="20" spans="1:10" x14ac:dyDescent="0.3">
      <c r="A20" s="250" t="s">
        <v>328</v>
      </c>
      <c r="B20" s="250"/>
      <c r="C20" s="250"/>
      <c r="D20" s="250"/>
      <c r="E20" s="250"/>
      <c r="F20" s="250"/>
      <c r="G20" s="250"/>
      <c r="H20" s="250"/>
      <c r="I20" s="250"/>
      <c r="J20" s="250"/>
    </row>
    <row r="21" spans="1:10" x14ac:dyDescent="0.3">
      <c r="A21" s="250"/>
      <c r="B21" s="250"/>
      <c r="C21" s="250"/>
      <c r="D21" s="250"/>
      <c r="E21" s="250"/>
      <c r="F21" s="250"/>
      <c r="G21" s="250"/>
      <c r="H21" s="250"/>
      <c r="I21" s="250"/>
      <c r="J21" s="250"/>
    </row>
    <row r="22" spans="1:10" x14ac:dyDescent="0.3">
      <c r="A22" s="250"/>
      <c r="B22" s="250"/>
      <c r="C22" s="250"/>
      <c r="D22" s="250"/>
      <c r="E22" s="250"/>
      <c r="F22" s="250"/>
      <c r="G22" s="250"/>
      <c r="H22" s="250"/>
      <c r="I22" s="250"/>
      <c r="J22" s="250"/>
    </row>
    <row r="23" spans="1:10" ht="15" thickBot="1" x14ac:dyDescent="0.35">
      <c r="H23" s="100"/>
    </row>
    <row r="24" spans="1:10" ht="15" thickBot="1" x14ac:dyDescent="0.35">
      <c r="A24" s="12" t="s">
        <v>19</v>
      </c>
      <c r="B24" s="13"/>
      <c r="C24" s="14"/>
      <c r="D24" s="10"/>
      <c r="E24" s="102" t="s">
        <v>172</v>
      </c>
      <c r="F24" s="102" t="s">
        <v>173</v>
      </c>
      <c r="G24" s="102" t="s">
        <v>174</v>
      </c>
      <c r="H24" s="102" t="s">
        <v>175</v>
      </c>
      <c r="I24" s="102" t="s">
        <v>176</v>
      </c>
      <c r="J24" s="103" t="s">
        <v>177</v>
      </c>
    </row>
    <row r="25" spans="1:10" x14ac:dyDescent="0.3">
      <c r="A25" s="50" t="s">
        <v>238</v>
      </c>
      <c r="B25" s="6"/>
      <c r="C25" s="6"/>
      <c r="D25" s="55"/>
      <c r="E25" s="101"/>
      <c r="F25" s="101"/>
      <c r="G25" s="101"/>
      <c r="H25" s="101"/>
      <c r="I25" s="101"/>
      <c r="J25" s="101"/>
    </row>
    <row r="26" spans="1:10" x14ac:dyDescent="0.3">
      <c r="A26" s="6" t="s">
        <v>45</v>
      </c>
      <c r="B26" s="6"/>
      <c r="C26" s="6"/>
      <c r="D26" s="87">
        <v>1026046</v>
      </c>
      <c r="E26" s="58"/>
      <c r="F26" s="58"/>
      <c r="G26" s="58"/>
      <c r="H26" s="58"/>
      <c r="I26" s="58"/>
      <c r="J26" s="58"/>
    </row>
    <row r="27" spans="1:10" x14ac:dyDescent="0.3">
      <c r="A27" s="6" t="s">
        <v>241</v>
      </c>
      <c r="B27" s="6"/>
      <c r="C27" s="6"/>
      <c r="D27" s="87">
        <v>35809.699999999997</v>
      </c>
      <c r="E27" s="58"/>
      <c r="F27" s="58"/>
      <c r="G27" s="58"/>
      <c r="H27" s="58"/>
      <c r="I27" s="58"/>
      <c r="J27" s="58"/>
    </row>
    <row r="28" spans="1:10" x14ac:dyDescent="0.3">
      <c r="A28" s="6" t="s">
        <v>239</v>
      </c>
      <c r="B28" s="6"/>
      <c r="C28" s="6"/>
      <c r="D28" s="87">
        <f>1559.9*80</f>
        <v>124792</v>
      </c>
      <c r="E28" s="58"/>
      <c r="F28" s="58"/>
      <c r="G28" s="58"/>
      <c r="H28" s="58"/>
      <c r="I28" s="58"/>
      <c r="J28" s="58"/>
    </row>
    <row r="29" spans="1:10" x14ac:dyDescent="0.3">
      <c r="A29" s="6" t="s">
        <v>240</v>
      </c>
      <c r="B29" s="6"/>
      <c r="C29" s="6"/>
      <c r="D29" s="87">
        <v>21286.799999999999</v>
      </c>
      <c r="E29" s="58"/>
      <c r="F29" s="58"/>
      <c r="G29" s="58"/>
      <c r="H29" s="58"/>
      <c r="I29" s="58"/>
      <c r="J29" s="58"/>
    </row>
    <row r="30" spans="1:10" x14ac:dyDescent="0.3">
      <c r="A30" s="6" t="s">
        <v>316</v>
      </c>
      <c r="B30" s="6"/>
      <c r="C30" s="6"/>
      <c r="D30" s="87">
        <v>59852.7</v>
      </c>
      <c r="E30" s="58"/>
      <c r="F30" s="58"/>
      <c r="G30" s="58"/>
      <c r="H30" s="58"/>
      <c r="I30" s="58"/>
      <c r="J30" s="58"/>
    </row>
    <row r="31" spans="1:10" x14ac:dyDescent="0.3">
      <c r="A31" s="6" t="s">
        <v>242</v>
      </c>
      <c r="B31" s="6"/>
      <c r="C31" s="6"/>
      <c r="D31" s="87">
        <v>50000</v>
      </c>
      <c r="E31" s="58"/>
      <c r="F31" s="58"/>
      <c r="G31" s="58"/>
      <c r="H31" s="58"/>
      <c r="I31" s="58"/>
      <c r="J31" s="58"/>
    </row>
    <row r="32" spans="1:10" x14ac:dyDescent="0.3">
      <c r="A32" s="99" t="s">
        <v>171</v>
      </c>
      <c r="B32" s="96"/>
      <c r="C32" s="96"/>
      <c r="D32" s="97">
        <f>SUM(D26:D31)</f>
        <v>1317787.2</v>
      </c>
      <c r="E32" s="98"/>
      <c r="F32" s="98"/>
      <c r="G32" s="98"/>
      <c r="H32" s="98"/>
      <c r="I32" s="98"/>
      <c r="J32" s="98"/>
    </row>
    <row r="33" spans="1:12" x14ac:dyDescent="0.3">
      <c r="A33" s="50" t="s">
        <v>237</v>
      </c>
      <c r="B33" s="6"/>
      <c r="C33" s="6"/>
      <c r="D33" s="55"/>
      <c r="E33" s="6"/>
      <c r="F33" s="6"/>
      <c r="G33" s="6"/>
      <c r="H33" s="6"/>
      <c r="I33" s="6"/>
      <c r="J33" s="6"/>
    </row>
    <row r="34" spans="1:12" x14ac:dyDescent="0.3">
      <c r="A34" s="6" t="s">
        <v>45</v>
      </c>
      <c r="B34" s="6"/>
      <c r="C34" s="6"/>
      <c r="D34" s="87">
        <v>513023</v>
      </c>
      <c r="E34" s="58"/>
      <c r="F34" s="58"/>
      <c r="G34" s="58"/>
      <c r="H34" s="58"/>
      <c r="I34" s="58"/>
      <c r="J34" s="58"/>
    </row>
    <row r="35" spans="1:12" x14ac:dyDescent="0.3">
      <c r="A35" s="6" t="s">
        <v>312</v>
      </c>
      <c r="B35" s="6"/>
      <c r="C35" s="6"/>
      <c r="D35" s="87"/>
      <c r="E35" s="58"/>
      <c r="F35" s="58"/>
      <c r="G35" s="58"/>
      <c r="H35" s="58"/>
      <c r="I35" s="58"/>
      <c r="J35" s="58"/>
    </row>
    <row r="36" spans="1:12" x14ac:dyDescent="0.3">
      <c r="A36" s="6" t="s">
        <v>241</v>
      </c>
      <c r="B36" s="6"/>
      <c r="C36" s="6"/>
      <c r="D36" s="87">
        <f>D27</f>
        <v>35809.699999999997</v>
      </c>
      <c r="E36" s="58"/>
      <c r="F36" s="58"/>
      <c r="G36" s="58"/>
      <c r="H36" s="58"/>
      <c r="I36" s="58"/>
      <c r="J36" s="58"/>
    </row>
    <row r="37" spans="1:12" x14ac:dyDescent="0.3">
      <c r="A37" s="6" t="s">
        <v>239</v>
      </c>
      <c r="B37" s="6"/>
      <c r="C37" s="6"/>
      <c r="D37" s="87">
        <f>D28</f>
        <v>124792</v>
      </c>
      <c r="E37" s="58"/>
      <c r="F37" s="58"/>
      <c r="G37" s="58"/>
      <c r="H37" s="58"/>
      <c r="I37" s="58"/>
      <c r="J37" s="58"/>
    </row>
    <row r="38" spans="1:12" x14ac:dyDescent="0.3">
      <c r="A38" s="6" t="s">
        <v>240</v>
      </c>
      <c r="B38" s="6"/>
      <c r="C38" s="6"/>
      <c r="D38" s="87">
        <f>D29</f>
        <v>21286.799999999999</v>
      </c>
      <c r="E38" s="58"/>
      <c r="F38" s="58"/>
      <c r="G38" s="58"/>
      <c r="H38" s="58"/>
      <c r="I38" s="58"/>
      <c r="J38" s="58"/>
    </row>
    <row r="39" spans="1:12" x14ac:dyDescent="0.3">
      <c r="A39" s="6" t="s">
        <v>316</v>
      </c>
      <c r="B39" s="6"/>
      <c r="C39" s="6"/>
      <c r="D39" s="87">
        <f>D30</f>
        <v>59852.7</v>
      </c>
      <c r="E39" s="58"/>
      <c r="F39" s="58"/>
      <c r="G39" s="58"/>
      <c r="H39" s="58"/>
      <c r="I39" s="58"/>
      <c r="J39" s="58"/>
    </row>
    <row r="40" spans="1:12" x14ac:dyDescent="0.3">
      <c r="A40" s="6" t="s">
        <v>242</v>
      </c>
      <c r="B40" s="6"/>
      <c r="C40" s="6"/>
      <c r="D40" s="87">
        <v>50000</v>
      </c>
      <c r="E40" s="58"/>
      <c r="F40" s="58"/>
      <c r="G40" s="58"/>
      <c r="H40" s="58"/>
      <c r="I40" s="58"/>
      <c r="J40" s="58"/>
    </row>
    <row r="41" spans="1:12" x14ac:dyDescent="0.3">
      <c r="A41" s="99" t="s">
        <v>171</v>
      </c>
      <c r="B41" s="96"/>
      <c r="C41" s="96"/>
      <c r="D41" s="97">
        <f>SUM(D34:D40)</f>
        <v>804764.2</v>
      </c>
      <c r="E41" s="98"/>
      <c r="F41" s="98"/>
      <c r="G41" s="98"/>
      <c r="H41" s="98"/>
      <c r="I41" s="98"/>
      <c r="J41" s="98"/>
    </row>
    <row r="42" spans="1:12" ht="15.75" customHeight="1" x14ac:dyDescent="0.3">
      <c r="A42" s="33" t="s">
        <v>1</v>
      </c>
      <c r="B42" s="33"/>
      <c r="C42" s="33"/>
      <c r="D42" s="42">
        <f>D32+D41</f>
        <v>2122551.4</v>
      </c>
      <c r="E42" s="42">
        <f>D42*93.2%</f>
        <v>1978217.9048000001</v>
      </c>
      <c r="F42" s="80">
        <f>$D42*1.08%</f>
        <v>22923.555120000001</v>
      </c>
      <c r="G42" s="80">
        <f>$D42*1.28%</f>
        <v>27168.657920000001</v>
      </c>
      <c r="H42" s="80">
        <f>$D42*1.21%</f>
        <v>25682.871939999997</v>
      </c>
      <c r="I42" s="80">
        <f>$D42*1.49%</f>
        <v>31626.01586</v>
      </c>
      <c r="J42" s="80">
        <f>D42*1.74%</f>
        <v>36932.394359999998</v>
      </c>
      <c r="K42" s="43">
        <f>E42+J42+F42+G42+H42+I42</f>
        <v>2122551.4</v>
      </c>
      <c r="L42" s="151">
        <f>K42-600000</f>
        <v>1522551.4</v>
      </c>
    </row>
    <row r="43" spans="1:12" hidden="1" x14ac:dyDescent="0.3">
      <c r="A43" s="32" t="s">
        <v>34</v>
      </c>
      <c r="B43" s="6"/>
      <c r="C43" s="6"/>
      <c r="D43" s="88">
        <v>0</v>
      </c>
      <c r="E43" s="58">
        <f>D43*91.91%</f>
        <v>0</v>
      </c>
      <c r="F43" s="58"/>
      <c r="G43" s="58"/>
      <c r="H43" s="58"/>
      <c r="I43" s="58"/>
      <c r="J43" s="58">
        <f>D43*8.09%</f>
        <v>0</v>
      </c>
      <c r="L43" s="69"/>
    </row>
    <row r="44" spans="1:12" hidden="1" x14ac:dyDescent="0.3">
      <c r="A44" s="32"/>
      <c r="B44" s="6"/>
      <c r="C44" s="6"/>
      <c r="D44" s="87">
        <v>0</v>
      </c>
      <c r="E44" s="58">
        <f>D44*91.91%</f>
        <v>0</v>
      </c>
      <c r="F44" s="58"/>
      <c r="G44" s="58"/>
      <c r="H44" s="58"/>
      <c r="I44" s="58"/>
      <c r="J44" s="58">
        <f>D44*8.09%</f>
        <v>0</v>
      </c>
      <c r="L44" s="69"/>
    </row>
    <row r="45" spans="1:12" hidden="1" x14ac:dyDescent="0.3">
      <c r="A45" s="32"/>
      <c r="B45" s="6"/>
      <c r="C45" s="6"/>
      <c r="D45" s="87"/>
      <c r="E45" s="6"/>
      <c r="F45" s="6"/>
      <c r="G45" s="6"/>
      <c r="H45" s="6"/>
      <c r="I45" s="6"/>
      <c r="J45" s="6"/>
      <c r="L45" s="69"/>
    </row>
    <row r="46" spans="1:12" ht="0.75" customHeight="1" x14ac:dyDescent="0.3">
      <c r="A46" s="32"/>
      <c r="B46" s="6"/>
      <c r="C46" s="6"/>
      <c r="D46" s="87"/>
      <c r="E46" s="6"/>
      <c r="F46" s="6"/>
      <c r="G46" s="6"/>
      <c r="H46" s="6"/>
      <c r="I46" s="6"/>
      <c r="J46" s="6"/>
      <c r="L46" s="69"/>
    </row>
    <row r="47" spans="1:12" hidden="1" x14ac:dyDescent="0.3">
      <c r="A47" s="33" t="s">
        <v>40</v>
      </c>
      <c r="B47" s="33"/>
      <c r="C47" s="33"/>
      <c r="D47" s="42">
        <f>SUM(D43:D45)</f>
        <v>0</v>
      </c>
      <c r="E47" s="42">
        <f t="shared" ref="E47:J47" si="0">SUM(E43:E45)</f>
        <v>0</v>
      </c>
      <c r="F47" s="42"/>
      <c r="G47" s="42"/>
      <c r="H47" s="42"/>
      <c r="I47" s="42"/>
      <c r="J47" s="42">
        <f t="shared" si="0"/>
        <v>0</v>
      </c>
      <c r="K47" s="43">
        <f>E47+J47</f>
        <v>0</v>
      </c>
      <c r="L47" s="69" t="str">
        <f>IF(D47=K47, "", "Error")</f>
        <v/>
      </c>
    </row>
    <row r="48" spans="1:12" x14ac:dyDescent="0.3">
      <c r="A48" s="32" t="s">
        <v>253</v>
      </c>
      <c r="B48" s="6"/>
      <c r="C48" s="6"/>
      <c r="D48" s="88"/>
      <c r="E48" s="58">
        <f>D48*91.91%</f>
        <v>0</v>
      </c>
      <c r="F48" s="58"/>
      <c r="G48" s="58"/>
      <c r="H48" s="58"/>
      <c r="I48" s="58"/>
      <c r="J48" s="58">
        <f>D48*8.09%</f>
        <v>0</v>
      </c>
      <c r="L48" s="69"/>
    </row>
    <row r="49" spans="1:12" x14ac:dyDescent="0.3">
      <c r="A49" s="6"/>
      <c r="B49" s="6"/>
      <c r="C49" s="6"/>
      <c r="D49" s="87"/>
      <c r="E49" s="58">
        <f>D49</f>
        <v>0</v>
      </c>
      <c r="F49" s="58"/>
      <c r="G49" s="58"/>
      <c r="H49" s="58"/>
      <c r="I49" s="58"/>
      <c r="J49" s="58"/>
      <c r="L49" s="69"/>
    </row>
    <row r="50" spans="1:12" ht="15.75" customHeight="1" x14ac:dyDescent="0.3">
      <c r="A50" s="6"/>
      <c r="B50" s="6"/>
      <c r="C50" s="6"/>
      <c r="D50" s="87"/>
      <c r="E50" s="58">
        <f t="shared" ref="E50" si="1">D50</f>
        <v>0</v>
      </c>
      <c r="F50" s="58"/>
      <c r="G50" s="58"/>
      <c r="H50" s="58"/>
      <c r="I50" s="58"/>
      <c r="J50" s="58"/>
      <c r="L50" s="69"/>
    </row>
    <row r="51" spans="1:12" x14ac:dyDescent="0.3">
      <c r="A51" s="32"/>
      <c r="B51" s="6"/>
      <c r="C51" s="6"/>
      <c r="D51" s="87"/>
      <c r="E51" s="58">
        <f t="shared" ref="E51" si="2">D51*91.91%</f>
        <v>0</v>
      </c>
      <c r="F51" s="58"/>
      <c r="G51" s="58"/>
      <c r="H51" s="58"/>
      <c r="I51" s="58"/>
      <c r="J51" s="58">
        <f t="shared" ref="J51" si="3">D51*8.09%</f>
        <v>0</v>
      </c>
      <c r="L51" s="69"/>
    </row>
    <row r="52" spans="1:12" x14ac:dyDescent="0.3">
      <c r="A52" s="33" t="s">
        <v>35</v>
      </c>
      <c r="B52" s="33"/>
      <c r="C52" s="33"/>
      <c r="D52" s="42">
        <f>SUM(D44:D51)</f>
        <v>0</v>
      </c>
      <c r="E52" s="42">
        <f>SUM(E44:E51)</f>
        <v>0</v>
      </c>
      <c r="F52" s="42"/>
      <c r="G52" s="42"/>
      <c r="H52" s="42"/>
      <c r="I52" s="42"/>
      <c r="J52" s="48"/>
      <c r="K52" s="43">
        <f>E52+J52+F52+G52+H52+I52</f>
        <v>0</v>
      </c>
      <c r="L52" s="69" t="str">
        <f>IF(D52=K52, "", "Error")</f>
        <v/>
      </c>
    </row>
    <row r="53" spans="1:12" x14ac:dyDescent="0.3">
      <c r="A53" s="32" t="s">
        <v>247</v>
      </c>
      <c r="B53" s="35"/>
      <c r="C53" s="35"/>
      <c r="D53" s="87"/>
      <c r="E53" s="49"/>
      <c r="F53" s="49"/>
      <c r="G53" s="49"/>
      <c r="H53" s="49"/>
      <c r="I53" s="49"/>
      <c r="J53" s="49"/>
      <c r="L53" s="69"/>
    </row>
    <row r="54" spans="1:12" x14ac:dyDescent="0.3">
      <c r="A54" s="35" t="s">
        <v>250</v>
      </c>
      <c r="B54" s="35"/>
      <c r="C54" s="35"/>
      <c r="D54" s="87"/>
      <c r="E54" s="49"/>
      <c r="F54" s="49"/>
      <c r="G54" s="49"/>
      <c r="H54" s="49"/>
      <c r="I54" s="49"/>
      <c r="J54" s="49"/>
      <c r="L54" s="69"/>
    </row>
    <row r="55" spans="1:12" x14ac:dyDescent="0.3">
      <c r="A55" s="35" t="s">
        <v>252</v>
      </c>
      <c r="B55" s="35"/>
      <c r="C55" s="35"/>
      <c r="D55" s="87"/>
      <c r="E55" s="49"/>
      <c r="F55" s="49"/>
      <c r="G55" s="49"/>
      <c r="H55" s="49"/>
      <c r="I55" s="49"/>
      <c r="J55" s="49"/>
      <c r="L55" s="69"/>
    </row>
    <row r="56" spans="1:12" x14ac:dyDescent="0.3">
      <c r="A56" s="35" t="s">
        <v>251</v>
      </c>
      <c r="B56" s="35"/>
      <c r="C56" s="35"/>
      <c r="D56" s="87"/>
      <c r="E56" s="49"/>
      <c r="F56" s="49"/>
      <c r="G56" s="49"/>
      <c r="H56" s="49"/>
      <c r="I56" s="49"/>
      <c r="J56" s="49"/>
      <c r="L56" s="69"/>
    </row>
    <row r="57" spans="1:12" x14ac:dyDescent="0.3">
      <c r="A57" s="33" t="s">
        <v>249</v>
      </c>
      <c r="B57" s="33"/>
      <c r="C57" s="33"/>
      <c r="D57" s="133">
        <f>SUM(D54:D56)</f>
        <v>0</v>
      </c>
      <c r="E57" s="42">
        <f>D57*93.2%</f>
        <v>0</v>
      </c>
      <c r="F57" s="80">
        <f>$D57*1.08%</f>
        <v>0</v>
      </c>
      <c r="G57" s="80">
        <f>$D57*1.28%</f>
        <v>0</v>
      </c>
      <c r="H57" s="80">
        <f>$D57*1.21%</f>
        <v>0</v>
      </c>
      <c r="I57" s="80">
        <f>$D57*1.49%</f>
        <v>0</v>
      </c>
      <c r="J57" s="80">
        <f>D57*1.74%</f>
        <v>0</v>
      </c>
      <c r="K57" s="43">
        <f>E57+J57+F57+G57+H57+I57</f>
        <v>0</v>
      </c>
      <c r="L57" s="69" t="str">
        <f>IF(D57=K57, "", "Error")</f>
        <v/>
      </c>
    </row>
    <row r="58" spans="1:12" x14ac:dyDescent="0.3">
      <c r="A58" s="32" t="s">
        <v>2</v>
      </c>
      <c r="B58" s="6"/>
      <c r="C58" s="6"/>
      <c r="D58" s="44"/>
      <c r="E58" s="45"/>
      <c r="F58" s="45"/>
      <c r="G58" s="45"/>
      <c r="H58" s="45"/>
      <c r="I58" s="45"/>
      <c r="J58" s="6"/>
      <c r="L58" s="69"/>
    </row>
    <row r="59" spans="1:12" x14ac:dyDescent="0.3">
      <c r="A59" s="6" t="s">
        <v>243</v>
      </c>
      <c r="B59" s="6"/>
      <c r="C59" s="6" t="s">
        <v>339</v>
      </c>
      <c r="D59" s="44">
        <v>56231.41</v>
      </c>
      <c r="E59" s="120"/>
      <c r="F59" s="120"/>
      <c r="G59" s="120"/>
      <c r="H59" s="120"/>
      <c r="I59" s="120"/>
      <c r="J59" s="6"/>
      <c r="L59" s="69"/>
    </row>
    <row r="60" spans="1:12" x14ac:dyDescent="0.3">
      <c r="A60" s="6" t="s">
        <v>297</v>
      </c>
      <c r="B60" s="6"/>
      <c r="C60" s="6" t="s">
        <v>339</v>
      </c>
      <c r="D60" s="44">
        <v>64940.71</v>
      </c>
      <c r="E60" s="76"/>
      <c r="F60" s="76"/>
      <c r="G60" s="76"/>
      <c r="H60" s="76"/>
      <c r="I60" s="76"/>
      <c r="J60" s="6"/>
      <c r="L60" s="69"/>
    </row>
    <row r="61" spans="1:12" x14ac:dyDescent="0.3">
      <c r="A61" s="33" t="s">
        <v>248</v>
      </c>
      <c r="B61" s="33"/>
      <c r="C61" s="33"/>
      <c r="D61" s="42">
        <f>SUM(D58:D60)</f>
        <v>121172.12</v>
      </c>
      <c r="E61" s="42">
        <f>D61*93.2%</f>
        <v>112932.41584</v>
      </c>
      <c r="F61" s="80">
        <f>$D61*1.08%</f>
        <v>1308.6588959999999</v>
      </c>
      <c r="G61" s="80">
        <f>$D61*1.28%</f>
        <v>1551.003136</v>
      </c>
      <c r="H61" s="80">
        <f>$D61*1.21%</f>
        <v>1466.182652</v>
      </c>
      <c r="I61" s="80">
        <f>$D61*1.49%</f>
        <v>1805.464588</v>
      </c>
      <c r="J61" s="80">
        <f>D61*1.74%</f>
        <v>2108.3948879999998</v>
      </c>
      <c r="K61" s="43">
        <f>E61+J61+F61+G61+H61+I61</f>
        <v>121172.12</v>
      </c>
      <c r="L61" s="69" t="str">
        <f>IF(D61=K61, "", "Error")</f>
        <v/>
      </c>
    </row>
    <row r="62" spans="1:12" x14ac:dyDescent="0.3">
      <c r="A62" s="32" t="s">
        <v>230</v>
      </c>
      <c r="B62" s="6"/>
      <c r="C62" s="6"/>
      <c r="D62" s="134"/>
      <c r="E62" s="46"/>
      <c r="F62" s="46"/>
      <c r="G62" s="46"/>
      <c r="H62" s="46"/>
      <c r="I62" s="46"/>
      <c r="J62" s="36"/>
      <c r="L62" s="69"/>
    </row>
    <row r="63" spans="1:12" x14ac:dyDescent="0.3">
      <c r="A63" s="6" t="s">
        <v>234</v>
      </c>
      <c r="B63" s="6"/>
      <c r="C63" s="6" t="s">
        <v>340</v>
      </c>
      <c r="D63" s="44">
        <v>160913</v>
      </c>
      <c r="E63" s="58">
        <f>D63*93.2%</f>
        <v>149970.916</v>
      </c>
      <c r="F63" s="58">
        <f>$D63*1.08%</f>
        <v>1737.8604</v>
      </c>
      <c r="G63" s="58">
        <f>$D63*1.28%</f>
        <v>2059.6864</v>
      </c>
      <c r="H63" s="58">
        <f>$D63*1.21%</f>
        <v>1947.0473</v>
      </c>
      <c r="I63" s="58">
        <f>$D63*1.49%</f>
        <v>2397.6037000000001</v>
      </c>
      <c r="J63" s="58">
        <f>D63*1.74%</f>
        <v>2799.8861999999999</v>
      </c>
      <c r="K63" s="43">
        <f>SUM(E63:J63)</f>
        <v>160913.00000000003</v>
      </c>
      <c r="L63" s="69"/>
    </row>
    <row r="64" spans="1:12" x14ac:dyDescent="0.3">
      <c r="A64" s="6" t="s">
        <v>235</v>
      </c>
      <c r="B64" s="6"/>
      <c r="C64" s="6" t="s">
        <v>340</v>
      </c>
      <c r="D64" s="44">
        <v>7907</v>
      </c>
      <c r="E64" s="58">
        <f t="shared" ref="E64:E65" si="4">D64*93.2%</f>
        <v>7369.3240000000005</v>
      </c>
      <c r="F64" s="58">
        <f>$D64*1.08%</f>
        <v>85.395600000000002</v>
      </c>
      <c r="G64" s="58">
        <f>$D64*1.28%</f>
        <v>101.20960000000001</v>
      </c>
      <c r="H64" s="58">
        <f>$D64*1.21%</f>
        <v>95.674700000000001</v>
      </c>
      <c r="I64" s="58">
        <f>$D64*1.49%</f>
        <v>117.8143</v>
      </c>
      <c r="J64" s="58">
        <f>D64*1.74%</f>
        <v>137.58179999999999</v>
      </c>
      <c r="K64" s="43">
        <f t="shared" ref="K64:K65" si="5">SUM(E64:J64)</f>
        <v>7907</v>
      </c>
      <c r="L64" s="69"/>
    </row>
    <row r="65" spans="1:14" x14ac:dyDescent="0.3">
      <c r="A65" s="6" t="s">
        <v>236</v>
      </c>
      <c r="B65" s="6"/>
      <c r="C65" s="6" t="s">
        <v>340</v>
      </c>
      <c r="D65" s="44">
        <v>7907</v>
      </c>
      <c r="E65" s="58">
        <f t="shared" si="4"/>
        <v>7369.3240000000005</v>
      </c>
      <c r="F65" s="58">
        <f>$D65*1.08%</f>
        <v>85.395600000000002</v>
      </c>
      <c r="G65" s="58">
        <f>$D65*1.28%</f>
        <v>101.20960000000001</v>
      </c>
      <c r="H65" s="58">
        <f>$D65*1.21%</f>
        <v>95.674700000000001</v>
      </c>
      <c r="I65" s="58">
        <f>$D65*1.49%</f>
        <v>117.8143</v>
      </c>
      <c r="J65" s="58">
        <f>D65*1.74%</f>
        <v>137.58179999999999</v>
      </c>
      <c r="K65" s="43">
        <f t="shared" si="5"/>
        <v>7907</v>
      </c>
      <c r="L65" s="69"/>
    </row>
    <row r="66" spans="1:14" x14ac:dyDescent="0.3">
      <c r="A66" s="33" t="s">
        <v>3</v>
      </c>
      <c r="B66" s="34"/>
      <c r="C66" s="34"/>
      <c r="D66" s="42">
        <f>SUM(D63:D65)</f>
        <v>176727</v>
      </c>
      <c r="E66" s="42">
        <f>SUM(E63:E65)</f>
        <v>164709.56399999998</v>
      </c>
      <c r="F66" s="42">
        <f t="shared" ref="F66:I66" si="6">SUM(F63:F65)</f>
        <v>1908.6516000000001</v>
      </c>
      <c r="G66" s="42">
        <f t="shared" si="6"/>
        <v>2262.1056000000003</v>
      </c>
      <c r="H66" s="42">
        <f t="shared" si="6"/>
        <v>2138.3966999999998</v>
      </c>
      <c r="I66" s="42">
        <f t="shared" si="6"/>
        <v>2633.2323000000001</v>
      </c>
      <c r="J66" s="42">
        <f>SUM(J63:J65)</f>
        <v>3075.0497999999998</v>
      </c>
      <c r="K66" s="43">
        <f>E66+J66+F66+G66+H66+I66</f>
        <v>176727.00000000003</v>
      </c>
      <c r="L66" s="69" t="str">
        <f>IF(D66=K66, "", "Error")</f>
        <v/>
      </c>
    </row>
    <row r="67" spans="1:14" x14ac:dyDescent="0.3">
      <c r="A67" s="32" t="s">
        <v>4</v>
      </c>
      <c r="B67" s="6"/>
      <c r="C67" s="6"/>
      <c r="D67" s="90"/>
      <c r="E67" s="46"/>
      <c r="F67" s="46"/>
      <c r="G67" s="46"/>
      <c r="H67" s="46"/>
      <c r="I67" s="46"/>
      <c r="J67" s="6"/>
      <c r="L67" s="69"/>
    </row>
    <row r="68" spans="1:14" ht="16.5" customHeight="1" x14ac:dyDescent="0.3">
      <c r="A68" s="71" t="s">
        <v>244</v>
      </c>
      <c r="B68" s="6"/>
      <c r="C68" s="6" t="s">
        <v>335</v>
      </c>
      <c r="D68" s="220">
        <v>242436.29</v>
      </c>
      <c r="E68" s="68">
        <f>D68*93.2%</f>
        <v>225950.62228000001</v>
      </c>
      <c r="F68" s="58">
        <f>$D68*1.08%</f>
        <v>2618.3119320000001</v>
      </c>
      <c r="G68" s="58">
        <f>$D68*1.28%</f>
        <v>3103.1845120000003</v>
      </c>
      <c r="H68" s="58">
        <f>$D68*1.21%</f>
        <v>2933.4791089999999</v>
      </c>
      <c r="I68" s="58">
        <f>$D68*1.49%</f>
        <v>3612.3007210000001</v>
      </c>
      <c r="J68" s="58">
        <f>D68*1.74%</f>
        <v>4218.3914459999996</v>
      </c>
      <c r="K68" s="43">
        <f>D68</f>
        <v>242436.29</v>
      </c>
      <c r="L68" s="75">
        <f>SUM(E68:J68)</f>
        <v>242436.29000000004</v>
      </c>
      <c r="M68" s="86">
        <f>L68-D68</f>
        <v>0</v>
      </c>
      <c r="N68" s="86">
        <f>K68-D68</f>
        <v>0</v>
      </c>
    </row>
    <row r="69" spans="1:14" ht="16.5" customHeight="1" x14ac:dyDescent="0.3">
      <c r="A69" s="71" t="s">
        <v>244</v>
      </c>
      <c r="B69" s="6"/>
      <c r="C69" s="6" t="s">
        <v>338</v>
      </c>
      <c r="D69" s="220">
        <v>561764.05000000005</v>
      </c>
      <c r="E69" s="68">
        <f>D69*93.2%</f>
        <v>523564.09460000007</v>
      </c>
      <c r="F69" s="58">
        <f>$D69*1.08%</f>
        <v>6067.0517400000008</v>
      </c>
      <c r="G69" s="58">
        <f>$D69*1.28%</f>
        <v>7190.5798400000012</v>
      </c>
      <c r="H69" s="58">
        <f>$D69*1.21%</f>
        <v>6797.3450050000001</v>
      </c>
      <c r="I69" s="58">
        <f>$D69*1.49%</f>
        <v>8370.284345</v>
      </c>
      <c r="J69" s="58">
        <f>D69*1.74%</f>
        <v>9774.6944700000004</v>
      </c>
      <c r="K69" s="43">
        <f>D69</f>
        <v>561764.05000000005</v>
      </c>
      <c r="L69" s="75">
        <f>SUM(E69:J69)</f>
        <v>561764.05000000016</v>
      </c>
      <c r="M69" s="86"/>
      <c r="N69" s="86"/>
    </row>
    <row r="70" spans="1:14" x14ac:dyDescent="0.3">
      <c r="A70" s="6" t="s">
        <v>245</v>
      </c>
      <c r="B70" s="6"/>
      <c r="C70" s="6" t="s">
        <v>336</v>
      </c>
      <c r="D70" s="221">
        <v>200479.44</v>
      </c>
      <c r="E70" s="68">
        <f t="shared" ref="E70:E71" si="7">D70*93.2%</f>
        <v>186846.83808000002</v>
      </c>
      <c r="F70" s="58">
        <f t="shared" ref="F70:F71" si="8">$D70*1.08%</f>
        <v>2165.177952</v>
      </c>
      <c r="G70" s="58">
        <f t="shared" ref="G70:G71" si="9">$D70*1.28%</f>
        <v>2566.1368320000001</v>
      </c>
      <c r="H70" s="58">
        <f t="shared" ref="H70:H71" si="10">$D70*1.21%</f>
        <v>2425.8012239999998</v>
      </c>
      <c r="I70" s="58">
        <f t="shared" ref="I70:I71" si="11">$D70*1.49%</f>
        <v>2987.1436560000002</v>
      </c>
      <c r="J70" s="58">
        <f t="shared" ref="J70:J71" si="12">D70*1.74%</f>
        <v>3488.3422559999999</v>
      </c>
      <c r="K70" s="43">
        <f t="shared" ref="K70:K85" si="13">D70</f>
        <v>200479.44</v>
      </c>
      <c r="L70" s="75">
        <f t="shared" ref="L70:L71" si="14">E70+J70+I70+H70+G70+F70</f>
        <v>200479.44</v>
      </c>
      <c r="M70" s="86"/>
      <c r="N70" s="86"/>
    </row>
    <row r="71" spans="1:14" x14ac:dyDescent="0.3">
      <c r="A71" s="6" t="s">
        <v>245</v>
      </c>
      <c r="B71" s="6"/>
      <c r="C71" s="6" t="s">
        <v>336</v>
      </c>
      <c r="D71" s="221">
        <v>2000000</v>
      </c>
      <c r="E71" s="68">
        <f t="shared" si="7"/>
        <v>1864000</v>
      </c>
      <c r="F71" s="58">
        <f t="shared" si="8"/>
        <v>21600</v>
      </c>
      <c r="G71" s="58">
        <f t="shared" si="9"/>
        <v>25600</v>
      </c>
      <c r="H71" s="58">
        <f t="shared" si="10"/>
        <v>24200</v>
      </c>
      <c r="I71" s="58">
        <f t="shared" si="11"/>
        <v>29800</v>
      </c>
      <c r="J71" s="58">
        <f t="shared" si="12"/>
        <v>34800</v>
      </c>
      <c r="K71" s="43">
        <f t="shared" si="13"/>
        <v>2000000</v>
      </c>
      <c r="L71" s="75">
        <f t="shared" si="14"/>
        <v>2000000</v>
      </c>
      <c r="M71" s="86"/>
      <c r="N71" s="86"/>
    </row>
    <row r="72" spans="1:14" x14ac:dyDescent="0.3">
      <c r="A72" s="6" t="s">
        <v>246</v>
      </c>
      <c r="B72" s="6"/>
      <c r="C72" s="6" t="s">
        <v>341</v>
      </c>
      <c r="D72" s="44">
        <f>109824+3824</f>
        <v>113648</v>
      </c>
      <c r="E72" s="68">
        <f>D72</f>
        <v>113648</v>
      </c>
      <c r="F72" s="58"/>
      <c r="G72" s="58"/>
      <c r="H72" s="58"/>
      <c r="I72" s="58"/>
      <c r="J72" s="58"/>
      <c r="K72" s="43">
        <f t="shared" si="13"/>
        <v>113648</v>
      </c>
      <c r="L72" s="75">
        <f>E72+J72+I72+H72+G72+F72</f>
        <v>113648</v>
      </c>
      <c r="M72" s="86">
        <f>L72-D72</f>
        <v>0</v>
      </c>
      <c r="N72" s="86">
        <f>K72-D72</f>
        <v>0</v>
      </c>
    </row>
    <row r="73" spans="1:14" x14ac:dyDescent="0.3">
      <c r="A73" s="6" t="s">
        <v>330</v>
      </c>
      <c r="B73" s="6"/>
      <c r="C73" s="35" t="s">
        <v>332</v>
      </c>
      <c r="D73" s="44">
        <v>309917.37</v>
      </c>
      <c r="E73" s="68">
        <f>D73</f>
        <v>309917.37</v>
      </c>
      <c r="F73" s="58"/>
      <c r="G73" s="58"/>
      <c r="H73" s="58"/>
      <c r="I73" s="58"/>
      <c r="J73" s="58"/>
      <c r="K73" s="43">
        <f t="shared" si="13"/>
        <v>309917.37</v>
      </c>
      <c r="L73" s="75">
        <f>E73+J73+I73+H73+G73+F73</f>
        <v>309917.37</v>
      </c>
      <c r="M73" s="86"/>
      <c r="N73" s="86"/>
    </row>
    <row r="74" spans="1:14" x14ac:dyDescent="0.3">
      <c r="A74" s="35" t="s">
        <v>300</v>
      </c>
      <c r="B74" s="35"/>
      <c r="C74" s="35" t="s">
        <v>339</v>
      </c>
      <c r="D74" s="44">
        <v>30000</v>
      </c>
      <c r="E74" s="68">
        <f>D74</f>
        <v>30000</v>
      </c>
      <c r="F74" s="58"/>
      <c r="G74" s="58"/>
      <c r="H74" s="58"/>
      <c r="I74" s="58"/>
      <c r="J74" s="58"/>
      <c r="K74" s="43">
        <f>D74</f>
        <v>30000</v>
      </c>
      <c r="L74" s="75">
        <f t="shared" ref="L74:L85" si="15">E74+J74+I74+H74+G74+F74</f>
        <v>30000</v>
      </c>
      <c r="M74" s="86">
        <f>L74-D74</f>
        <v>0</v>
      </c>
      <c r="N74" s="86">
        <f>K74-D74</f>
        <v>0</v>
      </c>
    </row>
    <row r="75" spans="1:14" x14ac:dyDescent="0.3">
      <c r="A75" s="35" t="s">
        <v>282</v>
      </c>
      <c r="B75" s="35"/>
      <c r="C75" s="35" t="s">
        <v>333</v>
      </c>
      <c r="D75" s="44">
        <v>6170.82</v>
      </c>
      <c r="E75" s="68">
        <f>D75*93.2%</f>
        <v>5751.20424</v>
      </c>
      <c r="F75" s="58">
        <f>$D75*1.08%</f>
        <v>66.644856000000004</v>
      </c>
      <c r="G75" s="58">
        <f>$D75*1.28%</f>
        <v>78.986496000000002</v>
      </c>
      <c r="H75" s="58">
        <f>$D75*1.21%</f>
        <v>74.666922</v>
      </c>
      <c r="I75" s="58">
        <f>$D75*1.49%</f>
        <v>91.945217999999997</v>
      </c>
      <c r="J75" s="58">
        <f>D75*1.74%</f>
        <v>107.37226799999999</v>
      </c>
      <c r="K75" s="43">
        <f t="shared" si="13"/>
        <v>6170.82</v>
      </c>
      <c r="L75" s="75">
        <f t="shared" si="15"/>
        <v>6170.8200000000006</v>
      </c>
      <c r="M75" s="86">
        <f>L75-D75</f>
        <v>0</v>
      </c>
      <c r="N75" s="86">
        <f t="shared" ref="N75:N85" si="16">K75-D75</f>
        <v>0</v>
      </c>
    </row>
    <row r="76" spans="1:14" x14ac:dyDescent="0.3">
      <c r="A76" s="35" t="s">
        <v>282</v>
      </c>
      <c r="B76" s="35"/>
      <c r="C76" s="35" t="s">
        <v>333</v>
      </c>
      <c r="D76" s="44">
        <v>5794.2</v>
      </c>
      <c r="E76" s="68">
        <f>D76*93.2%</f>
        <v>5400.1944000000003</v>
      </c>
      <c r="F76" s="58">
        <f>$D76*1.08%</f>
        <v>62.577359999999999</v>
      </c>
      <c r="G76" s="58">
        <f>$D76*1.28%</f>
        <v>74.165760000000006</v>
      </c>
      <c r="H76" s="58">
        <f>$D76*1.21%</f>
        <v>70.109819999999999</v>
      </c>
      <c r="I76" s="58">
        <f>$D76*1.49%</f>
        <v>86.333579999999998</v>
      </c>
      <c r="J76" s="58">
        <f>D76*1.74%</f>
        <v>100.81907999999999</v>
      </c>
      <c r="K76" s="43">
        <f t="shared" si="13"/>
        <v>5794.2</v>
      </c>
      <c r="L76" s="75">
        <f t="shared" si="15"/>
        <v>5794.2000000000007</v>
      </c>
      <c r="M76" s="86">
        <f t="shared" ref="M76:M78" si="17">L76-D76</f>
        <v>0</v>
      </c>
      <c r="N76" s="86">
        <f t="shared" si="16"/>
        <v>0</v>
      </c>
    </row>
    <row r="77" spans="1:14" x14ac:dyDescent="0.3">
      <c r="A77" s="35" t="s">
        <v>283</v>
      </c>
      <c r="B77" s="35"/>
      <c r="C77" s="35" t="s">
        <v>335</v>
      </c>
      <c r="D77" s="44">
        <v>374755.03</v>
      </c>
      <c r="E77" s="68">
        <f>D77*93.2%</f>
        <v>349271.68796000007</v>
      </c>
      <c r="F77" s="58">
        <f>$D77*1.08%</f>
        <v>4047.3543240000004</v>
      </c>
      <c r="G77" s="58">
        <f>$D77*1.28%</f>
        <v>4796.8643840000004</v>
      </c>
      <c r="H77" s="58">
        <f>$D77*1.21%</f>
        <v>4534.5358630000001</v>
      </c>
      <c r="I77" s="58">
        <f>$D77*1.49%</f>
        <v>5583.8499470000006</v>
      </c>
      <c r="J77" s="58">
        <f>D77*1.74%</f>
        <v>6520.7375220000004</v>
      </c>
      <c r="K77" s="43">
        <f t="shared" si="13"/>
        <v>374755.03</v>
      </c>
      <c r="L77" s="75">
        <f t="shared" si="15"/>
        <v>374755.03000000009</v>
      </c>
      <c r="M77" s="86">
        <f t="shared" si="17"/>
        <v>0</v>
      </c>
      <c r="N77" s="86">
        <f t="shared" si="16"/>
        <v>0</v>
      </c>
    </row>
    <row r="78" spans="1:14" x14ac:dyDescent="0.3">
      <c r="A78" s="35" t="s">
        <v>283</v>
      </c>
      <c r="B78" s="35"/>
      <c r="C78" s="35" t="s">
        <v>334</v>
      </c>
      <c r="D78" s="44">
        <v>976755.57</v>
      </c>
      <c r="E78" s="68">
        <f>D78*93.2%</f>
        <v>910336.19123999996</v>
      </c>
      <c r="F78" s="58">
        <f>$D78*1.08%</f>
        <v>10548.960155999999</v>
      </c>
      <c r="G78" s="58">
        <f>$D78*1.28%</f>
        <v>12502.471296</v>
      </c>
      <c r="H78" s="58">
        <f>$D78*1.21%</f>
        <v>11818.742396999998</v>
      </c>
      <c r="I78" s="58">
        <f>$D78*1.49%</f>
        <v>14553.657992999999</v>
      </c>
      <c r="J78" s="58">
        <f>D78*1.74%</f>
        <v>16995.546917999996</v>
      </c>
      <c r="K78" s="43">
        <f t="shared" si="13"/>
        <v>976755.57</v>
      </c>
      <c r="L78" s="75">
        <f t="shared" si="15"/>
        <v>976755.56999999983</v>
      </c>
      <c r="M78" s="86">
        <f t="shared" si="17"/>
        <v>0</v>
      </c>
      <c r="N78" s="86"/>
    </row>
    <row r="79" spans="1:14" x14ac:dyDescent="0.3">
      <c r="A79" s="35" t="s">
        <v>283</v>
      </c>
      <c r="B79" s="35"/>
      <c r="C79" s="35" t="s">
        <v>334</v>
      </c>
      <c r="D79" s="44">
        <v>982560.93</v>
      </c>
      <c r="E79" s="68">
        <f>D79*93.2%</f>
        <v>915746.78676000005</v>
      </c>
      <c r="F79" s="58">
        <f>$D79*1.08%</f>
        <v>10611.658044000002</v>
      </c>
      <c r="G79" s="58">
        <f>$D79*1.28%</f>
        <v>12576.779904000001</v>
      </c>
      <c r="H79" s="58">
        <f>$D79*1.21%</f>
        <v>11888.987253000001</v>
      </c>
      <c r="I79" s="58">
        <f>$D79*1.49%</f>
        <v>14640.157857</v>
      </c>
      <c r="J79" s="58">
        <f>D79*1.74%</f>
        <v>17096.560182000001</v>
      </c>
      <c r="K79" s="43">
        <f t="shared" si="13"/>
        <v>982560.93</v>
      </c>
      <c r="L79" s="75">
        <f t="shared" si="15"/>
        <v>982560.93000000017</v>
      </c>
      <c r="M79" s="86">
        <f>L79-D79</f>
        <v>0</v>
      </c>
      <c r="N79" s="86">
        <f t="shared" si="16"/>
        <v>0</v>
      </c>
    </row>
    <row r="80" spans="1:14" x14ac:dyDescent="0.3">
      <c r="A80" s="156" t="s">
        <v>281</v>
      </c>
      <c r="B80" s="154"/>
      <c r="C80" s="154"/>
      <c r="D80" s="44"/>
      <c r="E80" s="68">
        <f t="shared" ref="E80" si="18">D80</f>
        <v>0</v>
      </c>
      <c r="F80" s="68"/>
      <c r="G80" s="68"/>
      <c r="H80" s="68"/>
      <c r="I80" s="68"/>
      <c r="J80" s="58"/>
      <c r="K80" s="43">
        <f t="shared" si="13"/>
        <v>0</v>
      </c>
      <c r="L80" s="75">
        <f t="shared" si="15"/>
        <v>0</v>
      </c>
      <c r="M80" s="86">
        <f>L80-D80</f>
        <v>0</v>
      </c>
      <c r="N80" s="86">
        <f t="shared" si="16"/>
        <v>0</v>
      </c>
    </row>
    <row r="81" spans="1:14" x14ac:dyDescent="0.3">
      <c r="A81" s="156"/>
      <c r="B81" s="154"/>
      <c r="C81" s="154"/>
      <c r="D81" s="44"/>
      <c r="E81" s="68"/>
      <c r="F81" s="68"/>
      <c r="G81" s="68"/>
      <c r="H81" s="68"/>
      <c r="I81" s="68"/>
      <c r="J81" s="58"/>
      <c r="K81" s="43">
        <f t="shared" si="13"/>
        <v>0</v>
      </c>
      <c r="L81" s="75">
        <f t="shared" si="15"/>
        <v>0</v>
      </c>
      <c r="M81" s="86"/>
      <c r="N81" s="86">
        <f t="shared" si="16"/>
        <v>0</v>
      </c>
    </row>
    <row r="82" spans="1:14" ht="29.25" customHeight="1" x14ac:dyDescent="0.3">
      <c r="A82" s="248"/>
      <c r="B82" s="249"/>
      <c r="C82" s="251"/>
      <c r="D82" s="44"/>
      <c r="E82" s="68"/>
      <c r="F82" s="68"/>
      <c r="G82" s="68"/>
      <c r="H82" s="68"/>
      <c r="I82" s="68"/>
      <c r="J82" s="58"/>
      <c r="K82" s="43">
        <f t="shared" si="13"/>
        <v>0</v>
      </c>
      <c r="L82" s="75">
        <f t="shared" si="15"/>
        <v>0</v>
      </c>
      <c r="M82" s="86"/>
      <c r="N82" s="86">
        <f t="shared" si="16"/>
        <v>0</v>
      </c>
    </row>
    <row r="83" spans="1:14" ht="18.75" customHeight="1" x14ac:dyDescent="0.3">
      <c r="A83" s="248"/>
      <c r="B83" s="249"/>
      <c r="C83" s="251"/>
      <c r="D83" s="44"/>
      <c r="E83" s="68"/>
      <c r="F83" s="68"/>
      <c r="G83" s="68"/>
      <c r="H83" s="68"/>
      <c r="I83" s="68"/>
      <c r="J83" s="58"/>
      <c r="K83" s="43">
        <f t="shared" si="13"/>
        <v>0</v>
      </c>
      <c r="L83" s="75">
        <f t="shared" si="15"/>
        <v>0</v>
      </c>
      <c r="M83" s="86"/>
      <c r="N83" s="86">
        <f t="shared" si="16"/>
        <v>0</v>
      </c>
    </row>
    <row r="84" spans="1:14" ht="29.25" customHeight="1" x14ac:dyDescent="0.3">
      <c r="A84" s="152"/>
      <c r="B84" s="153"/>
      <c r="C84" s="84"/>
      <c r="D84" s="44"/>
      <c r="E84" s="68"/>
      <c r="F84" s="68"/>
      <c r="G84" s="68"/>
      <c r="H84" s="68"/>
      <c r="I84" s="68"/>
      <c r="J84" s="58"/>
      <c r="K84" s="43">
        <f t="shared" si="13"/>
        <v>0</v>
      </c>
      <c r="L84" s="75">
        <f t="shared" si="15"/>
        <v>0</v>
      </c>
      <c r="M84" s="86"/>
      <c r="N84" s="86">
        <f t="shared" si="16"/>
        <v>0</v>
      </c>
    </row>
    <row r="85" spans="1:14" ht="15" customHeight="1" x14ac:dyDescent="0.3">
      <c r="A85" s="144"/>
      <c r="B85" s="144"/>
      <c r="C85" s="155"/>
      <c r="D85" s="44"/>
      <c r="E85" s="68"/>
      <c r="F85" s="68"/>
      <c r="G85" s="68"/>
      <c r="H85" s="68"/>
      <c r="I85" s="68"/>
      <c r="J85" s="58"/>
      <c r="K85" s="43">
        <f t="shared" si="13"/>
        <v>0</v>
      </c>
      <c r="L85" s="75">
        <f t="shared" si="15"/>
        <v>0</v>
      </c>
      <c r="M85" s="86">
        <f>L85-D85</f>
        <v>0</v>
      </c>
      <c r="N85" s="86">
        <f t="shared" si="16"/>
        <v>0</v>
      </c>
    </row>
    <row r="86" spans="1:14" x14ac:dyDescent="0.3">
      <c r="A86" s="71"/>
      <c r="B86" s="72"/>
      <c r="C86" s="72"/>
      <c r="D86" s="78"/>
      <c r="E86" s="68"/>
      <c r="F86" s="68"/>
      <c r="G86" s="68"/>
      <c r="H86" s="68"/>
      <c r="I86" s="68"/>
      <c r="J86" s="58"/>
      <c r="K86" s="43"/>
      <c r="L86" s="75"/>
      <c r="M86" t="str">
        <f>IF(K86=L86, "", "Error")</f>
        <v/>
      </c>
    </row>
    <row r="87" spans="1:14" ht="14.25" customHeight="1" x14ac:dyDescent="0.3">
      <c r="A87" s="33" t="s">
        <v>5</v>
      </c>
      <c r="B87" s="34"/>
      <c r="C87" s="34"/>
      <c r="D87" s="42">
        <f t="shared" ref="D87:J87" si="19">SUM(D68:D86)</f>
        <v>5804281.7000000002</v>
      </c>
      <c r="E87" s="42">
        <f t="shared" si="19"/>
        <v>5440432.9895600006</v>
      </c>
      <c r="F87" s="42">
        <f t="shared" si="19"/>
        <v>57787.736364000004</v>
      </c>
      <c r="G87" s="42">
        <f t="shared" si="19"/>
        <v>68489.169024000003</v>
      </c>
      <c r="H87" s="42">
        <f t="shared" si="19"/>
        <v>64743.667592999991</v>
      </c>
      <c r="I87" s="42">
        <f t="shared" si="19"/>
        <v>79725.673317000008</v>
      </c>
      <c r="J87" s="42">
        <f t="shared" si="19"/>
        <v>93102.464141999997</v>
      </c>
      <c r="K87" s="43">
        <f>E87+J87+F87+G87+H87+I87</f>
        <v>5804281.7000000011</v>
      </c>
      <c r="L87" s="69" t="str">
        <f>IF(D87=K87, "", "Error")</f>
        <v/>
      </c>
      <c r="M87" s="86">
        <f>D87-K87</f>
        <v>0</v>
      </c>
    </row>
    <row r="88" spans="1:14" hidden="1" x14ac:dyDescent="0.3">
      <c r="A88" s="6"/>
      <c r="B88" s="6"/>
      <c r="C88" s="6"/>
      <c r="D88" s="90"/>
      <c r="E88" s="46"/>
      <c r="F88" s="46"/>
      <c r="G88" s="46"/>
      <c r="H88" s="46"/>
      <c r="I88" s="46"/>
      <c r="J88" s="6"/>
      <c r="L88" s="69"/>
    </row>
    <row r="89" spans="1:14" hidden="1" x14ac:dyDescent="0.3">
      <c r="A89" s="6"/>
      <c r="B89" s="6"/>
      <c r="C89" s="6"/>
      <c r="D89" s="90"/>
      <c r="E89" s="45"/>
      <c r="F89" s="45"/>
      <c r="G89" s="45"/>
      <c r="H89" s="45"/>
      <c r="I89" s="45"/>
      <c r="J89" s="6"/>
      <c r="L89" s="69"/>
    </row>
    <row r="90" spans="1:14" x14ac:dyDescent="0.3">
      <c r="A90" s="32" t="s">
        <v>231</v>
      </c>
      <c r="B90" s="6"/>
      <c r="C90" s="6"/>
      <c r="D90" s="90"/>
      <c r="E90" s="45"/>
      <c r="F90" s="45"/>
      <c r="G90" s="45"/>
      <c r="H90" s="45"/>
      <c r="I90" s="45"/>
      <c r="J90" s="6"/>
      <c r="L90" s="69"/>
    </row>
    <row r="91" spans="1:14" x14ac:dyDescent="0.3">
      <c r="A91" s="6" t="s">
        <v>331</v>
      </c>
      <c r="B91" s="35"/>
      <c r="C91" s="35" t="s">
        <v>332</v>
      </c>
      <c r="D91" s="44">
        <v>467500</v>
      </c>
      <c r="E91" s="68">
        <f>D91*93.2%</f>
        <v>435710</v>
      </c>
      <c r="F91" s="58">
        <f>$D91*1.08%</f>
        <v>5049</v>
      </c>
      <c r="G91" s="58">
        <f>$D91*1.28%</f>
        <v>5984</v>
      </c>
      <c r="H91" s="58">
        <f>$D91*1.21%</f>
        <v>5656.75</v>
      </c>
      <c r="I91" s="58">
        <f>$D91*1.49%</f>
        <v>6965.75</v>
      </c>
      <c r="J91" s="58">
        <f>D91*1.74%</f>
        <v>8134.4999999999991</v>
      </c>
      <c r="K91" s="74"/>
      <c r="L91" s="69"/>
    </row>
    <row r="92" spans="1:14" x14ac:dyDescent="0.3">
      <c r="A92" s="6"/>
      <c r="B92" s="35"/>
      <c r="C92" s="6"/>
      <c r="D92" s="44"/>
      <c r="E92" s="68">
        <f>D92</f>
        <v>0</v>
      </c>
      <c r="F92" s="58"/>
      <c r="G92" s="58"/>
      <c r="H92" s="58"/>
      <c r="I92" s="58"/>
      <c r="J92" s="58"/>
      <c r="K92" s="74"/>
      <c r="L92" s="69"/>
    </row>
    <row r="93" spans="1:14" x14ac:dyDescent="0.3">
      <c r="A93" s="6"/>
      <c r="B93" s="35"/>
      <c r="C93" s="6"/>
      <c r="D93" s="44"/>
      <c r="E93" s="68"/>
      <c r="F93" s="58"/>
      <c r="G93" s="58"/>
      <c r="H93" s="58"/>
      <c r="I93" s="58"/>
      <c r="J93" s="58"/>
      <c r="K93" s="74"/>
      <c r="L93" s="69"/>
    </row>
    <row r="94" spans="1:14" x14ac:dyDescent="0.3">
      <c r="A94" s="6"/>
      <c r="B94" s="35"/>
      <c r="C94" s="6"/>
      <c r="D94" s="44"/>
      <c r="E94" s="68"/>
      <c r="F94" s="58"/>
      <c r="G94" s="58"/>
      <c r="H94" s="58"/>
      <c r="I94" s="58"/>
      <c r="J94" s="58"/>
      <c r="K94" s="74"/>
      <c r="L94" s="69"/>
    </row>
    <row r="95" spans="1:14" x14ac:dyDescent="0.3">
      <c r="A95" s="6"/>
      <c r="B95" s="35"/>
      <c r="C95" s="6"/>
      <c r="D95" s="44"/>
      <c r="E95" s="76"/>
      <c r="F95" s="76"/>
      <c r="G95" s="76"/>
      <c r="H95" s="76"/>
      <c r="I95" s="76"/>
      <c r="J95" s="58"/>
      <c r="K95" s="74"/>
      <c r="L95" s="69"/>
    </row>
    <row r="96" spans="1:14" x14ac:dyDescent="0.3">
      <c r="A96" s="6"/>
      <c r="B96" s="6"/>
      <c r="C96" s="6"/>
      <c r="D96" s="44"/>
      <c r="E96" s="68"/>
      <c r="F96" s="58"/>
      <c r="G96" s="58"/>
      <c r="H96" s="58"/>
      <c r="I96" s="58"/>
      <c r="J96" s="58"/>
      <c r="L96" s="69"/>
      <c r="M96" s="43"/>
    </row>
    <row r="97" spans="1:14" ht="13.5" customHeight="1" x14ac:dyDescent="0.3">
      <c r="A97" s="33" t="s">
        <v>232</v>
      </c>
      <c r="B97" s="33"/>
      <c r="C97" s="33"/>
      <c r="D97" s="42">
        <f>SUM(D91:D96)</f>
        <v>467500</v>
      </c>
      <c r="E97" s="42">
        <f t="shared" ref="E97:J97" si="20">SUM(E91:E96)</f>
        <v>435710</v>
      </c>
      <c r="F97" s="42">
        <f t="shared" si="20"/>
        <v>5049</v>
      </c>
      <c r="G97" s="42">
        <f t="shared" si="20"/>
        <v>5984</v>
      </c>
      <c r="H97" s="42">
        <f t="shared" si="20"/>
        <v>5656.75</v>
      </c>
      <c r="I97" s="42">
        <f t="shared" si="20"/>
        <v>6965.75</v>
      </c>
      <c r="J97" s="42">
        <f t="shared" si="20"/>
        <v>8134.4999999999991</v>
      </c>
      <c r="K97" s="43">
        <f>E97+J97+F97+G97+H97+I97</f>
        <v>467500</v>
      </c>
      <c r="L97" s="69" t="str">
        <f>IF(D97=K97, "", "Error")</f>
        <v/>
      </c>
      <c r="N97" s="43"/>
    </row>
    <row r="98" spans="1:14" hidden="1" x14ac:dyDescent="0.3">
      <c r="A98" s="6"/>
      <c r="B98" s="6"/>
      <c r="C98" s="6"/>
      <c r="D98" s="90"/>
      <c r="E98" s="46"/>
      <c r="F98" s="46"/>
      <c r="G98" s="46"/>
      <c r="H98" s="46"/>
      <c r="I98" s="46"/>
      <c r="J98" s="6"/>
      <c r="L98" s="69"/>
    </row>
    <row r="99" spans="1:14" hidden="1" x14ac:dyDescent="0.3">
      <c r="A99" s="6"/>
      <c r="B99" s="6"/>
      <c r="C99" s="6"/>
      <c r="D99" s="90"/>
      <c r="E99" s="45"/>
      <c r="F99" s="45"/>
      <c r="G99" s="45"/>
      <c r="H99" s="45"/>
      <c r="I99" s="45"/>
      <c r="J99" s="6"/>
      <c r="L99" s="69"/>
    </row>
    <row r="100" spans="1:14" x14ac:dyDescent="0.3">
      <c r="A100" s="32" t="s">
        <v>6</v>
      </c>
      <c r="B100" s="6"/>
      <c r="C100" s="6"/>
      <c r="D100" s="90"/>
      <c r="E100" s="45"/>
      <c r="F100" s="45"/>
      <c r="G100" s="45"/>
      <c r="H100" s="45"/>
      <c r="I100" s="45"/>
      <c r="J100" s="6"/>
      <c r="L100" s="69"/>
    </row>
    <row r="101" spans="1:14" ht="14.25" customHeight="1" x14ac:dyDescent="0.3">
      <c r="A101" s="6" t="s">
        <v>7</v>
      </c>
      <c r="B101" s="6" t="s">
        <v>39</v>
      </c>
      <c r="C101" s="6"/>
      <c r="D101" s="44">
        <v>753700</v>
      </c>
      <c r="E101" s="68">
        <f>D101*93.2%</f>
        <v>702448.4</v>
      </c>
      <c r="F101" s="58">
        <f>$D101*1.08%</f>
        <v>8139.96</v>
      </c>
      <c r="G101" s="58">
        <f>$D101*1.28%</f>
        <v>9647.36</v>
      </c>
      <c r="H101" s="58">
        <f>$D101*1.21%</f>
        <v>9119.77</v>
      </c>
      <c r="I101" s="58">
        <f>$D101*1.49%</f>
        <v>11230.13</v>
      </c>
      <c r="J101" s="58">
        <f>D101*1.74%</f>
        <v>13114.38</v>
      </c>
      <c r="L101" s="69" t="s">
        <v>353</v>
      </c>
    </row>
    <row r="102" spans="1:14" x14ac:dyDescent="0.3">
      <c r="A102" s="32"/>
      <c r="B102" s="6"/>
      <c r="C102" s="6"/>
      <c r="D102" s="44"/>
      <c r="E102" s="68"/>
      <c r="F102" s="68"/>
      <c r="G102" s="68"/>
      <c r="H102" s="68"/>
      <c r="I102" s="68"/>
      <c r="J102" s="58"/>
      <c r="L102" s="69"/>
      <c r="N102" s="44"/>
    </row>
    <row r="103" spans="1:14" x14ac:dyDescent="0.3">
      <c r="A103" s="6"/>
      <c r="B103" s="6"/>
      <c r="C103" s="6"/>
      <c r="D103" s="90"/>
      <c r="E103" s="47"/>
      <c r="F103" s="47"/>
      <c r="G103" s="47"/>
      <c r="H103" s="47"/>
      <c r="I103" s="47"/>
      <c r="J103" s="6"/>
      <c r="L103" s="69"/>
      <c r="N103" s="43"/>
    </row>
    <row r="104" spans="1:14" x14ac:dyDescent="0.3">
      <c r="A104" s="33" t="s">
        <v>8</v>
      </c>
      <c r="B104" s="33"/>
      <c r="C104" s="33"/>
      <c r="D104" s="42">
        <f>SUM(D101:D103)</f>
        <v>753700</v>
      </c>
      <c r="E104" s="42">
        <f>SUM(E101:E103)</f>
        <v>702448.4</v>
      </c>
      <c r="F104" s="42">
        <f t="shared" ref="F104:I104" si="21">SUM(F101:F103)</f>
        <v>8139.96</v>
      </c>
      <c r="G104" s="42">
        <f t="shared" si="21"/>
        <v>9647.36</v>
      </c>
      <c r="H104" s="42">
        <f t="shared" si="21"/>
        <v>9119.77</v>
      </c>
      <c r="I104" s="42">
        <f t="shared" si="21"/>
        <v>11230.13</v>
      </c>
      <c r="J104" s="42">
        <f>SUM(J101:J103)</f>
        <v>13114.38</v>
      </c>
      <c r="K104" s="43">
        <f>E104+J104+F104+G104+H104+I104</f>
        <v>753700</v>
      </c>
      <c r="L104" s="69" t="str">
        <f>IF(D104=K104, "", "Error")</f>
        <v/>
      </c>
      <c r="N104" s="43"/>
    </row>
    <row r="105" spans="1:14" x14ac:dyDescent="0.3">
      <c r="A105" s="6" t="s">
        <v>28</v>
      </c>
      <c r="B105" s="6"/>
      <c r="C105" s="6"/>
      <c r="D105" s="44">
        <v>162451.64000000001</v>
      </c>
      <c r="E105" s="68">
        <f>D105*93.2%</f>
        <v>151404.92848000003</v>
      </c>
      <c r="F105" s="58">
        <f>$D105*1.08%</f>
        <v>1754.4777120000003</v>
      </c>
      <c r="G105" s="58">
        <f>$D105*1.28%</f>
        <v>2079.3809920000003</v>
      </c>
      <c r="H105" s="58">
        <f>$D105*1.21%</f>
        <v>1965.6648440000001</v>
      </c>
      <c r="I105" s="58">
        <f>$D105*1.49%</f>
        <v>2420.5294360000003</v>
      </c>
      <c r="J105" s="58">
        <f>D105*1.74%</f>
        <v>2826.6585359999999</v>
      </c>
      <c r="L105" s="69"/>
    </row>
    <row r="106" spans="1:14" x14ac:dyDescent="0.3">
      <c r="A106" s="6" t="s">
        <v>29</v>
      </c>
      <c r="B106" s="6"/>
      <c r="C106" s="51"/>
      <c r="D106" s="44"/>
      <c r="E106" s="68">
        <f>D106*93.2%</f>
        <v>0</v>
      </c>
      <c r="F106" s="58">
        <f>$D106*1.08%</f>
        <v>0</v>
      </c>
      <c r="G106" s="58">
        <f>$D106*1.28%</f>
        <v>0</v>
      </c>
      <c r="H106" s="58">
        <f>$D106*1.21%</f>
        <v>0</v>
      </c>
      <c r="I106" s="58">
        <f>$D106*1.49%</f>
        <v>0</v>
      </c>
      <c r="J106" s="58">
        <f>D106*1.74%</f>
        <v>0</v>
      </c>
      <c r="L106" s="69"/>
    </row>
    <row r="107" spans="1:14" x14ac:dyDescent="0.3">
      <c r="A107" s="33" t="s">
        <v>233</v>
      </c>
      <c r="B107" s="33"/>
      <c r="C107" s="33"/>
      <c r="D107" s="73">
        <f>SUM(D105:D106)</f>
        <v>162451.64000000001</v>
      </c>
      <c r="E107" s="67">
        <f t="shared" ref="E107:J107" si="22">SUM(E105:E106)</f>
        <v>151404.92848000003</v>
      </c>
      <c r="F107" s="67">
        <f t="shared" si="22"/>
        <v>1754.4777120000003</v>
      </c>
      <c r="G107" s="67">
        <f t="shared" si="22"/>
        <v>2079.3809920000003</v>
      </c>
      <c r="H107" s="67">
        <f t="shared" si="22"/>
        <v>1965.6648440000001</v>
      </c>
      <c r="I107" s="67">
        <f t="shared" si="22"/>
        <v>2420.5294360000003</v>
      </c>
      <c r="J107" s="67">
        <f t="shared" si="22"/>
        <v>2826.6585359999999</v>
      </c>
      <c r="K107" s="43">
        <f>E107+J107+F107+G107+H107+I107</f>
        <v>162451.64000000004</v>
      </c>
      <c r="L107" s="69" t="str">
        <f>IF(D107=K107, "", "Error")</f>
        <v/>
      </c>
    </row>
    <row r="108" spans="1:14" ht="15" thickBot="1" x14ac:dyDescent="0.35">
      <c r="A108" s="104"/>
      <c r="B108" s="104"/>
      <c r="C108" s="104"/>
      <c r="D108" s="105"/>
      <c r="E108" s="9"/>
      <c r="F108" s="9"/>
      <c r="G108" s="9"/>
      <c r="H108" s="9"/>
      <c r="I108" s="9"/>
      <c r="J108" s="104"/>
      <c r="L108" s="69"/>
    </row>
    <row r="109" spans="1:14" ht="15" thickBot="1" x14ac:dyDescent="0.35">
      <c r="A109" s="106" t="s">
        <v>46</v>
      </c>
      <c r="B109" s="107"/>
      <c r="C109" s="107"/>
      <c r="D109" s="108">
        <f>11000000-9608383.86</f>
        <v>1391616.1400000006</v>
      </c>
      <c r="E109" s="131">
        <f>D109*93.2%</f>
        <v>1296986.2424800007</v>
      </c>
      <c r="F109" s="131">
        <f>$D109*1.08%</f>
        <v>15029.454312000007</v>
      </c>
      <c r="G109" s="131">
        <f>$D109*1.28%</f>
        <v>17812.686592000009</v>
      </c>
      <c r="H109" s="131">
        <f>$D109*1.21%</f>
        <v>16838.555294000005</v>
      </c>
      <c r="I109" s="131">
        <f>$D109*1.49%</f>
        <v>20735.08048600001</v>
      </c>
      <c r="J109" s="132">
        <f>D109*1.74%</f>
        <v>24214.120836000009</v>
      </c>
      <c r="K109" s="43">
        <f>E109+J109+F109+G109+H109+I109</f>
        <v>1391616.1400000008</v>
      </c>
      <c r="L109" s="69" t="str">
        <f>IF(D109=K109, "", "Error")</f>
        <v/>
      </c>
    </row>
    <row r="110" spans="1:14" ht="15" thickBot="1" x14ac:dyDescent="0.35">
      <c r="A110" s="109"/>
      <c r="B110" s="110"/>
      <c r="C110" s="110"/>
      <c r="D110" s="111"/>
      <c r="E110" s="112"/>
      <c r="F110" s="112"/>
      <c r="G110" s="112"/>
      <c r="H110" s="112"/>
      <c r="I110" s="112"/>
      <c r="J110" s="113"/>
      <c r="K110" s="43"/>
      <c r="L110" s="69"/>
    </row>
    <row r="111" spans="1:14" ht="15" thickBot="1" x14ac:dyDescent="0.35">
      <c r="A111" s="3" t="s">
        <v>30</v>
      </c>
      <c r="B111" s="11"/>
      <c r="C111" s="4"/>
      <c r="D111" s="91">
        <f t="shared" ref="D111:J111" si="23">SUM(D109+D57+D52+D107+D104+D97+D87+D66+D47+D42+D61)</f>
        <v>11000000</v>
      </c>
      <c r="E111" s="91">
        <f t="shared" si="23"/>
        <v>10282842.445160002</v>
      </c>
      <c r="F111" s="91">
        <f t="shared" si="23"/>
        <v>113901.49400400001</v>
      </c>
      <c r="G111" s="91">
        <f t="shared" si="23"/>
        <v>134994.36326400004</v>
      </c>
      <c r="H111" s="91">
        <f t="shared" si="23"/>
        <v>127611.859023</v>
      </c>
      <c r="I111" s="91">
        <f t="shared" si="23"/>
        <v>157141.87598700004</v>
      </c>
      <c r="J111" s="91">
        <f t="shared" si="23"/>
        <v>183507.96256200003</v>
      </c>
      <c r="K111" s="61">
        <f>E111+J111+F111+G111+H111+I111</f>
        <v>11000000.000000002</v>
      </c>
      <c r="L111" s="69" t="str">
        <f>IF(D111=K111, "", "Error")</f>
        <v/>
      </c>
      <c r="M111" s="86">
        <f>D111-K111</f>
        <v>0</v>
      </c>
    </row>
    <row r="112" spans="1:14" ht="15" thickBot="1" x14ac:dyDescent="0.35">
      <c r="D112" s="89"/>
      <c r="E112" s="43"/>
      <c r="F112" s="43"/>
      <c r="G112" s="43"/>
      <c r="H112" s="43"/>
      <c r="I112" s="43"/>
    </row>
    <row r="113" spans="1:10" ht="15" thickBot="1" x14ac:dyDescent="0.35">
      <c r="A113" s="64" t="s">
        <v>41</v>
      </c>
      <c r="B113" s="63"/>
      <c r="C113" s="63"/>
      <c r="E113" s="43"/>
      <c r="F113" s="43"/>
      <c r="G113" s="43"/>
      <c r="H113" s="43"/>
      <c r="I113" s="43"/>
    </row>
    <row r="114" spans="1:10" x14ac:dyDescent="0.3">
      <c r="A114" s="1" t="s">
        <v>343</v>
      </c>
      <c r="C114" s="136">
        <v>25000</v>
      </c>
      <c r="E114" s="43"/>
      <c r="F114" s="43"/>
      <c r="G114" s="43"/>
      <c r="H114" s="43"/>
      <c r="I114" s="43"/>
    </row>
    <row r="115" spans="1:10" x14ac:dyDescent="0.3">
      <c r="A115" s="1" t="s">
        <v>344</v>
      </c>
      <c r="C115" s="136">
        <v>25000</v>
      </c>
      <c r="E115" s="43"/>
      <c r="F115" s="43"/>
      <c r="G115" s="43"/>
      <c r="H115" s="43"/>
      <c r="I115" s="43"/>
    </row>
    <row r="116" spans="1:10" x14ac:dyDescent="0.3">
      <c r="A116" s="1" t="s">
        <v>345</v>
      </c>
      <c r="C116" s="136">
        <v>12000</v>
      </c>
      <c r="E116" s="43"/>
      <c r="F116" s="43"/>
      <c r="G116" s="43"/>
      <c r="H116" s="43"/>
      <c r="I116" s="43"/>
    </row>
    <row r="117" spans="1:10" x14ac:dyDescent="0.3">
      <c r="A117" s="1" t="s">
        <v>346</v>
      </c>
      <c r="C117" s="136">
        <v>12000</v>
      </c>
      <c r="E117" s="43"/>
      <c r="F117" s="43"/>
      <c r="G117" s="43"/>
      <c r="H117" s="43"/>
      <c r="I117" s="43"/>
    </row>
    <row r="118" spans="1:10" x14ac:dyDescent="0.3">
      <c r="A118" s="1" t="s">
        <v>347</v>
      </c>
      <c r="C118" s="136">
        <v>12000</v>
      </c>
      <c r="E118" s="43"/>
      <c r="F118" s="43"/>
      <c r="G118" s="43"/>
      <c r="H118" s="43"/>
      <c r="I118" s="43"/>
    </row>
    <row r="119" spans="1:10" x14ac:dyDescent="0.3">
      <c r="A119" s="1" t="s">
        <v>348</v>
      </c>
      <c r="C119" s="136">
        <v>12000</v>
      </c>
      <c r="E119" s="43"/>
      <c r="F119" s="43"/>
      <c r="G119" s="43"/>
      <c r="H119" s="43"/>
      <c r="I119" s="43"/>
    </row>
    <row r="120" spans="1:10" x14ac:dyDescent="0.3">
      <c r="A120" s="1" t="s">
        <v>349</v>
      </c>
      <c r="C120" s="136">
        <v>12000</v>
      </c>
      <c r="E120" s="43"/>
      <c r="F120" s="43"/>
      <c r="G120" s="43"/>
      <c r="H120" s="43"/>
      <c r="I120" s="43"/>
    </row>
    <row r="121" spans="1:10" x14ac:dyDescent="0.3">
      <c r="A121" s="1" t="s">
        <v>352</v>
      </c>
      <c r="C121" s="136">
        <v>24000</v>
      </c>
      <c r="E121" s="43"/>
      <c r="F121" s="43"/>
      <c r="G121" s="43"/>
      <c r="H121" s="43"/>
      <c r="I121" s="43"/>
    </row>
    <row r="122" spans="1:10" x14ac:dyDescent="0.3">
      <c r="A122" s="1" t="s">
        <v>351</v>
      </c>
      <c r="C122" s="136">
        <f>3*12000</f>
        <v>36000</v>
      </c>
      <c r="E122" s="43"/>
      <c r="F122" s="43"/>
      <c r="G122" s="43"/>
      <c r="H122" s="43"/>
      <c r="I122" s="43"/>
    </row>
    <row r="123" spans="1:10" ht="15" thickBot="1" x14ac:dyDescent="0.35">
      <c r="A123" s="1" t="s">
        <v>350</v>
      </c>
      <c r="C123" s="136">
        <f>3*12000</f>
        <v>36000</v>
      </c>
      <c r="E123" s="43"/>
      <c r="F123" s="43"/>
      <c r="G123" s="43"/>
      <c r="H123" s="43"/>
      <c r="I123" s="43"/>
    </row>
    <row r="124" spans="1:10" ht="15" thickBot="1" x14ac:dyDescent="0.35">
      <c r="A124" s="65" t="s">
        <v>17</v>
      </c>
      <c r="B124" s="66"/>
      <c r="C124" s="62">
        <f>SUM(C114:C123)</f>
        <v>206000</v>
      </c>
      <c r="E124" s="43"/>
      <c r="F124" s="43"/>
      <c r="G124" s="43"/>
      <c r="H124" s="43"/>
      <c r="I124" s="43"/>
    </row>
    <row r="125" spans="1:10" x14ac:dyDescent="0.3">
      <c r="E125" s="43"/>
      <c r="F125" s="43"/>
      <c r="G125" s="43"/>
      <c r="H125" s="43"/>
      <c r="I125" s="43"/>
    </row>
    <row r="126" spans="1:10" x14ac:dyDescent="0.3">
      <c r="E126" s="60"/>
      <c r="F126" s="60"/>
      <c r="G126" s="60"/>
      <c r="H126" s="60"/>
      <c r="I126" s="60"/>
    </row>
    <row r="127" spans="1:10" x14ac:dyDescent="0.3">
      <c r="A127" s="246" t="s">
        <v>36</v>
      </c>
      <c r="B127" s="247"/>
      <c r="C127" s="247"/>
      <c r="D127" s="247"/>
      <c r="E127" s="82" t="s">
        <v>11</v>
      </c>
      <c r="F127" s="82" t="s">
        <v>173</v>
      </c>
      <c r="G127" s="82" t="s">
        <v>174</v>
      </c>
      <c r="H127" s="82" t="s">
        <v>175</v>
      </c>
      <c r="I127" s="82" t="s">
        <v>176</v>
      </c>
      <c r="J127" s="83" t="s">
        <v>177</v>
      </c>
    </row>
    <row r="128" spans="1:10" ht="22.5" customHeight="1" x14ac:dyDescent="0.3">
      <c r="A128" s="248"/>
      <c r="B128" s="249"/>
      <c r="C128" s="84"/>
      <c r="D128" s="44"/>
      <c r="E128" s="68">
        <f>D128</f>
        <v>0</v>
      </c>
      <c r="F128" s="68"/>
      <c r="G128" s="68"/>
      <c r="H128" s="68"/>
      <c r="I128" s="68"/>
      <c r="J128" s="58"/>
    </row>
    <row r="129" spans="1:13" ht="24.75" customHeight="1" x14ac:dyDescent="0.3">
      <c r="A129" s="248"/>
      <c r="B129" s="249"/>
      <c r="C129" s="84"/>
      <c r="D129" s="44"/>
      <c r="E129" s="68"/>
      <c r="F129" s="68"/>
      <c r="G129" s="68"/>
      <c r="H129" s="68"/>
      <c r="I129" s="68"/>
      <c r="J129" s="58"/>
    </row>
    <row r="130" spans="1:13" x14ac:dyDescent="0.3">
      <c r="A130" s="243" t="s">
        <v>17</v>
      </c>
      <c r="B130" s="244"/>
      <c r="C130" s="245"/>
      <c r="D130" s="81">
        <f>SUM(D128:D129)</f>
        <v>0</v>
      </c>
      <c r="E130" s="81">
        <f>SUM(E128:E129)</f>
        <v>0</v>
      </c>
      <c r="F130" s="81"/>
      <c r="G130" s="81"/>
      <c r="H130" s="81"/>
      <c r="I130" s="81"/>
      <c r="J130" s="81">
        <f>SUM(J128:J129)</f>
        <v>0</v>
      </c>
      <c r="L130" s="43">
        <f>E130+J130</f>
        <v>0</v>
      </c>
      <c r="M130" s="69" t="str">
        <f>IF(D130=L130, "", "Error")</f>
        <v/>
      </c>
    </row>
    <row r="132" spans="1:13" ht="15" thickBot="1" x14ac:dyDescent="0.35">
      <c r="E132" s="43"/>
      <c r="F132" s="43"/>
      <c r="G132" s="43"/>
      <c r="H132" s="43"/>
      <c r="I132" s="43"/>
    </row>
    <row r="133" spans="1:13" ht="19.5" customHeight="1" thickBot="1" x14ac:dyDescent="0.35">
      <c r="A133" s="38" t="s">
        <v>31</v>
      </c>
      <c r="B133" s="39">
        <f>D111</f>
        <v>11000000</v>
      </c>
    </row>
    <row r="134" spans="1:13" ht="18.75" customHeight="1" thickBot="1" x14ac:dyDescent="0.35">
      <c r="A134" s="40" t="s">
        <v>33</v>
      </c>
      <c r="B134" s="41">
        <f>D111-D109</f>
        <v>9608383.8599999994</v>
      </c>
      <c r="D134" s="252" t="s">
        <v>323</v>
      </c>
      <c r="E134" s="252"/>
      <c r="F134" s="252"/>
      <c r="G134" s="252"/>
      <c r="H134" s="252"/>
      <c r="I134" s="252"/>
    </row>
    <row r="135" spans="1:13" x14ac:dyDescent="0.3">
      <c r="D135" s="252"/>
      <c r="E135" s="252"/>
      <c r="F135" s="252"/>
      <c r="G135" s="252"/>
      <c r="H135" s="252"/>
      <c r="I135" s="252"/>
    </row>
    <row r="136" spans="1:13" x14ac:dyDescent="0.3">
      <c r="A136" s="16" t="s">
        <v>20</v>
      </c>
      <c r="B136" s="17"/>
      <c r="C136" s="18"/>
      <c r="D136" s="252"/>
      <c r="E136" s="252"/>
      <c r="F136" s="252"/>
      <c r="G136" s="252"/>
      <c r="H136" s="252"/>
      <c r="I136" s="252"/>
    </row>
    <row r="137" spans="1:13" x14ac:dyDescent="0.3">
      <c r="A137" s="19" t="s">
        <v>21</v>
      </c>
      <c r="B137" s="8">
        <v>-1505552.0204280028</v>
      </c>
      <c r="C137" s="20"/>
      <c r="D137" s="252"/>
      <c r="E137" s="252"/>
      <c r="F137" s="252"/>
      <c r="G137" s="252"/>
      <c r="H137" s="252"/>
      <c r="I137" s="252"/>
    </row>
    <row r="138" spans="1:13" x14ac:dyDescent="0.3">
      <c r="A138" s="21" t="s">
        <v>22</v>
      </c>
      <c r="B138" s="30">
        <f>PRORRATEO!H133</f>
        <v>9940335.5669732597</v>
      </c>
      <c r="C138" s="20" t="s">
        <v>23</v>
      </c>
      <c r="D138" s="252"/>
      <c r="E138" s="252"/>
      <c r="F138" s="252"/>
      <c r="G138" s="252"/>
      <c r="H138" s="252"/>
      <c r="I138" s="252"/>
    </row>
    <row r="139" spans="1:13" x14ac:dyDescent="0.3">
      <c r="A139" s="21" t="s">
        <v>38</v>
      </c>
      <c r="B139" s="85">
        <f>-B134</f>
        <v>-9608383.8599999994</v>
      </c>
      <c r="C139" s="18"/>
      <c r="D139" s="252"/>
      <c r="E139" s="252"/>
      <c r="F139" s="252"/>
      <c r="G139" s="252"/>
      <c r="H139" s="252"/>
      <c r="I139" s="252"/>
      <c r="K139" s="44"/>
    </row>
    <row r="140" spans="1:13" x14ac:dyDescent="0.3">
      <c r="A140" s="21" t="s">
        <v>37</v>
      </c>
      <c r="B140" s="85">
        <f>-D130</f>
        <v>0</v>
      </c>
      <c r="C140" s="18"/>
      <c r="D140" s="252"/>
      <c r="E140" s="252"/>
      <c r="F140" s="252"/>
      <c r="G140" s="252"/>
      <c r="H140" s="252"/>
      <c r="I140" s="252"/>
      <c r="K140" s="52"/>
    </row>
    <row r="141" spans="1:13" x14ac:dyDescent="0.3">
      <c r="A141" s="21" t="s">
        <v>311</v>
      </c>
      <c r="B141" s="30">
        <f>B151</f>
        <v>0</v>
      </c>
      <c r="C141" s="18"/>
      <c r="D141" s="252"/>
      <c r="E141" s="252"/>
      <c r="F141" s="252"/>
      <c r="G141" s="252"/>
      <c r="H141" s="252"/>
      <c r="I141" s="252"/>
      <c r="K141" s="52"/>
    </row>
    <row r="142" spans="1:13" x14ac:dyDescent="0.3">
      <c r="A142" s="21" t="s">
        <v>32</v>
      </c>
      <c r="B142" s="85">
        <f>-B156</f>
        <v>0</v>
      </c>
      <c r="C142" s="22"/>
      <c r="D142" s="252"/>
      <c r="E142" s="252"/>
      <c r="F142" s="252"/>
      <c r="G142" s="252"/>
      <c r="H142" s="252"/>
      <c r="I142" s="252"/>
    </row>
    <row r="143" spans="1:13" x14ac:dyDescent="0.3">
      <c r="A143" s="21" t="s">
        <v>309</v>
      </c>
      <c r="B143" s="85">
        <v>0</v>
      </c>
      <c r="C143" s="22"/>
      <c r="D143" s="252"/>
      <c r="E143" s="252"/>
      <c r="F143" s="252"/>
      <c r="G143" s="252"/>
      <c r="H143" s="252"/>
      <c r="I143" s="252"/>
    </row>
    <row r="144" spans="1:13" x14ac:dyDescent="0.3">
      <c r="A144" s="21" t="s">
        <v>41</v>
      </c>
      <c r="B144" s="85">
        <f>-C124</f>
        <v>-206000</v>
      </c>
      <c r="C144" s="22"/>
      <c r="D144" s="252"/>
      <c r="E144" s="252"/>
      <c r="F144" s="252"/>
      <c r="G144" s="252"/>
      <c r="H144" s="252"/>
      <c r="I144" s="252"/>
    </row>
    <row r="145" spans="1:10" x14ac:dyDescent="0.3">
      <c r="A145" s="21" t="s">
        <v>342</v>
      </c>
      <c r="B145" s="195">
        <v>400000</v>
      </c>
      <c r="C145" s="22"/>
      <c r="D145" s="252"/>
      <c r="E145" s="252"/>
      <c r="F145" s="252"/>
      <c r="G145" s="252"/>
      <c r="H145" s="252"/>
      <c r="I145" s="252"/>
    </row>
    <row r="146" spans="1:10" x14ac:dyDescent="0.3">
      <c r="A146" s="19" t="s">
        <v>24</v>
      </c>
      <c r="B146" s="23">
        <f>SUM(B137:B145)</f>
        <v>-979600.31345474347</v>
      </c>
      <c r="C146" s="70"/>
      <c r="D146" s="252"/>
      <c r="E146" s="252"/>
      <c r="F146" s="252"/>
      <c r="G146" s="252"/>
      <c r="H146" s="252"/>
      <c r="I146" s="252"/>
    </row>
    <row r="147" spans="1:10" x14ac:dyDescent="0.3">
      <c r="A147" s="22"/>
      <c r="C147" s="18"/>
      <c r="D147" s="252"/>
      <c r="E147" s="252"/>
      <c r="F147" s="252"/>
      <c r="G147" s="252"/>
      <c r="H147" s="252"/>
      <c r="I147" s="252"/>
    </row>
    <row r="148" spans="1:10" x14ac:dyDescent="0.3">
      <c r="A148" s="16" t="s">
        <v>310</v>
      </c>
      <c r="B148" s="8"/>
      <c r="C148" s="18"/>
      <c r="D148" s="252"/>
      <c r="E148" s="252"/>
      <c r="F148" s="252"/>
      <c r="G148" s="252"/>
      <c r="H148" s="252"/>
      <c r="I148" s="252"/>
    </row>
    <row r="149" spans="1:10" x14ac:dyDescent="0.3">
      <c r="A149" s="19"/>
      <c r="B149" s="31"/>
      <c r="C149" s="18"/>
      <c r="D149" s="25"/>
    </row>
    <row r="150" spans="1:10" ht="17.25" customHeight="1" x14ac:dyDescent="0.3">
      <c r="A150" s="179"/>
      <c r="B150" s="30"/>
      <c r="C150" s="18"/>
      <c r="D150" s="25"/>
    </row>
    <row r="151" spans="1:10" x14ac:dyDescent="0.3">
      <c r="A151" s="36" t="s">
        <v>17</v>
      </c>
      <c r="B151" s="37">
        <f>SUM(B148:B150)</f>
        <v>0</v>
      </c>
      <c r="C151" s="18"/>
      <c r="D151" s="25"/>
    </row>
    <row r="152" spans="1:10" x14ac:dyDescent="0.3">
      <c r="A152" s="22"/>
      <c r="C152" s="18"/>
      <c r="D152" s="25"/>
    </row>
    <row r="153" spans="1:10" x14ac:dyDescent="0.3">
      <c r="A153" s="22"/>
      <c r="C153" s="18"/>
      <c r="D153" s="25"/>
    </row>
    <row r="154" spans="1:10" x14ac:dyDescent="0.3">
      <c r="C154" s="18"/>
      <c r="D154" s="43"/>
      <c r="E154" s="86"/>
      <c r="F154" s="86"/>
      <c r="G154" s="86"/>
      <c r="H154" s="86"/>
      <c r="I154" s="86"/>
    </row>
    <row r="155" spans="1:10" x14ac:dyDescent="0.3">
      <c r="A155" s="16" t="s">
        <v>25</v>
      </c>
      <c r="B155" s="8">
        <v>0</v>
      </c>
      <c r="C155" s="24"/>
      <c r="D155" s="86"/>
      <c r="E155" s="86"/>
      <c r="F155" s="86"/>
      <c r="G155" s="86"/>
      <c r="H155" s="86"/>
      <c r="I155" s="86"/>
      <c r="J155" s="86"/>
    </row>
    <row r="156" spans="1:10" ht="15" customHeight="1" x14ac:dyDescent="0.3">
      <c r="A156" s="19" t="s">
        <v>260</v>
      </c>
      <c r="B156" s="31"/>
      <c r="C156" s="24"/>
      <c r="D156" s="86"/>
      <c r="E156" s="93"/>
      <c r="F156" s="93"/>
      <c r="G156" s="93"/>
      <c r="H156" s="93"/>
      <c r="I156" s="93"/>
    </row>
    <row r="157" spans="1:10" x14ac:dyDescent="0.3">
      <c r="A157" s="19"/>
      <c r="B157" s="85"/>
      <c r="C157" s="24"/>
      <c r="E157" s="43"/>
      <c r="F157" s="43"/>
      <c r="G157" s="43"/>
      <c r="H157" s="43"/>
      <c r="I157" s="43"/>
    </row>
    <row r="158" spans="1:10" x14ac:dyDescent="0.3">
      <c r="A158" s="36" t="s">
        <v>17</v>
      </c>
      <c r="B158" s="37">
        <f>SUM(B155:B157)</f>
        <v>0</v>
      </c>
      <c r="C158" s="24"/>
    </row>
    <row r="159" spans="1:10" x14ac:dyDescent="0.3">
      <c r="C159" s="25"/>
      <c r="D159" s="86"/>
    </row>
    <row r="160" spans="1:10" x14ac:dyDescent="0.3">
      <c r="B160" s="22"/>
      <c r="C160" s="18"/>
    </row>
    <row r="162" spans="2:18" x14ac:dyDescent="0.3">
      <c r="R162" s="9"/>
    </row>
    <row r="165" spans="2:18" x14ac:dyDescent="0.3">
      <c r="B165" s="242"/>
      <c r="C165" s="242"/>
      <c r="D165" s="242"/>
      <c r="E165" s="242"/>
      <c r="F165" s="95"/>
      <c r="G165" s="95"/>
      <c r="H165" s="95"/>
      <c r="I165" s="95"/>
    </row>
    <row r="166" spans="2:18" x14ac:dyDescent="0.3">
      <c r="B166" s="242"/>
      <c r="C166" s="242"/>
      <c r="D166" s="242"/>
      <c r="E166" s="242"/>
      <c r="F166" s="95"/>
      <c r="G166" s="95"/>
      <c r="H166" s="95"/>
      <c r="I166" s="95"/>
    </row>
    <row r="167" spans="2:18" x14ac:dyDescent="0.3">
      <c r="B167" s="242"/>
      <c r="C167" s="242"/>
      <c r="D167" s="242"/>
      <c r="E167" s="242"/>
      <c r="F167" s="95"/>
      <c r="G167" s="95"/>
      <c r="H167" s="95"/>
      <c r="I167" s="95"/>
    </row>
    <row r="168" spans="2:18" x14ac:dyDescent="0.3">
      <c r="B168" s="242"/>
      <c r="C168" s="242"/>
      <c r="D168" s="242"/>
      <c r="E168" s="242"/>
      <c r="F168" s="95"/>
      <c r="G168" s="95"/>
      <c r="H168" s="95"/>
      <c r="I168" s="95"/>
    </row>
    <row r="169" spans="2:18" x14ac:dyDescent="0.3">
      <c r="B169" s="242"/>
      <c r="C169" s="242"/>
      <c r="D169" s="242"/>
      <c r="E169" s="242"/>
      <c r="F169" s="95"/>
      <c r="G169" s="95"/>
      <c r="H169" s="95"/>
      <c r="I169" s="95"/>
    </row>
  </sheetData>
  <mergeCells count="10">
    <mergeCell ref="A14:J18"/>
    <mergeCell ref="B165:E169"/>
    <mergeCell ref="A130:C130"/>
    <mergeCell ref="A127:D127"/>
    <mergeCell ref="A129:B129"/>
    <mergeCell ref="A128:B128"/>
    <mergeCell ref="A20:J22"/>
    <mergeCell ref="A82:C82"/>
    <mergeCell ref="A83:C83"/>
    <mergeCell ref="D134:I148"/>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opLeftCell="C57" zoomScaleNormal="100" workbookViewId="0">
      <selection activeCell="H73" sqref="H73"/>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36.44140625" hidden="1" customWidth="1"/>
    <col min="6" max="6" width="9.44140625" customWidth="1"/>
    <col min="7" max="7" width="13.33203125" customWidth="1"/>
    <col min="8" max="8" width="13" bestFit="1" customWidth="1"/>
    <col min="9" max="9" width="18" customWidth="1"/>
    <col min="10" max="10" width="13.6640625" customWidth="1"/>
    <col min="11" max="11" width="13.33203125" customWidth="1"/>
    <col min="12" max="12" width="10.44140625" customWidth="1"/>
    <col min="13" max="13" width="14.33203125" customWidth="1"/>
    <col min="14" max="14" width="13.6640625" customWidth="1"/>
    <col min="15" max="15" width="11.44140625" customWidth="1"/>
    <col min="16" max="16" width="14.5546875" bestFit="1" customWidth="1"/>
  </cols>
  <sheetData>
    <row r="1" spans="1:18" x14ac:dyDescent="0.3">
      <c r="A1" s="180"/>
      <c r="B1" s="181"/>
      <c r="C1" s="181"/>
      <c r="D1" s="181"/>
      <c r="E1" s="181"/>
      <c r="F1" s="181" t="s">
        <v>314</v>
      </c>
      <c r="G1" s="181"/>
      <c r="H1" s="181"/>
      <c r="I1" s="181"/>
      <c r="J1" s="181"/>
      <c r="K1" s="181" t="s">
        <v>43</v>
      </c>
      <c r="L1" s="262">
        <f>RESUMEN!D111-RESUMEN!D109</f>
        <v>9608383.8599999994</v>
      </c>
      <c r="M1" s="263"/>
      <c r="N1" s="182"/>
      <c r="O1" s="59"/>
    </row>
    <row r="2" spans="1:18" x14ac:dyDescent="0.3">
      <c r="A2" s="183"/>
      <c r="B2" s="7"/>
      <c r="C2" s="7"/>
      <c r="D2" s="7"/>
      <c r="E2" s="7"/>
      <c r="F2" s="7" t="s">
        <v>313</v>
      </c>
      <c r="G2" s="7"/>
      <c r="H2" s="7"/>
      <c r="I2" s="7"/>
      <c r="J2" s="7"/>
      <c r="K2" s="7" t="s">
        <v>44</v>
      </c>
      <c r="L2" s="7"/>
      <c r="M2" s="184">
        <v>11000000</v>
      </c>
      <c r="N2" s="185"/>
      <c r="O2" s="59"/>
    </row>
    <row r="3" spans="1:18" x14ac:dyDescent="0.3">
      <c r="A3" s="183" t="str">
        <f>RESUMEN!C5</f>
        <v>PERÍODO: OCTUBRE</v>
      </c>
      <c r="B3" s="7"/>
      <c r="C3" s="7"/>
      <c r="D3" s="7"/>
      <c r="E3" s="7"/>
      <c r="F3" s="7" t="s">
        <v>315</v>
      </c>
      <c r="G3" s="7"/>
      <c r="H3" s="7"/>
      <c r="I3" s="7"/>
      <c r="J3" s="186"/>
      <c r="K3" s="7"/>
      <c r="L3" s="7"/>
      <c r="M3" s="187"/>
      <c r="N3" s="188"/>
      <c r="O3" s="15"/>
    </row>
    <row r="4" spans="1:18" ht="15" thickBot="1" x14ac:dyDescent="0.35">
      <c r="A4" s="189"/>
      <c r="B4" s="190"/>
      <c r="C4" s="190"/>
      <c r="D4" s="190"/>
      <c r="E4" s="190"/>
      <c r="F4" s="190"/>
      <c r="G4" s="190"/>
      <c r="H4" s="190"/>
      <c r="I4" s="190"/>
      <c r="J4" s="191"/>
      <c r="K4" s="190"/>
      <c r="L4" s="190"/>
      <c r="M4" s="192"/>
      <c r="N4" s="193"/>
      <c r="O4" s="15"/>
    </row>
    <row r="5" spans="1:18" x14ac:dyDescent="0.3">
      <c r="A5" s="7"/>
      <c r="B5" s="7"/>
      <c r="C5" s="271" t="s">
        <v>337</v>
      </c>
      <c r="D5" s="272"/>
      <c r="E5" s="272"/>
      <c r="F5" s="272"/>
      <c r="G5" s="272"/>
      <c r="H5" s="272"/>
      <c r="I5" s="272"/>
      <c r="J5" s="272"/>
      <c r="K5" s="272"/>
      <c r="L5" s="272"/>
      <c r="M5" s="272"/>
      <c r="N5" s="273"/>
      <c r="O5" s="15"/>
    </row>
    <row r="6" spans="1:18" x14ac:dyDescent="0.3">
      <c r="A6" s="7"/>
      <c r="B6" s="7"/>
      <c r="C6" s="274"/>
      <c r="D6" s="275"/>
      <c r="E6" s="275"/>
      <c r="F6" s="275"/>
      <c r="G6" s="275"/>
      <c r="H6" s="275"/>
      <c r="I6" s="275"/>
      <c r="J6" s="275"/>
      <c r="K6" s="275"/>
      <c r="L6" s="275"/>
      <c r="M6" s="275"/>
      <c r="N6" s="276"/>
      <c r="O6" s="15"/>
    </row>
    <row r="7" spans="1:18" x14ac:dyDescent="0.3">
      <c r="A7" s="7"/>
      <c r="B7" s="7"/>
      <c r="C7" s="274"/>
      <c r="D7" s="275"/>
      <c r="E7" s="275"/>
      <c r="F7" s="275"/>
      <c r="G7" s="275"/>
      <c r="H7" s="275"/>
      <c r="I7" s="275"/>
      <c r="J7" s="275"/>
      <c r="K7" s="275"/>
      <c r="L7" s="275"/>
      <c r="M7" s="275"/>
      <c r="N7" s="276"/>
      <c r="O7" s="15"/>
    </row>
    <row r="8" spans="1:18" ht="27.75" customHeight="1" thickBot="1" x14ac:dyDescent="0.35">
      <c r="A8" s="7"/>
      <c r="B8" s="7"/>
      <c r="C8" s="277"/>
      <c r="D8" s="278"/>
      <c r="E8" s="278"/>
      <c r="F8" s="278"/>
      <c r="G8" s="278"/>
      <c r="H8" s="278"/>
      <c r="I8" s="278"/>
      <c r="J8" s="278"/>
      <c r="K8" s="278"/>
      <c r="L8" s="278"/>
      <c r="M8" s="278"/>
      <c r="N8" s="279"/>
      <c r="P8" s="86">
        <f>L1-K133</f>
        <v>-1338773.6948400009</v>
      </c>
    </row>
    <row r="9" spans="1:18" ht="27.75" customHeight="1" x14ac:dyDescent="0.3">
      <c r="A9" s="7"/>
      <c r="B9" s="7"/>
      <c r="C9" s="280" t="s">
        <v>355</v>
      </c>
      <c r="D9" s="281"/>
      <c r="E9" s="281"/>
      <c r="F9" s="281"/>
      <c r="G9" s="281"/>
      <c r="H9" s="281"/>
      <c r="I9" s="281"/>
      <c r="J9" s="281"/>
      <c r="K9" s="281"/>
      <c r="L9" s="281"/>
      <c r="M9" s="281"/>
      <c r="N9" s="282"/>
      <c r="P9" s="86"/>
    </row>
    <row r="10" spans="1:18" ht="27.75" customHeight="1" thickBot="1" x14ac:dyDescent="0.35">
      <c r="A10" s="7"/>
      <c r="B10" s="7"/>
      <c r="C10" s="283"/>
      <c r="D10" s="284"/>
      <c r="E10" s="284"/>
      <c r="F10" s="284"/>
      <c r="G10" s="284"/>
      <c r="H10" s="284"/>
      <c r="I10" s="284"/>
      <c r="J10" s="284"/>
      <c r="K10" s="284"/>
      <c r="L10" s="284"/>
      <c r="M10" s="284"/>
      <c r="N10" s="285"/>
      <c r="P10" s="86"/>
    </row>
    <row r="11" spans="1:18" ht="15" customHeight="1" x14ac:dyDescent="0.3">
      <c r="A11" s="253" t="s">
        <v>9</v>
      </c>
      <c r="B11" s="255" t="s">
        <v>10</v>
      </c>
      <c r="C11" s="253" t="s">
        <v>11</v>
      </c>
      <c r="D11" s="257" t="s">
        <v>12</v>
      </c>
      <c r="E11" s="257" t="s">
        <v>274</v>
      </c>
      <c r="F11" s="253" t="s">
        <v>27</v>
      </c>
      <c r="G11" s="253" t="s">
        <v>13</v>
      </c>
      <c r="H11" s="253" t="s">
        <v>14</v>
      </c>
      <c r="I11" s="264" t="s">
        <v>15</v>
      </c>
      <c r="J11" s="266" t="s">
        <v>16</v>
      </c>
      <c r="K11" s="266" t="s">
        <v>18</v>
      </c>
      <c r="L11" s="269" t="s">
        <v>42</v>
      </c>
      <c r="M11" s="266" t="s">
        <v>285</v>
      </c>
      <c r="N11" s="266" t="s">
        <v>284</v>
      </c>
    </row>
    <row r="12" spans="1:18" ht="28.5" customHeight="1" x14ac:dyDescent="0.3">
      <c r="A12" s="254"/>
      <c r="B12" s="256"/>
      <c r="C12" s="254"/>
      <c r="D12" s="258"/>
      <c r="E12" s="258"/>
      <c r="F12" s="254"/>
      <c r="G12" s="254"/>
      <c r="H12" s="254"/>
      <c r="I12" s="265"/>
      <c r="J12" s="267"/>
      <c r="K12" s="267"/>
      <c r="L12" s="270"/>
      <c r="M12" s="267"/>
      <c r="N12" s="267"/>
    </row>
    <row r="13" spans="1:18" ht="19.5" customHeight="1" x14ac:dyDescent="0.3">
      <c r="A13" s="254"/>
      <c r="B13" s="256"/>
      <c r="C13" s="254"/>
      <c r="D13" s="258"/>
      <c r="E13" s="258"/>
      <c r="F13" s="254"/>
      <c r="G13" s="254"/>
      <c r="H13" s="254"/>
      <c r="I13" s="265"/>
      <c r="J13" s="267"/>
      <c r="K13" s="268"/>
      <c r="L13" s="270"/>
      <c r="M13" s="140" t="str">
        <f>RESUMEN!A20</f>
        <v>VTO 14/11</v>
      </c>
      <c r="N13" s="139" t="str">
        <f>RESUMEN!A20</f>
        <v>VTO 14/11</v>
      </c>
    </row>
    <row r="14" spans="1:18" x14ac:dyDescent="0.3">
      <c r="A14" s="6" t="s">
        <v>121</v>
      </c>
      <c r="B14" s="6"/>
      <c r="C14" s="35" t="s">
        <v>116</v>
      </c>
      <c r="D14" s="114" t="s">
        <v>178</v>
      </c>
      <c r="E14" s="114" t="s">
        <v>321</v>
      </c>
      <c r="F14" s="157">
        <v>1.0800000000000001E-2</v>
      </c>
      <c r="G14" s="147">
        <v>90413.070804000003</v>
      </c>
      <c r="H14" s="44">
        <f t="shared" ref="H14:H20" si="0">G14</f>
        <v>90413.070804000003</v>
      </c>
      <c r="I14" s="158">
        <f>G14-H14</f>
        <v>0</v>
      </c>
      <c r="J14" s="159">
        <v>0</v>
      </c>
      <c r="K14" s="159">
        <v>113901.49400400001</v>
      </c>
      <c r="L14" s="194">
        <v>0</v>
      </c>
      <c r="M14" s="160">
        <f>K14+J14+I14+L14</f>
        <v>113901.49400400001</v>
      </c>
      <c r="N14" s="161">
        <f>M14*6% + M14</f>
        <v>120735.58364424</v>
      </c>
      <c r="O14" s="121"/>
      <c r="Q14" s="259" t="s">
        <v>259</v>
      </c>
      <c r="R14" s="259"/>
    </row>
    <row r="15" spans="1:18" x14ac:dyDescent="0.3">
      <c r="A15" s="6"/>
      <c r="B15" s="6"/>
      <c r="C15" s="35" t="s">
        <v>120</v>
      </c>
      <c r="D15" s="114" t="s">
        <v>122</v>
      </c>
      <c r="E15" s="114"/>
      <c r="F15" s="157">
        <v>1.2999999999999999E-2</v>
      </c>
      <c r="G15" s="147">
        <v>107156.510912</v>
      </c>
      <c r="H15" s="44">
        <f t="shared" si="0"/>
        <v>107156.510912</v>
      </c>
      <c r="I15" s="158">
        <f t="shared" ref="I15:I131" si="1">G15-H15</f>
        <v>0</v>
      </c>
      <c r="J15" s="159">
        <v>0</v>
      </c>
      <c r="K15" s="159">
        <v>134994.36326400004</v>
      </c>
      <c r="L15" s="194">
        <v>0</v>
      </c>
      <c r="M15" s="160">
        <f t="shared" ref="M15:M18" si="2">K15+J15+I15+L15</f>
        <v>134994.36326400004</v>
      </c>
      <c r="N15" s="161">
        <f t="shared" ref="N15:N18" si="3">M15*6% + M15</f>
        <v>143094.02505984006</v>
      </c>
      <c r="O15" s="121"/>
      <c r="Q15" s="259"/>
      <c r="R15" s="259"/>
    </row>
    <row r="16" spans="1:18" x14ac:dyDescent="0.3">
      <c r="A16" s="6" t="s">
        <v>121</v>
      </c>
      <c r="B16" s="6"/>
      <c r="C16" s="35" t="s">
        <v>117</v>
      </c>
      <c r="D16" s="114" t="s">
        <v>272</v>
      </c>
      <c r="E16" s="114"/>
      <c r="F16" s="157">
        <v>1.21E-2</v>
      </c>
      <c r="G16" s="147">
        <v>235861.50640899997</v>
      </c>
      <c r="H16" s="44">
        <f t="shared" si="0"/>
        <v>235861.50640899997</v>
      </c>
      <c r="I16" s="158">
        <f t="shared" si="1"/>
        <v>0</v>
      </c>
      <c r="J16" s="159">
        <v>0</v>
      </c>
      <c r="K16" s="159">
        <v>127611.859023</v>
      </c>
      <c r="L16" s="194">
        <v>0</v>
      </c>
      <c r="M16" s="160">
        <f t="shared" si="2"/>
        <v>127611.859023</v>
      </c>
      <c r="N16" s="161">
        <f t="shared" si="3"/>
        <v>135268.57056438</v>
      </c>
      <c r="O16" s="121"/>
      <c r="Q16" t="s">
        <v>254</v>
      </c>
      <c r="R16">
        <f>RESUMEN!F111</f>
        <v>113901.49400400001</v>
      </c>
    </row>
    <row r="17" spans="1:18" x14ac:dyDescent="0.3">
      <c r="A17" s="6" t="s">
        <v>121</v>
      </c>
      <c r="B17" s="6"/>
      <c r="C17" s="35" t="s">
        <v>118</v>
      </c>
      <c r="D17" s="114" t="s">
        <v>179</v>
      </c>
      <c r="E17" s="114"/>
      <c r="F17" s="157">
        <v>1.49E-2</v>
      </c>
      <c r="G17" s="147">
        <v>307865.89588626003</v>
      </c>
      <c r="H17" s="44">
        <f t="shared" si="0"/>
        <v>307865.89588626003</v>
      </c>
      <c r="I17" s="158">
        <f t="shared" si="1"/>
        <v>0</v>
      </c>
      <c r="J17" s="159">
        <v>0</v>
      </c>
      <c r="K17" s="159">
        <v>157141.87598700004</v>
      </c>
      <c r="L17" s="194">
        <v>0</v>
      </c>
      <c r="M17" s="160">
        <f t="shared" si="2"/>
        <v>157141.87598700004</v>
      </c>
      <c r="N17" s="161">
        <f t="shared" si="3"/>
        <v>166570.38854622003</v>
      </c>
      <c r="O17" s="121"/>
      <c r="Q17" t="s">
        <v>255</v>
      </c>
      <c r="R17">
        <f>RESUMEN!G111</f>
        <v>134994.36326400004</v>
      </c>
    </row>
    <row r="18" spans="1:18" ht="15" thickBot="1" x14ac:dyDescent="0.35">
      <c r="A18" s="6" t="s">
        <v>121</v>
      </c>
      <c r="B18" s="6"/>
      <c r="C18" s="162" t="s">
        <v>119</v>
      </c>
      <c r="D18" s="163" t="s">
        <v>273</v>
      </c>
      <c r="E18" s="163"/>
      <c r="F18" s="164">
        <v>1.7399999999999999E-2</v>
      </c>
      <c r="G18" s="165">
        <v>145665.502962</v>
      </c>
      <c r="H18" s="166">
        <f t="shared" si="0"/>
        <v>145665.502962</v>
      </c>
      <c r="I18" s="167">
        <f t="shared" si="1"/>
        <v>0</v>
      </c>
      <c r="J18" s="168">
        <v>0</v>
      </c>
      <c r="K18" s="168">
        <v>183507.96256200003</v>
      </c>
      <c r="L18" s="194">
        <v>0</v>
      </c>
      <c r="M18" s="169">
        <f t="shared" si="2"/>
        <v>183507.96256200003</v>
      </c>
      <c r="N18" s="170">
        <f t="shared" si="3"/>
        <v>194518.44031572004</v>
      </c>
      <c r="O18" s="121"/>
      <c r="Q18" t="s">
        <v>256</v>
      </c>
      <c r="R18">
        <f>RESUMEN!H111</f>
        <v>127611.859023</v>
      </c>
    </row>
    <row r="19" spans="1:18" x14ac:dyDescent="0.3">
      <c r="A19" s="57" t="s">
        <v>123</v>
      </c>
      <c r="B19" s="6"/>
      <c r="C19" s="171" t="s">
        <v>47</v>
      </c>
      <c r="D19" s="143" t="s">
        <v>180</v>
      </c>
      <c r="E19" s="143"/>
      <c r="F19" s="146">
        <v>1.8800000000000001E-2</v>
      </c>
      <c r="G19" s="172">
        <v>188000.01</v>
      </c>
      <c r="H19" s="173">
        <f t="shared" si="0"/>
        <v>188000.01</v>
      </c>
      <c r="I19" s="174">
        <f>G19-H19</f>
        <v>0</v>
      </c>
      <c r="J19" s="175">
        <f t="shared" ref="J19:J50" si="4">M$8*F19</f>
        <v>0</v>
      </c>
      <c r="K19" s="175">
        <f>M$2*F19</f>
        <v>206800</v>
      </c>
      <c r="L19" s="194">
        <v>0</v>
      </c>
      <c r="M19" s="176">
        <f>ROUND((K19+J19+I19+L19),0) + O19</f>
        <v>206800.01</v>
      </c>
      <c r="N19" s="176">
        <f>ROUND((M19*6% + M19 ),0) + O19</f>
        <v>219208.01</v>
      </c>
      <c r="O19" s="141">
        <v>0.01</v>
      </c>
      <c r="Q19" t="s">
        <v>257</v>
      </c>
      <c r="R19">
        <f>RESUMEN!I111</f>
        <v>157141.87598700004</v>
      </c>
    </row>
    <row r="20" spans="1:18" x14ac:dyDescent="0.3">
      <c r="A20" s="57" t="s">
        <v>124</v>
      </c>
      <c r="B20" s="6"/>
      <c r="C20" s="206" t="s">
        <v>48</v>
      </c>
      <c r="D20" s="207" t="s">
        <v>181</v>
      </c>
      <c r="E20" s="208"/>
      <c r="F20" s="209">
        <v>8.3999999999999995E-3</v>
      </c>
      <c r="G20" s="210">
        <v>84000.02</v>
      </c>
      <c r="H20" s="215">
        <f t="shared" si="0"/>
        <v>84000.02</v>
      </c>
      <c r="I20" s="211">
        <f t="shared" si="1"/>
        <v>0</v>
      </c>
      <c r="J20" s="212">
        <f t="shared" si="4"/>
        <v>0</v>
      </c>
      <c r="K20" s="212">
        <f t="shared" ref="K20:K50" si="5">M$2*F20</f>
        <v>92400</v>
      </c>
      <c r="L20" s="213">
        <v>0</v>
      </c>
      <c r="M20" s="214">
        <f>ROUND((K20+J20+I20+L20),0) + O20</f>
        <v>92400.02</v>
      </c>
      <c r="N20" s="214">
        <f t="shared" ref="N20:N83" si="6">ROUND((M20*6% + M20 ),0) + O20</f>
        <v>97944.02</v>
      </c>
      <c r="O20" s="141">
        <f>O19+0.01</f>
        <v>0.02</v>
      </c>
      <c r="Q20" t="s">
        <v>258</v>
      </c>
      <c r="R20">
        <f>RESUMEN!J111</f>
        <v>183507.96256200003</v>
      </c>
    </row>
    <row r="21" spans="1:18" x14ac:dyDescent="0.3">
      <c r="A21" s="57" t="s">
        <v>123</v>
      </c>
      <c r="B21" s="6"/>
      <c r="C21" s="35" t="s">
        <v>49</v>
      </c>
      <c r="D21" s="114" t="s">
        <v>182</v>
      </c>
      <c r="E21" s="143"/>
      <c r="F21" s="146">
        <v>2.01E-2</v>
      </c>
      <c r="G21" s="147">
        <v>201000.03</v>
      </c>
      <c r="H21" s="44">
        <f>238100-H109</f>
        <v>215099.09</v>
      </c>
      <c r="I21" s="158">
        <f t="shared" si="1"/>
        <v>-14099.059999999998</v>
      </c>
      <c r="J21" s="159">
        <f t="shared" si="4"/>
        <v>0</v>
      </c>
      <c r="K21" s="159">
        <f t="shared" si="5"/>
        <v>221100</v>
      </c>
      <c r="L21" s="194">
        <v>0</v>
      </c>
      <c r="M21" s="161">
        <f t="shared" ref="M21:M83" si="7">ROUND((K21+J21+I21+L21),0) + O21</f>
        <v>207001.03</v>
      </c>
      <c r="N21" s="161">
        <f t="shared" si="6"/>
        <v>219421.03</v>
      </c>
      <c r="O21" s="141">
        <f t="shared" ref="O21:O84" si="8">O20+0.01</f>
        <v>0.03</v>
      </c>
    </row>
    <row r="22" spans="1:18" x14ac:dyDescent="0.3">
      <c r="A22" s="57" t="s">
        <v>125</v>
      </c>
      <c r="B22" s="6"/>
      <c r="C22" s="196" t="s">
        <v>50</v>
      </c>
      <c r="D22" s="197" t="s">
        <v>183</v>
      </c>
      <c r="E22" s="198" t="s">
        <v>304</v>
      </c>
      <c r="F22" s="199">
        <v>9.4000000000000004E-3</v>
      </c>
      <c r="G22" s="200">
        <v>259172.04</v>
      </c>
      <c r="H22" s="219">
        <v>94000</v>
      </c>
      <c r="I22" s="201">
        <f t="shared" si="1"/>
        <v>165172.04</v>
      </c>
      <c r="J22" s="202">
        <f t="shared" si="4"/>
        <v>0</v>
      </c>
      <c r="K22" s="202">
        <f t="shared" si="5"/>
        <v>103400</v>
      </c>
      <c r="L22" s="203">
        <v>0</v>
      </c>
      <c r="M22" s="204">
        <f t="shared" si="7"/>
        <v>268572.03999999998</v>
      </c>
      <c r="N22" s="204">
        <f t="shared" si="6"/>
        <v>284686.03999999998</v>
      </c>
      <c r="O22" s="141">
        <f t="shared" si="8"/>
        <v>0.04</v>
      </c>
      <c r="P22" t="s">
        <v>354</v>
      </c>
    </row>
    <row r="23" spans="1:18" x14ac:dyDescent="0.3">
      <c r="A23" s="57" t="s">
        <v>125</v>
      </c>
      <c r="B23" s="6"/>
      <c r="C23" s="35" t="s">
        <v>51</v>
      </c>
      <c r="D23" s="114" t="s">
        <v>184</v>
      </c>
      <c r="E23" s="143" t="s">
        <v>326</v>
      </c>
      <c r="F23" s="146">
        <v>8.6999999999999994E-3</v>
      </c>
      <c r="G23" s="147">
        <v>87000.05</v>
      </c>
      <c r="H23" s="44"/>
      <c r="I23" s="158">
        <f t="shared" si="1"/>
        <v>87000.05</v>
      </c>
      <c r="J23" s="159">
        <f t="shared" si="4"/>
        <v>0</v>
      </c>
      <c r="K23" s="159">
        <f t="shared" si="5"/>
        <v>95700</v>
      </c>
      <c r="L23" s="194">
        <v>0</v>
      </c>
      <c r="M23" s="161">
        <f t="shared" si="7"/>
        <v>182700.05</v>
      </c>
      <c r="N23" s="161">
        <f t="shared" si="6"/>
        <v>193662.05</v>
      </c>
      <c r="O23" s="141">
        <f t="shared" si="8"/>
        <v>0.05</v>
      </c>
    </row>
    <row r="24" spans="1:18" x14ac:dyDescent="0.3">
      <c r="A24" s="57" t="s">
        <v>125</v>
      </c>
      <c r="B24" s="6"/>
      <c r="C24" s="35" t="s">
        <v>52</v>
      </c>
      <c r="D24" s="114" t="s">
        <v>185</v>
      </c>
      <c r="E24" s="143" t="s">
        <v>320</v>
      </c>
      <c r="F24" s="146">
        <v>9.4999999999999998E-3</v>
      </c>
      <c r="G24" s="147">
        <v>95000.06</v>
      </c>
      <c r="H24" s="44">
        <f t="shared" ref="H24" si="9">G24</f>
        <v>95000.06</v>
      </c>
      <c r="I24" s="158">
        <f t="shared" si="1"/>
        <v>0</v>
      </c>
      <c r="J24" s="159">
        <f t="shared" si="4"/>
        <v>0</v>
      </c>
      <c r="K24" s="159">
        <f t="shared" si="5"/>
        <v>104500</v>
      </c>
      <c r="L24" s="194">
        <v>0</v>
      </c>
      <c r="M24" s="161">
        <f t="shared" si="7"/>
        <v>104500.06</v>
      </c>
      <c r="N24" s="161">
        <f t="shared" si="6"/>
        <v>110770.06</v>
      </c>
      <c r="O24" s="141">
        <f t="shared" si="8"/>
        <v>6.0000000000000005E-2</v>
      </c>
    </row>
    <row r="25" spans="1:18" x14ac:dyDescent="0.3">
      <c r="A25" s="57" t="s">
        <v>123</v>
      </c>
      <c r="B25" s="6"/>
      <c r="C25" s="35" t="s">
        <v>53</v>
      </c>
      <c r="D25" s="114" t="s">
        <v>185</v>
      </c>
      <c r="E25" s="143" t="s">
        <v>306</v>
      </c>
      <c r="F25" s="146">
        <v>1.6500000000000001E-2</v>
      </c>
      <c r="G25" s="147">
        <v>287953.07</v>
      </c>
      <c r="H25" s="44">
        <v>184976.07</v>
      </c>
      <c r="I25" s="158">
        <f t="shared" si="1"/>
        <v>102977</v>
      </c>
      <c r="J25" s="159">
        <f t="shared" si="4"/>
        <v>0</v>
      </c>
      <c r="K25" s="159">
        <f t="shared" si="5"/>
        <v>181500</v>
      </c>
      <c r="L25" s="194">
        <v>25000</v>
      </c>
      <c r="M25" s="161">
        <f t="shared" si="7"/>
        <v>309477.07</v>
      </c>
      <c r="N25" s="161">
        <f t="shared" si="6"/>
        <v>328046.07</v>
      </c>
      <c r="O25" s="141">
        <f t="shared" si="8"/>
        <v>7.0000000000000007E-2</v>
      </c>
    </row>
    <row r="26" spans="1:18" x14ac:dyDescent="0.3">
      <c r="A26" s="57" t="s">
        <v>124</v>
      </c>
      <c r="B26" s="6"/>
      <c r="C26" s="206" t="s">
        <v>54</v>
      </c>
      <c r="D26" s="207" t="s">
        <v>275</v>
      </c>
      <c r="E26" s="208"/>
      <c r="F26" s="209">
        <v>7.3000000000000001E-3</v>
      </c>
      <c r="G26" s="210">
        <v>73380.08</v>
      </c>
      <c r="H26" s="215">
        <f>G26</f>
        <v>73380.08</v>
      </c>
      <c r="I26" s="211">
        <f t="shared" si="1"/>
        <v>0</v>
      </c>
      <c r="J26" s="212">
        <f t="shared" si="4"/>
        <v>0</v>
      </c>
      <c r="K26" s="212">
        <f t="shared" si="5"/>
        <v>80300</v>
      </c>
      <c r="L26" s="213">
        <v>0</v>
      </c>
      <c r="M26" s="214">
        <f t="shared" si="7"/>
        <v>80300.08</v>
      </c>
      <c r="N26" s="214">
        <f t="shared" si="6"/>
        <v>85118.080000000002</v>
      </c>
      <c r="O26" s="141">
        <f t="shared" si="8"/>
        <v>0.08</v>
      </c>
    </row>
    <row r="27" spans="1:18" x14ac:dyDescent="0.3">
      <c r="A27" s="57" t="s">
        <v>123</v>
      </c>
      <c r="B27" s="6"/>
      <c r="C27" s="35" t="s">
        <v>55</v>
      </c>
      <c r="D27" s="114" t="s">
        <v>185</v>
      </c>
      <c r="E27" s="143"/>
      <c r="F27" s="146">
        <v>1.78E-2</v>
      </c>
      <c r="G27" s="147">
        <v>490772.09</v>
      </c>
      <c r="H27" s="44"/>
      <c r="I27" s="158">
        <f t="shared" si="1"/>
        <v>490772.09</v>
      </c>
      <c r="J27" s="159">
        <f t="shared" si="4"/>
        <v>0</v>
      </c>
      <c r="K27" s="159">
        <f t="shared" si="5"/>
        <v>195800</v>
      </c>
      <c r="L27" s="194">
        <v>24000</v>
      </c>
      <c r="M27" s="161">
        <f t="shared" si="7"/>
        <v>710572.09</v>
      </c>
      <c r="N27" s="161">
        <f t="shared" si="6"/>
        <v>753206.09</v>
      </c>
      <c r="O27" s="141">
        <f t="shared" si="8"/>
        <v>0.09</v>
      </c>
    </row>
    <row r="28" spans="1:18" x14ac:dyDescent="0.3">
      <c r="A28" s="57" t="s">
        <v>125</v>
      </c>
      <c r="B28" s="6"/>
      <c r="C28" s="35" t="s">
        <v>56</v>
      </c>
      <c r="D28" s="114" t="s">
        <v>327</v>
      </c>
      <c r="E28" s="143"/>
      <c r="F28" s="146">
        <v>9.4000000000000004E-3</v>
      </c>
      <c r="G28" s="44">
        <v>278992.09999999998</v>
      </c>
      <c r="H28" s="44">
        <v>278992.09999999998</v>
      </c>
      <c r="I28" s="158">
        <f t="shared" si="1"/>
        <v>0</v>
      </c>
      <c r="J28" s="159">
        <f t="shared" si="4"/>
        <v>0</v>
      </c>
      <c r="K28" s="159">
        <f t="shared" si="5"/>
        <v>103400</v>
      </c>
      <c r="L28" s="194">
        <v>0</v>
      </c>
      <c r="M28" s="161">
        <f t="shared" si="7"/>
        <v>103400.1</v>
      </c>
      <c r="N28" s="161">
        <f t="shared" si="6"/>
        <v>109604.1</v>
      </c>
      <c r="O28" s="141">
        <f t="shared" si="8"/>
        <v>9.9999999999999992E-2</v>
      </c>
    </row>
    <row r="29" spans="1:18" x14ac:dyDescent="0.3">
      <c r="A29" s="57" t="s">
        <v>125</v>
      </c>
      <c r="B29" s="6"/>
      <c r="C29" s="206" t="s">
        <v>57</v>
      </c>
      <c r="D29" s="207" t="s">
        <v>303</v>
      </c>
      <c r="E29" s="208"/>
      <c r="F29" s="209">
        <v>8.6999999999999994E-3</v>
      </c>
      <c r="G29" s="210">
        <v>77604.11</v>
      </c>
      <c r="H29" s="215">
        <v>82260.11</v>
      </c>
      <c r="I29" s="211">
        <f t="shared" si="1"/>
        <v>-4656</v>
      </c>
      <c r="J29" s="212">
        <f t="shared" si="4"/>
        <v>0</v>
      </c>
      <c r="K29" s="212">
        <f t="shared" si="5"/>
        <v>95700</v>
      </c>
      <c r="L29" s="213">
        <v>0</v>
      </c>
      <c r="M29" s="214">
        <f t="shared" si="7"/>
        <v>91044.11</v>
      </c>
      <c r="N29" s="214">
        <f t="shared" si="6"/>
        <v>96507.11</v>
      </c>
      <c r="O29" s="141">
        <f t="shared" si="8"/>
        <v>0.10999999999999999</v>
      </c>
    </row>
    <row r="30" spans="1:18" x14ac:dyDescent="0.3">
      <c r="A30" s="57" t="s">
        <v>125</v>
      </c>
      <c r="B30" s="6"/>
      <c r="C30" s="35" t="s">
        <v>58</v>
      </c>
      <c r="D30" s="114" t="s">
        <v>186</v>
      </c>
      <c r="E30" s="143"/>
      <c r="F30" s="146">
        <v>9.4999999999999998E-3</v>
      </c>
      <c r="G30" s="147">
        <v>266000.12</v>
      </c>
      <c r="H30" s="44"/>
      <c r="I30" s="158">
        <f t="shared" si="1"/>
        <v>266000.12</v>
      </c>
      <c r="J30" s="159">
        <f t="shared" si="4"/>
        <v>0</v>
      </c>
      <c r="K30" s="159">
        <f t="shared" si="5"/>
        <v>104500</v>
      </c>
      <c r="L30" s="194">
        <v>0</v>
      </c>
      <c r="M30" s="161">
        <f t="shared" si="7"/>
        <v>370500.12</v>
      </c>
      <c r="N30" s="161">
        <f t="shared" si="6"/>
        <v>392730.12</v>
      </c>
      <c r="O30" s="141">
        <f t="shared" si="8"/>
        <v>0.11999999999999998</v>
      </c>
    </row>
    <row r="31" spans="1:18" x14ac:dyDescent="0.3">
      <c r="A31" s="57" t="s">
        <v>123</v>
      </c>
      <c r="B31" s="6"/>
      <c r="C31" s="35" t="s">
        <v>59</v>
      </c>
      <c r="D31" s="114" t="s">
        <v>187</v>
      </c>
      <c r="E31" s="143"/>
      <c r="F31" s="146">
        <v>1.6400000000000001E-2</v>
      </c>
      <c r="G31" s="147">
        <v>164000.13</v>
      </c>
      <c r="H31" s="44">
        <f>G31</f>
        <v>164000.13</v>
      </c>
      <c r="I31" s="158">
        <f t="shared" si="1"/>
        <v>0</v>
      </c>
      <c r="J31" s="159">
        <f t="shared" si="4"/>
        <v>0</v>
      </c>
      <c r="K31" s="159">
        <f t="shared" si="5"/>
        <v>180400.00000000003</v>
      </c>
      <c r="L31" s="194">
        <v>0</v>
      </c>
      <c r="M31" s="161">
        <f t="shared" si="7"/>
        <v>180400.13</v>
      </c>
      <c r="N31" s="161">
        <f t="shared" si="6"/>
        <v>191224.13</v>
      </c>
      <c r="O31" s="141">
        <f t="shared" si="8"/>
        <v>0.12999999999999998</v>
      </c>
    </row>
    <row r="32" spans="1:18" x14ac:dyDescent="0.3">
      <c r="A32" s="57" t="s">
        <v>124</v>
      </c>
      <c r="B32" s="6"/>
      <c r="C32" s="35" t="s">
        <v>60</v>
      </c>
      <c r="D32" s="114" t="s">
        <v>261</v>
      </c>
      <c r="E32" s="143" t="s">
        <v>276</v>
      </c>
      <c r="F32" s="146">
        <v>7.1999999999999998E-3</v>
      </c>
      <c r="G32" s="147">
        <v>72000.14</v>
      </c>
      <c r="H32" s="44">
        <f>G32</f>
        <v>72000.14</v>
      </c>
      <c r="I32" s="158">
        <f t="shared" si="1"/>
        <v>0</v>
      </c>
      <c r="J32" s="159">
        <f t="shared" si="4"/>
        <v>0</v>
      </c>
      <c r="K32" s="159">
        <f t="shared" si="5"/>
        <v>79200</v>
      </c>
      <c r="L32" s="194">
        <v>0</v>
      </c>
      <c r="M32" s="161">
        <f t="shared" si="7"/>
        <v>79200.14</v>
      </c>
      <c r="N32" s="161">
        <f t="shared" si="6"/>
        <v>83952.14</v>
      </c>
      <c r="O32" s="141">
        <f t="shared" si="8"/>
        <v>0.13999999999999999</v>
      </c>
    </row>
    <row r="33" spans="1:113" x14ac:dyDescent="0.3">
      <c r="A33" s="57" t="s">
        <v>123</v>
      </c>
      <c r="B33" s="6"/>
      <c r="C33" s="35" t="s">
        <v>61</v>
      </c>
      <c r="D33" s="114" t="s">
        <v>188</v>
      </c>
      <c r="E33" s="143"/>
      <c r="F33" s="146">
        <v>1.7299999999999999E-2</v>
      </c>
      <c r="G33" s="147">
        <v>173000.15</v>
      </c>
      <c r="H33" s="44">
        <f>G33</f>
        <v>173000.15</v>
      </c>
      <c r="I33" s="177">
        <f t="shared" si="1"/>
        <v>0</v>
      </c>
      <c r="J33" s="159">
        <f t="shared" si="4"/>
        <v>0</v>
      </c>
      <c r="K33" s="159">
        <f t="shared" si="5"/>
        <v>190300</v>
      </c>
      <c r="L33" s="194">
        <v>0</v>
      </c>
      <c r="M33" s="161">
        <f t="shared" si="7"/>
        <v>190300.15</v>
      </c>
      <c r="N33" s="161">
        <f t="shared" si="6"/>
        <v>201718.15</v>
      </c>
      <c r="O33" s="141">
        <f t="shared" si="8"/>
        <v>0.15</v>
      </c>
    </row>
    <row r="34" spans="1:113" x14ac:dyDescent="0.3">
      <c r="A34" s="149" t="s">
        <v>125</v>
      </c>
      <c r="B34" s="148"/>
      <c r="C34" s="35" t="s">
        <v>62</v>
      </c>
      <c r="D34" s="114" t="s">
        <v>324</v>
      </c>
      <c r="E34" s="143"/>
      <c r="F34" s="146">
        <v>9.4000000000000004E-3</v>
      </c>
      <c r="G34" s="147">
        <v>94000.16</v>
      </c>
      <c r="H34" s="44">
        <f>G34</f>
        <v>94000.16</v>
      </c>
      <c r="I34" s="158">
        <f t="shared" si="1"/>
        <v>0</v>
      </c>
      <c r="J34" s="159">
        <f t="shared" si="4"/>
        <v>0</v>
      </c>
      <c r="K34" s="159">
        <f t="shared" si="5"/>
        <v>103400</v>
      </c>
      <c r="L34" s="194">
        <v>12000</v>
      </c>
      <c r="M34" s="161">
        <f t="shared" si="7"/>
        <v>115400.16</v>
      </c>
      <c r="N34" s="161">
        <f t="shared" si="6"/>
        <v>122324.16</v>
      </c>
      <c r="O34" s="141">
        <f t="shared" si="8"/>
        <v>0.16</v>
      </c>
    </row>
    <row r="35" spans="1:113" x14ac:dyDescent="0.3">
      <c r="A35" s="57" t="s">
        <v>125</v>
      </c>
      <c r="B35" s="6"/>
      <c r="C35" s="35" t="s">
        <v>63</v>
      </c>
      <c r="D35" s="114" t="s">
        <v>186</v>
      </c>
      <c r="E35" s="143" t="s">
        <v>308</v>
      </c>
      <c r="F35" s="146">
        <v>8.6999999999999994E-3</v>
      </c>
      <c r="G35" s="147">
        <v>95700.17</v>
      </c>
      <c r="H35" s="44">
        <v>78300.17</v>
      </c>
      <c r="I35" s="158">
        <f t="shared" si="1"/>
        <v>17400</v>
      </c>
      <c r="J35" s="159">
        <f t="shared" si="4"/>
        <v>0</v>
      </c>
      <c r="K35" s="159">
        <f t="shared" si="5"/>
        <v>95700</v>
      </c>
      <c r="L35" s="194">
        <v>0</v>
      </c>
      <c r="M35" s="161">
        <f t="shared" si="7"/>
        <v>113100.17</v>
      </c>
      <c r="N35" s="161">
        <f t="shared" si="6"/>
        <v>119886.17</v>
      </c>
      <c r="O35" s="141">
        <f t="shared" si="8"/>
        <v>0.17</v>
      </c>
    </row>
    <row r="36" spans="1:113" x14ac:dyDescent="0.3">
      <c r="A36" s="57" t="s">
        <v>125</v>
      </c>
      <c r="B36" s="6"/>
      <c r="C36" s="35" t="s">
        <v>64</v>
      </c>
      <c r="D36" s="114" t="s">
        <v>186</v>
      </c>
      <c r="E36" s="143"/>
      <c r="F36" s="146">
        <v>9.4999999999999998E-3</v>
      </c>
      <c r="G36" s="147">
        <v>95000.18</v>
      </c>
      <c r="H36" s="44"/>
      <c r="I36" s="177">
        <f t="shared" si="1"/>
        <v>95000.18</v>
      </c>
      <c r="J36" s="159">
        <f t="shared" si="4"/>
        <v>0</v>
      </c>
      <c r="K36" s="159">
        <f t="shared" si="5"/>
        <v>104500</v>
      </c>
      <c r="L36" s="194">
        <v>0</v>
      </c>
      <c r="M36" s="161">
        <f t="shared" si="7"/>
        <v>199500.18</v>
      </c>
      <c r="N36" s="161">
        <f t="shared" si="6"/>
        <v>211470.18</v>
      </c>
      <c r="O36" s="141">
        <f t="shared" si="8"/>
        <v>0.18000000000000002</v>
      </c>
    </row>
    <row r="37" spans="1:113" x14ac:dyDescent="0.3">
      <c r="A37" s="57" t="s">
        <v>123</v>
      </c>
      <c r="B37" s="6"/>
      <c r="C37" s="35" t="s">
        <v>65</v>
      </c>
      <c r="D37" s="114" t="s">
        <v>189</v>
      </c>
      <c r="E37" s="143" t="s">
        <v>305</v>
      </c>
      <c r="F37" s="146">
        <v>1.6400000000000001E-2</v>
      </c>
      <c r="G37" s="147">
        <v>164000.19</v>
      </c>
      <c r="H37" s="44">
        <f>G37</f>
        <v>164000.19</v>
      </c>
      <c r="I37" s="158">
        <f t="shared" si="1"/>
        <v>0</v>
      </c>
      <c r="J37" s="159">
        <f t="shared" si="4"/>
        <v>0</v>
      </c>
      <c r="K37" s="159">
        <f t="shared" si="5"/>
        <v>180400.00000000003</v>
      </c>
      <c r="L37" s="194">
        <f>12000+25000</f>
        <v>37000</v>
      </c>
      <c r="M37" s="161">
        <f t="shared" si="7"/>
        <v>217400.19</v>
      </c>
      <c r="N37" s="161">
        <f t="shared" si="6"/>
        <v>230444.19</v>
      </c>
      <c r="O37" s="141">
        <f t="shared" si="8"/>
        <v>0.19000000000000003</v>
      </c>
    </row>
    <row r="38" spans="1:113" x14ac:dyDescent="0.3">
      <c r="A38" s="57" t="s">
        <v>124</v>
      </c>
      <c r="B38" s="6"/>
      <c r="C38" s="206" t="s">
        <v>66</v>
      </c>
      <c r="D38" s="207" t="s">
        <v>225</v>
      </c>
      <c r="E38" s="208"/>
      <c r="F38" s="209">
        <v>7.1999999999999998E-3</v>
      </c>
      <c r="G38" s="210">
        <v>72000.2</v>
      </c>
      <c r="H38" s="215">
        <f>G38</f>
        <v>72000.2</v>
      </c>
      <c r="I38" s="211">
        <f t="shared" si="1"/>
        <v>0</v>
      </c>
      <c r="J38" s="212">
        <f t="shared" si="4"/>
        <v>0</v>
      </c>
      <c r="K38" s="212">
        <f t="shared" si="5"/>
        <v>79200</v>
      </c>
      <c r="L38" s="213">
        <v>0</v>
      </c>
      <c r="M38" s="214">
        <f t="shared" si="7"/>
        <v>79200.2</v>
      </c>
      <c r="N38" s="214">
        <f t="shared" si="6"/>
        <v>83952.2</v>
      </c>
      <c r="O38" s="141">
        <f t="shared" si="8"/>
        <v>0.20000000000000004</v>
      </c>
    </row>
    <row r="39" spans="1:113" s="150" customFormat="1" x14ac:dyDescent="0.3">
      <c r="A39" s="149" t="s">
        <v>123</v>
      </c>
      <c r="B39" s="148"/>
      <c r="C39" s="35" t="s">
        <v>67</v>
      </c>
      <c r="D39" s="114" t="s">
        <v>190</v>
      </c>
      <c r="E39" s="143"/>
      <c r="F39" s="146">
        <v>1.7299999999999999E-2</v>
      </c>
      <c r="G39" s="147">
        <v>644445.21</v>
      </c>
      <c r="H39" s="44">
        <f>G39</f>
        <v>644445.21</v>
      </c>
      <c r="I39" s="158">
        <f t="shared" si="1"/>
        <v>0</v>
      </c>
      <c r="J39" s="159">
        <f t="shared" si="4"/>
        <v>0</v>
      </c>
      <c r="K39" s="159">
        <f t="shared" si="5"/>
        <v>190300</v>
      </c>
      <c r="L39" s="194">
        <v>0</v>
      </c>
      <c r="M39" s="161">
        <f t="shared" si="7"/>
        <v>190300.21</v>
      </c>
      <c r="N39" s="161">
        <f t="shared" si="6"/>
        <v>201718.21</v>
      </c>
      <c r="O39" s="217">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50" customFormat="1" x14ac:dyDescent="0.3">
      <c r="A40" s="149" t="s">
        <v>125</v>
      </c>
      <c r="B40" s="148"/>
      <c r="C40" s="35" t="s">
        <v>68</v>
      </c>
      <c r="D40" s="114" t="s">
        <v>286</v>
      </c>
      <c r="E40" s="143"/>
      <c r="F40" s="146">
        <v>9.4000000000000004E-3</v>
      </c>
      <c r="G40" s="44">
        <v>94000.22</v>
      </c>
      <c r="H40" s="44"/>
      <c r="I40" s="158">
        <f t="shared" si="1"/>
        <v>94000.22</v>
      </c>
      <c r="J40" s="159">
        <f t="shared" si="4"/>
        <v>0</v>
      </c>
      <c r="K40" s="159">
        <f t="shared" si="5"/>
        <v>103400</v>
      </c>
      <c r="L40" s="194">
        <v>0</v>
      </c>
      <c r="M40" s="161">
        <f t="shared" si="7"/>
        <v>197400.22</v>
      </c>
      <c r="N40" s="161">
        <f t="shared" si="6"/>
        <v>209244.22</v>
      </c>
      <c r="O40" s="217">
        <f t="shared" si="8"/>
        <v>0.22000000000000006</v>
      </c>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50" customFormat="1" x14ac:dyDescent="0.3">
      <c r="A41" s="149" t="s">
        <v>125</v>
      </c>
      <c r="B41" s="148"/>
      <c r="C41" s="206" t="s">
        <v>69</v>
      </c>
      <c r="D41" s="207" t="s">
        <v>186</v>
      </c>
      <c r="E41" s="208"/>
      <c r="F41" s="209">
        <v>8.6999999999999994E-3</v>
      </c>
      <c r="G41" s="210">
        <v>87000.23</v>
      </c>
      <c r="H41" s="215">
        <f>G41</f>
        <v>87000.23</v>
      </c>
      <c r="I41" s="211">
        <f t="shared" si="1"/>
        <v>0</v>
      </c>
      <c r="J41" s="212">
        <f t="shared" si="4"/>
        <v>0</v>
      </c>
      <c r="K41" s="212">
        <f t="shared" si="5"/>
        <v>95700</v>
      </c>
      <c r="L41" s="213">
        <v>0</v>
      </c>
      <c r="M41" s="214">
        <f t="shared" si="7"/>
        <v>95700.23</v>
      </c>
      <c r="N41" s="214">
        <f t="shared" si="6"/>
        <v>101442.23</v>
      </c>
      <c r="O41" s="217">
        <f t="shared" si="8"/>
        <v>0.23000000000000007</v>
      </c>
      <c r="P41" s="74" t="s">
        <v>318</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50" customFormat="1" x14ac:dyDescent="0.3">
      <c r="A42" s="149" t="s">
        <v>125</v>
      </c>
      <c r="B42" s="148"/>
      <c r="C42" s="35" t="s">
        <v>70</v>
      </c>
      <c r="D42" s="114" t="s">
        <v>286</v>
      </c>
      <c r="E42" s="143"/>
      <c r="F42" s="146">
        <v>9.4999999999999998E-3</v>
      </c>
      <c r="G42" s="178">
        <v>95000.24</v>
      </c>
      <c r="H42" s="44"/>
      <c r="I42" s="158">
        <f t="shared" si="1"/>
        <v>95000.24</v>
      </c>
      <c r="J42" s="159">
        <f t="shared" si="4"/>
        <v>0</v>
      </c>
      <c r="K42" s="159">
        <f t="shared" si="5"/>
        <v>104500</v>
      </c>
      <c r="L42" s="194">
        <v>0</v>
      </c>
      <c r="M42" s="161">
        <f t="shared" si="7"/>
        <v>199500.24</v>
      </c>
      <c r="N42" s="161">
        <f t="shared" si="6"/>
        <v>211470.24</v>
      </c>
      <c r="O42" s="217">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3">
      <c r="A43" s="57" t="s">
        <v>123</v>
      </c>
      <c r="B43" s="6"/>
      <c r="C43" s="35" t="s">
        <v>71</v>
      </c>
      <c r="D43" s="114" t="s">
        <v>191</v>
      </c>
      <c r="E43" s="143"/>
      <c r="F43" s="146">
        <v>1.6400000000000001E-2</v>
      </c>
      <c r="G43" s="147">
        <v>164000.25</v>
      </c>
      <c r="H43" s="44">
        <f>G43</f>
        <v>164000.25</v>
      </c>
      <c r="I43" s="158">
        <f t="shared" si="1"/>
        <v>0</v>
      </c>
      <c r="J43" s="159">
        <f t="shared" si="4"/>
        <v>0</v>
      </c>
      <c r="K43" s="159">
        <f t="shared" si="5"/>
        <v>180400.00000000003</v>
      </c>
      <c r="L43" s="194">
        <v>0</v>
      </c>
      <c r="M43" s="161">
        <f t="shared" si="7"/>
        <v>180400.25</v>
      </c>
      <c r="N43" s="161">
        <f t="shared" si="6"/>
        <v>191224.25</v>
      </c>
      <c r="O43" s="141">
        <f t="shared" si="8"/>
        <v>0.25000000000000006</v>
      </c>
    </row>
    <row r="44" spans="1:113" x14ac:dyDescent="0.3">
      <c r="A44" s="57" t="s">
        <v>124</v>
      </c>
      <c r="B44" s="6"/>
      <c r="C44" s="35" t="s">
        <v>72</v>
      </c>
      <c r="D44" s="114" t="s">
        <v>192</v>
      </c>
      <c r="E44" s="143" t="s">
        <v>277</v>
      </c>
      <c r="F44" s="146">
        <v>7.1999999999999998E-3</v>
      </c>
      <c r="G44" s="147">
        <v>72000.259999999995</v>
      </c>
      <c r="H44" s="44">
        <f>G44</f>
        <v>72000.259999999995</v>
      </c>
      <c r="I44" s="158">
        <f t="shared" si="1"/>
        <v>0</v>
      </c>
      <c r="J44" s="159">
        <f t="shared" si="4"/>
        <v>0</v>
      </c>
      <c r="K44" s="159">
        <f t="shared" si="5"/>
        <v>79200</v>
      </c>
      <c r="L44" s="194">
        <v>0</v>
      </c>
      <c r="M44" s="161">
        <f t="shared" si="7"/>
        <v>79200.259999999995</v>
      </c>
      <c r="N44" s="161">
        <f t="shared" si="6"/>
        <v>83952.26</v>
      </c>
      <c r="O44" s="141">
        <f t="shared" si="8"/>
        <v>0.26000000000000006</v>
      </c>
    </row>
    <row r="45" spans="1:113" x14ac:dyDescent="0.3">
      <c r="A45" s="57" t="s">
        <v>123</v>
      </c>
      <c r="B45" s="6"/>
      <c r="C45" s="35" t="s">
        <v>73</v>
      </c>
      <c r="D45" s="114" t="s">
        <v>193</v>
      </c>
      <c r="E45" s="143"/>
      <c r="F45" s="146">
        <v>1.7299999999999999E-2</v>
      </c>
      <c r="G45" s="147">
        <v>173000.27</v>
      </c>
      <c r="H45" s="44">
        <f t="shared" ref="H45:H51" si="10">G45</f>
        <v>173000.27</v>
      </c>
      <c r="I45" s="158">
        <f t="shared" si="1"/>
        <v>0</v>
      </c>
      <c r="J45" s="159">
        <f t="shared" si="4"/>
        <v>0</v>
      </c>
      <c r="K45" s="159">
        <f t="shared" si="5"/>
        <v>190300</v>
      </c>
      <c r="L45" s="194">
        <v>0</v>
      </c>
      <c r="M45" s="161">
        <f t="shared" si="7"/>
        <v>190300.27</v>
      </c>
      <c r="N45" s="161">
        <f t="shared" si="6"/>
        <v>201718.27</v>
      </c>
      <c r="O45" s="141">
        <f t="shared" si="8"/>
        <v>0.27000000000000007</v>
      </c>
      <c r="P45" t="s">
        <v>271</v>
      </c>
      <c r="Q45" t="s">
        <v>271</v>
      </c>
    </row>
    <row r="46" spans="1:113" x14ac:dyDescent="0.3">
      <c r="A46" s="57" t="s">
        <v>125</v>
      </c>
      <c r="B46" s="6"/>
      <c r="C46" s="206" t="s">
        <v>74</v>
      </c>
      <c r="D46" s="207" t="s">
        <v>122</v>
      </c>
      <c r="E46" s="208"/>
      <c r="F46" s="209">
        <v>9.4000000000000004E-3</v>
      </c>
      <c r="G46" s="210">
        <v>94000.28</v>
      </c>
      <c r="H46" s="215">
        <f t="shared" si="10"/>
        <v>94000.28</v>
      </c>
      <c r="I46" s="211">
        <f t="shared" si="1"/>
        <v>0</v>
      </c>
      <c r="J46" s="212">
        <f t="shared" si="4"/>
        <v>0</v>
      </c>
      <c r="K46" s="212">
        <f t="shared" si="5"/>
        <v>103400</v>
      </c>
      <c r="L46" s="213">
        <v>0</v>
      </c>
      <c r="M46" s="214">
        <f t="shared" si="7"/>
        <v>103400.28</v>
      </c>
      <c r="N46" s="214">
        <f t="shared" si="6"/>
        <v>109604.28</v>
      </c>
      <c r="O46" s="141">
        <f t="shared" si="8"/>
        <v>0.28000000000000008</v>
      </c>
      <c r="Q46" t="s">
        <v>263</v>
      </c>
    </row>
    <row r="47" spans="1:113" x14ac:dyDescent="0.3">
      <c r="A47" s="57" t="s">
        <v>125</v>
      </c>
      <c r="B47" s="6"/>
      <c r="C47" s="35" t="s">
        <v>75</v>
      </c>
      <c r="D47" s="114" t="s">
        <v>184</v>
      </c>
      <c r="E47" s="143" t="s">
        <v>325</v>
      </c>
      <c r="F47" s="146">
        <v>8.6999999999999994E-3</v>
      </c>
      <c r="G47" s="161">
        <v>87000.29</v>
      </c>
      <c r="H47" s="44">
        <f t="shared" si="10"/>
        <v>87000.29</v>
      </c>
      <c r="I47" s="158">
        <f t="shared" si="1"/>
        <v>0</v>
      </c>
      <c r="J47" s="159">
        <f t="shared" si="4"/>
        <v>0</v>
      </c>
      <c r="K47" s="159">
        <f t="shared" si="5"/>
        <v>95700</v>
      </c>
      <c r="L47" s="194">
        <v>0</v>
      </c>
      <c r="M47" s="161">
        <f t="shared" si="7"/>
        <v>95700.29</v>
      </c>
      <c r="N47" s="161">
        <f t="shared" si="6"/>
        <v>101442.29</v>
      </c>
      <c r="O47" s="141">
        <f t="shared" si="8"/>
        <v>0.29000000000000009</v>
      </c>
    </row>
    <row r="48" spans="1:113" x14ac:dyDescent="0.3">
      <c r="A48" s="57" t="s">
        <v>125</v>
      </c>
      <c r="B48" s="6"/>
      <c r="C48" s="35" t="s">
        <v>76</v>
      </c>
      <c r="D48" s="114" t="s">
        <v>194</v>
      </c>
      <c r="E48" s="143"/>
      <c r="F48" s="146">
        <v>9.4999999999999998E-3</v>
      </c>
      <c r="G48" s="147">
        <v>95000.3</v>
      </c>
      <c r="H48" s="44">
        <f t="shared" si="10"/>
        <v>95000.3</v>
      </c>
      <c r="I48" s="158">
        <f t="shared" si="1"/>
        <v>0</v>
      </c>
      <c r="J48" s="159">
        <f t="shared" si="4"/>
        <v>0</v>
      </c>
      <c r="K48" s="159">
        <f t="shared" si="5"/>
        <v>104500</v>
      </c>
      <c r="L48" s="194">
        <v>0</v>
      </c>
      <c r="M48" s="161">
        <f t="shared" si="7"/>
        <v>104500.3</v>
      </c>
      <c r="N48" s="161">
        <f t="shared" si="6"/>
        <v>110770.3</v>
      </c>
      <c r="O48" s="141">
        <f t="shared" si="8"/>
        <v>0.3000000000000001</v>
      </c>
    </row>
    <row r="49" spans="1:17" x14ac:dyDescent="0.3">
      <c r="A49" s="57" t="s">
        <v>123</v>
      </c>
      <c r="B49" s="6"/>
      <c r="C49" s="35" t="s">
        <v>77</v>
      </c>
      <c r="D49" s="114" t="s">
        <v>195</v>
      </c>
      <c r="E49" s="143"/>
      <c r="F49" s="146">
        <v>1.6400000000000001E-2</v>
      </c>
      <c r="G49" s="147">
        <v>164000.31</v>
      </c>
      <c r="H49" s="44">
        <f t="shared" si="10"/>
        <v>164000.31</v>
      </c>
      <c r="I49" s="158">
        <f t="shared" si="1"/>
        <v>0</v>
      </c>
      <c r="J49" s="159">
        <f t="shared" si="4"/>
        <v>0</v>
      </c>
      <c r="K49" s="159">
        <f t="shared" si="5"/>
        <v>180400.00000000003</v>
      </c>
      <c r="L49" s="194">
        <v>0</v>
      </c>
      <c r="M49" s="161">
        <f t="shared" si="7"/>
        <v>180400.31</v>
      </c>
      <c r="N49" s="161">
        <f t="shared" si="6"/>
        <v>191224.31</v>
      </c>
      <c r="O49" s="141">
        <f t="shared" si="8"/>
        <v>0.31000000000000011</v>
      </c>
    </row>
    <row r="50" spans="1:17" x14ac:dyDescent="0.3">
      <c r="A50" s="57" t="s">
        <v>124</v>
      </c>
      <c r="B50" s="6"/>
      <c r="C50" s="35" t="s">
        <v>78</v>
      </c>
      <c r="D50" s="114" t="s">
        <v>196</v>
      </c>
      <c r="E50" s="143"/>
      <c r="F50" s="146">
        <v>7.1999999999999998E-3</v>
      </c>
      <c r="G50" s="147">
        <v>72000.320000000007</v>
      </c>
      <c r="H50" s="44">
        <f t="shared" si="10"/>
        <v>72000.320000000007</v>
      </c>
      <c r="I50" s="158">
        <f t="shared" si="1"/>
        <v>0</v>
      </c>
      <c r="J50" s="159">
        <f t="shared" si="4"/>
        <v>0</v>
      </c>
      <c r="K50" s="159">
        <f t="shared" si="5"/>
        <v>79200</v>
      </c>
      <c r="L50" s="194">
        <v>0</v>
      </c>
      <c r="M50" s="161">
        <f t="shared" si="7"/>
        <v>79200.320000000007</v>
      </c>
      <c r="N50" s="161">
        <f t="shared" si="6"/>
        <v>83952.320000000007</v>
      </c>
      <c r="O50" s="141">
        <f t="shared" si="8"/>
        <v>0.32000000000000012</v>
      </c>
      <c r="P50" s="43"/>
    </row>
    <row r="51" spans="1:17" x14ac:dyDescent="0.3">
      <c r="A51" s="57" t="s">
        <v>123</v>
      </c>
      <c r="B51" s="6"/>
      <c r="C51" s="206" t="s">
        <v>79</v>
      </c>
      <c r="D51" s="207" t="s">
        <v>197</v>
      </c>
      <c r="E51" s="208"/>
      <c r="F51" s="209">
        <v>1.7299999999999999E-2</v>
      </c>
      <c r="G51" s="210">
        <v>173000.33</v>
      </c>
      <c r="H51" s="215">
        <f t="shared" si="10"/>
        <v>173000.33</v>
      </c>
      <c r="I51" s="211">
        <f t="shared" si="1"/>
        <v>0</v>
      </c>
      <c r="J51" s="212">
        <f t="shared" ref="J51:J82" si="11">M$8*F51</f>
        <v>0</v>
      </c>
      <c r="K51" s="212">
        <f t="shared" ref="K51:K82" si="12">M$2*F51</f>
        <v>190300</v>
      </c>
      <c r="L51" s="213">
        <v>0</v>
      </c>
      <c r="M51" s="214">
        <f t="shared" si="7"/>
        <v>190300.33</v>
      </c>
      <c r="N51" s="214">
        <f t="shared" si="6"/>
        <v>201718.33</v>
      </c>
      <c r="O51" s="141">
        <f t="shared" si="8"/>
        <v>0.33000000000000013</v>
      </c>
      <c r="P51" s="43"/>
    </row>
    <row r="52" spans="1:17" x14ac:dyDescent="0.3">
      <c r="A52" s="57" t="s">
        <v>125</v>
      </c>
      <c r="B52" s="6"/>
      <c r="C52" s="35" t="s">
        <v>80</v>
      </c>
      <c r="D52" s="114" t="s">
        <v>302</v>
      </c>
      <c r="E52" s="143"/>
      <c r="F52" s="146">
        <v>9.4000000000000004E-3</v>
      </c>
      <c r="G52" s="147">
        <v>93999.34</v>
      </c>
      <c r="H52" s="44">
        <f>G52</f>
        <v>93999.34</v>
      </c>
      <c r="I52" s="158">
        <f t="shared" si="1"/>
        <v>0</v>
      </c>
      <c r="J52" s="159">
        <f t="shared" si="11"/>
        <v>0</v>
      </c>
      <c r="K52" s="159">
        <f t="shared" si="12"/>
        <v>103400</v>
      </c>
      <c r="L52" s="194">
        <v>12000</v>
      </c>
      <c r="M52" s="161">
        <f t="shared" si="7"/>
        <v>115400.34</v>
      </c>
      <c r="N52" s="161">
        <f t="shared" si="6"/>
        <v>122324.34</v>
      </c>
      <c r="O52" s="141">
        <f t="shared" si="8"/>
        <v>0.34000000000000014</v>
      </c>
      <c r="P52" t="s">
        <v>322</v>
      </c>
    </row>
    <row r="53" spans="1:17" x14ac:dyDescent="0.3">
      <c r="A53" s="57" t="s">
        <v>125</v>
      </c>
      <c r="B53" s="6"/>
      <c r="C53" s="35" t="s">
        <v>81</v>
      </c>
      <c r="D53" s="114" t="s">
        <v>226</v>
      </c>
      <c r="E53" s="143"/>
      <c r="F53" s="146">
        <v>8.6999999999999994E-3</v>
      </c>
      <c r="G53" s="147">
        <v>87000.35</v>
      </c>
      <c r="H53" s="44">
        <v>78300.350000000006</v>
      </c>
      <c r="I53" s="158">
        <f>G53-H53</f>
        <v>8700</v>
      </c>
      <c r="J53" s="159">
        <f t="shared" si="11"/>
        <v>0</v>
      </c>
      <c r="K53" s="159">
        <f t="shared" si="12"/>
        <v>95700</v>
      </c>
      <c r="L53" s="194">
        <v>0</v>
      </c>
      <c r="M53" s="161">
        <f t="shared" si="7"/>
        <v>104400.35</v>
      </c>
      <c r="N53" s="161">
        <f t="shared" si="6"/>
        <v>110664.35</v>
      </c>
      <c r="O53" s="141">
        <f t="shared" si="8"/>
        <v>0.35000000000000014</v>
      </c>
    </row>
    <row r="54" spans="1:17" x14ac:dyDescent="0.3">
      <c r="A54" s="57" t="s">
        <v>125</v>
      </c>
      <c r="B54" s="6"/>
      <c r="C54" s="35" t="s">
        <v>82</v>
      </c>
      <c r="D54" s="114" t="s">
        <v>198</v>
      </c>
      <c r="E54" s="143"/>
      <c r="F54" s="146">
        <v>9.4999999999999998E-3</v>
      </c>
      <c r="G54" s="147">
        <v>95000.36</v>
      </c>
      <c r="H54" s="44">
        <f t="shared" ref="H54:H57" si="13">G54</f>
        <v>95000.36</v>
      </c>
      <c r="I54" s="158">
        <f>G54-H54</f>
        <v>0</v>
      </c>
      <c r="J54" s="159">
        <f t="shared" si="11"/>
        <v>0</v>
      </c>
      <c r="K54" s="159">
        <f t="shared" si="12"/>
        <v>104500</v>
      </c>
      <c r="L54" s="194">
        <v>36000</v>
      </c>
      <c r="M54" s="161">
        <f t="shared" si="7"/>
        <v>140500.35999999999</v>
      </c>
      <c r="N54" s="161">
        <f t="shared" si="6"/>
        <v>148930.35999999999</v>
      </c>
      <c r="O54" s="141">
        <f t="shared" si="8"/>
        <v>0.36000000000000015</v>
      </c>
    </row>
    <row r="55" spans="1:17" x14ac:dyDescent="0.3">
      <c r="A55" s="57" t="s">
        <v>123</v>
      </c>
      <c r="B55" s="6"/>
      <c r="C55" s="35" t="s">
        <v>83</v>
      </c>
      <c r="D55" s="114" t="s">
        <v>195</v>
      </c>
      <c r="E55" s="143"/>
      <c r="F55" s="146">
        <v>1.6400000000000001E-2</v>
      </c>
      <c r="G55" s="147">
        <v>164000.37</v>
      </c>
      <c r="H55" s="44">
        <f t="shared" si="13"/>
        <v>164000.37</v>
      </c>
      <c r="I55" s="158">
        <f t="shared" si="1"/>
        <v>0</v>
      </c>
      <c r="J55" s="159">
        <f t="shared" si="11"/>
        <v>0</v>
      </c>
      <c r="K55" s="159">
        <f t="shared" si="12"/>
        <v>180400.00000000003</v>
      </c>
      <c r="L55" s="194">
        <v>0</v>
      </c>
      <c r="M55" s="161">
        <f t="shared" si="7"/>
        <v>180400.37</v>
      </c>
      <c r="N55" s="161">
        <f t="shared" si="6"/>
        <v>191224.37</v>
      </c>
      <c r="O55" s="141">
        <f t="shared" si="8"/>
        <v>0.37000000000000016</v>
      </c>
      <c r="Q55" s="59"/>
    </row>
    <row r="56" spans="1:17" x14ac:dyDescent="0.3">
      <c r="A56" s="57" t="s">
        <v>124</v>
      </c>
      <c r="B56" s="6"/>
      <c r="C56" s="35" t="s">
        <v>84</v>
      </c>
      <c r="D56" s="114" t="s">
        <v>199</v>
      </c>
      <c r="E56" s="143" t="s">
        <v>278</v>
      </c>
      <c r="F56" s="146">
        <v>7.1999999999999998E-3</v>
      </c>
      <c r="G56" s="147">
        <v>72000.38</v>
      </c>
      <c r="H56" s="44">
        <f t="shared" si="13"/>
        <v>72000.38</v>
      </c>
      <c r="I56" s="158">
        <f t="shared" si="1"/>
        <v>0</v>
      </c>
      <c r="J56" s="159">
        <f t="shared" si="11"/>
        <v>0</v>
      </c>
      <c r="K56" s="159">
        <f t="shared" si="12"/>
        <v>79200</v>
      </c>
      <c r="L56" s="194">
        <v>0</v>
      </c>
      <c r="M56" s="161">
        <f t="shared" si="7"/>
        <v>79200.38</v>
      </c>
      <c r="N56" s="161">
        <f t="shared" si="6"/>
        <v>83952.38</v>
      </c>
      <c r="O56" s="141">
        <f t="shared" si="8"/>
        <v>0.38000000000000017</v>
      </c>
    </row>
    <row r="57" spans="1:17" x14ac:dyDescent="0.3">
      <c r="A57" s="57" t="s">
        <v>123</v>
      </c>
      <c r="B57" s="6"/>
      <c r="C57" s="35" t="s">
        <v>85</v>
      </c>
      <c r="D57" s="114" t="s">
        <v>200</v>
      </c>
      <c r="E57" s="143"/>
      <c r="F57" s="146">
        <v>1.7299999999999999E-2</v>
      </c>
      <c r="G57" s="147">
        <v>173000.39</v>
      </c>
      <c r="H57" s="44">
        <f t="shared" si="13"/>
        <v>173000.39</v>
      </c>
      <c r="I57" s="158">
        <f t="shared" si="1"/>
        <v>0</v>
      </c>
      <c r="J57" s="159">
        <f t="shared" si="11"/>
        <v>0</v>
      </c>
      <c r="K57" s="159">
        <f t="shared" si="12"/>
        <v>190300</v>
      </c>
      <c r="L57" s="194">
        <v>0</v>
      </c>
      <c r="M57" s="161">
        <f t="shared" si="7"/>
        <v>190300.39</v>
      </c>
      <c r="N57" s="161">
        <f t="shared" si="6"/>
        <v>201718.39</v>
      </c>
      <c r="O57" s="141">
        <f t="shared" si="8"/>
        <v>0.39000000000000018</v>
      </c>
    </row>
    <row r="58" spans="1:17" x14ac:dyDescent="0.3">
      <c r="A58" s="57" t="s">
        <v>125</v>
      </c>
      <c r="B58" s="6"/>
      <c r="C58" s="35" t="s">
        <v>86</v>
      </c>
      <c r="D58" s="114" t="s">
        <v>201</v>
      </c>
      <c r="E58" s="143"/>
      <c r="F58" s="146">
        <v>9.4000000000000004E-3</v>
      </c>
      <c r="G58" s="147">
        <v>88924.4</v>
      </c>
      <c r="H58" s="44">
        <f>G58</f>
        <v>88924.4</v>
      </c>
      <c r="I58" s="158">
        <f t="shared" si="1"/>
        <v>0</v>
      </c>
      <c r="J58" s="159">
        <f t="shared" si="11"/>
        <v>0</v>
      </c>
      <c r="K58" s="159">
        <f t="shared" si="12"/>
        <v>103400</v>
      </c>
      <c r="L58" s="194">
        <v>0</v>
      </c>
      <c r="M58" s="161">
        <f t="shared" si="7"/>
        <v>103400.4</v>
      </c>
      <c r="N58" s="161">
        <f t="shared" si="6"/>
        <v>109604.4</v>
      </c>
      <c r="O58" s="141">
        <f t="shared" si="8"/>
        <v>0.40000000000000019</v>
      </c>
    </row>
    <row r="59" spans="1:17" x14ac:dyDescent="0.3">
      <c r="A59" s="57" t="s">
        <v>125</v>
      </c>
      <c r="B59" s="6"/>
      <c r="C59" s="35" t="s">
        <v>87</v>
      </c>
      <c r="D59" s="114" t="s">
        <v>122</v>
      </c>
      <c r="E59" s="143"/>
      <c r="F59" s="146">
        <v>8.6999999999999994E-3</v>
      </c>
      <c r="G59" s="147">
        <v>87000.41</v>
      </c>
      <c r="H59" s="44">
        <f>G59</f>
        <v>87000.41</v>
      </c>
      <c r="I59" s="158">
        <f t="shared" si="1"/>
        <v>0</v>
      </c>
      <c r="J59" s="159">
        <f t="shared" si="11"/>
        <v>0</v>
      </c>
      <c r="K59" s="159">
        <f t="shared" si="12"/>
        <v>95700</v>
      </c>
      <c r="L59" s="194">
        <v>0</v>
      </c>
      <c r="M59" s="161">
        <f t="shared" si="7"/>
        <v>95700.41</v>
      </c>
      <c r="N59" s="161">
        <f t="shared" si="6"/>
        <v>101442.41</v>
      </c>
      <c r="O59" s="141">
        <f t="shared" si="8"/>
        <v>0.4100000000000002</v>
      </c>
      <c r="Q59" t="s">
        <v>262</v>
      </c>
    </row>
    <row r="60" spans="1:17" x14ac:dyDescent="0.3">
      <c r="A60" s="57" t="s">
        <v>125</v>
      </c>
      <c r="B60" s="6"/>
      <c r="C60" s="206" t="s">
        <v>88</v>
      </c>
      <c r="D60" s="207" t="s">
        <v>202</v>
      </c>
      <c r="E60" s="208"/>
      <c r="F60" s="209">
        <v>9.4999999999999998E-3</v>
      </c>
      <c r="G60" s="210">
        <v>95000.42</v>
      </c>
      <c r="H60" s="215">
        <f t="shared" ref="H60:H67" si="14">G60</f>
        <v>95000.42</v>
      </c>
      <c r="I60" s="211">
        <f t="shared" si="1"/>
        <v>0</v>
      </c>
      <c r="J60" s="212">
        <f t="shared" si="11"/>
        <v>0</v>
      </c>
      <c r="K60" s="212">
        <f t="shared" si="12"/>
        <v>104500</v>
      </c>
      <c r="L60" s="213">
        <v>0</v>
      </c>
      <c r="M60" s="214">
        <f t="shared" si="7"/>
        <v>104500.42</v>
      </c>
      <c r="N60" s="214">
        <f t="shared" si="6"/>
        <v>110770.42</v>
      </c>
      <c r="O60" s="141">
        <f t="shared" si="8"/>
        <v>0.42000000000000021</v>
      </c>
      <c r="P60" t="s">
        <v>298</v>
      </c>
    </row>
    <row r="61" spans="1:17" x14ac:dyDescent="0.3">
      <c r="A61" s="57" t="s">
        <v>123</v>
      </c>
      <c r="B61" s="6"/>
      <c r="C61" s="35" t="s">
        <v>89</v>
      </c>
      <c r="D61" s="114" t="s">
        <v>203</v>
      </c>
      <c r="E61" s="143"/>
      <c r="F61" s="146">
        <v>1.6400000000000001E-2</v>
      </c>
      <c r="G61" s="147">
        <v>164000.43</v>
      </c>
      <c r="H61" s="44">
        <f t="shared" si="14"/>
        <v>164000.43</v>
      </c>
      <c r="I61" s="158">
        <f t="shared" si="1"/>
        <v>0</v>
      </c>
      <c r="J61" s="159">
        <f t="shared" si="11"/>
        <v>0</v>
      </c>
      <c r="K61" s="159">
        <f t="shared" si="12"/>
        <v>180400.00000000003</v>
      </c>
      <c r="L61" s="194">
        <v>0</v>
      </c>
      <c r="M61" s="161">
        <f t="shared" si="7"/>
        <v>180400.43</v>
      </c>
      <c r="N61" s="161">
        <f t="shared" si="6"/>
        <v>191224.43</v>
      </c>
      <c r="O61" s="141">
        <f t="shared" si="8"/>
        <v>0.43000000000000022</v>
      </c>
    </row>
    <row r="62" spans="1:17" x14ac:dyDescent="0.3">
      <c r="A62" s="57" t="s">
        <v>124</v>
      </c>
      <c r="B62" s="6"/>
      <c r="C62" s="35" t="s">
        <v>90</v>
      </c>
      <c r="D62" s="114" t="s">
        <v>203</v>
      </c>
      <c r="E62" s="143"/>
      <c r="F62" s="146">
        <v>7.1999999999999998E-3</v>
      </c>
      <c r="G62" s="147">
        <v>72000.44</v>
      </c>
      <c r="H62" s="44">
        <f t="shared" si="14"/>
        <v>72000.44</v>
      </c>
      <c r="I62" s="158">
        <f t="shared" si="1"/>
        <v>0</v>
      </c>
      <c r="J62" s="159">
        <f t="shared" si="11"/>
        <v>0</v>
      </c>
      <c r="K62" s="159">
        <f t="shared" si="12"/>
        <v>79200</v>
      </c>
      <c r="L62" s="194">
        <v>0</v>
      </c>
      <c r="M62" s="161">
        <f t="shared" si="7"/>
        <v>79200.44</v>
      </c>
      <c r="N62" s="161">
        <f t="shared" si="6"/>
        <v>83952.44</v>
      </c>
      <c r="O62" s="141">
        <f t="shared" si="8"/>
        <v>0.44000000000000022</v>
      </c>
    </row>
    <row r="63" spans="1:17" x14ac:dyDescent="0.3">
      <c r="A63" s="57" t="s">
        <v>123</v>
      </c>
      <c r="B63" s="6"/>
      <c r="C63" s="35" t="s">
        <v>91</v>
      </c>
      <c r="D63" s="114" t="s">
        <v>204</v>
      </c>
      <c r="E63" s="143"/>
      <c r="F63" s="146">
        <v>1.7299999999999999E-2</v>
      </c>
      <c r="G63" s="147">
        <v>173000.45</v>
      </c>
      <c r="H63" s="44">
        <f t="shared" si="14"/>
        <v>173000.45</v>
      </c>
      <c r="I63" s="158">
        <f t="shared" si="1"/>
        <v>0</v>
      </c>
      <c r="J63" s="159">
        <f t="shared" si="11"/>
        <v>0</v>
      </c>
      <c r="K63" s="159">
        <f t="shared" si="12"/>
        <v>190300</v>
      </c>
      <c r="L63" s="194">
        <v>36000</v>
      </c>
      <c r="M63" s="161">
        <f t="shared" si="7"/>
        <v>226300.45</v>
      </c>
      <c r="N63" s="161">
        <f t="shared" si="6"/>
        <v>239878.45</v>
      </c>
      <c r="O63" s="141">
        <f t="shared" si="8"/>
        <v>0.45000000000000023</v>
      </c>
    </row>
    <row r="64" spans="1:17" x14ac:dyDescent="0.3">
      <c r="A64" s="57" t="s">
        <v>125</v>
      </c>
      <c r="B64" s="6"/>
      <c r="C64" s="206" t="s">
        <v>92</v>
      </c>
      <c r="D64" s="207" t="s">
        <v>205</v>
      </c>
      <c r="E64" s="208" t="s">
        <v>279</v>
      </c>
      <c r="F64" s="209">
        <v>9.4000000000000004E-3</v>
      </c>
      <c r="G64" s="210">
        <v>94000.46</v>
      </c>
      <c r="H64" s="215">
        <f t="shared" si="14"/>
        <v>94000.46</v>
      </c>
      <c r="I64" s="211">
        <f t="shared" si="1"/>
        <v>0</v>
      </c>
      <c r="J64" s="212">
        <f t="shared" si="11"/>
        <v>0</v>
      </c>
      <c r="K64" s="212">
        <f t="shared" si="12"/>
        <v>103400</v>
      </c>
      <c r="L64" s="213">
        <v>0</v>
      </c>
      <c r="M64" s="214">
        <f t="shared" si="7"/>
        <v>103400.46</v>
      </c>
      <c r="N64" s="214">
        <f t="shared" si="6"/>
        <v>109604.46</v>
      </c>
      <c r="O64" s="141">
        <f t="shared" si="8"/>
        <v>0.46000000000000024</v>
      </c>
    </row>
    <row r="65" spans="1:17" x14ac:dyDescent="0.3">
      <c r="A65" s="57" t="s">
        <v>125</v>
      </c>
      <c r="B65" s="6"/>
      <c r="C65" s="35" t="s">
        <v>93</v>
      </c>
      <c r="D65" s="114" t="s">
        <v>184</v>
      </c>
      <c r="E65" s="143"/>
      <c r="F65" s="146">
        <v>8.6999999999999994E-3</v>
      </c>
      <c r="G65" s="147">
        <v>-82199.53</v>
      </c>
      <c r="H65" s="44"/>
      <c r="I65" s="158">
        <f t="shared" si="1"/>
        <v>-82199.53</v>
      </c>
      <c r="J65" s="159">
        <f t="shared" si="11"/>
        <v>0</v>
      </c>
      <c r="K65" s="159">
        <f t="shared" si="12"/>
        <v>95700</v>
      </c>
      <c r="L65" s="194">
        <v>0</v>
      </c>
      <c r="M65" s="161">
        <f t="shared" si="7"/>
        <v>13500.47</v>
      </c>
      <c r="N65" s="161">
        <f t="shared" si="6"/>
        <v>14310.47</v>
      </c>
      <c r="O65" s="141">
        <f t="shared" si="8"/>
        <v>0.47000000000000025</v>
      </c>
    </row>
    <row r="66" spans="1:17" x14ac:dyDescent="0.3">
      <c r="A66" s="57" t="s">
        <v>125</v>
      </c>
      <c r="B66" s="6"/>
      <c r="C66" s="35" t="s">
        <v>94</v>
      </c>
      <c r="D66" s="114" t="s">
        <v>206</v>
      </c>
      <c r="E66" s="143"/>
      <c r="F66" s="146">
        <v>9.4999999999999998E-3</v>
      </c>
      <c r="G66" s="147">
        <v>95000.48</v>
      </c>
      <c r="H66" s="44">
        <f t="shared" si="14"/>
        <v>95000.48</v>
      </c>
      <c r="I66" s="158">
        <f t="shared" si="1"/>
        <v>0</v>
      </c>
      <c r="J66" s="159">
        <f t="shared" si="11"/>
        <v>0</v>
      </c>
      <c r="K66" s="159">
        <f t="shared" si="12"/>
        <v>104500</v>
      </c>
      <c r="L66" s="194">
        <v>0</v>
      </c>
      <c r="M66" s="161">
        <f t="shared" si="7"/>
        <v>104500.48</v>
      </c>
      <c r="N66" s="161">
        <f t="shared" si="6"/>
        <v>110771.48</v>
      </c>
      <c r="O66" s="141">
        <f t="shared" si="8"/>
        <v>0.48000000000000026</v>
      </c>
    </row>
    <row r="67" spans="1:17" x14ac:dyDescent="0.3">
      <c r="A67" s="57" t="s">
        <v>123</v>
      </c>
      <c r="B67" s="6"/>
      <c r="C67" s="35" t="s">
        <v>95</v>
      </c>
      <c r="D67" s="114" t="s">
        <v>207</v>
      </c>
      <c r="E67" s="143"/>
      <c r="F67" s="146">
        <v>1.6400000000000001E-2</v>
      </c>
      <c r="G67" s="147">
        <v>164000.49</v>
      </c>
      <c r="H67" s="44">
        <f t="shared" si="14"/>
        <v>164000.49</v>
      </c>
      <c r="I67" s="158">
        <f t="shared" si="1"/>
        <v>0</v>
      </c>
      <c r="J67" s="159">
        <f t="shared" si="11"/>
        <v>0</v>
      </c>
      <c r="K67" s="159">
        <f t="shared" si="12"/>
        <v>180400.00000000003</v>
      </c>
      <c r="L67" s="194">
        <v>0</v>
      </c>
      <c r="M67" s="161">
        <f t="shared" si="7"/>
        <v>180400.49</v>
      </c>
      <c r="N67" s="161">
        <f t="shared" si="6"/>
        <v>191225.49</v>
      </c>
      <c r="O67" s="141">
        <f t="shared" si="8"/>
        <v>0.49000000000000027</v>
      </c>
    </row>
    <row r="68" spans="1:17" x14ac:dyDescent="0.3">
      <c r="A68" s="149" t="s">
        <v>124</v>
      </c>
      <c r="B68" s="148"/>
      <c r="C68" s="35" t="s">
        <v>96</v>
      </c>
      <c r="D68" s="114" t="s">
        <v>208</v>
      </c>
      <c r="E68" s="143"/>
      <c r="F68" s="146">
        <v>7.1999999999999998E-3</v>
      </c>
      <c r="G68" s="147">
        <v>253030.5</v>
      </c>
      <c r="H68" s="44"/>
      <c r="I68" s="158">
        <f t="shared" si="1"/>
        <v>253030.5</v>
      </c>
      <c r="J68" s="159">
        <f t="shared" si="11"/>
        <v>0</v>
      </c>
      <c r="K68" s="159">
        <f t="shared" si="12"/>
        <v>79200</v>
      </c>
      <c r="L68" s="194">
        <v>0</v>
      </c>
      <c r="M68" s="161">
        <f t="shared" si="7"/>
        <v>332231.5</v>
      </c>
      <c r="N68" s="161">
        <f t="shared" si="6"/>
        <v>352165.5</v>
      </c>
      <c r="O68" s="141">
        <f t="shared" si="8"/>
        <v>0.50000000000000022</v>
      </c>
    </row>
    <row r="69" spans="1:17" x14ac:dyDescent="0.3">
      <c r="A69" s="57" t="s">
        <v>123</v>
      </c>
      <c r="B69" s="6"/>
      <c r="C69" s="35" t="s">
        <v>97</v>
      </c>
      <c r="D69" s="114" t="s">
        <v>209</v>
      </c>
      <c r="E69" s="143"/>
      <c r="F69" s="146">
        <v>1.7299999999999999E-2</v>
      </c>
      <c r="G69" s="147">
        <v>173000.51</v>
      </c>
      <c r="H69" s="44">
        <f t="shared" ref="H69:H72" si="15">G69</f>
        <v>173000.51</v>
      </c>
      <c r="I69" s="158">
        <f t="shared" si="1"/>
        <v>0</v>
      </c>
      <c r="J69" s="159">
        <f t="shared" si="11"/>
        <v>0</v>
      </c>
      <c r="K69" s="159">
        <f t="shared" si="12"/>
        <v>190300</v>
      </c>
      <c r="L69" s="194">
        <v>0</v>
      </c>
      <c r="M69" s="161">
        <f t="shared" si="7"/>
        <v>190300.51</v>
      </c>
      <c r="N69" s="161">
        <f t="shared" si="6"/>
        <v>201719.51</v>
      </c>
      <c r="O69" s="141">
        <f t="shared" si="8"/>
        <v>0.51000000000000023</v>
      </c>
    </row>
    <row r="70" spans="1:17" x14ac:dyDescent="0.3">
      <c r="A70" s="57" t="s">
        <v>125</v>
      </c>
      <c r="B70" s="6"/>
      <c r="C70" s="206" t="s">
        <v>98</v>
      </c>
      <c r="D70" s="207" t="s">
        <v>210</v>
      </c>
      <c r="E70" s="208"/>
      <c r="F70" s="209">
        <v>9.4000000000000004E-3</v>
      </c>
      <c r="G70" s="210">
        <v>88923.520000000004</v>
      </c>
      <c r="H70" s="215">
        <v>89677.52</v>
      </c>
      <c r="I70" s="211">
        <f t="shared" si="1"/>
        <v>-754</v>
      </c>
      <c r="J70" s="212">
        <f t="shared" si="11"/>
        <v>0</v>
      </c>
      <c r="K70" s="212">
        <f t="shared" si="12"/>
        <v>103400</v>
      </c>
      <c r="L70" s="213">
        <v>0</v>
      </c>
      <c r="M70" s="214">
        <f t="shared" si="7"/>
        <v>102646.52</v>
      </c>
      <c r="N70" s="214">
        <f t="shared" si="6"/>
        <v>108805.52</v>
      </c>
      <c r="O70" s="141">
        <f t="shared" si="8"/>
        <v>0.52000000000000024</v>
      </c>
    </row>
    <row r="71" spans="1:17" x14ac:dyDescent="0.3">
      <c r="A71" s="57" t="s">
        <v>125</v>
      </c>
      <c r="B71" s="6"/>
      <c r="C71" s="35" t="s">
        <v>99</v>
      </c>
      <c r="D71" s="114" t="s">
        <v>122</v>
      </c>
      <c r="E71" s="143"/>
      <c r="F71" s="146">
        <v>8.6999999999999994E-3</v>
      </c>
      <c r="G71" s="147">
        <v>87000.53</v>
      </c>
      <c r="H71" s="44">
        <f t="shared" si="15"/>
        <v>87000.53</v>
      </c>
      <c r="I71" s="158">
        <f t="shared" si="1"/>
        <v>0</v>
      </c>
      <c r="J71" s="159">
        <f t="shared" si="11"/>
        <v>0</v>
      </c>
      <c r="K71" s="159">
        <f t="shared" si="12"/>
        <v>95700</v>
      </c>
      <c r="L71" s="194">
        <v>0</v>
      </c>
      <c r="M71" s="161">
        <f t="shared" si="7"/>
        <v>95700.53</v>
      </c>
      <c r="N71" s="161">
        <f t="shared" si="6"/>
        <v>101443.53</v>
      </c>
      <c r="O71" s="141">
        <f t="shared" si="8"/>
        <v>0.53000000000000025</v>
      </c>
      <c r="Q71" t="s">
        <v>263</v>
      </c>
    </row>
    <row r="72" spans="1:17" x14ac:dyDescent="0.3">
      <c r="A72" s="57" t="s">
        <v>125</v>
      </c>
      <c r="B72" s="6"/>
      <c r="C72" s="35" t="s">
        <v>100</v>
      </c>
      <c r="D72" s="114" t="s">
        <v>211</v>
      </c>
      <c r="E72" s="143"/>
      <c r="F72" s="146">
        <v>9.4999999999999998E-3</v>
      </c>
      <c r="G72" s="147">
        <v>95000.54</v>
      </c>
      <c r="H72" s="44">
        <f t="shared" si="15"/>
        <v>95000.54</v>
      </c>
      <c r="I72" s="158">
        <f t="shared" si="1"/>
        <v>0</v>
      </c>
      <c r="J72" s="159">
        <f t="shared" si="11"/>
        <v>0</v>
      </c>
      <c r="K72" s="159">
        <f t="shared" si="12"/>
        <v>104500</v>
      </c>
      <c r="L72" s="194">
        <v>0</v>
      </c>
      <c r="M72" s="161">
        <f t="shared" si="7"/>
        <v>104500.54</v>
      </c>
      <c r="N72" s="161">
        <f t="shared" si="6"/>
        <v>110771.54</v>
      </c>
      <c r="O72" s="141">
        <f t="shared" si="8"/>
        <v>0.54000000000000026</v>
      </c>
    </row>
    <row r="73" spans="1:17" x14ac:dyDescent="0.3">
      <c r="A73" s="57" t="s">
        <v>126</v>
      </c>
      <c r="B73" s="6"/>
      <c r="C73" s="229" t="s">
        <v>101</v>
      </c>
      <c r="D73" s="230" t="s">
        <v>212</v>
      </c>
      <c r="E73" s="231"/>
      <c r="F73" s="232">
        <v>2.35E-2</v>
      </c>
      <c r="G73" s="233">
        <v>235000.55</v>
      </c>
      <c r="H73" s="234"/>
      <c r="I73" s="235">
        <f t="shared" si="1"/>
        <v>235000.55</v>
      </c>
      <c r="J73" s="236">
        <f t="shared" si="11"/>
        <v>0</v>
      </c>
      <c r="K73" s="236">
        <f t="shared" si="12"/>
        <v>258500</v>
      </c>
      <c r="L73" s="237">
        <v>0</v>
      </c>
      <c r="M73" s="238">
        <f t="shared" si="7"/>
        <v>493501.55</v>
      </c>
      <c r="N73" s="238">
        <f t="shared" si="6"/>
        <v>523112.55</v>
      </c>
      <c r="O73" s="141">
        <f t="shared" si="8"/>
        <v>0.55000000000000027</v>
      </c>
      <c r="P73" s="239" t="s">
        <v>356</v>
      </c>
    </row>
    <row r="74" spans="1:17" x14ac:dyDescent="0.3">
      <c r="A74" s="57" t="s">
        <v>123</v>
      </c>
      <c r="B74" s="6"/>
      <c r="C74" s="35" t="s">
        <v>102</v>
      </c>
      <c r="D74" s="114" t="s">
        <v>213</v>
      </c>
      <c r="E74" s="143"/>
      <c r="F74" s="146">
        <v>1.7299999999999999E-2</v>
      </c>
      <c r="G74" s="147">
        <v>163657.56</v>
      </c>
      <c r="H74" s="44">
        <f>G74</f>
        <v>163657.56</v>
      </c>
      <c r="I74" s="158">
        <f t="shared" si="1"/>
        <v>0</v>
      </c>
      <c r="J74" s="159">
        <f t="shared" si="11"/>
        <v>0</v>
      </c>
      <c r="K74" s="159">
        <f t="shared" si="12"/>
        <v>190300</v>
      </c>
      <c r="L74" s="194">
        <v>0</v>
      </c>
      <c r="M74" s="161">
        <f t="shared" si="7"/>
        <v>190300.56</v>
      </c>
      <c r="N74" s="161">
        <f t="shared" si="6"/>
        <v>201719.56</v>
      </c>
      <c r="O74" s="141">
        <f t="shared" si="8"/>
        <v>0.56000000000000028</v>
      </c>
    </row>
    <row r="75" spans="1:17" x14ac:dyDescent="0.3">
      <c r="A75" s="57" t="s">
        <v>125</v>
      </c>
      <c r="B75" s="6"/>
      <c r="C75" s="35" t="s">
        <v>103</v>
      </c>
      <c r="D75" s="114" t="s">
        <v>261</v>
      </c>
      <c r="E75" s="143"/>
      <c r="F75" s="146">
        <v>9.4000000000000004E-3</v>
      </c>
      <c r="G75" s="147">
        <v>94000.57</v>
      </c>
      <c r="H75" s="44">
        <f>G75</f>
        <v>94000.57</v>
      </c>
      <c r="I75" s="158">
        <f t="shared" si="1"/>
        <v>0</v>
      </c>
      <c r="J75" s="159">
        <f t="shared" si="11"/>
        <v>0</v>
      </c>
      <c r="K75" s="159">
        <f t="shared" si="12"/>
        <v>103400</v>
      </c>
      <c r="L75" s="194">
        <v>0</v>
      </c>
      <c r="M75" s="161">
        <f t="shared" si="7"/>
        <v>103400.57</v>
      </c>
      <c r="N75" s="161">
        <f t="shared" si="6"/>
        <v>109605.57</v>
      </c>
      <c r="O75" s="141">
        <f t="shared" si="8"/>
        <v>0.57000000000000028</v>
      </c>
    </row>
    <row r="76" spans="1:17" x14ac:dyDescent="0.3">
      <c r="A76" s="57" t="s">
        <v>125</v>
      </c>
      <c r="B76" s="6"/>
      <c r="C76" s="35" t="s">
        <v>104</v>
      </c>
      <c r="D76" s="114" t="s">
        <v>214</v>
      </c>
      <c r="E76" s="143" t="s">
        <v>307</v>
      </c>
      <c r="F76" s="146">
        <v>8.6999999999999994E-3</v>
      </c>
      <c r="G76" s="147">
        <v>92221.58</v>
      </c>
      <c r="H76" s="44">
        <f>G76</f>
        <v>92221.58</v>
      </c>
      <c r="I76" s="158">
        <f t="shared" si="1"/>
        <v>0</v>
      </c>
      <c r="J76" s="159">
        <f t="shared" si="11"/>
        <v>0</v>
      </c>
      <c r="K76" s="159">
        <f t="shared" si="12"/>
        <v>95700</v>
      </c>
      <c r="L76" s="194">
        <v>12000</v>
      </c>
      <c r="M76" s="161">
        <f t="shared" si="7"/>
        <v>107700.58</v>
      </c>
      <c r="N76" s="161">
        <f t="shared" si="6"/>
        <v>114163.58</v>
      </c>
      <c r="O76" s="141">
        <f t="shared" si="8"/>
        <v>0.58000000000000029</v>
      </c>
    </row>
    <row r="77" spans="1:17" x14ac:dyDescent="0.3">
      <c r="A77" s="57" t="s">
        <v>125</v>
      </c>
      <c r="B77" s="6"/>
      <c r="C77" s="35" t="s">
        <v>105</v>
      </c>
      <c r="D77" s="114" t="s">
        <v>215</v>
      </c>
      <c r="E77" s="143"/>
      <c r="F77" s="146">
        <v>9.4999999999999998E-3</v>
      </c>
      <c r="G77" s="147">
        <v>89869.59</v>
      </c>
      <c r="H77" s="44">
        <v>95262.59</v>
      </c>
      <c r="I77" s="158">
        <f t="shared" si="1"/>
        <v>-5393</v>
      </c>
      <c r="J77" s="159">
        <f t="shared" si="11"/>
        <v>0</v>
      </c>
      <c r="K77" s="159">
        <f t="shared" si="12"/>
        <v>104500</v>
      </c>
      <c r="L77" s="194">
        <v>0</v>
      </c>
      <c r="M77" s="161">
        <f t="shared" si="7"/>
        <v>99107.59</v>
      </c>
      <c r="N77" s="161">
        <f t="shared" si="6"/>
        <v>105054.59</v>
      </c>
      <c r="O77" s="141">
        <f t="shared" si="8"/>
        <v>0.5900000000000003</v>
      </c>
    </row>
    <row r="78" spans="1:17" x14ac:dyDescent="0.3">
      <c r="A78" s="57" t="s">
        <v>126</v>
      </c>
      <c r="B78" s="6"/>
      <c r="C78" s="35" t="s">
        <v>106</v>
      </c>
      <c r="D78" s="114" t="s">
        <v>216</v>
      </c>
      <c r="E78" s="143"/>
      <c r="F78" s="146">
        <v>2.35E-2</v>
      </c>
      <c r="G78" s="147">
        <v>446501.6</v>
      </c>
      <c r="H78" s="44">
        <f>155100+61920.6+235000.6</f>
        <v>452021.2</v>
      </c>
      <c r="I78" s="158">
        <f t="shared" si="1"/>
        <v>-5519.6000000000349</v>
      </c>
      <c r="J78" s="159">
        <f t="shared" si="11"/>
        <v>0</v>
      </c>
      <c r="K78" s="159">
        <f t="shared" si="12"/>
        <v>258500</v>
      </c>
      <c r="L78" s="194">
        <v>0</v>
      </c>
      <c r="M78" s="161">
        <f t="shared" si="7"/>
        <v>252980.6</v>
      </c>
      <c r="N78" s="161">
        <f t="shared" si="6"/>
        <v>268159.59999999998</v>
      </c>
      <c r="O78" s="141">
        <f t="shared" si="8"/>
        <v>0.60000000000000031</v>
      </c>
    </row>
    <row r="79" spans="1:17" x14ac:dyDescent="0.3">
      <c r="A79" s="57" t="s">
        <v>123</v>
      </c>
      <c r="B79" s="6"/>
      <c r="C79" s="35" t="s">
        <v>107</v>
      </c>
      <c r="D79" s="114" t="s">
        <v>217</v>
      </c>
      <c r="E79" s="143"/>
      <c r="F79" s="146">
        <v>1.7299999999999999E-2</v>
      </c>
      <c r="G79" s="147">
        <v>173000.61</v>
      </c>
      <c r="H79" s="44">
        <v>173000.61</v>
      </c>
      <c r="I79" s="158">
        <f t="shared" si="1"/>
        <v>0</v>
      </c>
      <c r="J79" s="159">
        <f t="shared" si="11"/>
        <v>0</v>
      </c>
      <c r="K79" s="159">
        <f t="shared" si="12"/>
        <v>190300</v>
      </c>
      <c r="L79" s="194">
        <v>0</v>
      </c>
      <c r="M79" s="161">
        <f t="shared" si="7"/>
        <v>190300.61</v>
      </c>
      <c r="N79" s="161">
        <f t="shared" si="6"/>
        <v>201719.61</v>
      </c>
      <c r="O79" s="141">
        <f t="shared" si="8"/>
        <v>0.61000000000000032</v>
      </c>
    </row>
    <row r="80" spans="1:17" x14ac:dyDescent="0.3">
      <c r="A80" s="57" t="s">
        <v>125</v>
      </c>
      <c r="B80" s="6"/>
      <c r="C80" s="35" t="s">
        <v>108</v>
      </c>
      <c r="D80" s="114" t="s">
        <v>218</v>
      </c>
      <c r="E80" s="143"/>
      <c r="F80" s="146">
        <v>9.4000000000000004E-3</v>
      </c>
      <c r="G80" s="147">
        <v>122200.62</v>
      </c>
      <c r="H80" s="44"/>
      <c r="I80" s="158">
        <f t="shared" si="1"/>
        <v>122200.62</v>
      </c>
      <c r="J80" s="159">
        <f t="shared" si="11"/>
        <v>0</v>
      </c>
      <c r="K80" s="159">
        <f t="shared" si="12"/>
        <v>103400</v>
      </c>
      <c r="L80" s="194">
        <v>12000</v>
      </c>
      <c r="M80" s="161">
        <f t="shared" si="7"/>
        <v>237601.62</v>
      </c>
      <c r="N80" s="161">
        <f t="shared" si="6"/>
        <v>251858.62</v>
      </c>
      <c r="O80" s="141">
        <f t="shared" si="8"/>
        <v>0.62000000000000033</v>
      </c>
    </row>
    <row r="81" spans="1:16" x14ac:dyDescent="0.3">
      <c r="A81" s="57" t="s">
        <v>125</v>
      </c>
      <c r="B81" s="6"/>
      <c r="C81" s="35" t="s">
        <v>109</v>
      </c>
      <c r="D81" s="114" t="s">
        <v>219</v>
      </c>
      <c r="E81" s="143" t="s">
        <v>280</v>
      </c>
      <c r="F81" s="146">
        <v>8.6999999999999994E-3</v>
      </c>
      <c r="G81" s="147">
        <v>87000.63</v>
      </c>
      <c r="H81" s="44">
        <f>G81</f>
        <v>87000.63</v>
      </c>
      <c r="I81" s="158">
        <f t="shared" si="1"/>
        <v>0</v>
      </c>
      <c r="J81" s="159">
        <f t="shared" si="11"/>
        <v>0</v>
      </c>
      <c r="K81" s="159">
        <f t="shared" si="12"/>
        <v>95700</v>
      </c>
      <c r="L81" s="194">
        <v>0</v>
      </c>
      <c r="M81" s="161">
        <f t="shared" si="7"/>
        <v>95700.63</v>
      </c>
      <c r="N81" s="161">
        <f t="shared" si="6"/>
        <v>101443.63</v>
      </c>
      <c r="O81" s="141">
        <f t="shared" si="8"/>
        <v>0.63000000000000034</v>
      </c>
    </row>
    <row r="82" spans="1:16" x14ac:dyDescent="0.3">
      <c r="A82" s="57" t="s">
        <v>125</v>
      </c>
      <c r="B82" s="6"/>
      <c r="C82" s="35" t="s">
        <v>110</v>
      </c>
      <c r="D82" s="114" t="s">
        <v>220</v>
      </c>
      <c r="E82" s="143"/>
      <c r="F82" s="146">
        <v>9.4999999999999998E-3</v>
      </c>
      <c r="G82" s="147">
        <v>95000.639999999999</v>
      </c>
      <c r="H82" s="44">
        <f>G82</f>
        <v>95000.639999999999</v>
      </c>
      <c r="I82" s="158">
        <f t="shared" si="1"/>
        <v>0</v>
      </c>
      <c r="J82" s="159">
        <f t="shared" si="11"/>
        <v>0</v>
      </c>
      <c r="K82" s="159">
        <f t="shared" si="12"/>
        <v>104500</v>
      </c>
      <c r="L82" s="194">
        <v>0</v>
      </c>
      <c r="M82" s="161">
        <f t="shared" si="7"/>
        <v>104500.64</v>
      </c>
      <c r="N82" s="161">
        <f t="shared" si="6"/>
        <v>110771.64</v>
      </c>
      <c r="O82" s="141">
        <f t="shared" si="8"/>
        <v>0.64000000000000035</v>
      </c>
      <c r="P82" t="s">
        <v>299</v>
      </c>
    </row>
    <row r="83" spans="1:16" x14ac:dyDescent="0.3">
      <c r="A83" s="57" t="s">
        <v>126</v>
      </c>
      <c r="B83" s="6"/>
      <c r="C83" s="35" t="s">
        <v>111</v>
      </c>
      <c r="D83" s="114" t="s">
        <v>301</v>
      </c>
      <c r="E83" s="143"/>
      <c r="F83" s="146">
        <v>2.35E-2</v>
      </c>
      <c r="G83" s="147">
        <v>234999.65</v>
      </c>
      <c r="H83" s="44">
        <f>G83</f>
        <v>234999.65</v>
      </c>
      <c r="I83" s="158">
        <f t="shared" si="1"/>
        <v>0</v>
      </c>
      <c r="J83" s="159">
        <f t="shared" ref="J83:J114" si="16">M$8*F83</f>
        <v>0</v>
      </c>
      <c r="K83" s="159">
        <f t="shared" ref="K83:K114" si="17">M$2*F83</f>
        <v>258500</v>
      </c>
      <c r="L83" s="194">
        <v>0</v>
      </c>
      <c r="M83" s="161">
        <f t="shared" si="7"/>
        <v>258500.65</v>
      </c>
      <c r="N83" s="161">
        <f t="shared" si="6"/>
        <v>274011.65000000002</v>
      </c>
      <c r="O83" s="141">
        <f t="shared" si="8"/>
        <v>0.65000000000000036</v>
      </c>
    </row>
    <row r="84" spans="1:16" x14ac:dyDescent="0.3">
      <c r="A84" s="57" t="s">
        <v>123</v>
      </c>
      <c r="B84" s="6"/>
      <c r="C84" s="35" t="s">
        <v>112</v>
      </c>
      <c r="D84" s="114" t="s">
        <v>221</v>
      </c>
      <c r="E84" s="143"/>
      <c r="F84" s="146">
        <v>1.7299999999999999E-2</v>
      </c>
      <c r="G84" s="147">
        <v>173000.66</v>
      </c>
      <c r="H84" s="44">
        <f t="shared" ref="H84:H92" si="18">G84</f>
        <v>173000.66</v>
      </c>
      <c r="I84" s="158">
        <f t="shared" si="1"/>
        <v>0</v>
      </c>
      <c r="J84" s="159">
        <f t="shared" si="16"/>
        <v>0</v>
      </c>
      <c r="K84" s="159">
        <f t="shared" si="17"/>
        <v>190300</v>
      </c>
      <c r="L84" s="194">
        <v>0</v>
      </c>
      <c r="M84" s="161">
        <f t="shared" ref="M84:M131" si="19">ROUND((K84+J84+I84+L84),0) + O84</f>
        <v>190300.66</v>
      </c>
      <c r="N84" s="161">
        <f t="shared" ref="N84:N131" si="20">ROUND((M84*6% + M84 ),0) + O84</f>
        <v>201719.66</v>
      </c>
      <c r="O84" s="141">
        <f t="shared" si="8"/>
        <v>0.66000000000000036</v>
      </c>
    </row>
    <row r="85" spans="1:16" x14ac:dyDescent="0.3">
      <c r="A85" s="57" t="s">
        <v>125</v>
      </c>
      <c r="B85" s="6"/>
      <c r="C85" s="35" t="s">
        <v>113</v>
      </c>
      <c r="D85" s="114" t="s">
        <v>222</v>
      </c>
      <c r="E85" s="143"/>
      <c r="F85" s="146">
        <v>9.4000000000000004E-3</v>
      </c>
      <c r="G85" s="147">
        <v>94000.67</v>
      </c>
      <c r="H85" s="44">
        <f t="shared" si="18"/>
        <v>94000.67</v>
      </c>
      <c r="I85" s="158">
        <f t="shared" si="1"/>
        <v>0</v>
      </c>
      <c r="J85" s="159">
        <f t="shared" si="16"/>
        <v>0</v>
      </c>
      <c r="K85" s="159">
        <f t="shared" si="17"/>
        <v>103400</v>
      </c>
      <c r="L85" s="194">
        <v>0</v>
      </c>
      <c r="M85" s="161">
        <f t="shared" si="19"/>
        <v>103400.67</v>
      </c>
      <c r="N85" s="161">
        <f t="shared" si="20"/>
        <v>109605.67</v>
      </c>
      <c r="O85" s="141">
        <f t="shared" ref="O85:O131" si="21">O84+0.01</f>
        <v>0.67000000000000037</v>
      </c>
    </row>
    <row r="86" spans="1:16" x14ac:dyDescent="0.3">
      <c r="A86" s="57" t="s">
        <v>125</v>
      </c>
      <c r="B86" s="6"/>
      <c r="C86" s="35" t="s">
        <v>114</v>
      </c>
      <c r="D86" s="114" t="s">
        <v>223</v>
      </c>
      <c r="E86" s="143"/>
      <c r="F86" s="146">
        <v>8.6999999999999994E-3</v>
      </c>
      <c r="G86" s="147">
        <v>87000.68</v>
      </c>
      <c r="H86" s="44">
        <f>G86</f>
        <v>87000.68</v>
      </c>
      <c r="I86" s="158">
        <f t="shared" si="1"/>
        <v>0</v>
      </c>
      <c r="J86" s="159">
        <f t="shared" si="16"/>
        <v>0</v>
      </c>
      <c r="K86" s="159">
        <f t="shared" si="17"/>
        <v>95700</v>
      </c>
      <c r="L86" s="194">
        <v>0</v>
      </c>
      <c r="M86" s="161">
        <f t="shared" si="19"/>
        <v>95700.68</v>
      </c>
      <c r="N86" s="161">
        <f t="shared" si="20"/>
        <v>101443.68</v>
      </c>
      <c r="O86" s="141">
        <f t="shared" si="21"/>
        <v>0.68000000000000038</v>
      </c>
    </row>
    <row r="87" spans="1:16" x14ac:dyDescent="0.3">
      <c r="A87" s="114" t="s">
        <v>125</v>
      </c>
      <c r="B87" s="35"/>
      <c r="C87" s="35" t="s">
        <v>115</v>
      </c>
      <c r="D87" s="114" t="s">
        <v>224</v>
      </c>
      <c r="E87" s="143"/>
      <c r="F87" s="146">
        <v>9.4999999999999998E-3</v>
      </c>
      <c r="G87" s="147">
        <v>123500.69</v>
      </c>
      <c r="H87" s="44">
        <f>G87</f>
        <v>123500.69</v>
      </c>
      <c r="I87" s="158">
        <f t="shared" si="1"/>
        <v>0</v>
      </c>
      <c r="J87" s="159">
        <f t="shared" si="16"/>
        <v>0</v>
      </c>
      <c r="K87" s="159">
        <f t="shared" si="17"/>
        <v>104500</v>
      </c>
      <c r="L87" s="194"/>
      <c r="M87" s="161">
        <f t="shared" si="19"/>
        <v>104500.69</v>
      </c>
      <c r="N87" s="161">
        <f t="shared" si="20"/>
        <v>110771.69</v>
      </c>
      <c r="O87" s="141">
        <f t="shared" si="21"/>
        <v>0.69000000000000039</v>
      </c>
    </row>
    <row r="88" spans="1:16" x14ac:dyDescent="0.3">
      <c r="A88" s="114"/>
      <c r="B88" s="35"/>
      <c r="C88" s="35" t="s">
        <v>127</v>
      </c>
      <c r="D88" s="114" t="s">
        <v>188</v>
      </c>
      <c r="E88" s="114"/>
      <c r="F88" s="157">
        <v>2.3E-3</v>
      </c>
      <c r="G88" s="147">
        <v>23000.7</v>
      </c>
      <c r="H88" s="44">
        <f t="shared" si="18"/>
        <v>23000.7</v>
      </c>
      <c r="I88" s="158">
        <f t="shared" si="1"/>
        <v>0</v>
      </c>
      <c r="J88" s="159">
        <f t="shared" si="16"/>
        <v>0</v>
      </c>
      <c r="K88" s="159">
        <f t="shared" si="17"/>
        <v>25300</v>
      </c>
      <c r="L88" s="194">
        <v>0</v>
      </c>
      <c r="M88" s="161">
        <f t="shared" si="19"/>
        <v>25300.7</v>
      </c>
      <c r="N88" s="161">
        <f t="shared" si="20"/>
        <v>26819.7</v>
      </c>
      <c r="O88" s="141">
        <f t="shared" si="21"/>
        <v>0.7000000000000004</v>
      </c>
    </row>
    <row r="89" spans="1:16" x14ac:dyDescent="0.3">
      <c r="A89" s="114"/>
      <c r="B89" s="35"/>
      <c r="C89" s="35" t="s">
        <v>128</v>
      </c>
      <c r="D89" s="114" t="s">
        <v>122</v>
      </c>
      <c r="E89" s="114"/>
      <c r="F89" s="157">
        <v>2.3E-3</v>
      </c>
      <c r="G89" s="147">
        <v>23000.71</v>
      </c>
      <c r="H89" s="44">
        <f t="shared" si="18"/>
        <v>23000.71</v>
      </c>
      <c r="I89" s="158">
        <f t="shared" si="1"/>
        <v>0</v>
      </c>
      <c r="J89" s="159">
        <f t="shared" si="16"/>
        <v>0</v>
      </c>
      <c r="K89" s="159">
        <f t="shared" si="17"/>
        <v>25300</v>
      </c>
      <c r="L89" s="194">
        <v>0</v>
      </c>
      <c r="M89" s="161">
        <f t="shared" si="19"/>
        <v>25300.71</v>
      </c>
      <c r="N89" s="161">
        <f t="shared" si="20"/>
        <v>26819.71</v>
      </c>
      <c r="O89" s="141">
        <f t="shared" si="21"/>
        <v>0.71000000000000041</v>
      </c>
    </row>
    <row r="90" spans="1:16" x14ac:dyDescent="0.3">
      <c r="A90" s="114"/>
      <c r="B90" s="35"/>
      <c r="C90" s="35" t="s">
        <v>129</v>
      </c>
      <c r="D90" s="114" t="s">
        <v>196</v>
      </c>
      <c r="E90" s="114"/>
      <c r="F90" s="157">
        <v>2.3E-3</v>
      </c>
      <c r="G90" s="147">
        <v>21757.72</v>
      </c>
      <c r="H90" s="44">
        <f>G90</f>
        <v>21757.72</v>
      </c>
      <c r="I90" s="158">
        <f t="shared" si="1"/>
        <v>0</v>
      </c>
      <c r="J90" s="159">
        <f t="shared" si="16"/>
        <v>0</v>
      </c>
      <c r="K90" s="159">
        <f t="shared" si="17"/>
        <v>25300</v>
      </c>
      <c r="L90" s="194">
        <v>0</v>
      </c>
      <c r="M90" s="161">
        <f t="shared" si="19"/>
        <v>25300.720000000001</v>
      </c>
      <c r="N90" s="161">
        <f t="shared" si="20"/>
        <v>26819.72</v>
      </c>
      <c r="O90" s="141">
        <f t="shared" si="21"/>
        <v>0.72000000000000042</v>
      </c>
    </row>
    <row r="91" spans="1:16" x14ac:dyDescent="0.3">
      <c r="A91" s="114"/>
      <c r="B91" s="35"/>
      <c r="C91" s="35" t="s">
        <v>130</v>
      </c>
      <c r="D91" s="114" t="s">
        <v>207</v>
      </c>
      <c r="E91" s="114"/>
      <c r="F91" s="157">
        <v>2.3E-3</v>
      </c>
      <c r="G91" s="147">
        <v>23000.73</v>
      </c>
      <c r="H91" s="44">
        <f t="shared" si="18"/>
        <v>23000.73</v>
      </c>
      <c r="I91" s="158">
        <f t="shared" si="1"/>
        <v>0</v>
      </c>
      <c r="J91" s="159">
        <f t="shared" si="16"/>
        <v>0</v>
      </c>
      <c r="K91" s="159">
        <f t="shared" si="17"/>
        <v>25300</v>
      </c>
      <c r="L91" s="194">
        <v>0</v>
      </c>
      <c r="M91" s="161">
        <f t="shared" si="19"/>
        <v>25300.73</v>
      </c>
      <c r="N91" s="161">
        <f t="shared" si="20"/>
        <v>26819.73</v>
      </c>
      <c r="O91" s="141">
        <f t="shared" si="21"/>
        <v>0.73000000000000043</v>
      </c>
    </row>
    <row r="92" spans="1:16" x14ac:dyDescent="0.3">
      <c r="A92" s="114"/>
      <c r="B92" s="35"/>
      <c r="C92" s="222" t="s">
        <v>131</v>
      </c>
      <c r="D92" s="223" t="s">
        <v>202</v>
      </c>
      <c r="E92" s="223"/>
      <c r="F92" s="224">
        <v>2.3E-3</v>
      </c>
      <c r="G92" s="215">
        <v>23000.74</v>
      </c>
      <c r="H92" s="215">
        <f t="shared" si="18"/>
        <v>23000.74</v>
      </c>
      <c r="I92" s="225">
        <f t="shared" si="1"/>
        <v>0</v>
      </c>
      <c r="J92" s="226">
        <f t="shared" si="16"/>
        <v>0</v>
      </c>
      <c r="K92" s="226">
        <f t="shared" si="17"/>
        <v>25300</v>
      </c>
      <c r="L92" s="227">
        <v>0</v>
      </c>
      <c r="M92" s="228">
        <f t="shared" si="19"/>
        <v>25300.74</v>
      </c>
      <c r="N92" s="228">
        <f t="shared" si="20"/>
        <v>26819.74</v>
      </c>
      <c r="O92" s="141">
        <f t="shared" si="21"/>
        <v>0.74000000000000044</v>
      </c>
      <c r="P92" t="s">
        <v>298</v>
      </c>
    </row>
    <row r="93" spans="1:16" x14ac:dyDescent="0.3">
      <c r="A93" s="114"/>
      <c r="B93" s="35"/>
      <c r="C93" s="35" t="s">
        <v>132</v>
      </c>
      <c r="D93" s="114" t="s">
        <v>227</v>
      </c>
      <c r="E93" s="114"/>
      <c r="F93" s="157">
        <v>2.3E-3</v>
      </c>
      <c r="G93" s="44">
        <v>85682.75</v>
      </c>
      <c r="H93" s="44">
        <f>G93</f>
        <v>85682.75</v>
      </c>
      <c r="I93" s="158">
        <f t="shared" si="1"/>
        <v>0</v>
      </c>
      <c r="J93" s="159">
        <f t="shared" si="16"/>
        <v>0</v>
      </c>
      <c r="K93" s="159">
        <f t="shared" si="17"/>
        <v>25300</v>
      </c>
      <c r="L93" s="194">
        <v>0</v>
      </c>
      <c r="M93" s="161">
        <f t="shared" si="19"/>
        <v>25300.75</v>
      </c>
      <c r="N93" s="161">
        <f t="shared" si="20"/>
        <v>26819.75</v>
      </c>
      <c r="O93" s="141">
        <f t="shared" si="21"/>
        <v>0.75000000000000044</v>
      </c>
    </row>
    <row r="94" spans="1:16" x14ac:dyDescent="0.3">
      <c r="A94" s="114"/>
      <c r="B94" s="35"/>
      <c r="C94" s="35" t="s">
        <v>133</v>
      </c>
      <c r="D94" s="114" t="s">
        <v>195</v>
      </c>
      <c r="E94" s="114"/>
      <c r="F94" s="157">
        <v>2.3E-3</v>
      </c>
      <c r="G94" s="147">
        <v>23000.76</v>
      </c>
      <c r="H94" s="44">
        <f>G94</f>
        <v>23000.76</v>
      </c>
      <c r="I94" s="158">
        <f t="shared" si="1"/>
        <v>0</v>
      </c>
      <c r="J94" s="159">
        <f t="shared" si="16"/>
        <v>0</v>
      </c>
      <c r="K94" s="159">
        <f t="shared" si="17"/>
        <v>25300</v>
      </c>
      <c r="L94" s="194">
        <v>0</v>
      </c>
      <c r="M94" s="161">
        <f t="shared" si="19"/>
        <v>25300.76</v>
      </c>
      <c r="N94" s="161">
        <f t="shared" si="20"/>
        <v>26819.759999999998</v>
      </c>
      <c r="O94" s="141">
        <f t="shared" si="21"/>
        <v>0.76000000000000045</v>
      </c>
    </row>
    <row r="95" spans="1:16" x14ac:dyDescent="0.3">
      <c r="A95" s="114"/>
      <c r="B95" s="35"/>
      <c r="C95" s="35" t="s">
        <v>134</v>
      </c>
      <c r="D95" s="114" t="s">
        <v>195</v>
      </c>
      <c r="E95" s="114"/>
      <c r="F95" s="157">
        <v>2.3E-3</v>
      </c>
      <c r="G95" s="147">
        <v>23000.77</v>
      </c>
      <c r="H95" s="44">
        <f>G95</f>
        <v>23000.77</v>
      </c>
      <c r="I95" s="158">
        <f t="shared" si="1"/>
        <v>0</v>
      </c>
      <c r="J95" s="159">
        <f t="shared" si="16"/>
        <v>0</v>
      </c>
      <c r="K95" s="159">
        <f t="shared" si="17"/>
        <v>25300</v>
      </c>
      <c r="L95" s="194">
        <v>0</v>
      </c>
      <c r="M95" s="161">
        <f t="shared" si="19"/>
        <v>25300.77</v>
      </c>
      <c r="N95" s="161">
        <f t="shared" si="20"/>
        <v>26819.77</v>
      </c>
      <c r="O95" s="141">
        <f t="shared" si="21"/>
        <v>0.77000000000000046</v>
      </c>
    </row>
    <row r="96" spans="1:16" x14ac:dyDescent="0.3">
      <c r="A96" s="114"/>
      <c r="B96" s="35"/>
      <c r="C96" s="35" t="s">
        <v>135</v>
      </c>
      <c r="D96" s="114" t="s">
        <v>301</v>
      </c>
      <c r="E96" s="114"/>
      <c r="F96" s="157">
        <v>2.3E-3</v>
      </c>
      <c r="G96" s="147">
        <v>23000.78</v>
      </c>
      <c r="H96" s="44">
        <v>24381.78</v>
      </c>
      <c r="I96" s="158">
        <f t="shared" si="1"/>
        <v>-1381</v>
      </c>
      <c r="J96" s="159">
        <f t="shared" si="16"/>
        <v>0</v>
      </c>
      <c r="K96" s="159">
        <f t="shared" si="17"/>
        <v>25300</v>
      </c>
      <c r="L96" s="194">
        <v>0</v>
      </c>
      <c r="M96" s="161">
        <f t="shared" si="19"/>
        <v>23919.78</v>
      </c>
      <c r="N96" s="161">
        <f t="shared" si="20"/>
        <v>25355.78</v>
      </c>
      <c r="O96" s="141">
        <f t="shared" si="21"/>
        <v>0.78000000000000047</v>
      </c>
    </row>
    <row r="97" spans="1:15" x14ac:dyDescent="0.3">
      <c r="A97" s="114"/>
      <c r="B97" s="35"/>
      <c r="C97" s="35" t="s">
        <v>136</v>
      </c>
      <c r="D97" s="114" t="s">
        <v>205</v>
      </c>
      <c r="E97" s="114"/>
      <c r="F97" s="157">
        <v>2.3E-3</v>
      </c>
      <c r="G97" s="147">
        <v>80831.789999999994</v>
      </c>
      <c r="H97" s="44"/>
      <c r="I97" s="158">
        <f t="shared" si="1"/>
        <v>80831.789999999994</v>
      </c>
      <c r="J97" s="159">
        <f t="shared" si="16"/>
        <v>0</v>
      </c>
      <c r="K97" s="159">
        <f t="shared" si="17"/>
        <v>25300</v>
      </c>
      <c r="L97" s="194">
        <v>0</v>
      </c>
      <c r="M97" s="161">
        <f t="shared" si="19"/>
        <v>106132.79</v>
      </c>
      <c r="N97" s="161">
        <f t="shared" si="20"/>
        <v>112501.79</v>
      </c>
      <c r="O97" s="141">
        <f t="shared" si="21"/>
        <v>0.79000000000000048</v>
      </c>
    </row>
    <row r="98" spans="1:15" x14ac:dyDescent="0.3">
      <c r="A98" s="114"/>
      <c r="B98" s="35"/>
      <c r="C98" s="35" t="s">
        <v>137</v>
      </c>
      <c r="D98" s="114" t="s">
        <v>188</v>
      </c>
      <c r="E98" s="114"/>
      <c r="F98" s="157">
        <v>2.3E-3</v>
      </c>
      <c r="G98" s="147">
        <v>23000.799999999999</v>
      </c>
      <c r="H98" s="44">
        <f t="shared" ref="H98:H104" si="22">G98</f>
        <v>23000.799999999999</v>
      </c>
      <c r="I98" s="158">
        <f t="shared" si="1"/>
        <v>0</v>
      </c>
      <c r="J98" s="159">
        <f t="shared" si="16"/>
        <v>0</v>
      </c>
      <c r="K98" s="159">
        <f t="shared" si="17"/>
        <v>25300</v>
      </c>
      <c r="L98" s="194">
        <v>0</v>
      </c>
      <c r="M98" s="161">
        <f t="shared" si="19"/>
        <v>25300.799999999999</v>
      </c>
      <c r="N98" s="161">
        <f t="shared" si="20"/>
        <v>26819.8</v>
      </c>
      <c r="O98" s="141">
        <f t="shared" si="21"/>
        <v>0.80000000000000049</v>
      </c>
    </row>
    <row r="99" spans="1:15" x14ac:dyDescent="0.3">
      <c r="A99" s="114"/>
      <c r="B99" s="35"/>
      <c r="C99" s="35" t="s">
        <v>138</v>
      </c>
      <c r="D99" s="114" t="s">
        <v>184</v>
      </c>
      <c r="E99" s="114"/>
      <c r="F99" s="94">
        <v>2.3E-3</v>
      </c>
      <c r="G99" s="142">
        <v>23000.81</v>
      </c>
      <c r="H99" s="90">
        <f t="shared" si="22"/>
        <v>23000.81</v>
      </c>
      <c r="I99" s="56">
        <f t="shared" si="1"/>
        <v>0</v>
      </c>
      <c r="J99" s="26">
        <f t="shared" si="16"/>
        <v>0</v>
      </c>
      <c r="K99" s="26">
        <f t="shared" si="17"/>
        <v>25300</v>
      </c>
      <c r="L99" s="194">
        <v>0</v>
      </c>
      <c r="M99" s="8">
        <f t="shared" si="19"/>
        <v>25300.81</v>
      </c>
      <c r="N99" s="8">
        <f t="shared" si="20"/>
        <v>26819.81</v>
      </c>
      <c r="O99" s="141">
        <f t="shared" si="21"/>
        <v>0.8100000000000005</v>
      </c>
    </row>
    <row r="100" spans="1:15" x14ac:dyDescent="0.3">
      <c r="A100" s="114"/>
      <c r="B100" s="35"/>
      <c r="C100" s="35" t="s">
        <v>139</v>
      </c>
      <c r="D100" s="114" t="s">
        <v>317</v>
      </c>
      <c r="E100" s="114"/>
      <c r="F100" s="94">
        <v>2.3E-3</v>
      </c>
      <c r="G100" s="142">
        <v>23000.82</v>
      </c>
      <c r="H100" s="90">
        <f t="shared" si="22"/>
        <v>23000.82</v>
      </c>
      <c r="I100" s="56">
        <f t="shared" si="1"/>
        <v>0</v>
      </c>
      <c r="J100" s="26">
        <f t="shared" si="16"/>
        <v>0</v>
      </c>
      <c r="K100" s="26">
        <f t="shared" si="17"/>
        <v>25300</v>
      </c>
      <c r="L100" s="194">
        <v>0</v>
      </c>
      <c r="M100" s="8">
        <f t="shared" si="19"/>
        <v>25300.82</v>
      </c>
      <c r="N100" s="8">
        <f t="shared" si="20"/>
        <v>26819.82</v>
      </c>
      <c r="O100" s="141">
        <f t="shared" si="21"/>
        <v>0.82000000000000051</v>
      </c>
    </row>
    <row r="101" spans="1:15" x14ac:dyDescent="0.3">
      <c r="A101" s="114"/>
      <c r="B101" s="35"/>
      <c r="C101" s="35" t="s">
        <v>140</v>
      </c>
      <c r="D101" s="114" t="s">
        <v>228</v>
      </c>
      <c r="E101" s="114"/>
      <c r="F101" s="94">
        <v>2.3E-3</v>
      </c>
      <c r="G101" s="142">
        <v>23000.83</v>
      </c>
      <c r="H101" s="90">
        <f t="shared" si="22"/>
        <v>23000.83</v>
      </c>
      <c r="I101" s="56">
        <f t="shared" si="1"/>
        <v>0</v>
      </c>
      <c r="J101" s="26">
        <f t="shared" si="16"/>
        <v>0</v>
      </c>
      <c r="K101" s="26">
        <f t="shared" si="17"/>
        <v>25300</v>
      </c>
      <c r="L101" s="194">
        <v>0</v>
      </c>
      <c r="M101" s="8">
        <f t="shared" si="19"/>
        <v>25300.83</v>
      </c>
      <c r="N101" s="8">
        <f t="shared" si="20"/>
        <v>26819.83</v>
      </c>
      <c r="O101" s="141">
        <f t="shared" si="21"/>
        <v>0.83000000000000052</v>
      </c>
    </row>
    <row r="102" spans="1:15" ht="15.75" customHeight="1" x14ac:dyDescent="0.3">
      <c r="A102" s="114"/>
      <c r="B102" s="35"/>
      <c r="C102" s="35" t="s">
        <v>141</v>
      </c>
      <c r="D102" s="114" t="s">
        <v>217</v>
      </c>
      <c r="E102" s="114"/>
      <c r="F102" s="94">
        <v>2.3E-3</v>
      </c>
      <c r="G102" s="142">
        <v>23000.84</v>
      </c>
      <c r="H102" s="90">
        <f t="shared" si="22"/>
        <v>23000.84</v>
      </c>
      <c r="I102" s="56">
        <f t="shared" si="1"/>
        <v>0</v>
      </c>
      <c r="J102" s="26">
        <f t="shared" si="16"/>
        <v>0</v>
      </c>
      <c r="K102" s="26">
        <f t="shared" si="17"/>
        <v>25300</v>
      </c>
      <c r="L102" s="194">
        <v>0</v>
      </c>
      <c r="M102" s="8">
        <f t="shared" si="19"/>
        <v>25300.84</v>
      </c>
      <c r="N102" s="8">
        <f t="shared" si="20"/>
        <v>26819.84</v>
      </c>
      <c r="O102" s="141">
        <f t="shared" si="21"/>
        <v>0.84000000000000052</v>
      </c>
    </row>
    <row r="103" spans="1:15" ht="15.75" customHeight="1" x14ac:dyDescent="0.3">
      <c r="A103" s="114"/>
      <c r="B103" s="35"/>
      <c r="C103" s="206" t="s">
        <v>142</v>
      </c>
      <c r="D103" s="207" t="s">
        <v>225</v>
      </c>
      <c r="E103" s="207"/>
      <c r="F103" s="216">
        <v>2.3E-3</v>
      </c>
      <c r="G103" s="210">
        <v>23000.85</v>
      </c>
      <c r="H103" s="215">
        <f t="shared" si="22"/>
        <v>23000.85</v>
      </c>
      <c r="I103" s="211">
        <f t="shared" si="1"/>
        <v>0</v>
      </c>
      <c r="J103" s="212">
        <f t="shared" si="16"/>
        <v>0</v>
      </c>
      <c r="K103" s="212">
        <f t="shared" si="17"/>
        <v>25300</v>
      </c>
      <c r="L103" s="213">
        <v>0</v>
      </c>
      <c r="M103" s="214">
        <f t="shared" si="19"/>
        <v>25300.85</v>
      </c>
      <c r="N103" s="214">
        <f t="shared" si="20"/>
        <v>26819.85</v>
      </c>
      <c r="O103" s="141">
        <f t="shared" si="21"/>
        <v>0.85000000000000053</v>
      </c>
    </row>
    <row r="104" spans="1:15" ht="15.75" customHeight="1" x14ac:dyDescent="0.3">
      <c r="A104" s="114"/>
      <c r="B104" s="35"/>
      <c r="C104" s="35" t="s">
        <v>143</v>
      </c>
      <c r="D104" s="114" t="s">
        <v>209</v>
      </c>
      <c r="E104" s="114"/>
      <c r="F104" s="94">
        <v>2.3E-3</v>
      </c>
      <c r="G104" s="142">
        <v>23000.86</v>
      </c>
      <c r="H104" s="90">
        <f t="shared" si="22"/>
        <v>23000.86</v>
      </c>
      <c r="I104" s="56">
        <f t="shared" si="1"/>
        <v>0</v>
      </c>
      <c r="J104" s="26">
        <f t="shared" si="16"/>
        <v>0</v>
      </c>
      <c r="K104" s="26">
        <f t="shared" si="17"/>
        <v>25300</v>
      </c>
      <c r="L104" s="194">
        <v>0</v>
      </c>
      <c r="M104" s="8">
        <f t="shared" si="19"/>
        <v>25300.86</v>
      </c>
      <c r="N104" s="8">
        <f t="shared" si="20"/>
        <v>26819.86</v>
      </c>
      <c r="O104" s="141">
        <f t="shared" si="21"/>
        <v>0.86000000000000054</v>
      </c>
    </row>
    <row r="105" spans="1:15" ht="15.75" customHeight="1" x14ac:dyDescent="0.3">
      <c r="A105" s="114"/>
      <c r="B105" s="35"/>
      <c r="C105" s="35" t="s">
        <v>144</v>
      </c>
      <c r="D105" s="114" t="s">
        <v>122</v>
      </c>
      <c r="E105" s="114"/>
      <c r="F105" s="94">
        <v>2.3E-3</v>
      </c>
      <c r="G105" s="142">
        <v>23000.87</v>
      </c>
      <c r="H105" s="90">
        <f t="shared" ref="H105:H111" si="23">G105</f>
        <v>23000.87</v>
      </c>
      <c r="I105" s="56">
        <f t="shared" si="1"/>
        <v>0</v>
      </c>
      <c r="J105" s="26">
        <f t="shared" si="16"/>
        <v>0</v>
      </c>
      <c r="K105" s="26">
        <f t="shared" si="17"/>
        <v>25300</v>
      </c>
      <c r="L105" s="194">
        <v>0</v>
      </c>
      <c r="M105" s="8">
        <f t="shared" si="19"/>
        <v>25300.87</v>
      </c>
      <c r="N105" s="8">
        <f t="shared" si="20"/>
        <v>26819.87</v>
      </c>
      <c r="O105" s="141">
        <f t="shared" si="21"/>
        <v>0.87000000000000055</v>
      </c>
    </row>
    <row r="106" spans="1:15" ht="15.75" customHeight="1" x14ac:dyDescent="0.3">
      <c r="A106" s="114"/>
      <c r="B106" s="35"/>
      <c r="C106" s="35" t="s">
        <v>145</v>
      </c>
      <c r="D106" s="114" t="s">
        <v>229</v>
      </c>
      <c r="E106" s="114"/>
      <c r="F106" s="94">
        <v>2.3E-3</v>
      </c>
      <c r="G106" s="142">
        <v>21757.88</v>
      </c>
      <c r="H106" s="90">
        <v>23063.88</v>
      </c>
      <c r="I106" s="56">
        <f t="shared" si="1"/>
        <v>-1306</v>
      </c>
      <c r="J106" s="26">
        <f t="shared" si="16"/>
        <v>0</v>
      </c>
      <c r="K106" s="26">
        <f t="shared" si="17"/>
        <v>25300</v>
      </c>
      <c r="L106" s="194">
        <v>0</v>
      </c>
      <c r="M106" s="8">
        <f t="shared" si="19"/>
        <v>23994.880000000001</v>
      </c>
      <c r="N106" s="8">
        <f t="shared" si="20"/>
        <v>25435.88</v>
      </c>
      <c r="O106" s="141">
        <f t="shared" si="21"/>
        <v>0.88000000000000056</v>
      </c>
    </row>
    <row r="107" spans="1:15" ht="15.75" customHeight="1" x14ac:dyDescent="0.3">
      <c r="A107" s="114"/>
      <c r="B107" s="35"/>
      <c r="C107" s="35" t="s">
        <v>146</v>
      </c>
      <c r="D107" s="114" t="s">
        <v>206</v>
      </c>
      <c r="E107" s="114"/>
      <c r="F107" s="94">
        <v>2.3E-3</v>
      </c>
      <c r="G107" s="142">
        <v>23000.89</v>
      </c>
      <c r="H107" s="90">
        <f t="shared" si="23"/>
        <v>23000.89</v>
      </c>
      <c r="I107" s="56">
        <f t="shared" si="1"/>
        <v>0</v>
      </c>
      <c r="J107" s="26">
        <f t="shared" si="16"/>
        <v>0</v>
      </c>
      <c r="K107" s="26">
        <f t="shared" si="17"/>
        <v>25300</v>
      </c>
      <c r="L107" s="194">
        <v>0</v>
      </c>
      <c r="M107" s="8">
        <f t="shared" si="19"/>
        <v>25300.89</v>
      </c>
      <c r="N107" s="8">
        <f t="shared" si="20"/>
        <v>26819.89</v>
      </c>
      <c r="O107" s="141">
        <f t="shared" si="21"/>
        <v>0.89000000000000057</v>
      </c>
    </row>
    <row r="108" spans="1:15" ht="15.75" customHeight="1" x14ac:dyDescent="0.3">
      <c r="A108" s="114"/>
      <c r="B108" s="35"/>
      <c r="C108" s="35" t="s">
        <v>147</v>
      </c>
      <c r="D108" s="114" t="s">
        <v>212</v>
      </c>
      <c r="E108" s="114"/>
      <c r="F108" s="94">
        <v>2.3E-3</v>
      </c>
      <c r="G108" s="142">
        <v>23000.9</v>
      </c>
      <c r="H108" s="90">
        <f t="shared" si="23"/>
        <v>23000.9</v>
      </c>
      <c r="I108" s="56">
        <f t="shared" si="1"/>
        <v>0</v>
      </c>
      <c r="J108" s="26">
        <f t="shared" si="16"/>
        <v>0</v>
      </c>
      <c r="K108" s="26">
        <f t="shared" si="17"/>
        <v>25300</v>
      </c>
      <c r="L108" s="194">
        <v>0</v>
      </c>
      <c r="M108" s="8">
        <f t="shared" si="19"/>
        <v>25300.9</v>
      </c>
      <c r="N108" s="8">
        <f t="shared" si="20"/>
        <v>26819.9</v>
      </c>
      <c r="O108" s="141">
        <f t="shared" si="21"/>
        <v>0.90000000000000058</v>
      </c>
    </row>
    <row r="109" spans="1:15" ht="15.75" customHeight="1" x14ac:dyDescent="0.3">
      <c r="A109" s="114"/>
      <c r="B109" s="35"/>
      <c r="C109" s="35" t="s">
        <v>148</v>
      </c>
      <c r="D109" s="114" t="s">
        <v>182</v>
      </c>
      <c r="E109" s="114"/>
      <c r="F109" s="94">
        <v>2.3E-3</v>
      </c>
      <c r="G109" s="142">
        <v>23000.91</v>
      </c>
      <c r="H109" s="90">
        <f t="shared" si="23"/>
        <v>23000.91</v>
      </c>
      <c r="I109" s="56">
        <f t="shared" si="1"/>
        <v>0</v>
      </c>
      <c r="J109" s="26">
        <f t="shared" si="16"/>
        <v>0</v>
      </c>
      <c r="K109" s="26">
        <f t="shared" si="17"/>
        <v>25300</v>
      </c>
      <c r="L109" s="194">
        <v>0</v>
      </c>
      <c r="M109" s="8">
        <f t="shared" si="19"/>
        <v>25300.91</v>
      </c>
      <c r="N109" s="8">
        <f t="shared" si="20"/>
        <v>26819.91</v>
      </c>
      <c r="O109" s="141">
        <f t="shared" si="21"/>
        <v>0.91000000000000059</v>
      </c>
    </row>
    <row r="110" spans="1:15" ht="15.75" customHeight="1" x14ac:dyDescent="0.3">
      <c r="A110" s="114"/>
      <c r="B110" s="35"/>
      <c r="C110" s="35" t="s">
        <v>149</v>
      </c>
      <c r="D110" s="114" t="s">
        <v>211</v>
      </c>
      <c r="E110" s="114"/>
      <c r="F110" s="157">
        <v>2.3E-3</v>
      </c>
      <c r="G110" s="147">
        <v>23000.92</v>
      </c>
      <c r="H110" s="44">
        <f t="shared" si="23"/>
        <v>23000.92</v>
      </c>
      <c r="I110" s="158">
        <f t="shared" si="1"/>
        <v>0</v>
      </c>
      <c r="J110" s="159">
        <f t="shared" si="16"/>
        <v>0</v>
      </c>
      <c r="K110" s="159">
        <f t="shared" si="17"/>
        <v>25300</v>
      </c>
      <c r="L110" s="194">
        <v>0</v>
      </c>
      <c r="M110" s="161">
        <f t="shared" si="19"/>
        <v>25300.92</v>
      </c>
      <c r="N110" s="161">
        <f t="shared" si="20"/>
        <v>26819.919999999998</v>
      </c>
      <c r="O110" s="141">
        <f t="shared" si="21"/>
        <v>0.9200000000000006</v>
      </c>
    </row>
    <row r="111" spans="1:15" ht="15.75" customHeight="1" x14ac:dyDescent="0.3">
      <c r="A111" s="114"/>
      <c r="B111" s="35"/>
      <c r="C111" s="206" t="s">
        <v>150</v>
      </c>
      <c r="D111" s="207" t="s">
        <v>197</v>
      </c>
      <c r="E111" s="207"/>
      <c r="F111" s="216">
        <v>2.3E-3</v>
      </c>
      <c r="G111" s="210">
        <v>23000.93</v>
      </c>
      <c r="H111" s="215">
        <f t="shared" si="23"/>
        <v>23000.93</v>
      </c>
      <c r="I111" s="211">
        <f t="shared" si="1"/>
        <v>0</v>
      </c>
      <c r="J111" s="212">
        <f t="shared" si="16"/>
        <v>0</v>
      </c>
      <c r="K111" s="212">
        <f t="shared" si="17"/>
        <v>25300</v>
      </c>
      <c r="L111" s="213">
        <v>0</v>
      </c>
      <c r="M111" s="214">
        <f t="shared" si="19"/>
        <v>25300.93</v>
      </c>
      <c r="N111" s="214">
        <f t="shared" si="20"/>
        <v>26819.93</v>
      </c>
      <c r="O111" s="141">
        <f t="shared" si="21"/>
        <v>0.9300000000000006</v>
      </c>
    </row>
    <row r="112" spans="1:15" x14ac:dyDescent="0.3">
      <c r="A112" s="114"/>
      <c r="B112" s="35"/>
      <c r="C112" s="35" t="s">
        <v>151</v>
      </c>
      <c r="D112" s="114" t="s">
        <v>180</v>
      </c>
      <c r="E112" s="114"/>
      <c r="F112" s="157">
        <v>2.3E-3</v>
      </c>
      <c r="G112" s="147">
        <v>6571.94</v>
      </c>
      <c r="H112" s="44">
        <f>G112</f>
        <v>6571.94</v>
      </c>
      <c r="I112" s="158">
        <f t="shared" si="1"/>
        <v>0</v>
      </c>
      <c r="J112" s="159">
        <f t="shared" si="16"/>
        <v>0</v>
      </c>
      <c r="K112" s="159">
        <f t="shared" si="17"/>
        <v>25300</v>
      </c>
      <c r="L112" s="194">
        <v>0</v>
      </c>
      <c r="M112" s="161">
        <f t="shared" si="19"/>
        <v>25300.94</v>
      </c>
      <c r="N112" s="161">
        <f t="shared" si="20"/>
        <v>26819.94</v>
      </c>
      <c r="O112" s="141">
        <f t="shared" si="21"/>
        <v>0.94000000000000061</v>
      </c>
    </row>
    <row r="113" spans="1:16" x14ac:dyDescent="0.3">
      <c r="A113" s="114"/>
      <c r="B113" s="35"/>
      <c r="C113" s="35" t="s">
        <v>152</v>
      </c>
      <c r="D113" s="114" t="s">
        <v>203</v>
      </c>
      <c r="E113" s="114"/>
      <c r="F113" s="157">
        <v>2.3E-3</v>
      </c>
      <c r="G113" s="147">
        <v>23000.95</v>
      </c>
      <c r="H113" s="44">
        <f>G113</f>
        <v>23000.95</v>
      </c>
      <c r="I113" s="158">
        <f t="shared" si="1"/>
        <v>0</v>
      </c>
      <c r="J113" s="159">
        <f t="shared" si="16"/>
        <v>0</v>
      </c>
      <c r="K113" s="159">
        <f t="shared" si="17"/>
        <v>25300</v>
      </c>
      <c r="L113" s="194">
        <v>0</v>
      </c>
      <c r="M113" s="161">
        <f t="shared" si="19"/>
        <v>25300.95</v>
      </c>
      <c r="N113" s="161">
        <f t="shared" si="20"/>
        <v>26819.95</v>
      </c>
      <c r="O113" s="141">
        <f t="shared" si="21"/>
        <v>0.95000000000000062</v>
      </c>
    </row>
    <row r="114" spans="1:16" x14ac:dyDescent="0.3">
      <c r="A114" s="114"/>
      <c r="B114" s="35"/>
      <c r="C114" s="35" t="s">
        <v>153</v>
      </c>
      <c r="D114" s="114" t="s">
        <v>224</v>
      </c>
      <c r="E114" s="114"/>
      <c r="F114" s="157">
        <v>2.3E-3</v>
      </c>
      <c r="G114" s="147">
        <v>20515.96</v>
      </c>
      <c r="H114" s="44">
        <f>G114</f>
        <v>20515.96</v>
      </c>
      <c r="I114" s="158">
        <f t="shared" si="1"/>
        <v>0</v>
      </c>
      <c r="J114" s="159">
        <f t="shared" si="16"/>
        <v>0</v>
      </c>
      <c r="K114" s="159">
        <f t="shared" si="17"/>
        <v>25300</v>
      </c>
      <c r="L114" s="194">
        <v>0</v>
      </c>
      <c r="M114" s="161">
        <f t="shared" si="19"/>
        <v>25300.959999999999</v>
      </c>
      <c r="N114" s="161">
        <f t="shared" si="20"/>
        <v>26819.96</v>
      </c>
      <c r="O114" s="141">
        <f t="shared" si="21"/>
        <v>0.96000000000000063</v>
      </c>
    </row>
    <row r="115" spans="1:16" x14ac:dyDescent="0.3">
      <c r="A115" s="114"/>
      <c r="B115" s="35"/>
      <c r="C115" s="35" t="s">
        <v>154</v>
      </c>
      <c r="D115" s="114" t="s">
        <v>191</v>
      </c>
      <c r="E115" s="114"/>
      <c r="F115" s="157">
        <v>2.3E-3</v>
      </c>
      <c r="G115" s="147">
        <v>23000.97</v>
      </c>
      <c r="H115" s="44">
        <f>G115</f>
        <v>23000.97</v>
      </c>
      <c r="I115" s="158">
        <f t="shared" si="1"/>
        <v>0</v>
      </c>
      <c r="J115" s="159">
        <f t="shared" ref="J115:J131" si="24">M$8*F115</f>
        <v>0</v>
      </c>
      <c r="K115" s="159">
        <f t="shared" ref="K115:K131" si="25">M$2*F115</f>
        <v>25300</v>
      </c>
      <c r="L115" s="194">
        <v>0</v>
      </c>
      <c r="M115" s="161">
        <f t="shared" si="19"/>
        <v>25300.97</v>
      </c>
      <c r="N115" s="161">
        <f t="shared" si="20"/>
        <v>26819.97</v>
      </c>
      <c r="O115" s="141">
        <f t="shared" si="21"/>
        <v>0.97000000000000064</v>
      </c>
    </row>
    <row r="116" spans="1:16" x14ac:dyDescent="0.3">
      <c r="A116" s="114"/>
      <c r="B116" s="35"/>
      <c r="C116" s="35" t="s">
        <v>155</v>
      </c>
      <c r="D116" s="114" t="s">
        <v>185</v>
      </c>
      <c r="E116" s="114"/>
      <c r="F116" s="157">
        <v>2.3E-3</v>
      </c>
      <c r="G116" s="147">
        <v>46324.98</v>
      </c>
      <c r="H116" s="44">
        <v>20700.98</v>
      </c>
      <c r="I116" s="158">
        <f t="shared" si="1"/>
        <v>25624.000000000004</v>
      </c>
      <c r="J116" s="159">
        <f t="shared" si="24"/>
        <v>0</v>
      </c>
      <c r="K116" s="159">
        <f t="shared" si="25"/>
        <v>25300</v>
      </c>
      <c r="L116" s="194">
        <v>0</v>
      </c>
      <c r="M116" s="161">
        <f t="shared" si="19"/>
        <v>50924.98</v>
      </c>
      <c r="N116" s="161">
        <f t="shared" si="20"/>
        <v>53980.98</v>
      </c>
      <c r="O116" s="141">
        <f t="shared" si="21"/>
        <v>0.98000000000000065</v>
      </c>
    </row>
    <row r="117" spans="1:16" x14ac:dyDescent="0.3">
      <c r="A117" s="114"/>
      <c r="B117" s="35"/>
      <c r="C117" s="35" t="s">
        <v>156</v>
      </c>
      <c r="D117" s="114" t="s">
        <v>185</v>
      </c>
      <c r="E117" s="114"/>
      <c r="F117" s="157">
        <v>2.3E-3</v>
      </c>
      <c r="G117" s="147">
        <v>43701.99</v>
      </c>
      <c r="H117" s="44"/>
      <c r="I117" s="158">
        <f t="shared" si="1"/>
        <v>43701.99</v>
      </c>
      <c r="J117" s="159">
        <f t="shared" si="24"/>
        <v>0</v>
      </c>
      <c r="K117" s="159">
        <f t="shared" si="25"/>
        <v>25300</v>
      </c>
      <c r="L117" s="194">
        <v>0</v>
      </c>
      <c r="M117" s="161">
        <f t="shared" si="19"/>
        <v>69002.990000000005</v>
      </c>
      <c r="N117" s="161">
        <f t="shared" si="20"/>
        <v>73143.990000000005</v>
      </c>
      <c r="O117" s="141">
        <f t="shared" si="21"/>
        <v>0.99000000000000066</v>
      </c>
    </row>
    <row r="118" spans="1:16" x14ac:dyDescent="0.3">
      <c r="A118" s="114"/>
      <c r="B118" s="35"/>
      <c r="C118" s="35" t="s">
        <v>157</v>
      </c>
      <c r="D118" s="114" t="s">
        <v>186</v>
      </c>
      <c r="E118" s="114"/>
      <c r="F118" s="157">
        <v>2.3E-3</v>
      </c>
      <c r="G118" s="147">
        <v>23001</v>
      </c>
      <c r="H118" s="44">
        <f t="shared" ref="H118" si="26">G118</f>
        <v>23001</v>
      </c>
      <c r="I118" s="158">
        <f t="shared" si="1"/>
        <v>0</v>
      </c>
      <c r="J118" s="159">
        <f t="shared" si="24"/>
        <v>0</v>
      </c>
      <c r="K118" s="159">
        <f t="shared" si="25"/>
        <v>25300</v>
      </c>
      <c r="L118" s="194">
        <v>0</v>
      </c>
      <c r="M118" s="161">
        <f t="shared" si="19"/>
        <v>25301</v>
      </c>
      <c r="N118" s="161">
        <f t="shared" si="20"/>
        <v>26820</v>
      </c>
      <c r="O118" s="141">
        <f t="shared" si="21"/>
        <v>1.0000000000000007</v>
      </c>
      <c r="P118" t="s">
        <v>319</v>
      </c>
    </row>
    <row r="119" spans="1:16" x14ac:dyDescent="0.3">
      <c r="A119" s="135"/>
      <c r="B119" s="35"/>
      <c r="C119" s="35" t="s">
        <v>158</v>
      </c>
      <c r="D119" s="114" t="s">
        <v>317</v>
      </c>
      <c r="E119" s="114"/>
      <c r="F119" s="157">
        <v>2.3E-3</v>
      </c>
      <c r="G119" s="147">
        <v>23001.01</v>
      </c>
      <c r="H119" s="44">
        <f t="shared" ref="H119:H122" si="27">G119</f>
        <v>23001.01</v>
      </c>
      <c r="I119" s="158">
        <f t="shared" si="1"/>
        <v>0</v>
      </c>
      <c r="J119" s="159">
        <f t="shared" si="24"/>
        <v>0</v>
      </c>
      <c r="K119" s="159">
        <f t="shared" si="25"/>
        <v>25300</v>
      </c>
      <c r="L119" s="194">
        <v>0</v>
      </c>
      <c r="M119" s="161">
        <f t="shared" si="19"/>
        <v>25301.01</v>
      </c>
      <c r="N119" s="161">
        <f t="shared" si="20"/>
        <v>26820.01</v>
      </c>
      <c r="O119" s="141">
        <f t="shared" si="21"/>
        <v>1.0100000000000007</v>
      </c>
    </row>
    <row r="120" spans="1:16" x14ac:dyDescent="0.3">
      <c r="A120" s="135"/>
      <c r="B120" s="35"/>
      <c r="C120" s="35" t="s">
        <v>159</v>
      </c>
      <c r="D120" s="114" t="s">
        <v>193</v>
      </c>
      <c r="E120" s="114"/>
      <c r="F120" s="157">
        <v>2.3E-3</v>
      </c>
      <c r="G120" s="147">
        <v>23001.02</v>
      </c>
      <c r="H120" s="44">
        <f>17300+5700.1</f>
        <v>23000.1</v>
      </c>
      <c r="I120" s="158">
        <f t="shared" si="1"/>
        <v>0.92000000000189175</v>
      </c>
      <c r="J120" s="159">
        <f t="shared" si="24"/>
        <v>0</v>
      </c>
      <c r="K120" s="159">
        <f t="shared" si="25"/>
        <v>25300</v>
      </c>
      <c r="L120" s="194">
        <v>0</v>
      </c>
      <c r="M120" s="161">
        <f t="shared" si="19"/>
        <v>25302.02</v>
      </c>
      <c r="N120" s="161">
        <f t="shared" si="20"/>
        <v>26821.02</v>
      </c>
      <c r="O120" s="141">
        <f t="shared" si="21"/>
        <v>1.0200000000000007</v>
      </c>
    </row>
    <row r="121" spans="1:16" x14ac:dyDescent="0.3">
      <c r="A121" s="135"/>
      <c r="B121" s="35"/>
      <c r="C121" s="196" t="s">
        <v>160</v>
      </c>
      <c r="D121" s="197" t="s">
        <v>185</v>
      </c>
      <c r="E121" s="197"/>
      <c r="F121" s="205">
        <v>2.3E-3</v>
      </c>
      <c r="G121" s="200">
        <v>43702.03</v>
      </c>
      <c r="H121" s="219">
        <v>23000</v>
      </c>
      <c r="I121" s="201">
        <f t="shared" si="1"/>
        <v>20702.03</v>
      </c>
      <c r="J121" s="202">
        <f t="shared" si="24"/>
        <v>0</v>
      </c>
      <c r="K121" s="202">
        <f t="shared" si="25"/>
        <v>25300</v>
      </c>
      <c r="L121" s="203">
        <v>0</v>
      </c>
      <c r="M121" s="204">
        <f t="shared" si="19"/>
        <v>46003.03</v>
      </c>
      <c r="N121" s="204">
        <f t="shared" si="20"/>
        <v>48764.03</v>
      </c>
      <c r="O121" s="141">
        <f t="shared" si="21"/>
        <v>1.0300000000000007</v>
      </c>
    </row>
    <row r="122" spans="1:16" x14ac:dyDescent="0.3">
      <c r="A122" s="135"/>
      <c r="B122" s="35"/>
      <c r="C122" s="35" t="s">
        <v>161</v>
      </c>
      <c r="D122" s="114" t="s">
        <v>221</v>
      </c>
      <c r="E122" s="114"/>
      <c r="F122" s="94">
        <v>2.3E-3</v>
      </c>
      <c r="G122" s="142">
        <v>23001.040000000001</v>
      </c>
      <c r="H122" s="90">
        <f t="shared" si="27"/>
        <v>23001.040000000001</v>
      </c>
      <c r="I122" s="56">
        <f t="shared" si="1"/>
        <v>0</v>
      </c>
      <c r="J122" s="26">
        <f t="shared" si="24"/>
        <v>0</v>
      </c>
      <c r="K122" s="26">
        <f t="shared" si="25"/>
        <v>25300</v>
      </c>
      <c r="L122" s="194">
        <v>0</v>
      </c>
      <c r="M122" s="8">
        <f t="shared" si="19"/>
        <v>25301.040000000001</v>
      </c>
      <c r="N122" s="8">
        <f t="shared" si="20"/>
        <v>26820.04</v>
      </c>
      <c r="O122" s="141">
        <f t="shared" si="21"/>
        <v>1.0400000000000007</v>
      </c>
    </row>
    <row r="123" spans="1:16" x14ac:dyDescent="0.3">
      <c r="A123" s="135"/>
      <c r="B123" s="35"/>
      <c r="C123" s="35" t="s">
        <v>162</v>
      </c>
      <c r="D123" s="114" t="s">
        <v>216</v>
      </c>
      <c r="E123" s="114"/>
      <c r="F123" s="94">
        <v>2.3E-3</v>
      </c>
      <c r="G123" s="142">
        <v>43702.05</v>
      </c>
      <c r="H123" s="90">
        <f>15180+23000</f>
        <v>38180</v>
      </c>
      <c r="I123" s="56">
        <f t="shared" si="1"/>
        <v>5522.0500000000029</v>
      </c>
      <c r="J123" s="26">
        <f t="shared" si="24"/>
        <v>0</v>
      </c>
      <c r="K123" s="26">
        <f t="shared" si="25"/>
        <v>25300</v>
      </c>
      <c r="L123" s="194">
        <v>0</v>
      </c>
      <c r="M123" s="8">
        <f t="shared" si="19"/>
        <v>30823.05</v>
      </c>
      <c r="N123" s="8">
        <f t="shared" si="20"/>
        <v>32673.05</v>
      </c>
      <c r="O123" s="141">
        <f t="shared" si="21"/>
        <v>1.0500000000000007</v>
      </c>
    </row>
    <row r="124" spans="1:16" x14ac:dyDescent="0.3">
      <c r="A124" s="135"/>
      <c r="B124" s="35"/>
      <c r="C124" s="35" t="s">
        <v>163</v>
      </c>
      <c r="D124" s="114" t="s">
        <v>185</v>
      </c>
      <c r="E124" s="114"/>
      <c r="F124" s="94">
        <v>2.3E-3</v>
      </c>
      <c r="G124" s="142">
        <v>43702.06</v>
      </c>
      <c r="H124" s="90"/>
      <c r="I124" s="56">
        <f t="shared" si="1"/>
        <v>43702.06</v>
      </c>
      <c r="J124" s="26">
        <f t="shared" si="24"/>
        <v>0</v>
      </c>
      <c r="K124" s="26">
        <f t="shared" si="25"/>
        <v>25300</v>
      </c>
      <c r="L124" s="194">
        <v>0</v>
      </c>
      <c r="M124" s="8">
        <f t="shared" si="19"/>
        <v>69003.06</v>
      </c>
      <c r="N124" s="8">
        <f t="shared" si="20"/>
        <v>73144.06</v>
      </c>
      <c r="O124" s="141">
        <f t="shared" si="21"/>
        <v>1.0600000000000007</v>
      </c>
    </row>
    <row r="125" spans="1:16" x14ac:dyDescent="0.3">
      <c r="A125" s="135"/>
      <c r="B125" s="35"/>
      <c r="C125" s="35" t="s">
        <v>164</v>
      </c>
      <c r="D125" s="114" t="s">
        <v>185</v>
      </c>
      <c r="E125" s="114"/>
      <c r="F125" s="94">
        <v>2.3E-3</v>
      </c>
      <c r="G125" s="142">
        <v>43702.07</v>
      </c>
      <c r="H125" s="90"/>
      <c r="I125" s="56">
        <f t="shared" si="1"/>
        <v>43702.07</v>
      </c>
      <c r="J125" s="26">
        <f t="shared" si="24"/>
        <v>0</v>
      </c>
      <c r="K125" s="26">
        <f t="shared" si="25"/>
        <v>25300</v>
      </c>
      <c r="L125" s="194">
        <v>0</v>
      </c>
      <c r="M125" s="8">
        <f t="shared" si="19"/>
        <v>69003.070000000007</v>
      </c>
      <c r="N125" s="8">
        <f t="shared" si="20"/>
        <v>73144.070000000007</v>
      </c>
      <c r="O125" s="141">
        <f t="shared" si="21"/>
        <v>1.0700000000000007</v>
      </c>
    </row>
    <row r="126" spans="1:16" x14ac:dyDescent="0.3">
      <c r="A126" s="135"/>
      <c r="B126" s="35"/>
      <c r="C126" s="206" t="s">
        <v>165</v>
      </c>
      <c r="D126" s="207" t="s">
        <v>185</v>
      </c>
      <c r="E126" s="207"/>
      <c r="F126" s="216">
        <v>2.3E-3</v>
      </c>
      <c r="G126" s="210">
        <v>43702.080000000002</v>
      </c>
      <c r="H126" s="215">
        <f t="shared" ref="H126:H131" si="28">G126</f>
        <v>43702.080000000002</v>
      </c>
      <c r="I126" s="211">
        <f t="shared" si="1"/>
        <v>0</v>
      </c>
      <c r="J126" s="212">
        <f t="shared" si="24"/>
        <v>0</v>
      </c>
      <c r="K126" s="212">
        <f t="shared" si="25"/>
        <v>25300</v>
      </c>
      <c r="L126" s="213">
        <v>0</v>
      </c>
      <c r="M126" s="214">
        <f t="shared" si="19"/>
        <v>25301.08</v>
      </c>
      <c r="N126" s="214">
        <f t="shared" si="20"/>
        <v>26820.080000000002</v>
      </c>
      <c r="O126" s="141">
        <f t="shared" si="21"/>
        <v>1.0800000000000007</v>
      </c>
    </row>
    <row r="127" spans="1:16" x14ac:dyDescent="0.3">
      <c r="A127" s="135"/>
      <c r="B127" s="35"/>
      <c r="C127" s="35" t="s">
        <v>166</v>
      </c>
      <c r="D127" s="114" t="s">
        <v>219</v>
      </c>
      <c r="E127" s="114"/>
      <c r="F127" s="94">
        <v>2.3E-3</v>
      </c>
      <c r="G127" s="142">
        <v>23001.09</v>
      </c>
      <c r="H127" s="90">
        <f t="shared" si="28"/>
        <v>23001.09</v>
      </c>
      <c r="I127" s="56">
        <f t="shared" si="1"/>
        <v>0</v>
      </c>
      <c r="J127" s="26">
        <f t="shared" si="24"/>
        <v>0</v>
      </c>
      <c r="K127" s="26">
        <f t="shared" si="25"/>
        <v>25300</v>
      </c>
      <c r="L127" s="194">
        <v>0</v>
      </c>
      <c r="M127" s="8">
        <f t="shared" si="19"/>
        <v>25301.09</v>
      </c>
      <c r="N127" s="8">
        <f t="shared" si="20"/>
        <v>26820.09</v>
      </c>
      <c r="O127" s="141">
        <f t="shared" si="21"/>
        <v>1.0900000000000007</v>
      </c>
    </row>
    <row r="128" spans="1:16" x14ac:dyDescent="0.3">
      <c r="A128" s="135"/>
      <c r="B128" s="35"/>
      <c r="C128" s="35" t="s">
        <v>167</v>
      </c>
      <c r="D128" s="114" t="s">
        <v>213</v>
      </c>
      <c r="E128" s="114"/>
      <c r="F128" s="94">
        <v>2.3E-3</v>
      </c>
      <c r="G128" s="142">
        <v>21758.1</v>
      </c>
      <c r="H128" s="90">
        <f t="shared" si="28"/>
        <v>21758.1</v>
      </c>
      <c r="I128" s="56">
        <f t="shared" si="1"/>
        <v>0</v>
      </c>
      <c r="J128" s="26">
        <f t="shared" si="24"/>
        <v>0</v>
      </c>
      <c r="K128" s="26">
        <f t="shared" si="25"/>
        <v>25300</v>
      </c>
      <c r="L128" s="194">
        <v>0</v>
      </c>
      <c r="M128" s="8">
        <f t="shared" si="19"/>
        <v>25301.1</v>
      </c>
      <c r="N128" s="8">
        <f t="shared" si="20"/>
        <v>26820.1</v>
      </c>
      <c r="O128" s="141">
        <f t="shared" si="21"/>
        <v>1.1000000000000008</v>
      </c>
    </row>
    <row r="129" spans="1:16" x14ac:dyDescent="0.3">
      <c r="A129" s="135"/>
      <c r="B129" s="35"/>
      <c r="C129" s="35" t="s">
        <v>168</v>
      </c>
      <c r="D129" s="114" t="s">
        <v>223</v>
      </c>
      <c r="E129" s="114"/>
      <c r="F129" s="94">
        <v>2.3E-3</v>
      </c>
      <c r="G129" s="142">
        <v>23001.11</v>
      </c>
      <c r="H129" s="90">
        <f t="shared" si="28"/>
        <v>23001.11</v>
      </c>
      <c r="I129" s="56">
        <f t="shared" si="1"/>
        <v>0</v>
      </c>
      <c r="J129" s="26">
        <f t="shared" si="24"/>
        <v>0</v>
      </c>
      <c r="K129" s="26">
        <f t="shared" si="25"/>
        <v>25300</v>
      </c>
      <c r="L129" s="194">
        <v>0</v>
      </c>
      <c r="M129" s="8">
        <f t="shared" si="19"/>
        <v>25301.11</v>
      </c>
      <c r="N129" s="8">
        <f t="shared" si="20"/>
        <v>26820.11</v>
      </c>
      <c r="O129" s="141">
        <f t="shared" si="21"/>
        <v>1.1100000000000008</v>
      </c>
    </row>
    <row r="130" spans="1:16" x14ac:dyDescent="0.3">
      <c r="A130" s="135" t="s">
        <v>26</v>
      </c>
      <c r="B130" s="35"/>
      <c r="C130" s="35" t="s">
        <v>169</v>
      </c>
      <c r="D130" s="114" t="s">
        <v>204</v>
      </c>
      <c r="E130" s="114"/>
      <c r="F130" s="94">
        <v>2.3E-3</v>
      </c>
      <c r="G130" s="142">
        <v>23001.119999999999</v>
      </c>
      <c r="H130" s="90">
        <f t="shared" si="28"/>
        <v>23001.119999999999</v>
      </c>
      <c r="I130" s="56">
        <f t="shared" si="1"/>
        <v>0</v>
      </c>
      <c r="J130" s="26">
        <f t="shared" si="24"/>
        <v>0</v>
      </c>
      <c r="K130" s="26">
        <f t="shared" si="25"/>
        <v>25300</v>
      </c>
      <c r="L130" s="194">
        <v>0</v>
      </c>
      <c r="M130" s="8">
        <f t="shared" si="19"/>
        <v>25301.119999999999</v>
      </c>
      <c r="N130" s="8">
        <f t="shared" si="20"/>
        <v>26820.12</v>
      </c>
      <c r="O130" s="141">
        <f t="shared" si="21"/>
        <v>1.1200000000000008</v>
      </c>
    </row>
    <row r="131" spans="1:16" x14ac:dyDescent="0.3">
      <c r="A131" s="135" t="s">
        <v>26</v>
      </c>
      <c r="B131" s="35"/>
      <c r="C131" s="35" t="s">
        <v>170</v>
      </c>
      <c r="D131" s="114" t="s">
        <v>122</v>
      </c>
      <c r="E131" s="114"/>
      <c r="F131" s="94">
        <v>2.3E-3</v>
      </c>
      <c r="G131" s="142">
        <v>23001.13</v>
      </c>
      <c r="H131" s="90">
        <f t="shared" si="28"/>
        <v>23001.13</v>
      </c>
      <c r="I131" s="56">
        <f t="shared" si="1"/>
        <v>0</v>
      </c>
      <c r="J131" s="26">
        <f t="shared" si="24"/>
        <v>0</v>
      </c>
      <c r="K131" s="26">
        <f t="shared" si="25"/>
        <v>25300</v>
      </c>
      <c r="L131" s="194">
        <v>0</v>
      </c>
      <c r="M131" s="8">
        <f t="shared" si="19"/>
        <v>25301.13</v>
      </c>
      <c r="N131" s="8">
        <f t="shared" si="20"/>
        <v>26820.13</v>
      </c>
      <c r="O131" s="141">
        <f t="shared" si="21"/>
        <v>1.1300000000000008</v>
      </c>
    </row>
    <row r="132" spans="1:16" x14ac:dyDescent="0.3">
      <c r="A132" s="53" t="s">
        <v>26</v>
      </c>
      <c r="B132" s="6"/>
      <c r="C132" s="6"/>
      <c r="D132" s="57"/>
      <c r="E132" s="57"/>
      <c r="F132" s="6"/>
      <c r="G132" s="26"/>
      <c r="H132" s="92"/>
      <c r="I132" s="56"/>
      <c r="J132" s="26"/>
      <c r="K132" s="26"/>
      <c r="L132" s="77"/>
      <c r="M132" s="5"/>
      <c r="N132" s="8"/>
    </row>
    <row r="133" spans="1:16" ht="14.25" customHeight="1" x14ac:dyDescent="0.3">
      <c r="A133" s="27"/>
      <c r="B133" s="27"/>
      <c r="C133" s="27"/>
      <c r="D133" s="27"/>
      <c r="E133" s="27"/>
      <c r="F133" s="122">
        <f>SUM(F14:F132)</f>
        <v>0.99819999999999809</v>
      </c>
      <c r="G133" s="28">
        <f>SUM(G14:G132)</f>
        <v>12121067.89697326</v>
      </c>
      <c r="H133" s="28">
        <f>SUM(H14:H132)</f>
        <v>9940335.5669732597</v>
      </c>
      <c r="I133" s="27"/>
      <c r="J133" s="54">
        <f>SUM(J14:J132)</f>
        <v>0</v>
      </c>
      <c r="K133" s="28">
        <f>SUM(K14:K132)</f>
        <v>10947157.55484</v>
      </c>
      <c r="L133" s="218">
        <f>SUM(L14:L132)</f>
        <v>206000</v>
      </c>
      <c r="M133" s="29">
        <f>SUM(M14:M132)</f>
        <v>13333953.964839999</v>
      </c>
      <c r="N133" s="28">
        <f>SUM(N14:N132)</f>
        <v>14134049.4181304</v>
      </c>
      <c r="P133" s="59"/>
    </row>
    <row r="134" spans="1:16" hidden="1" x14ac:dyDescent="0.3">
      <c r="K134" s="61">
        <f>K133-L1</f>
        <v>1338773.6948400009</v>
      </c>
    </row>
    <row r="135" spans="1:16" ht="15" hidden="1" customHeight="1" x14ac:dyDescent="0.3">
      <c r="C135" s="261"/>
      <c r="D135" s="261"/>
      <c r="E135" s="261"/>
      <c r="F135" s="261"/>
      <c r="G135" s="261"/>
      <c r="H135" s="261"/>
      <c r="I135" s="261"/>
      <c r="J135" s="261"/>
      <c r="K135" s="261"/>
      <c r="L135" s="261"/>
      <c r="M135" s="261"/>
      <c r="N135" s="261"/>
    </row>
    <row r="136" spans="1:16" hidden="1" x14ac:dyDescent="0.3">
      <c r="C136" s="261"/>
      <c r="D136" s="261"/>
      <c r="E136" s="261"/>
      <c r="F136" s="261"/>
      <c r="G136" s="261"/>
      <c r="H136" s="261"/>
      <c r="I136" s="261"/>
      <c r="J136" s="261"/>
      <c r="K136" s="261"/>
      <c r="L136" s="261"/>
      <c r="M136" s="261"/>
      <c r="N136" s="261"/>
    </row>
    <row r="137" spans="1:16" ht="8.25" customHeight="1" x14ac:dyDescent="0.3">
      <c r="C137" s="79"/>
      <c r="D137" s="79"/>
      <c r="E137" s="79"/>
      <c r="F137" s="79"/>
      <c r="G137" s="79"/>
      <c r="H137" s="79"/>
      <c r="I137" s="79"/>
      <c r="J137" s="79"/>
      <c r="K137" s="79"/>
      <c r="L137" s="79"/>
      <c r="M137" s="79"/>
      <c r="N137" s="79"/>
    </row>
    <row r="138" spans="1:16" x14ac:dyDescent="0.3">
      <c r="C138" s="261" t="s">
        <v>265</v>
      </c>
      <c r="D138" s="261"/>
      <c r="E138" s="261"/>
      <c r="F138" s="261"/>
      <c r="G138" s="261"/>
      <c r="H138" s="261"/>
      <c r="I138" s="261"/>
      <c r="J138" s="261"/>
      <c r="K138" s="261"/>
      <c r="L138" s="261"/>
      <c r="M138" s="261"/>
      <c r="N138" s="261"/>
    </row>
    <row r="139" spans="1:16" x14ac:dyDescent="0.3">
      <c r="C139" s="261"/>
      <c r="D139" s="261"/>
      <c r="E139" s="261"/>
      <c r="F139" s="261"/>
      <c r="G139" s="261"/>
      <c r="H139" s="261"/>
      <c r="I139" s="261"/>
      <c r="J139" s="261"/>
      <c r="K139" s="261"/>
      <c r="L139" s="261"/>
      <c r="M139" s="261"/>
      <c r="N139" s="261"/>
    </row>
    <row r="140" spans="1:16" x14ac:dyDescent="0.3">
      <c r="C140" s="261"/>
      <c r="D140" s="261"/>
      <c r="E140" s="261"/>
      <c r="F140" s="261"/>
      <c r="G140" s="261"/>
      <c r="H140" s="261"/>
      <c r="I140" s="261"/>
      <c r="J140" s="261"/>
      <c r="K140" s="261"/>
      <c r="L140" s="261"/>
      <c r="M140" s="261"/>
      <c r="N140" s="261"/>
    </row>
    <row r="141" spans="1:16" x14ac:dyDescent="0.3">
      <c r="C141" s="261"/>
      <c r="D141" s="261"/>
      <c r="E141" s="261"/>
      <c r="F141" s="261"/>
      <c r="G141" s="261"/>
      <c r="H141" s="261"/>
      <c r="I141" s="261"/>
      <c r="J141" s="261"/>
      <c r="K141" s="261"/>
      <c r="L141" s="261"/>
      <c r="M141" s="261"/>
      <c r="N141" s="261"/>
    </row>
    <row r="142" spans="1:16" x14ac:dyDescent="0.3">
      <c r="C142" s="261"/>
      <c r="D142" s="261"/>
      <c r="E142" s="261"/>
      <c r="F142" s="261"/>
      <c r="G142" s="261"/>
      <c r="H142" s="261"/>
      <c r="I142" s="261"/>
      <c r="J142" s="261"/>
      <c r="K142" s="261"/>
      <c r="L142" s="261"/>
      <c r="M142" s="261"/>
      <c r="N142" s="261"/>
    </row>
    <row r="143" spans="1:16" x14ac:dyDescent="0.3">
      <c r="C143" s="261"/>
      <c r="D143" s="261"/>
      <c r="E143" s="261"/>
      <c r="F143" s="261"/>
      <c r="G143" s="261"/>
      <c r="H143" s="261"/>
      <c r="I143" s="261"/>
      <c r="J143" s="261"/>
      <c r="K143" s="261"/>
      <c r="L143" s="261"/>
      <c r="M143" s="261"/>
      <c r="N143" s="261"/>
    </row>
    <row r="144" spans="1:16" x14ac:dyDescent="0.3">
      <c r="C144" s="261"/>
      <c r="D144" s="261"/>
      <c r="E144" s="261"/>
      <c r="F144" s="261"/>
      <c r="G144" s="261"/>
      <c r="H144" s="261"/>
      <c r="I144" s="261"/>
      <c r="J144" s="261"/>
      <c r="K144" s="261"/>
      <c r="L144" s="261"/>
      <c r="M144" s="261"/>
      <c r="N144" s="261"/>
    </row>
    <row r="145" spans="3:16" x14ac:dyDescent="0.3">
      <c r="C145" s="261"/>
      <c r="D145" s="261"/>
      <c r="E145" s="261"/>
      <c r="F145" s="261"/>
      <c r="G145" s="261"/>
      <c r="H145" s="261"/>
      <c r="I145" s="261"/>
      <c r="J145" s="261"/>
      <c r="K145" s="261"/>
      <c r="L145" s="261"/>
      <c r="M145" s="261"/>
      <c r="N145" s="261"/>
    </row>
    <row r="146" spans="3:16" ht="6" customHeight="1" x14ac:dyDescent="0.3">
      <c r="C146" s="79"/>
      <c r="D146" s="79"/>
      <c r="E146" s="79"/>
      <c r="F146" s="79"/>
      <c r="G146" s="79"/>
      <c r="H146" s="79"/>
      <c r="I146" s="79"/>
      <c r="J146" s="79"/>
      <c r="K146" s="79"/>
      <c r="L146" s="79"/>
      <c r="M146" s="79"/>
      <c r="N146" s="79"/>
    </row>
    <row r="147" spans="3:16" ht="45" hidden="1" customHeight="1" x14ac:dyDescent="0.3">
      <c r="C147" s="79"/>
      <c r="D147" s="79"/>
      <c r="E147" s="79"/>
      <c r="F147" s="79"/>
      <c r="G147" s="79"/>
      <c r="H147" s="79"/>
      <c r="I147" s="79"/>
      <c r="J147" s="79"/>
      <c r="K147" s="79"/>
      <c r="L147" s="79"/>
      <c r="M147" s="79"/>
      <c r="N147" s="79"/>
    </row>
    <row r="148" spans="3:16" x14ac:dyDescent="0.3">
      <c r="C148" s="260" t="s">
        <v>264</v>
      </c>
      <c r="D148" s="260"/>
      <c r="E148" s="260"/>
      <c r="F148" s="260"/>
      <c r="G148" s="260"/>
      <c r="H148" s="260"/>
      <c r="I148" s="260"/>
      <c r="J148" s="260"/>
      <c r="K148" s="260"/>
      <c r="L148" s="260"/>
      <c r="M148" s="260"/>
      <c r="N148" s="260"/>
    </row>
    <row r="149" spans="3:16" x14ac:dyDescent="0.3">
      <c r="C149" s="260"/>
      <c r="D149" s="260"/>
      <c r="E149" s="260"/>
      <c r="F149" s="260"/>
      <c r="G149" s="260"/>
      <c r="H149" s="260"/>
      <c r="I149" s="260"/>
      <c r="J149" s="260"/>
      <c r="K149" s="260"/>
      <c r="L149" s="260"/>
      <c r="M149" s="260"/>
      <c r="N149" s="260"/>
    </row>
    <row r="150" spans="3:16" x14ac:dyDescent="0.3">
      <c r="C150" s="260"/>
      <c r="D150" s="260"/>
      <c r="E150" s="260"/>
      <c r="F150" s="260"/>
      <c r="G150" s="260"/>
      <c r="H150" s="260"/>
      <c r="I150" s="260"/>
      <c r="J150" s="260"/>
      <c r="K150" s="260"/>
      <c r="L150" s="260"/>
      <c r="M150" s="260"/>
      <c r="N150" s="260"/>
      <c r="P150" s="86">
        <f>L1-K133</f>
        <v>-1338773.6948400009</v>
      </c>
    </row>
    <row r="151" spans="3:16" ht="22.5" customHeight="1" x14ac:dyDescent="0.3">
      <c r="C151" s="260"/>
      <c r="D151" s="260"/>
      <c r="E151" s="260"/>
      <c r="F151" s="260"/>
      <c r="G151" s="260"/>
      <c r="H151" s="260"/>
      <c r="I151" s="260"/>
      <c r="J151" s="260"/>
      <c r="K151" s="260"/>
      <c r="L151" s="260"/>
      <c r="M151" s="260"/>
      <c r="N151" s="260"/>
    </row>
    <row r="152" spans="3:16" ht="5.25" customHeight="1" x14ac:dyDescent="0.3">
      <c r="C152" s="260"/>
      <c r="D152" s="260"/>
      <c r="E152" s="260"/>
      <c r="F152" s="260"/>
      <c r="G152" s="260"/>
      <c r="H152" s="260"/>
      <c r="I152" s="260"/>
      <c r="J152" s="260"/>
      <c r="K152" s="260"/>
      <c r="L152" s="260"/>
      <c r="M152" s="260"/>
      <c r="N152" s="260"/>
    </row>
    <row r="153" spans="3:16" hidden="1" x14ac:dyDescent="0.3">
      <c r="C153" s="260"/>
      <c r="D153" s="260"/>
      <c r="E153" s="260"/>
      <c r="F153" s="260"/>
      <c r="G153" s="260"/>
      <c r="H153" s="260"/>
      <c r="I153" s="260"/>
      <c r="J153" s="260"/>
      <c r="K153" s="260"/>
      <c r="L153" s="260"/>
      <c r="M153" s="260"/>
      <c r="N153" s="260"/>
    </row>
    <row r="154" spans="3:16" hidden="1" x14ac:dyDescent="0.3">
      <c r="C154" s="260"/>
      <c r="D154" s="260"/>
      <c r="E154" s="260"/>
      <c r="F154" s="260"/>
      <c r="G154" s="260"/>
      <c r="H154" s="260"/>
      <c r="I154" s="260"/>
      <c r="J154" s="260"/>
      <c r="K154" s="260"/>
      <c r="L154" s="260"/>
      <c r="M154" s="260"/>
      <c r="N154" s="260"/>
    </row>
  </sheetData>
  <mergeCells count="21">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 ref="A11:A13"/>
    <mergeCell ref="B11:B13"/>
    <mergeCell ref="C11:C13"/>
    <mergeCell ref="D11:D13"/>
    <mergeCell ref="F11:F13"/>
    <mergeCell ref="E11:E13"/>
  </mergeCells>
  <phoneticPr fontId="17"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G4"/>
  <sheetViews>
    <sheetView workbookViewId="0">
      <selection activeCell="B5" sqref="B5"/>
    </sheetView>
  </sheetViews>
  <sheetFormatPr baseColWidth="10" defaultRowHeight="14.4" x14ac:dyDescent="0.3"/>
  <sheetData>
    <row r="4" spans="2:7" x14ac:dyDescent="0.3">
      <c r="B4" s="240" t="s">
        <v>357</v>
      </c>
      <c r="C4" s="239"/>
      <c r="D4" s="239"/>
      <c r="E4" s="239"/>
      <c r="F4" s="239"/>
      <c r="G4" s="2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F049-50A4-4ACA-9F6E-1C2F2AD24458}">
  <dimension ref="A2:J27"/>
  <sheetViews>
    <sheetView tabSelected="1" topLeftCell="C13" workbookViewId="0">
      <selection activeCell="C19" sqref="C19:C25"/>
    </sheetView>
  </sheetViews>
  <sheetFormatPr baseColWidth="10" defaultRowHeight="14.4" x14ac:dyDescent="0.3"/>
  <cols>
    <col min="1" max="2" width="11.5546875" hidden="1" customWidth="1"/>
    <col min="7" max="7" width="14.33203125" bestFit="1" customWidth="1"/>
  </cols>
  <sheetData>
    <row r="2" spans="3:10" ht="15" thickBot="1" x14ac:dyDescent="0.35"/>
    <row r="3" spans="3:10" x14ac:dyDescent="0.3">
      <c r="C3" s="287" t="str">
        <f>RESUMEN!C5</f>
        <v>PERÍODO: OCTUBRE</v>
      </c>
      <c r="D3" s="288"/>
      <c r="E3" s="288"/>
      <c r="F3" s="288" t="str">
        <f>[1]RESUMEN!A22</f>
        <v xml:space="preserve">Sueldo encargada Sonia Arzamendia Galeano </v>
      </c>
      <c r="G3" s="288"/>
      <c r="H3" s="288"/>
      <c r="I3" s="288"/>
      <c r="J3" s="289"/>
    </row>
    <row r="4" spans="3:10" x14ac:dyDescent="0.3">
      <c r="C4" s="1"/>
      <c r="J4" s="290"/>
    </row>
    <row r="5" spans="3:10" x14ac:dyDescent="0.3">
      <c r="C5" s="1" t="str">
        <f>RESUMEN!A26</f>
        <v xml:space="preserve">Haberes </v>
      </c>
      <c r="G5" s="43">
        <f>RESUMEN!D26</f>
        <v>1026046</v>
      </c>
      <c r="H5" s="291" t="s">
        <v>358</v>
      </c>
      <c r="I5" s="291"/>
      <c r="J5" s="292"/>
    </row>
    <row r="6" spans="3:10" x14ac:dyDescent="0.3">
      <c r="C6" s="1" t="str">
        <f>RESUMEN!A27</f>
        <v>Plus pileta</v>
      </c>
      <c r="G6" s="43">
        <f>RESUMEN!D27</f>
        <v>35809.699999999997</v>
      </c>
      <c r="H6" s="291" t="s">
        <v>359</v>
      </c>
      <c r="I6" s="291"/>
      <c r="J6" s="292"/>
    </row>
    <row r="7" spans="3:10" x14ac:dyDescent="0.3">
      <c r="C7" s="1" t="str">
        <f>RESUMEN!A28</f>
        <v>Plus retiro de basura</v>
      </c>
      <c r="G7" s="43">
        <f>RESUMEN!D28</f>
        <v>124792</v>
      </c>
      <c r="H7" s="291"/>
      <c r="I7" s="291"/>
      <c r="J7" s="292"/>
    </row>
    <row r="8" spans="3:10" x14ac:dyDescent="0.3">
      <c r="C8" s="1" t="str">
        <f>RESUMEN!A29</f>
        <v>Plus cochera</v>
      </c>
      <c r="G8" s="43">
        <f>RESUMEN!D29</f>
        <v>21286.799999999999</v>
      </c>
      <c r="J8" s="290"/>
    </row>
    <row r="9" spans="3:10" x14ac:dyDescent="0.3">
      <c r="C9" s="1" t="str">
        <f>RESUMEN!A30</f>
        <v>Adicional Viaticos</v>
      </c>
      <c r="G9" s="43">
        <f>RESUMEN!D30</f>
        <v>59852.7</v>
      </c>
      <c r="H9" s="291" t="s">
        <v>360</v>
      </c>
      <c r="I9" s="291"/>
      <c r="J9" s="292"/>
    </row>
    <row r="10" spans="3:10" x14ac:dyDescent="0.3">
      <c r="C10" s="1" t="str">
        <f>RESUMEN!A31</f>
        <v>Adicional remuneracion</v>
      </c>
      <c r="G10" s="43">
        <f>RESUMEN!D31</f>
        <v>50000</v>
      </c>
      <c r="H10" s="291" t="s">
        <v>359</v>
      </c>
      <c r="I10" s="291"/>
      <c r="J10" s="292"/>
    </row>
    <row r="11" spans="3:10" x14ac:dyDescent="0.3">
      <c r="C11" s="1"/>
      <c r="H11" s="291"/>
      <c r="I11" s="291"/>
      <c r="J11" s="292"/>
    </row>
    <row r="12" spans="3:10" x14ac:dyDescent="0.3">
      <c r="C12" s="293" t="s">
        <v>17</v>
      </c>
      <c r="D12" s="2"/>
      <c r="E12" s="2"/>
      <c r="F12" s="2"/>
      <c r="G12" s="294">
        <f>SUM(G5:G11)</f>
        <v>1317787.2</v>
      </c>
      <c r="J12" s="290"/>
    </row>
    <row r="13" spans="3:10" ht="15" thickBot="1" x14ac:dyDescent="0.35">
      <c r="C13" s="295"/>
      <c r="D13" s="296"/>
      <c r="E13" s="296"/>
      <c r="F13" s="296"/>
      <c r="G13" s="296"/>
      <c r="H13" s="296"/>
      <c r="I13" s="296"/>
      <c r="J13" s="297"/>
    </row>
    <row r="15" spans="3:10" ht="15" thickBot="1" x14ac:dyDescent="0.35"/>
    <row r="16" spans="3:10" x14ac:dyDescent="0.3">
      <c r="C16" s="287" t="str">
        <f>C3</f>
        <v>PERÍODO: OCTUBRE</v>
      </c>
      <c r="D16" s="288"/>
      <c r="E16" s="288"/>
      <c r="F16" s="288" t="str">
        <f>[1]RESUMEN!A30</f>
        <v>Sueldo encargada Miriam</v>
      </c>
      <c r="G16" s="288"/>
      <c r="H16" s="288"/>
      <c r="I16" s="288"/>
      <c r="J16" s="289"/>
    </row>
    <row r="17" spans="3:10" x14ac:dyDescent="0.3">
      <c r="C17" s="1"/>
      <c r="J17" s="290"/>
    </row>
    <row r="18" spans="3:10" x14ac:dyDescent="0.3">
      <c r="C18" s="1"/>
      <c r="G18" s="43"/>
      <c r="H18" s="291" t="s">
        <v>358</v>
      </c>
      <c r="I18" s="291"/>
      <c r="J18" s="292"/>
    </row>
    <row r="19" spans="3:10" x14ac:dyDescent="0.3">
      <c r="C19" s="1" t="str">
        <f>RESUMEN!A34</f>
        <v xml:space="preserve">Haberes </v>
      </c>
      <c r="G19" s="43">
        <f>RESUMEN!D34</f>
        <v>513023</v>
      </c>
      <c r="H19" s="291" t="s">
        <v>359</v>
      </c>
      <c r="I19" s="291"/>
      <c r="J19" s="292"/>
    </row>
    <row r="20" spans="3:10" x14ac:dyDescent="0.3">
      <c r="C20" s="1" t="str">
        <f>RESUMEN!A35</f>
        <v>Horas extras</v>
      </c>
      <c r="G20" s="43">
        <f>RESUMEN!D35</f>
        <v>0</v>
      </c>
      <c r="H20" s="291"/>
      <c r="I20" s="291"/>
      <c r="J20" s="292"/>
    </row>
    <row r="21" spans="3:10" x14ac:dyDescent="0.3">
      <c r="C21" s="1" t="str">
        <f>RESUMEN!A36</f>
        <v>Plus pileta</v>
      </c>
      <c r="G21" s="43">
        <f>RESUMEN!D36</f>
        <v>35809.699999999997</v>
      </c>
      <c r="J21" s="290"/>
    </row>
    <row r="22" spans="3:10" x14ac:dyDescent="0.3">
      <c r="C22" s="1" t="str">
        <f>RESUMEN!A37</f>
        <v>Plus retiro de basura</v>
      </c>
      <c r="G22" s="43">
        <f>RESUMEN!D37</f>
        <v>124792</v>
      </c>
      <c r="H22" s="291" t="s">
        <v>360</v>
      </c>
      <c r="I22" s="291"/>
      <c r="J22" s="292"/>
    </row>
    <row r="23" spans="3:10" x14ac:dyDescent="0.3">
      <c r="C23" s="1" t="str">
        <f>RESUMEN!A38</f>
        <v>Plus cochera</v>
      </c>
      <c r="G23" s="43">
        <f>RESUMEN!D38</f>
        <v>21286.799999999999</v>
      </c>
      <c r="H23" s="291" t="s">
        <v>359</v>
      </c>
      <c r="I23" s="291"/>
      <c r="J23" s="292"/>
    </row>
    <row r="24" spans="3:10" x14ac:dyDescent="0.3">
      <c r="C24" s="1" t="str">
        <f>RESUMEN!A39</f>
        <v>Adicional Viaticos</v>
      </c>
      <c r="G24" s="43">
        <f>RESUMEN!D39</f>
        <v>59852.7</v>
      </c>
      <c r="H24" s="291"/>
      <c r="I24" s="291"/>
      <c r="J24" s="292"/>
    </row>
    <row r="25" spans="3:10" x14ac:dyDescent="0.3">
      <c r="C25" s="1" t="str">
        <f>RESUMEN!A40</f>
        <v>Adicional remuneracion</v>
      </c>
      <c r="G25" s="43">
        <f>RESUMEN!D40</f>
        <v>50000</v>
      </c>
      <c r="H25" s="298"/>
      <c r="I25" s="298"/>
      <c r="J25" s="299"/>
    </row>
    <row r="26" spans="3:10" x14ac:dyDescent="0.3">
      <c r="C26" s="293" t="s">
        <v>17</v>
      </c>
      <c r="D26" s="2"/>
      <c r="E26" s="2"/>
      <c r="F26" s="2"/>
      <c r="G26" s="294">
        <f>SUM(G18:G25)</f>
        <v>804764.2</v>
      </c>
      <c r="J26" s="290"/>
    </row>
    <row r="27" spans="3:10" ht="15" thickBot="1" x14ac:dyDescent="0.35">
      <c r="C27" s="295"/>
      <c r="D27" s="296"/>
      <c r="E27" s="296"/>
      <c r="F27" s="296"/>
      <c r="G27" s="296"/>
      <c r="H27" s="296"/>
      <c r="I27" s="296"/>
      <c r="J27" s="297"/>
    </row>
  </sheetData>
  <mergeCells count="12">
    <mergeCell ref="C16:E16"/>
    <mergeCell ref="F16:J16"/>
    <mergeCell ref="H18:J18"/>
    <mergeCell ref="H19:J20"/>
    <mergeCell ref="H22:J22"/>
    <mergeCell ref="H23:J24"/>
    <mergeCell ref="C3:E3"/>
    <mergeCell ref="F3:J3"/>
    <mergeCell ref="H5:J5"/>
    <mergeCell ref="H6:J7"/>
    <mergeCell ref="H9:J9"/>
    <mergeCell ref="H10:J11"/>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4.4" x14ac:dyDescent="0.3"/>
  <cols>
    <col min="3" max="3" width="13" bestFit="1" customWidth="1"/>
  </cols>
  <sheetData>
    <row r="4" spans="3:4" x14ac:dyDescent="0.3">
      <c r="C4" s="286" t="s">
        <v>287</v>
      </c>
      <c r="D4" s="286"/>
    </row>
    <row r="5" spans="3:4" x14ac:dyDescent="0.3">
      <c r="C5" s="145">
        <v>52141.08</v>
      </c>
      <c r="D5" t="s">
        <v>288</v>
      </c>
    </row>
    <row r="6" spans="3:4" x14ac:dyDescent="0.3">
      <c r="C6" s="145">
        <v>67140.100000000006</v>
      </c>
      <c r="D6" t="s">
        <v>289</v>
      </c>
    </row>
    <row r="7" spans="3:4" x14ac:dyDescent="0.3">
      <c r="C7" s="145">
        <v>52121.11</v>
      </c>
      <c r="D7" t="s">
        <v>290</v>
      </c>
    </row>
    <row r="8" spans="3:4" x14ac:dyDescent="0.3">
      <c r="C8" s="145">
        <v>67885.119999999995</v>
      </c>
      <c r="D8" t="s">
        <v>291</v>
      </c>
    </row>
    <row r="9" spans="3:4" x14ac:dyDescent="0.3">
      <c r="C9" s="145">
        <v>67140.160000000003</v>
      </c>
      <c r="D9" t="s">
        <v>292</v>
      </c>
    </row>
    <row r="10" spans="3:4" x14ac:dyDescent="0.3">
      <c r="C10" s="145">
        <v>62141.17</v>
      </c>
      <c r="D10" t="s">
        <v>293</v>
      </c>
    </row>
    <row r="11" spans="3:4" x14ac:dyDescent="0.3">
      <c r="C11" s="145">
        <v>67855.179999999993</v>
      </c>
      <c r="D11" t="s">
        <v>294</v>
      </c>
    </row>
    <row r="12" spans="3:4" x14ac:dyDescent="0.3">
      <c r="C12" s="145">
        <v>62141.23</v>
      </c>
      <c r="D12" t="s">
        <v>295</v>
      </c>
    </row>
    <row r="13" spans="3:4" x14ac:dyDescent="0.3">
      <c r="C13" s="145">
        <v>67855.240000000005</v>
      </c>
      <c r="D13" t="s">
        <v>296</v>
      </c>
    </row>
    <row r="14" spans="3:4" x14ac:dyDescent="0.3">
      <c r="C14" s="145">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SUELDOS</vt:lpstr>
      <vt:lpstr>Hoja1</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2025-11-03T19:39:54Z</cp:lastPrinted>
  <dcterms:created xsi:type="dcterms:W3CDTF">2023-09-17T12:29:07Z</dcterms:created>
  <dcterms:modified xsi:type="dcterms:W3CDTF">2025-11-30T20:48:17Z</dcterms:modified>
</cp:coreProperties>
</file>