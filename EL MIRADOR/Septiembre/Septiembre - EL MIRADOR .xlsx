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EL MIRADOR\Septiembre\"/>
    </mc:Choice>
  </mc:AlternateContent>
  <xr:revisionPtr revIDLastSave="0" documentId="13_ncr:1_{3DF0C658-27AD-462C-B657-9225E941B6A8}" xr6:coauthVersionLast="47" xr6:coauthVersionMax="47" xr10:uidLastSave="{00000000-0000-0000-0000-000000000000}"/>
  <bookViews>
    <workbookView xWindow="-108" yWindow="-108" windowWidth="23256" windowHeight="12576" activeTab="3" xr2:uid="{00000000-000D-0000-FFFF-FFFF00000000}"/>
  </bookViews>
  <sheets>
    <sheet name="RESUMEN" sheetId="1" r:id="rId1"/>
    <sheet name="PRORRATEO" sheetId="2" r:id="rId2"/>
    <sheet name="ANOTACIONES" sheetId="3" r:id="rId3"/>
    <sheet name="SUELDOS" sheetId="5" r:id="rId4"/>
    <sheet name="Hoja1" sheetId="4" r:id="rId5"/>
  </sheets>
  <externalReferences>
    <externalReference r:id="rId6"/>
  </externalReferences>
  <definedNames>
    <definedName name="_xlnm.Print_Area" localSheetId="1">PRORRATEO!$A$1:$N$149</definedName>
    <definedName name="_xlnm.Print_Area" localSheetId="0">RESUMEN!$A$1:$J$149</definedName>
    <definedName name="_xlnm.Print_Area" localSheetId="3">SUELDOS!$A$3:$J$28</definedName>
  </definedNames>
  <calcPr calcId="181029"/>
</workbook>
</file>

<file path=xl/calcChain.xml><?xml version="1.0" encoding="utf-8"?>
<calcChain xmlns="http://schemas.openxmlformats.org/spreadsheetml/2006/main">
  <c r="G26" i="5" l="1"/>
  <c r="G20" i="5"/>
  <c r="G21" i="5"/>
  <c r="G22" i="5"/>
  <c r="G23" i="5"/>
  <c r="G24" i="5"/>
  <c r="G25" i="5"/>
  <c r="C25" i="5"/>
  <c r="C20" i="5"/>
  <c r="C21" i="5"/>
  <c r="C22" i="5"/>
  <c r="C23" i="5"/>
  <c r="C24" i="5"/>
  <c r="G19" i="5"/>
  <c r="C19" i="5"/>
  <c r="C10" i="5"/>
  <c r="G10" i="5"/>
  <c r="G6" i="5"/>
  <c r="G7" i="5"/>
  <c r="G8" i="5"/>
  <c r="G9" i="5"/>
  <c r="G5" i="5"/>
  <c r="C6" i="5"/>
  <c r="C7" i="5"/>
  <c r="C8" i="5"/>
  <c r="C9" i="5"/>
  <c r="C5" i="5"/>
  <c r="C3" i="5"/>
  <c r="C16" i="5" s="1"/>
  <c r="F16" i="5"/>
  <c r="F3" i="5"/>
  <c r="H106" i="2"/>
  <c r="G12" i="5" l="1"/>
  <c r="H59" i="2"/>
  <c r="H28" i="2"/>
  <c r="D100" i="1" l="1"/>
  <c r="D93" i="1"/>
  <c r="D32" i="1"/>
  <c r="D41" i="1"/>
  <c r="D57" i="1"/>
  <c r="D66" i="1"/>
  <c r="D83" i="1"/>
  <c r="D42" i="1" l="1"/>
  <c r="L74" i="2" l="1"/>
  <c r="L81" i="2"/>
  <c r="L29" i="2"/>
  <c r="L8" i="2"/>
  <c r="L9" i="2"/>
  <c r="L10" i="2"/>
  <c r="L11" i="2"/>
  <c r="L12" i="2"/>
  <c r="L13" i="2"/>
  <c r="L14" i="2"/>
  <c r="L15" i="2"/>
  <c r="L17" i="2"/>
  <c r="L18" i="2"/>
  <c r="L19" i="2"/>
  <c r="L20" i="2"/>
  <c r="L21" i="2"/>
  <c r="L22" i="2"/>
  <c r="L23" i="2"/>
  <c r="L24" i="2"/>
  <c r="L25" i="2"/>
  <c r="L26" i="2"/>
  <c r="L27" i="2"/>
  <c r="L28"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5" i="2"/>
  <c r="L76" i="2"/>
  <c r="L77" i="2"/>
  <c r="L78" i="2"/>
  <c r="L79" i="2"/>
  <c r="L80"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D107" i="1"/>
  <c r="E80" i="1"/>
  <c r="L80" i="1" s="1"/>
  <c r="K80" i="1"/>
  <c r="N80" i="1" s="1"/>
  <c r="E79" i="1"/>
  <c r="L79" i="1" s="1"/>
  <c r="K79" i="1"/>
  <c r="N79" i="1" s="1"/>
  <c r="H75" i="2"/>
  <c r="H58" i="2"/>
  <c r="H17" i="2"/>
  <c r="H32" i="2" l="1"/>
  <c r="H12" i="2"/>
  <c r="H8" i="2"/>
  <c r="H9" i="2"/>
  <c r="H69" i="2"/>
  <c r="H74" i="2"/>
  <c r="H70" i="2"/>
  <c r="H30" i="2"/>
  <c r="H36" i="2"/>
  <c r="H34" i="2"/>
  <c r="H80" i="2"/>
  <c r="H35" i="2"/>
  <c r="H81" i="2"/>
  <c r="H76" i="2"/>
  <c r="H54" i="2"/>
  <c r="H73" i="2"/>
  <c r="H18" i="2"/>
  <c r="H77" i="2"/>
  <c r="C75" i="1"/>
  <c r="D36" i="1"/>
  <c r="D38" i="1"/>
  <c r="D28" i="1"/>
  <c r="D37" i="1" s="1"/>
  <c r="E78" i="1"/>
  <c r="L78" i="1" s="1"/>
  <c r="K78" i="1"/>
  <c r="N78" i="1" s="1"/>
  <c r="E88" i="1"/>
  <c r="E77" i="1" l="1"/>
  <c r="L77" i="1" s="1"/>
  <c r="K77" i="1"/>
  <c r="N77" i="1" s="1"/>
  <c r="C56" i="1"/>
  <c r="K73" i="1"/>
  <c r="K72" i="1"/>
  <c r="H102" i="2"/>
  <c r="H67" i="2"/>
  <c r="H90" i="2"/>
  <c r="B141" i="1"/>
  <c r="B131" i="1" s="1"/>
  <c r="H48" i="2"/>
  <c r="H50" i="2"/>
  <c r="H101" i="2"/>
  <c r="H60" i="2"/>
  <c r="H14" i="2"/>
  <c r="H38" i="2"/>
  <c r="H26" i="2"/>
  <c r="H99" i="2"/>
  <c r="E73" i="1"/>
  <c r="L73" i="1" s="1"/>
  <c r="H29" i="2" l="1"/>
  <c r="H20" i="2"/>
  <c r="C14" i="4"/>
  <c r="M7" i="2"/>
  <c r="N7" i="2"/>
  <c r="E72" i="1"/>
  <c r="L72" i="1" s="1"/>
  <c r="M72" i="1" s="1"/>
  <c r="N72" i="1"/>
  <c r="C114" i="1"/>
  <c r="J75" i="1"/>
  <c r="I75" i="1"/>
  <c r="H75" i="1"/>
  <c r="G75" i="1"/>
  <c r="F75" i="1"/>
  <c r="E75" i="1"/>
  <c r="E74" i="1"/>
  <c r="J74" i="1"/>
  <c r="I74" i="1"/>
  <c r="H74" i="1"/>
  <c r="G74" i="1"/>
  <c r="F74" i="1"/>
  <c r="K75" i="1"/>
  <c r="N75" i="1" s="1"/>
  <c r="J87" i="1"/>
  <c r="I87" i="1"/>
  <c r="H87" i="1"/>
  <c r="G87" i="1"/>
  <c r="F87" i="1"/>
  <c r="E87" i="1"/>
  <c r="E50" i="1"/>
  <c r="H125" i="2"/>
  <c r="H112" i="2"/>
  <c r="H83" i="2"/>
  <c r="H93" i="2"/>
  <c r="H86" i="2"/>
  <c r="H40" i="2"/>
  <c r="H65" i="2"/>
  <c r="H53" i="2"/>
  <c r="H85" i="2"/>
  <c r="H95" i="2"/>
  <c r="H104" i="2"/>
  <c r="H66" i="2"/>
  <c r="H31" i="2"/>
  <c r="H13" i="2"/>
  <c r="H51" i="2"/>
  <c r="H15" i="2"/>
  <c r="H103" i="2"/>
  <c r="H89" i="2"/>
  <c r="H88" i="2"/>
  <c r="H49" i="2"/>
  <c r="H43" i="2"/>
  <c r="H42" i="2"/>
  <c r="H25" i="2"/>
  <c r="H116" i="2"/>
  <c r="H105" i="2"/>
  <c r="H45" i="2"/>
  <c r="H79" i="2"/>
  <c r="H94" i="2"/>
  <c r="H113" i="2"/>
  <c r="H98" i="2"/>
  <c r="H63" i="2"/>
  <c r="H123" i="2"/>
  <c r="H96" i="2"/>
  <c r="H92" i="2"/>
  <c r="H82" i="2"/>
  <c r="H124" i="2"/>
  <c r="H57" i="2"/>
  <c r="H97" i="2"/>
  <c r="H109" i="2"/>
  <c r="H37" i="2"/>
  <c r="H47" i="2"/>
  <c r="H44" i="2"/>
  <c r="H27" i="2"/>
  <c r="H78" i="2"/>
  <c r="H107" i="2"/>
  <c r="H56" i="2"/>
  <c r="H55" i="2"/>
  <c r="H61" i="2"/>
  <c r="H121" i="2"/>
  <c r="H114" i="2"/>
  <c r="H39" i="2"/>
  <c r="L75" i="1" l="1"/>
  <c r="M75" i="1" s="1"/>
  <c r="K13" i="2" l="1"/>
  <c r="O14" i="2" l="1"/>
  <c r="O15" i="2" s="1"/>
  <c r="O16" i="2" s="1"/>
  <c r="O17" i="2" s="1"/>
  <c r="O18" i="2" s="1"/>
  <c r="O19" i="2" s="1"/>
  <c r="O20" i="2" s="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E105" i="1"/>
  <c r="J105" i="1"/>
  <c r="I105" i="1"/>
  <c r="H105" i="1"/>
  <c r="G105" i="1"/>
  <c r="F105" i="1"/>
  <c r="F127" i="2"/>
  <c r="E70" i="1"/>
  <c r="E49" i="1"/>
  <c r="G57" i="1"/>
  <c r="D61" i="1"/>
  <c r="E61" i="1" s="1"/>
  <c r="K68" i="1"/>
  <c r="J68" i="1"/>
  <c r="J69" i="1"/>
  <c r="I68" i="1"/>
  <c r="H68" i="1"/>
  <c r="G68" i="1"/>
  <c r="F68" i="1"/>
  <c r="E69" i="1"/>
  <c r="E68" i="1"/>
  <c r="J65" i="1"/>
  <c r="I65" i="1"/>
  <c r="H65" i="1"/>
  <c r="G65" i="1"/>
  <c r="F65" i="1"/>
  <c r="K105" i="1" l="1"/>
  <c r="L105" i="1" s="1"/>
  <c r="I61" i="1"/>
  <c r="J61" i="1"/>
  <c r="F61" i="1"/>
  <c r="G61" i="1"/>
  <c r="H61" i="1"/>
  <c r="L68" i="1"/>
  <c r="M68" i="1" s="1"/>
  <c r="E57" i="1"/>
  <c r="I57" i="1"/>
  <c r="F57" i="1"/>
  <c r="J57" i="1"/>
  <c r="H57" i="1"/>
  <c r="K71" i="1"/>
  <c r="E71" i="1"/>
  <c r="L71" i="1" s="1"/>
  <c r="J102" i="1"/>
  <c r="I102" i="1"/>
  <c r="H102" i="1"/>
  <c r="G102" i="1"/>
  <c r="F102" i="1"/>
  <c r="J101" i="1"/>
  <c r="I101" i="1"/>
  <c r="H101" i="1"/>
  <c r="G101" i="1"/>
  <c r="F101" i="1"/>
  <c r="J97" i="1"/>
  <c r="I97" i="1"/>
  <c r="I100" i="1" s="1"/>
  <c r="H97" i="1"/>
  <c r="H100" i="1" s="1"/>
  <c r="G97" i="1"/>
  <c r="G100" i="1" s="1"/>
  <c r="F97" i="1"/>
  <c r="F100" i="1" s="1"/>
  <c r="H93" i="1"/>
  <c r="G93" i="1"/>
  <c r="K70" i="1"/>
  <c r="I69" i="1"/>
  <c r="H69" i="1"/>
  <c r="G69" i="1"/>
  <c r="F69" i="1"/>
  <c r="I63" i="1"/>
  <c r="H63" i="1"/>
  <c r="G63" i="1"/>
  <c r="F63" i="1"/>
  <c r="J63" i="1"/>
  <c r="J24" i="2"/>
  <c r="E118" i="1"/>
  <c r="L74" i="1"/>
  <c r="M74" i="1" s="1"/>
  <c r="K74" i="1"/>
  <c r="N74" i="1" s="1"/>
  <c r="I64" i="1"/>
  <c r="E65" i="1"/>
  <c r="K65" i="1" s="1"/>
  <c r="E102" i="1"/>
  <c r="E101" i="1"/>
  <c r="E97" i="1"/>
  <c r="E63" i="1"/>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45" i="2"/>
  <c r="I13" i="2"/>
  <c r="I15" i="2"/>
  <c r="I16" i="2"/>
  <c r="I17" i="2"/>
  <c r="I19" i="2"/>
  <c r="I22" i="2"/>
  <c r="I23" i="2"/>
  <c r="I24" i="2"/>
  <c r="I26" i="2"/>
  <c r="I28" i="2"/>
  <c r="I29" i="2"/>
  <c r="I30" i="2"/>
  <c r="I31" i="2"/>
  <c r="I32" i="2"/>
  <c r="I33" i="2"/>
  <c r="I34" i="2"/>
  <c r="I35" i="2"/>
  <c r="I36" i="2"/>
  <c r="I37" i="2"/>
  <c r="I25" i="2"/>
  <c r="I21" i="2"/>
  <c r="I40" i="2"/>
  <c r="I20" i="2"/>
  <c r="I42" i="2"/>
  <c r="I43" i="2"/>
  <c r="I44" i="2"/>
  <c r="I46" i="2"/>
  <c r="I47" i="2"/>
  <c r="I48" i="2"/>
  <c r="I18" i="2"/>
  <c r="I50" i="2"/>
  <c r="D103" i="1"/>
  <c r="B148" i="1"/>
  <c r="K81" i="1"/>
  <c r="N81" i="1" s="1"/>
  <c r="E81" i="1"/>
  <c r="L81" i="1" s="1"/>
  <c r="E93" i="1" l="1"/>
  <c r="I93" i="1"/>
  <c r="F93" i="1"/>
  <c r="K61" i="1"/>
  <c r="L61" i="1" s="1"/>
  <c r="K57" i="1"/>
  <c r="L57" i="1" s="1"/>
  <c r="G83" i="1"/>
  <c r="K63" i="1"/>
  <c r="H103" i="1"/>
  <c r="G103" i="1"/>
  <c r="F103" i="1"/>
  <c r="I103" i="1"/>
  <c r="I66" i="1"/>
  <c r="L69" i="1"/>
  <c r="F83" i="1"/>
  <c r="I83" i="1"/>
  <c r="H83" i="1"/>
  <c r="F64" i="1"/>
  <c r="F66" i="1" s="1"/>
  <c r="G64" i="1"/>
  <c r="G66" i="1" s="1"/>
  <c r="H64" i="1"/>
  <c r="H66" i="1" s="1"/>
  <c r="L70" i="1"/>
  <c r="M81" i="1"/>
  <c r="J64" i="1"/>
  <c r="J66" i="1" s="1"/>
  <c r="J13" i="2"/>
  <c r="J116" i="2"/>
  <c r="J100" i="2"/>
  <c r="J84" i="2"/>
  <c r="J68" i="2"/>
  <c r="J52" i="2"/>
  <c r="J36" i="2"/>
  <c r="J20" i="2"/>
  <c r="J112" i="2"/>
  <c r="J96" i="2"/>
  <c r="J80" i="2"/>
  <c r="J64" i="2"/>
  <c r="J48" i="2"/>
  <c r="J32" i="2"/>
  <c r="J16" i="2"/>
  <c r="J124" i="2"/>
  <c r="J108" i="2"/>
  <c r="J92" i="2"/>
  <c r="J76" i="2"/>
  <c r="J60" i="2"/>
  <c r="J44" i="2"/>
  <c r="J28" i="2"/>
  <c r="J120" i="2"/>
  <c r="J104" i="2"/>
  <c r="J88" i="2"/>
  <c r="J72" i="2"/>
  <c r="J56" i="2"/>
  <c r="J40" i="2"/>
  <c r="E64" i="1"/>
  <c r="J123" i="2"/>
  <c r="J119" i="2"/>
  <c r="J115" i="2"/>
  <c r="J111" i="2"/>
  <c r="J107" i="2"/>
  <c r="J103" i="2"/>
  <c r="J99" i="2"/>
  <c r="J95" i="2"/>
  <c r="J91" i="2"/>
  <c r="J87" i="2"/>
  <c r="J83" i="2"/>
  <c r="J79" i="2"/>
  <c r="J75" i="2"/>
  <c r="J71" i="2"/>
  <c r="J67" i="2"/>
  <c r="J63" i="2"/>
  <c r="J59" i="2"/>
  <c r="J55" i="2"/>
  <c r="J51" i="2"/>
  <c r="J47" i="2"/>
  <c r="J43" i="2"/>
  <c r="J39" i="2"/>
  <c r="J35" i="2"/>
  <c r="J31" i="2"/>
  <c r="J27" i="2"/>
  <c r="J23" i="2"/>
  <c r="J19" i="2"/>
  <c r="J15" i="2"/>
  <c r="J122" i="2"/>
  <c r="J118" i="2"/>
  <c r="J114" i="2"/>
  <c r="J110" i="2"/>
  <c r="J106" i="2"/>
  <c r="J102" i="2"/>
  <c r="J98" i="2"/>
  <c r="J94" i="2"/>
  <c r="J90" i="2"/>
  <c r="J86" i="2"/>
  <c r="J82" i="2"/>
  <c r="J78" i="2"/>
  <c r="J74" i="2"/>
  <c r="J70" i="2"/>
  <c r="J66" i="2"/>
  <c r="J62" i="2"/>
  <c r="J58" i="2"/>
  <c r="J54" i="2"/>
  <c r="J50" i="2"/>
  <c r="J46" i="2"/>
  <c r="J42" i="2"/>
  <c r="J38" i="2"/>
  <c r="J34" i="2"/>
  <c r="J30" i="2"/>
  <c r="J26" i="2"/>
  <c r="J22" i="2"/>
  <c r="J18" i="2"/>
  <c r="J14" i="2"/>
  <c r="J125" i="2"/>
  <c r="J121" i="2"/>
  <c r="J117" i="2"/>
  <c r="J113" i="2"/>
  <c r="J109" i="2"/>
  <c r="J105" i="2"/>
  <c r="J101" i="2"/>
  <c r="J97" i="2"/>
  <c r="J93" i="2"/>
  <c r="J89" i="2"/>
  <c r="J85" i="2"/>
  <c r="J81" i="2"/>
  <c r="J77" i="2"/>
  <c r="J73" i="2"/>
  <c r="J69" i="2"/>
  <c r="J65" i="2"/>
  <c r="J61" i="2"/>
  <c r="J57" i="2"/>
  <c r="J53" i="2"/>
  <c r="J49" i="2"/>
  <c r="J45" i="2"/>
  <c r="J41" i="2"/>
  <c r="J37" i="2"/>
  <c r="J33" i="2"/>
  <c r="J29" i="2"/>
  <c r="J25" i="2"/>
  <c r="J21" i="2"/>
  <c r="J17" i="2"/>
  <c r="K114" i="2"/>
  <c r="K50" i="2"/>
  <c r="K98" i="2"/>
  <c r="K82" i="2"/>
  <c r="K18" i="2"/>
  <c r="K34" i="2"/>
  <c r="K66" i="2"/>
  <c r="K110" i="2"/>
  <c r="K94" i="2"/>
  <c r="K78" i="2"/>
  <c r="K62" i="2"/>
  <c r="K46" i="2"/>
  <c r="K30" i="2"/>
  <c r="K14" i="2"/>
  <c r="K122" i="2"/>
  <c r="K106" i="2"/>
  <c r="K90" i="2"/>
  <c r="K74" i="2"/>
  <c r="K58" i="2"/>
  <c r="K42" i="2"/>
  <c r="K26" i="2"/>
  <c r="K118" i="2"/>
  <c r="K102" i="2"/>
  <c r="K86" i="2"/>
  <c r="K70" i="2"/>
  <c r="K54" i="2"/>
  <c r="K38" i="2"/>
  <c r="K22" i="2"/>
  <c r="K125" i="2"/>
  <c r="K121" i="2"/>
  <c r="K117" i="2"/>
  <c r="K113" i="2"/>
  <c r="K109" i="2"/>
  <c r="K105" i="2"/>
  <c r="K101" i="2"/>
  <c r="K97" i="2"/>
  <c r="K93" i="2"/>
  <c r="K89" i="2"/>
  <c r="K85" i="2"/>
  <c r="K81" i="2"/>
  <c r="K77" i="2"/>
  <c r="K73" i="2"/>
  <c r="K69" i="2"/>
  <c r="K65" i="2"/>
  <c r="K61" i="2"/>
  <c r="K57" i="2"/>
  <c r="K53" i="2"/>
  <c r="K49" i="2"/>
  <c r="K45" i="2"/>
  <c r="K41" i="2"/>
  <c r="K37" i="2"/>
  <c r="K33" i="2"/>
  <c r="K29" i="2"/>
  <c r="K25" i="2"/>
  <c r="K21" i="2"/>
  <c r="K17" i="2"/>
  <c r="K124" i="2"/>
  <c r="K120" i="2"/>
  <c r="K116" i="2"/>
  <c r="K112" i="2"/>
  <c r="K108" i="2"/>
  <c r="K104" i="2"/>
  <c r="K100" i="2"/>
  <c r="K96" i="2"/>
  <c r="K92" i="2"/>
  <c r="K88" i="2"/>
  <c r="K84" i="2"/>
  <c r="K80" i="2"/>
  <c r="K76" i="2"/>
  <c r="K72" i="2"/>
  <c r="K68" i="2"/>
  <c r="K64" i="2"/>
  <c r="K60" i="2"/>
  <c r="K56" i="2"/>
  <c r="K52" i="2"/>
  <c r="K48" i="2"/>
  <c r="K44" i="2"/>
  <c r="K40" i="2"/>
  <c r="K36" i="2"/>
  <c r="K32" i="2"/>
  <c r="K28" i="2"/>
  <c r="K24" i="2"/>
  <c r="K20" i="2"/>
  <c r="K16" i="2"/>
  <c r="K123" i="2"/>
  <c r="K119" i="2"/>
  <c r="K115" i="2"/>
  <c r="K111" i="2"/>
  <c r="K107" i="2"/>
  <c r="K103" i="2"/>
  <c r="K99" i="2"/>
  <c r="K95" i="2"/>
  <c r="K91" i="2"/>
  <c r="K87" i="2"/>
  <c r="K83" i="2"/>
  <c r="K79" i="2"/>
  <c r="K75" i="2"/>
  <c r="K71" i="2"/>
  <c r="K67" i="2"/>
  <c r="K63" i="2"/>
  <c r="K59" i="2"/>
  <c r="K55" i="2"/>
  <c r="K51" i="2"/>
  <c r="K47" i="2"/>
  <c r="K43" i="2"/>
  <c r="K39" i="2"/>
  <c r="K35" i="2"/>
  <c r="K31" i="2"/>
  <c r="K27" i="2"/>
  <c r="K23" i="2"/>
  <c r="K19" i="2"/>
  <c r="K15" i="2"/>
  <c r="I27" i="2"/>
  <c r="I38" i="2"/>
  <c r="I49" i="2"/>
  <c r="I39" i="2"/>
  <c r="E42" i="1" l="1"/>
  <c r="K127" i="2"/>
  <c r="K64" i="1"/>
  <c r="H42" i="1"/>
  <c r="H107" i="1" s="1"/>
  <c r="R12" i="2" s="1"/>
  <c r="G42" i="1"/>
  <c r="G107" i="1" s="1"/>
  <c r="R11" i="2" s="1"/>
  <c r="J42" i="1"/>
  <c r="F42" i="1"/>
  <c r="F107" i="1" s="1"/>
  <c r="R10" i="2" s="1"/>
  <c r="I42" i="1"/>
  <c r="I107" i="1" s="1"/>
  <c r="R13" i="2" s="1"/>
  <c r="J127" i="2"/>
  <c r="K42" i="1" l="1"/>
  <c r="L42" i="1" s="1"/>
  <c r="I124" i="2"/>
  <c r="N68" i="1"/>
  <c r="N70" i="1" l="1"/>
  <c r="M70" i="1" l="1"/>
  <c r="E76" i="1"/>
  <c r="L76" i="1" s="1"/>
  <c r="D120" i="1" l="1"/>
  <c r="B130" i="1" l="1"/>
  <c r="E120" i="1"/>
  <c r="J120" i="1"/>
  <c r="L120" i="1" l="1"/>
  <c r="M120" i="1" s="1"/>
  <c r="J51" i="1" l="1"/>
  <c r="J48" i="1"/>
  <c r="E51" i="1"/>
  <c r="E48" i="1"/>
  <c r="K69" i="1" l="1"/>
  <c r="N69" i="1" s="1"/>
  <c r="K76" i="1"/>
  <c r="N76" i="1" s="1"/>
  <c r="M82" i="1" l="1"/>
  <c r="M76" i="1" l="1"/>
  <c r="J44" i="1" l="1"/>
  <c r="J43" i="1"/>
  <c r="E44" i="1"/>
  <c r="E43" i="1"/>
  <c r="J83" i="1" l="1"/>
  <c r="E83" i="1"/>
  <c r="M69" i="1"/>
  <c r="J103" i="1"/>
  <c r="E103" i="1"/>
  <c r="E100" i="1"/>
  <c r="J100" i="1"/>
  <c r="J93" i="1"/>
  <c r="K93" i="1" s="1"/>
  <c r="E47" i="1"/>
  <c r="E52" i="1" s="1"/>
  <c r="K52" i="1" s="1"/>
  <c r="J47" i="1"/>
  <c r="J107" i="1" l="1"/>
  <c r="R14" i="2" s="1"/>
  <c r="K83" i="1"/>
  <c r="L83" i="1" s="1"/>
  <c r="K103" i="1"/>
  <c r="K100" i="1"/>
  <c r="K47" i="1"/>
  <c r="D47" i="1"/>
  <c r="D52" i="1" s="1"/>
  <c r="M83" i="1" l="1"/>
  <c r="L93" i="1"/>
  <c r="L47" i="1"/>
  <c r="L103" i="1"/>
  <c r="L100" i="1"/>
  <c r="B134" i="1"/>
  <c r="L52" i="1" l="1"/>
  <c r="E66" i="1"/>
  <c r="E107" i="1" s="1"/>
  <c r="K107" i="1" s="1"/>
  <c r="B124" i="1" l="1"/>
  <c r="B129" i="1" s="1"/>
  <c r="L1" i="2"/>
  <c r="P4" i="2" s="1"/>
  <c r="L107" i="1"/>
  <c r="K66" i="1"/>
  <c r="L66" i="1" s="1"/>
  <c r="B123" i="1"/>
  <c r="P144" i="2" l="1"/>
  <c r="A3" i="2"/>
  <c r="K128" i="2" l="1"/>
  <c r="B132" i="1"/>
  <c r="J4" i="2" l="1"/>
  <c r="L125" i="2" l="1"/>
  <c r="M27" i="2"/>
  <c r="N27" i="2" s="1"/>
  <c r="M55" i="2"/>
  <c r="N55" i="2" s="1"/>
  <c r="M71" i="2"/>
  <c r="N71" i="2" s="1"/>
  <c r="M87" i="2"/>
  <c r="N87" i="2" s="1"/>
  <c r="M103" i="2"/>
  <c r="N103" i="2" s="1"/>
  <c r="M119" i="2"/>
  <c r="N119" i="2" s="1"/>
  <c r="M62" i="2"/>
  <c r="N62" i="2" s="1"/>
  <c r="M24" i="2"/>
  <c r="N24" i="2" s="1"/>
  <c r="M28" i="2"/>
  <c r="N28" i="2" s="1"/>
  <c r="M44" i="2"/>
  <c r="N44" i="2" s="1"/>
  <c r="M60" i="2"/>
  <c r="N60" i="2" s="1"/>
  <c r="M76" i="2"/>
  <c r="N76" i="2" s="1"/>
  <c r="M92" i="2"/>
  <c r="N92" i="2" s="1"/>
  <c r="M108" i="2"/>
  <c r="N108" i="2" s="1"/>
  <c r="M124" i="2"/>
  <c r="N124" i="2" s="1"/>
  <c r="M13" i="2"/>
  <c r="N13" i="2" s="1"/>
  <c r="M17" i="2"/>
  <c r="N17" i="2" s="1"/>
  <c r="M25" i="2"/>
  <c r="N25" i="2" s="1"/>
  <c r="M29" i="2"/>
  <c r="N29" i="2" s="1"/>
  <c r="M49" i="2"/>
  <c r="N49" i="2" s="1"/>
  <c r="M57" i="2"/>
  <c r="N57" i="2" s="1"/>
  <c r="M65" i="2"/>
  <c r="N65" i="2" s="1"/>
  <c r="M73" i="2"/>
  <c r="N73" i="2" s="1"/>
  <c r="M85" i="2"/>
  <c r="N85" i="2" s="1"/>
  <c r="M89" i="2"/>
  <c r="N89" i="2" s="1"/>
  <c r="M101" i="2"/>
  <c r="N101" i="2" s="1"/>
  <c r="M105" i="2"/>
  <c r="N105" i="2" s="1"/>
  <c r="M121" i="2"/>
  <c r="N121" i="2" s="1"/>
  <c r="M38" i="2"/>
  <c r="N38" i="2" s="1"/>
  <c r="M46" i="2"/>
  <c r="N46" i="2" s="1"/>
  <c r="M74" i="2"/>
  <c r="N74" i="2" s="1"/>
  <c r="M106" i="2"/>
  <c r="N106" i="2" s="1"/>
  <c r="M45" i="2"/>
  <c r="N45" i="2" s="1"/>
  <c r="M53" i="2"/>
  <c r="N53" i="2" s="1"/>
  <c r="M61" i="2"/>
  <c r="N61" i="2" s="1"/>
  <c r="M69" i="2"/>
  <c r="N69" i="2" s="1"/>
  <c r="M77" i="2"/>
  <c r="N77" i="2" s="1"/>
  <c r="M81" i="2"/>
  <c r="N81" i="2" s="1"/>
  <c r="M93" i="2"/>
  <c r="N93" i="2" s="1"/>
  <c r="M97" i="2"/>
  <c r="N97" i="2" s="1"/>
  <c r="M109" i="2"/>
  <c r="N109" i="2" s="1"/>
  <c r="M113" i="2"/>
  <c r="N113" i="2" s="1"/>
  <c r="M117" i="2"/>
  <c r="N117" i="2" s="1"/>
  <c r="M36" i="2"/>
  <c r="N36" i="2" s="1"/>
  <c r="M40" i="2"/>
  <c r="N40" i="2" s="1"/>
  <c r="M84" i="2"/>
  <c r="N84" i="2" s="1"/>
  <c r="M100" i="2"/>
  <c r="N100" i="2" s="1"/>
  <c r="M120" i="2"/>
  <c r="N120" i="2" s="1"/>
  <c r="M21" i="2"/>
  <c r="N21" i="2" s="1"/>
  <c r="M31" i="2"/>
  <c r="N31" i="2" s="1"/>
  <c r="M50" i="2"/>
  <c r="N50" i="2" s="1"/>
  <c r="M54" i="2"/>
  <c r="N54" i="2" s="1"/>
  <c r="M58" i="2"/>
  <c r="N58" i="2" s="1"/>
  <c r="M66" i="2"/>
  <c r="N66" i="2" s="1"/>
  <c r="M70" i="2"/>
  <c r="N70" i="2" s="1"/>
  <c r="M78" i="2"/>
  <c r="N78" i="2" s="1"/>
  <c r="M82" i="2"/>
  <c r="N82" i="2" s="1"/>
  <c r="M86" i="2"/>
  <c r="N86" i="2" s="1"/>
  <c r="M90" i="2"/>
  <c r="N90" i="2" s="1"/>
  <c r="M94" i="2"/>
  <c r="N94" i="2" s="1"/>
  <c r="M98" i="2"/>
  <c r="N98" i="2" s="1"/>
  <c r="M102" i="2"/>
  <c r="N102" i="2" s="1"/>
  <c r="M110" i="2"/>
  <c r="N110" i="2" s="1"/>
  <c r="M114" i="2"/>
  <c r="N114" i="2" s="1"/>
  <c r="M118" i="2"/>
  <c r="N118" i="2" s="1"/>
  <c r="M122" i="2"/>
  <c r="N122" i="2" s="1"/>
  <c r="M16" i="2"/>
  <c r="N16" i="2" s="1"/>
  <c r="M19" i="2"/>
  <c r="N19" i="2" s="1"/>
  <c r="M22" i="2"/>
  <c r="N22" i="2" s="1"/>
  <c r="M30" i="2"/>
  <c r="N30" i="2" s="1"/>
  <c r="M32" i="2"/>
  <c r="N32" i="2" s="1"/>
  <c r="M48" i="2"/>
  <c r="N48" i="2" s="1"/>
  <c r="M52" i="2"/>
  <c r="N52" i="2" s="1"/>
  <c r="M56" i="2"/>
  <c r="N56" i="2" s="1"/>
  <c r="M64" i="2"/>
  <c r="N64" i="2" s="1"/>
  <c r="M68" i="2"/>
  <c r="N68" i="2" s="1"/>
  <c r="M80" i="2"/>
  <c r="N80" i="2" s="1"/>
  <c r="M96" i="2"/>
  <c r="N96" i="2" s="1"/>
  <c r="M104" i="2"/>
  <c r="N104" i="2" s="1"/>
  <c r="M116" i="2"/>
  <c r="N116" i="2" s="1"/>
  <c r="M15" i="2"/>
  <c r="N15" i="2" s="1"/>
  <c r="M23" i="2"/>
  <c r="N23" i="2" s="1"/>
  <c r="M47" i="2"/>
  <c r="N47" i="2" s="1"/>
  <c r="M51" i="2"/>
  <c r="N51" i="2" s="1"/>
  <c r="M59" i="2"/>
  <c r="N59" i="2" s="1"/>
  <c r="M63" i="2"/>
  <c r="N63" i="2" s="1"/>
  <c r="M67" i="2"/>
  <c r="N67" i="2" s="1"/>
  <c r="M75" i="2"/>
  <c r="N75" i="2" s="1"/>
  <c r="M79" i="2"/>
  <c r="N79" i="2" s="1"/>
  <c r="M83" i="2"/>
  <c r="N83" i="2" s="1"/>
  <c r="M91" i="2"/>
  <c r="N91" i="2" s="1"/>
  <c r="M95" i="2"/>
  <c r="N95" i="2" s="1"/>
  <c r="M99" i="2"/>
  <c r="N99" i="2" s="1"/>
  <c r="M107" i="2"/>
  <c r="N107" i="2" s="1"/>
  <c r="M111" i="2"/>
  <c r="N111" i="2" s="1"/>
  <c r="M115" i="2"/>
  <c r="N115" i="2" s="1"/>
  <c r="M123" i="2"/>
  <c r="N123" i="2" s="1"/>
  <c r="M20" i="2"/>
  <c r="N20" i="2" s="1"/>
  <c r="M35" i="2"/>
  <c r="N35" i="2" s="1"/>
  <c r="M37" i="2"/>
  <c r="N37" i="2" s="1"/>
  <c r="M39" i="2"/>
  <c r="N39" i="2" s="1"/>
  <c r="M43" i="2"/>
  <c r="N43" i="2" s="1"/>
  <c r="M72" i="2"/>
  <c r="N72" i="2" s="1"/>
  <c r="M88" i="2"/>
  <c r="N88" i="2" s="1"/>
  <c r="M112" i="2"/>
  <c r="N112" i="2" s="1"/>
  <c r="M18" i="2"/>
  <c r="N18" i="2" s="1"/>
  <c r="M33" i="2"/>
  <c r="N33" i="2" s="1"/>
  <c r="M42" i="2"/>
  <c r="N42" i="2" s="1"/>
  <c r="M26" i="2"/>
  <c r="N26" i="2" s="1"/>
  <c r="M34" i="2"/>
  <c r="N34" i="2" s="1"/>
  <c r="I125" i="2" l="1"/>
  <c r="M125" i="2" s="1"/>
  <c r="N125" i="2" s="1"/>
  <c r="L127" i="2" l="1"/>
  <c r="I11" i="2" l="1"/>
  <c r="I9" i="2"/>
  <c r="M9" i="2" s="1"/>
  <c r="I12" i="2"/>
  <c r="I8" i="2"/>
  <c r="M8" i="2" s="1"/>
  <c r="I10" i="2" l="1"/>
  <c r="M10" i="2" s="1"/>
  <c r="N10" i="2" s="1"/>
  <c r="N8" i="2"/>
  <c r="M12" i="2"/>
  <c r="N12" i="2" s="1"/>
  <c r="M11" i="2"/>
  <c r="N11" i="2" s="1"/>
  <c r="N9" i="2" l="1"/>
  <c r="M107" i="1" l="1"/>
  <c r="I14" i="2"/>
  <c r="M14" i="2" s="1"/>
  <c r="N14" i="2" l="1"/>
  <c r="G127" i="2"/>
  <c r="H41" i="2"/>
  <c r="H127" i="2" s="1"/>
  <c r="B128" i="1" s="1"/>
  <c r="B136" i="1" s="1"/>
  <c r="I41" i="2" l="1"/>
  <c r="M41" i="2" s="1"/>
  <c r="M127" i="2" l="1"/>
  <c r="N41" i="2"/>
  <c r="N127" i="2" s="1"/>
</calcChain>
</file>

<file path=xl/sharedStrings.xml><?xml version="1.0" encoding="utf-8"?>
<sst xmlns="http://schemas.openxmlformats.org/spreadsheetml/2006/main" count="511" uniqueCount="354">
  <si>
    <t>LIQUIDACION DE EXPENSAS</t>
  </si>
  <si>
    <t>TOTAL SUELDO</t>
  </si>
  <si>
    <t>APORTES Y CONTRIBUCIONES</t>
  </si>
  <si>
    <t>TOTAL Aportes y Contribuciones - Sindicato</t>
  </si>
  <si>
    <t>ABONOS Y SERVICIOS</t>
  </si>
  <si>
    <t>TOTAL ABONOS Y SERVICIOS</t>
  </si>
  <si>
    <t xml:space="preserve">GASTOS DE ADMINISTRACION </t>
  </si>
  <si>
    <t>RC Adm Cons. CANCIANI, Carolina</t>
  </si>
  <si>
    <t>TOTAL GASTOS DE ADMINISTRACION</t>
  </si>
  <si>
    <t>Piso</t>
  </si>
  <si>
    <t>Dpto.</t>
  </si>
  <si>
    <t>UF</t>
  </si>
  <si>
    <t>Propietario</t>
  </si>
  <si>
    <t xml:space="preserve">Saldo </t>
  </si>
  <si>
    <t xml:space="preserve">Ingreso </t>
  </si>
  <si>
    <t>SALDO</t>
  </si>
  <si>
    <t>Expensas extraor.</t>
  </si>
  <si>
    <t>TOTAL</t>
  </si>
  <si>
    <t>Expensas ord</t>
  </si>
  <si>
    <t>GASTOS ORDINARIOS UNIDADES FUNCIONALES:</t>
  </si>
  <si>
    <t>CAJA EFECTIVO $ (pesos)</t>
  </si>
  <si>
    <t xml:space="preserve">Saldo anterior </t>
  </si>
  <si>
    <t>Ingresos</t>
  </si>
  <si>
    <t xml:space="preserve">  </t>
  </si>
  <si>
    <t>Saldo al cierre</t>
  </si>
  <si>
    <t>CAJA EFECTIVO SUM $ (pesos)</t>
  </si>
  <si>
    <t>COC</t>
  </si>
  <si>
    <t xml:space="preserve"> (%)</t>
  </si>
  <si>
    <t>Gastos bancarios</t>
  </si>
  <si>
    <t>Mantenimiento de cuenta</t>
  </si>
  <si>
    <t xml:space="preserve">TOTAL ORDINARIOS </t>
  </si>
  <si>
    <t>GASTOS ORDINARIOS + PREVISION :</t>
  </si>
  <si>
    <t>Dinero ingreso SUM</t>
  </si>
  <si>
    <t>GASTOS ORDINARIOS SIN PREVISION:</t>
  </si>
  <si>
    <t>SAC</t>
  </si>
  <si>
    <t>TOTAL SAC</t>
  </si>
  <si>
    <t>GASTOS EXTRAORDINARIOS</t>
  </si>
  <si>
    <t>Egresos Extraordinarios</t>
  </si>
  <si>
    <t>Egresos Ordinarios</t>
  </si>
  <si>
    <t>MP:1148</t>
  </si>
  <si>
    <t xml:space="preserve">TOTAL </t>
  </si>
  <si>
    <t>Gastos particulares</t>
  </si>
  <si>
    <t>SUM/ GASTOS PART</t>
  </si>
  <si>
    <t>SE GASTO:</t>
  </si>
  <si>
    <t>SE PRORRATEA EN LAS UF:</t>
  </si>
  <si>
    <t xml:space="preserve">Haberes </t>
  </si>
  <si>
    <t xml:space="preserve">FONDO DE GASTOS ORDINARIOS </t>
  </si>
  <si>
    <t>2ºA</t>
  </si>
  <si>
    <t>2ºB</t>
  </si>
  <si>
    <t>2ºC</t>
  </si>
  <si>
    <t>2ºD</t>
  </si>
  <si>
    <t>2ºE</t>
  </si>
  <si>
    <t>2ºF</t>
  </si>
  <si>
    <t>3ºA</t>
  </si>
  <si>
    <t>3ºB</t>
  </si>
  <si>
    <t>3ºC</t>
  </si>
  <si>
    <t>3ºD</t>
  </si>
  <si>
    <t>3ºE</t>
  </si>
  <si>
    <t>3ºF</t>
  </si>
  <si>
    <t>4ºA</t>
  </si>
  <si>
    <t>4ºB</t>
  </si>
  <si>
    <t>4ºC</t>
  </si>
  <si>
    <t>4ºD</t>
  </si>
  <si>
    <t>4ºE</t>
  </si>
  <si>
    <t>4ºF</t>
  </si>
  <si>
    <t>5ºA</t>
  </si>
  <si>
    <t>5ºB</t>
  </si>
  <si>
    <t>5ºC</t>
  </si>
  <si>
    <t>5ºD</t>
  </si>
  <si>
    <t>5ºE</t>
  </si>
  <si>
    <t>5ºF</t>
  </si>
  <si>
    <t>6ºA</t>
  </si>
  <si>
    <t>6ºB</t>
  </si>
  <si>
    <t>6ºC</t>
  </si>
  <si>
    <t>6ºD</t>
  </si>
  <si>
    <t>6ºE</t>
  </si>
  <si>
    <t>6ºF</t>
  </si>
  <si>
    <t>7ºA</t>
  </si>
  <si>
    <t>7ºB</t>
  </si>
  <si>
    <t>7ºC</t>
  </si>
  <si>
    <t>7ºD</t>
  </si>
  <si>
    <t>7ºE</t>
  </si>
  <si>
    <t>7ºF</t>
  </si>
  <si>
    <t>8ºA</t>
  </si>
  <si>
    <t>8ºB</t>
  </si>
  <si>
    <t>8ºC</t>
  </si>
  <si>
    <t>8ºD</t>
  </si>
  <si>
    <t>8ºE</t>
  </si>
  <si>
    <t>8ºF</t>
  </si>
  <si>
    <t>9ºA</t>
  </si>
  <si>
    <t>9ºB</t>
  </si>
  <si>
    <t>9ºC</t>
  </si>
  <si>
    <t>9ºD</t>
  </si>
  <si>
    <t>9ºE</t>
  </si>
  <si>
    <t>9ºF</t>
  </si>
  <si>
    <t>10ºA</t>
  </si>
  <si>
    <t>10ºB</t>
  </si>
  <si>
    <t>10ºC</t>
  </si>
  <si>
    <t>10ºD</t>
  </si>
  <si>
    <t>10ºE</t>
  </si>
  <si>
    <t>10ºF</t>
  </si>
  <si>
    <t>11ºA/B</t>
  </si>
  <si>
    <t>11ºC</t>
  </si>
  <si>
    <t>11ºD</t>
  </si>
  <si>
    <t>11ºE</t>
  </si>
  <si>
    <t>11ºF</t>
  </si>
  <si>
    <t>12ºA/B</t>
  </si>
  <si>
    <t>12ºC</t>
  </si>
  <si>
    <t>12ºD</t>
  </si>
  <si>
    <t>12ºE</t>
  </si>
  <si>
    <t>12ºF</t>
  </si>
  <si>
    <t>13ºA/B</t>
  </si>
  <si>
    <t>13ºC</t>
  </si>
  <si>
    <t>13ºD</t>
  </si>
  <si>
    <t>13ºE</t>
  </si>
  <si>
    <t>13ºF</t>
  </si>
  <si>
    <t>LOC 1</t>
  </si>
  <si>
    <t>LOC 3</t>
  </si>
  <si>
    <t>LOC 4</t>
  </si>
  <si>
    <t>LOC 5</t>
  </si>
  <si>
    <t>LOC 2</t>
  </si>
  <si>
    <t>conf sup</t>
  </si>
  <si>
    <t>Sr propietario</t>
  </si>
  <si>
    <t>3 amb</t>
  </si>
  <si>
    <t>1 amb</t>
  </si>
  <si>
    <t>2 amb</t>
  </si>
  <si>
    <t>4 amb</t>
  </si>
  <si>
    <t>COCH 1</t>
  </si>
  <si>
    <t>COCH 2</t>
  </si>
  <si>
    <t>COCH 3</t>
  </si>
  <si>
    <t>COCH 4</t>
  </si>
  <si>
    <t>COCH 5</t>
  </si>
  <si>
    <t>COCH 6</t>
  </si>
  <si>
    <t>COCH 7</t>
  </si>
  <si>
    <t>COCH 8</t>
  </si>
  <si>
    <t>COCH 9</t>
  </si>
  <si>
    <t>COCH 10</t>
  </si>
  <si>
    <t>COCH 11</t>
  </si>
  <si>
    <t>COCH 12</t>
  </si>
  <si>
    <t>COCH 13</t>
  </si>
  <si>
    <t>COCH 14</t>
  </si>
  <si>
    <t>COCH 15</t>
  </si>
  <si>
    <t>COCH 16</t>
  </si>
  <si>
    <t>COCH 17</t>
  </si>
  <si>
    <t>COCH 18</t>
  </si>
  <si>
    <t>COCH 19</t>
  </si>
  <si>
    <t>COCH 20</t>
  </si>
  <si>
    <t>COCH 21</t>
  </si>
  <si>
    <t>COCH 22</t>
  </si>
  <si>
    <t>COCH 23</t>
  </si>
  <si>
    <t>COCH 24</t>
  </si>
  <si>
    <t>COCH 25</t>
  </si>
  <si>
    <t>COCH 26</t>
  </si>
  <si>
    <t>COCH 27</t>
  </si>
  <si>
    <t>COCH 28</t>
  </si>
  <si>
    <t>COCH 29</t>
  </si>
  <si>
    <t>COCH 30</t>
  </si>
  <si>
    <t>COCH 31</t>
  </si>
  <si>
    <t>COCH 32</t>
  </si>
  <si>
    <t>COCH 33</t>
  </si>
  <si>
    <t>COCH 34</t>
  </si>
  <si>
    <t>COCH 35</t>
  </si>
  <si>
    <t>COCH 36</t>
  </si>
  <si>
    <t>COCH 37</t>
  </si>
  <si>
    <t>COCH 38</t>
  </si>
  <si>
    <t>COCH 39</t>
  </si>
  <si>
    <t>COCH 40</t>
  </si>
  <si>
    <t>COCH 41</t>
  </si>
  <si>
    <t>COCH 42</t>
  </si>
  <si>
    <t>COCH 43</t>
  </si>
  <si>
    <t>COCH 44</t>
  </si>
  <si>
    <t>SUBTOTAL</t>
  </si>
  <si>
    <t>UF 93,20%</t>
  </si>
  <si>
    <t>LOCAL 1 (1,08%)</t>
  </si>
  <si>
    <t>LOCAL 2 (1,28%)</t>
  </si>
  <si>
    <t>LOCAL 3 (1,21%)</t>
  </si>
  <si>
    <t>LOCAL 4 (1,49%)</t>
  </si>
  <si>
    <t>LOCAL 5 (1,74%)</t>
  </si>
  <si>
    <t>Fernandez, Cristian</t>
  </si>
  <si>
    <t>Cordero, Leandro Emanuel - Orona, Victoria</t>
  </si>
  <si>
    <t>Franco, Lucas Fabián</t>
  </si>
  <si>
    <t>Martinez, Diego</t>
  </si>
  <si>
    <t>Rodriguez, Carlos Alberto Miguel</t>
  </si>
  <si>
    <t xml:space="preserve">Ferraro, José </t>
  </si>
  <si>
    <t>Dieci, Matias Orlando</t>
  </si>
  <si>
    <t xml:space="preserve">Ferraro, Jose </t>
  </si>
  <si>
    <t>Ayala, Roberto Adrian</t>
  </si>
  <si>
    <t>Barral, Carlos Daniel</t>
  </si>
  <si>
    <t>Osipowicz, Ariel Marcelo</t>
  </si>
  <si>
    <t>Chehab, Gabriel Adrian</t>
  </si>
  <si>
    <t>Di Mito, Vicente Argentino - Serantes, Mabel</t>
  </si>
  <si>
    <t>Morandi, Victoria Ayelen | Calvo, Luciano Ezequiel</t>
  </si>
  <si>
    <t>Grizak Ruben</t>
  </si>
  <si>
    <t>Nuñez Leonel - Corrieri Giuliana</t>
  </si>
  <si>
    <t>Mazzia Alexia</t>
  </si>
  <si>
    <t>Campelo, Mariano</t>
  </si>
  <si>
    <t>Paes, Yazmin Luciana</t>
  </si>
  <si>
    <t>Gonzalez Fedullo, Roxana y Valeria</t>
  </si>
  <si>
    <t xml:space="preserve">Puente, Matias </t>
  </si>
  <si>
    <t>Morvillo, Mariana Yanil</t>
  </si>
  <si>
    <t xml:space="preserve">Frontale, Federico Carlos | Celentano, Alejandra Verónica </t>
  </si>
  <si>
    <t>Argul, Sergio Walter - Taboada, María Paz</t>
  </si>
  <si>
    <t>Arias, Mariana Laura</t>
  </si>
  <si>
    <t>Fanjul, Alejandro Rubén Marcelo</t>
  </si>
  <si>
    <t>Franchino, Mauro</t>
  </si>
  <si>
    <t>Cerra, Antonio Osvaldo</t>
  </si>
  <si>
    <t>Rosales, Rubén Darío</t>
  </si>
  <si>
    <t xml:space="preserve">Puisys Guillermo Antonio </t>
  </si>
  <si>
    <t>Lange, Gustavo Daniel</t>
  </si>
  <si>
    <t>Espósito, Franco Ezequiel</t>
  </si>
  <si>
    <t xml:space="preserve">Lobato, Lorena - Vega, Maximiliano  </t>
  </si>
  <si>
    <t>Ramos, Sergio Eugenio</t>
  </si>
  <si>
    <t>Mosquera, Julio Rodolfo | Cuzzolino, Daniela Carol</t>
  </si>
  <si>
    <t>Silvestre Villarruel Eduardo</t>
  </si>
  <si>
    <t>Argúl, Adrián Norberto</t>
  </si>
  <si>
    <t>Lobato, Lorena - Vega, Maximiliano</t>
  </si>
  <si>
    <t>Luciano, Carmen Veronica - Rey, Javier Pablo</t>
  </si>
  <si>
    <t>Hernandez, Marisa Beatriz - Hernandez, Adrian Jose</t>
  </si>
  <si>
    <t>Morini, Micaela</t>
  </si>
  <si>
    <t>Armerding, Jorge</t>
  </si>
  <si>
    <t>Bilyj, Josefa Catalina</t>
  </si>
  <si>
    <t>Argentino, Javier Leonardo</t>
  </si>
  <si>
    <t>Scardigno, Gabriela Susana - Ripoll, Luis Alberto</t>
  </si>
  <si>
    <t xml:space="preserve">Quiñones, Carlos Eduardo </t>
  </si>
  <si>
    <t>Mosquera, José Elias</t>
  </si>
  <si>
    <t>Mesa, Mariano</t>
  </si>
  <si>
    <t>Leyes, Javier</t>
  </si>
  <si>
    <t>Dimito, Vicente Argentino - Cerantes , Mabel</t>
  </si>
  <si>
    <t>Fontale Federico Carlos - Celentano Alejandra Veronica</t>
  </si>
  <si>
    <t>Lobalo Lorena - Vega Maximiliano</t>
  </si>
  <si>
    <t xml:space="preserve">SEGUROS </t>
  </si>
  <si>
    <t>GASTOS VARIOS</t>
  </si>
  <si>
    <t>TOTAL GASTOS VARIOS</t>
  </si>
  <si>
    <t>TOTAL GASTOS BANCARIOS</t>
  </si>
  <si>
    <t>Federacion patronal - Poliza integral para consorcios nro. 2152393</t>
  </si>
  <si>
    <t>Federacion patronal - Poliza accidentes personales Sra. Sonia - nro. 9559834</t>
  </si>
  <si>
    <t>Federacion patronal - Poliza accidentes personales Sra. Miriam - nro. 9559886</t>
  </si>
  <si>
    <t>Sueldo encargada Miriam</t>
  </si>
  <si>
    <t xml:space="preserve">Sueldo encargada Sonia Arzamendia Galeano </t>
  </si>
  <si>
    <t>Plus retiro de basura</t>
  </si>
  <si>
    <t>Plus cochera</t>
  </si>
  <si>
    <t>Plus pileta</t>
  </si>
  <si>
    <t>Adicional remuneracion</t>
  </si>
  <si>
    <t>Monotributo Sra. Sonia</t>
  </si>
  <si>
    <t>Aysa - Cuenta 249011</t>
  </si>
  <si>
    <t>Edesur - Cliente 01291636</t>
  </si>
  <si>
    <t>Telecentro - Zona coworking - Cliente 7725479</t>
  </si>
  <si>
    <t>IMPUESTOS</t>
  </si>
  <si>
    <t>TOTAL APORTES Y CONTRIBUCIONES</t>
  </si>
  <si>
    <t xml:space="preserve">TOTAL IMPUESTOS </t>
  </si>
  <si>
    <t>ARBA - Impuesto inmobiliario partida 025024270-0</t>
  </si>
  <si>
    <t>TSG - Partida 197227000</t>
  </si>
  <si>
    <t>TSG - Partida 197229000</t>
  </si>
  <si>
    <t>COMBUSTIBLE PARA GRUPO ELECTROGENO</t>
  </si>
  <si>
    <t>LOCAL 1</t>
  </si>
  <si>
    <t>LOCAL 2</t>
  </si>
  <si>
    <t>LOCAL 3</t>
  </si>
  <si>
    <t>LOCAL 4</t>
  </si>
  <si>
    <t>LOCAL 5</t>
  </si>
  <si>
    <t>para copias y pegar las expensas ord del local</t>
  </si>
  <si>
    <t>Ingreso</t>
  </si>
  <si>
    <t>Sr. Propietario</t>
  </si>
  <si>
    <t>el de sergio</t>
  </si>
  <si>
    <t>mariano hecimovic</t>
  </si>
  <si>
    <t>El monto que se prorratea entre las unidades funcionales resulta mayor al gasto efectivamente realizado. Esto se debe a que, al prorratear únicamente el monto gastado, no se logra recaudar el total necesario para cubrir el 100% de los gastos. La razón principal es que los locales no abonan estrictamente el porcentaje que les corresponde según la liquidación; en algunos casos, aportan solo el 6,8% de ciertos gastos y en otros no realizan abonos ya que segun reglamento, los mismos se encuentran excentos de abonar gastos de los cuales no participaran en el uso (ej: pileta). Por esta razón, es necesario prorratear un monto superior al gasto real, con el objetivo de que, al finalizar el período, se pueda recaudar en su totalidad el importe correspondiente a los gastos realizados.</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</si>
  <si>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</si>
  <si>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CUIT ADMINISTRACION: 27231256879</t>
  </si>
  <si>
    <t>TELEFONO: 11 5320-2676</t>
  </si>
  <si>
    <t>ADMINISTRADORA: CAROLINA CANCIANI MP:1148</t>
  </si>
  <si>
    <t>HORARIOS DE ATENCION: LUNES A VIERNES - 10 A 16HS - EMERGENCIAS 24HS</t>
  </si>
  <si>
    <t xml:space="preserve">MAIL: elmiradorconsorcios@gmail.com
</t>
  </si>
  <si>
    <t>COCHERA 33</t>
  </si>
  <si>
    <t>Schiaffino, Edgardo Angel</t>
  </si>
  <si>
    <t>Orsi, Jose Luis - Fernandez, Cristian Gabriel</t>
  </si>
  <si>
    <t>Inquilinos</t>
  </si>
  <si>
    <t>Balduzzi, Stella Maris</t>
  </si>
  <si>
    <t>Liria</t>
  </si>
  <si>
    <t>Christian</t>
  </si>
  <si>
    <t xml:space="preserve">Aylen </t>
  </si>
  <si>
    <t>Adrian</t>
  </si>
  <si>
    <t>Agustina</t>
  </si>
  <si>
    <t>Loschi Mantenimiento grupo electrogeno - Abono bimestral</t>
  </si>
  <si>
    <t>Metrogas - Cliente nro. 40000496339</t>
  </si>
  <si>
    <t>Metrogas - Cliente nro. 40000497007</t>
  </si>
  <si>
    <t>No hay cuenta aun</t>
  </si>
  <si>
    <t>TOTAL A ABONAR 2DO VTO - DESDE EL</t>
  </si>
  <si>
    <t>TOTAL A ABONAR HASTA</t>
  </si>
  <si>
    <t>Ayala, Agustin</t>
  </si>
  <si>
    <t>AYALA</t>
  </si>
  <si>
    <t>3B</t>
  </si>
  <si>
    <t>3D</t>
  </si>
  <si>
    <t>3E</t>
  </si>
  <si>
    <t>3F</t>
  </si>
  <si>
    <t>4D</t>
  </si>
  <si>
    <t>4E</t>
  </si>
  <si>
    <t>4F</t>
  </si>
  <si>
    <t>5E</t>
  </si>
  <si>
    <t>5F</t>
  </si>
  <si>
    <t>Monotributo Sra. Miriam</t>
  </si>
  <si>
    <t>alonso sabrina eugenia</t>
  </si>
  <si>
    <t xml:space="preserve"> Laura Quintas Perez</t>
  </si>
  <si>
    <t>Victor Martinez - Abono mantenimiento control de accesos</t>
  </si>
  <si>
    <t>Mercado P. 05/08</t>
  </si>
  <si>
    <t>Gazzaneo, Francisco</t>
  </si>
  <si>
    <t>Solleiro, Carolina Mabel</t>
  </si>
  <si>
    <t>Dallorso, Maria Ines - Dallorso, Ana Paula</t>
  </si>
  <si>
    <t>Matias Cuevas</t>
  </si>
  <si>
    <t>Santiago Rodriguez</t>
  </si>
  <si>
    <t>Walter</t>
  </si>
  <si>
    <t>Lara</t>
  </si>
  <si>
    <t>Iara</t>
  </si>
  <si>
    <t>Punitorios mal cobrados</t>
  </si>
  <si>
    <t>TRANSFERENCIAS SIN IDENTIFICAR</t>
  </si>
  <si>
    <t>Dinero sin identificar</t>
  </si>
  <si>
    <t>Horas extras</t>
  </si>
  <si>
    <t>VTO 15/10</t>
  </si>
  <si>
    <t>PERÍODO: SEPTIEMBRE</t>
  </si>
  <si>
    <t>ADS - Abono de mantenimiento ascensores SEPTIEMBRE del 2025</t>
  </si>
  <si>
    <t>Articulos de limpieza - Mes de SEPTIEMBRE</t>
  </si>
  <si>
    <t>Mes de AGOSTO</t>
  </si>
  <si>
    <t xml:space="preserve">CBU: 0720039720000002171436 </t>
  </si>
  <si>
    <t>Banco Santander Rio.</t>
  </si>
  <si>
    <t>CTA CTE $   0039  - 21714/3    FIDEICOMISO 25 DE MAYO 837 LAN  30716676737</t>
  </si>
  <si>
    <t>Citta cerrajeria - Blindex hall cochera 28/08</t>
  </si>
  <si>
    <t>Doartero Julio - Mano de obra y reparacion desagote caño pileta</t>
  </si>
  <si>
    <t>PMC 08/09</t>
  </si>
  <si>
    <t>Mercado P. 08/09</t>
  </si>
  <si>
    <t>Mercado P. 16/09</t>
  </si>
  <si>
    <t>Lomas metal compra alfombra entrada</t>
  </si>
  <si>
    <t>Mercado P. 20/09</t>
  </si>
  <si>
    <t>Mes de descanso</t>
  </si>
  <si>
    <t>Adicional Viaticos</t>
  </si>
  <si>
    <t>PMC 03/09</t>
  </si>
  <si>
    <t>Doartero Julio - Colocacion de placas antivibratorias para motor - mano de obra y materiales (sala de bombas)</t>
  </si>
  <si>
    <t>Victor Martinez - Instalacion de control de acceso puerta SUM e instalacion de alarmas</t>
  </si>
  <si>
    <t>Transf 29/09</t>
  </si>
  <si>
    <t>Transf 03/09</t>
  </si>
  <si>
    <t>Scardigno, Gabriela Susana - Ripoli, Luis Alberto</t>
  </si>
  <si>
    <t>COCHERA 31</t>
  </si>
  <si>
    <t>CECILIA DEL 5E</t>
  </si>
  <si>
    <t>Carolina Massa</t>
  </si>
  <si>
    <t>Gladys ojeda Britez - Exequiel alexis giuliani</t>
  </si>
  <si>
    <t>Transferencia Nicolas Rey Mauro18/09</t>
  </si>
  <si>
    <t>Walter Javier Dimiziunas</t>
  </si>
  <si>
    <t>Servisur - reemplazo de 26 plafones led</t>
  </si>
  <si>
    <t>Barbiero - compra de 26 plafones</t>
  </si>
  <si>
    <t>Se recuerda a todos los propietarios que, en caso de producirse la venta o transferencia de una unidad funcional, es obligatorio informar a la Administración los datos de los nuevos titulares.
Dicha notificación resulta indispensable para actualizar los registros del consorcio, emitir correctamente las expensas y garantizar que toda comunicación formal llegue a quienes correspondan.
La información a presentar deberá incluir al menos:
* Nombre y apellido de los nuevos propietarios.
* Domicilio de contacto (en caso de ser distinto de la unidad funcional).
* Correo electrónico y/o teléfono de contacto.
* Copia de la escritura, acta notarial o documentación que acredite la transferencia.
Hasta tanto no se reciba la notificación formal, toda comunicación y responsabilidad respecto de la unidad seguirá dirigida al propietario anterior.</t>
  </si>
  <si>
    <t>Ruiz, Juana Del Valle</t>
  </si>
  <si>
    <t>Gaston Smith</t>
  </si>
  <si>
    <t>Julieta Damiano/Damiani</t>
  </si>
  <si>
    <t>Heredia, Christian</t>
  </si>
  <si>
    <t>Firma</t>
  </si>
  <si>
    <t>__________________________________</t>
  </si>
  <si>
    <t>Aclaracion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</si>
</sst>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0.000"/>
    <numFmt numFmtId="167" formatCode="_-[$$-2C0A]\ * #,##0.00_-;\-[$$-2C0A]\ * #,##0.00_-;_-[$$-2C0A]\ * &quot;-&quot;??_-;_-@_-"/>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i/>
      <u/>
      <sz val="11"/>
      <color theme="1"/>
      <name val="Calibri"/>
      <family val="2"/>
      <scheme val="minor"/>
    </font>
    <font>
      <b/>
      <sz val="14"/>
      <color theme="1"/>
      <name val="Calibri"/>
      <family val="2"/>
      <scheme val="minor"/>
    </font>
    <font>
      <b/>
      <sz val="11"/>
      <name val="Calibri"/>
      <family val="2"/>
      <scheme val="minor"/>
    </font>
    <font>
      <sz val="9"/>
      <color theme="1"/>
      <name val="Calibri"/>
      <family val="2"/>
      <scheme val="minor"/>
    </font>
    <font>
      <u/>
      <sz val="11"/>
      <color theme="1"/>
      <name val="Calibri"/>
      <family val="2"/>
      <scheme val="minor"/>
    </font>
    <font>
      <sz val="8"/>
      <color theme="4" tint="0.59999389629810485"/>
      <name val="Calibri"/>
      <family val="2"/>
      <scheme val="minor"/>
    </font>
    <font>
      <sz val="11"/>
      <color theme="4" tint="0.59999389629810485"/>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sz val="8"/>
      <name val="Calibri"/>
      <family val="2"/>
      <scheme val="minor"/>
    </font>
    <font>
      <b/>
      <sz val="20"/>
      <color theme="1"/>
      <name val="Calibri"/>
      <family val="2"/>
      <scheme val="minor"/>
    </font>
    <font>
      <sz val="11"/>
      <color theme="0"/>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theme="4" tint="-0.499984740745262"/>
        <bgColor indexed="64"/>
      </patternFill>
    </fill>
    <fill>
      <patternFill patternType="solid">
        <fgColor theme="9" tint="0.39997558519241921"/>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cellStyleXfs>
  <cellXfs count="237">
    <xf numFmtId="0" fontId="0" fillId="0" borderId="0" xfId="0"/>
    <xf numFmtId="0" fontId="0" fillId="0" borderId="18" xfId="0" applyBorder="1"/>
    <xf numFmtId="0" fontId="2" fillId="0" borderId="0" xfId="0" applyFont="1"/>
    <xf numFmtId="0" fontId="2" fillId="5" borderId="11" xfId="0" applyFont="1" applyFill="1" applyBorder="1"/>
    <xf numFmtId="0" fontId="2" fillId="5" borderId="12" xfId="0" applyFont="1" applyFill="1" applyBorder="1"/>
    <xf numFmtId="3" fontId="0" fillId="0" borderId="1" xfId="0" applyNumberFormat="1" applyBorder="1"/>
    <xf numFmtId="0" fontId="0" fillId="0" borderId="1" xfId="0" applyBorder="1"/>
    <xf numFmtId="0" fontId="0" fillId="3" borderId="0" xfId="0" applyFill="1"/>
    <xf numFmtId="8" fontId="0" fillId="3" borderId="0" xfId="0" applyNumberFormat="1" applyFill="1"/>
    <xf numFmtId="4" fontId="0" fillId="0" borderId="1" xfId="0" applyNumberFormat="1" applyBorder="1"/>
    <xf numFmtId="0" fontId="0" fillId="0" borderId="5" xfId="0" applyBorder="1"/>
    <xf numFmtId="0" fontId="0" fillId="5" borderId="14" xfId="0" applyFill="1" applyBorder="1"/>
    <xf numFmtId="10" fontId="2" fillId="5" borderId="12" xfId="0" applyNumberFormat="1" applyFont="1" applyFill="1" applyBorder="1"/>
    <xf numFmtId="0" fontId="2" fillId="5" borderId="16" xfId="0" applyFont="1" applyFill="1" applyBorder="1"/>
    <xf numFmtId="0" fontId="2" fillId="5" borderId="14" xfId="0" applyFont="1" applyFill="1" applyBorder="1"/>
    <xf numFmtId="10" fontId="2" fillId="5" borderId="14" xfId="0" applyNumberFormat="1" applyFont="1" applyFill="1" applyBorder="1"/>
    <xf numFmtId="8" fontId="0" fillId="0" borderId="0" xfId="0" applyNumberFormat="1"/>
    <xf numFmtId="0" fontId="5" fillId="6" borderId="0" xfId="0" applyFont="1" applyFill="1"/>
    <xf numFmtId="164" fontId="6" fillId="0" borderId="1" xfId="2" applyFont="1" applyBorder="1"/>
    <xf numFmtId="164" fontId="3" fillId="0" borderId="0" xfId="0" applyNumberFormat="1" applyFont="1"/>
    <xf numFmtId="0" fontId="6" fillId="0" borderId="1" xfId="0" applyFont="1" applyBorder="1"/>
    <xf numFmtId="4" fontId="0" fillId="0" borderId="0" xfId="0" applyNumberFormat="1"/>
    <xf numFmtId="0" fontId="3" fillId="0" borderId="1" xfId="0" applyFont="1" applyBorder="1"/>
    <xf numFmtId="0" fontId="3" fillId="0" borderId="0" xfId="0" applyFont="1"/>
    <xf numFmtId="164" fontId="3" fillId="0" borderId="1" xfId="0" applyNumberFormat="1" applyFont="1" applyBorder="1"/>
    <xf numFmtId="4" fontId="6" fillId="0" borderId="0" xfId="0" applyNumberFormat="1" applyFont="1"/>
    <xf numFmtId="164" fontId="0" fillId="0" borderId="0" xfId="0" applyNumberFormat="1"/>
    <xf numFmtId="165" fontId="0" fillId="0" borderId="1" xfId="1" applyNumberFormat="1" applyFont="1" applyBorder="1"/>
    <xf numFmtId="0" fontId="0" fillId="7" borderId="1" xfId="0" applyFill="1" applyBorder="1"/>
    <xf numFmtId="165" fontId="0" fillId="7" borderId="1" xfId="0" applyNumberFormat="1" applyFill="1" applyBorder="1"/>
    <xf numFmtId="3" fontId="0" fillId="7" borderId="1" xfId="0" applyNumberFormat="1" applyFill="1" applyBorder="1"/>
    <xf numFmtId="164" fontId="7" fillId="2" borderId="1" xfId="2" applyFont="1" applyFill="1" applyBorder="1"/>
    <xf numFmtId="164" fontId="3" fillId="2" borderId="1" xfId="2" applyFont="1" applyFill="1" applyBorder="1"/>
    <xf numFmtId="0" fontId="8" fillId="0" borderId="1" xfId="0" applyFont="1" applyBorder="1"/>
    <xf numFmtId="0" fontId="2" fillId="4" borderId="1" xfId="0" applyFont="1" applyFill="1" applyBorder="1"/>
    <xf numFmtId="0" fontId="0" fillId="4" borderId="1" xfId="0" applyFill="1" applyBorder="1"/>
    <xf numFmtId="0" fontId="0" fillId="2" borderId="1" xfId="0" applyFill="1" applyBorder="1"/>
    <xf numFmtId="0" fontId="2" fillId="0" borderId="1" xfId="0" applyFont="1" applyBorder="1"/>
    <xf numFmtId="164" fontId="2" fillId="0" borderId="1" xfId="2" applyFont="1" applyBorder="1"/>
    <xf numFmtId="0" fontId="2" fillId="7" borderId="11" xfId="0" applyFont="1" applyFill="1" applyBorder="1"/>
    <xf numFmtId="44" fontId="2" fillId="7" borderId="13" xfId="0" applyNumberFormat="1" applyFont="1" applyFill="1" applyBorder="1"/>
    <xf numFmtId="0" fontId="2" fillId="7" borderId="23" xfId="0" applyFont="1" applyFill="1" applyBorder="1"/>
    <xf numFmtId="44" fontId="2" fillId="7" borderId="10" xfId="0" applyNumberFormat="1" applyFont="1" applyFill="1" applyBorder="1"/>
    <xf numFmtId="44" fontId="10" fillId="4" borderId="6" xfId="1" applyFont="1" applyFill="1" applyBorder="1"/>
    <xf numFmtId="44" fontId="0" fillId="0" borderId="0" xfId="0" applyNumberFormat="1"/>
    <xf numFmtId="44" fontId="4" fillId="2" borderId="1" xfId="1" applyFont="1" applyFill="1" applyBorder="1"/>
    <xf numFmtId="0" fontId="0" fillId="0" borderId="6" xfId="0" applyBorder="1"/>
    <xf numFmtId="0" fontId="0" fillId="0" borderId="24" xfId="0" applyBorder="1"/>
    <xf numFmtId="0" fontId="0" fillId="2" borderId="2" xfId="0" applyFill="1" applyBorder="1"/>
    <xf numFmtId="8" fontId="2" fillId="4" borderId="1" xfId="0" applyNumberFormat="1" applyFont="1" applyFill="1" applyBorder="1"/>
    <xf numFmtId="8" fontId="2" fillId="2" borderId="1" xfId="0" applyNumberFormat="1" applyFont="1" applyFill="1" applyBorder="1"/>
    <xf numFmtId="0" fontId="12" fillId="0" borderId="1" xfId="0" applyFont="1" applyBorder="1"/>
    <xf numFmtId="0" fontId="0" fillId="0" borderId="1" xfId="0" applyBorder="1" applyAlignment="1">
      <alignment horizontal="center"/>
    </xf>
    <xf numFmtId="1" fontId="13" fillId="3" borderId="0" xfId="0" applyNumberFormat="1" applyFont="1" applyFill="1"/>
    <xf numFmtId="0" fontId="14" fillId="3" borderId="0" xfId="0" applyFont="1" applyFill="1"/>
    <xf numFmtId="44" fontId="4" fillId="2" borderId="0" xfId="1" applyFont="1" applyFill="1" applyBorder="1"/>
    <xf numFmtId="0" fontId="15" fillId="0" borderId="1" xfId="0" applyFont="1" applyBorder="1"/>
    <xf numFmtId="165" fontId="0" fillId="7" borderId="1" xfId="1" applyNumberFormat="1" applyFont="1" applyFill="1" applyBorder="1"/>
    <xf numFmtId="6" fontId="0" fillId="3" borderId="0" xfId="0" applyNumberFormat="1" applyFill="1" applyAlignment="1">
      <alignment horizontal="right" wrapText="1"/>
    </xf>
    <xf numFmtId="0" fontId="4" fillId="2" borderId="6" xfId="0" applyFont="1" applyFill="1" applyBorder="1"/>
    <xf numFmtId="165" fontId="11" fillId="0" borderId="1" xfId="0" applyNumberFormat="1" applyFont="1" applyBorder="1"/>
    <xf numFmtId="0" fontId="11" fillId="0" borderId="1" xfId="0" applyFont="1" applyBorder="1"/>
    <xf numFmtId="44" fontId="0" fillId="0" borderId="1" xfId="0" applyNumberFormat="1" applyBorder="1"/>
    <xf numFmtId="6" fontId="0" fillId="0" borderId="0" xfId="0" applyNumberFormat="1"/>
    <xf numFmtId="6" fontId="0" fillId="2" borderId="0" xfId="0" applyNumberFormat="1" applyFill="1" applyAlignment="1">
      <alignment horizontal="right" wrapText="1"/>
    </xf>
    <xf numFmtId="165" fontId="0" fillId="0" borderId="0" xfId="0" applyNumberFormat="1"/>
    <xf numFmtId="44" fontId="0" fillId="0" borderId="15" xfId="1" applyFont="1" applyBorder="1"/>
    <xf numFmtId="0" fontId="0" fillId="9" borderId="15" xfId="0" applyFill="1" applyBorder="1"/>
    <xf numFmtId="0" fontId="0" fillId="9" borderId="11" xfId="0" applyFill="1" applyBorder="1"/>
    <xf numFmtId="0" fontId="0" fillId="0" borderId="11" xfId="0" applyBorder="1"/>
    <xf numFmtId="0" fontId="0" fillId="0" borderId="13" xfId="0" applyBorder="1"/>
    <xf numFmtId="44" fontId="2" fillId="4" borderId="6" xfId="0" applyNumberFormat="1" applyFont="1" applyFill="1" applyBorder="1"/>
    <xf numFmtId="44" fontId="0" fillId="0" borderId="6" xfId="0" applyNumberFormat="1" applyBorder="1"/>
    <xf numFmtId="0" fontId="16" fillId="0" borderId="0" xfId="0" applyFont="1"/>
    <xf numFmtId="6" fontId="4" fillId="3" borderId="0" xfId="0" applyNumberFormat="1" applyFont="1" applyFill="1" applyAlignment="1">
      <alignment horizontal="right" wrapText="1"/>
    </xf>
    <xf numFmtId="44" fontId="4" fillId="3" borderId="0" xfId="0" applyNumberFormat="1" applyFont="1" applyFill="1"/>
    <xf numFmtId="6" fontId="4" fillId="3" borderId="0" xfId="0" applyNumberFormat="1" applyFont="1" applyFill="1"/>
    <xf numFmtId="44" fontId="3" fillId="0" borderId="0" xfId="0" applyNumberFormat="1" applyFont="1"/>
    <xf numFmtId="0" fontId="0" fillId="0" borderId="1" xfId="0" applyBorder="1" applyAlignment="1">
      <alignment vertical="center"/>
    </xf>
    <xf numFmtId="0" fontId="3" fillId="0" borderId="1" xfId="0" applyFont="1" applyBorder="1" applyAlignment="1">
      <alignment vertical="center" wrapText="1"/>
    </xf>
    <xf numFmtId="44" fontId="10" fillId="4" borderId="6" xfId="0" applyNumberFormat="1" applyFont="1" applyFill="1" applyBorder="1"/>
    <xf numFmtId="0" fontId="0" fillId="2" borderId="0" xfId="0" applyFill="1"/>
    <xf numFmtId="44" fontId="16" fillId="0" borderId="0" xfId="0" applyNumberFormat="1" applyFont="1"/>
    <xf numFmtId="44" fontId="0" fillId="0" borderId="2" xfId="0" applyNumberFormat="1" applyBorder="1"/>
    <xf numFmtId="6" fontId="11" fillId="2" borderId="1" xfId="0" applyNumberFormat="1" applyFont="1" applyFill="1" applyBorder="1"/>
    <xf numFmtId="44" fontId="4" fillId="2" borderId="1" xfId="1" applyFont="1" applyFill="1" applyBorder="1" applyAlignment="1"/>
    <xf numFmtId="0" fontId="2" fillId="2" borderId="0" xfId="0" applyFont="1" applyFill="1" applyAlignment="1">
      <alignment vertical="center" wrapText="1"/>
    </xf>
    <xf numFmtId="44" fontId="2" fillId="4" borderId="1" xfId="0" applyNumberFormat="1" applyFont="1" applyFill="1" applyBorder="1"/>
    <xf numFmtId="44" fontId="2" fillId="4" borderId="1" xfId="1" applyFont="1" applyFill="1" applyBorder="1"/>
    <xf numFmtId="44" fontId="10" fillId="4" borderId="1" xfId="1" applyFont="1" applyFill="1" applyBorder="1" applyAlignment="1">
      <alignment horizontal="center"/>
    </xf>
    <xf numFmtId="0" fontId="2" fillId="4" borderId="1" xfId="0" applyFont="1" applyFill="1" applyBorder="1" applyAlignment="1">
      <alignment horizontal="center"/>
    </xf>
    <xf numFmtId="0" fontId="0" fillId="2" borderId="8" xfId="0" applyFill="1" applyBorder="1" applyAlignment="1">
      <alignment horizontal="left" vertical="center" wrapText="1"/>
    </xf>
    <xf numFmtId="44" fontId="11" fillId="7" borderId="1" xfId="1" applyFont="1" applyFill="1" applyBorder="1"/>
    <xf numFmtId="164" fontId="17" fillId="2" borderId="1" xfId="2" applyFont="1" applyFill="1" applyBorder="1"/>
    <xf numFmtId="43" fontId="0" fillId="0" borderId="0" xfId="0" applyNumberFormat="1"/>
    <xf numFmtId="44" fontId="4" fillId="2" borderId="6" xfId="1" applyFont="1" applyFill="1" applyBorder="1"/>
    <xf numFmtId="44" fontId="4" fillId="0" borderId="6" xfId="1" applyFont="1" applyBorder="1"/>
    <xf numFmtId="0" fontId="4" fillId="0" borderId="0" xfId="0" applyFont="1"/>
    <xf numFmtId="44" fontId="4" fillId="0" borderId="1" xfId="1" applyFont="1" applyBorder="1"/>
    <xf numFmtId="44" fontId="10" fillId="5" borderId="12" xfId="0" applyNumberFormat="1" applyFont="1" applyFill="1" applyBorder="1"/>
    <xf numFmtId="165" fontId="4" fillId="0" borderId="1" xfId="1" applyNumberFormat="1" applyFont="1" applyBorder="1"/>
    <xf numFmtId="44" fontId="0" fillId="0" borderId="0" xfId="0" applyNumberFormat="1" applyAlignment="1">
      <alignment horizontal="left"/>
    </xf>
    <xf numFmtId="10" fontId="0" fillId="0" borderId="1" xfId="0" applyNumberFormat="1" applyBorder="1"/>
    <xf numFmtId="0" fontId="0" fillId="2" borderId="0" xfId="0" applyFill="1" applyAlignment="1">
      <alignment horizontal="center" vertical="center" wrapText="1"/>
    </xf>
    <xf numFmtId="0" fontId="0" fillId="10" borderId="1" xfId="0" applyFill="1" applyBorder="1"/>
    <xf numFmtId="44" fontId="4" fillId="10" borderId="6" xfId="1" applyFont="1" applyFill="1" applyBorder="1"/>
    <xf numFmtId="44" fontId="0" fillId="10" borderId="1" xfId="0" applyNumberFormat="1" applyFill="1" applyBorder="1"/>
    <xf numFmtId="0" fontId="2" fillId="10" borderId="1" xfId="0" applyFont="1" applyFill="1" applyBorder="1"/>
    <xf numFmtId="10" fontId="0" fillId="0" borderId="0" xfId="0" applyNumberFormat="1"/>
    <xf numFmtId="0" fontId="0" fillId="0" borderId="4" xfId="0" applyBorder="1"/>
    <xf numFmtId="10" fontId="2" fillId="5" borderId="15" xfId="0" applyNumberFormat="1" applyFont="1" applyFill="1" applyBorder="1" applyAlignment="1">
      <alignment horizontal="center" vertical="center"/>
    </xf>
    <xf numFmtId="0" fontId="2" fillId="5" borderId="15" xfId="0" applyFont="1" applyFill="1" applyBorder="1" applyAlignment="1">
      <alignment horizontal="center" vertical="center"/>
    </xf>
    <xf numFmtId="0" fontId="0" fillId="0" borderId="3" xfId="0" applyBorder="1"/>
    <xf numFmtId="0" fontId="4" fillId="0" borderId="3" xfId="0" applyFont="1" applyBorder="1"/>
    <xf numFmtId="0" fontId="2" fillId="8" borderId="25" xfId="0" applyFont="1" applyFill="1" applyBorder="1"/>
    <xf numFmtId="0" fontId="2" fillId="8" borderId="26" xfId="0" applyFont="1" applyFill="1" applyBorder="1"/>
    <xf numFmtId="44" fontId="10" fillId="8" borderId="27" xfId="1" applyFont="1" applyFill="1" applyBorder="1"/>
    <xf numFmtId="0" fontId="2" fillId="2" borderId="18" xfId="0" applyFont="1" applyFill="1" applyBorder="1"/>
    <xf numFmtId="0" fontId="2" fillId="2" borderId="0" xfId="0" applyFont="1" applyFill="1"/>
    <xf numFmtId="44" fontId="10" fillId="2" borderId="0" xfId="1" applyFont="1" applyFill="1" applyBorder="1"/>
    <xf numFmtId="44" fontId="2" fillId="2" borderId="0" xfId="1" applyFont="1" applyFill="1" applyBorder="1"/>
    <xf numFmtId="44" fontId="2" fillId="2" borderId="19" xfId="0" applyNumberFormat="1" applyFont="1" applyFill="1" applyBorder="1"/>
    <xf numFmtId="0" fontId="11" fillId="2" borderId="1" xfId="0" applyFont="1" applyFill="1" applyBorder="1"/>
    <xf numFmtId="0" fontId="0" fillId="11" borderId="19" xfId="0" applyFill="1" applyBorder="1"/>
    <xf numFmtId="0" fontId="0" fillId="11" borderId="14" xfId="0" applyFill="1" applyBorder="1"/>
    <xf numFmtId="0" fontId="0" fillId="11" borderId="17" xfId="0" applyFill="1" applyBorder="1"/>
    <xf numFmtId="0" fontId="0" fillId="11" borderId="16" xfId="0" applyFill="1" applyBorder="1"/>
    <xf numFmtId="0" fontId="2" fillId="11" borderId="18" xfId="0" applyFont="1" applyFill="1" applyBorder="1"/>
    <xf numFmtId="0" fontId="0" fillId="0" borderId="2" xfId="0" applyBorder="1"/>
    <xf numFmtId="166" fontId="0" fillId="0" borderId="0" xfId="0" applyNumberFormat="1"/>
    <xf numFmtId="9" fontId="0" fillId="7" borderId="1" xfId="0" applyNumberFormat="1" applyFill="1" applyBorder="1"/>
    <xf numFmtId="0" fontId="9" fillId="11" borderId="18" xfId="0" applyFont="1" applyFill="1" applyBorder="1"/>
    <xf numFmtId="0" fontId="18" fillId="11" borderId="19" xfId="0" applyFont="1" applyFill="1" applyBorder="1"/>
    <xf numFmtId="0" fontId="9" fillId="11" borderId="23" xfId="0" applyFont="1" applyFill="1" applyBorder="1"/>
    <xf numFmtId="0" fontId="9" fillId="11" borderId="9" xfId="0" applyFont="1" applyFill="1" applyBorder="1"/>
    <xf numFmtId="43" fontId="9" fillId="11" borderId="14" xfId="3" applyFont="1" applyFill="1" applyBorder="1" applyAlignment="1">
      <alignment horizontal="left"/>
    </xf>
    <xf numFmtId="0" fontId="9" fillId="11" borderId="0" xfId="0" applyFont="1" applyFill="1"/>
    <xf numFmtId="0" fontId="2" fillId="11" borderId="0" xfId="0" applyFont="1" applyFill="1"/>
    <xf numFmtId="0" fontId="9" fillId="11" borderId="10" xfId="0" applyFont="1" applyFill="1" applyBorder="1"/>
    <xf numFmtId="44" fontId="2" fillId="8" borderId="15" xfId="1" applyFont="1" applyFill="1" applyBorder="1"/>
    <xf numFmtId="44" fontId="2" fillId="8" borderId="13" xfId="0" applyNumberFormat="1" applyFont="1" applyFill="1" applyBorder="1"/>
    <xf numFmtId="44" fontId="10" fillId="4" borderId="0" xfId="0" applyNumberFormat="1" applyFont="1" applyFill="1"/>
    <xf numFmtId="0" fontId="4" fillId="0" borderId="1" xfId="0" applyFont="1" applyBorder="1"/>
    <xf numFmtId="0" fontId="15" fillId="2" borderId="1" xfId="0" applyFont="1" applyFill="1" applyBorder="1"/>
    <xf numFmtId="44" fontId="4" fillId="0" borderId="19" xfId="1" applyFont="1" applyBorder="1"/>
    <xf numFmtId="0" fontId="9" fillId="11" borderId="14" xfId="0" applyFont="1" applyFill="1" applyBorder="1"/>
    <xf numFmtId="0" fontId="2" fillId="11" borderId="14" xfId="0" applyFont="1" applyFill="1" applyBorder="1"/>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2" fontId="0" fillId="0" borderId="0" xfId="0" applyNumberFormat="1"/>
    <xf numFmtId="44" fontId="0" fillId="0" borderId="1" xfId="1" applyFont="1" applyBorder="1"/>
    <xf numFmtId="0" fontId="11" fillId="2" borderId="4" xfId="0" applyFont="1" applyFill="1" applyBorder="1"/>
    <xf numFmtId="0" fontId="0" fillId="0" borderId="1" xfId="0" applyBorder="1" applyAlignment="1">
      <alignment horizontal="left" vertical="center"/>
    </xf>
    <xf numFmtId="167" fontId="0" fillId="0" borderId="0" xfId="0" applyNumberFormat="1"/>
    <xf numFmtId="44" fontId="4" fillId="2" borderId="6" xfId="0" applyNumberFormat="1" applyFont="1" applyFill="1" applyBorder="1"/>
    <xf numFmtId="0" fontId="21" fillId="12" borderId="0" xfId="0" applyFont="1" applyFill="1"/>
    <xf numFmtId="10" fontId="0" fillId="2" borderId="4" xfId="0" applyNumberFormat="1" applyFill="1" applyBorder="1"/>
    <xf numFmtId="44" fontId="0" fillId="2" borderId="1" xfId="1" applyFont="1" applyFill="1" applyBorder="1"/>
    <xf numFmtId="0" fontId="0" fillId="13" borderId="1" xfId="0" applyFill="1" applyBorder="1"/>
    <xf numFmtId="0" fontId="11" fillId="13" borderId="1" xfId="0" applyFont="1" applyFill="1" applyBorder="1"/>
    <xf numFmtId="2" fontId="0" fillId="13" borderId="0" xfId="0" applyNumberFormat="1" applyFill="1"/>
    <xf numFmtId="0" fontId="0" fillId="13" borderId="0" xfId="0" applyFill="1"/>
    <xf numFmtId="44" fontId="4" fillId="0" borderId="6" xfId="0" applyNumberFormat="1" applyFont="1" applyBorder="1"/>
    <xf numFmtId="43" fontId="16" fillId="0" borderId="0" xfId="0" applyNumberFormat="1" applyFont="1"/>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2" borderId="1" xfId="0" applyFill="1" applyBorder="1" applyAlignment="1">
      <alignment vertical="center" wrapText="1"/>
    </xf>
    <xf numFmtId="0" fontId="0" fillId="2" borderId="1" xfId="0" applyFill="1" applyBorder="1" applyAlignment="1">
      <alignment horizontal="left" vertical="center" wrapText="1"/>
    </xf>
    <xf numFmtId="0" fontId="0" fillId="2" borderId="1" xfId="0" applyFill="1" applyBorder="1" applyAlignment="1">
      <alignment vertical="center"/>
    </xf>
    <xf numFmtId="10" fontId="0" fillId="2" borderId="1" xfId="0" applyNumberFormat="1" applyFill="1" applyBorder="1"/>
    <xf numFmtId="165" fontId="11" fillId="2" borderId="1" xfId="0" applyNumberFormat="1" applyFont="1" applyFill="1" applyBorder="1"/>
    <xf numFmtId="165" fontId="0" fillId="2" borderId="1" xfId="1" applyNumberFormat="1" applyFont="1" applyFill="1" applyBorder="1"/>
    <xf numFmtId="3" fontId="0" fillId="2" borderId="1" xfId="0" applyNumberFormat="1" applyFill="1" applyBorder="1"/>
    <xf numFmtId="4" fontId="0" fillId="2" borderId="1" xfId="0" applyNumberFormat="1" applyFill="1" applyBorder="1"/>
    <xf numFmtId="0" fontId="0" fillId="2" borderId="28" xfId="0" applyFill="1" applyBorder="1"/>
    <xf numFmtId="0" fontId="11" fillId="2" borderId="28" xfId="0" applyFont="1" applyFill="1" applyBorder="1"/>
    <xf numFmtId="10" fontId="0" fillId="2" borderId="28" xfId="0" applyNumberFormat="1" applyFill="1" applyBorder="1"/>
    <xf numFmtId="44" fontId="0" fillId="2" borderId="28" xfId="1" applyFont="1" applyFill="1" applyBorder="1"/>
    <xf numFmtId="44" fontId="4" fillId="2" borderId="28" xfId="1" applyFont="1" applyFill="1" applyBorder="1"/>
    <xf numFmtId="165" fontId="11" fillId="2" borderId="28" xfId="0" applyNumberFormat="1" applyFont="1" applyFill="1" applyBorder="1"/>
    <xf numFmtId="165" fontId="0" fillId="2" borderId="28" xfId="1" applyNumberFormat="1" applyFont="1" applyFill="1" applyBorder="1"/>
    <xf numFmtId="3" fontId="0" fillId="2" borderId="28" xfId="0" applyNumberFormat="1" applyFill="1" applyBorder="1"/>
    <xf numFmtId="4" fontId="0" fillId="2" borderId="28" xfId="0" applyNumberFormat="1" applyFill="1" applyBorder="1"/>
    <xf numFmtId="0" fontId="0" fillId="2" borderId="4" xfId="0" applyFill="1" applyBorder="1"/>
    <xf numFmtId="44" fontId="0" fillId="2" borderId="4" xfId="1" applyFont="1" applyFill="1" applyBorder="1"/>
    <xf numFmtId="44" fontId="4" fillId="2" borderId="4" xfId="1" applyFont="1" applyFill="1" applyBorder="1"/>
    <xf numFmtId="165" fontId="11" fillId="2" borderId="4" xfId="0" applyNumberFormat="1" applyFont="1" applyFill="1" applyBorder="1"/>
    <xf numFmtId="165" fontId="0" fillId="2" borderId="4" xfId="1" applyNumberFormat="1" applyFont="1" applyFill="1" applyBorder="1"/>
    <xf numFmtId="4" fontId="0" fillId="2" borderId="4" xfId="0" applyNumberFormat="1" applyFill="1" applyBorder="1"/>
    <xf numFmtId="165" fontId="15" fillId="2" borderId="1" xfId="0" applyNumberFormat="1" applyFont="1" applyFill="1" applyBorder="1"/>
    <xf numFmtId="44" fontId="0" fillId="2" borderId="1" xfId="0" applyNumberFormat="1" applyFill="1" applyBorder="1"/>
    <xf numFmtId="0" fontId="6" fillId="0" borderId="1" xfId="0" applyFont="1" applyBorder="1" applyAlignment="1">
      <alignment horizontal="left" vertical="center" wrapText="1"/>
    </xf>
    <xf numFmtId="165" fontId="4" fillId="3" borderId="0" xfId="0" applyNumberFormat="1" applyFont="1" applyFill="1"/>
    <xf numFmtId="0" fontId="0" fillId="9" borderId="0" xfId="0" applyFill="1" applyAlignment="1">
      <alignment horizontal="left" vertical="center" wrapText="1"/>
    </xf>
    <xf numFmtId="0" fontId="0" fillId="2" borderId="0" xfId="0" applyFill="1" applyAlignment="1">
      <alignment horizontal="center" vertical="center" wrapText="1"/>
    </xf>
    <xf numFmtId="0" fontId="2" fillId="4" borderId="6" xfId="0" applyFont="1" applyFill="1" applyBorder="1" applyAlignment="1">
      <alignment horizontal="left"/>
    </xf>
    <xf numFmtId="0" fontId="2" fillId="4" borderId="7" xfId="0" applyFont="1" applyFill="1" applyBorder="1" applyAlignment="1">
      <alignment horizontal="left"/>
    </xf>
    <xf numFmtId="0" fontId="2" fillId="4" borderId="8" xfId="0" applyFont="1" applyFill="1" applyBorder="1" applyAlignment="1">
      <alignment horizontal="left"/>
    </xf>
    <xf numFmtId="0" fontId="2" fillId="4" borderId="6" xfId="0" applyFont="1" applyFill="1" applyBorder="1" applyAlignment="1">
      <alignment horizontal="center"/>
    </xf>
    <xf numFmtId="0" fontId="2" fillId="4" borderId="7" xfId="0"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20" fillId="11" borderId="0" xfId="0" applyFont="1" applyFill="1" applyAlignment="1">
      <alignment horizontal="center" vertical="center"/>
    </xf>
    <xf numFmtId="0" fontId="0" fillId="2" borderId="8" xfId="0" applyFill="1" applyBorder="1" applyAlignment="1">
      <alignment horizontal="left" vertical="center" wrapText="1"/>
    </xf>
    <xf numFmtId="0" fontId="2" fillId="9" borderId="0" xfId="0" applyFont="1" applyFill="1" applyAlignment="1">
      <alignment horizontal="left" vertical="center" wrapText="1"/>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0" fillId="3" borderId="16" xfId="0" applyFill="1" applyBorder="1" applyAlignment="1">
      <alignment horizontal="center" vertical="center"/>
    </xf>
    <xf numFmtId="0" fontId="0" fillId="3" borderId="18" xfId="0" applyFill="1" applyBorder="1" applyAlignment="1">
      <alignment horizontal="center" vertical="center"/>
    </xf>
    <xf numFmtId="0" fontId="11" fillId="3" borderId="20" xfId="0" applyFont="1" applyFill="1" applyBorder="1" applyAlignment="1">
      <alignment horizontal="center" vertical="center"/>
    </xf>
    <xf numFmtId="0" fontId="11" fillId="3" borderId="21" xfId="0" applyFont="1" applyFill="1" applyBorder="1" applyAlignment="1">
      <alignment horizontal="center" vertical="center"/>
    </xf>
    <xf numFmtId="0" fontId="0" fillId="0" borderId="0" xfId="0" applyAlignment="1">
      <alignment horizontal="center" wrapText="1"/>
    </xf>
    <xf numFmtId="0" fontId="6" fillId="9" borderId="0" xfId="0" applyFont="1" applyFill="1" applyAlignment="1">
      <alignment horizontal="center" vertical="center" wrapText="1"/>
    </xf>
    <xf numFmtId="0" fontId="2" fillId="9" borderId="0" xfId="0" applyFont="1" applyFill="1" applyAlignment="1">
      <alignment horizontal="center" vertical="center" wrapText="1"/>
    </xf>
    <xf numFmtId="44" fontId="0" fillId="3" borderId="0" xfId="0" applyNumberFormat="1" applyFill="1" applyAlignment="1">
      <alignment horizontal="center" wrapText="1"/>
    </xf>
    <xf numFmtId="6" fontId="0" fillId="3" borderId="0" xfId="0" applyNumberFormat="1" applyFill="1" applyAlignment="1">
      <alignment horizontal="center" wrapText="1"/>
    </xf>
    <xf numFmtId="0" fontId="11" fillId="3" borderId="16" xfId="0" applyFont="1" applyFill="1" applyBorder="1" applyAlignment="1">
      <alignment horizontal="center" vertical="center"/>
    </xf>
    <xf numFmtId="0" fontId="11" fillId="3" borderId="18" xfId="0" applyFont="1" applyFill="1" applyBorder="1" applyAlignment="1">
      <alignment horizontal="center" vertical="center"/>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15" fillId="3" borderId="20" xfId="0" applyFont="1" applyFill="1" applyBorder="1" applyAlignment="1">
      <alignment horizontal="center" vertical="center" wrapText="1"/>
    </xf>
    <xf numFmtId="0" fontId="15" fillId="3" borderId="21" xfId="0" applyFont="1" applyFill="1" applyBorder="1" applyAlignment="1">
      <alignment horizontal="center" vertical="center" wrapText="1"/>
    </xf>
    <xf numFmtId="0" fontId="0" fillId="11" borderId="0" xfId="0" applyFill="1" applyAlignment="1">
      <alignment horizontal="center"/>
    </xf>
    <xf numFmtId="0" fontId="0" fillId="0" borderId="16" xfId="0" applyBorder="1" applyAlignment="1">
      <alignment horizontal="left"/>
    </xf>
    <xf numFmtId="0" fontId="0" fillId="0" borderId="14" xfId="0" applyBorder="1" applyAlignment="1">
      <alignment horizontal="left"/>
    </xf>
    <xf numFmtId="0" fontId="0" fillId="0" borderId="17" xfId="0" applyBorder="1" applyAlignment="1">
      <alignment horizontal="left"/>
    </xf>
    <xf numFmtId="0" fontId="0" fillId="0" borderId="19" xfId="0" applyBorder="1"/>
    <xf numFmtId="0" fontId="0" fillId="0" borderId="0" xfId="0" applyAlignment="1">
      <alignment horizontal="center"/>
    </xf>
    <xf numFmtId="0" fontId="0" fillId="0" borderId="19" xfId="0" applyBorder="1" applyAlignment="1">
      <alignment horizontal="center"/>
    </xf>
    <xf numFmtId="0" fontId="2" fillId="0" borderId="18" xfId="0" applyFont="1" applyBorder="1"/>
    <xf numFmtId="44" fontId="2" fillId="0" borderId="0" xfId="0" applyNumberFormat="1" applyFont="1"/>
    <xf numFmtId="0" fontId="0" fillId="0" borderId="23" xfId="0" applyBorder="1"/>
    <xf numFmtId="0" fontId="0" fillId="0" borderId="9" xfId="0" applyBorder="1"/>
    <xf numFmtId="0" fontId="0" fillId="0" borderId="10" xfId="0" applyBorder="1"/>
    <xf numFmtId="0" fontId="0" fillId="0" borderId="0" xfId="0" applyAlignment="1">
      <alignment horizontal="center"/>
    </xf>
    <xf numFmtId="0" fontId="0" fillId="0" borderId="19" xfId="0" applyBorder="1" applyAlignment="1">
      <alignment horizontal="center"/>
    </xf>
  </cellXfs>
  <cellStyles count="4">
    <cellStyle name="Millares" xfId="3" builtinId="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92074</xdr:colOff>
      <xdr:row>0</xdr:row>
      <xdr:rowOff>86782</xdr:rowOff>
    </xdr:from>
    <xdr:to>
      <xdr:col>1</xdr:col>
      <xdr:colOff>1238250</xdr:colOff>
      <xdr:row>6</xdr:row>
      <xdr:rowOff>148166</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4" y="86782"/>
          <a:ext cx="3379259" cy="151130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190500</xdr:colOff>
      <xdr:row>0</xdr:row>
      <xdr:rowOff>28575</xdr:rowOff>
    </xdr:from>
    <xdr:to>
      <xdr:col>3</xdr:col>
      <xdr:colOff>1733550</xdr:colOff>
      <xdr:row>3</xdr:row>
      <xdr:rowOff>133350</xdr:rowOff>
    </xdr:to>
    <xdr:pic>
      <xdr:nvPicPr>
        <xdr:cNvPr id="3" name="1 Imagen" descr="C:\Users\Particular\Desktop\NATI\CONSORCIOS RC\WhatsApp Image 2020-12-10 at 14.53.20.jpeg">
          <a:extLst>
            <a:ext uri="{FF2B5EF4-FFF2-40B4-BE49-F238E27FC236}">
              <a16:creationId xmlns:a16="http://schemas.microsoft.com/office/drawing/2014/main" id="{9A70E3EF-E20B-4665-AE8E-5E10754DE7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28575"/>
          <a:ext cx="2085975" cy="6762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istema\Desktop\rc-consorcio2025\EL%20MIRADOR\Junio\JUNIO%20-%20EL%20MIRADOR%20.xlsx" TargetMode="External"/><Relationship Id="rId1" Type="http://schemas.openxmlformats.org/officeDocument/2006/relationships/externalLinkPath" Target="/Users/Sistema/Desktop/rc-consorcio2025/EL%20MIRADOR/Junio/JUNIO%20-%20EL%20MIRADOR%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sheetName val="PRORRATEO"/>
      <sheetName val="ANOTACIONES"/>
      <sheetName val="SUELDOS"/>
    </sheetNames>
    <sheetDataSet>
      <sheetData sheetId="0">
        <row r="22">
          <cell r="A22" t="str">
            <v xml:space="preserve">Sueldo encargada Sonia Arzamendia Galeano </v>
          </cell>
        </row>
        <row r="30">
          <cell r="A30" t="str">
            <v>Sueldo encargada Miriam</v>
          </cell>
        </row>
      </sheetData>
      <sheetData sheetId="1"/>
      <sheetData sheetId="2"/>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9"/>
  <sheetViews>
    <sheetView topLeftCell="A19" zoomScale="80" zoomScaleNormal="80" workbookViewId="0">
      <selection activeCell="B63" sqref="B63"/>
    </sheetView>
  </sheetViews>
  <sheetFormatPr baseColWidth="10" defaultRowHeight="14.4" x14ac:dyDescent="0.3"/>
  <cols>
    <col min="1" max="1" width="33.44140625" customWidth="1"/>
    <col min="2" max="2" width="36.88671875" customWidth="1"/>
    <col min="3" max="3" width="17.44140625" customWidth="1"/>
    <col min="4" max="4" width="21.6640625" customWidth="1"/>
    <col min="5" max="5" width="18" customWidth="1"/>
    <col min="6" max="9" width="15.6640625" customWidth="1"/>
    <col min="10" max="10" width="14.6640625" customWidth="1"/>
    <col min="11" max="11" width="15.88671875" customWidth="1"/>
    <col min="12" max="12" width="16.109375" customWidth="1"/>
    <col min="13" max="13" width="13" bestFit="1" customWidth="1"/>
    <col min="14" max="14" width="14.5546875" bestFit="1" customWidth="1"/>
    <col min="16" max="16" width="18" customWidth="1"/>
    <col min="17" max="17" width="18.33203125" customWidth="1"/>
  </cols>
  <sheetData>
    <row r="1" spans="1:10" ht="18" x14ac:dyDescent="0.35">
      <c r="A1" s="126"/>
      <c r="B1" s="135"/>
      <c r="C1" s="145" t="s">
        <v>270</v>
      </c>
      <c r="D1" s="145"/>
      <c r="E1" s="146"/>
      <c r="F1" s="146"/>
      <c r="G1" s="124"/>
      <c r="H1" s="124"/>
      <c r="I1" s="124"/>
      <c r="J1" s="125"/>
    </row>
    <row r="2" spans="1:10" ht="18" x14ac:dyDescent="0.35">
      <c r="A2" s="127"/>
      <c r="B2" s="136"/>
      <c r="C2" s="136" t="s">
        <v>266</v>
      </c>
      <c r="D2" s="136"/>
      <c r="E2" s="137"/>
      <c r="F2" s="137"/>
      <c r="G2" s="137"/>
      <c r="H2" s="137"/>
      <c r="I2" s="137"/>
      <c r="J2" s="123"/>
    </row>
    <row r="3" spans="1:10" ht="18" x14ac:dyDescent="0.35">
      <c r="A3" s="127"/>
      <c r="B3" s="136"/>
      <c r="C3" s="136" t="s">
        <v>320</v>
      </c>
      <c r="D3" s="136"/>
      <c r="E3" s="136" t="s">
        <v>267</v>
      </c>
      <c r="F3" s="137"/>
      <c r="G3" s="137"/>
      <c r="H3" s="137"/>
      <c r="I3" s="137"/>
      <c r="J3" s="123"/>
    </row>
    <row r="4" spans="1:10" ht="18" customHeight="1" x14ac:dyDescent="0.35">
      <c r="A4" s="127"/>
      <c r="B4" s="136"/>
      <c r="C4" s="136" t="s">
        <v>268</v>
      </c>
      <c r="D4" s="137"/>
      <c r="E4" s="137"/>
      <c r="F4" s="137"/>
      <c r="G4" s="137"/>
      <c r="H4" s="137"/>
      <c r="I4" s="137"/>
      <c r="J4" s="123"/>
    </row>
    <row r="5" spans="1:10" ht="18" x14ac:dyDescent="0.35">
      <c r="A5" s="131"/>
      <c r="B5" s="136"/>
      <c r="C5" s="136" t="s">
        <v>316</v>
      </c>
      <c r="D5" s="136"/>
      <c r="E5" s="136" t="s">
        <v>269</v>
      </c>
      <c r="F5" s="136"/>
      <c r="G5" s="136"/>
      <c r="H5" s="136"/>
      <c r="I5" s="136"/>
      <c r="J5" s="132"/>
    </row>
    <row r="6" spans="1:10" ht="18" x14ac:dyDescent="0.35">
      <c r="A6" s="131"/>
      <c r="B6" s="136"/>
      <c r="C6" s="136" t="s">
        <v>0</v>
      </c>
      <c r="D6" s="136"/>
      <c r="E6" s="136"/>
      <c r="F6" s="136"/>
      <c r="G6" s="136"/>
      <c r="H6" s="136"/>
      <c r="I6" s="136"/>
      <c r="J6" s="132"/>
    </row>
    <row r="7" spans="1:10" ht="18.600000000000001" thickBot="1" x14ac:dyDescent="0.4">
      <c r="A7" s="133"/>
      <c r="B7" s="134"/>
      <c r="C7" s="134"/>
      <c r="D7" s="134"/>
      <c r="E7" s="134"/>
      <c r="F7" s="134"/>
      <c r="G7" s="134"/>
      <c r="H7" s="134"/>
      <c r="I7" s="134"/>
      <c r="J7" s="138"/>
    </row>
    <row r="9" spans="1:10" hidden="1" x14ac:dyDescent="0.3"/>
    <row r="10" spans="1:10" hidden="1" x14ac:dyDescent="0.3"/>
    <row r="11" spans="1:10" hidden="1" x14ac:dyDescent="0.3"/>
    <row r="12" spans="1:10" hidden="1" x14ac:dyDescent="0.3"/>
    <row r="14" spans="1:10" ht="15" customHeight="1" x14ac:dyDescent="0.3">
      <c r="A14" s="193" t="s">
        <v>265</v>
      </c>
      <c r="B14" s="193"/>
      <c r="C14" s="193"/>
      <c r="D14" s="193"/>
      <c r="E14" s="193"/>
      <c r="F14" s="193"/>
      <c r="G14" s="193"/>
      <c r="H14" s="193"/>
      <c r="I14" s="193"/>
      <c r="J14" s="193"/>
    </row>
    <row r="15" spans="1:10" ht="15" customHeight="1" x14ac:dyDescent="0.3">
      <c r="A15" s="193"/>
      <c r="B15" s="193"/>
      <c r="C15" s="193"/>
      <c r="D15" s="193"/>
      <c r="E15" s="193"/>
      <c r="F15" s="193"/>
      <c r="G15" s="193"/>
      <c r="H15" s="193"/>
      <c r="I15" s="193"/>
      <c r="J15" s="193"/>
    </row>
    <row r="16" spans="1:10" ht="15" customHeight="1" x14ac:dyDescent="0.3">
      <c r="A16" s="193"/>
      <c r="B16" s="193"/>
      <c r="C16" s="193"/>
      <c r="D16" s="193"/>
      <c r="E16" s="193"/>
      <c r="F16" s="193"/>
      <c r="G16" s="193"/>
      <c r="H16" s="193"/>
      <c r="I16" s="193"/>
      <c r="J16" s="193"/>
    </row>
    <row r="17" spans="1:10" ht="25.2" customHeight="1" x14ac:dyDescent="0.3">
      <c r="A17" s="193"/>
      <c r="B17" s="193"/>
      <c r="C17" s="193"/>
      <c r="D17" s="193"/>
      <c r="E17" s="193"/>
      <c r="F17" s="193"/>
      <c r="G17" s="193"/>
      <c r="H17" s="193"/>
      <c r="I17" s="193"/>
      <c r="J17" s="193"/>
    </row>
    <row r="18" spans="1:10" ht="47.4" customHeight="1" x14ac:dyDescent="0.3">
      <c r="A18" s="193"/>
      <c r="B18" s="193"/>
      <c r="C18" s="193"/>
      <c r="D18" s="193"/>
      <c r="E18" s="193"/>
      <c r="F18" s="193"/>
      <c r="G18" s="193"/>
      <c r="H18" s="193"/>
      <c r="I18" s="193"/>
      <c r="J18" s="193"/>
    </row>
    <row r="19" spans="1:10" x14ac:dyDescent="0.3">
      <c r="A19" s="2"/>
      <c r="H19" s="108"/>
    </row>
    <row r="20" spans="1:10" x14ac:dyDescent="0.3">
      <c r="A20" s="202" t="s">
        <v>315</v>
      </c>
      <c r="B20" s="202"/>
      <c r="C20" s="202"/>
      <c r="D20" s="202"/>
      <c r="E20" s="202"/>
      <c r="F20" s="202"/>
      <c r="G20" s="202"/>
      <c r="H20" s="202"/>
      <c r="I20" s="202"/>
      <c r="J20" s="202"/>
    </row>
    <row r="21" spans="1:10" x14ac:dyDescent="0.3">
      <c r="A21" s="202"/>
      <c r="B21" s="202"/>
      <c r="C21" s="202"/>
      <c r="D21" s="202"/>
      <c r="E21" s="202"/>
      <c r="F21" s="202"/>
      <c r="G21" s="202"/>
      <c r="H21" s="202"/>
      <c r="I21" s="202"/>
      <c r="J21" s="202"/>
    </row>
    <row r="22" spans="1:10" x14ac:dyDescent="0.3">
      <c r="A22" s="202"/>
      <c r="B22" s="202"/>
      <c r="C22" s="202"/>
      <c r="D22" s="202"/>
      <c r="E22" s="202"/>
      <c r="F22" s="202"/>
      <c r="G22" s="202"/>
      <c r="H22" s="202"/>
      <c r="I22" s="202"/>
      <c r="J22" s="202"/>
    </row>
    <row r="23" spans="1:10" ht="15" thickBot="1" x14ac:dyDescent="0.35">
      <c r="H23" s="108"/>
    </row>
    <row r="24" spans="1:10" ht="15" thickBot="1" x14ac:dyDescent="0.35">
      <c r="A24" s="13" t="s">
        <v>19</v>
      </c>
      <c r="B24" s="14"/>
      <c r="C24" s="15"/>
      <c r="D24" s="11"/>
      <c r="E24" s="110" t="s">
        <v>172</v>
      </c>
      <c r="F24" s="110" t="s">
        <v>173</v>
      </c>
      <c r="G24" s="110" t="s">
        <v>174</v>
      </c>
      <c r="H24" s="110" t="s">
        <v>175</v>
      </c>
      <c r="I24" s="110" t="s">
        <v>176</v>
      </c>
      <c r="J24" s="111" t="s">
        <v>177</v>
      </c>
    </row>
    <row r="25" spans="1:10" x14ac:dyDescent="0.3">
      <c r="A25" s="51" t="s">
        <v>238</v>
      </c>
      <c r="B25" s="6"/>
      <c r="C25" s="6"/>
      <c r="D25" s="59"/>
      <c r="E25" s="109"/>
      <c r="F25" s="109"/>
      <c r="G25" s="109"/>
      <c r="H25" s="109"/>
      <c r="I25" s="109"/>
      <c r="J25" s="109"/>
    </row>
    <row r="26" spans="1:10" x14ac:dyDescent="0.3">
      <c r="A26" s="6" t="s">
        <v>45</v>
      </c>
      <c r="B26" s="6"/>
      <c r="C26" s="6"/>
      <c r="D26" s="95">
        <v>1008894</v>
      </c>
      <c r="E26" s="62"/>
      <c r="F26" s="62"/>
      <c r="G26" s="62"/>
      <c r="H26" s="62"/>
      <c r="I26" s="62"/>
      <c r="J26" s="62"/>
    </row>
    <row r="27" spans="1:10" x14ac:dyDescent="0.3">
      <c r="A27" s="6" t="s">
        <v>241</v>
      </c>
      <c r="B27" s="6"/>
      <c r="C27" s="6"/>
      <c r="D27" s="95">
        <v>35211</v>
      </c>
      <c r="E27" s="62"/>
      <c r="F27" s="62"/>
      <c r="G27" s="62"/>
      <c r="H27" s="62"/>
      <c r="I27" s="62"/>
      <c r="J27" s="62"/>
    </row>
    <row r="28" spans="1:10" x14ac:dyDescent="0.3">
      <c r="A28" s="6" t="s">
        <v>239</v>
      </c>
      <c r="B28" s="6"/>
      <c r="C28" s="6"/>
      <c r="D28" s="95">
        <f>1533.8*80</f>
        <v>122704</v>
      </c>
      <c r="E28" s="62"/>
      <c r="F28" s="62"/>
      <c r="G28" s="62"/>
      <c r="H28" s="62"/>
      <c r="I28" s="62"/>
      <c r="J28" s="62"/>
    </row>
    <row r="29" spans="1:10" x14ac:dyDescent="0.3">
      <c r="A29" s="6" t="s">
        <v>240</v>
      </c>
      <c r="B29" s="6"/>
      <c r="C29" s="6"/>
      <c r="D29" s="95">
        <v>20931</v>
      </c>
      <c r="E29" s="62"/>
      <c r="F29" s="62"/>
      <c r="G29" s="62"/>
      <c r="H29" s="62"/>
      <c r="I29" s="62"/>
      <c r="J29" s="62"/>
    </row>
    <row r="30" spans="1:10" x14ac:dyDescent="0.3">
      <c r="A30" s="6" t="s">
        <v>331</v>
      </c>
      <c r="B30" s="6"/>
      <c r="C30" s="6"/>
      <c r="D30" s="95">
        <v>58852.2</v>
      </c>
      <c r="E30" s="62"/>
      <c r="F30" s="62"/>
      <c r="G30" s="62"/>
      <c r="H30" s="62"/>
      <c r="I30" s="62"/>
      <c r="J30" s="62"/>
    </row>
    <row r="31" spans="1:10" x14ac:dyDescent="0.3">
      <c r="A31" s="6" t="s">
        <v>242</v>
      </c>
      <c r="B31" s="6"/>
      <c r="C31" s="6"/>
      <c r="D31" s="95">
        <v>50000</v>
      </c>
      <c r="E31" s="62"/>
      <c r="F31" s="62"/>
      <c r="G31" s="62"/>
      <c r="H31" s="62"/>
      <c r="I31" s="62"/>
      <c r="J31" s="62"/>
    </row>
    <row r="32" spans="1:10" x14ac:dyDescent="0.3">
      <c r="A32" s="107" t="s">
        <v>171</v>
      </c>
      <c r="B32" s="104"/>
      <c r="C32" s="104"/>
      <c r="D32" s="105">
        <f>SUM(D26:D31)</f>
        <v>1296592.2</v>
      </c>
      <c r="E32" s="106"/>
      <c r="F32" s="106"/>
      <c r="G32" s="106"/>
      <c r="H32" s="106"/>
      <c r="I32" s="106"/>
      <c r="J32" s="106"/>
    </row>
    <row r="33" spans="1:12" x14ac:dyDescent="0.3">
      <c r="A33" s="51" t="s">
        <v>237</v>
      </c>
      <c r="B33" s="6"/>
      <c r="C33" s="6"/>
      <c r="D33" s="59"/>
      <c r="E33" s="6"/>
      <c r="F33" s="6"/>
      <c r="G33" s="6"/>
      <c r="H33" s="6"/>
      <c r="I33" s="6"/>
      <c r="J33" s="6"/>
    </row>
    <row r="34" spans="1:12" x14ac:dyDescent="0.3">
      <c r="A34" s="6" t="s">
        <v>45</v>
      </c>
      <c r="B34" s="6"/>
      <c r="C34" s="6"/>
      <c r="D34" s="95">
        <v>504447</v>
      </c>
      <c r="E34" s="62"/>
      <c r="F34" s="62"/>
      <c r="G34" s="62"/>
      <c r="H34" s="62"/>
      <c r="I34" s="62"/>
      <c r="J34" s="62"/>
    </row>
    <row r="35" spans="1:12" x14ac:dyDescent="0.3">
      <c r="A35" s="6" t="s">
        <v>314</v>
      </c>
      <c r="B35" s="6"/>
      <c r="C35" s="6"/>
      <c r="D35" s="95"/>
      <c r="E35" s="62"/>
      <c r="F35" s="62"/>
      <c r="G35" s="62"/>
      <c r="H35" s="62"/>
      <c r="I35" s="62"/>
      <c r="J35" s="62"/>
    </row>
    <row r="36" spans="1:12" x14ac:dyDescent="0.3">
      <c r="A36" s="6" t="s">
        <v>241</v>
      </c>
      <c r="B36" s="6"/>
      <c r="C36" s="6"/>
      <c r="D36" s="95">
        <f>D27</f>
        <v>35211</v>
      </c>
      <c r="E36" s="62"/>
      <c r="F36" s="62"/>
      <c r="G36" s="62"/>
      <c r="H36" s="62"/>
      <c r="I36" s="62"/>
      <c r="J36" s="62"/>
    </row>
    <row r="37" spans="1:12" x14ac:dyDescent="0.3">
      <c r="A37" s="6" t="s">
        <v>239</v>
      </c>
      <c r="B37" s="6"/>
      <c r="C37" s="6"/>
      <c r="D37" s="95">
        <f>D28</f>
        <v>122704</v>
      </c>
      <c r="E37" s="62"/>
      <c r="F37" s="62"/>
      <c r="G37" s="62"/>
      <c r="H37" s="62"/>
      <c r="I37" s="62"/>
      <c r="J37" s="62"/>
    </row>
    <row r="38" spans="1:12" x14ac:dyDescent="0.3">
      <c r="A38" s="6" t="s">
        <v>240</v>
      </c>
      <c r="B38" s="6"/>
      <c r="C38" s="6"/>
      <c r="D38" s="95">
        <f>D29</f>
        <v>20931</v>
      </c>
      <c r="E38" s="62"/>
      <c r="F38" s="62"/>
      <c r="G38" s="62"/>
      <c r="H38" s="62"/>
      <c r="I38" s="62"/>
      <c r="J38" s="62"/>
    </row>
    <row r="39" spans="1:12" x14ac:dyDescent="0.3">
      <c r="A39" s="6" t="s">
        <v>331</v>
      </c>
      <c r="B39" s="6"/>
      <c r="C39" s="6"/>
      <c r="D39" s="95">
        <v>58852.2</v>
      </c>
      <c r="E39" s="62"/>
      <c r="F39" s="62"/>
      <c r="G39" s="62"/>
      <c r="H39" s="62"/>
      <c r="I39" s="62"/>
      <c r="J39" s="62"/>
    </row>
    <row r="40" spans="1:12" x14ac:dyDescent="0.3">
      <c r="A40" s="6" t="s">
        <v>242</v>
      </c>
      <c r="B40" s="6"/>
      <c r="C40" s="6"/>
      <c r="D40" s="95">
        <v>50000</v>
      </c>
      <c r="E40" s="62"/>
      <c r="F40" s="62"/>
      <c r="G40" s="62"/>
      <c r="H40" s="62"/>
      <c r="I40" s="62"/>
      <c r="J40" s="62"/>
    </row>
    <row r="41" spans="1:12" x14ac:dyDescent="0.3">
      <c r="A41" s="107" t="s">
        <v>171</v>
      </c>
      <c r="B41" s="104"/>
      <c r="C41" s="104"/>
      <c r="D41" s="105">
        <f>SUM(D34:D40)</f>
        <v>792145.2</v>
      </c>
      <c r="E41" s="106"/>
      <c r="F41" s="106"/>
      <c r="G41" s="106"/>
      <c r="H41" s="106"/>
      <c r="I41" s="106"/>
      <c r="J41" s="106"/>
    </row>
    <row r="42" spans="1:12" ht="15.75" customHeight="1" x14ac:dyDescent="0.3">
      <c r="A42" s="34" t="s">
        <v>1</v>
      </c>
      <c r="B42" s="34"/>
      <c r="C42" s="34"/>
      <c r="D42" s="43">
        <f>D32+D41</f>
        <v>2088737.4</v>
      </c>
      <c r="E42" s="43">
        <f>D42*93.2%</f>
        <v>1946703.2568000001</v>
      </c>
      <c r="F42" s="87">
        <f>$D42*1.08%</f>
        <v>22558.36392</v>
      </c>
      <c r="G42" s="87">
        <f>$D42*1.28%</f>
        <v>26735.83872</v>
      </c>
      <c r="H42" s="87">
        <f>$D42*1.21%</f>
        <v>25273.722539999999</v>
      </c>
      <c r="I42" s="87">
        <f>$D42*1.49%</f>
        <v>31122.187259999999</v>
      </c>
      <c r="J42" s="87">
        <f>D42*1.74%</f>
        <v>36344.030759999994</v>
      </c>
      <c r="K42" s="44">
        <f>E42+J42+F42+G42+H42+I42</f>
        <v>2088737.4</v>
      </c>
      <c r="L42" s="163">
        <f>K42-600000</f>
        <v>1488737.4</v>
      </c>
    </row>
    <row r="43" spans="1:12" hidden="1" x14ac:dyDescent="0.3">
      <c r="A43" s="33" t="s">
        <v>34</v>
      </c>
      <c r="B43" s="6"/>
      <c r="C43" s="6"/>
      <c r="D43" s="96">
        <v>0</v>
      </c>
      <c r="E43" s="62">
        <f>D43*91.91%</f>
        <v>0</v>
      </c>
      <c r="F43" s="62"/>
      <c r="G43" s="62"/>
      <c r="H43" s="62"/>
      <c r="I43" s="62"/>
      <c r="J43" s="62">
        <f>D43*8.09%</f>
        <v>0</v>
      </c>
      <c r="L43" s="73"/>
    </row>
    <row r="44" spans="1:12" hidden="1" x14ac:dyDescent="0.3">
      <c r="A44" s="33"/>
      <c r="B44" s="6"/>
      <c r="C44" s="6"/>
      <c r="D44" s="95">
        <v>0</v>
      </c>
      <c r="E44" s="62">
        <f>D44*91.91%</f>
        <v>0</v>
      </c>
      <c r="F44" s="62"/>
      <c r="G44" s="62"/>
      <c r="H44" s="62"/>
      <c r="I44" s="62"/>
      <c r="J44" s="62">
        <f>D44*8.09%</f>
        <v>0</v>
      </c>
      <c r="L44" s="73"/>
    </row>
    <row r="45" spans="1:12" hidden="1" x14ac:dyDescent="0.3">
      <c r="A45" s="33"/>
      <c r="B45" s="6"/>
      <c r="C45" s="6"/>
      <c r="D45" s="95"/>
      <c r="E45" s="6"/>
      <c r="F45" s="6"/>
      <c r="G45" s="6"/>
      <c r="H45" s="6"/>
      <c r="I45" s="6"/>
      <c r="J45" s="6"/>
      <c r="L45" s="73"/>
    </row>
    <row r="46" spans="1:12" ht="0.75" customHeight="1" x14ac:dyDescent="0.3">
      <c r="A46" s="33"/>
      <c r="B46" s="6"/>
      <c r="C46" s="6"/>
      <c r="D46" s="95"/>
      <c r="E46" s="6"/>
      <c r="F46" s="6"/>
      <c r="G46" s="6"/>
      <c r="H46" s="6"/>
      <c r="I46" s="6"/>
      <c r="J46" s="6"/>
      <c r="L46" s="73"/>
    </row>
    <row r="47" spans="1:12" hidden="1" x14ac:dyDescent="0.3">
      <c r="A47" s="34" t="s">
        <v>40</v>
      </c>
      <c r="B47" s="34"/>
      <c r="C47" s="34"/>
      <c r="D47" s="43">
        <f>SUM(D43:D45)</f>
        <v>0</v>
      </c>
      <c r="E47" s="43">
        <f t="shared" ref="E47:J47" si="0">SUM(E43:E45)</f>
        <v>0</v>
      </c>
      <c r="F47" s="43"/>
      <c r="G47" s="43"/>
      <c r="H47" s="43"/>
      <c r="I47" s="43"/>
      <c r="J47" s="43">
        <f t="shared" si="0"/>
        <v>0</v>
      </c>
      <c r="K47" s="44">
        <f>E47+J47</f>
        <v>0</v>
      </c>
      <c r="L47" s="73" t="str">
        <f>IF(D47=K47, "", "Error")</f>
        <v/>
      </c>
    </row>
    <row r="48" spans="1:12" x14ac:dyDescent="0.3">
      <c r="A48" s="33" t="s">
        <v>253</v>
      </c>
      <c r="B48" s="6"/>
      <c r="C48" s="6"/>
      <c r="D48" s="96"/>
      <c r="E48" s="62">
        <f>D48*91.91%</f>
        <v>0</v>
      </c>
      <c r="F48" s="62"/>
      <c r="G48" s="62"/>
      <c r="H48" s="62"/>
      <c r="I48" s="62"/>
      <c r="J48" s="62">
        <f>D48*8.09%</f>
        <v>0</v>
      </c>
      <c r="L48" s="73"/>
    </row>
    <row r="49" spans="1:12" x14ac:dyDescent="0.3">
      <c r="A49" s="6"/>
      <c r="B49" s="6"/>
      <c r="C49" s="6"/>
      <c r="D49" s="95"/>
      <c r="E49" s="62">
        <f>D49</f>
        <v>0</v>
      </c>
      <c r="F49" s="62"/>
      <c r="G49" s="62"/>
      <c r="H49" s="62"/>
      <c r="I49" s="62"/>
      <c r="J49" s="62"/>
      <c r="L49" s="73"/>
    </row>
    <row r="50" spans="1:12" ht="15.75" customHeight="1" x14ac:dyDescent="0.3">
      <c r="A50" s="6"/>
      <c r="B50" s="6"/>
      <c r="C50" s="6"/>
      <c r="D50" s="95"/>
      <c r="E50" s="62">
        <f t="shared" ref="E50" si="1">D50</f>
        <v>0</v>
      </c>
      <c r="F50" s="62"/>
      <c r="G50" s="62"/>
      <c r="H50" s="62"/>
      <c r="I50" s="62"/>
      <c r="J50" s="62"/>
      <c r="L50" s="73"/>
    </row>
    <row r="51" spans="1:12" x14ac:dyDescent="0.3">
      <c r="A51" s="33"/>
      <c r="B51" s="6"/>
      <c r="C51" s="6"/>
      <c r="D51" s="95"/>
      <c r="E51" s="62">
        <f t="shared" ref="E51" si="2">D51*91.91%</f>
        <v>0</v>
      </c>
      <c r="F51" s="62"/>
      <c r="G51" s="62"/>
      <c r="H51" s="62"/>
      <c r="I51" s="62"/>
      <c r="J51" s="62">
        <f t="shared" ref="J51" si="3">D51*8.09%</f>
        <v>0</v>
      </c>
      <c r="L51" s="73"/>
    </row>
    <row r="52" spans="1:12" x14ac:dyDescent="0.3">
      <c r="A52" s="34" t="s">
        <v>35</v>
      </c>
      <c r="B52" s="34"/>
      <c r="C52" s="34"/>
      <c r="D52" s="43">
        <f>SUM(D44:D51)</f>
        <v>0</v>
      </c>
      <c r="E52" s="43">
        <f>SUM(E44:E51)</f>
        <v>0</v>
      </c>
      <c r="F52" s="43"/>
      <c r="G52" s="43"/>
      <c r="H52" s="43"/>
      <c r="I52" s="43"/>
      <c r="J52" s="49"/>
      <c r="K52" s="44">
        <f>E52+J52+F52+G52+H52+I52</f>
        <v>0</v>
      </c>
      <c r="L52" s="73" t="str">
        <f>IF(D52=K52, "", "Error")</f>
        <v/>
      </c>
    </row>
    <row r="53" spans="1:12" x14ac:dyDescent="0.3">
      <c r="A53" s="33" t="s">
        <v>247</v>
      </c>
      <c r="B53" s="36"/>
      <c r="C53" s="36"/>
      <c r="D53" s="95"/>
      <c r="E53" s="50"/>
      <c r="F53" s="50"/>
      <c r="G53" s="50"/>
      <c r="H53" s="50"/>
      <c r="I53" s="50"/>
      <c r="J53" s="50"/>
      <c r="L53" s="73"/>
    </row>
    <row r="54" spans="1:12" x14ac:dyDescent="0.3">
      <c r="A54" s="36" t="s">
        <v>250</v>
      </c>
      <c r="B54" s="36"/>
      <c r="C54" s="36" t="s">
        <v>330</v>
      </c>
      <c r="D54" s="95"/>
      <c r="E54" s="50"/>
      <c r="F54" s="50"/>
      <c r="G54" s="50"/>
      <c r="H54" s="50"/>
      <c r="I54" s="50"/>
      <c r="J54" s="50"/>
      <c r="L54" s="73"/>
    </row>
    <row r="55" spans="1:12" x14ac:dyDescent="0.3">
      <c r="A55" s="36" t="s">
        <v>252</v>
      </c>
      <c r="B55" s="36"/>
      <c r="C55" s="36" t="s">
        <v>325</v>
      </c>
      <c r="D55" s="95">
        <v>643422</v>
      </c>
      <c r="E55" s="50"/>
      <c r="F55" s="50"/>
      <c r="G55" s="50"/>
      <c r="H55" s="50"/>
      <c r="I55" s="50"/>
      <c r="J55" s="50"/>
      <c r="L55" s="73"/>
    </row>
    <row r="56" spans="1:12" x14ac:dyDescent="0.3">
      <c r="A56" s="36" t="s">
        <v>251</v>
      </c>
      <c r="B56" s="36"/>
      <c r="C56" s="36" t="str">
        <f>C55</f>
        <v>PMC 08/09</v>
      </c>
      <c r="D56" s="95">
        <v>643422</v>
      </c>
      <c r="E56" s="50"/>
      <c r="F56" s="50"/>
      <c r="G56" s="50"/>
      <c r="H56" s="50"/>
      <c r="I56" s="50"/>
      <c r="J56" s="50"/>
      <c r="L56" s="73"/>
    </row>
    <row r="57" spans="1:12" x14ac:dyDescent="0.3">
      <c r="A57" s="34" t="s">
        <v>249</v>
      </c>
      <c r="B57" s="34"/>
      <c r="C57" s="34"/>
      <c r="D57" s="141">
        <f>SUM(D54:D56)</f>
        <v>1286844</v>
      </c>
      <c r="E57" s="43">
        <f>D57*93.2%</f>
        <v>1199338.608</v>
      </c>
      <c r="F57" s="87">
        <f>$D57*1.08%</f>
        <v>13897.915200000001</v>
      </c>
      <c r="G57" s="87">
        <f>$D57*1.28%</f>
        <v>16471.603200000001</v>
      </c>
      <c r="H57" s="87">
        <f>$D57*1.21%</f>
        <v>15570.812399999999</v>
      </c>
      <c r="I57" s="87">
        <f>$D57*1.49%</f>
        <v>19173.975600000002</v>
      </c>
      <c r="J57" s="87">
        <f>D57*1.74%</f>
        <v>22391.085599999999</v>
      </c>
      <c r="K57" s="44">
        <f>E57+J57+F57+G57+H57+I57</f>
        <v>1286844</v>
      </c>
      <c r="L57" s="73" t="str">
        <f>IF(D57=K57, "", "Error")</f>
        <v/>
      </c>
    </row>
    <row r="58" spans="1:12" x14ac:dyDescent="0.3">
      <c r="A58" s="33" t="s">
        <v>2</v>
      </c>
      <c r="B58" s="6"/>
      <c r="C58" s="6"/>
      <c r="D58" s="45"/>
      <c r="E58" s="46"/>
      <c r="F58" s="46"/>
      <c r="G58" s="46"/>
      <c r="H58" s="46"/>
      <c r="I58" s="46"/>
      <c r="J58" s="6"/>
      <c r="L58" s="73"/>
    </row>
    <row r="59" spans="1:12" x14ac:dyDescent="0.3">
      <c r="A59" s="6" t="s">
        <v>243</v>
      </c>
      <c r="B59" s="6"/>
      <c r="C59" s="6" t="s">
        <v>329</v>
      </c>
      <c r="D59" s="45">
        <v>56231.41</v>
      </c>
      <c r="E59" s="128"/>
      <c r="F59" s="128"/>
      <c r="G59" s="128"/>
      <c r="H59" s="128"/>
      <c r="I59" s="128"/>
      <c r="J59" s="6"/>
      <c r="L59" s="73"/>
    </row>
    <row r="60" spans="1:12" x14ac:dyDescent="0.3">
      <c r="A60" s="6" t="s">
        <v>298</v>
      </c>
      <c r="B60" s="6"/>
      <c r="C60" s="6" t="s">
        <v>329</v>
      </c>
      <c r="D60" s="45">
        <v>64940.71</v>
      </c>
      <c r="E60" s="83"/>
      <c r="F60" s="83"/>
      <c r="G60" s="83"/>
      <c r="H60" s="83"/>
      <c r="I60" s="83"/>
      <c r="J60" s="6"/>
      <c r="L60" s="73"/>
    </row>
    <row r="61" spans="1:12" x14ac:dyDescent="0.3">
      <c r="A61" s="34" t="s">
        <v>248</v>
      </c>
      <c r="B61" s="34"/>
      <c r="C61" s="34"/>
      <c r="D61" s="43">
        <f>SUM(D58:D60)</f>
        <v>121172.12</v>
      </c>
      <c r="E61" s="43">
        <f>D61*93.2%</f>
        <v>112932.41584</v>
      </c>
      <c r="F61" s="87">
        <f>$D61*1.08%</f>
        <v>1308.6588959999999</v>
      </c>
      <c r="G61" s="87">
        <f>$D61*1.28%</f>
        <v>1551.003136</v>
      </c>
      <c r="H61" s="87">
        <f>$D61*1.21%</f>
        <v>1466.182652</v>
      </c>
      <c r="I61" s="87">
        <f>$D61*1.49%</f>
        <v>1805.464588</v>
      </c>
      <c r="J61" s="87">
        <f>D61*1.74%</f>
        <v>2108.3948879999998</v>
      </c>
      <c r="K61" s="44">
        <f>E61+J61+F61+G61+H61+I61</f>
        <v>121172.12</v>
      </c>
      <c r="L61" s="73" t="str">
        <f>IF(D61=K61, "", "Error")</f>
        <v/>
      </c>
    </row>
    <row r="62" spans="1:12" x14ac:dyDescent="0.3">
      <c r="A62" s="33" t="s">
        <v>230</v>
      </c>
      <c r="B62" s="6"/>
      <c r="C62" s="6"/>
      <c r="D62" s="142"/>
      <c r="E62" s="47"/>
      <c r="F62" s="47"/>
      <c r="G62" s="47"/>
      <c r="H62" s="47"/>
      <c r="I62" s="47"/>
      <c r="J62" s="37"/>
      <c r="L62" s="73"/>
    </row>
    <row r="63" spans="1:12" x14ac:dyDescent="0.3">
      <c r="A63" s="6" t="s">
        <v>234</v>
      </c>
      <c r="B63" s="6"/>
      <c r="C63" s="6" t="s">
        <v>326</v>
      </c>
      <c r="D63" s="45">
        <v>160913</v>
      </c>
      <c r="E63" s="62">
        <f>D63*93.2%</f>
        <v>149970.916</v>
      </c>
      <c r="F63" s="62">
        <f>$D63*1.08%</f>
        <v>1737.8604</v>
      </c>
      <c r="G63" s="62">
        <f>$D63*1.28%</f>
        <v>2059.6864</v>
      </c>
      <c r="H63" s="62">
        <f>$D63*1.21%</f>
        <v>1947.0473</v>
      </c>
      <c r="I63" s="62">
        <f>$D63*1.49%</f>
        <v>2397.6037000000001</v>
      </c>
      <c r="J63" s="62">
        <f>D63*1.74%</f>
        <v>2799.8861999999999</v>
      </c>
      <c r="K63" s="44">
        <f>SUM(E63:J63)</f>
        <v>160913.00000000003</v>
      </c>
      <c r="L63" s="73"/>
    </row>
    <row r="64" spans="1:12" x14ac:dyDescent="0.3">
      <c r="A64" s="6" t="s">
        <v>235</v>
      </c>
      <c r="B64" s="6"/>
      <c r="C64" s="6" t="s">
        <v>326</v>
      </c>
      <c r="D64" s="45">
        <v>7907</v>
      </c>
      <c r="E64" s="62">
        <f t="shared" ref="E64:E65" si="4">D64*93.2%</f>
        <v>7369.3240000000005</v>
      </c>
      <c r="F64" s="62">
        <f>$D64*1.08%</f>
        <v>85.395600000000002</v>
      </c>
      <c r="G64" s="62">
        <f>$D64*1.28%</f>
        <v>101.20960000000001</v>
      </c>
      <c r="H64" s="62">
        <f>$D64*1.21%</f>
        <v>95.674700000000001</v>
      </c>
      <c r="I64" s="62">
        <f>$D64*1.49%</f>
        <v>117.8143</v>
      </c>
      <c r="J64" s="62">
        <f>D64*1.74%</f>
        <v>137.58179999999999</v>
      </c>
      <c r="K64" s="44">
        <f t="shared" ref="K64:K65" si="5">SUM(E64:J64)</f>
        <v>7907</v>
      </c>
      <c r="L64" s="73"/>
    </row>
    <row r="65" spans="1:14" x14ac:dyDescent="0.3">
      <c r="A65" s="6" t="s">
        <v>236</v>
      </c>
      <c r="B65" s="6"/>
      <c r="C65" s="6" t="s">
        <v>302</v>
      </c>
      <c r="D65" s="45">
        <v>7907</v>
      </c>
      <c r="E65" s="62">
        <f t="shared" si="4"/>
        <v>7369.3240000000005</v>
      </c>
      <c r="F65" s="62">
        <f>$D65*1.08%</f>
        <v>85.395600000000002</v>
      </c>
      <c r="G65" s="62">
        <f>$D65*1.28%</f>
        <v>101.20960000000001</v>
      </c>
      <c r="H65" s="62">
        <f>$D65*1.21%</f>
        <v>95.674700000000001</v>
      </c>
      <c r="I65" s="62">
        <f>$D65*1.49%</f>
        <v>117.8143</v>
      </c>
      <c r="J65" s="62">
        <f>D65*1.74%</f>
        <v>137.58179999999999</v>
      </c>
      <c r="K65" s="44">
        <f t="shared" si="5"/>
        <v>7907</v>
      </c>
      <c r="L65" s="73"/>
    </row>
    <row r="66" spans="1:14" x14ac:dyDescent="0.3">
      <c r="A66" s="34" t="s">
        <v>3</v>
      </c>
      <c r="B66" s="35"/>
      <c r="C66" s="35"/>
      <c r="D66" s="43">
        <f>SUM(D63:D65)</f>
        <v>176727</v>
      </c>
      <c r="E66" s="43">
        <f>SUM(E63:E65)</f>
        <v>164709.56399999998</v>
      </c>
      <c r="F66" s="43">
        <f t="shared" ref="F66:I66" si="6">SUM(F63:F65)</f>
        <v>1908.6516000000001</v>
      </c>
      <c r="G66" s="43">
        <f t="shared" si="6"/>
        <v>2262.1056000000003</v>
      </c>
      <c r="H66" s="43">
        <f t="shared" si="6"/>
        <v>2138.3966999999998</v>
      </c>
      <c r="I66" s="43">
        <f t="shared" si="6"/>
        <v>2633.2323000000001</v>
      </c>
      <c r="J66" s="43">
        <f>SUM(J63:J65)</f>
        <v>3075.0497999999998</v>
      </c>
      <c r="K66" s="44">
        <f>E66+J66+F66+G66+H66+I66</f>
        <v>176727.00000000003</v>
      </c>
      <c r="L66" s="73" t="str">
        <f>IF(D66=K66, "", "Error")</f>
        <v/>
      </c>
    </row>
    <row r="67" spans="1:14" x14ac:dyDescent="0.3">
      <c r="A67" s="33" t="s">
        <v>4</v>
      </c>
      <c r="B67" s="6"/>
      <c r="C67" s="6"/>
      <c r="D67" s="98"/>
      <c r="E67" s="47"/>
      <c r="F67" s="47"/>
      <c r="G67" s="47"/>
      <c r="H67" s="47"/>
      <c r="I67" s="47"/>
      <c r="J67" s="6"/>
      <c r="L67" s="73"/>
    </row>
    <row r="68" spans="1:14" ht="16.5" customHeight="1" x14ac:dyDescent="0.3">
      <c r="A68" s="78" t="s">
        <v>244</v>
      </c>
      <c r="B68" s="6"/>
      <c r="C68" s="6"/>
      <c r="D68" s="154">
        <v>561764.05000000005</v>
      </c>
      <c r="E68" s="72">
        <f>D68*93.2%</f>
        <v>523564.09460000007</v>
      </c>
      <c r="F68" s="62">
        <f>$D68*1.08%</f>
        <v>6067.0517400000008</v>
      </c>
      <c r="G68" s="62">
        <f>$D68*1.28%</f>
        <v>7190.5798400000012</v>
      </c>
      <c r="H68" s="62">
        <f>$D68*1.21%</f>
        <v>6797.3450050000001</v>
      </c>
      <c r="I68" s="62">
        <f>$D68*1.49%</f>
        <v>8370.284345</v>
      </c>
      <c r="J68" s="62">
        <f>D68*1.74%</f>
        <v>9774.6944700000004</v>
      </c>
      <c r="K68" s="44">
        <f>D68</f>
        <v>561764.05000000005</v>
      </c>
      <c r="L68" s="82">
        <f>SUM(E68:J68)</f>
        <v>561764.05000000016</v>
      </c>
      <c r="M68" s="94">
        <f>L68-D68</f>
        <v>0</v>
      </c>
      <c r="N68" s="94">
        <f>K68-D68</f>
        <v>0</v>
      </c>
    </row>
    <row r="69" spans="1:14" x14ac:dyDescent="0.3">
      <c r="A69" s="6" t="s">
        <v>245</v>
      </c>
      <c r="B69" s="6"/>
      <c r="C69" s="6" t="s">
        <v>327</v>
      </c>
      <c r="D69" s="162">
        <v>2108365.5699999998</v>
      </c>
      <c r="E69" s="72">
        <f>D69*93.2%</f>
        <v>1964996.7112399999</v>
      </c>
      <c r="F69" s="62">
        <f>$D69*1.08%</f>
        <v>22770.348156</v>
      </c>
      <c r="G69" s="62">
        <f>$D69*1.28%</f>
        <v>26987.079296</v>
      </c>
      <c r="H69" s="62">
        <f>$D69*1.21%</f>
        <v>25511.223396999998</v>
      </c>
      <c r="I69" s="62">
        <f>$D69*1.49%</f>
        <v>31414.646992999998</v>
      </c>
      <c r="J69" s="62">
        <f>D69*1.74%</f>
        <v>36685.560917999996</v>
      </c>
      <c r="K69" s="44">
        <f t="shared" ref="K69:K81" si="7">D69</f>
        <v>2108365.5699999998</v>
      </c>
      <c r="L69" s="82">
        <f>E69+J69+I69+H69+G69+F69</f>
        <v>2108365.5699999998</v>
      </c>
      <c r="M69" s="94">
        <f>L69-D69</f>
        <v>0</v>
      </c>
      <c r="N69" s="94">
        <f>K69-D69</f>
        <v>0</v>
      </c>
    </row>
    <row r="70" spans="1:14" x14ac:dyDescent="0.3">
      <c r="A70" s="6" t="s">
        <v>246</v>
      </c>
      <c r="B70" s="6"/>
      <c r="C70" s="6" t="s">
        <v>327</v>
      </c>
      <c r="D70" s="45">
        <v>109824</v>
      </c>
      <c r="E70" s="72">
        <f>D70</f>
        <v>109824</v>
      </c>
      <c r="F70" s="62"/>
      <c r="G70" s="62"/>
      <c r="H70" s="62"/>
      <c r="I70" s="62"/>
      <c r="J70" s="62"/>
      <c r="K70" s="44">
        <f t="shared" si="7"/>
        <v>109824</v>
      </c>
      <c r="L70" s="82">
        <f>E70+J70+I70+H70+G70+F70</f>
        <v>109824</v>
      </c>
      <c r="M70" s="94">
        <f>L70-D70</f>
        <v>0</v>
      </c>
      <c r="N70" s="94">
        <f>K70-D70</f>
        <v>0</v>
      </c>
    </row>
    <row r="71" spans="1:14" x14ac:dyDescent="0.3">
      <c r="A71" s="6" t="s">
        <v>317</v>
      </c>
      <c r="B71" s="6"/>
      <c r="C71" s="36" t="s">
        <v>336</v>
      </c>
      <c r="D71" s="45">
        <v>268595.03999999998</v>
      </c>
      <c r="E71" s="72">
        <f>D71</f>
        <v>268595.03999999998</v>
      </c>
      <c r="F71" s="62"/>
      <c r="G71" s="62"/>
      <c r="H71" s="62"/>
      <c r="I71" s="62"/>
      <c r="J71" s="62"/>
      <c r="K71" s="44">
        <f t="shared" si="7"/>
        <v>268595.03999999998</v>
      </c>
      <c r="L71" s="82">
        <f>E71+J71+I71+H71+G71+F71</f>
        <v>268595.03999999998</v>
      </c>
      <c r="M71" s="94"/>
      <c r="N71" s="94"/>
    </row>
    <row r="72" spans="1:14" x14ac:dyDescent="0.3">
      <c r="A72" s="36" t="s">
        <v>301</v>
      </c>
      <c r="B72" s="36"/>
      <c r="C72" s="36" t="s">
        <v>319</v>
      </c>
      <c r="D72" s="45">
        <v>30000</v>
      </c>
      <c r="E72" s="72">
        <f>D72</f>
        <v>30000</v>
      </c>
      <c r="F72" s="62"/>
      <c r="G72" s="62"/>
      <c r="H72" s="62"/>
      <c r="I72" s="62"/>
      <c r="J72" s="62"/>
      <c r="K72" s="44">
        <f>D72</f>
        <v>30000</v>
      </c>
      <c r="L72" s="82">
        <f t="shared" ref="L72:L81" si="8">E72+J72+I72+H72+G72+F72</f>
        <v>30000</v>
      </c>
      <c r="M72" s="94">
        <f>L72-D72</f>
        <v>0</v>
      </c>
      <c r="N72" s="94">
        <f>K72-D72</f>
        <v>0</v>
      </c>
    </row>
    <row r="73" spans="1:14" x14ac:dyDescent="0.3">
      <c r="A73" s="36" t="s">
        <v>334</v>
      </c>
      <c r="B73" s="36"/>
      <c r="C73" s="36"/>
      <c r="D73" s="45">
        <v>420000</v>
      </c>
      <c r="E73" s="72">
        <f>D73</f>
        <v>420000</v>
      </c>
      <c r="F73" s="62"/>
      <c r="G73" s="62"/>
      <c r="H73" s="62"/>
      <c r="I73" s="62"/>
      <c r="J73" s="62"/>
      <c r="K73" s="44">
        <f>D73</f>
        <v>420000</v>
      </c>
      <c r="L73" s="82">
        <f t="shared" si="8"/>
        <v>420000</v>
      </c>
      <c r="M73" s="94"/>
      <c r="N73" s="94"/>
    </row>
    <row r="74" spans="1:14" x14ac:dyDescent="0.3">
      <c r="A74" s="36" t="s">
        <v>282</v>
      </c>
      <c r="B74" s="36"/>
      <c r="C74" s="36" t="s">
        <v>332</v>
      </c>
      <c r="D74" s="45">
        <v>9545.64</v>
      </c>
      <c r="E74" s="72">
        <f>D74*93.2%</f>
        <v>8896.5364800000007</v>
      </c>
      <c r="F74" s="62">
        <f>$D74*1.08%</f>
        <v>103.092912</v>
      </c>
      <c r="G74" s="62">
        <f>$D74*1.28%</f>
        <v>122.184192</v>
      </c>
      <c r="H74" s="62">
        <f>$D74*1.21%</f>
        <v>115.50224399999999</v>
      </c>
      <c r="I74" s="62">
        <f>$D74*1.49%</f>
        <v>142.23003599999998</v>
      </c>
      <c r="J74" s="62">
        <f>D74*1.74%</f>
        <v>166.09413599999999</v>
      </c>
      <c r="K74" s="44">
        <f t="shared" si="7"/>
        <v>9545.64</v>
      </c>
      <c r="L74" s="82">
        <f t="shared" si="8"/>
        <v>9545.6400000000012</v>
      </c>
      <c r="M74" s="94">
        <f>L74-D74</f>
        <v>0</v>
      </c>
      <c r="N74" s="94">
        <f t="shared" ref="N74:N81" si="9">K74-D74</f>
        <v>0</v>
      </c>
    </row>
    <row r="75" spans="1:14" x14ac:dyDescent="0.3">
      <c r="A75" s="36" t="s">
        <v>283</v>
      </c>
      <c r="B75" s="36"/>
      <c r="C75" s="36" t="str">
        <f>C74</f>
        <v>PMC 03/09</v>
      </c>
      <c r="D75" s="45">
        <v>829424.85</v>
      </c>
      <c r="E75" s="72">
        <f>D75*93.2%</f>
        <v>773023.96019999997</v>
      </c>
      <c r="F75" s="62">
        <f>$D75*1.08%</f>
        <v>8957.78838</v>
      </c>
      <c r="G75" s="62">
        <f>$D75*1.28%</f>
        <v>10616.638080000001</v>
      </c>
      <c r="H75" s="62">
        <f>$D75*1.21%</f>
        <v>10036.040685</v>
      </c>
      <c r="I75" s="62">
        <f>$D75*1.49%</f>
        <v>12358.430264999999</v>
      </c>
      <c r="J75" s="62">
        <f>D75*1.74%</f>
        <v>14431.992389999999</v>
      </c>
      <c r="K75" s="44">
        <f t="shared" si="7"/>
        <v>829424.85</v>
      </c>
      <c r="L75" s="82">
        <f t="shared" si="8"/>
        <v>829424.85</v>
      </c>
      <c r="M75" s="94">
        <f>L75-D75</f>
        <v>0</v>
      </c>
      <c r="N75" s="94">
        <f t="shared" si="9"/>
        <v>0</v>
      </c>
    </row>
    <row r="76" spans="1:14" x14ac:dyDescent="0.3">
      <c r="A76" s="168" t="s">
        <v>281</v>
      </c>
      <c r="B76" s="166"/>
      <c r="C76" s="166" t="s">
        <v>335</v>
      </c>
      <c r="D76" s="45">
        <v>100000</v>
      </c>
      <c r="E76" s="72">
        <f t="shared" ref="E76:E81" si="10">D76</f>
        <v>100000</v>
      </c>
      <c r="F76" s="72"/>
      <c r="G76" s="72"/>
      <c r="H76" s="72"/>
      <c r="I76" s="72"/>
      <c r="J76" s="62"/>
      <c r="K76" s="44">
        <f t="shared" si="7"/>
        <v>100000</v>
      </c>
      <c r="L76" s="82">
        <f t="shared" si="8"/>
        <v>100000</v>
      </c>
      <c r="M76" s="94">
        <f>L76-D76</f>
        <v>0</v>
      </c>
      <c r="N76" s="94">
        <f t="shared" si="9"/>
        <v>0</v>
      </c>
    </row>
    <row r="77" spans="1:14" x14ac:dyDescent="0.3">
      <c r="A77" s="168" t="s">
        <v>324</v>
      </c>
      <c r="B77" s="166"/>
      <c r="C77" s="166"/>
      <c r="D77" s="45">
        <v>120000</v>
      </c>
      <c r="E77" s="72">
        <f t="shared" si="10"/>
        <v>120000</v>
      </c>
      <c r="F77" s="72"/>
      <c r="G77" s="72"/>
      <c r="H77" s="72"/>
      <c r="I77" s="72"/>
      <c r="J77" s="62"/>
      <c r="K77" s="44">
        <f t="shared" si="7"/>
        <v>120000</v>
      </c>
      <c r="L77" s="82">
        <f t="shared" si="8"/>
        <v>120000</v>
      </c>
      <c r="M77" s="94"/>
      <c r="N77" s="94">
        <f t="shared" si="9"/>
        <v>0</v>
      </c>
    </row>
    <row r="78" spans="1:14" ht="29.25" customHeight="1" x14ac:dyDescent="0.3">
      <c r="A78" s="200" t="s">
        <v>333</v>
      </c>
      <c r="B78" s="201"/>
      <c r="C78" s="203"/>
      <c r="D78" s="45">
        <v>200000</v>
      </c>
      <c r="E78" s="72">
        <f t="shared" si="10"/>
        <v>200000</v>
      </c>
      <c r="F78" s="72"/>
      <c r="G78" s="72"/>
      <c r="H78" s="72"/>
      <c r="I78" s="72"/>
      <c r="J78" s="62"/>
      <c r="K78" s="44">
        <f t="shared" si="7"/>
        <v>200000</v>
      </c>
      <c r="L78" s="82">
        <f t="shared" si="8"/>
        <v>200000</v>
      </c>
      <c r="M78" s="94"/>
      <c r="N78" s="94">
        <f t="shared" si="9"/>
        <v>0</v>
      </c>
    </row>
    <row r="79" spans="1:14" ht="18.75" customHeight="1" x14ac:dyDescent="0.3">
      <c r="A79" s="200" t="s">
        <v>344</v>
      </c>
      <c r="B79" s="201"/>
      <c r="C79" s="203"/>
      <c r="D79" s="45">
        <v>410000</v>
      </c>
      <c r="E79" s="72">
        <f t="shared" si="10"/>
        <v>410000</v>
      </c>
      <c r="F79" s="72"/>
      <c r="G79" s="72"/>
      <c r="H79" s="72"/>
      <c r="I79" s="72"/>
      <c r="J79" s="62"/>
      <c r="K79" s="44">
        <f t="shared" si="7"/>
        <v>410000</v>
      </c>
      <c r="L79" s="82">
        <f t="shared" si="8"/>
        <v>410000</v>
      </c>
      <c r="M79" s="94"/>
      <c r="N79" s="94">
        <f t="shared" si="9"/>
        <v>0</v>
      </c>
    </row>
    <row r="80" spans="1:14" ht="29.25" customHeight="1" x14ac:dyDescent="0.3">
      <c r="A80" s="164" t="s">
        <v>345</v>
      </c>
      <c r="B80" s="165"/>
      <c r="C80" s="91"/>
      <c r="D80" s="45">
        <v>175724.97</v>
      </c>
      <c r="E80" s="72">
        <f t="shared" si="10"/>
        <v>175724.97</v>
      </c>
      <c r="F80" s="72"/>
      <c r="G80" s="72"/>
      <c r="H80" s="72"/>
      <c r="I80" s="72"/>
      <c r="J80" s="62"/>
      <c r="K80" s="44">
        <f t="shared" si="7"/>
        <v>175724.97</v>
      </c>
      <c r="L80" s="82">
        <f t="shared" si="8"/>
        <v>175724.97</v>
      </c>
      <c r="M80" s="94"/>
      <c r="N80" s="94">
        <f t="shared" si="9"/>
        <v>0</v>
      </c>
    </row>
    <row r="81" spans="1:14" ht="15" customHeight="1" x14ac:dyDescent="0.3">
      <c r="A81" s="152" t="s">
        <v>323</v>
      </c>
      <c r="B81" s="152"/>
      <c r="C81" s="167"/>
      <c r="D81" s="45">
        <v>75000</v>
      </c>
      <c r="E81" s="72">
        <f t="shared" si="10"/>
        <v>75000</v>
      </c>
      <c r="F81" s="72"/>
      <c r="G81" s="72"/>
      <c r="H81" s="72"/>
      <c r="I81" s="72"/>
      <c r="J81" s="62"/>
      <c r="K81" s="44">
        <f t="shared" si="7"/>
        <v>75000</v>
      </c>
      <c r="L81" s="82">
        <f t="shared" si="8"/>
        <v>75000</v>
      </c>
      <c r="M81" s="94">
        <f>L81-D81</f>
        <v>0</v>
      </c>
      <c r="N81" s="94">
        <f t="shared" si="9"/>
        <v>0</v>
      </c>
    </row>
    <row r="82" spans="1:14" x14ac:dyDescent="0.3">
      <c r="A82" s="78"/>
      <c r="B82" s="79"/>
      <c r="C82" s="79"/>
      <c r="D82" s="85"/>
      <c r="E82" s="72"/>
      <c r="F82" s="72"/>
      <c r="G82" s="72"/>
      <c r="H82" s="72"/>
      <c r="I82" s="72"/>
      <c r="J82" s="62"/>
      <c r="K82" s="44"/>
      <c r="L82" s="82"/>
      <c r="M82" t="str">
        <f>IF(K82=L82, "", "Error")</f>
        <v/>
      </c>
    </row>
    <row r="83" spans="1:14" ht="14.25" customHeight="1" x14ac:dyDescent="0.3">
      <c r="A83" s="34" t="s">
        <v>5</v>
      </c>
      <c r="B83" s="35"/>
      <c r="C83" s="35"/>
      <c r="D83" s="43">
        <f>SUM(D68:D82)</f>
        <v>5418244.1200000001</v>
      </c>
      <c r="E83" s="43">
        <f t="shared" ref="E83:J83" si="11">SUM(E68:E82)</f>
        <v>5179625.3125200002</v>
      </c>
      <c r="F83" s="43">
        <f t="shared" si="11"/>
        <v>37898.281188000001</v>
      </c>
      <c r="G83" s="43">
        <f t="shared" si="11"/>
        <v>44916.481408000007</v>
      </c>
      <c r="H83" s="43">
        <f t="shared" si="11"/>
        <v>42460.111330999993</v>
      </c>
      <c r="I83" s="43">
        <f t="shared" si="11"/>
        <v>52285.591638999991</v>
      </c>
      <c r="J83" s="43">
        <f t="shared" si="11"/>
        <v>61058.341913999997</v>
      </c>
      <c r="K83" s="44">
        <f>E83+J83+F83+G83+H83+I83</f>
        <v>5418244.1200000001</v>
      </c>
      <c r="L83" s="73" t="str">
        <f>IF(D83=K83, "", "Error")</f>
        <v/>
      </c>
      <c r="M83" s="94">
        <f>D83-K83</f>
        <v>0</v>
      </c>
    </row>
    <row r="84" spans="1:14" hidden="1" x14ac:dyDescent="0.3">
      <c r="A84" s="6"/>
      <c r="B84" s="6"/>
      <c r="C84" s="6"/>
      <c r="D84" s="98"/>
      <c r="E84" s="47"/>
      <c r="F84" s="47"/>
      <c r="G84" s="47"/>
      <c r="H84" s="47"/>
      <c r="I84" s="47"/>
      <c r="J84" s="6"/>
      <c r="L84" s="73"/>
    </row>
    <row r="85" spans="1:14" hidden="1" x14ac:dyDescent="0.3">
      <c r="A85" s="6"/>
      <c r="B85" s="6"/>
      <c r="C85" s="6"/>
      <c r="D85" s="98"/>
      <c r="E85" s="46"/>
      <c r="F85" s="46"/>
      <c r="G85" s="46"/>
      <c r="H85" s="46"/>
      <c r="I85" s="46"/>
      <c r="J85" s="6"/>
      <c r="L85" s="73"/>
    </row>
    <row r="86" spans="1:14" x14ac:dyDescent="0.3">
      <c r="A86" s="33" t="s">
        <v>231</v>
      </c>
      <c r="B86" s="6"/>
      <c r="C86" s="6"/>
      <c r="D86" s="98"/>
      <c r="E86" s="46"/>
      <c r="F86" s="46"/>
      <c r="G86" s="46"/>
      <c r="H86" s="46"/>
      <c r="I86" s="46"/>
      <c r="J86" s="6"/>
      <c r="L86" s="73"/>
    </row>
    <row r="87" spans="1:14" x14ac:dyDescent="0.3">
      <c r="A87" s="6" t="s">
        <v>318</v>
      </c>
      <c r="B87" s="36"/>
      <c r="C87" s="6"/>
      <c r="D87" s="45">
        <v>489000</v>
      </c>
      <c r="E87" s="72">
        <f>D87*93.2%</f>
        <v>455748</v>
      </c>
      <c r="F87" s="62">
        <f>$D87*1.08%</f>
        <v>5281.2000000000007</v>
      </c>
      <c r="G87" s="62">
        <f>$D87*1.28%</f>
        <v>6259.2000000000007</v>
      </c>
      <c r="H87" s="62">
        <f>$D87*1.21%</f>
        <v>5916.9</v>
      </c>
      <c r="I87" s="62">
        <f>$D87*1.49%</f>
        <v>7286.1</v>
      </c>
      <c r="J87" s="62">
        <f>D87*1.74%</f>
        <v>8508.5999999999985</v>
      </c>
      <c r="K87" s="81"/>
      <c r="L87" s="73"/>
    </row>
    <row r="88" spans="1:14" x14ac:dyDescent="0.3">
      <c r="A88" s="6" t="s">
        <v>328</v>
      </c>
      <c r="B88" s="36"/>
      <c r="C88" s="6"/>
      <c r="D88" s="45">
        <v>83490</v>
      </c>
      <c r="E88" s="72">
        <f>D88</f>
        <v>83490</v>
      </c>
      <c r="F88" s="62"/>
      <c r="G88" s="62"/>
      <c r="H88" s="62"/>
      <c r="I88" s="62"/>
      <c r="J88" s="62"/>
      <c r="K88" s="81"/>
      <c r="L88" s="73"/>
    </row>
    <row r="89" spans="1:14" x14ac:dyDescent="0.3">
      <c r="A89" s="6"/>
      <c r="B89" s="36"/>
      <c r="C89" s="6"/>
      <c r="D89" s="45"/>
      <c r="E89" s="72"/>
      <c r="F89" s="62"/>
      <c r="G89" s="62"/>
      <c r="H89" s="62"/>
      <c r="I89" s="62"/>
      <c r="J89" s="62"/>
      <c r="K89" s="81"/>
      <c r="L89" s="73"/>
    </row>
    <row r="90" spans="1:14" x14ac:dyDescent="0.3">
      <c r="A90" s="6"/>
      <c r="B90" s="36"/>
      <c r="C90" s="6"/>
      <c r="D90" s="45"/>
      <c r="E90" s="72"/>
      <c r="F90" s="62"/>
      <c r="G90" s="62"/>
      <c r="H90" s="62"/>
      <c r="I90" s="62"/>
      <c r="J90" s="62"/>
      <c r="K90" s="81"/>
      <c r="L90" s="73"/>
    </row>
    <row r="91" spans="1:14" x14ac:dyDescent="0.3">
      <c r="A91" s="6"/>
      <c r="B91" s="36"/>
      <c r="C91" s="6"/>
      <c r="D91" s="45"/>
      <c r="E91" s="83"/>
      <c r="F91" s="83"/>
      <c r="G91" s="83"/>
      <c r="H91" s="83"/>
      <c r="I91" s="83"/>
      <c r="J91" s="62"/>
      <c r="K91" s="81"/>
      <c r="L91" s="73"/>
    </row>
    <row r="92" spans="1:14" x14ac:dyDescent="0.3">
      <c r="A92" s="6"/>
      <c r="B92" s="6"/>
      <c r="C92" s="6"/>
      <c r="D92" s="45"/>
      <c r="E92" s="72"/>
      <c r="F92" s="62"/>
      <c r="G92" s="62"/>
      <c r="H92" s="62"/>
      <c r="I92" s="62"/>
      <c r="J92" s="62"/>
      <c r="L92" s="73"/>
      <c r="M92" s="44"/>
    </row>
    <row r="93" spans="1:14" ht="13.5" customHeight="1" x14ac:dyDescent="0.3">
      <c r="A93" s="34" t="s">
        <v>232</v>
      </c>
      <c r="B93" s="34"/>
      <c r="C93" s="34"/>
      <c r="D93" s="43">
        <f>SUM(D87:D92)</f>
        <v>572490</v>
      </c>
      <c r="E93" s="43">
        <f t="shared" ref="E93:J93" si="12">SUM(E87:E92)</f>
        <v>539238</v>
      </c>
      <c r="F93" s="43">
        <f t="shared" si="12"/>
        <v>5281.2000000000007</v>
      </c>
      <c r="G93" s="43">
        <f t="shared" si="12"/>
        <v>6259.2000000000007</v>
      </c>
      <c r="H93" s="43">
        <f t="shared" si="12"/>
        <v>5916.9</v>
      </c>
      <c r="I93" s="43">
        <f t="shared" si="12"/>
        <v>7286.1</v>
      </c>
      <c r="J93" s="43">
        <f t="shared" si="12"/>
        <v>8508.5999999999985</v>
      </c>
      <c r="K93" s="44">
        <f>E93+J93+F93+G93+H93+I93</f>
        <v>572489.99999999988</v>
      </c>
      <c r="L93" s="73" t="str">
        <f>IF(D93=K93, "", "Error")</f>
        <v/>
      </c>
      <c r="N93" s="44"/>
    </row>
    <row r="94" spans="1:14" hidden="1" x14ac:dyDescent="0.3">
      <c r="A94" s="6"/>
      <c r="B94" s="6"/>
      <c r="C94" s="6"/>
      <c r="D94" s="98"/>
      <c r="E94" s="47"/>
      <c r="F94" s="47"/>
      <c r="G94" s="47"/>
      <c r="H94" s="47"/>
      <c r="I94" s="47"/>
      <c r="J94" s="6"/>
      <c r="L94" s="73"/>
    </row>
    <row r="95" spans="1:14" hidden="1" x14ac:dyDescent="0.3">
      <c r="A95" s="6"/>
      <c r="B95" s="6"/>
      <c r="C95" s="6"/>
      <c r="D95" s="98"/>
      <c r="E95" s="46"/>
      <c r="F95" s="46"/>
      <c r="G95" s="46"/>
      <c r="H95" s="46"/>
      <c r="I95" s="46"/>
      <c r="J95" s="6"/>
      <c r="L95" s="73"/>
    </row>
    <row r="96" spans="1:14" x14ac:dyDescent="0.3">
      <c r="A96" s="33" t="s">
        <v>6</v>
      </c>
      <c r="B96" s="6"/>
      <c r="C96" s="6"/>
      <c r="D96" s="98"/>
      <c r="E96" s="46"/>
      <c r="F96" s="46"/>
      <c r="G96" s="46"/>
      <c r="H96" s="46"/>
      <c r="I96" s="46"/>
      <c r="J96" s="6"/>
      <c r="L96" s="73"/>
    </row>
    <row r="97" spans="1:14" ht="14.25" customHeight="1" x14ac:dyDescent="0.3">
      <c r="A97" s="6" t="s">
        <v>7</v>
      </c>
      <c r="B97" s="6" t="s">
        <v>39</v>
      </c>
      <c r="C97" s="6"/>
      <c r="D97" s="45">
        <v>700000</v>
      </c>
      <c r="E97" s="72">
        <f>D97*93.2%</f>
        <v>652400</v>
      </c>
      <c r="F97" s="62">
        <f>$D97*1.08%</f>
        <v>7560</v>
      </c>
      <c r="G97" s="62">
        <f>$D97*1.28%</f>
        <v>8960</v>
      </c>
      <c r="H97" s="62">
        <f>$D97*1.21%</f>
        <v>8470</v>
      </c>
      <c r="I97" s="62">
        <f>$D97*1.49%</f>
        <v>10430</v>
      </c>
      <c r="J97" s="62">
        <f>D97*1.74%</f>
        <v>12180</v>
      </c>
      <c r="L97" s="73"/>
    </row>
    <row r="98" spans="1:14" x14ac:dyDescent="0.3">
      <c r="A98" s="33"/>
      <c r="B98" s="6"/>
      <c r="C98" s="6"/>
      <c r="D98" s="45"/>
      <c r="E98" s="72"/>
      <c r="F98" s="72"/>
      <c r="G98" s="72"/>
      <c r="H98" s="72"/>
      <c r="I98" s="72"/>
      <c r="J98" s="62"/>
      <c r="L98" s="73"/>
      <c r="N98" s="45"/>
    </row>
    <row r="99" spans="1:14" x14ac:dyDescent="0.3">
      <c r="A99" s="6"/>
      <c r="B99" s="6"/>
      <c r="C99" s="6"/>
      <c r="D99" s="98"/>
      <c r="E99" s="48"/>
      <c r="F99" s="48"/>
      <c r="G99" s="48"/>
      <c r="H99" s="48"/>
      <c r="I99" s="48"/>
      <c r="J99" s="6"/>
      <c r="L99" s="73"/>
      <c r="N99" s="44"/>
    </row>
    <row r="100" spans="1:14" x14ac:dyDescent="0.3">
      <c r="A100" s="34" t="s">
        <v>8</v>
      </c>
      <c r="B100" s="34"/>
      <c r="C100" s="34"/>
      <c r="D100" s="43">
        <f>SUM(D97:D99)</f>
        <v>700000</v>
      </c>
      <c r="E100" s="43">
        <f>SUM(E97:E99)</f>
        <v>652400</v>
      </c>
      <c r="F100" s="43">
        <f t="shared" ref="F100:I100" si="13">SUM(F97:F99)</f>
        <v>7560</v>
      </c>
      <c r="G100" s="43">
        <f t="shared" si="13"/>
        <v>8960</v>
      </c>
      <c r="H100" s="43">
        <f t="shared" si="13"/>
        <v>8470</v>
      </c>
      <c r="I100" s="43">
        <f t="shared" si="13"/>
        <v>10430</v>
      </c>
      <c r="J100" s="43">
        <f>SUM(J97:J99)</f>
        <v>12180</v>
      </c>
      <c r="K100" s="44">
        <f>E100+J100+F100+G100+H100+I100</f>
        <v>700000</v>
      </c>
      <c r="L100" s="73" t="str">
        <f>IF(D100=K100, "", "Error")</f>
        <v/>
      </c>
      <c r="N100" s="44"/>
    </row>
    <row r="101" spans="1:14" x14ac:dyDescent="0.3">
      <c r="A101" s="6" t="s">
        <v>28</v>
      </c>
      <c r="B101" s="6" t="s">
        <v>284</v>
      </c>
      <c r="C101" s="6"/>
      <c r="D101" s="45"/>
      <c r="E101" s="72">
        <f>D101*93.2%</f>
        <v>0</v>
      </c>
      <c r="F101" s="62">
        <f>$D101*1.08%</f>
        <v>0</v>
      </c>
      <c r="G101" s="62">
        <f>$D101*1.28%</f>
        <v>0</v>
      </c>
      <c r="H101" s="62">
        <f>$D101*1.21%</f>
        <v>0</v>
      </c>
      <c r="I101" s="62">
        <f>$D101*1.49%</f>
        <v>0</v>
      </c>
      <c r="J101" s="62">
        <f>D101*1.74%</f>
        <v>0</v>
      </c>
      <c r="L101" s="73"/>
    </row>
    <row r="102" spans="1:14" x14ac:dyDescent="0.3">
      <c r="A102" s="6" t="s">
        <v>29</v>
      </c>
      <c r="B102" s="6" t="s">
        <v>284</v>
      </c>
      <c r="C102" s="52"/>
      <c r="D102" s="45"/>
      <c r="E102" s="72">
        <f>D102*93.2%</f>
        <v>0</v>
      </c>
      <c r="F102" s="62">
        <f>$D102*1.08%</f>
        <v>0</v>
      </c>
      <c r="G102" s="62">
        <f>$D102*1.28%</f>
        <v>0</v>
      </c>
      <c r="H102" s="62">
        <f>$D102*1.21%</f>
        <v>0</v>
      </c>
      <c r="I102" s="62">
        <f>$D102*1.49%</f>
        <v>0</v>
      </c>
      <c r="J102" s="62">
        <f>D102*1.74%</f>
        <v>0</v>
      </c>
      <c r="L102" s="73"/>
    </row>
    <row r="103" spans="1:14" x14ac:dyDescent="0.3">
      <c r="A103" s="34" t="s">
        <v>233</v>
      </c>
      <c r="B103" s="34"/>
      <c r="C103" s="34"/>
      <c r="D103" s="80">
        <f>SUM(D101:D102)</f>
        <v>0</v>
      </c>
      <c r="E103" s="71">
        <f t="shared" ref="E103:J103" si="14">SUM(E101:E102)</f>
        <v>0</v>
      </c>
      <c r="F103" s="71">
        <f t="shared" si="14"/>
        <v>0</v>
      </c>
      <c r="G103" s="71">
        <f t="shared" si="14"/>
        <v>0</v>
      </c>
      <c r="H103" s="71">
        <f t="shared" si="14"/>
        <v>0</v>
      </c>
      <c r="I103" s="71">
        <f t="shared" si="14"/>
        <v>0</v>
      </c>
      <c r="J103" s="71">
        <f t="shared" si="14"/>
        <v>0</v>
      </c>
      <c r="K103" s="44">
        <f>E103+J103+F103+G103+H103+I103</f>
        <v>0</v>
      </c>
      <c r="L103" s="73" t="str">
        <f>IF(D103=K103, "", "Error")</f>
        <v/>
      </c>
    </row>
    <row r="104" spans="1:14" ht="15" thickBot="1" x14ac:dyDescent="0.35">
      <c r="A104" s="112"/>
      <c r="B104" s="112"/>
      <c r="C104" s="112"/>
      <c r="D104" s="113"/>
      <c r="E104" s="10"/>
      <c r="F104" s="10"/>
      <c r="G104" s="10"/>
      <c r="H104" s="10"/>
      <c r="I104" s="10"/>
      <c r="J104" s="112"/>
      <c r="L104" s="73"/>
    </row>
    <row r="105" spans="1:14" ht="15" thickBot="1" x14ac:dyDescent="0.35">
      <c r="A105" s="114" t="s">
        <v>46</v>
      </c>
      <c r="B105" s="115"/>
      <c r="C105" s="115"/>
      <c r="D105" s="116"/>
      <c r="E105" s="139">
        <f>D105*93.2%</f>
        <v>0</v>
      </c>
      <c r="F105" s="139">
        <f>$D105*1.08%</f>
        <v>0</v>
      </c>
      <c r="G105" s="139">
        <f>$D105*1.28%</f>
        <v>0</v>
      </c>
      <c r="H105" s="139">
        <f>$D105*1.21%</f>
        <v>0</v>
      </c>
      <c r="I105" s="139">
        <f>$D105*1.49%</f>
        <v>0</v>
      </c>
      <c r="J105" s="140">
        <f>D105*1.74%</f>
        <v>0</v>
      </c>
      <c r="K105" s="44">
        <f>E105+J105+F105+G105+H105+I105</f>
        <v>0</v>
      </c>
      <c r="L105" s="73" t="str">
        <f>IF(D105=K105, "", "Error")</f>
        <v/>
      </c>
    </row>
    <row r="106" spans="1:14" ht="15" thickBot="1" x14ac:dyDescent="0.35">
      <c r="A106" s="117"/>
      <c r="B106" s="118"/>
      <c r="C106" s="118"/>
      <c r="D106" s="119"/>
      <c r="E106" s="120"/>
      <c r="F106" s="120"/>
      <c r="G106" s="120"/>
      <c r="H106" s="120"/>
      <c r="I106" s="120"/>
      <c r="J106" s="121"/>
      <c r="K106" s="44"/>
      <c r="L106" s="73"/>
    </row>
    <row r="107" spans="1:14" ht="15" thickBot="1" x14ac:dyDescent="0.35">
      <c r="A107" s="3" t="s">
        <v>30</v>
      </c>
      <c r="B107" s="12"/>
      <c r="C107" s="4"/>
      <c r="D107" s="99">
        <f t="shared" ref="D107:J107" si="15">SUM(D105+D57+D52+D103+D100+D93+D83+D66+D47+D42+D61)</f>
        <v>10364214.639999999</v>
      </c>
      <c r="E107" s="99">
        <f t="shared" si="15"/>
        <v>9794947.1571600009</v>
      </c>
      <c r="F107" s="99">
        <f t="shared" si="15"/>
        <v>90413.070804000003</v>
      </c>
      <c r="G107" s="99">
        <f t="shared" si="15"/>
        <v>107156.23206400001</v>
      </c>
      <c r="H107" s="99">
        <f t="shared" si="15"/>
        <v>101296.12562299999</v>
      </c>
      <c r="I107" s="99">
        <f t="shared" si="15"/>
        <v>124736.55138700001</v>
      </c>
      <c r="J107" s="99">
        <f t="shared" si="15"/>
        <v>145665.502962</v>
      </c>
      <c r="K107" s="65">
        <f>E107+J107+F107+G107+H107+I107</f>
        <v>10364214.640000002</v>
      </c>
      <c r="L107" s="73" t="str">
        <f>IF(D107=K107, "", "Error")</f>
        <v/>
      </c>
      <c r="M107" s="94">
        <f>D107-K107</f>
        <v>0</v>
      </c>
    </row>
    <row r="108" spans="1:14" ht="15" thickBot="1" x14ac:dyDescent="0.35">
      <c r="D108" s="97"/>
      <c r="E108" s="44"/>
      <c r="F108" s="44"/>
      <c r="G108" s="44"/>
      <c r="H108" s="44"/>
      <c r="I108" s="44"/>
    </row>
    <row r="109" spans="1:14" ht="15" thickBot="1" x14ac:dyDescent="0.35">
      <c r="A109" s="68" t="s">
        <v>41</v>
      </c>
      <c r="B109" s="67"/>
      <c r="C109" s="67"/>
      <c r="E109" s="44"/>
      <c r="F109" s="44"/>
      <c r="G109" s="44"/>
      <c r="H109" s="44"/>
      <c r="I109" s="44"/>
    </row>
    <row r="110" spans="1:14" x14ac:dyDescent="0.3">
      <c r="A110" s="1"/>
      <c r="C110" s="144"/>
      <c r="E110" s="44"/>
      <c r="F110" s="44"/>
      <c r="G110" s="44"/>
      <c r="H110" s="44"/>
      <c r="I110" s="44"/>
    </row>
    <row r="111" spans="1:14" x14ac:dyDescent="0.3">
      <c r="A111" s="1"/>
      <c r="C111" s="144"/>
      <c r="E111" s="44"/>
      <c r="F111" s="44"/>
      <c r="G111" s="44"/>
      <c r="H111" s="44"/>
      <c r="I111" s="44"/>
    </row>
    <row r="112" spans="1:14" x14ac:dyDescent="0.3">
      <c r="A112" s="1"/>
      <c r="C112" s="144"/>
      <c r="E112" s="44"/>
      <c r="F112" s="44"/>
      <c r="G112" s="44"/>
      <c r="H112" s="44"/>
      <c r="I112" s="44"/>
    </row>
    <row r="113" spans="1:13" ht="15" thickBot="1" x14ac:dyDescent="0.35">
      <c r="A113" s="1"/>
      <c r="C113" s="144"/>
      <c r="E113" s="44"/>
      <c r="F113" s="44"/>
      <c r="G113" s="44"/>
      <c r="H113" s="44"/>
      <c r="I113" s="44"/>
    </row>
    <row r="114" spans="1:13" ht="15" thickBot="1" x14ac:dyDescent="0.35">
      <c r="A114" s="69" t="s">
        <v>17</v>
      </c>
      <c r="B114" s="70"/>
      <c r="C114" s="66">
        <f>SUM(C110:C113)</f>
        <v>0</v>
      </c>
      <c r="E114" s="44"/>
      <c r="F114" s="44"/>
      <c r="G114" s="44"/>
      <c r="H114" s="44"/>
      <c r="I114" s="44"/>
    </row>
    <row r="115" spans="1:13" x14ac:dyDescent="0.3">
      <c r="E115" s="44"/>
      <c r="F115" s="44"/>
      <c r="G115" s="44"/>
      <c r="H115" s="44"/>
      <c r="I115" s="44"/>
    </row>
    <row r="116" spans="1:13" x14ac:dyDescent="0.3">
      <c r="E116" s="64"/>
      <c r="F116" s="64"/>
      <c r="G116" s="64"/>
      <c r="H116" s="64"/>
      <c r="I116" s="64"/>
    </row>
    <row r="117" spans="1:13" x14ac:dyDescent="0.3">
      <c r="A117" s="198" t="s">
        <v>36</v>
      </c>
      <c r="B117" s="199"/>
      <c r="C117" s="199"/>
      <c r="D117" s="199"/>
      <c r="E117" s="89" t="s">
        <v>11</v>
      </c>
      <c r="F117" s="89" t="s">
        <v>173</v>
      </c>
      <c r="G117" s="89" t="s">
        <v>174</v>
      </c>
      <c r="H117" s="89" t="s">
        <v>175</v>
      </c>
      <c r="I117" s="89" t="s">
        <v>176</v>
      </c>
      <c r="J117" s="90" t="s">
        <v>177</v>
      </c>
    </row>
    <row r="118" spans="1:13" ht="22.5" customHeight="1" x14ac:dyDescent="0.3">
      <c r="A118" s="200"/>
      <c r="B118" s="201"/>
      <c r="C118" s="91"/>
      <c r="D118" s="45"/>
      <c r="E118" s="72">
        <f>D118</f>
        <v>0</v>
      </c>
      <c r="F118" s="72"/>
      <c r="G118" s="72"/>
      <c r="H118" s="72"/>
      <c r="I118" s="72"/>
      <c r="J118" s="62"/>
    </row>
    <row r="119" spans="1:13" ht="24.75" customHeight="1" x14ac:dyDescent="0.3">
      <c r="A119" s="200"/>
      <c r="B119" s="201"/>
      <c r="C119" s="91"/>
      <c r="D119" s="45"/>
      <c r="E119" s="72"/>
      <c r="F119" s="72"/>
      <c r="G119" s="72"/>
      <c r="H119" s="72"/>
      <c r="I119" s="72"/>
      <c r="J119" s="62"/>
    </row>
    <row r="120" spans="1:13" x14ac:dyDescent="0.3">
      <c r="A120" s="195" t="s">
        <v>17</v>
      </c>
      <c r="B120" s="196"/>
      <c r="C120" s="197"/>
      <c r="D120" s="88">
        <f>SUM(D118:D119)</f>
        <v>0</v>
      </c>
      <c r="E120" s="88">
        <f>SUM(E118:E119)</f>
        <v>0</v>
      </c>
      <c r="F120" s="88"/>
      <c r="G120" s="88"/>
      <c r="H120" s="88"/>
      <c r="I120" s="88"/>
      <c r="J120" s="88">
        <f>SUM(J118:J119)</f>
        <v>0</v>
      </c>
      <c r="L120" s="44">
        <f>E120+J120</f>
        <v>0</v>
      </c>
      <c r="M120" s="73" t="str">
        <f>IF(D120=L120, "", "Error")</f>
        <v/>
      </c>
    </row>
    <row r="122" spans="1:13" ht="15" thickBot="1" x14ac:dyDescent="0.35">
      <c r="E122" s="44"/>
      <c r="F122" s="44"/>
      <c r="G122" s="44"/>
      <c r="H122" s="44"/>
      <c r="I122" s="44"/>
    </row>
    <row r="123" spans="1:13" ht="19.5" customHeight="1" thickBot="1" x14ac:dyDescent="0.35">
      <c r="A123" s="39" t="s">
        <v>31</v>
      </c>
      <c r="B123" s="40">
        <f>D107</f>
        <v>10364214.639999999</v>
      </c>
    </row>
    <row r="124" spans="1:13" ht="18.75" customHeight="1" thickBot="1" x14ac:dyDescent="0.35">
      <c r="A124" s="41" t="s">
        <v>33</v>
      </c>
      <c r="B124" s="42">
        <f>D107-D105</f>
        <v>10364214.639999999</v>
      </c>
      <c r="D124" s="204" t="s">
        <v>346</v>
      </c>
      <c r="E124" s="204"/>
      <c r="F124" s="204"/>
      <c r="G124" s="204"/>
      <c r="H124" s="204"/>
      <c r="I124" s="204"/>
    </row>
    <row r="125" spans="1:13" x14ac:dyDescent="0.3">
      <c r="D125" s="204"/>
      <c r="E125" s="204"/>
      <c r="F125" s="204"/>
      <c r="G125" s="204"/>
      <c r="H125" s="204"/>
      <c r="I125" s="204"/>
    </row>
    <row r="126" spans="1:13" x14ac:dyDescent="0.3">
      <c r="A126" s="17" t="s">
        <v>20</v>
      </c>
      <c r="B126" s="18"/>
      <c r="C126" s="19"/>
      <c r="D126" s="204"/>
      <c r="E126" s="204"/>
      <c r="F126" s="204"/>
      <c r="G126" s="204"/>
      <c r="H126" s="204"/>
      <c r="I126" s="204"/>
    </row>
    <row r="127" spans="1:13" x14ac:dyDescent="0.3">
      <c r="A127" s="20" t="s">
        <v>21</v>
      </c>
      <c r="B127" s="9">
        <v>-475577.80664000317</v>
      </c>
      <c r="C127" s="21"/>
      <c r="D127" s="204"/>
      <c r="E127" s="204"/>
      <c r="F127" s="204"/>
      <c r="G127" s="204"/>
      <c r="H127" s="204"/>
      <c r="I127" s="204"/>
    </row>
    <row r="128" spans="1:13" x14ac:dyDescent="0.3">
      <c r="A128" s="22" t="s">
        <v>22</v>
      </c>
      <c r="B128" s="31">
        <f>PRORRATEO!H127</f>
        <v>9271155.2162119988</v>
      </c>
      <c r="C128" s="21" t="s">
        <v>23</v>
      </c>
      <c r="D128" s="204"/>
      <c r="E128" s="204"/>
      <c r="F128" s="204"/>
      <c r="G128" s="204"/>
      <c r="H128" s="204"/>
      <c r="I128" s="204"/>
    </row>
    <row r="129" spans="1:11" x14ac:dyDescent="0.3">
      <c r="A129" s="22" t="s">
        <v>38</v>
      </c>
      <c r="B129" s="93">
        <f>-B124</f>
        <v>-10364214.639999999</v>
      </c>
      <c r="C129" s="19"/>
      <c r="D129" s="204"/>
      <c r="E129" s="204"/>
      <c r="F129" s="204"/>
      <c r="G129" s="204"/>
      <c r="H129" s="204"/>
      <c r="I129" s="204"/>
      <c r="K129" s="45"/>
    </row>
    <row r="130" spans="1:11" x14ac:dyDescent="0.3">
      <c r="A130" s="22" t="s">
        <v>37</v>
      </c>
      <c r="B130" s="93">
        <f>-D120</f>
        <v>0</v>
      </c>
      <c r="C130" s="19"/>
      <c r="D130" s="204"/>
      <c r="E130" s="204"/>
      <c r="F130" s="204"/>
      <c r="G130" s="204"/>
      <c r="H130" s="204"/>
      <c r="I130" s="204"/>
      <c r="K130" s="55"/>
    </row>
    <row r="131" spans="1:11" x14ac:dyDescent="0.3">
      <c r="A131" s="22" t="s">
        <v>313</v>
      </c>
      <c r="B131" s="31">
        <f>B141</f>
        <v>63085.21</v>
      </c>
      <c r="C131" s="19"/>
      <c r="D131" s="204"/>
      <c r="E131" s="204"/>
      <c r="F131" s="204"/>
      <c r="G131" s="204"/>
      <c r="H131" s="204"/>
      <c r="I131" s="204"/>
      <c r="K131" s="55"/>
    </row>
    <row r="132" spans="1:11" x14ac:dyDescent="0.3">
      <c r="A132" s="22" t="s">
        <v>32</v>
      </c>
      <c r="B132" s="93">
        <f>-B146</f>
        <v>0</v>
      </c>
      <c r="C132" s="23"/>
      <c r="D132" s="204"/>
      <c r="E132" s="204"/>
      <c r="F132" s="204"/>
      <c r="G132" s="204"/>
      <c r="H132" s="204"/>
      <c r="I132" s="204"/>
    </row>
    <row r="133" spans="1:11" x14ac:dyDescent="0.3">
      <c r="A133" s="22" t="s">
        <v>311</v>
      </c>
      <c r="B133" s="93">
        <v>0</v>
      </c>
      <c r="C133" s="23"/>
      <c r="D133" s="204"/>
      <c r="E133" s="204"/>
      <c r="F133" s="204"/>
      <c r="G133" s="204"/>
      <c r="H133" s="204"/>
      <c r="I133" s="204"/>
    </row>
    <row r="134" spans="1:11" x14ac:dyDescent="0.3">
      <c r="A134" s="22" t="s">
        <v>41</v>
      </c>
      <c r="B134" s="93">
        <f>-C114</f>
        <v>0</v>
      </c>
      <c r="C134" s="23"/>
      <c r="D134" s="204"/>
      <c r="E134" s="204"/>
      <c r="F134" s="204"/>
      <c r="G134" s="204"/>
      <c r="H134" s="204"/>
      <c r="I134" s="204"/>
    </row>
    <row r="135" spans="1:11" x14ac:dyDescent="0.3">
      <c r="A135" s="22"/>
      <c r="B135" s="18"/>
      <c r="C135" s="23"/>
      <c r="D135" s="204"/>
      <c r="E135" s="204"/>
      <c r="F135" s="204"/>
      <c r="G135" s="204"/>
      <c r="H135" s="204"/>
      <c r="I135" s="204"/>
    </row>
    <row r="136" spans="1:11" x14ac:dyDescent="0.3">
      <c r="A136" s="20" t="s">
        <v>24</v>
      </c>
      <c r="B136" s="24">
        <f>SUM(B127:B135)</f>
        <v>-1505552.0204280028</v>
      </c>
      <c r="C136" s="77"/>
      <c r="D136" s="204"/>
      <c r="E136" s="204"/>
      <c r="F136" s="204"/>
      <c r="G136" s="204"/>
      <c r="H136" s="204"/>
      <c r="I136" s="204"/>
    </row>
    <row r="137" spans="1:11" x14ac:dyDescent="0.3">
      <c r="A137" s="23"/>
      <c r="C137" s="19"/>
      <c r="D137" s="204"/>
      <c r="E137" s="204"/>
      <c r="F137" s="204"/>
      <c r="G137" s="204"/>
      <c r="H137" s="204"/>
      <c r="I137" s="204"/>
    </row>
    <row r="138" spans="1:11" x14ac:dyDescent="0.3">
      <c r="A138" s="17" t="s">
        <v>312</v>
      </c>
      <c r="B138" s="9"/>
      <c r="C138" s="19"/>
      <c r="D138" s="204"/>
      <c r="E138" s="204"/>
      <c r="F138" s="204"/>
      <c r="G138" s="204"/>
      <c r="H138" s="204"/>
      <c r="I138" s="204"/>
    </row>
    <row r="139" spans="1:11" x14ac:dyDescent="0.3">
      <c r="A139" s="20" t="s">
        <v>342</v>
      </c>
      <c r="B139" s="32">
        <v>63085.21</v>
      </c>
      <c r="C139" s="19"/>
      <c r="D139" s="26"/>
    </row>
    <row r="140" spans="1:11" ht="17.25" customHeight="1" x14ac:dyDescent="0.3">
      <c r="A140" s="191"/>
      <c r="B140" s="31"/>
      <c r="C140" s="19"/>
      <c r="D140" s="26"/>
    </row>
    <row r="141" spans="1:11" x14ac:dyDescent="0.3">
      <c r="A141" s="37" t="s">
        <v>17</v>
      </c>
      <c r="B141" s="38">
        <f>SUM(B138:B140)</f>
        <v>63085.21</v>
      </c>
      <c r="C141" s="19"/>
      <c r="D141" s="26"/>
    </row>
    <row r="142" spans="1:11" x14ac:dyDescent="0.3">
      <c r="A142" s="23"/>
      <c r="C142" s="19"/>
      <c r="D142" s="26"/>
    </row>
    <row r="143" spans="1:11" x14ac:dyDescent="0.3">
      <c r="A143" s="23"/>
      <c r="C143" s="19"/>
      <c r="D143" s="26"/>
    </row>
    <row r="144" spans="1:11" x14ac:dyDescent="0.3">
      <c r="C144" s="19"/>
      <c r="D144" s="44"/>
      <c r="E144" s="94"/>
      <c r="F144" s="94"/>
      <c r="G144" s="94"/>
      <c r="H144" s="94"/>
      <c r="I144" s="94"/>
    </row>
    <row r="145" spans="1:18" x14ac:dyDescent="0.3">
      <c r="A145" s="17" t="s">
        <v>25</v>
      </c>
      <c r="B145" s="9">
        <v>0</v>
      </c>
      <c r="C145" s="25"/>
      <c r="D145" s="94"/>
      <c r="E145" s="94"/>
      <c r="F145" s="94"/>
      <c r="G145" s="94"/>
      <c r="H145" s="94"/>
      <c r="I145" s="94"/>
      <c r="J145" s="94"/>
    </row>
    <row r="146" spans="1:18" ht="15" customHeight="1" x14ac:dyDescent="0.3">
      <c r="A146" s="20" t="s">
        <v>260</v>
      </c>
      <c r="B146" s="32"/>
      <c r="C146" s="25"/>
      <c r="D146" s="94"/>
      <c r="E146" s="101"/>
      <c r="F146" s="101"/>
      <c r="G146" s="101"/>
      <c r="H146" s="101"/>
      <c r="I146" s="101"/>
    </row>
    <row r="147" spans="1:18" x14ac:dyDescent="0.3">
      <c r="A147" s="20"/>
      <c r="B147" s="93"/>
      <c r="C147" s="25"/>
      <c r="E147" s="44"/>
      <c r="F147" s="44"/>
      <c r="G147" s="44"/>
      <c r="H147" s="44"/>
      <c r="I147" s="44"/>
    </row>
    <row r="148" spans="1:18" x14ac:dyDescent="0.3">
      <c r="A148" s="37" t="s">
        <v>17</v>
      </c>
      <c r="B148" s="38">
        <f>SUM(B145:B147)</f>
        <v>0</v>
      </c>
      <c r="C148" s="25"/>
    </row>
    <row r="149" spans="1:18" x14ac:dyDescent="0.3">
      <c r="C149" s="26"/>
      <c r="D149" s="94"/>
    </row>
    <row r="150" spans="1:18" x14ac:dyDescent="0.3">
      <c r="B150" s="23"/>
      <c r="C150" s="19"/>
    </row>
    <row r="152" spans="1:18" x14ac:dyDescent="0.3">
      <c r="R152" s="10"/>
    </row>
    <row r="155" spans="1:18" x14ac:dyDescent="0.3">
      <c r="B155" s="194"/>
      <c r="C155" s="194"/>
      <c r="D155" s="194"/>
      <c r="E155" s="194"/>
      <c r="F155" s="103"/>
      <c r="G155" s="103"/>
      <c r="H155" s="103"/>
      <c r="I155" s="103"/>
    </row>
    <row r="156" spans="1:18" x14ac:dyDescent="0.3">
      <c r="B156" s="194"/>
      <c r="C156" s="194"/>
      <c r="D156" s="194"/>
      <c r="E156" s="194"/>
      <c r="F156" s="103"/>
      <c r="G156" s="103"/>
      <c r="H156" s="103"/>
      <c r="I156" s="103"/>
    </row>
    <row r="157" spans="1:18" x14ac:dyDescent="0.3">
      <c r="B157" s="194"/>
      <c r="C157" s="194"/>
      <c r="D157" s="194"/>
      <c r="E157" s="194"/>
      <c r="F157" s="103"/>
      <c r="G157" s="103"/>
      <c r="H157" s="103"/>
      <c r="I157" s="103"/>
    </row>
    <row r="158" spans="1:18" x14ac:dyDescent="0.3">
      <c r="B158" s="194"/>
      <c r="C158" s="194"/>
      <c r="D158" s="194"/>
      <c r="E158" s="194"/>
      <c r="F158" s="103"/>
      <c r="G158" s="103"/>
      <c r="H158" s="103"/>
      <c r="I158" s="103"/>
    </row>
    <row r="159" spans="1:18" x14ac:dyDescent="0.3">
      <c r="B159" s="194"/>
      <c r="C159" s="194"/>
      <c r="D159" s="194"/>
      <c r="E159" s="194"/>
      <c r="F159" s="103"/>
      <c r="G159" s="103"/>
      <c r="H159" s="103"/>
      <c r="I159" s="103"/>
    </row>
  </sheetData>
  <mergeCells count="10">
    <mergeCell ref="A14:J18"/>
    <mergeCell ref="B155:E159"/>
    <mergeCell ref="A120:C120"/>
    <mergeCell ref="A117:D117"/>
    <mergeCell ref="A119:B119"/>
    <mergeCell ref="A118:B118"/>
    <mergeCell ref="A20:J22"/>
    <mergeCell ref="A78:C78"/>
    <mergeCell ref="A79:C79"/>
    <mergeCell ref="D124:I138"/>
  </mergeCells>
  <pageMargins left="0.25" right="0.25" top="0.75" bottom="0.75" header="0.3" footer="0.3"/>
  <pageSetup paperSize="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48"/>
  <sheetViews>
    <sheetView topLeftCell="C94" zoomScaleNormal="100" workbookViewId="0">
      <selection activeCell="H106" sqref="H106"/>
    </sheetView>
  </sheetViews>
  <sheetFormatPr baseColWidth="10" defaultRowHeight="14.4" x14ac:dyDescent="0.3"/>
  <cols>
    <col min="1" max="1" width="4.5546875" hidden="1" customWidth="1"/>
    <col min="2" max="2" width="5.88671875" hidden="1" customWidth="1"/>
    <col min="3" max="3" width="8.109375" customWidth="1"/>
    <col min="4" max="4" width="42.6640625" customWidth="1"/>
    <col min="5" max="5" width="36.44140625" hidden="1" customWidth="1"/>
    <col min="6" max="6" width="9.44140625" customWidth="1"/>
    <col min="7" max="7" width="13.33203125" customWidth="1"/>
    <col min="8" max="8" width="13" bestFit="1" customWidth="1"/>
    <col min="9" max="9" width="18" customWidth="1"/>
    <col min="10" max="10" width="13.6640625" customWidth="1"/>
    <col min="11" max="11" width="13.33203125" customWidth="1"/>
    <col min="12" max="12" width="10.44140625" customWidth="1"/>
    <col min="13" max="13" width="14.33203125" customWidth="1"/>
    <col min="14" max="14" width="13.6640625" customWidth="1"/>
    <col min="15" max="15" width="11.44140625" customWidth="1"/>
    <col min="16" max="16" width="14.5546875" bestFit="1" customWidth="1"/>
  </cols>
  <sheetData>
    <row r="1" spans="1:18" x14ac:dyDescent="0.3">
      <c r="A1" s="7"/>
      <c r="B1" s="7"/>
      <c r="C1" s="7"/>
      <c r="D1" s="7"/>
      <c r="E1" s="7"/>
      <c r="F1" s="7" t="s">
        <v>321</v>
      </c>
      <c r="G1" s="7"/>
      <c r="H1" s="7"/>
      <c r="I1" s="7"/>
      <c r="J1" s="7"/>
      <c r="K1" s="7" t="s">
        <v>43</v>
      </c>
      <c r="L1" s="214">
        <f>RESUMEN!D107-RESUMEN!D105</f>
        <v>10364214.639999999</v>
      </c>
      <c r="M1" s="215"/>
      <c r="N1" s="75"/>
      <c r="O1" s="63"/>
    </row>
    <row r="2" spans="1:18" x14ac:dyDescent="0.3">
      <c r="A2" s="7"/>
      <c r="B2" s="7"/>
      <c r="C2" s="7"/>
      <c r="D2" s="7"/>
      <c r="E2" s="7"/>
      <c r="F2" s="7" t="s">
        <v>320</v>
      </c>
      <c r="G2" s="7"/>
      <c r="H2" s="7"/>
      <c r="I2" s="7"/>
      <c r="J2" s="7"/>
      <c r="K2" s="7" t="s">
        <v>44</v>
      </c>
      <c r="L2" s="7"/>
      <c r="M2" s="192">
        <v>10000000</v>
      </c>
      <c r="N2" s="76"/>
      <c r="O2" s="63"/>
    </row>
    <row r="3" spans="1:18" x14ac:dyDescent="0.3">
      <c r="A3" s="7" t="str">
        <f>RESUMEN!C5</f>
        <v>PERÍODO: SEPTIEMBRE</v>
      </c>
      <c r="B3" s="7"/>
      <c r="C3" s="7"/>
      <c r="D3" s="7"/>
      <c r="E3" s="7"/>
      <c r="F3" s="7" t="s">
        <v>322</v>
      </c>
      <c r="G3" s="7"/>
      <c r="H3" s="7"/>
      <c r="I3" s="7"/>
      <c r="J3" s="8"/>
      <c r="K3" s="7"/>
      <c r="L3" s="7"/>
      <c r="M3" s="58"/>
      <c r="N3" s="74"/>
      <c r="O3" s="16"/>
    </row>
    <row r="4" spans="1:18" ht="15" thickBot="1" x14ac:dyDescent="0.35">
      <c r="A4" s="7"/>
      <c r="B4" s="7"/>
      <c r="C4" s="7"/>
      <c r="D4" s="7"/>
      <c r="E4" s="7"/>
      <c r="F4" s="7"/>
      <c r="G4" s="7"/>
      <c r="H4" s="7"/>
      <c r="I4" s="7"/>
      <c r="J4" s="53">
        <f>(J3*8.09%)/44</f>
        <v>0</v>
      </c>
      <c r="K4" s="7"/>
      <c r="L4" s="7"/>
      <c r="M4" s="58"/>
      <c r="N4" s="54"/>
      <c r="P4" s="94">
        <f>L1-K127</f>
        <v>494947.15715999901</v>
      </c>
    </row>
    <row r="5" spans="1:18" ht="15" customHeight="1" x14ac:dyDescent="0.3">
      <c r="A5" s="205" t="s">
        <v>9</v>
      </c>
      <c r="B5" s="207" t="s">
        <v>10</v>
      </c>
      <c r="C5" s="205" t="s">
        <v>11</v>
      </c>
      <c r="D5" s="209" t="s">
        <v>12</v>
      </c>
      <c r="E5" s="209" t="s">
        <v>274</v>
      </c>
      <c r="F5" s="205" t="s">
        <v>27</v>
      </c>
      <c r="G5" s="205" t="s">
        <v>13</v>
      </c>
      <c r="H5" s="205" t="s">
        <v>14</v>
      </c>
      <c r="I5" s="216" t="s">
        <v>15</v>
      </c>
      <c r="J5" s="218" t="s">
        <v>16</v>
      </c>
      <c r="K5" s="218" t="s">
        <v>18</v>
      </c>
      <c r="L5" s="221" t="s">
        <v>42</v>
      </c>
      <c r="M5" s="218" t="s">
        <v>286</v>
      </c>
      <c r="N5" s="218" t="s">
        <v>285</v>
      </c>
    </row>
    <row r="6" spans="1:18" ht="28.5" customHeight="1" x14ac:dyDescent="0.3">
      <c r="A6" s="206"/>
      <c r="B6" s="208"/>
      <c r="C6" s="206"/>
      <c r="D6" s="210"/>
      <c r="E6" s="210"/>
      <c r="F6" s="206"/>
      <c r="G6" s="206"/>
      <c r="H6" s="206"/>
      <c r="I6" s="217"/>
      <c r="J6" s="219"/>
      <c r="K6" s="219"/>
      <c r="L6" s="222"/>
      <c r="M6" s="219"/>
      <c r="N6" s="219"/>
    </row>
    <row r="7" spans="1:18" ht="19.5" customHeight="1" x14ac:dyDescent="0.3">
      <c r="A7" s="206"/>
      <c r="B7" s="208"/>
      <c r="C7" s="206"/>
      <c r="D7" s="210"/>
      <c r="E7" s="210"/>
      <c r="F7" s="206"/>
      <c r="G7" s="206"/>
      <c r="H7" s="206"/>
      <c r="I7" s="217"/>
      <c r="J7" s="219"/>
      <c r="K7" s="220"/>
      <c r="L7" s="222"/>
      <c r="M7" s="148" t="str">
        <f>RESUMEN!A20</f>
        <v>VTO 15/10</v>
      </c>
      <c r="N7" s="147" t="str">
        <f>RESUMEN!A20</f>
        <v>VTO 15/10</v>
      </c>
    </row>
    <row r="8" spans="1:18" x14ac:dyDescent="0.3">
      <c r="A8" s="6" t="s">
        <v>121</v>
      </c>
      <c r="B8" s="6"/>
      <c r="C8" s="36" t="s">
        <v>116</v>
      </c>
      <c r="D8" s="122" t="s">
        <v>178</v>
      </c>
      <c r="E8" s="122" t="s">
        <v>341</v>
      </c>
      <c r="F8" s="169">
        <v>1.0800000000000001E-2</v>
      </c>
      <c r="G8" s="157">
        <v>120107.14152800001</v>
      </c>
      <c r="H8" s="45">
        <f>G8</f>
        <v>120107.14152800001</v>
      </c>
      <c r="I8" s="170">
        <f>G8-H8</f>
        <v>0</v>
      </c>
      <c r="J8" s="171">
        <v>0</v>
      </c>
      <c r="K8" s="171">
        <v>90413.070804000003</v>
      </c>
      <c r="L8" s="84">
        <f t="shared" ref="L8:L71" si="0">J$3*F8%+J$4</f>
        <v>0</v>
      </c>
      <c r="M8" s="172">
        <f t="shared" ref="M8:M12" si="1">K8+J8+I8+L8</f>
        <v>90413.070804000003</v>
      </c>
      <c r="N8" s="173">
        <f>M8*6% + M8</f>
        <v>95837.855052240004</v>
      </c>
      <c r="O8" s="129"/>
      <c r="Q8" s="211" t="s">
        <v>259</v>
      </c>
      <c r="R8" s="211"/>
    </row>
    <row r="9" spans="1:18" x14ac:dyDescent="0.3">
      <c r="A9" s="6"/>
      <c r="B9" s="6"/>
      <c r="C9" s="36" t="s">
        <v>120</v>
      </c>
      <c r="D9" s="122" t="s">
        <v>122</v>
      </c>
      <c r="E9" s="122"/>
      <c r="F9" s="169">
        <v>1.2999999999999999E-2</v>
      </c>
      <c r="G9" s="157">
        <v>101816.27884799999</v>
      </c>
      <c r="H9" s="45">
        <f>117355.87+16429-11268-H99</f>
        <v>101816</v>
      </c>
      <c r="I9" s="170">
        <f t="shared" ref="I9:I125" si="2">G9-H9</f>
        <v>0.27884799998719245</v>
      </c>
      <c r="J9" s="171">
        <v>0</v>
      </c>
      <c r="K9" s="171">
        <v>107156.23206400001</v>
      </c>
      <c r="L9" s="84">
        <f t="shared" si="0"/>
        <v>0</v>
      </c>
      <c r="M9" s="172">
        <f t="shared" si="1"/>
        <v>107156.510912</v>
      </c>
      <c r="N9" s="173">
        <f t="shared" ref="N9:N12" si="3">M9*6% + M9</f>
        <v>113585.90156672</v>
      </c>
      <c r="O9" s="129"/>
      <c r="Q9" s="211"/>
      <c r="R9" s="211"/>
    </row>
    <row r="10" spans="1:18" x14ac:dyDescent="0.3">
      <c r="A10" s="6" t="s">
        <v>121</v>
      </c>
      <c r="B10" s="6"/>
      <c r="C10" s="36" t="s">
        <v>117</v>
      </c>
      <c r="D10" s="122" t="s">
        <v>272</v>
      </c>
      <c r="E10" s="122"/>
      <c r="F10" s="169">
        <v>1.21E-2</v>
      </c>
      <c r="G10" s="157">
        <v>134565.38078599997</v>
      </c>
      <c r="H10" s="45"/>
      <c r="I10" s="170">
        <f t="shared" si="2"/>
        <v>134565.38078599997</v>
      </c>
      <c r="J10" s="171">
        <v>0</v>
      </c>
      <c r="K10" s="171">
        <v>101296.12562299999</v>
      </c>
      <c r="L10" s="84">
        <f t="shared" si="0"/>
        <v>0</v>
      </c>
      <c r="M10" s="172">
        <f t="shared" si="1"/>
        <v>235861.50640899997</v>
      </c>
      <c r="N10" s="173">
        <f t="shared" si="3"/>
        <v>250013.19679353997</v>
      </c>
      <c r="O10" s="129"/>
      <c r="Q10" t="s">
        <v>254</v>
      </c>
      <c r="R10">
        <f>RESUMEN!F107</f>
        <v>90413.070804000003</v>
      </c>
    </row>
    <row r="11" spans="1:18" x14ac:dyDescent="0.3">
      <c r="A11" s="6" t="s">
        <v>121</v>
      </c>
      <c r="B11" s="6"/>
      <c r="C11" s="36" t="s">
        <v>118</v>
      </c>
      <c r="D11" s="122" t="s">
        <v>179</v>
      </c>
      <c r="E11" s="122"/>
      <c r="F11" s="169">
        <v>1.49E-2</v>
      </c>
      <c r="G11" s="157">
        <v>165702.97303400002</v>
      </c>
      <c r="H11" s="45"/>
      <c r="I11" s="170">
        <f t="shared" si="2"/>
        <v>165702.97303400002</v>
      </c>
      <c r="J11" s="171">
        <v>0</v>
      </c>
      <c r="K11" s="171">
        <v>124736.55138700001</v>
      </c>
      <c r="L11" s="84">
        <f t="shared" si="0"/>
        <v>0</v>
      </c>
      <c r="M11" s="172">
        <f t="shared" si="1"/>
        <v>290439.52442100004</v>
      </c>
      <c r="N11" s="173">
        <f t="shared" si="3"/>
        <v>307865.89588626003</v>
      </c>
      <c r="O11" s="129"/>
      <c r="Q11" t="s">
        <v>255</v>
      </c>
      <c r="R11">
        <f>RESUMEN!G107</f>
        <v>107156.23206400001</v>
      </c>
    </row>
    <row r="12" spans="1:18" ht="15" thickBot="1" x14ac:dyDescent="0.35">
      <c r="A12" s="6" t="s">
        <v>121</v>
      </c>
      <c r="B12" s="6"/>
      <c r="C12" s="174" t="s">
        <v>119</v>
      </c>
      <c r="D12" s="175" t="s">
        <v>273</v>
      </c>
      <c r="E12" s="175"/>
      <c r="F12" s="176">
        <v>1.7399999999999999E-2</v>
      </c>
      <c r="G12" s="177">
        <v>62115.89468399997</v>
      </c>
      <c r="H12" s="178">
        <f>G12</f>
        <v>62115.89468399997</v>
      </c>
      <c r="I12" s="179">
        <f t="shared" si="2"/>
        <v>0</v>
      </c>
      <c r="J12" s="180">
        <v>0</v>
      </c>
      <c r="K12" s="180">
        <v>145665.502962</v>
      </c>
      <c r="L12" s="84">
        <f t="shared" si="0"/>
        <v>0</v>
      </c>
      <c r="M12" s="181">
        <f t="shared" si="1"/>
        <v>145665.502962</v>
      </c>
      <c r="N12" s="182">
        <f t="shared" si="3"/>
        <v>154405.43313972</v>
      </c>
      <c r="O12" s="129"/>
      <c r="Q12" t="s">
        <v>256</v>
      </c>
      <c r="R12">
        <f>RESUMEN!H107</f>
        <v>101296.12562299999</v>
      </c>
    </row>
    <row r="13" spans="1:18" x14ac:dyDescent="0.3">
      <c r="A13" s="61" t="s">
        <v>123</v>
      </c>
      <c r="B13" s="6"/>
      <c r="C13" s="183" t="s">
        <v>47</v>
      </c>
      <c r="D13" s="151" t="s">
        <v>180</v>
      </c>
      <c r="E13" s="151"/>
      <c r="F13" s="156">
        <v>1.8800000000000001E-2</v>
      </c>
      <c r="G13" s="184">
        <v>169200.01</v>
      </c>
      <c r="H13" s="185">
        <f>G13</f>
        <v>169200.01</v>
      </c>
      <c r="I13" s="186">
        <f>G13-H13</f>
        <v>0</v>
      </c>
      <c r="J13" s="187">
        <f t="shared" ref="J13:J44" si="4">M$4*F13</f>
        <v>0</v>
      </c>
      <c r="K13" s="187">
        <f>M$2*F13</f>
        <v>188000</v>
      </c>
      <c r="L13" s="84">
        <f t="shared" si="0"/>
        <v>0</v>
      </c>
      <c r="M13" s="188">
        <f>ROUND((K13+J13+I13+L13),0) + O13</f>
        <v>188000.01</v>
      </c>
      <c r="N13" s="188">
        <f>ROUND((M13*6% + M13 ),0) + O13</f>
        <v>199280.01</v>
      </c>
      <c r="O13" s="149">
        <v>0.01</v>
      </c>
      <c r="Q13" t="s">
        <v>257</v>
      </c>
      <c r="R13">
        <f>RESUMEN!I107</f>
        <v>124736.55138700001</v>
      </c>
    </row>
    <row r="14" spans="1:18" x14ac:dyDescent="0.3">
      <c r="A14" s="61" t="s">
        <v>124</v>
      </c>
      <c r="B14" s="6"/>
      <c r="C14" s="36" t="s">
        <v>48</v>
      </c>
      <c r="D14" s="122" t="s">
        <v>181</v>
      </c>
      <c r="E14" s="151"/>
      <c r="F14" s="156">
        <v>8.3999999999999995E-3</v>
      </c>
      <c r="G14" s="157">
        <v>75600.02</v>
      </c>
      <c r="H14" s="45">
        <f>G14</f>
        <v>75600.02</v>
      </c>
      <c r="I14" s="170">
        <f t="shared" si="2"/>
        <v>0</v>
      </c>
      <c r="J14" s="171">
        <f t="shared" si="4"/>
        <v>0</v>
      </c>
      <c r="K14" s="171">
        <f t="shared" ref="K14:K44" si="5">M$2*F14</f>
        <v>84000</v>
      </c>
      <c r="L14" s="84">
        <f t="shared" si="0"/>
        <v>0</v>
      </c>
      <c r="M14" s="173">
        <f>ROUND((K14+J14+I14+L14),0) + O14</f>
        <v>84000.02</v>
      </c>
      <c r="N14" s="173">
        <f t="shared" ref="N14:N77" si="6">ROUND((M14*6% + M14 ),0) + O14</f>
        <v>89040.02</v>
      </c>
      <c r="O14" s="149">
        <f>O13+0.01</f>
        <v>0.02</v>
      </c>
      <c r="Q14" t="s">
        <v>258</v>
      </c>
      <c r="R14">
        <f>RESUMEN!J107</f>
        <v>145665.502962</v>
      </c>
    </row>
    <row r="15" spans="1:18" x14ac:dyDescent="0.3">
      <c r="A15" s="61" t="s">
        <v>123</v>
      </c>
      <c r="B15" s="6"/>
      <c r="C15" s="36" t="s">
        <v>49</v>
      </c>
      <c r="D15" s="122" t="s">
        <v>182</v>
      </c>
      <c r="E15" s="151"/>
      <c r="F15" s="156">
        <v>2.01E-2</v>
      </c>
      <c r="G15" s="157">
        <v>180900.03</v>
      </c>
      <c r="H15" s="45">
        <f>G15</f>
        <v>180900.03</v>
      </c>
      <c r="I15" s="170">
        <f t="shared" si="2"/>
        <v>0</v>
      </c>
      <c r="J15" s="171">
        <f t="shared" si="4"/>
        <v>0</v>
      </c>
      <c r="K15" s="171">
        <f t="shared" si="5"/>
        <v>201000</v>
      </c>
      <c r="L15" s="84">
        <f t="shared" si="0"/>
        <v>0</v>
      </c>
      <c r="M15" s="173">
        <f t="shared" ref="M15:M77" si="7">ROUND((K15+J15+I15+L15),0) + O15</f>
        <v>201000.03</v>
      </c>
      <c r="N15" s="173">
        <f t="shared" si="6"/>
        <v>213060.03</v>
      </c>
      <c r="O15" s="149">
        <f t="shared" ref="O15:O78" si="8">O14+0.01</f>
        <v>0.03</v>
      </c>
    </row>
    <row r="16" spans="1:18" x14ac:dyDescent="0.3">
      <c r="A16" s="61" t="s">
        <v>125</v>
      </c>
      <c r="B16" s="6"/>
      <c r="C16" s="36" t="s">
        <v>50</v>
      </c>
      <c r="D16" s="122" t="s">
        <v>183</v>
      </c>
      <c r="E16" s="151" t="s">
        <v>306</v>
      </c>
      <c r="F16" s="156">
        <v>9.4000000000000004E-3</v>
      </c>
      <c r="G16" s="157">
        <v>165172.04</v>
      </c>
      <c r="H16" s="45"/>
      <c r="I16" s="170">
        <f t="shared" si="2"/>
        <v>165172.04</v>
      </c>
      <c r="J16" s="171">
        <f t="shared" si="4"/>
        <v>0</v>
      </c>
      <c r="K16" s="171">
        <f t="shared" si="5"/>
        <v>94000</v>
      </c>
      <c r="L16" s="84">
        <v>0</v>
      </c>
      <c r="M16" s="173">
        <f t="shared" si="7"/>
        <v>259172.04</v>
      </c>
      <c r="N16" s="173">
        <f t="shared" si="6"/>
        <v>274722.03999999998</v>
      </c>
      <c r="O16" s="149">
        <f t="shared" si="8"/>
        <v>0.04</v>
      </c>
    </row>
    <row r="17" spans="1:15" x14ac:dyDescent="0.3">
      <c r="A17" s="61" t="s">
        <v>125</v>
      </c>
      <c r="B17" s="6"/>
      <c r="C17" s="36" t="s">
        <v>51</v>
      </c>
      <c r="D17" s="122" t="s">
        <v>184</v>
      </c>
      <c r="E17" s="151" t="s">
        <v>349</v>
      </c>
      <c r="F17" s="156">
        <v>8.6999999999999994E-3</v>
      </c>
      <c r="G17" s="157">
        <v>165600.04999999999</v>
      </c>
      <c r="H17" s="45">
        <f>87300+78300</f>
        <v>165600</v>
      </c>
      <c r="I17" s="170">
        <f t="shared" si="2"/>
        <v>4.9999999988358468E-2</v>
      </c>
      <c r="J17" s="171">
        <f t="shared" si="4"/>
        <v>0</v>
      </c>
      <c r="K17" s="171">
        <f t="shared" si="5"/>
        <v>87000</v>
      </c>
      <c r="L17" s="84">
        <f t="shared" si="0"/>
        <v>0</v>
      </c>
      <c r="M17" s="173">
        <f t="shared" si="7"/>
        <v>87000.05</v>
      </c>
      <c r="N17" s="173">
        <f t="shared" si="6"/>
        <v>92220.05</v>
      </c>
      <c r="O17" s="149">
        <f t="shared" si="8"/>
        <v>0.05</v>
      </c>
    </row>
    <row r="18" spans="1:15" x14ac:dyDescent="0.3">
      <c r="A18" s="61" t="s">
        <v>125</v>
      </c>
      <c r="B18" s="6"/>
      <c r="C18" s="36" t="s">
        <v>52</v>
      </c>
      <c r="D18" s="122" t="s">
        <v>185</v>
      </c>
      <c r="E18" s="151" t="s">
        <v>340</v>
      </c>
      <c r="F18" s="156">
        <v>9.4999999999999998E-3</v>
      </c>
      <c r="G18" s="157">
        <v>81429.06</v>
      </c>
      <c r="H18" s="45">
        <f t="shared" ref="H18" si="9">G18</f>
        <v>81429.06</v>
      </c>
      <c r="I18" s="170">
        <f t="shared" si="2"/>
        <v>0</v>
      </c>
      <c r="J18" s="171">
        <f t="shared" si="4"/>
        <v>0</v>
      </c>
      <c r="K18" s="171">
        <f t="shared" si="5"/>
        <v>95000</v>
      </c>
      <c r="L18" s="84">
        <f t="shared" si="0"/>
        <v>0</v>
      </c>
      <c r="M18" s="173">
        <f t="shared" si="7"/>
        <v>95000.06</v>
      </c>
      <c r="N18" s="173">
        <f t="shared" si="6"/>
        <v>100700.06</v>
      </c>
      <c r="O18" s="149">
        <f t="shared" si="8"/>
        <v>6.0000000000000005E-2</v>
      </c>
    </row>
    <row r="19" spans="1:15" x14ac:dyDescent="0.3">
      <c r="A19" s="61" t="s">
        <v>123</v>
      </c>
      <c r="B19" s="6"/>
      <c r="C19" s="36" t="s">
        <v>53</v>
      </c>
      <c r="D19" s="122" t="s">
        <v>185</v>
      </c>
      <c r="E19" s="151" t="s">
        <v>308</v>
      </c>
      <c r="F19" s="156">
        <v>1.6500000000000001E-2</v>
      </c>
      <c r="G19" s="157">
        <v>307929.07</v>
      </c>
      <c r="H19" s="45">
        <v>184976.07</v>
      </c>
      <c r="I19" s="170">
        <f t="shared" si="2"/>
        <v>122953</v>
      </c>
      <c r="J19" s="171">
        <f t="shared" si="4"/>
        <v>0</v>
      </c>
      <c r="K19" s="171">
        <f t="shared" si="5"/>
        <v>165000</v>
      </c>
      <c r="L19" s="84">
        <f t="shared" si="0"/>
        <v>0</v>
      </c>
      <c r="M19" s="173">
        <f t="shared" si="7"/>
        <v>287953.07</v>
      </c>
      <c r="N19" s="173">
        <f t="shared" si="6"/>
        <v>305230.07</v>
      </c>
      <c r="O19" s="149">
        <f t="shared" si="8"/>
        <v>7.0000000000000007E-2</v>
      </c>
    </row>
    <row r="20" spans="1:15" x14ac:dyDescent="0.3">
      <c r="A20" s="61" t="s">
        <v>124</v>
      </c>
      <c r="B20" s="6"/>
      <c r="C20" s="36" t="s">
        <v>54</v>
      </c>
      <c r="D20" s="122" t="s">
        <v>275</v>
      </c>
      <c r="E20" s="151"/>
      <c r="F20" s="156">
        <v>7.3000000000000001E-3</v>
      </c>
      <c r="G20" s="157">
        <v>65700.08</v>
      </c>
      <c r="H20" s="45">
        <f>G20</f>
        <v>65700.08</v>
      </c>
      <c r="I20" s="170">
        <f t="shared" si="2"/>
        <v>0</v>
      </c>
      <c r="J20" s="171">
        <f t="shared" si="4"/>
        <v>0</v>
      </c>
      <c r="K20" s="171">
        <f t="shared" si="5"/>
        <v>73000</v>
      </c>
      <c r="L20" s="84">
        <f t="shared" si="0"/>
        <v>0</v>
      </c>
      <c r="M20" s="173">
        <f t="shared" si="7"/>
        <v>73000.08</v>
      </c>
      <c r="N20" s="173">
        <f t="shared" si="6"/>
        <v>77380.08</v>
      </c>
      <c r="O20" s="149">
        <f t="shared" si="8"/>
        <v>0.08</v>
      </c>
    </row>
    <row r="21" spans="1:15" x14ac:dyDescent="0.3">
      <c r="A21" s="61" t="s">
        <v>123</v>
      </c>
      <c r="B21" s="6"/>
      <c r="C21" s="36" t="s">
        <v>55</v>
      </c>
      <c r="D21" s="122" t="s">
        <v>185</v>
      </c>
      <c r="E21" s="151"/>
      <c r="F21" s="156">
        <v>1.78E-2</v>
      </c>
      <c r="G21" s="157">
        <v>312772.09000000003</v>
      </c>
      <c r="H21" s="45"/>
      <c r="I21" s="170">
        <f t="shared" si="2"/>
        <v>312772.09000000003</v>
      </c>
      <c r="J21" s="171">
        <f t="shared" si="4"/>
        <v>0</v>
      </c>
      <c r="K21" s="171">
        <f t="shared" si="5"/>
        <v>178000</v>
      </c>
      <c r="L21" s="84">
        <f t="shared" si="0"/>
        <v>0</v>
      </c>
      <c r="M21" s="173">
        <f t="shared" si="7"/>
        <v>490772.09</v>
      </c>
      <c r="N21" s="173">
        <f t="shared" si="6"/>
        <v>520218.09</v>
      </c>
      <c r="O21" s="149">
        <f t="shared" si="8"/>
        <v>0.09</v>
      </c>
    </row>
    <row r="22" spans="1:15" x14ac:dyDescent="0.3">
      <c r="A22" s="61" t="s">
        <v>125</v>
      </c>
      <c r="B22" s="6"/>
      <c r="C22" s="36" t="s">
        <v>56</v>
      </c>
      <c r="D22" s="122" t="s">
        <v>350</v>
      </c>
      <c r="E22" s="151"/>
      <c r="F22" s="156">
        <v>9.4000000000000004E-3</v>
      </c>
      <c r="G22" s="157">
        <v>169200.1</v>
      </c>
      <c r="H22" s="45"/>
      <c r="I22" s="170">
        <f t="shared" si="2"/>
        <v>169200.1</v>
      </c>
      <c r="J22" s="171">
        <f t="shared" si="4"/>
        <v>0</v>
      </c>
      <c r="K22" s="171">
        <f t="shared" si="5"/>
        <v>94000</v>
      </c>
      <c r="L22" s="84">
        <f t="shared" si="0"/>
        <v>0</v>
      </c>
      <c r="M22" s="173">
        <f t="shared" si="7"/>
        <v>263200.09999999998</v>
      </c>
      <c r="N22" s="173">
        <f t="shared" si="6"/>
        <v>278992.09999999998</v>
      </c>
      <c r="O22" s="149">
        <f t="shared" si="8"/>
        <v>9.9999999999999992E-2</v>
      </c>
    </row>
    <row r="23" spans="1:15" x14ac:dyDescent="0.3">
      <c r="A23" s="61" t="s">
        <v>125</v>
      </c>
      <c r="B23" s="6"/>
      <c r="C23" s="36" t="s">
        <v>57</v>
      </c>
      <c r="D23" s="122" t="s">
        <v>305</v>
      </c>
      <c r="E23" s="151"/>
      <c r="F23" s="156">
        <v>8.6999999999999994E-3</v>
      </c>
      <c r="G23" s="157">
        <v>156600.10999999999</v>
      </c>
      <c r="H23" s="45">
        <v>165996.10999999999</v>
      </c>
      <c r="I23" s="170">
        <f t="shared" si="2"/>
        <v>-9396</v>
      </c>
      <c r="J23" s="171">
        <f t="shared" si="4"/>
        <v>0</v>
      </c>
      <c r="K23" s="171">
        <f t="shared" si="5"/>
        <v>87000</v>
      </c>
      <c r="L23" s="84">
        <f t="shared" si="0"/>
        <v>0</v>
      </c>
      <c r="M23" s="173">
        <f t="shared" si="7"/>
        <v>77604.11</v>
      </c>
      <c r="N23" s="173">
        <f t="shared" si="6"/>
        <v>82260.11</v>
      </c>
      <c r="O23" s="149">
        <f t="shared" si="8"/>
        <v>0.10999999999999999</v>
      </c>
    </row>
    <row r="24" spans="1:15" x14ac:dyDescent="0.3">
      <c r="A24" s="61" t="s">
        <v>125</v>
      </c>
      <c r="B24" s="6"/>
      <c r="C24" s="36" t="s">
        <v>58</v>
      </c>
      <c r="D24" s="122" t="s">
        <v>186</v>
      </c>
      <c r="E24" s="151"/>
      <c r="F24" s="156">
        <v>9.4999999999999998E-3</v>
      </c>
      <c r="G24" s="157">
        <v>171000.12</v>
      </c>
      <c r="H24" s="45"/>
      <c r="I24" s="170">
        <f t="shared" si="2"/>
        <v>171000.12</v>
      </c>
      <c r="J24" s="171">
        <f t="shared" si="4"/>
        <v>0</v>
      </c>
      <c r="K24" s="171">
        <f t="shared" si="5"/>
        <v>95000</v>
      </c>
      <c r="L24" s="84">
        <f t="shared" si="0"/>
        <v>0</v>
      </c>
      <c r="M24" s="173">
        <f t="shared" si="7"/>
        <v>266000.12</v>
      </c>
      <c r="N24" s="173">
        <f t="shared" si="6"/>
        <v>281960.12</v>
      </c>
      <c r="O24" s="149">
        <f t="shared" si="8"/>
        <v>0.11999999999999998</v>
      </c>
    </row>
    <row r="25" spans="1:15" x14ac:dyDescent="0.3">
      <c r="A25" s="61" t="s">
        <v>123</v>
      </c>
      <c r="B25" s="6"/>
      <c r="C25" s="36" t="s">
        <v>59</v>
      </c>
      <c r="D25" s="122" t="s">
        <v>187</v>
      </c>
      <c r="E25" s="151"/>
      <c r="F25" s="156">
        <v>1.6400000000000001E-2</v>
      </c>
      <c r="G25" s="157">
        <v>147600.13</v>
      </c>
      <c r="H25" s="45">
        <f>G25</f>
        <v>147600.13</v>
      </c>
      <c r="I25" s="170">
        <f t="shared" si="2"/>
        <v>0</v>
      </c>
      <c r="J25" s="171">
        <f t="shared" si="4"/>
        <v>0</v>
      </c>
      <c r="K25" s="171">
        <f t="shared" si="5"/>
        <v>164000</v>
      </c>
      <c r="L25" s="84">
        <f t="shared" si="0"/>
        <v>0</v>
      </c>
      <c r="M25" s="173">
        <f t="shared" si="7"/>
        <v>164000.13</v>
      </c>
      <c r="N25" s="173">
        <f t="shared" si="6"/>
        <v>173840.13</v>
      </c>
      <c r="O25" s="149">
        <f t="shared" si="8"/>
        <v>0.12999999999999998</v>
      </c>
    </row>
    <row r="26" spans="1:15" x14ac:dyDescent="0.3">
      <c r="A26" s="61" t="s">
        <v>124</v>
      </c>
      <c r="B26" s="6"/>
      <c r="C26" s="36" t="s">
        <v>60</v>
      </c>
      <c r="D26" s="122" t="s">
        <v>261</v>
      </c>
      <c r="E26" s="151" t="s">
        <v>276</v>
      </c>
      <c r="F26" s="156">
        <v>7.1999999999999998E-3</v>
      </c>
      <c r="G26" s="157">
        <v>64800.14</v>
      </c>
      <c r="H26" s="45">
        <f>G26</f>
        <v>64800.14</v>
      </c>
      <c r="I26" s="170">
        <f t="shared" si="2"/>
        <v>0</v>
      </c>
      <c r="J26" s="171">
        <f t="shared" si="4"/>
        <v>0</v>
      </c>
      <c r="K26" s="171">
        <f t="shared" si="5"/>
        <v>72000</v>
      </c>
      <c r="L26" s="84">
        <f t="shared" si="0"/>
        <v>0</v>
      </c>
      <c r="M26" s="173">
        <f t="shared" si="7"/>
        <v>72000.14</v>
      </c>
      <c r="N26" s="173">
        <f t="shared" si="6"/>
        <v>76320.14</v>
      </c>
      <c r="O26" s="149">
        <f t="shared" si="8"/>
        <v>0.13999999999999999</v>
      </c>
    </row>
    <row r="27" spans="1:15" x14ac:dyDescent="0.3">
      <c r="A27" s="61" t="s">
        <v>123</v>
      </c>
      <c r="B27" s="6"/>
      <c r="C27" s="36" t="s">
        <v>61</v>
      </c>
      <c r="D27" s="122" t="s">
        <v>188</v>
      </c>
      <c r="E27" s="151"/>
      <c r="F27" s="156">
        <v>1.7299999999999999E-2</v>
      </c>
      <c r="G27" s="157">
        <v>155700.15</v>
      </c>
      <c r="H27" s="45">
        <f>G27</f>
        <v>155700.15</v>
      </c>
      <c r="I27" s="189">
        <f t="shared" si="2"/>
        <v>0</v>
      </c>
      <c r="J27" s="171">
        <f t="shared" si="4"/>
        <v>0</v>
      </c>
      <c r="K27" s="171">
        <f t="shared" si="5"/>
        <v>173000</v>
      </c>
      <c r="L27" s="84">
        <f t="shared" si="0"/>
        <v>0</v>
      </c>
      <c r="M27" s="173">
        <f t="shared" si="7"/>
        <v>173000.15</v>
      </c>
      <c r="N27" s="173">
        <f t="shared" si="6"/>
        <v>183380.15</v>
      </c>
      <c r="O27" s="149">
        <f t="shared" si="8"/>
        <v>0.15</v>
      </c>
    </row>
    <row r="28" spans="1:15" x14ac:dyDescent="0.3">
      <c r="A28" s="159" t="s">
        <v>125</v>
      </c>
      <c r="B28" s="158"/>
      <c r="C28" s="36" t="s">
        <v>62</v>
      </c>
      <c r="D28" s="122" t="s">
        <v>347</v>
      </c>
      <c r="E28" s="151"/>
      <c r="F28" s="156">
        <v>9.4000000000000004E-3</v>
      </c>
      <c r="G28" s="157">
        <v>179352.16</v>
      </c>
      <c r="H28" s="45">
        <f>G28</f>
        <v>179352.16</v>
      </c>
      <c r="I28" s="170">
        <f t="shared" si="2"/>
        <v>0</v>
      </c>
      <c r="J28" s="171">
        <f t="shared" si="4"/>
        <v>0</v>
      </c>
      <c r="K28" s="171">
        <f t="shared" si="5"/>
        <v>94000</v>
      </c>
      <c r="L28" s="84">
        <f t="shared" si="0"/>
        <v>0</v>
      </c>
      <c r="M28" s="173">
        <f t="shared" si="7"/>
        <v>94000.16</v>
      </c>
      <c r="N28" s="173">
        <f t="shared" si="6"/>
        <v>99640.16</v>
      </c>
      <c r="O28" s="149">
        <f t="shared" si="8"/>
        <v>0.16</v>
      </c>
    </row>
    <row r="29" spans="1:15" x14ac:dyDescent="0.3">
      <c r="A29" s="61" t="s">
        <v>125</v>
      </c>
      <c r="B29" s="6"/>
      <c r="C29" s="36" t="s">
        <v>63</v>
      </c>
      <c r="D29" s="122" t="s">
        <v>186</v>
      </c>
      <c r="E29" s="151" t="s">
        <v>310</v>
      </c>
      <c r="F29" s="156">
        <v>8.6999999999999994E-3</v>
      </c>
      <c r="G29" s="157">
        <v>78300.17</v>
      </c>
      <c r="H29" s="45">
        <f t="shared" ref="H29:H30" si="10">G29</f>
        <v>78300.17</v>
      </c>
      <c r="I29" s="170">
        <f t="shared" si="2"/>
        <v>0</v>
      </c>
      <c r="J29" s="171">
        <f t="shared" si="4"/>
        <v>0</v>
      </c>
      <c r="K29" s="171">
        <f t="shared" si="5"/>
        <v>87000</v>
      </c>
      <c r="L29" s="84">
        <f>K29*0.1</f>
        <v>8700</v>
      </c>
      <c r="M29" s="173">
        <f t="shared" si="7"/>
        <v>95700.17</v>
      </c>
      <c r="N29" s="173">
        <f t="shared" si="6"/>
        <v>101442.17</v>
      </c>
      <c r="O29" s="149">
        <f t="shared" si="8"/>
        <v>0.17</v>
      </c>
    </row>
    <row r="30" spans="1:15" x14ac:dyDescent="0.3">
      <c r="A30" s="61" t="s">
        <v>125</v>
      </c>
      <c r="B30" s="6"/>
      <c r="C30" s="36" t="s">
        <v>64</v>
      </c>
      <c r="D30" s="122" t="s">
        <v>186</v>
      </c>
      <c r="E30" s="151"/>
      <c r="F30" s="156">
        <v>9.4999999999999998E-3</v>
      </c>
      <c r="G30" s="157">
        <v>181260.18</v>
      </c>
      <c r="H30" s="45">
        <f t="shared" si="10"/>
        <v>181260.18</v>
      </c>
      <c r="I30" s="189">
        <f t="shared" si="2"/>
        <v>0</v>
      </c>
      <c r="J30" s="171">
        <f t="shared" si="4"/>
        <v>0</v>
      </c>
      <c r="K30" s="171">
        <f t="shared" si="5"/>
        <v>95000</v>
      </c>
      <c r="L30" s="84">
        <f t="shared" si="0"/>
        <v>0</v>
      </c>
      <c r="M30" s="173">
        <f t="shared" si="7"/>
        <v>95000.18</v>
      </c>
      <c r="N30" s="173">
        <f t="shared" si="6"/>
        <v>100700.18</v>
      </c>
      <c r="O30" s="149">
        <f t="shared" si="8"/>
        <v>0.18000000000000002</v>
      </c>
    </row>
    <row r="31" spans="1:15" x14ac:dyDescent="0.3">
      <c r="A31" s="61" t="s">
        <v>123</v>
      </c>
      <c r="B31" s="6"/>
      <c r="C31" s="36" t="s">
        <v>65</v>
      </c>
      <c r="D31" s="122" t="s">
        <v>189</v>
      </c>
      <c r="E31" s="151" t="s">
        <v>307</v>
      </c>
      <c r="F31" s="156">
        <v>1.6400000000000001E-2</v>
      </c>
      <c r="G31" s="157">
        <v>156600.19</v>
      </c>
      <c r="H31" s="45">
        <f>G31</f>
        <v>156600.19</v>
      </c>
      <c r="I31" s="170">
        <f t="shared" si="2"/>
        <v>0</v>
      </c>
      <c r="J31" s="171">
        <f t="shared" si="4"/>
        <v>0</v>
      </c>
      <c r="K31" s="171">
        <f t="shared" si="5"/>
        <v>164000</v>
      </c>
      <c r="L31" s="84">
        <f t="shared" si="0"/>
        <v>0</v>
      </c>
      <c r="M31" s="173">
        <f t="shared" si="7"/>
        <v>164000.19</v>
      </c>
      <c r="N31" s="173">
        <f t="shared" si="6"/>
        <v>173840.19</v>
      </c>
      <c r="O31" s="149">
        <f t="shared" si="8"/>
        <v>0.19000000000000003</v>
      </c>
    </row>
    <row r="32" spans="1:15" x14ac:dyDescent="0.3">
      <c r="A32" s="61" t="s">
        <v>124</v>
      </c>
      <c r="B32" s="6"/>
      <c r="C32" s="36" t="s">
        <v>66</v>
      </c>
      <c r="D32" s="122" t="s">
        <v>225</v>
      </c>
      <c r="E32" s="151"/>
      <c r="F32" s="156">
        <v>7.1999999999999998E-3</v>
      </c>
      <c r="G32" s="157">
        <v>64800.2</v>
      </c>
      <c r="H32" s="45">
        <f>G32</f>
        <v>64800.2</v>
      </c>
      <c r="I32" s="170">
        <f t="shared" si="2"/>
        <v>0</v>
      </c>
      <c r="J32" s="171">
        <f t="shared" si="4"/>
        <v>0</v>
      </c>
      <c r="K32" s="171">
        <f t="shared" si="5"/>
        <v>72000</v>
      </c>
      <c r="L32" s="84">
        <f t="shared" si="0"/>
        <v>0</v>
      </c>
      <c r="M32" s="173">
        <f t="shared" si="7"/>
        <v>72000.2</v>
      </c>
      <c r="N32" s="173">
        <f t="shared" si="6"/>
        <v>76320.2</v>
      </c>
      <c r="O32" s="149">
        <f t="shared" si="8"/>
        <v>0.20000000000000004</v>
      </c>
    </row>
    <row r="33" spans="1:17" s="161" customFormat="1" x14ac:dyDescent="0.3">
      <c r="A33" s="159" t="s">
        <v>123</v>
      </c>
      <c r="B33" s="158"/>
      <c r="C33" s="36" t="s">
        <v>67</v>
      </c>
      <c r="D33" s="122" t="s">
        <v>190</v>
      </c>
      <c r="E33" s="151"/>
      <c r="F33" s="156">
        <v>1.7299999999999999E-2</v>
      </c>
      <c r="G33" s="157">
        <v>434967.21</v>
      </c>
      <c r="H33" s="45"/>
      <c r="I33" s="170">
        <f t="shared" si="2"/>
        <v>434967.21</v>
      </c>
      <c r="J33" s="171">
        <f t="shared" si="4"/>
        <v>0</v>
      </c>
      <c r="K33" s="171">
        <f t="shared" si="5"/>
        <v>173000</v>
      </c>
      <c r="L33" s="84">
        <f t="shared" si="0"/>
        <v>0</v>
      </c>
      <c r="M33" s="173">
        <f t="shared" si="7"/>
        <v>607967.21</v>
      </c>
      <c r="N33" s="173">
        <f t="shared" si="6"/>
        <v>644445.21</v>
      </c>
      <c r="O33" s="160">
        <f t="shared" si="8"/>
        <v>0.21000000000000005</v>
      </c>
    </row>
    <row r="34" spans="1:17" s="161" customFormat="1" x14ac:dyDescent="0.3">
      <c r="A34" s="159" t="s">
        <v>125</v>
      </c>
      <c r="B34" s="158"/>
      <c r="C34" s="36" t="s">
        <v>68</v>
      </c>
      <c r="D34" s="122" t="s">
        <v>287</v>
      </c>
      <c r="E34" s="151"/>
      <c r="F34" s="156">
        <v>9.4000000000000004E-3</v>
      </c>
      <c r="G34" s="45">
        <v>179352.22</v>
      </c>
      <c r="H34" s="45">
        <f>G34</f>
        <v>179352.22</v>
      </c>
      <c r="I34" s="170">
        <f t="shared" si="2"/>
        <v>0</v>
      </c>
      <c r="J34" s="171">
        <f t="shared" si="4"/>
        <v>0</v>
      </c>
      <c r="K34" s="171">
        <f t="shared" si="5"/>
        <v>94000</v>
      </c>
      <c r="L34" s="84">
        <f t="shared" si="0"/>
        <v>0</v>
      </c>
      <c r="M34" s="173">
        <f t="shared" si="7"/>
        <v>94000.22</v>
      </c>
      <c r="N34" s="173">
        <f t="shared" si="6"/>
        <v>99640.22</v>
      </c>
      <c r="O34" s="160">
        <f t="shared" si="8"/>
        <v>0.22000000000000006</v>
      </c>
    </row>
    <row r="35" spans="1:17" s="161" customFormat="1" x14ac:dyDescent="0.3">
      <c r="A35" s="159" t="s">
        <v>125</v>
      </c>
      <c r="B35" s="158"/>
      <c r="C35" s="36" t="s">
        <v>69</v>
      </c>
      <c r="D35" s="122" t="s">
        <v>186</v>
      </c>
      <c r="E35" s="151"/>
      <c r="F35" s="156">
        <v>8.6999999999999994E-3</v>
      </c>
      <c r="G35" s="157">
        <v>156600.23000000001</v>
      </c>
      <c r="H35" s="45">
        <f>G35</f>
        <v>156600.23000000001</v>
      </c>
      <c r="I35" s="170">
        <f t="shared" si="2"/>
        <v>0</v>
      </c>
      <c r="J35" s="171">
        <f t="shared" si="4"/>
        <v>0</v>
      </c>
      <c r="K35" s="171">
        <f t="shared" si="5"/>
        <v>87000</v>
      </c>
      <c r="L35" s="84">
        <f t="shared" si="0"/>
        <v>0</v>
      </c>
      <c r="M35" s="173">
        <f t="shared" si="7"/>
        <v>87000.23</v>
      </c>
      <c r="N35" s="173">
        <f t="shared" si="6"/>
        <v>92220.23</v>
      </c>
      <c r="O35" s="160">
        <f t="shared" si="8"/>
        <v>0.23000000000000007</v>
      </c>
      <c r="P35" s="161" t="s">
        <v>338</v>
      </c>
    </row>
    <row r="36" spans="1:17" s="161" customFormat="1" x14ac:dyDescent="0.3">
      <c r="A36" s="159" t="s">
        <v>125</v>
      </c>
      <c r="B36" s="158"/>
      <c r="C36" s="36" t="s">
        <v>70</v>
      </c>
      <c r="D36" s="122" t="s">
        <v>287</v>
      </c>
      <c r="E36" s="151"/>
      <c r="F36" s="156">
        <v>9.4999999999999998E-3</v>
      </c>
      <c r="G36" s="190">
        <v>181260.24</v>
      </c>
      <c r="H36" s="45">
        <f>G36</f>
        <v>181260.24</v>
      </c>
      <c r="I36" s="170">
        <f t="shared" si="2"/>
        <v>0</v>
      </c>
      <c r="J36" s="171">
        <f t="shared" si="4"/>
        <v>0</v>
      </c>
      <c r="K36" s="171">
        <f t="shared" si="5"/>
        <v>95000</v>
      </c>
      <c r="L36" s="84">
        <f t="shared" si="0"/>
        <v>0</v>
      </c>
      <c r="M36" s="173">
        <f t="shared" si="7"/>
        <v>95000.24</v>
      </c>
      <c r="N36" s="173">
        <f t="shared" si="6"/>
        <v>100700.24</v>
      </c>
      <c r="O36" s="160">
        <f t="shared" si="8"/>
        <v>0.24000000000000007</v>
      </c>
    </row>
    <row r="37" spans="1:17" x14ac:dyDescent="0.3">
      <c r="A37" s="61" t="s">
        <v>123</v>
      </c>
      <c r="B37" s="6"/>
      <c r="C37" s="36" t="s">
        <v>71</v>
      </c>
      <c r="D37" s="122" t="s">
        <v>191</v>
      </c>
      <c r="E37" s="151"/>
      <c r="F37" s="156">
        <v>1.6400000000000001E-2</v>
      </c>
      <c r="G37" s="157">
        <v>147600.25</v>
      </c>
      <c r="H37" s="45">
        <f>G37</f>
        <v>147600.25</v>
      </c>
      <c r="I37" s="170">
        <f t="shared" si="2"/>
        <v>0</v>
      </c>
      <c r="J37" s="171">
        <f t="shared" si="4"/>
        <v>0</v>
      </c>
      <c r="K37" s="171">
        <f t="shared" si="5"/>
        <v>164000</v>
      </c>
      <c r="L37" s="84">
        <f t="shared" si="0"/>
        <v>0</v>
      </c>
      <c r="M37" s="173">
        <f t="shared" si="7"/>
        <v>164000.25</v>
      </c>
      <c r="N37" s="173">
        <f t="shared" si="6"/>
        <v>173840.25</v>
      </c>
      <c r="O37" s="149">
        <f t="shared" si="8"/>
        <v>0.25000000000000006</v>
      </c>
    </row>
    <row r="38" spans="1:17" x14ac:dyDescent="0.3">
      <c r="A38" s="61" t="s">
        <v>124</v>
      </c>
      <c r="B38" s="6"/>
      <c r="C38" s="36" t="s">
        <v>72</v>
      </c>
      <c r="D38" s="122" t="s">
        <v>192</v>
      </c>
      <c r="E38" s="151" t="s">
        <v>277</v>
      </c>
      <c r="F38" s="156">
        <v>7.1999999999999998E-3</v>
      </c>
      <c r="G38" s="157">
        <v>64800.26</v>
      </c>
      <c r="H38" s="45">
        <f>G38</f>
        <v>64800.26</v>
      </c>
      <c r="I38" s="170">
        <f t="shared" si="2"/>
        <v>0</v>
      </c>
      <c r="J38" s="171">
        <f t="shared" si="4"/>
        <v>0</v>
      </c>
      <c r="K38" s="171">
        <f t="shared" si="5"/>
        <v>72000</v>
      </c>
      <c r="L38" s="84">
        <f t="shared" si="0"/>
        <v>0</v>
      </c>
      <c r="M38" s="173">
        <f t="shared" si="7"/>
        <v>72000.259999999995</v>
      </c>
      <c r="N38" s="173">
        <f t="shared" si="6"/>
        <v>76320.259999999995</v>
      </c>
      <c r="O38" s="149">
        <f t="shared" si="8"/>
        <v>0.26000000000000006</v>
      </c>
    </row>
    <row r="39" spans="1:17" x14ac:dyDescent="0.3">
      <c r="A39" s="61" t="s">
        <v>123</v>
      </c>
      <c r="B39" s="6"/>
      <c r="C39" s="36" t="s">
        <v>73</v>
      </c>
      <c r="D39" s="122" t="s">
        <v>193</v>
      </c>
      <c r="E39" s="151"/>
      <c r="F39" s="156">
        <v>1.7299999999999999E-2</v>
      </c>
      <c r="G39" s="157">
        <v>155700.26999999999</v>
      </c>
      <c r="H39" s="45">
        <f t="shared" ref="H39:H45" si="11">G39</f>
        <v>155700.26999999999</v>
      </c>
      <c r="I39" s="170">
        <f t="shared" si="2"/>
        <v>0</v>
      </c>
      <c r="J39" s="171">
        <f t="shared" si="4"/>
        <v>0</v>
      </c>
      <c r="K39" s="171">
        <f t="shared" si="5"/>
        <v>173000</v>
      </c>
      <c r="L39" s="84">
        <f t="shared" si="0"/>
        <v>0</v>
      </c>
      <c r="M39" s="173">
        <f t="shared" si="7"/>
        <v>173000.27</v>
      </c>
      <c r="N39" s="173">
        <f t="shared" si="6"/>
        <v>183380.27</v>
      </c>
      <c r="O39" s="149">
        <f t="shared" si="8"/>
        <v>0.27000000000000007</v>
      </c>
      <c r="P39" t="s">
        <v>271</v>
      </c>
      <c r="Q39" t="s">
        <v>271</v>
      </c>
    </row>
    <row r="40" spans="1:17" x14ac:dyDescent="0.3">
      <c r="A40" s="61" t="s">
        <v>125</v>
      </c>
      <c r="B40" s="6"/>
      <c r="C40" s="36" t="s">
        <v>74</v>
      </c>
      <c r="D40" s="122" t="s">
        <v>122</v>
      </c>
      <c r="E40" s="151"/>
      <c r="F40" s="156">
        <v>9.4000000000000004E-3</v>
      </c>
      <c r="G40" s="157">
        <v>84600.28</v>
      </c>
      <c r="H40" s="45">
        <f t="shared" si="11"/>
        <v>84600.28</v>
      </c>
      <c r="I40" s="170">
        <f t="shared" si="2"/>
        <v>0</v>
      </c>
      <c r="J40" s="171">
        <f t="shared" si="4"/>
        <v>0</v>
      </c>
      <c r="K40" s="171">
        <f t="shared" si="5"/>
        <v>94000</v>
      </c>
      <c r="L40" s="84">
        <f t="shared" si="0"/>
        <v>0</v>
      </c>
      <c r="M40" s="173">
        <f t="shared" si="7"/>
        <v>94000.28</v>
      </c>
      <c r="N40" s="173">
        <f t="shared" si="6"/>
        <v>99640.28</v>
      </c>
      <c r="O40" s="149">
        <f t="shared" si="8"/>
        <v>0.28000000000000008</v>
      </c>
      <c r="Q40" t="s">
        <v>263</v>
      </c>
    </row>
    <row r="41" spans="1:17" x14ac:dyDescent="0.3">
      <c r="A41" s="61" t="s">
        <v>125</v>
      </c>
      <c r="B41" s="6"/>
      <c r="C41" s="36" t="s">
        <v>75</v>
      </c>
      <c r="D41" s="122" t="s">
        <v>184</v>
      </c>
      <c r="E41" s="151" t="s">
        <v>348</v>
      </c>
      <c r="F41" s="156">
        <v>8.6999999999999994E-3</v>
      </c>
      <c r="G41" s="173">
        <v>82998.289999999994</v>
      </c>
      <c r="H41" s="45">
        <f t="shared" si="11"/>
        <v>82998.289999999994</v>
      </c>
      <c r="I41" s="170">
        <f t="shared" si="2"/>
        <v>0</v>
      </c>
      <c r="J41" s="171">
        <f t="shared" si="4"/>
        <v>0</v>
      </c>
      <c r="K41" s="171">
        <f t="shared" si="5"/>
        <v>87000</v>
      </c>
      <c r="L41" s="84">
        <f t="shared" si="0"/>
        <v>0</v>
      </c>
      <c r="M41" s="173">
        <f t="shared" si="7"/>
        <v>87000.29</v>
      </c>
      <c r="N41" s="173">
        <f t="shared" si="6"/>
        <v>92220.29</v>
      </c>
      <c r="O41" s="149">
        <f t="shared" si="8"/>
        <v>0.29000000000000009</v>
      </c>
    </row>
    <row r="42" spans="1:17" x14ac:dyDescent="0.3">
      <c r="A42" s="61" t="s">
        <v>125</v>
      </c>
      <c r="B42" s="6"/>
      <c r="C42" s="36" t="s">
        <v>76</v>
      </c>
      <c r="D42" s="122" t="s">
        <v>194</v>
      </c>
      <c r="E42" s="151"/>
      <c r="F42" s="156">
        <v>9.4999999999999998E-3</v>
      </c>
      <c r="G42" s="157">
        <v>85500.3</v>
      </c>
      <c r="H42" s="45">
        <f t="shared" si="11"/>
        <v>85500.3</v>
      </c>
      <c r="I42" s="170">
        <f t="shared" si="2"/>
        <v>0</v>
      </c>
      <c r="J42" s="171">
        <f t="shared" si="4"/>
        <v>0</v>
      </c>
      <c r="K42" s="171">
        <f t="shared" si="5"/>
        <v>95000</v>
      </c>
      <c r="L42" s="84">
        <f t="shared" si="0"/>
        <v>0</v>
      </c>
      <c r="M42" s="173">
        <f t="shared" si="7"/>
        <v>95000.3</v>
      </c>
      <c r="N42" s="173">
        <f t="shared" si="6"/>
        <v>100700.3</v>
      </c>
      <c r="O42" s="149">
        <f t="shared" si="8"/>
        <v>0.3000000000000001</v>
      </c>
    </row>
    <row r="43" spans="1:17" x14ac:dyDescent="0.3">
      <c r="A43" s="61" t="s">
        <v>123</v>
      </c>
      <c r="B43" s="6"/>
      <c r="C43" s="36" t="s">
        <v>77</v>
      </c>
      <c r="D43" s="122" t="s">
        <v>195</v>
      </c>
      <c r="E43" s="151"/>
      <c r="F43" s="156">
        <v>1.6400000000000001E-2</v>
      </c>
      <c r="G43" s="157">
        <v>147600.31</v>
      </c>
      <c r="H43" s="45">
        <f t="shared" si="11"/>
        <v>147600.31</v>
      </c>
      <c r="I43" s="170">
        <f t="shared" si="2"/>
        <v>0</v>
      </c>
      <c r="J43" s="171">
        <f t="shared" si="4"/>
        <v>0</v>
      </c>
      <c r="K43" s="171">
        <f t="shared" si="5"/>
        <v>164000</v>
      </c>
      <c r="L43" s="84">
        <f t="shared" si="0"/>
        <v>0</v>
      </c>
      <c r="M43" s="173">
        <f t="shared" si="7"/>
        <v>164000.31</v>
      </c>
      <c r="N43" s="173">
        <f t="shared" si="6"/>
        <v>173840.31</v>
      </c>
      <c r="O43" s="149">
        <f t="shared" si="8"/>
        <v>0.31000000000000011</v>
      </c>
    </row>
    <row r="44" spans="1:17" x14ac:dyDescent="0.3">
      <c r="A44" s="61" t="s">
        <v>124</v>
      </c>
      <c r="B44" s="6"/>
      <c r="C44" s="36" t="s">
        <v>78</v>
      </c>
      <c r="D44" s="122" t="s">
        <v>196</v>
      </c>
      <c r="E44" s="151"/>
      <c r="F44" s="156">
        <v>7.1999999999999998E-3</v>
      </c>
      <c r="G44" s="157">
        <v>64800.32</v>
      </c>
      <c r="H44" s="45">
        <f t="shared" si="11"/>
        <v>64800.32</v>
      </c>
      <c r="I44" s="170">
        <f t="shared" si="2"/>
        <v>0</v>
      </c>
      <c r="J44" s="171">
        <f t="shared" si="4"/>
        <v>0</v>
      </c>
      <c r="K44" s="171">
        <f t="shared" si="5"/>
        <v>72000</v>
      </c>
      <c r="L44" s="84">
        <f t="shared" si="0"/>
        <v>0</v>
      </c>
      <c r="M44" s="173">
        <f t="shared" si="7"/>
        <v>72000.320000000007</v>
      </c>
      <c r="N44" s="173">
        <f t="shared" si="6"/>
        <v>76320.320000000007</v>
      </c>
      <c r="O44" s="149">
        <f t="shared" si="8"/>
        <v>0.32000000000000012</v>
      </c>
      <c r="P44" s="44"/>
    </row>
    <row r="45" spans="1:17" x14ac:dyDescent="0.3">
      <c r="A45" s="61" t="s">
        <v>123</v>
      </c>
      <c r="B45" s="6"/>
      <c r="C45" s="36" t="s">
        <v>79</v>
      </c>
      <c r="D45" s="122" t="s">
        <v>197</v>
      </c>
      <c r="E45" s="151"/>
      <c r="F45" s="156">
        <v>1.7299999999999999E-2</v>
      </c>
      <c r="G45" s="157">
        <v>155700.32999999999</v>
      </c>
      <c r="H45" s="45">
        <f t="shared" si="11"/>
        <v>155700.32999999999</v>
      </c>
      <c r="I45" s="170">
        <f t="shared" si="2"/>
        <v>0</v>
      </c>
      <c r="J45" s="171">
        <f t="shared" ref="J45:J76" si="12">M$4*F45</f>
        <v>0</v>
      </c>
      <c r="K45" s="171">
        <f t="shared" ref="K45:K76" si="13">M$2*F45</f>
        <v>173000</v>
      </c>
      <c r="L45" s="84">
        <f t="shared" si="0"/>
        <v>0</v>
      </c>
      <c r="M45" s="173">
        <f t="shared" si="7"/>
        <v>173000.33</v>
      </c>
      <c r="N45" s="173">
        <f t="shared" si="6"/>
        <v>183380.33</v>
      </c>
      <c r="O45" s="149">
        <f t="shared" si="8"/>
        <v>0.33000000000000013</v>
      </c>
      <c r="P45" s="44"/>
    </row>
    <row r="46" spans="1:17" x14ac:dyDescent="0.3">
      <c r="A46" s="61" t="s">
        <v>125</v>
      </c>
      <c r="B46" s="6"/>
      <c r="C46" s="36" t="s">
        <v>80</v>
      </c>
      <c r="D46" s="122" t="s">
        <v>304</v>
      </c>
      <c r="E46" s="151"/>
      <c r="F46" s="156">
        <v>9.4000000000000004E-3</v>
      </c>
      <c r="G46" s="157">
        <v>102059.34</v>
      </c>
      <c r="H46" s="45">
        <v>102060</v>
      </c>
      <c r="I46" s="170">
        <f t="shared" si="2"/>
        <v>-0.66000000000349246</v>
      </c>
      <c r="J46" s="171">
        <f t="shared" si="12"/>
        <v>0</v>
      </c>
      <c r="K46" s="171">
        <f t="shared" si="13"/>
        <v>94000</v>
      </c>
      <c r="L46" s="84">
        <f t="shared" si="0"/>
        <v>0</v>
      </c>
      <c r="M46" s="173">
        <f t="shared" si="7"/>
        <v>93999.34</v>
      </c>
      <c r="N46" s="173">
        <f t="shared" si="6"/>
        <v>99639.34</v>
      </c>
      <c r="O46" s="149">
        <f t="shared" si="8"/>
        <v>0.34000000000000014</v>
      </c>
      <c r="P46" t="s">
        <v>343</v>
      </c>
    </row>
    <row r="47" spans="1:17" x14ac:dyDescent="0.3">
      <c r="A47" s="61" t="s">
        <v>125</v>
      </c>
      <c r="B47" s="6"/>
      <c r="C47" s="36" t="s">
        <v>81</v>
      </c>
      <c r="D47" s="122" t="s">
        <v>226</v>
      </c>
      <c r="E47" s="151"/>
      <c r="F47" s="156">
        <v>8.6999999999999994E-3</v>
      </c>
      <c r="G47" s="157">
        <v>78300.350000000006</v>
      </c>
      <c r="H47" s="45">
        <f t="shared" ref="H47:H53" si="14">G47</f>
        <v>78300.350000000006</v>
      </c>
      <c r="I47" s="170">
        <f>G47-H47</f>
        <v>0</v>
      </c>
      <c r="J47" s="171">
        <f t="shared" si="12"/>
        <v>0</v>
      </c>
      <c r="K47" s="171">
        <f t="shared" si="13"/>
        <v>87000</v>
      </c>
      <c r="L47" s="84">
        <f t="shared" si="0"/>
        <v>0</v>
      </c>
      <c r="M47" s="173">
        <f t="shared" si="7"/>
        <v>87000.35</v>
      </c>
      <c r="N47" s="173">
        <f t="shared" si="6"/>
        <v>92220.35</v>
      </c>
      <c r="O47" s="149">
        <f t="shared" si="8"/>
        <v>0.35000000000000014</v>
      </c>
    </row>
    <row r="48" spans="1:17" x14ac:dyDescent="0.3">
      <c r="A48" s="61" t="s">
        <v>125</v>
      </c>
      <c r="B48" s="6"/>
      <c r="C48" s="36" t="s">
        <v>82</v>
      </c>
      <c r="D48" s="122" t="s">
        <v>198</v>
      </c>
      <c r="E48" s="151"/>
      <c r="F48" s="156">
        <v>9.4999999999999998E-3</v>
      </c>
      <c r="G48" s="157">
        <v>85500.36</v>
      </c>
      <c r="H48" s="45">
        <f t="shared" si="14"/>
        <v>85500.36</v>
      </c>
      <c r="I48" s="170">
        <f>G48-H48</f>
        <v>0</v>
      </c>
      <c r="J48" s="171">
        <f t="shared" si="12"/>
        <v>0</v>
      </c>
      <c r="K48" s="171">
        <f t="shared" si="13"/>
        <v>95000</v>
      </c>
      <c r="L48" s="84">
        <f t="shared" si="0"/>
        <v>0</v>
      </c>
      <c r="M48" s="173">
        <f t="shared" si="7"/>
        <v>95000.36</v>
      </c>
      <c r="N48" s="173">
        <f t="shared" si="6"/>
        <v>100700.36</v>
      </c>
      <c r="O48" s="149">
        <f t="shared" si="8"/>
        <v>0.36000000000000015</v>
      </c>
    </row>
    <row r="49" spans="1:17" x14ac:dyDescent="0.3">
      <c r="A49" s="61" t="s">
        <v>123</v>
      </c>
      <c r="B49" s="6"/>
      <c r="C49" s="36" t="s">
        <v>83</v>
      </c>
      <c r="D49" s="122" t="s">
        <v>195</v>
      </c>
      <c r="E49" s="151"/>
      <c r="F49" s="156">
        <v>1.6400000000000001E-2</v>
      </c>
      <c r="G49" s="157">
        <v>147600.37</v>
      </c>
      <c r="H49" s="45">
        <f t="shared" si="14"/>
        <v>147600.37</v>
      </c>
      <c r="I49" s="170">
        <f t="shared" si="2"/>
        <v>0</v>
      </c>
      <c r="J49" s="171">
        <f t="shared" si="12"/>
        <v>0</v>
      </c>
      <c r="K49" s="171">
        <f t="shared" si="13"/>
        <v>164000</v>
      </c>
      <c r="L49" s="84">
        <f t="shared" si="0"/>
        <v>0</v>
      </c>
      <c r="M49" s="173">
        <f t="shared" si="7"/>
        <v>164000.37</v>
      </c>
      <c r="N49" s="173">
        <f t="shared" si="6"/>
        <v>173840.37</v>
      </c>
      <c r="O49" s="149">
        <f t="shared" si="8"/>
        <v>0.37000000000000016</v>
      </c>
      <c r="Q49" s="63"/>
    </row>
    <row r="50" spans="1:17" x14ac:dyDescent="0.3">
      <c r="A50" s="61" t="s">
        <v>124</v>
      </c>
      <c r="B50" s="6"/>
      <c r="C50" s="36" t="s">
        <v>84</v>
      </c>
      <c r="D50" s="122" t="s">
        <v>199</v>
      </c>
      <c r="E50" s="151" t="s">
        <v>278</v>
      </c>
      <c r="F50" s="156">
        <v>7.1999999999999998E-3</v>
      </c>
      <c r="G50" s="157">
        <v>64800.38</v>
      </c>
      <c r="H50" s="45">
        <f t="shared" si="14"/>
        <v>64800.38</v>
      </c>
      <c r="I50" s="170">
        <f t="shared" si="2"/>
        <v>0</v>
      </c>
      <c r="J50" s="171">
        <f t="shared" si="12"/>
        <v>0</v>
      </c>
      <c r="K50" s="171">
        <f t="shared" si="13"/>
        <v>72000</v>
      </c>
      <c r="L50" s="84">
        <f t="shared" si="0"/>
        <v>0</v>
      </c>
      <c r="M50" s="173">
        <f t="shared" si="7"/>
        <v>72000.38</v>
      </c>
      <c r="N50" s="173">
        <f t="shared" si="6"/>
        <v>76320.38</v>
      </c>
      <c r="O50" s="149">
        <f t="shared" si="8"/>
        <v>0.38000000000000017</v>
      </c>
    </row>
    <row r="51" spans="1:17" x14ac:dyDescent="0.3">
      <c r="A51" s="61" t="s">
        <v>123</v>
      </c>
      <c r="B51" s="6"/>
      <c r="C51" s="36" t="s">
        <v>85</v>
      </c>
      <c r="D51" s="122" t="s">
        <v>200</v>
      </c>
      <c r="E51" s="151"/>
      <c r="F51" s="156">
        <v>1.7299999999999999E-2</v>
      </c>
      <c r="G51" s="157">
        <v>155700.39000000001</v>
      </c>
      <c r="H51" s="45">
        <f t="shared" si="14"/>
        <v>155700.39000000001</v>
      </c>
      <c r="I51" s="170">
        <f t="shared" si="2"/>
        <v>0</v>
      </c>
      <c r="J51" s="171">
        <f t="shared" si="12"/>
        <v>0</v>
      </c>
      <c r="K51" s="171">
        <f t="shared" si="13"/>
        <v>173000</v>
      </c>
      <c r="L51" s="84">
        <f t="shared" si="0"/>
        <v>0</v>
      </c>
      <c r="M51" s="173">
        <f t="shared" si="7"/>
        <v>173000.39</v>
      </c>
      <c r="N51" s="173">
        <f t="shared" si="6"/>
        <v>183380.39</v>
      </c>
      <c r="O51" s="149">
        <f t="shared" si="8"/>
        <v>0.39000000000000018</v>
      </c>
    </row>
    <row r="52" spans="1:17" x14ac:dyDescent="0.3">
      <c r="A52" s="61" t="s">
        <v>125</v>
      </c>
      <c r="B52" s="6"/>
      <c r="C52" s="36" t="s">
        <v>86</v>
      </c>
      <c r="D52" s="122" t="s">
        <v>201</v>
      </c>
      <c r="E52" s="151"/>
      <c r="F52" s="156">
        <v>9.4000000000000004E-3</v>
      </c>
      <c r="G52" s="157">
        <v>84600.4</v>
      </c>
      <c r="H52" s="45">
        <v>89676.4</v>
      </c>
      <c r="I52" s="170">
        <f t="shared" si="2"/>
        <v>-5076</v>
      </c>
      <c r="J52" s="171">
        <f t="shared" si="12"/>
        <v>0</v>
      </c>
      <c r="K52" s="171">
        <f t="shared" si="13"/>
        <v>94000</v>
      </c>
      <c r="L52" s="84">
        <f t="shared" si="0"/>
        <v>0</v>
      </c>
      <c r="M52" s="173">
        <f t="shared" si="7"/>
        <v>88924.4</v>
      </c>
      <c r="N52" s="173">
        <f t="shared" si="6"/>
        <v>94260.4</v>
      </c>
      <c r="O52" s="149">
        <f t="shared" si="8"/>
        <v>0.40000000000000019</v>
      </c>
    </row>
    <row r="53" spans="1:17" x14ac:dyDescent="0.3">
      <c r="A53" s="61" t="s">
        <v>125</v>
      </c>
      <c r="B53" s="6"/>
      <c r="C53" s="36" t="s">
        <v>87</v>
      </c>
      <c r="D53" s="122" t="s">
        <v>122</v>
      </c>
      <c r="E53" s="151"/>
      <c r="F53" s="156">
        <v>8.6999999999999994E-3</v>
      </c>
      <c r="G53" s="157">
        <v>78300.41</v>
      </c>
      <c r="H53" s="45">
        <f t="shared" si="14"/>
        <v>78300.41</v>
      </c>
      <c r="I53" s="170">
        <f t="shared" si="2"/>
        <v>0</v>
      </c>
      <c r="J53" s="171">
        <f t="shared" si="12"/>
        <v>0</v>
      </c>
      <c r="K53" s="171">
        <f t="shared" si="13"/>
        <v>87000</v>
      </c>
      <c r="L53" s="84">
        <f t="shared" si="0"/>
        <v>0</v>
      </c>
      <c r="M53" s="173">
        <f t="shared" si="7"/>
        <v>87000.41</v>
      </c>
      <c r="N53" s="173">
        <f t="shared" si="6"/>
        <v>92220.41</v>
      </c>
      <c r="O53" s="149">
        <f t="shared" si="8"/>
        <v>0.4100000000000002</v>
      </c>
      <c r="Q53" t="s">
        <v>262</v>
      </c>
    </row>
    <row r="54" spans="1:17" x14ac:dyDescent="0.3">
      <c r="A54" s="61" t="s">
        <v>125</v>
      </c>
      <c r="B54" s="6"/>
      <c r="C54" s="36" t="s">
        <v>88</v>
      </c>
      <c r="D54" s="122" t="s">
        <v>202</v>
      </c>
      <c r="E54" s="151"/>
      <c r="F54" s="156">
        <v>9.4999999999999998E-3</v>
      </c>
      <c r="G54" s="157">
        <v>85500.42</v>
      </c>
      <c r="H54" s="45">
        <f t="shared" ref="H54:H61" si="15">G54</f>
        <v>85500.42</v>
      </c>
      <c r="I54" s="170">
        <f t="shared" si="2"/>
        <v>0</v>
      </c>
      <c r="J54" s="171">
        <f t="shared" si="12"/>
        <v>0</v>
      </c>
      <c r="K54" s="171">
        <f t="shared" si="13"/>
        <v>95000</v>
      </c>
      <c r="L54" s="84">
        <f t="shared" si="0"/>
        <v>0</v>
      </c>
      <c r="M54" s="173">
        <f t="shared" si="7"/>
        <v>95000.42</v>
      </c>
      <c r="N54" s="173">
        <f t="shared" si="6"/>
        <v>100700.42</v>
      </c>
      <c r="O54" s="149">
        <f t="shared" si="8"/>
        <v>0.42000000000000021</v>
      </c>
      <c r="P54" t="s">
        <v>299</v>
      </c>
    </row>
    <row r="55" spans="1:17" x14ac:dyDescent="0.3">
      <c r="A55" s="61" t="s">
        <v>123</v>
      </c>
      <c r="B55" s="6"/>
      <c r="C55" s="36" t="s">
        <v>89</v>
      </c>
      <c r="D55" s="122" t="s">
        <v>203</v>
      </c>
      <c r="E55" s="151"/>
      <c r="F55" s="156">
        <v>1.6400000000000001E-2</v>
      </c>
      <c r="G55" s="157">
        <v>147600.43</v>
      </c>
      <c r="H55" s="45">
        <f t="shared" si="15"/>
        <v>147600.43</v>
      </c>
      <c r="I55" s="170">
        <f t="shared" si="2"/>
        <v>0</v>
      </c>
      <c r="J55" s="171">
        <f t="shared" si="12"/>
        <v>0</v>
      </c>
      <c r="K55" s="171">
        <f t="shared" si="13"/>
        <v>164000</v>
      </c>
      <c r="L55" s="84">
        <f t="shared" si="0"/>
        <v>0</v>
      </c>
      <c r="M55" s="173">
        <f t="shared" si="7"/>
        <v>164000.43</v>
      </c>
      <c r="N55" s="173">
        <f t="shared" si="6"/>
        <v>173840.43</v>
      </c>
      <c r="O55" s="149">
        <f t="shared" si="8"/>
        <v>0.43000000000000022</v>
      </c>
    </row>
    <row r="56" spans="1:17" x14ac:dyDescent="0.3">
      <c r="A56" s="61" t="s">
        <v>124</v>
      </c>
      <c r="B56" s="6"/>
      <c r="C56" s="36" t="s">
        <v>90</v>
      </c>
      <c r="D56" s="122" t="s">
        <v>203</v>
      </c>
      <c r="E56" s="151"/>
      <c r="F56" s="156">
        <v>7.1999999999999998E-3</v>
      </c>
      <c r="G56" s="157">
        <v>64800.44</v>
      </c>
      <c r="H56" s="45">
        <f t="shared" si="15"/>
        <v>64800.44</v>
      </c>
      <c r="I56" s="170">
        <f t="shared" si="2"/>
        <v>0</v>
      </c>
      <c r="J56" s="171">
        <f t="shared" si="12"/>
        <v>0</v>
      </c>
      <c r="K56" s="171">
        <f t="shared" si="13"/>
        <v>72000</v>
      </c>
      <c r="L56" s="84">
        <f t="shared" si="0"/>
        <v>0</v>
      </c>
      <c r="M56" s="173">
        <f t="shared" si="7"/>
        <v>72000.44</v>
      </c>
      <c r="N56" s="173">
        <f t="shared" si="6"/>
        <v>76320.44</v>
      </c>
      <c r="O56" s="149">
        <f t="shared" si="8"/>
        <v>0.44000000000000022</v>
      </c>
    </row>
    <row r="57" spans="1:17" x14ac:dyDescent="0.3">
      <c r="A57" s="61" t="s">
        <v>123</v>
      </c>
      <c r="B57" s="6"/>
      <c r="C57" s="36" t="s">
        <v>91</v>
      </c>
      <c r="D57" s="122" t="s">
        <v>204</v>
      </c>
      <c r="E57" s="151"/>
      <c r="F57" s="156">
        <v>1.7299999999999999E-2</v>
      </c>
      <c r="G57" s="157">
        <v>155700.45000000001</v>
      </c>
      <c r="H57" s="45">
        <f t="shared" si="15"/>
        <v>155700.45000000001</v>
      </c>
      <c r="I57" s="170">
        <f t="shared" si="2"/>
        <v>0</v>
      </c>
      <c r="J57" s="171">
        <f t="shared" si="12"/>
        <v>0</v>
      </c>
      <c r="K57" s="171">
        <f t="shared" si="13"/>
        <v>173000</v>
      </c>
      <c r="L57" s="84">
        <f t="shared" si="0"/>
        <v>0</v>
      </c>
      <c r="M57" s="173">
        <f t="shared" si="7"/>
        <v>173000.45</v>
      </c>
      <c r="N57" s="173">
        <f t="shared" si="6"/>
        <v>183380.45</v>
      </c>
      <c r="O57" s="149">
        <f t="shared" si="8"/>
        <v>0.45000000000000023</v>
      </c>
    </row>
    <row r="58" spans="1:17" x14ac:dyDescent="0.3">
      <c r="A58" s="61" t="s">
        <v>125</v>
      </c>
      <c r="B58" s="6"/>
      <c r="C58" s="36" t="s">
        <v>92</v>
      </c>
      <c r="D58" s="122" t="s">
        <v>205</v>
      </c>
      <c r="E58" s="151" t="s">
        <v>279</v>
      </c>
      <c r="F58" s="156">
        <v>9.4000000000000004E-3</v>
      </c>
      <c r="G58" s="157">
        <v>236340.46</v>
      </c>
      <c r="H58" s="45">
        <f t="shared" si="15"/>
        <v>236340.46</v>
      </c>
      <c r="I58" s="170">
        <f t="shared" si="2"/>
        <v>0</v>
      </c>
      <c r="J58" s="171">
        <f t="shared" si="12"/>
        <v>0</v>
      </c>
      <c r="K58" s="171">
        <f t="shared" si="13"/>
        <v>94000</v>
      </c>
      <c r="L58" s="84">
        <f t="shared" si="0"/>
        <v>0</v>
      </c>
      <c r="M58" s="173">
        <f t="shared" si="7"/>
        <v>94000.46</v>
      </c>
      <c r="N58" s="173">
        <f t="shared" si="6"/>
        <v>99640.46</v>
      </c>
      <c r="O58" s="149">
        <f t="shared" si="8"/>
        <v>0.46000000000000024</v>
      </c>
    </row>
    <row r="59" spans="1:17" x14ac:dyDescent="0.3">
      <c r="A59" s="61" t="s">
        <v>125</v>
      </c>
      <c r="B59" s="6"/>
      <c r="C59" s="36" t="s">
        <v>93</v>
      </c>
      <c r="D59" s="122" t="s">
        <v>184</v>
      </c>
      <c r="E59" s="151"/>
      <c r="F59" s="156">
        <v>8.6999999999999994E-3</v>
      </c>
      <c r="G59" s="157">
        <v>78300.47</v>
      </c>
      <c r="H59" s="45">
        <f>G59+169200</f>
        <v>247500.47</v>
      </c>
      <c r="I59" s="170">
        <f t="shared" si="2"/>
        <v>-169200</v>
      </c>
      <c r="J59" s="171">
        <f t="shared" si="12"/>
        <v>0</v>
      </c>
      <c r="K59" s="171">
        <f t="shared" si="13"/>
        <v>87000</v>
      </c>
      <c r="L59" s="84">
        <f t="shared" si="0"/>
        <v>0</v>
      </c>
      <c r="M59" s="173">
        <f t="shared" si="7"/>
        <v>-82199.53</v>
      </c>
      <c r="N59" s="173">
        <f t="shared" si="6"/>
        <v>-87131.53</v>
      </c>
      <c r="O59" s="149">
        <f t="shared" si="8"/>
        <v>0.47000000000000025</v>
      </c>
    </row>
    <row r="60" spans="1:17" x14ac:dyDescent="0.3">
      <c r="A60" s="61" t="s">
        <v>125</v>
      </c>
      <c r="B60" s="6"/>
      <c r="C60" s="36" t="s">
        <v>94</v>
      </c>
      <c r="D60" s="122" t="s">
        <v>206</v>
      </c>
      <c r="E60" s="151"/>
      <c r="F60" s="156">
        <v>9.4999999999999998E-3</v>
      </c>
      <c r="G60" s="157">
        <v>85500.479999999996</v>
      </c>
      <c r="H60" s="45">
        <f t="shared" si="15"/>
        <v>85500.479999999996</v>
      </c>
      <c r="I60" s="170">
        <f t="shared" si="2"/>
        <v>0</v>
      </c>
      <c r="J60" s="171">
        <f t="shared" si="12"/>
        <v>0</v>
      </c>
      <c r="K60" s="171">
        <f t="shared" si="13"/>
        <v>95000</v>
      </c>
      <c r="L60" s="84">
        <f t="shared" si="0"/>
        <v>0</v>
      </c>
      <c r="M60" s="173">
        <f t="shared" si="7"/>
        <v>95000.48</v>
      </c>
      <c r="N60" s="173">
        <f t="shared" si="6"/>
        <v>100701.48</v>
      </c>
      <c r="O60" s="149">
        <f t="shared" si="8"/>
        <v>0.48000000000000026</v>
      </c>
    </row>
    <row r="61" spans="1:17" x14ac:dyDescent="0.3">
      <c r="A61" s="61" t="s">
        <v>123</v>
      </c>
      <c r="B61" s="6"/>
      <c r="C61" s="36" t="s">
        <v>95</v>
      </c>
      <c r="D61" s="122" t="s">
        <v>207</v>
      </c>
      <c r="E61" s="151"/>
      <c r="F61" s="156">
        <v>1.6400000000000001E-2</v>
      </c>
      <c r="G61" s="157">
        <v>147600.49</v>
      </c>
      <c r="H61" s="45">
        <f t="shared" si="15"/>
        <v>147600.49</v>
      </c>
      <c r="I61" s="170">
        <f t="shared" si="2"/>
        <v>0</v>
      </c>
      <c r="J61" s="171">
        <f t="shared" si="12"/>
        <v>0</v>
      </c>
      <c r="K61" s="171">
        <f t="shared" si="13"/>
        <v>164000</v>
      </c>
      <c r="L61" s="84">
        <f t="shared" si="0"/>
        <v>0</v>
      </c>
      <c r="M61" s="173">
        <f t="shared" si="7"/>
        <v>164000.49</v>
      </c>
      <c r="N61" s="173">
        <f t="shared" si="6"/>
        <v>173841.49</v>
      </c>
      <c r="O61" s="149">
        <f t="shared" si="8"/>
        <v>0.49000000000000027</v>
      </c>
    </row>
    <row r="62" spans="1:17" x14ac:dyDescent="0.3">
      <c r="A62" s="159" t="s">
        <v>124</v>
      </c>
      <c r="B62" s="158"/>
      <c r="C62" s="36" t="s">
        <v>96</v>
      </c>
      <c r="D62" s="122" t="s">
        <v>208</v>
      </c>
      <c r="E62" s="151"/>
      <c r="F62" s="156">
        <v>7.1999999999999998E-3</v>
      </c>
      <c r="G62" s="157">
        <v>181029.5</v>
      </c>
      <c r="H62" s="45"/>
      <c r="I62" s="170">
        <f t="shared" si="2"/>
        <v>181029.5</v>
      </c>
      <c r="J62" s="171">
        <f t="shared" si="12"/>
        <v>0</v>
      </c>
      <c r="K62" s="171">
        <f t="shared" si="13"/>
        <v>72000</v>
      </c>
      <c r="L62" s="84">
        <f t="shared" si="0"/>
        <v>0</v>
      </c>
      <c r="M62" s="173">
        <f t="shared" si="7"/>
        <v>253030.5</v>
      </c>
      <c r="N62" s="173">
        <f t="shared" si="6"/>
        <v>268212.5</v>
      </c>
      <c r="O62" s="149">
        <f t="shared" si="8"/>
        <v>0.50000000000000022</v>
      </c>
    </row>
    <row r="63" spans="1:17" x14ac:dyDescent="0.3">
      <c r="A63" s="61" t="s">
        <v>123</v>
      </c>
      <c r="B63" s="6"/>
      <c r="C63" s="36" t="s">
        <v>97</v>
      </c>
      <c r="D63" s="122" t="s">
        <v>209</v>
      </c>
      <c r="E63" s="151"/>
      <c r="F63" s="156">
        <v>1.7299999999999999E-2</v>
      </c>
      <c r="G63" s="157">
        <v>155700.51</v>
      </c>
      <c r="H63" s="45">
        <f t="shared" ref="H63:H67" si="16">G63</f>
        <v>155700.51</v>
      </c>
      <c r="I63" s="170">
        <f t="shared" si="2"/>
        <v>0</v>
      </c>
      <c r="J63" s="171">
        <f t="shared" si="12"/>
        <v>0</v>
      </c>
      <c r="K63" s="171">
        <f t="shared" si="13"/>
        <v>173000</v>
      </c>
      <c r="L63" s="84">
        <f t="shared" si="0"/>
        <v>0</v>
      </c>
      <c r="M63" s="173">
        <f t="shared" si="7"/>
        <v>173000.51</v>
      </c>
      <c r="N63" s="173">
        <f t="shared" si="6"/>
        <v>183381.51</v>
      </c>
      <c r="O63" s="149">
        <f t="shared" si="8"/>
        <v>0.51000000000000023</v>
      </c>
    </row>
    <row r="64" spans="1:17" x14ac:dyDescent="0.3">
      <c r="A64" s="61" t="s">
        <v>125</v>
      </c>
      <c r="B64" s="6"/>
      <c r="C64" s="36" t="s">
        <v>98</v>
      </c>
      <c r="D64" s="122" t="s">
        <v>210</v>
      </c>
      <c r="E64" s="151"/>
      <c r="F64" s="156">
        <v>9.4000000000000004E-3</v>
      </c>
      <c r="G64" s="157">
        <v>84600.52</v>
      </c>
      <c r="H64" s="45">
        <v>89677.52</v>
      </c>
      <c r="I64" s="170">
        <f t="shared" si="2"/>
        <v>-5077</v>
      </c>
      <c r="J64" s="171">
        <f t="shared" si="12"/>
        <v>0</v>
      </c>
      <c r="K64" s="171">
        <f t="shared" si="13"/>
        <v>94000</v>
      </c>
      <c r="L64" s="84">
        <f t="shared" si="0"/>
        <v>0</v>
      </c>
      <c r="M64" s="173">
        <f t="shared" si="7"/>
        <v>88923.520000000004</v>
      </c>
      <c r="N64" s="173">
        <f t="shared" si="6"/>
        <v>94259.520000000004</v>
      </c>
      <c r="O64" s="149">
        <f t="shared" si="8"/>
        <v>0.52000000000000024</v>
      </c>
    </row>
    <row r="65" spans="1:17" x14ac:dyDescent="0.3">
      <c r="A65" s="61" t="s">
        <v>125</v>
      </c>
      <c r="B65" s="6"/>
      <c r="C65" s="36" t="s">
        <v>99</v>
      </c>
      <c r="D65" s="122" t="s">
        <v>122</v>
      </c>
      <c r="E65" s="151"/>
      <c r="F65" s="156">
        <v>8.6999999999999994E-3</v>
      </c>
      <c r="G65" s="157">
        <v>78300.53</v>
      </c>
      <c r="H65" s="45">
        <f t="shared" si="16"/>
        <v>78300.53</v>
      </c>
      <c r="I65" s="170">
        <f t="shared" si="2"/>
        <v>0</v>
      </c>
      <c r="J65" s="171">
        <f t="shared" si="12"/>
        <v>0</v>
      </c>
      <c r="K65" s="171">
        <f t="shared" si="13"/>
        <v>87000</v>
      </c>
      <c r="L65" s="84">
        <f t="shared" si="0"/>
        <v>0</v>
      </c>
      <c r="M65" s="173">
        <f t="shared" si="7"/>
        <v>87000.53</v>
      </c>
      <c r="N65" s="173">
        <f t="shared" si="6"/>
        <v>92221.53</v>
      </c>
      <c r="O65" s="149">
        <f t="shared" si="8"/>
        <v>0.53000000000000025</v>
      </c>
      <c r="Q65" t="s">
        <v>263</v>
      </c>
    </row>
    <row r="66" spans="1:17" x14ac:dyDescent="0.3">
      <c r="A66" s="61" t="s">
        <v>125</v>
      </c>
      <c r="B66" s="6"/>
      <c r="C66" s="36" t="s">
        <v>100</v>
      </c>
      <c r="D66" s="122" t="s">
        <v>211</v>
      </c>
      <c r="E66" s="151"/>
      <c r="F66" s="156">
        <v>9.4999999999999998E-3</v>
      </c>
      <c r="G66" s="157">
        <v>85500.54</v>
      </c>
      <c r="H66" s="45">
        <f t="shared" si="16"/>
        <v>85500.54</v>
      </c>
      <c r="I66" s="170">
        <f t="shared" si="2"/>
        <v>0</v>
      </c>
      <c r="J66" s="171">
        <f t="shared" si="12"/>
        <v>0</v>
      </c>
      <c r="K66" s="171">
        <f t="shared" si="13"/>
        <v>95000</v>
      </c>
      <c r="L66" s="84">
        <f t="shared" si="0"/>
        <v>0</v>
      </c>
      <c r="M66" s="173">
        <f t="shared" si="7"/>
        <v>95000.54</v>
      </c>
      <c r="N66" s="173">
        <f t="shared" si="6"/>
        <v>100701.54</v>
      </c>
      <c r="O66" s="149">
        <f t="shared" si="8"/>
        <v>0.54000000000000026</v>
      </c>
    </row>
    <row r="67" spans="1:17" x14ac:dyDescent="0.3">
      <c r="A67" s="61" t="s">
        <v>126</v>
      </c>
      <c r="B67" s="6"/>
      <c r="C67" s="36" t="s">
        <v>101</v>
      </c>
      <c r="D67" s="122" t="s">
        <v>212</v>
      </c>
      <c r="E67" s="151"/>
      <c r="F67" s="156">
        <v>2.35E-2</v>
      </c>
      <c r="G67" s="157">
        <v>211500.55</v>
      </c>
      <c r="H67" s="45">
        <f t="shared" si="16"/>
        <v>211500.55</v>
      </c>
      <c r="I67" s="170">
        <f t="shared" si="2"/>
        <v>0</v>
      </c>
      <c r="J67" s="171">
        <f t="shared" si="12"/>
        <v>0</v>
      </c>
      <c r="K67" s="171">
        <f t="shared" si="13"/>
        <v>235000</v>
      </c>
      <c r="L67" s="84">
        <f t="shared" si="0"/>
        <v>0</v>
      </c>
      <c r="M67" s="173">
        <f t="shared" si="7"/>
        <v>235000.55</v>
      </c>
      <c r="N67" s="173">
        <f t="shared" si="6"/>
        <v>249101.55</v>
      </c>
      <c r="O67" s="149">
        <f t="shared" si="8"/>
        <v>0.55000000000000027</v>
      </c>
    </row>
    <row r="68" spans="1:17" x14ac:dyDescent="0.3">
      <c r="A68" s="61" t="s">
        <v>123</v>
      </c>
      <c r="B68" s="6"/>
      <c r="C68" s="36" t="s">
        <v>102</v>
      </c>
      <c r="D68" s="122" t="s">
        <v>213</v>
      </c>
      <c r="E68" s="151"/>
      <c r="F68" s="156">
        <v>1.7299999999999999E-2</v>
      </c>
      <c r="G68" s="157">
        <v>155700.56</v>
      </c>
      <c r="H68" s="45">
        <v>165043.60999999999</v>
      </c>
      <c r="I68" s="170">
        <f t="shared" si="2"/>
        <v>-9343.0499999999884</v>
      </c>
      <c r="J68" s="171">
        <f t="shared" si="12"/>
        <v>0</v>
      </c>
      <c r="K68" s="171">
        <f t="shared" si="13"/>
        <v>173000</v>
      </c>
      <c r="L68" s="84">
        <f t="shared" si="0"/>
        <v>0</v>
      </c>
      <c r="M68" s="173">
        <f t="shared" si="7"/>
        <v>163657.56</v>
      </c>
      <c r="N68" s="173">
        <f t="shared" si="6"/>
        <v>173477.56</v>
      </c>
      <c r="O68" s="149">
        <f t="shared" si="8"/>
        <v>0.56000000000000028</v>
      </c>
    </row>
    <row r="69" spans="1:17" x14ac:dyDescent="0.3">
      <c r="A69" s="61" t="s">
        <v>125</v>
      </c>
      <c r="B69" s="6"/>
      <c r="C69" s="36" t="s">
        <v>103</v>
      </c>
      <c r="D69" s="122" t="s">
        <v>261</v>
      </c>
      <c r="E69" s="151"/>
      <c r="F69" s="156">
        <v>9.4000000000000004E-3</v>
      </c>
      <c r="G69" s="157">
        <v>236342.57</v>
      </c>
      <c r="H69" s="45">
        <f>G69</f>
        <v>236342.57</v>
      </c>
      <c r="I69" s="170">
        <f t="shared" si="2"/>
        <v>0</v>
      </c>
      <c r="J69" s="171">
        <f t="shared" si="12"/>
        <v>0</v>
      </c>
      <c r="K69" s="171">
        <f t="shared" si="13"/>
        <v>94000</v>
      </c>
      <c r="L69" s="84">
        <f t="shared" si="0"/>
        <v>0</v>
      </c>
      <c r="M69" s="173">
        <f t="shared" si="7"/>
        <v>94000.57</v>
      </c>
      <c r="N69" s="173">
        <f t="shared" si="6"/>
        <v>99641.57</v>
      </c>
      <c r="O69" s="149">
        <f t="shared" si="8"/>
        <v>0.57000000000000028</v>
      </c>
    </row>
    <row r="70" spans="1:17" x14ac:dyDescent="0.3">
      <c r="A70" s="61" t="s">
        <v>125</v>
      </c>
      <c r="B70" s="6"/>
      <c r="C70" s="36" t="s">
        <v>104</v>
      </c>
      <c r="D70" s="122" t="s">
        <v>214</v>
      </c>
      <c r="E70" s="151" t="s">
        <v>309</v>
      </c>
      <c r="F70" s="156">
        <v>8.6999999999999994E-3</v>
      </c>
      <c r="G70" s="157">
        <v>218743.58</v>
      </c>
      <c r="H70" s="45">
        <f>G70</f>
        <v>218743.58</v>
      </c>
      <c r="I70" s="170">
        <f t="shared" si="2"/>
        <v>0</v>
      </c>
      <c r="J70" s="171">
        <f t="shared" si="12"/>
        <v>0</v>
      </c>
      <c r="K70" s="171">
        <f t="shared" si="13"/>
        <v>87000</v>
      </c>
      <c r="L70" s="84">
        <f t="shared" si="0"/>
        <v>0</v>
      </c>
      <c r="M70" s="173">
        <f t="shared" si="7"/>
        <v>87000.58</v>
      </c>
      <c r="N70" s="173">
        <f t="shared" si="6"/>
        <v>92221.58</v>
      </c>
      <c r="O70" s="149">
        <f t="shared" si="8"/>
        <v>0.58000000000000029</v>
      </c>
    </row>
    <row r="71" spans="1:17" x14ac:dyDescent="0.3">
      <c r="A71" s="61" t="s">
        <v>125</v>
      </c>
      <c r="B71" s="6"/>
      <c r="C71" s="36" t="s">
        <v>105</v>
      </c>
      <c r="D71" s="122" t="s">
        <v>215</v>
      </c>
      <c r="E71" s="151"/>
      <c r="F71" s="156">
        <v>9.4999999999999998E-3</v>
      </c>
      <c r="G71" s="157">
        <v>85500.59</v>
      </c>
      <c r="H71" s="45">
        <v>90631.59</v>
      </c>
      <c r="I71" s="170">
        <f t="shared" si="2"/>
        <v>-5131</v>
      </c>
      <c r="J71" s="171">
        <f t="shared" si="12"/>
        <v>0</v>
      </c>
      <c r="K71" s="171">
        <f t="shared" si="13"/>
        <v>95000</v>
      </c>
      <c r="L71" s="84">
        <f t="shared" si="0"/>
        <v>0</v>
      </c>
      <c r="M71" s="173">
        <f t="shared" si="7"/>
        <v>89869.59</v>
      </c>
      <c r="N71" s="173">
        <f t="shared" si="6"/>
        <v>95262.59</v>
      </c>
      <c r="O71" s="149">
        <f t="shared" si="8"/>
        <v>0.5900000000000003</v>
      </c>
    </row>
    <row r="72" spans="1:17" x14ac:dyDescent="0.3">
      <c r="A72" s="61" t="s">
        <v>126</v>
      </c>
      <c r="B72" s="6"/>
      <c r="C72" s="36" t="s">
        <v>106</v>
      </c>
      <c r="D72" s="122" t="s">
        <v>216</v>
      </c>
      <c r="E72" s="151"/>
      <c r="F72" s="156">
        <v>2.35E-2</v>
      </c>
      <c r="G72" s="157">
        <v>211500.6</v>
      </c>
      <c r="H72" s="45"/>
      <c r="I72" s="170">
        <f t="shared" si="2"/>
        <v>211500.6</v>
      </c>
      <c r="J72" s="171">
        <f t="shared" si="12"/>
        <v>0</v>
      </c>
      <c r="K72" s="171">
        <f t="shared" si="13"/>
        <v>235000</v>
      </c>
      <c r="L72" s="84">
        <f t="shared" ref="L72:L124" si="17">J$3*F72%+J$4</f>
        <v>0</v>
      </c>
      <c r="M72" s="173">
        <f t="shared" si="7"/>
        <v>446501.6</v>
      </c>
      <c r="N72" s="173">
        <f t="shared" si="6"/>
        <v>473292.6</v>
      </c>
      <c r="O72" s="149">
        <f t="shared" si="8"/>
        <v>0.60000000000000031</v>
      </c>
    </row>
    <row r="73" spans="1:17" x14ac:dyDescent="0.3">
      <c r="A73" s="61" t="s">
        <v>123</v>
      </c>
      <c r="B73" s="6"/>
      <c r="C73" s="36" t="s">
        <v>107</v>
      </c>
      <c r="D73" s="122" t="s">
        <v>217</v>
      </c>
      <c r="E73" s="151"/>
      <c r="F73" s="156">
        <v>1.7299999999999999E-2</v>
      </c>
      <c r="G73" s="157">
        <v>155700.60999999999</v>
      </c>
      <c r="H73" s="45">
        <f>G73</f>
        <v>155700.60999999999</v>
      </c>
      <c r="I73" s="170">
        <f t="shared" si="2"/>
        <v>0</v>
      </c>
      <c r="J73" s="171">
        <f t="shared" si="12"/>
        <v>0</v>
      </c>
      <c r="K73" s="171">
        <f t="shared" si="13"/>
        <v>173000</v>
      </c>
      <c r="L73" s="84">
        <f t="shared" si="17"/>
        <v>0</v>
      </c>
      <c r="M73" s="173">
        <f t="shared" si="7"/>
        <v>173000.61</v>
      </c>
      <c r="N73" s="173">
        <f t="shared" si="6"/>
        <v>183381.61</v>
      </c>
      <c r="O73" s="149">
        <f t="shared" si="8"/>
        <v>0.61000000000000032</v>
      </c>
    </row>
    <row r="74" spans="1:17" x14ac:dyDescent="0.3">
      <c r="A74" s="61" t="s">
        <v>125</v>
      </c>
      <c r="B74" s="6"/>
      <c r="C74" s="36" t="s">
        <v>108</v>
      </c>
      <c r="D74" s="122" t="s">
        <v>218</v>
      </c>
      <c r="E74" s="151"/>
      <c r="F74" s="156">
        <v>9.4000000000000004E-3</v>
      </c>
      <c r="G74" s="157">
        <v>179354.62</v>
      </c>
      <c r="H74" s="45">
        <f>G74</f>
        <v>179354.62</v>
      </c>
      <c r="I74" s="170">
        <f t="shared" si="2"/>
        <v>0</v>
      </c>
      <c r="J74" s="171">
        <f t="shared" si="12"/>
        <v>0</v>
      </c>
      <c r="K74" s="171">
        <f t="shared" si="13"/>
        <v>94000</v>
      </c>
      <c r="L74" s="84">
        <f>K74*0.3</f>
        <v>28200</v>
      </c>
      <c r="M74" s="173">
        <f t="shared" si="7"/>
        <v>122200.62</v>
      </c>
      <c r="N74" s="173">
        <f t="shared" si="6"/>
        <v>129533.62</v>
      </c>
      <c r="O74" s="149">
        <f t="shared" si="8"/>
        <v>0.62000000000000033</v>
      </c>
    </row>
    <row r="75" spans="1:17" x14ac:dyDescent="0.3">
      <c r="A75" s="61" t="s">
        <v>125</v>
      </c>
      <c r="B75" s="6"/>
      <c r="C75" s="36" t="s">
        <v>109</v>
      </c>
      <c r="D75" s="122" t="s">
        <v>219</v>
      </c>
      <c r="E75" s="151" t="s">
        <v>280</v>
      </c>
      <c r="F75" s="156">
        <v>8.6999999999999994E-3</v>
      </c>
      <c r="G75" s="157">
        <v>78300.63</v>
      </c>
      <c r="H75" s="45">
        <f>G75</f>
        <v>78300.63</v>
      </c>
      <c r="I75" s="170">
        <f t="shared" si="2"/>
        <v>0</v>
      </c>
      <c r="J75" s="171">
        <f t="shared" si="12"/>
        <v>0</v>
      </c>
      <c r="K75" s="171">
        <f t="shared" si="13"/>
        <v>87000</v>
      </c>
      <c r="L75" s="84">
        <f t="shared" si="17"/>
        <v>0</v>
      </c>
      <c r="M75" s="173">
        <f t="shared" si="7"/>
        <v>87000.63</v>
      </c>
      <c r="N75" s="173">
        <f t="shared" si="6"/>
        <v>92221.63</v>
      </c>
      <c r="O75" s="149">
        <f t="shared" si="8"/>
        <v>0.63000000000000034</v>
      </c>
    </row>
    <row r="76" spans="1:17" x14ac:dyDescent="0.3">
      <c r="A76" s="61" t="s">
        <v>125</v>
      </c>
      <c r="B76" s="6"/>
      <c r="C76" s="36" t="s">
        <v>110</v>
      </c>
      <c r="D76" s="122" t="s">
        <v>220</v>
      </c>
      <c r="E76" s="151"/>
      <c r="F76" s="156">
        <v>9.4999999999999998E-3</v>
      </c>
      <c r="G76" s="157">
        <v>80646.64</v>
      </c>
      <c r="H76" s="45">
        <f>G76</f>
        <v>80646.64</v>
      </c>
      <c r="I76" s="170">
        <f t="shared" si="2"/>
        <v>0</v>
      </c>
      <c r="J76" s="171">
        <f t="shared" si="12"/>
        <v>0</v>
      </c>
      <c r="K76" s="171">
        <f t="shared" si="13"/>
        <v>95000</v>
      </c>
      <c r="L76" s="84">
        <f t="shared" si="17"/>
        <v>0</v>
      </c>
      <c r="M76" s="173">
        <f t="shared" si="7"/>
        <v>95000.639999999999</v>
      </c>
      <c r="N76" s="173">
        <f t="shared" si="6"/>
        <v>100701.64</v>
      </c>
      <c r="O76" s="149">
        <f t="shared" si="8"/>
        <v>0.64000000000000035</v>
      </c>
      <c r="P76" t="s">
        <v>300</v>
      </c>
    </row>
    <row r="77" spans="1:17" x14ac:dyDescent="0.3">
      <c r="A77" s="61" t="s">
        <v>126</v>
      </c>
      <c r="B77" s="6"/>
      <c r="C77" s="36" t="s">
        <v>111</v>
      </c>
      <c r="D77" s="122" t="s">
        <v>303</v>
      </c>
      <c r="E77" s="151"/>
      <c r="F77" s="156">
        <v>2.35E-2</v>
      </c>
      <c r="G77" s="157">
        <v>211500.65</v>
      </c>
      <c r="H77" s="45">
        <f>232202-H90</f>
        <v>211501.22</v>
      </c>
      <c r="I77" s="170">
        <f t="shared" si="2"/>
        <v>-0.57000000000698492</v>
      </c>
      <c r="J77" s="171">
        <f t="shared" ref="J77:J108" si="18">M$4*F77</f>
        <v>0</v>
      </c>
      <c r="K77" s="171">
        <f t="shared" ref="K77:K108" si="19">M$2*F77</f>
        <v>235000</v>
      </c>
      <c r="L77" s="84">
        <f t="shared" si="17"/>
        <v>0</v>
      </c>
      <c r="M77" s="173">
        <f t="shared" si="7"/>
        <v>234999.65</v>
      </c>
      <c r="N77" s="173">
        <f t="shared" si="6"/>
        <v>249100.65</v>
      </c>
      <c r="O77" s="149">
        <f t="shared" si="8"/>
        <v>0.65000000000000036</v>
      </c>
    </row>
    <row r="78" spans="1:17" x14ac:dyDescent="0.3">
      <c r="A78" s="61" t="s">
        <v>123</v>
      </c>
      <c r="B78" s="6"/>
      <c r="C78" s="36" t="s">
        <v>112</v>
      </c>
      <c r="D78" s="122" t="s">
        <v>221</v>
      </c>
      <c r="E78" s="151"/>
      <c r="F78" s="156">
        <v>1.7299999999999999E-2</v>
      </c>
      <c r="G78" s="157">
        <v>155700.66</v>
      </c>
      <c r="H78" s="45">
        <f t="shared" ref="H78:H86" si="20">G78</f>
        <v>155700.66</v>
      </c>
      <c r="I78" s="170">
        <f t="shared" si="2"/>
        <v>0</v>
      </c>
      <c r="J78" s="171">
        <f t="shared" si="18"/>
        <v>0</v>
      </c>
      <c r="K78" s="171">
        <f t="shared" si="19"/>
        <v>173000</v>
      </c>
      <c r="L78" s="84">
        <f t="shared" si="17"/>
        <v>0</v>
      </c>
      <c r="M78" s="173">
        <f t="shared" ref="M78:M125" si="21">ROUND((K78+J78+I78+L78),0) + O78</f>
        <v>173000.66</v>
      </c>
      <c r="N78" s="173">
        <f t="shared" ref="N78:N125" si="22">ROUND((M78*6% + M78 ),0) + O78</f>
        <v>183381.66</v>
      </c>
      <c r="O78" s="149">
        <f t="shared" si="8"/>
        <v>0.66000000000000036</v>
      </c>
    </row>
    <row r="79" spans="1:17" x14ac:dyDescent="0.3">
      <c r="A79" s="61" t="s">
        <v>125</v>
      </c>
      <c r="B79" s="6"/>
      <c r="C79" s="36" t="s">
        <v>113</v>
      </c>
      <c r="D79" s="122" t="s">
        <v>222</v>
      </c>
      <c r="E79" s="151"/>
      <c r="F79" s="156">
        <v>9.4000000000000004E-3</v>
      </c>
      <c r="G79" s="157">
        <v>84600.67</v>
      </c>
      <c r="H79" s="45">
        <f t="shared" si="20"/>
        <v>84600.67</v>
      </c>
      <c r="I79" s="170">
        <f t="shared" si="2"/>
        <v>0</v>
      </c>
      <c r="J79" s="171">
        <f t="shared" si="18"/>
        <v>0</v>
      </c>
      <c r="K79" s="171">
        <f t="shared" si="19"/>
        <v>94000</v>
      </c>
      <c r="L79" s="84">
        <f t="shared" si="17"/>
        <v>0</v>
      </c>
      <c r="M79" s="173">
        <f t="shared" si="21"/>
        <v>94000.67</v>
      </c>
      <c r="N79" s="173">
        <f t="shared" si="22"/>
        <v>99641.67</v>
      </c>
      <c r="O79" s="149">
        <f t="shared" ref="O79:O125" si="23">O78+0.01</f>
        <v>0.67000000000000037</v>
      </c>
    </row>
    <row r="80" spans="1:17" x14ac:dyDescent="0.3">
      <c r="A80" s="61" t="s">
        <v>125</v>
      </c>
      <c r="B80" s="6"/>
      <c r="C80" s="36" t="s">
        <v>114</v>
      </c>
      <c r="D80" s="122" t="s">
        <v>223</v>
      </c>
      <c r="E80" s="151"/>
      <c r="F80" s="156">
        <v>8.6999999999999994E-3</v>
      </c>
      <c r="G80" s="157">
        <v>78300.679999999993</v>
      </c>
      <c r="H80" s="45">
        <f>G80</f>
        <v>78300.679999999993</v>
      </c>
      <c r="I80" s="170">
        <f t="shared" si="2"/>
        <v>0</v>
      </c>
      <c r="J80" s="171">
        <f t="shared" si="18"/>
        <v>0</v>
      </c>
      <c r="K80" s="171">
        <f t="shared" si="19"/>
        <v>87000</v>
      </c>
      <c r="L80" s="84">
        <f t="shared" si="17"/>
        <v>0</v>
      </c>
      <c r="M80" s="173">
        <f t="shared" si="21"/>
        <v>87000.68</v>
      </c>
      <c r="N80" s="173">
        <f t="shared" si="22"/>
        <v>92221.68</v>
      </c>
      <c r="O80" s="149">
        <f t="shared" si="23"/>
        <v>0.68000000000000038</v>
      </c>
    </row>
    <row r="81" spans="1:16" x14ac:dyDescent="0.3">
      <c r="A81" s="122" t="s">
        <v>125</v>
      </c>
      <c r="B81" s="36"/>
      <c r="C81" s="36" t="s">
        <v>115</v>
      </c>
      <c r="D81" s="122" t="s">
        <v>224</v>
      </c>
      <c r="E81" s="151"/>
      <c r="F81" s="156">
        <v>9.4999999999999998E-3</v>
      </c>
      <c r="G81" s="157">
        <v>249211.69</v>
      </c>
      <c r="H81" s="45">
        <f>G81</f>
        <v>249211.69</v>
      </c>
      <c r="I81" s="170">
        <f t="shared" si="2"/>
        <v>0</v>
      </c>
      <c r="J81" s="171">
        <f t="shared" si="18"/>
        <v>0</v>
      </c>
      <c r="K81" s="171">
        <f t="shared" si="19"/>
        <v>95000</v>
      </c>
      <c r="L81" s="84">
        <f>K81*0.3</f>
        <v>28500</v>
      </c>
      <c r="M81" s="173">
        <f t="shared" si="21"/>
        <v>123500.69</v>
      </c>
      <c r="N81" s="173">
        <f t="shared" si="22"/>
        <v>130911.69</v>
      </c>
      <c r="O81" s="149">
        <f t="shared" si="23"/>
        <v>0.69000000000000039</v>
      </c>
    </row>
    <row r="82" spans="1:16" x14ac:dyDescent="0.3">
      <c r="A82" s="122"/>
      <c r="B82" s="36"/>
      <c r="C82" s="36" t="s">
        <v>127</v>
      </c>
      <c r="D82" s="122" t="s">
        <v>188</v>
      </c>
      <c r="E82" s="122"/>
      <c r="F82" s="169">
        <v>2.3E-3</v>
      </c>
      <c r="G82" s="157">
        <v>20700.7</v>
      </c>
      <c r="H82" s="45">
        <f t="shared" si="20"/>
        <v>20700.7</v>
      </c>
      <c r="I82" s="170">
        <f t="shared" si="2"/>
        <v>0</v>
      </c>
      <c r="J82" s="171">
        <f t="shared" si="18"/>
        <v>0</v>
      </c>
      <c r="K82" s="171">
        <f t="shared" si="19"/>
        <v>23000</v>
      </c>
      <c r="L82" s="84">
        <f t="shared" si="17"/>
        <v>0</v>
      </c>
      <c r="M82" s="173">
        <f t="shared" si="21"/>
        <v>23000.7</v>
      </c>
      <c r="N82" s="173">
        <f t="shared" si="22"/>
        <v>24381.7</v>
      </c>
      <c r="O82" s="149">
        <f t="shared" si="23"/>
        <v>0.7000000000000004</v>
      </c>
    </row>
    <row r="83" spans="1:16" x14ac:dyDescent="0.3">
      <c r="A83" s="122"/>
      <c r="B83" s="36"/>
      <c r="C83" s="36" t="s">
        <v>128</v>
      </c>
      <c r="D83" s="122" t="s">
        <v>122</v>
      </c>
      <c r="E83" s="122"/>
      <c r="F83" s="169">
        <v>2.3E-3</v>
      </c>
      <c r="G83" s="157">
        <v>20700.71</v>
      </c>
      <c r="H83" s="45">
        <f t="shared" si="20"/>
        <v>20700.71</v>
      </c>
      <c r="I83" s="170">
        <f t="shared" si="2"/>
        <v>0</v>
      </c>
      <c r="J83" s="171">
        <f t="shared" si="18"/>
        <v>0</v>
      </c>
      <c r="K83" s="171">
        <f t="shared" si="19"/>
        <v>23000</v>
      </c>
      <c r="L83" s="84">
        <f t="shared" si="17"/>
        <v>0</v>
      </c>
      <c r="M83" s="173">
        <f t="shared" si="21"/>
        <v>23000.71</v>
      </c>
      <c r="N83" s="173">
        <f t="shared" si="22"/>
        <v>24381.71</v>
      </c>
      <c r="O83" s="149">
        <f t="shared" si="23"/>
        <v>0.71000000000000041</v>
      </c>
    </row>
    <row r="84" spans="1:16" x14ac:dyDescent="0.3">
      <c r="A84" s="122"/>
      <c r="B84" s="36"/>
      <c r="C84" s="36" t="s">
        <v>129</v>
      </c>
      <c r="D84" s="122" t="s">
        <v>196</v>
      </c>
      <c r="E84" s="122"/>
      <c r="F84" s="169">
        <v>2.3E-3</v>
      </c>
      <c r="G84" s="157">
        <v>20700.72</v>
      </c>
      <c r="H84" s="45">
        <v>21943.72</v>
      </c>
      <c r="I84" s="170">
        <f t="shared" si="2"/>
        <v>-1243</v>
      </c>
      <c r="J84" s="171">
        <f t="shared" si="18"/>
        <v>0</v>
      </c>
      <c r="K84" s="171">
        <f t="shared" si="19"/>
        <v>23000</v>
      </c>
      <c r="L84" s="84">
        <f t="shared" si="17"/>
        <v>0</v>
      </c>
      <c r="M84" s="173">
        <f t="shared" si="21"/>
        <v>21757.72</v>
      </c>
      <c r="N84" s="173">
        <f t="shared" si="22"/>
        <v>23063.72</v>
      </c>
      <c r="O84" s="149">
        <f t="shared" si="23"/>
        <v>0.72000000000000042</v>
      </c>
    </row>
    <row r="85" spans="1:16" x14ac:dyDescent="0.3">
      <c r="A85" s="122"/>
      <c r="B85" s="36"/>
      <c r="C85" s="36" t="s">
        <v>130</v>
      </c>
      <c r="D85" s="122" t="s">
        <v>207</v>
      </c>
      <c r="E85" s="122"/>
      <c r="F85" s="169">
        <v>2.3E-3</v>
      </c>
      <c r="G85" s="157">
        <v>20700.73</v>
      </c>
      <c r="H85" s="45">
        <f t="shared" si="20"/>
        <v>20700.73</v>
      </c>
      <c r="I85" s="170">
        <f t="shared" si="2"/>
        <v>0</v>
      </c>
      <c r="J85" s="171">
        <f t="shared" si="18"/>
        <v>0</v>
      </c>
      <c r="K85" s="171">
        <f t="shared" si="19"/>
        <v>23000</v>
      </c>
      <c r="L85" s="84">
        <f t="shared" si="17"/>
        <v>0</v>
      </c>
      <c r="M85" s="173">
        <f t="shared" si="21"/>
        <v>23000.73</v>
      </c>
      <c r="N85" s="173">
        <f t="shared" si="22"/>
        <v>24381.73</v>
      </c>
      <c r="O85" s="149">
        <f t="shared" si="23"/>
        <v>0.73000000000000043</v>
      </c>
    </row>
    <row r="86" spans="1:16" x14ac:dyDescent="0.3">
      <c r="A86" s="122"/>
      <c r="B86" s="36"/>
      <c r="C86" s="36" t="s">
        <v>131</v>
      </c>
      <c r="D86" s="122" t="s">
        <v>202</v>
      </c>
      <c r="E86" s="122"/>
      <c r="F86" s="169">
        <v>2.3E-3</v>
      </c>
      <c r="G86" s="157">
        <v>20700.740000000002</v>
      </c>
      <c r="H86" s="45">
        <f t="shared" si="20"/>
        <v>20700.740000000002</v>
      </c>
      <c r="I86" s="170">
        <f t="shared" si="2"/>
        <v>0</v>
      </c>
      <c r="J86" s="171">
        <f t="shared" si="18"/>
        <v>0</v>
      </c>
      <c r="K86" s="171">
        <f t="shared" si="19"/>
        <v>23000</v>
      </c>
      <c r="L86" s="84">
        <f t="shared" si="17"/>
        <v>0</v>
      </c>
      <c r="M86" s="173">
        <f t="shared" si="21"/>
        <v>23000.74</v>
      </c>
      <c r="N86" s="173">
        <f t="shared" si="22"/>
        <v>24381.74</v>
      </c>
      <c r="O86" s="149">
        <f t="shared" si="23"/>
        <v>0.74000000000000044</v>
      </c>
      <c r="P86" t="s">
        <v>299</v>
      </c>
    </row>
    <row r="87" spans="1:16" x14ac:dyDescent="0.3">
      <c r="A87" s="122"/>
      <c r="B87" s="36"/>
      <c r="C87" s="36" t="s">
        <v>132</v>
      </c>
      <c r="D87" s="122" t="s">
        <v>227</v>
      </c>
      <c r="E87" s="122"/>
      <c r="F87" s="169">
        <v>2.3E-3</v>
      </c>
      <c r="G87" s="157">
        <v>57830.75</v>
      </c>
      <c r="H87" s="45"/>
      <c r="I87" s="170">
        <f t="shared" si="2"/>
        <v>57830.75</v>
      </c>
      <c r="J87" s="171">
        <f t="shared" si="18"/>
        <v>0</v>
      </c>
      <c r="K87" s="171">
        <f t="shared" si="19"/>
        <v>23000</v>
      </c>
      <c r="L87" s="84">
        <f t="shared" si="17"/>
        <v>0</v>
      </c>
      <c r="M87" s="173">
        <f t="shared" si="21"/>
        <v>80831.75</v>
      </c>
      <c r="N87" s="173">
        <f t="shared" si="22"/>
        <v>85682.75</v>
      </c>
      <c r="O87" s="149">
        <f t="shared" si="23"/>
        <v>0.75000000000000044</v>
      </c>
    </row>
    <row r="88" spans="1:16" x14ac:dyDescent="0.3">
      <c r="A88" s="122"/>
      <c r="B88" s="36"/>
      <c r="C88" s="36" t="s">
        <v>133</v>
      </c>
      <c r="D88" s="122" t="s">
        <v>195</v>
      </c>
      <c r="E88" s="122"/>
      <c r="F88" s="169">
        <v>2.3E-3</v>
      </c>
      <c r="G88" s="157">
        <v>20700.759999999998</v>
      </c>
      <c r="H88" s="45">
        <f>G88</f>
        <v>20700.759999999998</v>
      </c>
      <c r="I88" s="170">
        <f t="shared" si="2"/>
        <v>0</v>
      </c>
      <c r="J88" s="171">
        <f t="shared" si="18"/>
        <v>0</v>
      </c>
      <c r="K88" s="171">
        <f t="shared" si="19"/>
        <v>23000</v>
      </c>
      <c r="L88" s="84">
        <f t="shared" si="17"/>
        <v>0</v>
      </c>
      <c r="M88" s="173">
        <f t="shared" si="21"/>
        <v>23000.76</v>
      </c>
      <c r="N88" s="173">
        <f t="shared" si="22"/>
        <v>24381.759999999998</v>
      </c>
      <c r="O88" s="149">
        <f t="shared" si="23"/>
        <v>0.76000000000000045</v>
      </c>
    </row>
    <row r="89" spans="1:16" x14ac:dyDescent="0.3">
      <c r="A89" s="122"/>
      <c r="B89" s="36"/>
      <c r="C89" s="36" t="s">
        <v>134</v>
      </c>
      <c r="D89" s="122" t="s">
        <v>195</v>
      </c>
      <c r="E89" s="122"/>
      <c r="F89" s="169">
        <v>2.3E-3</v>
      </c>
      <c r="G89" s="157">
        <v>20700.77</v>
      </c>
      <c r="H89" s="45">
        <f>G89</f>
        <v>20700.77</v>
      </c>
      <c r="I89" s="170">
        <f t="shared" si="2"/>
        <v>0</v>
      </c>
      <c r="J89" s="171">
        <f t="shared" si="18"/>
        <v>0</v>
      </c>
      <c r="K89" s="171">
        <f t="shared" si="19"/>
        <v>23000</v>
      </c>
      <c r="L89" s="84">
        <f t="shared" si="17"/>
        <v>0</v>
      </c>
      <c r="M89" s="173">
        <f t="shared" si="21"/>
        <v>23000.77</v>
      </c>
      <c r="N89" s="173">
        <f t="shared" si="22"/>
        <v>24381.77</v>
      </c>
      <c r="O89" s="149">
        <f t="shared" si="23"/>
        <v>0.77000000000000046</v>
      </c>
    </row>
    <row r="90" spans="1:16" x14ac:dyDescent="0.3">
      <c r="A90" s="122"/>
      <c r="B90" s="36"/>
      <c r="C90" s="36" t="s">
        <v>135</v>
      </c>
      <c r="D90" s="122" t="s">
        <v>303</v>
      </c>
      <c r="E90" s="122"/>
      <c r="F90" s="169">
        <v>2.3E-3</v>
      </c>
      <c r="G90" s="157">
        <v>20700.78</v>
      </c>
      <c r="H90" s="45">
        <f>G90</f>
        <v>20700.78</v>
      </c>
      <c r="I90" s="170">
        <f t="shared" si="2"/>
        <v>0</v>
      </c>
      <c r="J90" s="171">
        <f t="shared" si="18"/>
        <v>0</v>
      </c>
      <c r="K90" s="171">
        <f t="shared" si="19"/>
        <v>23000</v>
      </c>
      <c r="L90" s="84">
        <f t="shared" si="17"/>
        <v>0</v>
      </c>
      <c r="M90" s="173">
        <f t="shared" si="21"/>
        <v>23000.78</v>
      </c>
      <c r="N90" s="173">
        <f t="shared" si="22"/>
        <v>24381.78</v>
      </c>
      <c r="O90" s="149">
        <f t="shared" si="23"/>
        <v>0.78000000000000047</v>
      </c>
    </row>
    <row r="91" spans="1:16" x14ac:dyDescent="0.3">
      <c r="A91" s="122"/>
      <c r="B91" s="36"/>
      <c r="C91" s="36" t="s">
        <v>136</v>
      </c>
      <c r="D91" s="122" t="s">
        <v>205</v>
      </c>
      <c r="E91" s="122"/>
      <c r="F91" s="169">
        <v>2.3E-3</v>
      </c>
      <c r="G91" s="157">
        <v>57830.79</v>
      </c>
      <c r="H91" s="45"/>
      <c r="I91" s="170">
        <f t="shared" si="2"/>
        <v>57830.79</v>
      </c>
      <c r="J91" s="171">
        <f t="shared" si="18"/>
        <v>0</v>
      </c>
      <c r="K91" s="171">
        <f t="shared" si="19"/>
        <v>23000</v>
      </c>
      <c r="L91" s="84">
        <f t="shared" si="17"/>
        <v>0</v>
      </c>
      <c r="M91" s="173">
        <f t="shared" si="21"/>
        <v>80831.789999999994</v>
      </c>
      <c r="N91" s="173">
        <f t="shared" si="22"/>
        <v>85682.79</v>
      </c>
      <c r="O91" s="149">
        <f t="shared" si="23"/>
        <v>0.79000000000000048</v>
      </c>
    </row>
    <row r="92" spans="1:16" x14ac:dyDescent="0.3">
      <c r="A92" s="122"/>
      <c r="B92" s="36"/>
      <c r="C92" s="36" t="s">
        <v>137</v>
      </c>
      <c r="D92" s="122" t="s">
        <v>188</v>
      </c>
      <c r="E92" s="122"/>
      <c r="F92" s="169">
        <v>2.3E-3</v>
      </c>
      <c r="G92" s="157">
        <v>20700.8</v>
      </c>
      <c r="H92" s="45">
        <f t="shared" ref="H92:H98" si="24">G92</f>
        <v>20700.8</v>
      </c>
      <c r="I92" s="170">
        <f t="shared" si="2"/>
        <v>0</v>
      </c>
      <c r="J92" s="171">
        <f t="shared" si="18"/>
        <v>0</v>
      </c>
      <c r="K92" s="171">
        <f t="shared" si="19"/>
        <v>23000</v>
      </c>
      <c r="L92" s="84">
        <f t="shared" si="17"/>
        <v>0</v>
      </c>
      <c r="M92" s="173">
        <f t="shared" si="21"/>
        <v>23000.799999999999</v>
      </c>
      <c r="N92" s="173">
        <f t="shared" si="22"/>
        <v>24381.8</v>
      </c>
      <c r="O92" s="149">
        <f t="shared" si="23"/>
        <v>0.80000000000000049</v>
      </c>
    </row>
    <row r="93" spans="1:16" x14ac:dyDescent="0.3">
      <c r="A93" s="122"/>
      <c r="B93" s="36"/>
      <c r="C93" s="36" t="s">
        <v>138</v>
      </c>
      <c r="D93" s="122" t="s">
        <v>184</v>
      </c>
      <c r="E93" s="122"/>
      <c r="F93" s="102">
        <v>2.3E-3</v>
      </c>
      <c r="G93" s="150">
        <v>21943.81</v>
      </c>
      <c r="H93" s="98">
        <f t="shared" si="24"/>
        <v>21943.81</v>
      </c>
      <c r="I93" s="60">
        <f t="shared" si="2"/>
        <v>0</v>
      </c>
      <c r="J93" s="27">
        <f t="shared" si="18"/>
        <v>0</v>
      </c>
      <c r="K93" s="27">
        <f t="shared" si="19"/>
        <v>23000</v>
      </c>
      <c r="L93" s="84">
        <f t="shared" si="17"/>
        <v>0</v>
      </c>
      <c r="M93" s="9">
        <f t="shared" si="21"/>
        <v>23000.81</v>
      </c>
      <c r="N93" s="9">
        <f t="shared" si="22"/>
        <v>24381.81</v>
      </c>
      <c r="O93" s="149">
        <f t="shared" si="23"/>
        <v>0.8100000000000005</v>
      </c>
    </row>
    <row r="94" spans="1:16" x14ac:dyDescent="0.3">
      <c r="A94" s="122"/>
      <c r="B94" s="36"/>
      <c r="C94" s="36" t="s">
        <v>139</v>
      </c>
      <c r="D94" s="122" t="s">
        <v>337</v>
      </c>
      <c r="E94" s="122"/>
      <c r="F94" s="102">
        <v>2.3E-3</v>
      </c>
      <c r="G94" s="150">
        <v>20700.82</v>
      </c>
      <c r="H94" s="98">
        <f t="shared" si="24"/>
        <v>20700.82</v>
      </c>
      <c r="I94" s="60">
        <f t="shared" si="2"/>
        <v>0</v>
      </c>
      <c r="J94" s="27">
        <f t="shared" si="18"/>
        <v>0</v>
      </c>
      <c r="K94" s="27">
        <f t="shared" si="19"/>
        <v>23000</v>
      </c>
      <c r="L94" s="84">
        <f t="shared" si="17"/>
        <v>0</v>
      </c>
      <c r="M94" s="9">
        <f t="shared" si="21"/>
        <v>23000.82</v>
      </c>
      <c r="N94" s="9">
        <f t="shared" si="22"/>
        <v>24381.82</v>
      </c>
      <c r="O94" s="149">
        <f t="shared" si="23"/>
        <v>0.82000000000000051</v>
      </c>
    </row>
    <row r="95" spans="1:16" x14ac:dyDescent="0.3">
      <c r="A95" s="122"/>
      <c r="B95" s="36"/>
      <c r="C95" s="36" t="s">
        <v>140</v>
      </c>
      <c r="D95" s="122" t="s">
        <v>228</v>
      </c>
      <c r="E95" s="122"/>
      <c r="F95" s="102">
        <v>2.3E-3</v>
      </c>
      <c r="G95" s="150">
        <v>20700.830000000002</v>
      </c>
      <c r="H95" s="98">
        <f t="shared" si="24"/>
        <v>20700.830000000002</v>
      </c>
      <c r="I95" s="60">
        <f t="shared" si="2"/>
        <v>0</v>
      </c>
      <c r="J95" s="27">
        <f t="shared" si="18"/>
        <v>0</v>
      </c>
      <c r="K95" s="27">
        <f t="shared" si="19"/>
        <v>23000</v>
      </c>
      <c r="L95" s="84">
        <f t="shared" si="17"/>
        <v>0</v>
      </c>
      <c r="M95" s="9">
        <f t="shared" si="21"/>
        <v>23000.83</v>
      </c>
      <c r="N95" s="9">
        <f t="shared" si="22"/>
        <v>24381.83</v>
      </c>
      <c r="O95" s="149">
        <f t="shared" si="23"/>
        <v>0.83000000000000052</v>
      </c>
    </row>
    <row r="96" spans="1:16" ht="15.75" customHeight="1" x14ac:dyDescent="0.3">
      <c r="A96" s="122"/>
      <c r="B96" s="36"/>
      <c r="C96" s="36" t="s">
        <v>141</v>
      </c>
      <c r="D96" s="122" t="s">
        <v>217</v>
      </c>
      <c r="E96" s="122"/>
      <c r="F96" s="102">
        <v>2.3E-3</v>
      </c>
      <c r="G96" s="150">
        <v>20700.84</v>
      </c>
      <c r="H96" s="98">
        <f t="shared" si="24"/>
        <v>20700.84</v>
      </c>
      <c r="I96" s="60">
        <f t="shared" si="2"/>
        <v>0</v>
      </c>
      <c r="J96" s="27">
        <f t="shared" si="18"/>
        <v>0</v>
      </c>
      <c r="K96" s="27">
        <f t="shared" si="19"/>
        <v>23000</v>
      </c>
      <c r="L96" s="84">
        <f t="shared" si="17"/>
        <v>0</v>
      </c>
      <c r="M96" s="9">
        <f t="shared" si="21"/>
        <v>23000.84</v>
      </c>
      <c r="N96" s="9">
        <f t="shared" si="22"/>
        <v>24381.84</v>
      </c>
      <c r="O96" s="149">
        <f t="shared" si="23"/>
        <v>0.84000000000000052</v>
      </c>
    </row>
    <row r="97" spans="1:16" ht="15.75" customHeight="1" x14ac:dyDescent="0.3">
      <c r="A97" s="122"/>
      <c r="B97" s="36"/>
      <c r="C97" s="36" t="s">
        <v>142</v>
      </c>
      <c r="D97" s="122" t="s">
        <v>225</v>
      </c>
      <c r="E97" s="122"/>
      <c r="F97" s="102">
        <v>2.3E-3</v>
      </c>
      <c r="G97" s="150">
        <v>20700.849999999999</v>
      </c>
      <c r="H97" s="98">
        <f t="shared" si="24"/>
        <v>20700.849999999999</v>
      </c>
      <c r="I97" s="60">
        <f t="shared" si="2"/>
        <v>0</v>
      </c>
      <c r="J97" s="27">
        <f t="shared" si="18"/>
        <v>0</v>
      </c>
      <c r="K97" s="27">
        <f t="shared" si="19"/>
        <v>23000</v>
      </c>
      <c r="L97" s="84">
        <f t="shared" si="17"/>
        <v>0</v>
      </c>
      <c r="M97" s="9">
        <f t="shared" si="21"/>
        <v>23000.85</v>
      </c>
      <c r="N97" s="9">
        <f t="shared" si="22"/>
        <v>24381.85</v>
      </c>
      <c r="O97" s="149">
        <f t="shared" si="23"/>
        <v>0.85000000000000053</v>
      </c>
    </row>
    <row r="98" spans="1:16" ht="15.75" customHeight="1" x14ac:dyDescent="0.3">
      <c r="A98" s="122"/>
      <c r="B98" s="36"/>
      <c r="C98" s="36" t="s">
        <v>143</v>
      </c>
      <c r="D98" s="122" t="s">
        <v>209</v>
      </c>
      <c r="E98" s="122"/>
      <c r="F98" s="102">
        <v>2.3E-3</v>
      </c>
      <c r="G98" s="150">
        <v>20700.86</v>
      </c>
      <c r="H98" s="98">
        <f t="shared" si="24"/>
        <v>20700.86</v>
      </c>
      <c r="I98" s="60">
        <f t="shared" si="2"/>
        <v>0</v>
      </c>
      <c r="J98" s="27">
        <f t="shared" si="18"/>
        <v>0</v>
      </c>
      <c r="K98" s="27">
        <f t="shared" si="19"/>
        <v>23000</v>
      </c>
      <c r="L98" s="84">
        <f t="shared" si="17"/>
        <v>0</v>
      </c>
      <c r="M98" s="9">
        <f t="shared" si="21"/>
        <v>23000.86</v>
      </c>
      <c r="N98" s="9">
        <f t="shared" si="22"/>
        <v>24381.86</v>
      </c>
      <c r="O98" s="149">
        <f t="shared" si="23"/>
        <v>0.86000000000000054</v>
      </c>
    </row>
    <row r="99" spans="1:16" ht="15.75" customHeight="1" x14ac:dyDescent="0.3">
      <c r="A99" s="122"/>
      <c r="B99" s="36"/>
      <c r="C99" s="36" t="s">
        <v>144</v>
      </c>
      <c r="D99" s="122" t="s">
        <v>122</v>
      </c>
      <c r="E99" s="122"/>
      <c r="F99" s="102">
        <v>2.3E-3</v>
      </c>
      <c r="G99" s="150">
        <v>20700.87</v>
      </c>
      <c r="H99" s="98">
        <f t="shared" ref="H99:H105" si="25">G99</f>
        <v>20700.87</v>
      </c>
      <c r="I99" s="60">
        <f t="shared" si="2"/>
        <v>0</v>
      </c>
      <c r="J99" s="27">
        <f t="shared" si="18"/>
        <v>0</v>
      </c>
      <c r="K99" s="27">
        <f t="shared" si="19"/>
        <v>23000</v>
      </c>
      <c r="L99" s="84">
        <f t="shared" si="17"/>
        <v>0</v>
      </c>
      <c r="M99" s="9">
        <f t="shared" si="21"/>
        <v>23000.87</v>
      </c>
      <c r="N99" s="9">
        <f t="shared" si="22"/>
        <v>24381.87</v>
      </c>
      <c r="O99" s="149">
        <f t="shared" si="23"/>
        <v>0.87000000000000055</v>
      </c>
    </row>
    <row r="100" spans="1:16" ht="15.75" customHeight="1" x14ac:dyDescent="0.3">
      <c r="A100" s="122"/>
      <c r="B100" s="36"/>
      <c r="C100" s="36" t="s">
        <v>145</v>
      </c>
      <c r="D100" s="122" t="s">
        <v>229</v>
      </c>
      <c r="E100" s="122"/>
      <c r="F100" s="102">
        <v>2.3E-3</v>
      </c>
      <c r="G100" s="150">
        <v>20700.88</v>
      </c>
      <c r="H100" s="98">
        <v>21943.88</v>
      </c>
      <c r="I100" s="60">
        <f t="shared" si="2"/>
        <v>-1243</v>
      </c>
      <c r="J100" s="27">
        <f t="shared" si="18"/>
        <v>0</v>
      </c>
      <c r="K100" s="27">
        <f t="shared" si="19"/>
        <v>23000</v>
      </c>
      <c r="L100" s="84">
        <f t="shared" si="17"/>
        <v>0</v>
      </c>
      <c r="M100" s="9">
        <f t="shared" si="21"/>
        <v>21757.88</v>
      </c>
      <c r="N100" s="9">
        <f t="shared" si="22"/>
        <v>23063.88</v>
      </c>
      <c r="O100" s="149">
        <f t="shared" si="23"/>
        <v>0.88000000000000056</v>
      </c>
    </row>
    <row r="101" spans="1:16" ht="15.75" customHeight="1" x14ac:dyDescent="0.3">
      <c r="A101" s="122"/>
      <c r="B101" s="36"/>
      <c r="C101" s="36" t="s">
        <v>146</v>
      </c>
      <c r="D101" s="122" t="s">
        <v>206</v>
      </c>
      <c r="E101" s="122"/>
      <c r="F101" s="102">
        <v>2.3E-3</v>
      </c>
      <c r="G101" s="150">
        <v>20700.89</v>
      </c>
      <c r="H101" s="98">
        <f t="shared" si="25"/>
        <v>20700.89</v>
      </c>
      <c r="I101" s="60">
        <f t="shared" si="2"/>
        <v>0</v>
      </c>
      <c r="J101" s="27">
        <f t="shared" si="18"/>
        <v>0</v>
      </c>
      <c r="K101" s="27">
        <f t="shared" si="19"/>
        <v>23000</v>
      </c>
      <c r="L101" s="84">
        <f t="shared" si="17"/>
        <v>0</v>
      </c>
      <c r="M101" s="9">
        <f t="shared" si="21"/>
        <v>23000.89</v>
      </c>
      <c r="N101" s="9">
        <f t="shared" si="22"/>
        <v>24381.89</v>
      </c>
      <c r="O101" s="149">
        <f t="shared" si="23"/>
        <v>0.89000000000000057</v>
      </c>
    </row>
    <row r="102" spans="1:16" ht="15.75" customHeight="1" x14ac:dyDescent="0.3">
      <c r="A102" s="122"/>
      <c r="B102" s="36"/>
      <c r="C102" s="36" t="s">
        <v>147</v>
      </c>
      <c r="D102" s="122" t="s">
        <v>212</v>
      </c>
      <c r="E102" s="122"/>
      <c r="F102" s="102">
        <v>2.3E-3</v>
      </c>
      <c r="G102" s="150">
        <v>20700.900000000001</v>
      </c>
      <c r="H102" s="98">
        <f t="shared" si="25"/>
        <v>20700.900000000001</v>
      </c>
      <c r="I102" s="60">
        <f t="shared" si="2"/>
        <v>0</v>
      </c>
      <c r="J102" s="27">
        <f t="shared" si="18"/>
        <v>0</v>
      </c>
      <c r="K102" s="27">
        <f t="shared" si="19"/>
        <v>23000</v>
      </c>
      <c r="L102" s="84">
        <f t="shared" si="17"/>
        <v>0</v>
      </c>
      <c r="M102" s="9">
        <f t="shared" si="21"/>
        <v>23000.9</v>
      </c>
      <c r="N102" s="9">
        <f t="shared" si="22"/>
        <v>24381.9</v>
      </c>
      <c r="O102" s="149">
        <f t="shared" si="23"/>
        <v>0.90000000000000058</v>
      </c>
    </row>
    <row r="103" spans="1:16" ht="15.75" customHeight="1" x14ac:dyDescent="0.3">
      <c r="A103" s="122"/>
      <c r="B103" s="36"/>
      <c r="C103" s="36" t="s">
        <v>148</v>
      </c>
      <c r="D103" s="122" t="s">
        <v>182</v>
      </c>
      <c r="E103" s="122"/>
      <c r="F103" s="102">
        <v>2.3E-3</v>
      </c>
      <c r="G103" s="150">
        <v>20700.91</v>
      </c>
      <c r="H103" s="98">
        <f t="shared" si="25"/>
        <v>20700.91</v>
      </c>
      <c r="I103" s="60">
        <f t="shared" si="2"/>
        <v>0</v>
      </c>
      <c r="J103" s="27">
        <f t="shared" si="18"/>
        <v>0</v>
      </c>
      <c r="K103" s="27">
        <f t="shared" si="19"/>
        <v>23000</v>
      </c>
      <c r="L103" s="84">
        <f t="shared" si="17"/>
        <v>0</v>
      </c>
      <c r="M103" s="9">
        <f t="shared" si="21"/>
        <v>23000.91</v>
      </c>
      <c r="N103" s="9">
        <f t="shared" si="22"/>
        <v>24381.91</v>
      </c>
      <c r="O103" s="149">
        <f t="shared" si="23"/>
        <v>0.91000000000000059</v>
      </c>
    </row>
    <row r="104" spans="1:16" ht="15.75" customHeight="1" x14ac:dyDescent="0.3">
      <c r="A104" s="122"/>
      <c r="B104" s="36"/>
      <c r="C104" s="36" t="s">
        <v>149</v>
      </c>
      <c r="D104" s="122" t="s">
        <v>211</v>
      </c>
      <c r="E104" s="122"/>
      <c r="F104" s="169">
        <v>2.3E-3</v>
      </c>
      <c r="G104" s="157">
        <v>20700.919999999998</v>
      </c>
      <c r="H104" s="45">
        <f t="shared" si="25"/>
        <v>20700.919999999998</v>
      </c>
      <c r="I104" s="170">
        <f t="shared" si="2"/>
        <v>0</v>
      </c>
      <c r="J104" s="171">
        <f t="shared" si="18"/>
        <v>0</v>
      </c>
      <c r="K104" s="171">
        <f t="shared" si="19"/>
        <v>23000</v>
      </c>
      <c r="L104" s="84">
        <f t="shared" si="17"/>
        <v>0</v>
      </c>
      <c r="M104" s="173">
        <f t="shared" si="21"/>
        <v>23000.92</v>
      </c>
      <c r="N104" s="173">
        <f t="shared" si="22"/>
        <v>24381.919999999998</v>
      </c>
      <c r="O104" s="149">
        <f t="shared" si="23"/>
        <v>0.9200000000000006</v>
      </c>
    </row>
    <row r="105" spans="1:16" ht="15.75" customHeight="1" x14ac:dyDescent="0.3">
      <c r="A105" s="122"/>
      <c r="B105" s="36"/>
      <c r="C105" s="36" t="s">
        <v>150</v>
      </c>
      <c r="D105" s="122" t="s">
        <v>197</v>
      </c>
      <c r="E105" s="122"/>
      <c r="F105" s="169">
        <v>2.3E-3</v>
      </c>
      <c r="G105" s="157">
        <v>20700.93</v>
      </c>
      <c r="H105" s="45">
        <f t="shared" si="25"/>
        <v>20700.93</v>
      </c>
      <c r="I105" s="170">
        <f t="shared" si="2"/>
        <v>0</v>
      </c>
      <c r="J105" s="171">
        <f t="shared" si="18"/>
        <v>0</v>
      </c>
      <c r="K105" s="171">
        <f t="shared" si="19"/>
        <v>23000</v>
      </c>
      <c r="L105" s="84">
        <f t="shared" si="17"/>
        <v>0</v>
      </c>
      <c r="M105" s="173">
        <f t="shared" si="21"/>
        <v>23000.93</v>
      </c>
      <c r="N105" s="173">
        <f t="shared" si="22"/>
        <v>24381.93</v>
      </c>
      <c r="O105" s="149">
        <f t="shared" si="23"/>
        <v>0.9300000000000006</v>
      </c>
    </row>
    <row r="106" spans="1:16" x14ac:dyDescent="0.3">
      <c r="A106" s="122"/>
      <c r="B106" s="36"/>
      <c r="C106" s="36" t="s">
        <v>151</v>
      </c>
      <c r="D106" s="122" t="s">
        <v>180</v>
      </c>
      <c r="E106" s="122"/>
      <c r="F106" s="169">
        <v>2.3E-3</v>
      </c>
      <c r="G106" s="157">
        <v>37129.94</v>
      </c>
      <c r="H106" s="45">
        <f>G106+16429</f>
        <v>53558.94</v>
      </c>
      <c r="I106" s="170">
        <f t="shared" si="2"/>
        <v>-16429</v>
      </c>
      <c r="J106" s="171">
        <f t="shared" si="18"/>
        <v>0</v>
      </c>
      <c r="K106" s="171">
        <f t="shared" si="19"/>
        <v>23000</v>
      </c>
      <c r="L106" s="84">
        <f t="shared" si="17"/>
        <v>0</v>
      </c>
      <c r="M106" s="173">
        <f t="shared" si="21"/>
        <v>6571.94</v>
      </c>
      <c r="N106" s="173">
        <f t="shared" si="22"/>
        <v>6966.94</v>
      </c>
      <c r="O106" s="149">
        <f t="shared" si="23"/>
        <v>0.94000000000000061</v>
      </c>
    </row>
    <row r="107" spans="1:16" x14ac:dyDescent="0.3">
      <c r="A107" s="122"/>
      <c r="B107" s="36"/>
      <c r="C107" s="36" t="s">
        <v>152</v>
      </c>
      <c r="D107" s="122" t="s">
        <v>203</v>
      </c>
      <c r="E107" s="122"/>
      <c r="F107" s="169">
        <v>2.3E-3</v>
      </c>
      <c r="G107" s="157">
        <v>20700.95</v>
      </c>
      <c r="H107" s="45">
        <f>G107</f>
        <v>20700.95</v>
      </c>
      <c r="I107" s="170">
        <f t="shared" si="2"/>
        <v>0</v>
      </c>
      <c r="J107" s="171">
        <f t="shared" si="18"/>
        <v>0</v>
      </c>
      <c r="K107" s="171">
        <f t="shared" si="19"/>
        <v>23000</v>
      </c>
      <c r="L107" s="84">
        <f t="shared" si="17"/>
        <v>0</v>
      </c>
      <c r="M107" s="173">
        <f t="shared" si="21"/>
        <v>23000.95</v>
      </c>
      <c r="N107" s="173">
        <f t="shared" si="22"/>
        <v>24381.95</v>
      </c>
      <c r="O107" s="149">
        <f t="shared" si="23"/>
        <v>0.95000000000000062</v>
      </c>
    </row>
    <row r="108" spans="1:16" x14ac:dyDescent="0.3">
      <c r="A108" s="122"/>
      <c r="B108" s="36"/>
      <c r="C108" s="36" t="s">
        <v>153</v>
      </c>
      <c r="D108" s="122" t="s">
        <v>224</v>
      </c>
      <c r="E108" s="122"/>
      <c r="F108" s="169">
        <v>2.3E-3</v>
      </c>
      <c r="G108" s="157">
        <v>41401.96</v>
      </c>
      <c r="H108" s="45">
        <v>43886.96</v>
      </c>
      <c r="I108" s="170">
        <f t="shared" si="2"/>
        <v>-2485</v>
      </c>
      <c r="J108" s="171">
        <f t="shared" si="18"/>
        <v>0</v>
      </c>
      <c r="K108" s="171">
        <f t="shared" si="19"/>
        <v>23000</v>
      </c>
      <c r="L108" s="84">
        <f t="shared" si="17"/>
        <v>0</v>
      </c>
      <c r="M108" s="173">
        <f t="shared" si="21"/>
        <v>20515.96</v>
      </c>
      <c r="N108" s="173">
        <f t="shared" si="22"/>
        <v>21747.96</v>
      </c>
      <c r="O108" s="149">
        <f t="shared" si="23"/>
        <v>0.96000000000000063</v>
      </c>
    </row>
    <row r="109" spans="1:16" x14ac:dyDescent="0.3">
      <c r="A109" s="122"/>
      <c r="B109" s="36"/>
      <c r="C109" s="36" t="s">
        <v>154</v>
      </c>
      <c r="D109" s="122" t="s">
        <v>191</v>
      </c>
      <c r="E109" s="122"/>
      <c r="F109" s="169">
        <v>2.3E-3</v>
      </c>
      <c r="G109" s="157">
        <v>20700.97</v>
      </c>
      <c r="H109" s="45">
        <f>G109</f>
        <v>20700.97</v>
      </c>
      <c r="I109" s="170">
        <f t="shared" si="2"/>
        <v>0</v>
      </c>
      <c r="J109" s="171">
        <f t="shared" ref="J109:J125" si="26">M$4*F109</f>
        <v>0</v>
      </c>
      <c r="K109" s="171">
        <f t="shared" ref="K109:K125" si="27">M$2*F109</f>
        <v>23000</v>
      </c>
      <c r="L109" s="84">
        <f t="shared" si="17"/>
        <v>0</v>
      </c>
      <c r="M109" s="173">
        <f t="shared" si="21"/>
        <v>23000.97</v>
      </c>
      <c r="N109" s="173">
        <f t="shared" si="22"/>
        <v>24381.97</v>
      </c>
      <c r="O109" s="149">
        <f t="shared" si="23"/>
        <v>0.97000000000000064</v>
      </c>
    </row>
    <row r="110" spans="1:16" x14ac:dyDescent="0.3">
      <c r="A110" s="122"/>
      <c r="B110" s="36"/>
      <c r="C110" s="36" t="s">
        <v>155</v>
      </c>
      <c r="D110" s="122" t="s">
        <v>185</v>
      </c>
      <c r="E110" s="122"/>
      <c r="F110" s="169">
        <v>2.3E-3</v>
      </c>
      <c r="G110" s="157">
        <v>20700.98</v>
      </c>
      <c r="H110" s="45"/>
      <c r="I110" s="170">
        <f t="shared" si="2"/>
        <v>20700.98</v>
      </c>
      <c r="J110" s="171">
        <f t="shared" si="26"/>
        <v>0</v>
      </c>
      <c r="K110" s="171">
        <f t="shared" si="27"/>
        <v>23000</v>
      </c>
      <c r="L110" s="84">
        <f t="shared" si="17"/>
        <v>0</v>
      </c>
      <c r="M110" s="173">
        <f t="shared" si="21"/>
        <v>43701.98</v>
      </c>
      <c r="N110" s="173">
        <f t="shared" si="22"/>
        <v>46324.98</v>
      </c>
      <c r="O110" s="149">
        <f t="shared" si="23"/>
        <v>0.98000000000000065</v>
      </c>
    </row>
    <row r="111" spans="1:16" x14ac:dyDescent="0.3">
      <c r="A111" s="122"/>
      <c r="B111" s="36"/>
      <c r="C111" s="36" t="s">
        <v>156</v>
      </c>
      <c r="D111" s="122" t="s">
        <v>185</v>
      </c>
      <c r="E111" s="122"/>
      <c r="F111" s="169">
        <v>2.3E-3</v>
      </c>
      <c r="G111" s="157">
        <v>20700.990000000002</v>
      </c>
      <c r="H111" s="45"/>
      <c r="I111" s="170">
        <f t="shared" si="2"/>
        <v>20700.990000000002</v>
      </c>
      <c r="J111" s="171">
        <f t="shared" si="26"/>
        <v>0</v>
      </c>
      <c r="K111" s="171">
        <f t="shared" si="27"/>
        <v>23000</v>
      </c>
      <c r="L111" s="84">
        <f t="shared" si="17"/>
        <v>0</v>
      </c>
      <c r="M111" s="173">
        <f t="shared" si="21"/>
        <v>43701.99</v>
      </c>
      <c r="N111" s="173">
        <f t="shared" si="22"/>
        <v>46324.99</v>
      </c>
      <c r="O111" s="149">
        <f t="shared" si="23"/>
        <v>0.99000000000000066</v>
      </c>
    </row>
    <row r="112" spans="1:16" x14ac:dyDescent="0.3">
      <c r="A112" s="122"/>
      <c r="B112" s="36"/>
      <c r="C112" s="36" t="s">
        <v>157</v>
      </c>
      <c r="D112" s="122" t="s">
        <v>186</v>
      </c>
      <c r="E112" s="122"/>
      <c r="F112" s="169">
        <v>2.3E-3</v>
      </c>
      <c r="G112" s="157">
        <v>20701</v>
      </c>
      <c r="H112" s="45">
        <f t="shared" ref="H112" si="28">G112</f>
        <v>20701</v>
      </c>
      <c r="I112" s="170">
        <f t="shared" si="2"/>
        <v>0</v>
      </c>
      <c r="J112" s="171">
        <f t="shared" si="26"/>
        <v>0</v>
      </c>
      <c r="K112" s="171">
        <f t="shared" si="27"/>
        <v>23000</v>
      </c>
      <c r="L112" s="84">
        <f t="shared" si="17"/>
        <v>0</v>
      </c>
      <c r="M112" s="173">
        <f t="shared" si="21"/>
        <v>23001</v>
      </c>
      <c r="N112" s="173">
        <f t="shared" si="22"/>
        <v>24382</v>
      </c>
      <c r="O112" s="149">
        <f t="shared" si="23"/>
        <v>1.0000000000000007</v>
      </c>
      <c r="P112" t="s">
        <v>339</v>
      </c>
    </row>
    <row r="113" spans="1:16" x14ac:dyDescent="0.3">
      <c r="A113" s="143"/>
      <c r="B113" s="36"/>
      <c r="C113" s="36" t="s">
        <v>158</v>
      </c>
      <c r="D113" s="122" t="s">
        <v>337</v>
      </c>
      <c r="E113" s="122"/>
      <c r="F113" s="169">
        <v>2.3E-3</v>
      </c>
      <c r="G113" s="157">
        <v>20701.009999999998</v>
      </c>
      <c r="H113" s="45">
        <f t="shared" ref="H113:H116" si="29">G113</f>
        <v>20701.009999999998</v>
      </c>
      <c r="I113" s="170">
        <f t="shared" si="2"/>
        <v>0</v>
      </c>
      <c r="J113" s="171">
        <f t="shared" si="26"/>
        <v>0</v>
      </c>
      <c r="K113" s="171">
        <f t="shared" si="27"/>
        <v>23000</v>
      </c>
      <c r="L113" s="84">
        <f t="shared" si="17"/>
        <v>0</v>
      </c>
      <c r="M113" s="173">
        <f t="shared" si="21"/>
        <v>23001.01</v>
      </c>
      <c r="N113" s="173">
        <f t="shared" si="22"/>
        <v>24382.01</v>
      </c>
      <c r="O113" s="149">
        <f t="shared" si="23"/>
        <v>1.0100000000000007</v>
      </c>
    </row>
    <row r="114" spans="1:16" x14ac:dyDescent="0.3">
      <c r="A114" s="143"/>
      <c r="B114" s="36"/>
      <c r="C114" s="36" t="s">
        <v>159</v>
      </c>
      <c r="D114" s="122" t="s">
        <v>193</v>
      </c>
      <c r="E114" s="122"/>
      <c r="F114" s="169">
        <v>2.3E-3</v>
      </c>
      <c r="G114" s="157">
        <v>20701.02</v>
      </c>
      <c r="H114" s="45">
        <f t="shared" si="29"/>
        <v>20701.02</v>
      </c>
      <c r="I114" s="170">
        <f t="shared" si="2"/>
        <v>0</v>
      </c>
      <c r="J114" s="171">
        <f t="shared" si="26"/>
        <v>0</v>
      </c>
      <c r="K114" s="171">
        <f t="shared" si="27"/>
        <v>23000</v>
      </c>
      <c r="L114" s="84">
        <f t="shared" si="17"/>
        <v>0</v>
      </c>
      <c r="M114" s="173">
        <f t="shared" si="21"/>
        <v>23001.02</v>
      </c>
      <c r="N114" s="173">
        <f t="shared" si="22"/>
        <v>24382.02</v>
      </c>
      <c r="O114" s="149">
        <f t="shared" si="23"/>
        <v>1.0200000000000007</v>
      </c>
    </row>
    <row r="115" spans="1:16" x14ac:dyDescent="0.3">
      <c r="A115" s="143"/>
      <c r="B115" s="36"/>
      <c r="C115" s="36" t="s">
        <v>160</v>
      </c>
      <c r="D115" s="122" t="s">
        <v>185</v>
      </c>
      <c r="E115" s="122"/>
      <c r="F115" s="169">
        <v>2.3E-3</v>
      </c>
      <c r="G115" s="157">
        <v>20701.03</v>
      </c>
      <c r="H115" s="45"/>
      <c r="I115" s="170">
        <f t="shared" si="2"/>
        <v>20701.03</v>
      </c>
      <c r="J115" s="171">
        <f t="shared" si="26"/>
        <v>0</v>
      </c>
      <c r="K115" s="171">
        <f t="shared" si="27"/>
        <v>23000</v>
      </c>
      <c r="L115" s="84">
        <f t="shared" si="17"/>
        <v>0</v>
      </c>
      <c r="M115" s="173">
        <f t="shared" si="21"/>
        <v>43702.03</v>
      </c>
      <c r="N115" s="173">
        <f t="shared" si="22"/>
        <v>46325.03</v>
      </c>
      <c r="O115" s="149">
        <f t="shared" si="23"/>
        <v>1.0300000000000007</v>
      </c>
    </row>
    <row r="116" spans="1:16" x14ac:dyDescent="0.3">
      <c r="A116" s="143"/>
      <c r="B116" s="36"/>
      <c r="C116" s="36" t="s">
        <v>161</v>
      </c>
      <c r="D116" s="122" t="s">
        <v>221</v>
      </c>
      <c r="E116" s="122"/>
      <c r="F116" s="102">
        <v>2.3E-3</v>
      </c>
      <c r="G116" s="150">
        <v>20701.04</v>
      </c>
      <c r="H116" s="98">
        <f t="shared" si="29"/>
        <v>20701.04</v>
      </c>
      <c r="I116" s="60">
        <f t="shared" si="2"/>
        <v>0</v>
      </c>
      <c r="J116" s="27">
        <f t="shared" si="26"/>
        <v>0</v>
      </c>
      <c r="K116" s="27">
        <f t="shared" si="27"/>
        <v>23000</v>
      </c>
      <c r="L116" s="84">
        <f t="shared" si="17"/>
        <v>0</v>
      </c>
      <c r="M116" s="9">
        <f t="shared" si="21"/>
        <v>23001.040000000001</v>
      </c>
      <c r="N116" s="9">
        <f t="shared" si="22"/>
        <v>24382.04</v>
      </c>
      <c r="O116" s="149">
        <f t="shared" si="23"/>
        <v>1.0400000000000007</v>
      </c>
    </row>
    <row r="117" spans="1:16" x14ac:dyDescent="0.3">
      <c r="A117" s="143"/>
      <c r="B117" s="36"/>
      <c r="C117" s="36" t="s">
        <v>162</v>
      </c>
      <c r="D117" s="122" t="s">
        <v>216</v>
      </c>
      <c r="E117" s="122"/>
      <c r="F117" s="102">
        <v>2.3E-3</v>
      </c>
      <c r="G117" s="150">
        <v>20701.05</v>
      </c>
      <c r="H117" s="98"/>
      <c r="I117" s="60">
        <f t="shared" si="2"/>
        <v>20701.05</v>
      </c>
      <c r="J117" s="27">
        <f t="shared" si="26"/>
        <v>0</v>
      </c>
      <c r="K117" s="27">
        <f t="shared" si="27"/>
        <v>23000</v>
      </c>
      <c r="L117" s="84">
        <f t="shared" si="17"/>
        <v>0</v>
      </c>
      <c r="M117" s="9">
        <f t="shared" si="21"/>
        <v>43702.05</v>
      </c>
      <c r="N117" s="9">
        <f t="shared" si="22"/>
        <v>46325.05</v>
      </c>
      <c r="O117" s="149">
        <f t="shared" si="23"/>
        <v>1.0500000000000007</v>
      </c>
    </row>
    <row r="118" spans="1:16" x14ac:dyDescent="0.3">
      <c r="A118" s="143"/>
      <c r="B118" s="36"/>
      <c r="C118" s="36" t="s">
        <v>163</v>
      </c>
      <c r="D118" s="122" t="s">
        <v>185</v>
      </c>
      <c r="E118" s="122"/>
      <c r="F118" s="102">
        <v>2.3E-3</v>
      </c>
      <c r="G118" s="150">
        <v>20701.060000000001</v>
      </c>
      <c r="H118" s="98"/>
      <c r="I118" s="60">
        <f t="shared" si="2"/>
        <v>20701.060000000001</v>
      </c>
      <c r="J118" s="27">
        <f t="shared" si="26"/>
        <v>0</v>
      </c>
      <c r="K118" s="27">
        <f t="shared" si="27"/>
        <v>23000</v>
      </c>
      <c r="L118" s="84">
        <f t="shared" si="17"/>
        <v>0</v>
      </c>
      <c r="M118" s="9">
        <f t="shared" si="21"/>
        <v>43702.06</v>
      </c>
      <c r="N118" s="9">
        <f t="shared" si="22"/>
        <v>46325.06</v>
      </c>
      <c r="O118" s="149">
        <f t="shared" si="23"/>
        <v>1.0600000000000007</v>
      </c>
    </row>
    <row r="119" spans="1:16" x14ac:dyDescent="0.3">
      <c r="A119" s="143"/>
      <c r="B119" s="36"/>
      <c r="C119" s="36" t="s">
        <v>164</v>
      </c>
      <c r="D119" s="122" t="s">
        <v>185</v>
      </c>
      <c r="E119" s="122"/>
      <c r="F119" s="102">
        <v>2.3E-3</v>
      </c>
      <c r="G119" s="150">
        <v>20701.07</v>
      </c>
      <c r="H119" s="98"/>
      <c r="I119" s="60">
        <f t="shared" si="2"/>
        <v>20701.07</v>
      </c>
      <c r="J119" s="27">
        <f t="shared" si="26"/>
        <v>0</v>
      </c>
      <c r="K119" s="27">
        <f t="shared" si="27"/>
        <v>23000</v>
      </c>
      <c r="L119" s="84">
        <f t="shared" si="17"/>
        <v>0</v>
      </c>
      <c r="M119" s="9">
        <f t="shared" si="21"/>
        <v>43702.07</v>
      </c>
      <c r="N119" s="9">
        <f t="shared" si="22"/>
        <v>46325.07</v>
      </c>
      <c r="O119" s="149">
        <f t="shared" si="23"/>
        <v>1.0700000000000007</v>
      </c>
    </row>
    <row r="120" spans="1:16" x14ac:dyDescent="0.3">
      <c r="A120" s="143"/>
      <c r="B120" s="36"/>
      <c r="C120" s="36" t="s">
        <v>165</v>
      </c>
      <c r="D120" s="122" t="s">
        <v>185</v>
      </c>
      <c r="E120" s="122"/>
      <c r="F120" s="102">
        <v>2.3E-3</v>
      </c>
      <c r="G120" s="150">
        <v>20701.080000000002</v>
      </c>
      <c r="H120" s="98"/>
      <c r="I120" s="60">
        <f t="shared" si="2"/>
        <v>20701.080000000002</v>
      </c>
      <c r="J120" s="27">
        <f t="shared" si="26"/>
        <v>0</v>
      </c>
      <c r="K120" s="27">
        <f t="shared" si="27"/>
        <v>23000</v>
      </c>
      <c r="L120" s="84">
        <f t="shared" si="17"/>
        <v>0</v>
      </c>
      <c r="M120" s="9">
        <f t="shared" si="21"/>
        <v>43702.080000000002</v>
      </c>
      <c r="N120" s="9">
        <f t="shared" si="22"/>
        <v>46325.08</v>
      </c>
      <c r="O120" s="149">
        <f t="shared" si="23"/>
        <v>1.0800000000000007</v>
      </c>
    </row>
    <row r="121" spans="1:16" x14ac:dyDescent="0.3">
      <c r="A121" s="143"/>
      <c r="B121" s="36"/>
      <c r="C121" s="36" t="s">
        <v>166</v>
      </c>
      <c r="D121" s="122" t="s">
        <v>219</v>
      </c>
      <c r="E121" s="122"/>
      <c r="F121" s="102">
        <v>2.3E-3</v>
      </c>
      <c r="G121" s="150">
        <v>20701.09</v>
      </c>
      <c r="H121" s="98">
        <f>G121</f>
        <v>20701.09</v>
      </c>
      <c r="I121" s="60">
        <f t="shared" si="2"/>
        <v>0</v>
      </c>
      <c r="J121" s="27">
        <f t="shared" si="26"/>
        <v>0</v>
      </c>
      <c r="K121" s="27">
        <f t="shared" si="27"/>
        <v>23000</v>
      </c>
      <c r="L121" s="84">
        <f t="shared" si="17"/>
        <v>0</v>
      </c>
      <c r="M121" s="9">
        <f t="shared" si="21"/>
        <v>23001.09</v>
      </c>
      <c r="N121" s="9">
        <f t="shared" si="22"/>
        <v>24382.09</v>
      </c>
      <c r="O121" s="149">
        <f t="shared" si="23"/>
        <v>1.0900000000000007</v>
      </c>
    </row>
    <row r="122" spans="1:16" x14ac:dyDescent="0.3">
      <c r="A122" s="143"/>
      <c r="B122" s="36"/>
      <c r="C122" s="36" t="s">
        <v>167</v>
      </c>
      <c r="D122" s="122" t="s">
        <v>213</v>
      </c>
      <c r="E122" s="122"/>
      <c r="F122" s="102">
        <v>2.3E-3</v>
      </c>
      <c r="G122" s="150">
        <v>20701.099999999999</v>
      </c>
      <c r="H122" s="98">
        <v>21944.1</v>
      </c>
      <c r="I122" s="60">
        <f t="shared" si="2"/>
        <v>-1243</v>
      </c>
      <c r="J122" s="27">
        <f t="shared" si="26"/>
        <v>0</v>
      </c>
      <c r="K122" s="27">
        <f t="shared" si="27"/>
        <v>23000</v>
      </c>
      <c r="L122" s="84">
        <f t="shared" si="17"/>
        <v>0</v>
      </c>
      <c r="M122" s="9">
        <f t="shared" si="21"/>
        <v>21758.1</v>
      </c>
      <c r="N122" s="9">
        <f t="shared" si="22"/>
        <v>23065.1</v>
      </c>
      <c r="O122" s="149">
        <f t="shared" si="23"/>
        <v>1.1000000000000008</v>
      </c>
    </row>
    <row r="123" spans="1:16" x14ac:dyDescent="0.3">
      <c r="A123" s="143"/>
      <c r="B123" s="36"/>
      <c r="C123" s="36" t="s">
        <v>168</v>
      </c>
      <c r="D123" s="122" t="s">
        <v>223</v>
      </c>
      <c r="E123" s="122"/>
      <c r="F123" s="102">
        <v>2.3E-3</v>
      </c>
      <c r="G123" s="150">
        <v>20701.11</v>
      </c>
      <c r="H123" s="98">
        <f>G123</f>
        <v>20701.11</v>
      </c>
      <c r="I123" s="60">
        <f t="shared" si="2"/>
        <v>0</v>
      </c>
      <c r="J123" s="27">
        <f t="shared" si="26"/>
        <v>0</v>
      </c>
      <c r="K123" s="27">
        <f t="shared" si="27"/>
        <v>23000</v>
      </c>
      <c r="L123" s="84">
        <f t="shared" si="17"/>
        <v>0</v>
      </c>
      <c r="M123" s="9">
        <f t="shared" si="21"/>
        <v>23001.11</v>
      </c>
      <c r="N123" s="9">
        <f t="shared" si="22"/>
        <v>24382.11</v>
      </c>
      <c r="O123" s="149">
        <f t="shared" si="23"/>
        <v>1.1100000000000008</v>
      </c>
    </row>
    <row r="124" spans="1:16" x14ac:dyDescent="0.3">
      <c r="A124" s="143" t="s">
        <v>26</v>
      </c>
      <c r="B124" s="36"/>
      <c r="C124" s="36" t="s">
        <v>169</v>
      </c>
      <c r="D124" s="122" t="s">
        <v>204</v>
      </c>
      <c r="E124" s="122"/>
      <c r="F124" s="102">
        <v>2.3E-3</v>
      </c>
      <c r="G124" s="150">
        <v>20701.12</v>
      </c>
      <c r="H124" s="98">
        <f>G124</f>
        <v>20701.12</v>
      </c>
      <c r="I124" s="60">
        <f t="shared" si="2"/>
        <v>0</v>
      </c>
      <c r="J124" s="27">
        <f t="shared" si="26"/>
        <v>0</v>
      </c>
      <c r="K124" s="27">
        <f t="shared" si="27"/>
        <v>23000</v>
      </c>
      <c r="L124" s="84">
        <f t="shared" si="17"/>
        <v>0</v>
      </c>
      <c r="M124" s="9">
        <f t="shared" si="21"/>
        <v>23001.119999999999</v>
      </c>
      <c r="N124" s="9">
        <f t="shared" si="22"/>
        <v>24382.12</v>
      </c>
      <c r="O124" s="149">
        <f t="shared" si="23"/>
        <v>1.1200000000000008</v>
      </c>
    </row>
    <row r="125" spans="1:16" x14ac:dyDescent="0.3">
      <c r="A125" s="143" t="s">
        <v>26</v>
      </c>
      <c r="B125" s="36"/>
      <c r="C125" s="36" t="s">
        <v>170</v>
      </c>
      <c r="D125" s="122" t="s">
        <v>122</v>
      </c>
      <c r="E125" s="122"/>
      <c r="F125" s="102">
        <v>2.3E-3</v>
      </c>
      <c r="G125" s="150">
        <v>20701.13</v>
      </c>
      <c r="H125" s="98">
        <f>G125</f>
        <v>20701.13</v>
      </c>
      <c r="I125" s="60">
        <f t="shared" si="2"/>
        <v>0</v>
      </c>
      <c r="J125" s="27">
        <f t="shared" si="26"/>
        <v>0</v>
      </c>
      <c r="K125" s="27">
        <f t="shared" si="27"/>
        <v>23000</v>
      </c>
      <c r="L125" s="84">
        <f t="shared" ref="L125" si="30">J$3*F125%+J$4</f>
        <v>0</v>
      </c>
      <c r="M125" s="9">
        <f t="shared" si="21"/>
        <v>23001.13</v>
      </c>
      <c r="N125" s="9">
        <f t="shared" si="22"/>
        <v>24382.13</v>
      </c>
      <c r="O125" s="149">
        <f t="shared" si="23"/>
        <v>1.1300000000000008</v>
      </c>
    </row>
    <row r="126" spans="1:16" x14ac:dyDescent="0.3">
      <c r="A126" s="56" t="s">
        <v>26</v>
      </c>
      <c r="B126" s="6"/>
      <c r="C126" s="6"/>
      <c r="D126" s="61"/>
      <c r="E126" s="61"/>
      <c r="F126" s="6"/>
      <c r="G126" s="27"/>
      <c r="H126" s="100"/>
      <c r="I126" s="60"/>
      <c r="J126" s="27"/>
      <c r="K126" s="27"/>
      <c r="L126" s="84"/>
      <c r="M126" s="5"/>
      <c r="N126" s="9"/>
    </row>
    <row r="127" spans="1:16" ht="14.25" customHeight="1" x14ac:dyDescent="0.3">
      <c r="A127" s="28"/>
      <c r="B127" s="28"/>
      <c r="C127" s="28"/>
      <c r="D127" s="28"/>
      <c r="E127" s="28"/>
      <c r="F127" s="130">
        <f>SUM(F8:F126)</f>
        <v>0.99819999999999809</v>
      </c>
      <c r="G127" s="29">
        <f>SUM(G8:G126)</f>
        <v>11374720.078879999</v>
      </c>
      <c r="H127" s="29">
        <f>SUM(H8:H126)</f>
        <v>9271155.2162119988</v>
      </c>
      <c r="I127" s="28"/>
      <c r="J127" s="57">
        <f>SUM(J8:J126)</f>
        <v>0</v>
      </c>
      <c r="K127" s="29">
        <f>SUM(K8:K126)</f>
        <v>9869267.4828399997</v>
      </c>
      <c r="L127" s="92">
        <f>SUM(L8:L126)</f>
        <v>65400</v>
      </c>
      <c r="M127" s="30">
        <f>SUM(M8:M126)</f>
        <v>12038296.525508</v>
      </c>
      <c r="N127" s="29">
        <f>SUM(N8:N126)</f>
        <v>12760653.69243848</v>
      </c>
      <c r="P127" s="63"/>
    </row>
    <row r="128" spans="1:16" hidden="1" x14ac:dyDescent="0.3">
      <c r="K128" s="65">
        <f>K127-L1</f>
        <v>-494947.15715999901</v>
      </c>
    </row>
    <row r="129" spans="3:16" ht="15" hidden="1" customHeight="1" x14ac:dyDescent="0.3">
      <c r="C129" s="213"/>
      <c r="D129" s="213"/>
      <c r="E129" s="213"/>
      <c r="F129" s="213"/>
      <c r="G129" s="213"/>
      <c r="H129" s="213"/>
      <c r="I129" s="213"/>
      <c r="J129" s="213"/>
      <c r="K129" s="213"/>
      <c r="L129" s="213"/>
      <c r="M129" s="213"/>
      <c r="N129" s="213"/>
    </row>
    <row r="130" spans="3:16" hidden="1" x14ac:dyDescent="0.3">
      <c r="C130" s="213"/>
      <c r="D130" s="213"/>
      <c r="E130" s="213"/>
      <c r="F130" s="213"/>
      <c r="G130" s="213"/>
      <c r="H130" s="213"/>
      <c r="I130" s="213"/>
      <c r="J130" s="213"/>
      <c r="K130" s="213"/>
      <c r="L130" s="213"/>
      <c r="M130" s="213"/>
      <c r="N130" s="213"/>
    </row>
    <row r="131" spans="3:16" ht="8.25" customHeight="1" x14ac:dyDescent="0.3">
      <c r="C131" s="86"/>
      <c r="D131" s="86"/>
      <c r="E131" s="86"/>
      <c r="F131" s="86"/>
      <c r="G131" s="86"/>
      <c r="H131" s="86"/>
      <c r="I131" s="86"/>
      <c r="J131" s="86"/>
      <c r="K131" s="86"/>
      <c r="L131" s="86"/>
      <c r="M131" s="86"/>
      <c r="N131" s="86"/>
    </row>
    <row r="132" spans="3:16" x14ac:dyDescent="0.3">
      <c r="C132" s="213" t="s">
        <v>265</v>
      </c>
      <c r="D132" s="213"/>
      <c r="E132" s="213"/>
      <c r="F132" s="213"/>
      <c r="G132" s="213"/>
      <c r="H132" s="213"/>
      <c r="I132" s="213"/>
      <c r="J132" s="213"/>
      <c r="K132" s="213"/>
      <c r="L132" s="213"/>
      <c r="M132" s="213"/>
      <c r="N132" s="213"/>
    </row>
    <row r="133" spans="3:16" x14ac:dyDescent="0.3">
      <c r="C133" s="213"/>
      <c r="D133" s="213"/>
      <c r="E133" s="213"/>
      <c r="F133" s="213"/>
      <c r="G133" s="213"/>
      <c r="H133" s="213"/>
      <c r="I133" s="213"/>
      <c r="J133" s="213"/>
      <c r="K133" s="213"/>
      <c r="L133" s="213"/>
      <c r="M133" s="213"/>
      <c r="N133" s="213"/>
    </row>
    <row r="134" spans="3:16" x14ac:dyDescent="0.3">
      <c r="C134" s="213"/>
      <c r="D134" s="213"/>
      <c r="E134" s="213"/>
      <c r="F134" s="213"/>
      <c r="G134" s="213"/>
      <c r="H134" s="213"/>
      <c r="I134" s="213"/>
      <c r="J134" s="213"/>
      <c r="K134" s="213"/>
      <c r="L134" s="213"/>
      <c r="M134" s="213"/>
      <c r="N134" s="213"/>
    </row>
    <row r="135" spans="3:16" x14ac:dyDescent="0.3">
      <c r="C135" s="213"/>
      <c r="D135" s="213"/>
      <c r="E135" s="213"/>
      <c r="F135" s="213"/>
      <c r="G135" s="213"/>
      <c r="H135" s="213"/>
      <c r="I135" s="213"/>
      <c r="J135" s="213"/>
      <c r="K135" s="213"/>
      <c r="L135" s="213"/>
      <c r="M135" s="213"/>
      <c r="N135" s="213"/>
    </row>
    <row r="136" spans="3:16" x14ac:dyDescent="0.3">
      <c r="C136" s="213"/>
      <c r="D136" s="213"/>
      <c r="E136" s="213"/>
      <c r="F136" s="213"/>
      <c r="G136" s="213"/>
      <c r="H136" s="213"/>
      <c r="I136" s="213"/>
      <c r="J136" s="213"/>
      <c r="K136" s="213"/>
      <c r="L136" s="213"/>
      <c r="M136" s="213"/>
      <c r="N136" s="213"/>
    </row>
    <row r="137" spans="3:16" x14ac:dyDescent="0.3">
      <c r="C137" s="213"/>
      <c r="D137" s="213"/>
      <c r="E137" s="213"/>
      <c r="F137" s="213"/>
      <c r="G137" s="213"/>
      <c r="H137" s="213"/>
      <c r="I137" s="213"/>
      <c r="J137" s="213"/>
      <c r="K137" s="213"/>
      <c r="L137" s="213"/>
      <c r="M137" s="213"/>
      <c r="N137" s="213"/>
    </row>
    <row r="138" spans="3:16" x14ac:dyDescent="0.3">
      <c r="C138" s="213"/>
      <c r="D138" s="213"/>
      <c r="E138" s="213"/>
      <c r="F138" s="213"/>
      <c r="G138" s="213"/>
      <c r="H138" s="213"/>
      <c r="I138" s="213"/>
      <c r="J138" s="213"/>
      <c r="K138" s="213"/>
      <c r="L138" s="213"/>
      <c r="M138" s="213"/>
      <c r="N138" s="213"/>
    </row>
    <row r="139" spans="3:16" x14ac:dyDescent="0.3">
      <c r="C139" s="213"/>
      <c r="D139" s="213"/>
      <c r="E139" s="213"/>
      <c r="F139" s="213"/>
      <c r="G139" s="213"/>
      <c r="H139" s="213"/>
      <c r="I139" s="213"/>
      <c r="J139" s="213"/>
      <c r="K139" s="213"/>
      <c r="L139" s="213"/>
      <c r="M139" s="213"/>
      <c r="N139" s="213"/>
    </row>
    <row r="140" spans="3:16" ht="6" customHeight="1" x14ac:dyDescent="0.3">
      <c r="C140" s="86"/>
      <c r="D140" s="86"/>
      <c r="E140" s="86"/>
      <c r="F140" s="86"/>
      <c r="G140" s="86"/>
      <c r="H140" s="86"/>
      <c r="I140" s="86"/>
      <c r="J140" s="86"/>
      <c r="K140" s="86"/>
      <c r="L140" s="86"/>
      <c r="M140" s="86"/>
      <c r="N140" s="86"/>
    </row>
    <row r="141" spans="3:16" ht="45" hidden="1" customHeight="1" x14ac:dyDescent="0.3">
      <c r="C141" s="86"/>
      <c r="D141" s="86"/>
      <c r="E141" s="86"/>
      <c r="F141" s="86"/>
      <c r="G141" s="86"/>
      <c r="H141" s="86"/>
      <c r="I141" s="86"/>
      <c r="J141" s="86"/>
      <c r="K141" s="86"/>
      <c r="L141" s="86"/>
      <c r="M141" s="86"/>
      <c r="N141" s="86"/>
    </row>
    <row r="142" spans="3:16" x14ac:dyDescent="0.3">
      <c r="C142" s="212" t="s">
        <v>264</v>
      </c>
      <c r="D142" s="212"/>
      <c r="E142" s="212"/>
      <c r="F142" s="212"/>
      <c r="G142" s="212"/>
      <c r="H142" s="212"/>
      <c r="I142" s="212"/>
      <c r="J142" s="212"/>
      <c r="K142" s="212"/>
      <c r="L142" s="212"/>
      <c r="M142" s="212"/>
      <c r="N142" s="212"/>
    </row>
    <row r="143" spans="3:16" x14ac:dyDescent="0.3">
      <c r="C143" s="212"/>
      <c r="D143" s="212"/>
      <c r="E143" s="212"/>
      <c r="F143" s="212"/>
      <c r="G143" s="212"/>
      <c r="H143" s="212"/>
      <c r="I143" s="212"/>
      <c r="J143" s="212"/>
      <c r="K143" s="212"/>
      <c r="L143" s="212"/>
      <c r="M143" s="212"/>
      <c r="N143" s="212"/>
    </row>
    <row r="144" spans="3:16" x14ac:dyDescent="0.3">
      <c r="C144" s="212"/>
      <c r="D144" s="212"/>
      <c r="E144" s="212"/>
      <c r="F144" s="212"/>
      <c r="G144" s="212"/>
      <c r="H144" s="212"/>
      <c r="I144" s="212"/>
      <c r="J144" s="212"/>
      <c r="K144" s="212"/>
      <c r="L144" s="212"/>
      <c r="M144" s="212"/>
      <c r="N144" s="212"/>
      <c r="P144" s="94">
        <f>L1-K127</f>
        <v>494947.15715999901</v>
      </c>
    </row>
    <row r="145" spans="3:14" ht="22.5" customHeight="1" x14ac:dyDescent="0.3">
      <c r="C145" s="212"/>
      <c r="D145" s="212"/>
      <c r="E145" s="212"/>
      <c r="F145" s="212"/>
      <c r="G145" s="212"/>
      <c r="H145" s="212"/>
      <c r="I145" s="212"/>
      <c r="J145" s="212"/>
      <c r="K145" s="212"/>
      <c r="L145" s="212"/>
      <c r="M145" s="212"/>
      <c r="N145" s="212"/>
    </row>
    <row r="146" spans="3:14" ht="5.25" customHeight="1" x14ac:dyDescent="0.3">
      <c r="C146" s="212"/>
      <c r="D146" s="212"/>
      <c r="E146" s="212"/>
      <c r="F146" s="212"/>
      <c r="G146" s="212"/>
      <c r="H146" s="212"/>
      <c r="I146" s="212"/>
      <c r="J146" s="212"/>
      <c r="K146" s="212"/>
      <c r="L146" s="212"/>
      <c r="M146" s="212"/>
      <c r="N146" s="212"/>
    </row>
    <row r="147" spans="3:14" hidden="1" x14ac:dyDescent="0.3">
      <c r="C147" s="212"/>
      <c r="D147" s="212"/>
      <c r="E147" s="212"/>
      <c r="F147" s="212"/>
      <c r="G147" s="212"/>
      <c r="H147" s="212"/>
      <c r="I147" s="212"/>
      <c r="J147" s="212"/>
      <c r="K147" s="212"/>
      <c r="L147" s="212"/>
      <c r="M147" s="212"/>
      <c r="N147" s="212"/>
    </row>
    <row r="148" spans="3:14" hidden="1" x14ac:dyDescent="0.3">
      <c r="C148" s="212"/>
      <c r="D148" s="212"/>
      <c r="E148" s="212"/>
      <c r="F148" s="212"/>
      <c r="G148" s="212"/>
      <c r="H148" s="212"/>
      <c r="I148" s="212"/>
      <c r="J148" s="212"/>
      <c r="K148" s="212"/>
      <c r="L148" s="212"/>
      <c r="M148" s="212"/>
      <c r="N148" s="212"/>
    </row>
  </sheetData>
  <mergeCells count="19">
    <mergeCell ref="Q8:R9"/>
    <mergeCell ref="G5:G7"/>
    <mergeCell ref="C142:N148"/>
    <mergeCell ref="C129:N130"/>
    <mergeCell ref="L1:M1"/>
    <mergeCell ref="H5:H7"/>
    <mergeCell ref="I5:I7"/>
    <mergeCell ref="J5:J7"/>
    <mergeCell ref="K5:K7"/>
    <mergeCell ref="L5:L7"/>
    <mergeCell ref="C132:N139"/>
    <mergeCell ref="M5:M6"/>
    <mergeCell ref="N5:N6"/>
    <mergeCell ref="A5:A7"/>
    <mergeCell ref="B5:B7"/>
    <mergeCell ref="C5:C7"/>
    <mergeCell ref="D5:D7"/>
    <mergeCell ref="F5:F7"/>
    <mergeCell ref="E5:E7"/>
  </mergeCells>
  <phoneticPr fontId="19" type="noConversion"/>
  <pageMargins left="0.25" right="0.25" top="0.75" bottom="0.75" header="0.3" footer="0.3"/>
  <pageSetup paperSize="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EFC1-5C09-4380-B9A2-A73102AE2F7A}">
  <dimension ref="B4"/>
  <sheetViews>
    <sheetView workbookViewId="0">
      <selection activeCell="B5" sqref="B5"/>
    </sheetView>
  </sheetViews>
  <sheetFormatPr baseColWidth="10" defaultRowHeight="14.4" x14ac:dyDescent="0.3"/>
  <sheetData>
    <row r="4" spans="2:2" x14ac:dyDescent="0.3">
      <c r="B4" s="15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8FACD-8136-4CA4-B080-DAA47D3374DA}">
  <dimension ref="A2:J27"/>
  <sheetViews>
    <sheetView tabSelected="1" topLeftCell="C7" workbookViewId="0">
      <selection activeCell="G27" sqref="G27"/>
    </sheetView>
  </sheetViews>
  <sheetFormatPr baseColWidth="10" defaultRowHeight="14.4" x14ac:dyDescent="0.3"/>
  <cols>
    <col min="1" max="2" width="11.5546875" hidden="1" customWidth="1"/>
    <col min="7" max="7" width="14.33203125" bestFit="1" customWidth="1"/>
  </cols>
  <sheetData>
    <row r="2" spans="3:10" ht="15" thickBot="1" x14ac:dyDescent="0.35"/>
    <row r="3" spans="3:10" x14ac:dyDescent="0.3">
      <c r="C3" s="224" t="str">
        <f>RESUMEN!C5</f>
        <v>PERÍODO: SEPTIEMBRE</v>
      </c>
      <c r="D3" s="225"/>
      <c r="E3" s="225"/>
      <c r="F3" s="225" t="str">
        <f>[1]RESUMEN!A22</f>
        <v xml:space="preserve">Sueldo encargada Sonia Arzamendia Galeano </v>
      </c>
      <c r="G3" s="225"/>
      <c r="H3" s="225"/>
      <c r="I3" s="225"/>
      <c r="J3" s="226"/>
    </row>
    <row r="4" spans="3:10" x14ac:dyDescent="0.3">
      <c r="C4" s="1"/>
      <c r="J4" s="227"/>
    </row>
    <row r="5" spans="3:10" x14ac:dyDescent="0.3">
      <c r="C5" s="1" t="str">
        <f>RESUMEN!A26</f>
        <v xml:space="preserve">Haberes </v>
      </c>
      <c r="G5" s="44">
        <f>RESUMEN!D26</f>
        <v>1008894</v>
      </c>
      <c r="H5" s="228" t="s">
        <v>351</v>
      </c>
      <c r="I5" s="228"/>
      <c r="J5" s="229"/>
    </row>
    <row r="6" spans="3:10" x14ac:dyDescent="0.3">
      <c r="C6" s="1" t="str">
        <f>RESUMEN!A27</f>
        <v>Plus pileta</v>
      </c>
      <c r="G6" s="44">
        <f>RESUMEN!D27</f>
        <v>35211</v>
      </c>
      <c r="H6" s="228" t="s">
        <v>352</v>
      </c>
      <c r="I6" s="228"/>
      <c r="J6" s="229"/>
    </row>
    <row r="7" spans="3:10" x14ac:dyDescent="0.3">
      <c r="C7" s="1" t="str">
        <f>RESUMEN!A28</f>
        <v>Plus retiro de basura</v>
      </c>
      <c r="G7" s="44">
        <f>RESUMEN!D28</f>
        <v>122704</v>
      </c>
      <c r="H7" s="228"/>
      <c r="I7" s="228"/>
      <c r="J7" s="229"/>
    </row>
    <row r="8" spans="3:10" x14ac:dyDescent="0.3">
      <c r="C8" s="1" t="str">
        <f>RESUMEN!A29</f>
        <v>Plus cochera</v>
      </c>
      <c r="G8" s="44">
        <f>RESUMEN!D29</f>
        <v>20931</v>
      </c>
      <c r="J8" s="227"/>
    </row>
    <row r="9" spans="3:10" x14ac:dyDescent="0.3">
      <c r="C9" s="1" t="str">
        <f>RESUMEN!A30</f>
        <v>Adicional Viaticos</v>
      </c>
      <c r="G9" s="44">
        <f>RESUMEN!D30</f>
        <v>58852.2</v>
      </c>
      <c r="H9" s="228" t="s">
        <v>353</v>
      </c>
      <c r="I9" s="228"/>
      <c r="J9" s="229"/>
    </row>
    <row r="10" spans="3:10" x14ac:dyDescent="0.3">
      <c r="C10" s="1" t="str">
        <f>RESUMEN!A31</f>
        <v>Adicional remuneracion</v>
      </c>
      <c r="G10" s="44">
        <f>RESUMEN!D31</f>
        <v>50000</v>
      </c>
      <c r="H10" s="228" t="s">
        <v>352</v>
      </c>
      <c r="I10" s="228"/>
      <c r="J10" s="229"/>
    </row>
    <row r="11" spans="3:10" x14ac:dyDescent="0.3">
      <c r="C11" s="1"/>
      <c r="H11" s="228"/>
      <c r="I11" s="228"/>
      <c r="J11" s="229"/>
    </row>
    <row r="12" spans="3:10" x14ac:dyDescent="0.3">
      <c r="C12" s="230" t="s">
        <v>17</v>
      </c>
      <c r="D12" s="2"/>
      <c r="E12" s="2"/>
      <c r="F12" s="2"/>
      <c r="G12" s="231">
        <f>SUM(G5:G11)</f>
        <v>1296592.2</v>
      </c>
      <c r="J12" s="227"/>
    </row>
    <row r="13" spans="3:10" ht="15" thickBot="1" x14ac:dyDescent="0.35">
      <c r="C13" s="232"/>
      <c r="D13" s="233"/>
      <c r="E13" s="233"/>
      <c r="F13" s="233"/>
      <c r="G13" s="233"/>
      <c r="H13" s="233"/>
      <c r="I13" s="233"/>
      <c r="J13" s="234"/>
    </row>
    <row r="15" spans="3:10" ht="15" thickBot="1" x14ac:dyDescent="0.35"/>
    <row r="16" spans="3:10" x14ac:dyDescent="0.3">
      <c r="C16" s="224" t="str">
        <f>C3</f>
        <v>PERÍODO: SEPTIEMBRE</v>
      </c>
      <c r="D16" s="225"/>
      <c r="E16" s="225"/>
      <c r="F16" s="225" t="str">
        <f>[1]RESUMEN!A30</f>
        <v>Sueldo encargada Miriam</v>
      </c>
      <c r="G16" s="225"/>
      <c r="H16" s="225"/>
      <c r="I16" s="225"/>
      <c r="J16" s="226"/>
    </row>
    <row r="17" spans="3:10" x14ac:dyDescent="0.3">
      <c r="C17" s="1"/>
      <c r="J17" s="227"/>
    </row>
    <row r="18" spans="3:10" x14ac:dyDescent="0.3">
      <c r="C18" s="1"/>
      <c r="G18" s="44"/>
      <c r="H18" s="228" t="s">
        <v>351</v>
      </c>
      <c r="I18" s="228"/>
      <c r="J18" s="229"/>
    </row>
    <row r="19" spans="3:10" x14ac:dyDescent="0.3">
      <c r="C19" s="1" t="str">
        <f>RESUMEN!A34</f>
        <v xml:space="preserve">Haberes </v>
      </c>
      <c r="G19" s="44">
        <f>RESUMEN!D34</f>
        <v>504447</v>
      </c>
      <c r="H19" s="228" t="s">
        <v>352</v>
      </c>
      <c r="I19" s="228"/>
      <c r="J19" s="229"/>
    </row>
    <row r="20" spans="3:10" x14ac:dyDescent="0.3">
      <c r="C20" s="1" t="str">
        <f>RESUMEN!A35</f>
        <v>Horas extras</v>
      </c>
      <c r="G20" s="44">
        <f>RESUMEN!D35</f>
        <v>0</v>
      </c>
      <c r="H20" s="228"/>
      <c r="I20" s="228"/>
      <c r="J20" s="229"/>
    </row>
    <row r="21" spans="3:10" x14ac:dyDescent="0.3">
      <c r="C21" s="1" t="str">
        <f>RESUMEN!A36</f>
        <v>Plus pileta</v>
      </c>
      <c r="G21" s="44">
        <f>RESUMEN!D36</f>
        <v>35211</v>
      </c>
      <c r="J21" s="227"/>
    </row>
    <row r="22" spans="3:10" x14ac:dyDescent="0.3">
      <c r="C22" s="1" t="str">
        <f>RESUMEN!A37</f>
        <v>Plus retiro de basura</v>
      </c>
      <c r="G22" s="44">
        <f>RESUMEN!D37</f>
        <v>122704</v>
      </c>
      <c r="H22" s="228" t="s">
        <v>353</v>
      </c>
      <c r="I22" s="228"/>
      <c r="J22" s="229"/>
    </row>
    <row r="23" spans="3:10" x14ac:dyDescent="0.3">
      <c r="C23" s="1" t="str">
        <f>RESUMEN!A38</f>
        <v>Plus cochera</v>
      </c>
      <c r="G23" s="44">
        <f>RESUMEN!D38</f>
        <v>20931</v>
      </c>
      <c r="H23" s="228" t="s">
        <v>352</v>
      </c>
      <c r="I23" s="228"/>
      <c r="J23" s="229"/>
    </row>
    <row r="24" spans="3:10" x14ac:dyDescent="0.3">
      <c r="C24" s="1" t="str">
        <f>RESUMEN!A39</f>
        <v>Adicional Viaticos</v>
      </c>
      <c r="G24" s="44">
        <f>RESUMEN!D39</f>
        <v>58852.2</v>
      </c>
      <c r="H24" s="228"/>
      <c r="I24" s="228"/>
      <c r="J24" s="229"/>
    </row>
    <row r="25" spans="3:10" x14ac:dyDescent="0.3">
      <c r="C25" s="1" t="str">
        <f>RESUMEN!A40</f>
        <v>Adicional remuneracion</v>
      </c>
      <c r="G25" s="44">
        <f>RESUMEN!D40</f>
        <v>50000</v>
      </c>
      <c r="H25" s="235"/>
      <c r="I25" s="235"/>
      <c r="J25" s="236"/>
    </row>
    <row r="26" spans="3:10" x14ac:dyDescent="0.3">
      <c r="C26" s="230" t="s">
        <v>17</v>
      </c>
      <c r="D26" s="2"/>
      <c r="E26" s="2"/>
      <c r="F26" s="2"/>
      <c r="G26" s="231">
        <f>SUM(G18:G25)</f>
        <v>792145.2</v>
      </c>
      <c r="J26" s="227"/>
    </row>
    <row r="27" spans="3:10" ht="15" thickBot="1" x14ac:dyDescent="0.35">
      <c r="C27" s="232"/>
      <c r="D27" s="233"/>
      <c r="E27" s="233"/>
      <c r="F27" s="233"/>
      <c r="G27" s="233"/>
      <c r="H27" s="233"/>
      <c r="I27" s="233"/>
      <c r="J27" s="234"/>
    </row>
  </sheetData>
  <mergeCells count="12">
    <mergeCell ref="C16:E16"/>
    <mergeCell ref="F16:J16"/>
    <mergeCell ref="H18:J18"/>
    <mergeCell ref="H19:J20"/>
    <mergeCell ref="H22:J22"/>
    <mergeCell ref="H23:J24"/>
    <mergeCell ref="C3:E3"/>
    <mergeCell ref="F3:J3"/>
    <mergeCell ref="H5:J5"/>
    <mergeCell ref="H6:J7"/>
    <mergeCell ref="H9:J9"/>
    <mergeCell ref="H10:J11"/>
  </mergeCells>
  <pageMargins left="0.25" right="0.25"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B3D07-243A-48F3-942B-AB44D486DEC8}">
  <dimension ref="C4:D14"/>
  <sheetViews>
    <sheetView workbookViewId="0">
      <selection activeCell="C4" sqref="C4:D14"/>
    </sheetView>
  </sheetViews>
  <sheetFormatPr baseColWidth="10" defaultRowHeight="14.4" x14ac:dyDescent="0.3"/>
  <cols>
    <col min="3" max="3" width="13" bestFit="1" customWidth="1"/>
  </cols>
  <sheetData>
    <row r="4" spans="3:4" x14ac:dyDescent="0.3">
      <c r="C4" s="223" t="s">
        <v>288</v>
      </c>
      <c r="D4" s="223"/>
    </row>
    <row r="5" spans="3:4" x14ac:dyDescent="0.3">
      <c r="C5" s="153">
        <v>52141.08</v>
      </c>
      <c r="D5" t="s">
        <v>289</v>
      </c>
    </row>
    <row r="6" spans="3:4" x14ac:dyDescent="0.3">
      <c r="C6" s="153">
        <v>67140.100000000006</v>
      </c>
      <c r="D6" t="s">
        <v>290</v>
      </c>
    </row>
    <row r="7" spans="3:4" x14ac:dyDescent="0.3">
      <c r="C7" s="153">
        <v>52121.11</v>
      </c>
      <c r="D7" t="s">
        <v>291</v>
      </c>
    </row>
    <row r="8" spans="3:4" x14ac:dyDescent="0.3">
      <c r="C8" s="153">
        <v>67885.119999999995</v>
      </c>
      <c r="D8" t="s">
        <v>292</v>
      </c>
    </row>
    <row r="9" spans="3:4" x14ac:dyDescent="0.3">
      <c r="C9" s="153">
        <v>67140.160000000003</v>
      </c>
      <c r="D9" t="s">
        <v>293</v>
      </c>
    </row>
    <row r="10" spans="3:4" x14ac:dyDescent="0.3">
      <c r="C10" s="153">
        <v>62141.17</v>
      </c>
      <c r="D10" t="s">
        <v>294</v>
      </c>
    </row>
    <row r="11" spans="3:4" x14ac:dyDescent="0.3">
      <c r="C11" s="153">
        <v>67855.179999999993</v>
      </c>
      <c r="D11" t="s">
        <v>295</v>
      </c>
    </row>
    <row r="12" spans="3:4" x14ac:dyDescent="0.3">
      <c r="C12" s="153">
        <v>62141.23</v>
      </c>
      <c r="D12" t="s">
        <v>296</v>
      </c>
    </row>
    <row r="13" spans="3:4" x14ac:dyDescent="0.3">
      <c r="C13" s="153">
        <v>67855.240000000005</v>
      </c>
      <c r="D13" t="s">
        <v>297</v>
      </c>
    </row>
    <row r="14" spans="3:4" x14ac:dyDescent="0.3">
      <c r="C14" s="153">
        <f>SUM(C5:C13)</f>
        <v>566420.39</v>
      </c>
    </row>
  </sheetData>
  <mergeCells count="1">
    <mergeCell ref="C4:D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RESUMEN</vt:lpstr>
      <vt:lpstr>PRORRATEO</vt:lpstr>
      <vt:lpstr>ANOTACIONES</vt:lpstr>
      <vt:lpstr>SUELDOS</vt:lpstr>
      <vt:lpstr>Hoja1</vt:lpstr>
      <vt:lpstr>PRORRATEO!Área_de_impresión</vt:lpstr>
      <vt:lpstr>RESUMEN!Área_de_impresión</vt:lpstr>
      <vt:lpstr>SUELDOS!Área_de_impresión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2025-10-05T19:35:13Z</cp:lastPrinted>
  <dcterms:created xsi:type="dcterms:W3CDTF">2023-09-17T12:29:07Z</dcterms:created>
  <dcterms:modified xsi:type="dcterms:W3CDTF">2025-11-30T20:46:49Z</dcterms:modified>
</cp:coreProperties>
</file>