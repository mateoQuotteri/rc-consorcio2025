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BELTRAN 34\Diciembre\"/>
    </mc:Choice>
  </mc:AlternateContent>
  <xr:revisionPtr revIDLastSave="0" documentId="13_ncr:1_{0DAFBB44-1435-49C2-98D7-690F29BD287D}" xr6:coauthVersionLast="47" xr6:coauthVersionMax="47" xr10:uidLastSave="{00000000-0000-0000-0000-000000000000}"/>
  <bookViews>
    <workbookView xWindow="-120" yWindow="-120" windowWidth="20730" windowHeight="11160" tabRatio="793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PRORRATEO!$A$1:$P$36</definedName>
    <definedName name="_xlnm.Print_Area" localSheetId="0">RESUMEN!$A$1:$D$96</definedName>
  </definedNames>
  <calcPr calcId="181029"/>
</workbook>
</file>

<file path=xl/calcChain.xml><?xml version="1.0" encoding="utf-8"?>
<calcChain xmlns="http://schemas.openxmlformats.org/spreadsheetml/2006/main">
  <c r="D59" i="1" l="1"/>
  <c r="M10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9" i="2"/>
  <c r="H12" i="2"/>
  <c r="H18" i="2"/>
  <c r="H25" i="2"/>
  <c r="H15" i="2" s="1"/>
  <c r="H16" i="2"/>
  <c r="H21" i="2"/>
  <c r="H11" i="2" s="1"/>
  <c r="H14" i="2"/>
  <c r="H17" i="2"/>
  <c r="H19" i="2"/>
  <c r="H23" i="2"/>
  <c r="H22" i="2"/>
  <c r="B1" i="2"/>
  <c r="D53" i="1" l="1"/>
  <c r="D49" i="1"/>
  <c r="D34" i="1" l="1"/>
  <c r="D57" i="1"/>
  <c r="D38" i="1"/>
  <c r="J18" i="2" l="1"/>
  <c r="K18" i="2" s="1"/>
  <c r="D44" i="1"/>
  <c r="C24" i="1" l="1"/>
  <c r="C29" i="1"/>
  <c r="J11" i="2"/>
  <c r="J23" i="2"/>
  <c r="K23" i="2" s="1"/>
  <c r="J22" i="2"/>
  <c r="K22" i="2" s="1"/>
  <c r="J25" i="2"/>
  <c r="K25" i="2" s="1"/>
  <c r="J20" i="2"/>
  <c r="K20" i="2" s="1"/>
  <c r="J15" i="2"/>
  <c r="K15" i="2" s="1"/>
  <c r="J12" i="2"/>
  <c r="K12" i="2" s="1"/>
  <c r="J13" i="2"/>
  <c r="K13" i="2" s="1"/>
  <c r="J14" i="2"/>
  <c r="K14" i="2" s="1"/>
  <c r="J16" i="2"/>
  <c r="K16" i="2" s="1"/>
  <c r="J17" i="2"/>
  <c r="K17" i="2" s="1"/>
  <c r="J19" i="2"/>
  <c r="K19" i="2" s="1"/>
  <c r="J21" i="2"/>
  <c r="K21" i="2" s="1"/>
  <c r="J24" i="2"/>
  <c r="K24" i="2" s="1"/>
  <c r="K11" i="2" l="1"/>
  <c r="D30" i="1"/>
  <c r="I27" i="2"/>
  <c r="H26" i="2" l="1"/>
  <c r="J26" i="2" s="1"/>
  <c r="O26" i="2" s="1"/>
  <c r="L26" i="2"/>
  <c r="M26" i="2"/>
  <c r="P26" i="2" l="1"/>
  <c r="K26" i="2"/>
  <c r="B95" i="1" l="1"/>
  <c r="L11" i="2" l="1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10" i="2"/>
  <c r="D68" i="1" l="1"/>
  <c r="D73" i="1" s="1"/>
  <c r="B77" i="1" s="1"/>
  <c r="B88" i="1" s="1"/>
  <c r="B85" i="1" l="1"/>
  <c r="D61" i="1" l="1"/>
  <c r="O9" i="2" l="1"/>
  <c r="Q11" i="2" l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H27" i="2" l="1"/>
  <c r="B84" i="1" s="1"/>
  <c r="F27" i="2"/>
  <c r="G27" i="2"/>
  <c r="J10" i="2" l="1"/>
  <c r="K10" i="2" l="1"/>
  <c r="O10" i="2" s="1"/>
  <c r="B78" i="1"/>
  <c r="L27" i="2"/>
  <c r="B76" i="1" l="1"/>
  <c r="B87" i="1" s="1"/>
  <c r="B89" i="1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P11" i="2" l="1"/>
  <c r="M27" i="2"/>
  <c r="P23" i="2"/>
  <c r="P19" i="2"/>
  <c r="P15" i="2"/>
  <c r="P10" i="2"/>
  <c r="P22" i="2"/>
  <c r="P18" i="2"/>
  <c r="P14" i="2"/>
  <c r="P25" i="2"/>
  <c r="P21" i="2"/>
  <c r="P17" i="2"/>
  <c r="P13" i="2"/>
  <c r="P24" i="2"/>
  <c r="P20" i="2"/>
  <c r="P16" i="2"/>
  <c r="P12" i="2"/>
  <c r="P27" i="2" l="1"/>
  <c r="O27" i="2"/>
  <c r="B75" i="1" l="1"/>
  <c r="N27" i="2" l="1"/>
</calcChain>
</file>

<file path=xl/sharedStrings.xml><?xml version="1.0" encoding="utf-8"?>
<sst xmlns="http://schemas.openxmlformats.org/spreadsheetml/2006/main" count="146" uniqueCount="120">
  <si>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</si>
  <si>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</si>
  <si>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</si>
  <si>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</si>
  <si>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</si>
  <si>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</si>
  <si>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</si>
  <si>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</si>
  <si>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</si>
  <si>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</si>
  <si>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</si>
  <si>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</si>
  <si>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</si>
  <si>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</si>
  <si>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</si>
  <si>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</si>
  <si>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</si>
  <si>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</si>
  <si>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</si>
  <si>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</si>
  <si>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</si>
  <si>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</si>
  <si>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</si>
  <si>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</si>
  <si>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</si>
  <si>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</si>
  <si>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</si>
  <si>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</si>
  <si>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</si>
  <si>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</si>
  <si>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</si>
  <si>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</si>
  <si>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</si>
  <si>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</si>
  <si>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</si>
  <si>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</si>
  <si>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</si>
  <si>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</si>
  <si>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</si>
  <si>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</si>
  <si>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</si>
  <si>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</si>
  <si>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</si>
  <si>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</si>
  <si>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</si>
  <si>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</si>
  <si>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</si>
  <si>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</si>
  <si>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</si>
  <si>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</si>
  <si>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</si>
  <si>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</si>
  <si>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</si>
  <si>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</si>
  <si>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</si>
  <si>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</si>
  <si>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</si>
  <si>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</si>
  <si>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</si>
  <si>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</si>
  <si>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</si>
  <si>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</si>
  <si>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</si>
  <si>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Punitorios mal cobrados</t>
  </si>
  <si>
    <t>SI EN LA COLUMNA LLAMADA DEUDA O SALDO A FAVOR FIGURA UN NUMERO EN NEGATIVO SIGNIFICA QUE LA UF POSEE DINERO A FAVOR (ES DECIR PAGO DE MAS)</t>
  </si>
  <si>
    <t>VTO 15/01</t>
  </si>
  <si>
    <t>Mes de NOVIEMBRE</t>
  </si>
  <si>
    <t>HORARIOS DE ATENCION: 10 A 15HS - LUNES A VIERNES</t>
  </si>
  <si>
    <t>Seguro de accidentes personales - Sancor Seguro</t>
  </si>
  <si>
    <t>Seguro integral de consorcio - Sancor Seguro</t>
  </si>
  <si>
    <t>METROGAS</t>
  </si>
  <si>
    <t>Abono mantenimiento de cuenta e impuestos</t>
  </si>
  <si>
    <t>UC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</si>
  <si>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</si>
  <si>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</si>
  <si>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</si>
  <si>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</si>
  <si>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</si>
  <si>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</si>
  <si>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</si>
  <si>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</si>
  <si>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</si>
  <si>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</si>
  <si>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4° A</t>
  </si>
  <si>
    <t>A</t>
  </si>
  <si>
    <t>B</t>
  </si>
  <si>
    <t>C</t>
  </si>
  <si>
    <t>D</t>
  </si>
  <si>
    <t>E</t>
  </si>
  <si>
    <t>Carlos</t>
  </si>
  <si>
    <t>Fernando Rivero/Sole</t>
  </si>
  <si>
    <t>Santino Panaccio</t>
  </si>
  <si>
    <t>Susana Barral</t>
  </si>
  <si>
    <t>Norma Rivero</t>
  </si>
  <si>
    <t>Daniel Izzo</t>
  </si>
  <si>
    <t>Monica Tonelli</t>
  </si>
  <si>
    <t>Andres y Gisela Patané</t>
  </si>
  <si>
    <t>Vicenta Ester Arezzi</t>
  </si>
  <si>
    <t>Mario Sagaria</t>
  </si>
  <si>
    <t>Tonelli Monica</t>
  </si>
  <si>
    <t>TELEFONO : 11-5320-2676 - MAIL: coronelbeltran34rc@gmail.com - OFICINA CON CITA PREVIA - DR MELO 2958 8° PISO</t>
  </si>
  <si>
    <t>Transf 30/12</t>
  </si>
  <si>
    <t>EDESUR - Nro. De cliente 04238360</t>
  </si>
  <si>
    <t>AySA - Nro. de cliente 302726</t>
  </si>
  <si>
    <t xml:space="preserve">Lomas Lift - Abono mantenimiento de ascensor mes de noviembre </t>
  </si>
  <si>
    <t xml:space="preserve">Lomas Lift - Abono mantenimiento de ascensor mes de diciembre </t>
  </si>
  <si>
    <t>Honorarios administracion saliente - se adeudaban de noviembre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</si>
  <si>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</si>
  <si>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</si>
  <si>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</si>
  <si>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Celestino Soledad - Servicio de limpieza</t>
  </si>
  <si>
    <t xml:space="preserve">Honorarios administracion </t>
  </si>
  <si>
    <t>Levy Lara</t>
  </si>
  <si>
    <t>Darío Fortunato</t>
  </si>
  <si>
    <t>Ivan Aguirre</t>
  </si>
  <si>
    <t xml:space="preserve">Nayla Jimena </t>
  </si>
  <si>
    <t>Gastos bancarios</t>
  </si>
  <si>
    <t>Estimados propietarios e inquilinos,
Queremos informarles que, en las últimas expensas enviadas por la administración saliente (Sra. Mara), se detectó un error en la fórmula que calculaba el saldo total a abonar.
Dicho error hacía que, en la columna “Saldo a abonar”, solo se contemplaran las expensas ordinarias, sin sumarse las expensas extraordinarias correspondientes a cada unidad funcional.
Entendemos y aclaramos que:
 • Muchas personas abonaron correctamente el importe que figuraba en esa columna, lo cual está perfecto.
 • Otras personas detectaron el error y, por sus propios medios, sumaron las expensas ordinarias y extraordinarias, abonando el total correcto.
Por este motivo, algunos propietarios o inquilinos que pagaron el importe indicado en la columna “Saldo a abonar” pueden visualizar ahora un saldo pendiente, el cual no se debe a falta de pago, sino a este error administrativo ocurrido durante el traspaso de administración.
Queremos llevar tranquilidad:
👉 No se aplicarán intereses ni recargos por esta diferencia.
👉 La situación será regularizada de forma ordenada y transparente.
Agradecemos la comprensión de todos y quedamos a disposición ante cualquier consulta.</t>
  </si>
  <si>
    <t>PREVISION ORDINARIA: Se incluye una previsión ordinaria debido a la urgente reparación del ascensor, dañado durante una mudanza realizada el día 30 fuera de horario.
Si bien el arreglo será imputado a la unidad funcional responsable, la previsión se realiza de forma provisoria para poder efectuar la reparación de inmediato y dejar el ascensor operativo.
Una vez recuperado el importe correspondiente, el gasto no quedará a cargo del consorcio.</t>
  </si>
  <si>
    <t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</si>
</sst>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8" formatCode="_ * #,##0.00_ ;_ * \-#,##0.00_ ;_ * &quot;-&quot;??_ ;_ @_ "/>
    <numFmt numFmtId="169" formatCode="&quot;$&quot;\ #,##0.00"/>
  </numFmts>
  <fonts count="4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Arial1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10"/>
      <color indexed="8"/>
      <name val="Arial1"/>
    </font>
    <font>
      <b/>
      <sz val="9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7" tint="0.39997558519241921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5" fillId="0" borderId="0"/>
    <xf numFmtId="0" fontId="27" fillId="12" borderId="0" applyBorder="0" applyProtection="0"/>
    <xf numFmtId="0" fontId="27" fillId="13" borderId="0" applyBorder="0" applyProtection="0"/>
    <xf numFmtId="0" fontId="27" fillId="14" borderId="0" applyBorder="0" applyProtection="0"/>
    <xf numFmtId="0" fontId="27" fillId="15" borderId="0" applyBorder="0" applyProtection="0"/>
    <xf numFmtId="0" fontId="27" fillId="16" borderId="0" applyBorder="0" applyProtection="0"/>
    <xf numFmtId="0" fontId="27" fillId="17" borderId="0" applyBorder="0" applyProtection="0"/>
    <xf numFmtId="0" fontId="27" fillId="18" borderId="0" applyBorder="0" applyProtection="0"/>
    <xf numFmtId="0" fontId="27" fillId="19" borderId="0" applyBorder="0" applyProtection="0"/>
    <xf numFmtId="0" fontId="27" fillId="20" borderId="0" applyBorder="0" applyProtection="0"/>
    <xf numFmtId="0" fontId="27" fillId="15" borderId="0" applyBorder="0" applyProtection="0"/>
    <xf numFmtId="0" fontId="27" fillId="18" borderId="0" applyBorder="0" applyProtection="0"/>
    <xf numFmtId="0" fontId="27" fillId="21" borderId="0" applyBorder="0" applyProtection="0"/>
    <xf numFmtId="0" fontId="28" fillId="22" borderId="0" applyBorder="0" applyProtection="0"/>
    <xf numFmtId="0" fontId="28" fillId="19" borderId="0" applyBorder="0" applyProtection="0"/>
    <xf numFmtId="0" fontId="28" fillId="20" borderId="0" applyBorder="0" applyProtection="0"/>
    <xf numFmtId="0" fontId="28" fillId="23" borderId="0" applyBorder="0" applyProtection="0"/>
    <xf numFmtId="0" fontId="28" fillId="24" borderId="0" applyBorder="0" applyProtection="0"/>
    <xf numFmtId="0" fontId="28" fillId="25" borderId="0" applyBorder="0" applyProtection="0"/>
    <xf numFmtId="0" fontId="31" fillId="26" borderId="29" applyProtection="0"/>
    <xf numFmtId="0" fontId="29" fillId="27" borderId="30" applyProtection="0"/>
    <xf numFmtId="0" fontId="30" fillId="0" borderId="31" applyProtection="0"/>
    <xf numFmtId="0" fontId="32" fillId="0" borderId="0" applyBorder="0" applyProtection="0"/>
    <xf numFmtId="0" fontId="28" fillId="28" borderId="0" applyBorder="0" applyProtection="0"/>
    <xf numFmtId="0" fontId="28" fillId="29" borderId="0" applyBorder="0" applyProtection="0"/>
    <xf numFmtId="0" fontId="28" fillId="30" borderId="0" applyBorder="0" applyProtection="0"/>
    <xf numFmtId="0" fontId="28" fillId="23" borderId="0" applyBorder="0" applyProtection="0"/>
    <xf numFmtId="0" fontId="28" fillId="24" borderId="0" applyBorder="0" applyProtection="0"/>
    <xf numFmtId="0" fontId="28" fillId="31" borderId="0" applyBorder="0" applyProtection="0"/>
    <xf numFmtId="0" fontId="33" fillId="17" borderId="29" applyProtection="0"/>
    <xf numFmtId="0" fontId="34" fillId="13" borderId="0" applyBorder="0" applyProtection="0"/>
    <xf numFmtId="168" fontId="26" fillId="0" borderId="0" applyFill="0" applyBorder="0" applyAlignment="0" applyProtection="0"/>
    <xf numFmtId="0" fontId="35" fillId="32" borderId="0" applyBorder="0" applyProtection="0"/>
    <xf numFmtId="0" fontId="36" fillId="33" borderId="32" applyProtection="0"/>
    <xf numFmtId="0" fontId="37" fillId="26" borderId="33" applyProtection="0"/>
    <xf numFmtId="0" fontId="38" fillId="0" borderId="0" applyBorder="0" applyProtection="0"/>
    <xf numFmtId="0" fontId="39" fillId="0" borderId="0" applyBorder="0" applyProtection="0"/>
    <xf numFmtId="0" fontId="41" fillId="0" borderId="0" applyBorder="0" applyProtection="0"/>
    <xf numFmtId="0" fontId="42" fillId="0" borderId="34" applyProtection="0"/>
    <xf numFmtId="0" fontId="32" fillId="0" borderId="35" applyProtection="0"/>
    <xf numFmtId="0" fontId="40" fillId="0" borderId="36" applyProtection="0"/>
  </cellStyleXfs>
  <cellXfs count="200">
    <xf numFmtId="0" fontId="0" fillId="0" borderId="0" xfId="0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44" fontId="14" fillId="4" borderId="13" xfId="0" applyNumberFormat="1" applyFont="1" applyFill="1" applyBorder="1"/>
    <xf numFmtId="8" fontId="18" fillId="11" borderId="6" xfId="0" applyNumberFormat="1" applyFont="1" applyFill="1" applyBorder="1"/>
    <xf numFmtId="44" fontId="0" fillId="4" borderId="0" xfId="1" applyFont="1" applyFill="1"/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4" fillId="0" borderId="1" xfId="0" applyFont="1" applyBorder="1"/>
    <xf numFmtId="0" fontId="14" fillId="0" borderId="1" xfId="0" applyFont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19" fillId="0" borderId="1" xfId="1" applyFont="1" applyBorder="1"/>
    <xf numFmtId="44" fontId="19" fillId="2" borderId="1" xfId="1" applyFont="1" applyFill="1" applyBorder="1"/>
    <xf numFmtId="165" fontId="19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19" fillId="0" borderId="25" xfId="1" applyFont="1" applyBorder="1"/>
    <xf numFmtId="44" fontId="19" fillId="0" borderId="27" xfId="1" applyFont="1" applyBorder="1"/>
    <xf numFmtId="44" fontId="20" fillId="0" borderId="1" xfId="1" applyFont="1" applyBorder="1"/>
    <xf numFmtId="165" fontId="20" fillId="2" borderId="1" xfId="1" applyNumberFormat="1" applyFont="1" applyFill="1" applyBorder="1"/>
    <xf numFmtId="165" fontId="20" fillId="0" borderId="1" xfId="0" applyNumberFormat="1" applyFont="1" applyBorder="1"/>
    <xf numFmtId="165" fontId="20" fillId="0" borderId="1" xfId="1" applyNumberFormat="1" applyFont="1" applyBorder="1"/>
    <xf numFmtId="44" fontId="20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1" fillId="4" borderId="3" xfId="1" applyFont="1" applyFill="1" applyBorder="1"/>
    <xf numFmtId="44" fontId="10" fillId="4" borderId="21" xfId="1" applyFont="1" applyFill="1" applyBorder="1"/>
    <xf numFmtId="44" fontId="22" fillId="4" borderId="3" xfId="1" applyFont="1" applyFill="1" applyBorder="1"/>
    <xf numFmtId="0" fontId="22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44" fontId="22" fillId="2" borderId="1" xfId="1" applyFont="1" applyFill="1" applyBorder="1"/>
    <xf numFmtId="44" fontId="10" fillId="4" borderId="2" xfId="1" applyFont="1" applyFill="1" applyBorder="1"/>
    <xf numFmtId="44" fontId="22" fillId="2" borderId="3" xfId="1" applyFont="1" applyFill="1" applyBorder="1"/>
    <xf numFmtId="8" fontId="7" fillId="4" borderId="22" xfId="0" applyNumberFormat="1" applyFont="1" applyFill="1" applyBorder="1"/>
    <xf numFmtId="0" fontId="22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2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8" fontId="18" fillId="11" borderId="1" xfId="0" applyNumberFormat="1" applyFont="1" applyFill="1" applyBorder="1"/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5" fillId="2" borderId="1" xfId="1" applyNumberFormat="1" applyFont="1" applyFill="1" applyBorder="1" applyAlignment="1">
      <alignment wrapText="1"/>
    </xf>
    <xf numFmtId="0" fontId="14" fillId="2" borderId="1" xfId="0" applyFont="1" applyFill="1" applyBorder="1"/>
    <xf numFmtId="44" fontId="23" fillId="2" borderId="1" xfId="1" applyFont="1" applyFill="1" applyBorder="1"/>
    <xf numFmtId="0" fontId="15" fillId="2" borderId="1" xfId="1" applyNumberFormat="1" applyFont="1" applyFill="1" applyBorder="1" applyAlignment="1">
      <alignment horizontal="left"/>
    </xf>
    <xf numFmtId="0" fontId="15" fillId="2" borderId="2" xfId="1" applyNumberFormat="1" applyFont="1" applyFill="1" applyBorder="1" applyAlignment="1"/>
    <xf numFmtId="0" fontId="15" fillId="2" borderId="1" xfId="1" applyNumberFormat="1" applyFont="1" applyFill="1" applyBorder="1" applyAlignment="1"/>
    <xf numFmtId="44" fontId="15" fillId="0" borderId="1" xfId="1" applyFont="1" applyBorder="1"/>
    <xf numFmtId="44" fontId="6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 applyAlignment="1">
      <alignment vertical="center" wrapText="1"/>
    </xf>
    <xf numFmtId="44" fontId="4" fillId="2" borderId="1" xfId="1" applyFont="1" applyFill="1" applyBorder="1" applyAlignment="1"/>
    <xf numFmtId="44" fontId="4" fillId="0" borderId="1" xfId="1" applyFont="1" applyBorder="1"/>
    <xf numFmtId="44" fontId="4" fillId="2" borderId="1" xfId="1" applyFont="1" applyFill="1" applyBorder="1"/>
    <xf numFmtId="0" fontId="15" fillId="3" borderId="19" xfId="0" applyFont="1" applyFill="1" applyBorder="1" applyAlignment="1">
      <alignment horizontal="center" vertical="center" wrapText="1"/>
    </xf>
    <xf numFmtId="44" fontId="24" fillId="0" borderId="1" xfId="1" applyFont="1" applyBorder="1"/>
    <xf numFmtId="0" fontId="14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wrapText="1"/>
    </xf>
    <xf numFmtId="0" fontId="14" fillId="2" borderId="1" xfId="0" applyFont="1" applyFill="1" applyBorder="1" applyAlignment="1">
      <alignment horizontal="center"/>
    </xf>
    <xf numFmtId="165" fontId="14" fillId="2" borderId="1" xfId="0" applyNumberFormat="1" applyFont="1" applyFill="1" applyBorder="1"/>
    <xf numFmtId="165" fontId="14" fillId="2" borderId="1" xfId="1" applyNumberFormat="1" applyFont="1" applyFill="1" applyBorder="1"/>
    <xf numFmtId="44" fontId="14" fillId="2" borderId="6" xfId="1" applyFont="1" applyFill="1" applyBorder="1"/>
    <xf numFmtId="44" fontId="19" fillId="2" borderId="25" xfId="1" applyFont="1" applyFill="1" applyBorder="1"/>
    <xf numFmtId="44" fontId="19" fillId="2" borderId="27" xfId="1" applyFont="1" applyFill="1" applyBorder="1"/>
    <xf numFmtId="44" fontId="6" fillId="6" borderId="1" xfId="1" applyFont="1" applyFill="1" applyBorder="1"/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left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169" fontId="43" fillId="2" borderId="38" xfId="3" applyNumberFormat="1" applyFont="1" applyFill="1" applyBorder="1"/>
    <xf numFmtId="169" fontId="7" fillId="0" borderId="1" xfId="1" applyNumberFormat="1" applyFont="1" applyBorder="1"/>
    <xf numFmtId="0" fontId="2" fillId="3" borderId="0" xfId="0" applyFont="1" applyFill="1" applyBorder="1" applyAlignment="1">
      <alignment horizontal="left" vertical="center" wrapText="1"/>
    </xf>
    <xf numFmtId="0" fontId="0" fillId="3" borderId="14" xfId="0" applyFill="1" applyBorder="1"/>
    <xf numFmtId="0" fontId="2" fillId="3" borderId="12" xfId="0" applyFont="1" applyFill="1" applyBorder="1" applyAlignment="1">
      <alignment horizontal="left" vertical="center" wrapText="1"/>
    </xf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 applyBorder="1"/>
    <xf numFmtId="0" fontId="0" fillId="3" borderId="0" xfId="0" applyFill="1" applyBorder="1"/>
    <xf numFmtId="44" fontId="0" fillId="3" borderId="17" xfId="1" applyFont="1" applyFill="1" applyBorder="1" applyAlignment="1"/>
    <xf numFmtId="0" fontId="0" fillId="3" borderId="39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0" fontId="2" fillId="9" borderId="15" xfId="0" applyFont="1" applyFill="1" applyBorder="1" applyAlignment="1">
      <alignment horizontal="center" vertical="center" wrapText="1"/>
    </xf>
    <xf numFmtId="0" fontId="14" fillId="0" borderId="1" xfId="0" applyFont="1" applyBorder="1" applyAlignment="1"/>
    <xf numFmtId="44" fontId="19" fillId="2" borderId="1" xfId="1" applyNumberFormat="1" applyFont="1" applyFill="1" applyBorder="1"/>
    <xf numFmtId="44" fontId="0" fillId="2" borderId="0" xfId="1" applyFont="1" applyFill="1"/>
    <xf numFmtId="0" fontId="2" fillId="9" borderId="14" xfId="0" applyFont="1" applyFill="1" applyBorder="1" applyAlignment="1">
      <alignment horizontal="center" vertical="center" wrapText="1"/>
    </xf>
    <xf numFmtId="0" fontId="2" fillId="9" borderId="12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3" fillId="3" borderId="16" xfId="0" applyFont="1" applyFill="1" applyBorder="1" applyAlignment="1">
      <alignment horizontal="center" vertical="center" wrapText="1"/>
    </xf>
    <xf numFmtId="44" fontId="19" fillId="2" borderId="1" xfId="0" applyNumberFormat="1" applyFont="1" applyFill="1" applyBorder="1"/>
    <xf numFmtId="0" fontId="2" fillId="34" borderId="14" xfId="0" applyFont="1" applyFill="1" applyBorder="1" applyAlignment="1">
      <alignment horizontal="left" vertical="center" wrapText="1"/>
    </xf>
    <xf numFmtId="0" fontId="2" fillId="34" borderId="12" xfId="0" applyFont="1" applyFill="1" applyBorder="1" applyAlignment="1">
      <alignment horizontal="left" vertical="center" wrapText="1"/>
    </xf>
    <xf numFmtId="0" fontId="2" fillId="34" borderId="15" xfId="0" applyFont="1" applyFill="1" applyBorder="1" applyAlignment="1">
      <alignment horizontal="left" vertical="center" wrapText="1"/>
    </xf>
    <xf numFmtId="0" fontId="2" fillId="34" borderId="16" xfId="0" applyFont="1" applyFill="1" applyBorder="1" applyAlignment="1">
      <alignment horizontal="left" vertical="center" wrapText="1"/>
    </xf>
    <xf numFmtId="0" fontId="2" fillId="34" borderId="0" xfId="0" applyFont="1" applyFill="1" applyBorder="1" applyAlignment="1">
      <alignment horizontal="left" vertical="center" wrapText="1"/>
    </xf>
    <xf numFmtId="0" fontId="2" fillId="34" borderId="17" xfId="0" applyFont="1" applyFill="1" applyBorder="1" applyAlignment="1">
      <alignment horizontal="left" vertical="center" wrapText="1"/>
    </xf>
    <xf numFmtId="0" fontId="2" fillId="34" borderId="39" xfId="0" applyFont="1" applyFill="1" applyBorder="1" applyAlignment="1">
      <alignment horizontal="left" vertical="center" wrapText="1"/>
    </xf>
    <xf numFmtId="0" fontId="2" fillId="34" borderId="8" xfId="0" applyFont="1" applyFill="1" applyBorder="1" applyAlignment="1">
      <alignment horizontal="left" vertical="center" wrapText="1"/>
    </xf>
    <xf numFmtId="0" fontId="2" fillId="34" borderId="26" xfId="0" applyFont="1" applyFill="1" applyBorder="1" applyAlignment="1">
      <alignment horizontal="left" vertical="center" wrapText="1"/>
    </xf>
    <xf numFmtId="44" fontId="0" fillId="3" borderId="0" xfId="1" applyNumberFormat="1" applyFont="1" applyFill="1" applyBorder="1" applyAlignment="1"/>
    <xf numFmtId="44" fontId="0" fillId="3" borderId="8" xfId="1" applyNumberFormat="1" applyFont="1" applyFill="1" applyBorder="1" applyAlignment="1">
      <alignment vertical="center"/>
    </xf>
    <xf numFmtId="44" fontId="4" fillId="0" borderId="37" xfId="1" applyFont="1" applyBorder="1"/>
    <xf numFmtId="0" fontId="18" fillId="11" borderId="1" xfId="0" applyFont="1" applyFill="1" applyBorder="1"/>
    <xf numFmtId="0" fontId="18" fillId="11" borderId="3" xfId="0" applyFont="1" applyFill="1" applyBorder="1"/>
    <xf numFmtId="0" fontId="4" fillId="0" borderId="7" xfId="0" applyFont="1" applyBorder="1"/>
    <xf numFmtId="0" fontId="4" fillId="0" borderId="1" xfId="0" applyFont="1" applyBorder="1" applyAlignment="1">
      <alignment vertical="center"/>
    </xf>
    <xf numFmtId="0" fontId="4" fillId="0" borderId="7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4" borderId="1" xfId="0" applyFont="1" applyFill="1" applyBorder="1"/>
    <xf numFmtId="0" fontId="4" fillId="0" borderId="7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wrapText="1"/>
    </xf>
    <xf numFmtId="0" fontId="7" fillId="4" borderId="3" xfId="0" applyFont="1" applyFill="1" applyBorder="1"/>
    <xf numFmtId="0" fontId="44" fillId="8" borderId="6" xfId="0" applyFont="1" applyFill="1" applyBorder="1" applyAlignment="1">
      <alignment horizontal="left" vertical="center" wrapText="1"/>
    </xf>
    <xf numFmtId="0" fontId="44" fillId="8" borderId="24" xfId="0" applyFont="1" applyFill="1" applyBorder="1" applyAlignment="1">
      <alignment horizontal="left" vertical="center" wrapText="1"/>
    </xf>
    <xf numFmtId="0" fontId="44" fillId="8" borderId="28" xfId="0" applyFont="1" applyFill="1" applyBorder="1" applyAlignment="1">
      <alignment horizontal="left" vertical="center" wrapText="1"/>
    </xf>
    <xf numFmtId="0" fontId="4" fillId="0" borderId="16" xfId="0" applyFont="1" applyBorder="1"/>
    <xf numFmtId="0" fontId="7" fillId="5" borderId="9" xfId="0" applyFont="1" applyFill="1" applyBorder="1"/>
    <xf numFmtId="10" fontId="7" fillId="5" borderId="10" xfId="0" applyNumberFormat="1" applyFont="1" applyFill="1" applyBorder="1"/>
    <xf numFmtId="0" fontId="7" fillId="5" borderId="14" xfId="0" applyFont="1" applyFill="1" applyBorder="1"/>
    <xf numFmtId="0" fontId="7" fillId="5" borderId="12" xfId="0" applyFont="1" applyFill="1" applyBorder="1"/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1567815</xdr:colOff>
      <xdr:row>2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890" y="41910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6"/>
  <sheetViews>
    <sheetView topLeftCell="A90" workbookViewId="0">
      <selection activeCell="C91" sqref="A91:XFD91"/>
    </sheetView>
  </sheetViews>
  <sheetFormatPr baseColWidth="10" defaultRowHeight="1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>
      <c r="A1" s="100" t="s">
        <v>58</v>
      </c>
      <c r="B1" s="96"/>
      <c r="C1" s="5"/>
      <c r="D1" s="5"/>
    </row>
    <row r="2" spans="1:4">
      <c r="A2" s="97" t="s">
        <v>100</v>
      </c>
      <c r="B2" s="97"/>
      <c r="C2" s="97"/>
      <c r="D2" s="97"/>
    </row>
    <row r="3" spans="1:4" ht="16.899999999999999" customHeight="1">
      <c r="A3" s="97" t="s">
        <v>67</v>
      </c>
      <c r="B3" s="97"/>
      <c r="C3" s="97"/>
      <c r="D3" s="97"/>
    </row>
    <row r="4" spans="1:4" ht="32.25" customHeight="1">
      <c r="A4" s="131" t="s">
        <v>119</v>
      </c>
      <c r="B4" s="131"/>
      <c r="C4" s="98"/>
      <c r="D4" s="98"/>
    </row>
    <row r="5" spans="1:4">
      <c r="A5" s="131"/>
      <c r="B5" s="131"/>
      <c r="C5" s="98"/>
      <c r="D5" s="98"/>
    </row>
    <row r="6" spans="1:4">
      <c r="A6" s="131"/>
      <c r="B6" s="131"/>
      <c r="C6" s="98"/>
      <c r="D6" s="98"/>
    </row>
    <row r="7" spans="1:4" ht="13.5" customHeight="1">
      <c r="A7" s="131"/>
      <c r="B7" s="131"/>
      <c r="C7" s="98"/>
      <c r="D7" s="98"/>
    </row>
    <row r="9" spans="1:4">
      <c r="B9" s="130" t="s">
        <v>65</v>
      </c>
    </row>
    <row r="10" spans="1:4">
      <c r="B10" s="130"/>
    </row>
    <row r="11" spans="1:4">
      <c r="B11" s="130"/>
    </row>
    <row r="13" spans="1:4" hidden="1"/>
    <row r="14" spans="1:4" ht="15" customHeight="1">
      <c r="A14" s="132" t="s">
        <v>107</v>
      </c>
      <c r="B14" s="132"/>
      <c r="C14" s="132"/>
      <c r="D14" s="132"/>
    </row>
    <row r="15" spans="1:4" ht="15" customHeight="1">
      <c r="A15" s="132"/>
      <c r="B15" s="132"/>
      <c r="C15" s="132"/>
      <c r="D15" s="132"/>
    </row>
    <row r="16" spans="1:4" ht="15" customHeight="1">
      <c r="A16" s="132"/>
      <c r="B16" s="132"/>
      <c r="C16" s="132"/>
      <c r="D16" s="132"/>
    </row>
    <row r="17" spans="1:7" ht="53.25" customHeight="1">
      <c r="A17" s="132"/>
      <c r="B17" s="132"/>
      <c r="C17" s="132"/>
      <c r="D17" s="132"/>
    </row>
    <row r="18" spans="1:7" ht="14.25" customHeight="1" thickBot="1"/>
    <row r="19" spans="1:7" ht="15.75" hidden="1" thickBot="1">
      <c r="A19" s="1"/>
    </row>
    <row r="20" spans="1:7" ht="15.75" hidden="1" thickBot="1"/>
    <row r="21" spans="1:7">
      <c r="A21" s="9" t="s">
        <v>21</v>
      </c>
      <c r="B21" s="10"/>
      <c r="C21" s="7"/>
      <c r="D21" s="11"/>
    </row>
    <row r="22" spans="1:7">
      <c r="A22" s="23" t="s">
        <v>109</v>
      </c>
      <c r="B22" s="23"/>
      <c r="C22" s="21"/>
      <c r="D22" s="21"/>
    </row>
    <row r="23" spans="1:7" ht="14.25" customHeight="1">
      <c r="A23" s="70" t="s">
        <v>110</v>
      </c>
      <c r="B23" s="70"/>
      <c r="C23" s="180">
        <v>131200</v>
      </c>
      <c r="D23" s="70"/>
    </row>
    <row r="24" spans="1:7">
      <c r="A24" s="181" t="s">
        <v>48</v>
      </c>
      <c r="B24" s="181"/>
      <c r="C24" s="95">
        <f>SUM(C23:C23)</f>
        <v>131200</v>
      </c>
      <c r="D24" s="71"/>
    </row>
    <row r="25" spans="1:7" ht="0.6" customHeight="1">
      <c r="A25" s="70"/>
      <c r="B25" s="70"/>
      <c r="C25" s="111"/>
      <c r="D25" s="99"/>
    </row>
    <row r="26" spans="1:7" hidden="1">
      <c r="A26" s="70"/>
      <c r="B26" s="70"/>
      <c r="C26" s="111"/>
      <c r="D26" s="99"/>
    </row>
    <row r="27" spans="1:7" hidden="1">
      <c r="A27" s="70"/>
      <c r="B27" s="70"/>
      <c r="C27" s="111"/>
      <c r="D27" s="99"/>
    </row>
    <row r="28" spans="1:7" hidden="1">
      <c r="A28" s="70"/>
      <c r="B28" s="70"/>
      <c r="C28" s="112"/>
      <c r="D28" s="99"/>
    </row>
    <row r="29" spans="1:7" hidden="1">
      <c r="A29" s="181" t="s">
        <v>48</v>
      </c>
      <c r="B29" s="182"/>
      <c r="C29" s="41">
        <f>SUM(C25:C28)</f>
        <v>0</v>
      </c>
      <c r="D29" s="71"/>
    </row>
    <row r="30" spans="1:7" ht="14.25" customHeight="1" thickBot="1">
      <c r="A30" s="22" t="s">
        <v>0</v>
      </c>
      <c r="B30" s="22"/>
      <c r="C30" s="16"/>
      <c r="D30" s="72">
        <f>C24+C29</f>
        <v>131200</v>
      </c>
      <c r="E30" s="12"/>
      <c r="F30" s="12"/>
    </row>
    <row r="31" spans="1:7">
      <c r="A31" s="21" t="s">
        <v>33</v>
      </c>
      <c r="B31" s="21"/>
      <c r="C31" s="24"/>
      <c r="D31" s="73"/>
      <c r="F31" s="12"/>
    </row>
    <row r="32" spans="1:7" ht="22.5" customHeight="1">
      <c r="A32" s="144" t="s">
        <v>111</v>
      </c>
      <c r="B32" s="183"/>
      <c r="C32" s="111">
        <v>0</v>
      </c>
      <c r="D32" s="109"/>
      <c r="G32" s="12"/>
    </row>
    <row r="33" spans="1:7" ht="21" customHeight="1">
      <c r="A33" s="184" t="s">
        <v>106</v>
      </c>
      <c r="B33" s="185"/>
      <c r="C33" s="111">
        <v>80000</v>
      </c>
      <c r="D33" s="109"/>
      <c r="G33" s="12"/>
    </row>
    <row r="34" spans="1:7" ht="15.75" thickBot="1">
      <c r="A34" s="22" t="s">
        <v>29</v>
      </c>
      <c r="B34" s="22"/>
      <c r="C34" s="27"/>
      <c r="D34" s="72">
        <f>SUM(C32:C33)</f>
        <v>80000</v>
      </c>
    </row>
    <row r="35" spans="1:7">
      <c r="A35" s="21" t="s">
        <v>45</v>
      </c>
      <c r="B35" s="22"/>
      <c r="C35" s="25"/>
      <c r="D35" s="47"/>
    </row>
    <row r="36" spans="1:7" s="30" customFormat="1" ht="29.25" customHeight="1">
      <c r="A36" s="186" t="s">
        <v>68</v>
      </c>
      <c r="B36" s="187"/>
      <c r="C36" s="113">
        <v>23077</v>
      </c>
      <c r="D36" s="108"/>
    </row>
    <row r="37" spans="1:7" ht="30" customHeight="1">
      <c r="A37" s="186" t="s">
        <v>69</v>
      </c>
      <c r="B37" s="187"/>
      <c r="C37" s="114">
        <v>141392</v>
      </c>
      <c r="D37" s="108"/>
    </row>
    <row r="38" spans="1:7" ht="15.75" thickBot="1">
      <c r="A38" s="22" t="s">
        <v>1</v>
      </c>
      <c r="B38" s="22"/>
      <c r="C38" s="27"/>
      <c r="D38" s="74">
        <f>SUM(C36:C37)</f>
        <v>164469</v>
      </c>
    </row>
    <row r="39" spans="1:7" hidden="1">
      <c r="A39" s="21" t="s">
        <v>30</v>
      </c>
      <c r="B39" s="188"/>
      <c r="C39" s="28"/>
      <c r="D39" s="75"/>
    </row>
    <row r="40" spans="1:7" hidden="1">
      <c r="A40" s="70" t="s">
        <v>59</v>
      </c>
      <c r="B40" s="70" t="s">
        <v>66</v>
      </c>
      <c r="C40" s="115"/>
      <c r="D40" s="108"/>
      <c r="F40" s="101"/>
    </row>
    <row r="41" spans="1:7" hidden="1">
      <c r="A41" s="70" t="s">
        <v>60</v>
      </c>
      <c r="B41" s="70" t="s">
        <v>66</v>
      </c>
      <c r="C41" s="116"/>
      <c r="D41" s="108"/>
    </row>
    <row r="42" spans="1:7" hidden="1">
      <c r="A42" s="70" t="s">
        <v>61</v>
      </c>
      <c r="B42" s="70" t="s">
        <v>66</v>
      </c>
      <c r="C42" s="116"/>
      <c r="D42" s="108"/>
    </row>
    <row r="43" spans="1:7" hidden="1">
      <c r="A43" s="70" t="s">
        <v>62</v>
      </c>
      <c r="B43" s="70" t="s">
        <v>66</v>
      </c>
      <c r="C43" s="116"/>
      <c r="D43" s="107"/>
    </row>
    <row r="44" spans="1:7" ht="15" hidden="1" customHeight="1" thickBot="1">
      <c r="A44" s="22" t="s">
        <v>2</v>
      </c>
      <c r="B44" s="188"/>
      <c r="C44" s="29"/>
      <c r="D44" s="74">
        <f>SUM(C40:C43)</f>
        <v>0</v>
      </c>
    </row>
    <row r="45" spans="1:7">
      <c r="A45" s="21" t="s">
        <v>32</v>
      </c>
      <c r="B45" s="188"/>
      <c r="C45" s="28"/>
      <c r="D45" s="75"/>
    </row>
    <row r="46" spans="1:7" ht="14.25" customHeight="1">
      <c r="A46" s="85" t="s">
        <v>102</v>
      </c>
      <c r="B46" s="70"/>
      <c r="C46" s="116">
        <v>50385.73</v>
      </c>
      <c r="D46" s="106" t="s">
        <v>101</v>
      </c>
    </row>
    <row r="47" spans="1:7" ht="14.25" customHeight="1">
      <c r="A47" s="70" t="s">
        <v>70</v>
      </c>
      <c r="B47" s="70"/>
      <c r="C47" s="116"/>
      <c r="D47" s="106"/>
    </row>
    <row r="48" spans="1:7" ht="14.25" customHeight="1">
      <c r="A48" s="70" t="s">
        <v>103</v>
      </c>
      <c r="B48" s="70"/>
      <c r="C48" s="116">
        <v>274519.98</v>
      </c>
      <c r="D48" s="106" t="s">
        <v>101</v>
      </c>
    </row>
    <row r="49" spans="1:6" ht="15.75" thickBot="1">
      <c r="A49" s="22" t="s">
        <v>3</v>
      </c>
      <c r="B49" s="22"/>
      <c r="C49" s="27"/>
      <c r="D49" s="74">
        <f>SUM(C46:C48)</f>
        <v>324905.70999999996</v>
      </c>
    </row>
    <row r="50" spans="1:6" ht="15.75" thickBot="1">
      <c r="A50" s="21" t="s">
        <v>31</v>
      </c>
      <c r="B50" s="22"/>
      <c r="C50" s="27"/>
      <c r="D50" s="77"/>
    </row>
    <row r="51" spans="1:6" ht="30" customHeight="1">
      <c r="A51" s="144" t="s">
        <v>104</v>
      </c>
      <c r="B51" s="189"/>
      <c r="C51" s="116">
        <v>73900</v>
      </c>
      <c r="D51" s="103" t="s">
        <v>101</v>
      </c>
    </row>
    <row r="52" spans="1:6" ht="30" customHeight="1">
      <c r="A52" s="144" t="s">
        <v>105</v>
      </c>
      <c r="B52" s="189"/>
      <c r="C52" s="116">
        <v>78900</v>
      </c>
      <c r="D52" s="103" t="s">
        <v>101</v>
      </c>
    </row>
    <row r="53" spans="1:6" ht="15.75" thickBot="1">
      <c r="A53" s="22" t="s">
        <v>11</v>
      </c>
      <c r="B53" s="21"/>
      <c r="C53" s="21"/>
      <c r="D53" s="80">
        <f>SUM(C51:C52)</f>
        <v>152800</v>
      </c>
    </row>
    <row r="54" spans="1:6" ht="15.75" thickBot="1">
      <c r="A54" s="21" t="s">
        <v>24</v>
      </c>
      <c r="B54" s="190"/>
      <c r="C54" s="16"/>
      <c r="D54" s="77"/>
    </row>
    <row r="55" spans="1:6">
      <c r="A55" s="70" t="s">
        <v>71</v>
      </c>
      <c r="B55" s="70"/>
      <c r="C55" s="118"/>
      <c r="D55" s="81"/>
    </row>
    <row r="56" spans="1:6">
      <c r="A56" s="70" t="s">
        <v>116</v>
      </c>
      <c r="B56" s="70"/>
      <c r="C56" s="116">
        <v>6312.88</v>
      </c>
      <c r="D56" s="79"/>
    </row>
    <row r="57" spans="1:6" ht="15.75" thickBot="1">
      <c r="A57" s="191" t="s">
        <v>29</v>
      </c>
      <c r="B57" s="191"/>
      <c r="C57" s="82"/>
      <c r="D57" s="74">
        <f>SUM(C55:C56)</f>
        <v>6312.88</v>
      </c>
    </row>
    <row r="58" spans="1:6" ht="15.75" thickBot="1">
      <c r="A58" s="70"/>
      <c r="B58" s="70"/>
      <c r="C58" s="70"/>
      <c r="D58" s="83"/>
    </row>
    <row r="59" spans="1:6" ht="99" customHeight="1" thickBot="1">
      <c r="A59" s="192" t="s">
        <v>118</v>
      </c>
      <c r="B59" s="193"/>
      <c r="C59" s="194"/>
      <c r="D59" s="84">
        <f>1800000-859687.59</f>
        <v>940312.41</v>
      </c>
    </row>
    <row r="60" spans="1:6" ht="15.75" thickBot="1">
      <c r="A60" s="195"/>
      <c r="B60" s="85"/>
      <c r="C60" s="85"/>
      <c r="D60" s="86"/>
      <c r="E60" s="35"/>
    </row>
    <row r="61" spans="1:6" ht="15.75" thickBot="1">
      <c r="A61" s="196" t="s">
        <v>25</v>
      </c>
      <c r="B61" s="197"/>
      <c r="C61" s="87"/>
      <c r="D61" s="88">
        <f>(SUM(D25:D59))</f>
        <v>1800000</v>
      </c>
      <c r="E61" s="35"/>
      <c r="F61" s="35"/>
    </row>
    <row r="62" spans="1:6">
      <c r="A62" s="85"/>
      <c r="B62" s="85"/>
      <c r="C62" s="85"/>
      <c r="D62" s="85"/>
      <c r="F62" s="102"/>
    </row>
    <row r="63" spans="1:6" ht="15.75" thickBot="1">
      <c r="A63" s="85"/>
      <c r="B63" s="85"/>
      <c r="C63" s="85"/>
      <c r="D63" s="85"/>
    </row>
    <row r="64" spans="1:6">
      <c r="A64" s="198" t="s">
        <v>34</v>
      </c>
      <c r="B64" s="199"/>
      <c r="C64" s="89"/>
      <c r="D64" s="90"/>
    </row>
    <row r="65" spans="1:4">
      <c r="A65" s="186"/>
      <c r="B65" s="187"/>
      <c r="C65" s="78"/>
      <c r="D65" s="76"/>
    </row>
    <row r="66" spans="1:4">
      <c r="A66" s="186"/>
      <c r="B66" s="187"/>
      <c r="C66" s="78"/>
      <c r="D66" s="76"/>
    </row>
    <row r="67" spans="1:4">
      <c r="A67" s="93"/>
      <c r="B67" s="94"/>
      <c r="C67" s="78"/>
      <c r="D67" s="76"/>
    </row>
    <row r="68" spans="1:4">
      <c r="A68" s="38"/>
      <c r="B68" s="37"/>
      <c r="C68" s="42"/>
      <c r="D68" s="42">
        <f>SUM(C65:C67)</f>
        <v>0</v>
      </c>
    </row>
    <row r="69" spans="1:4" ht="15" customHeight="1"/>
    <row r="70" spans="1:4" hidden="1"/>
    <row r="71" spans="1:4">
      <c r="A71" s="17" t="s">
        <v>35</v>
      </c>
      <c r="B71" s="17"/>
      <c r="C71" s="18"/>
      <c r="D71" s="110">
        <v>0</v>
      </c>
    </row>
    <row r="72" spans="1:4" ht="15.75" thickBot="1"/>
    <row r="73" spans="1:4" ht="15.75" thickBot="1">
      <c r="A73" s="2" t="s">
        <v>36</v>
      </c>
      <c r="B73" s="8"/>
      <c r="C73" s="3"/>
      <c r="D73" s="48">
        <f>D68+D71</f>
        <v>0</v>
      </c>
    </row>
    <row r="74" spans="1:4" ht="15.75" thickBot="1"/>
    <row r="75" spans="1:4" ht="15.75" thickBot="1">
      <c r="A75" s="68" t="s">
        <v>26</v>
      </c>
      <c r="B75" s="69">
        <f>D61</f>
        <v>1800000</v>
      </c>
      <c r="C75" s="35"/>
    </row>
    <row r="76" spans="1:4" ht="15.75" thickBot="1">
      <c r="A76" s="68" t="s">
        <v>27</v>
      </c>
      <c r="B76" s="69">
        <f>D61-D59</f>
        <v>859687.59</v>
      </c>
    </row>
    <row r="77" spans="1:4" ht="15.75" thickBot="1">
      <c r="A77" s="68" t="s">
        <v>37</v>
      </c>
      <c r="B77" s="69">
        <f>D73-D71</f>
        <v>0</v>
      </c>
    </row>
    <row r="78" spans="1:4" ht="15.75" thickBot="1">
      <c r="A78" s="68" t="s">
        <v>52</v>
      </c>
      <c r="B78" s="69">
        <f>D73</f>
        <v>0</v>
      </c>
    </row>
    <row r="82" spans="1:12" ht="15.75" thickBot="1">
      <c r="A82" s="13" t="s">
        <v>47</v>
      </c>
      <c r="B82" s="127"/>
    </row>
    <row r="83" spans="1:12" ht="25.5" customHeight="1" thickBot="1">
      <c r="A83" s="20" t="s">
        <v>28</v>
      </c>
      <c r="B83" s="145">
        <v>-169461</v>
      </c>
    </row>
    <row r="84" spans="1:12" ht="14.25" customHeight="1">
      <c r="A84" s="14" t="s">
        <v>55</v>
      </c>
      <c r="B84" s="32">
        <f>PRORRATEO!H27</f>
        <v>1303676</v>
      </c>
    </row>
    <row r="85" spans="1:12" ht="14.25" customHeight="1">
      <c r="A85" s="14" t="s">
        <v>54</v>
      </c>
      <c r="B85" s="79">
        <f>B95</f>
        <v>0</v>
      </c>
    </row>
    <row r="86" spans="1:12" ht="13.9" customHeight="1">
      <c r="A86" s="15" t="s">
        <v>63</v>
      </c>
      <c r="B86" s="105"/>
    </row>
    <row r="87" spans="1:12">
      <c r="A87" s="31" t="s">
        <v>38</v>
      </c>
      <c r="B87" s="105">
        <f>-B76</f>
        <v>-859687.59</v>
      </c>
    </row>
    <row r="88" spans="1:12">
      <c r="A88" s="15" t="s">
        <v>39</v>
      </c>
      <c r="B88" s="79">
        <f>-(B77)</f>
        <v>0</v>
      </c>
    </row>
    <row r="89" spans="1:12">
      <c r="A89" s="19" t="s">
        <v>11</v>
      </c>
      <c r="B89" s="146">
        <f>SUM(B83:B88)</f>
        <v>274527.41000000003</v>
      </c>
    </row>
    <row r="90" spans="1:12" ht="34.5" customHeight="1">
      <c r="B90" s="33"/>
      <c r="C90" s="35"/>
    </row>
    <row r="91" spans="1:12">
      <c r="A91" s="129" t="s">
        <v>46</v>
      </c>
      <c r="B91" s="129"/>
    </row>
    <row r="92" spans="1:12" ht="27.75" customHeight="1">
      <c r="A92" s="129"/>
      <c r="B92" s="129"/>
    </row>
    <row r="93" spans="1:12" ht="32.25" customHeight="1">
      <c r="A93" s="91"/>
      <c r="B93" s="26"/>
    </row>
    <row r="94" spans="1:12" ht="32.25" customHeight="1">
      <c r="A94" s="91"/>
      <c r="B94" s="26"/>
    </row>
    <row r="95" spans="1:12">
      <c r="A95" s="36" t="s">
        <v>11</v>
      </c>
      <c r="B95" s="92">
        <f>SUM(B93:B94)</f>
        <v>0</v>
      </c>
    </row>
    <row r="96" spans="1:12">
      <c r="L96" s="6"/>
    </row>
  </sheetData>
  <mergeCells count="9">
    <mergeCell ref="B9:B11"/>
    <mergeCell ref="A36:B36"/>
    <mergeCell ref="A4:B7"/>
    <mergeCell ref="A37:B37"/>
    <mergeCell ref="A14:D17"/>
    <mergeCell ref="A91:B92"/>
    <mergeCell ref="A66:B66"/>
    <mergeCell ref="A65:B65"/>
    <mergeCell ref="A59:C59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5"/>
  <sheetViews>
    <sheetView tabSelected="1" topLeftCell="B1" zoomScaleNormal="100" workbookViewId="0">
      <selection activeCell="K24" sqref="A16:K24"/>
    </sheetView>
  </sheetViews>
  <sheetFormatPr baseColWidth="10" defaultRowHeight="15"/>
  <cols>
    <col min="1" max="1" width="5" hidden="1" customWidth="1"/>
    <col min="2" max="2" width="5.5703125" customWidth="1"/>
    <col min="3" max="3" width="4.28515625" customWidth="1"/>
    <col min="4" max="4" width="18.42578125" customWidth="1"/>
    <col min="5" max="5" width="9.140625" bestFit="1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0.42578125" bestFit="1" customWidth="1"/>
    <col min="15" max="15" width="15.28515625" customWidth="1"/>
    <col min="16" max="16" width="14.140625" customWidth="1"/>
    <col min="17" max="17" width="7.42578125" bestFit="1" customWidth="1"/>
    <col min="18" max="18" width="12" bestFit="1" customWidth="1"/>
    <col min="19" max="20" width="14.5703125" bestFit="1" customWidth="1"/>
    <col min="21" max="21" width="13" bestFit="1" customWidth="1"/>
  </cols>
  <sheetData>
    <row r="1" spans="1:21" ht="12.95" customHeight="1">
      <c r="A1" s="148"/>
      <c r="B1" s="149" t="str">
        <f>RESUMEN!A4</f>
        <v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1" s="149"/>
      <c r="D1" s="149"/>
      <c r="E1" s="149"/>
      <c r="F1" s="149"/>
      <c r="G1" s="149"/>
      <c r="H1" s="149"/>
      <c r="I1" s="149"/>
      <c r="J1" s="149"/>
      <c r="K1" s="149"/>
      <c r="L1" s="150"/>
      <c r="M1" s="150"/>
      <c r="N1" s="150"/>
      <c r="O1" s="150"/>
      <c r="P1" s="151"/>
    </row>
    <row r="2" spans="1:21" ht="33.75" customHeight="1">
      <c r="A2" s="152"/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53"/>
      <c r="M2" s="153" t="s">
        <v>4</v>
      </c>
      <c r="N2" s="154"/>
      <c r="O2" s="178">
        <v>1800000</v>
      </c>
      <c r="P2" s="155"/>
      <c r="Q2" s="12"/>
    </row>
    <row r="3" spans="1:21" ht="46.5" customHeight="1" thickBot="1">
      <c r="A3" s="156"/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57"/>
      <c r="M3" s="157" t="s">
        <v>56</v>
      </c>
      <c r="N3" s="158"/>
      <c r="O3" s="179"/>
      <c r="P3" s="159"/>
    </row>
    <row r="4" spans="1:21" ht="30.6" customHeight="1" thickBot="1">
      <c r="A4" s="5"/>
      <c r="B4" s="164" t="s">
        <v>108</v>
      </c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  <c r="O4" s="165"/>
      <c r="P4" s="160"/>
    </row>
    <row r="5" spans="1:21" ht="30.6" customHeight="1">
      <c r="A5" s="5"/>
      <c r="B5" s="169" t="s">
        <v>117</v>
      </c>
      <c r="C5" s="170"/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1"/>
    </row>
    <row r="6" spans="1:21" ht="30.6" customHeight="1">
      <c r="A6" s="5"/>
      <c r="B6" s="172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4"/>
    </row>
    <row r="7" spans="1:21" ht="155.25" customHeight="1" thickBot="1">
      <c r="A7" s="5"/>
      <c r="B7" s="175"/>
      <c r="C7" s="176"/>
      <c r="D7" s="176"/>
      <c r="E7" s="176"/>
      <c r="F7" s="176"/>
      <c r="G7" s="176"/>
      <c r="H7" s="176"/>
      <c r="I7" s="176"/>
      <c r="J7" s="176"/>
      <c r="K7" s="176"/>
      <c r="L7" s="176"/>
      <c r="M7" s="176"/>
      <c r="N7" s="176"/>
      <c r="O7" s="176"/>
      <c r="P7" s="177"/>
    </row>
    <row r="8" spans="1:21">
      <c r="A8" s="133" t="s">
        <v>5</v>
      </c>
      <c r="B8" s="135" t="s">
        <v>6</v>
      </c>
      <c r="C8" s="136" t="s">
        <v>7</v>
      </c>
      <c r="D8" s="136" t="s">
        <v>8</v>
      </c>
      <c r="E8" s="136" t="s">
        <v>42</v>
      </c>
      <c r="F8" s="136" t="s">
        <v>23</v>
      </c>
      <c r="G8" s="136" t="s">
        <v>53</v>
      </c>
      <c r="H8" s="136" t="s">
        <v>9</v>
      </c>
      <c r="I8" s="136" t="s">
        <v>43</v>
      </c>
      <c r="J8" s="166" t="s">
        <v>44</v>
      </c>
      <c r="K8" s="142" t="s">
        <v>41</v>
      </c>
      <c r="L8" s="142" t="s">
        <v>10</v>
      </c>
      <c r="M8" s="142" t="s">
        <v>40</v>
      </c>
      <c r="N8" s="167" t="s">
        <v>51</v>
      </c>
      <c r="O8" s="117" t="s">
        <v>50</v>
      </c>
      <c r="P8" s="138" t="s">
        <v>49</v>
      </c>
      <c r="S8" s="35"/>
      <c r="T8" s="33"/>
    </row>
    <row r="9" spans="1:21" ht="15.75" customHeight="1">
      <c r="A9" s="134"/>
      <c r="B9" s="135"/>
      <c r="C9" s="136"/>
      <c r="D9" s="136"/>
      <c r="E9" s="139"/>
      <c r="F9" s="136"/>
      <c r="G9" s="136"/>
      <c r="H9" s="136"/>
      <c r="I9" s="139"/>
      <c r="J9" s="141"/>
      <c r="K9" s="140"/>
      <c r="L9" s="142"/>
      <c r="M9" s="140"/>
      <c r="N9" s="143"/>
      <c r="O9" s="43" t="str">
        <f>RESUMEN!B9</f>
        <v>VTO 15/01</v>
      </c>
      <c r="P9" s="138"/>
      <c r="S9" s="33">
        <v>65160</v>
      </c>
      <c r="T9" s="33">
        <v>157470</v>
      </c>
      <c r="U9" s="35">
        <f>T9+S9</f>
        <v>222630</v>
      </c>
    </row>
    <row r="10" spans="1:21" ht="17.100000000000001" customHeight="1">
      <c r="A10" s="4" t="s">
        <v>12</v>
      </c>
      <c r="B10" s="45">
        <v>1</v>
      </c>
      <c r="C10" s="45" t="s">
        <v>73</v>
      </c>
      <c r="D10" s="45" t="s">
        <v>89</v>
      </c>
      <c r="E10" s="45"/>
      <c r="F10" s="49">
        <v>10.86</v>
      </c>
      <c r="G10" s="50">
        <v>2720114.01</v>
      </c>
      <c r="H10" s="51"/>
      <c r="I10" s="52"/>
      <c r="J10" s="53">
        <f>G10-H10</f>
        <v>2720114.01</v>
      </c>
      <c r="K10" s="53">
        <f>IF(J10&gt;0,J10*3%,0)</f>
        <v>81603.420299999983</v>
      </c>
      <c r="L10" s="54">
        <f>O$3*F10%</f>
        <v>0</v>
      </c>
      <c r="M10" s="54">
        <f>O$2*F10%</f>
        <v>195479.99999999997</v>
      </c>
      <c r="N10" s="55">
        <v>0</v>
      </c>
      <c r="O10" s="56">
        <f>ROUND(SUM(J10:N10),0) + Q10</f>
        <v>2997197.01</v>
      </c>
      <c r="P10" s="57">
        <f t="shared" ref="P10:P26" si="0">ROUND(O10*3%,0) + O10</f>
        <v>3087113.01</v>
      </c>
      <c r="Q10" s="35">
        <v>0.01</v>
      </c>
      <c r="S10" s="33">
        <v>66960</v>
      </c>
      <c r="T10" s="33">
        <v>161820</v>
      </c>
      <c r="U10" s="35">
        <f t="shared" ref="U10:U24" si="1">T10+S10</f>
        <v>228780</v>
      </c>
    </row>
    <row r="11" spans="1:21" ht="17.100000000000001" customHeight="1">
      <c r="A11" s="4" t="s">
        <v>13</v>
      </c>
      <c r="B11" s="45">
        <v>2</v>
      </c>
      <c r="C11" s="45" t="s">
        <v>74</v>
      </c>
      <c r="D11" s="45" t="s">
        <v>90</v>
      </c>
      <c r="E11" s="46"/>
      <c r="F11" s="49">
        <v>11.16</v>
      </c>
      <c r="G11" s="50">
        <v>228780</v>
      </c>
      <c r="H11" s="162">
        <f>240131-H21</f>
        <v>228446</v>
      </c>
      <c r="I11" s="52"/>
      <c r="J11" s="53">
        <f t="shared" ref="J11:J25" si="2">G11-H11</f>
        <v>334</v>
      </c>
      <c r="K11" s="53">
        <f t="shared" ref="K11:K25" si="3">IF(J11&gt;0,J11*3%,0)</f>
        <v>10.02</v>
      </c>
      <c r="L11" s="54">
        <f t="shared" ref="L11:L26" si="4">O$3*F11%</f>
        <v>0</v>
      </c>
      <c r="M11" s="54">
        <f t="shared" ref="M11:M26" si="5">O$2*F11%</f>
        <v>200880</v>
      </c>
      <c r="N11" s="55">
        <v>0</v>
      </c>
      <c r="O11" s="56">
        <f>ROUND(SUM(J11:N11),0) + Q11</f>
        <v>201224.02</v>
      </c>
      <c r="P11" s="57">
        <f t="shared" si="0"/>
        <v>207261.02</v>
      </c>
      <c r="Q11" s="35">
        <f>Q10+0.01</f>
        <v>0.02</v>
      </c>
      <c r="R11" s="35"/>
      <c r="S11" s="33">
        <v>41700</v>
      </c>
      <c r="T11" s="33">
        <v>100775</v>
      </c>
      <c r="U11" s="35">
        <f t="shared" si="1"/>
        <v>142475</v>
      </c>
    </row>
    <row r="12" spans="1:21" ht="17.100000000000001" customHeight="1">
      <c r="A12" s="4" t="s">
        <v>13</v>
      </c>
      <c r="B12" s="104">
        <v>4</v>
      </c>
      <c r="C12" s="104" t="s">
        <v>75</v>
      </c>
      <c r="D12" s="119" t="s">
        <v>91</v>
      </c>
      <c r="E12" s="120"/>
      <c r="F12" s="121">
        <v>6.95</v>
      </c>
      <c r="G12" s="51">
        <v>142475</v>
      </c>
      <c r="H12" s="162">
        <f>74400+50775</f>
        <v>125175</v>
      </c>
      <c r="I12" s="52"/>
      <c r="J12" s="122">
        <f t="shared" si="2"/>
        <v>17300</v>
      </c>
      <c r="K12" s="53">
        <f t="shared" si="3"/>
        <v>519</v>
      </c>
      <c r="L12" s="123">
        <f t="shared" si="4"/>
        <v>0</v>
      </c>
      <c r="M12" s="123">
        <f t="shared" si="5"/>
        <v>125100.00000000001</v>
      </c>
      <c r="N12" s="124">
        <v>0</v>
      </c>
      <c r="O12" s="125">
        <f t="shared" ref="O12:O26" si="6">ROUND(SUM(J12:N12),0) + Q12</f>
        <v>142919.03</v>
      </c>
      <c r="P12" s="126">
        <f t="shared" si="0"/>
        <v>147207.03</v>
      </c>
      <c r="Q12" s="35">
        <f t="shared" ref="Q12:Q25" si="7">Q11+0.01</f>
        <v>0.03</v>
      </c>
      <c r="S12" s="33">
        <v>44220</v>
      </c>
      <c r="T12" s="33">
        <v>106865</v>
      </c>
      <c r="U12" s="35">
        <f t="shared" si="1"/>
        <v>151085</v>
      </c>
    </row>
    <row r="13" spans="1:21" ht="17.100000000000001" customHeight="1">
      <c r="A13" s="4" t="s">
        <v>14</v>
      </c>
      <c r="B13" s="45">
        <v>3</v>
      </c>
      <c r="C13" s="45" t="s">
        <v>76</v>
      </c>
      <c r="D13" s="45" t="s">
        <v>92</v>
      </c>
      <c r="E13" s="46"/>
      <c r="F13" s="49">
        <v>7.37</v>
      </c>
      <c r="G13" s="50">
        <v>151085</v>
      </c>
      <c r="H13" s="162"/>
      <c r="I13" s="52"/>
      <c r="J13" s="53">
        <f t="shared" si="2"/>
        <v>151085</v>
      </c>
      <c r="K13" s="53">
        <f t="shared" si="3"/>
        <v>4532.55</v>
      </c>
      <c r="L13" s="54">
        <f t="shared" si="4"/>
        <v>0</v>
      </c>
      <c r="M13" s="54">
        <f t="shared" si="5"/>
        <v>132660</v>
      </c>
      <c r="N13" s="55">
        <v>0</v>
      </c>
      <c r="O13" s="56">
        <f t="shared" si="6"/>
        <v>288278.03999999998</v>
      </c>
      <c r="P13" s="57">
        <f t="shared" si="0"/>
        <v>296926.03999999998</v>
      </c>
      <c r="Q13" s="35">
        <f t="shared" si="7"/>
        <v>0.04</v>
      </c>
      <c r="S13" s="33">
        <v>64080</v>
      </c>
      <c r="T13" s="33">
        <v>154860</v>
      </c>
      <c r="U13" s="35">
        <f t="shared" si="1"/>
        <v>218940</v>
      </c>
    </row>
    <row r="14" spans="1:21" ht="17.100000000000001" customHeight="1">
      <c r="A14" s="4" t="s">
        <v>14</v>
      </c>
      <c r="B14" s="45">
        <v>5</v>
      </c>
      <c r="C14" s="45" t="s">
        <v>77</v>
      </c>
      <c r="D14" s="45" t="s">
        <v>93</v>
      </c>
      <c r="E14" s="46" t="s">
        <v>114</v>
      </c>
      <c r="F14" s="49">
        <v>10.68</v>
      </c>
      <c r="G14" s="50">
        <v>218940</v>
      </c>
      <c r="H14" s="162">
        <f>G14</f>
        <v>218940</v>
      </c>
      <c r="I14" s="52"/>
      <c r="J14" s="53">
        <f t="shared" si="2"/>
        <v>0</v>
      </c>
      <c r="K14" s="53">
        <f t="shared" si="3"/>
        <v>0</v>
      </c>
      <c r="L14" s="54">
        <f t="shared" si="4"/>
        <v>0</v>
      </c>
      <c r="M14" s="54">
        <f t="shared" si="5"/>
        <v>192240</v>
      </c>
      <c r="N14" s="55">
        <v>0</v>
      </c>
      <c r="O14" s="56">
        <f t="shared" si="6"/>
        <v>192240.05</v>
      </c>
      <c r="P14" s="57">
        <f t="shared" si="0"/>
        <v>198007.05</v>
      </c>
      <c r="Q14" s="35">
        <f t="shared" si="7"/>
        <v>0.05</v>
      </c>
      <c r="S14" s="33">
        <v>41700</v>
      </c>
      <c r="T14" s="33">
        <v>100775</v>
      </c>
      <c r="U14" s="35">
        <f t="shared" si="1"/>
        <v>142475</v>
      </c>
    </row>
    <row r="15" spans="1:21" ht="17.100000000000001" customHeight="1">
      <c r="A15" s="4" t="s">
        <v>15</v>
      </c>
      <c r="B15" s="45">
        <v>7</v>
      </c>
      <c r="C15" s="45" t="s">
        <v>78</v>
      </c>
      <c r="D15" s="45" t="s">
        <v>94</v>
      </c>
      <c r="E15" s="45"/>
      <c r="F15" s="49">
        <v>6.95</v>
      </c>
      <c r="G15" s="50">
        <v>142475</v>
      </c>
      <c r="H15" s="162">
        <f>154980-H25</f>
        <v>142475</v>
      </c>
      <c r="I15" s="52"/>
      <c r="J15" s="53">
        <f t="shared" si="2"/>
        <v>0</v>
      </c>
      <c r="K15" s="53">
        <f t="shared" si="3"/>
        <v>0</v>
      </c>
      <c r="L15" s="54">
        <f t="shared" si="4"/>
        <v>0</v>
      </c>
      <c r="M15" s="54">
        <f t="shared" si="5"/>
        <v>125100.00000000001</v>
      </c>
      <c r="N15" s="55">
        <v>0</v>
      </c>
      <c r="O15" s="56">
        <f t="shared" si="6"/>
        <v>125100.06</v>
      </c>
      <c r="P15" s="57">
        <f t="shared" si="0"/>
        <v>128853.06</v>
      </c>
      <c r="Q15" s="35">
        <f t="shared" si="7"/>
        <v>6.0000000000000005E-2</v>
      </c>
      <c r="S15" s="33">
        <v>41340</v>
      </c>
      <c r="T15" s="33">
        <v>99905</v>
      </c>
      <c r="U15" s="35">
        <f t="shared" si="1"/>
        <v>141245</v>
      </c>
    </row>
    <row r="16" spans="1:21" ht="17.100000000000001" customHeight="1">
      <c r="A16" s="4" t="s">
        <v>15</v>
      </c>
      <c r="B16" s="45">
        <v>6</v>
      </c>
      <c r="C16" s="104" t="s">
        <v>79</v>
      </c>
      <c r="D16" s="104" t="s">
        <v>95</v>
      </c>
      <c r="E16" s="45" t="s">
        <v>115</v>
      </c>
      <c r="F16" s="49">
        <v>6.89</v>
      </c>
      <c r="G16" s="50">
        <v>141245</v>
      </c>
      <c r="H16" s="162">
        <f>G16</f>
        <v>141245</v>
      </c>
      <c r="I16" s="52"/>
      <c r="J16" s="53">
        <f t="shared" si="2"/>
        <v>0</v>
      </c>
      <c r="K16" s="53">
        <f t="shared" si="3"/>
        <v>0</v>
      </c>
      <c r="L16" s="54">
        <f t="shared" si="4"/>
        <v>0</v>
      </c>
      <c r="M16" s="54">
        <f t="shared" si="5"/>
        <v>124020</v>
      </c>
      <c r="N16" s="55">
        <v>0</v>
      </c>
      <c r="O16" s="56">
        <f t="shared" si="6"/>
        <v>124020.07</v>
      </c>
      <c r="P16" s="57">
        <f t="shared" si="0"/>
        <v>127741.07</v>
      </c>
      <c r="Q16" s="35">
        <f t="shared" si="7"/>
        <v>7.0000000000000007E-2</v>
      </c>
      <c r="R16" s="102"/>
      <c r="S16" s="163">
        <v>64080</v>
      </c>
      <c r="T16" s="33">
        <v>154860</v>
      </c>
      <c r="U16" s="35">
        <f t="shared" si="1"/>
        <v>218940</v>
      </c>
    </row>
    <row r="17" spans="1:21" ht="17.100000000000001" customHeight="1">
      <c r="A17" s="4" t="s">
        <v>16</v>
      </c>
      <c r="B17" s="45">
        <v>8</v>
      </c>
      <c r="C17" s="45" t="s">
        <v>80</v>
      </c>
      <c r="D17" s="45" t="s">
        <v>95</v>
      </c>
      <c r="E17" s="161" t="s">
        <v>113</v>
      </c>
      <c r="F17" s="49">
        <v>10.68</v>
      </c>
      <c r="G17" s="50">
        <v>218940</v>
      </c>
      <c r="H17" s="162">
        <f>G17</f>
        <v>218940</v>
      </c>
      <c r="I17" s="52"/>
      <c r="J17" s="53">
        <f t="shared" si="2"/>
        <v>0</v>
      </c>
      <c r="K17" s="53">
        <f t="shared" si="3"/>
        <v>0</v>
      </c>
      <c r="L17" s="54">
        <f t="shared" si="4"/>
        <v>0</v>
      </c>
      <c r="M17" s="54">
        <f t="shared" si="5"/>
        <v>192240</v>
      </c>
      <c r="N17" s="55">
        <v>0</v>
      </c>
      <c r="O17" s="56">
        <f t="shared" si="6"/>
        <v>192240.08</v>
      </c>
      <c r="P17" s="57">
        <f t="shared" si="0"/>
        <v>198007.08</v>
      </c>
      <c r="Q17" s="35">
        <f t="shared" si="7"/>
        <v>0.08</v>
      </c>
      <c r="S17" s="33">
        <v>41700</v>
      </c>
      <c r="T17" s="33">
        <v>100775</v>
      </c>
      <c r="U17" s="35">
        <f t="shared" si="1"/>
        <v>142475</v>
      </c>
    </row>
    <row r="18" spans="1:21" ht="17.100000000000001" customHeight="1">
      <c r="A18" s="4" t="s">
        <v>16</v>
      </c>
      <c r="B18" s="104">
        <v>10</v>
      </c>
      <c r="C18" s="104" t="s">
        <v>81</v>
      </c>
      <c r="D18" s="104" t="s">
        <v>96</v>
      </c>
      <c r="E18" s="120"/>
      <c r="F18" s="121">
        <v>6.95</v>
      </c>
      <c r="G18" s="51">
        <v>142475</v>
      </c>
      <c r="H18" s="168">
        <f>41700</f>
        <v>41700</v>
      </c>
      <c r="I18" s="52"/>
      <c r="J18" s="122">
        <f t="shared" si="2"/>
        <v>100775</v>
      </c>
      <c r="K18" s="122">
        <f t="shared" si="3"/>
        <v>3023.25</v>
      </c>
      <c r="L18" s="123">
        <f t="shared" si="4"/>
        <v>0</v>
      </c>
      <c r="M18" s="123">
        <f t="shared" si="5"/>
        <v>125100.00000000001</v>
      </c>
      <c r="N18" s="124">
        <v>0</v>
      </c>
      <c r="O18" s="125">
        <f t="shared" si="6"/>
        <v>228898.09</v>
      </c>
      <c r="P18" s="126">
        <f t="shared" si="0"/>
        <v>235765.09</v>
      </c>
      <c r="Q18" s="35">
        <f t="shared" si="7"/>
        <v>0.09</v>
      </c>
      <c r="S18" s="33">
        <v>41340</v>
      </c>
      <c r="T18" s="33">
        <v>99905</v>
      </c>
      <c r="U18" s="35">
        <f t="shared" si="1"/>
        <v>141245</v>
      </c>
    </row>
    <row r="19" spans="1:21" ht="17.100000000000001" customHeight="1">
      <c r="A19" s="4" t="s">
        <v>17</v>
      </c>
      <c r="B19" s="45">
        <v>9</v>
      </c>
      <c r="C19" s="45" t="s">
        <v>82</v>
      </c>
      <c r="D19" s="45" t="s">
        <v>97</v>
      </c>
      <c r="E19" s="46" t="s">
        <v>112</v>
      </c>
      <c r="F19" s="49">
        <v>6.89</v>
      </c>
      <c r="G19" s="50">
        <v>141245</v>
      </c>
      <c r="H19" s="162">
        <f>G19</f>
        <v>141245</v>
      </c>
      <c r="I19" s="52"/>
      <c r="J19" s="53">
        <f t="shared" si="2"/>
        <v>0</v>
      </c>
      <c r="K19" s="53">
        <f t="shared" si="3"/>
        <v>0</v>
      </c>
      <c r="L19" s="54">
        <f t="shared" si="4"/>
        <v>0</v>
      </c>
      <c r="M19" s="54">
        <f t="shared" si="5"/>
        <v>124020</v>
      </c>
      <c r="N19" s="55">
        <v>0</v>
      </c>
      <c r="O19" s="56">
        <f t="shared" si="6"/>
        <v>124020.1</v>
      </c>
      <c r="P19" s="57">
        <f t="shared" si="0"/>
        <v>127741.1</v>
      </c>
      <c r="Q19" s="35">
        <f t="shared" si="7"/>
        <v>9.9999999999999992E-2</v>
      </c>
      <c r="S19" s="33">
        <v>71280</v>
      </c>
      <c r="T19" s="33">
        <v>172260</v>
      </c>
      <c r="U19" s="35">
        <f t="shared" si="1"/>
        <v>243540</v>
      </c>
    </row>
    <row r="20" spans="1:21" ht="17.100000000000001" customHeight="1">
      <c r="A20" s="4" t="s">
        <v>17</v>
      </c>
      <c r="B20" s="45">
        <v>11</v>
      </c>
      <c r="C20" s="45" t="s">
        <v>83</v>
      </c>
      <c r="D20" s="45" t="s">
        <v>98</v>
      </c>
      <c r="E20" s="46"/>
      <c r="F20" s="49">
        <v>11.88</v>
      </c>
      <c r="G20" s="50">
        <v>243540</v>
      </c>
      <c r="H20" s="162"/>
      <c r="I20" s="52"/>
      <c r="J20" s="53">
        <f t="shared" si="2"/>
        <v>243540</v>
      </c>
      <c r="K20" s="53">
        <f t="shared" si="3"/>
        <v>7306.2</v>
      </c>
      <c r="L20" s="54">
        <f t="shared" si="4"/>
        <v>0</v>
      </c>
      <c r="M20" s="54">
        <f t="shared" si="5"/>
        <v>213840</v>
      </c>
      <c r="N20" s="55">
        <v>0</v>
      </c>
      <c r="O20" s="56">
        <f t="shared" si="6"/>
        <v>464686.11</v>
      </c>
      <c r="P20" s="57">
        <f t="shared" si="0"/>
        <v>478627.11</v>
      </c>
      <c r="Q20" s="35">
        <f t="shared" si="7"/>
        <v>0.10999999999999999</v>
      </c>
      <c r="S20" s="33">
        <v>3420</v>
      </c>
      <c r="T20" s="33">
        <v>8265</v>
      </c>
      <c r="U20" s="35">
        <f t="shared" si="1"/>
        <v>11685</v>
      </c>
    </row>
    <row r="21" spans="1:21" ht="17.100000000000001" customHeight="1">
      <c r="A21" s="4" t="s">
        <v>18</v>
      </c>
      <c r="B21" s="45" t="s">
        <v>72</v>
      </c>
      <c r="C21" s="45" t="s">
        <v>84</v>
      </c>
      <c r="D21" s="45" t="s">
        <v>90</v>
      </c>
      <c r="E21" s="46"/>
      <c r="F21" s="49">
        <v>0.56999999999999995</v>
      </c>
      <c r="G21" s="50">
        <v>11685</v>
      </c>
      <c r="H21" s="162">
        <f>G21</f>
        <v>11685</v>
      </c>
      <c r="I21" s="52"/>
      <c r="J21" s="53">
        <f t="shared" si="2"/>
        <v>0</v>
      </c>
      <c r="K21" s="53">
        <f t="shared" si="3"/>
        <v>0</v>
      </c>
      <c r="L21" s="54">
        <f t="shared" si="4"/>
        <v>0</v>
      </c>
      <c r="M21" s="54">
        <f t="shared" si="5"/>
        <v>10259.999999999998</v>
      </c>
      <c r="N21" s="55">
        <v>0</v>
      </c>
      <c r="O21" s="56">
        <f t="shared" si="6"/>
        <v>10260.120000000001</v>
      </c>
      <c r="P21" s="57">
        <f t="shared" si="0"/>
        <v>10568.12</v>
      </c>
      <c r="Q21" s="35">
        <f t="shared" si="7"/>
        <v>0.11999999999999998</v>
      </c>
      <c r="S21" s="33">
        <v>3120</v>
      </c>
      <c r="T21" s="33">
        <v>7540</v>
      </c>
      <c r="U21" s="35">
        <f t="shared" si="1"/>
        <v>10660</v>
      </c>
    </row>
    <row r="22" spans="1:21" ht="17.100000000000001" customHeight="1">
      <c r="A22" s="4" t="s">
        <v>18</v>
      </c>
      <c r="B22" s="45" t="s">
        <v>72</v>
      </c>
      <c r="C22" s="45" t="s">
        <v>85</v>
      </c>
      <c r="D22" s="45" t="s">
        <v>99</v>
      </c>
      <c r="E22" s="46"/>
      <c r="F22" s="49">
        <v>0.52</v>
      </c>
      <c r="G22" s="50">
        <v>10660</v>
      </c>
      <c r="H22" s="162">
        <f>G22</f>
        <v>10660</v>
      </c>
      <c r="I22" s="52"/>
      <c r="J22" s="53">
        <f t="shared" si="2"/>
        <v>0</v>
      </c>
      <c r="K22" s="53">
        <f t="shared" si="3"/>
        <v>0</v>
      </c>
      <c r="L22" s="54">
        <f t="shared" si="4"/>
        <v>0</v>
      </c>
      <c r="M22" s="54">
        <f t="shared" si="5"/>
        <v>9360</v>
      </c>
      <c r="N22" s="55">
        <v>0</v>
      </c>
      <c r="O22" s="56">
        <f t="shared" si="6"/>
        <v>9360.1299999999992</v>
      </c>
      <c r="P22" s="57">
        <f t="shared" si="0"/>
        <v>9641.1299999999992</v>
      </c>
      <c r="Q22" s="35">
        <f t="shared" si="7"/>
        <v>0.12999999999999998</v>
      </c>
      <c r="S22" s="33">
        <v>3120</v>
      </c>
      <c r="T22" s="33">
        <v>7540</v>
      </c>
      <c r="U22" s="35">
        <f t="shared" si="1"/>
        <v>10660</v>
      </c>
    </row>
    <row r="23" spans="1:21" ht="17.100000000000001" customHeight="1">
      <c r="A23" s="4" t="s">
        <v>19</v>
      </c>
      <c r="B23" s="45" t="s">
        <v>72</v>
      </c>
      <c r="C23" s="45" t="s">
        <v>86</v>
      </c>
      <c r="D23" s="45" t="s">
        <v>99</v>
      </c>
      <c r="E23" s="46"/>
      <c r="F23" s="49">
        <v>0.52</v>
      </c>
      <c r="G23" s="50">
        <v>10660</v>
      </c>
      <c r="H23" s="162">
        <f>G23</f>
        <v>10660</v>
      </c>
      <c r="I23" s="52"/>
      <c r="J23" s="53">
        <f t="shared" si="2"/>
        <v>0</v>
      </c>
      <c r="K23" s="53">
        <f t="shared" si="3"/>
        <v>0</v>
      </c>
      <c r="L23" s="54">
        <f t="shared" si="4"/>
        <v>0</v>
      </c>
      <c r="M23" s="54">
        <f t="shared" si="5"/>
        <v>9360</v>
      </c>
      <c r="N23" s="55">
        <v>0</v>
      </c>
      <c r="O23" s="56">
        <f t="shared" si="6"/>
        <v>9360.14</v>
      </c>
      <c r="P23" s="57">
        <f t="shared" si="0"/>
        <v>9641.14</v>
      </c>
      <c r="Q23" s="35">
        <f t="shared" si="7"/>
        <v>0.13999999999999999</v>
      </c>
      <c r="S23" s="33">
        <v>3120</v>
      </c>
      <c r="T23" s="33">
        <v>7540</v>
      </c>
      <c r="U23" s="35">
        <f t="shared" si="1"/>
        <v>10660</v>
      </c>
    </row>
    <row r="24" spans="1:21" ht="17.100000000000001" customHeight="1">
      <c r="A24" s="4" t="s">
        <v>19</v>
      </c>
      <c r="B24" s="45" t="s">
        <v>72</v>
      </c>
      <c r="C24" s="45" t="s">
        <v>87</v>
      </c>
      <c r="D24" s="45" t="s">
        <v>98</v>
      </c>
      <c r="E24" s="46"/>
      <c r="F24" s="49">
        <v>0.52</v>
      </c>
      <c r="G24" s="50">
        <v>10660</v>
      </c>
      <c r="H24" s="162"/>
      <c r="I24" s="52"/>
      <c r="J24" s="53">
        <f t="shared" si="2"/>
        <v>10660</v>
      </c>
      <c r="K24" s="53">
        <f t="shared" si="3"/>
        <v>319.8</v>
      </c>
      <c r="L24" s="54">
        <f t="shared" si="4"/>
        <v>0</v>
      </c>
      <c r="M24" s="54">
        <f t="shared" si="5"/>
        <v>9360</v>
      </c>
      <c r="N24" s="55">
        <v>0</v>
      </c>
      <c r="O24" s="56">
        <f t="shared" si="6"/>
        <v>20340.150000000001</v>
      </c>
      <c r="P24" s="57">
        <f t="shared" si="0"/>
        <v>20950.150000000001</v>
      </c>
      <c r="Q24" s="35">
        <f t="shared" si="7"/>
        <v>0.15</v>
      </c>
      <c r="S24" s="33">
        <v>3660</v>
      </c>
      <c r="T24" s="33">
        <v>8845</v>
      </c>
      <c r="U24" s="35">
        <f t="shared" si="1"/>
        <v>12505</v>
      </c>
    </row>
    <row r="25" spans="1:21" ht="17.100000000000001" customHeight="1" thickBot="1">
      <c r="A25" s="4" t="s">
        <v>20</v>
      </c>
      <c r="B25" s="45" t="s">
        <v>72</v>
      </c>
      <c r="C25" s="45" t="s">
        <v>88</v>
      </c>
      <c r="D25" s="45" t="s">
        <v>94</v>
      </c>
      <c r="E25" s="45"/>
      <c r="F25" s="49">
        <v>0.61</v>
      </c>
      <c r="G25" s="50">
        <v>12505</v>
      </c>
      <c r="H25" s="162">
        <f>G25</f>
        <v>12505</v>
      </c>
      <c r="I25" s="52"/>
      <c r="J25" s="53">
        <f t="shared" si="2"/>
        <v>0</v>
      </c>
      <c r="K25" s="53">
        <f t="shared" si="3"/>
        <v>0</v>
      </c>
      <c r="L25" s="54">
        <f t="shared" si="4"/>
        <v>0</v>
      </c>
      <c r="M25" s="54">
        <f t="shared" si="5"/>
        <v>10980</v>
      </c>
      <c r="N25" s="55">
        <v>0</v>
      </c>
      <c r="O25" s="56">
        <f t="shared" si="6"/>
        <v>10980.16</v>
      </c>
      <c r="P25" s="57">
        <f t="shared" si="0"/>
        <v>11309.16</v>
      </c>
      <c r="Q25" s="35">
        <f t="shared" si="7"/>
        <v>0.16</v>
      </c>
      <c r="S25" s="34"/>
    </row>
    <row r="26" spans="1:21" ht="15.75" hidden="1" customHeight="1" thickBot="1">
      <c r="A26" s="4" t="s">
        <v>22</v>
      </c>
      <c r="B26" s="45"/>
      <c r="C26" s="45"/>
      <c r="D26" s="45"/>
      <c r="E26" s="45"/>
      <c r="F26" s="49"/>
      <c r="G26" s="58" t="s">
        <v>57</v>
      </c>
      <c r="H26" s="51" t="str">
        <f t="shared" ref="H26" si="8">G26</f>
        <v>162450.31</v>
      </c>
      <c r="I26" s="59"/>
      <c r="J26" s="60" t="e">
        <f t="shared" ref="J26" si="9">G26-H26</f>
        <v>#VALUE!</v>
      </c>
      <c r="K26" s="53" t="e">
        <f t="shared" ref="K26" si="10">IF(J26&gt;0,J26*3%,0)</f>
        <v>#VALUE!</v>
      </c>
      <c r="L26" s="54">
        <f t="shared" si="4"/>
        <v>0</v>
      </c>
      <c r="M26" s="61">
        <f t="shared" si="5"/>
        <v>0</v>
      </c>
      <c r="N26" s="62">
        <v>0</v>
      </c>
      <c r="O26" s="56" t="e">
        <f t="shared" si="6"/>
        <v>#VALUE!</v>
      </c>
      <c r="P26" s="57" t="e">
        <f t="shared" si="0"/>
        <v>#VALUE!</v>
      </c>
      <c r="Q26" s="35"/>
    </row>
    <row r="27" spans="1:21" ht="17.100000000000001" customHeight="1" thickBot="1">
      <c r="B27" s="63"/>
      <c r="C27" s="64"/>
      <c r="D27" s="65"/>
      <c r="E27" s="65"/>
      <c r="F27" s="66">
        <f>SUM(F10:F26)</f>
        <v>99.999999999999972</v>
      </c>
      <c r="G27" s="40">
        <f>SUM(G10:G26)</f>
        <v>4547484.01</v>
      </c>
      <c r="H27" s="44">
        <f>SUM(H10:H26)</f>
        <v>1303676</v>
      </c>
      <c r="I27" s="44">
        <f>SUM(I10:I26)</f>
        <v>0</v>
      </c>
      <c r="J27" s="44"/>
      <c r="K27" s="44"/>
      <c r="L27" s="44">
        <f>SUM(L10:L26)</f>
        <v>0</v>
      </c>
      <c r="M27" s="44">
        <f>SUM(M10:M26)</f>
        <v>1800000</v>
      </c>
      <c r="N27" s="44">
        <f>SUM(N10:N26)</f>
        <v>0</v>
      </c>
      <c r="O27" s="67">
        <f>SUM(O10:O25)</f>
        <v>5141123.3599999994</v>
      </c>
      <c r="P27" s="67">
        <f>SUM(P10:P25)</f>
        <v>5295358.3599999994</v>
      </c>
    </row>
    <row r="28" spans="1:21" ht="12.75" customHeight="1">
      <c r="D28" s="39"/>
      <c r="E28" s="39"/>
    </row>
    <row r="29" spans="1:21" ht="15" hidden="1" customHeight="1"/>
    <row r="30" spans="1:21" ht="9" customHeight="1">
      <c r="D30" s="128" t="s">
        <v>64</v>
      </c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</row>
    <row r="31" spans="1:21" ht="12" hidden="1" customHeight="1"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</row>
    <row r="32" spans="1:21" ht="12" hidden="1" customHeight="1"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</row>
    <row r="33" spans="4:15" ht="12" hidden="1" customHeight="1"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</row>
    <row r="34" spans="4:15" ht="12" hidden="1" customHeight="1"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</row>
    <row r="35" spans="4:15" ht="65.25" customHeight="1"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</row>
  </sheetData>
  <mergeCells count="19">
    <mergeCell ref="B1:K3"/>
    <mergeCell ref="P8:P9"/>
    <mergeCell ref="D30:O35"/>
    <mergeCell ref="E8:E9"/>
    <mergeCell ref="I8:I9"/>
    <mergeCell ref="K8:K9"/>
    <mergeCell ref="G8:G9"/>
    <mergeCell ref="H8:H9"/>
    <mergeCell ref="J8:J9"/>
    <mergeCell ref="L8:L9"/>
    <mergeCell ref="M8:M9"/>
    <mergeCell ref="N8:N9"/>
    <mergeCell ref="B4:P4"/>
    <mergeCell ref="B5:P7"/>
    <mergeCell ref="A8:A9"/>
    <mergeCell ref="B8:B9"/>
    <mergeCell ref="C8:C9"/>
    <mergeCell ref="D8:D9"/>
    <mergeCell ref="F8:F9"/>
  </mergeCells>
  <pageMargins left="0.25" right="0.25" top="0.75" bottom="0.75" header="0.3" footer="0.3"/>
  <pageSetup paperSize="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2026-01-04T18:33:16Z</cp:lastPrinted>
  <dcterms:created xsi:type="dcterms:W3CDTF">2023-09-17T12:29:07Z</dcterms:created>
  <dcterms:modified xsi:type="dcterms:W3CDTF">2026-01-04T18:33:24Z</dcterms:modified>
</cp:coreProperties>
</file>