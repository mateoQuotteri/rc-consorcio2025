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BELTRAN 34\"/>
    </mc:Choice>
  </mc:AlternateContent>
  <xr:revisionPtr revIDLastSave="0" documentId="13_ncr:1_{825CE8FE-4927-4301-9689-D2250545DD61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PRORRATEO!$A$1:$P$32</definedName>
    <definedName name="_xlnm.Print_Area" localSheetId="0">RESUMEN!$A$1:$D$107</definedName>
  </definedNames>
  <calcPr calcId="181029"/>
</workbook>
</file>

<file path=xl/calcChain.xml><?xml version="1.0" encoding="utf-8"?>
<calcChain xmlns="http://schemas.openxmlformats.org/spreadsheetml/2006/main">
  <c r="B1" i="2" l="1"/>
  <c r="D65" i="1"/>
  <c r="D59" i="1" l="1"/>
  <c r="D52" i="1"/>
  <c r="D37" i="1" l="1"/>
  <c r="D63" i="1"/>
  <c r="D41" i="1"/>
  <c r="J14" i="2" l="1"/>
  <c r="K14" i="2" s="1"/>
  <c r="D47" i="1"/>
  <c r="M6" i="2" l="1"/>
  <c r="C27" i="1"/>
  <c r="C32" i="1"/>
  <c r="J7" i="2"/>
  <c r="K7" i="2" s="1"/>
  <c r="J19" i="2"/>
  <c r="K19" i="2" s="1"/>
  <c r="J18" i="2"/>
  <c r="K18" i="2" s="1"/>
  <c r="J21" i="2"/>
  <c r="K21" i="2" s="1"/>
  <c r="J16" i="2"/>
  <c r="K16" i="2" s="1"/>
  <c r="J11" i="2"/>
  <c r="K11" i="2" s="1"/>
  <c r="J8" i="2"/>
  <c r="K8" i="2" s="1"/>
  <c r="J9" i="2"/>
  <c r="K9" i="2" s="1"/>
  <c r="J10" i="2"/>
  <c r="K10" i="2" s="1"/>
  <c r="J12" i="2"/>
  <c r="K12" i="2" s="1"/>
  <c r="J13" i="2"/>
  <c r="K13" i="2" s="1"/>
  <c r="J15" i="2"/>
  <c r="K15" i="2" s="1"/>
  <c r="J17" i="2"/>
  <c r="K17" i="2" s="1"/>
  <c r="J20" i="2"/>
  <c r="K20" i="2" s="1"/>
  <c r="D33" i="1" l="1"/>
  <c r="I23" i="2"/>
  <c r="H22" i="2" l="1"/>
  <c r="J22" i="2" s="1"/>
  <c r="O22" i="2" s="1"/>
  <c r="L22" i="2"/>
  <c r="M22" i="2"/>
  <c r="P22" i="2" l="1"/>
  <c r="K22" i="2"/>
  <c r="B106" i="1" l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6" i="2"/>
  <c r="D74" i="1" l="1"/>
  <c r="D79" i="1" s="1"/>
  <c r="B83" i="1" s="1"/>
  <c r="B94" i="1" s="1"/>
  <c r="B91" i="1" l="1"/>
  <c r="D67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H23" i="2" l="1"/>
  <c r="B90" i="1" s="1"/>
  <c r="F23" i="2"/>
  <c r="G23" i="2"/>
  <c r="J6" i="2" l="1"/>
  <c r="K6" i="2" s="1"/>
  <c r="B84" i="1" l="1"/>
  <c r="L23" i="2"/>
  <c r="B82" i="1" l="1"/>
  <c r="B93" i="1" s="1"/>
  <c r="B95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O6" i="2"/>
  <c r="O7" i="2" l="1"/>
  <c r="P7" i="2" s="1"/>
  <c r="M23" i="2"/>
  <c r="P19" i="2"/>
  <c r="P15" i="2"/>
  <c r="P11" i="2"/>
  <c r="P6" i="2"/>
  <c r="P18" i="2"/>
  <c r="P14" i="2"/>
  <c r="P10" i="2"/>
  <c r="P21" i="2"/>
  <c r="P17" i="2"/>
  <c r="P13" i="2"/>
  <c r="P9" i="2"/>
  <c r="P20" i="2"/>
  <c r="P16" i="2"/>
  <c r="P12" i="2"/>
  <c r="P8" i="2"/>
  <c r="P23" i="2" l="1"/>
  <c r="O23" i="2"/>
  <c r="B81" i="1" l="1"/>
  <c r="N23" i="2" l="1"/>
</calcChain>
</file>

<file path=xl/sharedStrings.xml><?xml version="1.0" encoding="utf-8"?>
<sst xmlns="http://schemas.openxmlformats.org/spreadsheetml/2006/main" count="138" uniqueCount="115">
  <si>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</si>
  <si>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</si>
  <si>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</si>
  <si>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</si>
  <si>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</si>
  <si>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</si>
  <si>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</si>
  <si>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</si>
  <si>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</si>
  <si>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</si>
  <si>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</si>
  <si>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</si>
  <si>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</si>
  <si>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</si>
  <si>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</si>
  <si>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</si>
  <si>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</si>
  <si>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</si>
  <si>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</si>
  <si>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</si>
  <si>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</si>
  <si>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</si>
  <si>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</si>
  <si>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</si>
  <si>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</si>
  <si>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</si>
  <si>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</si>
  <si>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</si>
  <si>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</si>
  <si>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</si>
  <si>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</si>
  <si>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</si>
  <si>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</si>
  <si>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</si>
  <si>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</si>
  <si>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</si>
  <si>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</si>
  <si>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</si>
  <si>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</si>
  <si>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</si>
  <si>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</si>
  <si>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</si>
  <si>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</si>
  <si>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</si>
  <si>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</si>
  <si>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</si>
  <si>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</si>
  <si>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</si>
  <si>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</si>
  <si>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</si>
  <si>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</si>
  <si>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</si>
  <si>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</si>
  <si>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</si>
  <si>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</si>
  <si>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</si>
  <si>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</si>
  <si>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</si>
  <si>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</si>
  <si>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</si>
  <si>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</si>
  <si>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ADMINISTRADORA: CAROLINA CANCIANI MP:1148 - CUIT ADMINISTRACION: 27231256879</t>
  </si>
  <si>
    <t>Honorarios administracion RC</t>
  </si>
  <si>
    <t>Arca931</t>
  </si>
  <si>
    <t>Sindicatos :  Seracarh</t>
  </si>
  <si>
    <t>Sindicatos :  Suther</t>
  </si>
  <si>
    <t>Sindicatos :  Fatherhy</t>
  </si>
  <si>
    <t>Punitorios mal cobrados</t>
  </si>
  <si>
    <t>PREVISION ORDINARIA</t>
  </si>
  <si>
    <t>SI EN LA COLUMNA LLAMADA DEUDA O SALDO A FAVOR FIGURA UN NUMERO EN NEGATIVO SIGNIFICA QUE LA UF POSEE DINERO A FAVOR (ES DECIR PAGO DE MAS)</t>
  </si>
  <si>
    <t>VTO 15/01</t>
  </si>
  <si>
    <t>DICIEMBRE</t>
  </si>
  <si>
    <t>Mes de NOVIEMBRE</t>
  </si>
  <si>
    <t>HORARIOS DE ATENCION: 10 A 15HS - LUNES A VIERNES</t>
  </si>
  <si>
    <t>Seguro de accidentes personales - Sancor Seguro</t>
  </si>
  <si>
    <t>Seguro integral de consorcio - Sancor Seguro</t>
  </si>
  <si>
    <t>EDESUR</t>
  </si>
  <si>
    <t>METROGAS</t>
  </si>
  <si>
    <t xml:space="preserve">AySA </t>
  </si>
  <si>
    <t>Abono mantenimiento de ascensor</t>
  </si>
  <si>
    <t>Pago a cuenta por reparacion baño depto 1B</t>
  </si>
  <si>
    <t xml:space="preserve">Saldo final por trabajo en botonera de asc. </t>
  </si>
  <si>
    <t>Reemplazo de sensor de nivelacion</t>
  </si>
  <si>
    <t>Abono mantenimiento de cuenta e impuestos</t>
  </si>
  <si>
    <t>Banco Credicop  - Gastos bancarios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</si>
  <si>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</si>
  <si>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</si>
  <si>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</si>
  <si>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</si>
  <si>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</si>
  <si>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</si>
  <si>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</si>
  <si>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</si>
  <si>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</si>
  <si>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</si>
  <si>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</si>
  <si>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</si>
  <si>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</si>
  <si>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</si>
  <si>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</si>
  <si>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</si>
  <si>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</si>
  <si>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</si>
  <si>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</si>
  <si>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</si>
  <si>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</si>
  <si>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</si>
  <si>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</si>
  <si>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</si>
  <si>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</si>
  <si>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</si>
  <si>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</si>
  <si>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</si>
  <si>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Titular: CONSORCIO DE PROPIETARIOS CORONEL BELTRAN 34
Banco Santander: Cta Corriente en Pesos 533-030591/4
Cuit del consorcio: 30-71897608-8
CBU: 0720533020000003059140                                                                                                                                 Alias: SALMON.ARMADA.FOCO</t>
  </si>
  <si>
    <t>TELEFONO : 11-5320-2676 - MAIL: coronelbeltran34rc@gmail.com - OFICINA CON CITA PREVIA - DR MELO 2958 8°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</si>
</sst>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4" fillId="2" borderId="1" xfId="1" applyFont="1" applyFill="1" applyBorder="1"/>
    <xf numFmtId="165" fontId="20" fillId="2" borderId="1" xfId="0" applyNumberFormat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25" fillId="0" borderId="1" xfId="0" applyFont="1" applyBorder="1"/>
    <xf numFmtId="0" fontId="25" fillId="0" borderId="1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44" fontId="25" fillId="0" borderId="1" xfId="1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20" fillId="2" borderId="25" xfId="1" applyFont="1" applyFill="1" applyBorder="1"/>
    <xf numFmtId="44" fontId="20" fillId="2" borderId="27" xfId="1" applyFont="1" applyFill="1" applyBorder="1"/>
    <xf numFmtId="44" fontId="6" fillId="6" borderId="1" xfId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selection activeCell="B95" sqref="A95:B95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114" t="s">
        <v>61</v>
      </c>
      <c r="B1" s="109"/>
      <c r="C1" s="6"/>
      <c r="D1" s="6"/>
    </row>
    <row r="2" spans="1:4">
      <c r="A2" s="110" t="s">
        <v>114</v>
      </c>
      <c r="B2" s="110"/>
      <c r="C2" s="110"/>
      <c r="D2" s="110"/>
    </row>
    <row r="3" spans="1:4" ht="16.95" customHeight="1">
      <c r="A3" s="110" t="s">
        <v>73</v>
      </c>
      <c r="B3" s="110"/>
      <c r="C3" s="110"/>
      <c r="D3" s="110"/>
    </row>
    <row r="4" spans="1:4" ht="32.25" customHeight="1">
      <c r="A4" s="141" t="s">
        <v>113</v>
      </c>
      <c r="B4" s="141"/>
      <c r="C4" s="111"/>
      <c r="D4" s="111"/>
    </row>
    <row r="5" spans="1:4">
      <c r="A5" s="141"/>
      <c r="B5" s="141"/>
      <c r="C5" s="111"/>
      <c r="D5" s="111"/>
    </row>
    <row r="6" spans="1:4">
      <c r="A6" s="141"/>
      <c r="B6" s="141"/>
      <c r="C6" s="111"/>
      <c r="D6" s="111"/>
    </row>
    <row r="7" spans="1:4" ht="27" customHeight="1">
      <c r="A7" s="141"/>
      <c r="B7" s="141"/>
      <c r="C7" s="111"/>
      <c r="D7" s="111"/>
    </row>
    <row r="9" spans="1:4">
      <c r="B9" s="138" t="s">
        <v>70</v>
      </c>
    </row>
    <row r="10" spans="1:4">
      <c r="B10" s="138"/>
    </row>
    <row r="11" spans="1:4">
      <c r="B11" s="138"/>
    </row>
    <row r="13" spans="1:4" hidden="1"/>
    <row r="14" spans="1:4" ht="15" customHeight="1">
      <c r="A14" s="142" t="s">
        <v>58</v>
      </c>
      <c r="B14" s="142"/>
      <c r="C14" s="142"/>
      <c r="D14" s="142"/>
    </row>
    <row r="15" spans="1:4" ht="15" customHeight="1">
      <c r="A15" s="142"/>
      <c r="B15" s="142"/>
      <c r="C15" s="142"/>
      <c r="D15" s="142"/>
    </row>
    <row r="16" spans="1:4" ht="15" customHeight="1">
      <c r="A16" s="142"/>
      <c r="B16" s="142"/>
      <c r="C16" s="142"/>
      <c r="D16" s="142"/>
    </row>
    <row r="17" spans="1:7" ht="53.25" customHeight="1">
      <c r="A17" s="142"/>
      <c r="B17" s="142"/>
      <c r="C17" s="142"/>
      <c r="D17" s="142"/>
    </row>
    <row r="18" spans="1:7" ht="14.25" customHeight="1" thickBot="1"/>
    <row r="19" spans="1:7" ht="15" hidden="1" thickBot="1">
      <c r="A19" s="2"/>
    </row>
    <row r="20" spans="1:7" ht="15" hidden="1" thickBot="1"/>
    <row r="21" spans="1:7">
      <c r="A21" s="11" t="s">
        <v>21</v>
      </c>
      <c r="B21" s="12"/>
      <c r="C21" s="9"/>
      <c r="D21" s="13"/>
    </row>
    <row r="22" spans="1:7">
      <c r="A22" s="27" t="s">
        <v>49</v>
      </c>
      <c r="B22" s="27"/>
      <c r="C22" s="25"/>
      <c r="D22" s="25"/>
    </row>
    <row r="23" spans="1:7" ht="14.25" customHeight="1">
      <c r="A23" s="5"/>
      <c r="B23" s="5"/>
      <c r="C23" s="130"/>
      <c r="D23" s="81"/>
    </row>
    <row r="24" spans="1:7">
      <c r="A24" s="5"/>
      <c r="B24" s="5"/>
      <c r="C24" s="130"/>
      <c r="D24" s="81"/>
    </row>
    <row r="25" spans="1:7">
      <c r="A25" s="5"/>
      <c r="B25" s="5"/>
      <c r="C25" s="130"/>
      <c r="D25" s="81"/>
      <c r="G25" s="14"/>
    </row>
    <row r="26" spans="1:7">
      <c r="A26" s="5"/>
      <c r="B26" s="5"/>
      <c r="C26" s="130"/>
      <c r="D26" s="81"/>
      <c r="G26" s="14"/>
    </row>
    <row r="27" spans="1:7">
      <c r="A27" s="47" t="s">
        <v>50</v>
      </c>
      <c r="B27" s="47"/>
      <c r="C27" s="107">
        <f>SUM(C23:C26)</f>
        <v>0</v>
      </c>
      <c r="D27" s="82"/>
    </row>
    <row r="28" spans="1:7" ht="0.6" customHeight="1">
      <c r="A28" s="5"/>
      <c r="B28" s="5"/>
      <c r="C28" s="130"/>
      <c r="D28" s="113"/>
    </row>
    <row r="29" spans="1:7" hidden="1">
      <c r="A29" s="5"/>
      <c r="B29" s="5"/>
      <c r="C29" s="130"/>
      <c r="D29" s="113"/>
    </row>
    <row r="30" spans="1:7" hidden="1">
      <c r="A30" s="5"/>
      <c r="B30" s="5"/>
      <c r="C30" s="130"/>
      <c r="D30" s="113"/>
    </row>
    <row r="31" spans="1:7" hidden="1">
      <c r="A31" s="5"/>
      <c r="B31" s="5"/>
      <c r="C31" s="131"/>
      <c r="D31" s="113"/>
    </row>
    <row r="32" spans="1:7" hidden="1">
      <c r="A32" s="47" t="s">
        <v>50</v>
      </c>
      <c r="B32" s="112"/>
      <c r="C32" s="48">
        <f>SUM(C28:C31)</f>
        <v>0</v>
      </c>
      <c r="D32" s="82"/>
    </row>
    <row r="33" spans="1:7" ht="14.25" customHeight="1" thickBot="1">
      <c r="A33" s="18" t="s">
        <v>0</v>
      </c>
      <c r="B33" s="18"/>
      <c r="C33" s="20"/>
      <c r="D33" s="83">
        <f>C27+C32</f>
        <v>0</v>
      </c>
      <c r="E33" s="14"/>
      <c r="F33" s="14"/>
    </row>
    <row r="34" spans="1:7">
      <c r="A34" s="27" t="s">
        <v>33</v>
      </c>
      <c r="B34" s="27"/>
      <c r="C34" s="28"/>
      <c r="D34" s="84"/>
      <c r="F34" s="14"/>
    </row>
    <row r="35" spans="1:7" ht="22.5" customHeight="1">
      <c r="A35" s="56" t="s">
        <v>34</v>
      </c>
      <c r="B35" s="5"/>
      <c r="C35" s="130"/>
      <c r="D35" s="128"/>
      <c r="G35" s="14"/>
    </row>
    <row r="36" spans="1:7" ht="21" customHeight="1">
      <c r="A36" s="115" t="s">
        <v>62</v>
      </c>
      <c r="B36" s="108" t="s">
        <v>71</v>
      </c>
      <c r="C36" s="130">
        <v>211800</v>
      </c>
      <c r="D36" s="128"/>
      <c r="G36" s="14"/>
    </row>
    <row r="37" spans="1:7" ht="15" thickBot="1">
      <c r="A37" s="18" t="s">
        <v>29</v>
      </c>
      <c r="B37" s="18"/>
      <c r="C37" s="31"/>
      <c r="D37" s="83">
        <f>SUM(C35:C36)</f>
        <v>211800</v>
      </c>
    </row>
    <row r="38" spans="1:7">
      <c r="A38" s="25" t="s">
        <v>46</v>
      </c>
      <c r="B38" s="26"/>
      <c r="C38" s="29"/>
      <c r="D38" s="58"/>
    </row>
    <row r="39" spans="1:7" s="34" customFormat="1" ht="29.25" customHeight="1">
      <c r="A39" s="139" t="s">
        <v>74</v>
      </c>
      <c r="B39" s="140"/>
      <c r="C39" s="132">
        <v>23077</v>
      </c>
      <c r="D39" s="127"/>
    </row>
    <row r="40" spans="1:7" ht="30" customHeight="1">
      <c r="A40" s="139" t="s">
        <v>75</v>
      </c>
      <c r="B40" s="140"/>
      <c r="C40" s="133">
        <v>141392</v>
      </c>
      <c r="D40" s="127"/>
    </row>
    <row r="41" spans="1:7" ht="15" thickBot="1">
      <c r="A41" s="18" t="s">
        <v>1</v>
      </c>
      <c r="B41" s="18"/>
      <c r="C41" s="31"/>
      <c r="D41" s="85">
        <f>SUM(C39:C40)</f>
        <v>164469</v>
      </c>
    </row>
    <row r="42" spans="1:7" hidden="1">
      <c r="A42" s="27" t="s">
        <v>30</v>
      </c>
      <c r="B42" s="19"/>
      <c r="C42" s="32"/>
      <c r="D42" s="86"/>
    </row>
    <row r="43" spans="1:7" hidden="1">
      <c r="A43" s="5" t="s">
        <v>63</v>
      </c>
      <c r="B43" s="5" t="s">
        <v>72</v>
      </c>
      <c r="C43" s="134"/>
      <c r="D43" s="127"/>
      <c r="F43" s="116"/>
    </row>
    <row r="44" spans="1:7" hidden="1">
      <c r="A44" s="5" t="s">
        <v>64</v>
      </c>
      <c r="B44" s="5" t="s">
        <v>72</v>
      </c>
      <c r="C44" s="135"/>
      <c r="D44" s="127"/>
    </row>
    <row r="45" spans="1:7" hidden="1">
      <c r="A45" s="5" t="s">
        <v>65</v>
      </c>
      <c r="B45" s="5" t="s">
        <v>72</v>
      </c>
      <c r="C45" s="135"/>
      <c r="D45" s="127"/>
    </row>
    <row r="46" spans="1:7" hidden="1">
      <c r="A46" s="5" t="s">
        <v>66</v>
      </c>
      <c r="B46" s="5" t="s">
        <v>72</v>
      </c>
      <c r="C46" s="135"/>
      <c r="D46" s="126"/>
    </row>
    <row r="47" spans="1:7" ht="15" hidden="1" customHeight="1" thickBot="1">
      <c r="A47" s="18" t="s">
        <v>2</v>
      </c>
      <c r="B47" s="19"/>
      <c r="C47" s="33"/>
      <c r="D47" s="85">
        <f>SUM(C43:C46)</f>
        <v>0</v>
      </c>
    </row>
    <row r="48" spans="1:7">
      <c r="A48" s="27" t="s">
        <v>32</v>
      </c>
      <c r="B48" s="19"/>
      <c r="C48" s="32"/>
      <c r="D48" s="86"/>
    </row>
    <row r="49" spans="1:4" ht="14.25" customHeight="1">
      <c r="A49" t="s">
        <v>76</v>
      </c>
      <c r="B49" s="5"/>
      <c r="C49" s="135"/>
      <c r="D49" s="125"/>
    </row>
    <row r="50" spans="1:4" ht="14.25" customHeight="1">
      <c r="A50" s="5" t="s">
        <v>77</v>
      </c>
      <c r="B50" s="5"/>
      <c r="C50" s="135"/>
      <c r="D50" s="125"/>
    </row>
    <row r="51" spans="1:4" ht="14.25" customHeight="1">
      <c r="A51" s="5" t="s">
        <v>78</v>
      </c>
      <c r="B51" s="5"/>
      <c r="C51" s="135"/>
      <c r="D51" s="125"/>
    </row>
    <row r="52" spans="1:4" ht="15" thickBot="1">
      <c r="A52" s="18" t="s">
        <v>3</v>
      </c>
      <c r="B52" s="18"/>
      <c r="C52" s="31"/>
      <c r="D52" s="85">
        <f>SUM(C49:C51)</f>
        <v>0</v>
      </c>
    </row>
    <row r="53" spans="1:4" ht="15" thickBot="1">
      <c r="A53" s="27" t="s">
        <v>31</v>
      </c>
      <c r="B53" s="18"/>
      <c r="C53" s="31"/>
      <c r="D53" s="88"/>
    </row>
    <row r="54" spans="1:4" ht="30" customHeight="1">
      <c r="A54" s="167" t="s">
        <v>79</v>
      </c>
      <c r="B54" s="124"/>
      <c r="C54" s="135">
        <v>69900</v>
      </c>
      <c r="D54" s="119"/>
    </row>
    <row r="55" spans="1:4" ht="30" customHeight="1">
      <c r="A55" s="139" t="s">
        <v>80</v>
      </c>
      <c r="B55" s="140"/>
      <c r="C55" s="135">
        <v>29200</v>
      </c>
      <c r="D55" s="119"/>
    </row>
    <row r="56" spans="1:4" ht="30" customHeight="1">
      <c r="A56" s="168" t="s">
        <v>81</v>
      </c>
      <c r="B56" s="124"/>
      <c r="C56" s="135">
        <v>261919</v>
      </c>
      <c r="D56" s="119"/>
    </row>
    <row r="57" spans="1:4" ht="30" customHeight="1">
      <c r="A57" s="139" t="s">
        <v>82</v>
      </c>
      <c r="B57" s="140"/>
      <c r="C57" s="135">
        <v>298600</v>
      </c>
      <c r="D57" s="125"/>
    </row>
    <row r="58" spans="1:4" ht="30" customHeight="1">
      <c r="A58" s="123"/>
      <c r="B58" s="124"/>
      <c r="C58" s="135"/>
      <c r="D58" s="125"/>
    </row>
    <row r="59" spans="1:4" ht="15" thickBot="1">
      <c r="A59" s="18" t="s">
        <v>11</v>
      </c>
      <c r="B59" s="27"/>
      <c r="C59" s="25"/>
      <c r="D59" s="91">
        <f>SUM(C54:C58)</f>
        <v>659619</v>
      </c>
    </row>
    <row r="60" spans="1:4" ht="15" thickBot="1">
      <c r="A60" s="27" t="s">
        <v>24</v>
      </c>
      <c r="B60" s="57"/>
      <c r="C60" s="20"/>
      <c r="D60" s="88"/>
    </row>
    <row r="61" spans="1:4">
      <c r="A61" s="166" t="s">
        <v>83</v>
      </c>
      <c r="B61" s="5"/>
      <c r="C61" s="169">
        <v>44406.63</v>
      </c>
      <c r="D61" s="92"/>
    </row>
    <row r="62" spans="1:4">
      <c r="A62" s="5" t="s">
        <v>84</v>
      </c>
      <c r="B62" s="5"/>
      <c r="C62" s="135"/>
      <c r="D62" s="90"/>
    </row>
    <row r="63" spans="1:4" ht="15" thickBot="1">
      <c r="A63" s="44" t="s">
        <v>29</v>
      </c>
      <c r="B63" s="44"/>
      <c r="C63" s="93"/>
      <c r="D63" s="85">
        <f>SUM(C61:C62)</f>
        <v>44406.63</v>
      </c>
    </row>
    <row r="64" spans="1:4" ht="15" thickBot="1">
      <c r="A64" s="5"/>
      <c r="B64" s="5"/>
      <c r="C64" s="81"/>
      <c r="D64" s="94"/>
    </row>
    <row r="65" spans="1:6" ht="22.5" customHeight="1" thickBot="1">
      <c r="A65" s="143" t="s">
        <v>68</v>
      </c>
      <c r="B65" s="144"/>
      <c r="C65" s="145"/>
      <c r="D65" s="95">
        <f>10000000-8953305.51-250000</f>
        <v>796694.49000000022</v>
      </c>
    </row>
    <row r="66" spans="1:6" ht="15" thickBot="1">
      <c r="A66" s="1"/>
      <c r="C66" s="96"/>
      <c r="D66" s="97"/>
      <c r="E66" s="39"/>
    </row>
    <row r="67" spans="1:6" ht="15" thickBot="1">
      <c r="A67" s="3" t="s">
        <v>25</v>
      </c>
      <c r="B67" s="10"/>
      <c r="C67" s="98"/>
      <c r="D67" s="99">
        <f>(SUM(D28:D65))</f>
        <v>1876989.12</v>
      </c>
      <c r="E67" s="39"/>
      <c r="F67" s="39"/>
    </row>
    <row r="68" spans="1:6">
      <c r="C68" s="96"/>
      <c r="D68" s="96"/>
      <c r="F68" s="118"/>
    </row>
    <row r="69" spans="1:6" ht="15" thickBot="1">
      <c r="C69" s="96"/>
      <c r="D69" s="96"/>
    </row>
    <row r="70" spans="1:6">
      <c r="A70" s="11" t="s">
        <v>35</v>
      </c>
      <c r="B70" s="12"/>
      <c r="C70" s="100"/>
      <c r="D70" s="101"/>
    </row>
    <row r="71" spans="1:6">
      <c r="A71" s="139"/>
      <c r="B71" s="140"/>
      <c r="C71" s="89"/>
      <c r="D71" s="87"/>
    </row>
    <row r="72" spans="1:6">
      <c r="A72" s="139"/>
      <c r="B72" s="140"/>
      <c r="C72" s="89"/>
      <c r="D72" s="87"/>
    </row>
    <row r="73" spans="1:6">
      <c r="A73" s="104"/>
      <c r="B73" s="105"/>
      <c r="C73" s="89"/>
      <c r="D73" s="87"/>
    </row>
    <row r="74" spans="1:6">
      <c r="A74" s="42"/>
      <c r="B74" s="41"/>
      <c r="C74" s="49"/>
      <c r="D74" s="49">
        <f>SUM(C71:C73)</f>
        <v>0</v>
      </c>
    </row>
    <row r="75" spans="1:6" ht="15" customHeight="1"/>
    <row r="76" spans="1:6" hidden="1"/>
    <row r="77" spans="1:6">
      <c r="A77" s="21" t="s">
        <v>36</v>
      </c>
      <c r="B77" s="21"/>
      <c r="C77" s="22"/>
      <c r="D77" s="129">
        <v>0</v>
      </c>
    </row>
    <row r="78" spans="1:6" ht="15" thickBot="1"/>
    <row r="79" spans="1:6" ht="15" thickBot="1">
      <c r="A79" s="3" t="s">
        <v>37</v>
      </c>
      <c r="B79" s="10"/>
      <c r="C79" s="4"/>
      <c r="D79" s="59">
        <f>D74+D77</f>
        <v>0</v>
      </c>
    </row>
    <row r="80" spans="1:6" ht="15" thickBot="1"/>
    <row r="81" spans="1:3" ht="15" thickBot="1">
      <c r="A81" s="79" t="s">
        <v>26</v>
      </c>
      <c r="B81" s="80">
        <f>D67</f>
        <v>1876989.12</v>
      </c>
      <c r="C81" s="39"/>
    </row>
    <row r="82" spans="1:3" ht="15" thickBot="1">
      <c r="A82" s="79" t="s">
        <v>27</v>
      </c>
      <c r="B82" s="80">
        <f>D67-D65</f>
        <v>1080294.6299999999</v>
      </c>
    </row>
    <row r="83" spans="1:3" ht="15" thickBot="1">
      <c r="A83" s="79" t="s">
        <v>38</v>
      </c>
      <c r="B83" s="80">
        <f>D79-D77</f>
        <v>0</v>
      </c>
    </row>
    <row r="84" spans="1:3" ht="15" thickBot="1">
      <c r="A84" s="79" t="s">
        <v>54</v>
      </c>
      <c r="B84" s="80">
        <f>D79</f>
        <v>0</v>
      </c>
    </row>
    <row r="88" spans="1:3">
      <c r="A88" s="15" t="s">
        <v>48</v>
      </c>
      <c r="B88" s="178"/>
    </row>
    <row r="89" spans="1:3" ht="25.5" customHeight="1">
      <c r="A89" s="24" t="s">
        <v>28</v>
      </c>
      <c r="B89" s="106">
        <v>4320478.1799999978</v>
      </c>
    </row>
    <row r="90" spans="1:3" ht="14.25" customHeight="1">
      <c r="A90" s="16" t="s">
        <v>57</v>
      </c>
      <c r="B90" s="36">
        <f>PRORRATEO!H23</f>
        <v>0</v>
      </c>
    </row>
    <row r="91" spans="1:3" ht="14.25" customHeight="1">
      <c r="A91" s="16" t="s">
        <v>56</v>
      </c>
      <c r="B91" s="90">
        <f>B106</f>
        <v>0</v>
      </c>
    </row>
    <row r="92" spans="1:3" ht="13.8" customHeight="1">
      <c r="A92" s="17" t="s">
        <v>67</v>
      </c>
      <c r="B92" s="121"/>
    </row>
    <row r="93" spans="1:3">
      <c r="A93" s="35" t="s">
        <v>39</v>
      </c>
      <c r="B93" s="121">
        <f>-B82</f>
        <v>-1080294.6299999999</v>
      </c>
    </row>
    <row r="94" spans="1:3">
      <c r="A94" s="17" t="s">
        <v>40</v>
      </c>
      <c r="B94" s="90">
        <f>-(B83)</f>
        <v>0</v>
      </c>
    </row>
    <row r="95" spans="1:3">
      <c r="A95" s="23" t="s">
        <v>11</v>
      </c>
      <c r="B95" s="106">
        <f>SUM(B89:B94)</f>
        <v>3240183.549999998</v>
      </c>
    </row>
    <row r="96" spans="1:3" ht="34.5" customHeight="1">
      <c r="B96" s="37"/>
      <c r="C96" s="39"/>
    </row>
    <row r="98" spans="1:12">
      <c r="A98" s="147" t="s">
        <v>47</v>
      </c>
      <c r="B98" s="147"/>
    </row>
    <row r="99" spans="1:12" ht="27.75" customHeight="1">
      <c r="A99" s="147"/>
      <c r="B99" s="147"/>
    </row>
    <row r="100" spans="1:12" ht="32.25" customHeight="1">
      <c r="A100" s="102"/>
      <c r="B100" s="30"/>
    </row>
    <row r="101" spans="1:12" ht="32.25" customHeight="1">
      <c r="A101" s="102"/>
      <c r="B101" s="30"/>
    </row>
    <row r="102" spans="1:12" ht="32.25" customHeight="1">
      <c r="A102" s="102"/>
      <c r="B102" s="30"/>
    </row>
    <row r="103" spans="1:12" ht="32.25" customHeight="1">
      <c r="A103" s="102"/>
      <c r="B103" s="30"/>
    </row>
    <row r="104" spans="1:12" ht="32.25" customHeight="1">
      <c r="A104" s="102"/>
      <c r="B104" s="30"/>
    </row>
    <row r="105" spans="1:12" ht="24.75" customHeight="1">
      <c r="A105" s="102"/>
      <c r="B105" s="117"/>
    </row>
    <row r="106" spans="1:12">
      <c r="A106" s="40" t="s">
        <v>11</v>
      </c>
      <c r="B106" s="103">
        <f>SUM(B100:B105)</f>
        <v>0</v>
      </c>
    </row>
    <row r="107" spans="1:12">
      <c r="L107" s="8"/>
    </row>
    <row r="108" spans="1:12" ht="15" customHeight="1">
      <c r="A108" s="146"/>
      <c r="B108" s="146"/>
      <c r="C108" s="146"/>
      <c r="D108" s="146"/>
    </row>
    <row r="109" spans="1:12">
      <c r="A109" s="146"/>
      <c r="B109" s="146"/>
      <c r="C109" s="146"/>
      <c r="D109" s="146"/>
    </row>
    <row r="110" spans="1:12">
      <c r="A110" s="146"/>
      <c r="B110" s="146"/>
      <c r="C110" s="146"/>
      <c r="D110" s="146"/>
    </row>
    <row r="111" spans="1:12">
      <c r="A111" s="146"/>
      <c r="B111" s="146"/>
      <c r="C111" s="146"/>
      <c r="D111" s="146"/>
    </row>
  </sheetData>
  <mergeCells count="12">
    <mergeCell ref="A108:D111"/>
    <mergeCell ref="A98:B99"/>
    <mergeCell ref="A72:B72"/>
    <mergeCell ref="A71:B71"/>
    <mergeCell ref="A65:C65"/>
    <mergeCell ref="A57:B57"/>
    <mergeCell ref="A55:B55"/>
    <mergeCell ref="B9:B11"/>
    <mergeCell ref="A39:B39"/>
    <mergeCell ref="A4:B7"/>
    <mergeCell ref="A40:B40"/>
    <mergeCell ref="A14:D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opLeftCell="B1" zoomScaleNormal="100" workbookViewId="0">
      <selection activeCell="D26" sqref="D26:O31"/>
    </sheetView>
  </sheetViews>
  <sheetFormatPr baseColWidth="10" defaultRowHeight="14.4"/>
  <cols>
    <col min="1" max="1" width="5" hidden="1" customWidth="1"/>
    <col min="2" max="2" width="5.5546875" customWidth="1"/>
    <col min="3" max="3" width="4.33203125" customWidth="1"/>
    <col min="4" max="4" width="18.5546875" customWidth="1"/>
    <col min="5" max="5" width="0.1093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0.4414062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19" width="13" bestFit="1" customWidth="1"/>
  </cols>
  <sheetData>
    <row r="1" spans="1:19" ht="12.9" customHeight="1">
      <c r="A1" s="6"/>
      <c r="B1" s="148" t="str">
        <f>RESUMEN!A4</f>
        <v>Titular: CONSORCIO DE PROPIETARIOS CORONEL BELTRAN 34
Banco Santander: Cta Corriente en Pesos 533-030591/4
Cuit del consorcio: 30-71897608-8
CBU: 0720533020000003059140                                                                                                                                 Alias: SALMON.ARMADA.FOCO</v>
      </c>
      <c r="C1" s="148"/>
      <c r="D1" s="148"/>
      <c r="E1" s="148"/>
      <c r="F1" s="148"/>
      <c r="G1" s="148"/>
      <c r="H1" s="148"/>
      <c r="I1" s="148"/>
      <c r="J1" s="148"/>
      <c r="K1" s="148"/>
      <c r="L1" s="6"/>
      <c r="M1" s="6"/>
      <c r="N1" s="6"/>
      <c r="O1" s="6"/>
      <c r="P1" s="6"/>
    </row>
    <row r="2" spans="1:19" ht="33.75" customHeight="1">
      <c r="A2" s="6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7" t="s">
        <v>4</v>
      </c>
      <c r="M2" s="6"/>
      <c r="N2" s="6"/>
      <c r="O2" s="136">
        <v>10000000</v>
      </c>
      <c r="P2" s="46"/>
      <c r="Q2" s="14"/>
    </row>
    <row r="3" spans="1:19" ht="30.6" customHeight="1" thickBot="1">
      <c r="A3" s="6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7" t="s">
        <v>59</v>
      </c>
      <c r="M3" s="6"/>
      <c r="N3" s="6"/>
      <c r="O3" s="137">
        <v>1000000</v>
      </c>
      <c r="P3" s="50"/>
    </row>
    <row r="4" spans="1:19">
      <c r="A4" s="162" t="s">
        <v>5</v>
      </c>
      <c r="B4" s="164" t="s">
        <v>6</v>
      </c>
      <c r="C4" s="152" t="s">
        <v>7</v>
      </c>
      <c r="D4" s="152" t="s">
        <v>8</v>
      </c>
      <c r="E4" s="152" t="s">
        <v>43</v>
      </c>
      <c r="F4" s="152" t="s">
        <v>23</v>
      </c>
      <c r="G4" s="152" t="s">
        <v>55</v>
      </c>
      <c r="H4" s="152" t="s">
        <v>9</v>
      </c>
      <c r="I4" s="152" t="s">
        <v>44</v>
      </c>
      <c r="J4" s="157" t="s">
        <v>45</v>
      </c>
      <c r="K4" s="154" t="s">
        <v>42</v>
      </c>
      <c r="L4" s="154" t="s">
        <v>10</v>
      </c>
      <c r="M4" s="154" t="s">
        <v>41</v>
      </c>
      <c r="N4" s="160" t="s">
        <v>53</v>
      </c>
      <c r="O4" s="53" t="s">
        <v>52</v>
      </c>
      <c r="P4" s="150" t="s">
        <v>51</v>
      </c>
      <c r="S4" s="39"/>
    </row>
    <row r="5" spans="1:19" ht="15.75" customHeight="1">
      <c r="A5" s="163"/>
      <c r="B5" s="165"/>
      <c r="C5" s="156"/>
      <c r="D5" s="156"/>
      <c r="E5" s="153"/>
      <c r="F5" s="156"/>
      <c r="G5" s="156"/>
      <c r="H5" s="156"/>
      <c r="I5" s="153"/>
      <c r="J5" s="158"/>
      <c r="K5" s="155"/>
      <c r="L5" s="159"/>
      <c r="M5" s="155"/>
      <c r="N5" s="161"/>
      <c r="O5" s="51" t="str">
        <f>RESUMEN!B9</f>
        <v>VTO 15/01</v>
      </c>
      <c r="P5" s="151"/>
    </row>
    <row r="6" spans="1:19" ht="17.100000000000001" customHeight="1">
      <c r="A6" s="5" t="s">
        <v>12</v>
      </c>
      <c r="B6" s="54">
        <v>1</v>
      </c>
      <c r="C6" s="54" t="s">
        <v>86</v>
      </c>
      <c r="D6" s="54" t="s">
        <v>102</v>
      </c>
      <c r="E6" s="54"/>
      <c r="F6" s="60">
        <v>10.86</v>
      </c>
      <c r="G6" s="61">
        <v>2654954.0102999997</v>
      </c>
      <c r="H6" s="62"/>
      <c r="I6" s="63"/>
      <c r="J6" s="64">
        <f>G6-H6</f>
        <v>2654954.0102999997</v>
      </c>
      <c r="K6" s="64">
        <f>IF(J6&gt;0,J6*3%,0)</f>
        <v>79648.620308999991</v>
      </c>
      <c r="L6" s="65">
        <f>O$3*F6%</f>
        <v>108599.99999999999</v>
      </c>
      <c r="M6" s="65">
        <f>O$2*F6%</f>
        <v>1085999.9999999998</v>
      </c>
      <c r="N6" s="66">
        <v>0</v>
      </c>
      <c r="O6" s="67">
        <f t="shared" ref="O6:O22" si="0">ROUND(SUM(J6:N6),0) + Q6</f>
        <v>3929203.01</v>
      </c>
      <c r="P6" s="68">
        <f t="shared" ref="P6:P22" si="1">ROUND(O6*3%,0) + O6</f>
        <v>4047079.01</v>
      </c>
      <c r="Q6" s="39">
        <v>0.01</v>
      </c>
    </row>
    <row r="7" spans="1:19" ht="17.100000000000001" customHeight="1">
      <c r="A7" s="5" t="s">
        <v>13</v>
      </c>
      <c r="B7" s="54">
        <v>2</v>
      </c>
      <c r="C7" s="54" t="s">
        <v>87</v>
      </c>
      <c r="D7" s="54" t="s">
        <v>103</v>
      </c>
      <c r="E7" s="55"/>
      <c r="F7" s="60">
        <v>11.16</v>
      </c>
      <c r="G7" s="61">
        <v>161820.01999999996</v>
      </c>
      <c r="H7" s="62"/>
      <c r="I7" s="63"/>
      <c r="J7" s="64">
        <f t="shared" ref="J7:J21" si="2">G7-H7</f>
        <v>161820.01999999996</v>
      </c>
      <c r="K7" s="64">
        <f t="shared" ref="K7:K21" si="3">IF(J7&gt;0,J7*3%,0)</f>
        <v>4854.6005999999988</v>
      </c>
      <c r="L7" s="65">
        <f t="shared" ref="L7:L22" si="4">O$3*F7%</f>
        <v>111600</v>
      </c>
      <c r="M7" s="65">
        <f t="shared" ref="M7:M22" si="5">O$2*F7%</f>
        <v>1116000</v>
      </c>
      <c r="N7" s="66">
        <v>0</v>
      </c>
      <c r="O7" s="67">
        <f t="shared" si="0"/>
        <v>1394275.02</v>
      </c>
      <c r="P7" s="68">
        <f t="shared" si="1"/>
        <v>1436103.02</v>
      </c>
      <c r="Q7" s="39">
        <f>Q6+0.01</f>
        <v>0.02</v>
      </c>
      <c r="R7" s="39"/>
    </row>
    <row r="8" spans="1:19" ht="17.100000000000001" customHeight="1">
      <c r="A8" s="5" t="s">
        <v>13</v>
      </c>
      <c r="B8" s="120">
        <v>4</v>
      </c>
      <c r="C8" s="120" t="s">
        <v>88</v>
      </c>
      <c r="D8" s="170" t="s">
        <v>104</v>
      </c>
      <c r="E8" s="171"/>
      <c r="F8" s="172">
        <v>6.95</v>
      </c>
      <c r="G8" s="62">
        <v>100775.0309</v>
      </c>
      <c r="H8" s="62"/>
      <c r="I8" s="63"/>
      <c r="J8" s="173">
        <f t="shared" si="2"/>
        <v>100775.0309</v>
      </c>
      <c r="K8" s="64">
        <f t="shared" si="3"/>
        <v>3023.250927</v>
      </c>
      <c r="L8" s="174">
        <f t="shared" si="4"/>
        <v>69500</v>
      </c>
      <c r="M8" s="174">
        <f t="shared" si="5"/>
        <v>695000.00000000012</v>
      </c>
      <c r="N8" s="175">
        <v>0</v>
      </c>
      <c r="O8" s="176">
        <f t="shared" si="0"/>
        <v>868298.03</v>
      </c>
      <c r="P8" s="177">
        <f t="shared" si="1"/>
        <v>894347.03</v>
      </c>
      <c r="Q8" s="39">
        <f t="shared" ref="Q8:Q21" si="6">Q7+0.01</f>
        <v>0.03</v>
      </c>
    </row>
    <row r="9" spans="1:19" ht="17.100000000000001" customHeight="1">
      <c r="A9" s="5" t="s">
        <v>14</v>
      </c>
      <c r="B9" s="54">
        <v>3</v>
      </c>
      <c r="C9" s="54" t="s">
        <v>89</v>
      </c>
      <c r="D9" s="54" t="s">
        <v>105</v>
      </c>
      <c r="E9" s="55"/>
      <c r="F9" s="60">
        <v>7.37</v>
      </c>
      <c r="G9" s="61">
        <v>106865.03999999998</v>
      </c>
      <c r="H9" s="62"/>
      <c r="I9" s="63"/>
      <c r="J9" s="64">
        <f t="shared" si="2"/>
        <v>106865.03999999998</v>
      </c>
      <c r="K9" s="64">
        <f t="shared" si="3"/>
        <v>3205.9511999999991</v>
      </c>
      <c r="L9" s="65">
        <f t="shared" si="4"/>
        <v>73700</v>
      </c>
      <c r="M9" s="65">
        <f t="shared" si="5"/>
        <v>737000</v>
      </c>
      <c r="N9" s="66">
        <v>0</v>
      </c>
      <c r="O9" s="67">
        <f t="shared" si="0"/>
        <v>920771.04</v>
      </c>
      <c r="P9" s="68">
        <f t="shared" si="1"/>
        <v>948394.04</v>
      </c>
      <c r="Q9" s="39">
        <f t="shared" si="6"/>
        <v>0.04</v>
      </c>
      <c r="S9" s="39"/>
    </row>
    <row r="10" spans="1:19" ht="17.100000000000001" customHeight="1">
      <c r="A10" s="5" t="s">
        <v>14</v>
      </c>
      <c r="B10" s="54">
        <v>5</v>
      </c>
      <c r="C10" s="54" t="s">
        <v>90</v>
      </c>
      <c r="D10" s="54" t="s">
        <v>106</v>
      </c>
      <c r="E10" s="55"/>
      <c r="F10" s="60">
        <v>10.68</v>
      </c>
      <c r="G10" s="61">
        <v>154860.04999999996</v>
      </c>
      <c r="H10" s="62"/>
      <c r="I10" s="63"/>
      <c r="J10" s="64">
        <f t="shared" si="2"/>
        <v>154860.04999999996</v>
      </c>
      <c r="K10" s="64">
        <f t="shared" si="3"/>
        <v>4645.8014999999987</v>
      </c>
      <c r="L10" s="65">
        <f t="shared" si="4"/>
        <v>106799.99999999999</v>
      </c>
      <c r="M10" s="65">
        <f t="shared" si="5"/>
        <v>1068000</v>
      </c>
      <c r="N10" s="66">
        <v>0</v>
      </c>
      <c r="O10" s="67">
        <f t="shared" si="0"/>
        <v>1334306.05</v>
      </c>
      <c r="P10" s="68">
        <f t="shared" si="1"/>
        <v>1374335.05</v>
      </c>
      <c r="Q10" s="39">
        <f t="shared" si="6"/>
        <v>0.05</v>
      </c>
      <c r="S10" s="39"/>
    </row>
    <row r="11" spans="1:19" ht="17.100000000000001" customHeight="1">
      <c r="A11" s="5" t="s">
        <v>15</v>
      </c>
      <c r="B11" s="54">
        <v>7</v>
      </c>
      <c r="C11" s="54" t="s">
        <v>91</v>
      </c>
      <c r="D11" s="54" t="s">
        <v>107</v>
      </c>
      <c r="E11" s="54"/>
      <c r="F11" s="60">
        <v>6.95</v>
      </c>
      <c r="G11" s="61">
        <v>100775.06</v>
      </c>
      <c r="H11" s="62"/>
      <c r="I11" s="63"/>
      <c r="J11" s="64">
        <f t="shared" si="2"/>
        <v>100775.06</v>
      </c>
      <c r="K11" s="64">
        <f t="shared" si="3"/>
        <v>3023.2518</v>
      </c>
      <c r="L11" s="65">
        <f t="shared" si="4"/>
        <v>69500</v>
      </c>
      <c r="M11" s="65">
        <f t="shared" si="5"/>
        <v>695000.00000000012</v>
      </c>
      <c r="N11" s="66">
        <v>0</v>
      </c>
      <c r="O11" s="67">
        <f t="shared" si="0"/>
        <v>868298.06</v>
      </c>
      <c r="P11" s="68">
        <f t="shared" si="1"/>
        <v>894347.06</v>
      </c>
      <c r="Q11" s="39">
        <f t="shared" si="6"/>
        <v>6.0000000000000005E-2</v>
      </c>
    </row>
    <row r="12" spans="1:19" ht="17.100000000000001" customHeight="1">
      <c r="A12" s="5" t="s">
        <v>15</v>
      </c>
      <c r="B12" s="54">
        <v>6</v>
      </c>
      <c r="C12" s="120" t="s">
        <v>92</v>
      </c>
      <c r="D12" s="120" t="s">
        <v>108</v>
      </c>
      <c r="E12" s="54"/>
      <c r="F12" s="60">
        <v>6.89</v>
      </c>
      <c r="G12" s="61">
        <v>99905.069999999992</v>
      </c>
      <c r="H12" s="62"/>
      <c r="I12" s="63"/>
      <c r="J12" s="64">
        <f t="shared" si="2"/>
        <v>99905.069999999992</v>
      </c>
      <c r="K12" s="64">
        <f t="shared" si="3"/>
        <v>2997.1520999999998</v>
      </c>
      <c r="L12" s="65">
        <f t="shared" si="4"/>
        <v>68900</v>
      </c>
      <c r="M12" s="65">
        <f t="shared" si="5"/>
        <v>689000</v>
      </c>
      <c r="N12" s="66">
        <v>0</v>
      </c>
      <c r="O12" s="67">
        <f t="shared" si="0"/>
        <v>860802.07</v>
      </c>
      <c r="P12" s="68">
        <f t="shared" si="1"/>
        <v>886626.07</v>
      </c>
      <c r="Q12" s="39">
        <f t="shared" si="6"/>
        <v>7.0000000000000007E-2</v>
      </c>
      <c r="R12" s="118"/>
      <c r="S12" s="116"/>
    </row>
    <row r="13" spans="1:19" ht="17.100000000000001" customHeight="1">
      <c r="A13" s="5" t="s">
        <v>16</v>
      </c>
      <c r="B13" s="54">
        <v>8</v>
      </c>
      <c r="C13" s="54" t="s">
        <v>93</v>
      </c>
      <c r="D13" s="54" t="s">
        <v>108</v>
      </c>
      <c r="E13" s="55"/>
      <c r="F13" s="60">
        <v>10.68</v>
      </c>
      <c r="G13" s="61">
        <v>154860.07999999996</v>
      </c>
      <c r="H13" s="62"/>
      <c r="I13" s="63"/>
      <c r="J13" s="64">
        <f t="shared" si="2"/>
        <v>154860.07999999996</v>
      </c>
      <c r="K13" s="64">
        <f t="shared" si="3"/>
        <v>4645.8023999999987</v>
      </c>
      <c r="L13" s="65">
        <f t="shared" si="4"/>
        <v>106799.99999999999</v>
      </c>
      <c r="M13" s="65">
        <f t="shared" si="5"/>
        <v>1068000</v>
      </c>
      <c r="N13" s="66">
        <v>0</v>
      </c>
      <c r="O13" s="67">
        <f t="shared" si="0"/>
        <v>1334306.08</v>
      </c>
      <c r="P13" s="68">
        <f t="shared" si="1"/>
        <v>1374335.08</v>
      </c>
      <c r="Q13" s="39">
        <f t="shared" si="6"/>
        <v>0.08</v>
      </c>
    </row>
    <row r="14" spans="1:19" ht="17.100000000000001" customHeight="1">
      <c r="A14" s="5" t="s">
        <v>16</v>
      </c>
      <c r="B14" s="54">
        <v>10</v>
      </c>
      <c r="C14" s="54" t="s">
        <v>94</v>
      </c>
      <c r="D14" s="54" t="s">
        <v>109</v>
      </c>
      <c r="E14" s="55"/>
      <c r="F14" s="60">
        <v>6.95</v>
      </c>
      <c r="G14" s="61">
        <v>79250.09</v>
      </c>
      <c r="H14" s="122"/>
      <c r="I14" s="63"/>
      <c r="J14" s="64">
        <f t="shared" si="2"/>
        <v>79250.09</v>
      </c>
      <c r="K14" s="64">
        <f t="shared" si="3"/>
        <v>2377.5027</v>
      </c>
      <c r="L14" s="65">
        <f t="shared" si="4"/>
        <v>69500</v>
      </c>
      <c r="M14" s="65">
        <f t="shared" si="5"/>
        <v>695000.00000000012</v>
      </c>
      <c r="N14" s="66">
        <v>0</v>
      </c>
      <c r="O14" s="67">
        <f t="shared" si="0"/>
        <v>846128.09</v>
      </c>
      <c r="P14" s="68">
        <f t="shared" si="1"/>
        <v>871512.09</v>
      </c>
      <c r="Q14" s="39">
        <f t="shared" si="6"/>
        <v>0.09</v>
      </c>
    </row>
    <row r="15" spans="1:19" ht="17.100000000000001" customHeight="1">
      <c r="A15" s="5" t="s">
        <v>17</v>
      </c>
      <c r="B15" s="54">
        <v>9</v>
      </c>
      <c r="C15" s="54" t="s">
        <v>95</v>
      </c>
      <c r="D15" s="54" t="s">
        <v>110</v>
      </c>
      <c r="E15" s="55"/>
      <c r="F15" s="60">
        <v>6.89</v>
      </c>
      <c r="G15" s="61">
        <v>65455.099999999984</v>
      </c>
      <c r="H15" s="62"/>
      <c r="I15" s="63"/>
      <c r="J15" s="64">
        <f t="shared" si="2"/>
        <v>65455.099999999984</v>
      </c>
      <c r="K15" s="64">
        <f t="shared" si="3"/>
        <v>1963.6529999999993</v>
      </c>
      <c r="L15" s="65">
        <f t="shared" si="4"/>
        <v>68900</v>
      </c>
      <c r="M15" s="65">
        <f t="shared" si="5"/>
        <v>689000</v>
      </c>
      <c r="N15" s="66">
        <v>0</v>
      </c>
      <c r="O15" s="67">
        <f t="shared" si="0"/>
        <v>825319.1</v>
      </c>
      <c r="P15" s="68">
        <f t="shared" si="1"/>
        <v>850079.1</v>
      </c>
      <c r="Q15" s="39">
        <f t="shared" si="6"/>
        <v>9.9999999999999992E-2</v>
      </c>
    </row>
    <row r="16" spans="1:19" ht="17.100000000000001" customHeight="1">
      <c r="A16" s="5" t="s">
        <v>17</v>
      </c>
      <c r="B16" s="54">
        <v>11</v>
      </c>
      <c r="C16" s="54" t="s">
        <v>96</v>
      </c>
      <c r="D16" s="54" t="s">
        <v>111</v>
      </c>
      <c r="E16" s="55"/>
      <c r="F16" s="60">
        <v>11.88</v>
      </c>
      <c r="G16" s="61">
        <v>112860.10999999997</v>
      </c>
      <c r="H16" s="62"/>
      <c r="I16" s="63"/>
      <c r="J16" s="64">
        <f t="shared" si="2"/>
        <v>112860.10999999997</v>
      </c>
      <c r="K16" s="64">
        <f t="shared" si="3"/>
        <v>3385.8032999999991</v>
      </c>
      <c r="L16" s="65">
        <f t="shared" si="4"/>
        <v>118800</v>
      </c>
      <c r="M16" s="65">
        <f t="shared" si="5"/>
        <v>1188000</v>
      </c>
      <c r="N16" s="66">
        <v>0</v>
      </c>
      <c r="O16" s="67">
        <f t="shared" si="0"/>
        <v>1423046.11</v>
      </c>
      <c r="P16" s="68">
        <f t="shared" si="1"/>
        <v>1465737.11</v>
      </c>
      <c r="Q16" s="39">
        <f t="shared" si="6"/>
        <v>0.10999999999999999</v>
      </c>
    </row>
    <row r="17" spans="1:19" ht="17.100000000000001" customHeight="1">
      <c r="A17" s="5" t="s">
        <v>18</v>
      </c>
      <c r="B17" s="54" t="s">
        <v>85</v>
      </c>
      <c r="C17" s="54" t="s">
        <v>97</v>
      </c>
      <c r="D17" s="54" t="s">
        <v>103</v>
      </c>
      <c r="E17" s="55"/>
      <c r="F17" s="60">
        <v>0.56999999999999995</v>
      </c>
      <c r="G17" s="61">
        <v>7931.1199999999981</v>
      </c>
      <c r="H17" s="62"/>
      <c r="I17" s="63"/>
      <c r="J17" s="64">
        <f t="shared" si="2"/>
        <v>7931.1199999999981</v>
      </c>
      <c r="K17" s="64">
        <f t="shared" si="3"/>
        <v>237.93359999999993</v>
      </c>
      <c r="L17" s="65">
        <f t="shared" si="4"/>
        <v>5699.9999999999991</v>
      </c>
      <c r="M17" s="65">
        <f t="shared" si="5"/>
        <v>56999.999999999993</v>
      </c>
      <c r="N17" s="66">
        <v>0</v>
      </c>
      <c r="O17" s="67">
        <f t="shared" si="0"/>
        <v>70869.119999999995</v>
      </c>
      <c r="P17" s="68">
        <f t="shared" si="1"/>
        <v>72995.12</v>
      </c>
      <c r="Q17" s="39">
        <f t="shared" si="6"/>
        <v>0.11999999999999998</v>
      </c>
    </row>
    <row r="18" spans="1:19" ht="17.100000000000001" customHeight="1">
      <c r="A18" s="5" t="s">
        <v>18</v>
      </c>
      <c r="B18" s="54" t="s">
        <v>85</v>
      </c>
      <c r="C18" s="54" t="s">
        <v>98</v>
      </c>
      <c r="D18" s="54" t="s">
        <v>112</v>
      </c>
      <c r="E18" s="55"/>
      <c r="F18" s="60">
        <v>0.52</v>
      </c>
      <c r="G18" s="61">
        <v>7540.1299999999983</v>
      </c>
      <c r="H18" s="62"/>
      <c r="I18" s="63"/>
      <c r="J18" s="64">
        <f t="shared" si="2"/>
        <v>7540.1299999999983</v>
      </c>
      <c r="K18" s="64">
        <f t="shared" si="3"/>
        <v>226.20389999999995</v>
      </c>
      <c r="L18" s="65">
        <f t="shared" si="4"/>
        <v>5200</v>
      </c>
      <c r="M18" s="65">
        <f t="shared" si="5"/>
        <v>52000</v>
      </c>
      <c r="N18" s="66">
        <v>0</v>
      </c>
      <c r="O18" s="67">
        <f t="shared" si="0"/>
        <v>64966.13</v>
      </c>
      <c r="P18" s="68">
        <f t="shared" si="1"/>
        <v>66915.13</v>
      </c>
      <c r="Q18" s="39">
        <f t="shared" si="6"/>
        <v>0.12999999999999998</v>
      </c>
    </row>
    <row r="19" spans="1:19" ht="17.100000000000001" customHeight="1">
      <c r="A19" s="5" t="s">
        <v>19</v>
      </c>
      <c r="B19" s="54" t="s">
        <v>85</v>
      </c>
      <c r="C19" s="54" t="s">
        <v>99</v>
      </c>
      <c r="D19" s="54" t="s">
        <v>112</v>
      </c>
      <c r="E19" s="55"/>
      <c r="F19" s="60">
        <v>0.52</v>
      </c>
      <c r="G19" s="61">
        <v>7540.1399999999985</v>
      </c>
      <c r="H19" s="62"/>
      <c r="I19" s="63"/>
      <c r="J19" s="64">
        <f t="shared" si="2"/>
        <v>7540.1399999999985</v>
      </c>
      <c r="K19" s="64">
        <f t="shared" si="3"/>
        <v>226.20419999999996</v>
      </c>
      <c r="L19" s="65">
        <f t="shared" si="4"/>
        <v>5200</v>
      </c>
      <c r="M19" s="65">
        <f t="shared" si="5"/>
        <v>52000</v>
      </c>
      <c r="N19" s="66">
        <v>0</v>
      </c>
      <c r="O19" s="67">
        <f t="shared" si="0"/>
        <v>64966.14</v>
      </c>
      <c r="P19" s="68">
        <f t="shared" si="1"/>
        <v>66915.14</v>
      </c>
      <c r="Q19" s="39">
        <f t="shared" si="6"/>
        <v>0.13999999999999999</v>
      </c>
    </row>
    <row r="20" spans="1:19" ht="17.100000000000001" customHeight="1">
      <c r="A20" s="5" t="s">
        <v>19</v>
      </c>
      <c r="B20" s="54" t="s">
        <v>85</v>
      </c>
      <c r="C20" s="54" t="s">
        <v>100</v>
      </c>
      <c r="D20" s="54" t="s">
        <v>111</v>
      </c>
      <c r="E20" s="55"/>
      <c r="F20" s="60">
        <v>0.52</v>
      </c>
      <c r="G20" s="61">
        <v>4940.1499999999978</v>
      </c>
      <c r="H20" s="62"/>
      <c r="I20" s="63"/>
      <c r="J20" s="64">
        <f t="shared" si="2"/>
        <v>4940.1499999999978</v>
      </c>
      <c r="K20" s="64">
        <f t="shared" si="3"/>
        <v>148.20449999999994</v>
      </c>
      <c r="L20" s="65">
        <f t="shared" si="4"/>
        <v>5200</v>
      </c>
      <c r="M20" s="65">
        <f t="shared" si="5"/>
        <v>52000</v>
      </c>
      <c r="N20" s="66">
        <v>0</v>
      </c>
      <c r="O20" s="67">
        <f t="shared" si="0"/>
        <v>62288.15</v>
      </c>
      <c r="P20" s="68">
        <f t="shared" si="1"/>
        <v>64157.15</v>
      </c>
      <c r="Q20" s="39">
        <f t="shared" si="6"/>
        <v>0.15</v>
      </c>
    </row>
    <row r="21" spans="1:19" ht="17.100000000000001" customHeight="1" thickBot="1">
      <c r="A21" s="5" t="s">
        <v>20</v>
      </c>
      <c r="B21" s="54" t="s">
        <v>85</v>
      </c>
      <c r="C21" s="54" t="s">
        <v>101</v>
      </c>
      <c r="D21" s="54" t="s">
        <v>107</v>
      </c>
      <c r="E21" s="54"/>
      <c r="F21" s="60">
        <v>0.61</v>
      </c>
      <c r="G21" s="61">
        <v>8845.1647999999986</v>
      </c>
      <c r="H21" s="62"/>
      <c r="I21" s="63"/>
      <c r="J21" s="64">
        <f t="shared" si="2"/>
        <v>8845.1647999999986</v>
      </c>
      <c r="K21" s="64">
        <f t="shared" si="3"/>
        <v>265.35494399999993</v>
      </c>
      <c r="L21" s="65">
        <f t="shared" si="4"/>
        <v>6099.9999999999991</v>
      </c>
      <c r="M21" s="65">
        <f t="shared" si="5"/>
        <v>60999.999999999993</v>
      </c>
      <c r="N21" s="66">
        <v>0</v>
      </c>
      <c r="O21" s="67">
        <f t="shared" si="0"/>
        <v>76211.16</v>
      </c>
      <c r="P21" s="68">
        <f t="shared" si="1"/>
        <v>78497.16</v>
      </c>
      <c r="Q21" s="39">
        <f t="shared" si="6"/>
        <v>0.16</v>
      </c>
      <c r="S21" s="38"/>
    </row>
    <row r="22" spans="1:19" ht="15" hidden="1" thickBot="1">
      <c r="A22" s="5" t="s">
        <v>22</v>
      </c>
      <c r="B22" s="54"/>
      <c r="C22" s="54"/>
      <c r="D22" s="54"/>
      <c r="E22" s="54"/>
      <c r="F22" s="60"/>
      <c r="G22" s="69" t="s">
        <v>60</v>
      </c>
      <c r="H22" s="62" t="str">
        <f t="shared" ref="H22" si="7">G22</f>
        <v>162450.31</v>
      </c>
      <c r="I22" s="70"/>
      <c r="J22" s="71" t="e">
        <f t="shared" ref="J22" si="8">G22-H22</f>
        <v>#VALUE!</v>
      </c>
      <c r="K22" s="64" t="e">
        <f t="shared" ref="K22" si="9">IF(J22&gt;0,J22*3%,0)</f>
        <v>#VALUE!</v>
      </c>
      <c r="L22" s="65">
        <f t="shared" si="4"/>
        <v>0</v>
      </c>
      <c r="M22" s="72">
        <f t="shared" si="5"/>
        <v>0</v>
      </c>
      <c r="N22" s="73">
        <v>0</v>
      </c>
      <c r="O22" s="67" t="e">
        <f t="shared" si="0"/>
        <v>#VALUE!</v>
      </c>
      <c r="P22" s="68" t="e">
        <f t="shared" si="1"/>
        <v>#VALUE!</v>
      </c>
      <c r="Q22" s="39"/>
    </row>
    <row r="23" spans="1:19" ht="17.100000000000001" customHeight="1" thickBot="1">
      <c r="B23" s="74"/>
      <c r="C23" s="75"/>
      <c r="D23" s="76"/>
      <c r="E23" s="76"/>
      <c r="F23" s="77">
        <f>SUM(F6:F22)</f>
        <v>99.999999999999972</v>
      </c>
      <c r="G23" s="45">
        <f>SUM(G6:G22)</f>
        <v>3829176.3659999995</v>
      </c>
      <c r="H23" s="52">
        <f>SUM(H6:H22)</f>
        <v>0</v>
      </c>
      <c r="I23" s="52">
        <f>SUM(I6:I22)</f>
        <v>0</v>
      </c>
      <c r="J23" s="52"/>
      <c r="K23" s="52"/>
      <c r="L23" s="52">
        <f>SUM(L6:L22)</f>
        <v>1000000</v>
      </c>
      <c r="M23" s="52">
        <f>SUM(M6:M22)</f>
        <v>10000000</v>
      </c>
      <c r="N23" s="52">
        <f>SUM(N6:N22)</f>
        <v>0</v>
      </c>
      <c r="O23" s="78">
        <f>SUM(O6:O21)</f>
        <v>14944053.360000001</v>
      </c>
      <c r="P23" s="78">
        <f>SUM(P6:P21)</f>
        <v>15392374.360000001</v>
      </c>
    </row>
    <row r="24" spans="1:19" ht="12.75" customHeight="1">
      <c r="D24" s="43"/>
      <c r="E24" s="43"/>
    </row>
    <row r="25" spans="1:19" hidden="1"/>
    <row r="26" spans="1:19" ht="9" customHeight="1">
      <c r="D26" s="146" t="s">
        <v>69</v>
      </c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9" ht="12" hidden="1" customHeight="1"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9" ht="12" hidden="1" customHeight="1"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9" ht="12" hidden="1" customHeight="1"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9" ht="12" hidden="1" customHeight="1"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9" ht="65.25" customHeight="1"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26:O31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2025-12-29T14:16:07Z</cp:lastPrinted>
  <dcterms:created xsi:type="dcterms:W3CDTF">2023-09-17T12:29:07Z</dcterms:created>
  <dcterms:modified xsi:type="dcterms:W3CDTF">2026-01-02T23:01:38Z</dcterms:modified>
</cp:coreProperties>
</file>