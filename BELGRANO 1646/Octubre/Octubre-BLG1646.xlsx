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BELGRANO 1646\Octubre\"/>
    </mc:Choice>
  </mc:AlternateContent>
  <xr:revisionPtr revIDLastSave="0" documentId="13_ncr:1_{E2BD8B6A-6E5B-466C-99CF-6CEA2744A35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Hoja1" sheetId="4" r:id="rId3"/>
    <sheet name="COCHERA" sheetId="3" r:id="rId4"/>
  </sheets>
  <definedNames>
    <definedName name="_xlnm.Print_Area" localSheetId="1">PRORRATEO!$A$1:$N$64</definedName>
    <definedName name="_xlnm.Print_Area" localSheetId="0">RESUMEN!$A$1:$F$120</definedName>
  </definedNames>
  <calcPr calcId="181029"/>
</workbook>
</file>

<file path=xl/calcChain.xml><?xml version="1.0" encoding="utf-8"?>
<calcChain xmlns="http://schemas.openxmlformats.org/spreadsheetml/2006/main">
  <c r="L25" i="2" l="1"/>
  <c r="G51" i="2"/>
  <c r="G18" i="2" s="1"/>
  <c r="G36" i="2"/>
  <c r="G31" i="2"/>
  <c r="G30" i="2"/>
  <c r="G23" i="2"/>
  <c r="G17" i="2"/>
  <c r="G16" i="2"/>
  <c r="G27" i="2"/>
  <c r="G13" i="2"/>
  <c r="G24" i="2"/>
  <c r="G9" i="2"/>
  <c r="G29" i="2"/>
  <c r="G28" i="2"/>
  <c r="G19" i="2"/>
  <c r="G20" i="2"/>
  <c r="G21" i="2"/>
  <c r="G15" i="2"/>
  <c r="B107" i="1"/>
  <c r="B108" i="1"/>
  <c r="G26" i="2" l="1"/>
  <c r="G55" i="1" l="1"/>
  <c r="F55" i="1"/>
  <c r="E55" i="1"/>
  <c r="D48" i="1"/>
  <c r="D47" i="1"/>
  <c r="D83" i="1"/>
  <c r="E62" i="1"/>
  <c r="E61" i="1"/>
  <c r="G10" i="2"/>
  <c r="E95" i="1"/>
  <c r="F95" i="1"/>
  <c r="G63" i="1"/>
  <c r="F63" i="1"/>
  <c r="E63" i="1"/>
  <c r="D64" i="1"/>
  <c r="H55" i="1" l="1"/>
  <c r="H63" i="1"/>
  <c r="G61" i="1" l="1"/>
  <c r="F94" i="1"/>
  <c r="D96" i="1"/>
  <c r="M3" i="2" s="1"/>
  <c r="E94" i="1"/>
  <c r="H61" i="1" l="1"/>
  <c r="G11" i="2"/>
  <c r="G51" i="1" l="1"/>
  <c r="E51" i="1"/>
  <c r="H51" i="1" s="1"/>
  <c r="D22" i="4" l="1"/>
  <c r="D17" i="4"/>
  <c r="G22" i="2"/>
  <c r="G57" i="1"/>
  <c r="J57" i="1" s="1"/>
  <c r="F57" i="1"/>
  <c r="E57" i="1"/>
  <c r="H57" i="1" l="1"/>
  <c r="I57" i="1" s="1"/>
  <c r="G53" i="1" l="1"/>
  <c r="F53" i="1"/>
  <c r="E53" i="1"/>
  <c r="H53" i="1" l="1"/>
  <c r="G7" i="2" l="1"/>
  <c r="F41" i="1" l="1"/>
  <c r="E41" i="1"/>
  <c r="G52" i="1"/>
  <c r="E52" i="1"/>
  <c r="H52" i="1" s="1"/>
  <c r="I52" i="1" s="1"/>
  <c r="F60" i="1"/>
  <c r="E60" i="1"/>
  <c r="G60" i="1"/>
  <c r="J60" i="1" s="1"/>
  <c r="D81" i="1"/>
  <c r="D77" i="1"/>
  <c r="D27" i="1"/>
  <c r="E56" i="1"/>
  <c r="G46" i="2"/>
  <c r="B119" i="1"/>
  <c r="G62" i="1"/>
  <c r="J62" i="1" s="1"/>
  <c r="H60" i="1" l="1"/>
  <c r="I60" i="1" s="1"/>
  <c r="H62" i="1"/>
  <c r="I62" i="1" s="1"/>
  <c r="D49" i="1" l="1"/>
  <c r="D49" i="2"/>
  <c r="G49" i="2" l="1"/>
  <c r="G54" i="1"/>
  <c r="J54" i="1" s="1"/>
  <c r="E54" i="1" l="1"/>
  <c r="F54" i="1"/>
  <c r="H54" i="1" l="1"/>
  <c r="I54" i="1" s="1"/>
  <c r="F52" i="2" l="1"/>
  <c r="F42" i="1"/>
  <c r="E42" i="1"/>
  <c r="D70" i="1"/>
  <c r="E59" i="1" l="1"/>
  <c r="D44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06" i="1" l="1"/>
  <c r="E96" i="1"/>
  <c r="F96" i="1"/>
  <c r="H96" i="1" l="1"/>
  <c r="I96" i="1" s="1"/>
  <c r="E69" i="1" l="1"/>
  <c r="E43" i="1" l="1"/>
  <c r="E44" i="1" l="1"/>
  <c r="F43" i="1"/>
  <c r="F44" i="1" s="1"/>
  <c r="G44" i="1" l="1"/>
  <c r="F35" i="1"/>
  <c r="F34" i="1"/>
  <c r="F33" i="1"/>
  <c r="E35" i="1"/>
  <c r="E34" i="1"/>
  <c r="E33" i="1"/>
  <c r="G56" i="1" l="1"/>
  <c r="J56" i="1" s="1"/>
  <c r="G58" i="1"/>
  <c r="J58" i="1" s="1"/>
  <c r="G59" i="1"/>
  <c r="J59" i="1" s="1"/>
  <c r="H59" i="1" l="1"/>
  <c r="I59" i="1" s="1"/>
  <c r="F83" i="1" l="1"/>
  <c r="E83" i="1"/>
  <c r="G83" i="1" l="1"/>
  <c r="H83" i="1" s="1"/>
  <c r="F80" i="1" l="1"/>
  <c r="F79" i="1"/>
  <c r="E80" i="1"/>
  <c r="E79" i="1"/>
  <c r="F75" i="1"/>
  <c r="F74" i="1"/>
  <c r="E75" i="1"/>
  <c r="E74" i="1"/>
  <c r="F68" i="1"/>
  <c r="E68" i="1"/>
  <c r="F58" i="1"/>
  <c r="F56" i="1"/>
  <c r="E58" i="1"/>
  <c r="F29" i="1"/>
  <c r="F28" i="1"/>
  <c r="E29" i="1"/>
  <c r="E28" i="1"/>
  <c r="F48" i="1"/>
  <c r="F46" i="1"/>
  <c r="E48" i="1"/>
  <c r="E46" i="1"/>
  <c r="F24" i="1"/>
  <c r="F25" i="1"/>
  <c r="F23" i="1"/>
  <c r="E23" i="1"/>
  <c r="E24" i="1"/>
  <c r="E25" i="1"/>
  <c r="F64" i="1" l="1"/>
  <c r="E64" i="1"/>
  <c r="H56" i="1"/>
  <c r="I56" i="1" s="1"/>
  <c r="H58" i="1"/>
  <c r="I58" i="1" s="1"/>
  <c r="F27" i="1"/>
  <c r="F81" i="1"/>
  <c r="E81" i="1"/>
  <c r="E77" i="1"/>
  <c r="F77" i="1"/>
  <c r="E70" i="1"/>
  <c r="F70" i="1"/>
  <c r="E32" i="1"/>
  <c r="E36" i="1" s="1"/>
  <c r="F32" i="1"/>
  <c r="E27" i="1"/>
  <c r="G64" i="1" l="1"/>
  <c r="H64" i="1" s="1"/>
  <c r="G27" i="1"/>
  <c r="H27" i="1" s="1"/>
  <c r="G81" i="1"/>
  <c r="G77" i="1"/>
  <c r="G70" i="1"/>
  <c r="G32" i="1"/>
  <c r="D32" i="1"/>
  <c r="D85" i="1" s="1"/>
  <c r="I64" i="1" l="1"/>
  <c r="B100" i="1"/>
  <c r="B105" i="1" s="1"/>
  <c r="D36" i="1"/>
  <c r="H70" i="1"/>
  <c r="H32" i="1"/>
  <c r="H81" i="1"/>
  <c r="H77" i="1"/>
  <c r="C90" i="1"/>
  <c r="B110" i="1" s="1"/>
  <c r="L1" i="2" l="1"/>
  <c r="E47" i="1"/>
  <c r="E49" i="1" s="1"/>
  <c r="E85" i="1" s="1"/>
  <c r="F47" i="1"/>
  <c r="F49" i="1" s="1"/>
  <c r="G49" i="1" l="1"/>
  <c r="H49" i="1" l="1"/>
  <c r="B99" i="1"/>
  <c r="O1" i="2" l="1"/>
  <c r="O2" i="2" s="1"/>
  <c r="A3" i="2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G43" i="2"/>
  <c r="G44" i="2"/>
  <c r="G42" i="2"/>
  <c r="K52" i="2" l="1"/>
  <c r="P43" i="2" s="1"/>
  <c r="K53" i="2" l="1"/>
  <c r="J52" i="2"/>
  <c r="Q47" i="2" s="1"/>
  <c r="B109" i="1"/>
  <c r="J4" i="2" l="1"/>
  <c r="G32" i="2"/>
  <c r="G12" i="2"/>
  <c r="H12" i="2" s="1"/>
  <c r="G50" i="2" l="1"/>
  <c r="G35" i="2" l="1"/>
  <c r="G25" i="2" l="1"/>
  <c r="F36" i="1" l="1"/>
  <c r="N1" i="3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G48" i="2"/>
  <c r="H48" i="2" s="1"/>
  <c r="M48" i="2" s="1"/>
  <c r="N48" i="2" s="1"/>
  <c r="G47" i="2"/>
  <c r="M12" i="2"/>
  <c r="N12" i="2" s="1"/>
  <c r="H10" i="2"/>
  <c r="G34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38" i="2"/>
  <c r="M38" i="2" s="1"/>
  <c r="N38" i="2" s="1"/>
  <c r="H50" i="2"/>
  <c r="M50" i="2" s="1"/>
  <c r="N50" i="2" s="1"/>
  <c r="H7" i="2"/>
  <c r="M7" i="2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7" i="3"/>
  <c r="H26" i="2" l="1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04" i="1" s="1"/>
  <c r="B112" i="1" s="1"/>
  <c r="N8" i="2"/>
  <c r="N52" i="2" s="1"/>
  <c r="M52" i="2"/>
  <c r="F85" i="1"/>
  <c r="G85" i="1" s="1"/>
  <c r="H85" i="1" l="1"/>
  <c r="I85" i="1"/>
</calcChain>
</file>

<file path=xl/sharedStrings.xml><?xml version="1.0" encoding="utf-8"?>
<sst xmlns="http://schemas.openxmlformats.org/spreadsheetml/2006/main" count="266" uniqueCount="173">
  <si>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</si>
  <si>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</si>
  <si>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</si>
  <si>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</si>
  <si>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</si>
  <si>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</si>
  <si>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</si>
  <si>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</si>
  <si>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</si>
  <si>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</si>
  <si>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</si>
  <si>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</si>
  <si>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</si>
  <si>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</si>
  <si>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</si>
  <si>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</si>
  <si>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</si>
  <si>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ESTADO DE CUENTA Y PRORRATEO</t>
  </si>
  <si>
    <t>BELGRANO Nº 1640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</si>
  <si>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</si>
  <si>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</si>
  <si>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</si>
  <si>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</si>
  <si>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</si>
  <si>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</si>
  <si>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</si>
  <si>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</si>
  <si>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Intereses</t>
  </si>
  <si>
    <t>Expensas</t>
  </si>
  <si>
    <t>TOTAL</t>
  </si>
  <si>
    <t>Anterior</t>
  </si>
  <si>
    <t>Exp. Ord.</t>
  </si>
  <si>
    <t>Ord.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</si>
  <si>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</si>
  <si>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</si>
  <si>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</si>
  <si>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</si>
  <si>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</si>
  <si>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</si>
  <si>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</si>
  <si>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</si>
  <si>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</si>
  <si>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</si>
  <si>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</si>
  <si>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</si>
  <si>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MARANTE, MAURO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</si>
  <si>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</si>
  <si>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</si>
  <si>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</si>
  <si>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</si>
  <si>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</si>
  <si>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</si>
  <si>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</si>
  <si>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</si>
  <si>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</si>
  <si>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</si>
  <si>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</si>
  <si>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</si>
  <si>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SIMONASSI, ALEJO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</si>
  <si>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</si>
  <si>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</si>
  <si>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</si>
  <si>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</si>
  <si>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</si>
  <si>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</si>
  <si>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</si>
  <si>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</si>
  <si>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TOTAL EXPENSAS 1er VTO</t>
  </si>
  <si>
    <t>TOTAL EXPENSAS 2do VTO</t>
  </si>
  <si>
    <t>Expensas ord</t>
  </si>
  <si>
    <t xml:space="preserve">Vencimiento </t>
  </si>
  <si>
    <t>Gastos Ordinario:</t>
  </si>
  <si>
    <t>Gastos Extr.:</t>
  </si>
  <si>
    <t>Cochera</t>
  </si>
  <si>
    <t xml:space="preserve">Porcentaje </t>
  </si>
  <si>
    <t>DEUDAS</t>
  </si>
  <si>
    <t>Deuda exp</t>
  </si>
  <si>
    <t>porcentaje</t>
  </si>
  <si>
    <t>1ER Vto.</t>
  </si>
  <si>
    <t>2DO Vto.</t>
  </si>
  <si>
    <t>(%)</t>
  </si>
  <si>
    <t>Extraord</t>
  </si>
  <si>
    <t>%</t>
  </si>
  <si>
    <t>Extr.</t>
  </si>
  <si>
    <t>EXPENSAS</t>
  </si>
  <si>
    <t>RUIZ, DIEGO ARIEL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</si>
  <si>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</si>
  <si>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</si>
  <si>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</si>
  <si>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</si>
  <si>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</si>
  <si>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</si>
  <si>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</si>
  <si>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</si>
  <si>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</si>
  <si>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</si>
  <si>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</si>
  <si>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</si>
  <si>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</si>
  <si>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</si>
  <si>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</si>
  <si>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</si>
  <si>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</si>
  <si>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</si>
  <si>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</si>
  <si>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</si>
  <si>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</si>
  <si>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</si>
  <si>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</si>
  <si>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</si>
  <si>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</si>
  <si>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</si>
  <si>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</si>
  <si>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</si>
  <si>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</si>
  <si>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</si>
  <si>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</si>
  <si>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</si>
  <si>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</si>
  <si>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</si>
  <si>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</si>
  <si>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</si>
  <si>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</si>
  <si>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SUM/ GASTOS PART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</si>
  <si>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</si>
  <si>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</si>
  <si>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</si>
  <si>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</si>
  <si>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</si>
  <si>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</si>
  <si>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</si>
  <si>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</si>
  <si>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</si>
  <si>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</si>
  <si>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r>
      <t xml:space="preserve">Los gastos que se encuentras </t>
    </r>
    <r>
      <rPr>
        <b/>
        <u/>
        <sz val="14"/>
        <color theme="1"/>
        <rFont val="Calibri"/>
        <family val="2"/>
        <scheme val="minor"/>
      </rPr>
      <t>subrayados</t>
    </r>
    <r>
      <rPr>
        <sz val="14"/>
        <color theme="1"/>
        <rFont val="Calibri"/>
        <family val="2"/>
        <scheme val="minor"/>
      </rPr>
      <t xml:space="preserve"> </t>
    </r>
    <r>
      <rPr>
        <b/>
        <sz val="14"/>
        <color theme="1"/>
        <rFont val="Calibri"/>
        <family val="2"/>
        <scheme val="minor"/>
      </rPr>
      <t>son los que corresponden tanto a las unidades funcionales como tambien al local</t>
    </r>
  </si>
  <si>
    <t>ARCA</t>
  </si>
  <si>
    <t>FEUILLANT, GASTON</t>
  </si>
  <si>
    <t xml:space="preserve">Kromacolor </t>
  </si>
  <si>
    <t>Contessi - Mantenimiento de ascensores</t>
  </si>
  <si>
    <t>Subidos en jun de 2025</t>
  </si>
  <si>
    <t>BALBOA, ARIEL</t>
  </si>
  <si>
    <t>Articulos de limpieza - Montoya Alejandra</t>
  </si>
  <si>
    <t xml:space="preserve">Sr. Diego Britez </t>
  </si>
  <si>
    <t>EL MES ANTERIOR ATILIO QUEDO CON UN SALDO A FAVOR DE:</t>
  </si>
  <si>
    <t>UF 42</t>
  </si>
  <si>
    <t>COCHERA 1</t>
  </si>
  <si>
    <t>COCHERA 2</t>
  </si>
  <si>
    <t>COCHERA 7</t>
  </si>
  <si>
    <t>SI A LAS EXPENSAS DEL MES PASADO LES CONTEMPLAMOS EL DINERO A FAVOR:</t>
  </si>
  <si>
    <t>LAS EXPENSAS DEL MES PASADO FUERON (AL 01/07):</t>
  </si>
  <si>
    <t>DINERO TOTAL A ABONAR:</t>
  </si>
  <si>
    <t>YA ABONO:</t>
  </si>
  <si>
    <t>GASTOS PARTICULARES</t>
  </si>
  <si>
    <t>VTO: 14/11</t>
  </si>
  <si>
    <t>Sa - Seguridad - Servicio tecnico zona A - Balun</t>
  </si>
  <si>
    <t>Contessi - Provision y colocacion de tres tubos de luz led en cabinas de los acensores</t>
  </si>
  <si>
    <t>Ferreteria el herrero - Lamparas, pico, pinceleta, rodillo, aguarras x3, cinta, silicona, etc</t>
  </si>
  <si>
    <t>PERÍODO: OCTUBRE</t>
  </si>
  <si>
    <t>Honorarios OCTUBRE</t>
  </si>
  <si>
    <t>Ingreso mes de SEPTIEMBRE</t>
  </si>
  <si>
    <t>Numero 1859135 Debito automatico 01/10</t>
  </si>
  <si>
    <t>Debito 02/10</t>
  </si>
  <si>
    <t>SEGURO OBLIGATORIO SR DIEGO BRITEZ FEDERACION PATRONAL DEBITO AUTOMATICO 06/10</t>
  </si>
  <si>
    <t>Pago mis cuentas 08/10</t>
  </si>
  <si>
    <t>Debito 13/10</t>
  </si>
  <si>
    <t>Luis Barrazza - Colocacion de porcelanatos - UF 27 y 29</t>
  </si>
  <si>
    <t>Debito 24/10</t>
  </si>
  <si>
    <t>Fumigacion 28/10</t>
  </si>
  <si>
    <t>Energroup - SERVICE DE MANTENIMIENTO PREVENTIVO</t>
  </si>
  <si>
    <t>Energroup - SERVICIO CORRECTIVO CAMBIO DE BATERIAS POR 2 UNIDADES DE 180 AMP</t>
  </si>
  <si>
    <t>Medianera Mural - Reparacion de sellados de vidrios (frente y contrafrente) departamentos "A" en pisos 12, 10, 8 y 3 - 09/10</t>
  </si>
  <si>
    <t>Cartas de documento 11A</t>
  </si>
  <si>
    <t>Envios cartas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</si>
</sst>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&quot;$&quot;\ * #,##0_-;\-&quot;$&quot;\ * #,##0_-;_-&quot;$&quot;\ * &quot;-&quot;??_-;_-@_-"/>
    <numFmt numFmtId="168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0" fillId="0" borderId="33" xfId="0" applyBorder="1"/>
    <xf numFmtId="0" fontId="0" fillId="0" borderId="34" xfId="0" applyBorder="1"/>
    <xf numFmtId="0" fontId="2" fillId="0" borderId="0" xfId="0" applyFont="1"/>
    <xf numFmtId="0" fontId="2" fillId="7" borderId="25" xfId="0" applyFont="1" applyFill="1" applyBorder="1"/>
    <xf numFmtId="0" fontId="2" fillId="7" borderId="26" xfId="0" applyFont="1" applyFill="1" applyBorder="1"/>
    <xf numFmtId="3" fontId="0" fillId="0" borderId="1" xfId="0" applyNumberFormat="1" applyBorder="1"/>
    <xf numFmtId="0" fontId="0" fillId="0" borderId="1" xfId="0" applyBorder="1"/>
    <xf numFmtId="0" fontId="0" fillId="5" borderId="0" xfId="0" applyFill="1"/>
    <xf numFmtId="8" fontId="0" fillId="5" borderId="0" xfId="0" applyNumberFormat="1" applyFill="1"/>
    <xf numFmtId="0" fontId="0" fillId="0" borderId="36" xfId="0" applyBorder="1"/>
    <xf numFmtId="4" fontId="0" fillId="0" borderId="1" xfId="0" applyNumberFormat="1" applyBorder="1"/>
    <xf numFmtId="0" fontId="0" fillId="0" borderId="9" xfId="0" applyBorder="1"/>
    <xf numFmtId="0" fontId="0" fillId="2" borderId="4" xfId="0" applyFill="1" applyBorder="1" applyAlignment="1">
      <alignment horizontal="center"/>
    </xf>
    <xf numFmtId="0" fontId="0" fillId="2" borderId="4" xfId="0" applyFill="1" applyBorder="1"/>
    <xf numFmtId="0" fontId="3" fillId="0" borderId="1" xfId="0" applyFont="1" applyBorder="1" applyAlignment="1">
      <alignment horizontal="center" wrapText="1"/>
    </xf>
    <xf numFmtId="4" fontId="2" fillId="2" borderId="4" xfId="0" applyNumberFormat="1" applyFont="1" applyFill="1" applyBorder="1"/>
    <xf numFmtId="165" fontId="0" fillId="0" borderId="11" xfId="0" applyNumberFormat="1" applyBorder="1"/>
    <xf numFmtId="4" fontId="0" fillId="0" borderId="13" xfId="0" applyNumberFormat="1" applyBorder="1"/>
    <xf numFmtId="0" fontId="0" fillId="2" borderId="5" xfId="0" applyFill="1" applyBorder="1"/>
    <xf numFmtId="3" fontId="2" fillId="2" borderId="5" xfId="2" applyNumberFormat="1" applyFont="1" applyFill="1" applyBorder="1"/>
    <xf numFmtId="3" fontId="0" fillId="0" borderId="19" xfId="0" applyNumberFormat="1" applyBorder="1"/>
    <xf numFmtId="3" fontId="2" fillId="2" borderId="22" xfId="2" applyNumberFormat="1" applyFont="1" applyFill="1" applyBorder="1"/>
    <xf numFmtId="3" fontId="0" fillId="0" borderId="18" xfId="0" applyNumberFormat="1" applyBorder="1"/>
    <xf numFmtId="3" fontId="2" fillId="2" borderId="20" xfId="2" applyNumberFormat="1" applyFont="1" applyFill="1" applyBorder="1"/>
    <xf numFmtId="3" fontId="2" fillId="2" borderId="21" xfId="2" applyNumberFormat="1" applyFont="1" applyFill="1" applyBorder="1"/>
    <xf numFmtId="3" fontId="2" fillId="2" borderId="7" xfId="2" applyNumberFormat="1" applyFont="1" applyFill="1" applyBorder="1"/>
    <xf numFmtId="3" fontId="0" fillId="0" borderId="12" xfId="0" applyNumberFormat="1" applyBorder="1"/>
    <xf numFmtId="164" fontId="2" fillId="2" borderId="20" xfId="2" applyFont="1" applyFill="1" applyBorder="1"/>
    <xf numFmtId="3" fontId="0" fillId="0" borderId="13" xfId="0" applyNumberFormat="1" applyBorder="1"/>
    <xf numFmtId="166" fontId="2" fillId="2" borderId="7" xfId="2" applyNumberFormat="1" applyFont="1" applyFill="1" applyBorder="1"/>
    <xf numFmtId="3" fontId="2" fillId="2" borderId="13" xfId="0" applyNumberFormat="1" applyFont="1" applyFill="1" applyBorder="1"/>
    <xf numFmtId="3" fontId="2" fillId="2" borderId="24" xfId="0" applyNumberFormat="1" applyFont="1" applyFill="1" applyBorder="1"/>
    <xf numFmtId="166" fontId="0" fillId="0" borderId="0" xfId="0" applyNumberFormat="1"/>
    <xf numFmtId="0" fontId="3" fillId="0" borderId="1" xfId="0" applyFont="1" applyBorder="1" applyAlignment="1">
      <alignment wrapText="1"/>
    </xf>
    <xf numFmtId="0" fontId="2" fillId="5" borderId="6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/>
    </xf>
    <xf numFmtId="0" fontId="2" fillId="5" borderId="28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9" fontId="2" fillId="5" borderId="0" xfId="0" applyNumberFormat="1" applyFont="1" applyFill="1" applyAlignment="1">
      <alignment horizontal="center"/>
    </xf>
    <xf numFmtId="0" fontId="2" fillId="5" borderId="16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2" fillId="4" borderId="0" xfId="0" applyFont="1" applyFill="1"/>
    <xf numFmtId="0" fontId="0" fillId="4" borderId="0" xfId="0" applyFill="1" applyAlignment="1">
      <alignment horizontal="left"/>
    </xf>
    <xf numFmtId="16" fontId="0" fillId="4" borderId="0" xfId="0" applyNumberFormat="1" applyFill="1"/>
    <xf numFmtId="164" fontId="2" fillId="4" borderId="0" xfId="2" applyFont="1" applyFill="1"/>
    <xf numFmtId="0" fontId="5" fillId="4" borderId="0" xfId="0" applyFont="1" applyFill="1"/>
    <xf numFmtId="0" fontId="2" fillId="5" borderId="6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165" fontId="0" fillId="2" borderId="4" xfId="0" applyNumberFormat="1" applyFill="1" applyBorder="1"/>
    <xf numFmtId="3" fontId="6" fillId="0" borderId="1" xfId="0" applyNumberFormat="1" applyFont="1" applyBorder="1"/>
    <xf numFmtId="0" fontId="0" fillId="7" borderId="29" xfId="0" applyFill="1" applyBorder="1"/>
    <xf numFmtId="10" fontId="2" fillId="7" borderId="26" xfId="0" applyNumberFormat="1" applyFont="1" applyFill="1" applyBorder="1"/>
    <xf numFmtId="0" fontId="2" fillId="7" borderId="31" xfId="0" applyFont="1" applyFill="1" applyBorder="1"/>
    <xf numFmtId="0" fontId="2" fillId="7" borderId="29" xfId="0" applyFont="1" applyFill="1" applyBorder="1"/>
    <xf numFmtId="10" fontId="2" fillId="7" borderId="29" xfId="0" applyNumberFormat="1" applyFont="1" applyFill="1" applyBorder="1"/>
    <xf numFmtId="0" fontId="2" fillId="5" borderId="31" xfId="0" applyFont="1" applyFill="1" applyBorder="1"/>
    <xf numFmtId="0" fontId="2" fillId="5" borderId="29" xfId="0" applyFont="1" applyFill="1" applyBorder="1"/>
    <xf numFmtId="0" fontId="2" fillId="5" borderId="32" xfId="0" applyFont="1" applyFill="1" applyBorder="1"/>
    <xf numFmtId="0" fontId="2" fillId="5" borderId="33" xfId="0" applyFont="1" applyFill="1" applyBorder="1"/>
    <xf numFmtId="0" fontId="2" fillId="5" borderId="0" xfId="0" applyFont="1" applyFill="1"/>
    <xf numFmtId="0" fontId="2" fillId="5" borderId="34" xfId="0" applyFont="1" applyFill="1" applyBorder="1"/>
    <xf numFmtId="0" fontId="2" fillId="5" borderId="25" xfId="0" applyFont="1" applyFill="1" applyBorder="1"/>
    <xf numFmtId="0" fontId="2" fillId="5" borderId="26" xfId="0" applyFont="1" applyFill="1" applyBorder="1"/>
    <xf numFmtId="0" fontId="2" fillId="5" borderId="27" xfId="0" applyFont="1" applyFill="1" applyBorder="1"/>
    <xf numFmtId="8" fontId="0" fillId="0" borderId="0" xfId="0" applyNumberFormat="1"/>
    <xf numFmtId="0" fontId="7" fillId="8" borderId="0" xfId="0" applyFont="1" applyFill="1"/>
    <xf numFmtId="164" fontId="8" fillId="0" borderId="1" xfId="2" applyFont="1" applyBorder="1"/>
    <xf numFmtId="164" fontId="4" fillId="0" borderId="0" xfId="0" applyNumberFormat="1" applyFont="1"/>
    <xf numFmtId="0" fontId="8" fillId="0" borderId="1" xfId="0" applyFont="1" applyBorder="1"/>
    <xf numFmtId="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4" fillId="0" borderId="1" xfId="0" applyNumberFormat="1" applyFont="1" applyBorder="1"/>
    <xf numFmtId="4" fontId="8" fillId="0" borderId="0" xfId="0" applyNumberFormat="1" applyFont="1"/>
    <xf numFmtId="164" fontId="0" fillId="0" borderId="0" xfId="0" applyNumberFormat="1"/>
    <xf numFmtId="0" fontId="10" fillId="0" borderId="1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4" fontId="3" fillId="0" borderId="1" xfId="0" applyNumberFormat="1" applyFont="1" applyBorder="1" applyAlignment="1">
      <alignment wrapText="1"/>
    </xf>
    <xf numFmtId="167" fontId="0" fillId="0" borderId="1" xfId="1" applyNumberFormat="1" applyFont="1" applyBorder="1"/>
    <xf numFmtId="0" fontId="0" fillId="9" borderId="1" xfId="0" applyFill="1" applyBorder="1"/>
    <xf numFmtId="167" fontId="0" fillId="9" borderId="1" xfId="0" applyNumberFormat="1" applyFill="1" applyBorder="1"/>
    <xf numFmtId="3" fontId="0" fillId="9" borderId="1" xfId="0" applyNumberFormat="1" applyFill="1" applyBorder="1"/>
    <xf numFmtId="164" fontId="9" fillId="3" borderId="1" xfId="2" applyFont="1" applyFill="1" applyBorder="1"/>
    <xf numFmtId="164" fontId="4" fillId="3" borderId="1" xfId="2" applyFont="1" applyFill="1" applyBorder="1"/>
    <xf numFmtId="0" fontId="1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43" fontId="0" fillId="5" borderId="0" xfId="3" applyFont="1" applyFill="1"/>
    <xf numFmtId="0" fontId="0" fillId="3" borderId="1" xfId="0" applyFill="1" applyBorder="1"/>
    <xf numFmtId="0" fontId="2" fillId="10" borderId="1" xfId="0" applyFont="1" applyFill="1" applyBorder="1"/>
    <xf numFmtId="0" fontId="2" fillId="0" borderId="1" xfId="0" applyFont="1" applyBorder="1"/>
    <xf numFmtId="164" fontId="2" fillId="0" borderId="1" xfId="2" applyFont="1" applyBorder="1"/>
    <xf numFmtId="0" fontId="2" fillId="9" borderId="25" xfId="0" applyFont="1" applyFill="1" applyBorder="1"/>
    <xf numFmtId="44" fontId="2" fillId="9" borderId="27" xfId="0" applyNumberFormat="1" applyFont="1" applyFill="1" applyBorder="1"/>
    <xf numFmtId="0" fontId="2" fillId="9" borderId="38" xfId="0" applyFont="1" applyFill="1" applyBorder="1"/>
    <xf numFmtId="44" fontId="2" fillId="9" borderId="22" xfId="0" applyNumberFormat="1" applyFont="1" applyFill="1" applyBorder="1"/>
    <xf numFmtId="0" fontId="0" fillId="0" borderId="1" xfId="0" applyBorder="1" applyAlignment="1">
      <alignment horizontal="center" vertical="center"/>
    </xf>
    <xf numFmtId="44" fontId="14" fillId="6" borderId="11" xfId="1" applyFont="1" applyFill="1" applyBorder="1"/>
    <xf numFmtId="44" fontId="0" fillId="0" borderId="0" xfId="0" applyNumberFormat="1"/>
    <xf numFmtId="8" fontId="2" fillId="6" borderId="34" xfId="0" applyNumberFormat="1" applyFont="1" applyFill="1" applyBorder="1"/>
    <xf numFmtId="0" fontId="2" fillId="3" borderId="1" xfId="0" applyFont="1" applyFill="1" applyBorder="1"/>
    <xf numFmtId="44" fontId="2" fillId="6" borderId="0" xfId="0" applyNumberFormat="1" applyFont="1" applyFill="1"/>
    <xf numFmtId="44" fontId="6" fillId="3" borderId="1" xfId="1" applyFont="1" applyFill="1" applyBorder="1"/>
    <xf numFmtId="0" fontId="0" fillId="0" borderId="11" xfId="0" applyBorder="1"/>
    <xf numFmtId="0" fontId="0" fillId="0" borderId="39" xfId="0" applyBorder="1"/>
    <xf numFmtId="0" fontId="0" fillId="3" borderId="2" xfId="0" applyFill="1" applyBorder="1"/>
    <xf numFmtId="0" fontId="0" fillId="3" borderId="39" xfId="0" applyFill="1" applyBorder="1"/>
    <xf numFmtId="44" fontId="2" fillId="10" borderId="25" xfId="1" applyFont="1" applyFill="1" applyBorder="1"/>
    <xf numFmtId="8" fontId="2" fillId="6" borderId="1" xfId="0" applyNumberFormat="1" applyFont="1" applyFill="1" applyBorder="1"/>
    <xf numFmtId="8" fontId="2" fillId="3" borderId="1" xfId="0" applyNumberFormat="1" applyFont="1" applyFill="1" applyBorder="1"/>
    <xf numFmtId="0" fontId="16" fillId="0" borderId="1" xfId="0" applyFont="1" applyBorder="1"/>
    <xf numFmtId="0" fontId="0" fillId="0" borderId="1" xfId="0" applyBorder="1" applyAlignment="1">
      <alignment horizontal="center"/>
    </xf>
    <xf numFmtId="1" fontId="17" fillId="5" borderId="0" xfId="0" applyNumberFormat="1" applyFont="1" applyFill="1"/>
    <xf numFmtId="0" fontId="18" fillId="5" borderId="0" xfId="0" applyFont="1" applyFill="1"/>
    <xf numFmtId="44" fontId="6" fillId="3" borderId="0" xfId="1" applyFont="1" applyFill="1" applyBorder="1"/>
    <xf numFmtId="0" fontId="19" fillId="0" borderId="1" xfId="0" applyFont="1" applyBorder="1"/>
    <xf numFmtId="167" fontId="0" fillId="9" borderId="1" xfId="1" applyNumberFormat="1" applyFont="1" applyFill="1" applyBorder="1"/>
    <xf numFmtId="6" fontId="0" fillId="5" borderId="0" xfId="0" applyNumberFormat="1" applyFill="1" applyAlignment="1">
      <alignment horizontal="right" wrapText="1"/>
    </xf>
    <xf numFmtId="0" fontId="12" fillId="3" borderId="1" xfId="0" applyFont="1" applyFill="1" applyBorder="1"/>
    <xf numFmtId="0" fontId="6" fillId="3" borderId="11" xfId="0" applyFont="1" applyFill="1" applyBorder="1"/>
    <xf numFmtId="167" fontId="15" fillId="0" borderId="1" xfId="0" applyNumberFormat="1" applyFont="1" applyBorder="1"/>
    <xf numFmtId="167" fontId="19" fillId="0" borderId="1" xfId="0" applyNumberFormat="1" applyFont="1" applyBorder="1"/>
    <xf numFmtId="0" fontId="15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10" borderId="1" xfId="0" applyNumberFormat="1" applyFont="1" applyFill="1" applyBorder="1"/>
    <xf numFmtId="6" fontId="0" fillId="3" borderId="0" xfId="0" applyNumberFormat="1" applyFill="1" applyAlignment="1">
      <alignment horizontal="right" wrapText="1"/>
    </xf>
    <xf numFmtId="167" fontId="0" fillId="0" borderId="0" xfId="0" applyNumberFormat="1"/>
    <xf numFmtId="44" fontId="0" fillId="0" borderId="34" xfId="1" applyFont="1" applyBorder="1"/>
    <xf numFmtId="44" fontId="0" fillId="0" borderId="30" xfId="1" applyFont="1" applyBorder="1"/>
    <xf numFmtId="0" fontId="0" fillId="11" borderId="30" xfId="0" applyFill="1" applyBorder="1"/>
    <xf numFmtId="0" fontId="0" fillId="0" borderId="25" xfId="0" applyBorder="1"/>
    <xf numFmtId="0" fontId="0" fillId="0" borderId="27" xfId="0" applyBorder="1"/>
    <xf numFmtId="44" fontId="2" fillId="6" borderId="11" xfId="0" applyNumberFormat="1" applyFont="1" applyFill="1" applyBorder="1"/>
    <xf numFmtId="44" fontId="2" fillId="7" borderId="26" xfId="0" applyNumberFormat="1" applyFont="1" applyFill="1" applyBorder="1"/>
    <xf numFmtId="44" fontId="0" fillId="0" borderId="11" xfId="0" applyNumberFormat="1" applyBorder="1"/>
    <xf numFmtId="0" fontId="20" fillId="0" borderId="0" xfId="0" applyFont="1"/>
    <xf numFmtId="6" fontId="6" fillId="5" borderId="0" xfId="0" applyNumberFormat="1" applyFont="1" applyFill="1" applyAlignment="1">
      <alignment horizontal="right" wrapText="1"/>
    </xf>
    <xf numFmtId="44" fontId="6" fillId="5" borderId="0" xfId="0" applyNumberFormat="1" applyFont="1" applyFill="1"/>
    <xf numFmtId="6" fontId="6" fillId="5" borderId="0" xfId="0" applyNumberFormat="1" applyFont="1" applyFill="1"/>
    <xf numFmtId="44" fontId="4" fillId="0" borderId="0" xfId="0" applyNumberFormat="1" applyFont="1"/>
    <xf numFmtId="44" fontId="0" fillId="0" borderId="0" xfId="1" applyFont="1"/>
    <xf numFmtId="44" fontId="14" fillId="6" borderId="11" xfId="0" applyNumberFormat="1" applyFont="1" applyFill="1" applyBorder="1"/>
    <xf numFmtId="44" fontId="2" fillId="6" borderId="25" xfId="0" applyNumberFormat="1" applyFont="1" applyFill="1" applyBorder="1"/>
    <xf numFmtId="0" fontId="0" fillId="3" borderId="0" xfId="0" applyFill="1"/>
    <xf numFmtId="44" fontId="20" fillId="0" borderId="0" xfId="0" applyNumberFormat="1" applyFont="1"/>
    <xf numFmtId="16" fontId="0" fillId="0" borderId="1" xfId="0" applyNumberFormat="1" applyBorder="1" applyAlignment="1">
      <alignment horizontal="left"/>
    </xf>
    <xf numFmtId="44" fontId="0" fillId="0" borderId="2" xfId="0" applyNumberFormat="1" applyBorder="1"/>
    <xf numFmtId="6" fontId="15" fillId="3" borderId="1" xfId="0" applyNumberFormat="1" applyFont="1" applyFill="1" applyBorder="1"/>
    <xf numFmtId="0" fontId="15" fillId="3" borderId="1" xfId="0" applyFont="1" applyFill="1" applyBorder="1"/>
    <xf numFmtId="0" fontId="2" fillId="3" borderId="0" xfId="0" applyFont="1" applyFill="1" applyAlignment="1">
      <alignment vertical="center" wrapText="1"/>
    </xf>
    <xf numFmtId="44" fontId="2" fillId="6" borderId="1" xfId="0" applyNumberFormat="1" applyFont="1" applyFill="1" applyBorder="1"/>
    <xf numFmtId="44" fontId="2" fillId="6" borderId="1" xfId="1" applyFont="1" applyFill="1" applyBorder="1"/>
    <xf numFmtId="44" fontId="14" fillId="6" borderId="1" xfId="1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4" fontId="21" fillId="3" borderId="1" xfId="2" applyFont="1" applyFill="1" applyBorder="1"/>
    <xf numFmtId="0" fontId="0" fillId="0" borderId="12" xfId="0" applyBorder="1"/>
    <xf numFmtId="0" fontId="0" fillId="0" borderId="13" xfId="0" applyBorder="1"/>
    <xf numFmtId="43" fontId="0" fillId="0" borderId="0" xfId="0" applyNumberFormat="1"/>
    <xf numFmtId="0" fontId="6" fillId="0" borderId="1" xfId="0" applyFont="1" applyBorder="1" applyAlignment="1">
      <alignment horizontal="center" vertical="center"/>
    </xf>
    <xf numFmtId="44" fontId="6" fillId="3" borderId="11" xfId="1" applyFont="1" applyFill="1" applyBorder="1"/>
    <xf numFmtId="44" fontId="6" fillId="0" borderId="11" xfId="1" applyFont="1" applyBorder="1"/>
    <xf numFmtId="0" fontId="6" fillId="0" borderId="0" xfId="0" applyFont="1"/>
    <xf numFmtId="44" fontId="6" fillId="0" borderId="1" xfId="1" applyFont="1" applyBorder="1"/>
    <xf numFmtId="0" fontId="6" fillId="0" borderId="1" xfId="0" applyFont="1" applyBorder="1"/>
    <xf numFmtId="44" fontId="14" fillId="10" borderId="11" xfId="1" applyFont="1" applyFill="1" applyBorder="1"/>
    <xf numFmtId="44" fontId="14" fillId="7" borderId="26" xfId="0" applyNumberFormat="1" applyFont="1" applyFill="1" applyBorder="1"/>
    <xf numFmtId="0" fontId="0" fillId="0" borderId="11" xfId="0" applyBorder="1" applyAlignment="1">
      <alignment vertical="center"/>
    </xf>
    <xf numFmtId="44" fontId="0" fillId="0" borderId="0" xfId="0" applyNumberFormat="1" applyAlignment="1">
      <alignment horizontal="left"/>
    </xf>
    <xf numFmtId="0" fontId="0" fillId="11" borderId="1" xfId="0" applyFill="1" applyBorder="1"/>
    <xf numFmtId="44" fontId="20" fillId="3" borderId="1" xfId="1" applyFont="1" applyFill="1" applyBorder="1"/>
    <xf numFmtId="168" fontId="0" fillId="0" borderId="0" xfId="0" applyNumberFormat="1"/>
    <xf numFmtId="0" fontId="2" fillId="11" borderId="25" xfId="0" applyFont="1" applyFill="1" applyBorder="1"/>
    <xf numFmtId="0" fontId="0" fillId="0" borderId="7" xfId="0" applyBorder="1"/>
    <xf numFmtId="10" fontId="2" fillId="7" borderId="30" xfId="0" applyNumberFormat="1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16" fillId="3" borderId="1" xfId="0" applyFont="1" applyFill="1" applyBorder="1"/>
    <xf numFmtId="167" fontId="6" fillId="0" borderId="1" xfId="1" applyNumberFormat="1" applyFont="1" applyBorder="1"/>
    <xf numFmtId="167" fontId="6" fillId="3" borderId="1" xfId="1" applyNumberFormat="1" applyFont="1" applyFill="1" applyBorder="1"/>
    <xf numFmtId="0" fontId="2" fillId="3" borderId="0" xfId="0" applyFont="1" applyFill="1" applyAlignment="1">
      <alignment horizontal="center" vertical="center" wrapText="1"/>
    </xf>
    <xf numFmtId="167" fontId="4" fillId="9" borderId="1" xfId="0" applyNumberFormat="1" applyFont="1" applyFill="1" applyBorder="1"/>
    <xf numFmtId="44" fontId="20" fillId="0" borderId="1" xfId="1" applyFont="1" applyBorder="1"/>
    <xf numFmtId="0" fontId="0" fillId="11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13" fillId="9" borderId="2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3" fillId="9" borderId="9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10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6" fillId="0" borderId="11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 wrapText="1"/>
    </xf>
    <xf numFmtId="0" fontId="2" fillId="6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16" fillId="3" borderId="11" xfId="0" applyFont="1" applyFill="1" applyBorder="1" applyAlignment="1">
      <alignment horizontal="left" vertical="center" wrapText="1"/>
    </xf>
    <xf numFmtId="0" fontId="16" fillId="3" borderId="12" xfId="0" applyFont="1" applyFill="1" applyBorder="1" applyAlignment="1">
      <alignment horizontal="left" vertical="center" wrapText="1"/>
    </xf>
    <xf numFmtId="0" fontId="16" fillId="3" borderId="13" xfId="0" applyFont="1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4" fontId="0" fillId="5" borderId="0" xfId="0" applyNumberFormat="1" applyFill="1" applyAlignment="1">
      <alignment horizontal="center" wrapText="1"/>
    </xf>
    <xf numFmtId="6" fontId="0" fillId="5" borderId="0" xfId="0" applyNumberFormat="1" applyFill="1" applyAlignment="1">
      <alignment horizontal="center" wrapText="1"/>
    </xf>
    <xf numFmtId="0" fontId="0" fillId="5" borderId="35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15" fillId="5" borderId="31" xfId="0" applyFont="1" applyFill="1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 wrapText="1"/>
    </xf>
    <xf numFmtId="0" fontId="19" fillId="5" borderId="35" xfId="0" applyFont="1" applyFill="1" applyBorder="1" applyAlignment="1">
      <alignment horizontal="center" vertical="center" wrapText="1"/>
    </xf>
    <xf numFmtId="0" fontId="19" fillId="5" borderId="36" xfId="0" applyFont="1" applyFill="1" applyBorder="1" applyAlignment="1">
      <alignment horizontal="center" vertical="center" wrapText="1"/>
    </xf>
    <xf numFmtId="0" fontId="15" fillId="5" borderId="3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2" fillId="11" borderId="31" xfId="0" applyFont="1" applyFill="1" applyBorder="1" applyAlignment="1">
      <alignment horizontal="center" vertical="center" wrapText="1"/>
    </xf>
    <xf numFmtId="0" fontId="2" fillId="11" borderId="33" xfId="0" applyFont="1" applyFill="1" applyBorder="1" applyAlignment="1">
      <alignment horizontal="center" vertical="center" wrapText="1"/>
    </xf>
    <xf numFmtId="0" fontId="2" fillId="11" borderId="38" xfId="0" applyFont="1" applyFill="1" applyBorder="1" applyAlignment="1">
      <alignment horizontal="center" vertical="center" wrapText="1"/>
    </xf>
    <xf numFmtId="168" fontId="2" fillId="11" borderId="32" xfId="0" applyNumberFormat="1" applyFont="1" applyFill="1" applyBorder="1" applyAlignment="1">
      <alignment horizontal="center" vertical="center"/>
    </xf>
    <xf numFmtId="0" fontId="2" fillId="11" borderId="34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44" fontId="20" fillId="3" borderId="11" xfId="1" applyFont="1" applyFill="1" applyBorder="1"/>
    <xf numFmtId="44" fontId="6" fillId="11" borderId="1" xfId="1" applyFont="1" applyFill="1" applyBorder="1"/>
    <xf numFmtId="4" fontId="6" fillId="0" borderId="1" xfId="0" applyNumberFormat="1" applyFont="1" applyBorder="1"/>
    <xf numFmtId="6" fontId="24" fillId="3" borderId="1" xfId="0" applyNumberFormat="1" applyFont="1" applyFill="1" applyBorder="1"/>
    <xf numFmtId="166" fontId="21" fillId="3" borderId="1" xfId="2" applyNumberFormat="1" applyFont="1" applyFill="1" applyBorder="1"/>
    <xf numFmtId="167" fontId="15" fillId="9" borderId="1" xfId="1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333375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0"/>
  <sheetViews>
    <sheetView tabSelected="1" topLeftCell="A61" workbookViewId="0">
      <selection activeCell="D79" sqref="D79:D80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5" ht="15.75" thickBot="1" x14ac:dyDescent="0.3">
      <c r="A1" s="8"/>
      <c r="B1" s="97" t="s">
        <v>118</v>
      </c>
      <c r="C1" s="8"/>
      <c r="D1" s="8"/>
      <c r="E1" s="8"/>
    </row>
    <row r="2" spans="1:5" x14ac:dyDescent="0.25">
      <c r="A2" s="64"/>
      <c r="B2" s="65" t="s">
        <v>0</v>
      </c>
      <c r="C2" s="65"/>
      <c r="D2" s="65"/>
      <c r="E2" s="66"/>
    </row>
    <row r="3" spans="1:5" x14ac:dyDescent="0.25">
      <c r="A3" s="67"/>
      <c r="B3" s="68" t="s">
        <v>88</v>
      </c>
      <c r="C3" s="68"/>
      <c r="D3" s="68"/>
      <c r="E3" s="69"/>
    </row>
    <row r="4" spans="1:5" ht="33.75" customHeight="1" thickBot="1" x14ac:dyDescent="0.3">
      <c r="A4" s="67"/>
      <c r="B4" s="68" t="s">
        <v>89</v>
      </c>
      <c r="C4" s="68"/>
      <c r="D4" s="68"/>
      <c r="E4" s="69"/>
    </row>
    <row r="5" spans="1:5" ht="15.75" thickBot="1" x14ac:dyDescent="0.3">
      <c r="A5" s="70" t="s">
        <v>1</v>
      </c>
      <c r="B5" s="71" t="s">
        <v>157</v>
      </c>
      <c r="C5" s="71" t="s">
        <v>153</v>
      </c>
      <c r="D5" s="71"/>
      <c r="E5" s="72"/>
    </row>
    <row r="6" spans="1:5" ht="15.75" thickBot="1" x14ac:dyDescent="0.3">
      <c r="A6" s="67" t="s">
        <v>99</v>
      </c>
      <c r="B6" s="68"/>
      <c r="C6" s="68"/>
      <c r="D6" s="68"/>
      <c r="E6" s="69"/>
    </row>
    <row r="7" spans="1:5" ht="15.75" thickBot="1" x14ac:dyDescent="0.3">
      <c r="A7" s="70" t="s">
        <v>98</v>
      </c>
      <c r="B7" s="71"/>
      <c r="C7" s="71"/>
      <c r="D7" s="71"/>
      <c r="E7" s="72"/>
    </row>
    <row r="9" spans="1:5" hidden="1" x14ac:dyDescent="0.25"/>
    <row r="10" spans="1:5" hidden="1" x14ac:dyDescent="0.25"/>
    <row r="11" spans="1:5" hidden="1" x14ac:dyDescent="0.25"/>
    <row r="12" spans="1:5" hidden="1" x14ac:dyDescent="0.25"/>
    <row r="14" spans="1:5" x14ac:dyDescent="0.25">
      <c r="B14" s="194" t="s">
        <v>134</v>
      </c>
      <c r="C14" s="195"/>
      <c r="D14" s="196"/>
    </row>
    <row r="15" spans="1:5" x14ac:dyDescent="0.25">
      <c r="B15" s="197"/>
      <c r="C15" s="198"/>
      <c r="D15" s="199"/>
    </row>
    <row r="16" spans="1:5" x14ac:dyDescent="0.25">
      <c r="B16" s="197"/>
      <c r="C16" s="198"/>
      <c r="D16" s="199"/>
    </row>
    <row r="17" spans="1:8" x14ac:dyDescent="0.25">
      <c r="B17" s="200"/>
      <c r="C17" s="201"/>
      <c r="D17" s="202"/>
    </row>
    <row r="19" spans="1:8" x14ac:dyDescent="0.25">
      <c r="A19" s="3"/>
    </row>
    <row r="20" spans="1:8" ht="15.75" thickBot="1" x14ac:dyDescent="0.3"/>
    <row r="21" spans="1:8" ht="15.75" thickBot="1" x14ac:dyDescent="0.3">
      <c r="A21" s="61" t="s">
        <v>86</v>
      </c>
      <c r="B21" s="62"/>
      <c r="C21" s="63"/>
      <c r="D21" s="59"/>
      <c r="E21" s="184" t="s">
        <v>121</v>
      </c>
      <c r="F21" s="185" t="s">
        <v>87</v>
      </c>
    </row>
    <row r="22" spans="1:8" x14ac:dyDescent="0.25">
      <c r="A22" s="120" t="s">
        <v>142</v>
      </c>
      <c r="B22" s="7" t="s">
        <v>158</v>
      </c>
      <c r="C22" s="7"/>
      <c r="D22" s="129"/>
      <c r="E22" s="183"/>
      <c r="F22" s="183"/>
    </row>
    <row r="23" spans="1:8" x14ac:dyDescent="0.25">
      <c r="A23" s="120" t="s">
        <v>126</v>
      </c>
      <c r="B23" s="7"/>
      <c r="C23" s="7"/>
      <c r="D23" s="242">
        <v>1376395.8</v>
      </c>
      <c r="E23" s="133">
        <f>D23*91.91%</f>
        <v>1265045.3797799998</v>
      </c>
      <c r="F23" s="133">
        <f>D23*8.09%</f>
        <v>111350.42022</v>
      </c>
    </row>
    <row r="24" spans="1:8" x14ac:dyDescent="0.25">
      <c r="A24" s="120" t="s">
        <v>2</v>
      </c>
      <c r="B24" s="7"/>
      <c r="C24" s="7"/>
      <c r="D24" s="242">
        <v>-299366.09000000003</v>
      </c>
      <c r="E24" s="133">
        <f t="shared" ref="E24:E25" si="0">D24*91.91%</f>
        <v>-275147.37331900001</v>
      </c>
      <c r="F24" s="133">
        <f t="shared" ref="F24:F25" si="1">D24*8.09%</f>
        <v>-24218.716681000002</v>
      </c>
    </row>
    <row r="25" spans="1:8" x14ac:dyDescent="0.25">
      <c r="A25" s="120" t="s">
        <v>112</v>
      </c>
      <c r="B25" s="7"/>
      <c r="C25" s="7"/>
      <c r="D25" s="242">
        <v>0.28999999999999998</v>
      </c>
      <c r="E25" s="133">
        <f t="shared" si="0"/>
        <v>0.26653899999999997</v>
      </c>
      <c r="F25" s="133">
        <f t="shared" si="1"/>
        <v>2.3460999999999999E-2</v>
      </c>
    </row>
    <row r="26" spans="1:8" x14ac:dyDescent="0.25">
      <c r="A26" s="120"/>
      <c r="B26" s="7"/>
      <c r="C26" s="7"/>
      <c r="D26" s="170"/>
      <c r="E26" s="133"/>
      <c r="F26" s="7"/>
    </row>
    <row r="27" spans="1:8" x14ac:dyDescent="0.25">
      <c r="A27" s="95" t="s">
        <v>3</v>
      </c>
      <c r="B27" s="95"/>
      <c r="C27" s="95"/>
      <c r="D27" s="107">
        <f>SUM(D23:D26)</f>
        <v>1077030</v>
      </c>
      <c r="E27" s="107">
        <f>SUM(E23:E26)</f>
        <v>989898.27299999981</v>
      </c>
      <c r="F27" s="107">
        <f>SUM(F23:F26)</f>
        <v>87131.726999999999</v>
      </c>
      <c r="G27" s="108">
        <f>E27+F27</f>
        <v>1077029.9999999998</v>
      </c>
      <c r="H27" s="146" t="str">
        <f>IF(D27=G27, "", "Error")</f>
        <v/>
      </c>
    </row>
    <row r="28" spans="1:8" hidden="1" x14ac:dyDescent="0.25">
      <c r="A28" s="94" t="s">
        <v>109</v>
      </c>
      <c r="B28" s="7"/>
      <c r="C28" s="7"/>
      <c r="D28" s="171">
        <v>0</v>
      </c>
      <c r="E28" s="133">
        <f>D28*91.91%</f>
        <v>0</v>
      </c>
      <c r="F28" s="133">
        <f>D28*8.09%</f>
        <v>0</v>
      </c>
      <c r="H28" s="146"/>
    </row>
    <row r="29" spans="1:8" hidden="1" x14ac:dyDescent="0.25">
      <c r="A29" s="94"/>
      <c r="B29" s="7"/>
      <c r="C29" s="7"/>
      <c r="D29" s="170">
        <v>0</v>
      </c>
      <c r="E29" s="133">
        <f>D29*91.91%</f>
        <v>0</v>
      </c>
      <c r="F29" s="133">
        <f>D29*8.09%</f>
        <v>0</v>
      </c>
      <c r="H29" s="146"/>
    </row>
    <row r="30" spans="1:8" hidden="1" x14ac:dyDescent="0.25">
      <c r="A30" s="94"/>
      <c r="B30" s="7"/>
      <c r="C30" s="7"/>
      <c r="D30" s="170"/>
      <c r="E30" s="7"/>
      <c r="F30" s="7"/>
      <c r="H30" s="146"/>
    </row>
    <row r="31" spans="1:8" hidden="1" x14ac:dyDescent="0.25">
      <c r="A31" s="94"/>
      <c r="B31" s="7"/>
      <c r="C31" s="7"/>
      <c r="D31" s="170"/>
      <c r="E31" s="7"/>
      <c r="F31" s="7"/>
      <c r="H31" s="146"/>
    </row>
    <row r="32" spans="1:8" hidden="1" x14ac:dyDescent="0.25">
      <c r="A32" s="95" t="s">
        <v>117</v>
      </c>
      <c r="B32" s="95"/>
      <c r="C32" s="95"/>
      <c r="D32" s="107">
        <f>SUM(D28:D30)</f>
        <v>0</v>
      </c>
      <c r="E32" s="107">
        <f t="shared" ref="E32:F32" si="2">SUM(E28:E30)</f>
        <v>0</v>
      </c>
      <c r="F32" s="107">
        <f t="shared" si="2"/>
        <v>0</v>
      </c>
      <c r="G32" s="108">
        <f>E32+F32</f>
        <v>0</v>
      </c>
      <c r="H32" s="146" t="str">
        <f>IF(D32=G32, "", "Error")</f>
        <v/>
      </c>
    </row>
    <row r="33" spans="1:8" hidden="1" x14ac:dyDescent="0.25">
      <c r="A33" s="94" t="s">
        <v>109</v>
      </c>
      <c r="B33" s="7"/>
      <c r="C33" s="7"/>
      <c r="D33" s="171"/>
      <c r="E33" s="133">
        <f>D33*91.91%</f>
        <v>0</v>
      </c>
      <c r="F33" s="133">
        <f>D33*8.09%</f>
        <v>0</v>
      </c>
      <c r="H33" s="146"/>
    </row>
    <row r="34" spans="1:8" hidden="1" x14ac:dyDescent="0.25">
      <c r="A34" s="7" t="s">
        <v>130</v>
      </c>
      <c r="B34" s="7"/>
      <c r="C34" s="7"/>
      <c r="D34" s="170"/>
      <c r="E34" s="133">
        <f t="shared" ref="E34:E35" si="3">D34*91.91%</f>
        <v>0</v>
      </c>
      <c r="F34" s="133">
        <f t="shared" ref="F34:F35" si="4">D34*8.09%</f>
        <v>0</v>
      </c>
      <c r="H34" s="146"/>
    </row>
    <row r="35" spans="1:8" hidden="1" x14ac:dyDescent="0.25">
      <c r="A35" s="94" t="s">
        <v>2</v>
      </c>
      <c r="B35" s="7"/>
      <c r="C35" s="7"/>
      <c r="D35" s="170"/>
      <c r="E35" s="133">
        <f t="shared" si="3"/>
        <v>0</v>
      </c>
      <c r="F35" s="133">
        <f t="shared" si="4"/>
        <v>0</v>
      </c>
      <c r="H35" s="146"/>
    </row>
    <row r="36" spans="1:8" hidden="1" x14ac:dyDescent="0.25">
      <c r="A36" s="95" t="s">
        <v>110</v>
      </c>
      <c r="B36" s="95"/>
      <c r="C36" s="95"/>
      <c r="D36" s="107">
        <f>SUM(D29:D35)</f>
        <v>0</v>
      </c>
      <c r="E36" s="107">
        <f t="shared" ref="E36" si="5">SUM(E29:E35)</f>
        <v>0</v>
      </c>
      <c r="F36" s="118">
        <f>E36*8.09%</f>
        <v>0</v>
      </c>
      <c r="H36" s="146"/>
    </row>
    <row r="37" spans="1:8" ht="0.75" hidden="1" customHeight="1" x14ac:dyDescent="0.25">
      <c r="A37" s="128"/>
      <c r="B37" s="98"/>
      <c r="C37" s="98"/>
      <c r="D37" s="170"/>
      <c r="E37" s="119"/>
      <c r="F37" s="119"/>
      <c r="H37" s="146"/>
    </row>
    <row r="38" spans="1:8" hidden="1" x14ac:dyDescent="0.25">
      <c r="A38" s="128"/>
      <c r="B38" s="98"/>
      <c r="C38" s="98"/>
      <c r="D38" s="170"/>
      <c r="E38" s="119"/>
      <c r="F38" s="119"/>
      <c r="H38" s="146"/>
    </row>
    <row r="39" spans="1:8" hidden="1" x14ac:dyDescent="0.25">
      <c r="A39" s="98"/>
      <c r="B39" s="98"/>
      <c r="C39" s="110"/>
      <c r="D39" s="170"/>
      <c r="E39" s="119"/>
      <c r="F39" s="119"/>
      <c r="H39" s="146"/>
    </row>
    <row r="40" spans="1:8" hidden="1" x14ac:dyDescent="0.25">
      <c r="A40" s="95" t="s">
        <v>117</v>
      </c>
      <c r="B40" s="95"/>
      <c r="C40" s="95"/>
      <c r="D40" s="107"/>
      <c r="E40" s="111">
        <f>SUM(D37:D39)</f>
        <v>0</v>
      </c>
      <c r="F40" s="109">
        <f>(D37)*8.09%</f>
        <v>0</v>
      </c>
      <c r="H40" s="146"/>
    </row>
    <row r="41" spans="1:8" hidden="1" x14ac:dyDescent="0.25">
      <c r="A41" s="94"/>
      <c r="B41" s="7"/>
      <c r="C41" s="7"/>
      <c r="D41" s="112"/>
      <c r="E41" s="133">
        <f>D41*91.91%</f>
        <v>0</v>
      </c>
      <c r="F41" s="133">
        <f>D41*8.09%</f>
        <v>0</v>
      </c>
      <c r="H41" s="146"/>
    </row>
    <row r="42" spans="1:8" hidden="1" x14ac:dyDescent="0.25">
      <c r="A42" s="94"/>
      <c r="B42" s="7"/>
      <c r="C42" s="7"/>
      <c r="D42" s="112"/>
      <c r="E42" s="133">
        <f>D42*91.91%</f>
        <v>0</v>
      </c>
      <c r="F42" s="133">
        <f>D42*8.09%</f>
        <v>0</v>
      </c>
      <c r="H42" s="146"/>
    </row>
    <row r="43" spans="1:8" hidden="1" x14ac:dyDescent="0.25">
      <c r="A43" s="94"/>
      <c r="B43" s="7"/>
      <c r="C43" s="7"/>
      <c r="D43" s="173"/>
      <c r="E43" s="133">
        <f>D43*91.91%</f>
        <v>0</v>
      </c>
      <c r="F43" s="133">
        <f>D43*8.09%</f>
        <v>0</v>
      </c>
      <c r="H43" s="146"/>
    </row>
    <row r="44" spans="1:8" ht="15.75" hidden="1" thickBot="1" x14ac:dyDescent="0.3">
      <c r="A44" s="95" t="s">
        <v>127</v>
      </c>
      <c r="B44" s="95"/>
      <c r="C44" s="95"/>
      <c r="D44" s="107">
        <f>SUM(D41:D43)</f>
        <v>0</v>
      </c>
      <c r="E44" s="153">
        <f>SUM(E41:E43)</f>
        <v>0</v>
      </c>
      <c r="F44" s="161">
        <f>SUM(F41:F43)</f>
        <v>0</v>
      </c>
      <c r="G44" s="108">
        <f>E44+F44</f>
        <v>0</v>
      </c>
      <c r="H44" s="146"/>
    </row>
    <row r="45" spans="1:8" x14ac:dyDescent="0.25">
      <c r="A45" s="94" t="s">
        <v>4</v>
      </c>
      <c r="B45" s="7"/>
      <c r="C45" s="7"/>
      <c r="D45" s="173"/>
      <c r="E45" s="113"/>
      <c r="F45" s="100"/>
      <c r="H45" s="146"/>
    </row>
    <row r="46" spans="1:8" x14ac:dyDescent="0.25">
      <c r="A46" s="94" t="s">
        <v>162</v>
      </c>
      <c r="B46" s="7"/>
      <c r="C46" s="98"/>
      <c r="D46" s="180">
        <v>5020</v>
      </c>
      <c r="E46" s="133">
        <f>D46*91.91%</f>
        <v>4613.8819999999996</v>
      </c>
      <c r="F46" s="133">
        <f>D46*8.09%</f>
        <v>406.11799999999999</v>
      </c>
      <c r="H46" s="146"/>
    </row>
    <row r="47" spans="1:8" x14ac:dyDescent="0.25">
      <c r="A47" s="94" t="s">
        <v>5</v>
      </c>
      <c r="B47" s="7" t="s">
        <v>164</v>
      </c>
      <c r="C47" s="7"/>
      <c r="D47" s="180">
        <f>113583.37+6781.8+61036.17</f>
        <v>181401.34</v>
      </c>
      <c r="E47" s="133">
        <f>D47*91.91%</f>
        <v>166725.97159399997</v>
      </c>
      <c r="F47" s="133">
        <f>D47*8.09%</f>
        <v>14675.368406</v>
      </c>
      <c r="H47" s="146"/>
    </row>
    <row r="48" spans="1:8" x14ac:dyDescent="0.25">
      <c r="A48" s="94" t="s">
        <v>135</v>
      </c>
      <c r="B48" s="98" t="s">
        <v>163</v>
      </c>
      <c r="C48" s="7"/>
      <c r="D48" s="180">
        <f>600931.76+14011.05</f>
        <v>614942.81000000006</v>
      </c>
      <c r="E48" s="133">
        <f>D48*91.91%</f>
        <v>565193.93667099997</v>
      </c>
      <c r="F48" s="133">
        <f>D48*8.09%</f>
        <v>49748.873329000002</v>
      </c>
      <c r="H48" s="146"/>
    </row>
    <row r="49" spans="1:16" x14ac:dyDescent="0.25">
      <c r="A49" s="95" t="s">
        <v>6</v>
      </c>
      <c r="B49" s="96"/>
      <c r="C49" s="96"/>
      <c r="D49" s="107">
        <f>SUM(D46:D48)</f>
        <v>801364.15</v>
      </c>
      <c r="E49" s="107">
        <f t="shared" ref="E49:F49" si="6">SUM(E46:E48)</f>
        <v>736533.79026499996</v>
      </c>
      <c r="F49" s="107">
        <f t="shared" si="6"/>
        <v>64830.359735000005</v>
      </c>
      <c r="G49" s="108">
        <f>E49+F49</f>
        <v>801364.14999999991</v>
      </c>
      <c r="H49" s="146" t="str">
        <f>IF(D49=G49, "", "Error")</f>
        <v/>
      </c>
    </row>
    <row r="50" spans="1:16" x14ac:dyDescent="0.25">
      <c r="A50" s="7" t="s">
        <v>7</v>
      </c>
      <c r="B50" s="7"/>
      <c r="C50" s="7"/>
      <c r="D50" s="173"/>
      <c r="E50" s="114"/>
      <c r="F50" s="7"/>
      <c r="H50" s="146"/>
    </row>
    <row r="51" spans="1:16" x14ac:dyDescent="0.25">
      <c r="A51" s="177" t="s">
        <v>155</v>
      </c>
      <c r="B51" s="166"/>
      <c r="C51" s="167"/>
      <c r="D51" s="191">
        <v>39000</v>
      </c>
      <c r="E51" s="145">
        <f>D51</f>
        <v>39000</v>
      </c>
      <c r="F51" s="7"/>
      <c r="G51" s="108">
        <f>D51</f>
        <v>39000</v>
      </c>
      <c r="H51" s="155">
        <f>E51+F51</f>
        <v>39000</v>
      </c>
      <c r="I51" s="168"/>
      <c r="J51" s="168"/>
    </row>
    <row r="52" spans="1:16" ht="16.5" customHeight="1" x14ac:dyDescent="0.25">
      <c r="A52" s="177" t="s">
        <v>138</v>
      </c>
      <c r="B52" s="166"/>
      <c r="C52" s="167"/>
      <c r="D52" s="180">
        <v>372000</v>
      </c>
      <c r="E52" s="145">
        <f>D52</f>
        <v>372000</v>
      </c>
      <c r="F52" s="7"/>
      <c r="G52" s="108">
        <f>D52</f>
        <v>372000</v>
      </c>
      <c r="H52" s="155">
        <f>E52+F52</f>
        <v>372000</v>
      </c>
      <c r="I52" s="168">
        <f>H52-D52</f>
        <v>0</v>
      </c>
      <c r="J52" s="168"/>
    </row>
    <row r="53" spans="1:16" ht="14.25" customHeight="1" x14ac:dyDescent="0.25">
      <c r="A53" s="120" t="s">
        <v>8</v>
      </c>
      <c r="B53" s="156"/>
      <c r="C53" s="7"/>
      <c r="D53" s="112"/>
      <c r="E53" s="145">
        <f t="shared" ref="E53:E58" si="7">D53*91.91%</f>
        <v>0</v>
      </c>
      <c r="F53" s="133">
        <f t="shared" ref="F53:F58" si="8">D53*8.09%</f>
        <v>0</v>
      </c>
      <c r="G53" s="108">
        <f t="shared" ref="G53:G63" si="9">D53</f>
        <v>0</v>
      </c>
      <c r="H53" s="155">
        <f t="shared" ref="H53:H63" si="10">E53+F53</f>
        <v>0</v>
      </c>
      <c r="I53" s="168"/>
      <c r="J53" s="168"/>
    </row>
    <row r="54" spans="1:16" x14ac:dyDescent="0.25">
      <c r="A54" s="94" t="s">
        <v>168</v>
      </c>
      <c r="B54" s="7"/>
      <c r="C54" s="7"/>
      <c r="D54" s="180">
        <v>148200</v>
      </c>
      <c r="E54" s="145">
        <f t="shared" si="7"/>
        <v>136210.62</v>
      </c>
      <c r="F54" s="133">
        <f t="shared" si="8"/>
        <v>11989.38</v>
      </c>
      <c r="G54" s="108">
        <f t="shared" si="9"/>
        <v>148200</v>
      </c>
      <c r="H54" s="155">
        <f t="shared" si="10"/>
        <v>148200</v>
      </c>
      <c r="I54" s="168">
        <f t="shared" ref="I54:I62" si="11">H54-D54</f>
        <v>0</v>
      </c>
      <c r="J54" s="168">
        <f t="shared" ref="J54:J62" si="12">G54-D54</f>
        <v>0</v>
      </c>
    </row>
    <row r="55" spans="1:16" x14ac:dyDescent="0.25">
      <c r="A55" s="94" t="s">
        <v>169</v>
      </c>
      <c r="B55" s="7"/>
      <c r="C55" s="7"/>
      <c r="D55" s="180">
        <v>812358.3</v>
      </c>
      <c r="E55" s="145">
        <f t="shared" si="7"/>
        <v>746638.51353</v>
      </c>
      <c r="F55" s="133">
        <f t="shared" si="8"/>
        <v>65719.786470000006</v>
      </c>
      <c r="G55" s="108">
        <f t="shared" si="9"/>
        <v>812358.3</v>
      </c>
      <c r="H55" s="155">
        <f t="shared" si="10"/>
        <v>812358.3</v>
      </c>
      <c r="I55" s="168"/>
      <c r="J55" s="168"/>
    </row>
    <row r="56" spans="1:16" x14ac:dyDescent="0.25">
      <c r="A56" s="94" t="s">
        <v>9</v>
      </c>
      <c r="B56" s="7" t="s">
        <v>160</v>
      </c>
      <c r="C56" s="7"/>
      <c r="D56" s="180">
        <v>129320</v>
      </c>
      <c r="E56" s="145">
        <f>D56*91.91%</f>
        <v>118858.01199999999</v>
      </c>
      <c r="F56" s="133">
        <f t="shared" si="8"/>
        <v>10461.987999999999</v>
      </c>
      <c r="G56" s="108">
        <f t="shared" si="9"/>
        <v>129320</v>
      </c>
      <c r="H56" s="155">
        <f>E56+F56</f>
        <v>129319.99999999999</v>
      </c>
      <c r="I56" s="168">
        <f t="shared" si="11"/>
        <v>0</v>
      </c>
      <c r="J56" s="168">
        <f t="shared" si="12"/>
        <v>0</v>
      </c>
    </row>
    <row r="57" spans="1:16" x14ac:dyDescent="0.25">
      <c r="A57" s="94" t="s">
        <v>11</v>
      </c>
      <c r="B57" s="98" t="s">
        <v>161</v>
      </c>
      <c r="C57" s="7"/>
      <c r="D57" s="180">
        <v>655067.86</v>
      </c>
      <c r="E57" s="145">
        <f t="shared" si="7"/>
        <v>602072.87012599991</v>
      </c>
      <c r="F57" s="133">
        <f t="shared" si="8"/>
        <v>52994.989873999999</v>
      </c>
      <c r="G57" s="108">
        <f t="shared" si="9"/>
        <v>655067.86</v>
      </c>
      <c r="H57" s="155">
        <f t="shared" si="10"/>
        <v>655067.85999999987</v>
      </c>
      <c r="I57" s="168">
        <f t="shared" si="11"/>
        <v>0</v>
      </c>
      <c r="J57" s="168">
        <f t="shared" si="12"/>
        <v>0</v>
      </c>
    </row>
    <row r="58" spans="1:16" x14ac:dyDescent="0.25">
      <c r="A58" s="128" t="s">
        <v>10</v>
      </c>
      <c r="B58" s="98" t="s">
        <v>166</v>
      </c>
      <c r="C58" s="98"/>
      <c r="D58" s="180">
        <v>1107047.99</v>
      </c>
      <c r="E58" s="145">
        <f t="shared" si="7"/>
        <v>1017487.8076089999</v>
      </c>
      <c r="F58" s="133">
        <f t="shared" si="8"/>
        <v>89560.182390999995</v>
      </c>
      <c r="G58" s="108">
        <f t="shared" si="9"/>
        <v>1107047.99</v>
      </c>
      <c r="H58" s="155">
        <f t="shared" si="10"/>
        <v>1107047.99</v>
      </c>
      <c r="I58" s="168">
        <f t="shared" si="11"/>
        <v>0</v>
      </c>
      <c r="J58" s="168">
        <f t="shared" si="12"/>
        <v>0</v>
      </c>
    </row>
    <row r="59" spans="1:16" x14ac:dyDescent="0.25">
      <c r="A59" s="211" t="s">
        <v>167</v>
      </c>
      <c r="B59" s="212"/>
      <c r="C59" s="213"/>
      <c r="D59" s="180">
        <v>51000</v>
      </c>
      <c r="E59" s="145">
        <f t="shared" ref="E59" si="13">D59</f>
        <v>51000</v>
      </c>
      <c r="F59" s="133"/>
      <c r="G59" s="108">
        <f t="shared" si="9"/>
        <v>51000</v>
      </c>
      <c r="H59" s="155">
        <f t="shared" si="10"/>
        <v>51000</v>
      </c>
      <c r="I59" s="168">
        <f t="shared" si="11"/>
        <v>0</v>
      </c>
      <c r="J59" s="168">
        <f t="shared" si="12"/>
        <v>0</v>
      </c>
    </row>
    <row r="60" spans="1:16" x14ac:dyDescent="0.25">
      <c r="A60" s="186" t="s">
        <v>165</v>
      </c>
      <c r="B60" s="98"/>
      <c r="C60" s="98"/>
      <c r="D60" s="180">
        <v>400000</v>
      </c>
      <c r="E60" s="145">
        <f t="shared" ref="E60:E63" si="14">D60*91.91%</f>
        <v>367639.99999999994</v>
      </c>
      <c r="F60" s="133">
        <f t="shared" ref="F60:F63" si="15">D60*8.09%</f>
        <v>32360</v>
      </c>
      <c r="G60" s="108">
        <f t="shared" si="9"/>
        <v>400000</v>
      </c>
      <c r="H60" s="155">
        <f t="shared" si="10"/>
        <v>399999.99999999994</v>
      </c>
      <c r="I60" s="168">
        <f t="shared" si="11"/>
        <v>0</v>
      </c>
      <c r="J60" s="168">
        <f t="shared" si="12"/>
        <v>0</v>
      </c>
      <c r="M60" s="179" t="s">
        <v>137</v>
      </c>
      <c r="N60" s="7"/>
      <c r="O60" s="7"/>
      <c r="P60" s="180">
        <v>358487.12</v>
      </c>
    </row>
    <row r="61" spans="1:16" x14ac:dyDescent="0.25">
      <c r="A61" s="7" t="s">
        <v>154</v>
      </c>
      <c r="B61" s="98"/>
      <c r="C61" s="98"/>
      <c r="D61" s="180">
        <v>47279.57</v>
      </c>
      <c r="E61" s="145">
        <f t="shared" ref="E61:E62" si="16">D61</f>
        <v>47279.57</v>
      </c>
      <c r="F61" s="133"/>
      <c r="G61" s="108">
        <f t="shared" si="9"/>
        <v>47279.57</v>
      </c>
      <c r="H61" s="155">
        <f t="shared" si="10"/>
        <v>47279.57</v>
      </c>
      <c r="I61" s="168"/>
      <c r="J61" s="168"/>
    </row>
    <row r="62" spans="1:16" ht="14.25" customHeight="1" x14ac:dyDescent="0.25">
      <c r="A62" s="7" t="s">
        <v>119</v>
      </c>
      <c r="B62" s="7"/>
      <c r="C62" s="7"/>
      <c r="D62" s="180">
        <v>88294</v>
      </c>
      <c r="E62" s="145">
        <f t="shared" si="16"/>
        <v>88294</v>
      </c>
      <c r="F62" s="133"/>
      <c r="G62" s="108">
        <f t="shared" si="9"/>
        <v>88294</v>
      </c>
      <c r="H62" s="155">
        <f t="shared" si="10"/>
        <v>88294</v>
      </c>
      <c r="I62" s="168">
        <f t="shared" si="11"/>
        <v>0</v>
      </c>
      <c r="J62" s="168">
        <f t="shared" si="12"/>
        <v>0</v>
      </c>
    </row>
    <row r="63" spans="1:16" ht="14.25" customHeight="1" x14ac:dyDescent="0.25">
      <c r="A63" s="120" t="s">
        <v>156</v>
      </c>
      <c r="B63" s="113"/>
      <c r="C63" s="7"/>
      <c r="D63" s="180">
        <v>90143.44</v>
      </c>
      <c r="E63" s="145">
        <f t="shared" si="14"/>
        <v>82850.835703999997</v>
      </c>
      <c r="F63" s="133">
        <f t="shared" si="15"/>
        <v>7292.6042960000004</v>
      </c>
      <c r="G63" s="108">
        <f t="shared" si="9"/>
        <v>90143.44</v>
      </c>
      <c r="H63" s="155">
        <f t="shared" si="10"/>
        <v>90143.44</v>
      </c>
      <c r="I63" s="168"/>
      <c r="J63" s="168"/>
    </row>
    <row r="64" spans="1:16" x14ac:dyDescent="0.25">
      <c r="A64" s="95" t="s">
        <v>12</v>
      </c>
      <c r="B64" s="96"/>
      <c r="C64" s="96"/>
      <c r="D64" s="107">
        <f>SUM(D51:D63)</f>
        <v>3939711.16</v>
      </c>
      <c r="E64" s="107">
        <f>SUM(E51:E63)</f>
        <v>3669332.2289689998</v>
      </c>
      <c r="F64" s="107">
        <f>SUM(F51:F63)</f>
        <v>270378.93103099999</v>
      </c>
      <c r="G64" s="108">
        <f>E64+F64</f>
        <v>3939711.1599999997</v>
      </c>
      <c r="H64" s="146" t="str">
        <f>IF(D64=G64, "", "Error")</f>
        <v/>
      </c>
      <c r="I64" s="168">
        <f>D64-G64</f>
        <v>0</v>
      </c>
    </row>
    <row r="65" spans="1:10" hidden="1" x14ac:dyDescent="0.25">
      <c r="A65" s="7"/>
      <c r="B65" s="7"/>
      <c r="C65" s="7"/>
      <c r="D65" s="173"/>
      <c r="E65" s="114"/>
      <c r="F65" s="7"/>
      <c r="H65" s="146"/>
    </row>
    <row r="66" spans="1:10" hidden="1" x14ac:dyDescent="0.25">
      <c r="A66" s="7"/>
      <c r="B66" s="7"/>
      <c r="C66" s="7"/>
      <c r="D66" s="173"/>
      <c r="E66" s="113"/>
      <c r="F66" s="7"/>
      <c r="H66" s="146"/>
    </row>
    <row r="67" spans="1:10" hidden="1" x14ac:dyDescent="0.25">
      <c r="A67" s="7"/>
      <c r="B67" s="7"/>
      <c r="C67" s="7"/>
      <c r="D67" s="173"/>
      <c r="E67" s="113"/>
      <c r="F67" s="7"/>
      <c r="H67" s="146"/>
    </row>
    <row r="68" spans="1:10" x14ac:dyDescent="0.25">
      <c r="A68" s="94" t="s">
        <v>141</v>
      </c>
      <c r="B68" s="98"/>
      <c r="C68" s="7"/>
      <c r="D68" s="180">
        <v>112680</v>
      </c>
      <c r="E68" s="145">
        <f>D68*91.91%</f>
        <v>103564.18799999999</v>
      </c>
      <c r="F68" s="133">
        <f>D68*8.09%</f>
        <v>9115.8119999999999</v>
      </c>
      <c r="G68" s="154"/>
      <c r="H68" s="146"/>
    </row>
    <row r="69" spans="1:10" x14ac:dyDescent="0.25">
      <c r="A69" s="7"/>
      <c r="B69" s="7"/>
      <c r="C69" s="7"/>
      <c r="D69" s="112"/>
      <c r="E69" s="157">
        <f>D69</f>
        <v>0</v>
      </c>
      <c r="F69" s="7"/>
      <c r="H69" s="146"/>
      <c r="I69" s="108"/>
    </row>
    <row r="70" spans="1:10" ht="13.5" customHeight="1" x14ac:dyDescent="0.25">
      <c r="A70" s="95" t="s">
        <v>16</v>
      </c>
      <c r="B70" s="95"/>
      <c r="C70" s="95"/>
      <c r="D70" s="107">
        <f>SUM(D68:D69)</f>
        <v>112680</v>
      </c>
      <c r="E70" s="107">
        <f>SUM(E68:E69)</f>
        <v>103564.18799999999</v>
      </c>
      <c r="F70" s="107">
        <f>SUM(F68:F69)</f>
        <v>9115.8119999999999</v>
      </c>
      <c r="G70" s="108">
        <f>E70+F70</f>
        <v>112680</v>
      </c>
      <c r="H70" s="146" t="str">
        <f>IF(D70=G70, "", "Error")</f>
        <v/>
      </c>
      <c r="J70" s="108"/>
    </row>
    <row r="71" spans="1:10" hidden="1" x14ac:dyDescent="0.25">
      <c r="A71" s="7"/>
      <c r="B71" s="7"/>
      <c r="C71" s="7"/>
      <c r="D71" s="173"/>
      <c r="E71" s="114"/>
      <c r="F71" s="7"/>
      <c r="H71" s="146"/>
    </row>
    <row r="72" spans="1:10" hidden="1" x14ac:dyDescent="0.25">
      <c r="A72" s="7"/>
      <c r="B72" s="7"/>
      <c r="C72" s="7"/>
      <c r="D72" s="173"/>
      <c r="E72" s="113"/>
      <c r="F72" s="7"/>
      <c r="H72" s="146"/>
    </row>
    <row r="73" spans="1:10" x14ac:dyDescent="0.25">
      <c r="A73" s="94" t="s">
        <v>13</v>
      </c>
      <c r="B73" s="7"/>
      <c r="C73" s="7"/>
      <c r="D73" s="173"/>
      <c r="E73" s="113"/>
      <c r="F73" s="7"/>
      <c r="H73" s="146"/>
    </row>
    <row r="74" spans="1:10" ht="14.25" customHeight="1" x14ac:dyDescent="0.25">
      <c r="A74" s="94" t="s">
        <v>14</v>
      </c>
      <c r="B74" s="7" t="s">
        <v>116</v>
      </c>
      <c r="C74" s="7"/>
      <c r="D74" s="180">
        <v>246000</v>
      </c>
      <c r="E74" s="145">
        <f>D74*91.91%</f>
        <v>226098.59999999998</v>
      </c>
      <c r="F74" s="133">
        <f>D74*8.09%</f>
        <v>19901.400000000001</v>
      </c>
      <c r="G74" t="s">
        <v>139</v>
      </c>
      <c r="H74" s="146"/>
    </row>
    <row r="75" spans="1:10" x14ac:dyDescent="0.25">
      <c r="A75" s="94" t="s">
        <v>107</v>
      </c>
      <c r="B75" s="7"/>
      <c r="C75" s="7"/>
      <c r="D75" s="180">
        <v>35000</v>
      </c>
      <c r="E75" s="145">
        <f>D75*91.91%</f>
        <v>32168.499999999996</v>
      </c>
      <c r="F75" s="133">
        <f>D75*8.09%</f>
        <v>2831.5</v>
      </c>
      <c r="H75" s="146"/>
      <c r="J75" s="112"/>
    </row>
    <row r="76" spans="1:10" x14ac:dyDescent="0.25">
      <c r="A76" s="7"/>
      <c r="B76" s="7"/>
      <c r="C76" s="7"/>
      <c r="D76" s="173"/>
      <c r="E76" s="115"/>
      <c r="F76" s="7"/>
      <c r="H76" s="146"/>
      <c r="J76" s="108"/>
    </row>
    <row r="77" spans="1:10" x14ac:dyDescent="0.25">
      <c r="A77" s="95" t="s">
        <v>100</v>
      </c>
      <c r="B77" s="95"/>
      <c r="C77" s="95"/>
      <c r="D77" s="107">
        <f>SUM(D74:D76)</f>
        <v>281000</v>
      </c>
      <c r="E77" s="107">
        <f>SUM(E74:E76)</f>
        <v>258267.09999999998</v>
      </c>
      <c r="F77" s="107">
        <f>SUM(F74:F76)</f>
        <v>22732.9</v>
      </c>
      <c r="G77" s="108">
        <f>E77+F77</f>
        <v>281000</v>
      </c>
      <c r="H77" s="146" t="str">
        <f>IF(D77=G77, "", "Error")</f>
        <v/>
      </c>
      <c r="J77" s="108"/>
    </row>
    <row r="78" spans="1:10" ht="14.25" customHeight="1" x14ac:dyDescent="0.25">
      <c r="A78" s="94" t="s">
        <v>100</v>
      </c>
      <c r="B78" s="7"/>
      <c r="C78" s="7"/>
      <c r="D78" s="112"/>
      <c r="E78" s="116"/>
      <c r="F78" s="7"/>
      <c r="H78" s="146"/>
    </row>
    <row r="79" spans="1:10" x14ac:dyDescent="0.25">
      <c r="A79" s="94" t="s">
        <v>101</v>
      </c>
      <c r="B79" s="7"/>
      <c r="C79" s="7"/>
      <c r="D79" s="243">
        <v>230178.74</v>
      </c>
      <c r="E79" s="145">
        <f>D79*91.91%</f>
        <v>211557.27993399996</v>
      </c>
      <c r="F79" s="133">
        <f>D79*8.09%</f>
        <v>18621.460066</v>
      </c>
      <c r="H79" s="146"/>
    </row>
    <row r="80" spans="1:10" x14ac:dyDescent="0.25">
      <c r="A80" s="94" t="s">
        <v>102</v>
      </c>
      <c r="B80" s="7"/>
      <c r="C80" s="121"/>
      <c r="D80" s="243">
        <v>44400</v>
      </c>
      <c r="E80" s="145">
        <f>D80*91.91%</f>
        <v>40808.039999999994</v>
      </c>
      <c r="F80" s="133">
        <f>D80*8.09%</f>
        <v>3591.96</v>
      </c>
      <c r="H80" s="146"/>
    </row>
    <row r="81" spans="1:9" x14ac:dyDescent="0.25">
      <c r="A81" s="95" t="s">
        <v>15</v>
      </c>
      <c r="B81" s="95"/>
      <c r="C81" s="95"/>
      <c r="D81" s="152">
        <f>SUM(D79:D80)</f>
        <v>274578.74</v>
      </c>
      <c r="E81" s="143">
        <f t="shared" ref="E81:F81" si="17">SUM(E79:E80)</f>
        <v>252365.31993399997</v>
      </c>
      <c r="F81" s="143">
        <f t="shared" si="17"/>
        <v>22213.420065999999</v>
      </c>
      <c r="G81" s="108">
        <f>E81+F81</f>
        <v>274578.74</v>
      </c>
      <c r="H81" s="146" t="str">
        <f>IF(D81=G81, "", "Error")</f>
        <v/>
      </c>
    </row>
    <row r="82" spans="1:9" ht="15.75" thickBot="1" x14ac:dyDescent="0.3">
      <c r="A82" s="7"/>
      <c r="B82" s="7"/>
      <c r="C82" s="7"/>
      <c r="D82" s="174"/>
      <c r="E82" s="12"/>
      <c r="F82" s="7"/>
      <c r="H82" s="146"/>
    </row>
    <row r="83" spans="1:9" ht="15.75" thickBot="1" x14ac:dyDescent="0.3">
      <c r="A83" s="99" t="s">
        <v>133</v>
      </c>
      <c r="B83" s="99"/>
      <c r="C83" s="99"/>
      <c r="D83" s="175">
        <f>7000000-5970688.01</f>
        <v>1029311.9900000002</v>
      </c>
      <c r="E83" s="117">
        <f>D83*91.91%</f>
        <v>946040.65000900009</v>
      </c>
      <c r="F83" s="135">
        <f>D83*8.09%</f>
        <v>83271.339991000015</v>
      </c>
      <c r="G83" s="108">
        <f>E83+F83</f>
        <v>1029311.9900000001</v>
      </c>
      <c r="H83" s="146" t="str">
        <f>IF(D83=G83, "", "Error")</f>
        <v/>
      </c>
    </row>
    <row r="84" spans="1:9" ht="15.75" thickBot="1" x14ac:dyDescent="0.3">
      <c r="A84" s="1"/>
      <c r="D84" s="172"/>
      <c r="E84" s="2"/>
      <c r="F84" s="10"/>
      <c r="G84" s="151"/>
      <c r="H84" s="146"/>
    </row>
    <row r="85" spans="1:9" ht="15.75" thickBot="1" x14ac:dyDescent="0.3">
      <c r="A85" s="4" t="s">
        <v>103</v>
      </c>
      <c r="B85" s="60"/>
      <c r="C85" s="5"/>
      <c r="D85" s="176">
        <f>SUM(D83+D81+D77+D70+D64+D49+D32+D27+D44)</f>
        <v>7515676.040000001</v>
      </c>
      <c r="E85" s="144">
        <f>SUM(E83+E81+E77+E70+E64+E49+E32+E27+E44)</f>
        <v>6956001.5501770005</v>
      </c>
      <c r="F85" s="144">
        <f>SUM(F83+F81+F77+F70+F64+F49+F32+F27+F44)</f>
        <v>559674.48982300004</v>
      </c>
      <c r="G85" s="108">
        <f>E85+F85</f>
        <v>7515676.040000001</v>
      </c>
      <c r="H85" s="146" t="str">
        <f>IF(D85=G85, "", "Error")</f>
        <v/>
      </c>
      <c r="I85" s="168">
        <f>D85-G85</f>
        <v>0</v>
      </c>
    </row>
    <row r="86" spans="1:9" ht="15.75" thickBot="1" x14ac:dyDescent="0.3">
      <c r="D86" s="172"/>
      <c r="E86" s="108"/>
    </row>
    <row r="87" spans="1:9" ht="15.75" thickBot="1" x14ac:dyDescent="0.3">
      <c r="A87" s="182" t="s">
        <v>152</v>
      </c>
      <c r="B87" s="140"/>
      <c r="C87" s="140"/>
      <c r="E87" s="108"/>
    </row>
    <row r="88" spans="1:9" x14ac:dyDescent="0.25">
      <c r="A88" s="1"/>
      <c r="C88" s="138"/>
      <c r="E88" s="108"/>
    </row>
    <row r="89" spans="1:9" ht="15.75" thickBot="1" x14ac:dyDescent="0.3">
      <c r="A89" s="1"/>
      <c r="C89" s="138"/>
      <c r="E89" s="108"/>
    </row>
    <row r="90" spans="1:9" ht="15.75" thickBot="1" x14ac:dyDescent="0.3">
      <c r="A90" s="141" t="s">
        <v>29</v>
      </c>
      <c r="B90" s="142"/>
      <c r="C90" s="139">
        <f>SUM(C88:C89)</f>
        <v>0</v>
      </c>
      <c r="E90" s="108"/>
    </row>
    <row r="91" spans="1:9" x14ac:dyDescent="0.25">
      <c r="E91" s="108"/>
    </row>
    <row r="92" spans="1:9" x14ac:dyDescent="0.25">
      <c r="E92" s="136"/>
    </row>
    <row r="93" spans="1:9" x14ac:dyDescent="0.25">
      <c r="A93" s="209" t="s">
        <v>113</v>
      </c>
      <c r="B93" s="210"/>
      <c r="C93" s="210"/>
      <c r="D93" s="210"/>
      <c r="E93" s="163" t="s">
        <v>21</v>
      </c>
      <c r="F93" s="164" t="s">
        <v>122</v>
      </c>
    </row>
    <row r="94" spans="1:9" ht="36" customHeight="1" x14ac:dyDescent="0.25">
      <c r="A94" s="206" t="s">
        <v>170</v>
      </c>
      <c r="B94" s="207"/>
      <c r="C94" s="208"/>
      <c r="D94" s="180">
        <v>2900000</v>
      </c>
      <c r="E94" s="145">
        <f t="shared" ref="E94:E95" si="18">D94*91.91%</f>
        <v>2665389.9999999995</v>
      </c>
      <c r="F94" s="133">
        <f t="shared" ref="F94:F95" si="19">D94*8.09%</f>
        <v>234610</v>
      </c>
    </row>
    <row r="95" spans="1:9" ht="36" customHeight="1" x14ac:dyDescent="0.25">
      <c r="A95" s="214"/>
      <c r="B95" s="215"/>
      <c r="C95" s="216"/>
      <c r="D95" s="112"/>
      <c r="E95" s="145">
        <f t="shared" si="18"/>
        <v>0</v>
      </c>
      <c r="F95" s="133">
        <f t="shared" si="19"/>
        <v>0</v>
      </c>
    </row>
    <row r="96" spans="1:9" x14ac:dyDescent="0.25">
      <c r="A96" s="203" t="s">
        <v>29</v>
      </c>
      <c r="B96" s="204"/>
      <c r="C96" s="205"/>
      <c r="D96" s="162">
        <f>SUM(D94:D95)</f>
        <v>2900000</v>
      </c>
      <c r="E96" s="162">
        <f>SUM(E94:E95)</f>
        <v>2665389.9999999995</v>
      </c>
      <c r="F96" s="162">
        <f>SUM(F94:F95)</f>
        <v>234610</v>
      </c>
      <c r="H96" s="108">
        <f>E96+F96</f>
        <v>2899999.9999999995</v>
      </c>
      <c r="I96" s="146" t="str">
        <f>IF(D96=H96, "", "Error")</f>
        <v/>
      </c>
    </row>
    <row r="98" spans="1:7" ht="15.75" thickBot="1" x14ac:dyDescent="0.3">
      <c r="E98" s="108"/>
    </row>
    <row r="99" spans="1:7" ht="15.75" thickBot="1" x14ac:dyDescent="0.3">
      <c r="A99" s="102" t="s">
        <v>104</v>
      </c>
      <c r="B99" s="103">
        <f>D85</f>
        <v>7515676.040000001</v>
      </c>
    </row>
    <row r="100" spans="1:7" ht="15.75" thickBot="1" x14ac:dyDescent="0.3">
      <c r="A100" s="104" t="s">
        <v>106</v>
      </c>
      <c r="B100" s="105">
        <f>D85-D83</f>
        <v>6486364.0500000007</v>
      </c>
    </row>
    <row r="101" spans="1:7" x14ac:dyDescent="0.25">
      <c r="D101" s="193"/>
      <c r="E101" s="193"/>
    </row>
    <row r="102" spans="1:7" x14ac:dyDescent="0.25">
      <c r="A102" s="74" t="s">
        <v>90</v>
      </c>
      <c r="B102" s="75"/>
      <c r="C102" s="76"/>
      <c r="D102" s="193"/>
      <c r="E102" s="193"/>
    </row>
    <row r="103" spans="1:7" x14ac:dyDescent="0.25">
      <c r="A103" s="77" t="s">
        <v>91</v>
      </c>
      <c r="B103" s="11">
        <v>3617497.2979896166</v>
      </c>
      <c r="C103" s="78"/>
      <c r="D103" s="193"/>
      <c r="E103" s="193"/>
    </row>
    <row r="104" spans="1:7" x14ac:dyDescent="0.25">
      <c r="A104" s="79" t="s">
        <v>92</v>
      </c>
      <c r="B104" s="92">
        <f>PRORRATEO!G52</f>
        <v>6941937.3369510006</v>
      </c>
      <c r="C104" s="78" t="s">
        <v>93</v>
      </c>
      <c r="D104" s="193"/>
      <c r="E104" s="193"/>
    </row>
    <row r="105" spans="1:7" x14ac:dyDescent="0.25">
      <c r="A105" s="79" t="s">
        <v>115</v>
      </c>
      <c r="B105" s="165">
        <f>-B100</f>
        <v>-6486364.0500000007</v>
      </c>
      <c r="C105" s="76"/>
      <c r="D105" s="193"/>
      <c r="E105" s="193"/>
      <c r="G105" s="112"/>
    </row>
    <row r="106" spans="1:7" x14ac:dyDescent="0.25">
      <c r="A106" s="79" t="s">
        <v>114</v>
      </c>
      <c r="B106" s="165">
        <f>-D96</f>
        <v>-2900000</v>
      </c>
      <c r="C106" s="76"/>
      <c r="D106" s="193"/>
      <c r="E106" s="193"/>
      <c r="G106" s="124"/>
    </row>
    <row r="107" spans="1:7" x14ac:dyDescent="0.25">
      <c r="A107" s="79" t="s">
        <v>171</v>
      </c>
      <c r="B107" s="165">
        <f>-77229-250000</f>
        <v>-327229</v>
      </c>
      <c r="C107" s="76"/>
      <c r="D107" s="189"/>
      <c r="E107" s="189"/>
      <c r="G107" s="124"/>
    </row>
    <row r="108" spans="1:7" x14ac:dyDescent="0.25">
      <c r="A108" s="79" t="s">
        <v>172</v>
      </c>
      <c r="B108" s="165">
        <f>-19000*2</f>
        <v>-38000</v>
      </c>
      <c r="C108" s="76"/>
      <c r="D108" s="189"/>
      <c r="E108" s="189"/>
      <c r="G108" s="124"/>
    </row>
    <row r="109" spans="1:7" x14ac:dyDescent="0.25">
      <c r="A109" s="79" t="s">
        <v>105</v>
      </c>
      <c r="B109" s="165">
        <f>-B116</f>
        <v>-60000</v>
      </c>
      <c r="C109" s="80"/>
    </row>
    <row r="110" spans="1:7" x14ac:dyDescent="0.25">
      <c r="A110" s="79" t="s">
        <v>120</v>
      </c>
      <c r="B110" s="93">
        <f>-C90</f>
        <v>0</v>
      </c>
      <c r="C110" s="80"/>
    </row>
    <row r="111" spans="1:7" x14ac:dyDescent="0.25">
      <c r="A111" s="79"/>
      <c r="B111" s="75"/>
      <c r="C111" s="150"/>
    </row>
    <row r="112" spans="1:7" x14ac:dyDescent="0.25">
      <c r="A112" s="77" t="s">
        <v>94</v>
      </c>
      <c r="B112" s="81">
        <f>SUM(B103:B111)</f>
        <v>747841.58494061604</v>
      </c>
      <c r="C112" s="150"/>
    </row>
    <row r="113" spans="1:14" x14ac:dyDescent="0.25">
      <c r="A113" s="80"/>
      <c r="C113" s="76"/>
      <c r="D113" s="83"/>
    </row>
    <row r="114" spans="1:14" x14ac:dyDescent="0.25">
      <c r="C114" s="76"/>
      <c r="D114" s="108"/>
      <c r="E114" s="168"/>
    </row>
    <row r="115" spans="1:14" x14ac:dyDescent="0.25">
      <c r="A115" s="74" t="s">
        <v>95</v>
      </c>
      <c r="B115" s="244">
        <v>-272694.54000000004</v>
      </c>
      <c r="C115" s="82"/>
      <c r="D115" s="168"/>
      <c r="E115" s="168"/>
      <c r="F115" s="168"/>
    </row>
    <row r="116" spans="1:14" ht="15" customHeight="1" x14ac:dyDescent="0.25">
      <c r="A116" s="77" t="s">
        <v>159</v>
      </c>
      <c r="B116" s="93">
        <v>60000</v>
      </c>
      <c r="C116" s="82"/>
      <c r="D116" s="168"/>
      <c r="E116" s="178"/>
    </row>
    <row r="117" spans="1:14" x14ac:dyDescent="0.25">
      <c r="A117" s="77"/>
      <c r="B117" s="165"/>
      <c r="C117" s="82"/>
      <c r="E117" s="108"/>
    </row>
    <row r="118" spans="1:14" x14ac:dyDescent="0.25">
      <c r="A118" s="77"/>
      <c r="B118" s="165"/>
      <c r="C118" s="82"/>
      <c r="E118" s="108"/>
    </row>
    <row r="119" spans="1:14" x14ac:dyDescent="0.25">
      <c r="A119" s="100" t="s">
        <v>29</v>
      </c>
      <c r="B119" s="101">
        <f>SUM(B115:B118)</f>
        <v>-212694.54000000004</v>
      </c>
      <c r="C119" s="82"/>
    </row>
    <row r="120" spans="1:14" x14ac:dyDescent="0.25">
      <c r="C120" s="83"/>
      <c r="D120" s="168"/>
    </row>
    <row r="121" spans="1:14" x14ac:dyDescent="0.25">
      <c r="B121" s="80"/>
      <c r="C121" s="76"/>
    </row>
    <row r="123" spans="1:14" x14ac:dyDescent="0.25">
      <c r="N123" s="12"/>
    </row>
    <row r="126" spans="1:14" x14ac:dyDescent="0.25">
      <c r="B126" s="192"/>
      <c r="C126" s="192"/>
      <c r="D126" s="192"/>
      <c r="E126" s="192"/>
    </row>
    <row r="127" spans="1:14" x14ac:dyDescent="0.25">
      <c r="B127" s="192"/>
      <c r="C127" s="192"/>
      <c r="D127" s="192"/>
      <c r="E127" s="192"/>
    </row>
    <row r="128" spans="1:14" x14ac:dyDescent="0.25">
      <c r="B128" s="192"/>
      <c r="C128" s="192"/>
      <c r="D128" s="192"/>
      <c r="E128" s="192"/>
    </row>
    <row r="129" spans="2:5" x14ac:dyDescent="0.25">
      <c r="B129" s="192"/>
      <c r="C129" s="192"/>
      <c r="D129" s="192"/>
      <c r="E129" s="192"/>
    </row>
    <row r="130" spans="2:5" x14ac:dyDescent="0.25">
      <c r="B130" s="192"/>
      <c r="C130" s="192"/>
      <c r="D130" s="192"/>
      <c r="E130" s="192"/>
    </row>
  </sheetData>
  <mergeCells count="8">
    <mergeCell ref="B126:E130"/>
    <mergeCell ref="D101:E106"/>
    <mergeCell ref="B14:D17"/>
    <mergeCell ref="A96:C96"/>
    <mergeCell ref="A94:C94"/>
    <mergeCell ref="A93:D93"/>
    <mergeCell ref="A59:C59"/>
    <mergeCell ref="A95:C95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A13" zoomScaleNormal="100" workbookViewId="0">
      <selection activeCell="L14" sqref="A1:M14"/>
    </sheetView>
  </sheetViews>
  <sheetFormatPr baseColWidth="10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9.8554687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x14ac:dyDescent="0.25">
      <c r="A1" s="8"/>
      <c r="B1" s="8"/>
      <c r="C1" s="8"/>
      <c r="D1" s="8"/>
      <c r="E1" s="8"/>
      <c r="F1" s="8" t="s">
        <v>17</v>
      </c>
      <c r="G1" s="8"/>
      <c r="H1" s="8"/>
      <c r="I1" s="8"/>
      <c r="J1" s="8"/>
      <c r="K1" s="8" t="s">
        <v>124</v>
      </c>
      <c r="L1" s="220">
        <f>RESUMEN!D85</f>
        <v>7515676.040000001</v>
      </c>
      <c r="M1" s="221"/>
      <c r="N1" s="148"/>
      <c r="O1" s="134">
        <f>L1*8.09%</f>
        <v>608018.19163600006</v>
      </c>
    </row>
    <row r="2" spans="1:16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 t="s">
        <v>125</v>
      </c>
      <c r="L2" s="8"/>
      <c r="M2" s="148">
        <v>7000000</v>
      </c>
      <c r="N2" s="149"/>
      <c r="O2" s="134">
        <f>O1-K7-553-50-86-8</f>
        <v>116997.94204500003</v>
      </c>
    </row>
    <row r="3" spans="1:16" x14ac:dyDescent="0.25">
      <c r="A3" s="8" t="str">
        <f>RESUMEN!C5</f>
        <v>VTO: 14/11</v>
      </c>
      <c r="B3" s="8"/>
      <c r="C3" s="8"/>
      <c r="D3" s="8"/>
      <c r="E3" s="8"/>
      <c r="F3" s="8"/>
      <c r="G3" s="8"/>
      <c r="H3" s="8"/>
      <c r="I3" s="8"/>
      <c r="J3" s="9"/>
      <c r="K3" s="8" t="s">
        <v>131</v>
      </c>
      <c r="L3" s="8"/>
      <c r="M3" s="127">
        <f>RESUMEN!D96</f>
        <v>2900000</v>
      </c>
      <c r="N3" s="147"/>
      <c r="O3" s="73"/>
    </row>
    <row r="4" spans="1:16" ht="15.75" thickBot="1" x14ac:dyDescent="0.3">
      <c r="A4" s="8"/>
      <c r="B4" s="8"/>
      <c r="C4" s="8"/>
      <c r="D4" s="8"/>
      <c r="E4" s="8"/>
      <c r="F4" s="8"/>
      <c r="G4" s="8"/>
      <c r="H4" s="8"/>
      <c r="I4" s="8"/>
      <c r="J4" s="122">
        <f>(J3*8.09%)/44</f>
        <v>0</v>
      </c>
      <c r="K4" s="8" t="s">
        <v>125</v>
      </c>
      <c r="L4" s="8"/>
      <c r="M4" s="127">
        <v>450000</v>
      </c>
      <c r="N4" s="123"/>
    </row>
    <row r="5" spans="1:16" x14ac:dyDescent="0.25">
      <c r="A5" s="217" t="s">
        <v>19</v>
      </c>
      <c r="B5" s="231" t="s">
        <v>20</v>
      </c>
      <c r="C5" s="217" t="s">
        <v>21</v>
      </c>
      <c r="D5" s="229" t="s">
        <v>22</v>
      </c>
      <c r="E5" s="217" t="s">
        <v>97</v>
      </c>
      <c r="F5" s="217" t="s">
        <v>23</v>
      </c>
      <c r="G5" s="217" t="s">
        <v>24</v>
      </c>
      <c r="H5" s="224" t="s">
        <v>25</v>
      </c>
      <c r="I5" s="229" t="s">
        <v>108</v>
      </c>
      <c r="J5" s="222" t="s">
        <v>26</v>
      </c>
      <c r="K5" s="222" t="s">
        <v>69</v>
      </c>
      <c r="L5" s="227" t="s">
        <v>123</v>
      </c>
      <c r="M5" s="222" t="s">
        <v>67</v>
      </c>
      <c r="N5" s="222" t="s">
        <v>68</v>
      </c>
    </row>
    <row r="6" spans="1:16" x14ac:dyDescent="0.25">
      <c r="A6" s="218"/>
      <c r="B6" s="232"/>
      <c r="C6" s="218"/>
      <c r="D6" s="233"/>
      <c r="E6" s="218"/>
      <c r="F6" s="218"/>
      <c r="G6" s="218"/>
      <c r="H6" s="225"/>
      <c r="I6" s="230"/>
      <c r="J6" s="223"/>
      <c r="K6" s="226"/>
      <c r="L6" s="228"/>
      <c r="M6" s="226"/>
      <c r="N6" s="223"/>
    </row>
    <row r="7" spans="1:16" x14ac:dyDescent="0.25">
      <c r="A7" s="7" t="s">
        <v>33</v>
      </c>
      <c r="B7" s="7"/>
      <c r="C7" s="7">
        <v>1</v>
      </c>
      <c r="D7" s="132" t="s">
        <v>34</v>
      </c>
      <c r="E7" s="7">
        <v>8.09</v>
      </c>
      <c r="F7" s="88">
        <v>524871.62695100007</v>
      </c>
      <c r="G7" s="187">
        <f>F7</f>
        <v>524871.62695100007</v>
      </c>
      <c r="H7" s="130">
        <f>F7-G7</f>
        <v>0</v>
      </c>
      <c r="I7" s="106">
        <v>12</v>
      </c>
      <c r="J7" s="88">
        <v>34548.377359999999</v>
      </c>
      <c r="K7" s="88">
        <v>490323.24959100003</v>
      </c>
      <c r="L7" s="98"/>
      <c r="M7" s="6">
        <f>K7+J7+H7+L7</f>
        <v>524871.62695100007</v>
      </c>
      <c r="N7" s="11">
        <f>M7*6% + M7</f>
        <v>556363.92456806009</v>
      </c>
    </row>
    <row r="8" spans="1:16" x14ac:dyDescent="0.25">
      <c r="A8" s="7" t="s">
        <v>35</v>
      </c>
      <c r="B8" s="7"/>
      <c r="C8" s="7">
        <v>24</v>
      </c>
      <c r="D8" s="132" t="s">
        <v>36</v>
      </c>
      <c r="E8" s="7">
        <v>2.21</v>
      </c>
      <c r="F8" s="88">
        <v>164206.27016451582</v>
      </c>
      <c r="G8" s="187">
        <v>165000</v>
      </c>
      <c r="H8" s="130">
        <f t="shared" ref="H8:H51" si="0">F8-G8</f>
        <v>-793.72983548417687</v>
      </c>
      <c r="I8" s="106">
        <v>11</v>
      </c>
      <c r="J8" s="88">
        <f>M$4*E8%</f>
        <v>9945</v>
      </c>
      <c r="K8" s="88">
        <f>M$2*E8 /100</f>
        <v>154700</v>
      </c>
      <c r="L8" s="158"/>
      <c r="M8" s="6">
        <f>K8+J8+H8+L8</f>
        <v>163851.27016451582</v>
      </c>
      <c r="N8" s="11">
        <f t="shared" ref="N8:N51" si="1">M8*6% + M8</f>
        <v>173682.34637438678</v>
      </c>
    </row>
    <row r="9" spans="1:16" x14ac:dyDescent="0.25">
      <c r="A9" s="7" t="s">
        <v>35</v>
      </c>
      <c r="B9" s="7"/>
      <c r="C9" s="7">
        <v>25</v>
      </c>
      <c r="D9" s="132" t="s">
        <v>37</v>
      </c>
      <c r="E9" s="7">
        <v>4.21</v>
      </c>
      <c r="F9" s="88">
        <v>333645.26953426329</v>
      </c>
      <c r="G9" s="188">
        <f>373875-G34</f>
        <v>333645</v>
      </c>
      <c r="H9" s="130">
        <f t="shared" si="0"/>
        <v>0.26953426329419017</v>
      </c>
      <c r="I9" s="106">
        <v>8</v>
      </c>
      <c r="J9" s="88">
        <f t="shared" ref="J9:J51" si="2">M$4*E9%</f>
        <v>18945</v>
      </c>
      <c r="K9" s="88">
        <f t="shared" ref="K9:K51" si="3">M$2*E9 /100</f>
        <v>294700</v>
      </c>
      <c r="L9" s="245">
        <v>10000</v>
      </c>
      <c r="M9" s="6">
        <f t="shared" ref="M9:M51" si="4">K9+J9+H9+L9</f>
        <v>323645.26953426329</v>
      </c>
      <c r="N9" s="11">
        <f t="shared" si="1"/>
        <v>343063.9857063191</v>
      </c>
    </row>
    <row r="10" spans="1:16" x14ac:dyDescent="0.25">
      <c r="A10" s="7" t="s">
        <v>38</v>
      </c>
      <c r="B10" s="7"/>
      <c r="C10" s="7">
        <v>26</v>
      </c>
      <c r="D10" s="132" t="s">
        <v>39</v>
      </c>
      <c r="E10" s="7">
        <v>2.84</v>
      </c>
      <c r="F10" s="88">
        <v>211580</v>
      </c>
      <c r="G10" s="187">
        <f>F10</f>
        <v>211580</v>
      </c>
      <c r="H10" s="130">
        <f t="shared" si="0"/>
        <v>0</v>
      </c>
      <c r="I10" s="106">
        <v>14</v>
      </c>
      <c r="J10" s="88">
        <f t="shared" si="2"/>
        <v>12780</v>
      </c>
      <c r="K10" s="88">
        <f t="shared" si="3"/>
        <v>198800</v>
      </c>
      <c r="L10" s="158"/>
      <c r="M10" s="6">
        <f t="shared" si="4"/>
        <v>211580</v>
      </c>
      <c r="N10" s="11">
        <f t="shared" si="1"/>
        <v>224274.8</v>
      </c>
    </row>
    <row r="11" spans="1:16" x14ac:dyDescent="0.25">
      <c r="A11" s="7" t="s">
        <v>38</v>
      </c>
      <c r="B11" s="7"/>
      <c r="C11" s="7">
        <v>27</v>
      </c>
      <c r="D11" s="132" t="s">
        <v>40</v>
      </c>
      <c r="E11" s="7">
        <v>3.43</v>
      </c>
      <c r="F11" s="88">
        <v>255535</v>
      </c>
      <c r="G11" s="187">
        <f>F11</f>
        <v>255535</v>
      </c>
      <c r="H11" s="130">
        <f t="shared" si="0"/>
        <v>0</v>
      </c>
      <c r="I11" s="106">
        <v>7</v>
      </c>
      <c r="J11" s="88">
        <f t="shared" si="2"/>
        <v>15435.000000000002</v>
      </c>
      <c r="K11" s="88">
        <f t="shared" si="3"/>
        <v>240100</v>
      </c>
      <c r="L11" s="158"/>
      <c r="M11" s="6">
        <f t="shared" si="4"/>
        <v>255535</v>
      </c>
      <c r="N11" s="11">
        <f t="shared" si="1"/>
        <v>270867.09999999998</v>
      </c>
      <c r="P11" s="108"/>
    </row>
    <row r="12" spans="1:16" x14ac:dyDescent="0.25">
      <c r="A12" s="7" t="s">
        <v>41</v>
      </c>
      <c r="B12" s="7"/>
      <c r="C12" s="7">
        <v>28</v>
      </c>
      <c r="D12" s="132" t="s">
        <v>111</v>
      </c>
      <c r="E12" s="7">
        <v>2.84</v>
      </c>
      <c r="F12" s="88">
        <v>211580</v>
      </c>
      <c r="G12" s="188">
        <f>F12</f>
        <v>211580</v>
      </c>
      <c r="H12" s="130">
        <f>F12-G12</f>
        <v>0</v>
      </c>
      <c r="I12" s="106">
        <v>13</v>
      </c>
      <c r="J12" s="88">
        <f t="shared" si="2"/>
        <v>12780</v>
      </c>
      <c r="K12" s="88">
        <f t="shared" si="3"/>
        <v>198800</v>
      </c>
      <c r="L12" s="158"/>
      <c r="M12" s="6">
        <f t="shared" si="4"/>
        <v>211580</v>
      </c>
      <c r="N12" s="11">
        <f t="shared" si="1"/>
        <v>224274.8</v>
      </c>
    </row>
    <row r="13" spans="1:16" x14ac:dyDescent="0.25">
      <c r="A13" s="7" t="s">
        <v>41</v>
      </c>
      <c r="B13" s="7"/>
      <c r="C13" s="7">
        <v>29</v>
      </c>
      <c r="D13" s="132" t="s">
        <v>42</v>
      </c>
      <c r="E13" s="7">
        <v>3.43</v>
      </c>
      <c r="F13" s="88">
        <v>343076.36741924175</v>
      </c>
      <c r="G13" s="188">
        <f>309490-G50</f>
        <v>265535</v>
      </c>
      <c r="H13" s="130">
        <f t="shared" si="0"/>
        <v>77541.367419241753</v>
      </c>
      <c r="I13" s="106">
        <v>9</v>
      </c>
      <c r="J13" s="88">
        <f t="shared" si="2"/>
        <v>15435.000000000002</v>
      </c>
      <c r="K13" s="88">
        <f t="shared" si="3"/>
        <v>240100</v>
      </c>
      <c r="L13" s="158"/>
      <c r="M13" s="6">
        <f t="shared" si="4"/>
        <v>333076.36741924175</v>
      </c>
      <c r="N13" s="11">
        <f t="shared" si="1"/>
        <v>353060.94946439628</v>
      </c>
    </row>
    <row r="14" spans="1:16" x14ac:dyDescent="0.25">
      <c r="A14" s="7" t="s">
        <v>43</v>
      </c>
      <c r="B14" s="7"/>
      <c r="C14" s="7">
        <v>30</v>
      </c>
      <c r="D14" s="132" t="s">
        <v>44</v>
      </c>
      <c r="E14" s="7">
        <v>2.84</v>
      </c>
      <c r="F14" s="88">
        <v>224274.8</v>
      </c>
      <c r="G14" s="187">
        <v>211580</v>
      </c>
      <c r="H14" s="130">
        <f t="shared" si="0"/>
        <v>12694.799999999988</v>
      </c>
      <c r="I14" s="106">
        <v>17</v>
      </c>
      <c r="J14" s="88">
        <f t="shared" si="2"/>
        <v>12780</v>
      </c>
      <c r="K14" s="88">
        <f t="shared" si="3"/>
        <v>198800</v>
      </c>
      <c r="L14" s="245">
        <v>10000</v>
      </c>
      <c r="M14" s="6">
        <f t="shared" si="4"/>
        <v>234274.8</v>
      </c>
      <c r="N14" s="11">
        <f t="shared" si="1"/>
        <v>248331.288</v>
      </c>
    </row>
    <row r="15" spans="1:16" x14ac:dyDescent="0.25">
      <c r="A15" s="7" t="s">
        <v>43</v>
      </c>
      <c r="B15" s="7"/>
      <c r="C15" s="7">
        <v>31</v>
      </c>
      <c r="D15" s="132" t="s">
        <v>140</v>
      </c>
      <c r="E15" s="7">
        <v>3.43</v>
      </c>
      <c r="F15" s="88">
        <v>255535.87099653395</v>
      </c>
      <c r="G15" s="188">
        <f>292786-G35</f>
        <v>255536</v>
      </c>
      <c r="H15" s="130">
        <f t="shared" si="0"/>
        <v>-0.12900346604874358</v>
      </c>
      <c r="I15" s="106">
        <v>6</v>
      </c>
      <c r="J15" s="88">
        <f t="shared" si="2"/>
        <v>15435.000000000002</v>
      </c>
      <c r="K15" s="88">
        <f t="shared" si="3"/>
        <v>240100</v>
      </c>
      <c r="L15" s="158"/>
      <c r="M15" s="6">
        <f t="shared" si="4"/>
        <v>255534.87099653395</v>
      </c>
      <c r="N15" s="11">
        <f t="shared" si="1"/>
        <v>270866.96325632598</v>
      </c>
    </row>
    <row r="16" spans="1:16" x14ac:dyDescent="0.25">
      <c r="A16" s="7" t="s">
        <v>46</v>
      </c>
      <c r="B16" s="7"/>
      <c r="C16" s="7">
        <v>32</v>
      </c>
      <c r="D16" s="132" t="s">
        <v>136</v>
      </c>
      <c r="E16" s="7">
        <v>2.84</v>
      </c>
      <c r="F16" s="88">
        <v>211579.62795000005</v>
      </c>
      <c r="G16" s="188">
        <f>262969.71-G49</f>
        <v>226464.71000000002</v>
      </c>
      <c r="H16" s="130">
        <f t="shared" si="0"/>
        <v>-14885.082049999968</v>
      </c>
      <c r="I16" s="106">
        <v>13</v>
      </c>
      <c r="J16" s="88">
        <f t="shared" si="2"/>
        <v>12780</v>
      </c>
      <c r="K16" s="88">
        <f t="shared" si="3"/>
        <v>198800</v>
      </c>
      <c r="L16" s="158"/>
      <c r="M16" s="6">
        <f t="shared" si="4"/>
        <v>196694.91795000003</v>
      </c>
      <c r="N16" s="11">
        <f t="shared" si="1"/>
        <v>208496.61302700004</v>
      </c>
    </row>
    <row r="17" spans="1:18" x14ac:dyDescent="0.25">
      <c r="A17" s="7" t="s">
        <v>46</v>
      </c>
      <c r="B17" s="7"/>
      <c r="C17" s="7">
        <v>33</v>
      </c>
      <c r="D17" s="132" t="s">
        <v>47</v>
      </c>
      <c r="E17" s="7">
        <v>3.43</v>
      </c>
      <c r="F17" s="88">
        <v>265534.97401111474</v>
      </c>
      <c r="G17" s="187">
        <f>339290-G47-G48</f>
        <v>265535</v>
      </c>
      <c r="H17" s="130">
        <f t="shared" si="0"/>
        <v>-2.5988885259721428E-2</v>
      </c>
      <c r="I17" s="106">
        <v>12</v>
      </c>
      <c r="J17" s="88">
        <f t="shared" si="2"/>
        <v>15435.000000000002</v>
      </c>
      <c r="K17" s="88">
        <f t="shared" si="3"/>
        <v>240100</v>
      </c>
      <c r="L17" s="158"/>
      <c r="M17" s="6">
        <f t="shared" si="4"/>
        <v>255534.97401111474</v>
      </c>
      <c r="N17" s="11">
        <f t="shared" si="1"/>
        <v>270867.0724517816</v>
      </c>
    </row>
    <row r="18" spans="1:18" x14ac:dyDescent="0.25">
      <c r="A18" s="7" t="s">
        <v>48</v>
      </c>
      <c r="B18" s="7"/>
      <c r="C18" s="7">
        <v>34</v>
      </c>
      <c r="D18" s="132" t="s">
        <v>49</v>
      </c>
      <c r="E18" s="7">
        <v>2.84</v>
      </c>
      <c r="F18" s="88">
        <v>210704.42713325133</v>
      </c>
      <c r="G18" s="187">
        <f>260000-G51</f>
        <v>217535</v>
      </c>
      <c r="H18" s="130">
        <f t="shared" si="0"/>
        <v>-6830.5728667486692</v>
      </c>
      <c r="I18" s="106">
        <v>14</v>
      </c>
      <c r="J18" s="88">
        <f t="shared" si="2"/>
        <v>12780</v>
      </c>
      <c r="K18" s="88">
        <f t="shared" si="3"/>
        <v>198800</v>
      </c>
      <c r="L18" s="158"/>
      <c r="M18" s="6">
        <f t="shared" si="4"/>
        <v>204749.42713325133</v>
      </c>
      <c r="N18" s="11">
        <f t="shared" si="1"/>
        <v>217034.39276124642</v>
      </c>
    </row>
    <row r="19" spans="1:18" x14ac:dyDescent="0.25">
      <c r="A19" s="7" t="s">
        <v>48</v>
      </c>
      <c r="B19" s="7"/>
      <c r="C19" s="7">
        <v>35</v>
      </c>
      <c r="D19" s="132" t="s">
        <v>50</v>
      </c>
      <c r="E19" s="7">
        <v>3.43</v>
      </c>
      <c r="F19" s="88">
        <v>255535.48631516803</v>
      </c>
      <c r="G19" s="188">
        <f>295765-G41</f>
        <v>255535</v>
      </c>
      <c r="H19" s="130">
        <f t="shared" si="0"/>
        <v>0.48631516803288832</v>
      </c>
      <c r="I19" s="106">
        <v>6</v>
      </c>
      <c r="J19" s="88">
        <f t="shared" si="2"/>
        <v>15435.000000000002</v>
      </c>
      <c r="K19" s="88">
        <f t="shared" si="3"/>
        <v>240100</v>
      </c>
      <c r="L19" s="158"/>
      <c r="M19" s="6">
        <f t="shared" si="4"/>
        <v>255535.48631516803</v>
      </c>
      <c r="N19" s="11">
        <f t="shared" si="1"/>
        <v>270867.61549407814</v>
      </c>
    </row>
    <row r="20" spans="1:18" x14ac:dyDescent="0.25">
      <c r="A20" s="7" t="s">
        <v>51</v>
      </c>
      <c r="B20" s="7"/>
      <c r="C20" s="7">
        <v>36</v>
      </c>
      <c r="D20" s="132" t="s">
        <v>52</v>
      </c>
      <c r="E20" s="7">
        <v>2.84</v>
      </c>
      <c r="F20" s="88">
        <v>211579.65585707471</v>
      </c>
      <c r="G20" s="187">
        <f>248085-G38</f>
        <v>211580</v>
      </c>
      <c r="H20" s="130">
        <f t="shared" si="0"/>
        <v>-0.34414292528526857</v>
      </c>
      <c r="I20" s="106">
        <v>6</v>
      </c>
      <c r="J20" s="88">
        <f t="shared" si="2"/>
        <v>12780</v>
      </c>
      <c r="K20" s="88">
        <f t="shared" si="3"/>
        <v>198800</v>
      </c>
      <c r="L20" s="158"/>
      <c r="M20" s="6">
        <f t="shared" si="4"/>
        <v>211579.65585707471</v>
      </c>
      <c r="N20" s="11">
        <f t="shared" si="1"/>
        <v>224274.4352084992</v>
      </c>
    </row>
    <row r="21" spans="1:18" x14ac:dyDescent="0.25">
      <c r="A21" s="7" t="s">
        <v>51</v>
      </c>
      <c r="B21" s="7"/>
      <c r="C21" s="7">
        <v>37</v>
      </c>
      <c r="D21" s="132" t="s">
        <v>53</v>
      </c>
      <c r="E21" s="7">
        <v>3.43</v>
      </c>
      <c r="F21" s="88">
        <v>255534.8886417959</v>
      </c>
      <c r="G21" s="187">
        <f>295765-G45</f>
        <v>255535</v>
      </c>
      <c r="H21" s="130">
        <f t="shared" si="0"/>
        <v>-0.11135820409981534</v>
      </c>
      <c r="I21" s="106">
        <v>6</v>
      </c>
      <c r="J21" s="88">
        <f t="shared" si="2"/>
        <v>15435.000000000002</v>
      </c>
      <c r="K21" s="88">
        <f t="shared" si="3"/>
        <v>240100</v>
      </c>
      <c r="L21" s="158"/>
      <c r="M21" s="6">
        <f t="shared" si="4"/>
        <v>255534.8886417959</v>
      </c>
      <c r="N21" s="11">
        <f t="shared" si="1"/>
        <v>270866.98196030367</v>
      </c>
    </row>
    <row r="22" spans="1:18" x14ac:dyDescent="0.25">
      <c r="A22" s="7" t="s">
        <v>54</v>
      </c>
      <c r="B22" s="7"/>
      <c r="C22" s="7">
        <v>38</v>
      </c>
      <c r="D22" s="159" t="s">
        <v>128</v>
      </c>
      <c r="E22" s="7">
        <v>2.84</v>
      </c>
      <c r="F22" s="88">
        <v>211580</v>
      </c>
      <c r="G22" s="187">
        <f>F22</f>
        <v>211580</v>
      </c>
      <c r="H22" s="130">
        <f t="shared" si="0"/>
        <v>0</v>
      </c>
      <c r="I22" s="106">
        <v>6</v>
      </c>
      <c r="J22" s="88">
        <f t="shared" si="2"/>
        <v>12780</v>
      </c>
      <c r="K22" s="88">
        <f t="shared" si="3"/>
        <v>198800</v>
      </c>
      <c r="L22" s="158"/>
      <c r="M22" s="6">
        <f t="shared" si="4"/>
        <v>211580</v>
      </c>
      <c r="N22" s="11">
        <f t="shared" si="1"/>
        <v>224274.8</v>
      </c>
    </row>
    <row r="23" spans="1:18" x14ac:dyDescent="0.25">
      <c r="A23" s="7" t="s">
        <v>54</v>
      </c>
      <c r="B23" s="7"/>
      <c r="C23" s="7">
        <v>39</v>
      </c>
      <c r="D23" s="132" t="s">
        <v>55</v>
      </c>
      <c r="E23" s="7">
        <v>3.43</v>
      </c>
      <c r="F23" s="88">
        <v>320475.29717285704</v>
      </c>
      <c r="G23" s="188">
        <f>361000-G46</f>
        <v>323750</v>
      </c>
      <c r="H23" s="130">
        <f t="shared" si="0"/>
        <v>-3274.702827142959</v>
      </c>
      <c r="I23" s="106">
        <v>23</v>
      </c>
      <c r="J23" s="88">
        <f t="shared" si="2"/>
        <v>15435.000000000002</v>
      </c>
      <c r="K23" s="88">
        <f t="shared" si="3"/>
        <v>240100</v>
      </c>
      <c r="L23" s="158"/>
      <c r="M23" s="6">
        <f t="shared" si="4"/>
        <v>252260.29717285704</v>
      </c>
      <c r="N23" s="11">
        <f t="shared" si="1"/>
        <v>267395.91500322847</v>
      </c>
    </row>
    <row r="24" spans="1:18" x14ac:dyDescent="0.25">
      <c r="A24" s="7" t="s">
        <v>56</v>
      </c>
      <c r="B24" s="7"/>
      <c r="C24" s="7">
        <v>40</v>
      </c>
      <c r="D24" s="132" t="s">
        <v>57</v>
      </c>
      <c r="E24" s="7">
        <v>2.84</v>
      </c>
      <c r="F24" s="88">
        <v>221580.37342107471</v>
      </c>
      <c r="G24" s="187">
        <f>259000-G37</f>
        <v>222495</v>
      </c>
      <c r="H24" s="130">
        <f t="shared" si="0"/>
        <v>-914.62657892529387</v>
      </c>
      <c r="I24" s="169">
        <v>9</v>
      </c>
      <c r="J24" s="88">
        <f t="shared" si="2"/>
        <v>12780</v>
      </c>
      <c r="K24" s="88">
        <f t="shared" si="3"/>
        <v>198800</v>
      </c>
      <c r="L24" s="158"/>
      <c r="M24" s="6">
        <f t="shared" si="4"/>
        <v>210665.37342107471</v>
      </c>
      <c r="N24" s="11">
        <f t="shared" si="1"/>
        <v>223305.29582633919</v>
      </c>
    </row>
    <row r="25" spans="1:18" x14ac:dyDescent="0.25">
      <c r="A25" s="7" t="s">
        <v>56</v>
      </c>
      <c r="B25" s="7"/>
      <c r="C25" s="7">
        <v>41</v>
      </c>
      <c r="D25" s="132" t="s">
        <v>58</v>
      </c>
      <c r="E25" s="7">
        <v>3.43</v>
      </c>
      <c r="F25" s="88">
        <v>255535</v>
      </c>
      <c r="G25" s="187">
        <f>F25</f>
        <v>255535</v>
      </c>
      <c r="H25" s="130">
        <f t="shared" si="0"/>
        <v>0</v>
      </c>
      <c r="I25" s="106">
        <v>11</v>
      </c>
      <c r="J25" s="88">
        <f t="shared" si="2"/>
        <v>15435.000000000002</v>
      </c>
      <c r="K25" s="88">
        <f t="shared" si="3"/>
        <v>240100</v>
      </c>
      <c r="L25" s="246">
        <f>77229+250000+38000+(((K25+J25)*0.5))*6</f>
        <v>1131834</v>
      </c>
      <c r="M25" s="6">
        <f t="shared" si="4"/>
        <v>1387369</v>
      </c>
      <c r="N25" s="11">
        <f t="shared" si="1"/>
        <v>1470611.14</v>
      </c>
      <c r="P25" s="137"/>
      <c r="Q25" s="137"/>
      <c r="R25" s="137"/>
    </row>
    <row r="26" spans="1:18" x14ac:dyDescent="0.25">
      <c r="A26" s="7" t="s">
        <v>59</v>
      </c>
      <c r="B26" s="7"/>
      <c r="C26" s="7">
        <v>42</v>
      </c>
      <c r="D26" s="132" t="s">
        <v>60</v>
      </c>
      <c r="E26" s="7">
        <v>6</v>
      </c>
      <c r="F26" s="88">
        <v>-434833.00733396295</v>
      </c>
      <c r="G26" s="188">
        <f>-G36-G30-G31</f>
        <v>-118455</v>
      </c>
      <c r="H26" s="131">
        <f t="shared" si="0"/>
        <v>-316378.00733396295</v>
      </c>
      <c r="I26" s="106">
        <v>2</v>
      </c>
      <c r="J26" s="88">
        <f t="shared" si="2"/>
        <v>27000</v>
      </c>
      <c r="K26" s="88">
        <f t="shared" si="3"/>
        <v>420000</v>
      </c>
      <c r="L26" s="158"/>
      <c r="M26" s="6">
        <f t="shared" si="4"/>
        <v>130621.99266603705</v>
      </c>
      <c r="N26" s="11">
        <f t="shared" si="1"/>
        <v>138459.31222599928</v>
      </c>
    </row>
    <row r="27" spans="1:18" x14ac:dyDescent="0.25">
      <c r="A27" s="7" t="s">
        <v>61</v>
      </c>
      <c r="B27" s="7"/>
      <c r="C27" s="7">
        <v>43</v>
      </c>
      <c r="D27" s="132" t="s">
        <v>62</v>
      </c>
      <c r="E27" s="7">
        <v>5.89</v>
      </c>
      <c r="F27" s="88">
        <v>438805.37128526543</v>
      </c>
      <c r="G27" s="187">
        <f>520005-G39-G40</f>
        <v>433585</v>
      </c>
      <c r="H27" s="130">
        <f t="shared" si="0"/>
        <v>5220.371285265428</v>
      </c>
      <c r="I27" s="106">
        <v>11</v>
      </c>
      <c r="J27" s="88">
        <f t="shared" si="2"/>
        <v>26504.999999999996</v>
      </c>
      <c r="K27" s="88">
        <f t="shared" si="3"/>
        <v>412300</v>
      </c>
      <c r="L27" s="158"/>
      <c r="M27" s="6">
        <f t="shared" si="4"/>
        <v>444025.37128526543</v>
      </c>
      <c r="N27" s="11">
        <f t="shared" si="1"/>
        <v>470666.89356238133</v>
      </c>
      <c r="R27" s="137"/>
    </row>
    <row r="28" spans="1:18" x14ac:dyDescent="0.25">
      <c r="A28" s="7" t="s">
        <v>63</v>
      </c>
      <c r="B28" s="7"/>
      <c r="C28" s="7">
        <v>44</v>
      </c>
      <c r="D28" s="132" t="s">
        <v>64</v>
      </c>
      <c r="E28" s="7">
        <v>5.89</v>
      </c>
      <c r="F28" s="88">
        <v>438804.50782654097</v>
      </c>
      <c r="G28" s="187">
        <f>518000-G32-G33</f>
        <v>439030</v>
      </c>
      <c r="H28" s="130">
        <f t="shared" si="0"/>
        <v>-225.49217345903162</v>
      </c>
      <c r="I28" s="106">
        <v>6</v>
      </c>
      <c r="J28" s="88">
        <f t="shared" si="2"/>
        <v>26504.999999999996</v>
      </c>
      <c r="K28" s="88">
        <f t="shared" si="3"/>
        <v>412300</v>
      </c>
      <c r="L28" s="158"/>
      <c r="M28" s="6">
        <f t="shared" si="4"/>
        <v>438579.50782654097</v>
      </c>
      <c r="N28" s="11">
        <f t="shared" si="1"/>
        <v>464894.27829613345</v>
      </c>
    </row>
    <row r="29" spans="1:18" x14ac:dyDescent="0.25">
      <c r="A29" s="7" t="s">
        <v>65</v>
      </c>
      <c r="B29" s="7"/>
      <c r="C29" s="7">
        <v>45</v>
      </c>
      <c r="D29" s="132" t="s">
        <v>66</v>
      </c>
      <c r="E29" s="7">
        <v>5.89</v>
      </c>
      <c r="F29" s="88">
        <v>438609.70395670005</v>
      </c>
      <c r="G29" s="188">
        <f>558645-G42-G43-G44</f>
        <v>438700</v>
      </c>
      <c r="H29" s="131">
        <f t="shared" si="0"/>
        <v>-90.296043299953453</v>
      </c>
      <c r="I29" s="106">
        <v>7</v>
      </c>
      <c r="J29" s="88">
        <f t="shared" si="2"/>
        <v>26504.999999999996</v>
      </c>
      <c r="K29" s="88">
        <f t="shared" si="3"/>
        <v>412300</v>
      </c>
      <c r="L29" s="158"/>
      <c r="M29" s="6">
        <f t="shared" si="4"/>
        <v>438714.70395670005</v>
      </c>
      <c r="N29" s="11">
        <f t="shared" si="1"/>
        <v>465037.58619410207</v>
      </c>
    </row>
    <row r="30" spans="1:18" x14ac:dyDescent="0.25">
      <c r="A30" s="125" t="s">
        <v>96</v>
      </c>
      <c r="B30" s="7"/>
      <c r="C30" s="7">
        <v>1</v>
      </c>
      <c r="D30" s="132" t="s">
        <v>60</v>
      </c>
      <c r="E30" s="7">
        <v>0.54</v>
      </c>
      <c r="F30" s="88">
        <v>40230.000000000007</v>
      </c>
      <c r="G30" s="187">
        <f>F30</f>
        <v>40230.000000000007</v>
      </c>
      <c r="H30" s="130">
        <f t="shared" si="0"/>
        <v>0</v>
      </c>
      <c r="I30" s="106"/>
      <c r="J30" s="88">
        <f t="shared" si="2"/>
        <v>2430</v>
      </c>
      <c r="K30" s="88">
        <f t="shared" si="3"/>
        <v>37800.000000000007</v>
      </c>
      <c r="L30" s="158"/>
      <c r="M30" s="6">
        <f t="shared" si="4"/>
        <v>40230.000000000007</v>
      </c>
      <c r="N30" s="11">
        <f t="shared" si="1"/>
        <v>42643.80000000001</v>
      </c>
    </row>
    <row r="31" spans="1:18" x14ac:dyDescent="0.25">
      <c r="A31" s="125" t="s">
        <v>96</v>
      </c>
      <c r="B31" s="7"/>
      <c r="C31" s="7">
        <v>2</v>
      </c>
      <c r="D31" s="132" t="s">
        <v>60</v>
      </c>
      <c r="E31" s="7">
        <v>0.55000000000000004</v>
      </c>
      <c r="F31" s="88">
        <v>40975.000000000007</v>
      </c>
      <c r="G31" s="187">
        <f>F31</f>
        <v>40975.000000000007</v>
      </c>
      <c r="H31" s="130">
        <f t="shared" si="0"/>
        <v>0</v>
      </c>
      <c r="I31" s="106"/>
      <c r="J31" s="88">
        <f t="shared" si="2"/>
        <v>2475.0000000000005</v>
      </c>
      <c r="K31" s="88">
        <f t="shared" si="3"/>
        <v>38500.000000000007</v>
      </c>
      <c r="L31" s="158"/>
      <c r="M31" s="6">
        <f t="shared" si="4"/>
        <v>40975.000000000007</v>
      </c>
      <c r="N31" s="11">
        <f t="shared" si="1"/>
        <v>43433.500000000007</v>
      </c>
    </row>
    <row r="32" spans="1:18" x14ac:dyDescent="0.25">
      <c r="A32" s="125" t="s">
        <v>96</v>
      </c>
      <c r="B32" s="7"/>
      <c r="C32" s="7">
        <v>3</v>
      </c>
      <c r="D32" s="132" t="s">
        <v>64</v>
      </c>
      <c r="E32" s="7">
        <v>0.45</v>
      </c>
      <c r="F32" s="88">
        <v>33525</v>
      </c>
      <c r="G32" s="187">
        <f>F32</f>
        <v>33525</v>
      </c>
      <c r="H32" s="130">
        <f t="shared" si="0"/>
        <v>0</v>
      </c>
      <c r="I32" s="106"/>
      <c r="J32" s="88">
        <f t="shared" si="2"/>
        <v>2025.0000000000002</v>
      </c>
      <c r="K32" s="88">
        <f t="shared" si="3"/>
        <v>31500</v>
      </c>
      <c r="L32" s="158"/>
      <c r="M32" s="6">
        <f t="shared" si="4"/>
        <v>33525</v>
      </c>
      <c r="N32" s="11">
        <f t="shared" si="1"/>
        <v>35536.5</v>
      </c>
    </row>
    <row r="33" spans="1:17" x14ac:dyDescent="0.25">
      <c r="A33" s="125" t="s">
        <v>96</v>
      </c>
      <c r="B33" s="7"/>
      <c r="C33" s="7">
        <v>4</v>
      </c>
      <c r="D33" s="132" t="s">
        <v>64</v>
      </c>
      <c r="E33" s="7">
        <v>0.61</v>
      </c>
      <c r="F33" s="88">
        <v>45445</v>
      </c>
      <c r="G33" s="187">
        <f t="shared" ref="G30:G34" si="5">F33</f>
        <v>45445</v>
      </c>
      <c r="H33" s="130">
        <f t="shared" si="0"/>
        <v>0</v>
      </c>
      <c r="I33" s="106"/>
      <c r="J33" s="88">
        <f t="shared" si="2"/>
        <v>2745</v>
      </c>
      <c r="K33" s="88">
        <f t="shared" si="3"/>
        <v>42700</v>
      </c>
      <c r="L33" s="158"/>
      <c r="M33" s="6">
        <f t="shared" si="4"/>
        <v>45445</v>
      </c>
      <c r="N33" s="11">
        <f t="shared" si="1"/>
        <v>48171.7</v>
      </c>
    </row>
    <row r="34" spans="1:17" x14ac:dyDescent="0.25">
      <c r="A34" s="125" t="s">
        <v>96</v>
      </c>
      <c r="B34" s="7"/>
      <c r="C34" s="7">
        <v>5</v>
      </c>
      <c r="D34" s="132" t="s">
        <v>37</v>
      </c>
      <c r="E34" s="7">
        <v>0.54</v>
      </c>
      <c r="F34" s="88">
        <v>40230.000000000007</v>
      </c>
      <c r="G34" s="187">
        <f t="shared" si="5"/>
        <v>40230.000000000007</v>
      </c>
      <c r="H34" s="130">
        <f t="shared" si="0"/>
        <v>0</v>
      </c>
      <c r="I34" s="106"/>
      <c r="J34" s="88">
        <f t="shared" si="2"/>
        <v>2430</v>
      </c>
      <c r="K34" s="88">
        <f t="shared" si="3"/>
        <v>37800.000000000007</v>
      </c>
      <c r="L34" s="158"/>
      <c r="M34" s="6">
        <f t="shared" si="4"/>
        <v>40230.000000000007</v>
      </c>
      <c r="N34" s="11">
        <f t="shared" si="1"/>
        <v>42643.80000000001</v>
      </c>
    </row>
    <row r="35" spans="1:17" x14ac:dyDescent="0.25">
      <c r="A35" s="125" t="s">
        <v>96</v>
      </c>
      <c r="B35" s="7"/>
      <c r="C35" s="7">
        <v>6</v>
      </c>
      <c r="D35" s="132" t="s">
        <v>140</v>
      </c>
      <c r="E35" s="7">
        <v>0.5</v>
      </c>
      <c r="F35" s="11">
        <v>37250</v>
      </c>
      <c r="G35" s="188">
        <f>F35</f>
        <v>37250</v>
      </c>
      <c r="H35" s="130">
        <f t="shared" si="0"/>
        <v>0</v>
      </c>
      <c r="I35" s="106"/>
      <c r="J35" s="88">
        <f t="shared" si="2"/>
        <v>2250</v>
      </c>
      <c r="K35" s="88">
        <f t="shared" si="3"/>
        <v>35000</v>
      </c>
      <c r="L35" s="158"/>
      <c r="M35" s="6">
        <f t="shared" si="4"/>
        <v>37250</v>
      </c>
      <c r="N35" s="11">
        <f t="shared" si="1"/>
        <v>39485</v>
      </c>
    </row>
    <row r="36" spans="1:17" x14ac:dyDescent="0.25">
      <c r="A36" s="125" t="s">
        <v>96</v>
      </c>
      <c r="B36" s="7"/>
      <c r="C36" s="7">
        <v>7</v>
      </c>
      <c r="D36" s="132" t="s">
        <v>60</v>
      </c>
      <c r="E36" s="7">
        <v>0.5</v>
      </c>
      <c r="F36" s="88">
        <v>37250</v>
      </c>
      <c r="G36" s="187">
        <f>F36</f>
        <v>37250</v>
      </c>
      <c r="H36" s="130">
        <f t="shared" si="0"/>
        <v>0</v>
      </c>
      <c r="I36" s="106"/>
      <c r="J36" s="88">
        <f t="shared" si="2"/>
        <v>2250</v>
      </c>
      <c r="K36" s="88">
        <f t="shared" si="3"/>
        <v>35000</v>
      </c>
      <c r="L36" s="158"/>
      <c r="M36" s="6">
        <f t="shared" si="4"/>
        <v>37250</v>
      </c>
      <c r="N36" s="11">
        <f t="shared" si="1"/>
        <v>39485</v>
      </c>
    </row>
    <row r="37" spans="1:17" x14ac:dyDescent="0.25">
      <c r="A37" s="125" t="s">
        <v>96</v>
      </c>
      <c r="B37" s="7"/>
      <c r="C37" s="7">
        <v>8</v>
      </c>
      <c r="D37" s="132" t="s">
        <v>57</v>
      </c>
      <c r="E37" s="7">
        <v>0.49</v>
      </c>
      <c r="F37" s="88">
        <v>36505</v>
      </c>
      <c r="G37" s="187">
        <f t="shared" ref="G36:G41" si="6">F37</f>
        <v>36505</v>
      </c>
      <c r="H37" s="130">
        <f t="shared" si="0"/>
        <v>0</v>
      </c>
      <c r="I37" s="106"/>
      <c r="J37" s="88">
        <f t="shared" si="2"/>
        <v>2205</v>
      </c>
      <c r="K37" s="88">
        <f t="shared" si="3"/>
        <v>34300</v>
      </c>
      <c r="L37" s="158"/>
      <c r="M37" s="6">
        <f t="shared" si="4"/>
        <v>36505</v>
      </c>
      <c r="N37" s="11">
        <f t="shared" si="1"/>
        <v>38695.300000000003</v>
      </c>
    </row>
    <row r="38" spans="1:17" x14ac:dyDescent="0.25">
      <c r="A38" s="125" t="s">
        <v>96</v>
      </c>
      <c r="B38" s="7"/>
      <c r="C38" s="7">
        <v>9</v>
      </c>
      <c r="D38" s="132" t="s">
        <v>52</v>
      </c>
      <c r="E38" s="7">
        <v>0.49</v>
      </c>
      <c r="F38" s="88">
        <v>36505</v>
      </c>
      <c r="G38" s="187">
        <f t="shared" si="6"/>
        <v>36505</v>
      </c>
      <c r="H38" s="130">
        <f t="shared" si="0"/>
        <v>0</v>
      </c>
      <c r="I38" s="106"/>
      <c r="J38" s="88">
        <f t="shared" si="2"/>
        <v>2205</v>
      </c>
      <c r="K38" s="88">
        <f t="shared" si="3"/>
        <v>34300</v>
      </c>
      <c r="L38" s="158"/>
      <c r="M38" s="6">
        <f t="shared" si="4"/>
        <v>36505</v>
      </c>
      <c r="N38" s="11">
        <f t="shared" si="1"/>
        <v>38695.300000000003</v>
      </c>
    </row>
    <row r="39" spans="1:17" x14ac:dyDescent="0.25">
      <c r="A39" s="125" t="s">
        <v>96</v>
      </c>
      <c r="B39" s="7"/>
      <c r="C39" s="7">
        <v>10</v>
      </c>
      <c r="D39" s="132" t="s">
        <v>62</v>
      </c>
      <c r="E39" s="7">
        <v>0.59</v>
      </c>
      <c r="F39" s="88">
        <v>43955</v>
      </c>
      <c r="G39" s="187">
        <f t="shared" si="6"/>
        <v>43955</v>
      </c>
      <c r="H39" s="130">
        <f t="shared" si="0"/>
        <v>0</v>
      </c>
      <c r="I39" s="106"/>
      <c r="J39" s="88">
        <f t="shared" si="2"/>
        <v>2655</v>
      </c>
      <c r="K39" s="88">
        <f t="shared" si="3"/>
        <v>41300</v>
      </c>
      <c r="L39" s="158"/>
      <c r="M39" s="6">
        <f t="shared" si="4"/>
        <v>43955</v>
      </c>
      <c r="N39" s="11">
        <f t="shared" si="1"/>
        <v>46592.3</v>
      </c>
    </row>
    <row r="40" spans="1:17" x14ac:dyDescent="0.25">
      <c r="A40" s="125" t="s">
        <v>96</v>
      </c>
      <c r="B40" s="7"/>
      <c r="C40" s="7">
        <v>11</v>
      </c>
      <c r="D40" s="132" t="s">
        <v>62</v>
      </c>
      <c r="E40" s="7">
        <v>0.56999999999999995</v>
      </c>
      <c r="F40" s="88">
        <v>42464.999999999993</v>
      </c>
      <c r="G40" s="187">
        <f t="shared" si="6"/>
        <v>42464.999999999993</v>
      </c>
      <c r="H40" s="130">
        <f t="shared" si="0"/>
        <v>0</v>
      </c>
      <c r="I40" s="106"/>
      <c r="J40" s="88">
        <f t="shared" si="2"/>
        <v>2564.9999999999995</v>
      </c>
      <c r="K40" s="88">
        <f t="shared" si="3"/>
        <v>39899.999999999993</v>
      </c>
      <c r="L40" s="158"/>
      <c r="M40" s="6">
        <f t="shared" si="4"/>
        <v>42464.999999999993</v>
      </c>
      <c r="N40" s="11">
        <f t="shared" si="1"/>
        <v>45012.899999999994</v>
      </c>
    </row>
    <row r="41" spans="1:17" x14ac:dyDescent="0.25">
      <c r="A41" s="125" t="s">
        <v>96</v>
      </c>
      <c r="B41" s="7"/>
      <c r="C41" s="7">
        <v>12</v>
      </c>
      <c r="D41" s="132" t="s">
        <v>50</v>
      </c>
      <c r="E41" s="7">
        <v>0.54</v>
      </c>
      <c r="F41" s="88">
        <v>40230.000000000007</v>
      </c>
      <c r="G41" s="187">
        <f t="shared" si="6"/>
        <v>40230.000000000007</v>
      </c>
      <c r="H41" s="130">
        <f t="shared" si="0"/>
        <v>0</v>
      </c>
      <c r="I41" s="106"/>
      <c r="J41" s="88">
        <f t="shared" si="2"/>
        <v>2430</v>
      </c>
      <c r="K41" s="88">
        <f t="shared" si="3"/>
        <v>37800.000000000007</v>
      </c>
      <c r="L41" s="158"/>
      <c r="M41" s="6">
        <f t="shared" si="4"/>
        <v>40230.000000000007</v>
      </c>
      <c r="N41" s="11">
        <f t="shared" si="1"/>
        <v>42643.80000000001</v>
      </c>
    </row>
    <row r="42" spans="1:17" x14ac:dyDescent="0.25">
      <c r="A42" s="125" t="s">
        <v>96</v>
      </c>
      <c r="B42" s="7"/>
      <c r="C42" s="7">
        <v>13</v>
      </c>
      <c r="D42" s="132" t="s">
        <v>66</v>
      </c>
      <c r="E42" s="7">
        <v>0.55000000000000004</v>
      </c>
      <c r="F42" s="88">
        <v>40975.000000000007</v>
      </c>
      <c r="G42" s="187">
        <f>F42</f>
        <v>40975.000000000007</v>
      </c>
      <c r="H42" s="130">
        <f t="shared" si="0"/>
        <v>0</v>
      </c>
      <c r="I42" s="106"/>
      <c r="J42" s="88">
        <f t="shared" si="2"/>
        <v>2475.0000000000005</v>
      </c>
      <c r="K42" s="88">
        <f t="shared" si="3"/>
        <v>38500.000000000007</v>
      </c>
      <c r="L42" s="158"/>
      <c r="M42" s="6">
        <f t="shared" si="4"/>
        <v>40975.000000000007</v>
      </c>
      <c r="N42" s="11">
        <f t="shared" si="1"/>
        <v>43433.500000000007</v>
      </c>
    </row>
    <row r="43" spans="1:17" x14ac:dyDescent="0.25">
      <c r="A43" s="125" t="s">
        <v>96</v>
      </c>
      <c r="B43" s="7"/>
      <c r="C43" s="7">
        <v>14</v>
      </c>
      <c r="D43" s="132" t="s">
        <v>66</v>
      </c>
      <c r="E43" s="7">
        <v>0.45</v>
      </c>
      <c r="F43" s="88">
        <v>33525</v>
      </c>
      <c r="G43" s="187">
        <f t="shared" ref="G43:G44" si="7">F43</f>
        <v>33525</v>
      </c>
      <c r="H43" s="130">
        <f t="shared" si="0"/>
        <v>0</v>
      </c>
      <c r="I43" s="106"/>
      <c r="J43" s="88">
        <f t="shared" si="2"/>
        <v>2025.0000000000002</v>
      </c>
      <c r="K43" s="88">
        <f t="shared" si="3"/>
        <v>31500</v>
      </c>
      <c r="L43" s="158"/>
      <c r="M43" s="6">
        <f t="shared" si="4"/>
        <v>33525</v>
      </c>
      <c r="N43" s="11">
        <f t="shared" si="1"/>
        <v>35536.5</v>
      </c>
      <c r="P43" s="108">
        <f>L1-K52</f>
        <v>591652.79040900059</v>
      </c>
    </row>
    <row r="44" spans="1:17" x14ac:dyDescent="0.25">
      <c r="A44" s="125" t="s">
        <v>96</v>
      </c>
      <c r="B44" s="7"/>
      <c r="C44" s="7">
        <v>15</v>
      </c>
      <c r="D44" s="132" t="s">
        <v>66</v>
      </c>
      <c r="E44" s="7">
        <v>0.61</v>
      </c>
      <c r="F44" s="88">
        <v>45445</v>
      </c>
      <c r="G44" s="187">
        <f t="shared" si="7"/>
        <v>45445</v>
      </c>
      <c r="H44" s="130">
        <f t="shared" si="0"/>
        <v>0</v>
      </c>
      <c r="I44" s="106"/>
      <c r="J44" s="88">
        <f t="shared" si="2"/>
        <v>2745</v>
      </c>
      <c r="K44" s="88">
        <f t="shared" si="3"/>
        <v>42700</v>
      </c>
      <c r="L44" s="158"/>
      <c r="M44" s="6">
        <f t="shared" si="4"/>
        <v>45445</v>
      </c>
      <c r="N44" s="11">
        <f t="shared" si="1"/>
        <v>48171.7</v>
      </c>
    </row>
    <row r="45" spans="1:17" x14ac:dyDescent="0.25">
      <c r="A45" s="125" t="s">
        <v>96</v>
      </c>
      <c r="B45" s="7"/>
      <c r="C45" s="7">
        <v>16</v>
      </c>
      <c r="D45" s="132" t="s">
        <v>53</v>
      </c>
      <c r="E45" s="7">
        <v>0.54</v>
      </c>
      <c r="F45" s="88">
        <v>40230.000000000007</v>
      </c>
      <c r="G45" s="187">
        <f t="shared" ref="G45:G51" si="8">F45</f>
        <v>40230.000000000007</v>
      </c>
      <c r="H45" s="130">
        <f t="shared" si="0"/>
        <v>0</v>
      </c>
      <c r="I45" s="106"/>
      <c r="J45" s="88">
        <f t="shared" si="2"/>
        <v>2430</v>
      </c>
      <c r="K45" s="88">
        <f t="shared" si="3"/>
        <v>37800.000000000007</v>
      </c>
      <c r="L45" s="158"/>
      <c r="M45" s="6">
        <f t="shared" si="4"/>
        <v>40230.000000000007</v>
      </c>
      <c r="N45" s="11">
        <f t="shared" si="1"/>
        <v>42643.80000000001</v>
      </c>
    </row>
    <row r="46" spans="1:17" x14ac:dyDescent="0.25">
      <c r="A46" s="125" t="s">
        <v>96</v>
      </c>
      <c r="B46" s="7"/>
      <c r="C46" s="7">
        <v>17</v>
      </c>
      <c r="D46" s="132" t="s">
        <v>55</v>
      </c>
      <c r="E46" s="7">
        <v>0.5</v>
      </c>
      <c r="F46" s="88">
        <v>37250</v>
      </c>
      <c r="G46" s="187">
        <f>F46</f>
        <v>37250</v>
      </c>
      <c r="H46" s="130">
        <f t="shared" si="0"/>
        <v>0</v>
      </c>
      <c r="I46" s="106"/>
      <c r="J46" s="88">
        <f t="shared" si="2"/>
        <v>2250</v>
      </c>
      <c r="K46" s="88">
        <f t="shared" si="3"/>
        <v>35000</v>
      </c>
      <c r="L46" s="158"/>
      <c r="M46" s="6">
        <f t="shared" si="4"/>
        <v>37250</v>
      </c>
      <c r="N46" s="11">
        <f t="shared" si="1"/>
        <v>39485</v>
      </c>
      <c r="Q46" t="s">
        <v>132</v>
      </c>
    </row>
    <row r="47" spans="1:17" x14ac:dyDescent="0.25">
      <c r="A47" s="125" t="s">
        <v>96</v>
      </c>
      <c r="B47" s="7"/>
      <c r="C47" s="7">
        <v>18</v>
      </c>
      <c r="D47" s="132" t="s">
        <v>47</v>
      </c>
      <c r="E47" s="7">
        <v>0.5</v>
      </c>
      <c r="F47" s="88">
        <v>37250</v>
      </c>
      <c r="G47" s="187">
        <f t="shared" si="8"/>
        <v>37250</v>
      </c>
      <c r="H47" s="130">
        <f t="shared" si="0"/>
        <v>0</v>
      </c>
      <c r="I47" s="106"/>
      <c r="J47" s="88">
        <f t="shared" si="2"/>
        <v>2250</v>
      </c>
      <c r="K47" s="88">
        <f t="shared" si="3"/>
        <v>35000</v>
      </c>
      <c r="L47" s="158"/>
      <c r="M47" s="6">
        <f t="shared" si="4"/>
        <v>37250</v>
      </c>
      <c r="N47" s="11">
        <f t="shared" si="1"/>
        <v>39485</v>
      </c>
      <c r="O47" s="137"/>
      <c r="Q47" s="134">
        <f>M3-J52</f>
        <v>2486405</v>
      </c>
    </row>
    <row r="48" spans="1:17" x14ac:dyDescent="0.25">
      <c r="A48" s="125" t="s">
        <v>96</v>
      </c>
      <c r="B48" s="7"/>
      <c r="C48" s="7">
        <v>19</v>
      </c>
      <c r="D48" s="132" t="s">
        <v>47</v>
      </c>
      <c r="E48" s="7">
        <v>0.49</v>
      </c>
      <c r="F48" s="88">
        <v>36505</v>
      </c>
      <c r="G48" s="187">
        <f t="shared" si="8"/>
        <v>36505</v>
      </c>
      <c r="H48" s="130">
        <f t="shared" si="0"/>
        <v>0</v>
      </c>
      <c r="I48" s="106"/>
      <c r="J48" s="88">
        <f t="shared" si="2"/>
        <v>2205</v>
      </c>
      <c r="K48" s="88">
        <f t="shared" si="3"/>
        <v>34300</v>
      </c>
      <c r="L48" s="158"/>
      <c r="M48" s="6">
        <f t="shared" si="4"/>
        <v>36505</v>
      </c>
      <c r="N48" s="11">
        <f t="shared" si="1"/>
        <v>38695.300000000003</v>
      </c>
    </row>
    <row r="49" spans="1:16" x14ac:dyDescent="0.25">
      <c r="A49" s="125" t="s">
        <v>96</v>
      </c>
      <c r="B49" s="7"/>
      <c r="C49" s="7">
        <v>20</v>
      </c>
      <c r="D49" s="132" t="str">
        <f>D16</f>
        <v>FEUILLANT, GASTON</v>
      </c>
      <c r="E49" s="7">
        <v>0.49</v>
      </c>
      <c r="F49" s="88">
        <v>36505</v>
      </c>
      <c r="G49" s="187">
        <f>F49</f>
        <v>36505</v>
      </c>
      <c r="H49" s="130">
        <f t="shared" si="0"/>
        <v>0</v>
      </c>
      <c r="I49" s="106"/>
      <c r="J49" s="88">
        <f t="shared" si="2"/>
        <v>2205</v>
      </c>
      <c r="K49" s="88">
        <f t="shared" si="3"/>
        <v>34300</v>
      </c>
      <c r="L49" s="158"/>
      <c r="M49" s="6">
        <f t="shared" si="4"/>
        <v>36505</v>
      </c>
      <c r="N49" s="11">
        <f t="shared" si="1"/>
        <v>38695.300000000003</v>
      </c>
    </row>
    <row r="50" spans="1:16" x14ac:dyDescent="0.25">
      <c r="A50" s="125" t="s">
        <v>96</v>
      </c>
      <c r="B50" s="7"/>
      <c r="C50" s="7">
        <v>21</v>
      </c>
      <c r="D50" s="132" t="s">
        <v>42</v>
      </c>
      <c r="E50" s="7">
        <v>0.59</v>
      </c>
      <c r="F50" s="88">
        <v>43955</v>
      </c>
      <c r="G50" s="188">
        <f>F50</f>
        <v>43955</v>
      </c>
      <c r="H50" s="130">
        <f t="shared" si="0"/>
        <v>0</v>
      </c>
      <c r="I50" s="106"/>
      <c r="J50" s="88">
        <f t="shared" si="2"/>
        <v>2655</v>
      </c>
      <c r="K50" s="88">
        <f t="shared" si="3"/>
        <v>41300</v>
      </c>
      <c r="L50" s="158"/>
      <c r="M50" s="6">
        <f t="shared" si="4"/>
        <v>43955</v>
      </c>
      <c r="N50" s="11">
        <f t="shared" si="1"/>
        <v>46592.3</v>
      </c>
    </row>
    <row r="51" spans="1:16" x14ac:dyDescent="0.25">
      <c r="A51" s="125" t="s">
        <v>96</v>
      </c>
      <c r="B51" s="7"/>
      <c r="C51" s="7">
        <v>22</v>
      </c>
      <c r="D51" s="132" t="s">
        <v>49</v>
      </c>
      <c r="E51" s="7">
        <v>0.56999999999999995</v>
      </c>
      <c r="F51" s="88">
        <v>42464.999999999993</v>
      </c>
      <c r="G51" s="187">
        <f>F51</f>
        <v>42464.999999999993</v>
      </c>
      <c r="H51" s="130">
        <f t="shared" si="0"/>
        <v>0</v>
      </c>
      <c r="I51" s="106"/>
      <c r="J51" s="88">
        <f t="shared" si="2"/>
        <v>2564.9999999999995</v>
      </c>
      <c r="K51" s="88">
        <f t="shared" si="3"/>
        <v>39899.999999999993</v>
      </c>
      <c r="L51" s="158"/>
      <c r="M51" s="6">
        <f t="shared" si="4"/>
        <v>42464.999999999993</v>
      </c>
      <c r="N51" s="11">
        <f t="shared" si="1"/>
        <v>45012.899999999994</v>
      </c>
    </row>
    <row r="52" spans="1:16" ht="14.25" customHeight="1" x14ac:dyDescent="0.25">
      <c r="A52" s="89"/>
      <c r="B52" s="89"/>
      <c r="C52" s="89"/>
      <c r="D52" s="89"/>
      <c r="E52" s="89">
        <f>SUM(E7:E51)</f>
        <v>99.999999999999986</v>
      </c>
      <c r="F52" s="190">
        <f>SUM(F7:F51)</f>
        <v>6694001.5113024348</v>
      </c>
      <c r="G52" s="190">
        <f>SUM(G7:G51)</f>
        <v>6941937.3369510006</v>
      </c>
      <c r="H52" s="89"/>
      <c r="I52" s="89"/>
      <c r="J52" s="126">
        <f>SUM(J8:J51)</f>
        <v>413595</v>
      </c>
      <c r="K52" s="90">
        <f>SUM(K7:K51)</f>
        <v>6924023.2495910004</v>
      </c>
      <c r="L52" s="247">
        <f>SUM(L7:L51)</f>
        <v>1151834</v>
      </c>
      <c r="M52" s="91">
        <f>SUM(M7:M51)</f>
        <v>8276064.8013024349</v>
      </c>
      <c r="N52" s="90">
        <f>SUM(N7:N51)</f>
        <v>8772628.6893805824</v>
      </c>
      <c r="P52" s="134"/>
    </row>
    <row r="53" spans="1:16" hidden="1" x14ac:dyDescent="0.25">
      <c r="K53" s="137">
        <f>K52-L1</f>
        <v>-591652.79040900059</v>
      </c>
    </row>
    <row r="54" spans="1:16" ht="15" hidden="1" customHeight="1" x14ac:dyDescent="0.25"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</row>
    <row r="55" spans="1:16" hidden="1" x14ac:dyDescent="0.25"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</row>
    <row r="56" spans="1:16" x14ac:dyDescent="0.25">
      <c r="C56" s="160"/>
      <c r="D56" s="160"/>
      <c r="E56" s="160"/>
      <c r="F56" s="160"/>
      <c r="G56" s="160"/>
      <c r="H56" s="160"/>
      <c r="I56" s="160"/>
      <c r="J56" s="160"/>
      <c r="K56" s="160"/>
      <c r="L56" s="160"/>
      <c r="M56" s="160"/>
      <c r="N56" s="160"/>
    </row>
    <row r="57" spans="1:16" x14ac:dyDescent="0.25">
      <c r="C57" s="219" t="s">
        <v>129</v>
      </c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</row>
    <row r="58" spans="1:16" x14ac:dyDescent="0.25"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</row>
    <row r="59" spans="1:16" x14ac:dyDescent="0.25"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</row>
    <row r="60" spans="1:16" x14ac:dyDescent="0.25"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</row>
    <row r="61" spans="1:16" x14ac:dyDescent="0.25"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</row>
    <row r="62" spans="1:16" x14ac:dyDescent="0.25"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</row>
    <row r="63" spans="1:16" x14ac:dyDescent="0.25"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</row>
  </sheetData>
  <mergeCells count="17">
    <mergeCell ref="A5:A6"/>
    <mergeCell ref="B5:B6"/>
    <mergeCell ref="C5:C6"/>
    <mergeCell ref="D5:D6"/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2FF5-218B-41A1-9BCB-F43114942886}">
  <dimension ref="C4:H25"/>
  <sheetViews>
    <sheetView topLeftCell="A7" workbookViewId="0">
      <selection activeCell="C29" sqref="C29"/>
    </sheetView>
  </sheetViews>
  <sheetFormatPr baseColWidth="10" defaultRowHeight="15" x14ac:dyDescent="0.25"/>
  <cols>
    <col min="4" max="4" width="14.85546875" customWidth="1"/>
  </cols>
  <sheetData>
    <row r="4" spans="3:8" x14ac:dyDescent="0.25">
      <c r="C4" s="3" t="s">
        <v>143</v>
      </c>
    </row>
    <row r="5" spans="3:8" x14ac:dyDescent="0.25">
      <c r="C5" t="s">
        <v>144</v>
      </c>
      <c r="D5" s="181">
        <v>-447223.45918396302</v>
      </c>
    </row>
    <row r="6" spans="3:8" x14ac:dyDescent="0.25">
      <c r="C6" t="s">
        <v>145</v>
      </c>
      <c r="D6" s="181">
        <v>0</v>
      </c>
    </row>
    <row r="7" spans="3:8" x14ac:dyDescent="0.25">
      <c r="C7" t="s">
        <v>146</v>
      </c>
      <c r="D7" s="181">
        <v>0</v>
      </c>
    </row>
    <row r="8" spans="3:8" x14ac:dyDescent="0.25">
      <c r="C8" t="s">
        <v>147</v>
      </c>
      <c r="D8" s="181">
        <v>0</v>
      </c>
    </row>
    <row r="10" spans="3:8" x14ac:dyDescent="0.25">
      <c r="C10" s="3" t="s">
        <v>149</v>
      </c>
    </row>
    <row r="11" spans="3:8" x14ac:dyDescent="0.25">
      <c r="C11" t="s">
        <v>144</v>
      </c>
      <c r="D11" s="181">
        <v>451182</v>
      </c>
    </row>
    <row r="12" spans="3:8" x14ac:dyDescent="0.25">
      <c r="C12" t="s">
        <v>145</v>
      </c>
      <c r="D12" s="181">
        <v>40606.380000000005</v>
      </c>
    </row>
    <row r="13" spans="3:8" x14ac:dyDescent="0.25">
      <c r="C13" t="s">
        <v>146</v>
      </c>
      <c r="D13" s="181">
        <v>41358.350000000006</v>
      </c>
    </row>
    <row r="14" spans="3:8" x14ac:dyDescent="0.25">
      <c r="C14" t="s">
        <v>147</v>
      </c>
      <c r="D14" s="181">
        <v>37598.5</v>
      </c>
    </row>
    <row r="16" spans="3:8" x14ac:dyDescent="0.25">
      <c r="C16" s="3" t="s">
        <v>148</v>
      </c>
      <c r="D16" s="3"/>
      <c r="E16" s="3"/>
      <c r="F16" s="3"/>
      <c r="G16" s="3"/>
      <c r="H16" s="3"/>
    </row>
    <row r="17" spans="3:4" x14ac:dyDescent="0.25">
      <c r="C17" t="s">
        <v>144</v>
      </c>
      <c r="D17" s="181">
        <f>D11+D5</f>
        <v>3958.5408160369843</v>
      </c>
    </row>
    <row r="18" spans="3:4" x14ac:dyDescent="0.25">
      <c r="C18" t="s">
        <v>145</v>
      </c>
      <c r="D18" s="181">
        <v>40606.380000000005</v>
      </c>
    </row>
    <row r="19" spans="3:4" x14ac:dyDescent="0.25">
      <c r="C19" t="s">
        <v>146</v>
      </c>
      <c r="D19" s="181">
        <v>41358.350000000006</v>
      </c>
    </row>
    <row r="20" spans="3:4" x14ac:dyDescent="0.25">
      <c r="C20" t="s">
        <v>147</v>
      </c>
      <c r="D20" s="181">
        <v>37598.5</v>
      </c>
    </row>
    <row r="21" spans="3:4" ht="15.75" thickBot="1" x14ac:dyDescent="0.3">
      <c r="C21" t="s">
        <v>151</v>
      </c>
      <c r="D21" s="181">
        <v>-25000</v>
      </c>
    </row>
    <row r="22" spans="3:4" x14ac:dyDescent="0.25">
      <c r="C22" s="234" t="s">
        <v>150</v>
      </c>
      <c r="D22" s="237">
        <f>SUM(D17:D21)</f>
        <v>98521.770816036995</v>
      </c>
    </row>
    <row r="23" spans="3:4" x14ac:dyDescent="0.25">
      <c r="C23" s="235"/>
      <c r="D23" s="238"/>
    </row>
    <row r="24" spans="3:4" x14ac:dyDescent="0.25">
      <c r="C24" s="235"/>
      <c r="D24" s="238"/>
    </row>
    <row r="25" spans="3:4" ht="15.75" thickBot="1" x14ac:dyDescent="0.3">
      <c r="C25" s="236"/>
      <c r="D25" s="239"/>
    </row>
  </sheetData>
  <mergeCells count="2">
    <mergeCell ref="C22:C25"/>
    <mergeCell ref="D22:D2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topLeftCell="A7" workbookViewId="0">
      <selection activeCell="N2" sqref="N2"/>
    </sheetView>
  </sheetViews>
  <sheetFormatPr baseColWidth="10" defaultRowHeight="15" x14ac:dyDescent="0.25"/>
  <cols>
    <col min="1" max="1" width="8.42578125" customWidth="1"/>
    <col min="2" max="2" width="17.7109375" customWidth="1"/>
    <col min="3" max="3" width="8.85546875" customWidth="1"/>
    <col min="12" max="12" width="13.7109375" customWidth="1"/>
    <col min="13" max="13" width="11.42578125" hidden="1" customWidth="1"/>
  </cols>
  <sheetData>
    <row r="1" spans="1:15" x14ac:dyDescent="0.25">
      <c r="A1" s="48"/>
      <c r="B1" s="49"/>
      <c r="C1" s="49"/>
      <c r="D1" s="50" t="s">
        <v>17</v>
      </c>
      <c r="E1" s="50"/>
      <c r="F1" s="49"/>
      <c r="G1" s="49"/>
      <c r="H1" s="49"/>
      <c r="I1" s="49"/>
      <c r="J1" s="49"/>
      <c r="K1" s="49"/>
      <c r="L1" s="50" t="s">
        <v>70</v>
      </c>
      <c r="M1" s="49"/>
      <c r="N1" s="52" t="str">
        <f>RESUMEN!C5</f>
        <v>VTO: 14/11</v>
      </c>
      <c r="O1" s="52"/>
    </row>
    <row r="2" spans="1:15" x14ac:dyDescent="0.25">
      <c r="A2" s="49"/>
      <c r="B2" s="51"/>
      <c r="C2" s="51"/>
      <c r="D2" s="50" t="s">
        <v>18</v>
      </c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</row>
    <row r="3" spans="1:15" x14ac:dyDescent="0.25">
      <c r="A3" s="49"/>
      <c r="B3" s="51"/>
      <c r="C3" s="51"/>
      <c r="D3" s="50"/>
      <c r="E3" s="49"/>
      <c r="F3" s="49"/>
      <c r="G3" s="49"/>
      <c r="H3" s="49"/>
      <c r="I3" s="49"/>
      <c r="J3" s="50" t="s">
        <v>71</v>
      </c>
      <c r="K3" s="50"/>
      <c r="L3" s="53">
        <v>249991.29847799998</v>
      </c>
      <c r="M3" s="49"/>
      <c r="N3" s="54">
        <v>-1891.33</v>
      </c>
      <c r="O3" s="54"/>
    </row>
    <row r="4" spans="1:15" ht="15.75" thickBot="1" x14ac:dyDescent="0.3">
      <c r="A4" s="49"/>
      <c r="B4" s="51"/>
      <c r="C4" s="51"/>
      <c r="D4" s="50"/>
      <c r="E4" s="49"/>
      <c r="F4" s="49"/>
      <c r="G4" s="49"/>
      <c r="H4" s="49"/>
      <c r="I4" s="49"/>
      <c r="J4" s="50" t="s">
        <v>72</v>
      </c>
      <c r="K4" s="50"/>
      <c r="L4" s="53">
        <v>0</v>
      </c>
      <c r="M4" s="49"/>
      <c r="N4" s="49"/>
      <c r="O4" s="49"/>
    </row>
    <row r="5" spans="1:15" ht="30" x14ac:dyDescent="0.25">
      <c r="A5" s="240" t="s">
        <v>73</v>
      </c>
      <c r="B5" s="240" t="s">
        <v>22</v>
      </c>
      <c r="C5" s="55" t="s">
        <v>74</v>
      </c>
      <c r="D5" s="35" t="s">
        <v>23</v>
      </c>
      <c r="E5" s="35" t="s">
        <v>24</v>
      </c>
      <c r="F5" s="240" t="s">
        <v>75</v>
      </c>
      <c r="G5" s="37" t="s">
        <v>76</v>
      </c>
      <c r="H5" s="38" t="s">
        <v>27</v>
      </c>
      <c r="I5" s="36" t="s">
        <v>77</v>
      </c>
      <c r="J5" s="39" t="s">
        <v>28</v>
      </c>
      <c r="K5" s="40" t="s">
        <v>28</v>
      </c>
      <c r="L5" s="37" t="s">
        <v>29</v>
      </c>
      <c r="M5" s="41"/>
      <c r="N5" s="240" t="s">
        <v>78</v>
      </c>
      <c r="O5" s="240" t="s">
        <v>79</v>
      </c>
    </row>
    <row r="6" spans="1:15" x14ac:dyDescent="0.25">
      <c r="A6" s="241"/>
      <c r="B6" s="241"/>
      <c r="C6" s="56" t="s">
        <v>80</v>
      </c>
      <c r="D6" s="42" t="s">
        <v>30</v>
      </c>
      <c r="E6" s="42" t="s">
        <v>31</v>
      </c>
      <c r="F6" s="241"/>
      <c r="G6" s="44" t="s">
        <v>81</v>
      </c>
      <c r="H6" s="45">
        <v>0.06</v>
      </c>
      <c r="I6" s="43" t="s">
        <v>82</v>
      </c>
      <c r="J6" s="46" t="s">
        <v>32</v>
      </c>
      <c r="K6" s="47" t="s">
        <v>83</v>
      </c>
      <c r="L6" s="44" t="s">
        <v>84</v>
      </c>
      <c r="M6" s="47"/>
      <c r="N6" s="241"/>
      <c r="O6" s="241"/>
    </row>
    <row r="7" spans="1:15" ht="15" customHeight="1" x14ac:dyDescent="0.25">
      <c r="A7" s="15">
        <v>1</v>
      </c>
      <c r="B7" s="84" t="s">
        <v>60</v>
      </c>
      <c r="C7" s="87">
        <v>5.4</v>
      </c>
      <c r="D7" s="6">
        <v>13967.239436680005</v>
      </c>
      <c r="E7" s="58">
        <f>D7</f>
        <v>13967.239436680005</v>
      </c>
      <c r="F7" s="23">
        <v>0</v>
      </c>
      <c r="G7" s="21">
        <v>0</v>
      </c>
      <c r="H7" s="27">
        <v>0</v>
      </c>
      <c r="I7" s="17">
        <v>0.54</v>
      </c>
      <c r="J7" s="23">
        <v>11608.200117812001</v>
      </c>
      <c r="K7" s="29">
        <v>0</v>
      </c>
      <c r="L7" s="21">
        <v>11608.200117812001</v>
      </c>
      <c r="M7" s="18"/>
      <c r="N7" s="6">
        <v>11608.200117812001</v>
      </c>
      <c r="O7" s="6">
        <v>12304.692124880721</v>
      </c>
    </row>
    <row r="8" spans="1:15" ht="15" customHeight="1" x14ac:dyDescent="0.25">
      <c r="A8" s="15">
        <v>2</v>
      </c>
      <c r="B8" s="84" t="s">
        <v>60</v>
      </c>
      <c r="C8" s="87">
        <v>5.5</v>
      </c>
      <c r="D8" s="6">
        <v>14267.901278100004</v>
      </c>
      <c r="E8" s="58">
        <f t="shared" ref="E8:E28" si="0">D8</f>
        <v>14267.901278100004</v>
      </c>
      <c r="F8" s="23">
        <v>0</v>
      </c>
      <c r="G8" s="21">
        <v>0</v>
      </c>
      <c r="H8" s="27">
        <v>0</v>
      </c>
      <c r="I8" s="17">
        <v>0.55000000000000004</v>
      </c>
      <c r="J8" s="23">
        <v>11858.191416289999</v>
      </c>
      <c r="K8" s="29">
        <v>0</v>
      </c>
      <c r="L8" s="21">
        <v>11858.191416289999</v>
      </c>
      <c r="M8" s="18"/>
      <c r="N8" s="6">
        <v>11858.191416289999</v>
      </c>
      <c r="O8" s="6">
        <v>12569.682901267399</v>
      </c>
    </row>
    <row r="9" spans="1:15" ht="15" customHeight="1" x14ac:dyDescent="0.25">
      <c r="A9" s="15">
        <v>3</v>
      </c>
      <c r="B9" s="84" t="s">
        <v>64</v>
      </c>
      <c r="C9" s="87">
        <v>4.5</v>
      </c>
      <c r="D9" s="6">
        <v>11261.282863900002</v>
      </c>
      <c r="E9" s="58">
        <f t="shared" si="0"/>
        <v>11261.282863900002</v>
      </c>
      <c r="F9" s="23">
        <v>0</v>
      </c>
      <c r="G9" s="21">
        <v>0</v>
      </c>
      <c r="H9" s="27">
        <v>0</v>
      </c>
      <c r="I9" s="17">
        <v>0.45</v>
      </c>
      <c r="J9" s="23">
        <v>9358.278431509998</v>
      </c>
      <c r="K9" s="29">
        <v>0</v>
      </c>
      <c r="L9" s="21">
        <v>9358.278431509998</v>
      </c>
      <c r="M9" s="18"/>
      <c r="N9" s="6">
        <v>9358.278431509998</v>
      </c>
      <c r="O9" s="6">
        <v>9919.7751374005984</v>
      </c>
    </row>
    <row r="10" spans="1:15" ht="15" customHeight="1" x14ac:dyDescent="0.25">
      <c r="A10" s="15">
        <v>4</v>
      </c>
      <c r="B10" s="84" t="s">
        <v>64</v>
      </c>
      <c r="C10" s="87">
        <v>6.1</v>
      </c>
      <c r="D10" s="6">
        <v>16071.872326620005</v>
      </c>
      <c r="E10" s="58">
        <f t="shared" si="0"/>
        <v>16071.872326620005</v>
      </c>
      <c r="F10" s="23">
        <v>0</v>
      </c>
      <c r="G10" s="21">
        <v>0</v>
      </c>
      <c r="H10" s="27">
        <v>0</v>
      </c>
      <c r="I10" s="17">
        <v>0.61</v>
      </c>
      <c r="J10" s="23">
        <v>13358.139207157999</v>
      </c>
      <c r="K10" s="29">
        <v>0</v>
      </c>
      <c r="L10" s="21">
        <v>13358.139207157999</v>
      </c>
      <c r="M10" s="18"/>
      <c r="N10" s="6">
        <v>13358.139207157999</v>
      </c>
      <c r="O10" s="6">
        <v>14159.627559587479</v>
      </c>
    </row>
    <row r="11" spans="1:15" ht="15" customHeight="1" x14ac:dyDescent="0.25">
      <c r="A11" s="15">
        <v>5</v>
      </c>
      <c r="B11" s="84" t="s">
        <v>37</v>
      </c>
      <c r="C11" s="87">
        <v>5.4</v>
      </c>
      <c r="D11" s="6">
        <v>13967.239436680005</v>
      </c>
      <c r="E11" s="58">
        <f t="shared" si="0"/>
        <v>13967.239436680005</v>
      </c>
      <c r="F11" s="23">
        <v>0</v>
      </c>
      <c r="G11" s="21">
        <v>0</v>
      </c>
      <c r="H11" s="27">
        <v>0</v>
      </c>
      <c r="I11" s="17">
        <v>0.54</v>
      </c>
      <c r="J11" s="23">
        <v>11608.200117812001</v>
      </c>
      <c r="K11" s="29">
        <v>0</v>
      </c>
      <c r="L11" s="21">
        <v>11608.200117812001</v>
      </c>
      <c r="M11" s="18"/>
      <c r="N11" s="6">
        <v>11608.200117812001</v>
      </c>
      <c r="O11" s="6">
        <v>12304.692124880721</v>
      </c>
    </row>
    <row r="12" spans="1:15" ht="15" customHeight="1" x14ac:dyDescent="0.25">
      <c r="A12" s="15">
        <v>6</v>
      </c>
      <c r="B12" s="85" t="s">
        <v>45</v>
      </c>
      <c r="C12" s="87">
        <v>5</v>
      </c>
      <c r="D12" s="6">
        <v>12764.592071000003</v>
      </c>
      <c r="E12" s="58">
        <f t="shared" si="0"/>
        <v>12764.592071000003</v>
      </c>
      <c r="F12" s="23">
        <v>0</v>
      </c>
      <c r="G12" s="21">
        <v>0</v>
      </c>
      <c r="H12" s="27">
        <v>0</v>
      </c>
      <c r="I12" s="17">
        <v>0.5</v>
      </c>
      <c r="J12" s="23">
        <v>10608.2349239</v>
      </c>
      <c r="K12" s="29">
        <v>0</v>
      </c>
      <c r="L12" s="21">
        <v>10608.2349239</v>
      </c>
      <c r="M12" s="18"/>
      <c r="N12" s="6">
        <v>10608.2349239</v>
      </c>
      <c r="O12" s="6">
        <v>11244.729019334</v>
      </c>
    </row>
    <row r="13" spans="1:15" ht="15" customHeight="1" x14ac:dyDescent="0.25">
      <c r="A13" s="15">
        <v>7</v>
      </c>
      <c r="B13" s="84" t="s">
        <v>60</v>
      </c>
      <c r="C13" s="87">
        <v>5</v>
      </c>
      <c r="D13" s="6">
        <v>12764.592071000003</v>
      </c>
      <c r="E13" s="58">
        <f t="shared" si="0"/>
        <v>12764.592071000003</v>
      </c>
      <c r="F13" s="23">
        <v>0</v>
      </c>
      <c r="G13" s="21">
        <v>0</v>
      </c>
      <c r="H13" s="27">
        <v>0</v>
      </c>
      <c r="I13" s="17">
        <v>0.5</v>
      </c>
      <c r="J13" s="23">
        <v>10608.2349239</v>
      </c>
      <c r="K13" s="29">
        <v>0</v>
      </c>
      <c r="L13" s="21">
        <v>10608.2349239</v>
      </c>
      <c r="M13" s="18"/>
      <c r="N13" s="6">
        <v>10608.2349239</v>
      </c>
      <c r="O13" s="6">
        <v>11244.729019334</v>
      </c>
    </row>
    <row r="14" spans="1:15" ht="15" customHeight="1" x14ac:dyDescent="0.25">
      <c r="A14" s="15">
        <v>8</v>
      </c>
      <c r="B14" s="84" t="s">
        <v>57</v>
      </c>
      <c r="C14" s="87">
        <v>4.9000000000000004</v>
      </c>
      <c r="D14" s="6">
        <v>12463.930229580003</v>
      </c>
      <c r="E14" s="58">
        <f t="shared" si="0"/>
        <v>12463.930229580003</v>
      </c>
      <c r="F14" s="23">
        <v>0</v>
      </c>
      <c r="G14" s="21">
        <v>0</v>
      </c>
      <c r="H14" s="27">
        <v>0</v>
      </c>
      <c r="I14" s="17">
        <v>0.49</v>
      </c>
      <c r="J14" s="23">
        <v>10358.243625421999</v>
      </c>
      <c r="K14" s="29">
        <v>0</v>
      </c>
      <c r="L14" s="21">
        <v>10358.243625421999</v>
      </c>
      <c r="M14" s="18"/>
      <c r="N14" s="6">
        <v>10358.243625421999</v>
      </c>
      <c r="O14" s="6">
        <v>10979.738242947318</v>
      </c>
    </row>
    <row r="15" spans="1:15" ht="15" customHeight="1" x14ac:dyDescent="0.25">
      <c r="A15" s="15">
        <v>9</v>
      </c>
      <c r="B15" s="84" t="s">
        <v>52</v>
      </c>
      <c r="C15" s="87">
        <v>4.9000000000000004</v>
      </c>
      <c r="D15" s="6">
        <v>12463.930229580003</v>
      </c>
      <c r="E15" s="58">
        <f t="shared" si="0"/>
        <v>12463.930229580003</v>
      </c>
      <c r="F15" s="23">
        <v>0</v>
      </c>
      <c r="G15" s="21">
        <v>0</v>
      </c>
      <c r="H15" s="27">
        <v>0</v>
      </c>
      <c r="I15" s="17">
        <v>0.49</v>
      </c>
      <c r="J15" s="23">
        <v>10358.243625421999</v>
      </c>
      <c r="K15" s="29">
        <v>0</v>
      </c>
      <c r="L15" s="21">
        <v>10358.243625421999</v>
      </c>
      <c r="M15" s="18"/>
      <c r="N15" s="6">
        <v>10358.243625421999</v>
      </c>
      <c r="O15" s="6">
        <v>10979.738242947318</v>
      </c>
    </row>
    <row r="16" spans="1:15" ht="15" customHeight="1" x14ac:dyDescent="0.25">
      <c r="A16" s="15">
        <v>10</v>
      </c>
      <c r="B16" s="84" t="s">
        <v>62</v>
      </c>
      <c r="C16" s="87">
        <v>5.9</v>
      </c>
      <c r="D16" s="6">
        <v>15470.548643780005</v>
      </c>
      <c r="E16" s="58">
        <f t="shared" si="0"/>
        <v>15470.548643780005</v>
      </c>
      <c r="F16" s="23">
        <v>0</v>
      </c>
      <c r="G16" s="21">
        <v>0</v>
      </c>
      <c r="H16" s="27">
        <v>0</v>
      </c>
      <c r="I16" s="17">
        <v>0.59</v>
      </c>
      <c r="J16" s="23">
        <v>12858.156610202001</v>
      </c>
      <c r="K16" s="29">
        <v>0</v>
      </c>
      <c r="L16" s="21">
        <v>12858.156610202001</v>
      </c>
      <c r="M16" s="18"/>
      <c r="N16" s="6">
        <v>12858.156610202001</v>
      </c>
      <c r="O16" s="6">
        <v>13629.64600681412</v>
      </c>
    </row>
    <row r="17" spans="1:15" ht="15" customHeight="1" x14ac:dyDescent="0.25">
      <c r="A17" s="15">
        <v>11</v>
      </c>
      <c r="B17" s="84" t="s">
        <v>62</v>
      </c>
      <c r="C17" s="87">
        <v>5.7</v>
      </c>
      <c r="D17" s="6">
        <v>14869.224960940002</v>
      </c>
      <c r="E17" s="58">
        <f t="shared" si="0"/>
        <v>14869.224960940002</v>
      </c>
      <c r="F17" s="23">
        <v>0</v>
      </c>
      <c r="G17" s="21">
        <v>0</v>
      </c>
      <c r="H17" s="27">
        <v>0</v>
      </c>
      <c r="I17" s="17">
        <v>0.56999999999999995</v>
      </c>
      <c r="J17" s="23">
        <v>12358.174013246</v>
      </c>
      <c r="K17" s="29">
        <v>0</v>
      </c>
      <c r="L17" s="21">
        <v>12358.174013246</v>
      </c>
      <c r="M17" s="18"/>
      <c r="N17" s="6">
        <v>12358.174013246</v>
      </c>
      <c r="O17" s="6">
        <v>13099.66445404076</v>
      </c>
    </row>
    <row r="18" spans="1:15" ht="15" customHeight="1" x14ac:dyDescent="0.25">
      <c r="A18" s="15">
        <v>12</v>
      </c>
      <c r="B18" s="84" t="s">
        <v>50</v>
      </c>
      <c r="C18" s="87">
        <v>5.4</v>
      </c>
      <c r="D18" s="6">
        <v>13967.239436680005</v>
      </c>
      <c r="E18" s="58">
        <f t="shared" si="0"/>
        <v>13967.239436680005</v>
      </c>
      <c r="F18" s="23">
        <v>0</v>
      </c>
      <c r="G18" s="21">
        <v>0</v>
      </c>
      <c r="H18" s="27">
        <v>0</v>
      </c>
      <c r="I18" s="17">
        <v>0.54</v>
      </c>
      <c r="J18" s="23">
        <v>11608.200117812001</v>
      </c>
      <c r="K18" s="29">
        <v>0</v>
      </c>
      <c r="L18" s="21">
        <v>11608.200117812001</v>
      </c>
      <c r="M18" s="18"/>
      <c r="N18" s="6">
        <v>11608.200117812001</v>
      </c>
      <c r="O18" s="6">
        <v>12304.692124880721</v>
      </c>
    </row>
    <row r="19" spans="1:15" ht="15" customHeight="1" x14ac:dyDescent="0.25">
      <c r="A19" s="15">
        <v>13</v>
      </c>
      <c r="B19" s="84" t="s">
        <v>66</v>
      </c>
      <c r="C19" s="87">
        <v>5.5</v>
      </c>
      <c r="D19" s="6">
        <v>14267.901278100004</v>
      </c>
      <c r="E19" s="58">
        <f t="shared" si="0"/>
        <v>14267.901278100004</v>
      </c>
      <c r="F19" s="23">
        <v>0</v>
      </c>
      <c r="G19" s="21">
        <v>0</v>
      </c>
      <c r="H19" s="27">
        <v>0</v>
      </c>
      <c r="I19" s="17">
        <v>0.55000000000000004</v>
      </c>
      <c r="J19" s="23">
        <v>11858.191416289999</v>
      </c>
      <c r="K19" s="29">
        <v>0</v>
      </c>
      <c r="L19" s="21">
        <v>11858.191416289999</v>
      </c>
      <c r="M19" s="18"/>
      <c r="N19" s="6">
        <v>11858.191416289999</v>
      </c>
      <c r="O19" s="6">
        <v>12569.682901267399</v>
      </c>
    </row>
    <row r="20" spans="1:15" ht="15" customHeight="1" x14ac:dyDescent="0.25">
      <c r="A20" s="15">
        <v>14</v>
      </c>
      <c r="B20" s="84" t="s">
        <v>66</v>
      </c>
      <c r="C20" s="87">
        <v>4.5</v>
      </c>
      <c r="D20" s="6">
        <v>11261.282863900002</v>
      </c>
      <c r="E20" s="58">
        <f t="shared" si="0"/>
        <v>11261.282863900002</v>
      </c>
      <c r="F20" s="23">
        <v>0</v>
      </c>
      <c r="G20" s="21">
        <v>0</v>
      </c>
      <c r="H20" s="27">
        <v>0</v>
      </c>
      <c r="I20" s="17">
        <v>0.45</v>
      </c>
      <c r="J20" s="23">
        <v>9358.278431509998</v>
      </c>
      <c r="K20" s="29">
        <v>0</v>
      </c>
      <c r="L20" s="21">
        <v>9358.278431509998</v>
      </c>
      <c r="M20" s="18"/>
      <c r="N20" s="6">
        <v>9358.278431509998</v>
      </c>
      <c r="O20" s="6">
        <v>9919.7751374005984</v>
      </c>
    </row>
    <row r="21" spans="1:15" ht="15" customHeight="1" x14ac:dyDescent="0.25">
      <c r="A21" s="15">
        <v>15</v>
      </c>
      <c r="B21" s="84" t="s">
        <v>66</v>
      </c>
      <c r="C21" s="87">
        <v>6.1</v>
      </c>
      <c r="D21" s="6">
        <v>16071.872326620005</v>
      </c>
      <c r="E21" s="58">
        <f t="shared" si="0"/>
        <v>16071.872326620005</v>
      </c>
      <c r="F21" s="23">
        <v>0</v>
      </c>
      <c r="G21" s="21">
        <v>0</v>
      </c>
      <c r="H21" s="6">
        <v>0</v>
      </c>
      <c r="I21" s="17">
        <v>0.61</v>
      </c>
      <c r="J21" s="23">
        <v>13358.139207157999</v>
      </c>
      <c r="K21" s="29">
        <v>0</v>
      </c>
      <c r="L21" s="21">
        <v>13358.139207157999</v>
      </c>
      <c r="M21" s="18"/>
      <c r="N21" s="6">
        <v>13358.139207157999</v>
      </c>
      <c r="O21" s="6">
        <v>14159.627559587479</v>
      </c>
    </row>
    <row r="22" spans="1:15" ht="15" customHeight="1" x14ac:dyDescent="0.25">
      <c r="A22" s="15">
        <v>16</v>
      </c>
      <c r="B22" s="84" t="s">
        <v>53</v>
      </c>
      <c r="C22" s="87">
        <v>5.4</v>
      </c>
      <c r="D22" s="6">
        <v>13967.239436680005</v>
      </c>
      <c r="E22" s="58">
        <f t="shared" si="0"/>
        <v>13967.239436680005</v>
      </c>
      <c r="F22" s="23">
        <v>0</v>
      </c>
      <c r="G22" s="21">
        <v>0</v>
      </c>
      <c r="H22" s="27">
        <v>0</v>
      </c>
      <c r="I22" s="17">
        <v>0.54</v>
      </c>
      <c r="J22" s="23">
        <v>11608.200117812001</v>
      </c>
      <c r="K22" s="29">
        <v>0</v>
      </c>
      <c r="L22" s="21">
        <v>11608.200117812001</v>
      </c>
      <c r="M22" s="18"/>
      <c r="N22" s="6">
        <v>11608.200117812001</v>
      </c>
      <c r="O22" s="6">
        <v>12304.692124880721</v>
      </c>
    </row>
    <row r="23" spans="1:15" ht="15" customHeight="1" x14ac:dyDescent="0.25">
      <c r="A23" s="15">
        <v>17</v>
      </c>
      <c r="B23" s="84" t="s">
        <v>55</v>
      </c>
      <c r="C23" s="87">
        <v>5</v>
      </c>
      <c r="D23" s="6">
        <v>12764.592071000003</v>
      </c>
      <c r="E23" s="58">
        <f t="shared" si="0"/>
        <v>12764.592071000003</v>
      </c>
      <c r="F23" s="23">
        <v>0</v>
      </c>
      <c r="G23" s="21">
        <v>0</v>
      </c>
      <c r="H23" s="27">
        <v>0</v>
      </c>
      <c r="I23" s="17">
        <v>0.5</v>
      </c>
      <c r="J23" s="23">
        <v>10608.2349239</v>
      </c>
      <c r="K23" s="29">
        <v>0</v>
      </c>
      <c r="L23" s="21">
        <v>10608.2349239</v>
      </c>
      <c r="M23" s="18"/>
      <c r="N23" s="6">
        <v>10608.2349239</v>
      </c>
      <c r="O23" s="6">
        <v>11244.729019334</v>
      </c>
    </row>
    <row r="24" spans="1:15" ht="15" customHeight="1" x14ac:dyDescent="0.25">
      <c r="A24" s="15">
        <v>18</v>
      </c>
      <c r="B24" s="84" t="s">
        <v>47</v>
      </c>
      <c r="C24" s="87">
        <v>5</v>
      </c>
      <c r="D24" s="6">
        <v>12764.592071000003</v>
      </c>
      <c r="E24" s="58">
        <f t="shared" si="0"/>
        <v>12764.592071000003</v>
      </c>
      <c r="F24" s="23">
        <v>0</v>
      </c>
      <c r="G24" s="21">
        <v>0</v>
      </c>
      <c r="H24" s="27">
        <v>0</v>
      </c>
      <c r="I24" s="17">
        <v>0.5</v>
      </c>
      <c r="J24" s="23">
        <v>10608.2349239</v>
      </c>
      <c r="K24" s="29">
        <v>0</v>
      </c>
      <c r="L24" s="21">
        <v>10608.2349239</v>
      </c>
      <c r="M24" s="18"/>
      <c r="N24" s="6">
        <v>10608.2349239</v>
      </c>
      <c r="O24" s="6">
        <v>11244.729019334</v>
      </c>
    </row>
    <row r="25" spans="1:15" ht="15" customHeight="1" x14ac:dyDescent="0.25">
      <c r="A25" s="15">
        <v>19</v>
      </c>
      <c r="B25" s="84" t="s">
        <v>47</v>
      </c>
      <c r="C25" s="87">
        <v>4.9000000000000004</v>
      </c>
      <c r="D25" s="6">
        <v>12463.930229580003</v>
      </c>
      <c r="E25" s="58">
        <f t="shared" si="0"/>
        <v>12463.930229580003</v>
      </c>
      <c r="F25" s="23">
        <v>0</v>
      </c>
      <c r="G25" s="21">
        <v>0</v>
      </c>
      <c r="H25" s="27">
        <v>0</v>
      </c>
      <c r="I25" s="17">
        <v>0.49</v>
      </c>
      <c r="J25" s="23">
        <v>10358.243625421999</v>
      </c>
      <c r="K25" s="29">
        <v>0</v>
      </c>
      <c r="L25" s="21">
        <v>10358.243625421999</v>
      </c>
      <c r="M25" s="18"/>
      <c r="N25" s="6">
        <v>10358.243625421999</v>
      </c>
      <c r="O25" s="6">
        <v>10979.738242947318</v>
      </c>
    </row>
    <row r="26" spans="1:15" ht="15" customHeight="1" x14ac:dyDescent="0.25">
      <c r="A26" s="15">
        <v>20</v>
      </c>
      <c r="B26" s="84" t="s">
        <v>85</v>
      </c>
      <c r="C26" s="87">
        <v>4.9000000000000004</v>
      </c>
      <c r="D26" s="6">
        <v>12463.930229580003</v>
      </c>
      <c r="E26" s="58">
        <f t="shared" si="0"/>
        <v>12463.930229580003</v>
      </c>
      <c r="F26" s="23">
        <v>0</v>
      </c>
      <c r="G26" s="21">
        <v>0</v>
      </c>
      <c r="H26" s="27">
        <v>0</v>
      </c>
      <c r="I26" s="17">
        <v>0.49</v>
      </c>
      <c r="J26" s="23">
        <v>10358.243625421999</v>
      </c>
      <c r="K26" s="29">
        <v>0</v>
      </c>
      <c r="L26" s="21">
        <v>10358.243625421999</v>
      </c>
      <c r="M26" s="18"/>
      <c r="N26" s="6">
        <v>10358.243625421999</v>
      </c>
      <c r="O26" s="6">
        <v>10979.738242947318</v>
      </c>
    </row>
    <row r="27" spans="1:15" ht="15" customHeight="1" x14ac:dyDescent="0.25">
      <c r="A27" s="15">
        <v>21</v>
      </c>
      <c r="B27" s="84" t="s">
        <v>42</v>
      </c>
      <c r="C27" s="87">
        <v>5.9</v>
      </c>
      <c r="D27" s="6">
        <v>15470.548643780005</v>
      </c>
      <c r="E27" s="58">
        <f t="shared" si="0"/>
        <v>15470.548643780005</v>
      </c>
      <c r="F27" s="23">
        <v>0</v>
      </c>
      <c r="G27" s="21">
        <v>0</v>
      </c>
      <c r="H27" s="27">
        <v>0</v>
      </c>
      <c r="I27" s="17">
        <v>0.59</v>
      </c>
      <c r="J27" s="23">
        <v>12858.156610202001</v>
      </c>
      <c r="K27" s="29">
        <v>0</v>
      </c>
      <c r="L27" s="21">
        <v>12858.156610202001</v>
      </c>
      <c r="M27" s="18"/>
      <c r="N27" s="6">
        <v>12858.156610202001</v>
      </c>
      <c r="O27" s="6">
        <v>13629.64600681412</v>
      </c>
    </row>
    <row r="28" spans="1:15" ht="15" customHeight="1" x14ac:dyDescent="0.25">
      <c r="A28" s="15">
        <v>22</v>
      </c>
      <c r="B28" s="86" t="s">
        <v>49</v>
      </c>
      <c r="C28" s="87">
        <v>5.7</v>
      </c>
      <c r="D28" s="6">
        <v>14869.224960940002</v>
      </c>
      <c r="E28" s="58">
        <f t="shared" si="0"/>
        <v>14869.224960940002</v>
      </c>
      <c r="F28" s="23">
        <v>0</v>
      </c>
      <c r="G28" s="21">
        <v>0</v>
      </c>
      <c r="H28" s="27">
        <v>0</v>
      </c>
      <c r="I28" s="17">
        <v>0.56999999999999995</v>
      </c>
      <c r="J28" s="23">
        <v>12358.174013246</v>
      </c>
      <c r="K28" s="29">
        <v>0</v>
      </c>
      <c r="L28" s="21">
        <v>12358.174013246</v>
      </c>
      <c r="M28" s="18"/>
      <c r="N28" s="6">
        <v>12358.174013246</v>
      </c>
      <c r="O28" s="6">
        <v>13099.66445404076</v>
      </c>
    </row>
    <row r="29" spans="1:15" x14ac:dyDescent="0.25">
      <c r="A29" s="15"/>
      <c r="B29" s="34"/>
      <c r="C29" s="34"/>
      <c r="D29" s="6"/>
      <c r="E29" s="6"/>
      <c r="F29" s="23"/>
      <c r="G29" s="21"/>
      <c r="H29" s="27"/>
      <c r="I29" s="17"/>
      <c r="J29" s="23"/>
      <c r="K29" s="29"/>
      <c r="L29" s="21"/>
      <c r="M29" s="18"/>
      <c r="N29" s="6"/>
      <c r="O29" s="6"/>
    </row>
    <row r="30" spans="1:15" ht="15.75" thickBot="1" x14ac:dyDescent="0.3">
      <c r="A30" s="13"/>
      <c r="B30" s="14"/>
      <c r="C30" s="57">
        <v>116.60000000000001</v>
      </c>
      <c r="D30" s="26">
        <v>161487.47195715201</v>
      </c>
      <c r="E30" s="30">
        <v>161487.47195715201</v>
      </c>
      <c r="F30" s="28">
        <v>0</v>
      </c>
      <c r="G30" s="32">
        <v>0</v>
      </c>
      <c r="H30" s="31">
        <v>0</v>
      </c>
      <c r="I30" s="16">
        <v>11.66</v>
      </c>
      <c r="J30" s="24">
        <v>249880.59402534799</v>
      </c>
      <c r="K30" s="25">
        <v>0</v>
      </c>
      <c r="L30" s="22">
        <v>249880.59402534799</v>
      </c>
      <c r="M30" s="19"/>
      <c r="N30" s="20">
        <v>249880.59402534799</v>
      </c>
      <c r="O30" s="20">
        <v>264873.42966686888</v>
      </c>
    </row>
    <row r="33" spans="5:6" x14ac:dyDescent="0.25">
      <c r="E33" s="33"/>
      <c r="F33" s="33"/>
    </row>
  </sheetData>
  <mergeCells count="5">
    <mergeCell ref="A5:A6"/>
    <mergeCell ref="B5:B6"/>
    <mergeCell ref="F5:F6"/>
    <mergeCell ref="N5:N6"/>
    <mergeCell ref="O5:O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Hoja1</vt:lpstr>
      <vt:lpstr>COCHERA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2025-08-29T14:36:20Z</cp:lastPrinted>
  <dcterms:created xsi:type="dcterms:W3CDTF">2023-09-17T12:29:07Z</dcterms:created>
  <dcterms:modified xsi:type="dcterms:W3CDTF">2025-10-29T13:44:56Z</dcterms:modified>
</cp:coreProperties>
</file>