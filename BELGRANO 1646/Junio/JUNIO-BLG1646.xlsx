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BELGRANO 1646\Junio\"/>
    </mc:Choice>
  </mc:AlternateContent>
  <xr:revisionPtr revIDLastSave="0" documentId="13_ncr:1_{D44982A5-B39C-4AA8-B98F-A243AA8C48C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PRORRATEO" sheetId="2" r:id="rId2"/>
    <sheet name="COCHERA" sheetId="3" r:id="rId3"/>
  </sheets>
  <definedNames>
    <definedName name="_xlnm.Print_Area" localSheetId="1">PRORRATEO!$A$1:$N$64</definedName>
    <definedName name="_xlnm.Print_Area" localSheetId="0">RESUMEN!$A$1:$F$146</definedName>
  </definedNames>
  <calcPr calcId="181029"/>
</workbook>
</file>

<file path=xl/calcChain.xml><?xml version="1.0" encoding="utf-8"?>
<calcChain xmlns="http://schemas.openxmlformats.org/spreadsheetml/2006/main">
  <c r="M2" i="2" l="1"/>
  <c r="B138" i="1"/>
  <c r="F85" i="1"/>
  <c r="E85" i="1"/>
  <c r="G85" i="1"/>
  <c r="J85" i="1" s="1"/>
  <c r="G26" i="2"/>
  <c r="D105" i="1"/>
  <c r="D101" i="1"/>
  <c r="D30" i="1"/>
  <c r="M4" i="2"/>
  <c r="F120" i="1"/>
  <c r="E120" i="1"/>
  <c r="F119" i="1"/>
  <c r="E119" i="1"/>
  <c r="F86" i="1"/>
  <c r="E86" i="1"/>
  <c r="F82" i="1"/>
  <c r="E82" i="1"/>
  <c r="F79" i="1"/>
  <c r="F80" i="1"/>
  <c r="E79" i="1"/>
  <c r="H79" i="1" s="1"/>
  <c r="I79" i="1" s="1"/>
  <c r="E80" i="1"/>
  <c r="F66" i="1"/>
  <c r="F70" i="1"/>
  <c r="F71" i="1"/>
  <c r="H71" i="1" s="1"/>
  <c r="I71" i="1" s="1"/>
  <c r="F72" i="1"/>
  <c r="F73" i="1"/>
  <c r="E66" i="1"/>
  <c r="E70" i="1"/>
  <c r="H70" i="1" s="1"/>
  <c r="I70" i="1" s="1"/>
  <c r="E71" i="1"/>
  <c r="E72" i="1"/>
  <c r="E73" i="1"/>
  <c r="H73" i="1" s="1"/>
  <c r="I73" i="1" s="1"/>
  <c r="F65" i="1"/>
  <c r="E65" i="1"/>
  <c r="E61" i="1"/>
  <c r="G28" i="2"/>
  <c r="G29" i="2"/>
  <c r="G23" i="2"/>
  <c r="G9" i="2"/>
  <c r="G73" i="1"/>
  <c r="J73" i="1" s="1"/>
  <c r="G19" i="2"/>
  <c r="G18" i="2"/>
  <c r="G27" i="2"/>
  <c r="G15" i="2"/>
  <c r="G16" i="2"/>
  <c r="G46" i="2"/>
  <c r="G21" i="2"/>
  <c r="G13" i="2"/>
  <c r="G20" i="2"/>
  <c r="G24" i="2"/>
  <c r="E84" i="1"/>
  <c r="H84" i="1" s="1"/>
  <c r="I84" i="1" s="1"/>
  <c r="G84" i="1"/>
  <c r="J84" i="1" s="1"/>
  <c r="B145" i="1"/>
  <c r="F26" i="1"/>
  <c r="E26" i="1"/>
  <c r="E57" i="1"/>
  <c r="H57" i="1" s="1"/>
  <c r="I57" i="1" s="1"/>
  <c r="G57" i="1"/>
  <c r="J57" i="1" s="1"/>
  <c r="G75" i="1"/>
  <c r="J75" i="1" s="1"/>
  <c r="G76" i="1"/>
  <c r="J76" i="1" s="1"/>
  <c r="G77" i="1"/>
  <c r="J77" i="1" s="1"/>
  <c r="G78" i="1"/>
  <c r="J78" i="1" s="1"/>
  <c r="G79" i="1"/>
  <c r="J79" i="1" s="1"/>
  <c r="G82" i="1"/>
  <c r="J82" i="1" s="1"/>
  <c r="E76" i="1"/>
  <c r="H76" i="1" s="1"/>
  <c r="I76" i="1" s="1"/>
  <c r="E83" i="1"/>
  <c r="H83" i="1" s="1"/>
  <c r="I83" i="1" s="1"/>
  <c r="G83" i="1"/>
  <c r="J83" i="1" s="1"/>
  <c r="G70" i="1"/>
  <c r="J70" i="1" s="1"/>
  <c r="G71" i="1"/>
  <c r="J71" i="1" s="1"/>
  <c r="G72" i="1"/>
  <c r="J72" i="1" s="1"/>
  <c r="H82" i="1" l="1"/>
  <c r="I82" i="1" s="1"/>
  <c r="H80" i="1" l="1"/>
  <c r="I80" i="1" s="1"/>
  <c r="G80" i="1"/>
  <c r="J80" i="1" s="1"/>
  <c r="E75" i="1"/>
  <c r="H75" i="1" s="1"/>
  <c r="I75" i="1" s="1"/>
  <c r="D69" i="1"/>
  <c r="D68" i="1"/>
  <c r="D67" i="1"/>
  <c r="D53" i="1"/>
  <c r="D55" i="1" s="1"/>
  <c r="L12" i="2"/>
  <c r="L13" i="2"/>
  <c r="L14" i="2"/>
  <c r="L15" i="2"/>
  <c r="L17" i="2"/>
  <c r="L18" i="2"/>
  <c r="L19" i="2"/>
  <c r="L20" i="2"/>
  <c r="L21" i="2"/>
  <c r="L22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F78" i="1"/>
  <c r="E78" i="1"/>
  <c r="E64" i="1"/>
  <c r="D49" i="2"/>
  <c r="E81" i="1"/>
  <c r="H81" i="1" s="1"/>
  <c r="I81" i="1" s="1"/>
  <c r="G81" i="1"/>
  <c r="J81" i="1" s="1"/>
  <c r="H86" i="1"/>
  <c r="I86" i="1" s="1"/>
  <c r="D88" i="1" l="1"/>
  <c r="F67" i="1"/>
  <c r="E67" i="1"/>
  <c r="F69" i="1"/>
  <c r="E69" i="1"/>
  <c r="F68" i="1"/>
  <c r="E68" i="1"/>
  <c r="H78" i="1"/>
  <c r="I78" i="1" s="1"/>
  <c r="H72" i="1"/>
  <c r="I72" i="1" s="1"/>
  <c r="G69" i="1"/>
  <c r="J69" i="1" s="1"/>
  <c r="G68" i="1"/>
  <c r="J68" i="1" s="1"/>
  <c r="H67" i="1"/>
  <c r="I67" i="1" s="1"/>
  <c r="G67" i="1"/>
  <c r="J67" i="1" s="1"/>
  <c r="H68" i="1" l="1"/>
  <c r="I68" i="1" s="1"/>
  <c r="H69" i="1"/>
  <c r="I69" i="1" s="1"/>
  <c r="G49" i="2"/>
  <c r="G65" i="1"/>
  <c r="J65" i="1" s="1"/>
  <c r="G64" i="1"/>
  <c r="J64" i="1" s="1"/>
  <c r="G58" i="1"/>
  <c r="J58" i="1" s="1"/>
  <c r="E58" i="1"/>
  <c r="G60" i="1"/>
  <c r="J60" i="1" s="1"/>
  <c r="H58" i="1" l="1"/>
  <c r="I58" i="1" s="1"/>
  <c r="H65" i="1"/>
  <c r="I65" i="1" s="1"/>
  <c r="H64" i="1"/>
  <c r="I64" i="1" s="1"/>
  <c r="E60" i="1"/>
  <c r="F60" i="1"/>
  <c r="H60" i="1" l="1"/>
  <c r="I60" i="1" s="1"/>
  <c r="F62" i="1" l="1"/>
  <c r="E62" i="1"/>
  <c r="G62" i="1"/>
  <c r="J62" i="1" s="1"/>
  <c r="F52" i="2"/>
  <c r="F46" i="1"/>
  <c r="E46" i="1"/>
  <c r="D94" i="1"/>
  <c r="H62" i="1" l="1"/>
  <c r="I62" i="1" s="1"/>
  <c r="E74" i="1"/>
  <c r="D48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G22" i="2"/>
  <c r="D122" i="1"/>
  <c r="F121" i="1"/>
  <c r="E121" i="1"/>
  <c r="B132" i="1" l="1"/>
  <c r="M3" i="2"/>
  <c r="E122" i="1"/>
  <c r="F122" i="1"/>
  <c r="H122" i="1" l="1"/>
  <c r="I122" i="1" s="1"/>
  <c r="E93" i="1" l="1"/>
  <c r="E45" i="1" l="1"/>
  <c r="E47" i="1"/>
  <c r="E48" i="1" l="1"/>
  <c r="F47" i="1"/>
  <c r="F48" i="1" s="1"/>
  <c r="G48" i="1" l="1"/>
  <c r="F38" i="1"/>
  <c r="F37" i="1"/>
  <c r="F36" i="1"/>
  <c r="E38" i="1"/>
  <c r="E37" i="1"/>
  <c r="E36" i="1"/>
  <c r="G59" i="1" l="1"/>
  <c r="J59" i="1" s="1"/>
  <c r="G61" i="1"/>
  <c r="J61" i="1" s="1"/>
  <c r="G63" i="1"/>
  <c r="J63" i="1" s="1"/>
  <c r="G66" i="1"/>
  <c r="J66" i="1" s="1"/>
  <c r="G74" i="1"/>
  <c r="J74" i="1" s="1"/>
  <c r="G86" i="1"/>
  <c r="J86" i="1" s="1"/>
  <c r="I87" i="1" l="1"/>
  <c r="H66" i="1" l="1"/>
  <c r="I66" i="1" s="1"/>
  <c r="H74" i="1" l="1"/>
  <c r="I74" i="1" s="1"/>
  <c r="G11" i="2" l="1"/>
  <c r="F107" i="1" l="1"/>
  <c r="E107" i="1"/>
  <c r="G107" i="1" l="1"/>
  <c r="H107" i="1" s="1"/>
  <c r="F104" i="1" l="1"/>
  <c r="F103" i="1"/>
  <c r="E104" i="1"/>
  <c r="E103" i="1"/>
  <c r="F99" i="1"/>
  <c r="F98" i="1"/>
  <c r="E99" i="1"/>
  <c r="E98" i="1"/>
  <c r="F92" i="1"/>
  <c r="E92" i="1"/>
  <c r="F63" i="1"/>
  <c r="F61" i="1"/>
  <c r="F59" i="1"/>
  <c r="E77" i="1"/>
  <c r="E63" i="1"/>
  <c r="E59" i="1"/>
  <c r="F32" i="1"/>
  <c r="F31" i="1"/>
  <c r="E32" i="1"/>
  <c r="E31" i="1"/>
  <c r="F54" i="1"/>
  <c r="F52" i="1"/>
  <c r="E54" i="1"/>
  <c r="E52" i="1"/>
  <c r="F24" i="1"/>
  <c r="F25" i="1"/>
  <c r="F23" i="1"/>
  <c r="E23" i="1"/>
  <c r="E24" i="1"/>
  <c r="E25" i="1"/>
  <c r="F88" i="1" l="1"/>
  <c r="E88" i="1"/>
  <c r="H77" i="1"/>
  <c r="I77" i="1" s="1"/>
  <c r="H61" i="1"/>
  <c r="I61" i="1" s="1"/>
  <c r="H63" i="1"/>
  <c r="I63" i="1" s="1"/>
  <c r="H59" i="1"/>
  <c r="I59" i="1" s="1"/>
  <c r="F30" i="1"/>
  <c r="F105" i="1"/>
  <c r="E105" i="1"/>
  <c r="E101" i="1"/>
  <c r="F101" i="1"/>
  <c r="E94" i="1"/>
  <c r="F94" i="1"/>
  <c r="E35" i="1"/>
  <c r="E39" i="1" s="1"/>
  <c r="F35" i="1"/>
  <c r="E30" i="1"/>
  <c r="G88" i="1" l="1"/>
  <c r="I88" i="1" s="1"/>
  <c r="G30" i="1"/>
  <c r="H30" i="1" s="1"/>
  <c r="G105" i="1"/>
  <c r="G101" i="1"/>
  <c r="G94" i="1"/>
  <c r="G35" i="1"/>
  <c r="D35" i="1"/>
  <c r="D109" i="1" s="1"/>
  <c r="H88" i="1" l="1"/>
  <c r="B126" i="1"/>
  <c r="B131" i="1" s="1"/>
  <c r="D39" i="1"/>
  <c r="H94" i="1"/>
  <c r="H35" i="1"/>
  <c r="H105" i="1"/>
  <c r="H101" i="1"/>
  <c r="C114" i="1"/>
  <c r="B136" i="1" s="1"/>
  <c r="L1" i="2" l="1"/>
  <c r="E53" i="1"/>
  <c r="E55" i="1" s="1"/>
  <c r="E109" i="1" s="1"/>
  <c r="F53" i="1"/>
  <c r="F55" i="1" s="1"/>
  <c r="G55" i="1" l="1"/>
  <c r="H55" i="1" l="1"/>
  <c r="B125" i="1"/>
  <c r="O1" i="2" l="1"/>
  <c r="O2" i="2" s="1"/>
  <c r="A3" i="2"/>
  <c r="E43" i="1" l="1"/>
  <c r="F43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G43" i="2"/>
  <c r="G44" i="2"/>
  <c r="G42" i="2"/>
  <c r="K52" i="2" l="1"/>
  <c r="P43" i="2" s="1"/>
  <c r="G7" i="2"/>
  <c r="K53" i="2" l="1"/>
  <c r="J52" i="2"/>
  <c r="Q47" i="2" s="1"/>
  <c r="B135" i="1"/>
  <c r="G14" i="2"/>
  <c r="J4" i="2" l="1"/>
  <c r="G32" i="2"/>
  <c r="G12" i="2"/>
  <c r="H12" i="2" s="1"/>
  <c r="L8" i="2" l="1"/>
  <c r="L11" i="2"/>
  <c r="L51" i="2"/>
  <c r="L10" i="2"/>
  <c r="L9" i="2"/>
  <c r="G50" i="2" l="1"/>
  <c r="G35" i="2" l="1"/>
  <c r="G25" i="2" l="1"/>
  <c r="F39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G36" i="2"/>
  <c r="H36" i="2" s="1"/>
  <c r="G31" i="2"/>
  <c r="H31" i="2" s="1"/>
  <c r="G30" i="2"/>
  <c r="G37" i="2"/>
  <c r="G45" i="2"/>
  <c r="G38" i="2"/>
  <c r="G41" i="2"/>
  <c r="G51" i="2"/>
  <c r="G48" i="2"/>
  <c r="H48" i="2" s="1"/>
  <c r="M48" i="2" s="1"/>
  <c r="N48" i="2" s="1"/>
  <c r="G47" i="2"/>
  <c r="G17" i="2" s="1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38" i="2"/>
  <c r="M38" i="2" s="1"/>
  <c r="N38" i="2" s="1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17" i="2" l="1"/>
  <c r="M17" i="2" s="1"/>
  <c r="N17" i="2" s="1"/>
  <c r="G52" i="2"/>
  <c r="H26" i="2"/>
  <c r="M26" i="2" s="1"/>
  <c r="N26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N8" i="2" l="1"/>
  <c r="N52" i="2" s="1"/>
  <c r="M52" i="2"/>
  <c r="B130" i="1"/>
  <c r="F109" i="1"/>
  <c r="G109" i="1" s="1"/>
  <c r="H109" i="1" l="1"/>
  <c r="I109" i="1"/>
</calcChain>
</file>

<file path=xl/sharedStrings.xml><?xml version="1.0" encoding="utf-8"?>
<sst xmlns="http://schemas.openxmlformats.org/spreadsheetml/2006/main" count="267" uniqueCount="177">
  <si>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</si>
  <si>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</si>
  <si>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</si>
  <si>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</si>
  <si>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</si>
  <si>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</si>
  <si>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</si>
  <si>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</si>
  <si>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</si>
  <si>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</si>
  <si>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</si>
  <si>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</si>
  <si>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</si>
  <si>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</si>
  <si>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</si>
  <si>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</si>
  <si>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Sr. Diego Britez (1)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</si>
  <si>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</si>
  <si>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</si>
  <si>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</si>
  <si>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</si>
  <si>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</si>
  <si>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</si>
  <si>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</si>
  <si>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</si>
  <si>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</si>
  <si>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</si>
  <si>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</si>
  <si>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</si>
  <si>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</si>
  <si>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</si>
  <si>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</si>
  <si>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</si>
  <si>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</si>
  <si>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</si>
  <si>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</si>
  <si>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</si>
  <si>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</si>
  <si>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</si>
  <si>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</si>
  <si>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</si>
  <si>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</si>
  <si>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</si>
  <si>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</si>
  <si>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</si>
  <si>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</si>
  <si>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</si>
  <si>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</si>
  <si>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</si>
  <si>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</si>
  <si>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</si>
  <si>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</si>
  <si>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</si>
  <si>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</si>
  <si>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</si>
  <si>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</si>
  <si>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</si>
  <si>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</si>
  <si>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</si>
  <si>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</si>
  <si>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</si>
  <si>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</si>
  <si>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</si>
  <si>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</si>
  <si>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</si>
  <si>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</si>
  <si>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</si>
  <si>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</si>
  <si>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</si>
  <si>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</si>
  <si>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</si>
  <si>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</si>
  <si>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</si>
  <si>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</si>
  <si>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</si>
  <si>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</si>
  <si>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</si>
  <si>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</si>
  <si>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</si>
  <si>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</si>
  <si>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</si>
  <si>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</si>
  <si>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</si>
  <si>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</si>
  <si>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</si>
  <si>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</si>
  <si>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</si>
  <si>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</si>
  <si>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</si>
  <si>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</si>
  <si>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</si>
  <si>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</si>
  <si>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</si>
  <si>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</si>
  <si>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</si>
  <si>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</si>
  <si>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</si>
  <si>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</si>
  <si>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</si>
  <si>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</si>
  <si>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</si>
  <si>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</si>
  <si>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</si>
  <si>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</si>
  <si>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</si>
  <si>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</si>
  <si>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</si>
  <si>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</si>
  <si>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</si>
  <si>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</si>
  <si>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</si>
  <si>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</si>
  <si>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</si>
  <si>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</si>
  <si>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</si>
  <si>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</si>
  <si>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</si>
  <si>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</si>
  <si>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</si>
  <si>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</si>
  <si>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</si>
  <si>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</si>
  <si>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</si>
  <si>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</si>
  <si>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</si>
  <si>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</si>
  <si>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</si>
  <si>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</si>
  <si>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</si>
  <si>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</si>
  <si>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</si>
  <si>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</si>
  <si>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</si>
  <si>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</si>
  <si>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</si>
  <si>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</si>
  <si>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</si>
  <si>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 xml:space="preserve">Contessi - Mantenimiento de ascensores </t>
  </si>
  <si>
    <t>FEUILLANT, GASTON</t>
  </si>
  <si>
    <t>Ferreteria</t>
  </si>
  <si>
    <t>Contessi provision y colocacion de 60 lts de aceite hidraulico en la sede del monta auto</t>
  </si>
  <si>
    <t>SEGURO OBLIGATORIO SR DIEGO BRITEZ FEDERACION PATRONAL DEBITO AUTOMATICO 05/05</t>
  </si>
  <si>
    <t>Arreglo de motor retirado y reemplazado por uno nuevo en montavehiculos</t>
  </si>
  <si>
    <t>Debito 12/05</t>
  </si>
  <si>
    <t>Pago mis cuentas 12/05</t>
  </si>
  <si>
    <t>Fumigacion 12/05</t>
  </si>
  <si>
    <t>Doartero Julio - Ajuste de todas las puertas y reparacion de la puerta principal 16/05</t>
  </si>
  <si>
    <t>Camaras del sur 19/05 - compra y colocacion camaras de entradas (pileta y gimnasio)</t>
  </si>
  <si>
    <t>Servisur - cambio de luminarias 19/05</t>
  </si>
  <si>
    <t>Numero 1859135 Debito automatico 5/05</t>
  </si>
  <si>
    <t xml:space="preserve">Antonio santillan plomero - Arreglo tanque </t>
  </si>
  <si>
    <t>Salvatierra limpieza de columna de baño desde piso 3 (inclusive) hasta el piso 10 (inclusive) - 20/05</t>
  </si>
  <si>
    <t>Guido Alterini - Jardineria : Adelanto compra pasto</t>
  </si>
  <si>
    <t>Kromacolor  -  Compra de materiales : Sellador Sika 23/05</t>
  </si>
  <si>
    <t>Doartero Julio - Emergencia purga de grupo electrogeno por falta de combustible 26/05</t>
  </si>
  <si>
    <t>Compra Fabio Tolosa - Combustible 19/05</t>
  </si>
  <si>
    <t>Compra Alejandro Davin - Combustible 17/05</t>
  </si>
  <si>
    <t>Combustible comprado por el Sr Lucas - remisero 24/05</t>
  </si>
  <si>
    <t xml:space="preserve">Lucas - viajes entregas de combustible </t>
  </si>
  <si>
    <t>Remis Sr. Diego - Dias de paro</t>
  </si>
  <si>
    <t>Silletero - Sr Oscar Colmeiro - Sellado de grieta medianera piso 11 26/05</t>
  </si>
  <si>
    <t>Articulos de limpieza</t>
  </si>
  <si>
    <t>Combustible comprado por el Sr Ruso - remisero 23/05</t>
  </si>
  <si>
    <t>Reparacion puerta SUM 02/05</t>
  </si>
  <si>
    <t>Preinstalacion nueva aire acondicionado SUM - Leandro Gomez 27/5</t>
  </si>
  <si>
    <t>Compra de Juan Manuel Villa - Combustible 23/05</t>
  </si>
  <si>
    <t>Debito 27/05</t>
  </si>
  <si>
    <t>Gabriel Villegas - Envio carte documento Edesur</t>
  </si>
  <si>
    <t>ADS - Imputado en el mes de Marzo y transferido finalizada las charlas por la desvinculacion</t>
  </si>
  <si>
    <t>VTO: 14/07</t>
  </si>
  <si>
    <t>PERÍODO: JUNIO</t>
  </si>
  <si>
    <t>Honorarios JUNIO</t>
  </si>
  <si>
    <t>Energoup MES DE JUNIO</t>
  </si>
  <si>
    <t xml:space="preserve">Mes de JUNIO </t>
  </si>
  <si>
    <t>EN TEORIA EN ESTE PUNTO (JUNIO DEL 2025) LA CAJA NO NOS DA BIEN, TENEMOS 173MIL PESOS DE DIFERENCIA</t>
  </si>
  <si>
    <t>Contessi - Imputado en el mes de MAYO y transferido una vez en la municipalidad se asento el contrato</t>
  </si>
  <si>
    <t>Ingreso mes 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</si>
</sst>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 &quot;$&quot;\ * #,##0.00_ ;_ &quot;$&quot;\ * \-#,##0.00_ ;_ &quot;$&quot;\ * &quot;-&quot;??_ ;_ @_ "/>
    <numFmt numFmtId="168" formatCode="#,##0.0000"/>
    <numFmt numFmtId="169" formatCode="_ &quot;$&quot;\ * #,##0_ ;_ &quot;$&quot;\ * \-#,##0_ ;_ &quot;$&quot;\ * &quot;-&quot;??_ ;_ @_ "/>
    <numFmt numFmtId="170" formatCode="_-&quot;$&quot;\ * #,##0_-;\-&quot;$&quot;\ * #,##0_-;_-&quot;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166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165" fontId="0" fillId="5" borderId="0" xfId="0" applyNumberFormat="1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8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7" fontId="2" fillId="2" borderId="20" xfId="2" applyFont="1" applyFill="1" applyBorder="1"/>
    <xf numFmtId="3" fontId="0" fillId="0" borderId="13" xfId="0" applyNumberFormat="1" applyBorder="1"/>
    <xf numFmtId="169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9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7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8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165" fontId="0" fillId="0" borderId="0" xfId="0" applyNumberFormat="1"/>
    <xf numFmtId="0" fontId="7" fillId="8" borderId="0" xfId="0" applyFont="1" applyFill="1"/>
    <xf numFmtId="167" fontId="8" fillId="0" borderId="1" xfId="2" applyFont="1" applyBorder="1"/>
    <xf numFmtId="167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7" fontId="4" fillId="0" borderId="1" xfId="0" applyNumberFormat="1" applyFont="1" applyBorder="1"/>
    <xf numFmtId="4" fontId="8" fillId="0" borderId="0" xfId="0" applyNumberFormat="1" applyFont="1"/>
    <xf numFmtId="167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70" fontId="0" fillId="0" borderId="1" xfId="1" applyNumberFormat="1" applyFont="1" applyBorder="1"/>
    <xf numFmtId="0" fontId="0" fillId="9" borderId="1" xfId="0" applyFill="1" applyBorder="1"/>
    <xf numFmtId="170" fontId="0" fillId="9" borderId="1" xfId="0" applyNumberFormat="1" applyFill="1" applyBorder="1"/>
    <xf numFmtId="3" fontId="0" fillId="9" borderId="1" xfId="0" applyNumberFormat="1" applyFill="1" applyBorder="1"/>
    <xf numFmtId="167" fontId="9" fillId="3" borderId="1" xfId="2" applyFont="1" applyFill="1" applyBorder="1"/>
    <xf numFmtId="167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7" fontId="2" fillId="0" borderId="1" xfId="2" applyFont="1" applyBorder="1"/>
    <xf numFmtId="0" fontId="2" fillId="9" borderId="25" xfId="0" applyFont="1" applyFill="1" applyBorder="1"/>
    <xf numFmtId="166" fontId="2" fillId="9" borderId="27" xfId="0" applyNumberFormat="1" applyFont="1" applyFill="1" applyBorder="1"/>
    <xf numFmtId="0" fontId="2" fillId="9" borderId="38" xfId="0" applyFont="1" applyFill="1" applyBorder="1"/>
    <xf numFmtId="166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166" fontId="14" fillId="6" borderId="11" xfId="1" applyFont="1" applyFill="1" applyBorder="1"/>
    <xf numFmtId="166" fontId="6" fillId="6" borderId="11" xfId="1" applyFont="1" applyFill="1" applyBorder="1"/>
    <xf numFmtId="166" fontId="0" fillId="0" borderId="0" xfId="0" applyNumberFormat="1"/>
    <xf numFmtId="165" fontId="2" fillId="6" borderId="34" xfId="0" applyNumberFormat="1" applyFont="1" applyFill="1" applyBorder="1"/>
    <xf numFmtId="0" fontId="2" fillId="3" borderId="1" xfId="0" applyFont="1" applyFill="1" applyBorder="1"/>
    <xf numFmtId="166" fontId="2" fillId="6" borderId="0" xfId="0" applyNumberFormat="1" applyFont="1" applyFill="1"/>
    <xf numFmtId="166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166" fontId="2" fillId="10" borderId="25" xfId="1" applyFont="1" applyFill="1" applyBorder="1"/>
    <xf numFmtId="165" fontId="2" fillId="6" borderId="1" xfId="0" applyNumberFormat="1" applyFont="1" applyFill="1" applyBorder="1"/>
    <xf numFmtId="165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1" fontId="17" fillId="5" borderId="0" xfId="0" applyNumberFormat="1" applyFont="1" applyFill="1"/>
    <xf numFmtId="0" fontId="18" fillId="5" borderId="0" xfId="0" applyFont="1" applyFill="1"/>
    <xf numFmtId="166" fontId="6" fillId="3" borderId="0" xfId="1" applyFont="1" applyFill="1" applyBorder="1"/>
    <xf numFmtId="0" fontId="19" fillId="0" borderId="1" xfId="0" applyFont="1" applyBorder="1"/>
    <xf numFmtId="170" fontId="0" fillId="9" borderId="1" xfId="1" applyNumberFormat="1" applyFont="1" applyFill="1" applyBorder="1"/>
    <xf numFmtId="164" fontId="0" fillId="5" borderId="0" xfId="0" applyNumberFormat="1" applyFill="1" applyAlignment="1">
      <alignment horizontal="right" wrapText="1"/>
    </xf>
    <xf numFmtId="0" fontId="12" fillId="3" borderId="1" xfId="0" applyFont="1" applyFill="1" applyBorder="1"/>
    <xf numFmtId="0" fontId="6" fillId="3" borderId="11" xfId="0" applyFont="1" applyFill="1" applyBorder="1"/>
    <xf numFmtId="170" fontId="15" fillId="0" borderId="1" xfId="0" applyNumberFormat="1" applyFont="1" applyBorder="1"/>
    <xf numFmtId="170" fontId="19" fillId="0" borderId="1" xfId="0" applyNumberFormat="1" applyFont="1" applyBorder="1"/>
    <xf numFmtId="0" fontId="15" fillId="0" borderId="1" xfId="0" applyFont="1" applyBorder="1"/>
    <xf numFmtId="166" fontId="0" fillId="0" borderId="1" xfId="0" applyNumberFormat="1" applyBorder="1"/>
    <xf numFmtId="164" fontId="0" fillId="0" borderId="0" xfId="0" applyNumberFormat="1"/>
    <xf numFmtId="166" fontId="2" fillId="10" borderId="1" xfId="0" applyNumberFormat="1" applyFont="1" applyFill="1" applyBorder="1"/>
    <xf numFmtId="164" fontId="0" fillId="3" borderId="0" xfId="0" applyNumberFormat="1" applyFill="1" applyAlignment="1">
      <alignment horizontal="right" wrapText="1"/>
    </xf>
    <xf numFmtId="170" fontId="0" fillId="0" borderId="0" xfId="0" applyNumberFormat="1"/>
    <xf numFmtId="166" fontId="0" fillId="0" borderId="34" xfId="1" applyFont="1" applyBorder="1"/>
    <xf numFmtId="166" fontId="0" fillId="0" borderId="30" xfId="1" applyFont="1" applyBorder="1"/>
    <xf numFmtId="0" fontId="0" fillId="11" borderId="30" xfId="0" applyFill="1" applyBorder="1"/>
    <xf numFmtId="0" fontId="0" fillId="11" borderId="25" xfId="0" applyFill="1" applyBorder="1"/>
    <xf numFmtId="0" fontId="0" fillId="0" borderId="25" xfId="0" applyBorder="1"/>
    <xf numFmtId="0" fontId="0" fillId="0" borderId="27" xfId="0" applyBorder="1"/>
    <xf numFmtId="0" fontId="2" fillId="7" borderId="35" xfId="0" applyFont="1" applyFill="1" applyBorder="1" applyAlignment="1">
      <alignment vertical="center"/>
    </xf>
    <xf numFmtId="10" fontId="2" fillId="7" borderId="32" xfId="0" applyNumberFormat="1" applyFont="1" applyFill="1" applyBorder="1" applyAlignment="1">
      <alignment horizontal="center" vertical="center"/>
    </xf>
    <xf numFmtId="166" fontId="2" fillId="6" borderId="11" xfId="0" applyNumberFormat="1" applyFont="1" applyFill="1" applyBorder="1"/>
    <xf numFmtId="166" fontId="2" fillId="7" borderId="26" xfId="0" applyNumberFormat="1" applyFont="1" applyFill="1" applyBorder="1"/>
    <xf numFmtId="166" fontId="0" fillId="0" borderId="11" xfId="0" applyNumberFormat="1" applyBorder="1"/>
    <xf numFmtId="0" fontId="20" fillId="0" borderId="0" xfId="0" applyFont="1"/>
    <xf numFmtId="164" fontId="6" fillId="5" borderId="0" xfId="0" applyNumberFormat="1" applyFont="1" applyFill="1" applyAlignment="1">
      <alignment horizontal="right" wrapText="1"/>
    </xf>
    <xf numFmtId="166" fontId="6" fillId="5" borderId="0" xfId="0" applyNumberFormat="1" applyFont="1" applyFill="1"/>
    <xf numFmtId="164" fontId="6" fillId="5" borderId="0" xfId="0" applyNumberFormat="1" applyFont="1" applyFill="1"/>
    <xf numFmtId="166" fontId="4" fillId="0" borderId="0" xfId="0" applyNumberFormat="1" applyFont="1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 wrapText="1"/>
    </xf>
    <xf numFmtId="166" fontId="0" fillId="0" borderId="0" xfId="1" applyFont="1"/>
    <xf numFmtId="166" fontId="14" fillId="6" borderId="11" xfId="0" applyNumberFormat="1" applyFont="1" applyFill="1" applyBorder="1"/>
    <xf numFmtId="166" fontId="2" fillId="6" borderId="25" xfId="0" applyNumberFormat="1" applyFont="1" applyFill="1" applyBorder="1"/>
    <xf numFmtId="0" fontId="0" fillId="3" borderId="0" xfId="0" applyFill="1"/>
    <xf numFmtId="166" fontId="20" fillId="0" borderId="0" xfId="0" applyNumberFormat="1" applyFont="1"/>
    <xf numFmtId="16" fontId="0" fillId="0" borderId="1" xfId="0" applyNumberFormat="1" applyBorder="1"/>
    <xf numFmtId="16" fontId="0" fillId="0" borderId="1" xfId="0" applyNumberFormat="1" applyBorder="1" applyAlignment="1">
      <alignment horizontal="left"/>
    </xf>
    <xf numFmtId="166" fontId="0" fillId="0" borderId="2" xfId="0" applyNumberFormat="1" applyBorder="1"/>
    <xf numFmtId="164" fontId="15" fillId="3" borderId="1" xfId="0" applyNumberFormat="1" applyFont="1" applyFill="1" applyBorder="1"/>
    <xf numFmtId="166" fontId="6" fillId="3" borderId="1" xfId="1" applyFont="1" applyFill="1" applyBorder="1" applyAlignment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166" fontId="2" fillId="6" borderId="1" xfId="0" applyNumberFormat="1" applyFont="1" applyFill="1" applyBorder="1"/>
    <xf numFmtId="166" fontId="2" fillId="6" borderId="1" xfId="1" applyFont="1" applyFill="1" applyBorder="1"/>
    <xf numFmtId="166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3" borderId="13" xfId="0" applyFill="1" applyBorder="1" applyAlignment="1">
      <alignment horizontal="left" vertical="center" wrapText="1"/>
    </xf>
    <xf numFmtId="166" fontId="15" fillId="9" borderId="1" xfId="1" applyFont="1" applyFill="1" applyBorder="1"/>
    <xf numFmtId="167" fontId="21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0" fillId="3" borderId="12" xfId="0" applyFill="1" applyBorder="1"/>
    <xf numFmtId="0" fontId="0" fillId="3" borderId="13" xfId="0" applyFill="1" applyBorder="1"/>
    <xf numFmtId="0" fontId="6" fillId="0" borderId="1" xfId="0" applyFont="1" applyBorder="1" applyAlignment="1">
      <alignment horizontal="center" vertical="center"/>
    </xf>
    <xf numFmtId="166" fontId="6" fillId="3" borderId="11" xfId="1" applyFont="1" applyFill="1" applyBorder="1"/>
    <xf numFmtId="166" fontId="6" fillId="0" borderId="11" xfId="1" applyFont="1" applyBorder="1"/>
    <xf numFmtId="0" fontId="6" fillId="0" borderId="0" xfId="0" applyFont="1"/>
    <xf numFmtId="166" fontId="6" fillId="0" borderId="1" xfId="1" applyFont="1" applyBorder="1"/>
    <xf numFmtId="0" fontId="6" fillId="0" borderId="1" xfId="0" applyFont="1" applyBorder="1"/>
    <xf numFmtId="166" fontId="14" fillId="10" borderId="11" xfId="1" applyFont="1" applyFill="1" applyBorder="1"/>
    <xf numFmtId="166" fontId="14" fillId="7" borderId="26" xfId="0" applyNumberFormat="1" applyFont="1" applyFill="1" applyBorder="1"/>
    <xf numFmtId="0" fontId="0" fillId="0" borderId="13" xfId="0" applyBorder="1" applyAlignment="1">
      <alignment horizontal="left" vertical="center" wrapText="1"/>
    </xf>
    <xf numFmtId="0" fontId="0" fillId="0" borderId="11" xfId="0" applyBorder="1" applyAlignment="1">
      <alignment vertical="center"/>
    </xf>
    <xf numFmtId="170" fontId="6" fillId="0" borderId="1" xfId="1" applyNumberFormat="1" applyFont="1" applyBorder="1"/>
    <xf numFmtId="170" fontId="6" fillId="3" borderId="1" xfId="1" applyNumberFormat="1" applyFont="1" applyFill="1" applyBorder="1"/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166" fontId="0" fillId="0" borderId="0" xfId="0" applyNumberFormat="1" applyAlignment="1">
      <alignment horizontal="left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12" fillId="3" borderId="11" xfId="0" applyFont="1" applyFill="1" applyBorder="1" applyAlignment="1">
      <alignment horizontal="left" vertical="center" wrapText="1"/>
    </xf>
    <xf numFmtId="0" fontId="12" fillId="3" borderId="12" xfId="0" applyFont="1" applyFill="1" applyBorder="1" applyAlignment="1">
      <alignment horizontal="left" vertical="center" wrapText="1"/>
    </xf>
    <xf numFmtId="0" fontId="12" fillId="3" borderId="13" xfId="0" applyFont="1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3" borderId="11" xfId="0" applyFill="1" applyBorder="1" applyAlignment="1">
      <alignment wrapText="1"/>
    </xf>
    <xf numFmtId="0" fontId="0" fillId="3" borderId="12" xfId="0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 wrapText="1"/>
    </xf>
    <xf numFmtId="0" fontId="12" fillId="0" borderId="12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11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6" fontId="0" fillId="5" borderId="0" xfId="0" applyNumberFormat="1" applyFill="1" applyAlignment="1">
      <alignment horizontal="center" wrapText="1"/>
    </xf>
    <xf numFmtId="164" fontId="0" fillId="5" borderId="0" xfId="0" applyNumberFormat="1" applyFill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9" fillId="5" borderId="35" xfId="0" applyFont="1" applyFill="1" applyBorder="1" applyAlignment="1">
      <alignment horizontal="center" vertical="center" wrapText="1"/>
    </xf>
    <xf numFmtId="0" fontId="19" fillId="5" borderId="36" xfId="0" applyFont="1" applyFill="1" applyBorder="1" applyAlignment="1">
      <alignment horizontal="center" vertical="center" wrapText="1"/>
    </xf>
    <xf numFmtId="0" fontId="15" fillId="5" borderId="37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6"/>
  <sheetViews>
    <sheetView tabSelected="1" workbookViewId="0">
      <selection activeCell="C5" sqref="C5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5" ht="15.75" thickBot="1" x14ac:dyDescent="0.3">
      <c r="A1" s="8"/>
      <c r="B1" s="97" t="s">
        <v>119</v>
      </c>
      <c r="C1" s="8"/>
      <c r="D1" s="8"/>
      <c r="E1" s="8"/>
    </row>
    <row r="2" spans="1:5" x14ac:dyDescent="0.25">
      <c r="A2" s="64"/>
      <c r="B2" s="65" t="s">
        <v>0</v>
      </c>
      <c r="C2" s="65"/>
      <c r="D2" s="65"/>
      <c r="E2" s="66"/>
    </row>
    <row r="3" spans="1:5" x14ac:dyDescent="0.25">
      <c r="A3" s="67"/>
      <c r="B3" s="68" t="s">
        <v>89</v>
      </c>
      <c r="C3" s="68"/>
      <c r="D3" s="68"/>
      <c r="E3" s="69"/>
    </row>
    <row r="4" spans="1:5" ht="33.75" customHeight="1" thickBot="1" x14ac:dyDescent="0.3">
      <c r="A4" s="67"/>
      <c r="B4" s="68" t="s">
        <v>90</v>
      </c>
      <c r="C4" s="68"/>
      <c r="D4" s="68"/>
      <c r="E4" s="69"/>
    </row>
    <row r="5" spans="1:5" ht="15.75" thickBot="1" x14ac:dyDescent="0.3">
      <c r="A5" s="70" t="s">
        <v>1</v>
      </c>
      <c r="B5" s="71" t="s">
        <v>170</v>
      </c>
      <c r="C5" s="71" t="s">
        <v>169</v>
      </c>
      <c r="D5" s="71"/>
      <c r="E5" s="72"/>
    </row>
    <row r="6" spans="1:5" ht="15.75" thickBot="1" x14ac:dyDescent="0.3">
      <c r="A6" s="67" t="s">
        <v>100</v>
      </c>
      <c r="B6" s="68"/>
      <c r="C6" s="68"/>
      <c r="D6" s="68"/>
      <c r="E6" s="69"/>
    </row>
    <row r="7" spans="1:5" ht="15.75" thickBot="1" x14ac:dyDescent="0.3">
      <c r="A7" s="70" t="s">
        <v>99</v>
      </c>
      <c r="B7" s="71"/>
      <c r="C7" s="71"/>
      <c r="D7" s="71"/>
      <c r="E7" s="72"/>
    </row>
    <row r="9" spans="1:5" hidden="1" x14ac:dyDescent="0.25"/>
    <row r="10" spans="1:5" hidden="1" x14ac:dyDescent="0.25"/>
    <row r="11" spans="1:5" hidden="1" x14ac:dyDescent="0.25"/>
    <row r="12" spans="1:5" hidden="1" x14ac:dyDescent="0.25"/>
    <row r="14" spans="1:5" x14ac:dyDescent="0.25">
      <c r="B14" s="202" t="s">
        <v>135</v>
      </c>
      <c r="C14" s="203"/>
      <c r="D14" s="204"/>
    </row>
    <row r="15" spans="1:5" x14ac:dyDescent="0.25">
      <c r="B15" s="205"/>
      <c r="C15" s="206"/>
      <c r="D15" s="207"/>
    </row>
    <row r="16" spans="1:5" x14ac:dyDescent="0.25">
      <c r="B16" s="205"/>
      <c r="C16" s="206"/>
      <c r="D16" s="207"/>
    </row>
    <row r="17" spans="1:8" x14ac:dyDescent="0.25">
      <c r="B17" s="208"/>
      <c r="C17" s="209"/>
      <c r="D17" s="210"/>
    </row>
    <row r="19" spans="1:8" x14ac:dyDescent="0.25">
      <c r="A19" s="3"/>
    </row>
    <row r="20" spans="1:8" ht="15.75" thickBot="1" x14ac:dyDescent="0.3"/>
    <row r="21" spans="1:8" x14ac:dyDescent="0.25">
      <c r="A21" s="61" t="s">
        <v>87</v>
      </c>
      <c r="B21" s="62"/>
      <c r="C21" s="63"/>
      <c r="D21" s="59"/>
      <c r="E21" s="146" t="s">
        <v>122</v>
      </c>
      <c r="F21" s="145" t="s">
        <v>88</v>
      </c>
    </row>
    <row r="22" spans="1:8" x14ac:dyDescent="0.25">
      <c r="A22" s="121" t="s">
        <v>16</v>
      </c>
      <c r="B22" s="7" t="s">
        <v>171</v>
      </c>
      <c r="C22" s="7"/>
      <c r="D22" s="130"/>
      <c r="E22" s="7"/>
      <c r="F22" s="7"/>
    </row>
    <row r="23" spans="1:8" x14ac:dyDescent="0.25">
      <c r="A23" s="121" t="s">
        <v>127</v>
      </c>
      <c r="B23" s="7"/>
      <c r="C23" s="7"/>
      <c r="D23" s="182">
        <v>1234864.1000000001</v>
      </c>
      <c r="E23" s="134">
        <f>D23*91.91%</f>
        <v>1134963.5943100001</v>
      </c>
      <c r="F23" s="134">
        <f>D23*8.09%</f>
        <v>99900.505690000005</v>
      </c>
    </row>
    <row r="24" spans="1:8" x14ac:dyDescent="0.25">
      <c r="A24" s="121" t="s">
        <v>2</v>
      </c>
      <c r="B24" s="7"/>
      <c r="C24" s="7"/>
      <c r="D24" s="182">
        <v>-268582.93</v>
      </c>
      <c r="E24" s="134">
        <f t="shared" ref="E24:E26" si="0">D24*91.91%</f>
        <v>-246854.57096299998</v>
      </c>
      <c r="F24" s="134">
        <f t="shared" ref="F24:F26" si="1">D24*8.09%</f>
        <v>-21728.359036999998</v>
      </c>
    </row>
    <row r="25" spans="1:8" x14ac:dyDescent="0.25">
      <c r="A25" s="121" t="s">
        <v>113</v>
      </c>
      <c r="B25" s="7"/>
      <c r="C25" s="7"/>
      <c r="D25" s="182">
        <v>0.83</v>
      </c>
      <c r="E25" s="134">
        <f t="shared" si="0"/>
        <v>0.76285299999999989</v>
      </c>
      <c r="F25" s="134">
        <f t="shared" si="1"/>
        <v>6.7146999999999998E-2</v>
      </c>
    </row>
    <row r="26" spans="1:8" x14ac:dyDescent="0.25">
      <c r="A26" s="121" t="s">
        <v>159</v>
      </c>
      <c r="B26" s="7"/>
      <c r="C26" s="7"/>
      <c r="D26" s="182">
        <v>13000</v>
      </c>
      <c r="E26" s="134">
        <f t="shared" si="0"/>
        <v>11948.3</v>
      </c>
      <c r="F26" s="134">
        <f t="shared" si="1"/>
        <v>1051.7</v>
      </c>
    </row>
    <row r="27" spans="1:8" hidden="1" x14ac:dyDescent="0.25">
      <c r="A27" s="121"/>
      <c r="B27" s="7"/>
      <c r="C27" s="7"/>
      <c r="D27" s="182"/>
      <c r="E27" s="7"/>
      <c r="F27" s="7"/>
    </row>
    <row r="28" spans="1:8" hidden="1" x14ac:dyDescent="0.25">
      <c r="A28" s="121"/>
      <c r="B28" s="7"/>
      <c r="C28" s="7"/>
      <c r="D28" s="182"/>
      <c r="E28" s="134"/>
      <c r="F28" s="7"/>
    </row>
    <row r="29" spans="1:8" x14ac:dyDescent="0.25">
      <c r="A29" s="121"/>
      <c r="B29" s="7"/>
      <c r="C29" s="7"/>
      <c r="D29" s="182"/>
      <c r="E29" s="134"/>
      <c r="F29" s="7"/>
    </row>
    <row r="30" spans="1:8" ht="13.5" customHeight="1" x14ac:dyDescent="0.25">
      <c r="A30" s="95" t="s">
        <v>3</v>
      </c>
      <c r="B30" s="95"/>
      <c r="C30" s="95"/>
      <c r="D30" s="107">
        <f>SUM(D23:D29)</f>
        <v>979282.00000000012</v>
      </c>
      <c r="E30" s="107">
        <f t="shared" ref="E30" si="2">SUM(E23:E29)</f>
        <v>900058.08620000014</v>
      </c>
      <c r="F30" s="107">
        <f>SUM(F23:F29)</f>
        <v>79223.913799999995</v>
      </c>
      <c r="G30" s="109">
        <f>E30+F30</f>
        <v>979282.00000000012</v>
      </c>
      <c r="H30" s="150" t="str">
        <f>IF(D30=G30, "", "Error")</f>
        <v/>
      </c>
    </row>
    <row r="31" spans="1:8" hidden="1" x14ac:dyDescent="0.25">
      <c r="A31" s="94" t="s">
        <v>110</v>
      </c>
      <c r="B31" s="7"/>
      <c r="C31" s="7"/>
      <c r="D31" s="183">
        <v>0</v>
      </c>
      <c r="E31" s="134">
        <f>D31*91.91%</f>
        <v>0</v>
      </c>
      <c r="F31" s="134">
        <f>D31*8.09%</f>
        <v>0</v>
      </c>
      <c r="H31" s="150"/>
    </row>
    <row r="32" spans="1:8" hidden="1" x14ac:dyDescent="0.25">
      <c r="A32" s="94"/>
      <c r="B32" s="7"/>
      <c r="C32" s="7"/>
      <c r="D32" s="182">
        <v>0</v>
      </c>
      <c r="E32" s="134">
        <f>D32*91.91%</f>
        <v>0</v>
      </c>
      <c r="F32" s="134">
        <f>D32*8.09%</f>
        <v>0</v>
      </c>
      <c r="H32" s="150"/>
    </row>
    <row r="33" spans="1:8" hidden="1" x14ac:dyDescent="0.25">
      <c r="A33" s="94"/>
      <c r="B33" s="7"/>
      <c r="C33" s="7"/>
      <c r="D33" s="182"/>
      <c r="E33" s="7"/>
      <c r="F33" s="7"/>
      <c r="H33" s="150"/>
    </row>
    <row r="34" spans="1:8" hidden="1" x14ac:dyDescent="0.25">
      <c r="A34" s="94"/>
      <c r="B34" s="7"/>
      <c r="C34" s="7"/>
      <c r="D34" s="182"/>
      <c r="E34" s="7"/>
      <c r="F34" s="7"/>
      <c r="H34" s="150"/>
    </row>
    <row r="35" spans="1:8" hidden="1" x14ac:dyDescent="0.25">
      <c r="A35" s="95" t="s">
        <v>118</v>
      </c>
      <c r="B35" s="95"/>
      <c r="C35" s="95"/>
      <c r="D35" s="107">
        <f>SUM(D31:D33)</f>
        <v>0</v>
      </c>
      <c r="E35" s="107">
        <f t="shared" ref="E35:F35" si="3">SUM(E31:E33)</f>
        <v>0</v>
      </c>
      <c r="F35" s="107">
        <f t="shared" si="3"/>
        <v>0</v>
      </c>
      <c r="G35" s="109">
        <f>E35+F35</f>
        <v>0</v>
      </c>
      <c r="H35" s="150" t="str">
        <f>IF(D35=G35, "", "Error")</f>
        <v/>
      </c>
    </row>
    <row r="36" spans="1:8" hidden="1" x14ac:dyDescent="0.25">
      <c r="A36" s="94" t="s">
        <v>110</v>
      </c>
      <c r="B36" s="7"/>
      <c r="C36" s="7"/>
      <c r="D36" s="183"/>
      <c r="E36" s="134">
        <f>D36*91.91%</f>
        <v>0</v>
      </c>
      <c r="F36" s="134">
        <f>D36*8.09%</f>
        <v>0</v>
      </c>
      <c r="H36" s="150"/>
    </row>
    <row r="37" spans="1:8" hidden="1" x14ac:dyDescent="0.25">
      <c r="A37" s="7" t="s">
        <v>131</v>
      </c>
      <c r="B37" s="7"/>
      <c r="C37" s="7"/>
      <c r="D37" s="182"/>
      <c r="E37" s="134">
        <f t="shared" ref="E37:E38" si="4">D37*91.91%</f>
        <v>0</v>
      </c>
      <c r="F37" s="134">
        <f t="shared" ref="F37:F38" si="5">D37*8.09%</f>
        <v>0</v>
      </c>
      <c r="H37" s="150"/>
    </row>
    <row r="38" spans="1:8" hidden="1" x14ac:dyDescent="0.25">
      <c r="A38" s="94" t="s">
        <v>2</v>
      </c>
      <c r="B38" s="7"/>
      <c r="C38" s="7"/>
      <c r="D38" s="182"/>
      <c r="E38" s="134">
        <f t="shared" si="4"/>
        <v>0</v>
      </c>
      <c r="F38" s="134">
        <f t="shared" si="5"/>
        <v>0</v>
      </c>
      <c r="H38" s="150"/>
    </row>
    <row r="39" spans="1:8" hidden="1" x14ac:dyDescent="0.25">
      <c r="A39" s="95" t="s">
        <v>111</v>
      </c>
      <c r="B39" s="95"/>
      <c r="C39" s="95"/>
      <c r="D39" s="107">
        <f>SUM(D32:D38)</f>
        <v>0</v>
      </c>
      <c r="E39" s="107">
        <f t="shared" ref="E39" si="6">SUM(E32:E38)</f>
        <v>0</v>
      </c>
      <c r="F39" s="119">
        <f>E39*8.09%</f>
        <v>0</v>
      </c>
      <c r="H39" s="150"/>
    </row>
    <row r="40" spans="1:8" ht="0.75" hidden="1" customHeight="1" x14ac:dyDescent="0.25">
      <c r="A40" s="129"/>
      <c r="B40" s="98"/>
      <c r="C40" s="98"/>
      <c r="D40" s="182"/>
      <c r="E40" s="120"/>
      <c r="F40" s="120"/>
      <c r="H40" s="150"/>
    </row>
    <row r="41" spans="1:8" hidden="1" x14ac:dyDescent="0.25">
      <c r="A41" s="129"/>
      <c r="B41" s="98"/>
      <c r="C41" s="98"/>
      <c r="D41" s="182"/>
      <c r="E41" s="120"/>
      <c r="F41" s="120"/>
      <c r="H41" s="150"/>
    </row>
    <row r="42" spans="1:8" hidden="1" x14ac:dyDescent="0.25">
      <c r="A42" s="98"/>
      <c r="B42" s="98"/>
      <c r="C42" s="111"/>
      <c r="D42" s="182"/>
      <c r="E42" s="120"/>
      <c r="F42" s="120"/>
      <c r="H42" s="150"/>
    </row>
    <row r="43" spans="1:8" hidden="1" x14ac:dyDescent="0.25">
      <c r="A43" s="95" t="s">
        <v>118</v>
      </c>
      <c r="B43" s="95"/>
      <c r="C43" s="95"/>
      <c r="D43" s="107"/>
      <c r="E43" s="112">
        <f>SUM(D40:D42)</f>
        <v>0</v>
      </c>
      <c r="F43" s="110">
        <f>(D40)*8.09%</f>
        <v>0</v>
      </c>
      <c r="H43" s="150"/>
    </row>
    <row r="44" spans="1:8" hidden="1" x14ac:dyDescent="0.25">
      <c r="A44" s="94"/>
      <c r="B44" s="7"/>
      <c r="C44" s="7"/>
      <c r="D44" s="184"/>
      <c r="E44" s="114"/>
      <c r="F44" s="7"/>
      <c r="H44" s="150"/>
    </row>
    <row r="45" spans="1:8" hidden="1" x14ac:dyDescent="0.25">
      <c r="A45" s="7"/>
      <c r="B45" s="7"/>
      <c r="C45" s="7"/>
      <c r="D45" s="113"/>
      <c r="E45" s="149">
        <f>D45</f>
        <v>0</v>
      </c>
      <c r="F45" s="7"/>
      <c r="H45" s="150"/>
    </row>
    <row r="46" spans="1:8" hidden="1" x14ac:dyDescent="0.25">
      <c r="A46" s="94"/>
      <c r="B46" s="7"/>
      <c r="C46" s="7"/>
      <c r="D46" s="113"/>
      <c r="E46" s="134">
        <f>D46*91.91%</f>
        <v>0</v>
      </c>
      <c r="F46" s="134">
        <f>D46*8.09%</f>
        <v>0</v>
      </c>
      <c r="H46" s="150"/>
    </row>
    <row r="47" spans="1:8" hidden="1" x14ac:dyDescent="0.25">
      <c r="A47" s="94"/>
      <c r="B47" s="7"/>
      <c r="C47" s="7"/>
      <c r="D47" s="185"/>
      <c r="E47" s="134">
        <f>D47*91.91%</f>
        <v>0</v>
      </c>
      <c r="F47" s="134">
        <f>D47*8.09%</f>
        <v>0</v>
      </c>
      <c r="H47" s="150"/>
    </row>
    <row r="48" spans="1:8" ht="15.75" hidden="1" thickBot="1" x14ac:dyDescent="0.3">
      <c r="A48" s="95" t="s">
        <v>128</v>
      </c>
      <c r="B48" s="95"/>
      <c r="C48" s="95"/>
      <c r="D48" s="107">
        <f>SUM(D45:D47)</f>
        <v>0</v>
      </c>
      <c r="E48" s="159">
        <f>SUM(E45:E47)</f>
        <v>0</v>
      </c>
      <c r="F48" s="169">
        <f>SUM(F45:F47)</f>
        <v>0</v>
      </c>
      <c r="G48" s="109">
        <f>E48+F48</f>
        <v>0</v>
      </c>
      <c r="H48" s="150"/>
    </row>
    <row r="49" spans="1:10" hidden="1" x14ac:dyDescent="0.25">
      <c r="A49" s="7"/>
      <c r="B49" s="7"/>
      <c r="C49" s="7"/>
      <c r="D49" s="185"/>
      <c r="E49" s="115"/>
      <c r="F49" s="100"/>
      <c r="H49" s="150"/>
    </row>
    <row r="50" spans="1:10" hidden="1" x14ac:dyDescent="0.25">
      <c r="A50" s="7"/>
      <c r="B50" s="7"/>
      <c r="C50" s="7"/>
      <c r="D50" s="185"/>
      <c r="E50" s="114"/>
      <c r="F50" s="100"/>
      <c r="H50" s="150"/>
    </row>
    <row r="51" spans="1:10" x14ac:dyDescent="0.25">
      <c r="A51" s="94" t="s">
        <v>4</v>
      </c>
      <c r="B51" s="7"/>
      <c r="C51" s="7"/>
      <c r="D51" s="185"/>
      <c r="E51" s="114"/>
      <c r="F51" s="100"/>
      <c r="H51" s="150"/>
    </row>
    <row r="52" spans="1:10" x14ac:dyDescent="0.25">
      <c r="A52" s="94" t="s">
        <v>141</v>
      </c>
      <c r="B52" s="7"/>
      <c r="C52" s="98"/>
      <c r="D52" s="113">
        <v>5020</v>
      </c>
      <c r="E52" s="134">
        <f>D52*91.91%</f>
        <v>4613.8819999999996</v>
      </c>
      <c r="F52" s="134">
        <f>D52*8.09%</f>
        <v>406.11799999999999</v>
      </c>
      <c r="H52" s="150"/>
    </row>
    <row r="53" spans="1:10" x14ac:dyDescent="0.25">
      <c r="A53" s="94" t="s">
        <v>5</v>
      </c>
      <c r="B53" s="7" t="s">
        <v>143</v>
      </c>
      <c r="C53" s="7"/>
      <c r="D53" s="113">
        <f>102143.27+6011.02+54099.18</f>
        <v>162253.47</v>
      </c>
      <c r="E53" s="134">
        <f>D53*91.91%</f>
        <v>149127.16427699997</v>
      </c>
      <c r="F53" s="134">
        <f>D53*8.09%</f>
        <v>13126.305722999999</v>
      </c>
      <c r="H53" s="150"/>
    </row>
    <row r="54" spans="1:10" x14ac:dyDescent="0.25">
      <c r="A54" s="94" t="s">
        <v>136</v>
      </c>
      <c r="B54" s="7" t="s">
        <v>144</v>
      </c>
      <c r="C54" s="7"/>
      <c r="D54" s="113">
        <v>532295.61</v>
      </c>
      <c r="E54" s="134">
        <f>D54*91.91%</f>
        <v>489232.89515099995</v>
      </c>
      <c r="F54" s="134">
        <f>D54*8.09%</f>
        <v>43062.714848999996</v>
      </c>
      <c r="H54" s="150"/>
    </row>
    <row r="55" spans="1:10" x14ac:dyDescent="0.25">
      <c r="A55" s="95" t="s">
        <v>6</v>
      </c>
      <c r="B55" s="96"/>
      <c r="C55" s="96"/>
      <c r="D55" s="108">
        <f>SUM(D52:D54)</f>
        <v>699569.08</v>
      </c>
      <c r="E55" s="108">
        <f t="shared" ref="E55:F55" si="7">SUM(E52:E54)</f>
        <v>642973.94142799987</v>
      </c>
      <c r="F55" s="108">
        <f t="shared" si="7"/>
        <v>56595.138571999996</v>
      </c>
      <c r="G55" s="109">
        <f>E55+F55</f>
        <v>699569.07999999984</v>
      </c>
      <c r="H55" s="150" t="str">
        <f>IF(D55=G55, "", "Error")</f>
        <v/>
      </c>
    </row>
    <row r="56" spans="1:10" x14ac:dyDescent="0.25">
      <c r="A56" s="7" t="s">
        <v>7</v>
      </c>
      <c r="B56" s="7"/>
      <c r="C56" s="7"/>
      <c r="D56" s="185"/>
      <c r="E56" s="115"/>
      <c r="F56" s="7"/>
      <c r="H56" s="150"/>
    </row>
    <row r="57" spans="1:10" x14ac:dyDescent="0.25">
      <c r="A57" s="114" t="s">
        <v>140</v>
      </c>
      <c r="B57" s="176"/>
      <c r="C57" s="177"/>
      <c r="D57" s="185">
        <v>700000</v>
      </c>
      <c r="E57" s="149">
        <f t="shared" ref="E57" si="8">D57</f>
        <v>700000</v>
      </c>
      <c r="F57" s="7"/>
      <c r="G57" s="109">
        <f t="shared" ref="G57" si="9">D57</f>
        <v>700000</v>
      </c>
      <c r="H57" s="161">
        <f t="shared" ref="H57" si="10">E57+F57</f>
        <v>700000</v>
      </c>
      <c r="I57" s="178">
        <f>H57-D57</f>
        <v>0</v>
      </c>
      <c r="J57" s="178">
        <f>G57-D57</f>
        <v>0</v>
      </c>
    </row>
    <row r="58" spans="1:10" ht="16.5" customHeight="1" x14ac:dyDescent="0.25">
      <c r="A58" s="190" t="s">
        <v>137</v>
      </c>
      <c r="B58" s="176"/>
      <c r="C58" s="177"/>
      <c r="D58" s="113">
        <v>330000</v>
      </c>
      <c r="E58" s="149">
        <f>D58</f>
        <v>330000</v>
      </c>
      <c r="F58" s="7"/>
      <c r="G58" s="109">
        <f>D58</f>
        <v>330000</v>
      </c>
      <c r="H58" s="161">
        <f>E58+F58</f>
        <v>330000</v>
      </c>
      <c r="I58" s="178">
        <f t="shared" ref="I58:I86" si="11">H58-D58</f>
        <v>0</v>
      </c>
      <c r="J58" s="178">
        <f t="shared" ref="J58:J86" si="12">G58-D58</f>
        <v>0</v>
      </c>
    </row>
    <row r="59" spans="1:10" ht="14.25" customHeight="1" x14ac:dyDescent="0.25">
      <c r="A59" s="121" t="s">
        <v>8</v>
      </c>
      <c r="B59" s="163"/>
      <c r="C59" s="7"/>
      <c r="D59" s="113">
        <v>143638</v>
      </c>
      <c r="E59" s="149">
        <f t="shared" ref="E59:E63" si="13">D59*91.91%</f>
        <v>132017.68579999998</v>
      </c>
      <c r="F59" s="134">
        <f t="shared" ref="F59:F63" si="14">D59*8.09%</f>
        <v>11620.314200000001</v>
      </c>
      <c r="G59" s="109">
        <f t="shared" ref="G59:G86" si="15">D59</f>
        <v>143638</v>
      </c>
      <c r="H59" s="161">
        <f t="shared" ref="H59:H86" si="16">E59+F59</f>
        <v>143637.99999999997</v>
      </c>
      <c r="I59" s="178">
        <f t="shared" si="11"/>
        <v>0</v>
      </c>
      <c r="J59" s="178">
        <f t="shared" si="12"/>
        <v>0</v>
      </c>
    </row>
    <row r="60" spans="1:10" x14ac:dyDescent="0.25">
      <c r="A60" s="94" t="s">
        <v>172</v>
      </c>
      <c r="B60" s="7"/>
      <c r="C60" s="7"/>
      <c r="D60" s="113">
        <v>129675</v>
      </c>
      <c r="E60" s="149">
        <f t="shared" si="13"/>
        <v>119184.2925</v>
      </c>
      <c r="F60" s="134">
        <f t="shared" si="14"/>
        <v>10490.7075</v>
      </c>
      <c r="G60" s="109">
        <f t="shared" si="15"/>
        <v>129675</v>
      </c>
      <c r="H60" s="161">
        <f t="shared" si="16"/>
        <v>129675</v>
      </c>
      <c r="I60" s="178">
        <f t="shared" si="11"/>
        <v>0</v>
      </c>
      <c r="J60" s="178">
        <f t="shared" si="12"/>
        <v>0</v>
      </c>
    </row>
    <row r="61" spans="1:10" x14ac:dyDescent="0.25">
      <c r="A61" s="94" t="s">
        <v>9</v>
      </c>
      <c r="B61" s="7" t="s">
        <v>149</v>
      </c>
      <c r="C61" s="7"/>
      <c r="D61" s="113">
        <v>74622</v>
      </c>
      <c r="E61" s="149">
        <f>D61*91.91%</f>
        <v>68585.080199999997</v>
      </c>
      <c r="F61" s="134">
        <f t="shared" si="14"/>
        <v>6036.9197999999997</v>
      </c>
      <c r="G61" s="109">
        <f t="shared" si="15"/>
        <v>74622</v>
      </c>
      <c r="H61" s="161">
        <f>E61+F61</f>
        <v>74622</v>
      </c>
      <c r="I61" s="178">
        <f t="shared" si="11"/>
        <v>0</v>
      </c>
      <c r="J61" s="178">
        <f t="shared" si="12"/>
        <v>0</v>
      </c>
    </row>
    <row r="62" spans="1:10" x14ac:dyDescent="0.25">
      <c r="A62" s="94" t="s">
        <v>11</v>
      </c>
      <c r="B62" s="7"/>
      <c r="C62" s="7"/>
      <c r="D62" s="113"/>
      <c r="E62" s="149">
        <f t="shared" si="13"/>
        <v>0</v>
      </c>
      <c r="F62" s="134">
        <f t="shared" si="14"/>
        <v>0</v>
      </c>
      <c r="G62" s="109">
        <f t="shared" si="15"/>
        <v>0</v>
      </c>
      <c r="H62" s="161">
        <f t="shared" si="16"/>
        <v>0</v>
      </c>
      <c r="I62" s="178">
        <f t="shared" si="11"/>
        <v>0</v>
      </c>
      <c r="J62" s="178">
        <f t="shared" si="12"/>
        <v>0</v>
      </c>
    </row>
    <row r="63" spans="1:10" x14ac:dyDescent="0.25">
      <c r="A63" s="129" t="s">
        <v>10</v>
      </c>
      <c r="B63" s="98" t="s">
        <v>166</v>
      </c>
      <c r="C63" s="98"/>
      <c r="D63" s="113">
        <v>846331.1</v>
      </c>
      <c r="E63" s="149">
        <f t="shared" si="13"/>
        <v>777862.91400999995</v>
      </c>
      <c r="F63" s="134">
        <f t="shared" si="14"/>
        <v>68468.185989999998</v>
      </c>
      <c r="G63" s="109">
        <f t="shared" si="15"/>
        <v>846331.1</v>
      </c>
      <c r="H63" s="161">
        <f t="shared" si="16"/>
        <v>846331.1</v>
      </c>
      <c r="I63" s="178">
        <f t="shared" si="11"/>
        <v>0</v>
      </c>
      <c r="J63" s="178">
        <f t="shared" si="12"/>
        <v>0</v>
      </c>
    </row>
    <row r="64" spans="1:10" x14ac:dyDescent="0.25">
      <c r="A64" s="98" t="s">
        <v>147</v>
      </c>
      <c r="B64" s="179"/>
      <c r="C64" s="180"/>
      <c r="D64" s="113">
        <v>235500</v>
      </c>
      <c r="E64" s="149">
        <f t="shared" ref="E64:E76" si="17">D64</f>
        <v>235500</v>
      </c>
      <c r="F64" s="134"/>
      <c r="G64" s="109">
        <f t="shared" si="15"/>
        <v>235500</v>
      </c>
      <c r="H64" s="161">
        <f t="shared" si="16"/>
        <v>235500</v>
      </c>
      <c r="I64" s="178">
        <f t="shared" si="11"/>
        <v>0</v>
      </c>
      <c r="J64" s="178">
        <f t="shared" si="12"/>
        <v>0</v>
      </c>
    </row>
    <row r="65" spans="1:10" x14ac:dyDescent="0.25">
      <c r="A65" s="214" t="s">
        <v>162</v>
      </c>
      <c r="B65" s="215"/>
      <c r="C65" s="216"/>
      <c r="D65" s="113">
        <v>111026</v>
      </c>
      <c r="E65" s="149">
        <f>D65*91.91%</f>
        <v>102043.99659999998</v>
      </c>
      <c r="F65" s="149">
        <f>D65*8.09%</f>
        <v>8982.0033999999996</v>
      </c>
      <c r="G65" s="109">
        <f t="shared" si="15"/>
        <v>111026</v>
      </c>
      <c r="H65" s="161">
        <f>E65+F65</f>
        <v>111025.99999999999</v>
      </c>
      <c r="I65" s="178">
        <f t="shared" si="11"/>
        <v>0</v>
      </c>
      <c r="J65" s="178">
        <f t="shared" si="12"/>
        <v>0</v>
      </c>
    </row>
    <row r="66" spans="1:10" ht="16.5" customHeight="1" x14ac:dyDescent="0.25">
      <c r="A66" s="214" t="s">
        <v>157</v>
      </c>
      <c r="B66" s="215"/>
      <c r="C66" s="216"/>
      <c r="D66" s="113">
        <v>104006.06</v>
      </c>
      <c r="E66" s="149">
        <f t="shared" ref="E66:E73" si="18">D66*91.91%</f>
        <v>95591.969745999988</v>
      </c>
      <c r="F66" s="149">
        <f t="shared" ref="F66:F73" si="19">D66*8.09%</f>
        <v>8414.0902540000006</v>
      </c>
      <c r="G66" s="109">
        <f>D66</f>
        <v>104006.06</v>
      </c>
      <c r="H66" s="161">
        <f t="shared" si="16"/>
        <v>104006.05999999998</v>
      </c>
      <c r="I66" s="178">
        <f t="shared" si="11"/>
        <v>0</v>
      </c>
      <c r="J66" s="178">
        <f t="shared" si="12"/>
        <v>0</v>
      </c>
    </row>
    <row r="67" spans="1:10" ht="16.5" customHeight="1" x14ac:dyDescent="0.25">
      <c r="A67" s="214" t="s">
        <v>157</v>
      </c>
      <c r="B67" s="215"/>
      <c r="C67" s="216"/>
      <c r="D67" s="113">
        <f>104002.96</f>
        <v>104002.96</v>
      </c>
      <c r="E67" s="149">
        <f t="shared" si="18"/>
        <v>95589.120536000002</v>
      </c>
      <c r="F67" s="149">
        <f t="shared" si="19"/>
        <v>8413.8394640000006</v>
      </c>
      <c r="G67" s="109">
        <f t="shared" ref="G67:G73" si="20">D67</f>
        <v>104002.96</v>
      </c>
      <c r="H67" s="161">
        <f t="shared" si="16"/>
        <v>104002.96</v>
      </c>
      <c r="I67" s="178">
        <f t="shared" si="11"/>
        <v>0</v>
      </c>
      <c r="J67" s="178">
        <f t="shared" si="12"/>
        <v>0</v>
      </c>
    </row>
    <row r="68" spans="1:10" ht="16.5" customHeight="1" x14ac:dyDescent="0.25">
      <c r="A68" s="214" t="s">
        <v>157</v>
      </c>
      <c r="B68" s="215"/>
      <c r="C68" s="216"/>
      <c r="D68" s="113">
        <f>104002.96</f>
        <v>104002.96</v>
      </c>
      <c r="E68" s="149">
        <f t="shared" si="18"/>
        <v>95589.120536000002</v>
      </c>
      <c r="F68" s="149">
        <f t="shared" si="19"/>
        <v>8413.8394640000006</v>
      </c>
      <c r="G68" s="109">
        <f t="shared" si="20"/>
        <v>104002.96</v>
      </c>
      <c r="H68" s="161">
        <f t="shared" si="16"/>
        <v>104002.96</v>
      </c>
      <c r="I68" s="178">
        <f t="shared" si="11"/>
        <v>0</v>
      </c>
      <c r="J68" s="178">
        <f t="shared" si="12"/>
        <v>0</v>
      </c>
    </row>
    <row r="69" spans="1:10" ht="16.5" customHeight="1" x14ac:dyDescent="0.25">
      <c r="A69" s="214" t="s">
        <v>157</v>
      </c>
      <c r="B69" s="215"/>
      <c r="C69" s="216"/>
      <c r="D69" s="113">
        <f>104002.96</f>
        <v>104002.96</v>
      </c>
      <c r="E69" s="149">
        <f t="shared" si="18"/>
        <v>95589.120536000002</v>
      </c>
      <c r="F69" s="149">
        <f t="shared" si="19"/>
        <v>8413.8394640000006</v>
      </c>
      <c r="G69" s="109">
        <f t="shared" si="20"/>
        <v>104002.96</v>
      </c>
      <c r="H69" s="161">
        <f t="shared" si="16"/>
        <v>104002.96</v>
      </c>
      <c r="I69" s="178">
        <f t="shared" si="11"/>
        <v>0</v>
      </c>
      <c r="J69" s="178">
        <f t="shared" si="12"/>
        <v>0</v>
      </c>
    </row>
    <row r="70" spans="1:10" ht="16.5" customHeight="1" x14ac:dyDescent="0.25">
      <c r="A70" s="228" t="s">
        <v>156</v>
      </c>
      <c r="B70" s="229"/>
      <c r="C70" s="230"/>
      <c r="D70" s="113">
        <v>100419.01</v>
      </c>
      <c r="E70" s="149">
        <f t="shared" si="18"/>
        <v>92295.112090999988</v>
      </c>
      <c r="F70" s="149">
        <f t="shared" si="19"/>
        <v>8123.8979089999993</v>
      </c>
      <c r="G70" s="109">
        <f t="shared" si="20"/>
        <v>100419.01</v>
      </c>
      <c r="H70" s="161">
        <f t="shared" si="16"/>
        <v>100419.00999999998</v>
      </c>
      <c r="I70" s="178">
        <f t="shared" si="11"/>
        <v>0</v>
      </c>
      <c r="J70" s="178">
        <f t="shared" si="12"/>
        <v>0</v>
      </c>
    </row>
    <row r="71" spans="1:10" ht="16.5" customHeight="1" x14ac:dyDescent="0.25">
      <c r="A71" s="228" t="s">
        <v>156</v>
      </c>
      <c r="B71" s="229"/>
      <c r="C71" s="230"/>
      <c r="D71" s="113">
        <v>97003.05</v>
      </c>
      <c r="E71" s="149">
        <f t="shared" si="18"/>
        <v>89155.503254999989</v>
      </c>
      <c r="F71" s="149">
        <f t="shared" si="19"/>
        <v>7847.5467450000006</v>
      </c>
      <c r="G71" s="109">
        <f t="shared" si="20"/>
        <v>97003.05</v>
      </c>
      <c r="H71" s="161">
        <f t="shared" si="16"/>
        <v>97003.049999999988</v>
      </c>
      <c r="I71" s="178">
        <f t="shared" si="11"/>
        <v>0</v>
      </c>
      <c r="J71" s="178">
        <f t="shared" si="12"/>
        <v>0</v>
      </c>
    </row>
    <row r="72" spans="1:10" ht="16.5" customHeight="1" x14ac:dyDescent="0.25">
      <c r="A72" s="228" t="s">
        <v>155</v>
      </c>
      <c r="B72" s="229"/>
      <c r="C72" s="230"/>
      <c r="D72" s="113">
        <v>98393.96</v>
      </c>
      <c r="E72" s="149">
        <f t="shared" si="18"/>
        <v>90433.888636000003</v>
      </c>
      <c r="F72" s="149">
        <f t="shared" si="19"/>
        <v>7960.0713640000004</v>
      </c>
      <c r="G72" s="109">
        <f t="shared" si="20"/>
        <v>98393.96</v>
      </c>
      <c r="H72" s="161">
        <f t="shared" si="16"/>
        <v>98393.96</v>
      </c>
      <c r="I72" s="178">
        <f t="shared" si="11"/>
        <v>0</v>
      </c>
      <c r="J72" s="178">
        <f t="shared" si="12"/>
        <v>0</v>
      </c>
    </row>
    <row r="73" spans="1:10" ht="16.5" customHeight="1" x14ac:dyDescent="0.25">
      <c r="A73" s="197" t="s">
        <v>165</v>
      </c>
      <c r="B73" s="195"/>
      <c r="C73" s="196"/>
      <c r="D73" s="113">
        <v>99259.05</v>
      </c>
      <c r="E73" s="149">
        <f t="shared" si="18"/>
        <v>91228.99285499999</v>
      </c>
      <c r="F73" s="149">
        <f t="shared" si="19"/>
        <v>8030.0571449999998</v>
      </c>
      <c r="G73" s="109">
        <f t="shared" si="20"/>
        <v>99259.05</v>
      </c>
      <c r="H73" s="161">
        <f t="shared" si="16"/>
        <v>99259.049999999988</v>
      </c>
      <c r="I73" s="178">
        <f t="shared" si="11"/>
        <v>0</v>
      </c>
      <c r="J73" s="178">
        <f t="shared" si="12"/>
        <v>0</v>
      </c>
    </row>
    <row r="74" spans="1:10" x14ac:dyDescent="0.25">
      <c r="A74" s="225" t="s">
        <v>145</v>
      </c>
      <c r="B74" s="226"/>
      <c r="C74" s="227"/>
      <c r="D74" s="113">
        <v>66000</v>
      </c>
      <c r="E74" s="149">
        <f t="shared" si="17"/>
        <v>66000</v>
      </c>
      <c r="F74" s="134"/>
      <c r="G74" s="109">
        <f t="shared" si="15"/>
        <v>66000</v>
      </c>
      <c r="H74" s="161">
        <f t="shared" si="16"/>
        <v>66000</v>
      </c>
      <c r="I74" s="178">
        <f t="shared" si="11"/>
        <v>0</v>
      </c>
      <c r="J74" s="178">
        <f t="shared" si="12"/>
        <v>0</v>
      </c>
    </row>
    <row r="75" spans="1:10" ht="15" customHeight="1" x14ac:dyDescent="0.25">
      <c r="A75" s="231" t="s">
        <v>151</v>
      </c>
      <c r="B75" s="232"/>
      <c r="C75" s="233"/>
      <c r="D75" s="113">
        <v>218400</v>
      </c>
      <c r="E75" s="149">
        <f t="shared" si="17"/>
        <v>218400</v>
      </c>
      <c r="F75" s="134"/>
      <c r="G75" s="109">
        <f t="shared" si="15"/>
        <v>218400</v>
      </c>
      <c r="H75" s="161">
        <f t="shared" si="16"/>
        <v>218400</v>
      </c>
      <c r="I75" s="178">
        <f t="shared" si="11"/>
        <v>0</v>
      </c>
      <c r="J75" s="178">
        <f t="shared" si="12"/>
        <v>0</v>
      </c>
    </row>
    <row r="76" spans="1:10" ht="15" customHeight="1" x14ac:dyDescent="0.25">
      <c r="A76" s="193" t="s">
        <v>148</v>
      </c>
      <c r="B76" s="194"/>
      <c r="C76" s="189"/>
      <c r="D76" s="113">
        <v>35000</v>
      </c>
      <c r="E76" s="149">
        <f t="shared" si="17"/>
        <v>35000</v>
      </c>
      <c r="F76" s="134"/>
      <c r="G76" s="109">
        <f t="shared" si="15"/>
        <v>35000</v>
      </c>
      <c r="H76" s="161">
        <f t="shared" si="16"/>
        <v>35000</v>
      </c>
      <c r="I76" s="178">
        <f t="shared" si="11"/>
        <v>0</v>
      </c>
      <c r="J76" s="178">
        <f t="shared" si="12"/>
        <v>0</v>
      </c>
    </row>
    <row r="77" spans="1:10" ht="15" customHeight="1" x14ac:dyDescent="0.25">
      <c r="A77" s="7" t="s">
        <v>120</v>
      </c>
      <c r="B77" s="7" t="s">
        <v>173</v>
      </c>
      <c r="C77" s="7"/>
      <c r="D77" s="113">
        <v>79895</v>
      </c>
      <c r="E77" s="149">
        <f t="shared" ref="E77:E84" si="21">D77</f>
        <v>79895</v>
      </c>
      <c r="F77" s="7"/>
      <c r="G77" s="109">
        <f t="shared" si="15"/>
        <v>79895</v>
      </c>
      <c r="H77" s="161">
        <f t="shared" si="16"/>
        <v>79895</v>
      </c>
      <c r="I77" s="178">
        <f t="shared" si="11"/>
        <v>0</v>
      </c>
      <c r="J77" s="178">
        <f t="shared" si="12"/>
        <v>0</v>
      </c>
    </row>
    <row r="78" spans="1:10" ht="14.25" customHeight="1" x14ac:dyDescent="0.25">
      <c r="A78" s="94" t="s">
        <v>139</v>
      </c>
      <c r="B78" s="7"/>
      <c r="C78" s="7"/>
      <c r="D78" s="113">
        <v>6530.7</v>
      </c>
      <c r="E78" s="149">
        <f t="shared" ref="E78:E82" si="22">D78*91.91%</f>
        <v>6002.3663699999997</v>
      </c>
      <c r="F78" s="134">
        <f t="shared" ref="F78:F82" si="23">D78*8.09%</f>
        <v>528.33362999999997</v>
      </c>
      <c r="G78" s="109">
        <f t="shared" si="15"/>
        <v>6530.7</v>
      </c>
      <c r="H78" s="161">
        <f t="shared" si="16"/>
        <v>6530.7</v>
      </c>
      <c r="I78" s="178">
        <f t="shared" si="11"/>
        <v>0</v>
      </c>
      <c r="J78" s="178">
        <f t="shared" si="12"/>
        <v>0</v>
      </c>
    </row>
    <row r="79" spans="1:10" ht="14.25" customHeight="1" x14ac:dyDescent="0.25">
      <c r="A79" s="94" t="s">
        <v>150</v>
      </c>
      <c r="B79" s="7"/>
      <c r="C79" s="7"/>
      <c r="D79" s="113">
        <v>220000</v>
      </c>
      <c r="E79" s="149">
        <f t="shared" si="22"/>
        <v>202201.99999999997</v>
      </c>
      <c r="F79" s="134">
        <f t="shared" si="23"/>
        <v>17798</v>
      </c>
      <c r="G79" s="109">
        <f t="shared" si="15"/>
        <v>220000</v>
      </c>
      <c r="H79" s="161">
        <f t="shared" si="16"/>
        <v>219999.99999999997</v>
      </c>
      <c r="I79" s="178">
        <f>H79-D79</f>
        <v>0</v>
      </c>
      <c r="J79" s="178">
        <f t="shared" si="12"/>
        <v>0</v>
      </c>
    </row>
    <row r="80" spans="1:10" ht="14.25" customHeight="1" x14ac:dyDescent="0.25">
      <c r="A80" s="94" t="s">
        <v>154</v>
      </c>
      <c r="B80" s="7"/>
      <c r="C80" s="7"/>
      <c r="D80" s="113">
        <v>150000</v>
      </c>
      <c r="E80" s="149">
        <f t="shared" si="22"/>
        <v>137865</v>
      </c>
      <c r="F80" s="134">
        <f t="shared" si="23"/>
        <v>12135</v>
      </c>
      <c r="G80" s="109">
        <f t="shared" si="15"/>
        <v>150000</v>
      </c>
      <c r="H80" s="161">
        <f t="shared" si="16"/>
        <v>150000</v>
      </c>
      <c r="I80" s="178">
        <f t="shared" si="11"/>
        <v>0</v>
      </c>
      <c r="J80" s="178">
        <f t="shared" si="12"/>
        <v>0</v>
      </c>
    </row>
    <row r="81" spans="1:10" ht="14.25" customHeight="1" x14ac:dyDescent="0.25">
      <c r="A81" s="7" t="s">
        <v>146</v>
      </c>
      <c r="B81" s="7"/>
      <c r="C81" s="7"/>
      <c r="D81" s="113">
        <v>120000</v>
      </c>
      <c r="E81" s="149">
        <f t="shared" si="21"/>
        <v>120000</v>
      </c>
      <c r="F81" s="7"/>
      <c r="G81" s="109">
        <f t="shared" si="15"/>
        <v>120000</v>
      </c>
      <c r="H81" s="161">
        <f t="shared" si="16"/>
        <v>120000</v>
      </c>
      <c r="I81" s="178">
        <f t="shared" si="11"/>
        <v>0</v>
      </c>
      <c r="J81" s="178">
        <f t="shared" si="12"/>
        <v>0</v>
      </c>
    </row>
    <row r="82" spans="1:10" ht="14.25" customHeight="1" x14ac:dyDescent="0.25">
      <c r="A82" s="94" t="s">
        <v>152</v>
      </c>
      <c r="B82" s="114"/>
      <c r="C82" s="7"/>
      <c r="D82" s="113">
        <v>245000</v>
      </c>
      <c r="E82" s="149">
        <f t="shared" si="22"/>
        <v>225179.49999999997</v>
      </c>
      <c r="F82" s="134">
        <f t="shared" si="23"/>
        <v>19820.5</v>
      </c>
      <c r="G82" s="109">
        <f t="shared" si="15"/>
        <v>245000</v>
      </c>
      <c r="H82" s="161">
        <f t="shared" si="16"/>
        <v>244999.99999999997</v>
      </c>
      <c r="I82" s="178">
        <f t="shared" si="11"/>
        <v>0</v>
      </c>
      <c r="J82" s="178">
        <f t="shared" si="12"/>
        <v>0</v>
      </c>
    </row>
    <row r="83" spans="1:10" ht="14.25" customHeight="1" x14ac:dyDescent="0.25">
      <c r="A83" s="7" t="s">
        <v>142</v>
      </c>
      <c r="B83" s="114"/>
      <c r="C83" s="7"/>
      <c r="D83" s="113">
        <v>120000</v>
      </c>
      <c r="E83" s="149">
        <f t="shared" si="21"/>
        <v>120000</v>
      </c>
      <c r="F83" s="7"/>
      <c r="G83" s="109">
        <f t="shared" si="15"/>
        <v>120000</v>
      </c>
      <c r="H83" s="161">
        <f t="shared" si="16"/>
        <v>120000</v>
      </c>
      <c r="I83" s="178">
        <f t="shared" si="11"/>
        <v>0</v>
      </c>
      <c r="J83" s="178">
        <f t="shared" si="12"/>
        <v>0</v>
      </c>
    </row>
    <row r="84" spans="1:10" ht="14.25" customHeight="1" x14ac:dyDescent="0.25">
      <c r="A84" s="7" t="s">
        <v>164</v>
      </c>
      <c r="B84" s="114"/>
      <c r="C84" s="7"/>
      <c r="D84" s="113">
        <v>480000</v>
      </c>
      <c r="E84" s="149">
        <f t="shared" si="21"/>
        <v>480000</v>
      </c>
      <c r="F84" s="7"/>
      <c r="G84" s="109">
        <f t="shared" si="15"/>
        <v>480000</v>
      </c>
      <c r="H84" s="161">
        <f t="shared" si="16"/>
        <v>480000</v>
      </c>
      <c r="I84" s="178">
        <f t="shared" si="11"/>
        <v>0</v>
      </c>
      <c r="J84" s="178">
        <f t="shared" si="12"/>
        <v>0</v>
      </c>
    </row>
    <row r="85" spans="1:10" ht="14.25" customHeight="1" x14ac:dyDescent="0.25">
      <c r="A85" s="94" t="s">
        <v>167</v>
      </c>
      <c r="B85" s="114"/>
      <c r="C85" s="7"/>
      <c r="D85" s="113">
        <v>250000</v>
      </c>
      <c r="E85" s="149">
        <f t="shared" ref="E85:E86" si="24">D85*91.91%</f>
        <v>229774.99999999997</v>
      </c>
      <c r="F85" s="134">
        <f t="shared" ref="F85:F86" si="25">D85*8.09%</f>
        <v>20225</v>
      </c>
      <c r="G85" s="109">
        <f t="shared" si="15"/>
        <v>250000</v>
      </c>
      <c r="H85" s="161"/>
      <c r="I85" s="178"/>
      <c r="J85" s="178">
        <f t="shared" si="12"/>
        <v>0</v>
      </c>
    </row>
    <row r="86" spans="1:10" ht="14.25" customHeight="1" x14ac:dyDescent="0.25">
      <c r="A86" s="129" t="s">
        <v>158</v>
      </c>
      <c r="B86" s="114"/>
      <c r="C86" s="162"/>
      <c r="D86" s="113">
        <v>50000</v>
      </c>
      <c r="E86" s="149">
        <f t="shared" si="24"/>
        <v>45954.999999999993</v>
      </c>
      <c r="F86" s="134">
        <f t="shared" si="25"/>
        <v>4045</v>
      </c>
      <c r="G86" s="109">
        <f t="shared" si="15"/>
        <v>50000</v>
      </c>
      <c r="H86" s="161">
        <f t="shared" si="16"/>
        <v>49999.999999999993</v>
      </c>
      <c r="I86" s="178">
        <f t="shared" si="11"/>
        <v>0</v>
      </c>
      <c r="J86" s="178">
        <f t="shared" si="12"/>
        <v>0</v>
      </c>
    </row>
    <row r="87" spans="1:10" x14ac:dyDescent="0.25">
      <c r="A87" s="155"/>
      <c r="B87" s="156"/>
      <c r="C87" s="156"/>
      <c r="D87" s="166"/>
      <c r="E87" s="149"/>
      <c r="F87" s="134"/>
      <c r="G87" s="109"/>
      <c r="H87" s="161"/>
      <c r="I87" t="str">
        <f>IF(G87=H87, "", "Error")</f>
        <v/>
      </c>
    </row>
    <row r="88" spans="1:10" x14ac:dyDescent="0.25">
      <c r="A88" s="96" t="s">
        <v>12</v>
      </c>
      <c r="B88" s="96"/>
      <c r="C88" s="96"/>
      <c r="D88" s="108">
        <f>SUM(D57:D87)</f>
        <v>5422707.8099999996</v>
      </c>
      <c r="E88" s="108">
        <f>SUM(E57:E87)</f>
        <v>5176940.6636709999</v>
      </c>
      <c r="F88" s="108">
        <f>SUM(F57:F87)</f>
        <v>245767.14632900001</v>
      </c>
      <c r="G88" s="109">
        <f>E88+F88</f>
        <v>5422707.8099999996</v>
      </c>
      <c r="H88" s="150" t="str">
        <f>IF(D88=G88, "", "Error")</f>
        <v/>
      </c>
      <c r="I88" s="178">
        <f>D88-G88</f>
        <v>0</v>
      </c>
    </row>
    <row r="89" spans="1:10" hidden="1" x14ac:dyDescent="0.25">
      <c r="A89" s="7"/>
      <c r="B89" s="7"/>
      <c r="C89" s="7"/>
      <c r="D89" s="185"/>
      <c r="E89" s="115"/>
      <c r="F89" s="7"/>
      <c r="H89" s="150"/>
    </row>
    <row r="90" spans="1:10" hidden="1" x14ac:dyDescent="0.25">
      <c r="A90" s="7"/>
      <c r="B90" s="7"/>
      <c r="C90" s="7"/>
      <c r="D90" s="185"/>
      <c r="E90" s="114"/>
      <c r="F90" s="7"/>
      <c r="H90" s="150"/>
    </row>
    <row r="91" spans="1:10" hidden="1" x14ac:dyDescent="0.25">
      <c r="A91" s="7"/>
      <c r="B91" s="7"/>
      <c r="C91" s="7"/>
      <c r="D91" s="185"/>
      <c r="E91" s="114"/>
      <c r="F91" s="7"/>
      <c r="H91" s="150"/>
    </row>
    <row r="92" spans="1:10" x14ac:dyDescent="0.25">
      <c r="A92" s="94" t="s">
        <v>161</v>
      </c>
      <c r="B92" s="98"/>
      <c r="C92" s="7"/>
      <c r="D92" s="113"/>
      <c r="E92" s="149">
        <f>D92*91.91%</f>
        <v>0</v>
      </c>
      <c r="F92" s="134">
        <f>D92*8.09%</f>
        <v>0</v>
      </c>
      <c r="G92" s="160"/>
      <c r="H92" s="150"/>
    </row>
    <row r="93" spans="1:10" x14ac:dyDescent="0.25">
      <c r="A93" s="7"/>
      <c r="B93" s="7"/>
      <c r="C93" s="7"/>
      <c r="D93" s="113"/>
      <c r="E93" s="164">
        <f>D93</f>
        <v>0</v>
      </c>
      <c r="F93" s="7"/>
      <c r="H93" s="150"/>
      <c r="I93" s="109"/>
    </row>
    <row r="94" spans="1:10" ht="13.5" customHeight="1" x14ac:dyDescent="0.25">
      <c r="A94" s="95" t="s">
        <v>17</v>
      </c>
      <c r="B94" s="95"/>
      <c r="C94" s="95"/>
      <c r="D94" s="107">
        <f>SUM(D92:D93)</f>
        <v>0</v>
      </c>
      <c r="E94" s="107">
        <f>SUM(E92:E93)</f>
        <v>0</v>
      </c>
      <c r="F94" s="107">
        <f>SUM(F92:F93)</f>
        <v>0</v>
      </c>
      <c r="G94" s="109">
        <f>E94+F94</f>
        <v>0</v>
      </c>
      <c r="H94" s="150" t="str">
        <f>IF(D94=G94, "", "Error")</f>
        <v/>
      </c>
      <c r="J94" s="109"/>
    </row>
    <row r="95" spans="1:10" hidden="1" x14ac:dyDescent="0.25">
      <c r="A95" s="7"/>
      <c r="B95" s="7"/>
      <c r="C95" s="7"/>
      <c r="D95" s="185"/>
      <c r="E95" s="115"/>
      <c r="F95" s="7"/>
      <c r="H95" s="150"/>
    </row>
    <row r="96" spans="1:10" hidden="1" x14ac:dyDescent="0.25">
      <c r="A96" s="7"/>
      <c r="B96" s="7"/>
      <c r="C96" s="7"/>
      <c r="D96" s="185"/>
      <c r="E96" s="114"/>
      <c r="F96" s="7"/>
      <c r="H96" s="150"/>
    </row>
    <row r="97" spans="1:10" x14ac:dyDescent="0.25">
      <c r="A97" s="94" t="s">
        <v>13</v>
      </c>
      <c r="B97" s="7"/>
      <c r="C97" s="7"/>
      <c r="D97" s="185"/>
      <c r="E97" s="114"/>
      <c r="F97" s="7"/>
      <c r="H97" s="150"/>
    </row>
    <row r="98" spans="1:10" ht="14.25" customHeight="1" x14ac:dyDescent="0.25">
      <c r="A98" s="94" t="s">
        <v>14</v>
      </c>
      <c r="B98" s="7" t="s">
        <v>117</v>
      </c>
      <c r="C98" s="7"/>
      <c r="D98" s="113">
        <v>222264.92</v>
      </c>
      <c r="E98" s="149">
        <f>D98*91.91%</f>
        <v>204283.68797199999</v>
      </c>
      <c r="F98" s="134">
        <f>D98*8.09%</f>
        <v>17981.232028000002</v>
      </c>
      <c r="H98" s="150"/>
    </row>
    <row r="99" spans="1:10" x14ac:dyDescent="0.25">
      <c r="A99" s="94" t="s">
        <v>108</v>
      </c>
      <c r="B99" s="7"/>
      <c r="C99" s="7"/>
      <c r="D99" s="113">
        <v>28000</v>
      </c>
      <c r="E99" s="149">
        <f>D99*91.91%</f>
        <v>25734.799999999999</v>
      </c>
      <c r="F99" s="134">
        <f>D99*8.09%</f>
        <v>2265.1999999999998</v>
      </c>
      <c r="H99" s="150"/>
      <c r="J99" s="113"/>
    </row>
    <row r="100" spans="1:10" x14ac:dyDescent="0.25">
      <c r="A100" s="7"/>
      <c r="B100" s="7"/>
      <c r="C100" s="7"/>
      <c r="D100" s="185"/>
      <c r="E100" s="116"/>
      <c r="F100" s="7"/>
      <c r="H100" s="150"/>
      <c r="J100" s="109"/>
    </row>
    <row r="101" spans="1:10" x14ac:dyDescent="0.25">
      <c r="A101" s="95" t="s">
        <v>101</v>
      </c>
      <c r="B101" s="95"/>
      <c r="C101" s="95"/>
      <c r="D101" s="107">
        <f>SUM(D98:D100)</f>
        <v>250264.92</v>
      </c>
      <c r="E101" s="107">
        <f>SUM(E98:E100)</f>
        <v>230018.48797199997</v>
      </c>
      <c r="F101" s="107">
        <f>SUM(F98:F100)</f>
        <v>20246.432028000003</v>
      </c>
      <c r="G101" s="109">
        <f>E101+F101</f>
        <v>250264.91999999998</v>
      </c>
      <c r="H101" s="150" t="str">
        <f>IF(D101=G101, "", "Error")</f>
        <v/>
      </c>
      <c r="J101" s="109"/>
    </row>
    <row r="102" spans="1:10" ht="14.25" customHeight="1" x14ac:dyDescent="0.25">
      <c r="A102" s="7"/>
      <c r="B102" s="7"/>
      <c r="C102" s="7"/>
      <c r="D102" s="113"/>
      <c r="E102" s="117"/>
      <c r="F102" s="7"/>
      <c r="H102" s="150"/>
    </row>
    <row r="103" spans="1:10" x14ac:dyDescent="0.25">
      <c r="A103" s="94" t="s">
        <v>102</v>
      </c>
      <c r="B103" s="7"/>
      <c r="C103" s="7"/>
      <c r="D103" s="113">
        <v>100104.56</v>
      </c>
      <c r="E103" s="149">
        <f>D103*91.91%</f>
        <v>92006.101095999984</v>
      </c>
      <c r="F103" s="134">
        <f>D103*8.09%</f>
        <v>8098.4589040000001</v>
      </c>
      <c r="H103" s="150"/>
    </row>
    <row r="104" spans="1:10" x14ac:dyDescent="0.25">
      <c r="A104" s="94" t="s">
        <v>103</v>
      </c>
      <c r="B104" s="7"/>
      <c r="C104" s="122"/>
      <c r="D104" s="113">
        <v>44400</v>
      </c>
      <c r="E104" s="149">
        <f>D104*91.91%</f>
        <v>40808.039999999994</v>
      </c>
      <c r="F104" s="134">
        <f>D104*8.09%</f>
        <v>3591.96</v>
      </c>
      <c r="H104" s="150"/>
    </row>
    <row r="105" spans="1:10" x14ac:dyDescent="0.25">
      <c r="A105" s="95" t="s">
        <v>15</v>
      </c>
      <c r="B105" s="95"/>
      <c r="C105" s="95"/>
      <c r="D105" s="158">
        <f>SUM(D103:D104)</f>
        <v>144504.56</v>
      </c>
      <c r="E105" s="147">
        <f t="shared" ref="E105:F105" si="26">SUM(E103:E104)</f>
        <v>132814.14109599998</v>
      </c>
      <c r="F105" s="147">
        <f t="shared" si="26"/>
        <v>11690.418904</v>
      </c>
      <c r="G105" s="109">
        <f>E105+F105</f>
        <v>144504.55999999997</v>
      </c>
      <c r="H105" s="150" t="str">
        <f>IF(D105=G105, "", "Error")</f>
        <v/>
      </c>
    </row>
    <row r="106" spans="1:10" ht="15.75" thickBot="1" x14ac:dyDescent="0.3">
      <c r="A106" s="7"/>
      <c r="B106" s="7"/>
      <c r="C106" s="7"/>
      <c r="D106" s="186"/>
      <c r="E106" s="12"/>
      <c r="F106" s="7"/>
      <c r="H106" s="150"/>
    </row>
    <row r="107" spans="1:10" ht="15.75" thickBot="1" x14ac:dyDescent="0.3">
      <c r="A107" s="99" t="s">
        <v>134</v>
      </c>
      <c r="B107" s="99"/>
      <c r="C107" s="99"/>
      <c r="D107" s="187"/>
      <c r="E107" s="118">
        <f>D107*91.91%</f>
        <v>0</v>
      </c>
      <c r="F107" s="136">
        <f>D107*8.09%</f>
        <v>0</v>
      </c>
      <c r="G107" s="109">
        <f>E107+F107</f>
        <v>0</v>
      </c>
      <c r="H107" s="150" t="str">
        <f>IF(D107=G107, "", "Error")</f>
        <v/>
      </c>
    </row>
    <row r="108" spans="1:10" ht="15.75" thickBot="1" x14ac:dyDescent="0.3">
      <c r="A108" s="1"/>
      <c r="D108" s="184"/>
      <c r="E108" s="2"/>
      <c r="F108" s="10"/>
      <c r="G108" s="157"/>
      <c r="H108" s="150"/>
    </row>
    <row r="109" spans="1:10" ht="15.75" thickBot="1" x14ac:dyDescent="0.3">
      <c r="A109" s="4" t="s">
        <v>104</v>
      </c>
      <c r="B109" s="60"/>
      <c r="C109" s="5"/>
      <c r="D109" s="188">
        <f>SUM(D107+D105+D101+D94+D88+D55+D35+D30+D48)</f>
        <v>7496328.3699999992</v>
      </c>
      <c r="E109" s="148">
        <f>SUM(E107+E105+E101+E94+E88+E55+E35+E30+E48)</f>
        <v>7082805.3203670001</v>
      </c>
      <c r="F109" s="148">
        <f>SUM(F107+F105+F101+F94+F88+F55+F35+F30+F48)</f>
        <v>413523.04963299993</v>
      </c>
      <c r="G109" s="109">
        <f>E109+F109</f>
        <v>7496328.3700000001</v>
      </c>
      <c r="H109" s="150" t="str">
        <f>IF(D109=G109, "", "Error")</f>
        <v/>
      </c>
      <c r="I109" s="178">
        <f>D109-G109</f>
        <v>0</v>
      </c>
    </row>
    <row r="110" spans="1:10" ht="15.75" thickBot="1" x14ac:dyDescent="0.3">
      <c r="D110" s="184"/>
      <c r="E110" s="109"/>
    </row>
    <row r="111" spans="1:10" ht="15.75" thickBot="1" x14ac:dyDescent="0.3">
      <c r="A111" s="142" t="s">
        <v>121</v>
      </c>
      <c r="B111" s="141"/>
      <c r="C111" s="141"/>
      <c r="E111" s="109"/>
    </row>
    <row r="112" spans="1:10" x14ac:dyDescent="0.25">
      <c r="A112" s="1"/>
      <c r="C112" s="139"/>
      <c r="E112" s="109"/>
    </row>
    <row r="113" spans="1:9" ht="15.75" thickBot="1" x14ac:dyDescent="0.3">
      <c r="A113" s="1"/>
      <c r="C113" s="139"/>
      <c r="E113" s="109"/>
    </row>
    <row r="114" spans="1:9" ht="15.75" thickBot="1" x14ac:dyDescent="0.3">
      <c r="A114" s="143" t="s">
        <v>30</v>
      </c>
      <c r="B114" s="144"/>
      <c r="C114" s="140">
        <f>SUM(C112:C113)</f>
        <v>0</v>
      </c>
      <c r="E114" s="109"/>
    </row>
    <row r="115" spans="1:9" x14ac:dyDescent="0.25">
      <c r="E115" s="109"/>
    </row>
    <row r="116" spans="1:9" x14ac:dyDescent="0.25">
      <c r="E116" s="137"/>
    </row>
    <row r="117" spans="1:9" x14ac:dyDescent="0.25">
      <c r="A117" s="223" t="s">
        <v>114</v>
      </c>
      <c r="B117" s="224"/>
      <c r="C117" s="224"/>
      <c r="D117" s="224"/>
      <c r="E117" s="171" t="s">
        <v>22</v>
      </c>
      <c r="F117" s="172" t="s">
        <v>123</v>
      </c>
    </row>
    <row r="118" spans="1:9" hidden="1" x14ac:dyDescent="0.25">
      <c r="A118" s="220"/>
      <c r="B118" s="221"/>
      <c r="C118" s="222"/>
      <c r="D118" s="166"/>
      <c r="E118" s="149"/>
      <c r="F118" s="134"/>
    </row>
    <row r="119" spans="1:9" ht="22.5" customHeight="1" x14ac:dyDescent="0.25">
      <c r="A119" s="217" t="s">
        <v>160</v>
      </c>
      <c r="B119" s="218"/>
      <c r="C119" s="173"/>
      <c r="D119" s="113">
        <v>300000</v>
      </c>
      <c r="E119" s="149">
        <f t="shared" ref="E119:E120" si="27">D119*91.91%</f>
        <v>275730</v>
      </c>
      <c r="F119" s="134">
        <f t="shared" ref="F119:F120" si="28">D119*8.09%</f>
        <v>24270</v>
      </c>
    </row>
    <row r="120" spans="1:9" ht="24.75" customHeight="1" x14ac:dyDescent="0.25">
      <c r="A120" s="217" t="s">
        <v>153</v>
      </c>
      <c r="B120" s="218"/>
      <c r="C120" s="173"/>
      <c r="D120" s="113">
        <v>10391.24</v>
      </c>
      <c r="E120" s="149">
        <f t="shared" si="27"/>
        <v>9550.5886839999985</v>
      </c>
      <c r="F120" s="134">
        <f t="shared" si="28"/>
        <v>840.65131599999995</v>
      </c>
    </row>
    <row r="121" spans="1:9" ht="28.5" customHeight="1" x14ac:dyDescent="0.25">
      <c r="A121" s="217"/>
      <c r="B121" s="218"/>
      <c r="C121" s="219"/>
      <c r="D121" s="113"/>
      <c r="E121" s="149">
        <f>D121*91.91%</f>
        <v>0</v>
      </c>
      <c r="F121" s="134">
        <f>D121*8.09%</f>
        <v>0</v>
      </c>
    </row>
    <row r="122" spans="1:9" x14ac:dyDescent="0.25">
      <c r="A122" s="211" t="s">
        <v>30</v>
      </c>
      <c r="B122" s="212"/>
      <c r="C122" s="213"/>
      <c r="D122" s="170">
        <f>SUM(D118:D121)</f>
        <v>310391.24</v>
      </c>
      <c r="E122" s="170">
        <f>SUM(E118:E121)</f>
        <v>285280.58868400002</v>
      </c>
      <c r="F122" s="170">
        <f>SUM(F118:F121)</f>
        <v>25110.651315999999</v>
      </c>
      <c r="H122" s="109">
        <f>E122+F122</f>
        <v>310391.24</v>
      </c>
      <c r="I122" s="150" t="str">
        <f>IF(D122=H122, "", "Error")</f>
        <v/>
      </c>
    </row>
    <row r="124" spans="1:9" ht="15.75" thickBot="1" x14ac:dyDescent="0.3">
      <c r="E124" s="109"/>
    </row>
    <row r="125" spans="1:9" ht="15.75" thickBot="1" x14ac:dyDescent="0.3">
      <c r="A125" s="102" t="s">
        <v>105</v>
      </c>
      <c r="B125" s="103">
        <f>D109</f>
        <v>7496328.3699999992</v>
      </c>
    </row>
    <row r="126" spans="1:9" ht="15.75" thickBot="1" x14ac:dyDescent="0.3">
      <c r="A126" s="104" t="s">
        <v>107</v>
      </c>
      <c r="B126" s="105">
        <f>D109-D107</f>
        <v>7496328.3699999992</v>
      </c>
    </row>
    <row r="127" spans="1:9" x14ac:dyDescent="0.25">
      <c r="D127" s="235"/>
      <c r="E127" s="235"/>
    </row>
    <row r="128" spans="1:9" x14ac:dyDescent="0.25">
      <c r="A128" s="74" t="s">
        <v>91</v>
      </c>
      <c r="B128" s="75"/>
      <c r="C128" s="76"/>
      <c r="D128" s="235"/>
      <c r="E128" s="235"/>
    </row>
    <row r="129" spans="1:7" x14ac:dyDescent="0.25">
      <c r="A129" s="77" t="s">
        <v>92</v>
      </c>
      <c r="B129" s="78">
        <v>6056324.5665496523</v>
      </c>
      <c r="C129" s="78"/>
      <c r="D129" s="235"/>
      <c r="E129" s="235"/>
    </row>
    <row r="130" spans="1:7" x14ac:dyDescent="0.25">
      <c r="A130" s="79" t="s">
        <v>93</v>
      </c>
      <c r="B130" s="92">
        <f>PRORRATEO!G52</f>
        <v>6320855.3670509998</v>
      </c>
      <c r="C130" s="78" t="s">
        <v>94</v>
      </c>
      <c r="D130" s="235"/>
      <c r="E130" s="235"/>
    </row>
    <row r="131" spans="1:7" x14ac:dyDescent="0.25">
      <c r="A131" s="79" t="s">
        <v>116</v>
      </c>
      <c r="B131" s="175">
        <f>-B126</f>
        <v>-7496328.3699999992</v>
      </c>
      <c r="C131" s="76"/>
      <c r="D131" s="235"/>
      <c r="E131" s="235"/>
      <c r="G131" s="113"/>
    </row>
    <row r="132" spans="1:7" x14ac:dyDescent="0.25">
      <c r="A132" s="79" t="s">
        <v>115</v>
      </c>
      <c r="B132" s="175">
        <f>-D122</f>
        <v>-310391.24</v>
      </c>
      <c r="C132" s="76"/>
      <c r="D132" s="235"/>
      <c r="E132" s="235"/>
      <c r="G132" s="125"/>
    </row>
    <row r="133" spans="1:7" ht="47.25" customHeight="1" x14ac:dyDescent="0.25">
      <c r="A133" s="201" t="s">
        <v>168</v>
      </c>
      <c r="B133" s="175">
        <v>-338000</v>
      </c>
      <c r="C133" s="76"/>
      <c r="D133" s="198"/>
      <c r="E133" s="198"/>
      <c r="G133" s="125"/>
    </row>
    <row r="134" spans="1:7" ht="48" customHeight="1" x14ac:dyDescent="0.25">
      <c r="A134" s="200" t="s">
        <v>175</v>
      </c>
      <c r="B134" s="175">
        <v>-308000</v>
      </c>
      <c r="C134" s="76"/>
      <c r="D134" s="198"/>
      <c r="E134" s="198"/>
      <c r="G134" s="125"/>
    </row>
    <row r="135" spans="1:7" x14ac:dyDescent="0.25">
      <c r="A135" s="79" t="s">
        <v>106</v>
      </c>
      <c r="B135" s="175">
        <f>-B142</f>
        <v>0</v>
      </c>
      <c r="C135" s="80"/>
    </row>
    <row r="136" spans="1:7" x14ac:dyDescent="0.25">
      <c r="A136" s="79" t="s">
        <v>121</v>
      </c>
      <c r="B136" s="93">
        <f>-C114</f>
        <v>0</v>
      </c>
      <c r="C136" s="80"/>
    </row>
    <row r="137" spans="1:7" x14ac:dyDescent="0.25">
      <c r="A137" s="79"/>
      <c r="B137" s="75"/>
      <c r="C137" s="80"/>
    </row>
    <row r="138" spans="1:7" x14ac:dyDescent="0.25">
      <c r="A138" s="77" t="s">
        <v>95</v>
      </c>
      <c r="B138" s="81">
        <f>SUM(B129:B137)</f>
        <v>3924460.3236006536</v>
      </c>
      <c r="C138" s="154"/>
    </row>
    <row r="139" spans="1:7" x14ac:dyDescent="0.25">
      <c r="A139" s="80"/>
      <c r="C139" s="76"/>
      <c r="D139" s="83"/>
    </row>
    <row r="140" spans="1:7" x14ac:dyDescent="0.25">
      <c r="C140" s="76"/>
      <c r="D140" s="109"/>
      <c r="E140" s="178"/>
    </row>
    <row r="141" spans="1:7" x14ac:dyDescent="0.25">
      <c r="A141" s="74" t="s">
        <v>96</v>
      </c>
      <c r="B141" s="11">
        <v>-310694.54000000004</v>
      </c>
      <c r="C141" s="82"/>
      <c r="D141" s="178"/>
      <c r="E141" s="178"/>
      <c r="F141" s="178"/>
    </row>
    <row r="142" spans="1:7" ht="15" customHeight="1" x14ac:dyDescent="0.25">
      <c r="A142" s="77" t="s">
        <v>176</v>
      </c>
      <c r="B142" s="93"/>
      <c r="C142" s="82"/>
      <c r="D142" s="178"/>
      <c r="E142" s="199"/>
    </row>
    <row r="143" spans="1:7" x14ac:dyDescent="0.25">
      <c r="A143" s="77"/>
      <c r="B143" s="175"/>
      <c r="C143" s="82"/>
      <c r="E143" s="109"/>
    </row>
    <row r="144" spans="1:7" x14ac:dyDescent="0.25">
      <c r="A144" s="77" t="s">
        <v>163</v>
      </c>
      <c r="B144" s="175">
        <v>-55000</v>
      </c>
      <c r="C144" s="82"/>
      <c r="E144" s="109"/>
    </row>
    <row r="145" spans="1:14" x14ac:dyDescent="0.25">
      <c r="A145" s="100" t="s">
        <v>30</v>
      </c>
      <c r="B145" s="101">
        <f>SUM(B141:B144)</f>
        <v>-365694.54000000004</v>
      </c>
      <c r="C145" s="82"/>
    </row>
    <row r="146" spans="1:14" x14ac:dyDescent="0.25">
      <c r="C146" s="83"/>
      <c r="D146" s="178"/>
    </row>
    <row r="147" spans="1:14" x14ac:dyDescent="0.25">
      <c r="B147" s="80"/>
      <c r="C147" s="76"/>
    </row>
    <row r="149" spans="1:14" x14ac:dyDescent="0.25">
      <c r="N149" s="12"/>
    </row>
    <row r="152" spans="1:14" x14ac:dyDescent="0.25">
      <c r="B152" s="234" t="s">
        <v>174</v>
      </c>
      <c r="C152" s="234"/>
      <c r="D152" s="234"/>
      <c r="E152" s="234"/>
    </row>
    <row r="153" spans="1:14" x14ac:dyDescent="0.25">
      <c r="B153" s="234"/>
      <c r="C153" s="234"/>
      <c r="D153" s="234"/>
      <c r="E153" s="234"/>
    </row>
    <row r="154" spans="1:14" x14ac:dyDescent="0.25">
      <c r="B154" s="234"/>
      <c r="C154" s="234"/>
      <c r="D154" s="234"/>
      <c r="E154" s="234"/>
    </row>
    <row r="155" spans="1:14" x14ac:dyDescent="0.25">
      <c r="B155" s="234"/>
      <c r="C155" s="234"/>
      <c r="D155" s="234"/>
      <c r="E155" s="234"/>
    </row>
    <row r="156" spans="1:14" x14ac:dyDescent="0.25">
      <c r="B156" s="234"/>
      <c r="C156" s="234"/>
      <c r="D156" s="234"/>
      <c r="E156" s="234"/>
    </row>
  </sheetData>
  <mergeCells count="19">
    <mergeCell ref="A71:C71"/>
    <mergeCell ref="B152:E156"/>
    <mergeCell ref="D127:E132"/>
    <mergeCell ref="B14:D17"/>
    <mergeCell ref="A122:C122"/>
    <mergeCell ref="A66:C66"/>
    <mergeCell ref="A121:C121"/>
    <mergeCell ref="A118:C118"/>
    <mergeCell ref="A117:D117"/>
    <mergeCell ref="A74:C74"/>
    <mergeCell ref="A65:C65"/>
    <mergeCell ref="A72:C72"/>
    <mergeCell ref="A67:C67"/>
    <mergeCell ref="A68:C68"/>
    <mergeCell ref="A69:C69"/>
    <mergeCell ref="A70:C70"/>
    <mergeCell ref="A75:C75"/>
    <mergeCell ref="A120:B120"/>
    <mergeCell ref="A119:B119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3"/>
  <sheetViews>
    <sheetView zoomScaleNormal="100" workbookViewId="0">
      <selection activeCell="M3" sqref="M3"/>
    </sheetView>
  </sheetViews>
  <sheetFormatPr baseColWidth="10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" bestFit="1" customWidth="1"/>
    <col min="8" max="8" width="9.85546875" customWidth="1"/>
    <col min="9" max="9" width="6" customWidth="1"/>
    <col min="10" max="10" width="13.7109375" customWidth="1"/>
    <col min="11" max="11" width="13.28515625" customWidth="1"/>
    <col min="12" max="12" width="10.42578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</cols>
  <sheetData>
    <row r="1" spans="1:16" x14ac:dyDescent="0.25">
      <c r="A1" s="8"/>
      <c r="B1" s="8"/>
      <c r="C1" s="8"/>
      <c r="D1" s="8"/>
      <c r="E1" s="8"/>
      <c r="F1" s="8" t="s">
        <v>18</v>
      </c>
      <c r="G1" s="8"/>
      <c r="H1" s="8"/>
      <c r="I1" s="8"/>
      <c r="J1" s="8"/>
      <c r="K1" s="8" t="s">
        <v>125</v>
      </c>
      <c r="L1" s="243">
        <f>RESUMEN!D109</f>
        <v>7496328.3699999992</v>
      </c>
      <c r="M1" s="244"/>
      <c r="N1" s="152"/>
      <c r="O1" s="135">
        <f>L1*8.09%</f>
        <v>606452.96513299993</v>
      </c>
    </row>
    <row r="2" spans="1:16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 t="s">
        <v>126</v>
      </c>
      <c r="L2" s="8"/>
      <c r="M2" s="152">
        <f>5500000-150000-3015-250-12+1997000+170000+5497+450+30-1000000</f>
        <v>6519700</v>
      </c>
      <c r="N2" s="153"/>
      <c r="O2" s="135">
        <f>O1-K7-553-50-86-8</f>
        <v>207324.22721099993</v>
      </c>
    </row>
    <row r="3" spans="1:16" x14ac:dyDescent="0.25">
      <c r="A3" s="8" t="str">
        <f>RESUMEN!C5</f>
        <v>VTO: 14/07</v>
      </c>
      <c r="B3" s="8"/>
      <c r="C3" s="8"/>
      <c r="D3" s="8"/>
      <c r="E3" s="8"/>
      <c r="F3" s="8"/>
      <c r="G3" s="8"/>
      <c r="H3" s="8"/>
      <c r="I3" s="8"/>
      <c r="J3" s="9"/>
      <c r="K3" s="8" t="s">
        <v>132</v>
      </c>
      <c r="L3" s="8"/>
      <c r="M3" s="128">
        <f>RESUMEN!D122</f>
        <v>310391.24</v>
      </c>
      <c r="N3" s="151"/>
      <c r="O3" s="73"/>
    </row>
    <row r="4" spans="1:16" ht="15.75" thickBot="1" x14ac:dyDescent="0.3">
      <c r="A4" s="8"/>
      <c r="B4" s="8"/>
      <c r="C4" s="8"/>
      <c r="D4" s="8"/>
      <c r="E4" s="8"/>
      <c r="F4" s="8"/>
      <c r="G4" s="8"/>
      <c r="H4" s="8"/>
      <c r="I4" s="8"/>
      <c r="J4" s="123">
        <f>(J3*8.09%)/44</f>
        <v>0</v>
      </c>
      <c r="K4" s="8" t="s">
        <v>126</v>
      </c>
      <c r="L4" s="8"/>
      <c r="M4" s="128">
        <f>25000+310391+3500-500-800+110+11</f>
        <v>337712</v>
      </c>
      <c r="N4" s="124"/>
    </row>
    <row r="5" spans="1:16" x14ac:dyDescent="0.25">
      <c r="A5" s="236" t="s">
        <v>20</v>
      </c>
      <c r="B5" s="238" t="s">
        <v>21</v>
      </c>
      <c r="C5" s="236" t="s">
        <v>22</v>
      </c>
      <c r="D5" s="240" t="s">
        <v>23</v>
      </c>
      <c r="E5" s="236" t="s">
        <v>98</v>
      </c>
      <c r="F5" s="236" t="s">
        <v>24</v>
      </c>
      <c r="G5" s="236" t="s">
        <v>25</v>
      </c>
      <c r="H5" s="247" t="s">
        <v>26</v>
      </c>
      <c r="I5" s="240" t="s">
        <v>109</v>
      </c>
      <c r="J5" s="245" t="s">
        <v>27</v>
      </c>
      <c r="K5" s="245" t="s">
        <v>70</v>
      </c>
      <c r="L5" s="250" t="s">
        <v>124</v>
      </c>
      <c r="M5" s="245" t="s">
        <v>68</v>
      </c>
      <c r="N5" s="245" t="s">
        <v>69</v>
      </c>
    </row>
    <row r="6" spans="1:16" x14ac:dyDescent="0.25">
      <c r="A6" s="237"/>
      <c r="B6" s="239"/>
      <c r="C6" s="237"/>
      <c r="D6" s="241"/>
      <c r="E6" s="237"/>
      <c r="F6" s="237"/>
      <c r="G6" s="237"/>
      <c r="H6" s="248"/>
      <c r="I6" s="252"/>
      <c r="J6" s="246"/>
      <c r="K6" s="249"/>
      <c r="L6" s="251"/>
      <c r="M6" s="249"/>
      <c r="N6" s="246"/>
    </row>
    <row r="7" spans="1:16" x14ac:dyDescent="0.25">
      <c r="A7" s="7" t="s">
        <v>34</v>
      </c>
      <c r="B7" s="7"/>
      <c r="C7" s="7">
        <v>1</v>
      </c>
      <c r="D7" s="133" t="s">
        <v>35</v>
      </c>
      <c r="E7" s="7">
        <v>8.09</v>
      </c>
      <c r="F7" s="88">
        <v>330930.29965100001</v>
      </c>
      <c r="G7" s="191">
        <f>F7</f>
        <v>330930.29965100001</v>
      </c>
      <c r="H7" s="131">
        <f>F7-G7</f>
        <v>0</v>
      </c>
      <c r="I7" s="106">
        <v>14</v>
      </c>
      <c r="J7" s="88">
        <v>25110.651315999999</v>
      </c>
      <c r="K7" s="88">
        <v>398431.737922</v>
      </c>
      <c r="L7" s="98">
        <v>0</v>
      </c>
      <c r="M7" s="6">
        <f>K7+J7+H7+L7</f>
        <v>423542.38923799997</v>
      </c>
      <c r="N7" s="11">
        <f>M7*6% + M7</f>
        <v>448954.93259227998</v>
      </c>
    </row>
    <row r="8" spans="1:16" x14ac:dyDescent="0.25">
      <c r="A8" s="7" t="s">
        <v>36</v>
      </c>
      <c r="B8" s="7"/>
      <c r="C8" s="7">
        <v>24</v>
      </c>
      <c r="D8" s="133" t="s">
        <v>37</v>
      </c>
      <c r="E8" s="7">
        <v>2.21</v>
      </c>
      <c r="F8" s="88">
        <v>118110.03981451588</v>
      </c>
      <c r="G8" s="191">
        <v>118500</v>
      </c>
      <c r="H8" s="131">
        <f t="shared" ref="H8:H51" si="0">F8-G8</f>
        <v>-389.96018548411666</v>
      </c>
      <c r="I8" s="106">
        <v>8</v>
      </c>
      <c r="J8" s="88">
        <f>M$4*E8%</f>
        <v>7463.435199999999</v>
      </c>
      <c r="K8" s="88">
        <f>M$2*E8 /100</f>
        <v>144085.37</v>
      </c>
      <c r="L8" s="165">
        <f>J$3*E8%+J$4</f>
        <v>0</v>
      </c>
      <c r="M8" s="6">
        <f>K8+J8+H8+L8</f>
        <v>151158.84501451589</v>
      </c>
      <c r="N8" s="11">
        <f t="shared" ref="N8:N51" si="1">M8*6% + M8</f>
        <v>160228.37571538685</v>
      </c>
    </row>
    <row r="9" spans="1:16" x14ac:dyDescent="0.25">
      <c r="A9" s="7" t="s">
        <v>36</v>
      </c>
      <c r="B9" s="7"/>
      <c r="C9" s="7">
        <v>25</v>
      </c>
      <c r="D9" s="133" t="s">
        <v>38</v>
      </c>
      <c r="E9" s="7">
        <v>4.21</v>
      </c>
      <c r="F9" s="88">
        <v>222096.62408426331</v>
      </c>
      <c r="G9" s="192">
        <f>250969-G34+RESUMEN!D65</f>
        <v>333122.69579999999</v>
      </c>
      <c r="H9" s="131">
        <f t="shared" si="0"/>
        <v>-111026.07171573667</v>
      </c>
      <c r="I9" s="106">
        <v>7</v>
      </c>
      <c r="J9" s="88">
        <f t="shared" ref="J9:J51" si="2">M$4*E9%</f>
        <v>14217.6752</v>
      </c>
      <c r="K9" s="88">
        <f t="shared" ref="K9:K51" si="3">M$2*E9 /100</f>
        <v>274479.37</v>
      </c>
      <c r="L9" s="165">
        <f t="shared" ref="L9:L51" si="4">J$3*E9%+J$4</f>
        <v>0</v>
      </c>
      <c r="M9" s="6">
        <f t="shared" ref="M9:M51" si="5">K9+J9+H9+L9</f>
        <v>177670.97348426332</v>
      </c>
      <c r="N9" s="11">
        <f t="shared" si="1"/>
        <v>188331.23189331911</v>
      </c>
    </row>
    <row r="10" spans="1:16" x14ac:dyDescent="0.25">
      <c r="A10" s="7" t="s">
        <v>39</v>
      </c>
      <c r="B10" s="7"/>
      <c r="C10" s="7">
        <v>26</v>
      </c>
      <c r="D10" s="133" t="s">
        <v>40</v>
      </c>
      <c r="E10" s="7">
        <v>2.84</v>
      </c>
      <c r="F10" s="88">
        <v>186446.70540596871</v>
      </c>
      <c r="G10" s="191">
        <v>151845</v>
      </c>
      <c r="H10" s="131">
        <f t="shared" si="0"/>
        <v>34601.705405968707</v>
      </c>
      <c r="I10" s="106">
        <v>9</v>
      </c>
      <c r="J10" s="88">
        <f t="shared" si="2"/>
        <v>9591.0208000000002</v>
      </c>
      <c r="K10" s="88">
        <f t="shared" si="3"/>
        <v>185159.48</v>
      </c>
      <c r="L10" s="165">
        <f t="shared" si="4"/>
        <v>0</v>
      </c>
      <c r="M10" s="6">
        <f t="shared" si="5"/>
        <v>229352.20620596872</v>
      </c>
      <c r="N10" s="11">
        <f t="shared" si="1"/>
        <v>243113.33857832683</v>
      </c>
    </row>
    <row r="11" spans="1:16" x14ac:dyDescent="0.25">
      <c r="A11" s="7" t="s">
        <v>39</v>
      </c>
      <c r="B11" s="7"/>
      <c r="C11" s="7">
        <v>27</v>
      </c>
      <c r="D11" s="133" t="s">
        <v>41</v>
      </c>
      <c r="E11" s="7">
        <v>3.43</v>
      </c>
      <c r="F11" s="88">
        <v>183392.59890000001</v>
      </c>
      <c r="G11" s="191">
        <f>F11</f>
        <v>183392.59890000001</v>
      </c>
      <c r="H11" s="131">
        <f t="shared" si="0"/>
        <v>0</v>
      </c>
      <c r="I11" s="106">
        <v>9</v>
      </c>
      <c r="J11" s="88">
        <f t="shared" si="2"/>
        <v>11583.521600000002</v>
      </c>
      <c r="K11" s="88">
        <f t="shared" si="3"/>
        <v>223625.71</v>
      </c>
      <c r="L11" s="165">
        <f t="shared" si="4"/>
        <v>0</v>
      </c>
      <c r="M11" s="6">
        <f t="shared" si="5"/>
        <v>235209.2316</v>
      </c>
      <c r="N11" s="11">
        <f t="shared" si="1"/>
        <v>249321.785496</v>
      </c>
      <c r="P11" s="109"/>
    </row>
    <row r="12" spans="1:16" x14ac:dyDescent="0.25">
      <c r="A12" s="7" t="s">
        <v>42</v>
      </c>
      <c r="B12" s="7"/>
      <c r="C12" s="7">
        <v>28</v>
      </c>
      <c r="D12" s="133" t="s">
        <v>112</v>
      </c>
      <c r="E12" s="7">
        <v>2.84</v>
      </c>
      <c r="F12" s="88">
        <v>151846.93319999997</v>
      </c>
      <c r="G12" s="192">
        <f>F12</f>
        <v>151846.93319999997</v>
      </c>
      <c r="H12" s="131">
        <f>F12-G12</f>
        <v>0</v>
      </c>
      <c r="I12" s="106">
        <v>6</v>
      </c>
      <c r="J12" s="88">
        <f t="shared" si="2"/>
        <v>9591.0208000000002</v>
      </c>
      <c r="K12" s="88">
        <f t="shared" si="3"/>
        <v>185159.48</v>
      </c>
      <c r="L12" s="165">
        <f t="shared" si="4"/>
        <v>0</v>
      </c>
      <c r="M12" s="6">
        <f t="shared" si="5"/>
        <v>194750.50080000001</v>
      </c>
      <c r="N12" s="11">
        <f t="shared" si="1"/>
        <v>206435.53084800002</v>
      </c>
    </row>
    <row r="13" spans="1:16" x14ac:dyDescent="0.25">
      <c r="A13" s="7" t="s">
        <v>42</v>
      </c>
      <c r="B13" s="7"/>
      <c r="C13" s="7">
        <v>29</v>
      </c>
      <c r="D13" s="133" t="s">
        <v>43</v>
      </c>
      <c r="E13" s="7">
        <v>3.43</v>
      </c>
      <c r="F13" s="88">
        <v>167108.97501924171</v>
      </c>
      <c r="G13" s="192">
        <f>198655-G50</f>
        <v>167109.33429999999</v>
      </c>
      <c r="H13" s="131">
        <f t="shared" si="0"/>
        <v>-0.35928075827541761</v>
      </c>
      <c r="I13" s="106">
        <v>5</v>
      </c>
      <c r="J13" s="88">
        <f t="shared" si="2"/>
        <v>11583.521600000002</v>
      </c>
      <c r="K13" s="88">
        <f t="shared" si="3"/>
        <v>223625.71</v>
      </c>
      <c r="L13" s="165">
        <f t="shared" si="4"/>
        <v>0</v>
      </c>
      <c r="M13" s="6">
        <f t="shared" si="5"/>
        <v>235208.87231924172</v>
      </c>
      <c r="N13" s="11">
        <f t="shared" si="1"/>
        <v>249321.40465839623</v>
      </c>
    </row>
    <row r="14" spans="1:16" x14ac:dyDescent="0.25">
      <c r="A14" s="7" t="s">
        <v>44</v>
      </c>
      <c r="B14" s="7"/>
      <c r="C14" s="7">
        <v>30</v>
      </c>
      <c r="D14" s="133" t="s">
        <v>45</v>
      </c>
      <c r="E14" s="7">
        <v>2.84</v>
      </c>
      <c r="F14" s="88">
        <v>151846.93319999997</v>
      </c>
      <c r="G14" s="191">
        <f>F14</f>
        <v>151846.93319999997</v>
      </c>
      <c r="H14" s="131">
        <f t="shared" si="0"/>
        <v>0</v>
      </c>
      <c r="I14" s="106">
        <v>14</v>
      </c>
      <c r="J14" s="88">
        <f t="shared" si="2"/>
        <v>9591.0208000000002</v>
      </c>
      <c r="K14" s="88">
        <f t="shared" si="3"/>
        <v>185159.48</v>
      </c>
      <c r="L14" s="165">
        <f t="shared" si="4"/>
        <v>0</v>
      </c>
      <c r="M14" s="6">
        <f t="shared" si="5"/>
        <v>194750.50080000001</v>
      </c>
      <c r="N14" s="11">
        <f t="shared" si="1"/>
        <v>206435.53084800002</v>
      </c>
    </row>
    <row r="15" spans="1:16" x14ac:dyDescent="0.25">
      <c r="A15" s="7" t="s">
        <v>44</v>
      </c>
      <c r="B15" s="7"/>
      <c r="C15" s="7">
        <v>31</v>
      </c>
      <c r="D15" s="133" t="s">
        <v>46</v>
      </c>
      <c r="E15" s="7">
        <v>3.43</v>
      </c>
      <c r="F15" s="88">
        <v>199779.76944653396</v>
      </c>
      <c r="G15" s="192">
        <f>226514-G35</f>
        <v>199780.38500000001</v>
      </c>
      <c r="H15" s="131">
        <f t="shared" si="0"/>
        <v>-0.61555346605018713</v>
      </c>
      <c r="I15" s="106">
        <v>8</v>
      </c>
      <c r="J15" s="88">
        <f t="shared" si="2"/>
        <v>11583.521600000002</v>
      </c>
      <c r="K15" s="88">
        <f t="shared" si="3"/>
        <v>223625.71</v>
      </c>
      <c r="L15" s="165">
        <f t="shared" si="4"/>
        <v>0</v>
      </c>
      <c r="M15" s="6">
        <f t="shared" si="5"/>
        <v>235208.61604653395</v>
      </c>
      <c r="N15" s="11">
        <f t="shared" si="1"/>
        <v>249321.13300932597</v>
      </c>
    </row>
    <row r="16" spans="1:16" x14ac:dyDescent="0.25">
      <c r="A16" s="7" t="s">
        <v>47</v>
      </c>
      <c r="B16" s="7"/>
      <c r="C16" s="7">
        <v>32</v>
      </c>
      <c r="D16" s="133" t="s">
        <v>138</v>
      </c>
      <c r="E16" s="7">
        <v>2.84</v>
      </c>
      <c r="F16" s="88">
        <v>201082.98230066069</v>
      </c>
      <c r="G16" s="192">
        <f>201083-G49</f>
        <v>174884.05729999999</v>
      </c>
      <c r="H16" s="131">
        <f t="shared" si="0"/>
        <v>26198.925000660704</v>
      </c>
      <c r="I16" s="106">
        <v>6</v>
      </c>
      <c r="J16" s="88">
        <f t="shared" si="2"/>
        <v>9591.0208000000002</v>
      </c>
      <c r="K16" s="88">
        <f t="shared" si="3"/>
        <v>185159.48</v>
      </c>
      <c r="L16" s="165">
        <v>0</v>
      </c>
      <c r="M16" s="6">
        <f t="shared" si="5"/>
        <v>220949.42580066071</v>
      </c>
      <c r="N16" s="11">
        <f t="shared" si="1"/>
        <v>234206.39134870036</v>
      </c>
    </row>
    <row r="17" spans="1:14" x14ac:dyDescent="0.25">
      <c r="A17" s="7" t="s">
        <v>47</v>
      </c>
      <c r="B17" s="7"/>
      <c r="C17" s="7">
        <v>33</v>
      </c>
      <c r="D17" s="133" t="s">
        <v>48</v>
      </c>
      <c r="E17" s="7">
        <v>3.43</v>
      </c>
      <c r="F17" s="88">
        <v>214568.00214911473</v>
      </c>
      <c r="G17" s="191">
        <f>255356-G47-G48</f>
        <v>199247.48883799999</v>
      </c>
      <c r="H17" s="131">
        <f t="shared" si="0"/>
        <v>15320.513311114744</v>
      </c>
      <c r="I17" s="106">
        <v>15</v>
      </c>
      <c r="J17" s="88">
        <f t="shared" si="2"/>
        <v>11583.521600000002</v>
      </c>
      <c r="K17" s="88">
        <f t="shared" si="3"/>
        <v>223625.71</v>
      </c>
      <c r="L17" s="165">
        <f t="shared" si="4"/>
        <v>0</v>
      </c>
      <c r="M17" s="6">
        <f t="shared" si="5"/>
        <v>250529.74491111474</v>
      </c>
      <c r="N17" s="11">
        <f t="shared" si="1"/>
        <v>265561.5296057816</v>
      </c>
    </row>
    <row r="18" spans="1:14" x14ac:dyDescent="0.25">
      <c r="A18" s="7" t="s">
        <v>49</v>
      </c>
      <c r="B18" s="7"/>
      <c r="C18" s="7">
        <v>34</v>
      </c>
      <c r="D18" s="133" t="s">
        <v>50</v>
      </c>
      <c r="E18" s="7">
        <v>2.84</v>
      </c>
      <c r="F18" s="88">
        <v>148953.67368325134</v>
      </c>
      <c r="G18" s="191">
        <f>58000+76000+28000+16000+2000-G51</f>
        <v>149523.6789</v>
      </c>
      <c r="H18" s="131">
        <f t="shared" si="0"/>
        <v>-570.0052167486574</v>
      </c>
      <c r="I18" s="106">
        <v>14</v>
      </c>
      <c r="J18" s="88">
        <f t="shared" si="2"/>
        <v>9591.0208000000002</v>
      </c>
      <c r="K18" s="88">
        <f t="shared" si="3"/>
        <v>185159.48</v>
      </c>
      <c r="L18" s="165">
        <f t="shared" si="4"/>
        <v>0</v>
      </c>
      <c r="M18" s="6">
        <f t="shared" si="5"/>
        <v>194180.49558325135</v>
      </c>
      <c r="N18" s="11">
        <f t="shared" si="1"/>
        <v>205831.32531824644</v>
      </c>
    </row>
    <row r="19" spans="1:14" x14ac:dyDescent="0.25">
      <c r="A19" s="7" t="s">
        <v>49</v>
      </c>
      <c r="B19" s="7"/>
      <c r="C19" s="7">
        <v>35</v>
      </c>
      <c r="D19" s="133" t="s">
        <v>51</v>
      </c>
      <c r="E19" s="7">
        <v>3.43</v>
      </c>
      <c r="F19" s="88">
        <v>183392.92216516795</v>
      </c>
      <c r="G19" s="192">
        <f>212265-G41</f>
        <v>183392.69579999999</v>
      </c>
      <c r="H19" s="131">
        <f t="shared" si="0"/>
        <v>0.22636516796774231</v>
      </c>
      <c r="I19" s="106">
        <v>5</v>
      </c>
      <c r="J19" s="88">
        <f t="shared" si="2"/>
        <v>11583.521600000002</v>
      </c>
      <c r="K19" s="88">
        <f t="shared" si="3"/>
        <v>223625.71</v>
      </c>
      <c r="L19" s="165">
        <f t="shared" si="4"/>
        <v>0</v>
      </c>
      <c r="M19" s="6">
        <f t="shared" si="5"/>
        <v>235209.45796516797</v>
      </c>
      <c r="N19" s="11">
        <f t="shared" si="1"/>
        <v>249322.02544307805</v>
      </c>
    </row>
    <row r="20" spans="1:14" x14ac:dyDescent="0.25">
      <c r="A20" s="7" t="s">
        <v>52</v>
      </c>
      <c r="B20" s="7"/>
      <c r="C20" s="7">
        <v>36</v>
      </c>
      <c r="D20" s="133" t="s">
        <v>53</v>
      </c>
      <c r="E20" s="7">
        <v>2.84</v>
      </c>
      <c r="F20" s="88">
        <v>151847.82760707469</v>
      </c>
      <c r="G20" s="191">
        <f>178047-G38</f>
        <v>151848.05729999999</v>
      </c>
      <c r="H20" s="131">
        <f t="shared" si="0"/>
        <v>-0.22969292529160157</v>
      </c>
      <c r="I20" s="106">
        <v>5</v>
      </c>
      <c r="J20" s="88">
        <f t="shared" si="2"/>
        <v>9591.0208000000002</v>
      </c>
      <c r="K20" s="88">
        <f t="shared" si="3"/>
        <v>185159.48</v>
      </c>
      <c r="L20" s="165">
        <f t="shared" si="4"/>
        <v>0</v>
      </c>
      <c r="M20" s="6">
        <f t="shared" si="5"/>
        <v>194750.27110707472</v>
      </c>
      <c r="N20" s="11">
        <f t="shared" si="1"/>
        <v>206435.28737349919</v>
      </c>
    </row>
    <row r="21" spans="1:14" x14ac:dyDescent="0.25">
      <c r="A21" s="7" t="s">
        <v>52</v>
      </c>
      <c r="B21" s="7"/>
      <c r="C21" s="7">
        <v>37</v>
      </c>
      <c r="D21" s="133" t="s">
        <v>54</v>
      </c>
      <c r="E21" s="7">
        <v>3.43</v>
      </c>
      <c r="F21" s="88">
        <v>183392.32449179579</v>
      </c>
      <c r="G21" s="191">
        <f>212264-G45</f>
        <v>183391.69579999999</v>
      </c>
      <c r="H21" s="131">
        <f t="shared" si="0"/>
        <v>0.62869179580593482</v>
      </c>
      <c r="I21" s="106">
        <v>5</v>
      </c>
      <c r="J21" s="88">
        <f t="shared" si="2"/>
        <v>11583.521600000002</v>
      </c>
      <c r="K21" s="88">
        <f t="shared" si="3"/>
        <v>223625.71</v>
      </c>
      <c r="L21" s="165">
        <f t="shared" si="4"/>
        <v>0</v>
      </c>
      <c r="M21" s="6">
        <f t="shared" si="5"/>
        <v>235209.86029179581</v>
      </c>
      <c r="N21" s="11">
        <f t="shared" si="1"/>
        <v>249322.45190930355</v>
      </c>
    </row>
    <row r="22" spans="1:14" x14ac:dyDescent="0.25">
      <c r="A22" s="7" t="s">
        <v>55</v>
      </c>
      <c r="B22" s="7"/>
      <c r="C22" s="7">
        <v>38</v>
      </c>
      <c r="D22" s="167" t="s">
        <v>129</v>
      </c>
      <c r="E22" s="7">
        <v>2.84</v>
      </c>
      <c r="F22" s="88">
        <v>151846.93319999997</v>
      </c>
      <c r="G22" s="191">
        <f>F22</f>
        <v>151846.93319999997</v>
      </c>
      <c r="H22" s="131">
        <f t="shared" si="0"/>
        <v>0</v>
      </c>
      <c r="I22" s="106">
        <v>7</v>
      </c>
      <c r="J22" s="88">
        <f t="shared" si="2"/>
        <v>9591.0208000000002</v>
      </c>
      <c r="K22" s="88">
        <f t="shared" si="3"/>
        <v>185159.48</v>
      </c>
      <c r="L22" s="165">
        <f t="shared" si="4"/>
        <v>0</v>
      </c>
      <c r="M22" s="6">
        <f t="shared" si="5"/>
        <v>194750.50080000001</v>
      </c>
      <c r="N22" s="11">
        <f t="shared" si="1"/>
        <v>206435.53084800002</v>
      </c>
    </row>
    <row r="23" spans="1:14" x14ac:dyDescent="0.25">
      <c r="A23" s="7" t="s">
        <v>55</v>
      </c>
      <c r="B23" s="7"/>
      <c r="C23" s="7">
        <v>39</v>
      </c>
      <c r="D23" s="133" t="s">
        <v>56</v>
      </c>
      <c r="E23" s="7">
        <v>3.43</v>
      </c>
      <c r="F23" s="88">
        <v>385103.52163409517</v>
      </c>
      <c r="G23" s="192">
        <f>447000-G46+RESUMEN!D70+RESUMEN!D71</f>
        <v>582942.08675000002</v>
      </c>
      <c r="H23" s="131">
        <f t="shared" si="0"/>
        <v>-197838.56511590484</v>
      </c>
      <c r="I23" s="106">
        <v>5</v>
      </c>
      <c r="J23" s="88">
        <f t="shared" si="2"/>
        <v>11583.521600000002</v>
      </c>
      <c r="K23" s="88">
        <f t="shared" si="3"/>
        <v>223625.71</v>
      </c>
      <c r="L23" s="165">
        <v>20000</v>
      </c>
      <c r="M23" s="6">
        <f t="shared" si="5"/>
        <v>57370.666484095156</v>
      </c>
      <c r="N23" s="11">
        <f t="shared" si="1"/>
        <v>60812.906473140865</v>
      </c>
    </row>
    <row r="24" spans="1:14" x14ac:dyDescent="0.25">
      <c r="A24" s="7" t="s">
        <v>57</v>
      </c>
      <c r="B24" s="7"/>
      <c r="C24" s="7">
        <v>40</v>
      </c>
      <c r="D24" s="133" t="s">
        <v>58</v>
      </c>
      <c r="E24" s="7">
        <v>2.84</v>
      </c>
      <c r="F24" s="88">
        <v>150534.54517107471</v>
      </c>
      <c r="G24" s="191">
        <f>180000-G37</f>
        <v>153801.05729999999</v>
      </c>
      <c r="H24" s="131">
        <f t="shared" si="0"/>
        <v>-3266.5121289252711</v>
      </c>
      <c r="I24" s="181">
        <v>5</v>
      </c>
      <c r="J24" s="88">
        <f t="shared" si="2"/>
        <v>9591.0208000000002</v>
      </c>
      <c r="K24" s="88">
        <f t="shared" si="3"/>
        <v>185159.48</v>
      </c>
      <c r="L24" s="165">
        <f t="shared" si="4"/>
        <v>0</v>
      </c>
      <c r="M24" s="6">
        <f t="shared" si="5"/>
        <v>191483.98867107474</v>
      </c>
      <c r="N24" s="11">
        <f t="shared" si="1"/>
        <v>202973.02799133922</v>
      </c>
    </row>
    <row r="25" spans="1:14" x14ac:dyDescent="0.25">
      <c r="A25" s="7" t="s">
        <v>57</v>
      </c>
      <c r="B25" s="7"/>
      <c r="C25" s="7">
        <v>41</v>
      </c>
      <c r="D25" s="133" t="s">
        <v>59</v>
      </c>
      <c r="E25" s="7">
        <v>3.43</v>
      </c>
      <c r="F25" s="88">
        <v>183392.59890000001</v>
      </c>
      <c r="G25" s="191">
        <f>F25</f>
        <v>183392.59890000001</v>
      </c>
      <c r="H25" s="131">
        <f t="shared" si="0"/>
        <v>0</v>
      </c>
      <c r="I25" s="106">
        <v>9</v>
      </c>
      <c r="J25" s="88">
        <f t="shared" si="2"/>
        <v>11583.521600000002</v>
      </c>
      <c r="K25" s="88">
        <f t="shared" si="3"/>
        <v>223625.71</v>
      </c>
      <c r="L25" s="165">
        <f t="shared" si="4"/>
        <v>0</v>
      </c>
      <c r="M25" s="6">
        <f t="shared" si="5"/>
        <v>235209.2316</v>
      </c>
      <c r="N25" s="11">
        <f t="shared" si="1"/>
        <v>249321.785496</v>
      </c>
    </row>
    <row r="26" spans="1:14" x14ac:dyDescent="0.25">
      <c r="A26" s="7" t="s">
        <v>60</v>
      </c>
      <c r="B26" s="7"/>
      <c r="C26" s="7">
        <v>42</v>
      </c>
      <c r="D26" s="133" t="s">
        <v>61</v>
      </c>
      <c r="E26" s="7">
        <v>6</v>
      </c>
      <c r="F26" s="88">
        <v>-352713.925683963</v>
      </c>
      <c r="G26" s="192">
        <f>700000-G30-G31-G36</f>
        <v>614987.10430000001</v>
      </c>
      <c r="H26" s="132">
        <f t="shared" si="0"/>
        <v>-967701.029983963</v>
      </c>
      <c r="I26" s="106">
        <v>5</v>
      </c>
      <c r="J26" s="88">
        <f t="shared" si="2"/>
        <v>20262.719999999998</v>
      </c>
      <c r="K26" s="88">
        <f t="shared" si="3"/>
        <v>391182</v>
      </c>
      <c r="L26" s="165">
        <f t="shared" si="4"/>
        <v>0</v>
      </c>
      <c r="M26" s="6">
        <f t="shared" si="5"/>
        <v>-556256.30998396303</v>
      </c>
      <c r="N26" s="11">
        <f t="shared" si="1"/>
        <v>-589631.6885830008</v>
      </c>
    </row>
    <row r="27" spans="1:14" x14ac:dyDescent="0.25">
      <c r="A27" s="7" t="s">
        <v>62</v>
      </c>
      <c r="B27" s="7"/>
      <c r="C27" s="7">
        <v>43</v>
      </c>
      <c r="D27" s="133" t="s">
        <v>63</v>
      </c>
      <c r="E27" s="7">
        <v>5.89</v>
      </c>
      <c r="F27" s="88">
        <v>314921.57273526554</v>
      </c>
      <c r="G27" s="191">
        <f>377000-G39-G40</f>
        <v>314978.01319999999</v>
      </c>
      <c r="H27" s="131">
        <f t="shared" si="0"/>
        <v>-56.440464734449051</v>
      </c>
      <c r="I27" s="106">
        <v>8</v>
      </c>
      <c r="J27" s="88">
        <f t="shared" si="2"/>
        <v>19891.236799999999</v>
      </c>
      <c r="K27" s="88">
        <f t="shared" si="3"/>
        <v>384010.33</v>
      </c>
      <c r="L27" s="165">
        <f t="shared" si="4"/>
        <v>0</v>
      </c>
      <c r="M27" s="6">
        <f t="shared" si="5"/>
        <v>403845.12633526558</v>
      </c>
      <c r="N27" s="11">
        <f t="shared" si="1"/>
        <v>428075.83391538152</v>
      </c>
    </row>
    <row r="28" spans="1:14" x14ac:dyDescent="0.25">
      <c r="A28" s="7" t="s">
        <v>64</v>
      </c>
      <c r="B28" s="7"/>
      <c r="C28" s="7">
        <v>44</v>
      </c>
      <c r="D28" s="133" t="s">
        <v>65</v>
      </c>
      <c r="E28" s="7">
        <v>5.89</v>
      </c>
      <c r="F28" s="88">
        <v>314286.41577654087</v>
      </c>
      <c r="G28" s="191">
        <f>371000-G32-G33+RESUMEN!D73</f>
        <v>413583.78619999997</v>
      </c>
      <c r="H28" s="131">
        <f t="shared" si="0"/>
        <v>-99297.370423459099</v>
      </c>
      <c r="I28" s="106">
        <v>5</v>
      </c>
      <c r="J28" s="88">
        <f t="shared" si="2"/>
        <v>19891.236799999999</v>
      </c>
      <c r="K28" s="88">
        <f t="shared" si="3"/>
        <v>384010.33</v>
      </c>
      <c r="L28" s="165">
        <f t="shared" si="4"/>
        <v>0</v>
      </c>
      <c r="M28" s="6">
        <f t="shared" si="5"/>
        <v>304604.19637654093</v>
      </c>
      <c r="N28" s="11">
        <f t="shared" si="1"/>
        <v>322880.44815913338</v>
      </c>
    </row>
    <row r="29" spans="1:14" x14ac:dyDescent="0.25">
      <c r="A29" s="7" t="s">
        <v>66</v>
      </c>
      <c r="B29" s="7"/>
      <c r="C29" s="7">
        <v>45</v>
      </c>
      <c r="D29" s="133" t="s">
        <v>67</v>
      </c>
      <c r="E29" s="7">
        <v>5.89</v>
      </c>
      <c r="F29" s="88">
        <v>325490.37115669996</v>
      </c>
      <c r="G29" s="192">
        <f>401000-G42-G43-G44+RESUMEN!D72</f>
        <v>413311.71970000002</v>
      </c>
      <c r="H29" s="132">
        <f t="shared" si="0"/>
        <v>-87821.348543300061</v>
      </c>
      <c r="I29" s="106">
        <v>5</v>
      </c>
      <c r="J29" s="88">
        <f t="shared" si="2"/>
        <v>19891.236799999999</v>
      </c>
      <c r="K29" s="88">
        <f t="shared" si="3"/>
        <v>384010.33</v>
      </c>
      <c r="L29" s="165">
        <f t="shared" si="4"/>
        <v>0</v>
      </c>
      <c r="M29" s="6">
        <f t="shared" si="5"/>
        <v>316080.21825669997</v>
      </c>
      <c r="N29" s="11">
        <f t="shared" si="1"/>
        <v>335045.03135210194</v>
      </c>
    </row>
    <row r="30" spans="1:14" x14ac:dyDescent="0.25">
      <c r="A30" s="126" t="s">
        <v>97</v>
      </c>
      <c r="B30" s="7"/>
      <c r="C30" s="7">
        <v>1</v>
      </c>
      <c r="D30" s="133" t="s">
        <v>61</v>
      </c>
      <c r="E30" s="7">
        <v>0.54</v>
      </c>
      <c r="F30" s="88">
        <v>28872.304200000002</v>
      </c>
      <c r="G30" s="191">
        <f t="shared" ref="G30:G34" si="6">F30</f>
        <v>28872.304200000002</v>
      </c>
      <c r="H30" s="131">
        <f t="shared" si="0"/>
        <v>0</v>
      </c>
      <c r="I30" s="106"/>
      <c r="J30" s="88">
        <f t="shared" si="2"/>
        <v>1823.6448</v>
      </c>
      <c r="K30" s="88">
        <f t="shared" si="3"/>
        <v>35206.379999999997</v>
      </c>
      <c r="L30" s="165">
        <f t="shared" si="4"/>
        <v>0</v>
      </c>
      <c r="M30" s="6">
        <f t="shared" si="5"/>
        <v>37030.024799999999</v>
      </c>
      <c r="N30" s="11">
        <f t="shared" si="1"/>
        <v>39251.826287999997</v>
      </c>
    </row>
    <row r="31" spans="1:14" x14ac:dyDescent="0.25">
      <c r="A31" s="126" t="s">
        <v>97</v>
      </c>
      <c r="B31" s="7"/>
      <c r="C31" s="7">
        <v>2</v>
      </c>
      <c r="D31" s="133" t="s">
        <v>61</v>
      </c>
      <c r="E31" s="7">
        <v>0.55000000000000004</v>
      </c>
      <c r="F31" s="88">
        <v>29406.976500000004</v>
      </c>
      <c r="G31" s="191">
        <f t="shared" si="6"/>
        <v>29406.976500000004</v>
      </c>
      <c r="H31" s="131">
        <f t="shared" si="0"/>
        <v>0</v>
      </c>
      <c r="I31" s="106"/>
      <c r="J31" s="88">
        <f t="shared" si="2"/>
        <v>1857.4160000000002</v>
      </c>
      <c r="K31" s="88">
        <f t="shared" si="3"/>
        <v>35858.350000000006</v>
      </c>
      <c r="L31" s="165">
        <f t="shared" si="4"/>
        <v>0</v>
      </c>
      <c r="M31" s="6">
        <f t="shared" si="5"/>
        <v>37715.766000000003</v>
      </c>
      <c r="N31" s="11">
        <f t="shared" si="1"/>
        <v>39978.711960000001</v>
      </c>
    </row>
    <row r="32" spans="1:14" x14ac:dyDescent="0.25">
      <c r="A32" s="126" t="s">
        <v>97</v>
      </c>
      <c r="B32" s="7"/>
      <c r="C32" s="7">
        <v>3</v>
      </c>
      <c r="D32" s="133" t="s">
        <v>65</v>
      </c>
      <c r="E32" s="7">
        <v>0.45</v>
      </c>
      <c r="F32" s="88">
        <v>24060.253500000003</v>
      </c>
      <c r="G32" s="191">
        <f>F32</f>
        <v>24060.253500000003</v>
      </c>
      <c r="H32" s="131">
        <f t="shared" si="0"/>
        <v>0</v>
      </c>
      <c r="I32" s="106"/>
      <c r="J32" s="88">
        <f t="shared" si="2"/>
        <v>1519.7040000000002</v>
      </c>
      <c r="K32" s="88">
        <f t="shared" si="3"/>
        <v>29338.65</v>
      </c>
      <c r="L32" s="165">
        <f t="shared" si="4"/>
        <v>0</v>
      </c>
      <c r="M32" s="6">
        <f t="shared" si="5"/>
        <v>30858.354000000003</v>
      </c>
      <c r="N32" s="11">
        <f t="shared" si="1"/>
        <v>32709.855240000004</v>
      </c>
    </row>
    <row r="33" spans="1:17" x14ac:dyDescent="0.25">
      <c r="A33" s="126" t="s">
        <v>97</v>
      </c>
      <c r="B33" s="7"/>
      <c r="C33" s="7">
        <v>4</v>
      </c>
      <c r="D33" s="133" t="s">
        <v>65</v>
      </c>
      <c r="E33" s="7">
        <v>0.61</v>
      </c>
      <c r="F33" s="88">
        <v>32615.010299999998</v>
      </c>
      <c r="G33" s="191">
        <f t="shared" si="6"/>
        <v>32615.010299999998</v>
      </c>
      <c r="H33" s="131">
        <f t="shared" si="0"/>
        <v>0</v>
      </c>
      <c r="I33" s="106"/>
      <c r="J33" s="88">
        <f t="shared" si="2"/>
        <v>2060.0431999999996</v>
      </c>
      <c r="K33" s="88">
        <f t="shared" si="3"/>
        <v>39770.17</v>
      </c>
      <c r="L33" s="165">
        <f t="shared" si="4"/>
        <v>0</v>
      </c>
      <c r="M33" s="6">
        <f t="shared" si="5"/>
        <v>41830.213199999998</v>
      </c>
      <c r="N33" s="11">
        <f t="shared" si="1"/>
        <v>44340.025991999995</v>
      </c>
    </row>
    <row r="34" spans="1:17" x14ac:dyDescent="0.25">
      <c r="A34" s="126" t="s">
        <v>97</v>
      </c>
      <c r="B34" s="7"/>
      <c r="C34" s="7">
        <v>5</v>
      </c>
      <c r="D34" s="133" t="s">
        <v>38</v>
      </c>
      <c r="E34" s="7">
        <v>0.54</v>
      </c>
      <c r="F34" s="88">
        <v>28872.304200000002</v>
      </c>
      <c r="G34" s="191">
        <f t="shared" si="6"/>
        <v>28872.304200000002</v>
      </c>
      <c r="H34" s="131">
        <f t="shared" si="0"/>
        <v>0</v>
      </c>
      <c r="I34" s="106"/>
      <c r="J34" s="88">
        <f t="shared" si="2"/>
        <v>1823.6448</v>
      </c>
      <c r="K34" s="88">
        <f t="shared" si="3"/>
        <v>35206.379999999997</v>
      </c>
      <c r="L34" s="165">
        <f t="shared" si="4"/>
        <v>0</v>
      </c>
      <c r="M34" s="6">
        <f t="shared" si="5"/>
        <v>37030.024799999999</v>
      </c>
      <c r="N34" s="11">
        <f t="shared" si="1"/>
        <v>39251.826287999997</v>
      </c>
    </row>
    <row r="35" spans="1:17" x14ac:dyDescent="0.25">
      <c r="A35" s="126" t="s">
        <v>97</v>
      </c>
      <c r="B35" s="7"/>
      <c r="C35" s="7">
        <v>6</v>
      </c>
      <c r="D35" s="133" t="s">
        <v>46</v>
      </c>
      <c r="E35" s="7">
        <v>0.5</v>
      </c>
      <c r="F35" s="11">
        <v>26733.615000000002</v>
      </c>
      <c r="G35" s="192">
        <f>F35</f>
        <v>26733.615000000002</v>
      </c>
      <c r="H35" s="131">
        <f t="shared" si="0"/>
        <v>0</v>
      </c>
      <c r="I35" s="106"/>
      <c r="J35" s="88">
        <f t="shared" si="2"/>
        <v>1688.56</v>
      </c>
      <c r="K35" s="88">
        <f t="shared" si="3"/>
        <v>32598.5</v>
      </c>
      <c r="L35" s="165">
        <f t="shared" si="4"/>
        <v>0</v>
      </c>
      <c r="M35" s="6">
        <f t="shared" si="5"/>
        <v>34287.06</v>
      </c>
      <c r="N35" s="11">
        <f t="shared" si="1"/>
        <v>36344.283599999995</v>
      </c>
    </row>
    <row r="36" spans="1:17" x14ac:dyDescent="0.25">
      <c r="A36" s="126" t="s">
        <v>97</v>
      </c>
      <c r="B36" s="7"/>
      <c r="C36" s="7">
        <v>7</v>
      </c>
      <c r="D36" s="133" t="s">
        <v>61</v>
      </c>
      <c r="E36" s="7">
        <v>0.5</v>
      </c>
      <c r="F36" s="88">
        <v>26733.615000000002</v>
      </c>
      <c r="G36" s="191">
        <f t="shared" ref="G36:G41" si="7">F36</f>
        <v>26733.615000000002</v>
      </c>
      <c r="H36" s="131">
        <f t="shared" si="0"/>
        <v>0</v>
      </c>
      <c r="I36" s="106"/>
      <c r="J36" s="88">
        <f t="shared" si="2"/>
        <v>1688.56</v>
      </c>
      <c r="K36" s="88">
        <f t="shared" si="3"/>
        <v>32598.5</v>
      </c>
      <c r="L36" s="165">
        <f t="shared" si="4"/>
        <v>0</v>
      </c>
      <c r="M36" s="6">
        <f t="shared" si="5"/>
        <v>34287.06</v>
      </c>
      <c r="N36" s="11">
        <f t="shared" si="1"/>
        <v>36344.283599999995</v>
      </c>
    </row>
    <row r="37" spans="1:17" x14ac:dyDescent="0.25">
      <c r="A37" s="126" t="s">
        <v>97</v>
      </c>
      <c r="B37" s="7"/>
      <c r="C37" s="7">
        <v>8</v>
      </c>
      <c r="D37" s="133" t="s">
        <v>58</v>
      </c>
      <c r="E37" s="7">
        <v>0.49</v>
      </c>
      <c r="F37" s="88">
        <v>26198.9427</v>
      </c>
      <c r="G37" s="191">
        <f t="shared" si="7"/>
        <v>26198.9427</v>
      </c>
      <c r="H37" s="131">
        <f t="shared" si="0"/>
        <v>0</v>
      </c>
      <c r="I37" s="106"/>
      <c r="J37" s="88">
        <f t="shared" si="2"/>
        <v>1654.7888</v>
      </c>
      <c r="K37" s="88">
        <f t="shared" si="3"/>
        <v>31946.53</v>
      </c>
      <c r="L37" s="165">
        <f t="shared" si="4"/>
        <v>0</v>
      </c>
      <c r="M37" s="6">
        <f t="shared" si="5"/>
        <v>33601.318800000001</v>
      </c>
      <c r="N37" s="11">
        <f t="shared" si="1"/>
        <v>35617.397927999999</v>
      </c>
    </row>
    <row r="38" spans="1:17" x14ac:dyDescent="0.25">
      <c r="A38" s="126" t="s">
        <v>97</v>
      </c>
      <c r="B38" s="7"/>
      <c r="C38" s="7">
        <v>9</v>
      </c>
      <c r="D38" s="133" t="s">
        <v>53</v>
      </c>
      <c r="E38" s="7">
        <v>0.49</v>
      </c>
      <c r="F38" s="88">
        <v>26198.9427</v>
      </c>
      <c r="G38" s="191">
        <f t="shared" si="7"/>
        <v>26198.9427</v>
      </c>
      <c r="H38" s="131">
        <f t="shared" si="0"/>
        <v>0</v>
      </c>
      <c r="I38" s="106"/>
      <c r="J38" s="88">
        <f t="shared" si="2"/>
        <v>1654.7888</v>
      </c>
      <c r="K38" s="88">
        <f t="shared" si="3"/>
        <v>31946.53</v>
      </c>
      <c r="L38" s="165">
        <f t="shared" si="4"/>
        <v>0</v>
      </c>
      <c r="M38" s="6">
        <f t="shared" si="5"/>
        <v>33601.318800000001</v>
      </c>
      <c r="N38" s="11">
        <f t="shared" si="1"/>
        <v>35617.397927999999</v>
      </c>
    </row>
    <row r="39" spans="1:17" x14ac:dyDescent="0.25">
      <c r="A39" s="126" t="s">
        <v>97</v>
      </c>
      <c r="B39" s="7"/>
      <c r="C39" s="7">
        <v>10</v>
      </c>
      <c r="D39" s="133" t="s">
        <v>63</v>
      </c>
      <c r="E39" s="7">
        <v>0.59</v>
      </c>
      <c r="F39" s="88">
        <v>31545.665699999998</v>
      </c>
      <c r="G39" s="191">
        <f t="shared" si="7"/>
        <v>31545.665699999998</v>
      </c>
      <c r="H39" s="131">
        <f t="shared" si="0"/>
        <v>0</v>
      </c>
      <c r="I39" s="106"/>
      <c r="J39" s="88">
        <f t="shared" si="2"/>
        <v>1992.5008</v>
      </c>
      <c r="K39" s="88">
        <f t="shared" si="3"/>
        <v>38466.230000000003</v>
      </c>
      <c r="L39" s="165">
        <f t="shared" si="4"/>
        <v>0</v>
      </c>
      <c r="M39" s="6">
        <f t="shared" si="5"/>
        <v>40458.730800000005</v>
      </c>
      <c r="N39" s="11">
        <f t="shared" si="1"/>
        <v>42886.254648000002</v>
      </c>
    </row>
    <row r="40" spans="1:17" x14ac:dyDescent="0.25">
      <c r="A40" s="126" t="s">
        <v>97</v>
      </c>
      <c r="B40" s="7"/>
      <c r="C40" s="7">
        <v>11</v>
      </c>
      <c r="D40" s="133" t="s">
        <v>63</v>
      </c>
      <c r="E40" s="7">
        <v>0.56999999999999995</v>
      </c>
      <c r="F40" s="88">
        <v>30476.321099999997</v>
      </c>
      <c r="G40" s="191">
        <f t="shared" si="7"/>
        <v>30476.321099999997</v>
      </c>
      <c r="H40" s="131">
        <f t="shared" si="0"/>
        <v>0</v>
      </c>
      <c r="I40" s="106"/>
      <c r="J40" s="88">
        <f t="shared" si="2"/>
        <v>1924.9583999999998</v>
      </c>
      <c r="K40" s="88">
        <f t="shared" si="3"/>
        <v>37162.289999999994</v>
      </c>
      <c r="L40" s="165">
        <f t="shared" si="4"/>
        <v>0</v>
      </c>
      <c r="M40" s="6">
        <f t="shared" si="5"/>
        <v>39087.248399999997</v>
      </c>
      <c r="N40" s="11">
        <f t="shared" si="1"/>
        <v>41432.483303999994</v>
      </c>
    </row>
    <row r="41" spans="1:17" x14ac:dyDescent="0.25">
      <c r="A41" s="126" t="s">
        <v>97</v>
      </c>
      <c r="B41" s="7"/>
      <c r="C41" s="7">
        <v>12</v>
      </c>
      <c r="D41" s="133" t="s">
        <v>51</v>
      </c>
      <c r="E41" s="7">
        <v>0.54</v>
      </c>
      <c r="F41" s="88">
        <v>28872.304200000002</v>
      </c>
      <c r="G41" s="191">
        <f t="shared" si="7"/>
        <v>28872.304200000002</v>
      </c>
      <c r="H41" s="131">
        <f t="shared" si="0"/>
        <v>0</v>
      </c>
      <c r="I41" s="106"/>
      <c r="J41" s="88">
        <f t="shared" si="2"/>
        <v>1823.6448</v>
      </c>
      <c r="K41" s="88">
        <f t="shared" si="3"/>
        <v>35206.379999999997</v>
      </c>
      <c r="L41" s="165">
        <f t="shared" si="4"/>
        <v>0</v>
      </c>
      <c r="M41" s="6">
        <f t="shared" si="5"/>
        <v>37030.024799999999</v>
      </c>
      <c r="N41" s="11">
        <f t="shared" si="1"/>
        <v>39251.826287999997</v>
      </c>
    </row>
    <row r="42" spans="1:17" x14ac:dyDescent="0.25">
      <c r="A42" s="126" t="s">
        <v>97</v>
      </c>
      <c r="B42" s="7"/>
      <c r="C42" s="7">
        <v>13</v>
      </c>
      <c r="D42" s="133" t="s">
        <v>67</v>
      </c>
      <c r="E42" s="7">
        <v>0.55000000000000004</v>
      </c>
      <c r="F42" s="88">
        <v>29406.976500000004</v>
      </c>
      <c r="G42" s="191">
        <f>F42</f>
        <v>29406.976500000004</v>
      </c>
      <c r="H42" s="131">
        <f t="shared" si="0"/>
        <v>0</v>
      </c>
      <c r="I42" s="106"/>
      <c r="J42" s="88">
        <f t="shared" si="2"/>
        <v>1857.4160000000002</v>
      </c>
      <c r="K42" s="88">
        <f t="shared" si="3"/>
        <v>35858.350000000006</v>
      </c>
      <c r="L42" s="165">
        <f t="shared" si="4"/>
        <v>0</v>
      </c>
      <c r="M42" s="6">
        <f t="shared" si="5"/>
        <v>37715.766000000003</v>
      </c>
      <c r="N42" s="11">
        <f t="shared" si="1"/>
        <v>39978.711960000001</v>
      </c>
    </row>
    <row r="43" spans="1:17" x14ac:dyDescent="0.25">
      <c r="A43" s="126" t="s">
        <v>97</v>
      </c>
      <c r="B43" s="7"/>
      <c r="C43" s="7">
        <v>14</v>
      </c>
      <c r="D43" s="133" t="s">
        <v>67</v>
      </c>
      <c r="E43" s="7">
        <v>0.45</v>
      </c>
      <c r="F43" s="88">
        <v>24060.253500000003</v>
      </c>
      <c r="G43" s="191">
        <f t="shared" ref="G43:G44" si="8">F43</f>
        <v>24060.253500000003</v>
      </c>
      <c r="H43" s="131">
        <f t="shared" si="0"/>
        <v>0</v>
      </c>
      <c r="I43" s="106"/>
      <c r="J43" s="88">
        <f t="shared" si="2"/>
        <v>1519.7040000000002</v>
      </c>
      <c r="K43" s="88">
        <f t="shared" si="3"/>
        <v>29338.65</v>
      </c>
      <c r="L43" s="165">
        <f t="shared" si="4"/>
        <v>0</v>
      </c>
      <c r="M43" s="6">
        <f t="shared" si="5"/>
        <v>30858.354000000003</v>
      </c>
      <c r="N43" s="11">
        <f t="shared" si="1"/>
        <v>32709.855240000004</v>
      </c>
      <c r="P43" s="109">
        <f>L1-K52</f>
        <v>1105640.362077998</v>
      </c>
    </row>
    <row r="44" spans="1:17" x14ac:dyDescent="0.25">
      <c r="A44" s="126" t="s">
        <v>97</v>
      </c>
      <c r="B44" s="7"/>
      <c r="C44" s="7">
        <v>15</v>
      </c>
      <c r="D44" s="133" t="s">
        <v>67</v>
      </c>
      <c r="E44" s="7">
        <v>0.61</v>
      </c>
      <c r="F44" s="88">
        <v>32615.010299999998</v>
      </c>
      <c r="G44" s="191">
        <f t="shared" si="8"/>
        <v>32615.010299999998</v>
      </c>
      <c r="H44" s="131">
        <f t="shared" si="0"/>
        <v>0</v>
      </c>
      <c r="I44" s="106"/>
      <c r="J44" s="88">
        <f t="shared" si="2"/>
        <v>2060.0431999999996</v>
      </c>
      <c r="K44" s="88">
        <f t="shared" si="3"/>
        <v>39770.17</v>
      </c>
      <c r="L44" s="165">
        <f t="shared" si="4"/>
        <v>0</v>
      </c>
      <c r="M44" s="6">
        <f t="shared" si="5"/>
        <v>41830.213199999998</v>
      </c>
      <c r="N44" s="11">
        <f t="shared" si="1"/>
        <v>44340.025991999995</v>
      </c>
    </row>
    <row r="45" spans="1:17" x14ac:dyDescent="0.25">
      <c r="A45" s="126" t="s">
        <v>97</v>
      </c>
      <c r="B45" s="7"/>
      <c r="C45" s="7">
        <v>16</v>
      </c>
      <c r="D45" s="133" t="s">
        <v>54</v>
      </c>
      <c r="E45" s="7">
        <v>0.54</v>
      </c>
      <c r="F45" s="88">
        <v>28872.304200000002</v>
      </c>
      <c r="G45" s="191">
        <f t="shared" ref="G45:G51" si="9">F45</f>
        <v>28872.304200000002</v>
      </c>
      <c r="H45" s="131">
        <f t="shared" si="0"/>
        <v>0</v>
      </c>
      <c r="I45" s="106"/>
      <c r="J45" s="88">
        <f t="shared" si="2"/>
        <v>1823.6448</v>
      </c>
      <c r="K45" s="88">
        <f t="shared" si="3"/>
        <v>35206.379999999997</v>
      </c>
      <c r="L45" s="165">
        <f t="shared" si="4"/>
        <v>0</v>
      </c>
      <c r="M45" s="6">
        <f t="shared" si="5"/>
        <v>37030.024799999999</v>
      </c>
      <c r="N45" s="11">
        <f t="shared" si="1"/>
        <v>39251.826287999997</v>
      </c>
    </row>
    <row r="46" spans="1:17" x14ac:dyDescent="0.25">
      <c r="A46" s="126" t="s">
        <v>97</v>
      </c>
      <c r="B46" s="7"/>
      <c r="C46" s="7">
        <v>17</v>
      </c>
      <c r="D46" s="133" t="s">
        <v>56</v>
      </c>
      <c r="E46" s="7">
        <v>0.5</v>
      </c>
      <c r="F46" s="88">
        <v>61479.973249999995</v>
      </c>
      <c r="G46" s="191">
        <f>F46</f>
        <v>61479.973249999995</v>
      </c>
      <c r="H46" s="131">
        <f t="shared" si="0"/>
        <v>0</v>
      </c>
      <c r="I46" s="106"/>
      <c r="J46" s="88">
        <f t="shared" si="2"/>
        <v>1688.56</v>
      </c>
      <c r="K46" s="88">
        <f t="shared" si="3"/>
        <v>32598.5</v>
      </c>
      <c r="L46" s="165">
        <f t="shared" si="4"/>
        <v>0</v>
      </c>
      <c r="M46" s="6">
        <f t="shared" si="5"/>
        <v>34287.06</v>
      </c>
      <c r="N46" s="11">
        <f t="shared" si="1"/>
        <v>36344.283599999995</v>
      </c>
      <c r="Q46" t="s">
        <v>133</v>
      </c>
    </row>
    <row r="47" spans="1:17" x14ac:dyDescent="0.25">
      <c r="A47" s="126" t="s">
        <v>97</v>
      </c>
      <c r="B47" s="7"/>
      <c r="C47" s="7">
        <v>18</v>
      </c>
      <c r="D47" s="133" t="s">
        <v>48</v>
      </c>
      <c r="E47" s="7">
        <v>0.5</v>
      </c>
      <c r="F47" s="88">
        <v>28337.6319</v>
      </c>
      <c r="G47" s="191">
        <f t="shared" si="9"/>
        <v>28337.6319</v>
      </c>
      <c r="H47" s="131">
        <f t="shared" si="0"/>
        <v>0</v>
      </c>
      <c r="I47" s="106"/>
      <c r="J47" s="88">
        <f t="shared" si="2"/>
        <v>1688.56</v>
      </c>
      <c r="K47" s="88">
        <f t="shared" si="3"/>
        <v>32598.5</v>
      </c>
      <c r="L47" s="165">
        <f t="shared" si="4"/>
        <v>0</v>
      </c>
      <c r="M47" s="6">
        <f t="shared" si="5"/>
        <v>34287.06</v>
      </c>
      <c r="N47" s="11">
        <f t="shared" si="1"/>
        <v>36344.283599999995</v>
      </c>
      <c r="O47" s="138"/>
      <c r="Q47" s="135">
        <f>M3-J52</f>
        <v>0.14079999987734482</v>
      </c>
    </row>
    <row r="48" spans="1:17" x14ac:dyDescent="0.25">
      <c r="A48" s="126" t="s">
        <v>97</v>
      </c>
      <c r="B48" s="7"/>
      <c r="C48" s="7">
        <v>19</v>
      </c>
      <c r="D48" s="133" t="s">
        <v>48</v>
      </c>
      <c r="E48" s="7">
        <v>0.49</v>
      </c>
      <c r="F48" s="88">
        <v>27770.879261999999</v>
      </c>
      <c r="G48" s="191">
        <f t="shared" si="9"/>
        <v>27770.879261999999</v>
      </c>
      <c r="H48" s="131">
        <f t="shared" si="0"/>
        <v>0</v>
      </c>
      <c r="I48" s="106"/>
      <c r="J48" s="88">
        <f t="shared" si="2"/>
        <v>1654.7888</v>
      </c>
      <c r="K48" s="88">
        <f t="shared" si="3"/>
        <v>31946.53</v>
      </c>
      <c r="L48" s="165">
        <f t="shared" si="4"/>
        <v>0</v>
      </c>
      <c r="M48" s="6">
        <f t="shared" si="5"/>
        <v>33601.318800000001</v>
      </c>
      <c r="N48" s="11">
        <f t="shared" si="1"/>
        <v>35617.397927999999</v>
      </c>
    </row>
    <row r="49" spans="1:16" x14ac:dyDescent="0.25">
      <c r="A49" s="126" t="s">
        <v>97</v>
      </c>
      <c r="B49" s="7"/>
      <c r="C49" s="7">
        <v>20</v>
      </c>
      <c r="D49" s="133" t="str">
        <f>D16</f>
        <v>FEUILLANT, GASTON</v>
      </c>
      <c r="E49" s="7">
        <v>0.49</v>
      </c>
      <c r="F49" s="88">
        <v>26198.9427</v>
      </c>
      <c r="G49" s="191">
        <f>F49</f>
        <v>26198.9427</v>
      </c>
      <c r="H49" s="131">
        <f t="shared" si="0"/>
        <v>0</v>
      </c>
      <c r="I49" s="106"/>
      <c r="J49" s="88">
        <f t="shared" si="2"/>
        <v>1654.7888</v>
      </c>
      <c r="K49" s="88">
        <f t="shared" si="3"/>
        <v>31946.53</v>
      </c>
      <c r="L49" s="165">
        <f t="shared" si="4"/>
        <v>0</v>
      </c>
      <c r="M49" s="6">
        <f t="shared" si="5"/>
        <v>33601.318800000001</v>
      </c>
      <c r="N49" s="11">
        <f t="shared" si="1"/>
        <v>35617.397927999999</v>
      </c>
    </row>
    <row r="50" spans="1:16" x14ac:dyDescent="0.25">
      <c r="A50" s="126" t="s">
        <v>97</v>
      </c>
      <c r="B50" s="7"/>
      <c r="C50" s="7">
        <v>21</v>
      </c>
      <c r="D50" s="133" t="s">
        <v>43</v>
      </c>
      <c r="E50" s="7">
        <v>0.59</v>
      </c>
      <c r="F50" s="88">
        <v>31545.665699999998</v>
      </c>
      <c r="G50" s="192">
        <f>F50</f>
        <v>31545.665699999998</v>
      </c>
      <c r="H50" s="131">
        <f t="shared" si="0"/>
        <v>0</v>
      </c>
      <c r="I50" s="106"/>
      <c r="J50" s="88">
        <f t="shared" si="2"/>
        <v>1992.5008</v>
      </c>
      <c r="K50" s="88">
        <f t="shared" si="3"/>
        <v>38466.230000000003</v>
      </c>
      <c r="L50" s="165">
        <f t="shared" si="4"/>
        <v>0</v>
      </c>
      <c r="M50" s="6">
        <f t="shared" si="5"/>
        <v>40458.730800000005</v>
      </c>
      <c r="N50" s="11">
        <f t="shared" si="1"/>
        <v>42886.254648000002</v>
      </c>
    </row>
    <row r="51" spans="1:16" x14ac:dyDescent="0.25">
      <c r="A51" s="126" t="s">
        <v>97</v>
      </c>
      <c r="B51" s="7"/>
      <c r="C51" s="7">
        <v>22</v>
      </c>
      <c r="D51" s="133" t="s">
        <v>50</v>
      </c>
      <c r="E51" s="7">
        <v>0.56999999999999995</v>
      </c>
      <c r="F51" s="88">
        <v>30476.321099999997</v>
      </c>
      <c r="G51" s="191">
        <f t="shared" si="9"/>
        <v>30476.321099999997</v>
      </c>
      <c r="H51" s="131">
        <f t="shared" si="0"/>
        <v>0</v>
      </c>
      <c r="I51" s="106"/>
      <c r="J51" s="88">
        <f t="shared" si="2"/>
        <v>1924.9583999999998</v>
      </c>
      <c r="K51" s="88">
        <f t="shared" si="3"/>
        <v>37162.289999999994</v>
      </c>
      <c r="L51" s="165">
        <f t="shared" si="4"/>
        <v>0</v>
      </c>
      <c r="M51" s="6">
        <f t="shared" si="5"/>
        <v>39087.248399999997</v>
      </c>
      <c r="N51" s="11">
        <f t="shared" si="1"/>
        <v>41432.483303999994</v>
      </c>
    </row>
    <row r="52" spans="1:16" ht="14.25" customHeight="1" x14ac:dyDescent="0.25">
      <c r="A52" s="89"/>
      <c r="B52" s="89"/>
      <c r="C52" s="89"/>
      <c r="D52" s="89"/>
      <c r="E52" s="89">
        <f>SUM(E7:E51)</f>
        <v>99.999999999999986</v>
      </c>
      <c r="F52" s="90">
        <f>SUM(F7:F51)</f>
        <v>4929008.8575203009</v>
      </c>
      <c r="G52" s="90">
        <f>SUM(G7:G51)</f>
        <v>6320855.3670509998</v>
      </c>
      <c r="H52" s="89"/>
      <c r="I52" s="89"/>
      <c r="J52" s="127">
        <f>SUM(J8:J51)</f>
        <v>310391.09920000011</v>
      </c>
      <c r="K52" s="90">
        <f>SUM(K7:K51)</f>
        <v>6390688.0079220012</v>
      </c>
      <c r="L52" s="174">
        <f>SUM(L7:L51)</f>
        <v>20000</v>
      </c>
      <c r="M52" s="91">
        <f>SUM(M7:M51)</f>
        <v>5354343.2489072988</v>
      </c>
      <c r="N52" s="90">
        <f>SUM(N7:N51)</f>
        <v>5675603.843841739</v>
      </c>
      <c r="P52" s="135"/>
    </row>
    <row r="53" spans="1:16" hidden="1" x14ac:dyDescent="0.25">
      <c r="K53" s="138">
        <f>K52-L1</f>
        <v>-1105640.362077998</v>
      </c>
    </row>
    <row r="54" spans="1:16" ht="15" hidden="1" customHeight="1" x14ac:dyDescent="0.25">
      <c r="C54" s="242"/>
      <c r="D54" s="242"/>
      <c r="E54" s="242"/>
      <c r="F54" s="242"/>
      <c r="G54" s="242"/>
      <c r="H54" s="242"/>
      <c r="I54" s="242"/>
      <c r="J54" s="242"/>
      <c r="K54" s="242"/>
      <c r="L54" s="242"/>
      <c r="M54" s="242"/>
      <c r="N54" s="242"/>
    </row>
    <row r="55" spans="1:16" hidden="1" x14ac:dyDescent="0.25">
      <c r="C55" s="242"/>
      <c r="D55" s="242"/>
      <c r="E55" s="242"/>
      <c r="F55" s="242"/>
      <c r="G55" s="242"/>
      <c r="H55" s="242"/>
      <c r="I55" s="242"/>
      <c r="J55" s="242"/>
      <c r="K55" s="242"/>
      <c r="L55" s="242"/>
      <c r="M55" s="242"/>
      <c r="N55" s="242"/>
    </row>
    <row r="56" spans="1:16" x14ac:dyDescent="0.25"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</row>
    <row r="57" spans="1:16" x14ac:dyDescent="0.25">
      <c r="C57" s="242" t="s">
        <v>130</v>
      </c>
      <c r="D57" s="242"/>
      <c r="E57" s="242"/>
      <c r="F57" s="242"/>
      <c r="G57" s="242"/>
      <c r="H57" s="242"/>
      <c r="I57" s="242"/>
      <c r="J57" s="242"/>
      <c r="K57" s="242"/>
      <c r="L57" s="242"/>
      <c r="M57" s="242"/>
      <c r="N57" s="242"/>
    </row>
    <row r="58" spans="1:16" x14ac:dyDescent="0.25">
      <c r="C58" s="242"/>
      <c r="D58" s="242"/>
      <c r="E58" s="242"/>
      <c r="F58" s="242"/>
      <c r="G58" s="242"/>
      <c r="H58" s="242"/>
      <c r="I58" s="242"/>
      <c r="J58" s="242"/>
      <c r="K58" s="242"/>
      <c r="L58" s="242"/>
      <c r="M58" s="242"/>
      <c r="N58" s="242"/>
    </row>
    <row r="59" spans="1:16" x14ac:dyDescent="0.25">
      <c r="C59" s="242"/>
      <c r="D59" s="242"/>
      <c r="E59" s="242"/>
      <c r="F59" s="242"/>
      <c r="G59" s="242"/>
      <c r="H59" s="242"/>
      <c r="I59" s="242"/>
      <c r="J59" s="242"/>
      <c r="K59" s="242"/>
      <c r="L59" s="242"/>
      <c r="M59" s="242"/>
      <c r="N59" s="242"/>
    </row>
    <row r="60" spans="1:16" x14ac:dyDescent="0.25">
      <c r="C60" s="242"/>
      <c r="D60" s="242"/>
      <c r="E60" s="242"/>
      <c r="F60" s="242"/>
      <c r="G60" s="242"/>
      <c r="H60" s="242"/>
      <c r="I60" s="242"/>
      <c r="J60" s="242"/>
      <c r="K60" s="242"/>
      <c r="L60" s="242"/>
      <c r="M60" s="242"/>
      <c r="N60" s="242"/>
    </row>
    <row r="61" spans="1:16" x14ac:dyDescent="0.25">
      <c r="C61" s="242"/>
      <c r="D61" s="242"/>
      <c r="E61" s="242"/>
      <c r="F61" s="242"/>
      <c r="G61" s="242"/>
      <c r="H61" s="242"/>
      <c r="I61" s="242"/>
      <c r="J61" s="242"/>
      <c r="K61" s="242"/>
      <c r="L61" s="242"/>
      <c r="M61" s="242"/>
      <c r="N61" s="242"/>
    </row>
    <row r="62" spans="1:16" x14ac:dyDescent="0.25">
      <c r="C62" s="242"/>
      <c r="D62" s="242"/>
      <c r="E62" s="242"/>
      <c r="F62" s="242"/>
      <c r="G62" s="242"/>
      <c r="H62" s="242"/>
      <c r="I62" s="242"/>
      <c r="J62" s="242"/>
      <c r="K62" s="242"/>
      <c r="L62" s="242"/>
      <c r="M62" s="242"/>
      <c r="N62" s="242"/>
    </row>
    <row r="63" spans="1:16" x14ac:dyDescent="0.25">
      <c r="C63" s="242"/>
      <c r="D63" s="242"/>
      <c r="E63" s="242"/>
      <c r="F63" s="242"/>
      <c r="G63" s="242"/>
      <c r="H63" s="242"/>
      <c r="I63" s="242"/>
      <c r="J63" s="242"/>
      <c r="K63" s="242"/>
      <c r="L63" s="242"/>
      <c r="M63" s="242"/>
      <c r="N63" s="242"/>
    </row>
  </sheetData>
  <mergeCells count="17"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5:A6"/>
    <mergeCell ref="B5:B6"/>
    <mergeCell ref="C5:C6"/>
    <mergeCell ref="D5:D6"/>
    <mergeCell ref="E5:E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5" x14ac:dyDescent="0.25"/>
  <cols>
    <col min="1" max="1" width="8.42578125" customWidth="1"/>
    <col min="2" max="2" width="17.7109375" customWidth="1"/>
    <col min="3" max="3" width="8.85546875" customWidth="1"/>
    <col min="12" max="12" width="13.7109375" customWidth="1"/>
    <col min="13" max="13" width="11.42578125" hidden="1" customWidth="1"/>
  </cols>
  <sheetData>
    <row r="1" spans="1:15" x14ac:dyDescent="0.25">
      <c r="A1" s="48"/>
      <c r="B1" s="49"/>
      <c r="C1" s="49"/>
      <c r="D1" s="50" t="s">
        <v>18</v>
      </c>
      <c r="E1" s="50"/>
      <c r="F1" s="49"/>
      <c r="G1" s="49"/>
      <c r="H1" s="49"/>
      <c r="I1" s="49"/>
      <c r="J1" s="49"/>
      <c r="K1" s="49"/>
      <c r="L1" s="50" t="s">
        <v>71</v>
      </c>
      <c r="M1" s="49"/>
      <c r="N1" s="52" t="str">
        <f>RESUMEN!C5</f>
        <v>VTO: 14/07</v>
      </c>
      <c r="O1" s="52"/>
    </row>
    <row r="2" spans="1:15" x14ac:dyDescent="0.25">
      <c r="A2" s="49"/>
      <c r="B2" s="51"/>
      <c r="C2" s="51"/>
      <c r="D2" s="50" t="s">
        <v>19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</row>
    <row r="3" spans="1:15" x14ac:dyDescent="0.25">
      <c r="A3" s="49"/>
      <c r="B3" s="51"/>
      <c r="C3" s="51"/>
      <c r="D3" s="50"/>
      <c r="E3" s="49"/>
      <c r="F3" s="49"/>
      <c r="G3" s="49"/>
      <c r="H3" s="49"/>
      <c r="I3" s="49"/>
      <c r="J3" s="50" t="s">
        <v>72</v>
      </c>
      <c r="K3" s="50"/>
      <c r="L3" s="53">
        <v>249991.29847799998</v>
      </c>
      <c r="M3" s="49"/>
      <c r="N3" s="54">
        <v>-1891.33</v>
      </c>
      <c r="O3" s="54"/>
    </row>
    <row r="4" spans="1:15" ht="15.75" thickBot="1" x14ac:dyDescent="0.3">
      <c r="A4" s="49"/>
      <c r="B4" s="51"/>
      <c r="C4" s="51"/>
      <c r="D4" s="50"/>
      <c r="E4" s="49"/>
      <c r="F4" s="49"/>
      <c r="G4" s="49"/>
      <c r="H4" s="49"/>
      <c r="I4" s="49"/>
      <c r="J4" s="50" t="s">
        <v>73</v>
      </c>
      <c r="K4" s="50"/>
      <c r="L4" s="53">
        <v>0</v>
      </c>
      <c r="M4" s="49"/>
      <c r="N4" s="49"/>
      <c r="O4" s="49"/>
    </row>
    <row r="5" spans="1:15" ht="30" x14ac:dyDescent="0.25">
      <c r="A5" s="253" t="s">
        <v>74</v>
      </c>
      <c r="B5" s="253" t="s">
        <v>23</v>
      </c>
      <c r="C5" s="55" t="s">
        <v>75</v>
      </c>
      <c r="D5" s="35" t="s">
        <v>24</v>
      </c>
      <c r="E5" s="35" t="s">
        <v>25</v>
      </c>
      <c r="F5" s="253" t="s">
        <v>76</v>
      </c>
      <c r="G5" s="37" t="s">
        <v>77</v>
      </c>
      <c r="H5" s="38" t="s">
        <v>28</v>
      </c>
      <c r="I5" s="36" t="s">
        <v>78</v>
      </c>
      <c r="J5" s="39" t="s">
        <v>29</v>
      </c>
      <c r="K5" s="40" t="s">
        <v>29</v>
      </c>
      <c r="L5" s="37" t="s">
        <v>30</v>
      </c>
      <c r="M5" s="41"/>
      <c r="N5" s="253" t="s">
        <v>79</v>
      </c>
      <c r="O5" s="253" t="s">
        <v>80</v>
      </c>
    </row>
    <row r="6" spans="1:15" x14ac:dyDescent="0.25">
      <c r="A6" s="254"/>
      <c r="B6" s="254"/>
      <c r="C6" s="56" t="s">
        <v>81</v>
      </c>
      <c r="D6" s="42" t="s">
        <v>31</v>
      </c>
      <c r="E6" s="42" t="s">
        <v>32</v>
      </c>
      <c r="F6" s="254"/>
      <c r="G6" s="44" t="s">
        <v>82</v>
      </c>
      <c r="H6" s="45">
        <v>0.06</v>
      </c>
      <c r="I6" s="43" t="s">
        <v>83</v>
      </c>
      <c r="J6" s="46" t="s">
        <v>33</v>
      </c>
      <c r="K6" s="47" t="s">
        <v>84</v>
      </c>
      <c r="L6" s="44" t="s">
        <v>85</v>
      </c>
      <c r="M6" s="47"/>
      <c r="N6" s="254"/>
      <c r="O6" s="254"/>
    </row>
    <row r="7" spans="1:15" ht="15" customHeight="1" x14ac:dyDescent="0.25">
      <c r="A7" s="15">
        <v>1</v>
      </c>
      <c r="B7" s="84" t="s">
        <v>61</v>
      </c>
      <c r="C7" s="87">
        <v>5.4</v>
      </c>
      <c r="D7" s="6">
        <v>13967.239436680005</v>
      </c>
      <c r="E7" s="58">
        <f>D7</f>
        <v>13967.239436680005</v>
      </c>
      <c r="F7" s="23">
        <v>0</v>
      </c>
      <c r="G7" s="21">
        <v>0</v>
      </c>
      <c r="H7" s="27">
        <v>0</v>
      </c>
      <c r="I7" s="17">
        <v>0.54</v>
      </c>
      <c r="J7" s="23">
        <v>11608.200117812001</v>
      </c>
      <c r="K7" s="29">
        <v>0</v>
      </c>
      <c r="L7" s="21">
        <v>11608.200117812001</v>
      </c>
      <c r="M7" s="18"/>
      <c r="N7" s="6">
        <v>11608.200117812001</v>
      </c>
      <c r="O7" s="6">
        <v>12304.692124880721</v>
      </c>
    </row>
    <row r="8" spans="1:15" ht="15" customHeight="1" x14ac:dyDescent="0.25">
      <c r="A8" s="15">
        <v>2</v>
      </c>
      <c r="B8" s="84" t="s">
        <v>61</v>
      </c>
      <c r="C8" s="87">
        <v>5.5</v>
      </c>
      <c r="D8" s="6">
        <v>14267.901278100004</v>
      </c>
      <c r="E8" s="58">
        <f t="shared" ref="E8:E28" si="0">D8</f>
        <v>14267.901278100004</v>
      </c>
      <c r="F8" s="23">
        <v>0</v>
      </c>
      <c r="G8" s="21">
        <v>0</v>
      </c>
      <c r="H8" s="27">
        <v>0</v>
      </c>
      <c r="I8" s="17">
        <v>0.55000000000000004</v>
      </c>
      <c r="J8" s="23">
        <v>11858.191416289999</v>
      </c>
      <c r="K8" s="29">
        <v>0</v>
      </c>
      <c r="L8" s="21">
        <v>11858.191416289999</v>
      </c>
      <c r="M8" s="18"/>
      <c r="N8" s="6">
        <v>11858.191416289999</v>
      </c>
      <c r="O8" s="6">
        <v>12569.682901267399</v>
      </c>
    </row>
    <row r="9" spans="1:15" ht="15" customHeight="1" x14ac:dyDescent="0.25">
      <c r="A9" s="15">
        <v>3</v>
      </c>
      <c r="B9" s="84" t="s">
        <v>65</v>
      </c>
      <c r="C9" s="87">
        <v>4.5</v>
      </c>
      <c r="D9" s="6">
        <v>11261.282863900002</v>
      </c>
      <c r="E9" s="58">
        <f t="shared" si="0"/>
        <v>11261.282863900002</v>
      </c>
      <c r="F9" s="23">
        <v>0</v>
      </c>
      <c r="G9" s="21">
        <v>0</v>
      </c>
      <c r="H9" s="27">
        <v>0</v>
      </c>
      <c r="I9" s="17">
        <v>0.45</v>
      </c>
      <c r="J9" s="23">
        <v>9358.278431509998</v>
      </c>
      <c r="K9" s="29">
        <v>0</v>
      </c>
      <c r="L9" s="21">
        <v>9358.278431509998</v>
      </c>
      <c r="M9" s="18"/>
      <c r="N9" s="6">
        <v>9358.278431509998</v>
      </c>
      <c r="O9" s="6">
        <v>9919.7751374005984</v>
      </c>
    </row>
    <row r="10" spans="1:15" ht="15" customHeight="1" x14ac:dyDescent="0.25">
      <c r="A10" s="15">
        <v>4</v>
      </c>
      <c r="B10" s="84" t="s">
        <v>65</v>
      </c>
      <c r="C10" s="87">
        <v>6.1</v>
      </c>
      <c r="D10" s="6">
        <v>16071.872326620005</v>
      </c>
      <c r="E10" s="58">
        <f t="shared" si="0"/>
        <v>16071.872326620005</v>
      </c>
      <c r="F10" s="23">
        <v>0</v>
      </c>
      <c r="G10" s="21">
        <v>0</v>
      </c>
      <c r="H10" s="27">
        <v>0</v>
      </c>
      <c r="I10" s="17">
        <v>0.61</v>
      </c>
      <c r="J10" s="23">
        <v>13358.139207157999</v>
      </c>
      <c r="K10" s="29">
        <v>0</v>
      </c>
      <c r="L10" s="21">
        <v>13358.139207157999</v>
      </c>
      <c r="M10" s="18"/>
      <c r="N10" s="6">
        <v>13358.139207157999</v>
      </c>
      <c r="O10" s="6">
        <v>14159.627559587479</v>
      </c>
    </row>
    <row r="11" spans="1:15" ht="15" customHeight="1" x14ac:dyDescent="0.25">
      <c r="A11" s="15">
        <v>5</v>
      </c>
      <c r="B11" s="84" t="s">
        <v>38</v>
      </c>
      <c r="C11" s="87">
        <v>5.4</v>
      </c>
      <c r="D11" s="6">
        <v>13967.239436680005</v>
      </c>
      <c r="E11" s="58">
        <f t="shared" si="0"/>
        <v>13967.239436680005</v>
      </c>
      <c r="F11" s="23">
        <v>0</v>
      </c>
      <c r="G11" s="21">
        <v>0</v>
      </c>
      <c r="H11" s="27">
        <v>0</v>
      </c>
      <c r="I11" s="17">
        <v>0.54</v>
      </c>
      <c r="J11" s="23">
        <v>11608.200117812001</v>
      </c>
      <c r="K11" s="29">
        <v>0</v>
      </c>
      <c r="L11" s="21">
        <v>11608.200117812001</v>
      </c>
      <c r="M11" s="18"/>
      <c r="N11" s="6">
        <v>11608.200117812001</v>
      </c>
      <c r="O11" s="6">
        <v>12304.692124880721</v>
      </c>
    </row>
    <row r="12" spans="1:15" ht="15" customHeight="1" x14ac:dyDescent="0.25">
      <c r="A12" s="15">
        <v>6</v>
      </c>
      <c r="B12" s="85" t="s">
        <v>46</v>
      </c>
      <c r="C12" s="87">
        <v>5</v>
      </c>
      <c r="D12" s="6">
        <v>12764.592071000003</v>
      </c>
      <c r="E12" s="58">
        <f t="shared" si="0"/>
        <v>12764.592071000003</v>
      </c>
      <c r="F12" s="23">
        <v>0</v>
      </c>
      <c r="G12" s="21">
        <v>0</v>
      </c>
      <c r="H12" s="27">
        <v>0</v>
      </c>
      <c r="I12" s="17">
        <v>0.5</v>
      </c>
      <c r="J12" s="23">
        <v>10608.2349239</v>
      </c>
      <c r="K12" s="29">
        <v>0</v>
      </c>
      <c r="L12" s="21">
        <v>10608.2349239</v>
      </c>
      <c r="M12" s="18"/>
      <c r="N12" s="6">
        <v>10608.2349239</v>
      </c>
      <c r="O12" s="6">
        <v>11244.729019334</v>
      </c>
    </row>
    <row r="13" spans="1:15" ht="15" customHeight="1" x14ac:dyDescent="0.25">
      <c r="A13" s="15">
        <v>7</v>
      </c>
      <c r="B13" s="84" t="s">
        <v>61</v>
      </c>
      <c r="C13" s="87">
        <v>5</v>
      </c>
      <c r="D13" s="6">
        <v>12764.592071000003</v>
      </c>
      <c r="E13" s="58">
        <f t="shared" si="0"/>
        <v>12764.592071000003</v>
      </c>
      <c r="F13" s="23">
        <v>0</v>
      </c>
      <c r="G13" s="21">
        <v>0</v>
      </c>
      <c r="H13" s="27">
        <v>0</v>
      </c>
      <c r="I13" s="17">
        <v>0.5</v>
      </c>
      <c r="J13" s="23">
        <v>10608.2349239</v>
      </c>
      <c r="K13" s="29">
        <v>0</v>
      </c>
      <c r="L13" s="21">
        <v>10608.2349239</v>
      </c>
      <c r="M13" s="18"/>
      <c r="N13" s="6">
        <v>10608.2349239</v>
      </c>
      <c r="O13" s="6">
        <v>11244.729019334</v>
      </c>
    </row>
    <row r="14" spans="1:15" ht="15" customHeight="1" x14ac:dyDescent="0.25">
      <c r="A14" s="15">
        <v>8</v>
      </c>
      <c r="B14" s="84" t="s">
        <v>58</v>
      </c>
      <c r="C14" s="87">
        <v>4.9000000000000004</v>
      </c>
      <c r="D14" s="6">
        <v>12463.930229580003</v>
      </c>
      <c r="E14" s="58">
        <f t="shared" si="0"/>
        <v>12463.930229580003</v>
      </c>
      <c r="F14" s="23">
        <v>0</v>
      </c>
      <c r="G14" s="21">
        <v>0</v>
      </c>
      <c r="H14" s="27">
        <v>0</v>
      </c>
      <c r="I14" s="17">
        <v>0.49</v>
      </c>
      <c r="J14" s="23">
        <v>10358.243625421999</v>
      </c>
      <c r="K14" s="29">
        <v>0</v>
      </c>
      <c r="L14" s="21">
        <v>10358.243625421999</v>
      </c>
      <c r="M14" s="18"/>
      <c r="N14" s="6">
        <v>10358.243625421999</v>
      </c>
      <c r="O14" s="6">
        <v>10979.738242947318</v>
      </c>
    </row>
    <row r="15" spans="1:15" ht="15" customHeight="1" x14ac:dyDescent="0.25">
      <c r="A15" s="15">
        <v>9</v>
      </c>
      <c r="B15" s="84" t="s">
        <v>53</v>
      </c>
      <c r="C15" s="87">
        <v>4.9000000000000004</v>
      </c>
      <c r="D15" s="6">
        <v>12463.930229580003</v>
      </c>
      <c r="E15" s="58">
        <f t="shared" si="0"/>
        <v>12463.930229580003</v>
      </c>
      <c r="F15" s="23">
        <v>0</v>
      </c>
      <c r="G15" s="21">
        <v>0</v>
      </c>
      <c r="H15" s="27">
        <v>0</v>
      </c>
      <c r="I15" s="17">
        <v>0.49</v>
      </c>
      <c r="J15" s="23">
        <v>10358.243625421999</v>
      </c>
      <c r="K15" s="29">
        <v>0</v>
      </c>
      <c r="L15" s="21">
        <v>10358.243625421999</v>
      </c>
      <c r="M15" s="18"/>
      <c r="N15" s="6">
        <v>10358.243625421999</v>
      </c>
      <c r="O15" s="6">
        <v>10979.738242947318</v>
      </c>
    </row>
    <row r="16" spans="1:15" ht="15" customHeight="1" x14ac:dyDescent="0.25">
      <c r="A16" s="15">
        <v>10</v>
      </c>
      <c r="B16" s="84" t="s">
        <v>63</v>
      </c>
      <c r="C16" s="87">
        <v>5.9</v>
      </c>
      <c r="D16" s="6">
        <v>15470.548643780005</v>
      </c>
      <c r="E16" s="58">
        <f t="shared" si="0"/>
        <v>15470.548643780005</v>
      </c>
      <c r="F16" s="23">
        <v>0</v>
      </c>
      <c r="G16" s="21">
        <v>0</v>
      </c>
      <c r="H16" s="27">
        <v>0</v>
      </c>
      <c r="I16" s="17">
        <v>0.59</v>
      </c>
      <c r="J16" s="23">
        <v>12858.156610202001</v>
      </c>
      <c r="K16" s="29">
        <v>0</v>
      </c>
      <c r="L16" s="21">
        <v>12858.156610202001</v>
      </c>
      <c r="M16" s="18"/>
      <c r="N16" s="6">
        <v>12858.156610202001</v>
      </c>
      <c r="O16" s="6">
        <v>13629.64600681412</v>
      </c>
    </row>
    <row r="17" spans="1:15" ht="15" customHeight="1" x14ac:dyDescent="0.25">
      <c r="A17" s="15">
        <v>11</v>
      </c>
      <c r="B17" s="84" t="s">
        <v>63</v>
      </c>
      <c r="C17" s="87">
        <v>5.7</v>
      </c>
      <c r="D17" s="6">
        <v>14869.224960940002</v>
      </c>
      <c r="E17" s="58">
        <f t="shared" si="0"/>
        <v>14869.224960940002</v>
      </c>
      <c r="F17" s="23">
        <v>0</v>
      </c>
      <c r="G17" s="21">
        <v>0</v>
      </c>
      <c r="H17" s="27">
        <v>0</v>
      </c>
      <c r="I17" s="17">
        <v>0.56999999999999995</v>
      </c>
      <c r="J17" s="23">
        <v>12358.174013246</v>
      </c>
      <c r="K17" s="29">
        <v>0</v>
      </c>
      <c r="L17" s="21">
        <v>12358.174013246</v>
      </c>
      <c r="M17" s="18"/>
      <c r="N17" s="6">
        <v>12358.174013246</v>
      </c>
      <c r="O17" s="6">
        <v>13099.66445404076</v>
      </c>
    </row>
    <row r="18" spans="1:15" ht="15" customHeight="1" x14ac:dyDescent="0.25">
      <c r="A18" s="15">
        <v>12</v>
      </c>
      <c r="B18" s="84" t="s">
        <v>51</v>
      </c>
      <c r="C18" s="87">
        <v>5.4</v>
      </c>
      <c r="D18" s="6">
        <v>13967.239436680005</v>
      </c>
      <c r="E18" s="58">
        <f t="shared" si="0"/>
        <v>13967.239436680005</v>
      </c>
      <c r="F18" s="23">
        <v>0</v>
      </c>
      <c r="G18" s="21">
        <v>0</v>
      </c>
      <c r="H18" s="27">
        <v>0</v>
      </c>
      <c r="I18" s="17">
        <v>0.54</v>
      </c>
      <c r="J18" s="23">
        <v>11608.200117812001</v>
      </c>
      <c r="K18" s="29">
        <v>0</v>
      </c>
      <c r="L18" s="21">
        <v>11608.200117812001</v>
      </c>
      <c r="M18" s="18"/>
      <c r="N18" s="6">
        <v>11608.200117812001</v>
      </c>
      <c r="O18" s="6">
        <v>12304.692124880721</v>
      </c>
    </row>
    <row r="19" spans="1:15" ht="15" customHeight="1" x14ac:dyDescent="0.25">
      <c r="A19" s="15">
        <v>13</v>
      </c>
      <c r="B19" s="84" t="s">
        <v>67</v>
      </c>
      <c r="C19" s="87">
        <v>5.5</v>
      </c>
      <c r="D19" s="6">
        <v>14267.901278100004</v>
      </c>
      <c r="E19" s="58">
        <f t="shared" si="0"/>
        <v>14267.901278100004</v>
      </c>
      <c r="F19" s="23">
        <v>0</v>
      </c>
      <c r="G19" s="21">
        <v>0</v>
      </c>
      <c r="H19" s="27">
        <v>0</v>
      </c>
      <c r="I19" s="17">
        <v>0.55000000000000004</v>
      </c>
      <c r="J19" s="23">
        <v>11858.191416289999</v>
      </c>
      <c r="K19" s="29">
        <v>0</v>
      </c>
      <c r="L19" s="21">
        <v>11858.191416289999</v>
      </c>
      <c r="M19" s="18"/>
      <c r="N19" s="6">
        <v>11858.191416289999</v>
      </c>
      <c r="O19" s="6">
        <v>12569.682901267399</v>
      </c>
    </row>
    <row r="20" spans="1:15" ht="15" customHeight="1" x14ac:dyDescent="0.25">
      <c r="A20" s="15">
        <v>14</v>
      </c>
      <c r="B20" s="84" t="s">
        <v>67</v>
      </c>
      <c r="C20" s="87">
        <v>4.5</v>
      </c>
      <c r="D20" s="6">
        <v>11261.282863900002</v>
      </c>
      <c r="E20" s="58">
        <f t="shared" si="0"/>
        <v>11261.282863900002</v>
      </c>
      <c r="F20" s="23">
        <v>0</v>
      </c>
      <c r="G20" s="21">
        <v>0</v>
      </c>
      <c r="H20" s="27">
        <v>0</v>
      </c>
      <c r="I20" s="17">
        <v>0.45</v>
      </c>
      <c r="J20" s="23">
        <v>9358.278431509998</v>
      </c>
      <c r="K20" s="29">
        <v>0</v>
      </c>
      <c r="L20" s="21">
        <v>9358.278431509998</v>
      </c>
      <c r="M20" s="18"/>
      <c r="N20" s="6">
        <v>9358.278431509998</v>
      </c>
      <c r="O20" s="6">
        <v>9919.7751374005984</v>
      </c>
    </row>
    <row r="21" spans="1:15" ht="15" customHeight="1" x14ac:dyDescent="0.25">
      <c r="A21" s="15">
        <v>15</v>
      </c>
      <c r="B21" s="84" t="s">
        <v>67</v>
      </c>
      <c r="C21" s="87">
        <v>6.1</v>
      </c>
      <c r="D21" s="6">
        <v>16071.872326620005</v>
      </c>
      <c r="E21" s="58">
        <f t="shared" si="0"/>
        <v>16071.872326620005</v>
      </c>
      <c r="F21" s="23">
        <v>0</v>
      </c>
      <c r="G21" s="21">
        <v>0</v>
      </c>
      <c r="H21" s="6">
        <v>0</v>
      </c>
      <c r="I21" s="17">
        <v>0.61</v>
      </c>
      <c r="J21" s="23">
        <v>13358.139207157999</v>
      </c>
      <c r="K21" s="29">
        <v>0</v>
      </c>
      <c r="L21" s="21">
        <v>13358.139207157999</v>
      </c>
      <c r="M21" s="18"/>
      <c r="N21" s="6">
        <v>13358.139207157999</v>
      </c>
      <c r="O21" s="6">
        <v>14159.627559587479</v>
      </c>
    </row>
    <row r="22" spans="1:15" ht="15" customHeight="1" x14ac:dyDescent="0.25">
      <c r="A22" s="15">
        <v>16</v>
      </c>
      <c r="B22" s="84" t="s">
        <v>54</v>
      </c>
      <c r="C22" s="87">
        <v>5.4</v>
      </c>
      <c r="D22" s="6">
        <v>13967.239436680005</v>
      </c>
      <c r="E22" s="58">
        <f t="shared" si="0"/>
        <v>13967.239436680005</v>
      </c>
      <c r="F22" s="23">
        <v>0</v>
      </c>
      <c r="G22" s="21">
        <v>0</v>
      </c>
      <c r="H22" s="27">
        <v>0</v>
      </c>
      <c r="I22" s="17">
        <v>0.54</v>
      </c>
      <c r="J22" s="23">
        <v>11608.200117812001</v>
      </c>
      <c r="K22" s="29">
        <v>0</v>
      </c>
      <c r="L22" s="21">
        <v>11608.200117812001</v>
      </c>
      <c r="M22" s="18"/>
      <c r="N22" s="6">
        <v>11608.200117812001</v>
      </c>
      <c r="O22" s="6">
        <v>12304.692124880721</v>
      </c>
    </row>
    <row r="23" spans="1:15" ht="15" customHeight="1" x14ac:dyDescent="0.25">
      <c r="A23" s="15">
        <v>17</v>
      </c>
      <c r="B23" s="84" t="s">
        <v>56</v>
      </c>
      <c r="C23" s="87">
        <v>5</v>
      </c>
      <c r="D23" s="6">
        <v>12764.592071000003</v>
      </c>
      <c r="E23" s="58">
        <f t="shared" si="0"/>
        <v>12764.592071000003</v>
      </c>
      <c r="F23" s="23">
        <v>0</v>
      </c>
      <c r="G23" s="21">
        <v>0</v>
      </c>
      <c r="H23" s="27">
        <v>0</v>
      </c>
      <c r="I23" s="17">
        <v>0.5</v>
      </c>
      <c r="J23" s="23">
        <v>10608.2349239</v>
      </c>
      <c r="K23" s="29">
        <v>0</v>
      </c>
      <c r="L23" s="21">
        <v>10608.2349239</v>
      </c>
      <c r="M23" s="18"/>
      <c r="N23" s="6">
        <v>10608.2349239</v>
      </c>
      <c r="O23" s="6">
        <v>11244.729019334</v>
      </c>
    </row>
    <row r="24" spans="1:15" ht="15" customHeight="1" x14ac:dyDescent="0.25">
      <c r="A24" s="15">
        <v>18</v>
      </c>
      <c r="B24" s="84" t="s">
        <v>48</v>
      </c>
      <c r="C24" s="87">
        <v>5</v>
      </c>
      <c r="D24" s="6">
        <v>12764.592071000003</v>
      </c>
      <c r="E24" s="58">
        <f t="shared" si="0"/>
        <v>12764.592071000003</v>
      </c>
      <c r="F24" s="23">
        <v>0</v>
      </c>
      <c r="G24" s="21">
        <v>0</v>
      </c>
      <c r="H24" s="27">
        <v>0</v>
      </c>
      <c r="I24" s="17">
        <v>0.5</v>
      </c>
      <c r="J24" s="23">
        <v>10608.2349239</v>
      </c>
      <c r="K24" s="29">
        <v>0</v>
      </c>
      <c r="L24" s="21">
        <v>10608.2349239</v>
      </c>
      <c r="M24" s="18"/>
      <c r="N24" s="6">
        <v>10608.2349239</v>
      </c>
      <c r="O24" s="6">
        <v>11244.729019334</v>
      </c>
    </row>
    <row r="25" spans="1:15" ht="15" customHeight="1" x14ac:dyDescent="0.25">
      <c r="A25" s="15">
        <v>19</v>
      </c>
      <c r="B25" s="84" t="s">
        <v>48</v>
      </c>
      <c r="C25" s="87">
        <v>4.9000000000000004</v>
      </c>
      <c r="D25" s="6">
        <v>12463.930229580003</v>
      </c>
      <c r="E25" s="58">
        <f t="shared" si="0"/>
        <v>12463.930229580003</v>
      </c>
      <c r="F25" s="23">
        <v>0</v>
      </c>
      <c r="G25" s="21">
        <v>0</v>
      </c>
      <c r="H25" s="27">
        <v>0</v>
      </c>
      <c r="I25" s="17">
        <v>0.49</v>
      </c>
      <c r="J25" s="23">
        <v>10358.243625421999</v>
      </c>
      <c r="K25" s="29">
        <v>0</v>
      </c>
      <c r="L25" s="21">
        <v>10358.243625421999</v>
      </c>
      <c r="M25" s="18"/>
      <c r="N25" s="6">
        <v>10358.243625421999</v>
      </c>
      <c r="O25" s="6">
        <v>10979.738242947318</v>
      </c>
    </row>
    <row r="26" spans="1:15" ht="15" customHeight="1" x14ac:dyDescent="0.25">
      <c r="A26" s="15">
        <v>20</v>
      </c>
      <c r="B26" s="84" t="s">
        <v>86</v>
      </c>
      <c r="C26" s="87">
        <v>4.9000000000000004</v>
      </c>
      <c r="D26" s="6">
        <v>12463.930229580003</v>
      </c>
      <c r="E26" s="58">
        <f t="shared" si="0"/>
        <v>12463.930229580003</v>
      </c>
      <c r="F26" s="23">
        <v>0</v>
      </c>
      <c r="G26" s="21">
        <v>0</v>
      </c>
      <c r="H26" s="27">
        <v>0</v>
      </c>
      <c r="I26" s="17">
        <v>0.49</v>
      </c>
      <c r="J26" s="23">
        <v>10358.243625421999</v>
      </c>
      <c r="K26" s="29">
        <v>0</v>
      </c>
      <c r="L26" s="21">
        <v>10358.243625421999</v>
      </c>
      <c r="M26" s="18"/>
      <c r="N26" s="6">
        <v>10358.243625421999</v>
      </c>
      <c r="O26" s="6">
        <v>10979.738242947318</v>
      </c>
    </row>
    <row r="27" spans="1:15" ht="15" customHeight="1" x14ac:dyDescent="0.25">
      <c r="A27" s="15">
        <v>21</v>
      </c>
      <c r="B27" s="84" t="s">
        <v>43</v>
      </c>
      <c r="C27" s="87">
        <v>5.9</v>
      </c>
      <c r="D27" s="6">
        <v>15470.548643780005</v>
      </c>
      <c r="E27" s="58">
        <f t="shared" si="0"/>
        <v>15470.548643780005</v>
      </c>
      <c r="F27" s="23">
        <v>0</v>
      </c>
      <c r="G27" s="21">
        <v>0</v>
      </c>
      <c r="H27" s="27">
        <v>0</v>
      </c>
      <c r="I27" s="17">
        <v>0.59</v>
      </c>
      <c r="J27" s="23">
        <v>12858.156610202001</v>
      </c>
      <c r="K27" s="29">
        <v>0</v>
      </c>
      <c r="L27" s="21">
        <v>12858.156610202001</v>
      </c>
      <c r="M27" s="18"/>
      <c r="N27" s="6">
        <v>12858.156610202001</v>
      </c>
      <c r="O27" s="6">
        <v>13629.64600681412</v>
      </c>
    </row>
    <row r="28" spans="1:15" ht="15" customHeight="1" x14ac:dyDescent="0.25">
      <c r="A28" s="15">
        <v>22</v>
      </c>
      <c r="B28" s="86" t="s">
        <v>50</v>
      </c>
      <c r="C28" s="87">
        <v>5.7</v>
      </c>
      <c r="D28" s="6">
        <v>14869.224960940002</v>
      </c>
      <c r="E28" s="58">
        <f t="shared" si="0"/>
        <v>14869.224960940002</v>
      </c>
      <c r="F28" s="23">
        <v>0</v>
      </c>
      <c r="G28" s="21">
        <v>0</v>
      </c>
      <c r="H28" s="27">
        <v>0</v>
      </c>
      <c r="I28" s="17">
        <v>0.56999999999999995</v>
      </c>
      <c r="J28" s="23">
        <v>12358.174013246</v>
      </c>
      <c r="K28" s="29">
        <v>0</v>
      </c>
      <c r="L28" s="21">
        <v>12358.174013246</v>
      </c>
      <c r="M28" s="18"/>
      <c r="N28" s="6">
        <v>12358.174013246</v>
      </c>
      <c r="O28" s="6">
        <v>13099.66445404076</v>
      </c>
    </row>
    <row r="29" spans="1:15" x14ac:dyDescent="0.25">
      <c r="A29" s="15"/>
      <c r="B29" s="34"/>
      <c r="C29" s="34"/>
      <c r="D29" s="6"/>
      <c r="E29" s="6"/>
      <c r="F29" s="23"/>
      <c r="G29" s="21"/>
      <c r="H29" s="27"/>
      <c r="I29" s="17"/>
      <c r="J29" s="23"/>
      <c r="K29" s="29"/>
      <c r="L29" s="21"/>
      <c r="M29" s="18"/>
      <c r="N29" s="6"/>
      <c r="O29" s="6"/>
    </row>
    <row r="30" spans="1:15" ht="15.75" thickBot="1" x14ac:dyDescent="0.3">
      <c r="A30" s="13"/>
      <c r="B30" s="14"/>
      <c r="C30" s="57">
        <v>116.60000000000001</v>
      </c>
      <c r="D30" s="26">
        <v>161487.47195715201</v>
      </c>
      <c r="E30" s="30">
        <v>161487.47195715201</v>
      </c>
      <c r="F30" s="28">
        <v>0</v>
      </c>
      <c r="G30" s="32">
        <v>0</v>
      </c>
      <c r="H30" s="31">
        <v>0</v>
      </c>
      <c r="I30" s="16">
        <v>11.66</v>
      </c>
      <c r="J30" s="24">
        <v>249880.59402534799</v>
      </c>
      <c r="K30" s="25">
        <v>0</v>
      </c>
      <c r="L30" s="22">
        <v>249880.59402534799</v>
      </c>
      <c r="M30" s="19"/>
      <c r="N30" s="20">
        <v>249880.59402534799</v>
      </c>
      <c r="O30" s="20">
        <v>264873.42966686888</v>
      </c>
    </row>
    <row r="33" spans="5:6" x14ac:dyDescent="0.25">
      <c r="E33" s="33"/>
      <c r="F33" s="33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2025-05-01T14:14:45Z</cp:lastPrinted>
  <dcterms:created xsi:type="dcterms:W3CDTF">2023-09-17T12:29:07Z</dcterms:created>
  <dcterms:modified xsi:type="dcterms:W3CDTF">2025-06-22T23:44:15Z</dcterms:modified>
</cp:coreProperties>
</file>