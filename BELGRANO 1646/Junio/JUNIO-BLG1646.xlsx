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GRANO 1646\Junio\"/>
    </mc:Choice>
  </mc:AlternateContent>
  <xr:revisionPtr revIDLastSave="0" documentId="13_ncr:1_{CD6A0776-1A04-42B9-9330-1A2465DB1E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RESUMEN!$A$1:$F$153</definedName>
  </definedNames>
  <calcPr calcId="181029"/>
</workbook>
</file>

<file path=xl/calcChain.xml><?xml version="1.0" encoding="utf-8"?>
<calcChain xmlns="http://schemas.openxmlformats.org/spreadsheetml/2006/main">
  <c r="F90" i="1" l="1"/>
  <c r="H59" i="1"/>
  <c r="I59" i="1" s="1"/>
  <c r="G59" i="1"/>
  <c r="E59" i="1"/>
  <c r="I58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1" i="1"/>
  <c r="I92" i="1"/>
  <c r="I93" i="1"/>
  <c r="H77" i="1"/>
  <c r="H78" i="1"/>
  <c r="H79" i="1"/>
  <c r="H80" i="1"/>
  <c r="H81" i="1"/>
  <c r="H82" i="1"/>
  <c r="H83" i="1"/>
  <c r="H84" i="1"/>
  <c r="H85" i="1"/>
  <c r="G77" i="1"/>
  <c r="G78" i="1"/>
  <c r="G79" i="1"/>
  <c r="G80" i="1"/>
  <c r="E77" i="1"/>
  <c r="E78" i="1"/>
  <c r="E79" i="1"/>
  <c r="E80" i="1"/>
  <c r="E81" i="1"/>
  <c r="F84" i="1"/>
  <c r="F85" i="1"/>
  <c r="E84" i="1"/>
  <c r="E85" i="1"/>
  <c r="G84" i="1"/>
  <c r="J84" i="1" s="1"/>
  <c r="D53" i="1"/>
  <c r="G85" i="1"/>
  <c r="J85" i="1" s="1"/>
  <c r="D99" i="1"/>
  <c r="F83" i="1"/>
  <c r="E83" i="1"/>
  <c r="G83" i="1"/>
  <c r="J83" i="1" s="1"/>
  <c r="M2" i="2"/>
  <c r="F92" i="1"/>
  <c r="E92" i="1"/>
  <c r="G92" i="1"/>
  <c r="J92" i="1" s="1"/>
  <c r="G26" i="2"/>
  <c r="D112" i="1"/>
  <c r="D108" i="1"/>
  <c r="D30" i="1"/>
  <c r="M4" i="2"/>
  <c r="F127" i="1"/>
  <c r="E127" i="1"/>
  <c r="F126" i="1"/>
  <c r="E126" i="1"/>
  <c r="F93" i="1"/>
  <c r="E93" i="1"/>
  <c r="F89" i="1"/>
  <c r="E89" i="1"/>
  <c r="F86" i="1"/>
  <c r="F87" i="1"/>
  <c r="E86" i="1"/>
  <c r="E87" i="1"/>
  <c r="F67" i="1"/>
  <c r="F71" i="1"/>
  <c r="F72" i="1"/>
  <c r="F73" i="1"/>
  <c r="F74" i="1"/>
  <c r="E67" i="1"/>
  <c r="E71" i="1"/>
  <c r="E72" i="1"/>
  <c r="E73" i="1"/>
  <c r="E74" i="1"/>
  <c r="H74" i="1" s="1"/>
  <c r="F66" i="1"/>
  <c r="E66" i="1"/>
  <c r="E62" i="1"/>
  <c r="G28" i="2"/>
  <c r="G29" i="2"/>
  <c r="G23" i="2"/>
  <c r="G9" i="2"/>
  <c r="G74" i="1"/>
  <c r="J74" i="1" s="1"/>
  <c r="G19" i="2"/>
  <c r="G18" i="2"/>
  <c r="G27" i="2"/>
  <c r="G15" i="2"/>
  <c r="G16" i="2"/>
  <c r="G46" i="2"/>
  <c r="G21" i="2"/>
  <c r="G13" i="2"/>
  <c r="G20" i="2"/>
  <c r="G24" i="2"/>
  <c r="E91" i="1"/>
  <c r="H91" i="1" s="1"/>
  <c r="G91" i="1"/>
  <c r="J91" i="1" s="1"/>
  <c r="B152" i="1"/>
  <c r="F26" i="1"/>
  <c r="E26" i="1"/>
  <c r="E57" i="1"/>
  <c r="H57" i="1" s="1"/>
  <c r="I57" i="1" s="1"/>
  <c r="G57" i="1"/>
  <c r="J57" i="1" s="1"/>
  <c r="G76" i="1"/>
  <c r="J76" i="1" s="1"/>
  <c r="J78" i="1"/>
  <c r="G81" i="1"/>
  <c r="J81" i="1" s="1"/>
  <c r="G82" i="1"/>
  <c r="J82" i="1" s="1"/>
  <c r="G86" i="1"/>
  <c r="J86" i="1" s="1"/>
  <c r="G89" i="1"/>
  <c r="J89" i="1" s="1"/>
  <c r="E90" i="1"/>
  <c r="H90" i="1" s="1"/>
  <c r="I90" i="1" s="1"/>
  <c r="G90" i="1"/>
  <c r="J90" i="1" s="1"/>
  <c r="G71" i="1"/>
  <c r="J71" i="1" s="1"/>
  <c r="G72" i="1"/>
  <c r="J72" i="1" s="1"/>
  <c r="G73" i="1"/>
  <c r="J73" i="1" s="1"/>
  <c r="H71" i="1" l="1"/>
  <c r="H86" i="1"/>
  <c r="H72" i="1"/>
  <c r="H89" i="1"/>
  <c r="H87" i="1" l="1"/>
  <c r="G87" i="1"/>
  <c r="J87" i="1" s="1"/>
  <c r="E76" i="1"/>
  <c r="H76" i="1" s="1"/>
  <c r="D70" i="1"/>
  <c r="D69" i="1"/>
  <c r="D68" i="1"/>
  <c r="D55" i="1"/>
  <c r="L12" i="2"/>
  <c r="L13" i="2"/>
  <c r="L14" i="2"/>
  <c r="L15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F82" i="1"/>
  <c r="E82" i="1"/>
  <c r="E65" i="1"/>
  <c r="D49" i="2"/>
  <c r="E88" i="1"/>
  <c r="H88" i="1" s="1"/>
  <c r="G88" i="1"/>
  <c r="J88" i="1" s="1"/>
  <c r="H93" i="1"/>
  <c r="D95" i="1" l="1"/>
  <c r="F68" i="1"/>
  <c r="E68" i="1"/>
  <c r="F70" i="1"/>
  <c r="E70" i="1"/>
  <c r="F69" i="1"/>
  <c r="E69" i="1"/>
  <c r="H73" i="1"/>
  <c r="G70" i="1"/>
  <c r="J70" i="1" s="1"/>
  <c r="G69" i="1"/>
  <c r="J69" i="1" s="1"/>
  <c r="G68" i="1"/>
  <c r="J68" i="1" s="1"/>
  <c r="H68" i="1" l="1"/>
  <c r="H69" i="1"/>
  <c r="H70" i="1"/>
  <c r="G49" i="2"/>
  <c r="G66" i="1"/>
  <c r="J66" i="1" s="1"/>
  <c r="G65" i="1"/>
  <c r="J65" i="1" s="1"/>
  <c r="G58" i="1"/>
  <c r="J58" i="1" s="1"/>
  <c r="E58" i="1"/>
  <c r="G61" i="1"/>
  <c r="J61" i="1" s="1"/>
  <c r="H58" i="1" l="1"/>
  <c r="H66" i="1"/>
  <c r="H65" i="1"/>
  <c r="E61" i="1"/>
  <c r="F61" i="1"/>
  <c r="H61" i="1" l="1"/>
  <c r="F63" i="1" l="1"/>
  <c r="E63" i="1"/>
  <c r="G63" i="1"/>
  <c r="J63" i="1" s="1"/>
  <c r="F52" i="2"/>
  <c r="F46" i="1"/>
  <c r="E46" i="1"/>
  <c r="D101" i="1"/>
  <c r="H63" i="1" l="1"/>
  <c r="E75" i="1"/>
  <c r="D48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G22" i="2"/>
  <c r="D129" i="1"/>
  <c r="F128" i="1"/>
  <c r="E128" i="1"/>
  <c r="B139" i="1" l="1"/>
  <c r="M3" i="2"/>
  <c r="E129" i="1"/>
  <c r="F129" i="1"/>
  <c r="H129" i="1" l="1"/>
  <c r="I129" i="1" s="1"/>
  <c r="E100" i="1" l="1"/>
  <c r="E45" i="1" l="1"/>
  <c r="E47" i="1"/>
  <c r="E48" i="1" l="1"/>
  <c r="F47" i="1"/>
  <c r="F48" i="1" s="1"/>
  <c r="G48" i="1" l="1"/>
  <c r="F38" i="1"/>
  <c r="F37" i="1"/>
  <c r="F36" i="1"/>
  <c r="E38" i="1"/>
  <c r="E37" i="1"/>
  <c r="E36" i="1"/>
  <c r="G60" i="1" l="1"/>
  <c r="J60" i="1" s="1"/>
  <c r="G62" i="1"/>
  <c r="J62" i="1" s="1"/>
  <c r="G64" i="1"/>
  <c r="J64" i="1" s="1"/>
  <c r="G67" i="1"/>
  <c r="J67" i="1" s="1"/>
  <c r="G75" i="1"/>
  <c r="J75" i="1" s="1"/>
  <c r="G93" i="1"/>
  <c r="J93" i="1" s="1"/>
  <c r="I94" i="1" l="1"/>
  <c r="H67" i="1" l="1"/>
  <c r="H75" i="1" l="1"/>
  <c r="G11" i="2" l="1"/>
  <c r="F114" i="1" l="1"/>
  <c r="E114" i="1"/>
  <c r="G114" i="1" l="1"/>
  <c r="H114" i="1" s="1"/>
  <c r="F111" i="1" l="1"/>
  <c r="F110" i="1"/>
  <c r="E111" i="1"/>
  <c r="E110" i="1"/>
  <c r="F106" i="1"/>
  <c r="F105" i="1"/>
  <c r="E106" i="1"/>
  <c r="E105" i="1"/>
  <c r="F99" i="1"/>
  <c r="E99" i="1"/>
  <c r="F64" i="1"/>
  <c r="F62" i="1"/>
  <c r="F60" i="1"/>
  <c r="E64" i="1"/>
  <c r="E60" i="1"/>
  <c r="F32" i="1"/>
  <c r="F31" i="1"/>
  <c r="E32" i="1"/>
  <c r="E31" i="1"/>
  <c r="F54" i="1"/>
  <c r="F52" i="1"/>
  <c r="E54" i="1"/>
  <c r="E52" i="1"/>
  <c r="F24" i="1"/>
  <c r="F25" i="1"/>
  <c r="F23" i="1"/>
  <c r="E23" i="1"/>
  <c r="E24" i="1"/>
  <c r="E25" i="1"/>
  <c r="F95" i="1" l="1"/>
  <c r="E95" i="1"/>
  <c r="H62" i="1"/>
  <c r="H64" i="1"/>
  <c r="H60" i="1"/>
  <c r="F30" i="1"/>
  <c r="F112" i="1"/>
  <c r="E112" i="1"/>
  <c r="E108" i="1"/>
  <c r="F108" i="1"/>
  <c r="E101" i="1"/>
  <c r="F101" i="1"/>
  <c r="E35" i="1"/>
  <c r="E39" i="1" s="1"/>
  <c r="F35" i="1"/>
  <c r="E30" i="1"/>
  <c r="G95" i="1" l="1"/>
  <c r="I95" i="1" s="1"/>
  <c r="G30" i="1"/>
  <c r="H30" i="1" s="1"/>
  <c r="G112" i="1"/>
  <c r="G108" i="1"/>
  <c r="G101" i="1"/>
  <c r="G35" i="1"/>
  <c r="D35" i="1"/>
  <c r="D116" i="1" s="1"/>
  <c r="H95" i="1" l="1"/>
  <c r="B133" i="1"/>
  <c r="B138" i="1" s="1"/>
  <c r="D39" i="1"/>
  <c r="H101" i="1"/>
  <c r="H35" i="1"/>
  <c r="H112" i="1"/>
  <c r="H108" i="1"/>
  <c r="C121" i="1"/>
  <c r="B143" i="1" s="1"/>
  <c r="L1" i="2" l="1"/>
  <c r="E53" i="1"/>
  <c r="E55" i="1" s="1"/>
  <c r="E116" i="1" s="1"/>
  <c r="F53" i="1"/>
  <c r="F55" i="1" s="1"/>
  <c r="G55" i="1" l="1"/>
  <c r="H55" i="1" l="1"/>
  <c r="B132" i="1"/>
  <c r="O1" i="2" l="1"/>
  <c r="O2" i="2" s="1"/>
  <c r="A3" i="2"/>
  <c r="E43" i="1" l="1"/>
  <c r="F43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G7" i="2"/>
  <c r="K53" i="2" l="1"/>
  <c r="J52" i="2"/>
  <c r="Q47" i="2" s="1"/>
  <c r="B142" i="1"/>
  <c r="G14" i="2"/>
  <c r="J4" i="2" l="1"/>
  <c r="G32" i="2"/>
  <c r="G12" i="2"/>
  <c r="H12" i="2" s="1"/>
  <c r="L8" i="2" l="1"/>
  <c r="L11" i="2"/>
  <c r="L51" i="2"/>
  <c r="L10" i="2"/>
  <c r="L9" i="2"/>
  <c r="G50" i="2" l="1"/>
  <c r="G35" i="2" l="1"/>
  <c r="G25" i="2" l="1"/>
  <c r="F39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G17" i="2" s="1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17" i="2" l="1"/>
  <c r="M17" i="2" s="1"/>
  <c r="N17" i="2" s="1"/>
  <c r="G52" i="2"/>
  <c r="H26" i="2"/>
  <c r="M26" i="2" s="1"/>
  <c r="N26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B137" i="1"/>
  <c r="B145" i="1" s="1"/>
  <c r="F116" i="1"/>
  <c r="G116" i="1" s="1"/>
  <c r="H116" i="1" l="1"/>
  <c r="I116" i="1"/>
</calcChain>
</file>

<file path=xl/sharedStrings.xml><?xml version="1.0" encoding="utf-8"?>
<sst xmlns="http://schemas.openxmlformats.org/spreadsheetml/2006/main" count="272" uniqueCount="178">
  <si>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</si>
  <si>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</si>
  <si>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</si>
  <si>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</si>
  <si>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</si>
  <si>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</si>
  <si>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</si>
  <si>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</si>
  <si>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</si>
  <si>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</si>
  <si>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</si>
  <si>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</si>
  <si>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</si>
  <si>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</si>
  <si>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</si>
  <si>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</si>
  <si>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Sr. Diego Britez (1)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</si>
  <si>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</si>
  <si>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</si>
  <si>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</si>
  <si>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</si>
  <si>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</si>
  <si>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</si>
  <si>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</si>
  <si>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</si>
  <si>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</si>
  <si>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</si>
  <si>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</si>
  <si>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</si>
  <si>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</si>
  <si>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</si>
  <si>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</si>
  <si>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</si>
  <si>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</si>
  <si>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</si>
  <si>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</si>
  <si>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</si>
  <si>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</si>
  <si>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</si>
  <si>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</si>
  <si>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</si>
  <si>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</si>
  <si>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</si>
  <si>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</si>
  <si>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</si>
  <si>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</si>
  <si>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</si>
  <si>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</si>
  <si>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</si>
  <si>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</si>
  <si>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</si>
  <si>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</si>
  <si>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</si>
  <si>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</si>
  <si>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</si>
  <si>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</si>
  <si>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</si>
  <si>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</si>
  <si>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</si>
  <si>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</si>
  <si>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</si>
  <si>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</si>
  <si>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</si>
  <si>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</si>
  <si>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</si>
  <si>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</si>
  <si>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</si>
  <si>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</si>
  <si>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</si>
  <si>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</si>
  <si>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</si>
  <si>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</si>
  <si>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</si>
  <si>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</si>
  <si>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</si>
  <si>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</si>
  <si>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</si>
  <si>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</si>
  <si>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</si>
  <si>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</si>
  <si>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</si>
  <si>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</si>
  <si>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</si>
  <si>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</si>
  <si>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</si>
  <si>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</si>
  <si>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</si>
  <si>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</si>
  <si>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</si>
  <si>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</si>
  <si>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</si>
  <si>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</si>
  <si>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</si>
  <si>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</si>
  <si>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</si>
  <si>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</si>
  <si>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</si>
  <si>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</si>
  <si>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</si>
  <si>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</si>
  <si>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</si>
  <si>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</si>
  <si>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</si>
  <si>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</si>
  <si>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</si>
  <si>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</si>
  <si>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</si>
  <si>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</si>
  <si>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</si>
  <si>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</si>
  <si>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</si>
  <si>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</si>
  <si>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</si>
  <si>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</si>
  <si>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</si>
  <si>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</si>
  <si>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</si>
  <si>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</si>
  <si>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</si>
  <si>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</si>
  <si>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</si>
  <si>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</si>
  <si>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</si>
  <si>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</si>
  <si>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</si>
  <si>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</si>
  <si>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</si>
  <si>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</si>
  <si>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</si>
  <si>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</si>
  <si>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</si>
  <si>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</si>
  <si>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</si>
  <si>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</si>
  <si>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</si>
  <si>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</si>
  <si>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</si>
  <si>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 xml:space="preserve">Contessi - Mantenimiento de ascensores </t>
  </si>
  <si>
    <t>FEUILLANT, GASTON</t>
  </si>
  <si>
    <t>Contessi provision y colocacion de 60 lts de aceite hidraulico en la sede del monta auto</t>
  </si>
  <si>
    <t>SEGURO OBLIGATORIO SR DIEGO BRITEZ FEDERACION PATRONAL DEBITO AUTOMATICO 05/05</t>
  </si>
  <si>
    <t>Debito 12/05</t>
  </si>
  <si>
    <t>Pago mis cuentas 12/05</t>
  </si>
  <si>
    <t>Camaras del sur 19/05 - compra y colocacion camaras de entradas (pileta y gimnasio)</t>
  </si>
  <si>
    <t>Numero 1859135 Debito automatico 5/05</t>
  </si>
  <si>
    <t>Salvatierra limpieza de columna de baño desde piso 3 (inclusive) hasta el piso 10 (inclusive) - 20/05</t>
  </si>
  <si>
    <t>Kromacolor  -  Compra de materiales : Sellador Sika 23/05</t>
  </si>
  <si>
    <t>Compra Fabio Tolosa - Combustible 19/05</t>
  </si>
  <si>
    <t>Compra Alejandro Davin - Combustible 17/05</t>
  </si>
  <si>
    <t>Combustible comprado por el Sr Lucas - remisero 24/05</t>
  </si>
  <si>
    <t xml:space="preserve">Lucas - viajes entregas de combustible </t>
  </si>
  <si>
    <t>Remis Sr. Diego - Dias de paro</t>
  </si>
  <si>
    <t>Silletero - Sr Oscar Colmeiro - Sellado de grieta medianera piso 11 26/05</t>
  </si>
  <si>
    <t>Articulos de limpieza</t>
  </si>
  <si>
    <t>Combustible comprado por el Sr Ruso - remisero 23/05</t>
  </si>
  <si>
    <t>Reparacion puerta SUM 02/05</t>
  </si>
  <si>
    <t>Compra de Juan Manuel Villa - Combustible 23/05</t>
  </si>
  <si>
    <t>Debito 27/05</t>
  </si>
  <si>
    <t>ADS - Imputado en el mes de Marzo y transferido finalizada las charlas por la desvinculacion</t>
  </si>
  <si>
    <t>VTO: 14/07</t>
  </si>
  <si>
    <t>PERÍODO: JUNIO</t>
  </si>
  <si>
    <t>Honorarios JUNIO</t>
  </si>
  <si>
    <t>Energoup MES DE JUNIO</t>
  </si>
  <si>
    <t xml:space="preserve">Mes de JUNIO </t>
  </si>
  <si>
    <t>EN TEORIA EN ESTE PUNTO (JUNIO DEL 2025) LA CAJA NO NOS DA BIEN, TENEMOS 173MIL PESOS DE DIFERENCIA</t>
  </si>
  <si>
    <t>Contessi - Imputado en el mes de MAYO y transferido una vez en la municipalidad se asento el contrato</t>
  </si>
  <si>
    <t>Ingreso mes de MAYO</t>
  </si>
  <si>
    <t xml:space="preserve">Kromacolor </t>
  </si>
  <si>
    <t>Contessi</t>
  </si>
  <si>
    <t>Servisur - cambio de luminarias 18/06</t>
  </si>
  <si>
    <t>Fumigacion 10/06</t>
  </si>
  <si>
    <t>SA seguridad - 10/06 - Servicio tecnico realizado en motor de porton, se lubrica caja reductora</t>
  </si>
  <si>
    <t>Zaffalon Veronica - Por vaciamiento de monta coches con agua y mucho residuo de aceite, extraido con bomba y balde por la pesadez de lo econtrado</t>
  </si>
  <si>
    <t xml:space="preserve">Servisur </t>
  </si>
  <si>
    <t>Eba - Elcetrica de buenos aires</t>
  </si>
  <si>
    <t>Casa ruan - materiales de trabajo</t>
  </si>
  <si>
    <t>Ferreteria Arcamone - Yeso de 5 kilos</t>
  </si>
  <si>
    <t>Presupuesto 18/06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</si>
</sst>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#,##0.0000"/>
    <numFmt numFmtId="169" formatCode="_ &quot;$&quot;\ * #,##0_ ;_ &quot;$&quot;\ * \-#,##0_ ;_ &quot;$&quot;\ * &quot;-&quot;??_ ;_ @_ "/>
    <numFmt numFmtId="170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0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165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8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7" fontId="2" fillId="2" borderId="20" xfId="2" applyFont="1" applyFill="1" applyBorder="1"/>
    <xf numFmtId="3" fontId="0" fillId="0" borderId="13" xfId="0" applyNumberFormat="1" applyBorder="1"/>
    <xf numFmtId="169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9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7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8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165" fontId="0" fillId="0" borderId="0" xfId="0" applyNumberFormat="1"/>
    <xf numFmtId="0" fontId="7" fillId="8" borderId="0" xfId="0" applyFont="1" applyFill="1"/>
    <xf numFmtId="167" fontId="8" fillId="0" borderId="1" xfId="2" applyFont="1" applyBorder="1"/>
    <xf numFmtId="167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7" fontId="4" fillId="0" borderId="1" xfId="0" applyNumberFormat="1" applyFont="1" applyBorder="1"/>
    <xf numFmtId="4" fontId="8" fillId="0" borderId="0" xfId="0" applyNumberFormat="1" applyFont="1"/>
    <xf numFmtId="167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70" fontId="0" fillId="0" borderId="1" xfId="1" applyNumberFormat="1" applyFont="1" applyBorder="1"/>
    <xf numFmtId="0" fontId="0" fillId="9" borderId="1" xfId="0" applyFill="1" applyBorder="1"/>
    <xf numFmtId="170" fontId="0" fillId="9" borderId="1" xfId="0" applyNumberFormat="1" applyFill="1" applyBorder="1"/>
    <xf numFmtId="3" fontId="0" fillId="9" borderId="1" xfId="0" applyNumberFormat="1" applyFill="1" applyBorder="1"/>
    <xf numFmtId="167" fontId="9" fillId="3" borderId="1" xfId="2" applyFont="1" applyFill="1" applyBorder="1"/>
    <xf numFmtId="167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7" fontId="2" fillId="0" borderId="1" xfId="2" applyFont="1" applyBorder="1"/>
    <xf numFmtId="0" fontId="2" fillId="9" borderId="25" xfId="0" applyFont="1" applyFill="1" applyBorder="1"/>
    <xf numFmtId="166" fontId="2" fillId="9" borderId="27" xfId="0" applyNumberFormat="1" applyFont="1" applyFill="1" applyBorder="1"/>
    <xf numFmtId="0" fontId="2" fillId="9" borderId="38" xfId="0" applyFont="1" applyFill="1" applyBorder="1"/>
    <xf numFmtId="166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166" fontId="14" fillId="6" borderId="11" xfId="1" applyFont="1" applyFill="1" applyBorder="1"/>
    <xf numFmtId="166" fontId="6" fillId="6" borderId="11" xfId="1" applyFont="1" applyFill="1" applyBorder="1"/>
    <xf numFmtId="166" fontId="0" fillId="0" borderId="0" xfId="0" applyNumberFormat="1"/>
    <xf numFmtId="165" fontId="2" fillId="6" borderId="34" xfId="0" applyNumberFormat="1" applyFont="1" applyFill="1" applyBorder="1"/>
    <xf numFmtId="0" fontId="2" fillId="3" borderId="1" xfId="0" applyFont="1" applyFill="1" applyBorder="1"/>
    <xf numFmtId="166" fontId="2" fillId="6" borderId="0" xfId="0" applyNumberFormat="1" applyFont="1" applyFill="1"/>
    <xf numFmtId="166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166" fontId="2" fillId="10" borderId="25" xfId="1" applyFont="1" applyFill="1" applyBorder="1"/>
    <xf numFmtId="165" fontId="2" fillId="6" borderId="1" xfId="0" applyNumberFormat="1" applyFont="1" applyFill="1" applyBorder="1"/>
    <xf numFmtId="165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166" fontId="6" fillId="3" borderId="0" xfId="1" applyFont="1" applyFill="1" applyBorder="1"/>
    <xf numFmtId="0" fontId="19" fillId="0" borderId="1" xfId="0" applyFont="1" applyBorder="1"/>
    <xf numFmtId="170" fontId="0" fillId="9" borderId="1" xfId="1" applyNumberFormat="1" applyFont="1" applyFill="1" applyBorder="1"/>
    <xf numFmtId="164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70" fontId="15" fillId="0" borderId="1" xfId="0" applyNumberFormat="1" applyFont="1" applyBorder="1"/>
    <xf numFmtId="170" fontId="19" fillId="0" borderId="1" xfId="0" applyNumberFormat="1" applyFont="1" applyBorder="1"/>
    <xf numFmtId="0" fontId="15" fillId="0" borderId="1" xfId="0" applyFont="1" applyBorder="1"/>
    <xf numFmtId="166" fontId="0" fillId="0" borderId="1" xfId="0" applyNumberFormat="1" applyBorder="1"/>
    <xf numFmtId="164" fontId="0" fillId="0" borderId="0" xfId="0" applyNumberFormat="1"/>
    <xf numFmtId="166" fontId="2" fillId="10" borderId="1" xfId="0" applyNumberFormat="1" applyFont="1" applyFill="1" applyBorder="1"/>
    <xf numFmtId="164" fontId="0" fillId="3" borderId="0" xfId="0" applyNumberFormat="1" applyFill="1" applyAlignment="1">
      <alignment horizontal="right" wrapText="1"/>
    </xf>
    <xf numFmtId="170" fontId="0" fillId="0" borderId="0" xfId="0" applyNumberFormat="1"/>
    <xf numFmtId="166" fontId="0" fillId="0" borderId="34" xfId="1" applyFont="1" applyBorder="1"/>
    <xf numFmtId="166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/>
    <xf numFmtId="166" fontId="2" fillId="7" borderId="26" xfId="0" applyNumberFormat="1" applyFont="1" applyFill="1" applyBorder="1"/>
    <xf numFmtId="166" fontId="0" fillId="0" borderId="11" xfId="0" applyNumberFormat="1" applyBorder="1"/>
    <xf numFmtId="0" fontId="20" fillId="0" borderId="0" xfId="0" applyFont="1"/>
    <xf numFmtId="164" fontId="6" fillId="5" borderId="0" xfId="0" applyNumberFormat="1" applyFont="1" applyFill="1" applyAlignment="1">
      <alignment horizontal="right" wrapText="1"/>
    </xf>
    <xf numFmtId="166" fontId="6" fillId="5" borderId="0" xfId="0" applyNumberFormat="1" applyFont="1" applyFill="1"/>
    <xf numFmtId="164" fontId="6" fillId="5" borderId="0" xfId="0" applyNumberFormat="1" applyFont="1" applyFill="1"/>
    <xf numFmtId="166" fontId="4" fillId="0" borderId="0" xfId="0" applyNumberFormat="1" applyFo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6" fontId="0" fillId="0" borderId="0" xfId="1" applyFont="1"/>
    <xf numFmtId="166" fontId="14" fillId="6" borderId="11" xfId="0" applyNumberFormat="1" applyFont="1" applyFill="1" applyBorder="1"/>
    <xf numFmtId="166" fontId="2" fillId="6" borderId="25" xfId="0" applyNumberFormat="1" applyFont="1" applyFill="1" applyBorder="1"/>
    <xf numFmtId="0" fontId="0" fillId="3" borderId="0" xfId="0" applyFill="1"/>
    <xf numFmtId="166" fontId="20" fillId="0" borderId="0" xfId="0" applyNumberFormat="1" applyFont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166" fontId="0" fillId="0" borderId="2" xfId="0" applyNumberFormat="1" applyBorder="1"/>
    <xf numFmtId="164" fontId="15" fillId="3" borderId="1" xfId="0" applyNumberFormat="1" applyFont="1" applyFill="1" applyBorder="1"/>
    <xf numFmtId="166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166" fontId="2" fillId="6" borderId="1" xfId="0" applyNumberFormat="1" applyFont="1" applyFill="1" applyBorder="1"/>
    <xf numFmtId="166" fontId="2" fillId="6" borderId="1" xfId="1" applyFont="1" applyFill="1" applyBorder="1"/>
    <xf numFmtId="166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3" xfId="0" applyFill="1" applyBorder="1" applyAlignment="1">
      <alignment horizontal="left" vertical="center" wrapText="1"/>
    </xf>
    <xf numFmtId="166" fontId="15" fillId="9" borderId="1" xfId="1" applyFont="1" applyFill="1" applyBorder="1"/>
    <xf numFmtId="167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0" fontId="0" fillId="3" borderId="12" xfId="0" applyFill="1" applyBorder="1"/>
    <xf numFmtId="0" fontId="0" fillId="3" borderId="13" xfId="0" applyFill="1" applyBorder="1"/>
    <xf numFmtId="0" fontId="6" fillId="0" borderId="1" xfId="0" applyFont="1" applyBorder="1" applyAlignment="1">
      <alignment horizontal="center" vertical="center"/>
    </xf>
    <xf numFmtId="166" fontId="6" fillId="3" borderId="11" xfId="1" applyFont="1" applyFill="1" applyBorder="1"/>
    <xf numFmtId="166" fontId="6" fillId="0" borderId="11" xfId="1" applyFont="1" applyBorder="1"/>
    <xf numFmtId="0" fontId="6" fillId="0" borderId="0" xfId="0" applyFont="1"/>
    <xf numFmtId="166" fontId="6" fillId="0" borderId="1" xfId="1" applyFont="1" applyBorder="1"/>
    <xf numFmtId="0" fontId="6" fillId="0" borderId="1" xfId="0" applyFont="1" applyBorder="1"/>
    <xf numFmtId="166" fontId="14" fillId="10" borderId="11" xfId="1" applyFont="1" applyFill="1" applyBorder="1"/>
    <xf numFmtId="166" fontId="14" fillId="7" borderId="26" xfId="0" applyNumberFormat="1" applyFont="1" applyFill="1" applyBorder="1"/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170" fontId="6" fillId="0" borderId="1" xfId="1" applyNumberFormat="1" applyFont="1" applyBorder="1"/>
    <xf numFmtId="170" fontId="6" fillId="3" borderId="1" xfId="1" applyNumberFormat="1" applyFont="1" applyFill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0" fillId="11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12" fillId="3" borderId="11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166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11" borderId="1" xfId="0" applyFont="1" applyFill="1" applyBorder="1"/>
    <xf numFmtId="166" fontId="20" fillId="3" borderId="1" xfId="1" applyFont="1" applyFill="1" applyBorder="1"/>
    <xf numFmtId="0" fontId="0" fillId="0" borderId="1" xfId="0" applyFont="1" applyBorder="1"/>
    <xf numFmtId="0" fontId="0" fillId="11" borderId="1" xfId="0" applyFill="1" applyBorder="1"/>
    <xf numFmtId="0" fontId="0" fillId="11" borderId="11" xfId="0" applyFill="1" applyBorder="1" applyAlignment="1">
      <alignment horizontal="left"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topLeftCell="A83" workbookViewId="0">
      <selection activeCell="A91" sqref="A91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8"/>
      <c r="B1" s="97" t="s">
        <v>119</v>
      </c>
      <c r="C1" s="8"/>
      <c r="D1" s="8"/>
      <c r="E1" s="8"/>
    </row>
    <row r="2" spans="1:5" x14ac:dyDescent="0.25">
      <c r="A2" s="64"/>
      <c r="B2" s="65" t="s">
        <v>0</v>
      </c>
      <c r="C2" s="65"/>
      <c r="D2" s="65"/>
      <c r="E2" s="66"/>
    </row>
    <row r="3" spans="1:5" x14ac:dyDescent="0.25">
      <c r="A3" s="67"/>
      <c r="B3" s="68" t="s">
        <v>89</v>
      </c>
      <c r="C3" s="68"/>
      <c r="D3" s="68"/>
      <c r="E3" s="69"/>
    </row>
    <row r="4" spans="1:5" ht="33.75" customHeight="1" thickBot="1" x14ac:dyDescent="0.3">
      <c r="A4" s="67"/>
      <c r="B4" s="68" t="s">
        <v>90</v>
      </c>
      <c r="C4" s="68"/>
      <c r="D4" s="68"/>
      <c r="E4" s="69"/>
    </row>
    <row r="5" spans="1:5" ht="15.75" thickBot="1" x14ac:dyDescent="0.3">
      <c r="A5" s="70" t="s">
        <v>1</v>
      </c>
      <c r="B5" s="71" t="s">
        <v>160</v>
      </c>
      <c r="C5" s="71" t="s">
        <v>159</v>
      </c>
      <c r="D5" s="71"/>
      <c r="E5" s="72"/>
    </row>
    <row r="6" spans="1:5" ht="15.75" thickBot="1" x14ac:dyDescent="0.3">
      <c r="A6" s="67" t="s">
        <v>100</v>
      </c>
      <c r="B6" s="68"/>
      <c r="C6" s="68"/>
      <c r="D6" s="68"/>
      <c r="E6" s="69"/>
    </row>
    <row r="7" spans="1:5" ht="15.75" thickBot="1" x14ac:dyDescent="0.3">
      <c r="A7" s="70" t="s">
        <v>99</v>
      </c>
      <c r="B7" s="71"/>
      <c r="C7" s="71"/>
      <c r="D7" s="71"/>
      <c r="E7" s="72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207" t="s">
        <v>135</v>
      </c>
      <c r="C14" s="208"/>
      <c r="D14" s="209"/>
    </row>
    <row r="15" spans="1:5" x14ac:dyDescent="0.25">
      <c r="B15" s="210"/>
      <c r="C15" s="211"/>
      <c r="D15" s="212"/>
    </row>
    <row r="16" spans="1:5" x14ac:dyDescent="0.25">
      <c r="B16" s="210"/>
      <c r="C16" s="211"/>
      <c r="D16" s="212"/>
    </row>
    <row r="17" spans="1:8" x14ac:dyDescent="0.25">
      <c r="B17" s="213"/>
      <c r="C17" s="214"/>
      <c r="D17" s="215"/>
    </row>
    <row r="19" spans="1:8" x14ac:dyDescent="0.25">
      <c r="A19" s="3"/>
    </row>
    <row r="20" spans="1:8" ht="15.75" thickBot="1" x14ac:dyDescent="0.3"/>
    <row r="21" spans="1:8" x14ac:dyDescent="0.25">
      <c r="A21" s="61" t="s">
        <v>87</v>
      </c>
      <c r="B21" s="62"/>
      <c r="C21" s="63"/>
      <c r="D21" s="59"/>
      <c r="E21" s="146" t="s">
        <v>122</v>
      </c>
      <c r="F21" s="145" t="s">
        <v>88</v>
      </c>
    </row>
    <row r="22" spans="1:8" x14ac:dyDescent="0.25">
      <c r="A22" s="121" t="s">
        <v>16</v>
      </c>
      <c r="B22" s="7" t="s">
        <v>161</v>
      </c>
      <c r="C22" s="7"/>
      <c r="D22" s="130"/>
      <c r="E22" s="7"/>
      <c r="F22" s="7"/>
    </row>
    <row r="23" spans="1:8" x14ac:dyDescent="0.25">
      <c r="A23" s="121" t="s">
        <v>127</v>
      </c>
      <c r="B23" s="7"/>
      <c r="C23" s="7"/>
      <c r="D23" s="182">
        <v>1234864.1000000001</v>
      </c>
      <c r="E23" s="134">
        <f>D23*91.91%</f>
        <v>1134963.5943100001</v>
      </c>
      <c r="F23" s="134">
        <f>D23*8.09%</f>
        <v>99900.505690000005</v>
      </c>
    </row>
    <row r="24" spans="1:8" x14ac:dyDescent="0.25">
      <c r="A24" s="121" t="s">
        <v>2</v>
      </c>
      <c r="B24" s="7"/>
      <c r="C24" s="7"/>
      <c r="D24" s="182">
        <v>-268582.93</v>
      </c>
      <c r="E24" s="134">
        <f t="shared" ref="E24:E26" si="0">D24*91.91%</f>
        <v>-246854.57096299998</v>
      </c>
      <c r="F24" s="134">
        <f t="shared" ref="F24:F26" si="1">D24*8.09%</f>
        <v>-21728.359036999998</v>
      </c>
    </row>
    <row r="25" spans="1:8" x14ac:dyDescent="0.25">
      <c r="A25" s="121" t="s">
        <v>113</v>
      </c>
      <c r="B25" s="7"/>
      <c r="C25" s="7"/>
      <c r="D25" s="182">
        <v>0.83</v>
      </c>
      <c r="E25" s="134">
        <f t="shared" si="0"/>
        <v>0.76285299999999989</v>
      </c>
      <c r="F25" s="134">
        <f t="shared" si="1"/>
        <v>6.7146999999999998E-2</v>
      </c>
    </row>
    <row r="26" spans="1:8" x14ac:dyDescent="0.25">
      <c r="A26" s="121" t="s">
        <v>151</v>
      </c>
      <c r="B26" s="7"/>
      <c r="C26" s="7"/>
      <c r="D26" s="182">
        <v>13000</v>
      </c>
      <c r="E26" s="134">
        <f t="shared" si="0"/>
        <v>11948.3</v>
      </c>
      <c r="F26" s="134">
        <f t="shared" si="1"/>
        <v>1051.7</v>
      </c>
    </row>
    <row r="27" spans="1:8" hidden="1" x14ac:dyDescent="0.25">
      <c r="A27" s="121"/>
      <c r="B27" s="7"/>
      <c r="C27" s="7"/>
      <c r="D27" s="182"/>
      <c r="E27" s="7"/>
      <c r="F27" s="7"/>
    </row>
    <row r="28" spans="1:8" hidden="1" x14ac:dyDescent="0.25">
      <c r="A28" s="121"/>
      <c r="B28" s="7"/>
      <c r="C28" s="7"/>
      <c r="D28" s="182"/>
      <c r="E28" s="134"/>
      <c r="F28" s="7"/>
    </row>
    <row r="29" spans="1:8" x14ac:dyDescent="0.25">
      <c r="A29" s="121"/>
      <c r="B29" s="7"/>
      <c r="C29" s="7"/>
      <c r="D29" s="182"/>
      <c r="E29" s="134"/>
      <c r="F29" s="7"/>
    </row>
    <row r="30" spans="1:8" ht="13.5" customHeight="1" x14ac:dyDescent="0.25">
      <c r="A30" s="95" t="s">
        <v>3</v>
      </c>
      <c r="B30" s="95"/>
      <c r="C30" s="95"/>
      <c r="D30" s="107">
        <f>SUM(D23:D29)</f>
        <v>979282.00000000012</v>
      </c>
      <c r="E30" s="107">
        <f t="shared" ref="E30" si="2">SUM(E23:E29)</f>
        <v>900058.08620000014</v>
      </c>
      <c r="F30" s="107">
        <f>SUM(F23:F29)</f>
        <v>79223.913799999995</v>
      </c>
      <c r="G30" s="109">
        <f>E30+F30</f>
        <v>979282.00000000012</v>
      </c>
      <c r="H30" s="150" t="str">
        <f>IF(D30=G30, "", "Error")</f>
        <v/>
      </c>
    </row>
    <row r="31" spans="1:8" hidden="1" x14ac:dyDescent="0.25">
      <c r="A31" s="94" t="s">
        <v>110</v>
      </c>
      <c r="B31" s="7"/>
      <c r="C31" s="7"/>
      <c r="D31" s="183">
        <v>0</v>
      </c>
      <c r="E31" s="134">
        <f>D31*91.91%</f>
        <v>0</v>
      </c>
      <c r="F31" s="134">
        <f>D31*8.09%</f>
        <v>0</v>
      </c>
      <c r="H31" s="150"/>
    </row>
    <row r="32" spans="1:8" hidden="1" x14ac:dyDescent="0.25">
      <c r="A32" s="94"/>
      <c r="B32" s="7"/>
      <c r="C32" s="7"/>
      <c r="D32" s="182">
        <v>0</v>
      </c>
      <c r="E32" s="134">
        <f>D32*91.91%</f>
        <v>0</v>
      </c>
      <c r="F32" s="134">
        <f>D32*8.09%</f>
        <v>0</v>
      </c>
      <c r="H32" s="150"/>
    </row>
    <row r="33" spans="1:8" hidden="1" x14ac:dyDescent="0.25">
      <c r="A33" s="94"/>
      <c r="B33" s="7"/>
      <c r="C33" s="7"/>
      <c r="D33" s="182"/>
      <c r="E33" s="7"/>
      <c r="F33" s="7"/>
      <c r="H33" s="150"/>
    </row>
    <row r="34" spans="1:8" hidden="1" x14ac:dyDescent="0.25">
      <c r="A34" s="94"/>
      <c r="B34" s="7"/>
      <c r="C34" s="7"/>
      <c r="D34" s="182"/>
      <c r="E34" s="7"/>
      <c r="F34" s="7"/>
      <c r="H34" s="150"/>
    </row>
    <row r="35" spans="1:8" hidden="1" x14ac:dyDescent="0.25">
      <c r="A35" s="95" t="s">
        <v>118</v>
      </c>
      <c r="B35" s="95"/>
      <c r="C35" s="95"/>
      <c r="D35" s="107">
        <f>SUM(D31:D33)</f>
        <v>0</v>
      </c>
      <c r="E35" s="107">
        <f t="shared" ref="E35:F35" si="3">SUM(E31:E33)</f>
        <v>0</v>
      </c>
      <c r="F35" s="107">
        <f t="shared" si="3"/>
        <v>0</v>
      </c>
      <c r="G35" s="109">
        <f>E35+F35</f>
        <v>0</v>
      </c>
      <c r="H35" s="150" t="str">
        <f>IF(D35=G35, "", "Error")</f>
        <v/>
      </c>
    </row>
    <row r="36" spans="1:8" hidden="1" x14ac:dyDescent="0.25">
      <c r="A36" s="94" t="s">
        <v>110</v>
      </c>
      <c r="B36" s="7"/>
      <c r="C36" s="7"/>
      <c r="D36" s="183"/>
      <c r="E36" s="134">
        <f>D36*91.91%</f>
        <v>0</v>
      </c>
      <c r="F36" s="134">
        <f>D36*8.09%</f>
        <v>0</v>
      </c>
      <c r="H36" s="150"/>
    </row>
    <row r="37" spans="1:8" hidden="1" x14ac:dyDescent="0.25">
      <c r="A37" s="7" t="s">
        <v>131</v>
      </c>
      <c r="B37" s="7"/>
      <c r="C37" s="7"/>
      <c r="D37" s="182"/>
      <c r="E37" s="134">
        <f t="shared" ref="E37:E38" si="4">D37*91.91%</f>
        <v>0</v>
      </c>
      <c r="F37" s="134">
        <f t="shared" ref="F37:F38" si="5">D37*8.09%</f>
        <v>0</v>
      </c>
      <c r="H37" s="150"/>
    </row>
    <row r="38" spans="1:8" hidden="1" x14ac:dyDescent="0.25">
      <c r="A38" s="94" t="s">
        <v>2</v>
      </c>
      <c r="B38" s="7"/>
      <c r="C38" s="7"/>
      <c r="D38" s="182"/>
      <c r="E38" s="134">
        <f t="shared" si="4"/>
        <v>0</v>
      </c>
      <c r="F38" s="134">
        <f t="shared" si="5"/>
        <v>0</v>
      </c>
      <c r="H38" s="150"/>
    </row>
    <row r="39" spans="1:8" hidden="1" x14ac:dyDescent="0.25">
      <c r="A39" s="95" t="s">
        <v>111</v>
      </c>
      <c r="B39" s="95"/>
      <c r="C39" s="95"/>
      <c r="D39" s="107">
        <f>SUM(D32:D38)</f>
        <v>0</v>
      </c>
      <c r="E39" s="107">
        <f t="shared" ref="E39" si="6">SUM(E32:E38)</f>
        <v>0</v>
      </c>
      <c r="F39" s="119">
        <f>E39*8.09%</f>
        <v>0</v>
      </c>
      <c r="H39" s="150"/>
    </row>
    <row r="40" spans="1:8" ht="0.75" hidden="1" customHeight="1" x14ac:dyDescent="0.25">
      <c r="A40" s="129"/>
      <c r="B40" s="98"/>
      <c r="C40" s="98"/>
      <c r="D40" s="182"/>
      <c r="E40" s="120"/>
      <c r="F40" s="120"/>
      <c r="H40" s="150"/>
    </row>
    <row r="41" spans="1:8" hidden="1" x14ac:dyDescent="0.25">
      <c r="A41" s="129"/>
      <c r="B41" s="98"/>
      <c r="C41" s="98"/>
      <c r="D41" s="182"/>
      <c r="E41" s="120"/>
      <c r="F41" s="120"/>
      <c r="H41" s="150"/>
    </row>
    <row r="42" spans="1:8" hidden="1" x14ac:dyDescent="0.25">
      <c r="A42" s="98"/>
      <c r="B42" s="98"/>
      <c r="C42" s="111"/>
      <c r="D42" s="182"/>
      <c r="E42" s="120"/>
      <c r="F42" s="120"/>
      <c r="H42" s="150"/>
    </row>
    <row r="43" spans="1:8" hidden="1" x14ac:dyDescent="0.25">
      <c r="A43" s="95" t="s">
        <v>118</v>
      </c>
      <c r="B43" s="95"/>
      <c r="C43" s="95"/>
      <c r="D43" s="107"/>
      <c r="E43" s="112">
        <f>SUM(D40:D42)</f>
        <v>0</v>
      </c>
      <c r="F43" s="110">
        <f>(D40)*8.09%</f>
        <v>0</v>
      </c>
      <c r="H43" s="150"/>
    </row>
    <row r="44" spans="1:8" hidden="1" x14ac:dyDescent="0.25">
      <c r="A44" s="94"/>
      <c r="B44" s="7"/>
      <c r="C44" s="7"/>
      <c r="D44" s="184"/>
      <c r="E44" s="114"/>
      <c r="F44" s="7"/>
      <c r="H44" s="150"/>
    </row>
    <row r="45" spans="1:8" hidden="1" x14ac:dyDescent="0.25">
      <c r="A45" s="7"/>
      <c r="B45" s="7"/>
      <c r="C45" s="7"/>
      <c r="D45" s="113"/>
      <c r="E45" s="149">
        <f>D45</f>
        <v>0</v>
      </c>
      <c r="F45" s="7"/>
      <c r="H45" s="150"/>
    </row>
    <row r="46" spans="1:8" hidden="1" x14ac:dyDescent="0.25">
      <c r="A46" s="94"/>
      <c r="B46" s="7"/>
      <c r="C46" s="7"/>
      <c r="D46" s="113"/>
      <c r="E46" s="134">
        <f>D46*91.91%</f>
        <v>0</v>
      </c>
      <c r="F46" s="134">
        <f>D46*8.09%</f>
        <v>0</v>
      </c>
      <c r="H46" s="150"/>
    </row>
    <row r="47" spans="1:8" hidden="1" x14ac:dyDescent="0.25">
      <c r="A47" s="94"/>
      <c r="B47" s="7"/>
      <c r="C47" s="7"/>
      <c r="D47" s="185"/>
      <c r="E47" s="134">
        <f>D47*91.91%</f>
        <v>0</v>
      </c>
      <c r="F47" s="134">
        <f>D47*8.09%</f>
        <v>0</v>
      </c>
      <c r="H47" s="150"/>
    </row>
    <row r="48" spans="1:8" ht="15.75" hidden="1" thickBot="1" x14ac:dyDescent="0.3">
      <c r="A48" s="95" t="s">
        <v>128</v>
      </c>
      <c r="B48" s="95"/>
      <c r="C48" s="95"/>
      <c r="D48" s="107">
        <f>SUM(D45:D47)</f>
        <v>0</v>
      </c>
      <c r="E48" s="159">
        <f>SUM(E45:E47)</f>
        <v>0</v>
      </c>
      <c r="F48" s="169">
        <f>SUM(F45:F47)</f>
        <v>0</v>
      </c>
      <c r="G48" s="109">
        <f>E48+F48</f>
        <v>0</v>
      </c>
      <c r="H48" s="150"/>
    </row>
    <row r="49" spans="1:10" hidden="1" x14ac:dyDescent="0.25">
      <c r="A49" s="7"/>
      <c r="B49" s="7"/>
      <c r="C49" s="7"/>
      <c r="D49" s="185"/>
      <c r="E49" s="115"/>
      <c r="F49" s="100"/>
      <c r="H49" s="150"/>
    </row>
    <row r="50" spans="1:10" hidden="1" x14ac:dyDescent="0.25">
      <c r="A50" s="7"/>
      <c r="B50" s="7"/>
      <c r="C50" s="7"/>
      <c r="D50" s="185"/>
      <c r="E50" s="114"/>
      <c r="F50" s="100"/>
      <c r="H50" s="150"/>
    </row>
    <row r="51" spans="1:10" x14ac:dyDescent="0.25">
      <c r="A51" s="94" t="s">
        <v>4</v>
      </c>
      <c r="B51" s="7"/>
      <c r="C51" s="7"/>
      <c r="D51" s="185"/>
      <c r="E51" s="114"/>
      <c r="F51" s="100"/>
      <c r="H51" s="150"/>
    </row>
    <row r="52" spans="1:10" x14ac:dyDescent="0.25">
      <c r="A52" s="94" t="s">
        <v>140</v>
      </c>
      <c r="B52" s="7"/>
      <c r="C52" s="98"/>
      <c r="D52" s="113">
        <v>5020</v>
      </c>
      <c r="E52" s="134">
        <f>D52*91.91%</f>
        <v>4613.8819999999996</v>
      </c>
      <c r="F52" s="134">
        <f>D52*8.09%</f>
        <v>406.11799999999999</v>
      </c>
      <c r="H52" s="150"/>
    </row>
    <row r="53" spans="1:10" x14ac:dyDescent="0.25">
      <c r="A53" s="94" t="s">
        <v>5</v>
      </c>
      <c r="B53" s="7" t="s">
        <v>141</v>
      </c>
      <c r="C53" s="7"/>
      <c r="D53" s="256">
        <f>55568.88+6174.32+104266.16</f>
        <v>166009.35999999999</v>
      </c>
      <c r="E53" s="134">
        <f>D53*91.91%</f>
        <v>152579.20277599996</v>
      </c>
      <c r="F53" s="134">
        <f>D53*8.09%</f>
        <v>13430.157223999999</v>
      </c>
      <c r="H53" s="150"/>
    </row>
    <row r="54" spans="1:10" x14ac:dyDescent="0.25">
      <c r="A54" s="94" t="s">
        <v>136</v>
      </c>
      <c r="B54" s="258" t="s">
        <v>142</v>
      </c>
      <c r="C54" s="7"/>
      <c r="D54" s="256">
        <v>546846.93999999994</v>
      </c>
      <c r="E54" s="134">
        <f>D54*91.91%</f>
        <v>502607.02255399991</v>
      </c>
      <c r="F54" s="134">
        <f>D54*8.09%</f>
        <v>44239.917445999992</v>
      </c>
      <c r="H54" s="150"/>
    </row>
    <row r="55" spans="1:10" x14ac:dyDescent="0.25">
      <c r="A55" s="95" t="s">
        <v>6</v>
      </c>
      <c r="B55" s="96"/>
      <c r="C55" s="96"/>
      <c r="D55" s="108">
        <f>SUM(D52:D54)</f>
        <v>717876.29999999993</v>
      </c>
      <c r="E55" s="108">
        <f t="shared" ref="E55:F55" si="7">SUM(E52:E54)</f>
        <v>659800.10732999991</v>
      </c>
      <c r="F55" s="108">
        <f t="shared" si="7"/>
        <v>58076.192669999989</v>
      </c>
      <c r="G55" s="109">
        <f>E55+F55</f>
        <v>717876.29999999993</v>
      </c>
      <c r="H55" s="150" t="str">
        <f>IF(D55=G55, "", "Error")</f>
        <v/>
      </c>
    </row>
    <row r="56" spans="1:10" x14ac:dyDescent="0.25">
      <c r="A56" s="7" t="s">
        <v>7</v>
      </c>
      <c r="B56" s="7"/>
      <c r="C56" s="7"/>
      <c r="D56" s="185"/>
      <c r="E56" s="115"/>
      <c r="F56" s="7"/>
      <c r="H56" s="150"/>
    </row>
    <row r="57" spans="1:10" x14ac:dyDescent="0.25">
      <c r="A57" s="114" t="s">
        <v>139</v>
      </c>
      <c r="B57" s="176"/>
      <c r="C57" s="177"/>
      <c r="D57" s="185">
        <v>700000</v>
      </c>
      <c r="E57" s="149">
        <f t="shared" ref="E57" si="8">D57</f>
        <v>700000</v>
      </c>
      <c r="F57" s="7"/>
      <c r="G57" s="109">
        <f t="shared" ref="G57" si="9">D57</f>
        <v>700000</v>
      </c>
      <c r="H57" s="161">
        <f t="shared" ref="H57" si="10">E57+F57</f>
        <v>700000</v>
      </c>
      <c r="I57" s="178">
        <f>H57-D57</f>
        <v>0</v>
      </c>
      <c r="J57" s="178">
        <f>G57-D57</f>
        <v>0</v>
      </c>
    </row>
    <row r="58" spans="1:10" ht="16.5" customHeight="1" x14ac:dyDescent="0.25">
      <c r="A58" s="190" t="s">
        <v>137</v>
      </c>
      <c r="B58" s="176"/>
      <c r="C58" s="177"/>
      <c r="D58" s="256">
        <v>1350000</v>
      </c>
      <c r="E58" s="149">
        <f>D58</f>
        <v>1350000</v>
      </c>
      <c r="F58" s="7"/>
      <c r="G58" s="109">
        <f>D58</f>
        <v>1350000</v>
      </c>
      <c r="H58" s="161">
        <f>E58+F58</f>
        <v>1350000</v>
      </c>
      <c r="I58" s="178">
        <f t="shared" ref="I58:I93" si="11">H58-D58</f>
        <v>0</v>
      </c>
      <c r="J58" s="178">
        <f t="shared" ref="J58:J93" si="12">G58-D58</f>
        <v>0</v>
      </c>
    </row>
    <row r="59" spans="1:10" ht="16.5" customHeight="1" x14ac:dyDescent="0.25">
      <c r="A59" s="190" t="s">
        <v>168</v>
      </c>
      <c r="B59" s="176"/>
      <c r="C59" s="177"/>
      <c r="D59" s="256">
        <v>5000</v>
      </c>
      <c r="E59" s="149">
        <f>D59</f>
        <v>5000</v>
      </c>
      <c r="F59" s="7"/>
      <c r="G59" s="109">
        <f>D59</f>
        <v>5000</v>
      </c>
      <c r="H59" s="161">
        <f>E59+F59</f>
        <v>5000</v>
      </c>
      <c r="I59" s="178">
        <f>H59-D59</f>
        <v>0</v>
      </c>
      <c r="J59" s="178"/>
    </row>
    <row r="60" spans="1:10" ht="14.25" customHeight="1" x14ac:dyDescent="0.25">
      <c r="A60" s="121" t="s">
        <v>8</v>
      </c>
      <c r="B60" s="163"/>
      <c r="C60" s="7"/>
      <c r="D60" s="113">
        <v>143638</v>
      </c>
      <c r="E60" s="149">
        <f t="shared" ref="E60:E64" si="13">D60*91.91%</f>
        <v>132017.68579999998</v>
      </c>
      <c r="F60" s="134">
        <f t="shared" ref="F60:F64" si="14">D60*8.09%</f>
        <v>11620.314200000001</v>
      </c>
      <c r="G60" s="109">
        <f t="shared" ref="G60:G93" si="15">D60</f>
        <v>143638</v>
      </c>
      <c r="H60" s="161">
        <f t="shared" ref="H60:H93" si="16">E60+F60</f>
        <v>143637.99999999997</v>
      </c>
      <c r="I60" s="178">
        <f t="shared" si="11"/>
        <v>0</v>
      </c>
      <c r="J60" s="178">
        <f t="shared" si="12"/>
        <v>0</v>
      </c>
    </row>
    <row r="61" spans="1:10" x14ac:dyDescent="0.25">
      <c r="A61" s="94" t="s">
        <v>162</v>
      </c>
      <c r="B61" s="7"/>
      <c r="C61" s="7"/>
      <c r="D61" s="256">
        <v>129675</v>
      </c>
      <c r="E61" s="149">
        <f t="shared" si="13"/>
        <v>119184.2925</v>
      </c>
      <c r="F61" s="134">
        <f t="shared" si="14"/>
        <v>10490.7075</v>
      </c>
      <c r="G61" s="109">
        <f t="shared" si="15"/>
        <v>129675</v>
      </c>
      <c r="H61" s="161">
        <f t="shared" si="16"/>
        <v>129675</v>
      </c>
      <c r="I61" s="178">
        <f t="shared" si="11"/>
        <v>0</v>
      </c>
      <c r="J61" s="178">
        <f t="shared" si="12"/>
        <v>0</v>
      </c>
    </row>
    <row r="62" spans="1:10" x14ac:dyDescent="0.25">
      <c r="A62" s="94" t="s">
        <v>9</v>
      </c>
      <c r="B62" s="7" t="s">
        <v>144</v>
      </c>
      <c r="C62" s="7"/>
      <c r="D62" s="113">
        <v>74622</v>
      </c>
      <c r="E62" s="149">
        <f>D62*91.91%</f>
        <v>68585.080199999997</v>
      </c>
      <c r="F62" s="134">
        <f t="shared" si="14"/>
        <v>6036.9197999999997</v>
      </c>
      <c r="G62" s="109">
        <f t="shared" si="15"/>
        <v>74622</v>
      </c>
      <c r="H62" s="161">
        <f>E62+F62</f>
        <v>74622</v>
      </c>
      <c r="I62" s="178">
        <f t="shared" si="11"/>
        <v>0</v>
      </c>
      <c r="J62" s="178">
        <f t="shared" si="12"/>
        <v>0</v>
      </c>
    </row>
    <row r="63" spans="1:10" x14ac:dyDescent="0.25">
      <c r="A63" s="94" t="s">
        <v>11</v>
      </c>
      <c r="B63" s="7"/>
      <c r="C63" s="7"/>
      <c r="D63" s="256">
        <v>614674.98</v>
      </c>
      <c r="E63" s="149">
        <f t="shared" si="13"/>
        <v>564947.77411799994</v>
      </c>
      <c r="F63" s="134">
        <f t="shared" si="14"/>
        <v>49727.205881999995</v>
      </c>
      <c r="G63" s="109">
        <f t="shared" si="15"/>
        <v>614674.98</v>
      </c>
      <c r="H63" s="161">
        <f t="shared" si="16"/>
        <v>614674.98</v>
      </c>
      <c r="I63" s="178">
        <f t="shared" si="11"/>
        <v>0</v>
      </c>
      <c r="J63" s="178">
        <f t="shared" si="12"/>
        <v>0</v>
      </c>
    </row>
    <row r="64" spans="1:10" x14ac:dyDescent="0.25">
      <c r="A64" s="129" t="s">
        <v>10</v>
      </c>
      <c r="B64" s="98" t="s">
        <v>157</v>
      </c>
      <c r="C64" s="98"/>
      <c r="D64" s="113">
        <v>846331.1</v>
      </c>
      <c r="E64" s="149">
        <f t="shared" si="13"/>
        <v>777862.91400999995</v>
      </c>
      <c r="F64" s="134">
        <f t="shared" si="14"/>
        <v>68468.185989999998</v>
      </c>
      <c r="G64" s="109">
        <f t="shared" si="15"/>
        <v>846331.1</v>
      </c>
      <c r="H64" s="161">
        <f t="shared" si="16"/>
        <v>846331.1</v>
      </c>
      <c r="I64" s="178">
        <f t="shared" si="11"/>
        <v>0</v>
      </c>
      <c r="J64" s="178">
        <f t="shared" si="12"/>
        <v>0</v>
      </c>
    </row>
    <row r="65" spans="1:10" x14ac:dyDescent="0.25">
      <c r="A65" s="98" t="s">
        <v>143</v>
      </c>
      <c r="B65" s="179"/>
      <c r="C65" s="180"/>
      <c r="D65" s="113">
        <v>235500</v>
      </c>
      <c r="E65" s="149">
        <f t="shared" ref="E65:E81" si="17">D65</f>
        <v>235500</v>
      </c>
      <c r="F65" s="134"/>
      <c r="G65" s="109">
        <f t="shared" si="15"/>
        <v>235500</v>
      </c>
      <c r="H65" s="161">
        <f t="shared" si="16"/>
        <v>235500</v>
      </c>
      <c r="I65" s="178">
        <f t="shared" si="11"/>
        <v>0</v>
      </c>
      <c r="J65" s="178">
        <f t="shared" si="12"/>
        <v>0</v>
      </c>
    </row>
    <row r="66" spans="1:10" x14ac:dyDescent="0.25">
      <c r="A66" s="219" t="s">
        <v>154</v>
      </c>
      <c r="B66" s="220"/>
      <c r="C66" s="221"/>
      <c r="D66" s="113">
        <v>111026</v>
      </c>
      <c r="E66" s="149">
        <f>D66*91.91%</f>
        <v>102043.99659999998</v>
      </c>
      <c r="F66" s="149">
        <f>D66*8.09%</f>
        <v>8982.0033999999996</v>
      </c>
      <c r="G66" s="109">
        <f t="shared" si="15"/>
        <v>111026</v>
      </c>
      <c r="H66" s="161">
        <f>E66+F66</f>
        <v>111025.99999999999</v>
      </c>
      <c r="I66" s="178">
        <f t="shared" si="11"/>
        <v>0</v>
      </c>
      <c r="J66" s="178">
        <f t="shared" si="12"/>
        <v>0</v>
      </c>
    </row>
    <row r="67" spans="1:10" ht="16.5" customHeight="1" x14ac:dyDescent="0.25">
      <c r="A67" s="219" t="s">
        <v>149</v>
      </c>
      <c r="B67" s="220"/>
      <c r="C67" s="221"/>
      <c r="D67" s="113">
        <v>104006.06</v>
      </c>
      <c r="E67" s="149">
        <f t="shared" ref="E67:E74" si="18">D67*91.91%</f>
        <v>95591.969745999988</v>
      </c>
      <c r="F67" s="149">
        <f t="shared" ref="F67:F74" si="19">D67*8.09%</f>
        <v>8414.0902540000006</v>
      </c>
      <c r="G67" s="109">
        <f>D67</f>
        <v>104006.06</v>
      </c>
      <c r="H67" s="161">
        <f t="shared" si="16"/>
        <v>104006.05999999998</v>
      </c>
      <c r="I67" s="178">
        <f t="shared" si="11"/>
        <v>0</v>
      </c>
      <c r="J67" s="178">
        <f t="shared" si="12"/>
        <v>0</v>
      </c>
    </row>
    <row r="68" spans="1:10" ht="16.5" customHeight="1" x14ac:dyDescent="0.25">
      <c r="A68" s="219" t="s">
        <v>149</v>
      </c>
      <c r="B68" s="220"/>
      <c r="C68" s="221"/>
      <c r="D68" s="113">
        <f>104002.96</f>
        <v>104002.96</v>
      </c>
      <c r="E68" s="149">
        <f t="shared" si="18"/>
        <v>95589.120536000002</v>
      </c>
      <c r="F68" s="149">
        <f t="shared" si="19"/>
        <v>8413.8394640000006</v>
      </c>
      <c r="G68" s="109">
        <f t="shared" ref="G68:G74" si="20">D68</f>
        <v>104002.96</v>
      </c>
      <c r="H68" s="161">
        <f t="shared" si="16"/>
        <v>104002.96</v>
      </c>
      <c r="I68" s="178">
        <f t="shared" si="11"/>
        <v>0</v>
      </c>
      <c r="J68" s="178">
        <f t="shared" si="12"/>
        <v>0</v>
      </c>
    </row>
    <row r="69" spans="1:10" ht="16.5" customHeight="1" x14ac:dyDescent="0.25">
      <c r="A69" s="219" t="s">
        <v>149</v>
      </c>
      <c r="B69" s="220"/>
      <c r="C69" s="221"/>
      <c r="D69" s="113">
        <f>104002.96</f>
        <v>104002.96</v>
      </c>
      <c r="E69" s="149">
        <f t="shared" si="18"/>
        <v>95589.120536000002</v>
      </c>
      <c r="F69" s="149">
        <f t="shared" si="19"/>
        <v>8413.8394640000006</v>
      </c>
      <c r="G69" s="109">
        <f t="shared" si="20"/>
        <v>104002.96</v>
      </c>
      <c r="H69" s="161">
        <f t="shared" si="16"/>
        <v>104002.96</v>
      </c>
      <c r="I69" s="178">
        <f t="shared" si="11"/>
        <v>0</v>
      </c>
      <c r="J69" s="178">
        <f t="shared" si="12"/>
        <v>0</v>
      </c>
    </row>
    <row r="70" spans="1:10" ht="16.5" customHeight="1" x14ac:dyDescent="0.25">
      <c r="A70" s="219" t="s">
        <v>149</v>
      </c>
      <c r="B70" s="220"/>
      <c r="C70" s="221"/>
      <c r="D70" s="113">
        <f>104002.96</f>
        <v>104002.96</v>
      </c>
      <c r="E70" s="149">
        <f t="shared" si="18"/>
        <v>95589.120536000002</v>
      </c>
      <c r="F70" s="149">
        <f t="shared" si="19"/>
        <v>8413.8394640000006</v>
      </c>
      <c r="G70" s="109">
        <f t="shared" si="20"/>
        <v>104002.96</v>
      </c>
      <c r="H70" s="161">
        <f t="shared" si="16"/>
        <v>104002.96</v>
      </c>
      <c r="I70" s="178">
        <f t="shared" si="11"/>
        <v>0</v>
      </c>
      <c r="J70" s="178">
        <f t="shared" si="12"/>
        <v>0</v>
      </c>
    </row>
    <row r="71" spans="1:10" ht="16.5" customHeight="1" x14ac:dyDescent="0.25">
      <c r="A71" s="202" t="s">
        <v>148</v>
      </c>
      <c r="B71" s="203"/>
      <c r="C71" s="204"/>
      <c r="D71" s="113">
        <v>100419.01</v>
      </c>
      <c r="E71" s="149">
        <f t="shared" si="18"/>
        <v>92295.112090999988</v>
      </c>
      <c r="F71" s="149">
        <f t="shared" si="19"/>
        <v>8123.8979089999993</v>
      </c>
      <c r="G71" s="109">
        <f t="shared" si="20"/>
        <v>100419.01</v>
      </c>
      <c r="H71" s="161">
        <f t="shared" si="16"/>
        <v>100419.00999999998</v>
      </c>
      <c r="I71" s="178">
        <f t="shared" si="11"/>
        <v>0</v>
      </c>
      <c r="J71" s="178">
        <f t="shared" si="12"/>
        <v>0</v>
      </c>
    </row>
    <row r="72" spans="1:10" ht="16.5" customHeight="1" x14ac:dyDescent="0.25">
      <c r="A72" s="202" t="s">
        <v>148</v>
      </c>
      <c r="B72" s="203"/>
      <c r="C72" s="204"/>
      <c r="D72" s="113">
        <v>97003.05</v>
      </c>
      <c r="E72" s="149">
        <f t="shared" si="18"/>
        <v>89155.503254999989</v>
      </c>
      <c r="F72" s="149">
        <f t="shared" si="19"/>
        <v>7847.5467450000006</v>
      </c>
      <c r="G72" s="109">
        <f t="shared" si="20"/>
        <v>97003.05</v>
      </c>
      <c r="H72" s="161">
        <f t="shared" si="16"/>
        <v>97003.049999999988</v>
      </c>
      <c r="I72" s="178">
        <f t="shared" si="11"/>
        <v>0</v>
      </c>
      <c r="J72" s="178">
        <f t="shared" si="12"/>
        <v>0</v>
      </c>
    </row>
    <row r="73" spans="1:10" ht="16.5" customHeight="1" x14ac:dyDescent="0.25">
      <c r="A73" s="202" t="s">
        <v>147</v>
      </c>
      <c r="B73" s="203"/>
      <c r="C73" s="204"/>
      <c r="D73" s="113">
        <v>98393.96</v>
      </c>
      <c r="E73" s="149">
        <f t="shared" si="18"/>
        <v>90433.888636000003</v>
      </c>
      <c r="F73" s="149">
        <f t="shared" si="19"/>
        <v>7960.0713640000004</v>
      </c>
      <c r="G73" s="109">
        <f t="shared" si="20"/>
        <v>98393.96</v>
      </c>
      <c r="H73" s="161">
        <f t="shared" si="16"/>
        <v>98393.96</v>
      </c>
      <c r="I73" s="178">
        <f t="shared" si="11"/>
        <v>0</v>
      </c>
      <c r="J73" s="178">
        <f t="shared" si="12"/>
        <v>0</v>
      </c>
    </row>
    <row r="74" spans="1:10" ht="16.5" customHeight="1" x14ac:dyDescent="0.25">
      <c r="A74" s="197" t="s">
        <v>156</v>
      </c>
      <c r="B74" s="195"/>
      <c r="C74" s="196"/>
      <c r="D74" s="113">
        <v>99259.05</v>
      </c>
      <c r="E74" s="149">
        <f t="shared" si="18"/>
        <v>91228.99285499999</v>
      </c>
      <c r="F74" s="149">
        <f t="shared" si="19"/>
        <v>8030.0571449999998</v>
      </c>
      <c r="G74" s="109">
        <f t="shared" si="20"/>
        <v>99259.05</v>
      </c>
      <c r="H74" s="161">
        <f t="shared" si="16"/>
        <v>99259.049999999988</v>
      </c>
      <c r="I74" s="178">
        <f t="shared" si="11"/>
        <v>0</v>
      </c>
      <c r="J74" s="178">
        <f t="shared" si="12"/>
        <v>0</v>
      </c>
    </row>
    <row r="75" spans="1:10" x14ac:dyDescent="0.25">
      <c r="A75" s="230" t="s">
        <v>170</v>
      </c>
      <c r="B75" s="231"/>
      <c r="C75" s="232"/>
      <c r="D75" s="256">
        <v>66000</v>
      </c>
      <c r="E75" s="149">
        <f t="shared" si="17"/>
        <v>66000</v>
      </c>
      <c r="F75" s="134"/>
      <c r="G75" s="109">
        <f t="shared" si="15"/>
        <v>66000</v>
      </c>
      <c r="H75" s="161">
        <f t="shared" si="16"/>
        <v>66000</v>
      </c>
      <c r="I75" s="178">
        <f t="shared" si="11"/>
        <v>0</v>
      </c>
      <c r="J75" s="178">
        <f t="shared" si="12"/>
        <v>0</v>
      </c>
    </row>
    <row r="76" spans="1:10" ht="15" customHeight="1" x14ac:dyDescent="0.25">
      <c r="A76" s="233" t="s">
        <v>145</v>
      </c>
      <c r="B76" s="234"/>
      <c r="C76" s="235"/>
      <c r="D76" s="113">
        <v>218400</v>
      </c>
      <c r="E76" s="149">
        <f t="shared" si="17"/>
        <v>218400</v>
      </c>
      <c r="F76" s="134"/>
      <c r="G76" s="109">
        <f t="shared" si="15"/>
        <v>218400</v>
      </c>
      <c r="H76" s="161">
        <f t="shared" si="16"/>
        <v>218400</v>
      </c>
      <c r="I76" s="178">
        <f t="shared" si="11"/>
        <v>0</v>
      </c>
      <c r="J76" s="178">
        <f t="shared" si="12"/>
        <v>0</v>
      </c>
    </row>
    <row r="77" spans="1:10" ht="15" customHeight="1" x14ac:dyDescent="0.25">
      <c r="A77" s="259" t="s">
        <v>173</v>
      </c>
      <c r="B77" s="7"/>
      <c r="C77" s="7"/>
      <c r="D77" s="256">
        <v>315000</v>
      </c>
      <c r="E77" s="149">
        <f t="shared" si="17"/>
        <v>315000</v>
      </c>
      <c r="F77" s="134"/>
      <c r="G77" s="109">
        <f t="shared" si="15"/>
        <v>315000</v>
      </c>
      <c r="H77" s="161">
        <f t="shared" si="16"/>
        <v>315000</v>
      </c>
      <c r="I77" s="178">
        <f t="shared" si="11"/>
        <v>0</v>
      </c>
      <c r="J77" s="178"/>
    </row>
    <row r="78" spans="1:10" ht="15" customHeight="1" x14ac:dyDescent="0.25">
      <c r="A78" s="193" t="s">
        <v>169</v>
      </c>
      <c r="B78" s="194"/>
      <c r="C78" s="189"/>
      <c r="D78" s="256">
        <v>35000</v>
      </c>
      <c r="E78" s="149">
        <f t="shared" si="17"/>
        <v>35000</v>
      </c>
      <c r="F78" s="134"/>
      <c r="G78" s="109">
        <f t="shared" si="15"/>
        <v>35000</v>
      </c>
      <c r="H78" s="161">
        <f t="shared" si="16"/>
        <v>35000</v>
      </c>
      <c r="I78" s="178">
        <f t="shared" si="11"/>
        <v>0</v>
      </c>
      <c r="J78" s="178">
        <f t="shared" si="12"/>
        <v>0</v>
      </c>
    </row>
    <row r="79" spans="1:10" ht="15" customHeight="1" x14ac:dyDescent="0.25">
      <c r="A79" s="258" t="s">
        <v>174</v>
      </c>
      <c r="B79" s="114"/>
      <c r="C79" s="7"/>
      <c r="D79" s="256">
        <v>143416.32999999999</v>
      </c>
      <c r="E79" s="149">
        <f t="shared" si="17"/>
        <v>143416.32999999999</v>
      </c>
      <c r="F79" s="134"/>
      <c r="G79" s="109">
        <f t="shared" si="15"/>
        <v>143416.32999999999</v>
      </c>
      <c r="H79" s="161">
        <f t="shared" si="16"/>
        <v>143416.32999999999</v>
      </c>
      <c r="I79" s="178">
        <f t="shared" si="11"/>
        <v>0</v>
      </c>
      <c r="J79" s="178"/>
    </row>
    <row r="80" spans="1:10" ht="15" customHeight="1" x14ac:dyDescent="0.25">
      <c r="A80" s="7" t="s">
        <v>175</v>
      </c>
      <c r="B80" s="114"/>
      <c r="C80" s="7"/>
      <c r="D80" s="256">
        <v>12100</v>
      </c>
      <c r="E80" s="149">
        <f t="shared" si="17"/>
        <v>12100</v>
      </c>
      <c r="F80" s="134"/>
      <c r="G80" s="109">
        <f t="shared" si="15"/>
        <v>12100</v>
      </c>
      <c r="H80" s="161">
        <f t="shared" si="16"/>
        <v>12100</v>
      </c>
      <c r="I80" s="178">
        <f t="shared" si="11"/>
        <v>0</v>
      </c>
      <c r="J80" s="178"/>
    </row>
    <row r="81" spans="1:10" ht="15" customHeight="1" x14ac:dyDescent="0.25">
      <c r="A81" s="257" t="s">
        <v>176</v>
      </c>
      <c r="B81" s="114"/>
      <c r="C81" s="7"/>
      <c r="D81" s="256">
        <v>4200</v>
      </c>
      <c r="E81" s="149">
        <f t="shared" si="17"/>
        <v>4200</v>
      </c>
      <c r="F81" s="7"/>
      <c r="G81" s="109">
        <f t="shared" si="15"/>
        <v>4200</v>
      </c>
      <c r="H81" s="161">
        <f t="shared" si="16"/>
        <v>4200</v>
      </c>
      <c r="I81" s="178">
        <f t="shared" si="11"/>
        <v>0</v>
      </c>
      <c r="J81" s="178">
        <f t="shared" si="12"/>
        <v>0</v>
      </c>
    </row>
    <row r="82" spans="1:10" ht="14.25" customHeight="1" x14ac:dyDescent="0.25">
      <c r="A82" s="255" t="s">
        <v>167</v>
      </c>
      <c r="B82" s="7"/>
      <c r="C82" s="7"/>
      <c r="D82" s="256">
        <v>736429.26</v>
      </c>
      <c r="E82" s="149">
        <f t="shared" ref="E82:E89" si="21">D82*91.91%</f>
        <v>676852.13286599994</v>
      </c>
      <c r="F82" s="134">
        <f t="shared" ref="F82:F90" si="22">D82*8.09%</f>
        <v>59577.127134000002</v>
      </c>
      <c r="G82" s="109">
        <f t="shared" si="15"/>
        <v>736429.26</v>
      </c>
      <c r="H82" s="161">
        <f t="shared" si="16"/>
        <v>736429.25999999989</v>
      </c>
      <c r="I82" s="178">
        <f t="shared" si="11"/>
        <v>0</v>
      </c>
      <c r="J82" s="178">
        <f t="shared" si="12"/>
        <v>0</v>
      </c>
    </row>
    <row r="83" spans="1:10" ht="14.25" customHeight="1" x14ac:dyDescent="0.25">
      <c r="A83" s="255" t="s">
        <v>167</v>
      </c>
      <c r="B83" s="7"/>
      <c r="C83" s="7"/>
      <c r="D83" s="256">
        <v>232510.18</v>
      </c>
      <c r="E83" s="149">
        <f t="shared" si="21"/>
        <v>213700.10643799999</v>
      </c>
      <c r="F83" s="134">
        <f t="shared" si="22"/>
        <v>18810.073561999998</v>
      </c>
      <c r="G83" s="109">
        <f t="shared" si="15"/>
        <v>232510.18</v>
      </c>
      <c r="H83" s="161">
        <f t="shared" si="16"/>
        <v>232510.18</v>
      </c>
      <c r="I83" s="178">
        <f t="shared" si="11"/>
        <v>0</v>
      </c>
      <c r="J83" s="178">
        <f t="shared" si="12"/>
        <v>0</v>
      </c>
    </row>
    <row r="84" spans="1:10" ht="14.25" customHeight="1" x14ac:dyDescent="0.25">
      <c r="A84" s="255" t="s">
        <v>167</v>
      </c>
      <c r="B84" s="7"/>
      <c r="C84" s="7"/>
      <c r="D84" s="256">
        <v>357622.29</v>
      </c>
      <c r="E84" s="149">
        <f t="shared" si="21"/>
        <v>328690.64673899993</v>
      </c>
      <c r="F84" s="134">
        <f t="shared" si="22"/>
        <v>28931.643260999997</v>
      </c>
      <c r="G84" s="109">
        <f t="shared" si="15"/>
        <v>357622.29</v>
      </c>
      <c r="H84" s="161">
        <f t="shared" si="16"/>
        <v>357622.28999999992</v>
      </c>
      <c r="I84" s="178">
        <f t="shared" si="11"/>
        <v>0</v>
      </c>
      <c r="J84" s="178">
        <f t="shared" si="12"/>
        <v>0</v>
      </c>
    </row>
    <row r="85" spans="1:10" ht="14.25" customHeight="1" x14ac:dyDescent="0.25">
      <c r="A85" s="255" t="s">
        <v>167</v>
      </c>
      <c r="B85" s="7"/>
      <c r="C85" s="7"/>
      <c r="D85" s="256">
        <v>358487.12</v>
      </c>
      <c r="E85" s="149">
        <f t="shared" si="21"/>
        <v>329485.51199199999</v>
      </c>
      <c r="F85" s="134">
        <f t="shared" si="22"/>
        <v>29001.608007999999</v>
      </c>
      <c r="G85" s="109">
        <f t="shared" si="15"/>
        <v>358487.12</v>
      </c>
      <c r="H85" s="161">
        <f t="shared" si="16"/>
        <v>358487.12</v>
      </c>
      <c r="I85" s="178">
        <f t="shared" si="11"/>
        <v>0</v>
      </c>
      <c r="J85" s="178">
        <f t="shared" si="12"/>
        <v>0</v>
      </c>
    </row>
    <row r="86" spans="1:10" ht="14.25" customHeight="1" x14ac:dyDescent="0.25">
      <c r="A86" s="255" t="s">
        <v>167</v>
      </c>
      <c r="B86" s="7"/>
      <c r="C86" s="7"/>
      <c r="D86" s="256">
        <v>186859.86</v>
      </c>
      <c r="E86" s="149">
        <f t="shared" si="21"/>
        <v>171742.89732599998</v>
      </c>
      <c r="F86" s="134">
        <f t="shared" si="22"/>
        <v>15116.962673999999</v>
      </c>
      <c r="G86" s="109">
        <f t="shared" si="15"/>
        <v>186859.86</v>
      </c>
      <c r="H86" s="161">
        <f t="shared" si="16"/>
        <v>186859.86</v>
      </c>
      <c r="I86" s="178">
        <f t="shared" si="11"/>
        <v>0</v>
      </c>
      <c r="J86" s="178">
        <f t="shared" si="12"/>
        <v>0</v>
      </c>
    </row>
    <row r="87" spans="1:10" ht="14.25" customHeight="1" x14ac:dyDescent="0.25">
      <c r="A87" s="257" t="s">
        <v>171</v>
      </c>
      <c r="B87" s="7"/>
      <c r="C87" s="7"/>
      <c r="D87" s="256">
        <v>36300</v>
      </c>
      <c r="E87" s="149">
        <f t="shared" si="21"/>
        <v>33363.329999999994</v>
      </c>
      <c r="F87" s="134">
        <f t="shared" si="22"/>
        <v>2936.67</v>
      </c>
      <c r="G87" s="109">
        <f t="shared" si="15"/>
        <v>36300</v>
      </c>
      <c r="H87" s="161">
        <f t="shared" si="16"/>
        <v>36299.999999999993</v>
      </c>
      <c r="I87" s="178">
        <f t="shared" si="11"/>
        <v>0</v>
      </c>
      <c r="J87" s="178">
        <f t="shared" si="12"/>
        <v>0</v>
      </c>
    </row>
    <row r="88" spans="1:10" ht="41.25" customHeight="1" x14ac:dyDescent="0.25">
      <c r="A88" s="230" t="s">
        <v>172</v>
      </c>
      <c r="B88" s="231"/>
      <c r="C88" s="232"/>
      <c r="D88" s="256">
        <v>430000</v>
      </c>
      <c r="E88" s="149">
        <f t="shared" ref="E81:E91" si="23">D88</f>
        <v>430000</v>
      </c>
      <c r="F88" s="7"/>
      <c r="G88" s="109">
        <f t="shared" si="15"/>
        <v>430000</v>
      </c>
      <c r="H88" s="161">
        <f t="shared" si="16"/>
        <v>430000</v>
      </c>
      <c r="I88" s="178">
        <f t="shared" si="11"/>
        <v>0</v>
      </c>
      <c r="J88" s="178">
        <f t="shared" si="12"/>
        <v>0</v>
      </c>
    </row>
    <row r="89" spans="1:10" ht="14.25" customHeight="1" x14ac:dyDescent="0.25">
      <c r="A89" s="7" t="s">
        <v>120</v>
      </c>
      <c r="B89" s="7" t="s">
        <v>163</v>
      </c>
      <c r="C89" s="7"/>
      <c r="D89" s="113">
        <v>79895</v>
      </c>
      <c r="E89" s="149">
        <f t="shared" si="21"/>
        <v>73431.494499999986</v>
      </c>
      <c r="F89" s="134">
        <f t="shared" si="22"/>
        <v>6463.5055000000002</v>
      </c>
      <c r="G89" s="109">
        <f t="shared" si="15"/>
        <v>79895</v>
      </c>
      <c r="H89" s="161">
        <f t="shared" si="16"/>
        <v>79894.999999999985</v>
      </c>
      <c r="I89" s="178">
        <f t="shared" si="11"/>
        <v>0</v>
      </c>
      <c r="J89" s="178">
        <f t="shared" si="12"/>
        <v>0</v>
      </c>
    </row>
    <row r="90" spans="1:10" ht="14.25" customHeight="1" x14ac:dyDescent="0.25">
      <c r="A90" s="258" t="s">
        <v>177</v>
      </c>
      <c r="B90" s="114"/>
      <c r="C90" s="7"/>
      <c r="D90" s="256">
        <v>180000</v>
      </c>
      <c r="E90" s="149">
        <f t="shared" si="23"/>
        <v>180000</v>
      </c>
      <c r="F90" s="7">
        <f t="shared" si="22"/>
        <v>14562</v>
      </c>
      <c r="G90" s="109">
        <f t="shared" si="15"/>
        <v>180000</v>
      </c>
      <c r="H90" s="161">
        <f t="shared" si="16"/>
        <v>194562</v>
      </c>
      <c r="I90" s="178">
        <f t="shared" si="11"/>
        <v>14562</v>
      </c>
      <c r="J90" s="178">
        <f t="shared" si="12"/>
        <v>0</v>
      </c>
    </row>
    <row r="91" spans="1:10" ht="14.25" customHeight="1" x14ac:dyDescent="0.25">
      <c r="A91" s="7"/>
      <c r="B91" s="114"/>
      <c r="C91" s="7"/>
      <c r="D91" s="256"/>
      <c r="E91" s="149">
        <f t="shared" si="23"/>
        <v>0</v>
      </c>
      <c r="F91" s="7"/>
      <c r="G91" s="109">
        <f t="shared" si="15"/>
        <v>0</v>
      </c>
      <c r="H91" s="161">
        <f t="shared" si="16"/>
        <v>0</v>
      </c>
      <c r="I91" s="178">
        <f t="shared" si="11"/>
        <v>0</v>
      </c>
      <c r="J91" s="178">
        <f t="shared" si="12"/>
        <v>0</v>
      </c>
    </row>
    <row r="92" spans="1:10" ht="14.25" customHeight="1" x14ac:dyDescent="0.25">
      <c r="A92" s="94"/>
      <c r="B92" s="114"/>
      <c r="C92" s="7"/>
      <c r="D92" s="256"/>
      <c r="E92" s="149">
        <f t="shared" ref="E92:E93" si="24">D92*91.91%</f>
        <v>0</v>
      </c>
      <c r="F92" s="134">
        <f t="shared" ref="F92:F93" si="25">D92*8.09%</f>
        <v>0</v>
      </c>
      <c r="G92" s="109">
        <f t="shared" si="15"/>
        <v>0</v>
      </c>
      <c r="H92" s="161"/>
      <c r="I92" s="178">
        <f t="shared" si="11"/>
        <v>0</v>
      </c>
      <c r="J92" s="178">
        <f t="shared" si="12"/>
        <v>0</v>
      </c>
    </row>
    <row r="93" spans="1:10" ht="14.25" customHeight="1" x14ac:dyDescent="0.25">
      <c r="A93" s="129" t="s">
        <v>150</v>
      </c>
      <c r="B93" s="114"/>
      <c r="C93" s="162"/>
      <c r="D93" s="113">
        <v>50000</v>
      </c>
      <c r="E93" s="149">
        <f t="shared" si="24"/>
        <v>45954.999999999993</v>
      </c>
      <c r="F93" s="134">
        <f t="shared" si="25"/>
        <v>4045</v>
      </c>
      <c r="G93" s="109">
        <f t="shared" si="15"/>
        <v>50000</v>
      </c>
      <c r="H93" s="161">
        <f t="shared" si="16"/>
        <v>49999.999999999993</v>
      </c>
      <c r="I93" s="178">
        <f t="shared" si="11"/>
        <v>0</v>
      </c>
      <c r="J93" s="178">
        <f t="shared" si="12"/>
        <v>0</v>
      </c>
    </row>
    <row r="94" spans="1:10" x14ac:dyDescent="0.25">
      <c r="A94" s="155"/>
      <c r="B94" s="156"/>
      <c r="C94" s="156"/>
      <c r="D94" s="166"/>
      <c r="E94" s="149"/>
      <c r="F94" s="134"/>
      <c r="G94" s="109"/>
      <c r="H94" s="161"/>
      <c r="I94" t="str">
        <f>IF(G94=H94, "", "Error")</f>
        <v/>
      </c>
    </row>
    <row r="95" spans="1:10" x14ac:dyDescent="0.25">
      <c r="A95" s="96" t="s">
        <v>12</v>
      </c>
      <c r="B95" s="96"/>
      <c r="C95" s="96"/>
      <c r="D95" s="108">
        <f>SUM(D57:D94)</f>
        <v>8463777.129999999</v>
      </c>
      <c r="E95" s="108">
        <f>SUM(E57:E94)</f>
        <v>8077952.02128</v>
      </c>
      <c r="F95" s="108">
        <f>SUM(F57:F94)</f>
        <v>400387.10871999996</v>
      </c>
      <c r="G95" s="109">
        <f>E95+F95</f>
        <v>8478339.1300000008</v>
      </c>
      <c r="H95" s="150" t="str">
        <f>IF(D95=G95, "", "Error")</f>
        <v>Error</v>
      </c>
      <c r="I95" s="178">
        <f>D95-G95</f>
        <v>-14562.000000001863</v>
      </c>
    </row>
    <row r="96" spans="1:10" hidden="1" x14ac:dyDescent="0.25">
      <c r="A96" s="7"/>
      <c r="B96" s="7"/>
      <c r="C96" s="7"/>
      <c r="D96" s="185"/>
      <c r="E96" s="115"/>
      <c r="F96" s="7"/>
      <c r="H96" s="150"/>
    </row>
    <row r="97" spans="1:10" hidden="1" x14ac:dyDescent="0.25">
      <c r="A97" s="7"/>
      <c r="B97" s="7"/>
      <c r="C97" s="7"/>
      <c r="D97" s="185"/>
      <c r="E97" s="114"/>
      <c r="F97" s="7"/>
      <c r="H97" s="150"/>
    </row>
    <row r="98" spans="1:10" hidden="1" x14ac:dyDescent="0.25">
      <c r="A98" s="7"/>
      <c r="B98" s="7"/>
      <c r="C98" s="7"/>
      <c r="D98" s="185"/>
      <c r="E98" s="114"/>
      <c r="F98" s="7"/>
      <c r="H98" s="150"/>
    </row>
    <row r="99" spans="1:10" x14ac:dyDescent="0.25">
      <c r="A99" s="94" t="s">
        <v>153</v>
      </c>
      <c r="B99" s="98"/>
      <c r="C99" s="7"/>
      <c r="D99" s="256">
        <f>67780+35700</f>
        <v>103480</v>
      </c>
      <c r="E99" s="149">
        <f>D99*91.91%</f>
        <v>95108.467999999993</v>
      </c>
      <c r="F99" s="134">
        <f>D99*8.09%</f>
        <v>8371.5319999999992</v>
      </c>
      <c r="G99" s="160"/>
      <c r="H99" s="150"/>
    </row>
    <row r="100" spans="1:10" x14ac:dyDescent="0.25">
      <c r="A100" s="7"/>
      <c r="B100" s="7"/>
      <c r="C100" s="7"/>
      <c r="D100" s="113"/>
      <c r="E100" s="164">
        <f>D100</f>
        <v>0</v>
      </c>
      <c r="F100" s="7"/>
      <c r="H100" s="150"/>
      <c r="I100" s="109"/>
    </row>
    <row r="101" spans="1:10" ht="13.5" customHeight="1" x14ac:dyDescent="0.25">
      <c r="A101" s="95" t="s">
        <v>17</v>
      </c>
      <c r="B101" s="95"/>
      <c r="C101" s="95"/>
      <c r="D101" s="107">
        <f>SUM(D99:D100)</f>
        <v>103480</v>
      </c>
      <c r="E101" s="107">
        <f>SUM(E99:E100)</f>
        <v>95108.467999999993</v>
      </c>
      <c r="F101" s="107">
        <f>SUM(F99:F100)</f>
        <v>8371.5319999999992</v>
      </c>
      <c r="G101" s="109">
        <f>E101+F101</f>
        <v>103480</v>
      </c>
      <c r="H101" s="150" t="str">
        <f>IF(D101=G101, "", "Error")</f>
        <v/>
      </c>
      <c r="J101" s="109"/>
    </row>
    <row r="102" spans="1:10" hidden="1" x14ac:dyDescent="0.25">
      <c r="A102" s="7"/>
      <c r="B102" s="7"/>
      <c r="C102" s="7"/>
      <c r="D102" s="185"/>
      <c r="E102" s="115"/>
      <c r="F102" s="7"/>
      <c r="H102" s="150"/>
    </row>
    <row r="103" spans="1:10" hidden="1" x14ac:dyDescent="0.25">
      <c r="A103" s="7"/>
      <c r="B103" s="7"/>
      <c r="C103" s="7"/>
      <c r="D103" s="185"/>
      <c r="E103" s="114"/>
      <c r="F103" s="7"/>
      <c r="H103" s="150"/>
    </row>
    <row r="104" spans="1:10" x14ac:dyDescent="0.25">
      <c r="A104" s="94" t="s">
        <v>13</v>
      </c>
      <c r="B104" s="7"/>
      <c r="C104" s="7"/>
      <c r="D104" s="185"/>
      <c r="E104" s="114"/>
      <c r="F104" s="7"/>
      <c r="H104" s="150"/>
    </row>
    <row r="105" spans="1:10" ht="14.25" customHeight="1" x14ac:dyDescent="0.25">
      <c r="A105" s="94" t="s">
        <v>14</v>
      </c>
      <c r="B105" s="7" t="s">
        <v>117</v>
      </c>
      <c r="C105" s="7"/>
      <c r="D105" s="113">
        <v>222264.92</v>
      </c>
      <c r="E105" s="149">
        <f>D105*91.91%</f>
        <v>204283.68797199999</v>
      </c>
      <c r="F105" s="134">
        <f>D105*8.09%</f>
        <v>17981.232028000002</v>
      </c>
      <c r="H105" s="150"/>
    </row>
    <row r="106" spans="1:10" x14ac:dyDescent="0.25">
      <c r="A106" s="94" t="s">
        <v>108</v>
      </c>
      <c r="B106" s="7"/>
      <c r="C106" s="7"/>
      <c r="D106" s="256">
        <v>28000</v>
      </c>
      <c r="E106" s="149">
        <f>D106*91.91%</f>
        <v>25734.799999999999</v>
      </c>
      <c r="F106" s="134">
        <f>D106*8.09%</f>
        <v>2265.1999999999998</v>
      </c>
      <c r="H106" s="150"/>
      <c r="J106" s="113"/>
    </row>
    <row r="107" spans="1:10" x14ac:dyDescent="0.25">
      <c r="A107" s="7"/>
      <c r="B107" s="7"/>
      <c r="C107" s="7"/>
      <c r="D107" s="185"/>
      <c r="E107" s="116"/>
      <c r="F107" s="7"/>
      <c r="H107" s="150"/>
      <c r="J107" s="109"/>
    </row>
    <row r="108" spans="1:10" x14ac:dyDescent="0.25">
      <c r="A108" s="95" t="s">
        <v>101</v>
      </c>
      <c r="B108" s="95"/>
      <c r="C108" s="95"/>
      <c r="D108" s="107">
        <f>SUM(D105:D107)</f>
        <v>250264.92</v>
      </c>
      <c r="E108" s="107">
        <f>SUM(E105:E107)</f>
        <v>230018.48797199997</v>
      </c>
      <c r="F108" s="107">
        <f>SUM(F105:F107)</f>
        <v>20246.432028000003</v>
      </c>
      <c r="G108" s="109">
        <f>E108+F108</f>
        <v>250264.91999999998</v>
      </c>
      <c r="H108" s="150" t="str">
        <f>IF(D108=G108, "", "Error")</f>
        <v/>
      </c>
      <c r="J108" s="109"/>
    </row>
    <row r="109" spans="1:10" ht="14.25" customHeight="1" x14ac:dyDescent="0.25">
      <c r="A109" s="7"/>
      <c r="B109" s="7"/>
      <c r="C109" s="7"/>
      <c r="D109" s="113"/>
      <c r="E109" s="117"/>
      <c r="F109" s="7"/>
      <c r="H109" s="150"/>
    </row>
    <row r="110" spans="1:10" x14ac:dyDescent="0.25">
      <c r="A110" s="94" t="s">
        <v>102</v>
      </c>
      <c r="B110" s="7"/>
      <c r="C110" s="7"/>
      <c r="D110" s="113">
        <v>100104.56</v>
      </c>
      <c r="E110" s="149">
        <f>D110*91.91%</f>
        <v>92006.101095999984</v>
      </c>
      <c r="F110" s="134">
        <f>D110*8.09%</f>
        <v>8098.4589040000001</v>
      </c>
      <c r="H110" s="150"/>
    </row>
    <row r="111" spans="1:10" x14ac:dyDescent="0.25">
      <c r="A111" s="94" t="s">
        <v>103</v>
      </c>
      <c r="B111" s="7"/>
      <c r="C111" s="122"/>
      <c r="D111" s="113">
        <v>44400</v>
      </c>
      <c r="E111" s="149">
        <f>D111*91.91%</f>
        <v>40808.039999999994</v>
      </c>
      <c r="F111" s="134">
        <f>D111*8.09%</f>
        <v>3591.96</v>
      </c>
      <c r="H111" s="150"/>
    </row>
    <row r="112" spans="1:10" x14ac:dyDescent="0.25">
      <c r="A112" s="95" t="s">
        <v>15</v>
      </c>
      <c r="B112" s="95"/>
      <c r="C112" s="95"/>
      <c r="D112" s="158">
        <f>SUM(D110:D111)</f>
        <v>144504.56</v>
      </c>
      <c r="E112" s="147">
        <f t="shared" ref="E112:F112" si="26">SUM(E110:E111)</f>
        <v>132814.14109599998</v>
      </c>
      <c r="F112" s="147">
        <f t="shared" si="26"/>
        <v>11690.418904</v>
      </c>
      <c r="G112" s="109">
        <f>E112+F112</f>
        <v>144504.55999999997</v>
      </c>
      <c r="H112" s="150" t="str">
        <f>IF(D112=G112, "", "Error")</f>
        <v/>
      </c>
    </row>
    <row r="113" spans="1:9" ht="15.75" thickBot="1" x14ac:dyDescent="0.3">
      <c r="A113" s="7"/>
      <c r="B113" s="7"/>
      <c r="C113" s="7"/>
      <c r="D113" s="186"/>
      <c r="E113" s="12"/>
      <c r="F113" s="7"/>
      <c r="H113" s="150"/>
    </row>
    <row r="114" spans="1:9" ht="15.75" thickBot="1" x14ac:dyDescent="0.3">
      <c r="A114" s="99" t="s">
        <v>134</v>
      </c>
      <c r="B114" s="99"/>
      <c r="C114" s="99"/>
      <c r="D114" s="187"/>
      <c r="E114" s="118">
        <f>D114*91.91%</f>
        <v>0</v>
      </c>
      <c r="F114" s="136">
        <f>D114*8.09%</f>
        <v>0</v>
      </c>
      <c r="G114" s="109">
        <f>E114+F114</f>
        <v>0</v>
      </c>
      <c r="H114" s="150" t="str">
        <f>IF(D114=G114, "", "Error")</f>
        <v/>
      </c>
    </row>
    <row r="115" spans="1:9" ht="15.75" thickBot="1" x14ac:dyDescent="0.3">
      <c r="A115" s="1"/>
      <c r="D115" s="184"/>
      <c r="E115" s="2"/>
      <c r="F115" s="10"/>
      <c r="G115" s="157"/>
      <c r="H115" s="150"/>
    </row>
    <row r="116" spans="1:9" ht="15.75" thickBot="1" x14ac:dyDescent="0.3">
      <c r="A116" s="4" t="s">
        <v>104</v>
      </c>
      <c r="B116" s="60"/>
      <c r="C116" s="5"/>
      <c r="D116" s="188">
        <f>SUM(D114+D112+D108+D101+D95+D55+D35+D30+D48)</f>
        <v>10659184.91</v>
      </c>
      <c r="E116" s="148">
        <f>SUM(E114+E112+E108+E101+E95+E55+E35+E30+E48)</f>
        <v>10095751.311878001</v>
      </c>
      <c r="F116" s="148">
        <f>SUM(F114+F112+F108+F101+F95+F55+F35+F30+F48)</f>
        <v>577995.59812199988</v>
      </c>
      <c r="G116" s="109">
        <f>E116+F116</f>
        <v>10673746.910000002</v>
      </c>
      <c r="H116" s="150" t="str">
        <f>IF(D116=G116, "", "Error")</f>
        <v>Error</v>
      </c>
      <c r="I116" s="178">
        <f>D116-G116</f>
        <v>-14562.000000001863</v>
      </c>
    </row>
    <row r="117" spans="1:9" ht="15.75" thickBot="1" x14ac:dyDescent="0.3">
      <c r="D117" s="184"/>
      <c r="E117" s="109"/>
    </row>
    <row r="118" spans="1:9" ht="15.75" thickBot="1" x14ac:dyDescent="0.3">
      <c r="A118" s="142" t="s">
        <v>121</v>
      </c>
      <c r="B118" s="141"/>
      <c r="C118" s="141"/>
      <c r="E118" s="109"/>
    </row>
    <row r="119" spans="1:9" x14ac:dyDescent="0.25">
      <c r="A119" s="1"/>
      <c r="C119" s="139"/>
      <c r="E119" s="109"/>
    </row>
    <row r="120" spans="1:9" ht="15.75" thickBot="1" x14ac:dyDescent="0.3">
      <c r="A120" s="1"/>
      <c r="C120" s="139"/>
      <c r="E120" s="109"/>
    </row>
    <row r="121" spans="1:9" ht="15.75" thickBot="1" x14ac:dyDescent="0.3">
      <c r="A121" s="143" t="s">
        <v>30</v>
      </c>
      <c r="B121" s="144"/>
      <c r="C121" s="140">
        <f>SUM(C119:C120)</f>
        <v>0</v>
      </c>
      <c r="E121" s="109"/>
    </row>
    <row r="122" spans="1:9" x14ac:dyDescent="0.25">
      <c r="E122" s="109"/>
    </row>
    <row r="123" spans="1:9" x14ac:dyDescent="0.25">
      <c r="E123" s="137"/>
    </row>
    <row r="124" spans="1:9" x14ac:dyDescent="0.25">
      <c r="A124" s="228" t="s">
        <v>114</v>
      </c>
      <c r="B124" s="229"/>
      <c r="C124" s="229"/>
      <c r="D124" s="229"/>
      <c r="E124" s="171" t="s">
        <v>22</v>
      </c>
      <c r="F124" s="172" t="s">
        <v>123</v>
      </c>
    </row>
    <row r="125" spans="1:9" hidden="1" x14ac:dyDescent="0.25">
      <c r="A125" s="225"/>
      <c r="B125" s="226"/>
      <c r="C125" s="227"/>
      <c r="D125" s="166"/>
      <c r="E125" s="149"/>
      <c r="F125" s="134"/>
    </row>
    <row r="126" spans="1:9" ht="22.5" customHeight="1" x14ac:dyDescent="0.25">
      <c r="A126" s="222" t="s">
        <v>152</v>
      </c>
      <c r="B126" s="223"/>
      <c r="C126" s="173"/>
      <c r="D126" s="113">
        <v>300000</v>
      </c>
      <c r="E126" s="149">
        <f t="shared" ref="E126:E127" si="27">D126*91.91%</f>
        <v>275730</v>
      </c>
      <c r="F126" s="134">
        <f t="shared" ref="F126:F127" si="28">D126*8.09%</f>
        <v>24270</v>
      </c>
    </row>
    <row r="127" spans="1:9" ht="24.75" customHeight="1" x14ac:dyDescent="0.25">
      <c r="A127" s="222" t="s">
        <v>146</v>
      </c>
      <c r="B127" s="223"/>
      <c r="C127" s="173"/>
      <c r="D127" s="113">
        <v>10391.24</v>
      </c>
      <c r="E127" s="149">
        <f t="shared" si="27"/>
        <v>9550.5886839999985</v>
      </c>
      <c r="F127" s="134">
        <f t="shared" si="28"/>
        <v>840.65131599999995</v>
      </c>
    </row>
    <row r="128" spans="1:9" ht="28.5" customHeight="1" x14ac:dyDescent="0.25">
      <c r="A128" s="222"/>
      <c r="B128" s="223"/>
      <c r="C128" s="224"/>
      <c r="D128" s="113"/>
      <c r="E128" s="149">
        <f>D128*91.91%</f>
        <v>0</v>
      </c>
      <c r="F128" s="134">
        <f>D128*8.09%</f>
        <v>0</v>
      </c>
    </row>
    <row r="129" spans="1:9" x14ac:dyDescent="0.25">
      <c r="A129" s="216" t="s">
        <v>30</v>
      </c>
      <c r="B129" s="217"/>
      <c r="C129" s="218"/>
      <c r="D129" s="170">
        <f>SUM(D125:D128)</f>
        <v>310391.24</v>
      </c>
      <c r="E129" s="170">
        <f>SUM(E125:E128)</f>
        <v>285280.58868400002</v>
      </c>
      <c r="F129" s="170">
        <f>SUM(F125:F128)</f>
        <v>25110.651315999999</v>
      </c>
      <c r="H129" s="109">
        <f>E129+F129</f>
        <v>310391.24</v>
      </c>
      <c r="I129" s="150" t="str">
        <f>IF(D129=H129, "", "Error")</f>
        <v/>
      </c>
    </row>
    <row r="131" spans="1:9" ht="15.75" thickBot="1" x14ac:dyDescent="0.3">
      <c r="E131" s="109"/>
    </row>
    <row r="132" spans="1:9" ht="15.75" thickBot="1" x14ac:dyDescent="0.3">
      <c r="A132" s="102" t="s">
        <v>105</v>
      </c>
      <c r="B132" s="103">
        <f>D116</f>
        <v>10659184.91</v>
      </c>
    </row>
    <row r="133" spans="1:9" ht="15.75" thickBot="1" x14ac:dyDescent="0.3">
      <c r="A133" s="104" t="s">
        <v>107</v>
      </c>
      <c r="B133" s="105">
        <f>D116-D114</f>
        <v>10659184.91</v>
      </c>
    </row>
    <row r="134" spans="1:9" x14ac:dyDescent="0.25">
      <c r="D134" s="206"/>
      <c r="E134" s="206"/>
    </row>
    <row r="135" spans="1:9" x14ac:dyDescent="0.25">
      <c r="A135" s="74" t="s">
        <v>91</v>
      </c>
      <c r="B135" s="75"/>
      <c r="C135" s="76"/>
      <c r="D135" s="206"/>
      <c r="E135" s="206"/>
    </row>
    <row r="136" spans="1:9" x14ac:dyDescent="0.25">
      <c r="A136" s="77" t="s">
        <v>92</v>
      </c>
      <c r="B136" s="78">
        <v>6056324.5665496523</v>
      </c>
      <c r="C136" s="78"/>
      <c r="D136" s="206"/>
      <c r="E136" s="206"/>
    </row>
    <row r="137" spans="1:9" x14ac:dyDescent="0.25">
      <c r="A137" s="79" t="s">
        <v>93</v>
      </c>
      <c r="B137" s="92">
        <f>PRORRATEO!G52</f>
        <v>6320855.3670509998</v>
      </c>
      <c r="C137" s="78" t="s">
        <v>94</v>
      </c>
      <c r="D137" s="206"/>
      <c r="E137" s="206"/>
    </row>
    <row r="138" spans="1:9" x14ac:dyDescent="0.25">
      <c r="A138" s="79" t="s">
        <v>116</v>
      </c>
      <c r="B138" s="175">
        <f>-B133</f>
        <v>-10659184.91</v>
      </c>
      <c r="C138" s="76"/>
      <c r="D138" s="206"/>
      <c r="E138" s="206"/>
      <c r="G138" s="113"/>
    </row>
    <row r="139" spans="1:9" x14ac:dyDescent="0.25">
      <c r="A139" s="79" t="s">
        <v>115</v>
      </c>
      <c r="B139" s="175">
        <f>-D129</f>
        <v>-310391.24</v>
      </c>
      <c r="C139" s="76"/>
      <c r="D139" s="206"/>
      <c r="E139" s="206"/>
      <c r="G139" s="125"/>
    </row>
    <row r="140" spans="1:9" ht="47.25" customHeight="1" x14ac:dyDescent="0.25">
      <c r="A140" s="201" t="s">
        <v>158</v>
      </c>
      <c r="B140" s="175">
        <v>-338000</v>
      </c>
      <c r="C140" s="76"/>
      <c r="D140" s="198"/>
      <c r="E140" s="198"/>
      <c r="G140" s="125"/>
    </row>
    <row r="141" spans="1:9" ht="48" customHeight="1" x14ac:dyDescent="0.25">
      <c r="A141" s="200" t="s">
        <v>165</v>
      </c>
      <c r="B141" s="175">
        <v>-308000</v>
      </c>
      <c r="C141" s="76"/>
      <c r="D141" s="198"/>
      <c r="E141" s="198"/>
      <c r="G141" s="125"/>
    </row>
    <row r="142" spans="1:9" x14ac:dyDescent="0.25">
      <c r="A142" s="79" t="s">
        <v>106</v>
      </c>
      <c r="B142" s="175">
        <f>-B149</f>
        <v>0</v>
      </c>
      <c r="C142" s="80"/>
    </row>
    <row r="143" spans="1:9" x14ac:dyDescent="0.25">
      <c r="A143" s="79" t="s">
        <v>121</v>
      </c>
      <c r="B143" s="93">
        <f>-C121</f>
        <v>0</v>
      </c>
      <c r="C143" s="80"/>
    </row>
    <row r="144" spans="1:9" x14ac:dyDescent="0.25">
      <c r="A144" s="79"/>
      <c r="B144" s="75"/>
      <c r="C144" s="80"/>
    </row>
    <row r="145" spans="1:14" x14ac:dyDescent="0.25">
      <c r="A145" s="77" t="s">
        <v>95</v>
      </c>
      <c r="B145" s="81">
        <f>SUM(B136:B144)</f>
        <v>761603.78360065282</v>
      </c>
      <c r="C145" s="154"/>
    </row>
    <row r="146" spans="1:14" x14ac:dyDescent="0.25">
      <c r="A146" s="80"/>
      <c r="C146" s="76"/>
      <c r="D146" s="83"/>
    </row>
    <row r="147" spans="1:14" x14ac:dyDescent="0.25">
      <c r="C147" s="76"/>
      <c r="D147" s="109"/>
      <c r="E147" s="178"/>
    </row>
    <row r="148" spans="1:14" x14ac:dyDescent="0.25">
      <c r="A148" s="74" t="s">
        <v>96</v>
      </c>
      <c r="B148" s="11">
        <v>-310694.54000000004</v>
      </c>
      <c r="C148" s="82"/>
      <c r="D148" s="178"/>
      <c r="E148" s="178"/>
      <c r="F148" s="178"/>
    </row>
    <row r="149" spans="1:14" ht="15" customHeight="1" x14ac:dyDescent="0.25">
      <c r="A149" s="77" t="s">
        <v>166</v>
      </c>
      <c r="B149" s="93"/>
      <c r="C149" s="82"/>
      <c r="D149" s="178"/>
      <c r="E149" s="199"/>
    </row>
    <row r="150" spans="1:14" x14ac:dyDescent="0.25">
      <c r="A150" s="77"/>
      <c r="B150" s="175"/>
      <c r="C150" s="82"/>
      <c r="E150" s="109"/>
    </row>
    <row r="151" spans="1:14" x14ac:dyDescent="0.25">
      <c r="A151" s="77" t="s">
        <v>155</v>
      </c>
      <c r="B151" s="175">
        <v>-55000</v>
      </c>
      <c r="C151" s="82"/>
      <c r="E151" s="109"/>
    </row>
    <row r="152" spans="1:14" x14ac:dyDescent="0.25">
      <c r="A152" s="100" t="s">
        <v>30</v>
      </c>
      <c r="B152" s="101">
        <f>SUM(B148:B151)</f>
        <v>-365694.54000000004</v>
      </c>
      <c r="C152" s="82"/>
    </row>
    <row r="153" spans="1:14" x14ac:dyDescent="0.25">
      <c r="C153" s="83"/>
      <c r="D153" s="178"/>
    </row>
    <row r="154" spans="1:14" x14ac:dyDescent="0.25">
      <c r="B154" s="80"/>
      <c r="C154" s="76"/>
    </row>
    <row r="156" spans="1:14" x14ac:dyDescent="0.25">
      <c r="N156" s="12"/>
    </row>
    <row r="159" spans="1:14" x14ac:dyDescent="0.25">
      <c r="B159" s="205" t="s">
        <v>164</v>
      </c>
      <c r="C159" s="205"/>
      <c r="D159" s="205"/>
      <c r="E159" s="205"/>
    </row>
    <row r="160" spans="1:14" x14ac:dyDescent="0.25">
      <c r="B160" s="205"/>
      <c r="C160" s="205"/>
      <c r="D160" s="205"/>
      <c r="E160" s="205"/>
    </row>
    <row r="161" spans="2:5" x14ac:dyDescent="0.25">
      <c r="B161" s="205"/>
      <c r="C161" s="205"/>
      <c r="D161" s="205"/>
      <c r="E161" s="205"/>
    </row>
    <row r="162" spans="2:5" x14ac:dyDescent="0.25">
      <c r="B162" s="205"/>
      <c r="C162" s="205"/>
      <c r="D162" s="205"/>
      <c r="E162" s="205"/>
    </row>
    <row r="163" spans="2:5" x14ac:dyDescent="0.25">
      <c r="B163" s="205"/>
      <c r="C163" s="205"/>
      <c r="D163" s="205"/>
      <c r="E163" s="205"/>
    </row>
  </sheetData>
  <mergeCells count="20">
    <mergeCell ref="A76:C76"/>
    <mergeCell ref="A127:B127"/>
    <mergeCell ref="A126:B126"/>
    <mergeCell ref="A88:C88"/>
    <mergeCell ref="A72:C72"/>
    <mergeCell ref="B159:E163"/>
    <mergeCell ref="D134:E139"/>
    <mergeCell ref="B14:D17"/>
    <mergeCell ref="A129:C129"/>
    <mergeCell ref="A67:C67"/>
    <mergeCell ref="A128:C128"/>
    <mergeCell ref="A125:C125"/>
    <mergeCell ref="A124:D124"/>
    <mergeCell ref="A75:C75"/>
    <mergeCell ref="A66:C66"/>
    <mergeCell ref="A73:C73"/>
    <mergeCell ref="A68:C68"/>
    <mergeCell ref="A69:C69"/>
    <mergeCell ref="A70:C70"/>
    <mergeCell ref="A71:C71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zoomScaleNormal="100" workbookViewId="0">
      <selection activeCell="M3" sqref="M3"/>
    </sheetView>
  </sheetViews>
  <sheetFormatPr baseColWidth="10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" bestFit="1" customWidth="1"/>
    <col min="8" max="8" width="9.85546875" customWidth="1"/>
    <col min="9" max="9" width="6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8"/>
      <c r="B1" s="8"/>
      <c r="C1" s="8"/>
      <c r="D1" s="8"/>
      <c r="E1" s="8"/>
      <c r="F1" s="8" t="s">
        <v>18</v>
      </c>
      <c r="G1" s="8"/>
      <c r="H1" s="8"/>
      <c r="I1" s="8"/>
      <c r="J1" s="8"/>
      <c r="K1" s="8" t="s">
        <v>125</v>
      </c>
      <c r="L1" s="239">
        <f>RESUMEN!D116</f>
        <v>10659184.91</v>
      </c>
      <c r="M1" s="240"/>
      <c r="N1" s="152"/>
      <c r="O1" s="135">
        <f>L1*8.09%</f>
        <v>862328.05921900005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126</v>
      </c>
      <c r="L2" s="8"/>
      <c r="M2" s="152">
        <f>5500000-150000-3015-250-12+1997000+170000+5497+450+30-1000000</f>
        <v>6519700</v>
      </c>
      <c r="N2" s="153"/>
      <c r="O2" s="135">
        <f>O1-K7-553-50-86-8</f>
        <v>463199.32129700005</v>
      </c>
    </row>
    <row r="3" spans="1:16" x14ac:dyDescent="0.25">
      <c r="A3" s="8" t="str">
        <f>RESUMEN!C5</f>
        <v>VTO: 14/07</v>
      </c>
      <c r="B3" s="8"/>
      <c r="C3" s="8"/>
      <c r="D3" s="8"/>
      <c r="E3" s="8"/>
      <c r="F3" s="8"/>
      <c r="G3" s="8"/>
      <c r="H3" s="8"/>
      <c r="I3" s="8"/>
      <c r="J3" s="9"/>
      <c r="K3" s="8" t="s">
        <v>132</v>
      </c>
      <c r="L3" s="8"/>
      <c r="M3" s="128">
        <f>RESUMEN!D129</f>
        <v>310391.24</v>
      </c>
      <c r="N3" s="151"/>
      <c r="O3" s="73"/>
    </row>
    <row r="4" spans="1:16" ht="15.75" thickBot="1" x14ac:dyDescent="0.3">
      <c r="A4" s="8"/>
      <c r="B4" s="8"/>
      <c r="C4" s="8"/>
      <c r="D4" s="8"/>
      <c r="E4" s="8"/>
      <c r="F4" s="8"/>
      <c r="G4" s="8"/>
      <c r="H4" s="8"/>
      <c r="I4" s="8"/>
      <c r="J4" s="123">
        <f>(J3*8.09%)/44</f>
        <v>0</v>
      </c>
      <c r="K4" s="8" t="s">
        <v>126</v>
      </c>
      <c r="L4" s="8"/>
      <c r="M4" s="128">
        <f>25000+310391+3500-500-800+110+11</f>
        <v>337712</v>
      </c>
      <c r="N4" s="124"/>
    </row>
    <row r="5" spans="1:16" x14ac:dyDescent="0.25">
      <c r="A5" s="236" t="s">
        <v>20</v>
      </c>
      <c r="B5" s="250" t="s">
        <v>21</v>
      </c>
      <c r="C5" s="236" t="s">
        <v>22</v>
      </c>
      <c r="D5" s="248" t="s">
        <v>23</v>
      </c>
      <c r="E5" s="236" t="s">
        <v>98</v>
      </c>
      <c r="F5" s="236" t="s">
        <v>24</v>
      </c>
      <c r="G5" s="236" t="s">
        <v>25</v>
      </c>
      <c r="H5" s="243" t="s">
        <v>26</v>
      </c>
      <c r="I5" s="248" t="s">
        <v>109</v>
      </c>
      <c r="J5" s="241" t="s">
        <v>27</v>
      </c>
      <c r="K5" s="241" t="s">
        <v>70</v>
      </c>
      <c r="L5" s="246" t="s">
        <v>124</v>
      </c>
      <c r="M5" s="241" t="s">
        <v>68</v>
      </c>
      <c r="N5" s="241" t="s">
        <v>69</v>
      </c>
    </row>
    <row r="6" spans="1:16" x14ac:dyDescent="0.25">
      <c r="A6" s="237"/>
      <c r="B6" s="251"/>
      <c r="C6" s="237"/>
      <c r="D6" s="252"/>
      <c r="E6" s="237"/>
      <c r="F6" s="237"/>
      <c r="G6" s="237"/>
      <c r="H6" s="244"/>
      <c r="I6" s="249"/>
      <c r="J6" s="242"/>
      <c r="K6" s="245"/>
      <c r="L6" s="247"/>
      <c r="M6" s="245"/>
      <c r="N6" s="242"/>
    </row>
    <row r="7" spans="1:16" x14ac:dyDescent="0.25">
      <c r="A7" s="7" t="s">
        <v>34</v>
      </c>
      <c r="B7" s="7"/>
      <c r="C7" s="7">
        <v>1</v>
      </c>
      <c r="D7" s="133" t="s">
        <v>35</v>
      </c>
      <c r="E7" s="7">
        <v>8.09</v>
      </c>
      <c r="F7" s="88">
        <v>330930.29965100001</v>
      </c>
      <c r="G7" s="191">
        <f>F7</f>
        <v>330930.29965100001</v>
      </c>
      <c r="H7" s="131">
        <f>F7-G7</f>
        <v>0</v>
      </c>
      <c r="I7" s="106">
        <v>14</v>
      </c>
      <c r="J7" s="88">
        <v>25110.651315999999</v>
      </c>
      <c r="K7" s="88">
        <v>398431.737922</v>
      </c>
      <c r="L7" s="98">
        <v>0</v>
      </c>
      <c r="M7" s="6">
        <f>K7+J7+H7+L7</f>
        <v>423542.38923799997</v>
      </c>
      <c r="N7" s="11">
        <f>M7*6% + M7</f>
        <v>448954.93259227998</v>
      </c>
    </row>
    <row r="8" spans="1:16" x14ac:dyDescent="0.25">
      <c r="A8" s="7" t="s">
        <v>36</v>
      </c>
      <c r="B8" s="7"/>
      <c r="C8" s="7">
        <v>24</v>
      </c>
      <c r="D8" s="133" t="s">
        <v>37</v>
      </c>
      <c r="E8" s="7">
        <v>2.21</v>
      </c>
      <c r="F8" s="88">
        <v>118110.03981451588</v>
      </c>
      <c r="G8" s="191">
        <v>118500</v>
      </c>
      <c r="H8" s="131">
        <f t="shared" ref="H8:H51" si="0">F8-G8</f>
        <v>-389.96018548411666</v>
      </c>
      <c r="I8" s="106">
        <v>8</v>
      </c>
      <c r="J8" s="88">
        <f>M$4*E8%</f>
        <v>7463.435199999999</v>
      </c>
      <c r="K8" s="88">
        <f>M$2*E8 /100</f>
        <v>144085.37</v>
      </c>
      <c r="L8" s="165">
        <f>J$3*E8%+J$4</f>
        <v>0</v>
      </c>
      <c r="M8" s="6">
        <f>K8+J8+H8+L8</f>
        <v>151158.84501451589</v>
      </c>
      <c r="N8" s="11">
        <f t="shared" ref="N8:N51" si="1">M8*6% + M8</f>
        <v>160228.37571538685</v>
      </c>
    </row>
    <row r="9" spans="1:16" x14ac:dyDescent="0.25">
      <c r="A9" s="7" t="s">
        <v>36</v>
      </c>
      <c r="B9" s="7"/>
      <c r="C9" s="7">
        <v>25</v>
      </c>
      <c r="D9" s="133" t="s">
        <v>38</v>
      </c>
      <c r="E9" s="7">
        <v>4.21</v>
      </c>
      <c r="F9" s="88">
        <v>222096.62408426331</v>
      </c>
      <c r="G9" s="192">
        <f>250969-G34+RESUMEN!D66</f>
        <v>333122.69579999999</v>
      </c>
      <c r="H9" s="131">
        <f t="shared" si="0"/>
        <v>-111026.07171573667</v>
      </c>
      <c r="I9" s="106">
        <v>7</v>
      </c>
      <c r="J9" s="88">
        <f t="shared" ref="J9:J51" si="2">M$4*E9%</f>
        <v>14217.6752</v>
      </c>
      <c r="K9" s="88">
        <f t="shared" ref="K9:K51" si="3">M$2*E9 /100</f>
        <v>274479.37</v>
      </c>
      <c r="L9" s="165">
        <f t="shared" ref="L9:L51" si="4">J$3*E9%+J$4</f>
        <v>0</v>
      </c>
      <c r="M9" s="6">
        <f t="shared" ref="M9:M51" si="5">K9+J9+H9+L9</f>
        <v>177670.97348426332</v>
      </c>
      <c r="N9" s="11">
        <f t="shared" si="1"/>
        <v>188331.23189331911</v>
      </c>
    </row>
    <row r="10" spans="1:16" x14ac:dyDescent="0.25">
      <c r="A10" s="7" t="s">
        <v>39</v>
      </c>
      <c r="B10" s="7"/>
      <c r="C10" s="7">
        <v>26</v>
      </c>
      <c r="D10" s="133" t="s">
        <v>40</v>
      </c>
      <c r="E10" s="7">
        <v>2.84</v>
      </c>
      <c r="F10" s="88">
        <v>186446.70540596871</v>
      </c>
      <c r="G10" s="191">
        <v>151845</v>
      </c>
      <c r="H10" s="131">
        <f t="shared" si="0"/>
        <v>34601.705405968707</v>
      </c>
      <c r="I10" s="106">
        <v>9</v>
      </c>
      <c r="J10" s="88">
        <f t="shared" si="2"/>
        <v>9591.0208000000002</v>
      </c>
      <c r="K10" s="88">
        <f t="shared" si="3"/>
        <v>185159.48</v>
      </c>
      <c r="L10" s="165">
        <f t="shared" si="4"/>
        <v>0</v>
      </c>
      <c r="M10" s="6">
        <f t="shared" si="5"/>
        <v>229352.20620596872</v>
      </c>
      <c r="N10" s="11">
        <f t="shared" si="1"/>
        <v>243113.33857832683</v>
      </c>
    </row>
    <row r="11" spans="1:16" x14ac:dyDescent="0.25">
      <c r="A11" s="7" t="s">
        <v>39</v>
      </c>
      <c r="B11" s="7"/>
      <c r="C11" s="7">
        <v>27</v>
      </c>
      <c r="D11" s="133" t="s">
        <v>41</v>
      </c>
      <c r="E11" s="7">
        <v>3.43</v>
      </c>
      <c r="F11" s="88">
        <v>183392.59890000001</v>
      </c>
      <c r="G11" s="191">
        <f>F11</f>
        <v>183392.59890000001</v>
      </c>
      <c r="H11" s="131">
        <f t="shared" si="0"/>
        <v>0</v>
      </c>
      <c r="I11" s="106">
        <v>9</v>
      </c>
      <c r="J11" s="88">
        <f t="shared" si="2"/>
        <v>11583.521600000002</v>
      </c>
      <c r="K11" s="88">
        <f t="shared" si="3"/>
        <v>223625.71</v>
      </c>
      <c r="L11" s="165">
        <f t="shared" si="4"/>
        <v>0</v>
      </c>
      <c r="M11" s="6">
        <f t="shared" si="5"/>
        <v>235209.2316</v>
      </c>
      <c r="N11" s="11">
        <f t="shared" si="1"/>
        <v>249321.785496</v>
      </c>
      <c r="P11" s="109"/>
    </row>
    <row r="12" spans="1:16" x14ac:dyDescent="0.25">
      <c r="A12" s="7" t="s">
        <v>42</v>
      </c>
      <c r="B12" s="7"/>
      <c r="C12" s="7">
        <v>28</v>
      </c>
      <c r="D12" s="133" t="s">
        <v>112</v>
      </c>
      <c r="E12" s="7">
        <v>2.84</v>
      </c>
      <c r="F12" s="88">
        <v>151846.93319999997</v>
      </c>
      <c r="G12" s="192">
        <f>F12</f>
        <v>151846.93319999997</v>
      </c>
      <c r="H12" s="131">
        <f>F12-G12</f>
        <v>0</v>
      </c>
      <c r="I12" s="106">
        <v>6</v>
      </c>
      <c r="J12" s="88">
        <f t="shared" si="2"/>
        <v>9591.0208000000002</v>
      </c>
      <c r="K12" s="88">
        <f t="shared" si="3"/>
        <v>185159.48</v>
      </c>
      <c r="L12" s="165">
        <f t="shared" si="4"/>
        <v>0</v>
      </c>
      <c r="M12" s="6">
        <f t="shared" si="5"/>
        <v>194750.50080000001</v>
      </c>
      <c r="N12" s="11">
        <f t="shared" si="1"/>
        <v>206435.53084800002</v>
      </c>
    </row>
    <row r="13" spans="1:16" x14ac:dyDescent="0.25">
      <c r="A13" s="7" t="s">
        <v>42</v>
      </c>
      <c r="B13" s="7"/>
      <c r="C13" s="7">
        <v>29</v>
      </c>
      <c r="D13" s="133" t="s">
        <v>43</v>
      </c>
      <c r="E13" s="7">
        <v>3.43</v>
      </c>
      <c r="F13" s="88">
        <v>167108.97501924171</v>
      </c>
      <c r="G13" s="192">
        <f>198655-G50</f>
        <v>167109.33429999999</v>
      </c>
      <c r="H13" s="131">
        <f t="shared" si="0"/>
        <v>-0.35928075827541761</v>
      </c>
      <c r="I13" s="106">
        <v>5</v>
      </c>
      <c r="J13" s="88">
        <f t="shared" si="2"/>
        <v>11583.521600000002</v>
      </c>
      <c r="K13" s="88">
        <f t="shared" si="3"/>
        <v>223625.71</v>
      </c>
      <c r="L13" s="165">
        <f t="shared" si="4"/>
        <v>0</v>
      </c>
      <c r="M13" s="6">
        <f t="shared" si="5"/>
        <v>235208.87231924172</v>
      </c>
      <c r="N13" s="11">
        <f t="shared" si="1"/>
        <v>249321.40465839623</v>
      </c>
    </row>
    <row r="14" spans="1:16" x14ac:dyDescent="0.25">
      <c r="A14" s="7" t="s">
        <v>44</v>
      </c>
      <c r="B14" s="7"/>
      <c r="C14" s="7">
        <v>30</v>
      </c>
      <c r="D14" s="133" t="s">
        <v>45</v>
      </c>
      <c r="E14" s="7">
        <v>2.84</v>
      </c>
      <c r="F14" s="88">
        <v>151846.93319999997</v>
      </c>
      <c r="G14" s="191">
        <f>F14</f>
        <v>151846.93319999997</v>
      </c>
      <c r="H14" s="131">
        <f t="shared" si="0"/>
        <v>0</v>
      </c>
      <c r="I14" s="106">
        <v>14</v>
      </c>
      <c r="J14" s="88">
        <f t="shared" si="2"/>
        <v>9591.0208000000002</v>
      </c>
      <c r="K14" s="88">
        <f t="shared" si="3"/>
        <v>185159.48</v>
      </c>
      <c r="L14" s="165">
        <f t="shared" si="4"/>
        <v>0</v>
      </c>
      <c r="M14" s="6">
        <f t="shared" si="5"/>
        <v>194750.50080000001</v>
      </c>
      <c r="N14" s="11">
        <f t="shared" si="1"/>
        <v>206435.53084800002</v>
      </c>
    </row>
    <row r="15" spans="1:16" x14ac:dyDescent="0.25">
      <c r="A15" s="7" t="s">
        <v>44</v>
      </c>
      <c r="B15" s="7"/>
      <c r="C15" s="7">
        <v>31</v>
      </c>
      <c r="D15" s="133" t="s">
        <v>46</v>
      </c>
      <c r="E15" s="7">
        <v>3.43</v>
      </c>
      <c r="F15" s="88">
        <v>199779.76944653396</v>
      </c>
      <c r="G15" s="192">
        <f>226514-G35</f>
        <v>199780.38500000001</v>
      </c>
      <c r="H15" s="131">
        <f t="shared" si="0"/>
        <v>-0.61555346605018713</v>
      </c>
      <c r="I15" s="106">
        <v>8</v>
      </c>
      <c r="J15" s="88">
        <f t="shared" si="2"/>
        <v>11583.521600000002</v>
      </c>
      <c r="K15" s="88">
        <f t="shared" si="3"/>
        <v>223625.71</v>
      </c>
      <c r="L15" s="165">
        <f t="shared" si="4"/>
        <v>0</v>
      </c>
      <c r="M15" s="6">
        <f t="shared" si="5"/>
        <v>235208.61604653395</v>
      </c>
      <c r="N15" s="11">
        <f t="shared" si="1"/>
        <v>249321.13300932597</v>
      </c>
    </row>
    <row r="16" spans="1:16" x14ac:dyDescent="0.25">
      <c r="A16" s="7" t="s">
        <v>47</v>
      </c>
      <c r="B16" s="7"/>
      <c r="C16" s="7">
        <v>32</v>
      </c>
      <c r="D16" s="133" t="s">
        <v>138</v>
      </c>
      <c r="E16" s="7">
        <v>2.84</v>
      </c>
      <c r="F16" s="88">
        <v>201082.98230066069</v>
      </c>
      <c r="G16" s="192">
        <f>201083-G49</f>
        <v>174884.05729999999</v>
      </c>
      <c r="H16" s="131">
        <f t="shared" si="0"/>
        <v>26198.925000660704</v>
      </c>
      <c r="I16" s="106">
        <v>6</v>
      </c>
      <c r="J16" s="88">
        <f t="shared" si="2"/>
        <v>9591.0208000000002</v>
      </c>
      <c r="K16" s="88">
        <f t="shared" si="3"/>
        <v>185159.48</v>
      </c>
      <c r="L16" s="165">
        <v>0</v>
      </c>
      <c r="M16" s="6">
        <f t="shared" si="5"/>
        <v>220949.42580066071</v>
      </c>
      <c r="N16" s="11">
        <f t="shared" si="1"/>
        <v>234206.39134870036</v>
      </c>
    </row>
    <row r="17" spans="1:14" x14ac:dyDescent="0.25">
      <c r="A17" s="7" t="s">
        <v>47</v>
      </c>
      <c r="B17" s="7"/>
      <c r="C17" s="7">
        <v>33</v>
      </c>
      <c r="D17" s="133" t="s">
        <v>48</v>
      </c>
      <c r="E17" s="7">
        <v>3.43</v>
      </c>
      <c r="F17" s="88">
        <v>214568.00214911473</v>
      </c>
      <c r="G17" s="191">
        <f>255356-G47-G48</f>
        <v>199247.48883799999</v>
      </c>
      <c r="H17" s="131">
        <f t="shared" si="0"/>
        <v>15320.513311114744</v>
      </c>
      <c r="I17" s="106">
        <v>15</v>
      </c>
      <c r="J17" s="88">
        <f t="shared" si="2"/>
        <v>11583.521600000002</v>
      </c>
      <c r="K17" s="88">
        <f t="shared" si="3"/>
        <v>223625.71</v>
      </c>
      <c r="L17" s="165">
        <f t="shared" si="4"/>
        <v>0</v>
      </c>
      <c r="M17" s="6">
        <f t="shared" si="5"/>
        <v>250529.74491111474</v>
      </c>
      <c r="N17" s="11">
        <f t="shared" si="1"/>
        <v>265561.5296057816</v>
      </c>
    </row>
    <row r="18" spans="1:14" x14ac:dyDescent="0.25">
      <c r="A18" s="7" t="s">
        <v>49</v>
      </c>
      <c r="B18" s="7"/>
      <c r="C18" s="7">
        <v>34</v>
      </c>
      <c r="D18" s="133" t="s">
        <v>50</v>
      </c>
      <c r="E18" s="7">
        <v>2.84</v>
      </c>
      <c r="F18" s="88">
        <v>148953.67368325134</v>
      </c>
      <c r="G18" s="191">
        <f>58000+76000+28000+16000+2000-G51</f>
        <v>149523.6789</v>
      </c>
      <c r="H18" s="131">
        <f t="shared" si="0"/>
        <v>-570.0052167486574</v>
      </c>
      <c r="I18" s="106">
        <v>14</v>
      </c>
      <c r="J18" s="88">
        <f t="shared" si="2"/>
        <v>9591.0208000000002</v>
      </c>
      <c r="K18" s="88">
        <f t="shared" si="3"/>
        <v>185159.48</v>
      </c>
      <c r="L18" s="165">
        <f t="shared" si="4"/>
        <v>0</v>
      </c>
      <c r="M18" s="6">
        <f t="shared" si="5"/>
        <v>194180.49558325135</v>
      </c>
      <c r="N18" s="11">
        <f t="shared" si="1"/>
        <v>205831.32531824644</v>
      </c>
    </row>
    <row r="19" spans="1:14" x14ac:dyDescent="0.25">
      <c r="A19" s="7" t="s">
        <v>49</v>
      </c>
      <c r="B19" s="7"/>
      <c r="C19" s="7">
        <v>35</v>
      </c>
      <c r="D19" s="133" t="s">
        <v>51</v>
      </c>
      <c r="E19" s="7">
        <v>3.43</v>
      </c>
      <c r="F19" s="88">
        <v>183392.92216516795</v>
      </c>
      <c r="G19" s="192">
        <f>212265-G41</f>
        <v>183392.69579999999</v>
      </c>
      <c r="H19" s="131">
        <f t="shared" si="0"/>
        <v>0.22636516796774231</v>
      </c>
      <c r="I19" s="106">
        <v>5</v>
      </c>
      <c r="J19" s="88">
        <f t="shared" si="2"/>
        <v>11583.521600000002</v>
      </c>
      <c r="K19" s="88">
        <f t="shared" si="3"/>
        <v>223625.71</v>
      </c>
      <c r="L19" s="165">
        <f t="shared" si="4"/>
        <v>0</v>
      </c>
      <c r="M19" s="6">
        <f t="shared" si="5"/>
        <v>235209.45796516797</v>
      </c>
      <c r="N19" s="11">
        <f t="shared" si="1"/>
        <v>249322.02544307805</v>
      </c>
    </row>
    <row r="20" spans="1:14" x14ac:dyDescent="0.25">
      <c r="A20" s="7" t="s">
        <v>52</v>
      </c>
      <c r="B20" s="7"/>
      <c r="C20" s="7">
        <v>36</v>
      </c>
      <c r="D20" s="133" t="s">
        <v>53</v>
      </c>
      <c r="E20" s="7">
        <v>2.84</v>
      </c>
      <c r="F20" s="88">
        <v>151847.82760707469</v>
      </c>
      <c r="G20" s="191">
        <f>178047-G38</f>
        <v>151848.05729999999</v>
      </c>
      <c r="H20" s="131">
        <f t="shared" si="0"/>
        <v>-0.22969292529160157</v>
      </c>
      <c r="I20" s="106">
        <v>5</v>
      </c>
      <c r="J20" s="88">
        <f t="shared" si="2"/>
        <v>9591.0208000000002</v>
      </c>
      <c r="K20" s="88">
        <f t="shared" si="3"/>
        <v>185159.48</v>
      </c>
      <c r="L20" s="165">
        <f t="shared" si="4"/>
        <v>0</v>
      </c>
      <c r="M20" s="6">
        <f t="shared" si="5"/>
        <v>194750.27110707472</v>
      </c>
      <c r="N20" s="11">
        <f t="shared" si="1"/>
        <v>206435.28737349919</v>
      </c>
    </row>
    <row r="21" spans="1:14" x14ac:dyDescent="0.25">
      <c r="A21" s="7" t="s">
        <v>52</v>
      </c>
      <c r="B21" s="7"/>
      <c r="C21" s="7">
        <v>37</v>
      </c>
      <c r="D21" s="133" t="s">
        <v>54</v>
      </c>
      <c r="E21" s="7">
        <v>3.43</v>
      </c>
      <c r="F21" s="88">
        <v>183392.32449179579</v>
      </c>
      <c r="G21" s="191">
        <f>212264-G45</f>
        <v>183391.69579999999</v>
      </c>
      <c r="H21" s="131">
        <f t="shared" si="0"/>
        <v>0.62869179580593482</v>
      </c>
      <c r="I21" s="106">
        <v>5</v>
      </c>
      <c r="J21" s="88">
        <f t="shared" si="2"/>
        <v>11583.521600000002</v>
      </c>
      <c r="K21" s="88">
        <f t="shared" si="3"/>
        <v>223625.71</v>
      </c>
      <c r="L21" s="165">
        <f t="shared" si="4"/>
        <v>0</v>
      </c>
      <c r="M21" s="6">
        <f t="shared" si="5"/>
        <v>235209.86029179581</v>
      </c>
      <c r="N21" s="11">
        <f t="shared" si="1"/>
        <v>249322.45190930355</v>
      </c>
    </row>
    <row r="22" spans="1:14" x14ac:dyDescent="0.25">
      <c r="A22" s="7" t="s">
        <v>55</v>
      </c>
      <c r="B22" s="7"/>
      <c r="C22" s="7">
        <v>38</v>
      </c>
      <c r="D22" s="167" t="s">
        <v>129</v>
      </c>
      <c r="E22" s="7">
        <v>2.84</v>
      </c>
      <c r="F22" s="88">
        <v>151846.93319999997</v>
      </c>
      <c r="G22" s="191">
        <f>F22</f>
        <v>151846.93319999997</v>
      </c>
      <c r="H22" s="131">
        <f t="shared" si="0"/>
        <v>0</v>
      </c>
      <c r="I22" s="106">
        <v>7</v>
      </c>
      <c r="J22" s="88">
        <f t="shared" si="2"/>
        <v>9591.0208000000002</v>
      </c>
      <c r="K22" s="88">
        <f t="shared" si="3"/>
        <v>185159.48</v>
      </c>
      <c r="L22" s="165">
        <f t="shared" si="4"/>
        <v>0</v>
      </c>
      <c r="M22" s="6">
        <f t="shared" si="5"/>
        <v>194750.50080000001</v>
      </c>
      <c r="N22" s="11">
        <f t="shared" si="1"/>
        <v>206435.53084800002</v>
      </c>
    </row>
    <row r="23" spans="1:14" x14ac:dyDescent="0.25">
      <c r="A23" s="7" t="s">
        <v>55</v>
      </c>
      <c r="B23" s="7"/>
      <c r="C23" s="7">
        <v>39</v>
      </c>
      <c r="D23" s="133" t="s">
        <v>56</v>
      </c>
      <c r="E23" s="7">
        <v>3.43</v>
      </c>
      <c r="F23" s="88">
        <v>385103.52163409517</v>
      </c>
      <c r="G23" s="192">
        <f>447000-G46+RESUMEN!D71+RESUMEN!D72</f>
        <v>582942.08675000002</v>
      </c>
      <c r="H23" s="131">
        <f t="shared" si="0"/>
        <v>-197838.56511590484</v>
      </c>
      <c r="I23" s="106">
        <v>5</v>
      </c>
      <c r="J23" s="88">
        <f t="shared" si="2"/>
        <v>11583.521600000002</v>
      </c>
      <c r="K23" s="88">
        <f t="shared" si="3"/>
        <v>223625.71</v>
      </c>
      <c r="L23" s="165">
        <v>20000</v>
      </c>
      <c r="M23" s="6">
        <f t="shared" si="5"/>
        <v>57370.666484095156</v>
      </c>
      <c r="N23" s="11">
        <f t="shared" si="1"/>
        <v>60812.906473140865</v>
      </c>
    </row>
    <row r="24" spans="1:14" x14ac:dyDescent="0.25">
      <c r="A24" s="7" t="s">
        <v>57</v>
      </c>
      <c r="B24" s="7"/>
      <c r="C24" s="7">
        <v>40</v>
      </c>
      <c r="D24" s="133" t="s">
        <v>58</v>
      </c>
      <c r="E24" s="7">
        <v>2.84</v>
      </c>
      <c r="F24" s="88">
        <v>150534.54517107471</v>
      </c>
      <c r="G24" s="191">
        <f>180000-G37</f>
        <v>153801.05729999999</v>
      </c>
      <c r="H24" s="131">
        <f t="shared" si="0"/>
        <v>-3266.5121289252711</v>
      </c>
      <c r="I24" s="181">
        <v>5</v>
      </c>
      <c r="J24" s="88">
        <f t="shared" si="2"/>
        <v>9591.0208000000002</v>
      </c>
      <c r="K24" s="88">
        <f t="shared" si="3"/>
        <v>185159.48</v>
      </c>
      <c r="L24" s="165">
        <f t="shared" si="4"/>
        <v>0</v>
      </c>
      <c r="M24" s="6">
        <f t="shared" si="5"/>
        <v>191483.98867107474</v>
      </c>
      <c r="N24" s="11">
        <f t="shared" si="1"/>
        <v>202973.02799133922</v>
      </c>
    </row>
    <row r="25" spans="1:14" x14ac:dyDescent="0.25">
      <c r="A25" s="7" t="s">
        <v>57</v>
      </c>
      <c r="B25" s="7"/>
      <c r="C25" s="7">
        <v>41</v>
      </c>
      <c r="D25" s="133" t="s">
        <v>59</v>
      </c>
      <c r="E25" s="7">
        <v>3.43</v>
      </c>
      <c r="F25" s="88">
        <v>183392.59890000001</v>
      </c>
      <c r="G25" s="191">
        <f>F25</f>
        <v>183392.59890000001</v>
      </c>
      <c r="H25" s="131">
        <f t="shared" si="0"/>
        <v>0</v>
      </c>
      <c r="I25" s="106">
        <v>9</v>
      </c>
      <c r="J25" s="88">
        <f t="shared" si="2"/>
        <v>11583.521600000002</v>
      </c>
      <c r="K25" s="88">
        <f t="shared" si="3"/>
        <v>223625.71</v>
      </c>
      <c r="L25" s="165">
        <f t="shared" si="4"/>
        <v>0</v>
      </c>
      <c r="M25" s="6">
        <f t="shared" si="5"/>
        <v>235209.2316</v>
      </c>
      <c r="N25" s="11">
        <f t="shared" si="1"/>
        <v>249321.785496</v>
      </c>
    </row>
    <row r="26" spans="1:14" x14ac:dyDescent="0.25">
      <c r="A26" s="7" t="s">
        <v>60</v>
      </c>
      <c r="B26" s="7"/>
      <c r="C26" s="7">
        <v>42</v>
      </c>
      <c r="D26" s="133" t="s">
        <v>61</v>
      </c>
      <c r="E26" s="7">
        <v>6</v>
      </c>
      <c r="F26" s="88">
        <v>-352713.925683963</v>
      </c>
      <c r="G26" s="192">
        <f>700000-G30-G31-G36</f>
        <v>614987.10430000001</v>
      </c>
      <c r="H26" s="132">
        <f t="shared" si="0"/>
        <v>-967701.029983963</v>
      </c>
      <c r="I26" s="106">
        <v>5</v>
      </c>
      <c r="J26" s="88">
        <f t="shared" si="2"/>
        <v>20262.719999999998</v>
      </c>
      <c r="K26" s="88">
        <f t="shared" si="3"/>
        <v>391182</v>
      </c>
      <c r="L26" s="165">
        <f t="shared" si="4"/>
        <v>0</v>
      </c>
      <c r="M26" s="6">
        <f t="shared" si="5"/>
        <v>-556256.30998396303</v>
      </c>
      <c r="N26" s="11">
        <f t="shared" si="1"/>
        <v>-589631.6885830008</v>
      </c>
    </row>
    <row r="27" spans="1:14" x14ac:dyDescent="0.25">
      <c r="A27" s="7" t="s">
        <v>62</v>
      </c>
      <c r="B27" s="7"/>
      <c r="C27" s="7">
        <v>43</v>
      </c>
      <c r="D27" s="133" t="s">
        <v>63</v>
      </c>
      <c r="E27" s="7">
        <v>5.89</v>
      </c>
      <c r="F27" s="88">
        <v>314921.57273526554</v>
      </c>
      <c r="G27" s="191">
        <f>377000-G39-G40</f>
        <v>314978.01319999999</v>
      </c>
      <c r="H27" s="131">
        <f t="shared" si="0"/>
        <v>-56.440464734449051</v>
      </c>
      <c r="I27" s="106">
        <v>8</v>
      </c>
      <c r="J27" s="88">
        <f t="shared" si="2"/>
        <v>19891.236799999999</v>
      </c>
      <c r="K27" s="88">
        <f t="shared" si="3"/>
        <v>384010.33</v>
      </c>
      <c r="L27" s="165">
        <f t="shared" si="4"/>
        <v>0</v>
      </c>
      <c r="M27" s="6">
        <f t="shared" si="5"/>
        <v>403845.12633526558</v>
      </c>
      <c r="N27" s="11">
        <f t="shared" si="1"/>
        <v>428075.83391538152</v>
      </c>
    </row>
    <row r="28" spans="1:14" x14ac:dyDescent="0.25">
      <c r="A28" s="7" t="s">
        <v>64</v>
      </c>
      <c r="B28" s="7"/>
      <c r="C28" s="7">
        <v>44</v>
      </c>
      <c r="D28" s="133" t="s">
        <v>65</v>
      </c>
      <c r="E28" s="7">
        <v>5.89</v>
      </c>
      <c r="F28" s="88">
        <v>314286.41577654087</v>
      </c>
      <c r="G28" s="191">
        <f>371000-G32-G33+RESUMEN!D74</f>
        <v>413583.78619999997</v>
      </c>
      <c r="H28" s="131">
        <f t="shared" si="0"/>
        <v>-99297.370423459099</v>
      </c>
      <c r="I28" s="106">
        <v>5</v>
      </c>
      <c r="J28" s="88">
        <f t="shared" si="2"/>
        <v>19891.236799999999</v>
      </c>
      <c r="K28" s="88">
        <f t="shared" si="3"/>
        <v>384010.33</v>
      </c>
      <c r="L28" s="165">
        <f t="shared" si="4"/>
        <v>0</v>
      </c>
      <c r="M28" s="6">
        <f t="shared" si="5"/>
        <v>304604.19637654093</v>
      </c>
      <c r="N28" s="11">
        <f t="shared" si="1"/>
        <v>322880.44815913338</v>
      </c>
    </row>
    <row r="29" spans="1:14" x14ac:dyDescent="0.25">
      <c r="A29" s="7" t="s">
        <v>66</v>
      </c>
      <c r="B29" s="7"/>
      <c r="C29" s="7">
        <v>45</v>
      </c>
      <c r="D29" s="133" t="s">
        <v>67</v>
      </c>
      <c r="E29" s="7">
        <v>5.89</v>
      </c>
      <c r="F29" s="88">
        <v>325490.37115669996</v>
      </c>
      <c r="G29" s="192">
        <f>401000-G42-G43-G44+RESUMEN!D73</f>
        <v>413311.71970000002</v>
      </c>
      <c r="H29" s="132">
        <f t="shared" si="0"/>
        <v>-87821.348543300061</v>
      </c>
      <c r="I29" s="106">
        <v>5</v>
      </c>
      <c r="J29" s="88">
        <f t="shared" si="2"/>
        <v>19891.236799999999</v>
      </c>
      <c r="K29" s="88">
        <f t="shared" si="3"/>
        <v>384010.33</v>
      </c>
      <c r="L29" s="165">
        <f t="shared" si="4"/>
        <v>0</v>
      </c>
      <c r="M29" s="6">
        <f t="shared" si="5"/>
        <v>316080.21825669997</v>
      </c>
      <c r="N29" s="11">
        <f t="shared" si="1"/>
        <v>335045.03135210194</v>
      </c>
    </row>
    <row r="30" spans="1:14" x14ac:dyDescent="0.25">
      <c r="A30" s="126" t="s">
        <v>97</v>
      </c>
      <c r="B30" s="7"/>
      <c r="C30" s="7">
        <v>1</v>
      </c>
      <c r="D30" s="133" t="s">
        <v>61</v>
      </c>
      <c r="E30" s="7">
        <v>0.54</v>
      </c>
      <c r="F30" s="88">
        <v>28872.304200000002</v>
      </c>
      <c r="G30" s="191">
        <f t="shared" ref="G30:G34" si="6">F30</f>
        <v>28872.304200000002</v>
      </c>
      <c r="H30" s="131">
        <f t="shared" si="0"/>
        <v>0</v>
      </c>
      <c r="I30" s="106"/>
      <c r="J30" s="88">
        <f t="shared" si="2"/>
        <v>1823.6448</v>
      </c>
      <c r="K30" s="88">
        <f t="shared" si="3"/>
        <v>35206.379999999997</v>
      </c>
      <c r="L30" s="165">
        <f t="shared" si="4"/>
        <v>0</v>
      </c>
      <c r="M30" s="6">
        <f t="shared" si="5"/>
        <v>37030.024799999999</v>
      </c>
      <c r="N30" s="11">
        <f t="shared" si="1"/>
        <v>39251.826287999997</v>
      </c>
    </row>
    <row r="31" spans="1:14" x14ac:dyDescent="0.25">
      <c r="A31" s="126" t="s">
        <v>97</v>
      </c>
      <c r="B31" s="7"/>
      <c r="C31" s="7">
        <v>2</v>
      </c>
      <c r="D31" s="133" t="s">
        <v>61</v>
      </c>
      <c r="E31" s="7">
        <v>0.55000000000000004</v>
      </c>
      <c r="F31" s="88">
        <v>29406.976500000004</v>
      </c>
      <c r="G31" s="191">
        <f t="shared" si="6"/>
        <v>29406.976500000004</v>
      </c>
      <c r="H31" s="131">
        <f t="shared" si="0"/>
        <v>0</v>
      </c>
      <c r="I31" s="106"/>
      <c r="J31" s="88">
        <f t="shared" si="2"/>
        <v>1857.4160000000002</v>
      </c>
      <c r="K31" s="88">
        <f t="shared" si="3"/>
        <v>35858.350000000006</v>
      </c>
      <c r="L31" s="165">
        <f t="shared" si="4"/>
        <v>0</v>
      </c>
      <c r="M31" s="6">
        <f t="shared" si="5"/>
        <v>37715.766000000003</v>
      </c>
      <c r="N31" s="11">
        <f t="shared" si="1"/>
        <v>39978.711960000001</v>
      </c>
    </row>
    <row r="32" spans="1:14" x14ac:dyDescent="0.25">
      <c r="A32" s="126" t="s">
        <v>97</v>
      </c>
      <c r="B32" s="7"/>
      <c r="C32" s="7">
        <v>3</v>
      </c>
      <c r="D32" s="133" t="s">
        <v>65</v>
      </c>
      <c r="E32" s="7">
        <v>0.45</v>
      </c>
      <c r="F32" s="88">
        <v>24060.253500000003</v>
      </c>
      <c r="G32" s="191">
        <f>F32</f>
        <v>24060.253500000003</v>
      </c>
      <c r="H32" s="131">
        <f t="shared" si="0"/>
        <v>0</v>
      </c>
      <c r="I32" s="106"/>
      <c r="J32" s="88">
        <f t="shared" si="2"/>
        <v>1519.7040000000002</v>
      </c>
      <c r="K32" s="88">
        <f t="shared" si="3"/>
        <v>29338.65</v>
      </c>
      <c r="L32" s="165">
        <f t="shared" si="4"/>
        <v>0</v>
      </c>
      <c r="M32" s="6">
        <f t="shared" si="5"/>
        <v>30858.354000000003</v>
      </c>
      <c r="N32" s="11">
        <f t="shared" si="1"/>
        <v>32709.855240000004</v>
      </c>
    </row>
    <row r="33" spans="1:17" x14ac:dyDescent="0.25">
      <c r="A33" s="126" t="s">
        <v>97</v>
      </c>
      <c r="B33" s="7"/>
      <c r="C33" s="7">
        <v>4</v>
      </c>
      <c r="D33" s="133" t="s">
        <v>65</v>
      </c>
      <c r="E33" s="7">
        <v>0.61</v>
      </c>
      <c r="F33" s="88">
        <v>32615.010299999998</v>
      </c>
      <c r="G33" s="191">
        <f t="shared" si="6"/>
        <v>32615.010299999998</v>
      </c>
      <c r="H33" s="131">
        <f t="shared" si="0"/>
        <v>0</v>
      </c>
      <c r="I33" s="106"/>
      <c r="J33" s="88">
        <f t="shared" si="2"/>
        <v>2060.0431999999996</v>
      </c>
      <c r="K33" s="88">
        <f t="shared" si="3"/>
        <v>39770.17</v>
      </c>
      <c r="L33" s="165">
        <f t="shared" si="4"/>
        <v>0</v>
      </c>
      <c r="M33" s="6">
        <f t="shared" si="5"/>
        <v>41830.213199999998</v>
      </c>
      <c r="N33" s="11">
        <f t="shared" si="1"/>
        <v>44340.025991999995</v>
      </c>
    </row>
    <row r="34" spans="1:17" x14ac:dyDescent="0.25">
      <c r="A34" s="126" t="s">
        <v>97</v>
      </c>
      <c r="B34" s="7"/>
      <c r="C34" s="7">
        <v>5</v>
      </c>
      <c r="D34" s="133" t="s">
        <v>38</v>
      </c>
      <c r="E34" s="7">
        <v>0.54</v>
      </c>
      <c r="F34" s="88">
        <v>28872.304200000002</v>
      </c>
      <c r="G34" s="191">
        <f t="shared" si="6"/>
        <v>28872.304200000002</v>
      </c>
      <c r="H34" s="131">
        <f t="shared" si="0"/>
        <v>0</v>
      </c>
      <c r="I34" s="106"/>
      <c r="J34" s="88">
        <f t="shared" si="2"/>
        <v>1823.6448</v>
      </c>
      <c r="K34" s="88">
        <f t="shared" si="3"/>
        <v>35206.379999999997</v>
      </c>
      <c r="L34" s="165">
        <f t="shared" si="4"/>
        <v>0</v>
      </c>
      <c r="M34" s="6">
        <f t="shared" si="5"/>
        <v>37030.024799999999</v>
      </c>
      <c r="N34" s="11">
        <f t="shared" si="1"/>
        <v>39251.826287999997</v>
      </c>
    </row>
    <row r="35" spans="1:17" x14ac:dyDescent="0.25">
      <c r="A35" s="126" t="s">
        <v>97</v>
      </c>
      <c r="B35" s="7"/>
      <c r="C35" s="7">
        <v>6</v>
      </c>
      <c r="D35" s="133" t="s">
        <v>46</v>
      </c>
      <c r="E35" s="7">
        <v>0.5</v>
      </c>
      <c r="F35" s="11">
        <v>26733.615000000002</v>
      </c>
      <c r="G35" s="192">
        <f>F35</f>
        <v>26733.615000000002</v>
      </c>
      <c r="H35" s="131">
        <f t="shared" si="0"/>
        <v>0</v>
      </c>
      <c r="I35" s="106"/>
      <c r="J35" s="88">
        <f t="shared" si="2"/>
        <v>1688.56</v>
      </c>
      <c r="K35" s="88">
        <f t="shared" si="3"/>
        <v>32598.5</v>
      </c>
      <c r="L35" s="165">
        <f t="shared" si="4"/>
        <v>0</v>
      </c>
      <c r="M35" s="6">
        <f t="shared" si="5"/>
        <v>34287.06</v>
      </c>
      <c r="N35" s="11">
        <f t="shared" si="1"/>
        <v>36344.283599999995</v>
      </c>
    </row>
    <row r="36" spans="1:17" x14ac:dyDescent="0.25">
      <c r="A36" s="126" t="s">
        <v>97</v>
      </c>
      <c r="B36" s="7"/>
      <c r="C36" s="7">
        <v>7</v>
      </c>
      <c r="D36" s="133" t="s">
        <v>61</v>
      </c>
      <c r="E36" s="7">
        <v>0.5</v>
      </c>
      <c r="F36" s="88">
        <v>26733.615000000002</v>
      </c>
      <c r="G36" s="191">
        <f t="shared" ref="G36:G41" si="7">F36</f>
        <v>26733.615000000002</v>
      </c>
      <c r="H36" s="131">
        <f t="shared" si="0"/>
        <v>0</v>
      </c>
      <c r="I36" s="106"/>
      <c r="J36" s="88">
        <f t="shared" si="2"/>
        <v>1688.56</v>
      </c>
      <c r="K36" s="88">
        <f t="shared" si="3"/>
        <v>32598.5</v>
      </c>
      <c r="L36" s="165">
        <f t="shared" si="4"/>
        <v>0</v>
      </c>
      <c r="M36" s="6">
        <f t="shared" si="5"/>
        <v>34287.06</v>
      </c>
      <c r="N36" s="11">
        <f t="shared" si="1"/>
        <v>36344.283599999995</v>
      </c>
    </row>
    <row r="37" spans="1:17" x14ac:dyDescent="0.25">
      <c r="A37" s="126" t="s">
        <v>97</v>
      </c>
      <c r="B37" s="7"/>
      <c r="C37" s="7">
        <v>8</v>
      </c>
      <c r="D37" s="133" t="s">
        <v>58</v>
      </c>
      <c r="E37" s="7">
        <v>0.49</v>
      </c>
      <c r="F37" s="88">
        <v>26198.9427</v>
      </c>
      <c r="G37" s="191">
        <f t="shared" si="7"/>
        <v>26198.9427</v>
      </c>
      <c r="H37" s="131">
        <f t="shared" si="0"/>
        <v>0</v>
      </c>
      <c r="I37" s="106"/>
      <c r="J37" s="88">
        <f t="shared" si="2"/>
        <v>1654.7888</v>
      </c>
      <c r="K37" s="88">
        <f t="shared" si="3"/>
        <v>31946.53</v>
      </c>
      <c r="L37" s="165">
        <f t="shared" si="4"/>
        <v>0</v>
      </c>
      <c r="M37" s="6">
        <f t="shared" si="5"/>
        <v>33601.318800000001</v>
      </c>
      <c r="N37" s="11">
        <f t="shared" si="1"/>
        <v>35617.397927999999</v>
      </c>
    </row>
    <row r="38" spans="1:17" x14ac:dyDescent="0.25">
      <c r="A38" s="126" t="s">
        <v>97</v>
      </c>
      <c r="B38" s="7"/>
      <c r="C38" s="7">
        <v>9</v>
      </c>
      <c r="D38" s="133" t="s">
        <v>53</v>
      </c>
      <c r="E38" s="7">
        <v>0.49</v>
      </c>
      <c r="F38" s="88">
        <v>26198.9427</v>
      </c>
      <c r="G38" s="191">
        <f t="shared" si="7"/>
        <v>26198.9427</v>
      </c>
      <c r="H38" s="131">
        <f t="shared" si="0"/>
        <v>0</v>
      </c>
      <c r="I38" s="106"/>
      <c r="J38" s="88">
        <f t="shared" si="2"/>
        <v>1654.7888</v>
      </c>
      <c r="K38" s="88">
        <f t="shared" si="3"/>
        <v>31946.53</v>
      </c>
      <c r="L38" s="165">
        <f t="shared" si="4"/>
        <v>0</v>
      </c>
      <c r="M38" s="6">
        <f t="shared" si="5"/>
        <v>33601.318800000001</v>
      </c>
      <c r="N38" s="11">
        <f t="shared" si="1"/>
        <v>35617.397927999999</v>
      </c>
    </row>
    <row r="39" spans="1:17" x14ac:dyDescent="0.25">
      <c r="A39" s="126" t="s">
        <v>97</v>
      </c>
      <c r="B39" s="7"/>
      <c r="C39" s="7">
        <v>10</v>
      </c>
      <c r="D39" s="133" t="s">
        <v>63</v>
      </c>
      <c r="E39" s="7">
        <v>0.59</v>
      </c>
      <c r="F39" s="88">
        <v>31545.665699999998</v>
      </c>
      <c r="G39" s="191">
        <f t="shared" si="7"/>
        <v>31545.665699999998</v>
      </c>
      <c r="H39" s="131">
        <f t="shared" si="0"/>
        <v>0</v>
      </c>
      <c r="I39" s="106"/>
      <c r="J39" s="88">
        <f t="shared" si="2"/>
        <v>1992.5008</v>
      </c>
      <c r="K39" s="88">
        <f t="shared" si="3"/>
        <v>38466.230000000003</v>
      </c>
      <c r="L39" s="165">
        <f t="shared" si="4"/>
        <v>0</v>
      </c>
      <c r="M39" s="6">
        <f t="shared" si="5"/>
        <v>40458.730800000005</v>
      </c>
      <c r="N39" s="11">
        <f t="shared" si="1"/>
        <v>42886.254648000002</v>
      </c>
    </row>
    <row r="40" spans="1:17" x14ac:dyDescent="0.25">
      <c r="A40" s="126" t="s">
        <v>97</v>
      </c>
      <c r="B40" s="7"/>
      <c r="C40" s="7">
        <v>11</v>
      </c>
      <c r="D40" s="133" t="s">
        <v>63</v>
      </c>
      <c r="E40" s="7">
        <v>0.56999999999999995</v>
      </c>
      <c r="F40" s="88">
        <v>30476.321099999997</v>
      </c>
      <c r="G40" s="191">
        <f t="shared" si="7"/>
        <v>30476.321099999997</v>
      </c>
      <c r="H40" s="131">
        <f t="shared" si="0"/>
        <v>0</v>
      </c>
      <c r="I40" s="106"/>
      <c r="J40" s="88">
        <f t="shared" si="2"/>
        <v>1924.9583999999998</v>
      </c>
      <c r="K40" s="88">
        <f t="shared" si="3"/>
        <v>37162.289999999994</v>
      </c>
      <c r="L40" s="165">
        <f t="shared" si="4"/>
        <v>0</v>
      </c>
      <c r="M40" s="6">
        <f t="shared" si="5"/>
        <v>39087.248399999997</v>
      </c>
      <c r="N40" s="11">
        <f t="shared" si="1"/>
        <v>41432.483303999994</v>
      </c>
    </row>
    <row r="41" spans="1:17" x14ac:dyDescent="0.25">
      <c r="A41" s="126" t="s">
        <v>97</v>
      </c>
      <c r="B41" s="7"/>
      <c r="C41" s="7">
        <v>12</v>
      </c>
      <c r="D41" s="133" t="s">
        <v>51</v>
      </c>
      <c r="E41" s="7">
        <v>0.54</v>
      </c>
      <c r="F41" s="88">
        <v>28872.304200000002</v>
      </c>
      <c r="G41" s="191">
        <f t="shared" si="7"/>
        <v>28872.304200000002</v>
      </c>
      <c r="H41" s="131">
        <f t="shared" si="0"/>
        <v>0</v>
      </c>
      <c r="I41" s="106"/>
      <c r="J41" s="88">
        <f t="shared" si="2"/>
        <v>1823.6448</v>
      </c>
      <c r="K41" s="88">
        <f t="shared" si="3"/>
        <v>35206.379999999997</v>
      </c>
      <c r="L41" s="165">
        <f t="shared" si="4"/>
        <v>0</v>
      </c>
      <c r="M41" s="6">
        <f t="shared" si="5"/>
        <v>37030.024799999999</v>
      </c>
      <c r="N41" s="11">
        <f t="shared" si="1"/>
        <v>39251.826287999997</v>
      </c>
    </row>
    <row r="42" spans="1:17" x14ac:dyDescent="0.25">
      <c r="A42" s="126" t="s">
        <v>97</v>
      </c>
      <c r="B42" s="7"/>
      <c r="C42" s="7">
        <v>13</v>
      </c>
      <c r="D42" s="133" t="s">
        <v>67</v>
      </c>
      <c r="E42" s="7">
        <v>0.55000000000000004</v>
      </c>
      <c r="F42" s="88">
        <v>29406.976500000004</v>
      </c>
      <c r="G42" s="191">
        <f>F42</f>
        <v>29406.976500000004</v>
      </c>
      <c r="H42" s="131">
        <f t="shared" si="0"/>
        <v>0</v>
      </c>
      <c r="I42" s="106"/>
      <c r="J42" s="88">
        <f t="shared" si="2"/>
        <v>1857.4160000000002</v>
      </c>
      <c r="K42" s="88">
        <f t="shared" si="3"/>
        <v>35858.350000000006</v>
      </c>
      <c r="L42" s="165">
        <f t="shared" si="4"/>
        <v>0</v>
      </c>
      <c r="M42" s="6">
        <f t="shared" si="5"/>
        <v>37715.766000000003</v>
      </c>
      <c r="N42" s="11">
        <f t="shared" si="1"/>
        <v>39978.711960000001</v>
      </c>
    </row>
    <row r="43" spans="1:17" x14ac:dyDescent="0.25">
      <c r="A43" s="126" t="s">
        <v>97</v>
      </c>
      <c r="B43" s="7"/>
      <c r="C43" s="7">
        <v>14</v>
      </c>
      <c r="D43" s="133" t="s">
        <v>67</v>
      </c>
      <c r="E43" s="7">
        <v>0.45</v>
      </c>
      <c r="F43" s="88">
        <v>24060.253500000003</v>
      </c>
      <c r="G43" s="191">
        <f t="shared" ref="G43:G44" si="8">F43</f>
        <v>24060.253500000003</v>
      </c>
      <c r="H43" s="131">
        <f t="shared" si="0"/>
        <v>0</v>
      </c>
      <c r="I43" s="106"/>
      <c r="J43" s="88">
        <f t="shared" si="2"/>
        <v>1519.7040000000002</v>
      </c>
      <c r="K43" s="88">
        <f t="shared" si="3"/>
        <v>29338.65</v>
      </c>
      <c r="L43" s="165">
        <f t="shared" si="4"/>
        <v>0</v>
      </c>
      <c r="M43" s="6">
        <f t="shared" si="5"/>
        <v>30858.354000000003</v>
      </c>
      <c r="N43" s="11">
        <f t="shared" si="1"/>
        <v>32709.855240000004</v>
      </c>
      <c r="P43" s="109">
        <f>L1-K52</f>
        <v>4268496.902077999</v>
      </c>
    </row>
    <row r="44" spans="1:17" x14ac:dyDescent="0.25">
      <c r="A44" s="126" t="s">
        <v>97</v>
      </c>
      <c r="B44" s="7"/>
      <c r="C44" s="7">
        <v>15</v>
      </c>
      <c r="D44" s="133" t="s">
        <v>67</v>
      </c>
      <c r="E44" s="7">
        <v>0.61</v>
      </c>
      <c r="F44" s="88">
        <v>32615.010299999998</v>
      </c>
      <c r="G44" s="191">
        <f t="shared" si="8"/>
        <v>32615.010299999998</v>
      </c>
      <c r="H44" s="131">
        <f t="shared" si="0"/>
        <v>0</v>
      </c>
      <c r="I44" s="106"/>
      <c r="J44" s="88">
        <f t="shared" si="2"/>
        <v>2060.0431999999996</v>
      </c>
      <c r="K44" s="88">
        <f t="shared" si="3"/>
        <v>39770.17</v>
      </c>
      <c r="L44" s="165">
        <f t="shared" si="4"/>
        <v>0</v>
      </c>
      <c r="M44" s="6">
        <f t="shared" si="5"/>
        <v>41830.213199999998</v>
      </c>
      <c r="N44" s="11">
        <f t="shared" si="1"/>
        <v>44340.025991999995</v>
      </c>
    </row>
    <row r="45" spans="1:17" x14ac:dyDescent="0.25">
      <c r="A45" s="126" t="s">
        <v>97</v>
      </c>
      <c r="B45" s="7"/>
      <c r="C45" s="7">
        <v>16</v>
      </c>
      <c r="D45" s="133" t="s">
        <v>54</v>
      </c>
      <c r="E45" s="7">
        <v>0.54</v>
      </c>
      <c r="F45" s="88">
        <v>28872.304200000002</v>
      </c>
      <c r="G45" s="191">
        <f t="shared" ref="G45:G51" si="9">F45</f>
        <v>28872.304200000002</v>
      </c>
      <c r="H45" s="131">
        <f t="shared" si="0"/>
        <v>0</v>
      </c>
      <c r="I45" s="106"/>
      <c r="J45" s="88">
        <f t="shared" si="2"/>
        <v>1823.6448</v>
      </c>
      <c r="K45" s="88">
        <f t="shared" si="3"/>
        <v>35206.379999999997</v>
      </c>
      <c r="L45" s="165">
        <f t="shared" si="4"/>
        <v>0</v>
      </c>
      <c r="M45" s="6">
        <f t="shared" si="5"/>
        <v>37030.024799999999</v>
      </c>
      <c r="N45" s="11">
        <f t="shared" si="1"/>
        <v>39251.826287999997</v>
      </c>
    </row>
    <row r="46" spans="1:17" x14ac:dyDescent="0.25">
      <c r="A46" s="126" t="s">
        <v>97</v>
      </c>
      <c r="B46" s="7"/>
      <c r="C46" s="7">
        <v>17</v>
      </c>
      <c r="D46" s="133" t="s">
        <v>56</v>
      </c>
      <c r="E46" s="7">
        <v>0.5</v>
      </c>
      <c r="F46" s="88">
        <v>61479.973249999995</v>
      </c>
      <c r="G46" s="191">
        <f>F46</f>
        <v>61479.973249999995</v>
      </c>
      <c r="H46" s="131">
        <f t="shared" si="0"/>
        <v>0</v>
      </c>
      <c r="I46" s="106"/>
      <c r="J46" s="88">
        <f t="shared" si="2"/>
        <v>1688.56</v>
      </c>
      <c r="K46" s="88">
        <f t="shared" si="3"/>
        <v>32598.5</v>
      </c>
      <c r="L46" s="165">
        <f t="shared" si="4"/>
        <v>0</v>
      </c>
      <c r="M46" s="6">
        <f t="shared" si="5"/>
        <v>34287.06</v>
      </c>
      <c r="N46" s="11">
        <f t="shared" si="1"/>
        <v>36344.283599999995</v>
      </c>
      <c r="Q46" t="s">
        <v>133</v>
      </c>
    </row>
    <row r="47" spans="1:17" x14ac:dyDescent="0.25">
      <c r="A47" s="126" t="s">
        <v>97</v>
      </c>
      <c r="B47" s="7"/>
      <c r="C47" s="7">
        <v>18</v>
      </c>
      <c r="D47" s="133" t="s">
        <v>48</v>
      </c>
      <c r="E47" s="7">
        <v>0.5</v>
      </c>
      <c r="F47" s="88">
        <v>28337.6319</v>
      </c>
      <c r="G47" s="191">
        <f t="shared" si="9"/>
        <v>28337.6319</v>
      </c>
      <c r="H47" s="131">
        <f t="shared" si="0"/>
        <v>0</v>
      </c>
      <c r="I47" s="106"/>
      <c r="J47" s="88">
        <f t="shared" si="2"/>
        <v>1688.56</v>
      </c>
      <c r="K47" s="88">
        <f t="shared" si="3"/>
        <v>32598.5</v>
      </c>
      <c r="L47" s="165">
        <f t="shared" si="4"/>
        <v>0</v>
      </c>
      <c r="M47" s="6">
        <f t="shared" si="5"/>
        <v>34287.06</v>
      </c>
      <c r="N47" s="11">
        <f t="shared" si="1"/>
        <v>36344.283599999995</v>
      </c>
      <c r="O47" s="138"/>
      <c r="Q47" s="135">
        <f>M3-J52</f>
        <v>0.14079999987734482</v>
      </c>
    </row>
    <row r="48" spans="1:17" x14ac:dyDescent="0.25">
      <c r="A48" s="126" t="s">
        <v>97</v>
      </c>
      <c r="B48" s="7"/>
      <c r="C48" s="7">
        <v>19</v>
      </c>
      <c r="D48" s="133" t="s">
        <v>48</v>
      </c>
      <c r="E48" s="7">
        <v>0.49</v>
      </c>
      <c r="F48" s="88">
        <v>27770.879261999999</v>
      </c>
      <c r="G48" s="191">
        <f t="shared" si="9"/>
        <v>27770.879261999999</v>
      </c>
      <c r="H48" s="131">
        <f t="shared" si="0"/>
        <v>0</v>
      </c>
      <c r="I48" s="106"/>
      <c r="J48" s="88">
        <f t="shared" si="2"/>
        <v>1654.7888</v>
      </c>
      <c r="K48" s="88">
        <f t="shared" si="3"/>
        <v>31946.53</v>
      </c>
      <c r="L48" s="165">
        <f t="shared" si="4"/>
        <v>0</v>
      </c>
      <c r="M48" s="6">
        <f t="shared" si="5"/>
        <v>33601.318800000001</v>
      </c>
      <c r="N48" s="11">
        <f t="shared" si="1"/>
        <v>35617.397927999999</v>
      </c>
    </row>
    <row r="49" spans="1:16" x14ac:dyDescent="0.25">
      <c r="A49" s="126" t="s">
        <v>97</v>
      </c>
      <c r="B49" s="7"/>
      <c r="C49" s="7">
        <v>20</v>
      </c>
      <c r="D49" s="133" t="str">
        <f>D16</f>
        <v>FEUILLANT, GASTON</v>
      </c>
      <c r="E49" s="7">
        <v>0.49</v>
      </c>
      <c r="F49" s="88">
        <v>26198.9427</v>
      </c>
      <c r="G49" s="191">
        <f>F49</f>
        <v>26198.9427</v>
      </c>
      <c r="H49" s="131">
        <f t="shared" si="0"/>
        <v>0</v>
      </c>
      <c r="I49" s="106"/>
      <c r="J49" s="88">
        <f t="shared" si="2"/>
        <v>1654.7888</v>
      </c>
      <c r="K49" s="88">
        <f t="shared" si="3"/>
        <v>31946.53</v>
      </c>
      <c r="L49" s="165">
        <f t="shared" si="4"/>
        <v>0</v>
      </c>
      <c r="M49" s="6">
        <f t="shared" si="5"/>
        <v>33601.318800000001</v>
      </c>
      <c r="N49" s="11">
        <f t="shared" si="1"/>
        <v>35617.397927999999</v>
      </c>
    </row>
    <row r="50" spans="1:16" x14ac:dyDescent="0.25">
      <c r="A50" s="126" t="s">
        <v>97</v>
      </c>
      <c r="B50" s="7"/>
      <c r="C50" s="7">
        <v>21</v>
      </c>
      <c r="D50" s="133" t="s">
        <v>43</v>
      </c>
      <c r="E50" s="7">
        <v>0.59</v>
      </c>
      <c r="F50" s="88">
        <v>31545.665699999998</v>
      </c>
      <c r="G50" s="192">
        <f>F50</f>
        <v>31545.665699999998</v>
      </c>
      <c r="H50" s="131">
        <f t="shared" si="0"/>
        <v>0</v>
      </c>
      <c r="I50" s="106"/>
      <c r="J50" s="88">
        <f t="shared" si="2"/>
        <v>1992.5008</v>
      </c>
      <c r="K50" s="88">
        <f t="shared" si="3"/>
        <v>38466.230000000003</v>
      </c>
      <c r="L50" s="165">
        <f t="shared" si="4"/>
        <v>0</v>
      </c>
      <c r="M50" s="6">
        <f t="shared" si="5"/>
        <v>40458.730800000005</v>
      </c>
      <c r="N50" s="11">
        <f t="shared" si="1"/>
        <v>42886.254648000002</v>
      </c>
    </row>
    <row r="51" spans="1:16" x14ac:dyDescent="0.25">
      <c r="A51" s="126" t="s">
        <v>97</v>
      </c>
      <c r="B51" s="7"/>
      <c r="C51" s="7">
        <v>22</v>
      </c>
      <c r="D51" s="133" t="s">
        <v>50</v>
      </c>
      <c r="E51" s="7">
        <v>0.56999999999999995</v>
      </c>
      <c r="F51" s="88">
        <v>30476.321099999997</v>
      </c>
      <c r="G51" s="191">
        <f t="shared" si="9"/>
        <v>30476.321099999997</v>
      </c>
      <c r="H51" s="131">
        <f t="shared" si="0"/>
        <v>0</v>
      </c>
      <c r="I51" s="106"/>
      <c r="J51" s="88">
        <f t="shared" si="2"/>
        <v>1924.9583999999998</v>
      </c>
      <c r="K51" s="88">
        <f t="shared" si="3"/>
        <v>37162.289999999994</v>
      </c>
      <c r="L51" s="165">
        <f t="shared" si="4"/>
        <v>0</v>
      </c>
      <c r="M51" s="6">
        <f t="shared" si="5"/>
        <v>39087.248399999997</v>
      </c>
      <c r="N51" s="11">
        <f t="shared" si="1"/>
        <v>41432.483303999994</v>
      </c>
    </row>
    <row r="52" spans="1:16" ht="14.25" customHeight="1" x14ac:dyDescent="0.25">
      <c r="A52" s="89"/>
      <c r="B52" s="89"/>
      <c r="C52" s="89"/>
      <c r="D52" s="89"/>
      <c r="E52" s="89">
        <f>SUM(E7:E51)</f>
        <v>99.999999999999986</v>
      </c>
      <c r="F52" s="90">
        <f>SUM(F7:F51)</f>
        <v>4929008.8575203009</v>
      </c>
      <c r="G52" s="90">
        <f>SUM(G7:G51)</f>
        <v>6320855.3670509998</v>
      </c>
      <c r="H52" s="89"/>
      <c r="I52" s="89"/>
      <c r="J52" s="127">
        <f>SUM(J8:J51)</f>
        <v>310391.09920000011</v>
      </c>
      <c r="K52" s="90">
        <f>SUM(K7:K51)</f>
        <v>6390688.0079220012</v>
      </c>
      <c r="L52" s="174">
        <f>SUM(L7:L51)</f>
        <v>20000</v>
      </c>
      <c r="M52" s="91">
        <f>SUM(M7:M51)</f>
        <v>5354343.2489072988</v>
      </c>
      <c r="N52" s="90">
        <f>SUM(N7:N51)</f>
        <v>5675603.843841739</v>
      </c>
      <c r="P52" s="135"/>
    </row>
    <row r="53" spans="1:16" hidden="1" x14ac:dyDescent="0.25">
      <c r="K53" s="138">
        <f>K52-L1</f>
        <v>-4268496.902077999</v>
      </c>
    </row>
    <row r="54" spans="1:16" ht="15" hidden="1" customHeight="1" x14ac:dyDescent="0.25"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</row>
    <row r="55" spans="1:16" hidden="1" x14ac:dyDescent="0.25"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</row>
    <row r="56" spans="1:16" x14ac:dyDescent="0.25"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</row>
    <row r="57" spans="1:16" x14ac:dyDescent="0.25">
      <c r="C57" s="238" t="s">
        <v>130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</row>
    <row r="58" spans="1:16" x14ac:dyDescent="0.25"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</row>
    <row r="59" spans="1:16" x14ac:dyDescent="0.25"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</row>
    <row r="60" spans="1:16" x14ac:dyDescent="0.25"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</row>
    <row r="61" spans="1:16" x14ac:dyDescent="0.25"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</row>
    <row r="62" spans="1:16" x14ac:dyDescent="0.25"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</row>
    <row r="63" spans="1:16" x14ac:dyDescent="0.25"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</row>
  </sheetData>
  <mergeCells count="17">
    <mergeCell ref="A5:A6"/>
    <mergeCell ref="B5:B6"/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48"/>
      <c r="B1" s="49"/>
      <c r="C1" s="49"/>
      <c r="D1" s="50" t="s">
        <v>18</v>
      </c>
      <c r="E1" s="50"/>
      <c r="F1" s="49"/>
      <c r="G1" s="49"/>
      <c r="H1" s="49"/>
      <c r="I1" s="49"/>
      <c r="J1" s="49"/>
      <c r="K1" s="49"/>
      <c r="L1" s="50" t="s">
        <v>71</v>
      </c>
      <c r="M1" s="49"/>
      <c r="N1" s="52" t="str">
        <f>RESUMEN!C5</f>
        <v>VTO: 14/07</v>
      </c>
      <c r="O1" s="52"/>
    </row>
    <row r="2" spans="1:15" x14ac:dyDescent="0.25">
      <c r="A2" s="49"/>
      <c r="B2" s="51"/>
      <c r="C2" s="51"/>
      <c r="D2" s="50" t="s">
        <v>19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25">
      <c r="A3" s="49"/>
      <c r="B3" s="51"/>
      <c r="C3" s="51"/>
      <c r="D3" s="50"/>
      <c r="E3" s="49"/>
      <c r="F3" s="49"/>
      <c r="G3" s="49"/>
      <c r="H3" s="49"/>
      <c r="I3" s="49"/>
      <c r="J3" s="50" t="s">
        <v>72</v>
      </c>
      <c r="K3" s="50"/>
      <c r="L3" s="53">
        <v>249991.29847799998</v>
      </c>
      <c r="M3" s="49"/>
      <c r="N3" s="54">
        <v>-1891.33</v>
      </c>
      <c r="O3" s="54"/>
    </row>
    <row r="4" spans="1:15" ht="15.75" thickBot="1" x14ac:dyDescent="0.3">
      <c r="A4" s="49"/>
      <c r="B4" s="51"/>
      <c r="C4" s="51"/>
      <c r="D4" s="50"/>
      <c r="E4" s="49"/>
      <c r="F4" s="49"/>
      <c r="G4" s="49"/>
      <c r="H4" s="49"/>
      <c r="I4" s="49"/>
      <c r="J4" s="50" t="s">
        <v>73</v>
      </c>
      <c r="K4" s="50"/>
      <c r="L4" s="53">
        <v>0</v>
      </c>
      <c r="M4" s="49"/>
      <c r="N4" s="49"/>
      <c r="O4" s="49"/>
    </row>
    <row r="5" spans="1:15" ht="30" x14ac:dyDescent="0.25">
      <c r="A5" s="253" t="s">
        <v>74</v>
      </c>
      <c r="B5" s="253" t="s">
        <v>23</v>
      </c>
      <c r="C5" s="55" t="s">
        <v>75</v>
      </c>
      <c r="D5" s="35" t="s">
        <v>24</v>
      </c>
      <c r="E5" s="35" t="s">
        <v>25</v>
      </c>
      <c r="F5" s="253" t="s">
        <v>76</v>
      </c>
      <c r="G5" s="37" t="s">
        <v>77</v>
      </c>
      <c r="H5" s="38" t="s">
        <v>28</v>
      </c>
      <c r="I5" s="36" t="s">
        <v>78</v>
      </c>
      <c r="J5" s="39" t="s">
        <v>29</v>
      </c>
      <c r="K5" s="40" t="s">
        <v>29</v>
      </c>
      <c r="L5" s="37" t="s">
        <v>30</v>
      </c>
      <c r="M5" s="41"/>
      <c r="N5" s="253" t="s">
        <v>79</v>
      </c>
      <c r="O5" s="253" t="s">
        <v>80</v>
      </c>
    </row>
    <row r="6" spans="1:15" x14ac:dyDescent="0.25">
      <c r="A6" s="254"/>
      <c r="B6" s="254"/>
      <c r="C6" s="56" t="s">
        <v>81</v>
      </c>
      <c r="D6" s="42" t="s">
        <v>31</v>
      </c>
      <c r="E6" s="42" t="s">
        <v>32</v>
      </c>
      <c r="F6" s="254"/>
      <c r="G6" s="44" t="s">
        <v>82</v>
      </c>
      <c r="H6" s="45">
        <v>0.06</v>
      </c>
      <c r="I6" s="43" t="s">
        <v>83</v>
      </c>
      <c r="J6" s="46" t="s">
        <v>33</v>
      </c>
      <c r="K6" s="47" t="s">
        <v>84</v>
      </c>
      <c r="L6" s="44" t="s">
        <v>85</v>
      </c>
      <c r="M6" s="47"/>
      <c r="N6" s="254"/>
      <c r="O6" s="254"/>
    </row>
    <row r="7" spans="1:15" ht="15" customHeight="1" x14ac:dyDescent="0.25">
      <c r="A7" s="15">
        <v>1</v>
      </c>
      <c r="B7" s="84" t="s">
        <v>61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25">
      <c r="A8" s="15">
        <v>2</v>
      </c>
      <c r="B8" s="84" t="s">
        <v>61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25">
      <c r="A9" s="15">
        <v>3</v>
      </c>
      <c r="B9" s="84" t="s">
        <v>65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25">
      <c r="A10" s="15">
        <v>4</v>
      </c>
      <c r="B10" s="84" t="s">
        <v>65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25">
      <c r="A11" s="15">
        <v>5</v>
      </c>
      <c r="B11" s="84" t="s">
        <v>38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25">
      <c r="A12" s="15">
        <v>6</v>
      </c>
      <c r="B12" s="85" t="s">
        <v>46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25">
      <c r="A13" s="15">
        <v>7</v>
      </c>
      <c r="B13" s="84" t="s">
        <v>61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25">
      <c r="A14" s="15">
        <v>8</v>
      </c>
      <c r="B14" s="84" t="s">
        <v>58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25">
      <c r="A15" s="15">
        <v>9</v>
      </c>
      <c r="B15" s="84" t="s">
        <v>53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25">
      <c r="A16" s="15">
        <v>10</v>
      </c>
      <c r="B16" s="84" t="s">
        <v>63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25">
      <c r="A17" s="15">
        <v>11</v>
      </c>
      <c r="B17" s="84" t="s">
        <v>63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25">
      <c r="A18" s="15">
        <v>12</v>
      </c>
      <c r="B18" s="84" t="s">
        <v>51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25">
      <c r="A19" s="15">
        <v>13</v>
      </c>
      <c r="B19" s="84" t="s">
        <v>67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25">
      <c r="A20" s="15">
        <v>14</v>
      </c>
      <c r="B20" s="84" t="s">
        <v>67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25">
      <c r="A21" s="15">
        <v>15</v>
      </c>
      <c r="B21" s="84" t="s">
        <v>67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25">
      <c r="A22" s="15">
        <v>16</v>
      </c>
      <c r="B22" s="84" t="s">
        <v>54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25">
      <c r="A23" s="15">
        <v>17</v>
      </c>
      <c r="B23" s="84" t="s">
        <v>56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25">
      <c r="A24" s="15">
        <v>18</v>
      </c>
      <c r="B24" s="84" t="s">
        <v>48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25">
      <c r="A25" s="15">
        <v>19</v>
      </c>
      <c r="B25" s="84" t="s">
        <v>48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25">
      <c r="A26" s="15">
        <v>20</v>
      </c>
      <c r="B26" s="84" t="s">
        <v>86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25">
      <c r="A27" s="15">
        <v>21</v>
      </c>
      <c r="B27" s="84" t="s">
        <v>43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25">
      <c r="A28" s="15">
        <v>22</v>
      </c>
      <c r="B28" s="86" t="s">
        <v>50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25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.75" thickBot="1" x14ac:dyDescent="0.3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25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2025-05-01T14:14:45Z</cp:lastPrinted>
  <dcterms:created xsi:type="dcterms:W3CDTF">2023-09-17T12:29:07Z</dcterms:created>
  <dcterms:modified xsi:type="dcterms:W3CDTF">2025-06-25T23:34:18Z</dcterms:modified>
</cp:coreProperties>
</file>