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BELGRANO 1646\Agosto\"/>
    </mc:Choice>
  </mc:AlternateContent>
  <xr:revisionPtr revIDLastSave="0" documentId="13_ncr:1_{B431F7F4-94EB-43FE-85DF-0F799D2FCE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Hoja1" sheetId="4" r:id="rId3"/>
    <sheet name="COCHERA" sheetId="3" r:id="rId4"/>
  </sheets>
  <definedNames>
    <definedName name="_xlnm.Print_Area" localSheetId="1">PRORRATEO!$A$1:$N$64</definedName>
    <definedName name="_xlnm.Print_Area" localSheetId="0">RESUMEN!$A$1:$F$132</definedName>
  </definedNames>
  <calcPr calcId="181029"/>
</workbook>
</file>

<file path=xl/calcChain.xml><?xml version="1.0" encoding="utf-8"?>
<calcChain xmlns="http://schemas.openxmlformats.org/spreadsheetml/2006/main">
  <c r="E72" i="1" l="1"/>
  <c r="H72" i="1" s="1"/>
  <c r="I72" i="1" s="1"/>
  <c r="E73" i="1"/>
  <c r="G72" i="1"/>
  <c r="J72" i="1" s="1"/>
  <c r="E75" i="1"/>
  <c r="H75" i="1" s="1"/>
  <c r="G75" i="1"/>
  <c r="J75" i="1" s="1"/>
  <c r="E52" i="1"/>
  <c r="D47" i="1"/>
  <c r="E65" i="1"/>
  <c r="E66" i="1"/>
  <c r="G16" i="2"/>
  <c r="M2" i="2"/>
  <c r="L43" i="2" l="1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9" i="2"/>
  <c r="L10" i="2"/>
  <c r="L11" i="2"/>
  <c r="L12" i="2"/>
  <c r="L13" i="2"/>
  <c r="L14" i="2"/>
  <c r="L15" i="2"/>
  <c r="L16" i="2"/>
  <c r="L18" i="2"/>
  <c r="L19" i="2"/>
  <c r="L20" i="2"/>
  <c r="L21" i="2"/>
  <c r="L24" i="2"/>
  <c r="L44" i="2"/>
  <c r="L45" i="2"/>
  <c r="L46" i="2"/>
  <c r="L47" i="2"/>
  <c r="L48" i="2"/>
  <c r="L49" i="2"/>
  <c r="L50" i="2"/>
  <c r="D22" i="4"/>
  <c r="D17" i="4"/>
  <c r="G26" i="2"/>
  <c r="G24" i="2"/>
  <c r="G14" i="2"/>
  <c r="G18" i="2"/>
  <c r="G15" i="2"/>
  <c r="G11" i="2"/>
  <c r="G27" i="2"/>
  <c r="G17" i="2"/>
  <c r="G23" i="2"/>
  <c r="G9" i="2"/>
  <c r="G22" i="2"/>
  <c r="G28" i="2"/>
  <c r="G20" i="2"/>
  <c r="G29" i="2"/>
  <c r="G13" i="2"/>
  <c r="G19" i="2"/>
  <c r="G21" i="2"/>
  <c r="G59" i="1"/>
  <c r="J59" i="1" s="1"/>
  <c r="F59" i="1"/>
  <c r="E59" i="1"/>
  <c r="F68" i="1"/>
  <c r="E67" i="1"/>
  <c r="D64" i="1"/>
  <c r="F64" i="1" s="1"/>
  <c r="H59" i="1" l="1"/>
  <c r="I59" i="1" s="1"/>
  <c r="E64" i="1"/>
  <c r="G55" i="1" l="1"/>
  <c r="F55" i="1"/>
  <c r="E55" i="1"/>
  <c r="H55" i="1" l="1"/>
  <c r="G7" i="2" l="1"/>
  <c r="H64" i="1"/>
  <c r="I64" i="1" s="1"/>
  <c r="G64" i="1"/>
  <c r="D76" i="1" l="1"/>
  <c r="E74" i="1" l="1"/>
  <c r="F41" i="1"/>
  <c r="E41" i="1"/>
  <c r="G63" i="1"/>
  <c r="G53" i="1"/>
  <c r="E53" i="1"/>
  <c r="H53" i="1" s="1"/>
  <c r="I53" i="1" s="1"/>
  <c r="G62" i="1"/>
  <c r="J62" i="1" s="1"/>
  <c r="E62" i="1"/>
  <c r="H62" i="1" s="1"/>
  <c r="I62" i="1" s="1"/>
  <c r="F69" i="1"/>
  <c r="F70" i="1"/>
  <c r="E69" i="1"/>
  <c r="E70" i="1"/>
  <c r="G69" i="1"/>
  <c r="J69" i="1" s="1"/>
  <c r="G70" i="1"/>
  <c r="J70" i="1" s="1"/>
  <c r="E68" i="1"/>
  <c r="G68" i="1"/>
  <c r="J68" i="1" s="1"/>
  <c r="D93" i="1"/>
  <c r="D89" i="1"/>
  <c r="D27" i="1"/>
  <c r="F108" i="1"/>
  <c r="E108" i="1"/>
  <c r="F107" i="1"/>
  <c r="E107" i="1"/>
  <c r="F71" i="1"/>
  <c r="E71" i="1"/>
  <c r="E57" i="1"/>
  <c r="G46" i="2"/>
  <c r="B131" i="1"/>
  <c r="G71" i="1"/>
  <c r="J71" i="1" s="1"/>
  <c r="H70" i="1" l="1"/>
  <c r="I70" i="1" s="1"/>
  <c r="E63" i="1"/>
  <c r="H63" i="1" s="1"/>
  <c r="I63" i="1" s="1"/>
  <c r="H69" i="1"/>
  <c r="I69" i="1" s="1"/>
  <c r="H68" i="1"/>
  <c r="I68" i="1" s="1"/>
  <c r="H71" i="1"/>
  <c r="I71" i="1" s="1"/>
  <c r="D49" i="1" l="1"/>
  <c r="D49" i="2"/>
  <c r="H74" i="1"/>
  <c r="I74" i="1" s="1"/>
  <c r="G49" i="2" l="1"/>
  <c r="G51" i="1"/>
  <c r="J51" i="1" s="1"/>
  <c r="E51" i="1"/>
  <c r="G56" i="1"/>
  <c r="J56" i="1" s="1"/>
  <c r="H51" i="1" l="1"/>
  <c r="I51" i="1" s="1"/>
  <c r="E56" i="1"/>
  <c r="F56" i="1"/>
  <c r="H56" i="1" l="1"/>
  <c r="I56" i="1" s="1"/>
  <c r="F58" i="1" l="1"/>
  <c r="E58" i="1"/>
  <c r="G58" i="1"/>
  <c r="J58" i="1" s="1"/>
  <c r="F52" i="2"/>
  <c r="F42" i="1"/>
  <c r="E42" i="1"/>
  <c r="D82" i="1"/>
  <c r="H58" i="1" l="1"/>
  <c r="I58" i="1" s="1"/>
  <c r="E61" i="1"/>
  <c r="D44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D110" i="1"/>
  <c r="F109" i="1"/>
  <c r="E109" i="1"/>
  <c r="B120" i="1" l="1"/>
  <c r="M3" i="2"/>
  <c r="E110" i="1"/>
  <c r="F110" i="1"/>
  <c r="H110" i="1" l="1"/>
  <c r="I110" i="1" s="1"/>
  <c r="E81" i="1" l="1"/>
  <c r="E43" i="1" l="1"/>
  <c r="E44" i="1" l="1"/>
  <c r="F43" i="1"/>
  <c r="F44" i="1" s="1"/>
  <c r="G44" i="1" l="1"/>
  <c r="F35" i="1"/>
  <c r="F34" i="1"/>
  <c r="F33" i="1"/>
  <c r="E35" i="1"/>
  <c r="E34" i="1"/>
  <c r="E33" i="1"/>
  <c r="G54" i="1" l="1"/>
  <c r="J54" i="1" s="1"/>
  <c r="G57" i="1"/>
  <c r="J57" i="1" s="1"/>
  <c r="G60" i="1"/>
  <c r="J60" i="1" s="1"/>
  <c r="G61" i="1"/>
  <c r="J61" i="1" s="1"/>
  <c r="G74" i="1"/>
  <c r="J74" i="1" s="1"/>
  <c r="I75" i="1" l="1"/>
  <c r="H61" i="1" l="1"/>
  <c r="I61" i="1" s="1"/>
  <c r="F95" i="1" l="1"/>
  <c r="E95" i="1"/>
  <c r="G95" i="1" l="1"/>
  <c r="H95" i="1" s="1"/>
  <c r="F92" i="1" l="1"/>
  <c r="F91" i="1"/>
  <c r="E92" i="1"/>
  <c r="E91" i="1"/>
  <c r="F87" i="1"/>
  <c r="F86" i="1"/>
  <c r="E87" i="1"/>
  <c r="E86" i="1"/>
  <c r="F80" i="1"/>
  <c r="E80" i="1"/>
  <c r="F60" i="1"/>
  <c r="F57" i="1"/>
  <c r="F54" i="1"/>
  <c r="E60" i="1"/>
  <c r="E54" i="1"/>
  <c r="F29" i="1"/>
  <c r="F28" i="1"/>
  <c r="E29" i="1"/>
  <c r="E28" i="1"/>
  <c r="F48" i="1"/>
  <c r="F46" i="1"/>
  <c r="E48" i="1"/>
  <c r="E46" i="1"/>
  <c r="F24" i="1"/>
  <c r="F25" i="1"/>
  <c r="F23" i="1"/>
  <c r="E23" i="1"/>
  <c r="E24" i="1"/>
  <c r="E25" i="1"/>
  <c r="F76" i="1" l="1"/>
  <c r="E76" i="1"/>
  <c r="H57" i="1"/>
  <c r="I57" i="1" s="1"/>
  <c r="H60" i="1"/>
  <c r="I60" i="1" s="1"/>
  <c r="H54" i="1"/>
  <c r="I54" i="1" s="1"/>
  <c r="F27" i="1"/>
  <c r="F93" i="1"/>
  <c r="E93" i="1"/>
  <c r="E89" i="1"/>
  <c r="F89" i="1"/>
  <c r="E82" i="1"/>
  <c r="F82" i="1"/>
  <c r="E32" i="1"/>
  <c r="E36" i="1" s="1"/>
  <c r="F32" i="1"/>
  <c r="E27" i="1"/>
  <c r="G76" i="1" l="1"/>
  <c r="H76" i="1" s="1"/>
  <c r="G27" i="1"/>
  <c r="H27" i="1" s="1"/>
  <c r="G93" i="1"/>
  <c r="G89" i="1"/>
  <c r="G82" i="1"/>
  <c r="G32" i="1"/>
  <c r="D32" i="1"/>
  <c r="D97" i="1" s="1"/>
  <c r="I76" i="1" l="1"/>
  <c r="B114" i="1"/>
  <c r="B119" i="1" s="1"/>
  <c r="D36" i="1"/>
  <c r="H82" i="1"/>
  <c r="H32" i="1"/>
  <c r="H93" i="1"/>
  <c r="H89" i="1"/>
  <c r="C102" i="1"/>
  <c r="B122" i="1" s="1"/>
  <c r="L1" i="2" l="1"/>
  <c r="E47" i="1"/>
  <c r="E49" i="1" s="1"/>
  <c r="E97" i="1" s="1"/>
  <c r="F47" i="1"/>
  <c r="F49" i="1" s="1"/>
  <c r="G49" i="1" l="1"/>
  <c r="H49" i="1" l="1"/>
  <c r="B113" i="1"/>
  <c r="O1" i="2" l="1"/>
  <c r="O2" i="2" s="1"/>
  <c r="A3" i="2"/>
  <c r="E40" i="1" l="1"/>
  <c r="F40" i="1"/>
  <c r="K12" i="2" l="1"/>
  <c r="K47" i="2"/>
  <c r="K25" i="2"/>
  <c r="L25" i="2" s="1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K53" i="2" l="1"/>
  <c r="J52" i="2"/>
  <c r="Q47" i="2" s="1"/>
  <c r="B121" i="1"/>
  <c r="J4" i="2" l="1"/>
  <c r="G32" i="2"/>
  <c r="G12" i="2"/>
  <c r="H12" i="2" s="1"/>
  <c r="L8" i="2" l="1"/>
  <c r="L51" i="2"/>
  <c r="G50" i="2" l="1"/>
  <c r="G35" i="2" l="1"/>
  <c r="G25" i="2" l="1"/>
  <c r="F36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26" i="2" l="1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G52" i="2" l="1"/>
  <c r="B118" i="1" s="1"/>
  <c r="B124" i="1" s="1"/>
  <c r="N8" i="2"/>
  <c r="N52" i="2" s="1"/>
  <c r="M52" i="2"/>
  <c r="F97" i="1"/>
  <c r="G97" i="1" s="1"/>
  <c r="H97" i="1" l="1"/>
  <c r="I97" i="1"/>
</calcChain>
</file>

<file path=xl/sharedStrings.xml><?xml version="1.0" encoding="utf-8"?>
<sst xmlns="http://schemas.openxmlformats.org/spreadsheetml/2006/main" count="280" uniqueCount="181">
  <si>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</si>
  <si>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</si>
  <si>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</si>
  <si>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</si>
  <si>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</si>
  <si>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</si>
  <si>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</si>
  <si>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</si>
  <si>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</si>
  <si>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</si>
  <si>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</si>
  <si>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</si>
  <si>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</si>
  <si>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</si>
  <si>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</si>
  <si>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</si>
  <si>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</si>
  <si>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</si>
  <si>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</si>
  <si>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</si>
  <si>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</si>
  <si>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</si>
  <si>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</si>
  <si>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</si>
  <si>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</si>
  <si>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</si>
  <si>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</si>
  <si>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</si>
  <si>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</si>
  <si>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</si>
  <si>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</si>
  <si>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</si>
  <si>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</si>
  <si>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</si>
  <si>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</si>
  <si>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</si>
  <si>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</si>
  <si>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</si>
  <si>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</si>
  <si>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</si>
  <si>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</si>
  <si>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</si>
  <si>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</si>
  <si>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</si>
  <si>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</si>
  <si>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</si>
  <si>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</si>
  <si>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</si>
  <si>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</si>
  <si>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</si>
  <si>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</si>
  <si>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</si>
  <si>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</si>
  <si>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</si>
  <si>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</si>
  <si>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</si>
  <si>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</si>
  <si>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</si>
  <si>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</si>
  <si>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</si>
  <si>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</si>
  <si>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</si>
  <si>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</si>
  <si>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</si>
  <si>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</si>
  <si>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</si>
  <si>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</si>
  <si>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</si>
  <si>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</si>
  <si>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</si>
  <si>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</si>
  <si>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</si>
  <si>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</si>
  <si>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</si>
  <si>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</si>
  <si>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</si>
  <si>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</si>
  <si>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</si>
  <si>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</si>
  <si>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</si>
  <si>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</si>
  <si>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</si>
  <si>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</si>
  <si>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</si>
  <si>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</si>
  <si>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</si>
  <si>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</si>
  <si>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</si>
  <si>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</si>
  <si>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</si>
  <si>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</si>
  <si>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</si>
  <si>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</si>
  <si>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</si>
  <si>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</si>
  <si>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</si>
  <si>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</si>
  <si>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</si>
  <si>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</si>
  <si>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</si>
  <si>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</si>
  <si>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</si>
  <si>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</si>
  <si>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</si>
  <si>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</si>
  <si>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</si>
  <si>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</si>
  <si>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</si>
  <si>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</si>
  <si>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</si>
  <si>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</si>
  <si>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</si>
  <si>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</si>
  <si>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</si>
  <si>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</si>
  <si>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</si>
  <si>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</si>
  <si>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</si>
  <si>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</si>
  <si>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</si>
  <si>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</si>
  <si>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</si>
  <si>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</si>
  <si>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</si>
  <si>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</si>
  <si>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</si>
  <si>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</si>
  <si>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</si>
  <si>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</si>
  <si>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</si>
  <si>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</si>
  <si>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</si>
  <si>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</si>
  <si>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</si>
  <si>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</si>
  <si>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</si>
  <si>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>FEUILLANT, GASTON</t>
  </si>
  <si>
    <t xml:space="preserve">Kromacolor </t>
  </si>
  <si>
    <t>Contessi - Mantenimiento de ascensores</t>
  </si>
  <si>
    <t>Reemplazo Sr. Diego -  Monica Gorosito</t>
  </si>
  <si>
    <t>Seguro de vida Sra. Monica</t>
  </si>
  <si>
    <t>Subidos en jun de 2025</t>
  </si>
  <si>
    <t>Kromacolor</t>
  </si>
  <si>
    <t>BALBOA, ARIEL</t>
  </si>
  <si>
    <t>Casa ruan - materiales de trabajo - plafones y dicroicas</t>
  </si>
  <si>
    <t>Servisur - reemplazo de plafones y dicroicas</t>
  </si>
  <si>
    <t>Articulos de limpieza - Montoya Alejandra</t>
  </si>
  <si>
    <t>Debito 27/07</t>
  </si>
  <si>
    <t>Contessi - Cuota 2  de arreglo montavehiculos</t>
  </si>
  <si>
    <t>Riesgo Uno - Reemplazo de detector, verificacion de cableado, pulsadores y panel - Mano de obra y materiales</t>
  </si>
  <si>
    <t>Limpieza de SUM - Sra. Monica</t>
  </si>
  <si>
    <t xml:space="preserve">Sr. Diego Britez </t>
  </si>
  <si>
    <t>SEGURO OBLIGATORIO SR DIEGO BRITEZ FEDERACION PATRONAL DEBITO AUTOMATICO 01/07</t>
  </si>
  <si>
    <t>Debito 14/07</t>
  </si>
  <si>
    <t>Numero 1859135 Debito automatico 01/07</t>
  </si>
  <si>
    <t xml:space="preserve">Compra de materiales </t>
  </si>
  <si>
    <t>Leonardo Balcalazza - Recapeo vereda, puntas de canteros</t>
  </si>
  <si>
    <t>Vto. 04/07</t>
  </si>
  <si>
    <t>Vto. 31/07</t>
  </si>
  <si>
    <t>EL MES ANTERIOR ATILIO QUEDO CON UN SALDO A FAVOR DE:</t>
  </si>
  <si>
    <t>UF 42</t>
  </si>
  <si>
    <t>COCHERA 1</t>
  </si>
  <si>
    <t>COCHERA 2</t>
  </si>
  <si>
    <t>COCHERA 7</t>
  </si>
  <si>
    <t>SI A LAS EXPENSAS DEL MES PASADO LES CONTEMPLAMOS EL DINERO A FAVOR:</t>
  </si>
  <si>
    <t>LAS EXPENSAS DEL MES PASADO FUERON (AL 01/07):</t>
  </si>
  <si>
    <t>DINERO TOTAL A ABONAR:</t>
  </si>
  <si>
    <t>YA ABONO:</t>
  </si>
  <si>
    <t>A GASTON LO HABIAMOS PUESTO COMO DEUDOR( FIJARSE EN EL PDF) Y NO LO ERA</t>
  </si>
  <si>
    <t>VTO: 15/09</t>
  </si>
  <si>
    <t>PERÍODO: AGOSTO</t>
  </si>
  <si>
    <t>Honorarios AGOSTO</t>
  </si>
  <si>
    <t>Energoup MES DE AGOSTO</t>
  </si>
  <si>
    <t xml:space="preserve">Mes de AGOSTO </t>
  </si>
  <si>
    <t>Ingreso mes de JULIO</t>
  </si>
  <si>
    <t>Salvatierra Matias - Desobstruccion y limpieza de canaletas guardaganado en pluviales de cochera en 1 piso, 2 piso y coletora de pluvial</t>
  </si>
  <si>
    <t>Salvatierra Matias - Desobstruccion columna en baño 7B</t>
  </si>
  <si>
    <t>Salvatierra Matias -Servicio de diagnostico por imágenes en 6B - Cuota 1/2</t>
  </si>
  <si>
    <t>Fumigacion 19/08</t>
  </si>
  <si>
    <t>Contessi - Provision y cambio de lapices de nivelacion en el montaauto</t>
  </si>
  <si>
    <t>Pago mis cuentas 06/08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</si>
</sst>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&quot;$&quot;\ * #,##0_-;\-&quot;$&quot;\ * #,##0_-;_-&quot;$&quot;\ * &quot;-&quot;??_-;_-@_-"/>
    <numFmt numFmtId="168" formatCode="_-[$$-2C0A]\ * #,##0.00_-;\-[$$-2C0A]\ * #,##0.00_-;_-[$$-2C0A]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2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8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5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4" fontId="2" fillId="2" borderId="20" xfId="2" applyFont="1" applyFill="1" applyBorder="1"/>
    <xf numFmtId="3" fontId="0" fillId="0" borderId="13" xfId="0" applyNumberFormat="1" applyBorder="1"/>
    <xf numFmtId="166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6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4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5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8" fontId="0" fillId="0" borderId="0" xfId="0" applyNumberFormat="1"/>
    <xf numFmtId="0" fontId="7" fillId="8" borderId="0" xfId="0" applyFont="1" applyFill="1"/>
    <xf numFmtId="164" fontId="8" fillId="0" borderId="1" xfId="2" applyFont="1" applyBorder="1"/>
    <xf numFmtId="164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4" fontId="4" fillId="0" borderId="1" xfId="0" applyNumberFormat="1" applyFont="1" applyBorder="1"/>
    <xf numFmtId="4" fontId="8" fillId="0" borderId="0" xfId="0" applyNumberFormat="1" applyFont="1"/>
    <xf numFmtId="164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67" fontId="0" fillId="0" borderId="1" xfId="1" applyNumberFormat="1" applyFont="1" applyBorder="1"/>
    <xf numFmtId="0" fontId="0" fillId="9" borderId="1" xfId="0" applyFill="1" applyBorder="1"/>
    <xf numFmtId="167" fontId="0" fillId="9" borderId="1" xfId="0" applyNumberFormat="1" applyFill="1" applyBorder="1"/>
    <xf numFmtId="3" fontId="0" fillId="9" borderId="1" xfId="0" applyNumberFormat="1" applyFill="1" applyBorder="1"/>
    <xf numFmtId="164" fontId="9" fillId="3" borderId="1" xfId="2" applyFont="1" applyFill="1" applyBorder="1"/>
    <xf numFmtId="164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4" fontId="2" fillId="0" borderId="1" xfId="2" applyFont="1" applyBorder="1"/>
    <xf numFmtId="0" fontId="2" fillId="9" borderId="25" xfId="0" applyFont="1" applyFill="1" applyBorder="1"/>
    <xf numFmtId="44" fontId="2" fillId="9" borderId="27" xfId="0" applyNumberFormat="1" applyFont="1" applyFill="1" applyBorder="1"/>
    <xf numFmtId="0" fontId="2" fillId="9" borderId="38" xfId="0" applyFont="1" applyFill="1" applyBorder="1"/>
    <xf numFmtId="44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44" fontId="14" fillId="6" borderId="11" xfId="1" applyFont="1" applyFill="1" applyBorder="1"/>
    <xf numFmtId="44" fontId="0" fillId="0" borderId="0" xfId="0" applyNumberFormat="1"/>
    <xf numFmtId="8" fontId="2" fillId="6" borderId="34" xfId="0" applyNumberFormat="1" applyFont="1" applyFill="1" applyBorder="1"/>
    <xf numFmtId="0" fontId="2" fillId="3" borderId="1" xfId="0" applyFont="1" applyFill="1" applyBorder="1"/>
    <xf numFmtId="44" fontId="2" fillId="6" borderId="0" xfId="0" applyNumberFormat="1" applyFont="1" applyFill="1"/>
    <xf numFmtId="44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44" fontId="2" fillId="10" borderId="25" xfId="1" applyFont="1" applyFill="1" applyBorder="1"/>
    <xf numFmtId="8" fontId="2" fillId="6" borderId="1" xfId="0" applyNumberFormat="1" applyFont="1" applyFill="1" applyBorder="1"/>
    <xf numFmtId="8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44" fontId="6" fillId="3" borderId="0" xfId="1" applyFont="1" applyFill="1" applyBorder="1"/>
    <xf numFmtId="0" fontId="19" fillId="0" borderId="1" xfId="0" applyFont="1" applyBorder="1"/>
    <xf numFmtId="167" fontId="0" fillId="9" borderId="1" xfId="1" applyNumberFormat="1" applyFont="1" applyFill="1" applyBorder="1"/>
    <xf numFmtId="6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67" fontId="15" fillId="0" borderId="1" xfId="0" applyNumberFormat="1" applyFont="1" applyBorder="1"/>
    <xf numFmtId="167" fontId="19" fillId="0" borderId="1" xfId="0" applyNumberFormat="1" applyFont="1" applyBorder="1"/>
    <xf numFmtId="0" fontId="15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10" borderId="1" xfId="0" applyNumberFormat="1" applyFont="1" applyFill="1" applyBorder="1"/>
    <xf numFmtId="6" fontId="0" fillId="3" borderId="0" xfId="0" applyNumberFormat="1" applyFill="1" applyAlignment="1">
      <alignment horizontal="right" wrapText="1"/>
    </xf>
    <xf numFmtId="167" fontId="0" fillId="0" borderId="0" xfId="0" applyNumberFormat="1"/>
    <xf numFmtId="44" fontId="0" fillId="0" borderId="34" xfId="1" applyFont="1" applyBorder="1"/>
    <xf numFmtId="44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44" fontId="2" fillId="6" borderId="11" xfId="0" applyNumberFormat="1" applyFont="1" applyFill="1" applyBorder="1"/>
    <xf numFmtId="44" fontId="2" fillId="7" borderId="26" xfId="0" applyNumberFormat="1" applyFont="1" applyFill="1" applyBorder="1"/>
    <xf numFmtId="44" fontId="0" fillId="0" borderId="11" xfId="0" applyNumberFormat="1" applyBorder="1"/>
    <xf numFmtId="0" fontId="20" fillId="0" borderId="0" xfId="0" applyFont="1"/>
    <xf numFmtId="6" fontId="6" fillId="5" borderId="0" xfId="0" applyNumberFormat="1" applyFont="1" applyFill="1" applyAlignment="1">
      <alignment horizontal="right" wrapText="1"/>
    </xf>
    <xf numFmtId="44" fontId="6" fillId="5" borderId="0" xfId="0" applyNumberFormat="1" applyFont="1" applyFill="1"/>
    <xf numFmtId="6" fontId="6" fillId="5" borderId="0" xfId="0" applyNumberFormat="1" applyFont="1" applyFill="1"/>
    <xf numFmtId="44" fontId="4" fillId="0" borderId="0" xfId="0" applyNumberFormat="1" applyFont="1"/>
    <xf numFmtId="0" fontId="4" fillId="0" borderId="1" xfId="0" applyFont="1" applyBorder="1" applyAlignment="1">
      <alignment vertical="center" wrapText="1"/>
    </xf>
    <xf numFmtId="44" fontId="0" fillId="0" borderId="0" xfId="1" applyFont="1"/>
    <xf numFmtId="44" fontId="14" fillId="6" borderId="11" xfId="0" applyNumberFormat="1" applyFont="1" applyFill="1" applyBorder="1"/>
    <xf numFmtId="44" fontId="2" fillId="6" borderId="25" xfId="0" applyNumberFormat="1" applyFont="1" applyFill="1" applyBorder="1"/>
    <xf numFmtId="0" fontId="0" fillId="3" borderId="0" xfId="0" applyFill="1"/>
    <xf numFmtId="44" fontId="20" fillId="0" borderId="0" xfId="0" applyNumberFormat="1" applyFont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44" fontId="0" fillId="0" borderId="2" xfId="0" applyNumberFormat="1" applyBorder="1"/>
    <xf numFmtId="6" fontId="15" fillId="3" borderId="1" xfId="0" applyNumberFormat="1" applyFont="1" applyFill="1" applyBorder="1"/>
    <xf numFmtId="44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44" fontId="2" fillId="6" borderId="1" xfId="0" applyNumberFormat="1" applyFont="1" applyFill="1" applyBorder="1"/>
    <xf numFmtId="44" fontId="2" fillId="6" borderId="1" xfId="1" applyFont="1" applyFill="1" applyBorder="1"/>
    <xf numFmtId="44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3" xfId="0" applyFill="1" applyBorder="1" applyAlignment="1">
      <alignment horizontal="left" vertical="center" wrapText="1"/>
    </xf>
    <xf numFmtId="44" fontId="15" fillId="9" borderId="1" xfId="1" applyFont="1" applyFill="1" applyBorder="1"/>
    <xf numFmtId="164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0" fontId="6" fillId="0" borderId="1" xfId="0" applyFont="1" applyBorder="1" applyAlignment="1">
      <alignment horizontal="center" vertical="center"/>
    </xf>
    <xf numFmtId="44" fontId="6" fillId="3" borderId="11" xfId="1" applyFont="1" applyFill="1" applyBorder="1"/>
    <xf numFmtId="44" fontId="6" fillId="0" borderId="11" xfId="1" applyFont="1" applyBorder="1"/>
    <xf numFmtId="0" fontId="6" fillId="0" borderId="0" xfId="0" applyFont="1"/>
    <xf numFmtId="44" fontId="6" fillId="0" borderId="1" xfId="1" applyFont="1" applyBorder="1"/>
    <xf numFmtId="0" fontId="6" fillId="0" borderId="1" xfId="0" applyFont="1" applyBorder="1"/>
    <xf numFmtId="44" fontId="14" fillId="10" borderId="11" xfId="1" applyFont="1" applyFill="1" applyBorder="1"/>
    <xf numFmtId="44" fontId="14" fillId="7" borderId="26" xfId="0" applyNumberFormat="1" applyFont="1" applyFill="1" applyBorder="1"/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44" fontId="0" fillId="0" borderId="0" xfId="0" applyNumberFormat="1" applyAlignment="1">
      <alignment horizontal="left"/>
    </xf>
    <xf numFmtId="0" fontId="0" fillId="11" borderId="1" xfId="0" applyFill="1" applyBorder="1"/>
    <xf numFmtId="44" fontId="20" fillId="3" borderId="1" xfId="1" applyFont="1" applyFill="1" applyBorder="1"/>
    <xf numFmtId="168" fontId="0" fillId="0" borderId="0" xfId="0" applyNumberFormat="1"/>
    <xf numFmtId="167" fontId="6" fillId="0" borderId="1" xfId="1" applyNumberFormat="1" applyFont="1" applyBorder="1"/>
    <xf numFmtId="167" fontId="6" fillId="3" borderId="1" xfId="1" applyNumberFormat="1" applyFont="1" applyFill="1" applyBorder="1"/>
    <xf numFmtId="167" fontId="6" fillId="11" borderId="1" xfId="1" applyNumberFormat="1" applyFont="1" applyFill="1" applyBorder="1"/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0" fillId="11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44" fontId="0" fillId="5" borderId="0" xfId="0" applyNumberFormat="1" applyFill="1" applyAlignment="1">
      <alignment horizontal="center" wrapText="1"/>
    </xf>
    <xf numFmtId="6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8" xfId="0" applyFont="1" applyFill="1" applyBorder="1" applyAlignment="1">
      <alignment horizontal="center" vertical="center" wrapText="1"/>
    </xf>
    <xf numFmtId="168" fontId="2" fillId="11" borderId="32" xfId="0" applyNumberFormat="1" applyFont="1" applyFill="1" applyBorder="1" applyAlignment="1">
      <alignment horizontal="center" vertical="center"/>
    </xf>
    <xf numFmtId="0" fontId="2" fillId="11" borderId="34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4" fontId="20" fillId="0" borderId="1" xfId="1" applyFont="1" applyBorder="1"/>
    <xf numFmtId="44" fontId="20" fillId="3" borderId="1" xfId="1" applyFont="1" applyFill="1" applyBorder="1" applyAlignment="1"/>
    <xf numFmtId="0" fontId="0" fillId="11" borderId="1" xfId="0" applyFill="1" applyBorder="1" applyAlignment="1">
      <alignment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"/>
  <sheetViews>
    <sheetView tabSelected="1" topLeftCell="A62" workbookViewId="0">
      <selection activeCell="D69" sqref="D69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6" width="13" bestFit="1" customWidth="1"/>
    <col min="7" max="7" width="15.88671875" customWidth="1"/>
    <col min="8" max="8" width="14.88671875" customWidth="1"/>
    <col min="9" max="9" width="13" bestFit="1" customWidth="1"/>
    <col min="10" max="10" width="14.5546875" bestFit="1" customWidth="1"/>
    <col min="12" max="12" width="18" customWidth="1"/>
    <col min="13" max="13" width="18.33203125" customWidth="1"/>
  </cols>
  <sheetData>
    <row r="1" spans="1:5" ht="15" thickBot="1" x14ac:dyDescent="0.35">
      <c r="A1" s="8"/>
      <c r="B1" s="97" t="s">
        <v>118</v>
      </c>
      <c r="C1" s="8"/>
      <c r="D1" s="8"/>
      <c r="E1" s="8"/>
    </row>
    <row r="2" spans="1:5" x14ac:dyDescent="0.3">
      <c r="A2" s="64"/>
      <c r="B2" s="65" t="s">
        <v>0</v>
      </c>
      <c r="C2" s="65"/>
      <c r="D2" s="65"/>
      <c r="E2" s="66"/>
    </row>
    <row r="3" spans="1:5" x14ac:dyDescent="0.3">
      <c r="A3" s="67"/>
      <c r="B3" s="68" t="s">
        <v>88</v>
      </c>
      <c r="C3" s="68"/>
      <c r="D3" s="68"/>
      <c r="E3" s="69"/>
    </row>
    <row r="4" spans="1:5" ht="33.75" customHeight="1" thickBot="1" x14ac:dyDescent="0.35">
      <c r="A4" s="67"/>
      <c r="B4" s="68" t="s">
        <v>89</v>
      </c>
      <c r="C4" s="68"/>
      <c r="D4" s="68"/>
      <c r="E4" s="69"/>
    </row>
    <row r="5" spans="1:5" ht="15" thickBot="1" x14ac:dyDescent="0.35">
      <c r="A5" s="70" t="s">
        <v>1</v>
      </c>
      <c r="B5" s="71" t="s">
        <v>170</v>
      </c>
      <c r="C5" s="71" t="s">
        <v>169</v>
      </c>
      <c r="D5" s="71"/>
      <c r="E5" s="72"/>
    </row>
    <row r="6" spans="1:5" ht="15" thickBot="1" x14ac:dyDescent="0.35">
      <c r="A6" s="67" t="s">
        <v>99</v>
      </c>
      <c r="B6" s="68"/>
      <c r="C6" s="68"/>
      <c r="D6" s="68"/>
      <c r="E6" s="69"/>
    </row>
    <row r="7" spans="1:5" ht="15" thickBot="1" x14ac:dyDescent="0.35">
      <c r="A7" s="70" t="s">
        <v>98</v>
      </c>
      <c r="B7" s="71"/>
      <c r="C7" s="71"/>
      <c r="D7" s="71"/>
      <c r="E7" s="72"/>
    </row>
    <row r="9" spans="1:5" hidden="1" x14ac:dyDescent="0.3"/>
    <row r="10" spans="1:5" hidden="1" x14ac:dyDescent="0.3"/>
    <row r="11" spans="1:5" hidden="1" x14ac:dyDescent="0.3"/>
    <row r="12" spans="1:5" hidden="1" x14ac:dyDescent="0.3"/>
    <row r="14" spans="1:5" x14ac:dyDescent="0.3">
      <c r="B14" s="204" t="s">
        <v>134</v>
      </c>
      <c r="C14" s="205"/>
      <c r="D14" s="206"/>
    </row>
    <row r="15" spans="1:5" x14ac:dyDescent="0.3">
      <c r="B15" s="207"/>
      <c r="C15" s="208"/>
      <c r="D15" s="209"/>
    </row>
    <row r="16" spans="1:5" x14ac:dyDescent="0.3">
      <c r="B16" s="207"/>
      <c r="C16" s="208"/>
      <c r="D16" s="209"/>
    </row>
    <row r="17" spans="1:8" x14ac:dyDescent="0.3">
      <c r="B17" s="210"/>
      <c r="C17" s="211"/>
      <c r="D17" s="212"/>
    </row>
    <row r="19" spans="1:8" x14ac:dyDescent="0.3">
      <c r="A19" s="3"/>
    </row>
    <row r="20" spans="1:8" ht="15" thickBot="1" x14ac:dyDescent="0.35"/>
    <row r="21" spans="1:8" x14ac:dyDescent="0.3">
      <c r="A21" s="61" t="s">
        <v>86</v>
      </c>
      <c r="B21" s="62"/>
      <c r="C21" s="63"/>
      <c r="D21" s="59"/>
      <c r="E21" s="145" t="s">
        <v>121</v>
      </c>
      <c r="F21" s="144" t="s">
        <v>87</v>
      </c>
    </row>
    <row r="22" spans="1:8" x14ac:dyDescent="0.3">
      <c r="A22" s="120" t="s">
        <v>151</v>
      </c>
      <c r="B22" s="7" t="s">
        <v>171</v>
      </c>
      <c r="C22" s="7"/>
      <c r="D22" s="129"/>
      <c r="E22" s="7"/>
      <c r="F22" s="7"/>
    </row>
    <row r="23" spans="1:8" x14ac:dyDescent="0.3">
      <c r="A23" s="120" t="s">
        <v>126</v>
      </c>
      <c r="B23" s="7"/>
      <c r="C23" s="7"/>
      <c r="D23" s="178">
        <v>1262522.3</v>
      </c>
      <c r="E23" s="133">
        <f>D23*91.91%</f>
        <v>1160384.24593</v>
      </c>
      <c r="F23" s="133">
        <f>D23*8.09%</f>
        <v>102138.05407</v>
      </c>
    </row>
    <row r="24" spans="1:8" x14ac:dyDescent="0.3">
      <c r="A24" s="120" t="s">
        <v>2</v>
      </c>
      <c r="B24" s="7"/>
      <c r="C24" s="7"/>
      <c r="D24" s="178">
        <v>-274598.59999999998</v>
      </c>
      <c r="E24" s="133">
        <f t="shared" ref="E24:E25" si="0">D24*91.91%</f>
        <v>-252383.57325999995</v>
      </c>
      <c r="F24" s="133">
        <f t="shared" ref="F24:F25" si="1">D24*8.09%</f>
        <v>-22215.026739999998</v>
      </c>
    </row>
    <row r="25" spans="1:8" x14ac:dyDescent="0.3">
      <c r="A25" s="120" t="s">
        <v>112</v>
      </c>
      <c r="B25" s="7"/>
      <c r="C25" s="7"/>
      <c r="D25" s="178">
        <v>0.3</v>
      </c>
      <c r="E25" s="133">
        <f t="shared" si="0"/>
        <v>0.27572999999999998</v>
      </c>
      <c r="F25" s="133">
        <f t="shared" si="1"/>
        <v>2.427E-2</v>
      </c>
    </row>
    <row r="26" spans="1:8" x14ac:dyDescent="0.3">
      <c r="A26" s="120"/>
      <c r="B26" s="7"/>
      <c r="C26" s="7"/>
      <c r="D26" s="178"/>
      <c r="E26" s="133"/>
      <c r="F26" s="7"/>
    </row>
    <row r="27" spans="1:8" ht="12.75" customHeight="1" x14ac:dyDescent="0.3">
      <c r="A27" s="95" t="s">
        <v>3</v>
      </c>
      <c r="B27" s="95"/>
      <c r="C27" s="95"/>
      <c r="D27" s="107">
        <f>SUM(D23:D26)</f>
        <v>987924.00000000012</v>
      </c>
      <c r="E27" s="107">
        <f>SUM(E23:E26)</f>
        <v>908000.94839999999</v>
      </c>
      <c r="F27" s="107">
        <f>SUM(F23:F26)</f>
        <v>79923.051599999992</v>
      </c>
      <c r="G27" s="108">
        <f>E27+F27</f>
        <v>987924</v>
      </c>
      <c r="H27" s="149" t="str">
        <f>IF(D27=G27, "", "Error")</f>
        <v/>
      </c>
    </row>
    <row r="28" spans="1:8" hidden="1" x14ac:dyDescent="0.3">
      <c r="A28" s="94" t="s">
        <v>109</v>
      </c>
      <c r="B28" s="7"/>
      <c r="C28" s="7"/>
      <c r="D28" s="179">
        <v>0</v>
      </c>
      <c r="E28" s="133">
        <f>D28*91.91%</f>
        <v>0</v>
      </c>
      <c r="F28" s="133">
        <f>D28*8.09%</f>
        <v>0</v>
      </c>
      <c r="H28" s="149"/>
    </row>
    <row r="29" spans="1:8" hidden="1" x14ac:dyDescent="0.3">
      <c r="A29" s="94"/>
      <c r="B29" s="7"/>
      <c r="C29" s="7"/>
      <c r="D29" s="178">
        <v>0</v>
      </c>
      <c r="E29" s="133">
        <f>D29*91.91%</f>
        <v>0</v>
      </c>
      <c r="F29" s="133">
        <f>D29*8.09%</f>
        <v>0</v>
      </c>
      <c r="H29" s="149"/>
    </row>
    <row r="30" spans="1:8" hidden="1" x14ac:dyDescent="0.3">
      <c r="A30" s="94"/>
      <c r="B30" s="7"/>
      <c r="C30" s="7"/>
      <c r="D30" s="178"/>
      <c r="E30" s="7"/>
      <c r="F30" s="7"/>
      <c r="H30" s="149"/>
    </row>
    <row r="31" spans="1:8" hidden="1" x14ac:dyDescent="0.3">
      <c r="A31" s="94"/>
      <c r="B31" s="7"/>
      <c r="C31" s="7"/>
      <c r="D31" s="178"/>
      <c r="E31" s="7"/>
      <c r="F31" s="7"/>
      <c r="H31" s="149"/>
    </row>
    <row r="32" spans="1:8" hidden="1" x14ac:dyDescent="0.3">
      <c r="A32" s="95" t="s">
        <v>117</v>
      </c>
      <c r="B32" s="95"/>
      <c r="C32" s="95"/>
      <c r="D32" s="107">
        <f>SUM(D28:D30)</f>
        <v>0</v>
      </c>
      <c r="E32" s="107">
        <f t="shared" ref="E32:F32" si="2">SUM(E28:E30)</f>
        <v>0</v>
      </c>
      <c r="F32" s="107">
        <f t="shared" si="2"/>
        <v>0</v>
      </c>
      <c r="G32" s="108">
        <f>E32+F32</f>
        <v>0</v>
      </c>
      <c r="H32" s="149" t="str">
        <f>IF(D32=G32, "", "Error")</f>
        <v/>
      </c>
    </row>
    <row r="33" spans="1:8" hidden="1" x14ac:dyDescent="0.3">
      <c r="A33" s="94" t="s">
        <v>109</v>
      </c>
      <c r="B33" s="7"/>
      <c r="C33" s="7"/>
      <c r="D33" s="179"/>
      <c r="E33" s="133">
        <f>D33*91.91%</f>
        <v>0</v>
      </c>
      <c r="F33" s="133">
        <f>D33*8.09%</f>
        <v>0</v>
      </c>
      <c r="H33" s="149"/>
    </row>
    <row r="34" spans="1:8" hidden="1" x14ac:dyDescent="0.3">
      <c r="A34" s="7" t="s">
        <v>130</v>
      </c>
      <c r="B34" s="7"/>
      <c r="C34" s="7"/>
      <c r="D34" s="178"/>
      <c r="E34" s="133">
        <f t="shared" ref="E34:E35" si="3">D34*91.91%</f>
        <v>0</v>
      </c>
      <c r="F34" s="133">
        <f t="shared" ref="F34:F35" si="4">D34*8.09%</f>
        <v>0</v>
      </c>
      <c r="H34" s="149"/>
    </row>
    <row r="35" spans="1:8" hidden="1" x14ac:dyDescent="0.3">
      <c r="A35" s="94" t="s">
        <v>2</v>
      </c>
      <c r="B35" s="7"/>
      <c r="C35" s="7"/>
      <c r="D35" s="178"/>
      <c r="E35" s="133">
        <f t="shared" si="3"/>
        <v>0</v>
      </c>
      <c r="F35" s="133">
        <f t="shared" si="4"/>
        <v>0</v>
      </c>
      <c r="H35" s="149"/>
    </row>
    <row r="36" spans="1:8" hidden="1" x14ac:dyDescent="0.3">
      <c r="A36" s="95" t="s">
        <v>110</v>
      </c>
      <c r="B36" s="95"/>
      <c r="C36" s="95"/>
      <c r="D36" s="107">
        <f>SUM(D29:D35)</f>
        <v>0</v>
      </c>
      <c r="E36" s="107">
        <f t="shared" ref="E36" si="5">SUM(E29:E35)</f>
        <v>0</v>
      </c>
      <c r="F36" s="118">
        <f>E36*8.09%</f>
        <v>0</v>
      </c>
      <c r="H36" s="149"/>
    </row>
    <row r="37" spans="1:8" ht="0.75" hidden="1" customHeight="1" x14ac:dyDescent="0.3">
      <c r="A37" s="128"/>
      <c r="B37" s="98"/>
      <c r="C37" s="98"/>
      <c r="D37" s="178"/>
      <c r="E37" s="119"/>
      <c r="F37" s="119"/>
      <c r="H37" s="149"/>
    </row>
    <row r="38" spans="1:8" hidden="1" x14ac:dyDescent="0.3">
      <c r="A38" s="128"/>
      <c r="B38" s="98"/>
      <c r="C38" s="98"/>
      <c r="D38" s="178"/>
      <c r="E38" s="119"/>
      <c r="F38" s="119"/>
      <c r="H38" s="149"/>
    </row>
    <row r="39" spans="1:8" hidden="1" x14ac:dyDescent="0.3">
      <c r="A39" s="98"/>
      <c r="B39" s="98"/>
      <c r="C39" s="110"/>
      <c r="D39" s="178"/>
      <c r="E39" s="119"/>
      <c r="F39" s="119"/>
      <c r="H39" s="149"/>
    </row>
    <row r="40" spans="1:8" hidden="1" x14ac:dyDescent="0.3">
      <c r="A40" s="95" t="s">
        <v>117</v>
      </c>
      <c r="B40" s="95"/>
      <c r="C40" s="95"/>
      <c r="D40" s="107"/>
      <c r="E40" s="111">
        <f>SUM(D37:D39)</f>
        <v>0</v>
      </c>
      <c r="F40" s="109">
        <f>(D37)*8.09%</f>
        <v>0</v>
      </c>
      <c r="H40" s="149"/>
    </row>
    <row r="41" spans="1:8" x14ac:dyDescent="0.3">
      <c r="A41" s="94" t="s">
        <v>140</v>
      </c>
      <c r="B41" s="7"/>
      <c r="C41" s="7"/>
      <c r="D41" s="112">
        <v>3567.21</v>
      </c>
      <c r="E41" s="133">
        <f>D41*91.91%</f>
        <v>3278.6227109999995</v>
      </c>
      <c r="F41" s="133">
        <f>D41*8.09%</f>
        <v>288.587289</v>
      </c>
      <c r="H41" s="149"/>
    </row>
    <row r="42" spans="1:8" x14ac:dyDescent="0.3">
      <c r="A42" s="94" t="s">
        <v>139</v>
      </c>
      <c r="B42" s="7"/>
      <c r="C42" s="7"/>
      <c r="D42" s="112">
        <v>37000</v>
      </c>
      <c r="E42" s="133">
        <f>D42*91.91%</f>
        <v>34006.699999999997</v>
      </c>
      <c r="F42" s="133">
        <f>D42*8.09%</f>
        <v>2993.3</v>
      </c>
      <c r="H42" s="149"/>
    </row>
    <row r="43" spans="1:8" ht="15" thickBot="1" x14ac:dyDescent="0.35">
      <c r="A43" s="94"/>
      <c r="B43" s="7"/>
      <c r="C43" s="7"/>
      <c r="D43" s="181"/>
      <c r="E43" s="133">
        <f>D43*91.91%</f>
        <v>0</v>
      </c>
      <c r="F43" s="133">
        <f>D43*8.09%</f>
        <v>0</v>
      </c>
      <c r="H43" s="149"/>
    </row>
    <row r="44" spans="1:8" ht="15" thickBot="1" x14ac:dyDescent="0.35">
      <c r="A44" s="95" t="s">
        <v>127</v>
      </c>
      <c r="B44" s="95"/>
      <c r="C44" s="95"/>
      <c r="D44" s="107">
        <f>SUM(D41:D43)</f>
        <v>40567.21</v>
      </c>
      <c r="E44" s="157">
        <f>SUM(E41:E43)</f>
        <v>37285.322710999993</v>
      </c>
      <c r="F44" s="167">
        <f>SUM(F41:F43)</f>
        <v>3281.8872890000002</v>
      </c>
      <c r="G44" s="108">
        <f>E44+F44</f>
        <v>40567.209999999992</v>
      </c>
      <c r="H44" s="149"/>
    </row>
    <row r="45" spans="1:8" x14ac:dyDescent="0.3">
      <c r="A45" s="94" t="s">
        <v>4</v>
      </c>
      <c r="B45" s="7"/>
      <c r="C45" s="7"/>
      <c r="D45" s="181"/>
      <c r="E45" s="113"/>
      <c r="F45" s="100"/>
      <c r="H45" s="149"/>
    </row>
    <row r="46" spans="1:8" x14ac:dyDescent="0.3">
      <c r="A46" s="94" t="s">
        <v>152</v>
      </c>
      <c r="B46" s="7"/>
      <c r="C46" s="98"/>
      <c r="D46" s="112">
        <v>5020</v>
      </c>
      <c r="E46" s="133">
        <f>D46*91.91%</f>
        <v>4613.8819999999996</v>
      </c>
      <c r="F46" s="133">
        <f>D46*8.09%</f>
        <v>406.11799999999999</v>
      </c>
      <c r="H46" s="149"/>
    </row>
    <row r="47" spans="1:8" x14ac:dyDescent="0.3">
      <c r="A47" s="94" t="s">
        <v>5</v>
      </c>
      <c r="B47" s="7" t="s">
        <v>153</v>
      </c>
      <c r="C47" s="7"/>
      <c r="D47" s="191">
        <f>106691.95+6312.61+56813.5</f>
        <v>169818.06</v>
      </c>
      <c r="E47" s="133">
        <f>D47*91.91%</f>
        <v>156079.77894599998</v>
      </c>
      <c r="F47" s="133">
        <f>D47*8.09%</f>
        <v>13738.281053999999</v>
      </c>
      <c r="H47" s="149"/>
    </row>
    <row r="48" spans="1:8" x14ac:dyDescent="0.3">
      <c r="A48" s="94" t="s">
        <v>135</v>
      </c>
      <c r="B48" s="98" t="s">
        <v>180</v>
      </c>
      <c r="C48" s="7"/>
      <c r="D48" s="191">
        <v>828107.55</v>
      </c>
      <c r="E48" s="133">
        <f>D48*91.91%</f>
        <v>761113.64920500002</v>
      </c>
      <c r="F48" s="133">
        <f>D48*8.09%</f>
        <v>66993.900795000009</v>
      </c>
      <c r="H48" s="149"/>
    </row>
    <row r="49" spans="1:10" x14ac:dyDescent="0.3">
      <c r="A49" s="95" t="s">
        <v>6</v>
      </c>
      <c r="B49" s="96"/>
      <c r="C49" s="96"/>
      <c r="D49" s="107">
        <f>SUM(D46:D48)</f>
        <v>1002945.6100000001</v>
      </c>
      <c r="E49" s="107">
        <f t="shared" ref="E49:F49" si="6">SUM(E46:E48)</f>
        <v>921807.31015100004</v>
      </c>
      <c r="F49" s="107">
        <f t="shared" si="6"/>
        <v>81138.299849000003</v>
      </c>
      <c r="G49" s="108">
        <f>E49+F49</f>
        <v>1002945.6100000001</v>
      </c>
      <c r="H49" s="149" t="str">
        <f>IF(D49=G49, "", "Error")</f>
        <v/>
      </c>
    </row>
    <row r="50" spans="1:10" x14ac:dyDescent="0.3">
      <c r="A50" s="7" t="s">
        <v>7</v>
      </c>
      <c r="B50" s="7"/>
      <c r="C50" s="7"/>
      <c r="D50" s="181"/>
      <c r="E50" s="114"/>
      <c r="F50" s="7"/>
      <c r="H50" s="149"/>
    </row>
    <row r="51" spans="1:10" ht="16.5" customHeight="1" x14ac:dyDescent="0.3">
      <c r="A51" s="186" t="s">
        <v>148</v>
      </c>
      <c r="B51" s="174"/>
      <c r="C51" s="175"/>
      <c r="D51" s="181">
        <v>960000</v>
      </c>
      <c r="E51" s="148">
        <f>D51</f>
        <v>960000</v>
      </c>
      <c r="F51" s="7"/>
      <c r="G51" s="108">
        <f>D51</f>
        <v>960000</v>
      </c>
      <c r="H51" s="159">
        <f>E51+F51</f>
        <v>960000</v>
      </c>
      <c r="I51" s="176">
        <f t="shared" ref="I51:I74" si="7">H51-D51</f>
        <v>0</v>
      </c>
      <c r="J51" s="176">
        <f t="shared" ref="J51:J75" si="8">G51-D51</f>
        <v>0</v>
      </c>
    </row>
    <row r="52" spans="1:10" ht="16.5" customHeight="1" x14ac:dyDescent="0.3">
      <c r="A52" s="186" t="s">
        <v>179</v>
      </c>
      <c r="B52" s="174"/>
      <c r="C52" s="175"/>
      <c r="D52" s="249">
        <v>160000</v>
      </c>
      <c r="E52" s="148">
        <f>D52</f>
        <v>160000</v>
      </c>
      <c r="F52" s="7"/>
      <c r="G52" s="108"/>
      <c r="H52" s="159"/>
      <c r="I52" s="176"/>
      <c r="J52" s="176"/>
    </row>
    <row r="53" spans="1:10" ht="16.5" customHeight="1" x14ac:dyDescent="0.3">
      <c r="A53" s="186" t="s">
        <v>138</v>
      </c>
      <c r="B53" s="174"/>
      <c r="C53" s="175"/>
      <c r="D53" s="191">
        <v>372000</v>
      </c>
      <c r="E53" s="148">
        <f>D53</f>
        <v>372000</v>
      </c>
      <c r="F53" s="7"/>
      <c r="G53" s="108">
        <f>D53</f>
        <v>372000</v>
      </c>
      <c r="H53" s="159">
        <f>E53+F53</f>
        <v>372000</v>
      </c>
      <c r="I53" s="176">
        <f>H53-D53</f>
        <v>0</v>
      </c>
      <c r="J53" s="176"/>
    </row>
    <row r="54" spans="1:10" ht="34.5" customHeight="1" x14ac:dyDescent="0.3">
      <c r="A54" s="199" t="s">
        <v>149</v>
      </c>
      <c r="B54" s="200"/>
      <c r="C54" s="201"/>
      <c r="D54" s="112">
        <v>165500</v>
      </c>
      <c r="E54" s="148">
        <f t="shared" ref="E54:E60" si="9">D54*91.91%</f>
        <v>152111.04999999999</v>
      </c>
      <c r="F54" s="133">
        <f t="shared" ref="F54:F60" si="10">D54*8.09%</f>
        <v>13388.95</v>
      </c>
      <c r="G54" s="108">
        <f t="shared" ref="G54:G75" si="11">D54</f>
        <v>165500</v>
      </c>
      <c r="H54" s="159">
        <f t="shared" ref="H54:H75" si="12">E54+F54</f>
        <v>165500</v>
      </c>
      <c r="I54" s="176">
        <f t="shared" si="7"/>
        <v>0</v>
      </c>
      <c r="J54" s="176">
        <f t="shared" si="8"/>
        <v>0</v>
      </c>
    </row>
    <row r="55" spans="1:10" ht="14.25" customHeight="1" x14ac:dyDescent="0.3">
      <c r="A55" s="120" t="s">
        <v>8</v>
      </c>
      <c r="B55" s="161"/>
      <c r="C55" s="7"/>
      <c r="D55" s="112">
        <v>148124.67000000001</v>
      </c>
      <c r="E55" s="148">
        <f t="shared" si="9"/>
        <v>136141.38419700001</v>
      </c>
      <c r="F55" s="133">
        <f t="shared" si="10"/>
        <v>11983.285803000001</v>
      </c>
      <c r="G55" s="108">
        <f t="shared" si="11"/>
        <v>148124.67000000001</v>
      </c>
      <c r="H55" s="159">
        <f t="shared" si="12"/>
        <v>148124.67000000001</v>
      </c>
      <c r="I55" s="176"/>
      <c r="J55" s="176"/>
    </row>
    <row r="56" spans="1:10" x14ac:dyDescent="0.3">
      <c r="A56" s="94" t="s">
        <v>172</v>
      </c>
      <c r="B56" s="7"/>
      <c r="C56" s="7"/>
      <c r="D56" s="191">
        <v>148200</v>
      </c>
      <c r="E56" s="148">
        <f t="shared" si="9"/>
        <v>136210.62</v>
      </c>
      <c r="F56" s="133">
        <f t="shared" si="10"/>
        <v>11989.38</v>
      </c>
      <c r="G56" s="108">
        <f t="shared" si="11"/>
        <v>148200</v>
      </c>
      <c r="H56" s="159">
        <f t="shared" si="12"/>
        <v>148200</v>
      </c>
      <c r="I56" s="176">
        <f t="shared" si="7"/>
        <v>0</v>
      </c>
      <c r="J56" s="176">
        <f t="shared" si="8"/>
        <v>0</v>
      </c>
    </row>
    <row r="57" spans="1:10" x14ac:dyDescent="0.3">
      <c r="A57" s="94" t="s">
        <v>9</v>
      </c>
      <c r="B57" s="7" t="s">
        <v>154</v>
      </c>
      <c r="C57" s="7"/>
      <c r="D57" s="112">
        <v>129320</v>
      </c>
      <c r="E57" s="148">
        <f>D57*91.91%</f>
        <v>118858.01199999999</v>
      </c>
      <c r="F57" s="133">
        <f t="shared" si="10"/>
        <v>10461.987999999999</v>
      </c>
      <c r="G57" s="108">
        <f t="shared" si="11"/>
        <v>129320</v>
      </c>
      <c r="H57" s="159">
        <f>E57+F57</f>
        <v>129319.99999999999</v>
      </c>
      <c r="I57" s="176">
        <f t="shared" si="7"/>
        <v>0</v>
      </c>
      <c r="J57" s="176">
        <f t="shared" si="8"/>
        <v>0</v>
      </c>
    </row>
    <row r="58" spans="1:10" x14ac:dyDescent="0.3">
      <c r="A58" s="94" t="s">
        <v>11</v>
      </c>
      <c r="B58" s="7" t="s">
        <v>158</v>
      </c>
      <c r="C58" s="7"/>
      <c r="D58" s="112">
        <v>614674.98</v>
      </c>
      <c r="E58" s="148">
        <f t="shared" si="9"/>
        <v>564947.77411799994</v>
      </c>
      <c r="F58" s="133">
        <f t="shared" si="10"/>
        <v>49727.205881999995</v>
      </c>
      <c r="G58" s="108">
        <f t="shared" si="11"/>
        <v>614674.98</v>
      </c>
      <c r="H58" s="159">
        <f t="shared" si="12"/>
        <v>614674.98</v>
      </c>
      <c r="I58" s="176">
        <f t="shared" si="7"/>
        <v>0</v>
      </c>
      <c r="J58" s="176">
        <f t="shared" si="8"/>
        <v>0</v>
      </c>
    </row>
    <row r="59" spans="1:10" x14ac:dyDescent="0.3">
      <c r="A59" s="94" t="s">
        <v>11</v>
      </c>
      <c r="B59" s="7" t="s">
        <v>157</v>
      </c>
      <c r="C59" s="7"/>
      <c r="D59" s="112">
        <v>641235.69999999995</v>
      </c>
      <c r="E59" s="148">
        <f t="shared" si="9"/>
        <v>589359.7318699999</v>
      </c>
      <c r="F59" s="133">
        <f t="shared" si="10"/>
        <v>51875.968129999994</v>
      </c>
      <c r="G59" s="108">
        <f t="shared" si="11"/>
        <v>641235.69999999995</v>
      </c>
      <c r="H59" s="159">
        <f t="shared" si="12"/>
        <v>641235.69999999995</v>
      </c>
      <c r="I59" s="176">
        <f t="shared" si="7"/>
        <v>0</v>
      </c>
      <c r="J59" s="176">
        <f t="shared" si="8"/>
        <v>0</v>
      </c>
    </row>
    <row r="60" spans="1:10" x14ac:dyDescent="0.3">
      <c r="A60" s="128" t="s">
        <v>10</v>
      </c>
      <c r="B60" s="98" t="s">
        <v>147</v>
      </c>
      <c r="C60" s="98"/>
      <c r="D60" s="191">
        <v>2180444.39</v>
      </c>
      <c r="E60" s="148">
        <f t="shared" si="9"/>
        <v>2004046.438849</v>
      </c>
      <c r="F60" s="133">
        <f t="shared" si="10"/>
        <v>176397.95115100002</v>
      </c>
      <c r="G60" s="108">
        <f t="shared" si="11"/>
        <v>2180444.39</v>
      </c>
      <c r="H60" s="159">
        <f t="shared" si="12"/>
        <v>2180444.39</v>
      </c>
      <c r="I60" s="176">
        <f t="shared" si="7"/>
        <v>0</v>
      </c>
      <c r="J60" s="176">
        <f t="shared" si="8"/>
        <v>0</v>
      </c>
    </row>
    <row r="61" spans="1:10" x14ac:dyDescent="0.3">
      <c r="A61" s="196" t="s">
        <v>178</v>
      </c>
      <c r="B61" s="197"/>
      <c r="C61" s="198"/>
      <c r="D61" s="191">
        <v>67000</v>
      </c>
      <c r="E61" s="148">
        <f t="shared" ref="E61:E67" si="13">D61</f>
        <v>67000</v>
      </c>
      <c r="F61" s="133"/>
      <c r="G61" s="108">
        <f t="shared" si="11"/>
        <v>67000</v>
      </c>
      <c r="H61" s="159">
        <f t="shared" si="12"/>
        <v>67000</v>
      </c>
      <c r="I61" s="176">
        <f t="shared" si="7"/>
        <v>0</v>
      </c>
      <c r="J61" s="176">
        <f t="shared" si="8"/>
        <v>0</v>
      </c>
    </row>
    <row r="62" spans="1:10" ht="15" customHeight="1" x14ac:dyDescent="0.3">
      <c r="A62" s="187" t="s">
        <v>145</v>
      </c>
      <c r="B62" s="188"/>
      <c r="C62" s="185"/>
      <c r="D62" s="112">
        <v>90000</v>
      </c>
      <c r="E62" s="148">
        <f t="shared" si="13"/>
        <v>90000</v>
      </c>
      <c r="F62" s="133"/>
      <c r="G62" s="108">
        <f t="shared" si="11"/>
        <v>90000</v>
      </c>
      <c r="H62" s="159">
        <f t="shared" si="12"/>
        <v>90000</v>
      </c>
      <c r="I62" s="176">
        <f t="shared" si="7"/>
        <v>0</v>
      </c>
      <c r="J62" s="176">
        <f t="shared" si="8"/>
        <v>0</v>
      </c>
    </row>
    <row r="63" spans="1:10" ht="15" customHeight="1" x14ac:dyDescent="0.3">
      <c r="A63" s="7" t="s">
        <v>144</v>
      </c>
      <c r="B63" s="113"/>
      <c r="C63" s="7"/>
      <c r="D63" s="112">
        <v>29200</v>
      </c>
      <c r="E63" s="148">
        <f t="shared" si="13"/>
        <v>29200</v>
      </c>
      <c r="F63" s="133"/>
      <c r="G63" s="108">
        <f t="shared" si="11"/>
        <v>29200</v>
      </c>
      <c r="H63" s="159">
        <f t="shared" si="12"/>
        <v>29200</v>
      </c>
      <c r="I63" s="176">
        <f t="shared" si="7"/>
        <v>0</v>
      </c>
      <c r="J63" s="176"/>
    </row>
    <row r="64" spans="1:10" ht="32.25" customHeight="1" x14ac:dyDescent="0.3">
      <c r="A64" s="196" t="s">
        <v>156</v>
      </c>
      <c r="B64" s="197"/>
      <c r="C64" s="198"/>
      <c r="D64" s="112">
        <f>380000+350000</f>
        <v>730000</v>
      </c>
      <c r="E64" s="148">
        <f t="shared" ref="E64:E73" si="14">D64*91.91%</f>
        <v>670942.99999999988</v>
      </c>
      <c r="F64" s="133">
        <f t="shared" ref="F64:F72" si="15">D64*8.09%</f>
        <v>59057</v>
      </c>
      <c r="G64" s="108">
        <f t="shared" si="11"/>
        <v>730000</v>
      </c>
      <c r="H64" s="159">
        <f t="shared" si="12"/>
        <v>729999.99999999988</v>
      </c>
      <c r="I64" s="176">
        <f t="shared" si="7"/>
        <v>0</v>
      </c>
      <c r="J64" s="176"/>
    </row>
    <row r="65" spans="1:16" ht="32.25" customHeight="1" x14ac:dyDescent="0.3">
      <c r="A65" s="196" t="s">
        <v>176</v>
      </c>
      <c r="B65" s="197"/>
      <c r="C65" s="198"/>
      <c r="D65" s="191">
        <v>35500</v>
      </c>
      <c r="E65" s="148">
        <f t="shared" si="13"/>
        <v>35500</v>
      </c>
      <c r="F65" s="133"/>
      <c r="G65" s="108"/>
      <c r="H65" s="159"/>
      <c r="I65" s="176"/>
      <c r="J65" s="176"/>
    </row>
    <row r="66" spans="1:16" ht="32.25" customHeight="1" x14ac:dyDescent="0.3">
      <c r="A66" s="196" t="s">
        <v>177</v>
      </c>
      <c r="B66" s="197"/>
      <c r="C66" s="198"/>
      <c r="D66" s="191">
        <v>159500</v>
      </c>
      <c r="E66" s="148">
        <f t="shared" si="13"/>
        <v>159500</v>
      </c>
      <c r="F66" s="133"/>
      <c r="G66" s="108"/>
      <c r="H66" s="159"/>
      <c r="I66" s="176"/>
      <c r="J66" s="176"/>
    </row>
    <row r="67" spans="1:16" ht="32.25" customHeight="1" x14ac:dyDescent="0.3">
      <c r="A67" s="196" t="s">
        <v>175</v>
      </c>
      <c r="B67" s="197"/>
      <c r="C67" s="198"/>
      <c r="D67" s="191">
        <v>170000</v>
      </c>
      <c r="E67" s="148">
        <f t="shared" si="13"/>
        <v>170000</v>
      </c>
      <c r="F67" s="7"/>
      <c r="G67" s="108"/>
      <c r="H67" s="159"/>
      <c r="I67" s="176"/>
      <c r="J67" s="176"/>
    </row>
    <row r="68" spans="1:16" x14ac:dyDescent="0.3">
      <c r="A68" s="98" t="s">
        <v>142</v>
      </c>
      <c r="B68" s="98" t="s">
        <v>155</v>
      </c>
      <c r="C68" s="98"/>
      <c r="D68" s="112">
        <v>232510.18</v>
      </c>
      <c r="E68" s="148">
        <f t="shared" si="14"/>
        <v>213700.10643799999</v>
      </c>
      <c r="F68" s="133">
        <f t="shared" si="15"/>
        <v>18810.073561999998</v>
      </c>
      <c r="G68" s="108">
        <f t="shared" si="11"/>
        <v>232510.18</v>
      </c>
      <c r="H68" s="159">
        <f t="shared" si="12"/>
        <v>232510.18</v>
      </c>
      <c r="I68" s="176">
        <f t="shared" si="7"/>
        <v>0</v>
      </c>
      <c r="J68" s="176">
        <f t="shared" si="8"/>
        <v>0</v>
      </c>
      <c r="M68" s="190" t="s">
        <v>137</v>
      </c>
      <c r="N68" s="7"/>
      <c r="O68" s="7"/>
      <c r="P68" s="191">
        <v>357622.29</v>
      </c>
    </row>
    <row r="69" spans="1:16" x14ac:dyDescent="0.3">
      <c r="A69" s="98" t="s">
        <v>137</v>
      </c>
      <c r="B69" s="98" t="s">
        <v>155</v>
      </c>
      <c r="C69" s="98"/>
      <c r="D69" s="191">
        <v>141112.26</v>
      </c>
      <c r="E69" s="148">
        <f t="shared" si="14"/>
        <v>129696.278166</v>
      </c>
      <c r="F69" s="133">
        <f t="shared" si="15"/>
        <v>11415.981834</v>
      </c>
      <c r="G69" s="108">
        <f t="shared" si="11"/>
        <v>141112.26</v>
      </c>
      <c r="H69" s="159">
        <f t="shared" si="12"/>
        <v>141112.26</v>
      </c>
      <c r="I69" s="176">
        <f t="shared" si="7"/>
        <v>0</v>
      </c>
      <c r="J69" s="176">
        <f t="shared" si="8"/>
        <v>0</v>
      </c>
      <c r="M69" s="190" t="s">
        <v>137</v>
      </c>
      <c r="N69" s="7"/>
      <c r="O69" s="7"/>
      <c r="P69" s="191">
        <v>358487.12</v>
      </c>
    </row>
    <row r="70" spans="1:16" x14ac:dyDescent="0.3">
      <c r="A70" s="98" t="s">
        <v>137</v>
      </c>
      <c r="B70" s="98" t="s">
        <v>155</v>
      </c>
      <c r="C70" s="98"/>
      <c r="D70" s="191">
        <v>199992.75</v>
      </c>
      <c r="E70" s="148">
        <f t="shared" si="14"/>
        <v>183813.33652499999</v>
      </c>
      <c r="F70" s="133">
        <f t="shared" si="15"/>
        <v>16179.413474999999</v>
      </c>
      <c r="G70" s="108">
        <f t="shared" si="11"/>
        <v>199992.75</v>
      </c>
      <c r="H70" s="159">
        <f t="shared" si="12"/>
        <v>199992.75</v>
      </c>
      <c r="I70" s="176">
        <f t="shared" si="7"/>
        <v>0</v>
      </c>
      <c r="J70" s="176">
        <f t="shared" si="8"/>
        <v>0</v>
      </c>
    </row>
    <row r="71" spans="1:16" ht="14.25" customHeight="1" x14ac:dyDescent="0.3">
      <c r="A71" s="7" t="s">
        <v>119</v>
      </c>
      <c r="B71" s="7" t="s">
        <v>173</v>
      </c>
      <c r="C71" s="7"/>
      <c r="D71" s="112">
        <v>83283.39</v>
      </c>
      <c r="E71" s="148">
        <f t="shared" si="14"/>
        <v>76545.763748999991</v>
      </c>
      <c r="F71" s="133">
        <f t="shared" si="15"/>
        <v>6737.6262509999997</v>
      </c>
      <c r="G71" s="108">
        <f t="shared" si="11"/>
        <v>83283.39</v>
      </c>
      <c r="H71" s="159">
        <f t="shared" si="12"/>
        <v>83283.389999999985</v>
      </c>
      <c r="I71" s="176">
        <f t="shared" si="7"/>
        <v>0</v>
      </c>
      <c r="J71" s="176">
        <f t="shared" si="8"/>
        <v>0</v>
      </c>
    </row>
    <row r="72" spans="1:16" ht="14.25" customHeight="1" x14ac:dyDescent="0.3">
      <c r="A72" s="190"/>
      <c r="B72" s="113"/>
      <c r="C72" s="7"/>
      <c r="D72" s="191">
        <v>260000</v>
      </c>
      <c r="E72" s="148">
        <f t="shared" ref="E72:E75" si="16">D72</f>
        <v>260000</v>
      </c>
      <c r="F72" s="133"/>
      <c r="G72" s="108">
        <f t="shared" si="11"/>
        <v>260000</v>
      </c>
      <c r="H72" s="159">
        <f t="shared" si="12"/>
        <v>260000</v>
      </c>
      <c r="I72" s="176">
        <f t="shared" si="7"/>
        <v>0</v>
      </c>
      <c r="J72" s="176">
        <f t="shared" si="8"/>
        <v>0</v>
      </c>
    </row>
    <row r="73" spans="1:16" ht="14.25" customHeight="1" x14ac:dyDescent="0.3">
      <c r="A73" s="190"/>
      <c r="B73" s="113"/>
      <c r="C73" s="7"/>
      <c r="D73" s="191">
        <v>256310.6</v>
      </c>
      <c r="E73" s="148">
        <f t="shared" si="16"/>
        <v>256310.6</v>
      </c>
      <c r="F73" s="133"/>
      <c r="G73" s="108"/>
      <c r="H73" s="159"/>
      <c r="I73" s="176"/>
      <c r="J73" s="176"/>
    </row>
    <row r="74" spans="1:16" ht="14.25" customHeight="1" x14ac:dyDescent="0.3">
      <c r="A74" s="190"/>
      <c r="B74" s="113"/>
      <c r="C74" s="160"/>
      <c r="D74" s="191">
        <v>124007</v>
      </c>
      <c r="E74" s="148">
        <f t="shared" si="16"/>
        <v>124007</v>
      </c>
      <c r="F74" s="133"/>
      <c r="G74" s="108">
        <f t="shared" si="11"/>
        <v>124007</v>
      </c>
      <c r="H74" s="159">
        <f t="shared" si="12"/>
        <v>124007</v>
      </c>
      <c r="I74" s="176">
        <f t="shared" si="7"/>
        <v>0</v>
      </c>
      <c r="J74" s="176">
        <f t="shared" si="8"/>
        <v>0</v>
      </c>
    </row>
    <row r="75" spans="1:16" x14ac:dyDescent="0.3">
      <c r="A75" s="251"/>
      <c r="B75" s="154"/>
      <c r="C75" s="154"/>
      <c r="D75" s="250">
        <v>123999.96</v>
      </c>
      <c r="E75" s="148">
        <f t="shared" si="16"/>
        <v>123999.96</v>
      </c>
      <c r="F75" s="133"/>
      <c r="G75" s="108">
        <f t="shared" si="11"/>
        <v>123999.96</v>
      </c>
      <c r="H75" s="159">
        <f t="shared" si="12"/>
        <v>123999.96</v>
      </c>
      <c r="I75" t="str">
        <f>IF(G75=H75, "", "Error")</f>
        <v/>
      </c>
      <c r="J75" s="176">
        <f t="shared" si="8"/>
        <v>0</v>
      </c>
    </row>
    <row r="76" spans="1:16" x14ac:dyDescent="0.3">
      <c r="A76" s="95" t="s">
        <v>12</v>
      </c>
      <c r="B76" s="96"/>
      <c r="C76" s="96"/>
      <c r="D76" s="107">
        <f>SUM(D51:D75)</f>
        <v>8221915.879999999</v>
      </c>
      <c r="E76" s="107">
        <f>SUM(E51:E75)</f>
        <v>7783891.0559119983</v>
      </c>
      <c r="F76" s="107">
        <f>SUM(F51:F75)</f>
        <v>438024.82408799999</v>
      </c>
      <c r="G76" s="108">
        <f>E76+F76</f>
        <v>8221915.879999998</v>
      </c>
      <c r="H76" s="149" t="str">
        <f>IF(D76=G76, "", "Error")</f>
        <v/>
      </c>
      <c r="I76" s="176">
        <f>D76-G76</f>
        <v>0</v>
      </c>
    </row>
    <row r="77" spans="1:16" hidden="1" x14ac:dyDescent="0.3">
      <c r="A77" s="7"/>
      <c r="B77" s="7"/>
      <c r="C77" s="7"/>
      <c r="D77" s="181"/>
      <c r="E77" s="114"/>
      <c r="F77" s="7"/>
      <c r="H77" s="149"/>
    </row>
    <row r="78" spans="1:16" hidden="1" x14ac:dyDescent="0.3">
      <c r="A78" s="7"/>
      <c r="B78" s="7"/>
      <c r="C78" s="7"/>
      <c r="D78" s="181"/>
      <c r="E78" s="113"/>
      <c r="F78" s="7"/>
      <c r="H78" s="149"/>
    </row>
    <row r="79" spans="1:16" hidden="1" x14ac:dyDescent="0.3">
      <c r="A79" s="7"/>
      <c r="B79" s="7"/>
      <c r="C79" s="7"/>
      <c r="D79" s="181"/>
      <c r="E79" s="113"/>
      <c r="F79" s="7"/>
      <c r="H79" s="149"/>
    </row>
    <row r="80" spans="1:16" x14ac:dyDescent="0.3">
      <c r="A80" s="94" t="s">
        <v>146</v>
      </c>
      <c r="B80" s="98"/>
      <c r="C80" s="7"/>
      <c r="D80" s="191">
        <v>124980</v>
      </c>
      <c r="E80" s="148">
        <f>D80*91.91%</f>
        <v>114869.11799999999</v>
      </c>
      <c r="F80" s="133">
        <f>D80*8.09%</f>
        <v>10110.882</v>
      </c>
      <c r="G80" s="158"/>
      <c r="H80" s="149"/>
    </row>
    <row r="81" spans="1:10" x14ac:dyDescent="0.3">
      <c r="A81" s="7"/>
      <c r="B81" s="7"/>
      <c r="C81" s="7"/>
      <c r="D81" s="112"/>
      <c r="E81" s="162">
        <f>D81</f>
        <v>0</v>
      </c>
      <c r="F81" s="7"/>
      <c r="H81" s="149"/>
      <c r="I81" s="108"/>
    </row>
    <row r="82" spans="1:10" ht="13.5" customHeight="1" x14ac:dyDescent="0.3">
      <c r="A82" s="95" t="s">
        <v>16</v>
      </c>
      <c r="B82" s="95"/>
      <c r="C82" s="95"/>
      <c r="D82" s="107">
        <f>SUM(D80:D81)</f>
        <v>124980</v>
      </c>
      <c r="E82" s="107">
        <f>SUM(E80:E81)</f>
        <v>114869.11799999999</v>
      </c>
      <c r="F82" s="107">
        <f>SUM(F80:F81)</f>
        <v>10110.882</v>
      </c>
      <c r="G82" s="108">
        <f>E82+F82</f>
        <v>124979.99999999999</v>
      </c>
      <c r="H82" s="149" t="str">
        <f>IF(D82=G82, "", "Error")</f>
        <v/>
      </c>
      <c r="J82" s="108"/>
    </row>
    <row r="83" spans="1:10" hidden="1" x14ac:dyDescent="0.3">
      <c r="A83" s="7"/>
      <c r="B83" s="7"/>
      <c r="C83" s="7"/>
      <c r="D83" s="181"/>
      <c r="E83" s="114"/>
      <c r="F83" s="7"/>
      <c r="H83" s="149"/>
    </row>
    <row r="84" spans="1:10" hidden="1" x14ac:dyDescent="0.3">
      <c r="A84" s="7"/>
      <c r="B84" s="7"/>
      <c r="C84" s="7"/>
      <c r="D84" s="181"/>
      <c r="E84" s="113"/>
      <c r="F84" s="7"/>
      <c r="H84" s="149"/>
    </row>
    <row r="85" spans="1:10" x14ac:dyDescent="0.3">
      <c r="A85" s="94" t="s">
        <v>13</v>
      </c>
      <c r="B85" s="7"/>
      <c r="C85" s="7"/>
      <c r="D85" s="181"/>
      <c r="E85" s="113"/>
      <c r="F85" s="7"/>
      <c r="H85" s="149"/>
    </row>
    <row r="86" spans="1:10" ht="14.25" customHeight="1" x14ac:dyDescent="0.3">
      <c r="A86" s="94" t="s">
        <v>14</v>
      </c>
      <c r="B86" s="7" t="s">
        <v>116</v>
      </c>
      <c r="C86" s="7"/>
      <c r="D86" s="112">
        <v>246000</v>
      </c>
      <c r="E86" s="148">
        <f>D86*91.91%</f>
        <v>226098.59999999998</v>
      </c>
      <c r="F86" s="133">
        <f>D86*8.09%</f>
        <v>19901.400000000001</v>
      </c>
      <c r="G86" t="s">
        <v>141</v>
      </c>
      <c r="H86" s="149"/>
    </row>
    <row r="87" spans="1:10" x14ac:dyDescent="0.3">
      <c r="A87" s="94" t="s">
        <v>107</v>
      </c>
      <c r="B87" s="7"/>
      <c r="C87" s="7"/>
      <c r="D87" s="112">
        <v>30000</v>
      </c>
      <c r="E87" s="148">
        <f>D87*91.91%</f>
        <v>27572.999999999996</v>
      </c>
      <c r="F87" s="133">
        <f>D87*8.09%</f>
        <v>2427</v>
      </c>
      <c r="H87" s="149"/>
      <c r="J87" s="112"/>
    </row>
    <row r="88" spans="1:10" x14ac:dyDescent="0.3">
      <c r="A88" s="7"/>
      <c r="B88" s="7"/>
      <c r="C88" s="7"/>
      <c r="D88" s="181"/>
      <c r="E88" s="115"/>
      <c r="F88" s="7"/>
      <c r="H88" s="149"/>
      <c r="J88" s="108"/>
    </row>
    <row r="89" spans="1:10" x14ac:dyDescent="0.3">
      <c r="A89" s="95" t="s">
        <v>100</v>
      </c>
      <c r="B89" s="95"/>
      <c r="C89" s="95"/>
      <c r="D89" s="107">
        <f>SUM(D86:D88)</f>
        <v>276000</v>
      </c>
      <c r="E89" s="107">
        <f>SUM(E86:E88)</f>
        <v>253671.59999999998</v>
      </c>
      <c r="F89" s="107">
        <f>SUM(F86:F88)</f>
        <v>22328.400000000001</v>
      </c>
      <c r="G89" s="108">
        <f>E89+F89</f>
        <v>276000</v>
      </c>
      <c r="H89" s="149" t="str">
        <f>IF(D89=G89, "", "Error")</f>
        <v/>
      </c>
      <c r="J89" s="108"/>
    </row>
    <row r="90" spans="1:10" ht="14.25" customHeight="1" x14ac:dyDescent="0.3">
      <c r="A90" s="7"/>
      <c r="B90" s="7"/>
      <c r="C90" s="7"/>
      <c r="D90" s="112"/>
      <c r="E90" s="116"/>
      <c r="F90" s="7"/>
      <c r="H90" s="149"/>
    </row>
    <row r="91" spans="1:10" x14ac:dyDescent="0.3">
      <c r="A91" s="94" t="s">
        <v>101</v>
      </c>
      <c r="B91" s="7"/>
      <c r="C91" s="7"/>
      <c r="D91" s="112">
        <v>126577.59</v>
      </c>
      <c r="E91" s="148">
        <f>D91*91.91%</f>
        <v>116337.46296899999</v>
      </c>
      <c r="F91" s="133">
        <f>D91*8.09%</f>
        <v>10240.127031</v>
      </c>
      <c r="H91" s="149"/>
    </row>
    <row r="92" spans="1:10" x14ac:dyDescent="0.3">
      <c r="A92" s="94" t="s">
        <v>102</v>
      </c>
      <c r="B92" s="7"/>
      <c r="C92" s="121"/>
      <c r="D92" s="112">
        <v>44400</v>
      </c>
      <c r="E92" s="148">
        <f>D92*91.91%</f>
        <v>40808.039999999994</v>
      </c>
      <c r="F92" s="133">
        <f>D92*8.09%</f>
        <v>3591.96</v>
      </c>
      <c r="H92" s="149"/>
    </row>
    <row r="93" spans="1:10" x14ac:dyDescent="0.3">
      <c r="A93" s="95" t="s">
        <v>15</v>
      </c>
      <c r="B93" s="95"/>
      <c r="C93" s="95"/>
      <c r="D93" s="156">
        <f>SUM(D91:D92)</f>
        <v>170977.59</v>
      </c>
      <c r="E93" s="146">
        <f t="shared" ref="E93:F93" si="17">SUM(E91:E92)</f>
        <v>157145.50296899996</v>
      </c>
      <c r="F93" s="146">
        <f t="shared" si="17"/>
        <v>13832.087030999999</v>
      </c>
      <c r="G93" s="108">
        <f>E93+F93</f>
        <v>170977.58999999997</v>
      </c>
      <c r="H93" s="149" t="str">
        <f>IF(D93=G93, "", "Error")</f>
        <v/>
      </c>
    </row>
    <row r="94" spans="1:10" ht="15" thickBot="1" x14ac:dyDescent="0.35">
      <c r="A94" s="7"/>
      <c r="B94" s="7"/>
      <c r="C94" s="7"/>
      <c r="D94" s="182"/>
      <c r="E94" s="12"/>
      <c r="F94" s="7"/>
      <c r="H94" s="149"/>
    </row>
    <row r="95" spans="1:10" ht="15" thickBot="1" x14ac:dyDescent="0.35">
      <c r="A95" s="99" t="s">
        <v>133</v>
      </c>
      <c r="B95" s="99"/>
      <c r="C95" s="99"/>
      <c r="D95" s="183"/>
      <c r="E95" s="117">
        <f>D95*91.91%</f>
        <v>0</v>
      </c>
      <c r="F95" s="135">
        <f>D95*8.09%</f>
        <v>0</v>
      </c>
      <c r="G95" s="108">
        <f>E95+F95</f>
        <v>0</v>
      </c>
      <c r="H95" s="149" t="str">
        <f>IF(D95=G95, "", "Error")</f>
        <v/>
      </c>
    </row>
    <row r="96" spans="1:10" ht="15" thickBot="1" x14ac:dyDescent="0.35">
      <c r="A96" s="1"/>
      <c r="D96" s="180"/>
      <c r="E96" s="2"/>
      <c r="F96" s="10"/>
      <c r="G96" s="155"/>
      <c r="H96" s="149"/>
    </row>
    <row r="97" spans="1:9" ht="15" thickBot="1" x14ac:dyDescent="0.35">
      <c r="A97" s="4" t="s">
        <v>103</v>
      </c>
      <c r="B97" s="60"/>
      <c r="C97" s="5"/>
      <c r="D97" s="184">
        <f>SUM(D95+D93+D89+D82+D76+D49+D32+D27+D44)</f>
        <v>10825310.289999999</v>
      </c>
      <c r="E97" s="147">
        <f>SUM(E95+E93+E89+E82+E76+E49+E32+E27+E44)</f>
        <v>10176670.858142998</v>
      </c>
      <c r="F97" s="147">
        <f>SUM(F95+F93+F89+F82+F76+F49+F32+F27+F44)</f>
        <v>648639.43185699999</v>
      </c>
      <c r="G97" s="108">
        <f>E97+F97</f>
        <v>10825310.289999997</v>
      </c>
      <c r="H97" s="149" t="str">
        <f>IF(D97=G97, "", "Error")</f>
        <v/>
      </c>
      <c r="I97" s="176">
        <f>D97-G97</f>
        <v>0</v>
      </c>
    </row>
    <row r="98" spans="1:9" ht="15" thickBot="1" x14ac:dyDescent="0.35">
      <c r="D98" s="180"/>
      <c r="E98" s="108"/>
    </row>
    <row r="99" spans="1:9" ht="15" thickBot="1" x14ac:dyDescent="0.35">
      <c r="A99" s="141" t="s">
        <v>120</v>
      </c>
      <c r="B99" s="140"/>
      <c r="C99" s="140"/>
      <c r="E99" s="108"/>
    </row>
    <row r="100" spans="1:9" x14ac:dyDescent="0.3">
      <c r="A100" s="1"/>
      <c r="C100" s="138"/>
      <c r="E100" s="108"/>
    </row>
    <row r="101" spans="1:9" ht="15" thickBot="1" x14ac:dyDescent="0.35">
      <c r="A101" s="1"/>
      <c r="C101" s="138"/>
      <c r="E101" s="108"/>
    </row>
    <row r="102" spans="1:9" ht="15" thickBot="1" x14ac:dyDescent="0.35">
      <c r="A102" s="142" t="s">
        <v>29</v>
      </c>
      <c r="B102" s="143"/>
      <c r="C102" s="139">
        <f>SUM(C100:C101)</f>
        <v>0</v>
      </c>
      <c r="E102" s="108"/>
    </row>
    <row r="103" spans="1:9" x14ac:dyDescent="0.3">
      <c r="E103" s="108"/>
    </row>
    <row r="104" spans="1:9" x14ac:dyDescent="0.3">
      <c r="E104" s="136"/>
    </row>
    <row r="105" spans="1:9" x14ac:dyDescent="0.3">
      <c r="A105" s="222" t="s">
        <v>113</v>
      </c>
      <c r="B105" s="223"/>
      <c r="C105" s="223"/>
      <c r="D105" s="223"/>
      <c r="E105" s="169" t="s">
        <v>21</v>
      </c>
      <c r="F105" s="170" t="s">
        <v>122</v>
      </c>
    </row>
    <row r="106" spans="1:9" hidden="1" x14ac:dyDescent="0.3">
      <c r="A106" s="219"/>
      <c r="B106" s="220"/>
      <c r="C106" s="221"/>
      <c r="D106" s="164"/>
      <c r="E106" s="148"/>
      <c r="F106" s="133"/>
    </row>
    <row r="107" spans="1:9" ht="22.5" customHeight="1" x14ac:dyDescent="0.3">
      <c r="A107" s="216"/>
      <c r="B107" s="217"/>
      <c r="C107" s="171"/>
      <c r="D107" s="112"/>
      <c r="E107" s="148">
        <f t="shared" ref="E107:E108" si="18">D107*91.91%</f>
        <v>0</v>
      </c>
      <c r="F107" s="133">
        <f t="shared" ref="F107:F108" si="19">D107*8.09%</f>
        <v>0</v>
      </c>
    </row>
    <row r="108" spans="1:9" ht="24.75" customHeight="1" x14ac:dyDescent="0.3">
      <c r="A108" s="216"/>
      <c r="B108" s="217"/>
      <c r="C108" s="171"/>
      <c r="D108" s="112"/>
      <c r="E108" s="148">
        <f t="shared" si="18"/>
        <v>0</v>
      </c>
      <c r="F108" s="133">
        <f t="shared" si="19"/>
        <v>0</v>
      </c>
    </row>
    <row r="109" spans="1:9" ht="28.5" customHeight="1" x14ac:dyDescent="0.3">
      <c r="A109" s="216"/>
      <c r="B109" s="217"/>
      <c r="C109" s="218"/>
      <c r="D109" s="112"/>
      <c r="E109" s="148">
        <f>D109*91.91%</f>
        <v>0</v>
      </c>
      <c r="F109" s="133">
        <f>D109*8.09%</f>
        <v>0</v>
      </c>
    </row>
    <row r="110" spans="1:9" x14ac:dyDescent="0.3">
      <c r="A110" s="213" t="s">
        <v>29</v>
      </c>
      <c r="B110" s="214"/>
      <c r="C110" s="215"/>
      <c r="D110" s="168">
        <f>SUM(D106:D109)</f>
        <v>0</v>
      </c>
      <c r="E110" s="168">
        <f>SUM(E106:E109)</f>
        <v>0</v>
      </c>
      <c r="F110" s="168">
        <f>SUM(F106:F109)</f>
        <v>0</v>
      </c>
      <c r="H110" s="108">
        <f>E110+F110</f>
        <v>0</v>
      </c>
      <c r="I110" s="149" t="str">
        <f>IF(D110=H110, "", "Error")</f>
        <v/>
      </c>
    </row>
    <row r="112" spans="1:9" ht="15" thickBot="1" x14ac:dyDescent="0.35">
      <c r="E112" s="108"/>
    </row>
    <row r="113" spans="1:7" ht="15" thickBot="1" x14ac:dyDescent="0.35">
      <c r="A113" s="102" t="s">
        <v>104</v>
      </c>
      <c r="B113" s="103">
        <f>D97</f>
        <v>10825310.289999999</v>
      </c>
    </row>
    <row r="114" spans="1:7" ht="15" thickBot="1" x14ac:dyDescent="0.35">
      <c r="A114" s="104" t="s">
        <v>106</v>
      </c>
      <c r="B114" s="105">
        <f>D97-D95</f>
        <v>10825310.289999999</v>
      </c>
    </row>
    <row r="115" spans="1:7" x14ac:dyDescent="0.3">
      <c r="D115" s="203"/>
      <c r="E115" s="203"/>
    </row>
    <row r="116" spans="1:7" x14ac:dyDescent="0.3">
      <c r="A116" s="74" t="s">
        <v>90</v>
      </c>
      <c r="B116" s="75"/>
      <c r="C116" s="76"/>
      <c r="D116" s="203"/>
      <c r="E116" s="203"/>
    </row>
    <row r="117" spans="1:7" x14ac:dyDescent="0.3">
      <c r="A117" s="77" t="s">
        <v>91</v>
      </c>
      <c r="B117" s="11">
        <v>-630321.16476135515</v>
      </c>
      <c r="C117" s="78"/>
      <c r="D117" s="203"/>
      <c r="E117" s="203"/>
    </row>
    <row r="118" spans="1:7" x14ac:dyDescent="0.3">
      <c r="A118" s="79" t="s">
        <v>92</v>
      </c>
      <c r="B118" s="92">
        <f>PRORRATEO!G52</f>
        <v>6975889.7925080024</v>
      </c>
      <c r="C118" s="78" t="s">
        <v>93</v>
      </c>
      <c r="D118" s="203"/>
      <c r="E118" s="203"/>
    </row>
    <row r="119" spans="1:7" x14ac:dyDescent="0.3">
      <c r="A119" s="79" t="s">
        <v>115</v>
      </c>
      <c r="B119" s="173">
        <f>-B114</f>
        <v>-10825310.289999999</v>
      </c>
      <c r="C119" s="76"/>
      <c r="D119" s="203"/>
      <c r="E119" s="203"/>
      <c r="G119" s="112"/>
    </row>
    <row r="120" spans="1:7" x14ac:dyDescent="0.3">
      <c r="A120" s="79" t="s">
        <v>114</v>
      </c>
      <c r="B120" s="173">
        <f>-D110</f>
        <v>0</v>
      </c>
      <c r="C120" s="76"/>
      <c r="D120" s="203"/>
      <c r="E120" s="203"/>
      <c r="G120" s="124"/>
    </row>
    <row r="121" spans="1:7" x14ac:dyDescent="0.3">
      <c r="A121" s="79" t="s">
        <v>105</v>
      </c>
      <c r="B121" s="173">
        <f>-B128</f>
        <v>-50000</v>
      </c>
      <c r="C121" s="80"/>
    </row>
    <row r="122" spans="1:7" x14ac:dyDescent="0.3">
      <c r="A122" s="79" t="s">
        <v>120</v>
      </c>
      <c r="B122" s="93">
        <f>-C102</f>
        <v>0</v>
      </c>
      <c r="C122" s="80"/>
    </row>
    <row r="123" spans="1:7" x14ac:dyDescent="0.3">
      <c r="A123" s="79"/>
      <c r="B123" s="75"/>
      <c r="C123" s="80"/>
    </row>
    <row r="124" spans="1:7" x14ac:dyDescent="0.3">
      <c r="A124" s="77" t="s">
        <v>94</v>
      </c>
      <c r="B124" s="81">
        <f>SUM(B117:B123)</f>
        <v>-4529741.6622533519</v>
      </c>
      <c r="C124" s="153"/>
    </row>
    <row r="125" spans="1:7" x14ac:dyDescent="0.3">
      <c r="A125" s="80"/>
      <c r="C125" s="76"/>
      <c r="D125" s="83"/>
    </row>
    <row r="126" spans="1:7" x14ac:dyDescent="0.3">
      <c r="C126" s="76"/>
      <c r="D126" s="108"/>
      <c r="E126" s="176"/>
    </row>
    <row r="127" spans="1:7" x14ac:dyDescent="0.3">
      <c r="A127" s="74" t="s">
        <v>95</v>
      </c>
      <c r="B127" s="11">
        <v>-365694.54000000004</v>
      </c>
      <c r="C127" s="82"/>
      <c r="D127" s="176"/>
      <c r="E127" s="176"/>
      <c r="F127" s="176"/>
    </row>
    <row r="128" spans="1:7" ht="15" customHeight="1" x14ac:dyDescent="0.3">
      <c r="A128" s="77" t="s">
        <v>174</v>
      </c>
      <c r="B128" s="93">
        <v>50000</v>
      </c>
      <c r="C128" s="82"/>
      <c r="D128" s="176"/>
      <c r="E128" s="189"/>
    </row>
    <row r="129" spans="1:14" x14ac:dyDescent="0.3">
      <c r="A129" s="77" t="s">
        <v>150</v>
      </c>
      <c r="B129" s="173">
        <v>-37000</v>
      </c>
      <c r="C129" s="82"/>
      <c r="E129" s="108"/>
    </row>
    <row r="130" spans="1:14" x14ac:dyDescent="0.3">
      <c r="A130" s="77"/>
      <c r="B130" s="173"/>
      <c r="C130" s="82"/>
      <c r="E130" s="108"/>
    </row>
    <row r="131" spans="1:14" x14ac:dyDescent="0.3">
      <c r="A131" s="100" t="s">
        <v>29</v>
      </c>
      <c r="B131" s="101">
        <f>SUM(B127:B130)</f>
        <v>-352694.54000000004</v>
      </c>
      <c r="C131" s="82"/>
    </row>
    <row r="132" spans="1:14" x14ac:dyDescent="0.3">
      <c r="C132" s="83"/>
      <c r="D132" s="176"/>
    </row>
    <row r="133" spans="1:14" x14ac:dyDescent="0.3">
      <c r="B133" s="80"/>
      <c r="C133" s="76"/>
    </row>
    <row r="135" spans="1:14" x14ac:dyDescent="0.3">
      <c r="N135" s="12"/>
    </row>
    <row r="138" spans="1:14" x14ac:dyDescent="0.3">
      <c r="B138" s="202"/>
      <c r="C138" s="202"/>
      <c r="D138" s="202"/>
      <c r="E138" s="202"/>
    </row>
    <row r="139" spans="1:14" x14ac:dyDescent="0.3">
      <c r="B139" s="202"/>
      <c r="C139" s="202"/>
      <c r="D139" s="202"/>
      <c r="E139" s="202"/>
    </row>
    <row r="140" spans="1:14" x14ac:dyDescent="0.3">
      <c r="B140" s="202"/>
      <c r="C140" s="202"/>
      <c r="D140" s="202"/>
      <c r="E140" s="202"/>
    </row>
    <row r="141" spans="1:14" x14ac:dyDescent="0.3">
      <c r="B141" s="202"/>
      <c r="C141" s="202"/>
      <c r="D141" s="202"/>
      <c r="E141" s="202"/>
    </row>
    <row r="142" spans="1:14" x14ac:dyDescent="0.3">
      <c r="B142" s="202"/>
      <c r="C142" s="202"/>
      <c r="D142" s="202"/>
      <c r="E142" s="202"/>
    </row>
  </sheetData>
  <mergeCells count="15">
    <mergeCell ref="A64:C64"/>
    <mergeCell ref="A54:C54"/>
    <mergeCell ref="B138:E142"/>
    <mergeCell ref="D115:E120"/>
    <mergeCell ref="B14:D17"/>
    <mergeCell ref="A110:C110"/>
    <mergeCell ref="A109:C109"/>
    <mergeCell ref="A106:C106"/>
    <mergeCell ref="A105:D105"/>
    <mergeCell ref="A61:C61"/>
    <mergeCell ref="A108:B108"/>
    <mergeCell ref="A107:B107"/>
    <mergeCell ref="A67:C67"/>
    <mergeCell ref="A65:C65"/>
    <mergeCell ref="A66:C66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opLeftCell="A4" zoomScaleNormal="100" workbookViewId="0">
      <selection activeCell="P16" sqref="P16"/>
    </sheetView>
  </sheetViews>
  <sheetFormatPr baseColWidth="10" defaultRowHeight="14.4" x14ac:dyDescent="0.3"/>
  <cols>
    <col min="1" max="1" width="4.5546875" customWidth="1"/>
    <col min="2" max="2" width="5.88671875" hidden="1" customWidth="1"/>
    <col min="3" max="3" width="5.33203125" customWidth="1"/>
    <col min="4" max="4" width="21.6640625" customWidth="1"/>
    <col min="5" max="5" width="6.109375" customWidth="1"/>
    <col min="6" max="7" width="12" bestFit="1" customWidth="1"/>
    <col min="8" max="8" width="9.88671875" customWidth="1"/>
    <col min="9" max="9" width="6" customWidth="1"/>
    <col min="10" max="10" width="13.6640625" customWidth="1"/>
    <col min="11" max="11" width="13.33203125" customWidth="1"/>
    <col min="12" max="12" width="10.44140625" customWidth="1"/>
    <col min="13" max="13" width="14.33203125" customWidth="1"/>
    <col min="14" max="14" width="13.6640625" customWidth="1"/>
    <col min="15" max="15" width="11.44140625" customWidth="1"/>
    <col min="16" max="16" width="14.5546875" bestFit="1" customWidth="1"/>
  </cols>
  <sheetData>
    <row r="1" spans="1:16" x14ac:dyDescent="0.3">
      <c r="A1" s="8"/>
      <c r="B1" s="8"/>
      <c r="C1" s="8"/>
      <c r="D1" s="8"/>
      <c r="E1" s="8"/>
      <c r="F1" s="8" t="s">
        <v>17</v>
      </c>
      <c r="G1" s="8"/>
      <c r="H1" s="8"/>
      <c r="I1" s="8"/>
      <c r="J1" s="8"/>
      <c r="K1" s="8" t="s">
        <v>124</v>
      </c>
      <c r="L1" s="227">
        <f>RESUMEN!D97</f>
        <v>10825310.289999999</v>
      </c>
      <c r="M1" s="228"/>
      <c r="N1" s="151"/>
      <c r="O1" s="134">
        <f>L1*8.09%</f>
        <v>875767.60246099997</v>
      </c>
    </row>
    <row r="2" spans="1:1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125</v>
      </c>
      <c r="L2" s="8"/>
      <c r="M2" s="151">
        <f>7519700+7519700*10%</f>
        <v>8271670</v>
      </c>
      <c r="N2" s="152"/>
      <c r="O2" s="134">
        <f>O1-K7-553-50-86-8</f>
        <v>260400.94469200005</v>
      </c>
    </row>
    <row r="3" spans="1:16" x14ac:dyDescent="0.3">
      <c r="A3" s="8" t="str">
        <f>RESUMEN!C5</f>
        <v>VTO: 15/09</v>
      </c>
      <c r="B3" s="8"/>
      <c r="C3" s="8"/>
      <c r="D3" s="8"/>
      <c r="E3" s="8"/>
      <c r="F3" s="8"/>
      <c r="G3" s="8"/>
      <c r="H3" s="8"/>
      <c r="I3" s="8"/>
      <c r="J3" s="9"/>
      <c r="K3" s="8" t="s">
        <v>131</v>
      </c>
      <c r="L3" s="8"/>
      <c r="M3" s="127">
        <f>RESUMEN!D110</f>
        <v>0</v>
      </c>
      <c r="N3" s="150"/>
      <c r="O3" s="73"/>
    </row>
    <row r="4" spans="1:16" ht="15" thickBot="1" x14ac:dyDescent="0.35">
      <c r="A4" s="8"/>
      <c r="B4" s="8"/>
      <c r="C4" s="8"/>
      <c r="D4" s="8"/>
      <c r="E4" s="8"/>
      <c r="F4" s="8"/>
      <c r="G4" s="8"/>
      <c r="H4" s="8"/>
      <c r="I4" s="8"/>
      <c r="J4" s="122">
        <f>(J3*8.09%)/44</f>
        <v>0</v>
      </c>
      <c r="K4" s="8" t="s">
        <v>125</v>
      </c>
      <c r="L4" s="8"/>
      <c r="M4" s="127">
        <v>0</v>
      </c>
      <c r="N4" s="123"/>
    </row>
    <row r="5" spans="1:16" x14ac:dyDescent="0.3">
      <c r="A5" s="224" t="s">
        <v>19</v>
      </c>
      <c r="B5" s="238" t="s">
        <v>20</v>
      </c>
      <c r="C5" s="224" t="s">
        <v>21</v>
      </c>
      <c r="D5" s="236" t="s">
        <v>22</v>
      </c>
      <c r="E5" s="224" t="s">
        <v>97</v>
      </c>
      <c r="F5" s="224" t="s">
        <v>23</v>
      </c>
      <c r="G5" s="224" t="s">
        <v>24</v>
      </c>
      <c r="H5" s="231" t="s">
        <v>25</v>
      </c>
      <c r="I5" s="236" t="s">
        <v>108</v>
      </c>
      <c r="J5" s="229" t="s">
        <v>26</v>
      </c>
      <c r="K5" s="229" t="s">
        <v>69</v>
      </c>
      <c r="L5" s="234" t="s">
        <v>123</v>
      </c>
      <c r="M5" s="229" t="s">
        <v>67</v>
      </c>
      <c r="N5" s="229" t="s">
        <v>68</v>
      </c>
    </row>
    <row r="6" spans="1:16" x14ac:dyDescent="0.3">
      <c r="A6" s="225"/>
      <c r="B6" s="239"/>
      <c r="C6" s="225"/>
      <c r="D6" s="240"/>
      <c r="E6" s="225"/>
      <c r="F6" s="225"/>
      <c r="G6" s="225"/>
      <c r="H6" s="232"/>
      <c r="I6" s="237"/>
      <c r="J6" s="230"/>
      <c r="K6" s="233"/>
      <c r="L6" s="235"/>
      <c r="M6" s="233"/>
      <c r="N6" s="230"/>
    </row>
    <row r="7" spans="1:16" x14ac:dyDescent="0.3">
      <c r="A7" s="7" t="s">
        <v>33</v>
      </c>
      <c r="B7" s="7"/>
      <c r="C7" s="7">
        <v>1</v>
      </c>
      <c r="D7" s="132" t="s">
        <v>34</v>
      </c>
      <c r="E7" s="7">
        <v>8.09</v>
      </c>
      <c r="F7" s="88">
        <v>412157.680108</v>
      </c>
      <c r="G7" s="193">
        <f>F7</f>
        <v>412157.680108</v>
      </c>
      <c r="H7" s="130">
        <f>F7-G7</f>
        <v>0</v>
      </c>
      <c r="I7" s="106">
        <v>10</v>
      </c>
      <c r="J7" s="88"/>
      <c r="K7" s="88">
        <v>614669.65776899992</v>
      </c>
      <c r="L7" s="98">
        <v>0</v>
      </c>
      <c r="M7" s="6">
        <f>K7+J7+H7+L7</f>
        <v>614669.65776899992</v>
      </c>
      <c r="N7" s="11">
        <f>M7*6% + M7</f>
        <v>651549.83723513992</v>
      </c>
    </row>
    <row r="8" spans="1:16" x14ac:dyDescent="0.3">
      <c r="A8" s="7" t="s">
        <v>35</v>
      </c>
      <c r="B8" s="7"/>
      <c r="C8" s="7">
        <v>24</v>
      </c>
      <c r="D8" s="132" t="s">
        <v>36</v>
      </c>
      <c r="E8" s="7">
        <v>2.21</v>
      </c>
      <c r="F8" s="88">
        <v>173244.21501451588</v>
      </c>
      <c r="G8" s="193">
        <v>175000</v>
      </c>
      <c r="H8" s="130">
        <f t="shared" ref="H8:H51" si="0">F8-G8</f>
        <v>-1755.7849854841188</v>
      </c>
      <c r="I8" s="106">
        <v>11</v>
      </c>
      <c r="J8" s="88">
        <f>M$4*E8%</f>
        <v>0</v>
      </c>
      <c r="K8" s="88">
        <f>M$2*E8 /100</f>
        <v>182803.90700000001</v>
      </c>
      <c r="L8" s="163">
        <f>J$3*E8%+J$4</f>
        <v>0</v>
      </c>
      <c r="M8" s="6">
        <f>K8+J8+H8+L8</f>
        <v>181048.12201451589</v>
      </c>
      <c r="N8" s="11">
        <f t="shared" ref="N8:N51" si="1">M8*6% + M8</f>
        <v>191911.00933538683</v>
      </c>
    </row>
    <row r="9" spans="1:16" x14ac:dyDescent="0.3">
      <c r="A9" s="7" t="s">
        <v>35</v>
      </c>
      <c r="B9" s="7"/>
      <c r="C9" s="7">
        <v>25</v>
      </c>
      <c r="D9" s="132" t="s">
        <v>37</v>
      </c>
      <c r="E9" s="7">
        <v>4.21</v>
      </c>
      <c r="F9" s="88">
        <v>326579.3682842633</v>
      </c>
      <c r="G9" s="194">
        <f>366606-G34</f>
        <v>325999.62</v>
      </c>
      <c r="H9" s="130">
        <f t="shared" si="0"/>
        <v>579.7482842633035</v>
      </c>
      <c r="I9" s="106">
        <v>6</v>
      </c>
      <c r="J9" s="88">
        <f t="shared" ref="J9:J51" si="2">M$4*E9%</f>
        <v>0</v>
      </c>
      <c r="K9" s="88">
        <f t="shared" ref="K9:K51" si="3">M$2*E9 /100</f>
        <v>348237.30700000003</v>
      </c>
      <c r="L9" s="163">
        <f t="shared" ref="L9:L50" si="4">J$3*E9%+J$4</f>
        <v>0</v>
      </c>
      <c r="M9" s="6">
        <f t="shared" ref="M9:M51" si="5">K9+J9+H9+L9</f>
        <v>348817.05528426333</v>
      </c>
      <c r="N9" s="11">
        <f t="shared" si="1"/>
        <v>369746.07860131911</v>
      </c>
    </row>
    <row r="10" spans="1:16" x14ac:dyDescent="0.3">
      <c r="A10" s="7" t="s">
        <v>38</v>
      </c>
      <c r="B10" s="7"/>
      <c r="C10" s="7">
        <v>26</v>
      </c>
      <c r="D10" s="132" t="s">
        <v>39</v>
      </c>
      <c r="E10" s="7">
        <v>2.84</v>
      </c>
      <c r="F10" s="88">
        <v>257752.68620596873</v>
      </c>
      <c r="G10" s="193">
        <v>213558</v>
      </c>
      <c r="H10" s="130">
        <f t="shared" si="0"/>
        <v>44194.686205968726</v>
      </c>
      <c r="I10" s="106">
        <v>10</v>
      </c>
      <c r="J10" s="88">
        <f t="shared" si="2"/>
        <v>0</v>
      </c>
      <c r="K10" s="88">
        <f t="shared" si="3"/>
        <v>234915.42799999996</v>
      </c>
      <c r="L10" s="163">
        <f t="shared" si="4"/>
        <v>0</v>
      </c>
      <c r="M10" s="6">
        <f t="shared" si="5"/>
        <v>279110.11420596868</v>
      </c>
      <c r="N10" s="11">
        <f t="shared" si="1"/>
        <v>295856.72105832677</v>
      </c>
    </row>
    <row r="11" spans="1:16" x14ac:dyDescent="0.3">
      <c r="A11" s="7" t="s">
        <v>38</v>
      </c>
      <c r="B11" s="7"/>
      <c r="C11" s="7">
        <v>27</v>
      </c>
      <c r="D11" s="132" t="s">
        <v>40</v>
      </c>
      <c r="E11" s="7">
        <v>3.43</v>
      </c>
      <c r="F11" s="88">
        <v>269508.94160000002</v>
      </c>
      <c r="G11" s="193">
        <f>F11</f>
        <v>269508.94160000002</v>
      </c>
      <c r="H11" s="130">
        <f t="shared" si="0"/>
        <v>0</v>
      </c>
      <c r="I11" s="106">
        <v>14</v>
      </c>
      <c r="J11" s="88">
        <f t="shared" si="2"/>
        <v>0</v>
      </c>
      <c r="K11" s="88">
        <f t="shared" si="3"/>
        <v>283718.28100000002</v>
      </c>
      <c r="L11" s="163">
        <f t="shared" si="4"/>
        <v>0</v>
      </c>
      <c r="M11" s="6">
        <f t="shared" si="5"/>
        <v>283718.28100000002</v>
      </c>
      <c r="N11" s="11">
        <f t="shared" si="1"/>
        <v>300741.37786000001</v>
      </c>
      <c r="P11" s="108"/>
    </row>
    <row r="12" spans="1:16" x14ac:dyDescent="0.3">
      <c r="A12" s="7" t="s">
        <v>41</v>
      </c>
      <c r="B12" s="7"/>
      <c r="C12" s="7">
        <v>28</v>
      </c>
      <c r="D12" s="132" t="s">
        <v>111</v>
      </c>
      <c r="E12" s="7">
        <v>2.84</v>
      </c>
      <c r="F12" s="88">
        <v>223559.48</v>
      </c>
      <c r="G12" s="194">
        <f>F12</f>
        <v>223559.48</v>
      </c>
      <c r="H12" s="130">
        <f>F12-G12</f>
        <v>0</v>
      </c>
      <c r="I12" s="106">
        <v>8</v>
      </c>
      <c r="J12" s="88">
        <f t="shared" si="2"/>
        <v>0</v>
      </c>
      <c r="K12" s="88">
        <f t="shared" si="3"/>
        <v>234915.42799999996</v>
      </c>
      <c r="L12" s="163">
        <f t="shared" si="4"/>
        <v>0</v>
      </c>
      <c r="M12" s="6">
        <f t="shared" si="5"/>
        <v>234915.42799999996</v>
      </c>
      <c r="N12" s="11">
        <f t="shared" si="1"/>
        <v>249010.35367999994</v>
      </c>
    </row>
    <row r="13" spans="1:16" x14ac:dyDescent="0.3">
      <c r="A13" s="7" t="s">
        <v>41</v>
      </c>
      <c r="B13" s="7"/>
      <c r="C13" s="7">
        <v>29</v>
      </c>
      <c r="D13" s="132" t="s">
        <v>42</v>
      </c>
      <c r="E13" s="7">
        <v>3.43</v>
      </c>
      <c r="F13" s="88">
        <v>308384.31311924173</v>
      </c>
      <c r="G13" s="194">
        <f>352750-G50</f>
        <v>308383.77</v>
      </c>
      <c r="H13" s="130">
        <f t="shared" si="0"/>
        <v>0.54311924171634018</v>
      </c>
      <c r="I13" s="106">
        <v>3</v>
      </c>
      <c r="J13" s="88">
        <f t="shared" si="2"/>
        <v>0</v>
      </c>
      <c r="K13" s="88">
        <f t="shared" si="3"/>
        <v>283718.28100000002</v>
      </c>
      <c r="L13" s="163">
        <f t="shared" si="4"/>
        <v>0</v>
      </c>
      <c r="M13" s="6">
        <f t="shared" si="5"/>
        <v>283718.82411924173</v>
      </c>
      <c r="N13" s="11">
        <f t="shared" si="1"/>
        <v>300741.95356639626</v>
      </c>
    </row>
    <row r="14" spans="1:16" x14ac:dyDescent="0.3">
      <c r="A14" s="7" t="s">
        <v>43</v>
      </c>
      <c r="B14" s="7"/>
      <c r="C14" s="7">
        <v>30</v>
      </c>
      <c r="D14" s="132" t="s">
        <v>44</v>
      </c>
      <c r="E14" s="7">
        <v>2.84</v>
      </c>
      <c r="F14" s="88">
        <v>223150.98080000002</v>
      </c>
      <c r="G14" s="193">
        <f>214000</f>
        <v>214000</v>
      </c>
      <c r="H14" s="130">
        <f t="shared" si="0"/>
        <v>9150.9808000000194</v>
      </c>
      <c r="I14" s="106">
        <v>16</v>
      </c>
      <c r="J14" s="88">
        <f t="shared" si="2"/>
        <v>0</v>
      </c>
      <c r="K14" s="88">
        <f t="shared" si="3"/>
        <v>234915.42799999996</v>
      </c>
      <c r="L14" s="163">
        <f t="shared" si="4"/>
        <v>0</v>
      </c>
      <c r="M14" s="6">
        <f t="shared" si="5"/>
        <v>244066.40879999998</v>
      </c>
      <c r="N14" s="11">
        <f t="shared" si="1"/>
        <v>258710.39332799998</v>
      </c>
    </row>
    <row r="15" spans="1:16" x14ac:dyDescent="0.3">
      <c r="A15" s="7" t="s">
        <v>43</v>
      </c>
      <c r="B15" s="7"/>
      <c r="C15" s="7">
        <v>31</v>
      </c>
      <c r="D15" s="132" t="s">
        <v>143</v>
      </c>
      <c r="E15" s="7">
        <v>3.43</v>
      </c>
      <c r="F15" s="88">
        <v>257925.38604653394</v>
      </c>
      <c r="G15" s="194">
        <f>295524-G35</f>
        <v>257925.5</v>
      </c>
      <c r="H15" s="130">
        <f t="shared" si="0"/>
        <v>-0.1139534660615027</v>
      </c>
      <c r="I15" s="106">
        <v>14</v>
      </c>
      <c r="J15" s="88">
        <f t="shared" si="2"/>
        <v>0</v>
      </c>
      <c r="K15" s="88">
        <f t="shared" si="3"/>
        <v>283718.28100000002</v>
      </c>
      <c r="L15" s="163">
        <f t="shared" si="4"/>
        <v>0</v>
      </c>
      <c r="M15" s="6">
        <f t="shared" si="5"/>
        <v>283718.16704653396</v>
      </c>
      <c r="N15" s="11">
        <f t="shared" si="1"/>
        <v>300741.25706932601</v>
      </c>
    </row>
    <row r="16" spans="1:16" x14ac:dyDescent="0.3">
      <c r="A16" s="7" t="s">
        <v>46</v>
      </c>
      <c r="B16" s="7"/>
      <c r="C16" s="7">
        <v>32</v>
      </c>
      <c r="D16" s="132" t="s">
        <v>136</v>
      </c>
      <c r="E16" s="7">
        <v>2.84</v>
      </c>
      <c r="F16" s="88">
        <v>213560.22460066073</v>
      </c>
      <c r="G16" s="195">
        <f>250407-G49</f>
        <v>213560.47</v>
      </c>
      <c r="H16" s="130">
        <f t="shared" si="0"/>
        <v>-0.24539933927007951</v>
      </c>
      <c r="I16" s="106">
        <v>4</v>
      </c>
      <c r="J16" s="88">
        <f t="shared" si="2"/>
        <v>0</v>
      </c>
      <c r="K16" s="88">
        <f t="shared" si="3"/>
        <v>234915.42799999996</v>
      </c>
      <c r="L16" s="163">
        <f t="shared" si="4"/>
        <v>0</v>
      </c>
      <c r="M16" s="6">
        <f t="shared" si="5"/>
        <v>234915.18260066069</v>
      </c>
      <c r="N16" s="11">
        <f t="shared" si="1"/>
        <v>249010.09355670033</v>
      </c>
      <c r="P16" t="s">
        <v>168</v>
      </c>
    </row>
    <row r="17" spans="1:14" x14ac:dyDescent="0.3">
      <c r="A17" s="7" t="s">
        <v>46</v>
      </c>
      <c r="B17" s="7"/>
      <c r="C17" s="7">
        <v>33</v>
      </c>
      <c r="D17" s="132" t="s">
        <v>47</v>
      </c>
      <c r="E17" s="7">
        <v>3.43</v>
      </c>
      <c r="F17" s="88">
        <v>257925.83371111474</v>
      </c>
      <c r="G17" s="193">
        <f>332372-G47-G48</f>
        <v>257926.97</v>
      </c>
      <c r="H17" s="130">
        <f t="shared" si="0"/>
        <v>-1.1362888852600008</v>
      </c>
      <c r="I17" s="106">
        <v>14</v>
      </c>
      <c r="J17" s="88">
        <f t="shared" si="2"/>
        <v>0</v>
      </c>
      <c r="K17" s="88">
        <f t="shared" si="3"/>
        <v>283718.28100000002</v>
      </c>
      <c r="L17" s="163">
        <v>10000</v>
      </c>
      <c r="M17" s="6">
        <f t="shared" si="5"/>
        <v>293717.14471111476</v>
      </c>
      <c r="N17" s="11">
        <f t="shared" si="1"/>
        <v>311340.17339378165</v>
      </c>
    </row>
    <row r="18" spans="1:14" x14ac:dyDescent="0.3">
      <c r="A18" s="7" t="s">
        <v>48</v>
      </c>
      <c r="B18" s="7"/>
      <c r="C18" s="7">
        <v>34</v>
      </c>
      <c r="D18" s="132" t="s">
        <v>49</v>
      </c>
      <c r="E18" s="7">
        <v>2.84</v>
      </c>
      <c r="F18" s="88">
        <v>223827.22398325134</v>
      </c>
      <c r="G18" s="193">
        <f>270000-G51</f>
        <v>227137.71</v>
      </c>
      <c r="H18" s="130">
        <f t="shared" si="0"/>
        <v>-3310.4860167486477</v>
      </c>
      <c r="I18" s="106">
        <v>14</v>
      </c>
      <c r="J18" s="88">
        <f t="shared" si="2"/>
        <v>0</v>
      </c>
      <c r="K18" s="88">
        <f t="shared" si="3"/>
        <v>234915.42799999996</v>
      </c>
      <c r="L18" s="163">
        <f t="shared" si="4"/>
        <v>0</v>
      </c>
      <c r="M18" s="6">
        <f t="shared" si="5"/>
        <v>231604.94198325131</v>
      </c>
      <c r="N18" s="11">
        <f t="shared" si="1"/>
        <v>245501.23850224639</v>
      </c>
    </row>
    <row r="19" spans="1:14" x14ac:dyDescent="0.3">
      <c r="A19" s="7" t="s">
        <v>48</v>
      </c>
      <c r="B19" s="7"/>
      <c r="C19" s="7">
        <v>35</v>
      </c>
      <c r="D19" s="132" t="s">
        <v>50</v>
      </c>
      <c r="E19" s="7">
        <v>3.43</v>
      </c>
      <c r="F19" s="88">
        <v>257926.19276516797</v>
      </c>
      <c r="G19" s="194">
        <f>298532-G41</f>
        <v>257925.62</v>
      </c>
      <c r="H19" s="130">
        <f t="shared" si="0"/>
        <v>0.57276516797719523</v>
      </c>
      <c r="I19" s="106">
        <v>3</v>
      </c>
      <c r="J19" s="88">
        <f t="shared" si="2"/>
        <v>0</v>
      </c>
      <c r="K19" s="88">
        <f t="shared" si="3"/>
        <v>283718.28100000002</v>
      </c>
      <c r="L19" s="163">
        <f t="shared" si="4"/>
        <v>0</v>
      </c>
      <c r="M19" s="6">
        <f t="shared" si="5"/>
        <v>283718.85376516799</v>
      </c>
      <c r="N19" s="11">
        <f t="shared" si="1"/>
        <v>300741.98499107809</v>
      </c>
    </row>
    <row r="20" spans="1:14" x14ac:dyDescent="0.3">
      <c r="A20" s="7" t="s">
        <v>51</v>
      </c>
      <c r="B20" s="7"/>
      <c r="C20" s="7">
        <v>36</v>
      </c>
      <c r="D20" s="132" t="s">
        <v>52</v>
      </c>
      <c r="E20" s="7">
        <v>2.84</v>
      </c>
      <c r="F20" s="88">
        <v>224805.06990707474</v>
      </c>
      <c r="G20" s="193">
        <f>250406-G38</f>
        <v>213559.47</v>
      </c>
      <c r="H20" s="130">
        <f t="shared" si="0"/>
        <v>11245.599907074735</v>
      </c>
      <c r="I20" s="106">
        <v>3</v>
      </c>
      <c r="J20" s="88">
        <f t="shared" si="2"/>
        <v>0</v>
      </c>
      <c r="K20" s="88">
        <f t="shared" si="3"/>
        <v>234915.42799999996</v>
      </c>
      <c r="L20" s="163">
        <f t="shared" si="4"/>
        <v>0</v>
      </c>
      <c r="M20" s="6">
        <f t="shared" si="5"/>
        <v>246161.02790707469</v>
      </c>
      <c r="N20" s="11">
        <f t="shared" si="1"/>
        <v>260930.68958149917</v>
      </c>
    </row>
    <row r="21" spans="1:14" x14ac:dyDescent="0.3">
      <c r="A21" s="7" t="s">
        <v>51</v>
      </c>
      <c r="B21" s="7"/>
      <c r="C21" s="7">
        <v>37</v>
      </c>
      <c r="D21" s="132" t="s">
        <v>53</v>
      </c>
      <c r="E21" s="7">
        <v>3.43</v>
      </c>
      <c r="F21" s="88">
        <v>257925.59509179581</v>
      </c>
      <c r="G21" s="193">
        <f>298532-G45</f>
        <v>257925.62</v>
      </c>
      <c r="H21" s="130">
        <f t="shared" si="0"/>
        <v>-2.4908204184612259E-2</v>
      </c>
      <c r="I21" s="106">
        <v>4</v>
      </c>
      <c r="J21" s="88">
        <f t="shared" si="2"/>
        <v>0</v>
      </c>
      <c r="K21" s="88">
        <f t="shared" si="3"/>
        <v>283718.28100000002</v>
      </c>
      <c r="L21" s="163">
        <f t="shared" si="4"/>
        <v>0</v>
      </c>
      <c r="M21" s="6">
        <f t="shared" si="5"/>
        <v>283718.25609179586</v>
      </c>
      <c r="N21" s="11">
        <f t="shared" si="1"/>
        <v>300741.35145730362</v>
      </c>
    </row>
    <row r="22" spans="1:14" x14ac:dyDescent="0.3">
      <c r="A22" s="7" t="s">
        <v>54</v>
      </c>
      <c r="B22" s="7"/>
      <c r="C22" s="7">
        <v>38</v>
      </c>
      <c r="D22" s="165" t="s">
        <v>128</v>
      </c>
      <c r="E22" s="7">
        <v>2.84</v>
      </c>
      <c r="F22" s="88">
        <v>223150.98080000002</v>
      </c>
      <c r="G22" s="193">
        <f>F22</f>
        <v>223150.98080000002</v>
      </c>
      <c r="H22" s="130">
        <f t="shared" si="0"/>
        <v>0</v>
      </c>
      <c r="I22" s="106">
        <v>6</v>
      </c>
      <c r="J22" s="88">
        <f t="shared" si="2"/>
        <v>0</v>
      </c>
      <c r="K22" s="88">
        <f t="shared" si="3"/>
        <v>234915.42799999996</v>
      </c>
      <c r="L22" s="163">
        <v>20000</v>
      </c>
      <c r="M22" s="6">
        <f t="shared" si="5"/>
        <v>254915.42799999996</v>
      </c>
      <c r="N22" s="11">
        <f t="shared" si="1"/>
        <v>270210.35367999994</v>
      </c>
    </row>
    <row r="23" spans="1:14" x14ac:dyDescent="0.3">
      <c r="A23" s="7" t="s">
        <v>54</v>
      </c>
      <c r="B23" s="7"/>
      <c r="C23" s="7">
        <v>39</v>
      </c>
      <c r="D23" s="132" t="s">
        <v>55</v>
      </c>
      <c r="E23" s="7">
        <v>3.43</v>
      </c>
      <c r="F23" s="88">
        <v>240712.43648409515</v>
      </c>
      <c r="G23" s="194">
        <f>280000-G46</f>
        <v>242401.5</v>
      </c>
      <c r="H23" s="130">
        <f t="shared" si="0"/>
        <v>-1689.0635159048543</v>
      </c>
      <c r="I23" s="106">
        <v>7</v>
      </c>
      <c r="J23" s="88">
        <f t="shared" si="2"/>
        <v>0</v>
      </c>
      <c r="K23" s="88">
        <f t="shared" si="3"/>
        <v>283718.28100000002</v>
      </c>
      <c r="L23" s="163">
        <v>10000</v>
      </c>
      <c r="M23" s="6">
        <f t="shared" si="5"/>
        <v>292029.21748409513</v>
      </c>
      <c r="N23" s="11">
        <f t="shared" si="1"/>
        <v>309550.97053314082</v>
      </c>
    </row>
    <row r="24" spans="1:14" x14ac:dyDescent="0.3">
      <c r="A24" s="7" t="s">
        <v>56</v>
      </c>
      <c r="B24" s="7"/>
      <c r="C24" s="7">
        <v>40</v>
      </c>
      <c r="D24" s="132" t="s">
        <v>57</v>
      </c>
      <c r="E24" s="7">
        <v>2.84</v>
      </c>
      <c r="F24" s="88">
        <v>206644.78747107476</v>
      </c>
      <c r="G24" s="193">
        <f>245000-G37</f>
        <v>208153.47</v>
      </c>
      <c r="H24" s="130">
        <f t="shared" si="0"/>
        <v>-1508.6825289252447</v>
      </c>
      <c r="I24" s="177">
        <v>7</v>
      </c>
      <c r="J24" s="88">
        <f t="shared" si="2"/>
        <v>0</v>
      </c>
      <c r="K24" s="88">
        <f t="shared" si="3"/>
        <v>234915.42799999996</v>
      </c>
      <c r="L24" s="163">
        <f t="shared" si="4"/>
        <v>0</v>
      </c>
      <c r="M24" s="6">
        <f t="shared" si="5"/>
        <v>233406.74547107471</v>
      </c>
      <c r="N24" s="11">
        <f t="shared" si="1"/>
        <v>247411.1501993392</v>
      </c>
    </row>
    <row r="25" spans="1:14" x14ac:dyDescent="0.3">
      <c r="A25" s="7" t="s">
        <v>56</v>
      </c>
      <c r="B25" s="7"/>
      <c r="C25" s="7">
        <v>41</v>
      </c>
      <c r="D25" s="132" t="s">
        <v>58</v>
      </c>
      <c r="E25" s="7">
        <v>3.43</v>
      </c>
      <c r="F25" s="88">
        <v>267925.70999999996</v>
      </c>
      <c r="G25" s="193">
        <f>F25</f>
        <v>267925.70999999996</v>
      </c>
      <c r="H25" s="130">
        <f t="shared" si="0"/>
        <v>0</v>
      </c>
      <c r="I25" s="106">
        <v>11</v>
      </c>
      <c r="J25" s="88">
        <f t="shared" si="2"/>
        <v>0</v>
      </c>
      <c r="K25" s="88">
        <f t="shared" si="3"/>
        <v>283718.28100000002</v>
      </c>
      <c r="L25" s="163">
        <f>10000+K25*0.1</f>
        <v>38371.828099999999</v>
      </c>
      <c r="M25" s="6">
        <f t="shared" si="5"/>
        <v>322090.1091</v>
      </c>
      <c r="N25" s="11">
        <f t="shared" si="1"/>
        <v>341415.51564599999</v>
      </c>
    </row>
    <row r="26" spans="1:14" x14ac:dyDescent="0.3">
      <c r="A26" s="7" t="s">
        <v>59</v>
      </c>
      <c r="B26" s="7"/>
      <c r="C26" s="7">
        <v>42</v>
      </c>
      <c r="D26" s="132" t="s">
        <v>60</v>
      </c>
      <c r="E26" s="7">
        <v>6</v>
      </c>
      <c r="F26" s="88">
        <v>3958.5408160369843</v>
      </c>
      <c r="G26" s="194">
        <f>119563+3959-G30-G31-G36</f>
        <v>3958.7699999999895</v>
      </c>
      <c r="H26" s="131">
        <f t="shared" si="0"/>
        <v>-0.22918396300519817</v>
      </c>
      <c r="I26" s="106">
        <v>5</v>
      </c>
      <c r="J26" s="88">
        <f t="shared" si="2"/>
        <v>0</v>
      </c>
      <c r="K26" s="88">
        <f t="shared" si="3"/>
        <v>496300.2</v>
      </c>
      <c r="L26" s="163">
        <f t="shared" si="4"/>
        <v>0</v>
      </c>
      <c r="M26" s="6">
        <f t="shared" si="5"/>
        <v>496299.97081603704</v>
      </c>
      <c r="N26" s="11">
        <f t="shared" si="1"/>
        <v>526077.96906499926</v>
      </c>
    </row>
    <row r="27" spans="1:14" x14ac:dyDescent="0.3">
      <c r="A27" s="7" t="s">
        <v>61</v>
      </c>
      <c r="B27" s="7"/>
      <c r="C27" s="7">
        <v>43</v>
      </c>
      <c r="D27" s="132" t="s">
        <v>62</v>
      </c>
      <c r="E27" s="7">
        <v>5.89</v>
      </c>
      <c r="F27" s="88">
        <v>442910.4355352656</v>
      </c>
      <c r="G27" s="193">
        <f>526378-G39-G40</f>
        <v>439149.48000000004</v>
      </c>
      <c r="H27" s="130">
        <f t="shared" si="0"/>
        <v>3760.9555352655589</v>
      </c>
      <c r="I27" s="106">
        <v>14</v>
      </c>
      <c r="J27" s="88">
        <f t="shared" si="2"/>
        <v>0</v>
      </c>
      <c r="K27" s="88">
        <f t="shared" si="3"/>
        <v>487201.36299999995</v>
      </c>
      <c r="L27" s="163">
        <f t="shared" si="4"/>
        <v>0</v>
      </c>
      <c r="M27" s="6">
        <f t="shared" si="5"/>
        <v>490962.31853526551</v>
      </c>
      <c r="N27" s="11">
        <f t="shared" si="1"/>
        <v>520420.05764738144</v>
      </c>
    </row>
    <row r="28" spans="1:14" x14ac:dyDescent="0.3">
      <c r="A28" s="7" t="s">
        <v>63</v>
      </c>
      <c r="B28" s="7"/>
      <c r="C28" s="7">
        <v>44</v>
      </c>
      <c r="D28" s="132" t="s">
        <v>64</v>
      </c>
      <c r="E28" s="7">
        <v>5.89</v>
      </c>
      <c r="F28" s="88">
        <v>466343.09357654094</v>
      </c>
      <c r="G28" s="193">
        <f>523000-G32-G33</f>
        <v>443291.18</v>
      </c>
      <c r="H28" s="130">
        <f t="shared" si="0"/>
        <v>23051.913576540945</v>
      </c>
      <c r="I28" s="106">
        <v>4</v>
      </c>
      <c r="J28" s="88">
        <f t="shared" si="2"/>
        <v>0</v>
      </c>
      <c r="K28" s="88">
        <f t="shared" si="3"/>
        <v>487201.36299999995</v>
      </c>
      <c r="L28" s="163">
        <f t="shared" si="4"/>
        <v>0</v>
      </c>
      <c r="M28" s="6">
        <f t="shared" si="5"/>
        <v>510253.2765765409</v>
      </c>
      <c r="N28" s="11">
        <f t="shared" si="1"/>
        <v>540868.47317113332</v>
      </c>
    </row>
    <row r="29" spans="1:14" x14ac:dyDescent="0.3">
      <c r="A29" s="7" t="s">
        <v>65</v>
      </c>
      <c r="B29" s="7"/>
      <c r="C29" s="7">
        <v>45</v>
      </c>
      <c r="D29" s="132" t="s">
        <v>66</v>
      </c>
      <c r="E29" s="7">
        <v>5.89</v>
      </c>
      <c r="F29" s="88">
        <v>771000.92145669996</v>
      </c>
      <c r="G29" s="194">
        <f>564000-G42-G43-G44</f>
        <v>442932.83</v>
      </c>
      <c r="H29" s="131">
        <f t="shared" si="0"/>
        <v>328068.09145669994</v>
      </c>
      <c r="I29" s="106">
        <v>3</v>
      </c>
      <c r="J29" s="88">
        <f t="shared" si="2"/>
        <v>0</v>
      </c>
      <c r="K29" s="88">
        <f t="shared" si="3"/>
        <v>487201.36299999995</v>
      </c>
      <c r="L29" s="163">
        <f t="shared" si="4"/>
        <v>0</v>
      </c>
      <c r="M29" s="6">
        <f t="shared" si="5"/>
        <v>815269.4544566999</v>
      </c>
      <c r="N29" s="11">
        <f t="shared" si="1"/>
        <v>864185.62172410195</v>
      </c>
    </row>
    <row r="30" spans="1:14" x14ac:dyDescent="0.3">
      <c r="A30" s="125" t="s">
        <v>96</v>
      </c>
      <c r="B30" s="7"/>
      <c r="C30" s="7">
        <v>1</v>
      </c>
      <c r="D30" s="132" t="s">
        <v>60</v>
      </c>
      <c r="E30" s="7">
        <v>0.54</v>
      </c>
      <c r="F30" s="88">
        <v>40606.380000000005</v>
      </c>
      <c r="G30" s="193">
        <f t="shared" ref="G30:G34" si="6">F30</f>
        <v>40606.380000000005</v>
      </c>
      <c r="H30" s="130">
        <f t="shared" si="0"/>
        <v>0</v>
      </c>
      <c r="I30" s="106"/>
      <c r="J30" s="88">
        <f t="shared" si="2"/>
        <v>0</v>
      </c>
      <c r="K30" s="88">
        <f t="shared" si="3"/>
        <v>44667.018000000011</v>
      </c>
      <c r="L30" s="163">
        <f t="shared" si="4"/>
        <v>0</v>
      </c>
      <c r="M30" s="6">
        <f t="shared" si="5"/>
        <v>44667.018000000011</v>
      </c>
      <c r="N30" s="11">
        <f t="shared" si="1"/>
        <v>47347.03908000001</v>
      </c>
    </row>
    <row r="31" spans="1:14" x14ac:dyDescent="0.3">
      <c r="A31" s="125" t="s">
        <v>96</v>
      </c>
      <c r="B31" s="7"/>
      <c r="C31" s="7">
        <v>2</v>
      </c>
      <c r="D31" s="132" t="s">
        <v>60</v>
      </c>
      <c r="E31" s="7">
        <v>0.55000000000000004</v>
      </c>
      <c r="F31" s="88">
        <v>41358.350000000006</v>
      </c>
      <c r="G31" s="193">
        <f t="shared" si="6"/>
        <v>41358.350000000006</v>
      </c>
      <c r="H31" s="130">
        <f t="shared" si="0"/>
        <v>0</v>
      </c>
      <c r="I31" s="106"/>
      <c r="J31" s="88">
        <f t="shared" si="2"/>
        <v>0</v>
      </c>
      <c r="K31" s="88">
        <f t="shared" si="3"/>
        <v>45494.184999999998</v>
      </c>
      <c r="L31" s="163">
        <f t="shared" si="4"/>
        <v>0</v>
      </c>
      <c r="M31" s="6">
        <f t="shared" si="5"/>
        <v>45494.184999999998</v>
      </c>
      <c r="N31" s="11">
        <f t="shared" si="1"/>
        <v>48223.8361</v>
      </c>
    </row>
    <row r="32" spans="1:14" x14ac:dyDescent="0.3">
      <c r="A32" s="125" t="s">
        <v>96</v>
      </c>
      <c r="B32" s="7"/>
      <c r="C32" s="7">
        <v>3</v>
      </c>
      <c r="D32" s="132" t="s">
        <v>64</v>
      </c>
      <c r="E32" s="7">
        <v>0.45</v>
      </c>
      <c r="F32" s="88">
        <v>33838.65</v>
      </c>
      <c r="G32" s="193">
        <f>F32</f>
        <v>33838.65</v>
      </c>
      <c r="H32" s="130">
        <f t="shared" si="0"/>
        <v>0</v>
      </c>
      <c r="I32" s="106"/>
      <c r="J32" s="88">
        <f t="shared" si="2"/>
        <v>0</v>
      </c>
      <c r="K32" s="88">
        <f t="shared" si="3"/>
        <v>37222.514999999999</v>
      </c>
      <c r="L32" s="163">
        <f t="shared" si="4"/>
        <v>0</v>
      </c>
      <c r="M32" s="6">
        <f t="shared" si="5"/>
        <v>37222.514999999999</v>
      </c>
      <c r="N32" s="11">
        <f t="shared" si="1"/>
        <v>39455.865899999997</v>
      </c>
    </row>
    <row r="33" spans="1:17" x14ac:dyDescent="0.3">
      <c r="A33" s="125" t="s">
        <v>96</v>
      </c>
      <c r="B33" s="7"/>
      <c r="C33" s="7">
        <v>4</v>
      </c>
      <c r="D33" s="132" t="s">
        <v>64</v>
      </c>
      <c r="E33" s="7">
        <v>0.61</v>
      </c>
      <c r="F33" s="88">
        <v>45870.17</v>
      </c>
      <c r="G33" s="193">
        <f t="shared" si="6"/>
        <v>45870.17</v>
      </c>
      <c r="H33" s="130">
        <f t="shared" si="0"/>
        <v>0</v>
      </c>
      <c r="I33" s="106"/>
      <c r="J33" s="88">
        <f t="shared" si="2"/>
        <v>0</v>
      </c>
      <c r="K33" s="88">
        <f t="shared" si="3"/>
        <v>50457.187000000005</v>
      </c>
      <c r="L33" s="163">
        <f t="shared" si="4"/>
        <v>0</v>
      </c>
      <c r="M33" s="6">
        <f t="shared" si="5"/>
        <v>50457.187000000005</v>
      </c>
      <c r="N33" s="11">
        <f t="shared" si="1"/>
        <v>53484.618220000004</v>
      </c>
    </row>
    <row r="34" spans="1:17" x14ac:dyDescent="0.3">
      <c r="A34" s="125" t="s">
        <v>96</v>
      </c>
      <c r="B34" s="7"/>
      <c r="C34" s="7">
        <v>5</v>
      </c>
      <c r="D34" s="132" t="s">
        <v>37</v>
      </c>
      <c r="E34" s="7">
        <v>0.54</v>
      </c>
      <c r="F34" s="88">
        <v>40606.380000000005</v>
      </c>
      <c r="G34" s="193">
        <f t="shared" si="6"/>
        <v>40606.380000000005</v>
      </c>
      <c r="H34" s="130">
        <f t="shared" si="0"/>
        <v>0</v>
      </c>
      <c r="I34" s="106"/>
      <c r="J34" s="88">
        <f t="shared" si="2"/>
        <v>0</v>
      </c>
      <c r="K34" s="88">
        <f t="shared" si="3"/>
        <v>44667.018000000011</v>
      </c>
      <c r="L34" s="163">
        <f t="shared" si="4"/>
        <v>0</v>
      </c>
      <c r="M34" s="6">
        <f t="shared" si="5"/>
        <v>44667.018000000011</v>
      </c>
      <c r="N34" s="11">
        <f t="shared" si="1"/>
        <v>47347.03908000001</v>
      </c>
    </row>
    <row r="35" spans="1:17" x14ac:dyDescent="0.3">
      <c r="A35" s="125" t="s">
        <v>96</v>
      </c>
      <c r="B35" s="7"/>
      <c r="C35" s="7">
        <v>6</v>
      </c>
      <c r="D35" s="132" t="s">
        <v>143</v>
      </c>
      <c r="E35" s="7">
        <v>0.5</v>
      </c>
      <c r="F35" s="11">
        <v>37598.5</v>
      </c>
      <c r="G35" s="194">
        <f>F35</f>
        <v>37598.5</v>
      </c>
      <c r="H35" s="130">
        <f t="shared" si="0"/>
        <v>0</v>
      </c>
      <c r="I35" s="106"/>
      <c r="J35" s="88">
        <f t="shared" si="2"/>
        <v>0</v>
      </c>
      <c r="K35" s="88">
        <f t="shared" si="3"/>
        <v>41358.35</v>
      </c>
      <c r="L35" s="163">
        <f t="shared" si="4"/>
        <v>0</v>
      </c>
      <c r="M35" s="6">
        <f t="shared" si="5"/>
        <v>41358.35</v>
      </c>
      <c r="N35" s="11">
        <f t="shared" si="1"/>
        <v>43839.850999999995</v>
      </c>
    </row>
    <row r="36" spans="1:17" x14ac:dyDescent="0.3">
      <c r="A36" s="125" t="s">
        <v>96</v>
      </c>
      <c r="B36" s="7"/>
      <c r="C36" s="7">
        <v>7</v>
      </c>
      <c r="D36" s="132" t="s">
        <v>60</v>
      </c>
      <c r="E36" s="7">
        <v>0.5</v>
      </c>
      <c r="F36" s="88">
        <v>37598.5</v>
      </c>
      <c r="G36" s="193">
        <f t="shared" ref="G36:G41" si="7">F36</f>
        <v>37598.5</v>
      </c>
      <c r="H36" s="130">
        <f t="shared" si="0"/>
        <v>0</v>
      </c>
      <c r="I36" s="106"/>
      <c r="J36" s="88">
        <f t="shared" si="2"/>
        <v>0</v>
      </c>
      <c r="K36" s="88">
        <f t="shared" si="3"/>
        <v>41358.35</v>
      </c>
      <c r="L36" s="163">
        <f t="shared" si="4"/>
        <v>0</v>
      </c>
      <c r="M36" s="6">
        <f t="shared" si="5"/>
        <v>41358.35</v>
      </c>
      <c r="N36" s="11">
        <f t="shared" si="1"/>
        <v>43839.850999999995</v>
      </c>
    </row>
    <row r="37" spans="1:17" x14ac:dyDescent="0.3">
      <c r="A37" s="125" t="s">
        <v>96</v>
      </c>
      <c r="B37" s="7"/>
      <c r="C37" s="7">
        <v>8</v>
      </c>
      <c r="D37" s="132" t="s">
        <v>57</v>
      </c>
      <c r="E37" s="7">
        <v>0.49</v>
      </c>
      <c r="F37" s="88">
        <v>36846.53</v>
      </c>
      <c r="G37" s="193">
        <f t="shared" si="7"/>
        <v>36846.53</v>
      </c>
      <c r="H37" s="130">
        <f t="shared" si="0"/>
        <v>0</v>
      </c>
      <c r="I37" s="106"/>
      <c r="J37" s="88">
        <f t="shared" si="2"/>
        <v>0</v>
      </c>
      <c r="K37" s="88">
        <f t="shared" si="3"/>
        <v>40531.182999999997</v>
      </c>
      <c r="L37" s="163">
        <f t="shared" si="4"/>
        <v>0</v>
      </c>
      <c r="M37" s="6">
        <f t="shared" si="5"/>
        <v>40531.182999999997</v>
      </c>
      <c r="N37" s="11">
        <f t="shared" si="1"/>
        <v>42963.053979999997</v>
      </c>
    </row>
    <row r="38" spans="1:17" x14ac:dyDescent="0.3">
      <c r="A38" s="125" t="s">
        <v>96</v>
      </c>
      <c r="B38" s="7"/>
      <c r="C38" s="7">
        <v>9</v>
      </c>
      <c r="D38" s="132" t="s">
        <v>52</v>
      </c>
      <c r="E38" s="7">
        <v>0.49</v>
      </c>
      <c r="F38" s="88">
        <v>36846.53</v>
      </c>
      <c r="G38" s="193">
        <f t="shared" si="7"/>
        <v>36846.53</v>
      </c>
      <c r="H38" s="130">
        <f t="shared" si="0"/>
        <v>0</v>
      </c>
      <c r="I38" s="106"/>
      <c r="J38" s="88">
        <f t="shared" si="2"/>
        <v>0</v>
      </c>
      <c r="K38" s="88">
        <f t="shared" si="3"/>
        <v>40531.182999999997</v>
      </c>
      <c r="L38" s="163">
        <f t="shared" si="4"/>
        <v>0</v>
      </c>
      <c r="M38" s="6">
        <f t="shared" si="5"/>
        <v>40531.182999999997</v>
      </c>
      <c r="N38" s="11">
        <f t="shared" si="1"/>
        <v>42963.053979999997</v>
      </c>
    </row>
    <row r="39" spans="1:17" x14ac:dyDescent="0.3">
      <c r="A39" s="125" t="s">
        <v>96</v>
      </c>
      <c r="B39" s="7"/>
      <c r="C39" s="7">
        <v>10</v>
      </c>
      <c r="D39" s="132" t="s">
        <v>62</v>
      </c>
      <c r="E39" s="7">
        <v>0.59</v>
      </c>
      <c r="F39" s="88">
        <v>44366.23</v>
      </c>
      <c r="G39" s="193">
        <f t="shared" si="7"/>
        <v>44366.23</v>
      </c>
      <c r="H39" s="130">
        <f t="shared" si="0"/>
        <v>0</v>
      </c>
      <c r="I39" s="106"/>
      <c r="J39" s="88">
        <f t="shared" si="2"/>
        <v>0</v>
      </c>
      <c r="K39" s="88">
        <f t="shared" si="3"/>
        <v>48802.852999999996</v>
      </c>
      <c r="L39" s="163">
        <f t="shared" si="4"/>
        <v>0</v>
      </c>
      <c r="M39" s="6">
        <f t="shared" si="5"/>
        <v>48802.852999999996</v>
      </c>
      <c r="N39" s="11">
        <f t="shared" si="1"/>
        <v>51731.024179999993</v>
      </c>
    </row>
    <row r="40" spans="1:17" x14ac:dyDescent="0.3">
      <c r="A40" s="125" t="s">
        <v>96</v>
      </c>
      <c r="B40" s="7"/>
      <c r="C40" s="7">
        <v>11</v>
      </c>
      <c r="D40" s="132" t="s">
        <v>62</v>
      </c>
      <c r="E40" s="7">
        <v>0.56999999999999995</v>
      </c>
      <c r="F40" s="88">
        <v>42862.29</v>
      </c>
      <c r="G40" s="193">
        <f t="shared" si="7"/>
        <v>42862.29</v>
      </c>
      <c r="H40" s="130">
        <f t="shared" si="0"/>
        <v>0</v>
      </c>
      <c r="I40" s="106"/>
      <c r="J40" s="88">
        <f t="shared" si="2"/>
        <v>0</v>
      </c>
      <c r="K40" s="88">
        <f t="shared" si="3"/>
        <v>47148.518999999993</v>
      </c>
      <c r="L40" s="163">
        <f t="shared" si="4"/>
        <v>0</v>
      </c>
      <c r="M40" s="6">
        <f t="shared" si="5"/>
        <v>47148.518999999993</v>
      </c>
      <c r="N40" s="11">
        <f t="shared" si="1"/>
        <v>49977.430139999989</v>
      </c>
    </row>
    <row r="41" spans="1:17" x14ac:dyDescent="0.3">
      <c r="A41" s="125" t="s">
        <v>96</v>
      </c>
      <c r="B41" s="7"/>
      <c r="C41" s="7">
        <v>12</v>
      </c>
      <c r="D41" s="132" t="s">
        <v>50</v>
      </c>
      <c r="E41" s="7">
        <v>0.54</v>
      </c>
      <c r="F41" s="88">
        <v>40606.380000000005</v>
      </c>
      <c r="G41" s="193">
        <f t="shared" si="7"/>
        <v>40606.380000000005</v>
      </c>
      <c r="H41" s="130">
        <f t="shared" si="0"/>
        <v>0</v>
      </c>
      <c r="I41" s="106"/>
      <c r="J41" s="88">
        <f t="shared" si="2"/>
        <v>0</v>
      </c>
      <c r="K41" s="88">
        <f t="shared" si="3"/>
        <v>44667.018000000011</v>
      </c>
      <c r="L41" s="163">
        <f t="shared" si="4"/>
        <v>0</v>
      </c>
      <c r="M41" s="6">
        <f t="shared" si="5"/>
        <v>44667.018000000011</v>
      </c>
      <c r="N41" s="11">
        <f t="shared" si="1"/>
        <v>47347.03908000001</v>
      </c>
    </row>
    <row r="42" spans="1:17" x14ac:dyDescent="0.3">
      <c r="A42" s="125" t="s">
        <v>96</v>
      </c>
      <c r="B42" s="7"/>
      <c r="C42" s="7">
        <v>13</v>
      </c>
      <c r="D42" s="132" t="s">
        <v>66</v>
      </c>
      <c r="E42" s="7">
        <v>0.55000000000000004</v>
      </c>
      <c r="F42" s="88">
        <v>41358.350000000006</v>
      </c>
      <c r="G42" s="193">
        <f>F42</f>
        <v>41358.350000000006</v>
      </c>
      <c r="H42" s="130">
        <f t="shared" si="0"/>
        <v>0</v>
      </c>
      <c r="I42" s="106"/>
      <c r="J42" s="88">
        <f t="shared" si="2"/>
        <v>0</v>
      </c>
      <c r="K42" s="88">
        <f t="shared" si="3"/>
        <v>45494.184999999998</v>
      </c>
      <c r="L42" s="163">
        <f t="shared" si="4"/>
        <v>0</v>
      </c>
      <c r="M42" s="6">
        <f t="shared" si="5"/>
        <v>45494.184999999998</v>
      </c>
      <c r="N42" s="11">
        <f t="shared" si="1"/>
        <v>48223.8361</v>
      </c>
    </row>
    <row r="43" spans="1:17" x14ac:dyDescent="0.3">
      <c r="A43" s="125" t="s">
        <v>96</v>
      </c>
      <c r="B43" s="7"/>
      <c r="C43" s="7">
        <v>14</v>
      </c>
      <c r="D43" s="132" t="s">
        <v>66</v>
      </c>
      <c r="E43" s="7">
        <v>0.45</v>
      </c>
      <c r="F43" s="88">
        <v>33838.65</v>
      </c>
      <c r="G43" s="193">
        <f t="shared" ref="G43:G44" si="8">F43</f>
        <v>33838.65</v>
      </c>
      <c r="H43" s="130">
        <f t="shared" si="0"/>
        <v>0</v>
      </c>
      <c r="I43" s="106"/>
      <c r="J43" s="88">
        <f t="shared" si="2"/>
        <v>0</v>
      </c>
      <c r="K43" s="88">
        <f t="shared" si="3"/>
        <v>37222.514999999999</v>
      </c>
      <c r="L43" s="163">
        <f t="shared" si="4"/>
        <v>0</v>
      </c>
      <c r="M43" s="6">
        <f t="shared" si="5"/>
        <v>37222.514999999999</v>
      </c>
      <c r="N43" s="11">
        <f t="shared" si="1"/>
        <v>39455.865899999997</v>
      </c>
      <c r="P43" s="108">
        <f>L1-K52</f>
        <v>2608148.735231</v>
      </c>
    </row>
    <row r="44" spans="1:17" x14ac:dyDescent="0.3">
      <c r="A44" s="125" t="s">
        <v>96</v>
      </c>
      <c r="B44" s="7"/>
      <c r="C44" s="7">
        <v>15</v>
      </c>
      <c r="D44" s="132" t="s">
        <v>66</v>
      </c>
      <c r="E44" s="7">
        <v>0.61</v>
      </c>
      <c r="F44" s="88">
        <v>45870.17</v>
      </c>
      <c r="G44" s="193">
        <f t="shared" si="8"/>
        <v>45870.17</v>
      </c>
      <c r="H44" s="130">
        <f t="shared" si="0"/>
        <v>0</v>
      </c>
      <c r="I44" s="106"/>
      <c r="J44" s="88">
        <f t="shared" si="2"/>
        <v>0</v>
      </c>
      <c r="K44" s="88">
        <f t="shared" si="3"/>
        <v>50457.187000000005</v>
      </c>
      <c r="L44" s="163">
        <f t="shared" si="4"/>
        <v>0</v>
      </c>
      <c r="M44" s="6">
        <f t="shared" si="5"/>
        <v>50457.187000000005</v>
      </c>
      <c r="N44" s="11">
        <f t="shared" si="1"/>
        <v>53484.618220000004</v>
      </c>
    </row>
    <row r="45" spans="1:17" x14ac:dyDescent="0.3">
      <c r="A45" s="125" t="s">
        <v>96</v>
      </c>
      <c r="B45" s="7"/>
      <c r="C45" s="7">
        <v>16</v>
      </c>
      <c r="D45" s="132" t="s">
        <v>53</v>
      </c>
      <c r="E45" s="7">
        <v>0.54</v>
      </c>
      <c r="F45" s="88">
        <v>40606.380000000005</v>
      </c>
      <c r="G45" s="193">
        <f t="shared" ref="G45:G51" si="9">F45</f>
        <v>40606.380000000005</v>
      </c>
      <c r="H45" s="130">
        <f t="shared" si="0"/>
        <v>0</v>
      </c>
      <c r="I45" s="106"/>
      <c r="J45" s="88">
        <f t="shared" si="2"/>
        <v>0</v>
      </c>
      <c r="K45" s="88">
        <f t="shared" si="3"/>
        <v>44667.018000000011</v>
      </c>
      <c r="L45" s="163">
        <f t="shared" si="4"/>
        <v>0</v>
      </c>
      <c r="M45" s="6">
        <f t="shared" si="5"/>
        <v>44667.018000000011</v>
      </c>
      <c r="N45" s="11">
        <f t="shared" si="1"/>
        <v>47347.03908000001</v>
      </c>
    </row>
    <row r="46" spans="1:17" x14ac:dyDescent="0.3">
      <c r="A46" s="125" t="s">
        <v>96</v>
      </c>
      <c r="B46" s="7"/>
      <c r="C46" s="7">
        <v>17</v>
      </c>
      <c r="D46" s="132" t="s">
        <v>55</v>
      </c>
      <c r="E46" s="7">
        <v>0.5</v>
      </c>
      <c r="F46" s="88">
        <v>37598.5</v>
      </c>
      <c r="G46" s="193">
        <f>F46</f>
        <v>37598.5</v>
      </c>
      <c r="H46" s="130">
        <f t="shared" si="0"/>
        <v>0</v>
      </c>
      <c r="I46" s="106"/>
      <c r="J46" s="88">
        <f t="shared" si="2"/>
        <v>0</v>
      </c>
      <c r="K46" s="88">
        <f t="shared" si="3"/>
        <v>41358.35</v>
      </c>
      <c r="L46" s="163">
        <f t="shared" si="4"/>
        <v>0</v>
      </c>
      <c r="M46" s="6">
        <f t="shared" si="5"/>
        <v>41358.35</v>
      </c>
      <c r="N46" s="11">
        <f t="shared" si="1"/>
        <v>43839.850999999995</v>
      </c>
      <c r="Q46" t="s">
        <v>132</v>
      </c>
    </row>
    <row r="47" spans="1:17" x14ac:dyDescent="0.3">
      <c r="A47" s="125" t="s">
        <v>96</v>
      </c>
      <c r="B47" s="7"/>
      <c r="C47" s="7">
        <v>18</v>
      </c>
      <c r="D47" s="132" t="s">
        <v>47</v>
      </c>
      <c r="E47" s="7">
        <v>0.5</v>
      </c>
      <c r="F47" s="88">
        <v>37598.5</v>
      </c>
      <c r="G47" s="193">
        <f t="shared" si="9"/>
        <v>37598.5</v>
      </c>
      <c r="H47" s="130">
        <f t="shared" si="0"/>
        <v>0</v>
      </c>
      <c r="I47" s="106"/>
      <c r="J47" s="88">
        <f t="shared" si="2"/>
        <v>0</v>
      </c>
      <c r="K47" s="88">
        <f t="shared" si="3"/>
        <v>41358.35</v>
      </c>
      <c r="L47" s="163">
        <f t="shared" si="4"/>
        <v>0</v>
      </c>
      <c r="M47" s="6">
        <f t="shared" si="5"/>
        <v>41358.35</v>
      </c>
      <c r="N47" s="11">
        <f t="shared" si="1"/>
        <v>43839.850999999995</v>
      </c>
      <c r="O47" s="137"/>
      <c r="Q47" s="134">
        <f>M3-J52</f>
        <v>0</v>
      </c>
    </row>
    <row r="48" spans="1:17" x14ac:dyDescent="0.3">
      <c r="A48" s="125" t="s">
        <v>96</v>
      </c>
      <c r="B48" s="7"/>
      <c r="C48" s="7">
        <v>19</v>
      </c>
      <c r="D48" s="132" t="s">
        <v>47</v>
      </c>
      <c r="E48" s="7">
        <v>0.49</v>
      </c>
      <c r="F48" s="88">
        <v>36846.53</v>
      </c>
      <c r="G48" s="193">
        <f t="shared" si="9"/>
        <v>36846.53</v>
      </c>
      <c r="H48" s="130">
        <f t="shared" si="0"/>
        <v>0</v>
      </c>
      <c r="I48" s="106"/>
      <c r="J48" s="88">
        <f t="shared" si="2"/>
        <v>0</v>
      </c>
      <c r="K48" s="88">
        <f t="shared" si="3"/>
        <v>40531.182999999997</v>
      </c>
      <c r="L48" s="163">
        <f t="shared" si="4"/>
        <v>0</v>
      </c>
      <c r="M48" s="6">
        <f t="shared" si="5"/>
        <v>40531.182999999997</v>
      </c>
      <c r="N48" s="11">
        <f t="shared" si="1"/>
        <v>42963.053979999997</v>
      </c>
    </row>
    <row r="49" spans="1:16" x14ac:dyDescent="0.3">
      <c r="A49" s="125" t="s">
        <v>96</v>
      </c>
      <c r="B49" s="7"/>
      <c r="C49" s="7">
        <v>20</v>
      </c>
      <c r="D49" s="132" t="str">
        <f>D16</f>
        <v>FEUILLANT, GASTON</v>
      </c>
      <c r="E49" s="7">
        <v>0.49</v>
      </c>
      <c r="F49" s="88">
        <v>36846.53</v>
      </c>
      <c r="G49" s="193">
        <f>F49</f>
        <v>36846.53</v>
      </c>
      <c r="H49" s="130">
        <f t="shared" si="0"/>
        <v>0</v>
      </c>
      <c r="I49" s="106"/>
      <c r="J49" s="88">
        <f t="shared" si="2"/>
        <v>0</v>
      </c>
      <c r="K49" s="88">
        <f t="shared" si="3"/>
        <v>40531.182999999997</v>
      </c>
      <c r="L49" s="163">
        <f t="shared" si="4"/>
        <v>0</v>
      </c>
      <c r="M49" s="6">
        <f t="shared" si="5"/>
        <v>40531.182999999997</v>
      </c>
      <c r="N49" s="11">
        <f t="shared" si="1"/>
        <v>42963.053979999997</v>
      </c>
    </row>
    <row r="50" spans="1:16" x14ac:dyDescent="0.3">
      <c r="A50" s="125" t="s">
        <v>96</v>
      </c>
      <c r="B50" s="7"/>
      <c r="C50" s="7">
        <v>21</v>
      </c>
      <c r="D50" s="132" t="s">
        <v>42</v>
      </c>
      <c r="E50" s="7">
        <v>0.59</v>
      </c>
      <c r="F50" s="88">
        <v>44366.23</v>
      </c>
      <c r="G50" s="194">
        <f>F50</f>
        <v>44366.23</v>
      </c>
      <c r="H50" s="130">
        <f t="shared" si="0"/>
        <v>0</v>
      </c>
      <c r="I50" s="106"/>
      <c r="J50" s="88">
        <f t="shared" si="2"/>
        <v>0</v>
      </c>
      <c r="K50" s="88">
        <f t="shared" si="3"/>
        <v>48802.852999999996</v>
      </c>
      <c r="L50" s="163">
        <f t="shared" si="4"/>
        <v>0</v>
      </c>
      <c r="M50" s="6">
        <f t="shared" si="5"/>
        <v>48802.852999999996</v>
      </c>
      <c r="N50" s="11">
        <f t="shared" si="1"/>
        <v>51731.024179999993</v>
      </c>
    </row>
    <row r="51" spans="1:16" x14ac:dyDescent="0.3">
      <c r="A51" s="125" t="s">
        <v>96</v>
      </c>
      <c r="B51" s="7"/>
      <c r="C51" s="7">
        <v>22</v>
      </c>
      <c r="D51" s="132" t="s">
        <v>49</v>
      </c>
      <c r="E51" s="7">
        <v>0.56999999999999995</v>
      </c>
      <c r="F51" s="88">
        <v>42862.29</v>
      </c>
      <c r="G51" s="193">
        <f t="shared" si="9"/>
        <v>42862.29</v>
      </c>
      <c r="H51" s="130">
        <f t="shared" si="0"/>
        <v>0</v>
      </c>
      <c r="I51" s="106"/>
      <c r="J51" s="88">
        <f t="shared" si="2"/>
        <v>0</v>
      </c>
      <c r="K51" s="88">
        <f t="shared" si="3"/>
        <v>47148.518999999993</v>
      </c>
      <c r="L51" s="163">
        <f t="shared" ref="L51" si="10">J$3*E51%+J$4</f>
        <v>0</v>
      </c>
      <c r="M51" s="6">
        <f t="shared" si="5"/>
        <v>47148.518999999993</v>
      </c>
      <c r="N51" s="11">
        <f t="shared" si="1"/>
        <v>49977.430139999989</v>
      </c>
    </row>
    <row r="52" spans="1:16" ht="14.25" customHeight="1" x14ac:dyDescent="0.3">
      <c r="A52" s="89"/>
      <c r="B52" s="89"/>
      <c r="C52" s="89"/>
      <c r="D52" s="89"/>
      <c r="E52" s="89">
        <f>SUM(E7:E51)</f>
        <v>99.999999999999986</v>
      </c>
      <c r="F52" s="90">
        <f>SUM(F7:F51)</f>
        <v>7387677.1173773035</v>
      </c>
      <c r="G52" s="90">
        <f>SUM(G7:G51)</f>
        <v>6975889.7925080024</v>
      </c>
      <c r="H52" s="89"/>
      <c r="I52" s="89"/>
      <c r="J52" s="126">
        <f>SUM(J8:J51)</f>
        <v>0</v>
      </c>
      <c r="K52" s="90">
        <f>SUM(K7:K51)</f>
        <v>8217161.5547689991</v>
      </c>
      <c r="L52" s="172">
        <f>SUM(L7:L51)</f>
        <v>78371.828099999999</v>
      </c>
      <c r="M52" s="91">
        <f>SUM(M7:M51)</f>
        <v>8707320.7077383008</v>
      </c>
      <c r="N52" s="90">
        <f>SUM(N7:N51)</f>
        <v>9229759.950202601</v>
      </c>
      <c r="P52" s="134"/>
    </row>
    <row r="53" spans="1:16" hidden="1" x14ac:dyDescent="0.3">
      <c r="K53" s="137">
        <f>K52-L1</f>
        <v>-2608148.735231</v>
      </c>
    </row>
    <row r="54" spans="1:16" ht="15" hidden="1" customHeight="1" x14ac:dyDescent="0.3"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</row>
    <row r="55" spans="1:16" hidden="1" x14ac:dyDescent="0.3"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</row>
    <row r="56" spans="1:16" x14ac:dyDescent="0.3"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</row>
    <row r="57" spans="1:16" x14ac:dyDescent="0.3">
      <c r="C57" s="226" t="s">
        <v>129</v>
      </c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</row>
    <row r="58" spans="1:16" x14ac:dyDescent="0.3"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</row>
    <row r="59" spans="1:16" x14ac:dyDescent="0.3"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</row>
    <row r="60" spans="1:16" x14ac:dyDescent="0.3"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</row>
    <row r="61" spans="1:16" x14ac:dyDescent="0.3"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</row>
    <row r="62" spans="1:16" x14ac:dyDescent="0.3"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</row>
    <row r="63" spans="1:16" x14ac:dyDescent="0.3"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</row>
  </sheetData>
  <mergeCells count="17">
    <mergeCell ref="A5:A6"/>
    <mergeCell ref="B5:B6"/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2FF5-218B-41A1-9BCB-F43114942886}">
  <dimension ref="C4:H25"/>
  <sheetViews>
    <sheetView topLeftCell="A7" workbookViewId="0">
      <selection activeCell="C29" sqref="C29"/>
    </sheetView>
  </sheetViews>
  <sheetFormatPr baseColWidth="10" defaultRowHeight="14.4" x14ac:dyDescent="0.3"/>
  <cols>
    <col min="4" max="4" width="14.88671875" customWidth="1"/>
  </cols>
  <sheetData>
    <row r="4" spans="3:8" x14ac:dyDescent="0.3">
      <c r="C4" s="3" t="s">
        <v>159</v>
      </c>
    </row>
    <row r="5" spans="3:8" x14ac:dyDescent="0.3">
      <c r="C5" t="s">
        <v>160</v>
      </c>
      <c r="D5" s="192">
        <v>-447223.45918396302</v>
      </c>
    </row>
    <row r="6" spans="3:8" x14ac:dyDescent="0.3">
      <c r="C6" t="s">
        <v>161</v>
      </c>
      <c r="D6" s="192">
        <v>0</v>
      </c>
    </row>
    <row r="7" spans="3:8" x14ac:dyDescent="0.3">
      <c r="C7" t="s">
        <v>162</v>
      </c>
      <c r="D7" s="192">
        <v>0</v>
      </c>
    </row>
    <row r="8" spans="3:8" x14ac:dyDescent="0.3">
      <c r="C8" t="s">
        <v>163</v>
      </c>
      <c r="D8" s="192">
        <v>0</v>
      </c>
    </row>
    <row r="10" spans="3:8" x14ac:dyDescent="0.3">
      <c r="C10" s="3" t="s">
        <v>165</v>
      </c>
    </row>
    <row r="11" spans="3:8" x14ac:dyDescent="0.3">
      <c r="C11" t="s">
        <v>160</v>
      </c>
      <c r="D11" s="192">
        <v>451182</v>
      </c>
    </row>
    <row r="12" spans="3:8" x14ac:dyDescent="0.3">
      <c r="C12" t="s">
        <v>161</v>
      </c>
      <c r="D12" s="192">
        <v>40606.380000000005</v>
      </c>
    </row>
    <row r="13" spans="3:8" x14ac:dyDescent="0.3">
      <c r="C13" t="s">
        <v>162</v>
      </c>
      <c r="D13" s="192">
        <v>41358.350000000006</v>
      </c>
    </row>
    <row r="14" spans="3:8" x14ac:dyDescent="0.3">
      <c r="C14" t="s">
        <v>163</v>
      </c>
      <c r="D14" s="192">
        <v>37598.5</v>
      </c>
    </row>
    <row r="16" spans="3:8" x14ac:dyDescent="0.3">
      <c r="C16" s="3" t="s">
        <v>164</v>
      </c>
      <c r="D16" s="3"/>
      <c r="E16" s="3"/>
      <c r="F16" s="3"/>
      <c r="G16" s="3"/>
      <c r="H16" s="3"/>
    </row>
    <row r="17" spans="3:4" x14ac:dyDescent="0.3">
      <c r="C17" t="s">
        <v>160</v>
      </c>
      <c r="D17" s="192">
        <f>D11+D5</f>
        <v>3958.5408160369843</v>
      </c>
    </row>
    <row r="18" spans="3:4" x14ac:dyDescent="0.3">
      <c r="C18" t="s">
        <v>161</v>
      </c>
      <c r="D18" s="192">
        <v>40606.380000000005</v>
      </c>
    </row>
    <row r="19" spans="3:4" x14ac:dyDescent="0.3">
      <c r="C19" t="s">
        <v>162</v>
      </c>
      <c r="D19" s="192">
        <v>41358.350000000006</v>
      </c>
    </row>
    <row r="20" spans="3:4" x14ac:dyDescent="0.3">
      <c r="C20" t="s">
        <v>163</v>
      </c>
      <c r="D20" s="192">
        <v>37598.5</v>
      </c>
    </row>
    <row r="21" spans="3:4" ht="15" thickBot="1" x14ac:dyDescent="0.35">
      <c r="C21" t="s">
        <v>167</v>
      </c>
      <c r="D21" s="192">
        <v>-25000</v>
      </c>
    </row>
    <row r="22" spans="3:4" x14ac:dyDescent="0.3">
      <c r="C22" s="241" t="s">
        <v>166</v>
      </c>
      <c r="D22" s="244">
        <f>SUM(D17:D21)</f>
        <v>98521.770816036995</v>
      </c>
    </row>
    <row r="23" spans="3:4" x14ac:dyDescent="0.3">
      <c r="C23" s="242"/>
      <c r="D23" s="245"/>
    </row>
    <row r="24" spans="3:4" x14ac:dyDescent="0.3">
      <c r="C24" s="242"/>
      <c r="D24" s="245"/>
    </row>
    <row r="25" spans="3:4" ht="15" thickBot="1" x14ac:dyDescent="0.35">
      <c r="C25" s="243"/>
      <c r="D25" s="246"/>
    </row>
  </sheetData>
  <mergeCells count="2">
    <mergeCell ref="C22:C25"/>
    <mergeCell ref="D22:D2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4.4" x14ac:dyDescent="0.3"/>
  <cols>
    <col min="1" max="1" width="8.44140625" customWidth="1"/>
    <col min="2" max="2" width="17.6640625" customWidth="1"/>
    <col min="3" max="3" width="8.88671875" customWidth="1"/>
    <col min="12" max="12" width="13.6640625" customWidth="1"/>
    <col min="13" max="13" width="11.44140625" hidden="1" customWidth="1"/>
  </cols>
  <sheetData>
    <row r="1" spans="1:15" x14ac:dyDescent="0.3">
      <c r="A1" s="48"/>
      <c r="B1" s="49"/>
      <c r="C1" s="49"/>
      <c r="D1" s="50" t="s">
        <v>17</v>
      </c>
      <c r="E1" s="50"/>
      <c r="F1" s="49"/>
      <c r="G1" s="49"/>
      <c r="H1" s="49"/>
      <c r="I1" s="49"/>
      <c r="J1" s="49"/>
      <c r="K1" s="49"/>
      <c r="L1" s="50" t="s">
        <v>70</v>
      </c>
      <c r="M1" s="49"/>
      <c r="N1" s="52" t="str">
        <f>RESUMEN!C5</f>
        <v>VTO: 15/09</v>
      </c>
      <c r="O1" s="52"/>
    </row>
    <row r="2" spans="1:15" x14ac:dyDescent="0.3">
      <c r="A2" s="49"/>
      <c r="B2" s="51"/>
      <c r="C2" s="51"/>
      <c r="D2" s="50" t="s">
        <v>18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3">
      <c r="A3" s="49"/>
      <c r="B3" s="51"/>
      <c r="C3" s="51"/>
      <c r="D3" s="50"/>
      <c r="E3" s="49"/>
      <c r="F3" s="49"/>
      <c r="G3" s="49"/>
      <c r="H3" s="49"/>
      <c r="I3" s="49"/>
      <c r="J3" s="50" t="s">
        <v>71</v>
      </c>
      <c r="K3" s="50"/>
      <c r="L3" s="53">
        <v>249991.29847799998</v>
      </c>
      <c r="M3" s="49"/>
      <c r="N3" s="54">
        <v>-1891.33</v>
      </c>
      <c r="O3" s="54"/>
    </row>
    <row r="4" spans="1:15" ht="15" thickBot="1" x14ac:dyDescent="0.35">
      <c r="A4" s="49"/>
      <c r="B4" s="51"/>
      <c r="C4" s="51"/>
      <c r="D4" s="50"/>
      <c r="E4" s="49"/>
      <c r="F4" s="49"/>
      <c r="G4" s="49"/>
      <c r="H4" s="49"/>
      <c r="I4" s="49"/>
      <c r="J4" s="50" t="s">
        <v>72</v>
      </c>
      <c r="K4" s="50"/>
      <c r="L4" s="53">
        <v>0</v>
      </c>
      <c r="M4" s="49"/>
      <c r="N4" s="49"/>
      <c r="O4" s="49"/>
    </row>
    <row r="5" spans="1:15" ht="28.8" x14ac:dyDescent="0.3">
      <c r="A5" s="247" t="s">
        <v>73</v>
      </c>
      <c r="B5" s="247" t="s">
        <v>22</v>
      </c>
      <c r="C5" s="55" t="s">
        <v>74</v>
      </c>
      <c r="D5" s="35" t="s">
        <v>23</v>
      </c>
      <c r="E5" s="35" t="s">
        <v>24</v>
      </c>
      <c r="F5" s="247" t="s">
        <v>75</v>
      </c>
      <c r="G5" s="37" t="s">
        <v>76</v>
      </c>
      <c r="H5" s="38" t="s">
        <v>27</v>
      </c>
      <c r="I5" s="36" t="s">
        <v>77</v>
      </c>
      <c r="J5" s="39" t="s">
        <v>28</v>
      </c>
      <c r="K5" s="40" t="s">
        <v>28</v>
      </c>
      <c r="L5" s="37" t="s">
        <v>29</v>
      </c>
      <c r="M5" s="41"/>
      <c r="N5" s="247" t="s">
        <v>78</v>
      </c>
      <c r="O5" s="247" t="s">
        <v>79</v>
      </c>
    </row>
    <row r="6" spans="1:15" x14ac:dyDescent="0.3">
      <c r="A6" s="248"/>
      <c r="B6" s="248"/>
      <c r="C6" s="56" t="s">
        <v>80</v>
      </c>
      <c r="D6" s="42" t="s">
        <v>30</v>
      </c>
      <c r="E6" s="42" t="s">
        <v>31</v>
      </c>
      <c r="F6" s="248"/>
      <c r="G6" s="44" t="s">
        <v>81</v>
      </c>
      <c r="H6" s="45">
        <v>0.06</v>
      </c>
      <c r="I6" s="43" t="s">
        <v>82</v>
      </c>
      <c r="J6" s="46" t="s">
        <v>32</v>
      </c>
      <c r="K6" s="47" t="s">
        <v>83</v>
      </c>
      <c r="L6" s="44" t="s">
        <v>84</v>
      </c>
      <c r="M6" s="47"/>
      <c r="N6" s="248"/>
      <c r="O6" s="248"/>
    </row>
    <row r="7" spans="1:15" ht="15" customHeight="1" x14ac:dyDescent="0.3">
      <c r="A7" s="15">
        <v>1</v>
      </c>
      <c r="B7" s="84" t="s">
        <v>60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3">
      <c r="A8" s="15">
        <v>2</v>
      </c>
      <c r="B8" s="84" t="s">
        <v>60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3">
      <c r="A9" s="15">
        <v>3</v>
      </c>
      <c r="B9" s="84" t="s">
        <v>64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3">
      <c r="A10" s="15">
        <v>4</v>
      </c>
      <c r="B10" s="84" t="s">
        <v>64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3">
      <c r="A11" s="15">
        <v>5</v>
      </c>
      <c r="B11" s="84" t="s">
        <v>37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3">
      <c r="A12" s="15">
        <v>6</v>
      </c>
      <c r="B12" s="85" t="s">
        <v>45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3">
      <c r="A13" s="15">
        <v>7</v>
      </c>
      <c r="B13" s="84" t="s">
        <v>60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3">
      <c r="A14" s="15">
        <v>8</v>
      </c>
      <c r="B14" s="84" t="s">
        <v>57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3">
      <c r="A15" s="15">
        <v>9</v>
      </c>
      <c r="B15" s="84" t="s">
        <v>52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3">
      <c r="A16" s="15">
        <v>10</v>
      </c>
      <c r="B16" s="84" t="s">
        <v>62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3">
      <c r="A17" s="15">
        <v>11</v>
      </c>
      <c r="B17" s="84" t="s">
        <v>62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3">
      <c r="A18" s="15">
        <v>12</v>
      </c>
      <c r="B18" s="84" t="s">
        <v>50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3">
      <c r="A19" s="15">
        <v>13</v>
      </c>
      <c r="B19" s="84" t="s">
        <v>66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3">
      <c r="A20" s="15">
        <v>14</v>
      </c>
      <c r="B20" s="84" t="s">
        <v>66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3">
      <c r="A21" s="15">
        <v>15</v>
      </c>
      <c r="B21" s="84" t="s">
        <v>66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3">
      <c r="A22" s="15">
        <v>16</v>
      </c>
      <c r="B22" s="84" t="s">
        <v>53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3">
      <c r="A23" s="15">
        <v>17</v>
      </c>
      <c r="B23" s="84" t="s">
        <v>55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3">
      <c r="A24" s="15">
        <v>18</v>
      </c>
      <c r="B24" s="84" t="s">
        <v>47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3">
      <c r="A25" s="15">
        <v>19</v>
      </c>
      <c r="B25" s="84" t="s">
        <v>47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3">
      <c r="A26" s="15">
        <v>20</v>
      </c>
      <c r="B26" s="84" t="s">
        <v>85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3">
      <c r="A27" s="15">
        <v>21</v>
      </c>
      <c r="B27" s="84" t="s">
        <v>42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3">
      <c r="A28" s="15">
        <v>22</v>
      </c>
      <c r="B28" s="86" t="s">
        <v>49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3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" thickBot="1" x14ac:dyDescent="0.35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3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Hoja1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2025-07-30T14:07:26Z</cp:lastPrinted>
  <dcterms:created xsi:type="dcterms:W3CDTF">2023-09-17T12:29:07Z</dcterms:created>
  <dcterms:modified xsi:type="dcterms:W3CDTF">2025-08-27T14:30:48Z</dcterms:modified>
</cp:coreProperties>
</file>