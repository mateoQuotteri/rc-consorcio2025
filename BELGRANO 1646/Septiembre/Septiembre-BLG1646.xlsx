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BELGRANO 1646\Septiembre\"/>
    </mc:Choice>
  </mc:AlternateContent>
  <xr:revisionPtr revIDLastSave="0" documentId="13_ncr:1_{6AB5E82F-4BB9-49A0-AD02-115059E05FC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UMEN" sheetId="1" r:id="rId1"/>
    <sheet name="PRORRATEO" sheetId="2" r:id="rId2"/>
    <sheet name="Hoja1" sheetId="4" r:id="rId3"/>
    <sheet name="COCHERA" sheetId="3" r:id="rId4"/>
  </sheets>
  <definedNames>
    <definedName name="_xlnm.Print_Area" localSheetId="1">PRORRATEO!$A$1:$N$64</definedName>
    <definedName name="_xlnm.Print_Area" localSheetId="0">RESUMEN!$A$1:$F$127</definedName>
  </definedNames>
  <calcPr calcId="181029"/>
</workbook>
</file>

<file path=xl/calcChain.xml><?xml version="1.0" encoding="utf-8"?>
<calcChain xmlns="http://schemas.openxmlformats.org/spreadsheetml/2006/main">
  <c r="E63" i="1" l="1"/>
  <c r="F63" i="1"/>
  <c r="H63" i="1"/>
  <c r="G63" i="1"/>
  <c r="E66" i="1"/>
  <c r="F66" i="1"/>
  <c r="H66" i="1" s="1"/>
  <c r="G66" i="1"/>
  <c r="D47" i="1"/>
  <c r="E62" i="1"/>
  <c r="H62" i="1" s="1"/>
  <c r="F62" i="1"/>
  <c r="G62" i="1"/>
  <c r="M2" i="2"/>
  <c r="M4" i="2"/>
  <c r="D90" i="1"/>
  <c r="F69" i="1"/>
  <c r="F70" i="1"/>
  <c r="E69" i="1"/>
  <c r="E70" i="1"/>
  <c r="F59" i="1"/>
  <c r="F60" i="1"/>
  <c r="F61" i="1"/>
  <c r="E59" i="1"/>
  <c r="E60" i="1"/>
  <c r="E61" i="1"/>
  <c r="F68" i="1"/>
  <c r="E68" i="1"/>
  <c r="E65" i="1"/>
  <c r="F101" i="1"/>
  <c r="D105" i="1"/>
  <c r="M3" i="2" s="1"/>
  <c r="E102" i="1"/>
  <c r="E101" i="1"/>
  <c r="G17" i="2" l="1"/>
  <c r="G18" i="2"/>
  <c r="G11" i="2"/>
  <c r="L18" i="2"/>
  <c r="L19" i="2"/>
  <c r="L20" i="2"/>
  <c r="L21" i="2"/>
  <c r="L22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G29" i="2"/>
  <c r="G27" i="2"/>
  <c r="G24" i="2"/>
  <c r="G28" i="2"/>
  <c r="G9" i="2"/>
  <c r="G16" i="2"/>
  <c r="G13" i="2"/>
  <c r="G21" i="2"/>
  <c r="G20" i="2"/>
  <c r="G15" i="2"/>
  <c r="G19" i="2"/>
  <c r="G26" i="2"/>
  <c r="G51" i="1" l="1"/>
  <c r="G59" i="1"/>
  <c r="G60" i="1"/>
  <c r="G61" i="1"/>
  <c r="H70" i="1"/>
  <c r="G70" i="1"/>
  <c r="J70" i="1" s="1"/>
  <c r="E51" i="1"/>
  <c r="H51" i="1" s="1"/>
  <c r="H59" i="1"/>
  <c r="H60" i="1"/>
  <c r="L9" i="2" l="1"/>
  <c r="L10" i="2"/>
  <c r="L11" i="2"/>
  <c r="L12" i="2"/>
  <c r="L14" i="2"/>
  <c r="L15" i="2"/>
  <c r="L16" i="2"/>
  <c r="L44" i="2"/>
  <c r="L45" i="2"/>
  <c r="L46" i="2"/>
  <c r="L47" i="2"/>
  <c r="L48" i="2"/>
  <c r="L49" i="2"/>
  <c r="L50" i="2"/>
  <c r="D22" i="4"/>
  <c r="D17" i="4"/>
  <c r="G22" i="2"/>
  <c r="G56" i="1"/>
  <c r="J56" i="1" s="1"/>
  <c r="F56" i="1"/>
  <c r="E56" i="1"/>
  <c r="H61" i="1"/>
  <c r="H56" i="1" l="1"/>
  <c r="I56" i="1" s="1"/>
  <c r="G53" i="1" l="1"/>
  <c r="F53" i="1"/>
  <c r="E53" i="1"/>
  <c r="H53" i="1" l="1"/>
  <c r="G7" i="2" l="1"/>
  <c r="D71" i="1" l="1"/>
  <c r="F41" i="1" l="1"/>
  <c r="E41" i="1"/>
  <c r="G52" i="1"/>
  <c r="E52" i="1"/>
  <c r="H52" i="1" s="1"/>
  <c r="I52" i="1" s="1"/>
  <c r="F64" i="1"/>
  <c r="F65" i="1"/>
  <c r="E64" i="1"/>
  <c r="G64" i="1"/>
  <c r="J64" i="1" s="1"/>
  <c r="G65" i="1"/>
  <c r="J65" i="1" s="1"/>
  <c r="D88" i="1"/>
  <c r="D84" i="1"/>
  <c r="D27" i="1"/>
  <c r="F103" i="1"/>
  <c r="E103" i="1"/>
  <c r="F102" i="1"/>
  <c r="F67" i="1"/>
  <c r="E67" i="1"/>
  <c r="E55" i="1"/>
  <c r="G46" i="2"/>
  <c r="G23" i="2" s="1"/>
  <c r="B126" i="1"/>
  <c r="G67" i="1"/>
  <c r="J67" i="1" s="1"/>
  <c r="H65" i="1" l="1"/>
  <c r="I65" i="1" s="1"/>
  <c r="H64" i="1"/>
  <c r="I64" i="1" s="1"/>
  <c r="H67" i="1"/>
  <c r="I67" i="1" s="1"/>
  <c r="D49" i="1" l="1"/>
  <c r="D49" i="2"/>
  <c r="H69" i="1"/>
  <c r="I69" i="1" s="1"/>
  <c r="G49" i="2" l="1"/>
  <c r="G54" i="1"/>
  <c r="J54" i="1" s="1"/>
  <c r="E54" i="1" l="1"/>
  <c r="F54" i="1"/>
  <c r="H54" i="1" l="1"/>
  <c r="I54" i="1" s="1"/>
  <c r="F52" i="2" l="1"/>
  <c r="F42" i="1"/>
  <c r="E42" i="1"/>
  <c r="D77" i="1"/>
  <c r="E58" i="1" l="1"/>
  <c r="D44" i="1" l="1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F104" i="1"/>
  <c r="E104" i="1"/>
  <c r="B115" i="1" l="1"/>
  <c r="E105" i="1"/>
  <c r="F105" i="1"/>
  <c r="H105" i="1" l="1"/>
  <c r="I105" i="1" s="1"/>
  <c r="E76" i="1" l="1"/>
  <c r="E43" i="1" l="1"/>
  <c r="E44" i="1" l="1"/>
  <c r="F43" i="1"/>
  <c r="F44" i="1" s="1"/>
  <c r="G44" i="1" l="1"/>
  <c r="F35" i="1"/>
  <c r="F34" i="1"/>
  <c r="F33" i="1"/>
  <c r="E35" i="1"/>
  <c r="E34" i="1"/>
  <c r="E33" i="1"/>
  <c r="G55" i="1" l="1"/>
  <c r="J55" i="1" s="1"/>
  <c r="G57" i="1"/>
  <c r="J57" i="1" s="1"/>
  <c r="G58" i="1"/>
  <c r="J58" i="1" s="1"/>
  <c r="G69" i="1"/>
  <c r="J69" i="1" s="1"/>
  <c r="I70" i="1" l="1"/>
  <c r="H58" i="1" l="1"/>
  <c r="I58" i="1" s="1"/>
  <c r="F90" i="1" l="1"/>
  <c r="E90" i="1"/>
  <c r="G90" i="1" l="1"/>
  <c r="H90" i="1" s="1"/>
  <c r="F87" i="1" l="1"/>
  <c r="F86" i="1"/>
  <c r="E87" i="1"/>
  <c r="E86" i="1"/>
  <c r="F82" i="1"/>
  <c r="F81" i="1"/>
  <c r="E82" i="1"/>
  <c r="E81" i="1"/>
  <c r="F75" i="1"/>
  <c r="E75" i="1"/>
  <c r="F57" i="1"/>
  <c r="F55" i="1"/>
  <c r="E57" i="1"/>
  <c r="F29" i="1"/>
  <c r="F28" i="1"/>
  <c r="E29" i="1"/>
  <c r="E28" i="1"/>
  <c r="F48" i="1"/>
  <c r="F46" i="1"/>
  <c r="E48" i="1"/>
  <c r="E46" i="1"/>
  <c r="F24" i="1"/>
  <c r="F25" i="1"/>
  <c r="F23" i="1"/>
  <c r="E23" i="1"/>
  <c r="E24" i="1"/>
  <c r="E25" i="1"/>
  <c r="F71" i="1" l="1"/>
  <c r="E71" i="1"/>
  <c r="H55" i="1"/>
  <c r="I55" i="1" s="1"/>
  <c r="H57" i="1"/>
  <c r="I57" i="1" s="1"/>
  <c r="F27" i="1"/>
  <c r="F88" i="1"/>
  <c r="E88" i="1"/>
  <c r="E84" i="1"/>
  <c r="F84" i="1"/>
  <c r="E77" i="1"/>
  <c r="F77" i="1"/>
  <c r="E32" i="1"/>
  <c r="E36" i="1" s="1"/>
  <c r="F32" i="1"/>
  <c r="E27" i="1"/>
  <c r="G71" i="1" l="1"/>
  <c r="H71" i="1" s="1"/>
  <c r="G27" i="1"/>
  <c r="H27" i="1" s="1"/>
  <c r="G88" i="1"/>
  <c r="G84" i="1"/>
  <c r="G77" i="1"/>
  <c r="G32" i="1"/>
  <c r="D32" i="1"/>
  <c r="D92" i="1" s="1"/>
  <c r="I71" i="1" l="1"/>
  <c r="B109" i="1"/>
  <c r="B114" i="1" s="1"/>
  <c r="D36" i="1"/>
  <c r="H77" i="1"/>
  <c r="H32" i="1"/>
  <c r="H88" i="1"/>
  <c r="H84" i="1"/>
  <c r="C97" i="1"/>
  <c r="B117" i="1" s="1"/>
  <c r="L1" i="2" l="1"/>
  <c r="E47" i="1"/>
  <c r="E49" i="1" s="1"/>
  <c r="E92" i="1" s="1"/>
  <c r="F47" i="1"/>
  <c r="F49" i="1" s="1"/>
  <c r="G49" i="1" l="1"/>
  <c r="H49" i="1" l="1"/>
  <c r="B108" i="1"/>
  <c r="O1" i="2" l="1"/>
  <c r="O2" i="2" s="1"/>
  <c r="A3" i="2"/>
  <c r="E40" i="1" l="1"/>
  <c r="F40" i="1"/>
  <c r="K12" i="2" l="1"/>
  <c r="K47" i="2"/>
  <c r="K25" i="2"/>
  <c r="K50" i="2"/>
  <c r="K27" i="2"/>
  <c r="K8" i="2"/>
  <c r="K30" i="2"/>
  <c r="K49" i="2"/>
  <c r="K32" i="2"/>
  <c r="K10" i="2"/>
  <c r="K29" i="2"/>
  <c r="K51" i="2"/>
  <c r="K31" i="2"/>
  <c r="K9" i="2"/>
  <c r="K34" i="2"/>
  <c r="K11" i="2"/>
  <c r="K36" i="2"/>
  <c r="K14" i="2"/>
  <c r="K33" i="2"/>
  <c r="K16" i="2"/>
  <c r="K35" i="2"/>
  <c r="K13" i="2"/>
  <c r="K38" i="2"/>
  <c r="K15" i="2"/>
  <c r="K40" i="2"/>
  <c r="K18" i="2"/>
  <c r="K37" i="2"/>
  <c r="K20" i="2"/>
  <c r="K39" i="2"/>
  <c r="K17" i="2"/>
  <c r="K42" i="2"/>
  <c r="K19" i="2"/>
  <c r="K44" i="2"/>
  <c r="K22" i="2"/>
  <c r="K41" i="2"/>
  <c r="K24" i="2"/>
  <c r="K43" i="2"/>
  <c r="K21" i="2"/>
  <c r="K46" i="2"/>
  <c r="K23" i="2"/>
  <c r="K48" i="2"/>
  <c r="K26" i="2"/>
  <c r="K45" i="2"/>
  <c r="K28" i="2"/>
  <c r="G43" i="2"/>
  <c r="G44" i="2"/>
  <c r="G42" i="2"/>
  <c r="K52" i="2" l="1"/>
  <c r="P43" i="2" s="1"/>
  <c r="K53" i="2" l="1"/>
  <c r="J52" i="2"/>
  <c r="Q47" i="2" s="1"/>
  <c r="B116" i="1"/>
  <c r="J4" i="2" l="1"/>
  <c r="G32" i="2"/>
  <c r="G12" i="2"/>
  <c r="H12" i="2" s="1"/>
  <c r="L8" i="2" l="1"/>
  <c r="L51" i="2"/>
  <c r="G50" i="2" l="1"/>
  <c r="G35" i="2" l="1"/>
  <c r="G25" i="2" l="1"/>
  <c r="F36" i="1" l="1"/>
  <c r="N1" i="3" l="1"/>
  <c r="L52" i="2" l="1"/>
  <c r="E52" i="2"/>
  <c r="H43" i="2" l="1"/>
  <c r="M43" i="2" s="1"/>
  <c r="N43" i="2" s="1"/>
  <c r="H44" i="2"/>
  <c r="G33" i="2"/>
  <c r="G40" i="2"/>
  <c r="H40" i="2" s="1"/>
  <c r="M40" i="2" s="1"/>
  <c r="N40" i="2" s="1"/>
  <c r="G39" i="2"/>
  <c r="G36" i="2"/>
  <c r="H36" i="2" s="1"/>
  <c r="G31" i="2"/>
  <c r="H31" i="2" s="1"/>
  <c r="G30" i="2"/>
  <c r="G37" i="2"/>
  <c r="G45" i="2"/>
  <c r="G38" i="2"/>
  <c r="G41" i="2"/>
  <c r="G51" i="2"/>
  <c r="G48" i="2"/>
  <c r="H48" i="2" s="1"/>
  <c r="M48" i="2" s="1"/>
  <c r="N48" i="2" s="1"/>
  <c r="G47" i="2"/>
  <c r="M12" i="2"/>
  <c r="N12" i="2" s="1"/>
  <c r="H10" i="2"/>
  <c r="G34" i="2"/>
  <c r="H8" i="2"/>
  <c r="M8" i="2" s="1"/>
  <c r="H11" i="2"/>
  <c r="H13" i="2"/>
  <c r="M13" i="2" s="1"/>
  <c r="N13" i="2" s="1"/>
  <c r="H14" i="2"/>
  <c r="M14" i="2" s="1"/>
  <c r="N14" i="2" s="1"/>
  <c r="H15" i="2"/>
  <c r="H22" i="2"/>
  <c r="M22" i="2" s="1"/>
  <c r="N22" i="2" s="1"/>
  <c r="H25" i="2"/>
  <c r="M25" i="2" s="1"/>
  <c r="N25" i="2" s="1"/>
  <c r="H35" i="2"/>
  <c r="H38" i="2"/>
  <c r="M38" i="2" s="1"/>
  <c r="N38" i="2" s="1"/>
  <c r="H50" i="2"/>
  <c r="M50" i="2" s="1"/>
  <c r="N50" i="2" s="1"/>
  <c r="H7" i="2"/>
  <c r="M7" i="2" s="1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7" i="3"/>
  <c r="H26" i="2" l="1"/>
  <c r="M26" i="2" s="1"/>
  <c r="N26" i="2" s="1"/>
  <c r="H17" i="2"/>
  <c r="M17" i="2" s="1"/>
  <c r="N17" i="2" s="1"/>
  <c r="H46" i="2"/>
  <c r="M46" i="2" s="1"/>
  <c r="N46" i="2" s="1"/>
  <c r="H20" i="2"/>
  <c r="M20" i="2" s="1"/>
  <c r="N20" i="2" s="1"/>
  <c r="H21" i="2"/>
  <c r="M21" i="2" s="1"/>
  <c r="N21" i="2" s="1"/>
  <c r="H45" i="2"/>
  <c r="M45" i="2" s="1"/>
  <c r="N45" i="2" s="1"/>
  <c r="H30" i="2"/>
  <c r="M30" i="2" s="1"/>
  <c r="N30" i="2" s="1"/>
  <c r="H18" i="2"/>
  <c r="M18" i="2" s="1"/>
  <c r="N18" i="2" s="1"/>
  <c r="H33" i="2"/>
  <c r="M33" i="2" s="1"/>
  <c r="N33" i="2" s="1"/>
  <c r="H51" i="2"/>
  <c r="M51" i="2" s="1"/>
  <c r="N51" i="2" s="1"/>
  <c r="H16" i="2"/>
  <c r="M16" i="2" s="1"/>
  <c r="N16" i="2" s="1"/>
  <c r="H29" i="2"/>
  <c r="M29" i="2" s="1"/>
  <c r="N29" i="2" s="1"/>
  <c r="H19" i="2"/>
  <c r="M19" i="2" s="1"/>
  <c r="N19" i="2" s="1"/>
  <c r="H23" i="2"/>
  <c r="M23" i="2" s="1"/>
  <c r="N23" i="2" s="1"/>
  <c r="H9" i="2"/>
  <c r="M9" i="2" s="1"/>
  <c r="N9" i="2" s="1"/>
  <c r="H24" i="2"/>
  <c r="M24" i="2" s="1"/>
  <c r="N24" i="2" s="1"/>
  <c r="H49" i="2"/>
  <c r="M49" i="2" s="1"/>
  <c r="N49" i="2" s="1"/>
  <c r="H34" i="2"/>
  <c r="M34" i="2" s="1"/>
  <c r="N34" i="2" s="1"/>
  <c r="H28" i="2"/>
  <c r="M28" i="2" s="1"/>
  <c r="N28" i="2" s="1"/>
  <c r="H42" i="2"/>
  <c r="M42" i="2" s="1"/>
  <c r="N42" i="2" s="1"/>
  <c r="N7" i="2"/>
  <c r="H47" i="2"/>
  <c r="M47" i="2" s="1"/>
  <c r="N47" i="2" s="1"/>
  <c r="H37" i="2"/>
  <c r="M37" i="2" s="1"/>
  <c r="N37" i="2" s="1"/>
  <c r="H27" i="2"/>
  <c r="M27" i="2" s="1"/>
  <c r="N27" i="2" s="1"/>
  <c r="H41" i="2"/>
  <c r="M41" i="2" s="1"/>
  <c r="N41" i="2" s="1"/>
  <c r="H32" i="2"/>
  <c r="M32" i="2" s="1"/>
  <c r="N32" i="2" s="1"/>
  <c r="M36" i="2"/>
  <c r="N36" i="2" s="1"/>
  <c r="M15" i="2"/>
  <c r="N15" i="2" s="1"/>
  <c r="M11" i="2"/>
  <c r="N11" i="2" s="1"/>
  <c r="M35" i="2"/>
  <c r="N35" i="2" s="1"/>
  <c r="M31" i="2"/>
  <c r="N31" i="2" s="1"/>
  <c r="M10" i="2"/>
  <c r="N10" i="2" s="1"/>
  <c r="M44" i="2"/>
  <c r="N44" i="2" s="1"/>
  <c r="H39" i="2"/>
  <c r="M39" i="2" s="1"/>
  <c r="N39" i="2" s="1"/>
  <c r="G52" i="2" l="1"/>
  <c r="B113" i="1" s="1"/>
  <c r="B119" i="1" s="1"/>
  <c r="N8" i="2"/>
  <c r="N52" i="2" s="1"/>
  <c r="M52" i="2"/>
  <c r="F92" i="1"/>
  <c r="G92" i="1" s="1"/>
  <c r="H92" i="1" l="1"/>
  <c r="I92" i="1"/>
</calcChain>
</file>

<file path=xl/sharedStrings.xml><?xml version="1.0" encoding="utf-8"?>
<sst xmlns="http://schemas.openxmlformats.org/spreadsheetml/2006/main" count="278" uniqueCount="182">
  <si>
    <t>consorciobelgrano1640@gmail.com</t>
  </si>
  <si>
    <t>LIQUIDACION DE EXPENSAS</t>
  </si>
  <si>
    <t>Deducciones</t>
  </si>
  <si>
    <t>TOTAL SUELDO</t>
  </si>
  <si>
    <t>APORTES Y CONTRIBUCIONES</t>
  </si>
  <si>
    <t>SUTERH - FATERYH - SARACAH</t>
  </si>
  <si>
    <t>TOTAL Aportes y Contribuciones - Sindicato</t>
  </si>
  <si>
    <t>ABONOS Y SERVICIOS</t>
  </si>
  <si>
    <t xml:space="preserve">Riesgo Uno </t>
  </si>
  <si>
    <t xml:space="preserve">Seguro Poliza </t>
  </si>
  <si>
    <t>EDESUR</t>
  </si>
  <si>
    <t>AYSA</t>
  </si>
  <si>
    <t>TOTAL ABONOS Y SERVICIOS</t>
  </si>
  <si>
    <t xml:space="preserve">GASTOS DE ADMINISTRACION </t>
  </si>
  <si>
    <t>RC Adm Cons. CANCIANI, Carolina</t>
  </si>
  <si>
    <t>TOTAL GASTOS DE ADMINISTRACION</t>
  </si>
  <si>
    <t>TOTAL GASTOS GENERALES / MANTENIMIENTO</t>
  </si>
  <si>
    <t>ESTADO DE CUENTA Y PRORRATEO</t>
  </si>
  <si>
    <t>BELGRANO Nº 1640</t>
  </si>
  <si>
    <t>Piso</t>
  </si>
  <si>
    <t>Dpto.</t>
  </si>
  <si>
    <t>UF</t>
  </si>
  <si>
    <t>Propietario</t>
  </si>
  <si>
    <t xml:space="preserve">Saldo </t>
  </si>
  <si>
    <t xml:space="preserve">Ingreso </t>
  </si>
  <si>
    <t>SALDO</t>
  </si>
  <si>
    <t>Expensas extraor.</t>
  </si>
  <si>
    <t>Intereses</t>
  </si>
  <si>
    <t>Expensas</t>
  </si>
  <si>
    <t>TOTAL</t>
  </si>
  <si>
    <t>Anterior</t>
  </si>
  <si>
    <t>Exp. Ord.</t>
  </si>
  <si>
    <t>Ord.</t>
  </si>
  <si>
    <t>PB</t>
  </si>
  <si>
    <t>LOCAL 1 - DANIEL VIDAL</t>
  </si>
  <si>
    <t>3º</t>
  </si>
  <si>
    <t>RODRIGUEZ, MARIA ROSA</t>
  </si>
  <si>
    <t>RUSSO, JUAN ANTONIO</t>
  </si>
  <si>
    <t>4º</t>
  </si>
  <si>
    <t>SALLABER, MARIA</t>
  </si>
  <si>
    <t>COLATRELLA, CAROLINA</t>
  </si>
  <si>
    <t>5º</t>
  </si>
  <si>
    <t>DI TORO, ALEJANDRO</t>
  </si>
  <si>
    <t>6º</t>
  </si>
  <si>
    <t>PERAZA, MARTHA</t>
  </si>
  <si>
    <t>MARANTE, MAURO</t>
  </si>
  <si>
    <t>7º</t>
  </si>
  <si>
    <t>CAMPANA, NESTOR</t>
  </si>
  <si>
    <t>8º</t>
  </si>
  <si>
    <t>JARA, CLAUDIO</t>
  </si>
  <si>
    <t>MIRAMONTES, HORACIO</t>
  </si>
  <si>
    <t>9º</t>
  </si>
  <si>
    <t>MELINA, ANDRES</t>
  </si>
  <si>
    <t>GARCIA, MARIA SOL</t>
  </si>
  <si>
    <t>10º</t>
  </si>
  <si>
    <t>DAVIN, ALEJANDRO</t>
  </si>
  <si>
    <t>11º</t>
  </si>
  <si>
    <t>VROONLAND, DANIEL</t>
  </si>
  <si>
    <t>SIMONASSI, ALEJO</t>
  </si>
  <si>
    <t>12º</t>
  </si>
  <si>
    <t>VELAZ, ATILIO</t>
  </si>
  <si>
    <t>13º</t>
  </si>
  <si>
    <t>AGÜERO, MIRIAM S</t>
  </si>
  <si>
    <t>14º</t>
  </si>
  <si>
    <t>VILLA, JUAN MANUEL</t>
  </si>
  <si>
    <t>15º</t>
  </si>
  <si>
    <t>TOLOSA, FABIO</t>
  </si>
  <si>
    <t>TOTAL EXPENSAS 1er VTO</t>
  </si>
  <si>
    <t>TOTAL EXPENSAS 2do VTO</t>
  </si>
  <si>
    <t>Expensas ord</t>
  </si>
  <si>
    <t xml:space="preserve">Vencimiento </t>
  </si>
  <si>
    <t>Gastos Ordinario:</t>
  </si>
  <si>
    <t>Gastos Extr.:</t>
  </si>
  <si>
    <t>Cochera</t>
  </si>
  <si>
    <t xml:space="preserve">Porcentaje </t>
  </si>
  <si>
    <t>DEUDAS</t>
  </si>
  <si>
    <t>Deuda exp</t>
  </si>
  <si>
    <t>porcentaje</t>
  </si>
  <si>
    <t>1ER Vto.</t>
  </si>
  <si>
    <t>2DO Vto.</t>
  </si>
  <si>
    <t>(%)</t>
  </si>
  <si>
    <t>Extraord</t>
  </si>
  <si>
    <t>%</t>
  </si>
  <si>
    <t>Extr.</t>
  </si>
  <si>
    <t>EXPENSAS</t>
  </si>
  <si>
    <t>RUIZ, DIEGO ARIEL</t>
  </si>
  <si>
    <t>GASTOS ORDINARIOS UNIDADES FUNCIONALES:</t>
  </si>
  <si>
    <t>LOCAL 8,09%</t>
  </si>
  <si>
    <t>Santander cuenta 039-010552/1</t>
  </si>
  <si>
    <t>CBU: 0720039720000001055218</t>
  </si>
  <si>
    <t>CAJA EFECTIVO $ (pesos)</t>
  </si>
  <si>
    <t xml:space="preserve">Saldo anterior </t>
  </si>
  <si>
    <t>Ingresos</t>
  </si>
  <si>
    <t xml:space="preserve">  </t>
  </si>
  <si>
    <t>Saldo al cierre</t>
  </si>
  <si>
    <t>CAJA EFECTIVO SUM $ (pesos)</t>
  </si>
  <si>
    <t>COC</t>
  </si>
  <si>
    <t xml:space="preserve"> (%)</t>
  </si>
  <si>
    <t>CONSORCIO DE PROPIETARIOS DEL EDIFICIO CALLE BELGRANO NUMERO 1640/1646 BANFIELD PARTIDO DE LOMAS DE ZAMORA</t>
  </si>
  <si>
    <t>CUIT: 33-71826987-9</t>
  </si>
  <si>
    <t>GASTOS BANCARIOS</t>
  </si>
  <si>
    <t>Gastos bancarios</t>
  </si>
  <si>
    <t>Mantenimiento de cuenta</t>
  </si>
  <si>
    <t xml:space="preserve">TOTAL ORDINARIOS </t>
  </si>
  <si>
    <t>GASTOS ORDINARIOS + PREVISION :</t>
  </si>
  <si>
    <t>Dinero ingreso SUM</t>
  </si>
  <si>
    <t>GASTOS ORDINARIOS SIN PREVISION:</t>
  </si>
  <si>
    <t xml:space="preserve">Gustavo Padron contador </t>
  </si>
  <si>
    <t>Fecha</t>
  </si>
  <si>
    <t>SAC</t>
  </si>
  <si>
    <t>TOTAL SAC</t>
  </si>
  <si>
    <t>LUSENSKY, CARLOS</t>
  </si>
  <si>
    <t>Redondeo</t>
  </si>
  <si>
    <t>GASTOS EXTRAORDINARIOS</t>
  </si>
  <si>
    <t>Egresos Extraordinarios</t>
  </si>
  <si>
    <t>Egresos Ordinarios</t>
  </si>
  <si>
    <t>MP:1148</t>
  </si>
  <si>
    <t xml:space="preserve">TOTAL </t>
  </si>
  <si>
    <t>Domicilio: Dr. Melo Nº 2958 - 8VO PISO - Con cita previa</t>
  </si>
  <si>
    <t xml:space="preserve">Central vigia </t>
  </si>
  <si>
    <t>Gastos particulares</t>
  </si>
  <si>
    <t>UF 91,91%</t>
  </si>
  <si>
    <t>LOCAL</t>
  </si>
  <si>
    <t>SUM/ GASTOS PART</t>
  </si>
  <si>
    <t>SE GASTO:</t>
  </si>
  <si>
    <t>SE PRORRATEA EN LAS UF:</t>
  </si>
  <si>
    <t xml:space="preserve">Haberes </t>
  </si>
  <si>
    <t>TOTAL REEMPLAZO</t>
  </si>
  <si>
    <t>RATON, MARIELA</t>
  </si>
  <si>
    <t>EL MONTO QUE SE PRORRATEA EN LAS UNIDADES FUNCIONALES ES MAYOR AL MONTO QUE SE GASTO YA QUE DE PRORRATEAR EL MONTO GASTADO NO SE ALCANZA A JUNTAR EL DINERO NECESARIO PARA CUBRIR EL 100% DE LOS GASTOS. ESTO SE DEBE A QUE EL LOCAL NO ABONA ESTRICTAMENTE EL 8,09% DE TODA LA LIQUIDACION, SINO QUE ABONA EL 8,09% DE ALGUNOS GASTOS SI Y DE OTROS NO. ES POR ESO MISMO QUE SE DEBE PRORRATEAR UN MONTO MAYOR A LO GASTADO PARA CON LAS UNIDADES FUNCIONALES CON EL OBJETIVO DE A FIN DE CUENTAS SI PODER REACAUDAR LO GASTADO</t>
  </si>
  <si>
    <t xml:space="preserve">Redondeo </t>
  </si>
  <si>
    <t>EXPENSAS EXTRA:</t>
  </si>
  <si>
    <t>extra</t>
  </si>
  <si>
    <t xml:space="preserve">FONDO DE GASTOS ORDINARIOS </t>
  </si>
  <si>
    <r>
      <t xml:space="preserve">Los gastos que se encuentras </t>
    </r>
    <r>
      <rPr>
        <b/>
        <u/>
        <sz val="14"/>
        <color theme="1"/>
        <rFont val="Calibri"/>
        <family val="2"/>
        <scheme val="minor"/>
      </rPr>
      <t>subrayados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son los que corresponden tanto a las unidades funcionales como tambien al local</t>
    </r>
  </si>
  <si>
    <t>ARCA</t>
  </si>
  <si>
    <t>FEUILLANT, GASTON</t>
  </si>
  <si>
    <t xml:space="preserve">Kromacolor </t>
  </si>
  <si>
    <t>Contessi - Mantenimiento de ascensores</t>
  </si>
  <si>
    <t>Subidos en jun de 2025</t>
  </si>
  <si>
    <t>BALBOA, ARIEL</t>
  </si>
  <si>
    <t>Articulos de limpieza - Montoya Alejandra</t>
  </si>
  <si>
    <t>Limpieza de SUM - Sra. Monica</t>
  </si>
  <si>
    <t xml:space="preserve">Sr. Diego Britez </t>
  </si>
  <si>
    <t xml:space="preserve">Compra de materiales </t>
  </si>
  <si>
    <t>EL MES ANTERIOR ATILIO QUEDO CON UN SALDO A FAVOR DE:</t>
  </si>
  <si>
    <t>UF 42</t>
  </si>
  <si>
    <t>COCHERA 1</t>
  </si>
  <si>
    <t>COCHERA 2</t>
  </si>
  <si>
    <t>COCHERA 7</t>
  </si>
  <si>
    <t>SI A LAS EXPENSAS DEL MES PASADO LES CONTEMPLAMOS EL DINERO A FAVOR:</t>
  </si>
  <si>
    <t>LAS EXPENSAS DEL MES PASADO FUERON (AL 01/07):</t>
  </si>
  <si>
    <t>DINERO TOTAL A ABONAR:</t>
  </si>
  <si>
    <t>YA ABONO:</t>
  </si>
  <si>
    <t>Salvatierra Matias - Desobstruccion y limpieza de canaletas guardaganado en pluviales de cochera en 1 piso, 2 piso y coletora de pluvial</t>
  </si>
  <si>
    <t>Salvatierra Matias - Desobstruccion columna en baño 7B</t>
  </si>
  <si>
    <t>Salvatierra Matias -Servicio de diagnostico por imágenes en 6B - Cuota 1/2</t>
  </si>
  <si>
    <t>Fumigacion 19/08</t>
  </si>
  <si>
    <t>Contessi - Provision y cambio de lapices de nivelacion en el montaauto</t>
  </si>
  <si>
    <t>Pago mis cuentas 07/08</t>
  </si>
  <si>
    <t>Debito 12/08</t>
  </si>
  <si>
    <t>SEGURO OBLIGATORIO SR DIEGO BRITEZ FEDERACION PATRONAL DEBITO AUTOMATICO 01/08</t>
  </si>
  <si>
    <t>Numero 1859135 Debito automatico 01/08</t>
  </si>
  <si>
    <t>Pintureria prestigio - Compra de pintura lockson larga duracion - 12/08</t>
  </si>
  <si>
    <t>Pintureria prestigio - Compra de pintura lockson larga duracion - 08/08</t>
  </si>
  <si>
    <t>Efectivo</t>
  </si>
  <si>
    <t>Debito 29/08</t>
  </si>
  <si>
    <t>Pinsur - Colmeiro Oscar - Sellado de mamposteria e inyectado con terminacion de pintura de los frentes de balcones lado izquiero - Transferencia y efectivo</t>
  </si>
  <si>
    <t>Pinsur - Colmeiro Oscar - Vaciado de agua en parantes, ajuste de tornillos y sellados - Transferencia y efectivo</t>
  </si>
  <si>
    <t>GASTOS PARTICULARES</t>
  </si>
  <si>
    <t>No hubo boleta</t>
  </si>
  <si>
    <t>VTO: 15/10</t>
  </si>
  <si>
    <t>PERÍODO: SEPTIEMBRE</t>
  </si>
  <si>
    <t>Honorarios SEPTIEMBRE</t>
  </si>
  <si>
    <t>Energoup MES DE SEPTIEMBRE</t>
  </si>
  <si>
    <t xml:space="preserve">AGOSTO Dadona - Arreglo piso 5to </t>
  </si>
  <si>
    <t>Ingreso mes de AGOSTO</t>
  </si>
  <si>
    <t>Servisur - programacion de relojes</t>
  </si>
  <si>
    <t xml:space="preserve">Rohe </t>
  </si>
  <si>
    <t>Servisur - plafones led de 12W en escaleras y pallieres - Sensor de movimiento escalera piso 5</t>
  </si>
  <si>
    <t xml:space="preserve">Casa Ruan - 14 plafones led y un sensor </t>
  </si>
  <si>
    <t>Salvatierra Matias - Servicio de diagnostico por imágenes en 6B - Cuota 1 de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</si>
</sst>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&quot;$&quot;\ * #,##0_-;\-&quot;$&quot;\ * #,##0_-;_-&quot;$&quot;\ * &quot;-&quot;??_-;_-@_-"/>
    <numFmt numFmtId="168" formatCode="_-[$$-2C0A]\ * #,##0.00_-;\-[$$-2C0A]\ * #,##0.00_-;_-[$$-2C0A]\ 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1"/>
      <color theme="3" tint="0.79998168889431442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rgb="FF000000"/>
      <name val="Arial"/>
      <family val="2"/>
    </font>
    <font>
      <sz val="8"/>
      <name val="Arial"/>
      <family val="2"/>
    </font>
    <font>
      <i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4" tint="0.59999389629810485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9">
    <xf numFmtId="0" fontId="0" fillId="0" borderId="0" xfId="0"/>
    <xf numFmtId="0" fontId="0" fillId="0" borderId="33" xfId="0" applyBorder="1"/>
    <xf numFmtId="0" fontId="0" fillId="0" borderId="34" xfId="0" applyBorder="1"/>
    <xf numFmtId="0" fontId="2" fillId="0" borderId="0" xfId="0" applyFont="1"/>
    <xf numFmtId="0" fontId="2" fillId="7" borderId="25" xfId="0" applyFont="1" applyFill="1" applyBorder="1"/>
    <xf numFmtId="0" fontId="2" fillId="7" borderId="26" xfId="0" applyFont="1" applyFill="1" applyBorder="1"/>
    <xf numFmtId="3" fontId="0" fillId="0" borderId="1" xfId="0" applyNumberFormat="1" applyBorder="1"/>
    <xf numFmtId="0" fontId="0" fillId="0" borderId="1" xfId="0" applyBorder="1"/>
    <xf numFmtId="0" fontId="0" fillId="5" borderId="0" xfId="0" applyFill="1"/>
    <xf numFmtId="8" fontId="0" fillId="5" borderId="0" xfId="0" applyNumberFormat="1" applyFill="1"/>
    <xf numFmtId="0" fontId="0" fillId="0" borderId="36" xfId="0" applyBorder="1"/>
    <xf numFmtId="4" fontId="0" fillId="0" borderId="1" xfId="0" applyNumberFormat="1" applyBorder="1"/>
    <xf numFmtId="0" fontId="0" fillId="0" borderId="9" xfId="0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3" fillId="0" borderId="1" xfId="0" applyFont="1" applyBorder="1" applyAlignment="1">
      <alignment horizontal="center" wrapText="1"/>
    </xf>
    <xf numFmtId="4" fontId="2" fillId="2" borderId="4" xfId="0" applyNumberFormat="1" applyFont="1" applyFill="1" applyBorder="1"/>
    <xf numFmtId="165" fontId="0" fillId="0" borderId="11" xfId="0" applyNumberFormat="1" applyBorder="1"/>
    <xf numFmtId="4" fontId="0" fillId="0" borderId="13" xfId="0" applyNumberFormat="1" applyBorder="1"/>
    <xf numFmtId="0" fontId="0" fillId="2" borderId="5" xfId="0" applyFill="1" applyBorder="1"/>
    <xf numFmtId="3" fontId="2" fillId="2" borderId="5" xfId="2" applyNumberFormat="1" applyFont="1" applyFill="1" applyBorder="1"/>
    <xf numFmtId="3" fontId="0" fillId="0" borderId="19" xfId="0" applyNumberFormat="1" applyBorder="1"/>
    <xf numFmtId="3" fontId="2" fillId="2" borderId="22" xfId="2" applyNumberFormat="1" applyFont="1" applyFill="1" applyBorder="1"/>
    <xf numFmtId="3" fontId="0" fillId="0" borderId="18" xfId="0" applyNumberFormat="1" applyBorder="1"/>
    <xf numFmtId="3" fontId="2" fillId="2" borderId="20" xfId="2" applyNumberFormat="1" applyFont="1" applyFill="1" applyBorder="1"/>
    <xf numFmtId="3" fontId="2" fillId="2" borderId="21" xfId="2" applyNumberFormat="1" applyFont="1" applyFill="1" applyBorder="1"/>
    <xf numFmtId="3" fontId="2" fillId="2" borderId="7" xfId="2" applyNumberFormat="1" applyFont="1" applyFill="1" applyBorder="1"/>
    <xf numFmtId="3" fontId="0" fillId="0" borderId="12" xfId="0" applyNumberFormat="1" applyBorder="1"/>
    <xf numFmtId="164" fontId="2" fillId="2" borderId="20" xfId="2" applyFont="1" applyFill="1" applyBorder="1"/>
    <xf numFmtId="3" fontId="0" fillId="0" borderId="13" xfId="0" applyNumberFormat="1" applyBorder="1"/>
    <xf numFmtId="166" fontId="2" fillId="2" borderId="7" xfId="2" applyNumberFormat="1" applyFont="1" applyFill="1" applyBorder="1"/>
    <xf numFmtId="3" fontId="2" fillId="2" borderId="13" xfId="0" applyNumberFormat="1" applyFont="1" applyFill="1" applyBorder="1"/>
    <xf numFmtId="3" fontId="2" fillId="2" borderId="24" xfId="0" applyNumberFormat="1" applyFont="1" applyFill="1" applyBorder="1"/>
    <xf numFmtId="166" fontId="0" fillId="0" borderId="0" xfId="0" applyNumberFormat="1"/>
    <xf numFmtId="0" fontId="3" fillId="0" borderId="1" xfId="0" applyFont="1" applyBorder="1" applyAlignment="1">
      <alignment wrapText="1"/>
    </xf>
    <xf numFmtId="0" fontId="2" fillId="5" borderId="6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2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28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9" fontId="2" fillId="5" borderId="0" xfId="0" applyNumberFormat="1" applyFont="1" applyFill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2" fillId="4" borderId="0" xfId="0" applyFont="1" applyFill="1"/>
    <xf numFmtId="0" fontId="0" fillId="4" borderId="0" xfId="0" applyFill="1" applyAlignment="1">
      <alignment horizontal="left"/>
    </xf>
    <xf numFmtId="16" fontId="0" fillId="4" borderId="0" xfId="0" applyNumberFormat="1" applyFill="1"/>
    <xf numFmtId="164" fontId="2" fillId="4" borderId="0" xfId="2" applyFont="1" applyFill="1"/>
    <xf numFmtId="0" fontId="5" fillId="4" borderId="0" xfId="0" applyFont="1" applyFill="1"/>
    <xf numFmtId="0" fontId="2" fillId="5" borderId="6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165" fontId="0" fillId="2" borderId="4" xfId="0" applyNumberFormat="1" applyFill="1" applyBorder="1"/>
    <xf numFmtId="3" fontId="6" fillId="0" borderId="1" xfId="0" applyNumberFormat="1" applyFont="1" applyBorder="1"/>
    <xf numFmtId="0" fontId="0" fillId="7" borderId="29" xfId="0" applyFill="1" applyBorder="1"/>
    <xf numFmtId="10" fontId="2" fillId="7" borderId="26" xfId="0" applyNumberFormat="1" applyFont="1" applyFill="1" applyBorder="1"/>
    <xf numFmtId="0" fontId="2" fillId="7" borderId="31" xfId="0" applyFont="1" applyFill="1" applyBorder="1"/>
    <xf numFmtId="0" fontId="2" fillId="7" borderId="29" xfId="0" applyFont="1" applyFill="1" applyBorder="1"/>
    <xf numFmtId="10" fontId="2" fillId="7" borderId="29" xfId="0" applyNumberFormat="1" applyFont="1" applyFill="1" applyBorder="1"/>
    <xf numFmtId="0" fontId="2" fillId="5" borderId="31" xfId="0" applyFont="1" applyFill="1" applyBorder="1"/>
    <xf numFmtId="0" fontId="2" fillId="5" borderId="29" xfId="0" applyFont="1" applyFill="1" applyBorder="1"/>
    <xf numFmtId="0" fontId="2" fillId="5" borderId="32" xfId="0" applyFont="1" applyFill="1" applyBorder="1"/>
    <xf numFmtId="0" fontId="2" fillId="5" borderId="33" xfId="0" applyFont="1" applyFill="1" applyBorder="1"/>
    <xf numFmtId="0" fontId="2" fillId="5" borderId="0" xfId="0" applyFont="1" applyFill="1"/>
    <xf numFmtId="0" fontId="2" fillId="5" borderId="34" xfId="0" applyFont="1" applyFill="1" applyBorder="1"/>
    <xf numFmtId="0" fontId="2" fillId="5" borderId="25" xfId="0" applyFont="1" applyFill="1" applyBorder="1"/>
    <xf numFmtId="0" fontId="2" fillId="5" borderId="26" xfId="0" applyFont="1" applyFill="1" applyBorder="1"/>
    <xf numFmtId="0" fontId="2" fillId="5" borderId="27" xfId="0" applyFont="1" applyFill="1" applyBorder="1"/>
    <xf numFmtId="8" fontId="0" fillId="0" borderId="0" xfId="0" applyNumberFormat="1"/>
    <xf numFmtId="0" fontId="7" fillId="8" borderId="0" xfId="0" applyFont="1" applyFill="1"/>
    <xf numFmtId="164" fontId="8" fillId="0" borderId="1" xfId="2" applyFont="1" applyBorder="1"/>
    <xf numFmtId="164" fontId="4" fillId="0" borderId="0" xfId="0" applyNumberFormat="1" applyFont="1"/>
    <xf numFmtId="0" fontId="8" fillId="0" borderId="1" xfId="0" applyFont="1" applyBorder="1"/>
    <xf numFmtId="4" fontId="0" fillId="0" borderId="0" xfId="0" applyNumberFormat="1"/>
    <xf numFmtId="0" fontId="4" fillId="0" borderId="1" xfId="0" applyFont="1" applyBorder="1"/>
    <xf numFmtId="0" fontId="4" fillId="0" borderId="0" xfId="0" applyFont="1"/>
    <xf numFmtId="164" fontId="4" fillId="0" borderId="1" xfId="0" applyNumberFormat="1" applyFont="1" applyBorder="1"/>
    <xf numFmtId="4" fontId="8" fillId="0" borderId="0" xfId="0" applyNumberFormat="1" applyFont="1"/>
    <xf numFmtId="164" fontId="0" fillId="0" borderId="0" xfId="0" applyNumberFormat="1"/>
    <xf numFmtId="0" fontId="10" fillId="0" borderId="1" xfId="0" applyFont="1" applyBorder="1" applyAlignment="1">
      <alignment wrapText="1"/>
    </xf>
    <xf numFmtId="0" fontId="10" fillId="3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4" fontId="3" fillId="0" borderId="1" xfId="0" applyNumberFormat="1" applyFont="1" applyBorder="1" applyAlignment="1">
      <alignment wrapText="1"/>
    </xf>
    <xf numFmtId="167" fontId="0" fillId="0" borderId="1" xfId="1" applyNumberFormat="1" applyFont="1" applyBorder="1"/>
    <xf numFmtId="0" fontId="0" fillId="9" borderId="1" xfId="0" applyFill="1" applyBorder="1"/>
    <xf numFmtId="167" fontId="0" fillId="9" borderId="1" xfId="0" applyNumberFormat="1" applyFill="1" applyBorder="1"/>
    <xf numFmtId="3" fontId="0" fillId="9" borderId="1" xfId="0" applyNumberFormat="1" applyFill="1" applyBorder="1"/>
    <xf numFmtId="164" fontId="9" fillId="3" borderId="1" xfId="2" applyFont="1" applyFill="1" applyBorder="1"/>
    <xf numFmtId="164" fontId="4" fillId="3" borderId="1" xfId="2" applyFont="1" applyFill="1" applyBorder="1"/>
    <xf numFmtId="0" fontId="12" fillId="0" borderId="1" xfId="0" applyFont="1" applyBorder="1"/>
    <xf numFmtId="0" fontId="2" fillId="6" borderId="1" xfId="0" applyFont="1" applyFill="1" applyBorder="1"/>
    <xf numFmtId="0" fontId="0" fillId="6" borderId="1" xfId="0" applyFill="1" applyBorder="1"/>
    <xf numFmtId="43" fontId="0" fillId="5" borderId="0" xfId="3" applyFont="1" applyFill="1"/>
    <xf numFmtId="0" fontId="0" fillId="3" borderId="1" xfId="0" applyFill="1" applyBorder="1"/>
    <xf numFmtId="0" fontId="2" fillId="10" borderId="1" xfId="0" applyFont="1" applyFill="1" applyBorder="1"/>
    <xf numFmtId="0" fontId="2" fillId="0" borderId="1" xfId="0" applyFont="1" applyBorder="1"/>
    <xf numFmtId="164" fontId="2" fillId="0" borderId="1" xfId="2" applyFont="1" applyBorder="1"/>
    <xf numFmtId="0" fontId="2" fillId="9" borderId="25" xfId="0" applyFont="1" applyFill="1" applyBorder="1"/>
    <xf numFmtId="44" fontId="2" fillId="9" borderId="27" xfId="0" applyNumberFormat="1" applyFont="1" applyFill="1" applyBorder="1"/>
    <xf numFmtId="0" fontId="2" fillId="9" borderId="38" xfId="0" applyFont="1" applyFill="1" applyBorder="1"/>
    <xf numFmtId="44" fontId="2" fillId="9" borderId="22" xfId="0" applyNumberFormat="1" applyFont="1" applyFill="1" applyBorder="1"/>
    <xf numFmtId="0" fontId="0" fillId="0" borderId="1" xfId="0" applyBorder="1" applyAlignment="1">
      <alignment horizontal="center" vertical="center"/>
    </xf>
    <xf numFmtId="44" fontId="14" fillId="6" borderId="11" xfId="1" applyFont="1" applyFill="1" applyBorder="1"/>
    <xf numFmtId="44" fontId="0" fillId="0" borderId="0" xfId="0" applyNumberFormat="1"/>
    <xf numFmtId="8" fontId="2" fillId="6" borderId="34" xfId="0" applyNumberFormat="1" applyFont="1" applyFill="1" applyBorder="1"/>
    <xf numFmtId="0" fontId="2" fillId="3" borderId="1" xfId="0" applyFont="1" applyFill="1" applyBorder="1"/>
    <xf numFmtId="44" fontId="2" fillId="6" borderId="0" xfId="0" applyNumberFormat="1" applyFont="1" applyFill="1"/>
    <xf numFmtId="44" fontId="6" fillId="3" borderId="1" xfId="1" applyFont="1" applyFill="1" applyBorder="1"/>
    <xf numFmtId="0" fontId="0" fillId="0" borderId="11" xfId="0" applyBorder="1"/>
    <xf numFmtId="0" fontId="0" fillId="0" borderId="39" xfId="0" applyBorder="1"/>
    <xf numFmtId="0" fontId="0" fillId="3" borderId="2" xfId="0" applyFill="1" applyBorder="1"/>
    <xf numFmtId="0" fontId="0" fillId="3" borderId="39" xfId="0" applyFill="1" applyBorder="1"/>
    <xf numFmtId="44" fontId="2" fillId="10" borderId="25" xfId="1" applyFont="1" applyFill="1" applyBorder="1"/>
    <xf numFmtId="8" fontId="2" fillId="6" borderId="1" xfId="0" applyNumberFormat="1" applyFont="1" applyFill="1" applyBorder="1"/>
    <xf numFmtId="8" fontId="2" fillId="3" borderId="1" xfId="0" applyNumberFormat="1" applyFont="1" applyFill="1" applyBorder="1"/>
    <xf numFmtId="0" fontId="16" fillId="0" borderId="1" xfId="0" applyFont="1" applyBorder="1"/>
    <xf numFmtId="0" fontId="0" fillId="0" borderId="1" xfId="0" applyBorder="1" applyAlignment="1">
      <alignment horizontal="center"/>
    </xf>
    <xf numFmtId="1" fontId="17" fillId="5" borderId="0" xfId="0" applyNumberFormat="1" applyFont="1" applyFill="1"/>
    <xf numFmtId="0" fontId="18" fillId="5" borderId="0" xfId="0" applyFont="1" applyFill="1"/>
    <xf numFmtId="44" fontId="6" fillId="3" borderId="0" xfId="1" applyFont="1" applyFill="1" applyBorder="1"/>
    <xf numFmtId="0" fontId="19" fillId="0" borderId="1" xfId="0" applyFont="1" applyBorder="1"/>
    <xf numFmtId="167" fontId="0" fillId="9" borderId="1" xfId="1" applyNumberFormat="1" applyFont="1" applyFill="1" applyBorder="1"/>
    <xf numFmtId="6" fontId="0" fillId="5" borderId="0" xfId="0" applyNumberFormat="1" applyFill="1" applyAlignment="1">
      <alignment horizontal="right" wrapText="1"/>
    </xf>
    <xf numFmtId="0" fontId="12" fillId="3" borderId="1" xfId="0" applyFont="1" applyFill="1" applyBorder="1"/>
    <xf numFmtId="0" fontId="6" fillId="3" borderId="11" xfId="0" applyFont="1" applyFill="1" applyBorder="1"/>
    <xf numFmtId="167" fontId="15" fillId="0" borderId="1" xfId="0" applyNumberFormat="1" applyFont="1" applyBorder="1"/>
    <xf numFmtId="167" fontId="19" fillId="0" borderId="1" xfId="0" applyNumberFormat="1" applyFont="1" applyBorder="1"/>
    <xf numFmtId="0" fontId="15" fillId="0" borderId="1" xfId="0" applyFont="1" applyBorder="1"/>
    <xf numFmtId="44" fontId="0" fillId="0" borderId="1" xfId="0" applyNumberFormat="1" applyBorder="1"/>
    <xf numFmtId="6" fontId="0" fillId="0" borderId="0" xfId="0" applyNumberFormat="1"/>
    <xf numFmtId="44" fontId="2" fillId="10" borderId="1" xfId="0" applyNumberFormat="1" applyFont="1" applyFill="1" applyBorder="1"/>
    <xf numFmtId="6" fontId="0" fillId="3" borderId="0" xfId="0" applyNumberFormat="1" applyFill="1" applyAlignment="1">
      <alignment horizontal="right" wrapText="1"/>
    </xf>
    <xf numFmtId="167" fontId="0" fillId="0" borderId="0" xfId="0" applyNumberFormat="1"/>
    <xf numFmtId="44" fontId="0" fillId="0" borderId="34" xfId="1" applyFont="1" applyBorder="1"/>
    <xf numFmtId="44" fontId="0" fillId="0" borderId="30" xfId="1" applyFont="1" applyBorder="1"/>
    <xf numFmtId="0" fontId="0" fillId="11" borderId="30" xfId="0" applyFill="1" applyBorder="1"/>
    <xf numFmtId="0" fontId="0" fillId="0" borderId="25" xfId="0" applyBorder="1"/>
    <xf numFmtId="0" fontId="0" fillId="0" borderId="27" xfId="0" applyBorder="1"/>
    <xf numFmtId="44" fontId="2" fillId="6" borderId="11" xfId="0" applyNumberFormat="1" applyFont="1" applyFill="1" applyBorder="1"/>
    <xf numFmtId="44" fontId="2" fillId="7" borderId="26" xfId="0" applyNumberFormat="1" applyFont="1" applyFill="1" applyBorder="1"/>
    <xf numFmtId="44" fontId="0" fillId="0" borderId="11" xfId="0" applyNumberFormat="1" applyBorder="1"/>
    <xf numFmtId="0" fontId="20" fillId="0" borderId="0" xfId="0" applyFont="1"/>
    <xf numFmtId="6" fontId="6" fillId="5" borderId="0" xfId="0" applyNumberFormat="1" applyFont="1" applyFill="1" applyAlignment="1">
      <alignment horizontal="right" wrapText="1"/>
    </xf>
    <xf numFmtId="44" fontId="6" fillId="5" borderId="0" xfId="0" applyNumberFormat="1" applyFont="1" applyFill="1"/>
    <xf numFmtId="6" fontId="6" fillId="5" borderId="0" xfId="0" applyNumberFormat="1" applyFont="1" applyFill="1"/>
    <xf numFmtId="44" fontId="4" fillId="0" borderId="0" xfId="0" applyNumberFormat="1" applyFont="1"/>
    <xf numFmtId="0" fontId="4" fillId="0" borderId="1" xfId="0" applyFont="1" applyBorder="1" applyAlignment="1">
      <alignment vertical="center" wrapText="1"/>
    </xf>
    <xf numFmtId="44" fontId="0" fillId="0" borderId="0" xfId="1" applyFont="1"/>
    <xf numFmtId="44" fontId="14" fillId="6" borderId="11" xfId="0" applyNumberFormat="1" applyFont="1" applyFill="1" applyBorder="1"/>
    <xf numFmtId="44" fontId="2" fillId="6" borderId="25" xfId="0" applyNumberFormat="1" applyFont="1" applyFill="1" applyBorder="1"/>
    <xf numFmtId="0" fontId="0" fillId="3" borderId="0" xfId="0" applyFill="1"/>
    <xf numFmtId="44" fontId="20" fillId="0" borderId="0" xfId="0" applyNumberFormat="1" applyFont="1"/>
    <xf numFmtId="16" fontId="0" fillId="0" borderId="1" xfId="0" applyNumberFormat="1" applyBorder="1"/>
    <xf numFmtId="16" fontId="0" fillId="0" borderId="1" xfId="0" applyNumberFormat="1" applyBorder="1" applyAlignment="1">
      <alignment horizontal="left"/>
    </xf>
    <xf numFmtId="44" fontId="0" fillId="0" borderId="2" xfId="0" applyNumberFormat="1" applyBorder="1"/>
    <xf numFmtId="6" fontId="15" fillId="3" borderId="1" xfId="0" applyNumberFormat="1" applyFont="1" applyFill="1" applyBorder="1"/>
    <xf numFmtId="0" fontId="15" fillId="3" borderId="1" xfId="0" applyFont="1" applyFill="1" applyBorder="1"/>
    <xf numFmtId="0" fontId="2" fillId="3" borderId="0" xfId="0" applyFont="1" applyFill="1" applyAlignment="1">
      <alignment vertical="center" wrapText="1"/>
    </xf>
    <xf numFmtId="44" fontId="2" fillId="6" borderId="1" xfId="0" applyNumberFormat="1" applyFont="1" applyFill="1" applyBorder="1"/>
    <xf numFmtId="44" fontId="2" fillId="6" borderId="1" xfId="1" applyFont="1" applyFill="1" applyBorder="1"/>
    <xf numFmtId="44" fontId="14" fillId="6" borderId="1" xfId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44" fontId="15" fillId="9" borderId="1" xfId="1" applyFont="1" applyFill="1" applyBorder="1"/>
    <xf numFmtId="164" fontId="21" fillId="3" borderId="1" xfId="2" applyFont="1" applyFill="1" applyBorder="1"/>
    <xf numFmtId="0" fontId="0" fillId="0" borderId="12" xfId="0" applyBorder="1"/>
    <xf numFmtId="0" fontId="0" fillId="0" borderId="13" xfId="0" applyBorder="1"/>
    <xf numFmtId="43" fontId="0" fillId="0" borderId="0" xfId="0" applyNumberFormat="1"/>
    <xf numFmtId="0" fontId="6" fillId="0" borderId="1" xfId="0" applyFont="1" applyBorder="1" applyAlignment="1">
      <alignment horizontal="center" vertical="center"/>
    </xf>
    <xf numFmtId="44" fontId="6" fillId="3" borderId="11" xfId="1" applyFont="1" applyFill="1" applyBorder="1"/>
    <xf numFmtId="44" fontId="6" fillId="0" borderId="11" xfId="1" applyFont="1" applyBorder="1"/>
    <xf numFmtId="0" fontId="6" fillId="0" borderId="0" xfId="0" applyFont="1"/>
    <xf numFmtId="44" fontId="6" fillId="0" borderId="1" xfId="1" applyFont="1" applyBorder="1"/>
    <xf numFmtId="0" fontId="6" fillId="0" borderId="1" xfId="0" applyFont="1" applyBorder="1"/>
    <xf numFmtId="44" fontId="14" fillId="10" borderId="11" xfId="1" applyFont="1" applyFill="1" applyBorder="1"/>
    <xf numFmtId="44" fontId="14" fillId="7" borderId="26" xfId="0" applyNumberFormat="1" applyFont="1" applyFill="1" applyBorder="1"/>
    <xf numFmtId="0" fontId="0" fillId="0" borderId="11" xfId="0" applyBorder="1" applyAlignment="1">
      <alignment vertical="center"/>
    </xf>
    <xf numFmtId="44" fontId="0" fillId="0" borderId="0" xfId="0" applyNumberFormat="1" applyAlignment="1">
      <alignment horizontal="left"/>
    </xf>
    <xf numFmtId="0" fontId="0" fillId="11" borderId="1" xfId="0" applyFill="1" applyBorder="1"/>
    <xf numFmtId="44" fontId="20" fillId="3" borderId="1" xfId="1" applyFont="1" applyFill="1" applyBorder="1"/>
    <xf numFmtId="168" fontId="0" fillId="0" borderId="0" xfId="0" applyNumberFormat="1"/>
    <xf numFmtId="0" fontId="0" fillId="3" borderId="1" xfId="0" applyFill="1" applyBorder="1" applyAlignment="1">
      <alignment vertical="center"/>
    </xf>
    <xf numFmtId="0" fontId="2" fillId="11" borderId="25" xfId="0" applyFont="1" applyFill="1" applyBorder="1"/>
    <xf numFmtId="0" fontId="0" fillId="0" borderId="7" xfId="0" applyBorder="1"/>
    <xf numFmtId="10" fontId="2" fillId="7" borderId="30" xfId="0" applyNumberFormat="1" applyFont="1" applyFill="1" applyBorder="1" applyAlignment="1">
      <alignment horizontal="center" vertical="center"/>
    </xf>
    <xf numFmtId="0" fontId="2" fillId="7" borderId="30" xfId="0" applyFont="1" applyFill="1" applyBorder="1" applyAlignment="1">
      <alignment horizontal="center" vertical="center"/>
    </xf>
    <xf numFmtId="0" fontId="16" fillId="3" borderId="1" xfId="0" applyFont="1" applyFill="1" applyBorder="1"/>
    <xf numFmtId="0" fontId="16" fillId="0" borderId="11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left" vertical="center" wrapText="1"/>
    </xf>
    <xf numFmtId="0" fontId="16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7" fontId="6" fillId="0" borderId="1" xfId="1" applyNumberFormat="1" applyFont="1" applyBorder="1"/>
    <xf numFmtId="167" fontId="6" fillId="3" borderId="1" xfId="1" applyNumberFormat="1" applyFont="1" applyFill="1" applyBorder="1"/>
    <xf numFmtId="0" fontId="0" fillId="11" borderId="0" xfId="0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13" fillId="9" borderId="23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3" fillId="9" borderId="10" xfId="0" applyFont="1" applyFill="1" applyBorder="1" applyAlignment="1">
      <alignment horizontal="center" vertical="center" wrapText="1"/>
    </xf>
    <xf numFmtId="0" fontId="13" fillId="9" borderId="39" xfId="0" applyFont="1" applyFill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left"/>
    </xf>
    <xf numFmtId="0" fontId="2" fillId="6" borderId="12" xfId="0" applyFont="1" applyFill="1" applyBorder="1" applyAlignment="1">
      <alignment horizontal="left"/>
    </xf>
    <xf numFmtId="0" fontId="2" fillId="6" borderId="13" xfId="0" applyFont="1" applyFill="1" applyBorder="1" applyAlignment="1">
      <alignment horizontal="left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16" fillId="0" borderId="11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left" vertical="center" wrapText="1"/>
    </xf>
    <xf numFmtId="0" fontId="0" fillId="5" borderId="35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 wrapText="1"/>
    </xf>
    <xf numFmtId="44" fontId="0" fillId="5" borderId="0" xfId="0" applyNumberFormat="1" applyFill="1" applyAlignment="1">
      <alignment horizontal="center" wrapText="1"/>
    </xf>
    <xf numFmtId="6" fontId="0" fillId="5" borderId="0" xfId="0" applyNumberFormat="1" applyFill="1" applyAlignment="1">
      <alignment horizontal="center" wrapText="1"/>
    </xf>
    <xf numFmtId="0" fontId="0" fillId="5" borderId="35" xfId="0" applyFill="1" applyBorder="1" applyAlignment="1">
      <alignment horizontal="center" vertical="center" wrapText="1"/>
    </xf>
    <xf numFmtId="0" fontId="0" fillId="5" borderId="36" xfId="0" applyFill="1" applyBorder="1" applyAlignment="1">
      <alignment horizontal="center" vertical="center" wrapText="1"/>
    </xf>
    <xf numFmtId="0" fontId="15" fillId="5" borderId="31" xfId="0" applyFont="1" applyFill="1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 wrapText="1"/>
    </xf>
    <xf numFmtId="0" fontId="19" fillId="5" borderId="35" xfId="0" applyFont="1" applyFill="1" applyBorder="1" applyAlignment="1">
      <alignment horizontal="center" vertical="center" wrapText="1"/>
    </xf>
    <xf numFmtId="0" fontId="19" fillId="5" borderId="36" xfId="0" applyFont="1" applyFill="1" applyBorder="1" applyAlignment="1">
      <alignment horizontal="center" vertical="center" wrapText="1"/>
    </xf>
    <xf numFmtId="0" fontId="15" fillId="5" borderId="35" xfId="0" applyFont="1" applyFill="1" applyBorder="1" applyAlignment="1">
      <alignment horizontal="center" vertical="center"/>
    </xf>
    <xf numFmtId="0" fontId="15" fillId="5" borderId="37" xfId="0" applyFont="1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15" fillId="5" borderId="36" xfId="0" applyFont="1" applyFill="1" applyBorder="1" applyAlignment="1">
      <alignment horizontal="center" vertical="center"/>
    </xf>
    <xf numFmtId="0" fontId="2" fillId="11" borderId="31" xfId="0" applyFont="1" applyFill="1" applyBorder="1" applyAlignment="1">
      <alignment horizontal="center" vertical="center" wrapText="1"/>
    </xf>
    <xf numFmtId="0" fontId="2" fillId="11" borderId="33" xfId="0" applyFont="1" applyFill="1" applyBorder="1" applyAlignment="1">
      <alignment horizontal="center" vertical="center" wrapText="1"/>
    </xf>
    <xf numFmtId="0" fontId="2" fillId="11" borderId="38" xfId="0" applyFont="1" applyFill="1" applyBorder="1" applyAlignment="1">
      <alignment horizontal="center" vertical="center" wrapText="1"/>
    </xf>
    <xf numFmtId="168" fontId="2" fillId="11" borderId="32" xfId="0" applyNumberFormat="1" applyFont="1" applyFill="1" applyBorder="1" applyAlignment="1">
      <alignment horizontal="center" vertical="center"/>
    </xf>
    <xf numFmtId="0" fontId="2" fillId="11" borderId="34" xfId="0" applyFont="1" applyFill="1" applyBorder="1" applyAlignment="1">
      <alignment horizontal="center" vertical="center"/>
    </xf>
    <xf numFmtId="0" fontId="2" fillId="11" borderId="2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44" fontId="20" fillId="11" borderId="1" xfId="1" applyFont="1" applyFill="1" applyBorder="1"/>
    <xf numFmtId="0" fontId="16" fillId="11" borderId="1" xfId="0" applyFont="1" applyFill="1" applyBorder="1"/>
    <xf numFmtId="0" fontId="16" fillId="0" borderId="11" xfId="0" applyFont="1" applyBorder="1" applyAlignment="1">
      <alignment horizontal="left" vertical="center"/>
    </xf>
    <xf numFmtId="44" fontId="20" fillId="3" borderId="1" xfId="1" applyFont="1" applyFill="1" applyBorder="1" applyAlignment="1"/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333375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7"/>
  <sheetViews>
    <sheetView tabSelected="1" topLeftCell="A54" workbookViewId="0">
      <selection activeCell="D75" sqref="D75"/>
    </sheetView>
  </sheetViews>
  <sheetFormatPr baseColWidth="10" defaultRowHeight="14.4" x14ac:dyDescent="0.3"/>
  <cols>
    <col min="1" max="1" width="33.44140625" customWidth="1"/>
    <col min="2" max="2" width="36.88671875" customWidth="1"/>
    <col min="3" max="3" width="17.44140625" customWidth="1"/>
    <col min="4" max="4" width="21.6640625" customWidth="1"/>
    <col min="5" max="5" width="15.6640625" customWidth="1"/>
    <col min="6" max="6" width="13" bestFit="1" customWidth="1"/>
    <col min="7" max="7" width="15.88671875" customWidth="1"/>
    <col min="8" max="8" width="14.88671875" customWidth="1"/>
    <col min="9" max="9" width="13" bestFit="1" customWidth="1"/>
    <col min="10" max="10" width="14.5546875" bestFit="1" customWidth="1"/>
    <col min="12" max="12" width="18" customWidth="1"/>
    <col min="13" max="13" width="18.33203125" customWidth="1"/>
  </cols>
  <sheetData>
    <row r="1" spans="1:5" ht="15" thickBot="1" x14ac:dyDescent="0.35">
      <c r="A1" s="8"/>
      <c r="B1" s="97" t="s">
        <v>118</v>
      </c>
      <c r="C1" s="8"/>
      <c r="D1" s="8"/>
      <c r="E1" s="8"/>
    </row>
    <row r="2" spans="1:5" x14ac:dyDescent="0.3">
      <c r="A2" s="64"/>
      <c r="B2" s="65" t="s">
        <v>0</v>
      </c>
      <c r="C2" s="65"/>
      <c r="D2" s="65"/>
      <c r="E2" s="66"/>
    </row>
    <row r="3" spans="1:5" x14ac:dyDescent="0.3">
      <c r="A3" s="67"/>
      <c r="B3" s="68" t="s">
        <v>88</v>
      </c>
      <c r="C3" s="68"/>
      <c r="D3" s="68"/>
      <c r="E3" s="69"/>
    </row>
    <row r="4" spans="1:5" ht="33.75" customHeight="1" thickBot="1" x14ac:dyDescent="0.35">
      <c r="A4" s="67"/>
      <c r="B4" s="68" t="s">
        <v>89</v>
      </c>
      <c r="C4" s="68"/>
      <c r="D4" s="68"/>
      <c r="E4" s="69"/>
    </row>
    <row r="5" spans="1:5" ht="15" thickBot="1" x14ac:dyDescent="0.35">
      <c r="A5" s="70" t="s">
        <v>1</v>
      </c>
      <c r="B5" s="71" t="s">
        <v>172</v>
      </c>
      <c r="C5" s="71" t="s">
        <v>171</v>
      </c>
      <c r="D5" s="71"/>
      <c r="E5" s="72"/>
    </row>
    <row r="6" spans="1:5" ht="15" thickBot="1" x14ac:dyDescent="0.35">
      <c r="A6" s="67" t="s">
        <v>99</v>
      </c>
      <c r="B6" s="68"/>
      <c r="C6" s="68"/>
      <c r="D6" s="68"/>
      <c r="E6" s="69"/>
    </row>
    <row r="7" spans="1:5" ht="15" thickBot="1" x14ac:dyDescent="0.35">
      <c r="A7" s="70" t="s">
        <v>98</v>
      </c>
      <c r="B7" s="71"/>
      <c r="C7" s="71"/>
      <c r="D7" s="71"/>
      <c r="E7" s="72"/>
    </row>
    <row r="9" spans="1:5" hidden="1" x14ac:dyDescent="0.3"/>
    <row r="10" spans="1:5" hidden="1" x14ac:dyDescent="0.3"/>
    <row r="11" spans="1:5" hidden="1" x14ac:dyDescent="0.3"/>
    <row r="12" spans="1:5" hidden="1" x14ac:dyDescent="0.3"/>
    <row r="14" spans="1:5" x14ac:dyDescent="0.3">
      <c r="B14" s="200" t="s">
        <v>134</v>
      </c>
      <c r="C14" s="201"/>
      <c r="D14" s="202"/>
    </row>
    <row r="15" spans="1:5" x14ac:dyDescent="0.3">
      <c r="B15" s="203"/>
      <c r="C15" s="204"/>
      <c r="D15" s="205"/>
    </row>
    <row r="16" spans="1:5" x14ac:dyDescent="0.3">
      <c r="B16" s="203"/>
      <c r="C16" s="204"/>
      <c r="D16" s="205"/>
    </row>
    <row r="17" spans="1:8" x14ac:dyDescent="0.3">
      <c r="B17" s="206"/>
      <c r="C17" s="207"/>
      <c r="D17" s="208"/>
    </row>
    <row r="19" spans="1:8" x14ac:dyDescent="0.3">
      <c r="A19" s="3"/>
    </row>
    <row r="20" spans="1:8" ht="15" thickBot="1" x14ac:dyDescent="0.35"/>
    <row r="21" spans="1:8" ht="15" thickBot="1" x14ac:dyDescent="0.35">
      <c r="A21" s="61" t="s">
        <v>86</v>
      </c>
      <c r="B21" s="62"/>
      <c r="C21" s="63"/>
      <c r="D21" s="59"/>
      <c r="E21" s="188" t="s">
        <v>121</v>
      </c>
      <c r="F21" s="189" t="s">
        <v>87</v>
      </c>
    </row>
    <row r="22" spans="1:8" x14ac:dyDescent="0.3">
      <c r="A22" s="120" t="s">
        <v>143</v>
      </c>
      <c r="B22" s="7" t="s">
        <v>173</v>
      </c>
      <c r="C22" s="7"/>
      <c r="D22" s="129"/>
      <c r="E22" s="187"/>
      <c r="F22" s="187"/>
    </row>
    <row r="23" spans="1:8" x14ac:dyDescent="0.3">
      <c r="A23" s="120" t="s">
        <v>126</v>
      </c>
      <c r="B23" s="7"/>
      <c r="C23" s="7"/>
      <c r="D23" s="173">
        <v>1277708.7</v>
      </c>
      <c r="E23" s="133">
        <f>D23*91.91%</f>
        <v>1174342.0661699998</v>
      </c>
      <c r="F23" s="133">
        <f>D23*8.09%</f>
        <v>103366.63382999999</v>
      </c>
    </row>
    <row r="24" spans="1:8" x14ac:dyDescent="0.3">
      <c r="A24" s="120" t="s">
        <v>2</v>
      </c>
      <c r="B24" s="7"/>
      <c r="C24" s="7"/>
      <c r="D24" s="173">
        <v>-277901.65000000002</v>
      </c>
      <c r="E24" s="133">
        <f t="shared" ref="E24:E25" si="0">D24*91.91%</f>
        <v>-255419.40651500001</v>
      </c>
      <c r="F24" s="133">
        <f t="shared" ref="F24:F25" si="1">D24*8.09%</f>
        <v>-22482.243485000003</v>
      </c>
    </row>
    <row r="25" spans="1:8" x14ac:dyDescent="0.3">
      <c r="A25" s="120" t="s">
        <v>112</v>
      </c>
      <c r="B25" s="7"/>
      <c r="C25" s="7"/>
      <c r="D25" s="173">
        <v>0.95</v>
      </c>
      <c r="E25" s="133">
        <f t="shared" si="0"/>
        <v>0.87314499999999984</v>
      </c>
      <c r="F25" s="133">
        <f t="shared" si="1"/>
        <v>7.6854999999999993E-2</v>
      </c>
    </row>
    <row r="26" spans="1:8" x14ac:dyDescent="0.3">
      <c r="A26" s="120"/>
      <c r="B26" s="7"/>
      <c r="C26" s="7"/>
      <c r="D26" s="173"/>
      <c r="E26" s="133"/>
      <c r="F26" s="7"/>
    </row>
    <row r="27" spans="1:8" x14ac:dyDescent="0.3">
      <c r="A27" s="95" t="s">
        <v>3</v>
      </c>
      <c r="B27" s="95"/>
      <c r="C27" s="95"/>
      <c r="D27" s="107">
        <f>SUM(D23:D26)</f>
        <v>999807.99999999988</v>
      </c>
      <c r="E27" s="107">
        <f>SUM(E23:E26)</f>
        <v>918923.5327999997</v>
      </c>
      <c r="F27" s="107">
        <f>SUM(F23:F26)</f>
        <v>80884.467199999999</v>
      </c>
      <c r="G27" s="108">
        <f>E27+F27</f>
        <v>999807.99999999965</v>
      </c>
      <c r="H27" s="146" t="str">
        <f>IF(D27=G27, "", "Error")</f>
        <v/>
      </c>
    </row>
    <row r="28" spans="1:8" hidden="1" x14ac:dyDescent="0.3">
      <c r="A28" s="94" t="s">
        <v>109</v>
      </c>
      <c r="B28" s="7"/>
      <c r="C28" s="7"/>
      <c r="D28" s="174">
        <v>0</v>
      </c>
      <c r="E28" s="133">
        <f>D28*91.91%</f>
        <v>0</v>
      </c>
      <c r="F28" s="133">
        <f>D28*8.09%</f>
        <v>0</v>
      </c>
      <c r="H28" s="146"/>
    </row>
    <row r="29" spans="1:8" hidden="1" x14ac:dyDescent="0.3">
      <c r="A29" s="94"/>
      <c r="B29" s="7"/>
      <c r="C29" s="7"/>
      <c r="D29" s="173">
        <v>0</v>
      </c>
      <c r="E29" s="133">
        <f>D29*91.91%</f>
        <v>0</v>
      </c>
      <c r="F29" s="133">
        <f>D29*8.09%</f>
        <v>0</v>
      </c>
      <c r="H29" s="146"/>
    </row>
    <row r="30" spans="1:8" hidden="1" x14ac:dyDescent="0.3">
      <c r="A30" s="94"/>
      <c r="B30" s="7"/>
      <c r="C30" s="7"/>
      <c r="D30" s="173"/>
      <c r="E30" s="7"/>
      <c r="F30" s="7"/>
      <c r="H30" s="146"/>
    </row>
    <row r="31" spans="1:8" hidden="1" x14ac:dyDescent="0.3">
      <c r="A31" s="94"/>
      <c r="B31" s="7"/>
      <c r="C31" s="7"/>
      <c r="D31" s="173"/>
      <c r="E31" s="7"/>
      <c r="F31" s="7"/>
      <c r="H31" s="146"/>
    </row>
    <row r="32" spans="1:8" hidden="1" x14ac:dyDescent="0.3">
      <c r="A32" s="95" t="s">
        <v>117</v>
      </c>
      <c r="B32" s="95"/>
      <c r="C32" s="95"/>
      <c r="D32" s="107">
        <f>SUM(D28:D30)</f>
        <v>0</v>
      </c>
      <c r="E32" s="107">
        <f t="shared" ref="E32:F32" si="2">SUM(E28:E30)</f>
        <v>0</v>
      </c>
      <c r="F32" s="107">
        <f t="shared" si="2"/>
        <v>0</v>
      </c>
      <c r="G32" s="108">
        <f>E32+F32</f>
        <v>0</v>
      </c>
      <c r="H32" s="146" t="str">
        <f>IF(D32=G32, "", "Error")</f>
        <v/>
      </c>
    </row>
    <row r="33" spans="1:8" hidden="1" x14ac:dyDescent="0.3">
      <c r="A33" s="94" t="s">
        <v>109</v>
      </c>
      <c r="B33" s="7"/>
      <c r="C33" s="7"/>
      <c r="D33" s="174"/>
      <c r="E33" s="133">
        <f>D33*91.91%</f>
        <v>0</v>
      </c>
      <c r="F33" s="133">
        <f>D33*8.09%</f>
        <v>0</v>
      </c>
      <c r="H33" s="146"/>
    </row>
    <row r="34" spans="1:8" hidden="1" x14ac:dyDescent="0.3">
      <c r="A34" s="7" t="s">
        <v>130</v>
      </c>
      <c r="B34" s="7"/>
      <c r="C34" s="7"/>
      <c r="D34" s="173"/>
      <c r="E34" s="133">
        <f t="shared" ref="E34:E35" si="3">D34*91.91%</f>
        <v>0</v>
      </c>
      <c r="F34" s="133">
        <f t="shared" ref="F34:F35" si="4">D34*8.09%</f>
        <v>0</v>
      </c>
      <c r="H34" s="146"/>
    </row>
    <row r="35" spans="1:8" hidden="1" x14ac:dyDescent="0.3">
      <c r="A35" s="94" t="s">
        <v>2</v>
      </c>
      <c r="B35" s="7"/>
      <c r="C35" s="7"/>
      <c r="D35" s="173"/>
      <c r="E35" s="133">
        <f t="shared" si="3"/>
        <v>0</v>
      </c>
      <c r="F35" s="133">
        <f t="shared" si="4"/>
        <v>0</v>
      </c>
      <c r="H35" s="146"/>
    </row>
    <row r="36" spans="1:8" hidden="1" x14ac:dyDescent="0.3">
      <c r="A36" s="95" t="s">
        <v>110</v>
      </c>
      <c r="B36" s="95"/>
      <c r="C36" s="95"/>
      <c r="D36" s="107">
        <f>SUM(D29:D35)</f>
        <v>0</v>
      </c>
      <c r="E36" s="107">
        <f t="shared" ref="E36" si="5">SUM(E29:E35)</f>
        <v>0</v>
      </c>
      <c r="F36" s="118">
        <f>E36*8.09%</f>
        <v>0</v>
      </c>
      <c r="H36" s="146"/>
    </row>
    <row r="37" spans="1:8" ht="0.75" hidden="1" customHeight="1" x14ac:dyDescent="0.3">
      <c r="A37" s="128"/>
      <c r="B37" s="98"/>
      <c r="C37" s="98"/>
      <c r="D37" s="173"/>
      <c r="E37" s="119"/>
      <c r="F37" s="119"/>
      <c r="H37" s="146"/>
    </row>
    <row r="38" spans="1:8" hidden="1" x14ac:dyDescent="0.3">
      <c r="A38" s="128"/>
      <c r="B38" s="98"/>
      <c r="C38" s="98"/>
      <c r="D38" s="173"/>
      <c r="E38" s="119"/>
      <c r="F38" s="119"/>
      <c r="H38" s="146"/>
    </row>
    <row r="39" spans="1:8" hidden="1" x14ac:dyDescent="0.3">
      <c r="A39" s="98"/>
      <c r="B39" s="98"/>
      <c r="C39" s="110"/>
      <c r="D39" s="173"/>
      <c r="E39" s="119"/>
      <c r="F39" s="119"/>
      <c r="H39" s="146"/>
    </row>
    <row r="40" spans="1:8" hidden="1" x14ac:dyDescent="0.3">
      <c r="A40" s="95" t="s">
        <v>117</v>
      </c>
      <c r="B40" s="95"/>
      <c r="C40" s="95"/>
      <c r="D40" s="107"/>
      <c r="E40" s="111">
        <f>SUM(D37:D39)</f>
        <v>0</v>
      </c>
      <c r="F40" s="109">
        <f>(D37)*8.09%</f>
        <v>0</v>
      </c>
      <c r="H40" s="146"/>
    </row>
    <row r="41" spans="1:8" hidden="1" x14ac:dyDescent="0.3">
      <c r="A41" s="94"/>
      <c r="B41" s="7"/>
      <c r="C41" s="7"/>
      <c r="D41" s="112"/>
      <c r="E41" s="133">
        <f>D41*91.91%</f>
        <v>0</v>
      </c>
      <c r="F41" s="133">
        <f>D41*8.09%</f>
        <v>0</v>
      </c>
      <c r="H41" s="146"/>
    </row>
    <row r="42" spans="1:8" hidden="1" x14ac:dyDescent="0.3">
      <c r="A42" s="94"/>
      <c r="B42" s="7"/>
      <c r="C42" s="7"/>
      <c r="D42" s="112"/>
      <c r="E42" s="133">
        <f>D42*91.91%</f>
        <v>0</v>
      </c>
      <c r="F42" s="133">
        <f>D42*8.09%</f>
        <v>0</v>
      </c>
      <c r="H42" s="146"/>
    </row>
    <row r="43" spans="1:8" hidden="1" x14ac:dyDescent="0.3">
      <c r="A43" s="94"/>
      <c r="B43" s="7"/>
      <c r="C43" s="7"/>
      <c r="D43" s="176"/>
      <c r="E43" s="133">
        <f>D43*91.91%</f>
        <v>0</v>
      </c>
      <c r="F43" s="133">
        <f>D43*8.09%</f>
        <v>0</v>
      </c>
      <c r="H43" s="146"/>
    </row>
    <row r="44" spans="1:8" ht="15" hidden="1" thickBot="1" x14ac:dyDescent="0.35">
      <c r="A44" s="95" t="s">
        <v>127</v>
      </c>
      <c r="B44" s="95"/>
      <c r="C44" s="95"/>
      <c r="D44" s="107">
        <f>SUM(D41:D43)</f>
        <v>0</v>
      </c>
      <c r="E44" s="154">
        <f>SUM(E41:E43)</f>
        <v>0</v>
      </c>
      <c r="F44" s="163">
        <f>SUM(F41:F43)</f>
        <v>0</v>
      </c>
      <c r="G44" s="108">
        <f>E44+F44</f>
        <v>0</v>
      </c>
      <c r="H44" s="146"/>
    </row>
    <row r="45" spans="1:8" x14ac:dyDescent="0.3">
      <c r="A45" s="94" t="s">
        <v>4</v>
      </c>
      <c r="B45" s="7"/>
      <c r="C45" s="7"/>
      <c r="D45" s="176"/>
      <c r="E45" s="113"/>
      <c r="F45" s="100"/>
      <c r="H45" s="146"/>
    </row>
    <row r="46" spans="1:8" x14ac:dyDescent="0.3">
      <c r="A46" s="94" t="s">
        <v>161</v>
      </c>
      <c r="B46" s="7"/>
      <c r="C46" s="98"/>
      <c r="D46" s="112">
        <v>5020</v>
      </c>
      <c r="E46" s="133">
        <f>D46*91.91%</f>
        <v>4613.8819999999996</v>
      </c>
      <c r="F46" s="133">
        <f>D46*8.09%</f>
        <v>406.11799999999999</v>
      </c>
      <c r="H46" s="146"/>
    </row>
    <row r="47" spans="1:8" x14ac:dyDescent="0.3">
      <c r="A47" s="94" t="s">
        <v>5</v>
      </c>
      <c r="B47" s="7" t="s">
        <v>160</v>
      </c>
      <c r="C47" s="7"/>
      <c r="D47" s="245">
        <f>6338.54+57496.89+108023.08</f>
        <v>171858.51</v>
      </c>
      <c r="E47" s="133">
        <f>D47*91.91%</f>
        <v>157955.156541</v>
      </c>
      <c r="F47" s="133">
        <f>D47*8.09%</f>
        <v>13903.353459</v>
      </c>
      <c r="H47" s="146"/>
    </row>
    <row r="48" spans="1:8" x14ac:dyDescent="0.3">
      <c r="A48" s="94" t="s">
        <v>135</v>
      </c>
      <c r="B48" s="98" t="s">
        <v>159</v>
      </c>
      <c r="C48" s="7"/>
      <c r="D48" s="183">
        <v>565971.80000000005</v>
      </c>
      <c r="E48" s="133">
        <f>D48*91.91%</f>
        <v>520184.68138000002</v>
      </c>
      <c r="F48" s="133">
        <f>D48*8.09%</f>
        <v>45787.118620000001</v>
      </c>
      <c r="H48" s="146"/>
    </row>
    <row r="49" spans="1:16" x14ac:dyDescent="0.3">
      <c r="A49" s="95" t="s">
        <v>6</v>
      </c>
      <c r="B49" s="96"/>
      <c r="C49" s="96"/>
      <c r="D49" s="107">
        <f>SUM(D46:D48)</f>
        <v>742850.31</v>
      </c>
      <c r="E49" s="107">
        <f t="shared" ref="E49:F49" si="6">SUM(E46:E48)</f>
        <v>682753.71992100007</v>
      </c>
      <c r="F49" s="107">
        <f t="shared" si="6"/>
        <v>60096.590079000001</v>
      </c>
      <c r="G49" s="108">
        <f>E49+F49</f>
        <v>742850.31</v>
      </c>
      <c r="H49" s="146" t="str">
        <f>IF(D49=G49, "", "Error")</f>
        <v/>
      </c>
    </row>
    <row r="50" spans="1:16" x14ac:dyDescent="0.3">
      <c r="A50" s="7" t="s">
        <v>7</v>
      </c>
      <c r="B50" s="7"/>
      <c r="C50" s="7"/>
      <c r="D50" s="176"/>
      <c r="E50" s="114"/>
      <c r="F50" s="7"/>
      <c r="H50" s="146"/>
    </row>
    <row r="51" spans="1:16" ht="16.5" customHeight="1" x14ac:dyDescent="0.3">
      <c r="A51" s="180" t="s">
        <v>158</v>
      </c>
      <c r="B51" s="169"/>
      <c r="C51" s="170"/>
      <c r="D51" s="176">
        <v>160000</v>
      </c>
      <c r="E51" s="145">
        <f>D51</f>
        <v>160000</v>
      </c>
      <c r="F51" s="7"/>
      <c r="G51" s="108">
        <f>D51</f>
        <v>160000</v>
      </c>
      <c r="H51" s="156">
        <f>E51+F51</f>
        <v>160000</v>
      </c>
      <c r="I51" s="171"/>
      <c r="J51" s="171"/>
    </row>
    <row r="52" spans="1:16" ht="16.5" customHeight="1" x14ac:dyDescent="0.3">
      <c r="A52" s="180" t="s">
        <v>138</v>
      </c>
      <c r="B52" s="169"/>
      <c r="C52" s="170"/>
      <c r="D52" s="183">
        <v>372000</v>
      </c>
      <c r="E52" s="145">
        <f>D52</f>
        <v>372000</v>
      </c>
      <c r="F52" s="7"/>
      <c r="G52" s="108">
        <f>D52</f>
        <v>372000</v>
      </c>
      <c r="H52" s="156">
        <f>E52+F52</f>
        <v>372000</v>
      </c>
      <c r="I52" s="171">
        <f>H52-D52</f>
        <v>0</v>
      </c>
      <c r="J52" s="171"/>
    </row>
    <row r="53" spans="1:16" ht="14.25" customHeight="1" x14ac:dyDescent="0.3">
      <c r="A53" s="120" t="s">
        <v>8</v>
      </c>
      <c r="B53" s="158"/>
      <c r="C53" s="7"/>
      <c r="D53" s="183">
        <v>127113.12</v>
      </c>
      <c r="E53" s="145">
        <f t="shared" ref="E53:E57" si="7">D53*91.91%</f>
        <v>116829.66859199999</v>
      </c>
      <c r="F53" s="133">
        <f t="shared" ref="F53:F57" si="8">D53*8.09%</f>
        <v>10283.451407999999</v>
      </c>
      <c r="G53" s="108">
        <f t="shared" ref="G53:G70" si="9">D53</f>
        <v>127113.12</v>
      </c>
      <c r="H53" s="156">
        <f t="shared" ref="H53:H70" si="10">E53+F53</f>
        <v>127113.11999999998</v>
      </c>
      <c r="I53" s="171"/>
      <c r="J53" s="171"/>
    </row>
    <row r="54" spans="1:16" x14ac:dyDescent="0.3">
      <c r="A54" s="94" t="s">
        <v>174</v>
      </c>
      <c r="B54" s="7"/>
      <c r="C54" s="7"/>
      <c r="D54" s="112">
        <v>148200</v>
      </c>
      <c r="E54" s="145">
        <f t="shared" si="7"/>
        <v>136210.62</v>
      </c>
      <c r="F54" s="133">
        <f t="shared" si="8"/>
        <v>11989.38</v>
      </c>
      <c r="G54" s="108">
        <f t="shared" si="9"/>
        <v>148200</v>
      </c>
      <c r="H54" s="156">
        <f t="shared" si="10"/>
        <v>148200</v>
      </c>
      <c r="I54" s="171">
        <f t="shared" ref="I54:I69" si="11">H54-D54</f>
        <v>0</v>
      </c>
      <c r="J54" s="171">
        <f t="shared" ref="J54:J70" si="12">G54-D54</f>
        <v>0</v>
      </c>
    </row>
    <row r="55" spans="1:16" x14ac:dyDescent="0.3">
      <c r="A55" s="94" t="s">
        <v>9</v>
      </c>
      <c r="B55" s="7" t="s">
        <v>162</v>
      </c>
      <c r="C55" s="7"/>
      <c r="D55" s="112">
        <v>129320</v>
      </c>
      <c r="E55" s="145">
        <f>D55*91.91%</f>
        <v>118858.01199999999</v>
      </c>
      <c r="F55" s="133">
        <f t="shared" si="8"/>
        <v>10461.987999999999</v>
      </c>
      <c r="G55" s="108">
        <f t="shared" si="9"/>
        <v>129320</v>
      </c>
      <c r="H55" s="156">
        <f>E55+F55</f>
        <v>129319.99999999999</v>
      </c>
      <c r="I55" s="171">
        <f t="shared" si="11"/>
        <v>0</v>
      </c>
      <c r="J55" s="171">
        <f t="shared" si="12"/>
        <v>0</v>
      </c>
    </row>
    <row r="56" spans="1:16" x14ac:dyDescent="0.3">
      <c r="A56" s="94" t="s">
        <v>11</v>
      </c>
      <c r="B56" s="7" t="s">
        <v>170</v>
      </c>
      <c r="C56" s="7"/>
      <c r="D56" s="183">
        <v>641235.69999999995</v>
      </c>
      <c r="E56" s="145">
        <f t="shared" si="7"/>
        <v>589359.7318699999</v>
      </c>
      <c r="F56" s="133">
        <f t="shared" si="8"/>
        <v>51875.968129999994</v>
      </c>
      <c r="G56" s="108">
        <f t="shared" si="9"/>
        <v>641235.69999999995</v>
      </c>
      <c r="H56" s="156">
        <f t="shared" si="10"/>
        <v>641235.69999999995</v>
      </c>
      <c r="I56" s="171">
        <f t="shared" si="11"/>
        <v>0</v>
      </c>
      <c r="J56" s="171">
        <f t="shared" si="12"/>
        <v>0</v>
      </c>
    </row>
    <row r="57" spans="1:16" x14ac:dyDescent="0.3">
      <c r="A57" s="128" t="s">
        <v>10</v>
      </c>
      <c r="B57" s="98" t="s">
        <v>166</v>
      </c>
      <c r="C57" s="98"/>
      <c r="D57" s="183">
        <v>2276949.4300000002</v>
      </c>
      <c r="E57" s="145">
        <f t="shared" si="7"/>
        <v>2092744.2211130001</v>
      </c>
      <c r="F57" s="133">
        <f t="shared" si="8"/>
        <v>184205.20888700002</v>
      </c>
      <c r="G57" s="108">
        <f t="shared" si="9"/>
        <v>2276949.4300000002</v>
      </c>
      <c r="H57" s="156">
        <f t="shared" si="10"/>
        <v>2276949.4300000002</v>
      </c>
      <c r="I57" s="171">
        <f t="shared" si="11"/>
        <v>0</v>
      </c>
      <c r="J57" s="171">
        <f t="shared" si="12"/>
        <v>0</v>
      </c>
    </row>
    <row r="58" spans="1:16" x14ac:dyDescent="0.3">
      <c r="A58" s="212" t="s">
        <v>157</v>
      </c>
      <c r="B58" s="213"/>
      <c r="C58" s="214"/>
      <c r="D58" s="112">
        <v>67000</v>
      </c>
      <c r="E58" s="145">
        <f t="shared" ref="E58" si="13">D58</f>
        <v>67000</v>
      </c>
      <c r="F58" s="133"/>
      <c r="G58" s="108">
        <f t="shared" si="9"/>
        <v>67000</v>
      </c>
      <c r="H58" s="156">
        <f t="shared" si="10"/>
        <v>67000</v>
      </c>
      <c r="I58" s="171">
        <f t="shared" si="11"/>
        <v>0</v>
      </c>
      <c r="J58" s="171">
        <f t="shared" si="12"/>
        <v>0</v>
      </c>
    </row>
    <row r="59" spans="1:16" ht="20.100000000000001" customHeight="1" x14ac:dyDescent="0.3">
      <c r="A59" s="217" t="s">
        <v>155</v>
      </c>
      <c r="B59" s="218"/>
      <c r="C59" s="219"/>
      <c r="D59" s="112">
        <v>35500</v>
      </c>
      <c r="E59" s="145">
        <f t="shared" ref="E59:E63" si="14">D59*91.91%</f>
        <v>32628.049999999996</v>
      </c>
      <c r="F59" s="133">
        <f t="shared" ref="F59:F63" si="15">D59*8.09%</f>
        <v>2871.95</v>
      </c>
      <c r="G59" s="108">
        <f t="shared" si="9"/>
        <v>35500</v>
      </c>
      <c r="H59" s="156">
        <f t="shared" si="10"/>
        <v>35499.999999999993</v>
      </c>
      <c r="I59" s="171"/>
      <c r="J59" s="171"/>
    </row>
    <row r="60" spans="1:16" ht="20.100000000000001" customHeight="1" x14ac:dyDescent="0.3">
      <c r="A60" s="217" t="s">
        <v>156</v>
      </c>
      <c r="B60" s="218"/>
      <c r="C60" s="219"/>
      <c r="D60" s="112">
        <v>159500</v>
      </c>
      <c r="E60" s="145">
        <f t="shared" si="14"/>
        <v>146596.44999999998</v>
      </c>
      <c r="F60" s="133">
        <f t="shared" si="15"/>
        <v>12903.55</v>
      </c>
      <c r="G60" s="108">
        <f t="shared" si="9"/>
        <v>159500</v>
      </c>
      <c r="H60" s="156">
        <f t="shared" si="10"/>
        <v>159499.99999999997</v>
      </c>
      <c r="I60" s="171"/>
      <c r="J60" s="171"/>
    </row>
    <row r="61" spans="1:16" ht="32.25" customHeight="1" x14ac:dyDescent="0.3">
      <c r="A61" s="217" t="s">
        <v>154</v>
      </c>
      <c r="B61" s="218"/>
      <c r="C61" s="219"/>
      <c r="D61" s="112">
        <v>170000</v>
      </c>
      <c r="E61" s="145">
        <f t="shared" si="14"/>
        <v>156247</v>
      </c>
      <c r="F61" s="133">
        <f t="shared" si="15"/>
        <v>13753</v>
      </c>
      <c r="G61" s="108">
        <f t="shared" si="9"/>
        <v>170000</v>
      </c>
      <c r="H61" s="156">
        <f t="shared" si="10"/>
        <v>170000</v>
      </c>
      <c r="I61" s="171"/>
      <c r="J61" s="171"/>
    </row>
    <row r="62" spans="1:16" ht="19.2" customHeight="1" x14ac:dyDescent="0.3">
      <c r="A62" s="191" t="s">
        <v>177</v>
      </c>
      <c r="B62" s="192"/>
      <c r="C62" s="193"/>
      <c r="D62" s="183">
        <v>30000</v>
      </c>
      <c r="E62" s="145">
        <f t="shared" si="14"/>
        <v>27572.999999999996</v>
      </c>
      <c r="F62" s="133">
        <f t="shared" si="15"/>
        <v>2427</v>
      </c>
      <c r="G62" s="108">
        <f t="shared" si="9"/>
        <v>30000</v>
      </c>
      <c r="H62" s="156">
        <f t="shared" si="10"/>
        <v>29999.999999999996</v>
      </c>
      <c r="I62" s="171"/>
      <c r="J62" s="171"/>
    </row>
    <row r="63" spans="1:16" ht="19.8" customHeight="1" x14ac:dyDescent="0.3">
      <c r="A63" s="247" t="s">
        <v>179</v>
      </c>
      <c r="B63" s="192"/>
      <c r="C63" s="193"/>
      <c r="D63" s="183">
        <v>250000</v>
      </c>
      <c r="E63" s="145">
        <f t="shared" si="14"/>
        <v>229774.99999999997</v>
      </c>
      <c r="F63" s="133">
        <f t="shared" si="15"/>
        <v>20225</v>
      </c>
      <c r="G63" s="108">
        <f t="shared" si="9"/>
        <v>250000</v>
      </c>
      <c r="H63" s="156">
        <f t="shared" si="10"/>
        <v>249999.99999999997</v>
      </c>
      <c r="I63" s="171"/>
      <c r="J63" s="171"/>
    </row>
    <row r="64" spans="1:16" x14ac:dyDescent="0.3">
      <c r="A64" s="190" t="s">
        <v>181</v>
      </c>
      <c r="B64" s="98"/>
      <c r="C64" s="98"/>
      <c r="D64" s="183">
        <v>159500</v>
      </c>
      <c r="E64" s="145">
        <f t="shared" ref="E64:E67" si="16">D64*91.91%</f>
        <v>146596.44999999998</v>
      </c>
      <c r="F64" s="133">
        <f t="shared" ref="F64:F70" si="17">D64*8.09%</f>
        <v>12903.55</v>
      </c>
      <c r="G64" s="108">
        <f t="shared" si="9"/>
        <v>159500</v>
      </c>
      <c r="H64" s="156">
        <f t="shared" si="10"/>
        <v>159499.99999999997</v>
      </c>
      <c r="I64" s="171">
        <f t="shared" si="11"/>
        <v>0</v>
      </c>
      <c r="J64" s="171">
        <f t="shared" si="12"/>
        <v>0</v>
      </c>
      <c r="M64" s="182" t="s">
        <v>137</v>
      </c>
      <c r="N64" s="7"/>
      <c r="O64" s="7"/>
      <c r="P64" s="183">
        <v>358487.12</v>
      </c>
    </row>
    <row r="65" spans="1:10" x14ac:dyDescent="0.3">
      <c r="A65" s="190" t="s">
        <v>137</v>
      </c>
      <c r="B65" s="98" t="s">
        <v>144</v>
      </c>
      <c r="C65" s="98"/>
      <c r="D65" s="112">
        <v>199992.75</v>
      </c>
      <c r="E65" s="145">
        <f>D65*91.91%</f>
        <v>183813.33652499999</v>
      </c>
      <c r="F65" s="133">
        <f t="shared" si="17"/>
        <v>16179.413474999999</v>
      </c>
      <c r="G65" s="108">
        <f t="shared" si="9"/>
        <v>199992.75</v>
      </c>
      <c r="H65" s="156">
        <f t="shared" si="10"/>
        <v>199992.75</v>
      </c>
      <c r="I65" s="171">
        <f t="shared" si="11"/>
        <v>0</v>
      </c>
      <c r="J65" s="171">
        <f t="shared" si="12"/>
        <v>0</v>
      </c>
    </row>
    <row r="66" spans="1:10" x14ac:dyDescent="0.3">
      <c r="A66" s="7" t="s">
        <v>119</v>
      </c>
      <c r="B66" s="98"/>
      <c r="C66" s="98"/>
      <c r="D66" s="183">
        <v>84865.78</v>
      </c>
      <c r="E66" s="145">
        <f>D66*91.91%</f>
        <v>78000.138397999996</v>
      </c>
      <c r="F66" s="133">
        <f t="shared" si="17"/>
        <v>6865.6416019999997</v>
      </c>
      <c r="G66" s="108">
        <f t="shared" si="9"/>
        <v>84865.78</v>
      </c>
      <c r="H66" s="156">
        <f t="shared" si="10"/>
        <v>84865.78</v>
      </c>
      <c r="I66" s="171"/>
      <c r="J66" s="171"/>
    </row>
    <row r="67" spans="1:10" ht="14.25" customHeight="1" x14ac:dyDescent="0.3">
      <c r="A67" s="7" t="s">
        <v>119</v>
      </c>
      <c r="B67" s="7"/>
      <c r="C67" s="7"/>
      <c r="D67" s="183">
        <v>86478.23</v>
      </c>
      <c r="E67" s="145">
        <f t="shared" si="16"/>
        <v>79482.141192999989</v>
      </c>
      <c r="F67" s="133">
        <f t="shared" si="17"/>
        <v>6996.0888070000001</v>
      </c>
      <c r="G67" s="108">
        <f t="shared" si="9"/>
        <v>86478.23</v>
      </c>
      <c r="H67" s="156">
        <f t="shared" si="10"/>
        <v>86478.229999999981</v>
      </c>
      <c r="I67" s="171">
        <f t="shared" si="11"/>
        <v>0</v>
      </c>
      <c r="J67" s="171">
        <f t="shared" si="12"/>
        <v>0</v>
      </c>
    </row>
    <row r="68" spans="1:10" ht="14.25" customHeight="1" x14ac:dyDescent="0.3">
      <c r="A68" s="120" t="s">
        <v>175</v>
      </c>
      <c r="B68" s="113"/>
      <c r="C68" s="7"/>
      <c r="D68" s="112">
        <v>360000</v>
      </c>
      <c r="E68" s="145">
        <f>D68*91.91%</f>
        <v>330875.99999999994</v>
      </c>
      <c r="F68" s="133">
        <f t="shared" si="17"/>
        <v>29124</v>
      </c>
      <c r="G68" s="108"/>
      <c r="H68" s="156"/>
      <c r="I68" s="171"/>
      <c r="J68" s="171"/>
    </row>
    <row r="69" spans="1:10" ht="14.25" customHeight="1" x14ac:dyDescent="0.3">
      <c r="A69" s="246" t="s">
        <v>178</v>
      </c>
      <c r="B69" s="113"/>
      <c r="C69" s="157"/>
      <c r="D69" s="183">
        <v>40000</v>
      </c>
      <c r="E69" s="145">
        <f t="shared" ref="E69:E70" si="18">D69*91.91%</f>
        <v>36764</v>
      </c>
      <c r="F69" s="133">
        <f t="shared" si="17"/>
        <v>3236</v>
      </c>
      <c r="G69" s="108">
        <f t="shared" si="9"/>
        <v>40000</v>
      </c>
      <c r="H69" s="156">
        <f t="shared" si="10"/>
        <v>40000</v>
      </c>
      <c r="I69" s="171">
        <f t="shared" si="11"/>
        <v>0</v>
      </c>
      <c r="J69" s="171">
        <f t="shared" si="12"/>
        <v>0</v>
      </c>
    </row>
    <row r="70" spans="1:10" x14ac:dyDescent="0.3">
      <c r="A70" s="194" t="s">
        <v>180</v>
      </c>
      <c r="B70" s="151"/>
      <c r="C70" s="151"/>
      <c r="D70" s="248">
        <v>95800</v>
      </c>
      <c r="E70" s="145">
        <f t="shared" si="18"/>
        <v>88049.78</v>
      </c>
      <c r="F70" s="133">
        <f t="shared" si="17"/>
        <v>7750.22</v>
      </c>
      <c r="G70" s="108">
        <f t="shared" si="9"/>
        <v>95800</v>
      </c>
      <c r="H70" s="156">
        <f t="shared" si="10"/>
        <v>95800</v>
      </c>
      <c r="I70" t="str">
        <f>IF(G70=H70, "", "Error")</f>
        <v/>
      </c>
      <c r="J70" s="171">
        <f t="shared" si="12"/>
        <v>0</v>
      </c>
    </row>
    <row r="71" spans="1:10" x14ac:dyDescent="0.3">
      <c r="A71" s="95" t="s">
        <v>12</v>
      </c>
      <c r="B71" s="96"/>
      <c r="C71" s="96"/>
      <c r="D71" s="107">
        <f>SUM(D51:D70)</f>
        <v>5593455.0100000007</v>
      </c>
      <c r="E71" s="107">
        <f>SUM(E51:E70)</f>
        <v>5189403.5996909998</v>
      </c>
      <c r="F71" s="107">
        <f>SUM(F51:F70)</f>
        <v>404051.410309</v>
      </c>
      <c r="G71" s="108">
        <f>E71+F71</f>
        <v>5593455.0099999998</v>
      </c>
      <c r="H71" s="146" t="str">
        <f>IF(D71=G71, "", "Error")</f>
        <v/>
      </c>
      <c r="I71" s="171">
        <f>D71-G71</f>
        <v>0</v>
      </c>
    </row>
    <row r="72" spans="1:10" hidden="1" x14ac:dyDescent="0.3">
      <c r="A72" s="7"/>
      <c r="B72" s="7"/>
      <c r="C72" s="7"/>
      <c r="D72" s="176"/>
      <c r="E72" s="114"/>
      <c r="F72" s="7"/>
      <c r="H72" s="146"/>
    </row>
    <row r="73" spans="1:10" hidden="1" x14ac:dyDescent="0.3">
      <c r="A73" s="7"/>
      <c r="B73" s="7"/>
      <c r="C73" s="7"/>
      <c r="D73" s="176"/>
      <c r="E73" s="113"/>
      <c r="F73" s="7"/>
      <c r="H73" s="146"/>
    </row>
    <row r="74" spans="1:10" hidden="1" x14ac:dyDescent="0.3">
      <c r="A74" s="7"/>
      <c r="B74" s="7"/>
      <c r="C74" s="7"/>
      <c r="D74" s="176"/>
      <c r="E74" s="113"/>
      <c r="F74" s="7"/>
      <c r="H74" s="146"/>
    </row>
    <row r="75" spans="1:10" x14ac:dyDescent="0.3">
      <c r="A75" s="94" t="s">
        <v>141</v>
      </c>
      <c r="B75" s="98"/>
      <c r="C75" s="7"/>
      <c r="D75" s="183">
        <v>108000</v>
      </c>
      <c r="E75" s="145">
        <f>D75*91.91%</f>
        <v>99262.799999999988</v>
      </c>
      <c r="F75" s="133">
        <f>D75*8.09%</f>
        <v>8737.2000000000007</v>
      </c>
      <c r="G75" s="155"/>
      <c r="H75" s="146"/>
    </row>
    <row r="76" spans="1:10" x14ac:dyDescent="0.3">
      <c r="A76" s="7"/>
      <c r="B76" s="7"/>
      <c r="C76" s="7"/>
      <c r="D76" s="112"/>
      <c r="E76" s="159">
        <f>D76</f>
        <v>0</v>
      </c>
      <c r="F76" s="7"/>
      <c r="H76" s="146"/>
      <c r="I76" s="108"/>
    </row>
    <row r="77" spans="1:10" ht="13.5" customHeight="1" x14ac:dyDescent="0.3">
      <c r="A77" s="95" t="s">
        <v>16</v>
      </c>
      <c r="B77" s="95"/>
      <c r="C77" s="95"/>
      <c r="D77" s="107">
        <f>SUM(D75:D76)</f>
        <v>108000</v>
      </c>
      <c r="E77" s="107">
        <f>SUM(E75:E76)</f>
        <v>99262.799999999988</v>
      </c>
      <c r="F77" s="107">
        <f>SUM(F75:F76)</f>
        <v>8737.2000000000007</v>
      </c>
      <c r="G77" s="108">
        <f>E77+F77</f>
        <v>107999.99999999999</v>
      </c>
      <c r="H77" s="146" t="str">
        <f>IF(D77=G77, "", "Error")</f>
        <v/>
      </c>
      <c r="J77" s="108"/>
    </row>
    <row r="78" spans="1:10" hidden="1" x14ac:dyDescent="0.3">
      <c r="A78" s="7"/>
      <c r="B78" s="7"/>
      <c r="C78" s="7"/>
      <c r="D78" s="176"/>
      <c r="E78" s="114"/>
      <c r="F78" s="7"/>
      <c r="H78" s="146"/>
    </row>
    <row r="79" spans="1:10" hidden="1" x14ac:dyDescent="0.3">
      <c r="A79" s="7"/>
      <c r="B79" s="7"/>
      <c r="C79" s="7"/>
      <c r="D79" s="176"/>
      <c r="E79" s="113"/>
      <c r="F79" s="7"/>
      <c r="H79" s="146"/>
    </row>
    <row r="80" spans="1:10" x14ac:dyDescent="0.3">
      <c r="A80" s="94" t="s">
        <v>13</v>
      </c>
      <c r="B80" s="7"/>
      <c r="C80" s="7"/>
      <c r="D80" s="176"/>
      <c r="E80" s="113"/>
      <c r="F80" s="7"/>
      <c r="H80" s="146"/>
    </row>
    <row r="81" spans="1:10" ht="14.25" customHeight="1" x14ac:dyDescent="0.3">
      <c r="A81" s="94" t="s">
        <v>14</v>
      </c>
      <c r="B81" s="7" t="s">
        <v>116</v>
      </c>
      <c r="C81" s="7"/>
      <c r="D81" s="183">
        <v>246000</v>
      </c>
      <c r="E81" s="145">
        <f>D81*91.91%</f>
        <v>226098.59999999998</v>
      </c>
      <c r="F81" s="133">
        <f>D81*8.09%</f>
        <v>19901.400000000001</v>
      </c>
      <c r="G81" t="s">
        <v>139</v>
      </c>
      <c r="H81" s="146"/>
    </row>
    <row r="82" spans="1:10" x14ac:dyDescent="0.3">
      <c r="A82" s="94" t="s">
        <v>107</v>
      </c>
      <c r="B82" s="7"/>
      <c r="C82" s="7"/>
      <c r="D82" s="112">
        <v>30000</v>
      </c>
      <c r="E82" s="145">
        <f>D82*91.91%</f>
        <v>27572.999999999996</v>
      </c>
      <c r="F82" s="133">
        <f>D82*8.09%</f>
        <v>2427</v>
      </c>
      <c r="H82" s="146"/>
      <c r="J82" s="112"/>
    </row>
    <row r="83" spans="1:10" x14ac:dyDescent="0.3">
      <c r="A83" s="7"/>
      <c r="B83" s="7"/>
      <c r="C83" s="7"/>
      <c r="D83" s="176"/>
      <c r="E83" s="115"/>
      <c r="F83" s="7"/>
      <c r="H83" s="146"/>
      <c r="J83" s="108"/>
    </row>
    <row r="84" spans="1:10" x14ac:dyDescent="0.3">
      <c r="A84" s="95" t="s">
        <v>100</v>
      </c>
      <c r="B84" s="95"/>
      <c r="C84" s="95"/>
      <c r="D84" s="107">
        <f>SUM(D81:D83)</f>
        <v>276000</v>
      </c>
      <c r="E84" s="107">
        <f>SUM(E81:E83)</f>
        <v>253671.59999999998</v>
      </c>
      <c r="F84" s="107">
        <f>SUM(F81:F83)</f>
        <v>22328.400000000001</v>
      </c>
      <c r="G84" s="108">
        <f>E84+F84</f>
        <v>276000</v>
      </c>
      <c r="H84" s="146" t="str">
        <f>IF(D84=G84, "", "Error")</f>
        <v/>
      </c>
      <c r="J84" s="108"/>
    </row>
    <row r="85" spans="1:10" ht="14.25" customHeight="1" x14ac:dyDescent="0.3">
      <c r="A85" s="94" t="s">
        <v>100</v>
      </c>
      <c r="B85" s="7"/>
      <c r="C85" s="7"/>
      <c r="D85" s="112"/>
      <c r="E85" s="116"/>
      <c r="F85" s="7"/>
      <c r="H85" s="146"/>
    </row>
    <row r="86" spans="1:10" x14ac:dyDescent="0.3">
      <c r="A86" s="94" t="s">
        <v>101</v>
      </c>
      <c r="B86" s="7"/>
      <c r="C86" s="7"/>
      <c r="D86" s="112">
        <v>114083.66</v>
      </c>
      <c r="E86" s="145">
        <f>D86*91.91%</f>
        <v>104854.291906</v>
      </c>
      <c r="F86" s="133">
        <f>D86*8.09%</f>
        <v>9229.3680939999995</v>
      </c>
      <c r="H86" s="146"/>
    </row>
    <row r="87" spans="1:10" x14ac:dyDescent="0.3">
      <c r="A87" s="94" t="s">
        <v>102</v>
      </c>
      <c r="B87" s="7"/>
      <c r="C87" s="121"/>
      <c r="D87" s="112">
        <v>44400</v>
      </c>
      <c r="E87" s="145">
        <f>D87*91.91%</f>
        <v>40808.039999999994</v>
      </c>
      <c r="F87" s="133">
        <f>D87*8.09%</f>
        <v>3591.96</v>
      </c>
      <c r="H87" s="146"/>
    </row>
    <row r="88" spans="1:10" x14ac:dyDescent="0.3">
      <c r="A88" s="95" t="s">
        <v>15</v>
      </c>
      <c r="B88" s="95"/>
      <c r="C88" s="95"/>
      <c r="D88" s="153">
        <f>SUM(D86:D87)</f>
        <v>158483.66</v>
      </c>
      <c r="E88" s="143">
        <f t="shared" ref="E88:F88" si="19">SUM(E86:E87)</f>
        <v>145662.33190599998</v>
      </c>
      <c r="F88" s="143">
        <f t="shared" si="19"/>
        <v>12821.328094</v>
      </c>
      <c r="G88" s="108">
        <f>E88+F88</f>
        <v>158483.65999999997</v>
      </c>
      <c r="H88" s="146" t="str">
        <f>IF(D88=G88, "", "Error")</f>
        <v/>
      </c>
    </row>
    <row r="89" spans="1:10" ht="15" thickBot="1" x14ac:dyDescent="0.35">
      <c r="A89" s="7"/>
      <c r="B89" s="7"/>
      <c r="C89" s="7"/>
      <c r="D89" s="177"/>
      <c r="E89" s="12"/>
      <c r="F89" s="7"/>
      <c r="H89" s="146"/>
    </row>
    <row r="90" spans="1:10" ht="15" thickBot="1" x14ac:dyDescent="0.35">
      <c r="A90" s="99" t="s">
        <v>133</v>
      </c>
      <c r="B90" s="99"/>
      <c r="C90" s="99"/>
      <c r="D90" s="178">
        <f>9512420-5682222.96</f>
        <v>3830197.04</v>
      </c>
      <c r="E90" s="117">
        <f>D90*91.91%</f>
        <v>3520334.0994639997</v>
      </c>
      <c r="F90" s="135">
        <f>D90*8.09%</f>
        <v>309862.94053600001</v>
      </c>
      <c r="G90" s="108">
        <f>E90+F90</f>
        <v>3830197.0399999996</v>
      </c>
      <c r="H90" s="146" t="str">
        <f>IF(D90=G90, "", "Error")</f>
        <v/>
      </c>
    </row>
    <row r="91" spans="1:10" ht="15" thickBot="1" x14ac:dyDescent="0.35">
      <c r="A91" s="1"/>
      <c r="D91" s="175"/>
      <c r="E91" s="2"/>
      <c r="F91" s="10"/>
      <c r="G91" s="152"/>
      <c r="H91" s="146"/>
    </row>
    <row r="92" spans="1:10" ht="15" thickBot="1" x14ac:dyDescent="0.35">
      <c r="A92" s="4" t="s">
        <v>103</v>
      </c>
      <c r="B92" s="60"/>
      <c r="C92" s="5"/>
      <c r="D92" s="179">
        <f>SUM(D90+D88+D84+D77+D71+D49+D32+D27+D44)</f>
        <v>11708794.020000001</v>
      </c>
      <c r="E92" s="144">
        <f>SUM(E90+E88+E84+E77+E71+E49+E32+E27+E44)</f>
        <v>10810011.683782</v>
      </c>
      <c r="F92" s="144">
        <f>SUM(F90+F88+F84+F77+F71+F49+F32+F27+F44)</f>
        <v>898782.33621800004</v>
      </c>
      <c r="G92" s="108">
        <f>E92+F92</f>
        <v>11708794.02</v>
      </c>
      <c r="H92" s="146" t="str">
        <f>IF(D92=G92, "", "Error")</f>
        <v/>
      </c>
      <c r="I92" s="171">
        <f>D92-G92</f>
        <v>0</v>
      </c>
    </row>
    <row r="93" spans="1:10" ht="15" thickBot="1" x14ac:dyDescent="0.35">
      <c r="D93" s="175"/>
      <c r="E93" s="108"/>
    </row>
    <row r="94" spans="1:10" ht="15" thickBot="1" x14ac:dyDescent="0.35">
      <c r="A94" s="186" t="s">
        <v>169</v>
      </c>
      <c r="B94" s="140"/>
      <c r="C94" s="140"/>
      <c r="E94" s="108"/>
    </row>
    <row r="95" spans="1:10" x14ac:dyDescent="0.3">
      <c r="A95" s="1"/>
      <c r="C95" s="138"/>
      <c r="E95" s="108"/>
    </row>
    <row r="96" spans="1:10" ht="15" thickBot="1" x14ac:dyDescent="0.35">
      <c r="A96" s="1"/>
      <c r="C96" s="138"/>
      <c r="E96" s="108"/>
    </row>
    <row r="97" spans="1:9" ht="15" thickBot="1" x14ac:dyDescent="0.35">
      <c r="A97" s="141" t="s">
        <v>29</v>
      </c>
      <c r="B97" s="142"/>
      <c r="C97" s="139">
        <f>SUM(C95:C96)</f>
        <v>0</v>
      </c>
      <c r="E97" s="108"/>
    </row>
    <row r="98" spans="1:9" x14ac:dyDescent="0.3">
      <c r="E98" s="108"/>
    </row>
    <row r="99" spans="1:9" x14ac:dyDescent="0.3">
      <c r="E99" s="136"/>
    </row>
    <row r="100" spans="1:9" x14ac:dyDescent="0.3">
      <c r="A100" s="215" t="s">
        <v>113</v>
      </c>
      <c r="B100" s="216"/>
      <c r="C100" s="216"/>
      <c r="D100" s="216"/>
      <c r="E100" s="165" t="s">
        <v>21</v>
      </c>
      <c r="F100" s="166" t="s">
        <v>122</v>
      </c>
    </row>
    <row r="101" spans="1:9" ht="36" customHeight="1" x14ac:dyDescent="0.3">
      <c r="A101" s="212" t="s">
        <v>167</v>
      </c>
      <c r="B101" s="213"/>
      <c r="C101" s="214"/>
      <c r="D101" s="112">
        <v>1400000</v>
      </c>
      <c r="E101" s="145">
        <f t="shared" ref="E101:E102" si="20">D101*91.91%</f>
        <v>1286740</v>
      </c>
      <c r="F101" s="133">
        <f t="shared" ref="F101:F103" si="21">D101*8.09%</f>
        <v>113260</v>
      </c>
    </row>
    <row r="102" spans="1:9" ht="36" customHeight="1" x14ac:dyDescent="0.3">
      <c r="A102" s="212" t="s">
        <v>168</v>
      </c>
      <c r="B102" s="213"/>
      <c r="C102" s="214"/>
      <c r="D102" s="112">
        <v>1000000</v>
      </c>
      <c r="E102" s="145">
        <f t="shared" si="20"/>
        <v>919099.99999999988</v>
      </c>
      <c r="F102" s="133">
        <f t="shared" si="21"/>
        <v>80900</v>
      </c>
    </row>
    <row r="103" spans="1:9" ht="24.75" customHeight="1" x14ac:dyDescent="0.3">
      <c r="A103" s="185" t="s">
        <v>163</v>
      </c>
      <c r="B103" s="113"/>
      <c r="C103" s="195" t="s">
        <v>165</v>
      </c>
      <c r="D103" s="112">
        <v>260000</v>
      </c>
      <c r="E103" s="145">
        <f t="shared" ref="E103" si="22">D103*91.91%</f>
        <v>238965.99999999997</v>
      </c>
      <c r="F103" s="133">
        <f t="shared" si="21"/>
        <v>21034</v>
      </c>
    </row>
    <row r="104" spans="1:9" ht="28.5" customHeight="1" x14ac:dyDescent="0.3">
      <c r="A104" s="185" t="s">
        <v>164</v>
      </c>
      <c r="B104" s="113"/>
      <c r="C104" s="195" t="s">
        <v>165</v>
      </c>
      <c r="D104" s="112">
        <v>256310.6</v>
      </c>
      <c r="E104" s="145">
        <f>D104*91.91%</f>
        <v>235575.07246</v>
      </c>
      <c r="F104" s="133">
        <f>D104*8.09%</f>
        <v>20735.527539999999</v>
      </c>
    </row>
    <row r="105" spans="1:9" x14ac:dyDescent="0.3">
      <c r="A105" s="209" t="s">
        <v>29</v>
      </c>
      <c r="B105" s="210"/>
      <c r="C105" s="211"/>
      <c r="D105" s="164">
        <f>SUM(D101:D104)</f>
        <v>2916310.6</v>
      </c>
      <c r="E105" s="164">
        <f>SUM(E101:E104)</f>
        <v>2680381.0724599999</v>
      </c>
      <c r="F105" s="164">
        <f>SUM(F101:F104)</f>
        <v>235929.52754000001</v>
      </c>
      <c r="H105" s="108">
        <f>E105+F105</f>
        <v>2916310.6</v>
      </c>
      <c r="I105" s="146" t="str">
        <f>IF(D105=H105, "", "Error")</f>
        <v/>
      </c>
    </row>
    <row r="107" spans="1:9" ht="15" thickBot="1" x14ac:dyDescent="0.35">
      <c r="E107" s="108"/>
    </row>
    <row r="108" spans="1:9" ht="15" thickBot="1" x14ac:dyDescent="0.35">
      <c r="A108" s="102" t="s">
        <v>104</v>
      </c>
      <c r="B108" s="103">
        <f>D92</f>
        <v>11708794.020000001</v>
      </c>
    </row>
    <row r="109" spans="1:9" ht="15" thickBot="1" x14ac:dyDescent="0.35">
      <c r="A109" s="104" t="s">
        <v>106</v>
      </c>
      <c r="B109" s="105">
        <f>D92-D90</f>
        <v>7878596.9800000014</v>
      </c>
    </row>
    <row r="110" spans="1:9" x14ac:dyDescent="0.3">
      <c r="D110" s="199"/>
      <c r="E110" s="199"/>
    </row>
    <row r="111" spans="1:9" x14ac:dyDescent="0.3">
      <c r="A111" s="74" t="s">
        <v>90</v>
      </c>
      <c r="B111" s="75"/>
      <c r="C111" s="76"/>
      <c r="D111" s="199"/>
      <c r="E111" s="199"/>
    </row>
    <row r="112" spans="1:9" x14ac:dyDescent="0.3">
      <c r="A112" s="77" t="s">
        <v>91</v>
      </c>
      <c r="B112" s="11">
        <v>-3599025.7822533529</v>
      </c>
      <c r="C112" s="78"/>
      <c r="D112" s="199"/>
      <c r="E112" s="199"/>
    </row>
    <row r="113" spans="1:7" x14ac:dyDescent="0.3">
      <c r="A113" s="79" t="s">
        <v>92</v>
      </c>
      <c r="B113" s="92">
        <f>PRORRATEO!G52</f>
        <v>8723308.1338689979</v>
      </c>
      <c r="C113" s="78" t="s">
        <v>93</v>
      </c>
      <c r="D113" s="199"/>
      <c r="E113" s="199"/>
    </row>
    <row r="114" spans="1:7" x14ac:dyDescent="0.3">
      <c r="A114" s="79" t="s">
        <v>115</v>
      </c>
      <c r="B114" s="168">
        <f>-B109</f>
        <v>-7878596.9800000014</v>
      </c>
      <c r="C114" s="76"/>
      <c r="D114" s="199"/>
      <c r="E114" s="199"/>
      <c r="G114" s="112"/>
    </row>
    <row r="115" spans="1:7" x14ac:dyDescent="0.3">
      <c r="A115" s="79" t="s">
        <v>114</v>
      </c>
      <c r="B115" s="168">
        <f>-D105</f>
        <v>-2916310.6</v>
      </c>
      <c r="C115" s="76"/>
      <c r="D115" s="199"/>
      <c r="E115" s="199"/>
      <c r="G115" s="124"/>
    </row>
    <row r="116" spans="1:7" x14ac:dyDescent="0.3">
      <c r="A116" s="79" t="s">
        <v>105</v>
      </c>
      <c r="B116" s="168">
        <f>-B123</f>
        <v>-40000</v>
      </c>
      <c r="C116" s="80"/>
    </row>
    <row r="117" spans="1:7" x14ac:dyDescent="0.3">
      <c r="A117" s="79" t="s">
        <v>120</v>
      </c>
      <c r="B117" s="93">
        <f>-C97</f>
        <v>0</v>
      </c>
      <c r="C117" s="80"/>
    </row>
    <row r="118" spans="1:7" x14ac:dyDescent="0.3">
      <c r="A118" s="79"/>
      <c r="B118" s="75"/>
      <c r="C118" s="80"/>
    </row>
    <row r="119" spans="1:7" x14ac:dyDescent="0.3">
      <c r="A119" s="77" t="s">
        <v>94</v>
      </c>
      <c r="B119" s="81">
        <f>SUM(B112:B118)</f>
        <v>-5710625.2283843569</v>
      </c>
      <c r="C119" s="150"/>
    </row>
    <row r="120" spans="1:7" x14ac:dyDescent="0.3">
      <c r="A120" s="80"/>
      <c r="C120" s="76"/>
      <c r="D120" s="83"/>
    </row>
    <row r="121" spans="1:7" x14ac:dyDescent="0.3">
      <c r="C121" s="76"/>
      <c r="D121" s="108"/>
      <c r="E121" s="171"/>
    </row>
    <row r="122" spans="1:7" x14ac:dyDescent="0.3">
      <c r="A122" s="74" t="s">
        <v>95</v>
      </c>
      <c r="B122" s="11">
        <v>-352694.54000000004</v>
      </c>
      <c r="C122" s="82"/>
      <c r="D122" s="171"/>
      <c r="E122" s="171"/>
      <c r="F122" s="171"/>
    </row>
    <row r="123" spans="1:7" ht="15" customHeight="1" x14ac:dyDescent="0.3">
      <c r="A123" s="77" t="s">
        <v>176</v>
      </c>
      <c r="B123" s="93">
        <v>40000</v>
      </c>
      <c r="C123" s="82"/>
      <c r="D123" s="171"/>
      <c r="E123" s="181"/>
    </row>
    <row r="124" spans="1:7" x14ac:dyDescent="0.3">
      <c r="A124" s="77" t="s">
        <v>142</v>
      </c>
      <c r="B124" s="168"/>
      <c r="C124" s="82"/>
      <c r="E124" s="108"/>
    </row>
    <row r="125" spans="1:7" x14ac:dyDescent="0.3">
      <c r="A125" s="77"/>
      <c r="B125" s="168"/>
      <c r="C125" s="82"/>
      <c r="E125" s="108"/>
    </row>
    <row r="126" spans="1:7" x14ac:dyDescent="0.3">
      <c r="A126" s="100" t="s">
        <v>29</v>
      </c>
      <c r="B126" s="101">
        <f>SUM(B122:B125)</f>
        <v>-312694.54000000004</v>
      </c>
      <c r="C126" s="82"/>
    </row>
    <row r="127" spans="1:7" x14ac:dyDescent="0.3">
      <c r="C127" s="83"/>
      <c r="D127" s="171"/>
    </row>
    <row r="128" spans="1:7" x14ac:dyDescent="0.3">
      <c r="B128" s="80"/>
      <c r="C128" s="76"/>
    </row>
    <row r="130" spans="2:14" x14ac:dyDescent="0.3">
      <c r="N130" s="12"/>
    </row>
    <row r="133" spans="2:14" x14ac:dyDescent="0.3">
      <c r="B133" s="198"/>
      <c r="C133" s="198"/>
      <c r="D133" s="198"/>
      <c r="E133" s="198"/>
    </row>
    <row r="134" spans="2:14" x14ac:dyDescent="0.3">
      <c r="B134" s="198"/>
      <c r="C134" s="198"/>
      <c r="D134" s="198"/>
      <c r="E134" s="198"/>
    </row>
    <row r="135" spans="2:14" x14ac:dyDescent="0.3">
      <c r="B135" s="198"/>
      <c r="C135" s="198"/>
      <c r="D135" s="198"/>
      <c r="E135" s="198"/>
    </row>
    <row r="136" spans="2:14" x14ac:dyDescent="0.3">
      <c r="B136" s="198"/>
      <c r="C136" s="198"/>
      <c r="D136" s="198"/>
      <c r="E136" s="198"/>
    </row>
    <row r="137" spans="2:14" x14ac:dyDescent="0.3">
      <c r="B137" s="198"/>
      <c r="C137" s="198"/>
      <c r="D137" s="198"/>
      <c r="E137" s="198"/>
    </row>
  </sheetData>
  <mergeCells count="11">
    <mergeCell ref="B133:E137"/>
    <mergeCell ref="D110:E115"/>
    <mergeCell ref="B14:D17"/>
    <mergeCell ref="A105:C105"/>
    <mergeCell ref="A101:C101"/>
    <mergeCell ref="A100:D100"/>
    <mergeCell ref="A58:C58"/>
    <mergeCell ref="A61:C61"/>
    <mergeCell ref="A59:C59"/>
    <mergeCell ref="A60:C60"/>
    <mergeCell ref="A102:C102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3"/>
  <sheetViews>
    <sheetView zoomScaleNormal="100" workbookViewId="0">
      <selection activeCell="G7" sqref="G7:G51"/>
    </sheetView>
  </sheetViews>
  <sheetFormatPr baseColWidth="10" defaultRowHeight="14.4" x14ac:dyDescent="0.3"/>
  <cols>
    <col min="1" max="1" width="4.5546875" customWidth="1"/>
    <col min="2" max="2" width="5.88671875" hidden="1" customWidth="1"/>
    <col min="3" max="3" width="5.33203125" customWidth="1"/>
    <col min="4" max="4" width="21.6640625" customWidth="1"/>
    <col min="5" max="5" width="6.109375" customWidth="1"/>
    <col min="6" max="7" width="12" bestFit="1" customWidth="1"/>
    <col min="8" max="8" width="9.88671875" customWidth="1"/>
    <col min="9" max="9" width="6" customWidth="1"/>
    <col min="10" max="10" width="13.6640625" customWidth="1"/>
    <col min="11" max="11" width="13.33203125" customWidth="1"/>
    <col min="12" max="12" width="10.44140625" customWidth="1"/>
    <col min="13" max="13" width="14.33203125" customWidth="1"/>
    <col min="14" max="14" width="13.6640625" customWidth="1"/>
    <col min="15" max="15" width="11.44140625" customWidth="1"/>
    <col min="16" max="16" width="14.5546875" bestFit="1" customWidth="1"/>
  </cols>
  <sheetData>
    <row r="1" spans="1:16" x14ac:dyDescent="0.3">
      <c r="A1" s="8"/>
      <c r="B1" s="8"/>
      <c r="C1" s="8"/>
      <c r="D1" s="8"/>
      <c r="E1" s="8"/>
      <c r="F1" s="8" t="s">
        <v>17</v>
      </c>
      <c r="G1" s="8"/>
      <c r="H1" s="8"/>
      <c r="I1" s="8"/>
      <c r="J1" s="8"/>
      <c r="K1" s="8" t="s">
        <v>124</v>
      </c>
      <c r="L1" s="223">
        <f>RESUMEN!D92</f>
        <v>11708794.020000001</v>
      </c>
      <c r="M1" s="224"/>
      <c r="N1" s="148"/>
      <c r="O1" s="134">
        <f>L1*8.09%</f>
        <v>947241.43621800013</v>
      </c>
    </row>
    <row r="2" spans="1:16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 t="s">
        <v>125</v>
      </c>
      <c r="L2" s="8"/>
      <c r="M2" s="148">
        <f>8271670+8271670*15%+49000+4000-276</f>
        <v>9565144.5</v>
      </c>
      <c r="N2" s="149"/>
      <c r="O2" s="134">
        <f>O1-K7-553-50-86-8</f>
        <v>225448.75821800018</v>
      </c>
    </row>
    <row r="3" spans="1:16" x14ac:dyDescent="0.3">
      <c r="A3" s="8" t="str">
        <f>RESUMEN!C5</f>
        <v>VTO: 15/10</v>
      </c>
      <c r="B3" s="8"/>
      <c r="C3" s="8"/>
      <c r="D3" s="8"/>
      <c r="E3" s="8"/>
      <c r="F3" s="8"/>
      <c r="G3" s="8"/>
      <c r="H3" s="8"/>
      <c r="I3" s="8"/>
      <c r="J3" s="9"/>
      <c r="K3" s="8" t="s">
        <v>131</v>
      </c>
      <c r="L3" s="8"/>
      <c r="M3" s="127">
        <f>RESUMEN!D105</f>
        <v>2916310.6</v>
      </c>
      <c r="N3" s="147"/>
      <c r="O3" s="73"/>
    </row>
    <row r="4" spans="1:16" ht="15" thickBot="1" x14ac:dyDescent="0.35">
      <c r="A4" s="8"/>
      <c r="B4" s="8"/>
      <c r="C4" s="8"/>
      <c r="D4" s="8"/>
      <c r="E4" s="8"/>
      <c r="F4" s="8"/>
      <c r="G4" s="8"/>
      <c r="H4" s="8"/>
      <c r="I4" s="8"/>
      <c r="J4" s="122">
        <f>(J3*8.09%)/44</f>
        <v>0</v>
      </c>
      <c r="K4" s="8" t="s">
        <v>125</v>
      </c>
      <c r="L4" s="8"/>
      <c r="M4" s="127">
        <f>3175000-2000+7</f>
        <v>3173007</v>
      </c>
      <c r="N4" s="123"/>
    </row>
    <row r="5" spans="1:16" x14ac:dyDescent="0.3">
      <c r="A5" s="220" t="s">
        <v>19</v>
      </c>
      <c r="B5" s="234" t="s">
        <v>20</v>
      </c>
      <c r="C5" s="220" t="s">
        <v>21</v>
      </c>
      <c r="D5" s="232" t="s">
        <v>22</v>
      </c>
      <c r="E5" s="220" t="s">
        <v>97</v>
      </c>
      <c r="F5" s="220" t="s">
        <v>23</v>
      </c>
      <c r="G5" s="220" t="s">
        <v>24</v>
      </c>
      <c r="H5" s="227" t="s">
        <v>25</v>
      </c>
      <c r="I5" s="232" t="s">
        <v>108</v>
      </c>
      <c r="J5" s="225" t="s">
        <v>26</v>
      </c>
      <c r="K5" s="225" t="s">
        <v>69</v>
      </c>
      <c r="L5" s="230" t="s">
        <v>123</v>
      </c>
      <c r="M5" s="225" t="s">
        <v>67</v>
      </c>
      <c r="N5" s="225" t="s">
        <v>68</v>
      </c>
    </row>
    <row r="6" spans="1:16" x14ac:dyDescent="0.3">
      <c r="A6" s="221"/>
      <c r="B6" s="235"/>
      <c r="C6" s="221"/>
      <c r="D6" s="236"/>
      <c r="E6" s="221"/>
      <c r="F6" s="221"/>
      <c r="G6" s="221"/>
      <c r="H6" s="228"/>
      <c r="I6" s="233"/>
      <c r="J6" s="226"/>
      <c r="K6" s="229"/>
      <c r="L6" s="231"/>
      <c r="M6" s="229"/>
      <c r="N6" s="226"/>
    </row>
    <row r="7" spans="1:16" x14ac:dyDescent="0.3">
      <c r="A7" s="7" t="s">
        <v>33</v>
      </c>
      <c r="B7" s="7"/>
      <c r="C7" s="7">
        <v>1</v>
      </c>
      <c r="D7" s="132" t="s">
        <v>34</v>
      </c>
      <c r="E7" s="7">
        <v>8.09</v>
      </c>
      <c r="F7" s="88">
        <v>614669.65776899992</v>
      </c>
      <c r="G7" s="196">
        <f>F7</f>
        <v>614669.65776899992</v>
      </c>
      <c r="H7" s="130">
        <f>F7-G7</f>
        <v>0</v>
      </c>
      <c r="I7" s="106">
        <v>12</v>
      </c>
      <c r="J7" s="88">
        <v>235929.52754000001</v>
      </c>
      <c r="K7" s="88">
        <v>721095.67799999996</v>
      </c>
      <c r="L7" s="98">
        <v>0</v>
      </c>
      <c r="M7" s="6">
        <f>K7+J7+H7+L7</f>
        <v>957025.20554</v>
      </c>
      <c r="N7" s="11">
        <f>M7*6% + M7</f>
        <v>1014446.7178724</v>
      </c>
    </row>
    <row r="8" spans="1:16" x14ac:dyDescent="0.3">
      <c r="A8" s="7" t="s">
        <v>35</v>
      </c>
      <c r="B8" s="7"/>
      <c r="C8" s="7">
        <v>24</v>
      </c>
      <c r="D8" s="132" t="s">
        <v>36</v>
      </c>
      <c r="E8" s="7">
        <v>2.21</v>
      </c>
      <c r="F8" s="88">
        <v>181048.12201451589</v>
      </c>
      <c r="G8" s="196">
        <v>180000</v>
      </c>
      <c r="H8" s="130">
        <f t="shared" ref="H8:H51" si="0">F8-G8</f>
        <v>1048.1220145158877</v>
      </c>
      <c r="I8" s="106">
        <v>11</v>
      </c>
      <c r="J8" s="88">
        <f>M$4*E8%</f>
        <v>70123.454699999987</v>
      </c>
      <c r="K8" s="88">
        <f>M$2*E8 /100</f>
        <v>211389.69344999999</v>
      </c>
      <c r="L8" s="160">
        <f>J$3*E8%+J$4</f>
        <v>0</v>
      </c>
      <c r="M8" s="6">
        <f>K8+J8+H8+L8</f>
        <v>282561.27016451582</v>
      </c>
      <c r="N8" s="11">
        <f t="shared" ref="N8:N51" si="1">M8*6% + M8</f>
        <v>299514.94637438678</v>
      </c>
    </row>
    <row r="9" spans="1:16" x14ac:dyDescent="0.3">
      <c r="A9" s="7" t="s">
        <v>35</v>
      </c>
      <c r="B9" s="7"/>
      <c r="C9" s="7">
        <v>25</v>
      </c>
      <c r="D9" s="132" t="s">
        <v>37</v>
      </c>
      <c r="E9" s="7">
        <v>4.21</v>
      </c>
      <c r="F9" s="88">
        <v>348817.05528426333</v>
      </c>
      <c r="G9" s="197">
        <f>392904-G34</f>
        <v>348236.98199999996</v>
      </c>
      <c r="H9" s="130">
        <f t="shared" si="0"/>
        <v>580.07328426337335</v>
      </c>
      <c r="I9" s="106">
        <v>4</v>
      </c>
      <c r="J9" s="88">
        <f t="shared" ref="J9:J51" si="2">M$4*E9%</f>
        <v>133583.59469999999</v>
      </c>
      <c r="K9" s="88">
        <f t="shared" ref="K9:K51" si="3">M$2*E9 /100</f>
        <v>402692.58344999998</v>
      </c>
      <c r="L9" s="160">
        <f t="shared" ref="L9:L50" si="4">J$3*E9%+J$4</f>
        <v>0</v>
      </c>
      <c r="M9" s="6">
        <f t="shared" ref="M9:M51" si="5">K9+J9+H9+L9</f>
        <v>536856.25143426331</v>
      </c>
      <c r="N9" s="11">
        <f t="shared" si="1"/>
        <v>569067.62652031914</v>
      </c>
    </row>
    <row r="10" spans="1:16" x14ac:dyDescent="0.3">
      <c r="A10" s="7" t="s">
        <v>38</v>
      </c>
      <c r="B10" s="7"/>
      <c r="C10" s="7">
        <v>26</v>
      </c>
      <c r="D10" s="132" t="s">
        <v>39</v>
      </c>
      <c r="E10" s="7">
        <v>2.84</v>
      </c>
      <c r="F10" s="88">
        <v>279110.11420596868</v>
      </c>
      <c r="G10" s="196">
        <v>213555</v>
      </c>
      <c r="H10" s="130">
        <f t="shared" si="0"/>
        <v>65555.114205968683</v>
      </c>
      <c r="I10" s="106">
        <v>4</v>
      </c>
      <c r="J10" s="88">
        <f t="shared" si="2"/>
        <v>90113.398799999995</v>
      </c>
      <c r="K10" s="88">
        <f t="shared" si="3"/>
        <v>271650.10379999998</v>
      </c>
      <c r="L10" s="160">
        <f t="shared" si="4"/>
        <v>0</v>
      </c>
      <c r="M10" s="6">
        <f t="shared" si="5"/>
        <v>427318.61680596869</v>
      </c>
      <c r="N10" s="11">
        <f t="shared" si="1"/>
        <v>452957.73381432681</v>
      </c>
    </row>
    <row r="11" spans="1:16" x14ac:dyDescent="0.3">
      <c r="A11" s="7" t="s">
        <v>38</v>
      </c>
      <c r="B11" s="7"/>
      <c r="C11" s="7">
        <v>27</v>
      </c>
      <c r="D11" s="132" t="s">
        <v>40</v>
      </c>
      <c r="E11" s="7">
        <v>3.43</v>
      </c>
      <c r="F11" s="88">
        <v>283718.28100000002</v>
      </c>
      <c r="G11" s="196">
        <f>F11</f>
        <v>283718.28100000002</v>
      </c>
      <c r="H11" s="130">
        <f t="shared" si="0"/>
        <v>0</v>
      </c>
      <c r="I11" s="106">
        <v>13</v>
      </c>
      <c r="J11" s="88">
        <f t="shared" si="2"/>
        <v>108834.14010000002</v>
      </c>
      <c r="K11" s="88">
        <f t="shared" si="3"/>
        <v>328084.45634999999</v>
      </c>
      <c r="L11" s="160">
        <f t="shared" si="4"/>
        <v>0</v>
      </c>
      <c r="M11" s="6">
        <f t="shared" si="5"/>
        <v>436918.59645000001</v>
      </c>
      <c r="N11" s="11">
        <f t="shared" si="1"/>
        <v>463133.712237</v>
      </c>
      <c r="P11" s="108"/>
    </row>
    <row r="12" spans="1:16" x14ac:dyDescent="0.3">
      <c r="A12" s="7" t="s">
        <v>41</v>
      </c>
      <c r="B12" s="7"/>
      <c r="C12" s="7">
        <v>28</v>
      </c>
      <c r="D12" s="132" t="s">
        <v>111</v>
      </c>
      <c r="E12" s="7">
        <v>2.84</v>
      </c>
      <c r="F12" s="88">
        <v>234915.42799999996</v>
      </c>
      <c r="G12" s="197">
        <f>F12</f>
        <v>234915.42799999996</v>
      </c>
      <c r="H12" s="130">
        <f>F12-G12</f>
        <v>0</v>
      </c>
      <c r="I12" s="106">
        <v>14</v>
      </c>
      <c r="J12" s="88">
        <f t="shared" si="2"/>
        <v>90113.398799999995</v>
      </c>
      <c r="K12" s="88">
        <f t="shared" si="3"/>
        <v>271650.10379999998</v>
      </c>
      <c r="L12" s="160">
        <f t="shared" si="4"/>
        <v>0</v>
      </c>
      <c r="M12" s="6">
        <f t="shared" si="5"/>
        <v>361763.50260000001</v>
      </c>
      <c r="N12" s="11">
        <f t="shared" si="1"/>
        <v>383469.31275600003</v>
      </c>
    </row>
    <row r="13" spans="1:16" x14ac:dyDescent="0.3">
      <c r="A13" s="7" t="s">
        <v>41</v>
      </c>
      <c r="B13" s="7"/>
      <c r="C13" s="7">
        <v>29</v>
      </c>
      <c r="D13" s="132" t="s">
        <v>42</v>
      </c>
      <c r="E13" s="7">
        <v>3.43</v>
      </c>
      <c r="F13" s="88">
        <v>283718.82411924173</v>
      </c>
      <c r="G13" s="197">
        <f>332521-G50</f>
        <v>283718.147</v>
      </c>
      <c r="H13" s="130">
        <f t="shared" si="0"/>
        <v>0.67711924173636362</v>
      </c>
      <c r="I13" s="106">
        <v>1</v>
      </c>
      <c r="J13" s="88">
        <f t="shared" si="2"/>
        <v>108834.14010000002</v>
      </c>
      <c r="K13" s="88">
        <f t="shared" si="3"/>
        <v>328084.45634999999</v>
      </c>
      <c r="L13" s="160">
        <v>10000</v>
      </c>
      <c r="M13" s="6">
        <f t="shared" si="5"/>
        <v>446919.27356924175</v>
      </c>
      <c r="N13" s="11">
        <f t="shared" si="1"/>
        <v>473734.42998339626</v>
      </c>
    </row>
    <row r="14" spans="1:16" x14ac:dyDescent="0.3">
      <c r="A14" s="7" t="s">
        <v>43</v>
      </c>
      <c r="B14" s="7"/>
      <c r="C14" s="7">
        <v>30</v>
      </c>
      <c r="D14" s="132" t="s">
        <v>44</v>
      </c>
      <c r="E14" s="7">
        <v>2.84</v>
      </c>
      <c r="F14" s="88">
        <v>258710.39332799998</v>
      </c>
      <c r="G14" s="196">
        <v>234915</v>
      </c>
      <c r="H14" s="130">
        <f t="shared" si="0"/>
        <v>23795.393327999976</v>
      </c>
      <c r="I14" s="106">
        <v>18</v>
      </c>
      <c r="J14" s="88">
        <f t="shared" si="2"/>
        <v>90113.398799999995</v>
      </c>
      <c r="K14" s="88">
        <f t="shared" si="3"/>
        <v>271650.10379999998</v>
      </c>
      <c r="L14" s="160">
        <f t="shared" si="4"/>
        <v>0</v>
      </c>
      <c r="M14" s="6">
        <f t="shared" si="5"/>
        <v>385558.89592799998</v>
      </c>
      <c r="N14" s="11">
        <f t="shared" si="1"/>
        <v>408692.42968368001</v>
      </c>
    </row>
    <row r="15" spans="1:16" x14ac:dyDescent="0.3">
      <c r="A15" s="7" t="s">
        <v>43</v>
      </c>
      <c r="B15" s="7"/>
      <c r="C15" s="7">
        <v>31</v>
      </c>
      <c r="D15" s="132" t="s">
        <v>140</v>
      </c>
      <c r="E15" s="7">
        <v>3.43</v>
      </c>
      <c r="F15" s="88">
        <v>283718.16704653396</v>
      </c>
      <c r="G15" s="197">
        <f>325076-G35</f>
        <v>283717.65000000002</v>
      </c>
      <c r="H15" s="130">
        <f t="shared" si="0"/>
        <v>0.51704653393244371</v>
      </c>
      <c r="I15" s="106">
        <v>1</v>
      </c>
      <c r="J15" s="88">
        <f t="shared" si="2"/>
        <v>108834.14010000002</v>
      </c>
      <c r="K15" s="88">
        <f t="shared" si="3"/>
        <v>328084.45634999999</v>
      </c>
      <c r="L15" s="160">
        <f t="shared" si="4"/>
        <v>0</v>
      </c>
      <c r="M15" s="6">
        <f t="shared" si="5"/>
        <v>436919.11349653394</v>
      </c>
      <c r="N15" s="11">
        <f t="shared" si="1"/>
        <v>463134.26030632597</v>
      </c>
    </row>
    <row r="16" spans="1:16" x14ac:dyDescent="0.3">
      <c r="A16" s="7" t="s">
        <v>46</v>
      </c>
      <c r="B16" s="7"/>
      <c r="C16" s="7">
        <v>32</v>
      </c>
      <c r="D16" s="132" t="s">
        <v>136</v>
      </c>
      <c r="E16" s="7">
        <v>2.84</v>
      </c>
      <c r="F16" s="88">
        <v>280282</v>
      </c>
      <c r="G16" s="197">
        <f>275546+45267-G49</f>
        <v>280281.81699999998</v>
      </c>
      <c r="H16" s="130">
        <f t="shared" si="0"/>
        <v>0.18300000001909211</v>
      </c>
      <c r="I16" s="106">
        <v>4</v>
      </c>
      <c r="J16" s="88">
        <f t="shared" si="2"/>
        <v>90113.398799999995</v>
      </c>
      <c r="K16" s="88">
        <f t="shared" si="3"/>
        <v>271650.10379999998</v>
      </c>
      <c r="L16" s="160">
        <f t="shared" si="4"/>
        <v>0</v>
      </c>
      <c r="M16" s="6">
        <f t="shared" si="5"/>
        <v>361763.68560000003</v>
      </c>
      <c r="N16" s="11">
        <f t="shared" si="1"/>
        <v>383469.50673600001</v>
      </c>
    </row>
    <row r="17" spans="1:14" x14ac:dyDescent="0.3">
      <c r="A17" s="7" t="s">
        <v>46</v>
      </c>
      <c r="B17" s="7"/>
      <c r="C17" s="7">
        <v>33</v>
      </c>
      <c r="D17" s="132" t="s">
        <v>47</v>
      </c>
      <c r="E17" s="7">
        <v>3.43</v>
      </c>
      <c r="F17" s="88">
        <v>293717.14471111476</v>
      </c>
      <c r="G17" s="196">
        <f>375606+1-G47-G48</f>
        <v>293717.467</v>
      </c>
      <c r="H17" s="130">
        <f t="shared" si="0"/>
        <v>-0.32228888524696231</v>
      </c>
      <c r="I17" s="106">
        <v>12</v>
      </c>
      <c r="J17" s="88">
        <f t="shared" si="2"/>
        <v>108834.14010000002</v>
      </c>
      <c r="K17" s="88">
        <f t="shared" si="3"/>
        <v>328084.45634999999</v>
      </c>
      <c r="L17" s="160">
        <v>10000</v>
      </c>
      <c r="M17" s="6">
        <f t="shared" si="5"/>
        <v>446918.27416111476</v>
      </c>
      <c r="N17" s="11">
        <f t="shared" si="1"/>
        <v>473733.37061078165</v>
      </c>
    </row>
    <row r="18" spans="1:14" x14ac:dyDescent="0.3">
      <c r="A18" s="7" t="s">
        <v>48</v>
      </c>
      <c r="B18" s="7"/>
      <c r="C18" s="7">
        <v>34</v>
      </c>
      <c r="D18" s="132" t="s">
        <v>49</v>
      </c>
      <c r="E18" s="7">
        <v>2.84</v>
      </c>
      <c r="F18" s="88">
        <v>231604.94198325131</v>
      </c>
      <c r="G18" s="196">
        <f>112000+160000+8000-G51</f>
        <v>232851.481</v>
      </c>
      <c r="H18" s="130">
        <f t="shared" si="0"/>
        <v>-1246.5390167486912</v>
      </c>
      <c r="I18" s="106">
        <v>12</v>
      </c>
      <c r="J18" s="88">
        <f t="shared" si="2"/>
        <v>90113.398799999995</v>
      </c>
      <c r="K18" s="88">
        <f t="shared" si="3"/>
        <v>271650.10379999998</v>
      </c>
      <c r="L18" s="160">
        <f t="shared" si="4"/>
        <v>0</v>
      </c>
      <c r="M18" s="6">
        <f t="shared" si="5"/>
        <v>360516.96358325134</v>
      </c>
      <c r="N18" s="11">
        <f t="shared" si="1"/>
        <v>382147.98139824643</v>
      </c>
    </row>
    <row r="19" spans="1:14" x14ac:dyDescent="0.3">
      <c r="A19" s="7" t="s">
        <v>48</v>
      </c>
      <c r="B19" s="7"/>
      <c r="C19" s="7">
        <v>35</v>
      </c>
      <c r="D19" s="132" t="s">
        <v>50</v>
      </c>
      <c r="E19" s="7">
        <v>3.43</v>
      </c>
      <c r="F19" s="88">
        <v>283718.85376516799</v>
      </c>
      <c r="G19" s="197">
        <f>328385-G41</f>
        <v>283717.98199999996</v>
      </c>
      <c r="H19" s="130">
        <f t="shared" si="0"/>
        <v>0.87176516803447157</v>
      </c>
      <c r="I19" s="106">
        <v>1</v>
      </c>
      <c r="J19" s="88">
        <f t="shared" si="2"/>
        <v>108834.14010000002</v>
      </c>
      <c r="K19" s="88">
        <f t="shared" si="3"/>
        <v>328084.45634999999</v>
      </c>
      <c r="L19" s="160">
        <f t="shared" si="4"/>
        <v>0</v>
      </c>
      <c r="M19" s="6">
        <f t="shared" si="5"/>
        <v>436919.46821516805</v>
      </c>
      <c r="N19" s="11">
        <f t="shared" si="1"/>
        <v>463134.63630807813</v>
      </c>
    </row>
    <row r="20" spans="1:14" x14ac:dyDescent="0.3">
      <c r="A20" s="7" t="s">
        <v>51</v>
      </c>
      <c r="B20" s="7"/>
      <c r="C20" s="7">
        <v>36</v>
      </c>
      <c r="D20" s="132" t="s">
        <v>52</v>
      </c>
      <c r="E20" s="7">
        <v>2.84</v>
      </c>
      <c r="F20" s="88">
        <v>246161.02790707469</v>
      </c>
      <c r="G20" s="196">
        <f>275446-G38</f>
        <v>234914.81700000001</v>
      </c>
      <c r="H20" s="130">
        <f t="shared" si="0"/>
        <v>11246.210907074681</v>
      </c>
      <c r="I20" s="106">
        <v>1</v>
      </c>
      <c r="J20" s="88">
        <f t="shared" si="2"/>
        <v>90113.398799999995</v>
      </c>
      <c r="K20" s="88">
        <f t="shared" si="3"/>
        <v>271650.10379999998</v>
      </c>
      <c r="L20" s="160">
        <f t="shared" si="4"/>
        <v>0</v>
      </c>
      <c r="M20" s="6">
        <f t="shared" si="5"/>
        <v>373009.71350707469</v>
      </c>
      <c r="N20" s="11">
        <f t="shared" si="1"/>
        <v>395390.29631749919</v>
      </c>
    </row>
    <row r="21" spans="1:14" x14ac:dyDescent="0.3">
      <c r="A21" s="7" t="s">
        <v>51</v>
      </c>
      <c r="B21" s="7"/>
      <c r="C21" s="7">
        <v>37</v>
      </c>
      <c r="D21" s="132" t="s">
        <v>53</v>
      </c>
      <c r="E21" s="7">
        <v>3.43</v>
      </c>
      <c r="F21" s="88">
        <v>283718.25609179586</v>
      </c>
      <c r="G21" s="196">
        <f>328385-G45</f>
        <v>283717.98199999996</v>
      </c>
      <c r="H21" s="130">
        <f t="shared" si="0"/>
        <v>0.27409179590176791</v>
      </c>
      <c r="I21" s="106">
        <v>1</v>
      </c>
      <c r="J21" s="88">
        <f t="shared" si="2"/>
        <v>108834.14010000002</v>
      </c>
      <c r="K21" s="88">
        <f t="shared" si="3"/>
        <v>328084.45634999999</v>
      </c>
      <c r="L21" s="160">
        <f t="shared" si="4"/>
        <v>0</v>
      </c>
      <c r="M21" s="6">
        <f t="shared" si="5"/>
        <v>436918.87054179591</v>
      </c>
      <c r="N21" s="11">
        <f t="shared" si="1"/>
        <v>463134.00277430366</v>
      </c>
    </row>
    <row r="22" spans="1:14" x14ac:dyDescent="0.3">
      <c r="A22" s="7" t="s">
        <v>54</v>
      </c>
      <c r="B22" s="7"/>
      <c r="C22" s="7">
        <v>38</v>
      </c>
      <c r="D22" s="161" t="s">
        <v>128</v>
      </c>
      <c r="E22" s="7">
        <v>2.84</v>
      </c>
      <c r="F22" s="88">
        <v>254915.42799999996</v>
      </c>
      <c r="G22" s="196">
        <f>F22</f>
        <v>254915.42799999996</v>
      </c>
      <c r="H22" s="130">
        <f t="shared" si="0"/>
        <v>0</v>
      </c>
      <c r="I22" s="106">
        <v>2</v>
      </c>
      <c r="J22" s="88">
        <f t="shared" si="2"/>
        <v>90113.398799999995</v>
      </c>
      <c r="K22" s="88">
        <f t="shared" si="3"/>
        <v>271650.10379999998</v>
      </c>
      <c r="L22" s="160">
        <f t="shared" si="4"/>
        <v>0</v>
      </c>
      <c r="M22" s="6">
        <f t="shared" si="5"/>
        <v>361763.50260000001</v>
      </c>
      <c r="N22" s="11">
        <f t="shared" si="1"/>
        <v>383469.31275600003</v>
      </c>
    </row>
    <row r="23" spans="1:14" x14ac:dyDescent="0.3">
      <c r="A23" s="7" t="s">
        <v>54</v>
      </c>
      <c r="B23" s="7"/>
      <c r="C23" s="7">
        <v>39</v>
      </c>
      <c r="D23" s="132" t="s">
        <v>55</v>
      </c>
      <c r="E23" s="7">
        <v>3.43</v>
      </c>
      <c r="F23" s="88">
        <v>309550.97053314082</v>
      </c>
      <c r="G23" s="197">
        <f>334000-G46</f>
        <v>290160.14899999998</v>
      </c>
      <c r="H23" s="130">
        <f t="shared" si="0"/>
        <v>19390.821533140843</v>
      </c>
      <c r="I23" s="106">
        <v>26</v>
      </c>
      <c r="J23" s="88">
        <f t="shared" si="2"/>
        <v>108834.14010000002</v>
      </c>
      <c r="K23" s="88">
        <f t="shared" si="3"/>
        <v>328084.45634999999</v>
      </c>
      <c r="L23" s="160">
        <v>10000</v>
      </c>
      <c r="M23" s="6">
        <f t="shared" si="5"/>
        <v>466309.41798314085</v>
      </c>
      <c r="N23" s="11">
        <f t="shared" si="1"/>
        <v>494287.98306212929</v>
      </c>
    </row>
    <row r="24" spans="1:14" x14ac:dyDescent="0.3">
      <c r="A24" s="7" t="s">
        <v>56</v>
      </c>
      <c r="B24" s="7"/>
      <c r="C24" s="7">
        <v>40</v>
      </c>
      <c r="D24" s="132" t="s">
        <v>57</v>
      </c>
      <c r="E24" s="7">
        <v>2.84</v>
      </c>
      <c r="F24" s="88">
        <v>233406.74547107471</v>
      </c>
      <c r="G24" s="196">
        <f>266000+14000-G37</f>
        <v>239468.81700000001</v>
      </c>
      <c r="H24" s="130">
        <f t="shared" si="0"/>
        <v>-6062.0715289252985</v>
      </c>
      <c r="I24" s="172">
        <v>6</v>
      </c>
      <c r="J24" s="88">
        <f t="shared" si="2"/>
        <v>90113.398799999995</v>
      </c>
      <c r="K24" s="88">
        <f t="shared" si="3"/>
        <v>271650.10379999998</v>
      </c>
      <c r="L24" s="160">
        <v>10000</v>
      </c>
      <c r="M24" s="6">
        <f t="shared" si="5"/>
        <v>365701.43107107468</v>
      </c>
      <c r="N24" s="11">
        <f t="shared" si="1"/>
        <v>387643.51693533914</v>
      </c>
    </row>
    <row r="25" spans="1:14" x14ac:dyDescent="0.3">
      <c r="A25" s="7" t="s">
        <v>56</v>
      </c>
      <c r="B25" s="7"/>
      <c r="C25" s="7">
        <v>41</v>
      </c>
      <c r="D25" s="132" t="s">
        <v>58</v>
      </c>
      <c r="E25" s="7">
        <v>3.43</v>
      </c>
      <c r="F25" s="88">
        <v>322090.1091</v>
      </c>
      <c r="G25" s="196">
        <f>F25</f>
        <v>322090.1091</v>
      </c>
      <c r="H25" s="130">
        <f t="shared" si="0"/>
        <v>0</v>
      </c>
      <c r="I25" s="106">
        <v>10</v>
      </c>
      <c r="J25" s="88">
        <f t="shared" si="2"/>
        <v>108834.14010000002</v>
      </c>
      <c r="K25" s="88">
        <f t="shared" si="3"/>
        <v>328084.45634999999</v>
      </c>
      <c r="L25" s="160">
        <f t="shared" si="4"/>
        <v>0</v>
      </c>
      <c r="M25" s="6">
        <f t="shared" si="5"/>
        <v>436918.59645000001</v>
      </c>
      <c r="N25" s="11">
        <f t="shared" si="1"/>
        <v>463133.712237</v>
      </c>
    </row>
    <row r="26" spans="1:14" x14ac:dyDescent="0.3">
      <c r="A26" s="7" t="s">
        <v>59</v>
      </c>
      <c r="B26" s="7"/>
      <c r="C26" s="7">
        <v>42</v>
      </c>
      <c r="D26" s="132" t="s">
        <v>60</v>
      </c>
      <c r="E26" s="7">
        <v>6</v>
      </c>
      <c r="F26" s="88">
        <v>496299.97081603704</v>
      </c>
      <c r="G26" s="197">
        <f>676478.23-G30-G31-G36</f>
        <v>544958.67700000003</v>
      </c>
      <c r="H26" s="131">
        <f t="shared" si="0"/>
        <v>-48658.70618396299</v>
      </c>
      <c r="I26" s="106">
        <v>1</v>
      </c>
      <c r="J26" s="88">
        <f t="shared" si="2"/>
        <v>190380.41999999998</v>
      </c>
      <c r="K26" s="88">
        <f t="shared" si="3"/>
        <v>573908.67000000004</v>
      </c>
      <c r="L26" s="160">
        <f t="shared" si="4"/>
        <v>0</v>
      </c>
      <c r="M26" s="6">
        <f t="shared" si="5"/>
        <v>715630.38381603709</v>
      </c>
      <c r="N26" s="11">
        <f t="shared" si="1"/>
        <v>758568.20684499934</v>
      </c>
    </row>
    <row r="27" spans="1:14" x14ac:dyDescent="0.3">
      <c r="A27" s="7" t="s">
        <v>61</v>
      </c>
      <c r="B27" s="7"/>
      <c r="C27" s="7">
        <v>43</v>
      </c>
      <c r="D27" s="132" t="s">
        <v>62</v>
      </c>
      <c r="E27" s="7">
        <v>5.89</v>
      </c>
      <c r="F27" s="88">
        <v>490962.31853526551</v>
      </c>
      <c r="G27" s="196">
        <f>586914-G39-G40</f>
        <v>490962.62800000003</v>
      </c>
      <c r="H27" s="130">
        <f t="shared" si="0"/>
        <v>-0.30946473451331258</v>
      </c>
      <c r="I27" s="106">
        <v>14</v>
      </c>
      <c r="J27" s="88">
        <f t="shared" si="2"/>
        <v>186890.11229999998</v>
      </c>
      <c r="K27" s="88">
        <f t="shared" si="3"/>
        <v>563387.01104999997</v>
      </c>
      <c r="L27" s="160">
        <f t="shared" si="4"/>
        <v>0</v>
      </c>
      <c r="M27" s="6">
        <f t="shared" si="5"/>
        <v>750276.8138852655</v>
      </c>
      <c r="N27" s="11">
        <f t="shared" si="1"/>
        <v>795293.42271838139</v>
      </c>
    </row>
    <row r="28" spans="1:14" x14ac:dyDescent="0.3">
      <c r="A28" s="7" t="s">
        <v>63</v>
      </c>
      <c r="B28" s="7"/>
      <c r="C28" s="7">
        <v>44</v>
      </c>
      <c r="D28" s="132" t="s">
        <v>64</v>
      </c>
      <c r="E28" s="7">
        <v>5.89</v>
      </c>
      <c r="F28" s="88">
        <v>510253.2765765409</v>
      </c>
      <c r="G28" s="196">
        <f>598000-G32-G33</f>
        <v>510320.29799999995</v>
      </c>
      <c r="H28" s="130">
        <f t="shared" si="0"/>
        <v>-67.02142345905304</v>
      </c>
      <c r="I28" s="106">
        <v>6</v>
      </c>
      <c r="J28" s="88">
        <f t="shared" si="2"/>
        <v>186890.11229999998</v>
      </c>
      <c r="K28" s="88">
        <f t="shared" si="3"/>
        <v>563387.01104999997</v>
      </c>
      <c r="L28" s="160">
        <f t="shared" si="4"/>
        <v>0</v>
      </c>
      <c r="M28" s="6">
        <f t="shared" si="5"/>
        <v>750210.10192654096</v>
      </c>
      <c r="N28" s="11">
        <f t="shared" si="1"/>
        <v>795222.70804213337</v>
      </c>
    </row>
    <row r="29" spans="1:14" x14ac:dyDescent="0.3">
      <c r="A29" s="7" t="s">
        <v>65</v>
      </c>
      <c r="B29" s="7"/>
      <c r="C29" s="7">
        <v>45</v>
      </c>
      <c r="D29" s="132" t="s">
        <v>66</v>
      </c>
      <c r="E29" s="7">
        <v>5.89</v>
      </c>
      <c r="F29" s="88">
        <v>815269.4544566999</v>
      </c>
      <c r="G29" s="197">
        <f>950000-G42-G43-G44</f>
        <v>816826.1129999999</v>
      </c>
      <c r="H29" s="131">
        <f t="shared" si="0"/>
        <v>-1556.6585433</v>
      </c>
      <c r="I29" s="106">
        <v>3</v>
      </c>
      <c r="J29" s="88">
        <f t="shared" si="2"/>
        <v>186890.11229999998</v>
      </c>
      <c r="K29" s="88">
        <f t="shared" si="3"/>
        <v>563387.01104999997</v>
      </c>
      <c r="L29" s="160">
        <f t="shared" si="4"/>
        <v>0</v>
      </c>
      <c r="M29" s="6">
        <f t="shared" si="5"/>
        <v>748720.46480670001</v>
      </c>
      <c r="N29" s="11">
        <f t="shared" si="1"/>
        <v>793643.69269510196</v>
      </c>
    </row>
    <row r="30" spans="1:14" x14ac:dyDescent="0.3">
      <c r="A30" s="125" t="s">
        <v>96</v>
      </c>
      <c r="B30" s="7"/>
      <c r="C30" s="7">
        <v>1</v>
      </c>
      <c r="D30" s="132" t="s">
        <v>60</v>
      </c>
      <c r="E30" s="7">
        <v>0.54</v>
      </c>
      <c r="F30" s="88">
        <v>44667.018000000011</v>
      </c>
      <c r="G30" s="196">
        <f t="shared" ref="G30:G34" si="6">F30</f>
        <v>44667.018000000011</v>
      </c>
      <c r="H30" s="130">
        <f t="shared" si="0"/>
        <v>0</v>
      </c>
      <c r="I30" s="106"/>
      <c r="J30" s="88">
        <f t="shared" si="2"/>
        <v>17134.237800000003</v>
      </c>
      <c r="K30" s="88">
        <f t="shared" si="3"/>
        <v>51651.780300000006</v>
      </c>
      <c r="L30" s="160">
        <f t="shared" si="4"/>
        <v>0</v>
      </c>
      <c r="M30" s="6">
        <f t="shared" si="5"/>
        <v>68786.018100000016</v>
      </c>
      <c r="N30" s="11">
        <f t="shared" si="1"/>
        <v>72913.179186000023</v>
      </c>
    </row>
    <row r="31" spans="1:14" x14ac:dyDescent="0.3">
      <c r="A31" s="125" t="s">
        <v>96</v>
      </c>
      <c r="B31" s="7"/>
      <c r="C31" s="7">
        <v>2</v>
      </c>
      <c r="D31" s="132" t="s">
        <v>60</v>
      </c>
      <c r="E31" s="7">
        <v>0.55000000000000004</v>
      </c>
      <c r="F31" s="88">
        <v>45494.184999999998</v>
      </c>
      <c r="G31" s="196">
        <f t="shared" si="6"/>
        <v>45494.184999999998</v>
      </c>
      <c r="H31" s="130">
        <f t="shared" si="0"/>
        <v>0</v>
      </c>
      <c r="I31" s="106"/>
      <c r="J31" s="88">
        <f t="shared" si="2"/>
        <v>17451.538500000002</v>
      </c>
      <c r="K31" s="88">
        <f t="shared" si="3"/>
        <v>52608.294750000008</v>
      </c>
      <c r="L31" s="160">
        <f t="shared" si="4"/>
        <v>0</v>
      </c>
      <c r="M31" s="6">
        <f t="shared" si="5"/>
        <v>70059.833250000011</v>
      </c>
      <c r="N31" s="11">
        <f t="shared" si="1"/>
        <v>74263.423245000013</v>
      </c>
    </row>
    <row r="32" spans="1:14" x14ac:dyDescent="0.3">
      <c r="A32" s="125" t="s">
        <v>96</v>
      </c>
      <c r="B32" s="7"/>
      <c r="C32" s="7">
        <v>3</v>
      </c>
      <c r="D32" s="132" t="s">
        <v>64</v>
      </c>
      <c r="E32" s="7">
        <v>0.45</v>
      </c>
      <c r="F32" s="88">
        <v>37222.514999999999</v>
      </c>
      <c r="G32" s="196">
        <f>F32</f>
        <v>37222.514999999999</v>
      </c>
      <c r="H32" s="130">
        <f t="shared" si="0"/>
        <v>0</v>
      </c>
      <c r="I32" s="106"/>
      <c r="J32" s="88">
        <f t="shared" si="2"/>
        <v>14278.531500000001</v>
      </c>
      <c r="K32" s="88">
        <f t="shared" si="3"/>
        <v>43043.150250000006</v>
      </c>
      <c r="L32" s="160">
        <f t="shared" si="4"/>
        <v>0</v>
      </c>
      <c r="M32" s="6">
        <f t="shared" si="5"/>
        <v>57321.681750000003</v>
      </c>
      <c r="N32" s="11">
        <f t="shared" si="1"/>
        <v>60760.982655</v>
      </c>
    </row>
    <row r="33" spans="1:17" x14ac:dyDescent="0.3">
      <c r="A33" s="125" t="s">
        <v>96</v>
      </c>
      <c r="B33" s="7"/>
      <c r="C33" s="7">
        <v>4</v>
      </c>
      <c r="D33" s="132" t="s">
        <v>64</v>
      </c>
      <c r="E33" s="7">
        <v>0.61</v>
      </c>
      <c r="F33" s="88">
        <v>50457.187000000005</v>
      </c>
      <c r="G33" s="196">
        <f t="shared" si="6"/>
        <v>50457.187000000005</v>
      </c>
      <c r="H33" s="130">
        <f t="shared" si="0"/>
        <v>0</v>
      </c>
      <c r="I33" s="106"/>
      <c r="J33" s="88">
        <f t="shared" si="2"/>
        <v>19355.342699999997</v>
      </c>
      <c r="K33" s="88">
        <f t="shared" si="3"/>
        <v>58347.381449999993</v>
      </c>
      <c r="L33" s="160">
        <f t="shared" si="4"/>
        <v>0</v>
      </c>
      <c r="M33" s="6">
        <f t="shared" si="5"/>
        <v>77702.724149999995</v>
      </c>
      <c r="N33" s="11">
        <f t="shared" si="1"/>
        <v>82364.887598999994</v>
      </c>
    </row>
    <row r="34" spans="1:17" x14ac:dyDescent="0.3">
      <c r="A34" s="125" t="s">
        <v>96</v>
      </c>
      <c r="B34" s="7"/>
      <c r="C34" s="7">
        <v>5</v>
      </c>
      <c r="D34" s="132" t="s">
        <v>37</v>
      </c>
      <c r="E34" s="7">
        <v>0.54</v>
      </c>
      <c r="F34" s="88">
        <v>44667.018000000011</v>
      </c>
      <c r="G34" s="196">
        <f t="shared" si="6"/>
        <v>44667.018000000011</v>
      </c>
      <c r="H34" s="130">
        <f t="shared" si="0"/>
        <v>0</v>
      </c>
      <c r="I34" s="106"/>
      <c r="J34" s="88">
        <f t="shared" si="2"/>
        <v>17134.237800000003</v>
      </c>
      <c r="K34" s="88">
        <f t="shared" si="3"/>
        <v>51651.780300000006</v>
      </c>
      <c r="L34" s="160">
        <f t="shared" si="4"/>
        <v>0</v>
      </c>
      <c r="M34" s="6">
        <f t="shared" si="5"/>
        <v>68786.018100000016</v>
      </c>
      <c r="N34" s="11">
        <f t="shared" si="1"/>
        <v>72913.179186000023</v>
      </c>
    </row>
    <row r="35" spans="1:17" x14ac:dyDescent="0.3">
      <c r="A35" s="125" t="s">
        <v>96</v>
      </c>
      <c r="B35" s="7"/>
      <c r="C35" s="7">
        <v>6</v>
      </c>
      <c r="D35" s="132" t="s">
        <v>140</v>
      </c>
      <c r="E35" s="7">
        <v>0.5</v>
      </c>
      <c r="F35" s="11">
        <v>41358.35</v>
      </c>
      <c r="G35" s="197">
        <f>F35</f>
        <v>41358.35</v>
      </c>
      <c r="H35" s="130">
        <f t="shared" si="0"/>
        <v>0</v>
      </c>
      <c r="I35" s="106"/>
      <c r="J35" s="88">
        <f t="shared" si="2"/>
        <v>15865.035</v>
      </c>
      <c r="K35" s="88">
        <f t="shared" si="3"/>
        <v>47825.722500000003</v>
      </c>
      <c r="L35" s="160">
        <f t="shared" si="4"/>
        <v>0</v>
      </c>
      <c r="M35" s="6">
        <f t="shared" si="5"/>
        <v>63690.757500000007</v>
      </c>
      <c r="N35" s="11">
        <f t="shared" si="1"/>
        <v>67512.202950000006</v>
      </c>
    </row>
    <row r="36" spans="1:17" x14ac:dyDescent="0.3">
      <c r="A36" s="125" t="s">
        <v>96</v>
      </c>
      <c r="B36" s="7"/>
      <c r="C36" s="7">
        <v>7</v>
      </c>
      <c r="D36" s="132" t="s">
        <v>60</v>
      </c>
      <c r="E36" s="7">
        <v>0.5</v>
      </c>
      <c r="F36" s="88">
        <v>41358.35</v>
      </c>
      <c r="G36" s="196">
        <f t="shared" ref="G36:G41" si="7">F36</f>
        <v>41358.35</v>
      </c>
      <c r="H36" s="130">
        <f t="shared" si="0"/>
        <v>0</v>
      </c>
      <c r="I36" s="106"/>
      <c r="J36" s="88">
        <f t="shared" si="2"/>
        <v>15865.035</v>
      </c>
      <c r="K36" s="88">
        <f t="shared" si="3"/>
        <v>47825.722500000003</v>
      </c>
      <c r="L36" s="160">
        <f t="shared" si="4"/>
        <v>0</v>
      </c>
      <c r="M36" s="6">
        <f t="shared" si="5"/>
        <v>63690.757500000007</v>
      </c>
      <c r="N36" s="11">
        <f t="shared" si="1"/>
        <v>67512.202950000006</v>
      </c>
    </row>
    <row r="37" spans="1:17" x14ac:dyDescent="0.3">
      <c r="A37" s="125" t="s">
        <v>96</v>
      </c>
      <c r="B37" s="7"/>
      <c r="C37" s="7">
        <v>8</v>
      </c>
      <c r="D37" s="132" t="s">
        <v>57</v>
      </c>
      <c r="E37" s="7">
        <v>0.49</v>
      </c>
      <c r="F37" s="88">
        <v>40531.182999999997</v>
      </c>
      <c r="G37" s="196">
        <f t="shared" si="7"/>
        <v>40531.182999999997</v>
      </c>
      <c r="H37" s="130">
        <f t="shared" si="0"/>
        <v>0</v>
      </c>
      <c r="I37" s="106"/>
      <c r="J37" s="88">
        <f t="shared" si="2"/>
        <v>15547.7343</v>
      </c>
      <c r="K37" s="88">
        <f t="shared" si="3"/>
        <v>46869.208049999994</v>
      </c>
      <c r="L37" s="160">
        <f t="shared" si="4"/>
        <v>0</v>
      </c>
      <c r="M37" s="6">
        <f t="shared" si="5"/>
        <v>62416.942349999998</v>
      </c>
      <c r="N37" s="11">
        <f t="shared" si="1"/>
        <v>66161.958891000002</v>
      </c>
    </row>
    <row r="38" spans="1:17" x14ac:dyDescent="0.3">
      <c r="A38" s="125" t="s">
        <v>96</v>
      </c>
      <c r="B38" s="7"/>
      <c r="C38" s="7">
        <v>9</v>
      </c>
      <c r="D38" s="132" t="s">
        <v>52</v>
      </c>
      <c r="E38" s="7">
        <v>0.49</v>
      </c>
      <c r="F38" s="88">
        <v>40531.182999999997</v>
      </c>
      <c r="G38" s="196">
        <f t="shared" si="7"/>
        <v>40531.182999999997</v>
      </c>
      <c r="H38" s="130">
        <f t="shared" si="0"/>
        <v>0</v>
      </c>
      <c r="I38" s="106"/>
      <c r="J38" s="88">
        <f t="shared" si="2"/>
        <v>15547.7343</v>
      </c>
      <c r="K38" s="88">
        <f t="shared" si="3"/>
        <v>46869.208049999994</v>
      </c>
      <c r="L38" s="160">
        <f t="shared" si="4"/>
        <v>0</v>
      </c>
      <c r="M38" s="6">
        <f t="shared" si="5"/>
        <v>62416.942349999998</v>
      </c>
      <c r="N38" s="11">
        <f t="shared" si="1"/>
        <v>66161.958891000002</v>
      </c>
    </row>
    <row r="39" spans="1:17" x14ac:dyDescent="0.3">
      <c r="A39" s="125" t="s">
        <v>96</v>
      </c>
      <c r="B39" s="7"/>
      <c r="C39" s="7">
        <v>10</v>
      </c>
      <c r="D39" s="132" t="s">
        <v>62</v>
      </c>
      <c r="E39" s="7">
        <v>0.59</v>
      </c>
      <c r="F39" s="88">
        <v>48802.852999999996</v>
      </c>
      <c r="G39" s="196">
        <f t="shared" si="7"/>
        <v>48802.852999999996</v>
      </c>
      <c r="H39" s="130">
        <f t="shared" si="0"/>
        <v>0</v>
      </c>
      <c r="I39" s="106"/>
      <c r="J39" s="88">
        <f t="shared" si="2"/>
        <v>18720.741299999998</v>
      </c>
      <c r="K39" s="88">
        <f t="shared" si="3"/>
        <v>56434.352549999996</v>
      </c>
      <c r="L39" s="160">
        <f t="shared" si="4"/>
        <v>0</v>
      </c>
      <c r="M39" s="6">
        <f t="shared" si="5"/>
        <v>75155.09384999999</v>
      </c>
      <c r="N39" s="11">
        <f t="shared" si="1"/>
        <v>79664.399480999986</v>
      </c>
    </row>
    <row r="40" spans="1:17" x14ac:dyDescent="0.3">
      <c r="A40" s="125" t="s">
        <v>96</v>
      </c>
      <c r="B40" s="7"/>
      <c r="C40" s="7">
        <v>11</v>
      </c>
      <c r="D40" s="132" t="s">
        <v>62</v>
      </c>
      <c r="E40" s="7">
        <v>0.56999999999999995</v>
      </c>
      <c r="F40" s="88">
        <v>47148.518999999993</v>
      </c>
      <c r="G40" s="196">
        <f t="shared" si="7"/>
        <v>47148.518999999993</v>
      </c>
      <c r="H40" s="130">
        <f t="shared" si="0"/>
        <v>0</v>
      </c>
      <c r="I40" s="106"/>
      <c r="J40" s="88">
        <f t="shared" si="2"/>
        <v>18086.139899999998</v>
      </c>
      <c r="K40" s="88">
        <f t="shared" si="3"/>
        <v>54521.323649999991</v>
      </c>
      <c r="L40" s="160">
        <f t="shared" si="4"/>
        <v>0</v>
      </c>
      <c r="M40" s="6">
        <f t="shared" si="5"/>
        <v>72607.463549999986</v>
      </c>
      <c r="N40" s="11">
        <f t="shared" si="1"/>
        <v>76963.911362999992</v>
      </c>
    </row>
    <row r="41" spans="1:17" x14ac:dyDescent="0.3">
      <c r="A41" s="125" t="s">
        <v>96</v>
      </c>
      <c r="B41" s="7"/>
      <c r="C41" s="7">
        <v>12</v>
      </c>
      <c r="D41" s="132" t="s">
        <v>50</v>
      </c>
      <c r="E41" s="7">
        <v>0.54</v>
      </c>
      <c r="F41" s="88">
        <v>44667.018000000011</v>
      </c>
      <c r="G41" s="196">
        <f t="shared" si="7"/>
        <v>44667.018000000011</v>
      </c>
      <c r="H41" s="130">
        <f t="shared" si="0"/>
        <v>0</v>
      </c>
      <c r="I41" s="106"/>
      <c r="J41" s="88">
        <f t="shared" si="2"/>
        <v>17134.237800000003</v>
      </c>
      <c r="K41" s="88">
        <f t="shared" si="3"/>
        <v>51651.780300000006</v>
      </c>
      <c r="L41" s="160">
        <f t="shared" si="4"/>
        <v>0</v>
      </c>
      <c r="M41" s="6">
        <f t="shared" si="5"/>
        <v>68786.018100000016</v>
      </c>
      <c r="N41" s="11">
        <f t="shared" si="1"/>
        <v>72913.179186000023</v>
      </c>
    </row>
    <row r="42" spans="1:17" x14ac:dyDescent="0.3">
      <c r="A42" s="125" t="s">
        <v>96</v>
      </c>
      <c r="B42" s="7"/>
      <c r="C42" s="7">
        <v>13</v>
      </c>
      <c r="D42" s="132" t="s">
        <v>66</v>
      </c>
      <c r="E42" s="7">
        <v>0.55000000000000004</v>
      </c>
      <c r="F42" s="88">
        <v>45494.184999999998</v>
      </c>
      <c r="G42" s="196">
        <f>F42</f>
        <v>45494.184999999998</v>
      </c>
      <c r="H42" s="130">
        <f t="shared" si="0"/>
        <v>0</v>
      </c>
      <c r="I42" s="106"/>
      <c r="J42" s="88">
        <f t="shared" si="2"/>
        <v>17451.538500000002</v>
      </c>
      <c r="K42" s="88">
        <f t="shared" si="3"/>
        <v>52608.294750000008</v>
      </c>
      <c r="L42" s="160">
        <f t="shared" si="4"/>
        <v>0</v>
      </c>
      <c r="M42" s="6">
        <f t="shared" si="5"/>
        <v>70059.833250000011</v>
      </c>
      <c r="N42" s="11">
        <f t="shared" si="1"/>
        <v>74263.423245000013</v>
      </c>
    </row>
    <row r="43" spans="1:17" x14ac:dyDescent="0.3">
      <c r="A43" s="125" t="s">
        <v>96</v>
      </c>
      <c r="B43" s="7"/>
      <c r="C43" s="7">
        <v>14</v>
      </c>
      <c r="D43" s="132" t="s">
        <v>66</v>
      </c>
      <c r="E43" s="7">
        <v>0.45</v>
      </c>
      <c r="F43" s="88">
        <v>37222.514999999999</v>
      </c>
      <c r="G43" s="196">
        <f t="shared" ref="G43:G44" si="8">F43</f>
        <v>37222.514999999999</v>
      </c>
      <c r="H43" s="130">
        <f t="shared" si="0"/>
        <v>0</v>
      </c>
      <c r="I43" s="106"/>
      <c r="J43" s="88">
        <f t="shared" si="2"/>
        <v>14278.531500000001</v>
      </c>
      <c r="K43" s="88">
        <f t="shared" si="3"/>
        <v>43043.150250000006</v>
      </c>
      <c r="L43" s="160">
        <f t="shared" si="4"/>
        <v>0</v>
      </c>
      <c r="M43" s="6">
        <f t="shared" si="5"/>
        <v>57321.681750000003</v>
      </c>
      <c r="N43" s="11">
        <f t="shared" si="1"/>
        <v>60760.982655</v>
      </c>
      <c r="P43" s="108">
        <f>L1-K52</f>
        <v>2196374.0320500005</v>
      </c>
    </row>
    <row r="44" spans="1:17" x14ac:dyDescent="0.3">
      <c r="A44" s="125" t="s">
        <v>96</v>
      </c>
      <c r="B44" s="7"/>
      <c r="C44" s="7">
        <v>15</v>
      </c>
      <c r="D44" s="132" t="s">
        <v>66</v>
      </c>
      <c r="E44" s="7">
        <v>0.61</v>
      </c>
      <c r="F44" s="88">
        <v>50457.187000000005</v>
      </c>
      <c r="G44" s="196">
        <f t="shared" si="8"/>
        <v>50457.187000000005</v>
      </c>
      <c r="H44" s="130">
        <f t="shared" si="0"/>
        <v>0</v>
      </c>
      <c r="I44" s="106"/>
      <c r="J44" s="88">
        <f t="shared" si="2"/>
        <v>19355.342699999997</v>
      </c>
      <c r="K44" s="88">
        <f t="shared" si="3"/>
        <v>58347.381449999993</v>
      </c>
      <c r="L44" s="160">
        <f t="shared" si="4"/>
        <v>0</v>
      </c>
      <c r="M44" s="6">
        <f t="shared" si="5"/>
        <v>77702.724149999995</v>
      </c>
      <c r="N44" s="11">
        <f t="shared" si="1"/>
        <v>82364.887598999994</v>
      </c>
    </row>
    <row r="45" spans="1:17" x14ac:dyDescent="0.3">
      <c r="A45" s="125" t="s">
        <v>96</v>
      </c>
      <c r="B45" s="7"/>
      <c r="C45" s="7">
        <v>16</v>
      </c>
      <c r="D45" s="132" t="s">
        <v>53</v>
      </c>
      <c r="E45" s="7">
        <v>0.54</v>
      </c>
      <c r="F45" s="88">
        <v>44667.018000000011</v>
      </c>
      <c r="G45" s="196">
        <f t="shared" ref="G45:G51" si="9">F45</f>
        <v>44667.018000000011</v>
      </c>
      <c r="H45" s="130">
        <f t="shared" si="0"/>
        <v>0</v>
      </c>
      <c r="I45" s="106"/>
      <c r="J45" s="88">
        <f t="shared" si="2"/>
        <v>17134.237800000003</v>
      </c>
      <c r="K45" s="88">
        <f t="shared" si="3"/>
        <v>51651.780300000006</v>
      </c>
      <c r="L45" s="160">
        <f t="shared" si="4"/>
        <v>0</v>
      </c>
      <c r="M45" s="6">
        <f t="shared" si="5"/>
        <v>68786.018100000016</v>
      </c>
      <c r="N45" s="11">
        <f t="shared" si="1"/>
        <v>72913.179186000023</v>
      </c>
    </row>
    <row r="46" spans="1:17" x14ac:dyDescent="0.3">
      <c r="A46" s="125" t="s">
        <v>96</v>
      </c>
      <c r="B46" s="7"/>
      <c r="C46" s="7">
        <v>17</v>
      </c>
      <c r="D46" s="132" t="s">
        <v>55</v>
      </c>
      <c r="E46" s="7">
        <v>0.5</v>
      </c>
      <c r="F46" s="88">
        <v>43839.850999999995</v>
      </c>
      <c r="G46" s="196">
        <f>F46</f>
        <v>43839.850999999995</v>
      </c>
      <c r="H46" s="130">
        <f t="shared" si="0"/>
        <v>0</v>
      </c>
      <c r="I46" s="106"/>
      <c r="J46" s="88">
        <f t="shared" si="2"/>
        <v>15865.035</v>
      </c>
      <c r="K46" s="88">
        <f t="shared" si="3"/>
        <v>47825.722500000003</v>
      </c>
      <c r="L46" s="160">
        <f t="shared" si="4"/>
        <v>0</v>
      </c>
      <c r="M46" s="6">
        <f t="shared" si="5"/>
        <v>63690.757500000007</v>
      </c>
      <c r="N46" s="11">
        <f t="shared" si="1"/>
        <v>67512.202950000006</v>
      </c>
      <c r="Q46" t="s">
        <v>132</v>
      </c>
    </row>
    <row r="47" spans="1:17" x14ac:dyDescent="0.3">
      <c r="A47" s="125" t="s">
        <v>96</v>
      </c>
      <c r="B47" s="7"/>
      <c r="C47" s="7">
        <v>18</v>
      </c>
      <c r="D47" s="132" t="s">
        <v>47</v>
      </c>
      <c r="E47" s="7">
        <v>0.5</v>
      </c>
      <c r="F47" s="88">
        <v>41358.35</v>
      </c>
      <c r="G47" s="196">
        <f t="shared" si="9"/>
        <v>41358.35</v>
      </c>
      <c r="H47" s="130">
        <f t="shared" si="0"/>
        <v>0</v>
      </c>
      <c r="I47" s="106"/>
      <c r="J47" s="88">
        <f t="shared" si="2"/>
        <v>15865.035</v>
      </c>
      <c r="K47" s="88">
        <f t="shared" si="3"/>
        <v>47825.722500000003</v>
      </c>
      <c r="L47" s="160">
        <f t="shared" si="4"/>
        <v>0</v>
      </c>
      <c r="M47" s="6">
        <f t="shared" si="5"/>
        <v>63690.757500000007</v>
      </c>
      <c r="N47" s="11">
        <f t="shared" si="1"/>
        <v>67512.202950000006</v>
      </c>
      <c r="O47" s="137"/>
      <c r="Q47" s="134">
        <f>M3-J52</f>
        <v>-0.13370000058785081</v>
      </c>
    </row>
    <row r="48" spans="1:17" x14ac:dyDescent="0.3">
      <c r="A48" s="125" t="s">
        <v>96</v>
      </c>
      <c r="B48" s="7"/>
      <c r="C48" s="7">
        <v>19</v>
      </c>
      <c r="D48" s="132" t="s">
        <v>47</v>
      </c>
      <c r="E48" s="7">
        <v>0.49</v>
      </c>
      <c r="F48" s="88">
        <v>40531.182999999997</v>
      </c>
      <c r="G48" s="196">
        <f t="shared" si="9"/>
        <v>40531.182999999997</v>
      </c>
      <c r="H48" s="130">
        <f t="shared" si="0"/>
        <v>0</v>
      </c>
      <c r="I48" s="106"/>
      <c r="J48" s="88">
        <f t="shared" si="2"/>
        <v>15547.7343</v>
      </c>
      <c r="K48" s="88">
        <f t="shared" si="3"/>
        <v>46869.208049999994</v>
      </c>
      <c r="L48" s="160">
        <f t="shared" si="4"/>
        <v>0</v>
      </c>
      <c r="M48" s="6">
        <f t="shared" si="5"/>
        <v>62416.942349999998</v>
      </c>
      <c r="N48" s="11">
        <f t="shared" si="1"/>
        <v>66161.958891000002</v>
      </c>
    </row>
    <row r="49" spans="1:16" x14ac:dyDescent="0.3">
      <c r="A49" s="125" t="s">
        <v>96</v>
      </c>
      <c r="B49" s="7"/>
      <c r="C49" s="7">
        <v>20</v>
      </c>
      <c r="D49" s="132" t="str">
        <f>D16</f>
        <v>FEUILLANT, GASTON</v>
      </c>
      <c r="E49" s="7">
        <v>0.49</v>
      </c>
      <c r="F49" s="88">
        <v>40531.182999999997</v>
      </c>
      <c r="G49" s="196">
        <f>F49</f>
        <v>40531.182999999997</v>
      </c>
      <c r="H49" s="130">
        <f t="shared" si="0"/>
        <v>0</v>
      </c>
      <c r="I49" s="106"/>
      <c r="J49" s="88">
        <f t="shared" si="2"/>
        <v>15547.7343</v>
      </c>
      <c r="K49" s="88">
        <f t="shared" si="3"/>
        <v>46869.208049999994</v>
      </c>
      <c r="L49" s="160">
        <f t="shared" si="4"/>
        <v>0</v>
      </c>
      <c r="M49" s="6">
        <f t="shared" si="5"/>
        <v>62416.942349999998</v>
      </c>
      <c r="N49" s="11">
        <f t="shared" si="1"/>
        <v>66161.958891000002</v>
      </c>
    </row>
    <row r="50" spans="1:16" x14ac:dyDescent="0.3">
      <c r="A50" s="125" t="s">
        <v>96</v>
      </c>
      <c r="B50" s="7"/>
      <c r="C50" s="7">
        <v>21</v>
      </c>
      <c r="D50" s="132" t="s">
        <v>42</v>
      </c>
      <c r="E50" s="7">
        <v>0.59</v>
      </c>
      <c r="F50" s="88">
        <v>48802.852999999996</v>
      </c>
      <c r="G50" s="197">
        <f>F50</f>
        <v>48802.852999999996</v>
      </c>
      <c r="H50" s="130">
        <f t="shared" si="0"/>
        <v>0</v>
      </c>
      <c r="I50" s="106"/>
      <c r="J50" s="88">
        <f t="shared" si="2"/>
        <v>18720.741299999998</v>
      </c>
      <c r="K50" s="88">
        <f t="shared" si="3"/>
        <v>56434.352549999996</v>
      </c>
      <c r="L50" s="160">
        <f t="shared" si="4"/>
        <v>0</v>
      </c>
      <c r="M50" s="6">
        <f t="shared" si="5"/>
        <v>75155.09384999999</v>
      </c>
      <c r="N50" s="11">
        <f t="shared" si="1"/>
        <v>79664.399480999986</v>
      </c>
    </row>
    <row r="51" spans="1:16" x14ac:dyDescent="0.3">
      <c r="A51" s="125" t="s">
        <v>96</v>
      </c>
      <c r="B51" s="7"/>
      <c r="C51" s="7">
        <v>22</v>
      </c>
      <c r="D51" s="132" t="s">
        <v>49</v>
      </c>
      <c r="E51" s="7">
        <v>0.56999999999999995</v>
      </c>
      <c r="F51" s="88">
        <v>47148.518999999993</v>
      </c>
      <c r="G51" s="196">
        <f t="shared" si="9"/>
        <v>47148.518999999993</v>
      </c>
      <c r="H51" s="130">
        <f t="shared" si="0"/>
        <v>0</v>
      </c>
      <c r="I51" s="106"/>
      <c r="J51" s="88">
        <f t="shared" si="2"/>
        <v>18086.139899999998</v>
      </c>
      <c r="K51" s="88">
        <f t="shared" si="3"/>
        <v>54521.323649999991</v>
      </c>
      <c r="L51" s="160">
        <f t="shared" ref="L51" si="10">J$3*E51%+J$4</f>
        <v>0</v>
      </c>
      <c r="M51" s="6">
        <f t="shared" si="5"/>
        <v>72607.463549999986</v>
      </c>
      <c r="N51" s="11">
        <f t="shared" si="1"/>
        <v>76963.911362999992</v>
      </c>
    </row>
    <row r="52" spans="1:16" ht="14.25" customHeight="1" x14ac:dyDescent="0.3">
      <c r="A52" s="89"/>
      <c r="B52" s="89"/>
      <c r="C52" s="89"/>
      <c r="D52" s="89"/>
      <c r="E52" s="89">
        <f>SUM(E7:E51)</f>
        <v>99.999999999999986</v>
      </c>
      <c r="F52" s="90">
        <f>SUM(F7:F51)</f>
        <v>8787334.7637146879</v>
      </c>
      <c r="G52" s="90">
        <f>SUM(G7:G51)</f>
        <v>8723308.1338689979</v>
      </c>
      <c r="H52" s="89"/>
      <c r="I52" s="89"/>
      <c r="J52" s="126">
        <f>SUM(J8:J51)</f>
        <v>2916310.7337000007</v>
      </c>
      <c r="K52" s="90">
        <f>SUM(K7:K51)</f>
        <v>9512419.9879500009</v>
      </c>
      <c r="L52" s="167">
        <f>SUM(L7:L51)</f>
        <v>40000</v>
      </c>
      <c r="M52" s="91">
        <f>SUM(M7:M51)</f>
        <v>12768686.879035691</v>
      </c>
      <c r="N52" s="90">
        <f>SUM(N7:N51)</f>
        <v>13534808.091777833</v>
      </c>
      <c r="P52" s="134"/>
    </row>
    <row r="53" spans="1:16" hidden="1" x14ac:dyDescent="0.3">
      <c r="K53" s="137">
        <f>K52-L1</f>
        <v>-2196374.0320500005</v>
      </c>
    </row>
    <row r="54" spans="1:16" ht="15" hidden="1" customHeight="1" x14ac:dyDescent="0.3">
      <c r="C54" s="222"/>
      <c r="D54" s="222"/>
      <c r="E54" s="222"/>
      <c r="F54" s="222"/>
      <c r="G54" s="222"/>
      <c r="H54" s="222"/>
      <c r="I54" s="222"/>
      <c r="J54" s="222"/>
      <c r="K54" s="222"/>
      <c r="L54" s="222"/>
      <c r="M54" s="222"/>
      <c r="N54" s="222"/>
    </row>
    <row r="55" spans="1:16" hidden="1" x14ac:dyDescent="0.3">
      <c r="C55" s="222"/>
      <c r="D55" s="222"/>
      <c r="E55" s="222"/>
      <c r="F55" s="222"/>
      <c r="G55" s="222"/>
      <c r="H55" s="222"/>
      <c r="I55" s="222"/>
      <c r="J55" s="222"/>
      <c r="K55" s="222"/>
      <c r="L55" s="222"/>
      <c r="M55" s="222"/>
      <c r="N55" s="222"/>
    </row>
    <row r="56" spans="1:16" x14ac:dyDescent="0.3"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</row>
    <row r="57" spans="1:16" x14ac:dyDescent="0.3">
      <c r="C57" s="222" t="s">
        <v>129</v>
      </c>
      <c r="D57" s="222"/>
      <c r="E57" s="222"/>
      <c r="F57" s="222"/>
      <c r="G57" s="222"/>
      <c r="H57" s="222"/>
      <c r="I57" s="222"/>
      <c r="J57" s="222"/>
      <c r="K57" s="222"/>
      <c r="L57" s="222"/>
      <c r="M57" s="222"/>
      <c r="N57" s="222"/>
    </row>
    <row r="58" spans="1:16" x14ac:dyDescent="0.3">
      <c r="C58" s="222"/>
      <c r="D58" s="222"/>
      <c r="E58" s="222"/>
      <c r="F58" s="222"/>
      <c r="G58" s="222"/>
      <c r="H58" s="222"/>
      <c r="I58" s="222"/>
      <c r="J58" s="222"/>
      <c r="K58" s="222"/>
      <c r="L58" s="222"/>
      <c r="M58" s="222"/>
      <c r="N58" s="222"/>
    </row>
    <row r="59" spans="1:16" x14ac:dyDescent="0.3">
      <c r="C59" s="222"/>
      <c r="D59" s="222"/>
      <c r="E59" s="222"/>
      <c r="F59" s="222"/>
      <c r="G59" s="222"/>
      <c r="H59" s="222"/>
      <c r="I59" s="222"/>
      <c r="J59" s="222"/>
      <c r="K59" s="222"/>
      <c r="L59" s="222"/>
      <c r="M59" s="222"/>
      <c r="N59" s="222"/>
    </row>
    <row r="60" spans="1:16" x14ac:dyDescent="0.3">
      <c r="C60" s="222"/>
      <c r="D60" s="222"/>
      <c r="E60" s="222"/>
      <c r="F60" s="222"/>
      <c r="G60" s="222"/>
      <c r="H60" s="222"/>
      <c r="I60" s="222"/>
      <c r="J60" s="222"/>
      <c r="K60" s="222"/>
      <c r="L60" s="222"/>
      <c r="M60" s="222"/>
      <c r="N60" s="222"/>
    </row>
    <row r="61" spans="1:16" x14ac:dyDescent="0.3">
      <c r="C61" s="222"/>
      <c r="D61" s="222"/>
      <c r="E61" s="222"/>
      <c r="F61" s="222"/>
      <c r="G61" s="222"/>
      <c r="H61" s="222"/>
      <c r="I61" s="222"/>
      <c r="J61" s="222"/>
      <c r="K61" s="222"/>
      <c r="L61" s="222"/>
      <c r="M61" s="222"/>
      <c r="N61" s="222"/>
    </row>
    <row r="62" spans="1:16" x14ac:dyDescent="0.3">
      <c r="C62" s="222"/>
      <c r="D62" s="222"/>
      <c r="E62" s="222"/>
      <c r="F62" s="222"/>
      <c r="G62" s="222"/>
      <c r="H62" s="222"/>
      <c r="I62" s="222"/>
      <c r="J62" s="222"/>
      <c r="K62" s="222"/>
      <c r="L62" s="222"/>
      <c r="M62" s="222"/>
      <c r="N62" s="222"/>
    </row>
    <row r="63" spans="1:16" x14ac:dyDescent="0.3">
      <c r="C63" s="222"/>
      <c r="D63" s="222"/>
      <c r="E63" s="222"/>
      <c r="F63" s="222"/>
      <c r="G63" s="222"/>
      <c r="H63" s="222"/>
      <c r="I63" s="222"/>
      <c r="J63" s="222"/>
      <c r="K63" s="222"/>
      <c r="L63" s="222"/>
      <c r="M63" s="222"/>
      <c r="N63" s="222"/>
    </row>
  </sheetData>
  <mergeCells count="17">
    <mergeCell ref="A5:A6"/>
    <mergeCell ref="B5:B6"/>
    <mergeCell ref="C5:C6"/>
    <mergeCell ref="D5:D6"/>
    <mergeCell ref="E5:E6"/>
    <mergeCell ref="F5:F6"/>
    <mergeCell ref="C57:N63"/>
    <mergeCell ref="C54:N55"/>
    <mergeCell ref="L1:M1"/>
    <mergeCell ref="N5:N6"/>
    <mergeCell ref="G5:G6"/>
    <mergeCell ref="H5:H6"/>
    <mergeCell ref="J5:J6"/>
    <mergeCell ref="K5:K6"/>
    <mergeCell ref="L5:L6"/>
    <mergeCell ref="M5:M6"/>
    <mergeCell ref="I5:I6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2FF5-218B-41A1-9BCB-F43114942886}">
  <dimension ref="C4:H25"/>
  <sheetViews>
    <sheetView topLeftCell="A7" workbookViewId="0">
      <selection activeCell="C29" sqref="C29"/>
    </sheetView>
  </sheetViews>
  <sheetFormatPr baseColWidth="10" defaultRowHeight="14.4" x14ac:dyDescent="0.3"/>
  <cols>
    <col min="4" max="4" width="14.88671875" customWidth="1"/>
  </cols>
  <sheetData>
    <row r="4" spans="3:8" x14ac:dyDescent="0.3">
      <c r="C4" s="3" t="s">
        <v>145</v>
      </c>
    </row>
    <row r="5" spans="3:8" x14ac:dyDescent="0.3">
      <c r="C5" t="s">
        <v>146</v>
      </c>
      <c r="D5" s="184">
        <v>-447223.45918396302</v>
      </c>
    </row>
    <row r="6" spans="3:8" x14ac:dyDescent="0.3">
      <c r="C6" t="s">
        <v>147</v>
      </c>
      <c r="D6" s="184">
        <v>0</v>
      </c>
    </row>
    <row r="7" spans="3:8" x14ac:dyDescent="0.3">
      <c r="C7" t="s">
        <v>148</v>
      </c>
      <c r="D7" s="184">
        <v>0</v>
      </c>
    </row>
    <row r="8" spans="3:8" x14ac:dyDescent="0.3">
      <c r="C8" t="s">
        <v>149</v>
      </c>
      <c r="D8" s="184">
        <v>0</v>
      </c>
    </row>
    <row r="10" spans="3:8" x14ac:dyDescent="0.3">
      <c r="C10" s="3" t="s">
        <v>151</v>
      </c>
    </row>
    <row r="11" spans="3:8" x14ac:dyDescent="0.3">
      <c r="C11" t="s">
        <v>146</v>
      </c>
      <c r="D11" s="184">
        <v>451182</v>
      </c>
    </row>
    <row r="12" spans="3:8" x14ac:dyDescent="0.3">
      <c r="C12" t="s">
        <v>147</v>
      </c>
      <c r="D12" s="184">
        <v>40606.380000000005</v>
      </c>
    </row>
    <row r="13" spans="3:8" x14ac:dyDescent="0.3">
      <c r="C13" t="s">
        <v>148</v>
      </c>
      <c r="D13" s="184">
        <v>41358.350000000006</v>
      </c>
    </row>
    <row r="14" spans="3:8" x14ac:dyDescent="0.3">
      <c r="C14" t="s">
        <v>149</v>
      </c>
      <c r="D14" s="184">
        <v>37598.5</v>
      </c>
    </row>
    <row r="16" spans="3:8" x14ac:dyDescent="0.3">
      <c r="C16" s="3" t="s">
        <v>150</v>
      </c>
      <c r="D16" s="3"/>
      <c r="E16" s="3"/>
      <c r="F16" s="3"/>
      <c r="G16" s="3"/>
      <c r="H16" s="3"/>
    </row>
    <row r="17" spans="3:4" x14ac:dyDescent="0.3">
      <c r="C17" t="s">
        <v>146</v>
      </c>
      <c r="D17" s="184">
        <f>D11+D5</f>
        <v>3958.5408160369843</v>
      </c>
    </row>
    <row r="18" spans="3:4" x14ac:dyDescent="0.3">
      <c r="C18" t="s">
        <v>147</v>
      </c>
      <c r="D18" s="184">
        <v>40606.380000000005</v>
      </c>
    </row>
    <row r="19" spans="3:4" x14ac:dyDescent="0.3">
      <c r="C19" t="s">
        <v>148</v>
      </c>
      <c r="D19" s="184">
        <v>41358.350000000006</v>
      </c>
    </row>
    <row r="20" spans="3:4" x14ac:dyDescent="0.3">
      <c r="C20" t="s">
        <v>149</v>
      </c>
      <c r="D20" s="184">
        <v>37598.5</v>
      </c>
    </row>
    <row r="21" spans="3:4" ht="15" thickBot="1" x14ac:dyDescent="0.35">
      <c r="C21" t="s">
        <v>153</v>
      </c>
      <c r="D21" s="184">
        <v>-25000</v>
      </c>
    </row>
    <row r="22" spans="3:4" x14ac:dyDescent="0.3">
      <c r="C22" s="237" t="s">
        <v>152</v>
      </c>
      <c r="D22" s="240">
        <f>SUM(D17:D21)</f>
        <v>98521.770816036995</v>
      </c>
    </row>
    <row r="23" spans="3:4" x14ac:dyDescent="0.3">
      <c r="C23" s="238"/>
      <c r="D23" s="241"/>
    </row>
    <row r="24" spans="3:4" x14ac:dyDescent="0.3">
      <c r="C24" s="238"/>
      <c r="D24" s="241"/>
    </row>
    <row r="25" spans="3:4" ht="15" thickBot="1" x14ac:dyDescent="0.35">
      <c r="C25" s="239"/>
      <c r="D25" s="242"/>
    </row>
  </sheetData>
  <mergeCells count="2">
    <mergeCell ref="C22:C25"/>
    <mergeCell ref="D22:D2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3"/>
  <sheetViews>
    <sheetView topLeftCell="A7" workbookViewId="0">
      <selection activeCell="N2" sqref="N2"/>
    </sheetView>
  </sheetViews>
  <sheetFormatPr baseColWidth="10" defaultRowHeight="14.4" x14ac:dyDescent="0.3"/>
  <cols>
    <col min="1" max="1" width="8.44140625" customWidth="1"/>
    <col min="2" max="2" width="17.6640625" customWidth="1"/>
    <col min="3" max="3" width="8.88671875" customWidth="1"/>
    <col min="12" max="12" width="13.6640625" customWidth="1"/>
    <col min="13" max="13" width="11.44140625" hidden="1" customWidth="1"/>
  </cols>
  <sheetData>
    <row r="1" spans="1:15" x14ac:dyDescent="0.3">
      <c r="A1" s="48"/>
      <c r="B1" s="49"/>
      <c r="C1" s="49"/>
      <c r="D1" s="50" t="s">
        <v>17</v>
      </c>
      <c r="E1" s="50"/>
      <c r="F1" s="49"/>
      <c r="G1" s="49"/>
      <c r="H1" s="49"/>
      <c r="I1" s="49"/>
      <c r="J1" s="49"/>
      <c r="K1" s="49"/>
      <c r="L1" s="50" t="s">
        <v>70</v>
      </c>
      <c r="M1" s="49"/>
      <c r="N1" s="52" t="str">
        <f>RESUMEN!C5</f>
        <v>VTO: 15/10</v>
      </c>
      <c r="O1" s="52"/>
    </row>
    <row r="2" spans="1:15" x14ac:dyDescent="0.3">
      <c r="A2" s="49"/>
      <c r="B2" s="51"/>
      <c r="C2" s="51"/>
      <c r="D2" s="50" t="s">
        <v>18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1:15" x14ac:dyDescent="0.3">
      <c r="A3" s="49"/>
      <c r="B3" s="51"/>
      <c r="C3" s="51"/>
      <c r="D3" s="50"/>
      <c r="E3" s="49"/>
      <c r="F3" s="49"/>
      <c r="G3" s="49"/>
      <c r="H3" s="49"/>
      <c r="I3" s="49"/>
      <c r="J3" s="50" t="s">
        <v>71</v>
      </c>
      <c r="K3" s="50"/>
      <c r="L3" s="53">
        <v>249991.29847799998</v>
      </c>
      <c r="M3" s="49"/>
      <c r="N3" s="54">
        <v>-1891.33</v>
      </c>
      <c r="O3" s="54"/>
    </row>
    <row r="4" spans="1:15" ht="15" thickBot="1" x14ac:dyDescent="0.35">
      <c r="A4" s="49"/>
      <c r="B4" s="51"/>
      <c r="C4" s="51"/>
      <c r="D4" s="50"/>
      <c r="E4" s="49"/>
      <c r="F4" s="49"/>
      <c r="G4" s="49"/>
      <c r="H4" s="49"/>
      <c r="I4" s="49"/>
      <c r="J4" s="50" t="s">
        <v>72</v>
      </c>
      <c r="K4" s="50"/>
      <c r="L4" s="53">
        <v>0</v>
      </c>
      <c r="M4" s="49"/>
      <c r="N4" s="49"/>
      <c r="O4" s="49"/>
    </row>
    <row r="5" spans="1:15" ht="28.8" x14ac:dyDescent="0.3">
      <c r="A5" s="243" t="s">
        <v>73</v>
      </c>
      <c r="B5" s="243" t="s">
        <v>22</v>
      </c>
      <c r="C5" s="55" t="s">
        <v>74</v>
      </c>
      <c r="D5" s="35" t="s">
        <v>23</v>
      </c>
      <c r="E5" s="35" t="s">
        <v>24</v>
      </c>
      <c r="F5" s="243" t="s">
        <v>75</v>
      </c>
      <c r="G5" s="37" t="s">
        <v>76</v>
      </c>
      <c r="H5" s="38" t="s">
        <v>27</v>
      </c>
      <c r="I5" s="36" t="s">
        <v>77</v>
      </c>
      <c r="J5" s="39" t="s">
        <v>28</v>
      </c>
      <c r="K5" s="40" t="s">
        <v>28</v>
      </c>
      <c r="L5" s="37" t="s">
        <v>29</v>
      </c>
      <c r="M5" s="41"/>
      <c r="N5" s="243" t="s">
        <v>78</v>
      </c>
      <c r="O5" s="243" t="s">
        <v>79</v>
      </c>
    </row>
    <row r="6" spans="1:15" x14ac:dyDescent="0.3">
      <c r="A6" s="244"/>
      <c r="B6" s="244"/>
      <c r="C6" s="56" t="s">
        <v>80</v>
      </c>
      <c r="D6" s="42" t="s">
        <v>30</v>
      </c>
      <c r="E6" s="42" t="s">
        <v>31</v>
      </c>
      <c r="F6" s="244"/>
      <c r="G6" s="44" t="s">
        <v>81</v>
      </c>
      <c r="H6" s="45">
        <v>0.06</v>
      </c>
      <c r="I6" s="43" t="s">
        <v>82</v>
      </c>
      <c r="J6" s="46" t="s">
        <v>32</v>
      </c>
      <c r="K6" s="47" t="s">
        <v>83</v>
      </c>
      <c r="L6" s="44" t="s">
        <v>84</v>
      </c>
      <c r="M6" s="47"/>
      <c r="N6" s="244"/>
      <c r="O6" s="244"/>
    </row>
    <row r="7" spans="1:15" ht="15" customHeight="1" x14ac:dyDescent="0.3">
      <c r="A7" s="15">
        <v>1</v>
      </c>
      <c r="B7" s="84" t="s">
        <v>60</v>
      </c>
      <c r="C7" s="87">
        <v>5.4</v>
      </c>
      <c r="D7" s="6">
        <v>13967.239436680005</v>
      </c>
      <c r="E7" s="58">
        <f>D7</f>
        <v>13967.239436680005</v>
      </c>
      <c r="F7" s="23">
        <v>0</v>
      </c>
      <c r="G7" s="21">
        <v>0</v>
      </c>
      <c r="H7" s="27">
        <v>0</v>
      </c>
      <c r="I7" s="17">
        <v>0.54</v>
      </c>
      <c r="J7" s="23">
        <v>11608.200117812001</v>
      </c>
      <c r="K7" s="29">
        <v>0</v>
      </c>
      <c r="L7" s="21">
        <v>11608.200117812001</v>
      </c>
      <c r="M7" s="18"/>
      <c r="N7" s="6">
        <v>11608.200117812001</v>
      </c>
      <c r="O7" s="6">
        <v>12304.692124880721</v>
      </c>
    </row>
    <row r="8" spans="1:15" ht="15" customHeight="1" x14ac:dyDescent="0.3">
      <c r="A8" s="15">
        <v>2</v>
      </c>
      <c r="B8" s="84" t="s">
        <v>60</v>
      </c>
      <c r="C8" s="87">
        <v>5.5</v>
      </c>
      <c r="D8" s="6">
        <v>14267.901278100004</v>
      </c>
      <c r="E8" s="58">
        <f t="shared" ref="E8:E28" si="0">D8</f>
        <v>14267.901278100004</v>
      </c>
      <c r="F8" s="23">
        <v>0</v>
      </c>
      <c r="G8" s="21">
        <v>0</v>
      </c>
      <c r="H8" s="27">
        <v>0</v>
      </c>
      <c r="I8" s="17">
        <v>0.55000000000000004</v>
      </c>
      <c r="J8" s="23">
        <v>11858.191416289999</v>
      </c>
      <c r="K8" s="29">
        <v>0</v>
      </c>
      <c r="L8" s="21">
        <v>11858.191416289999</v>
      </c>
      <c r="M8" s="18"/>
      <c r="N8" s="6">
        <v>11858.191416289999</v>
      </c>
      <c r="O8" s="6">
        <v>12569.682901267399</v>
      </c>
    </row>
    <row r="9" spans="1:15" ht="15" customHeight="1" x14ac:dyDescent="0.3">
      <c r="A9" s="15">
        <v>3</v>
      </c>
      <c r="B9" s="84" t="s">
        <v>64</v>
      </c>
      <c r="C9" s="87">
        <v>4.5</v>
      </c>
      <c r="D9" s="6">
        <v>11261.282863900002</v>
      </c>
      <c r="E9" s="58">
        <f t="shared" si="0"/>
        <v>11261.282863900002</v>
      </c>
      <c r="F9" s="23">
        <v>0</v>
      </c>
      <c r="G9" s="21">
        <v>0</v>
      </c>
      <c r="H9" s="27">
        <v>0</v>
      </c>
      <c r="I9" s="17">
        <v>0.45</v>
      </c>
      <c r="J9" s="23">
        <v>9358.278431509998</v>
      </c>
      <c r="K9" s="29">
        <v>0</v>
      </c>
      <c r="L9" s="21">
        <v>9358.278431509998</v>
      </c>
      <c r="M9" s="18"/>
      <c r="N9" s="6">
        <v>9358.278431509998</v>
      </c>
      <c r="O9" s="6">
        <v>9919.7751374005984</v>
      </c>
    </row>
    <row r="10" spans="1:15" ht="15" customHeight="1" x14ac:dyDescent="0.3">
      <c r="A10" s="15">
        <v>4</v>
      </c>
      <c r="B10" s="84" t="s">
        <v>64</v>
      </c>
      <c r="C10" s="87">
        <v>6.1</v>
      </c>
      <c r="D10" s="6">
        <v>16071.872326620005</v>
      </c>
      <c r="E10" s="58">
        <f t="shared" si="0"/>
        <v>16071.872326620005</v>
      </c>
      <c r="F10" s="23">
        <v>0</v>
      </c>
      <c r="G10" s="21">
        <v>0</v>
      </c>
      <c r="H10" s="27">
        <v>0</v>
      </c>
      <c r="I10" s="17">
        <v>0.61</v>
      </c>
      <c r="J10" s="23">
        <v>13358.139207157999</v>
      </c>
      <c r="K10" s="29">
        <v>0</v>
      </c>
      <c r="L10" s="21">
        <v>13358.139207157999</v>
      </c>
      <c r="M10" s="18"/>
      <c r="N10" s="6">
        <v>13358.139207157999</v>
      </c>
      <c r="O10" s="6">
        <v>14159.627559587479</v>
      </c>
    </row>
    <row r="11" spans="1:15" ht="15" customHeight="1" x14ac:dyDescent="0.3">
      <c r="A11" s="15">
        <v>5</v>
      </c>
      <c r="B11" s="84" t="s">
        <v>37</v>
      </c>
      <c r="C11" s="87">
        <v>5.4</v>
      </c>
      <c r="D11" s="6">
        <v>13967.239436680005</v>
      </c>
      <c r="E11" s="58">
        <f t="shared" si="0"/>
        <v>13967.239436680005</v>
      </c>
      <c r="F11" s="23">
        <v>0</v>
      </c>
      <c r="G11" s="21">
        <v>0</v>
      </c>
      <c r="H11" s="27">
        <v>0</v>
      </c>
      <c r="I11" s="17">
        <v>0.54</v>
      </c>
      <c r="J11" s="23">
        <v>11608.200117812001</v>
      </c>
      <c r="K11" s="29">
        <v>0</v>
      </c>
      <c r="L11" s="21">
        <v>11608.200117812001</v>
      </c>
      <c r="M11" s="18"/>
      <c r="N11" s="6">
        <v>11608.200117812001</v>
      </c>
      <c r="O11" s="6">
        <v>12304.692124880721</v>
      </c>
    </row>
    <row r="12" spans="1:15" ht="15" customHeight="1" x14ac:dyDescent="0.3">
      <c r="A12" s="15">
        <v>6</v>
      </c>
      <c r="B12" s="85" t="s">
        <v>45</v>
      </c>
      <c r="C12" s="87">
        <v>5</v>
      </c>
      <c r="D12" s="6">
        <v>12764.592071000003</v>
      </c>
      <c r="E12" s="58">
        <f t="shared" si="0"/>
        <v>12764.592071000003</v>
      </c>
      <c r="F12" s="23">
        <v>0</v>
      </c>
      <c r="G12" s="21">
        <v>0</v>
      </c>
      <c r="H12" s="27">
        <v>0</v>
      </c>
      <c r="I12" s="17">
        <v>0.5</v>
      </c>
      <c r="J12" s="23">
        <v>10608.2349239</v>
      </c>
      <c r="K12" s="29">
        <v>0</v>
      </c>
      <c r="L12" s="21">
        <v>10608.2349239</v>
      </c>
      <c r="M12" s="18"/>
      <c r="N12" s="6">
        <v>10608.2349239</v>
      </c>
      <c r="O12" s="6">
        <v>11244.729019334</v>
      </c>
    </row>
    <row r="13" spans="1:15" ht="15" customHeight="1" x14ac:dyDescent="0.3">
      <c r="A13" s="15">
        <v>7</v>
      </c>
      <c r="B13" s="84" t="s">
        <v>60</v>
      </c>
      <c r="C13" s="87">
        <v>5</v>
      </c>
      <c r="D13" s="6">
        <v>12764.592071000003</v>
      </c>
      <c r="E13" s="58">
        <f t="shared" si="0"/>
        <v>12764.592071000003</v>
      </c>
      <c r="F13" s="23">
        <v>0</v>
      </c>
      <c r="G13" s="21">
        <v>0</v>
      </c>
      <c r="H13" s="27">
        <v>0</v>
      </c>
      <c r="I13" s="17">
        <v>0.5</v>
      </c>
      <c r="J13" s="23">
        <v>10608.2349239</v>
      </c>
      <c r="K13" s="29">
        <v>0</v>
      </c>
      <c r="L13" s="21">
        <v>10608.2349239</v>
      </c>
      <c r="M13" s="18"/>
      <c r="N13" s="6">
        <v>10608.2349239</v>
      </c>
      <c r="O13" s="6">
        <v>11244.729019334</v>
      </c>
    </row>
    <row r="14" spans="1:15" ht="15" customHeight="1" x14ac:dyDescent="0.3">
      <c r="A14" s="15">
        <v>8</v>
      </c>
      <c r="B14" s="84" t="s">
        <v>57</v>
      </c>
      <c r="C14" s="87">
        <v>4.9000000000000004</v>
      </c>
      <c r="D14" s="6">
        <v>12463.930229580003</v>
      </c>
      <c r="E14" s="58">
        <f t="shared" si="0"/>
        <v>12463.930229580003</v>
      </c>
      <c r="F14" s="23">
        <v>0</v>
      </c>
      <c r="G14" s="21">
        <v>0</v>
      </c>
      <c r="H14" s="27">
        <v>0</v>
      </c>
      <c r="I14" s="17">
        <v>0.49</v>
      </c>
      <c r="J14" s="23">
        <v>10358.243625421999</v>
      </c>
      <c r="K14" s="29">
        <v>0</v>
      </c>
      <c r="L14" s="21">
        <v>10358.243625421999</v>
      </c>
      <c r="M14" s="18"/>
      <c r="N14" s="6">
        <v>10358.243625421999</v>
      </c>
      <c r="O14" s="6">
        <v>10979.738242947318</v>
      </c>
    </row>
    <row r="15" spans="1:15" ht="15" customHeight="1" x14ac:dyDescent="0.3">
      <c r="A15" s="15">
        <v>9</v>
      </c>
      <c r="B15" s="84" t="s">
        <v>52</v>
      </c>
      <c r="C15" s="87">
        <v>4.9000000000000004</v>
      </c>
      <c r="D15" s="6">
        <v>12463.930229580003</v>
      </c>
      <c r="E15" s="58">
        <f t="shared" si="0"/>
        <v>12463.930229580003</v>
      </c>
      <c r="F15" s="23">
        <v>0</v>
      </c>
      <c r="G15" s="21">
        <v>0</v>
      </c>
      <c r="H15" s="27">
        <v>0</v>
      </c>
      <c r="I15" s="17">
        <v>0.49</v>
      </c>
      <c r="J15" s="23">
        <v>10358.243625421999</v>
      </c>
      <c r="K15" s="29">
        <v>0</v>
      </c>
      <c r="L15" s="21">
        <v>10358.243625421999</v>
      </c>
      <c r="M15" s="18"/>
      <c r="N15" s="6">
        <v>10358.243625421999</v>
      </c>
      <c r="O15" s="6">
        <v>10979.738242947318</v>
      </c>
    </row>
    <row r="16" spans="1:15" ht="15" customHeight="1" x14ac:dyDescent="0.3">
      <c r="A16" s="15">
        <v>10</v>
      </c>
      <c r="B16" s="84" t="s">
        <v>62</v>
      </c>
      <c r="C16" s="87">
        <v>5.9</v>
      </c>
      <c r="D16" s="6">
        <v>15470.548643780005</v>
      </c>
      <c r="E16" s="58">
        <f t="shared" si="0"/>
        <v>15470.548643780005</v>
      </c>
      <c r="F16" s="23">
        <v>0</v>
      </c>
      <c r="G16" s="21">
        <v>0</v>
      </c>
      <c r="H16" s="27">
        <v>0</v>
      </c>
      <c r="I16" s="17">
        <v>0.59</v>
      </c>
      <c r="J16" s="23">
        <v>12858.156610202001</v>
      </c>
      <c r="K16" s="29">
        <v>0</v>
      </c>
      <c r="L16" s="21">
        <v>12858.156610202001</v>
      </c>
      <c r="M16" s="18"/>
      <c r="N16" s="6">
        <v>12858.156610202001</v>
      </c>
      <c r="O16" s="6">
        <v>13629.64600681412</v>
      </c>
    </row>
    <row r="17" spans="1:15" ht="15" customHeight="1" x14ac:dyDescent="0.3">
      <c r="A17" s="15">
        <v>11</v>
      </c>
      <c r="B17" s="84" t="s">
        <v>62</v>
      </c>
      <c r="C17" s="87">
        <v>5.7</v>
      </c>
      <c r="D17" s="6">
        <v>14869.224960940002</v>
      </c>
      <c r="E17" s="58">
        <f t="shared" si="0"/>
        <v>14869.224960940002</v>
      </c>
      <c r="F17" s="23">
        <v>0</v>
      </c>
      <c r="G17" s="21">
        <v>0</v>
      </c>
      <c r="H17" s="27">
        <v>0</v>
      </c>
      <c r="I17" s="17">
        <v>0.56999999999999995</v>
      </c>
      <c r="J17" s="23">
        <v>12358.174013246</v>
      </c>
      <c r="K17" s="29">
        <v>0</v>
      </c>
      <c r="L17" s="21">
        <v>12358.174013246</v>
      </c>
      <c r="M17" s="18"/>
      <c r="N17" s="6">
        <v>12358.174013246</v>
      </c>
      <c r="O17" s="6">
        <v>13099.66445404076</v>
      </c>
    </row>
    <row r="18" spans="1:15" ht="15" customHeight="1" x14ac:dyDescent="0.3">
      <c r="A18" s="15">
        <v>12</v>
      </c>
      <c r="B18" s="84" t="s">
        <v>50</v>
      </c>
      <c r="C18" s="87">
        <v>5.4</v>
      </c>
      <c r="D18" s="6">
        <v>13967.239436680005</v>
      </c>
      <c r="E18" s="58">
        <f t="shared" si="0"/>
        <v>13967.239436680005</v>
      </c>
      <c r="F18" s="23">
        <v>0</v>
      </c>
      <c r="G18" s="21">
        <v>0</v>
      </c>
      <c r="H18" s="27">
        <v>0</v>
      </c>
      <c r="I18" s="17">
        <v>0.54</v>
      </c>
      <c r="J18" s="23">
        <v>11608.200117812001</v>
      </c>
      <c r="K18" s="29">
        <v>0</v>
      </c>
      <c r="L18" s="21">
        <v>11608.200117812001</v>
      </c>
      <c r="M18" s="18"/>
      <c r="N18" s="6">
        <v>11608.200117812001</v>
      </c>
      <c r="O18" s="6">
        <v>12304.692124880721</v>
      </c>
    </row>
    <row r="19" spans="1:15" ht="15" customHeight="1" x14ac:dyDescent="0.3">
      <c r="A19" s="15">
        <v>13</v>
      </c>
      <c r="B19" s="84" t="s">
        <v>66</v>
      </c>
      <c r="C19" s="87">
        <v>5.5</v>
      </c>
      <c r="D19" s="6">
        <v>14267.901278100004</v>
      </c>
      <c r="E19" s="58">
        <f t="shared" si="0"/>
        <v>14267.901278100004</v>
      </c>
      <c r="F19" s="23">
        <v>0</v>
      </c>
      <c r="G19" s="21">
        <v>0</v>
      </c>
      <c r="H19" s="27">
        <v>0</v>
      </c>
      <c r="I19" s="17">
        <v>0.55000000000000004</v>
      </c>
      <c r="J19" s="23">
        <v>11858.191416289999</v>
      </c>
      <c r="K19" s="29">
        <v>0</v>
      </c>
      <c r="L19" s="21">
        <v>11858.191416289999</v>
      </c>
      <c r="M19" s="18"/>
      <c r="N19" s="6">
        <v>11858.191416289999</v>
      </c>
      <c r="O19" s="6">
        <v>12569.682901267399</v>
      </c>
    </row>
    <row r="20" spans="1:15" ht="15" customHeight="1" x14ac:dyDescent="0.3">
      <c r="A20" s="15">
        <v>14</v>
      </c>
      <c r="B20" s="84" t="s">
        <v>66</v>
      </c>
      <c r="C20" s="87">
        <v>4.5</v>
      </c>
      <c r="D20" s="6">
        <v>11261.282863900002</v>
      </c>
      <c r="E20" s="58">
        <f t="shared" si="0"/>
        <v>11261.282863900002</v>
      </c>
      <c r="F20" s="23">
        <v>0</v>
      </c>
      <c r="G20" s="21">
        <v>0</v>
      </c>
      <c r="H20" s="27">
        <v>0</v>
      </c>
      <c r="I20" s="17">
        <v>0.45</v>
      </c>
      <c r="J20" s="23">
        <v>9358.278431509998</v>
      </c>
      <c r="K20" s="29">
        <v>0</v>
      </c>
      <c r="L20" s="21">
        <v>9358.278431509998</v>
      </c>
      <c r="M20" s="18"/>
      <c r="N20" s="6">
        <v>9358.278431509998</v>
      </c>
      <c r="O20" s="6">
        <v>9919.7751374005984</v>
      </c>
    </row>
    <row r="21" spans="1:15" ht="15" customHeight="1" x14ac:dyDescent="0.3">
      <c r="A21" s="15">
        <v>15</v>
      </c>
      <c r="B21" s="84" t="s">
        <v>66</v>
      </c>
      <c r="C21" s="87">
        <v>6.1</v>
      </c>
      <c r="D21" s="6">
        <v>16071.872326620005</v>
      </c>
      <c r="E21" s="58">
        <f t="shared" si="0"/>
        <v>16071.872326620005</v>
      </c>
      <c r="F21" s="23">
        <v>0</v>
      </c>
      <c r="G21" s="21">
        <v>0</v>
      </c>
      <c r="H21" s="6">
        <v>0</v>
      </c>
      <c r="I21" s="17">
        <v>0.61</v>
      </c>
      <c r="J21" s="23">
        <v>13358.139207157999</v>
      </c>
      <c r="K21" s="29">
        <v>0</v>
      </c>
      <c r="L21" s="21">
        <v>13358.139207157999</v>
      </c>
      <c r="M21" s="18"/>
      <c r="N21" s="6">
        <v>13358.139207157999</v>
      </c>
      <c r="O21" s="6">
        <v>14159.627559587479</v>
      </c>
    </row>
    <row r="22" spans="1:15" ht="15" customHeight="1" x14ac:dyDescent="0.3">
      <c r="A22" s="15">
        <v>16</v>
      </c>
      <c r="B22" s="84" t="s">
        <v>53</v>
      </c>
      <c r="C22" s="87">
        <v>5.4</v>
      </c>
      <c r="D22" s="6">
        <v>13967.239436680005</v>
      </c>
      <c r="E22" s="58">
        <f t="shared" si="0"/>
        <v>13967.239436680005</v>
      </c>
      <c r="F22" s="23">
        <v>0</v>
      </c>
      <c r="G22" s="21">
        <v>0</v>
      </c>
      <c r="H22" s="27">
        <v>0</v>
      </c>
      <c r="I22" s="17">
        <v>0.54</v>
      </c>
      <c r="J22" s="23">
        <v>11608.200117812001</v>
      </c>
      <c r="K22" s="29">
        <v>0</v>
      </c>
      <c r="L22" s="21">
        <v>11608.200117812001</v>
      </c>
      <c r="M22" s="18"/>
      <c r="N22" s="6">
        <v>11608.200117812001</v>
      </c>
      <c r="O22" s="6">
        <v>12304.692124880721</v>
      </c>
    </row>
    <row r="23" spans="1:15" ht="15" customHeight="1" x14ac:dyDescent="0.3">
      <c r="A23" s="15">
        <v>17</v>
      </c>
      <c r="B23" s="84" t="s">
        <v>55</v>
      </c>
      <c r="C23" s="87">
        <v>5</v>
      </c>
      <c r="D23" s="6">
        <v>12764.592071000003</v>
      </c>
      <c r="E23" s="58">
        <f t="shared" si="0"/>
        <v>12764.592071000003</v>
      </c>
      <c r="F23" s="23">
        <v>0</v>
      </c>
      <c r="G23" s="21">
        <v>0</v>
      </c>
      <c r="H23" s="27">
        <v>0</v>
      </c>
      <c r="I23" s="17">
        <v>0.5</v>
      </c>
      <c r="J23" s="23">
        <v>10608.2349239</v>
      </c>
      <c r="K23" s="29">
        <v>0</v>
      </c>
      <c r="L23" s="21">
        <v>10608.2349239</v>
      </c>
      <c r="M23" s="18"/>
      <c r="N23" s="6">
        <v>10608.2349239</v>
      </c>
      <c r="O23" s="6">
        <v>11244.729019334</v>
      </c>
    </row>
    <row r="24" spans="1:15" ht="15" customHeight="1" x14ac:dyDescent="0.3">
      <c r="A24" s="15">
        <v>18</v>
      </c>
      <c r="B24" s="84" t="s">
        <v>47</v>
      </c>
      <c r="C24" s="87">
        <v>5</v>
      </c>
      <c r="D24" s="6">
        <v>12764.592071000003</v>
      </c>
      <c r="E24" s="58">
        <f t="shared" si="0"/>
        <v>12764.592071000003</v>
      </c>
      <c r="F24" s="23">
        <v>0</v>
      </c>
      <c r="G24" s="21">
        <v>0</v>
      </c>
      <c r="H24" s="27">
        <v>0</v>
      </c>
      <c r="I24" s="17">
        <v>0.5</v>
      </c>
      <c r="J24" s="23">
        <v>10608.2349239</v>
      </c>
      <c r="K24" s="29">
        <v>0</v>
      </c>
      <c r="L24" s="21">
        <v>10608.2349239</v>
      </c>
      <c r="M24" s="18"/>
      <c r="N24" s="6">
        <v>10608.2349239</v>
      </c>
      <c r="O24" s="6">
        <v>11244.729019334</v>
      </c>
    </row>
    <row r="25" spans="1:15" ht="15" customHeight="1" x14ac:dyDescent="0.3">
      <c r="A25" s="15">
        <v>19</v>
      </c>
      <c r="B25" s="84" t="s">
        <v>47</v>
      </c>
      <c r="C25" s="87">
        <v>4.9000000000000004</v>
      </c>
      <c r="D25" s="6">
        <v>12463.930229580003</v>
      </c>
      <c r="E25" s="58">
        <f t="shared" si="0"/>
        <v>12463.930229580003</v>
      </c>
      <c r="F25" s="23">
        <v>0</v>
      </c>
      <c r="G25" s="21">
        <v>0</v>
      </c>
      <c r="H25" s="27">
        <v>0</v>
      </c>
      <c r="I25" s="17">
        <v>0.49</v>
      </c>
      <c r="J25" s="23">
        <v>10358.243625421999</v>
      </c>
      <c r="K25" s="29">
        <v>0</v>
      </c>
      <c r="L25" s="21">
        <v>10358.243625421999</v>
      </c>
      <c r="M25" s="18"/>
      <c r="N25" s="6">
        <v>10358.243625421999</v>
      </c>
      <c r="O25" s="6">
        <v>10979.738242947318</v>
      </c>
    </row>
    <row r="26" spans="1:15" ht="15" customHeight="1" x14ac:dyDescent="0.3">
      <c r="A26" s="15">
        <v>20</v>
      </c>
      <c r="B26" s="84" t="s">
        <v>85</v>
      </c>
      <c r="C26" s="87">
        <v>4.9000000000000004</v>
      </c>
      <c r="D26" s="6">
        <v>12463.930229580003</v>
      </c>
      <c r="E26" s="58">
        <f t="shared" si="0"/>
        <v>12463.930229580003</v>
      </c>
      <c r="F26" s="23">
        <v>0</v>
      </c>
      <c r="G26" s="21">
        <v>0</v>
      </c>
      <c r="H26" s="27">
        <v>0</v>
      </c>
      <c r="I26" s="17">
        <v>0.49</v>
      </c>
      <c r="J26" s="23">
        <v>10358.243625421999</v>
      </c>
      <c r="K26" s="29">
        <v>0</v>
      </c>
      <c r="L26" s="21">
        <v>10358.243625421999</v>
      </c>
      <c r="M26" s="18"/>
      <c r="N26" s="6">
        <v>10358.243625421999</v>
      </c>
      <c r="O26" s="6">
        <v>10979.738242947318</v>
      </c>
    </row>
    <row r="27" spans="1:15" ht="15" customHeight="1" x14ac:dyDescent="0.3">
      <c r="A27" s="15">
        <v>21</v>
      </c>
      <c r="B27" s="84" t="s">
        <v>42</v>
      </c>
      <c r="C27" s="87">
        <v>5.9</v>
      </c>
      <c r="D27" s="6">
        <v>15470.548643780005</v>
      </c>
      <c r="E27" s="58">
        <f t="shared" si="0"/>
        <v>15470.548643780005</v>
      </c>
      <c r="F27" s="23">
        <v>0</v>
      </c>
      <c r="G27" s="21">
        <v>0</v>
      </c>
      <c r="H27" s="27">
        <v>0</v>
      </c>
      <c r="I27" s="17">
        <v>0.59</v>
      </c>
      <c r="J27" s="23">
        <v>12858.156610202001</v>
      </c>
      <c r="K27" s="29">
        <v>0</v>
      </c>
      <c r="L27" s="21">
        <v>12858.156610202001</v>
      </c>
      <c r="M27" s="18"/>
      <c r="N27" s="6">
        <v>12858.156610202001</v>
      </c>
      <c r="O27" s="6">
        <v>13629.64600681412</v>
      </c>
    </row>
    <row r="28" spans="1:15" ht="15" customHeight="1" x14ac:dyDescent="0.3">
      <c r="A28" s="15">
        <v>22</v>
      </c>
      <c r="B28" s="86" t="s">
        <v>49</v>
      </c>
      <c r="C28" s="87">
        <v>5.7</v>
      </c>
      <c r="D28" s="6">
        <v>14869.224960940002</v>
      </c>
      <c r="E28" s="58">
        <f t="shared" si="0"/>
        <v>14869.224960940002</v>
      </c>
      <c r="F28" s="23">
        <v>0</v>
      </c>
      <c r="G28" s="21">
        <v>0</v>
      </c>
      <c r="H28" s="27">
        <v>0</v>
      </c>
      <c r="I28" s="17">
        <v>0.56999999999999995</v>
      </c>
      <c r="J28" s="23">
        <v>12358.174013246</v>
      </c>
      <c r="K28" s="29">
        <v>0</v>
      </c>
      <c r="L28" s="21">
        <v>12358.174013246</v>
      </c>
      <c r="M28" s="18"/>
      <c r="N28" s="6">
        <v>12358.174013246</v>
      </c>
      <c r="O28" s="6">
        <v>13099.66445404076</v>
      </c>
    </row>
    <row r="29" spans="1:15" x14ac:dyDescent="0.3">
      <c r="A29" s="15"/>
      <c r="B29" s="34"/>
      <c r="C29" s="34"/>
      <c r="D29" s="6"/>
      <c r="E29" s="6"/>
      <c r="F29" s="23"/>
      <c r="G29" s="21"/>
      <c r="H29" s="27"/>
      <c r="I29" s="17"/>
      <c r="J29" s="23"/>
      <c r="K29" s="29"/>
      <c r="L29" s="21"/>
      <c r="M29" s="18"/>
      <c r="N29" s="6"/>
      <c r="O29" s="6"/>
    </row>
    <row r="30" spans="1:15" ht="15" thickBot="1" x14ac:dyDescent="0.35">
      <c r="A30" s="13"/>
      <c r="B30" s="14"/>
      <c r="C30" s="57">
        <v>116.60000000000001</v>
      </c>
      <c r="D30" s="26">
        <v>161487.47195715201</v>
      </c>
      <c r="E30" s="30">
        <v>161487.47195715201</v>
      </c>
      <c r="F30" s="28">
        <v>0</v>
      </c>
      <c r="G30" s="32">
        <v>0</v>
      </c>
      <c r="H30" s="31">
        <v>0</v>
      </c>
      <c r="I30" s="16">
        <v>11.66</v>
      </c>
      <c r="J30" s="24">
        <v>249880.59402534799</v>
      </c>
      <c r="K30" s="25">
        <v>0</v>
      </c>
      <c r="L30" s="22">
        <v>249880.59402534799</v>
      </c>
      <c r="M30" s="19"/>
      <c r="N30" s="20">
        <v>249880.59402534799</v>
      </c>
      <c r="O30" s="20">
        <v>264873.42966686888</v>
      </c>
    </row>
    <row r="33" spans="5:6" x14ac:dyDescent="0.3">
      <c r="E33" s="33"/>
      <c r="F33" s="33"/>
    </row>
  </sheetData>
  <mergeCells count="5">
    <mergeCell ref="A5:A6"/>
    <mergeCell ref="B5:B6"/>
    <mergeCell ref="F5:F6"/>
    <mergeCell ref="N5:N6"/>
    <mergeCell ref="O5:O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RESUMEN</vt:lpstr>
      <vt:lpstr>PRORRATEO</vt:lpstr>
      <vt:lpstr>Hoja1</vt:lpstr>
      <vt:lpstr>COCHERA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2025-08-29T14:36:20Z</cp:lastPrinted>
  <dcterms:created xsi:type="dcterms:W3CDTF">2023-09-17T12:29:07Z</dcterms:created>
  <dcterms:modified xsi:type="dcterms:W3CDTF">2025-09-27T22:56:30Z</dcterms:modified>
</cp:coreProperties>
</file>