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GRANO 1646\Julio\"/>
    </mc:Choice>
  </mc:AlternateContent>
  <xr:revisionPtr revIDLastSave="0" documentId="13_ncr:1_{C90BB971-2B50-48B3-B655-D18EB9D9A5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RESUMEN!$A$1:$F$127</definedName>
  </definedNames>
  <calcPr calcId="181029"/>
</workbook>
</file>

<file path=xl/calcChain.xml><?xml version="1.0" encoding="utf-8"?>
<calcChain xmlns="http://schemas.openxmlformats.org/spreadsheetml/2006/main">
  <c r="B113" i="1" l="1"/>
  <c r="G54" i="1"/>
  <c r="F54" i="1"/>
  <c r="E54" i="1"/>
  <c r="H54" i="1" l="1"/>
  <c r="D75" i="1" l="1"/>
  <c r="D47" i="1"/>
  <c r="M2" i="2"/>
  <c r="E67" i="1"/>
  <c r="E63" i="1"/>
  <c r="G29" i="2"/>
  <c r="G24" i="2"/>
  <c r="G26" i="2"/>
  <c r="G14" i="2"/>
  <c r="G27" i="2"/>
  <c r="G17" i="2"/>
  <c r="G28" i="2"/>
  <c r="G11" i="2"/>
  <c r="G16" i="2"/>
  <c r="G9" i="2"/>
  <c r="G18" i="2"/>
  <c r="G21" i="2"/>
  <c r="G23" i="2"/>
  <c r="G19" i="2"/>
  <c r="G13" i="2"/>
  <c r="G20" i="2"/>
  <c r="G15" i="2"/>
  <c r="G7" i="2"/>
  <c r="E62" i="1"/>
  <c r="H62" i="1" s="1"/>
  <c r="I62" i="1" s="1"/>
  <c r="G62" i="1"/>
  <c r="D71" i="1" l="1"/>
  <c r="E69" i="1" l="1"/>
  <c r="F41" i="1"/>
  <c r="E41" i="1"/>
  <c r="G61" i="1"/>
  <c r="G52" i="1"/>
  <c r="E52" i="1"/>
  <c r="H52" i="1" s="1"/>
  <c r="I52" i="1" s="1"/>
  <c r="G60" i="1"/>
  <c r="J60" i="1" s="1"/>
  <c r="E60" i="1"/>
  <c r="H60" i="1" s="1"/>
  <c r="I60" i="1" s="1"/>
  <c r="F65" i="1"/>
  <c r="F66" i="1"/>
  <c r="E65" i="1"/>
  <c r="E66" i="1"/>
  <c r="G65" i="1"/>
  <c r="J65" i="1" s="1"/>
  <c r="G66" i="1"/>
  <c r="J66" i="1" s="1"/>
  <c r="F64" i="1"/>
  <c r="E64" i="1"/>
  <c r="G64" i="1"/>
  <c r="J64" i="1" s="1"/>
  <c r="D88" i="1"/>
  <c r="D84" i="1"/>
  <c r="D27" i="1"/>
  <c r="F103" i="1"/>
  <c r="E103" i="1"/>
  <c r="F102" i="1"/>
  <c r="E102" i="1"/>
  <c r="F68" i="1"/>
  <c r="E68" i="1"/>
  <c r="E56" i="1"/>
  <c r="G46" i="2"/>
  <c r="B126" i="1"/>
  <c r="G63" i="1"/>
  <c r="J63" i="1" s="1"/>
  <c r="G67" i="1"/>
  <c r="J67" i="1" s="1"/>
  <c r="G68" i="1"/>
  <c r="J68" i="1" s="1"/>
  <c r="H66" i="1" l="1"/>
  <c r="I66" i="1" s="1"/>
  <c r="E61" i="1"/>
  <c r="H61" i="1" s="1"/>
  <c r="I61" i="1" s="1"/>
  <c r="H65" i="1"/>
  <c r="I65" i="1" s="1"/>
  <c r="H64" i="1"/>
  <c r="I64" i="1" s="1"/>
  <c r="H67" i="1"/>
  <c r="I67" i="1" s="1"/>
  <c r="H68" i="1"/>
  <c r="I68" i="1" s="1"/>
  <c r="D49" i="1" l="1"/>
  <c r="L14" i="2"/>
  <c r="L15" i="2"/>
  <c r="L17" i="2"/>
  <c r="L18" i="2"/>
  <c r="L19" i="2"/>
  <c r="L20" i="2"/>
  <c r="L21" i="2"/>
  <c r="L22" i="2"/>
  <c r="L24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D49" i="2"/>
  <c r="H69" i="1"/>
  <c r="I69" i="1" s="1"/>
  <c r="H63" i="1" l="1"/>
  <c r="I63" i="1" s="1"/>
  <c r="G49" i="2" l="1"/>
  <c r="G51" i="1"/>
  <c r="J51" i="1" s="1"/>
  <c r="E51" i="1"/>
  <c r="G55" i="1"/>
  <c r="J55" i="1" s="1"/>
  <c r="H51" i="1" l="1"/>
  <c r="I51" i="1" s="1"/>
  <c r="E55" i="1"/>
  <c r="F55" i="1"/>
  <c r="H55" i="1" l="1"/>
  <c r="I55" i="1" s="1"/>
  <c r="F57" i="1" l="1"/>
  <c r="E57" i="1"/>
  <c r="G57" i="1"/>
  <c r="J57" i="1" s="1"/>
  <c r="F52" i="2"/>
  <c r="F42" i="1"/>
  <c r="E42" i="1"/>
  <c r="D77" i="1"/>
  <c r="H57" i="1" l="1"/>
  <c r="I57" i="1" s="1"/>
  <c r="E59" i="1"/>
  <c r="D44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D105" i="1"/>
  <c r="F104" i="1"/>
  <c r="E104" i="1"/>
  <c r="B115" i="1" l="1"/>
  <c r="M3" i="2"/>
  <c r="E105" i="1"/>
  <c r="F105" i="1"/>
  <c r="H105" i="1" l="1"/>
  <c r="I105" i="1" s="1"/>
  <c r="E76" i="1" l="1"/>
  <c r="E43" i="1" l="1"/>
  <c r="E44" i="1" l="1"/>
  <c r="F43" i="1"/>
  <c r="F44" i="1" s="1"/>
  <c r="G44" i="1" l="1"/>
  <c r="F35" i="1"/>
  <c r="F34" i="1"/>
  <c r="F33" i="1"/>
  <c r="E35" i="1"/>
  <c r="E34" i="1"/>
  <c r="E33" i="1"/>
  <c r="G53" i="1" l="1"/>
  <c r="J53" i="1" s="1"/>
  <c r="G56" i="1"/>
  <c r="J56" i="1" s="1"/>
  <c r="G58" i="1"/>
  <c r="J58" i="1" s="1"/>
  <c r="G59" i="1"/>
  <c r="J59" i="1" s="1"/>
  <c r="G69" i="1"/>
  <c r="J69" i="1" s="1"/>
  <c r="I70" i="1" l="1"/>
  <c r="H59" i="1" l="1"/>
  <c r="I59" i="1" s="1"/>
  <c r="F90" i="1" l="1"/>
  <c r="E90" i="1"/>
  <c r="G90" i="1" l="1"/>
  <c r="H90" i="1" s="1"/>
  <c r="F87" i="1" l="1"/>
  <c r="F86" i="1"/>
  <c r="E87" i="1"/>
  <c r="E86" i="1"/>
  <c r="F82" i="1"/>
  <c r="F81" i="1"/>
  <c r="E82" i="1"/>
  <c r="E81" i="1"/>
  <c r="F75" i="1"/>
  <c r="E75" i="1"/>
  <c r="F58" i="1"/>
  <c r="F56" i="1"/>
  <c r="F53" i="1"/>
  <c r="E58" i="1"/>
  <c r="E53" i="1"/>
  <c r="F29" i="1"/>
  <c r="F28" i="1"/>
  <c r="E29" i="1"/>
  <c r="E28" i="1"/>
  <c r="F48" i="1"/>
  <c r="F46" i="1"/>
  <c r="E48" i="1"/>
  <c r="E46" i="1"/>
  <c r="F24" i="1"/>
  <c r="F25" i="1"/>
  <c r="F23" i="1"/>
  <c r="E23" i="1"/>
  <c r="E24" i="1"/>
  <c r="E25" i="1"/>
  <c r="F71" i="1" l="1"/>
  <c r="E71" i="1"/>
  <c r="H56" i="1"/>
  <c r="I56" i="1" s="1"/>
  <c r="H58" i="1"/>
  <c r="I58" i="1" s="1"/>
  <c r="H53" i="1"/>
  <c r="I53" i="1" s="1"/>
  <c r="F27" i="1"/>
  <c r="F88" i="1"/>
  <c r="E88" i="1"/>
  <c r="E84" i="1"/>
  <c r="F84" i="1"/>
  <c r="E77" i="1"/>
  <c r="F77" i="1"/>
  <c r="E32" i="1"/>
  <c r="E36" i="1" s="1"/>
  <c r="F32" i="1"/>
  <c r="E27" i="1"/>
  <c r="G71" i="1" l="1"/>
  <c r="H71" i="1" s="1"/>
  <c r="G27" i="1"/>
  <c r="H27" i="1" s="1"/>
  <c r="G88" i="1"/>
  <c r="G84" i="1"/>
  <c r="G77" i="1"/>
  <c r="G32" i="1"/>
  <c r="D32" i="1"/>
  <c r="D92" i="1" s="1"/>
  <c r="I71" i="1" l="1"/>
  <c r="B109" i="1"/>
  <c r="B114" i="1" s="1"/>
  <c r="D36" i="1"/>
  <c r="H77" i="1"/>
  <c r="H32" i="1"/>
  <c r="H88" i="1"/>
  <c r="H84" i="1"/>
  <c r="C97" i="1"/>
  <c r="B117" i="1" s="1"/>
  <c r="L1" i="2" l="1"/>
  <c r="E47" i="1"/>
  <c r="E49" i="1" s="1"/>
  <c r="E92" i="1" s="1"/>
  <c r="F47" i="1"/>
  <c r="F49" i="1" s="1"/>
  <c r="G49" i="1" l="1"/>
  <c r="H49" i="1" l="1"/>
  <c r="B108" i="1"/>
  <c r="O1" i="2" l="1"/>
  <c r="O2" i="2" s="1"/>
  <c r="A3" i="2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K53" i="2" l="1"/>
  <c r="J52" i="2"/>
  <c r="Q47" i="2" s="1"/>
  <c r="B116" i="1"/>
  <c r="J4" i="2" l="1"/>
  <c r="G32" i="2"/>
  <c r="G12" i="2"/>
  <c r="H12" i="2" s="1"/>
  <c r="L8" i="2" l="1"/>
  <c r="L11" i="2"/>
  <c r="L51" i="2"/>
  <c r="L10" i="2"/>
  <c r="G50" i="2" l="1"/>
  <c r="G35" i="2" l="1"/>
  <c r="G25" i="2" l="1"/>
  <c r="F36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26" i="2" l="1"/>
  <c r="M26" i="2" s="1"/>
  <c r="N26" i="2" s="1"/>
  <c r="H17" i="2"/>
  <c r="M17" i="2" s="1"/>
  <c r="N17" i="2" s="1"/>
  <c r="G52" i="2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B119" i="1"/>
  <c r="F92" i="1"/>
  <c r="G92" i="1" s="1"/>
  <c r="H92" i="1" l="1"/>
  <c r="I92" i="1"/>
</calcChain>
</file>

<file path=xl/sharedStrings.xml><?xml version="1.0" encoding="utf-8"?>
<sst xmlns="http://schemas.openxmlformats.org/spreadsheetml/2006/main" count="259" uniqueCount="168">
  <si>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</si>
  <si>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</si>
  <si>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</si>
  <si>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</si>
  <si>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</si>
  <si>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</si>
  <si>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</si>
  <si>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</si>
  <si>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</si>
  <si>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</si>
  <si>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</si>
  <si>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</si>
  <si>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</si>
  <si>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</si>
  <si>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</si>
  <si>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</si>
  <si>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</si>
  <si>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</si>
  <si>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</si>
  <si>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</si>
  <si>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</si>
  <si>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</si>
  <si>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</si>
  <si>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</si>
  <si>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</si>
  <si>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</si>
  <si>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</si>
  <si>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</si>
  <si>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</si>
  <si>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</si>
  <si>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</si>
  <si>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</si>
  <si>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</si>
  <si>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</si>
  <si>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</si>
  <si>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</si>
  <si>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</si>
  <si>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</si>
  <si>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</si>
  <si>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</si>
  <si>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</si>
  <si>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</si>
  <si>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</si>
  <si>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</si>
  <si>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</si>
  <si>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</si>
  <si>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</si>
  <si>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</si>
  <si>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</si>
  <si>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</si>
  <si>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</si>
  <si>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</si>
  <si>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</si>
  <si>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</si>
  <si>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</si>
  <si>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</si>
  <si>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</si>
  <si>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</si>
  <si>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</si>
  <si>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</si>
  <si>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</si>
  <si>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</si>
  <si>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</si>
  <si>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</si>
  <si>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</si>
  <si>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</si>
  <si>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</si>
  <si>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</si>
  <si>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</si>
  <si>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</si>
  <si>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</si>
  <si>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</si>
  <si>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</si>
  <si>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</si>
  <si>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</si>
  <si>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</si>
  <si>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</si>
  <si>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</si>
  <si>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</si>
  <si>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</si>
  <si>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</si>
  <si>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</si>
  <si>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</si>
  <si>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</si>
  <si>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</si>
  <si>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</si>
  <si>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</si>
  <si>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</si>
  <si>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</si>
  <si>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</si>
  <si>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</si>
  <si>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</si>
  <si>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</si>
  <si>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</si>
  <si>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</si>
  <si>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</si>
  <si>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</si>
  <si>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</si>
  <si>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</si>
  <si>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</si>
  <si>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</si>
  <si>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</si>
  <si>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</si>
  <si>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</si>
  <si>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</si>
  <si>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</si>
  <si>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</si>
  <si>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</si>
  <si>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</si>
  <si>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</si>
  <si>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</si>
  <si>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</si>
  <si>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</si>
  <si>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</si>
  <si>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</si>
  <si>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</si>
  <si>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</si>
  <si>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</si>
  <si>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</si>
  <si>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</si>
  <si>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</si>
  <si>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</si>
  <si>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</si>
  <si>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</si>
  <si>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</si>
  <si>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</si>
  <si>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</si>
  <si>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</si>
  <si>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</si>
  <si>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</si>
  <si>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</si>
  <si>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</si>
  <si>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</si>
  <si>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</si>
  <si>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</si>
  <si>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</si>
  <si>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>FEUILLANT, GASTON</t>
  </si>
  <si>
    <t>Ingreso mes de MAYO</t>
  </si>
  <si>
    <t xml:space="preserve">Kromacolor </t>
  </si>
  <si>
    <t>Numero 1859135 Debito automatico 02/06</t>
  </si>
  <si>
    <t>SEGURO OBLIGATORIO SR DIEGO BRITEZ FEDERACION PATRONAL DEBITO AUTOMATICO 04/06</t>
  </si>
  <si>
    <t>Debito 12/06</t>
  </si>
  <si>
    <t>Pago mis cuentas 12/06</t>
  </si>
  <si>
    <t>Contessi - Mantenimiento de ascensores</t>
  </si>
  <si>
    <t>Reemplazo Sr. Diego -  Monica Gorosito</t>
  </si>
  <si>
    <t>Seguro de vida Sra. Monica</t>
  </si>
  <si>
    <t>Subidos en jun de 2025</t>
  </si>
  <si>
    <t>Kromacolor - Compra de materiales para hall, gimnasio, membrana, recuplast para terraza, lija, etc</t>
  </si>
  <si>
    <t>Kromacolor - Compra de materiales sistemal, aguarras</t>
  </si>
  <si>
    <t>Kromacolor</t>
  </si>
  <si>
    <t>QUEDARON PENDIENTES TRES PARA JULI</t>
  </si>
  <si>
    <t>BALBOA, ARIEL</t>
  </si>
  <si>
    <t>PERÍODO: JULIO</t>
  </si>
  <si>
    <t>Energoup MES DE JULIO</t>
  </si>
  <si>
    <t xml:space="preserve">Mes de JULIO </t>
  </si>
  <si>
    <t>VTO: 14/08</t>
  </si>
  <si>
    <t>Fumigacion 07/07</t>
  </si>
  <si>
    <t>Casa ruan - materiales de trabajo - plafones y dicroicas</t>
  </si>
  <si>
    <t>Servisur - reemplazo de plafones y dicroicas</t>
  </si>
  <si>
    <t>Articulos de limpieza - Montoya Alejandra</t>
  </si>
  <si>
    <t>Debito 27/07</t>
  </si>
  <si>
    <t xml:space="preserve">Doartero - Mano de obra de impermeabilizacion terraza debajo de pileta </t>
  </si>
  <si>
    <t>Contessi - Cuota 2  de arreglo montavehiculos</t>
  </si>
  <si>
    <t>Riesgo Uno - Reemplazo de detector, verificacion de cableado, pulsadores y panel - Mano de obra y materiales</t>
  </si>
  <si>
    <t>Limpieza de SUM - Sra. Monica</t>
  </si>
  <si>
    <t xml:space="preserve">Sr. Diego Britez </t>
  </si>
  <si>
    <t xml:space="preserve">Leonardo Balcalazza - </t>
  </si>
  <si>
    <t>Honorarios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</si>
</sst>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#,##0.0000"/>
    <numFmt numFmtId="169" formatCode="_ &quot;$&quot;\ * #,##0_ ;_ &quot;$&quot;\ * \-#,##0_ ;_ &quot;$&quot;\ * &quot;-&quot;??_ ;_ @_ "/>
    <numFmt numFmtId="170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5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165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8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7" fontId="2" fillId="2" borderId="20" xfId="2" applyFont="1" applyFill="1" applyBorder="1"/>
    <xf numFmtId="3" fontId="0" fillId="0" borderId="13" xfId="0" applyNumberFormat="1" applyBorder="1"/>
    <xf numFmtId="169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9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7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8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165" fontId="0" fillId="0" borderId="0" xfId="0" applyNumberFormat="1"/>
    <xf numFmtId="0" fontId="7" fillId="8" borderId="0" xfId="0" applyFont="1" applyFill="1"/>
    <xf numFmtId="167" fontId="8" fillId="0" borderId="1" xfId="2" applyFont="1" applyBorder="1"/>
    <xf numFmtId="167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7" fontId="4" fillId="0" borderId="1" xfId="0" applyNumberFormat="1" applyFont="1" applyBorder="1"/>
    <xf numFmtId="4" fontId="8" fillId="0" borderId="0" xfId="0" applyNumberFormat="1" applyFont="1"/>
    <xf numFmtId="167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70" fontId="0" fillId="0" borderId="1" xfId="1" applyNumberFormat="1" applyFont="1" applyBorder="1"/>
    <xf numFmtId="0" fontId="0" fillId="9" borderId="1" xfId="0" applyFill="1" applyBorder="1"/>
    <xf numFmtId="170" fontId="0" fillId="9" borderId="1" xfId="0" applyNumberFormat="1" applyFill="1" applyBorder="1"/>
    <xf numFmtId="3" fontId="0" fillId="9" borderId="1" xfId="0" applyNumberFormat="1" applyFill="1" applyBorder="1"/>
    <xf numFmtId="167" fontId="9" fillId="3" borderId="1" xfId="2" applyFont="1" applyFill="1" applyBorder="1"/>
    <xf numFmtId="167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7" fontId="2" fillId="0" borderId="1" xfId="2" applyFont="1" applyBorder="1"/>
    <xf numFmtId="0" fontId="2" fillId="9" borderId="25" xfId="0" applyFont="1" applyFill="1" applyBorder="1"/>
    <xf numFmtId="166" fontId="2" fillId="9" borderId="27" xfId="0" applyNumberFormat="1" applyFont="1" applyFill="1" applyBorder="1"/>
    <xf numFmtId="0" fontId="2" fillId="9" borderId="38" xfId="0" applyFont="1" applyFill="1" applyBorder="1"/>
    <xf numFmtId="166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166" fontId="14" fillId="6" borderId="11" xfId="1" applyFont="1" applyFill="1" applyBorder="1"/>
    <xf numFmtId="166" fontId="6" fillId="6" borderId="11" xfId="1" applyFont="1" applyFill="1" applyBorder="1"/>
    <xf numFmtId="166" fontId="0" fillId="0" borderId="0" xfId="0" applyNumberFormat="1"/>
    <xf numFmtId="165" fontId="2" fillId="6" borderId="34" xfId="0" applyNumberFormat="1" applyFont="1" applyFill="1" applyBorder="1"/>
    <xf numFmtId="0" fontId="2" fillId="3" borderId="1" xfId="0" applyFont="1" applyFill="1" applyBorder="1"/>
    <xf numFmtId="166" fontId="2" fillId="6" borderId="0" xfId="0" applyNumberFormat="1" applyFont="1" applyFill="1"/>
    <xf numFmtId="166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166" fontId="2" fillId="10" borderId="25" xfId="1" applyFont="1" applyFill="1" applyBorder="1"/>
    <xf numFmtId="165" fontId="2" fillId="6" borderId="1" xfId="0" applyNumberFormat="1" applyFont="1" applyFill="1" applyBorder="1"/>
    <xf numFmtId="165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166" fontId="6" fillId="3" borderId="0" xfId="1" applyFont="1" applyFill="1" applyBorder="1"/>
    <xf numFmtId="0" fontId="19" fillId="0" borderId="1" xfId="0" applyFont="1" applyBorder="1"/>
    <xf numFmtId="170" fontId="0" fillId="9" borderId="1" xfId="1" applyNumberFormat="1" applyFont="1" applyFill="1" applyBorder="1"/>
    <xf numFmtId="164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70" fontId="15" fillId="0" borderId="1" xfId="0" applyNumberFormat="1" applyFont="1" applyBorder="1"/>
    <xf numFmtId="170" fontId="19" fillId="0" borderId="1" xfId="0" applyNumberFormat="1" applyFont="1" applyBorder="1"/>
    <xf numFmtId="0" fontId="15" fillId="0" borderId="1" xfId="0" applyFont="1" applyBorder="1"/>
    <xf numFmtId="166" fontId="0" fillId="0" borderId="1" xfId="0" applyNumberFormat="1" applyBorder="1"/>
    <xf numFmtId="164" fontId="0" fillId="0" borderId="0" xfId="0" applyNumberFormat="1"/>
    <xf numFmtId="166" fontId="2" fillId="10" borderId="1" xfId="0" applyNumberFormat="1" applyFont="1" applyFill="1" applyBorder="1"/>
    <xf numFmtId="164" fontId="0" fillId="3" borderId="0" xfId="0" applyNumberFormat="1" applyFill="1" applyAlignment="1">
      <alignment horizontal="right" wrapText="1"/>
    </xf>
    <xf numFmtId="170" fontId="0" fillId="0" borderId="0" xfId="0" applyNumberFormat="1"/>
    <xf numFmtId="166" fontId="0" fillId="0" borderId="34" xfId="1" applyFont="1" applyBorder="1"/>
    <xf numFmtId="166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/>
    <xf numFmtId="166" fontId="2" fillId="7" borderId="26" xfId="0" applyNumberFormat="1" applyFont="1" applyFill="1" applyBorder="1"/>
    <xf numFmtId="166" fontId="0" fillId="0" borderId="11" xfId="0" applyNumberFormat="1" applyBorder="1"/>
    <xf numFmtId="0" fontId="20" fillId="0" borderId="0" xfId="0" applyFont="1"/>
    <xf numFmtId="164" fontId="6" fillId="5" borderId="0" xfId="0" applyNumberFormat="1" applyFont="1" applyFill="1" applyAlignment="1">
      <alignment horizontal="right" wrapText="1"/>
    </xf>
    <xf numFmtId="166" fontId="6" fillId="5" borderId="0" xfId="0" applyNumberFormat="1" applyFont="1" applyFill="1"/>
    <xf numFmtId="164" fontId="6" fillId="5" borderId="0" xfId="0" applyNumberFormat="1" applyFont="1" applyFill="1"/>
    <xf numFmtId="166" fontId="4" fillId="0" borderId="0" xfId="0" applyNumberFormat="1" applyFo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6" fontId="0" fillId="0" borderId="0" xfId="1" applyFont="1"/>
    <xf numFmtId="166" fontId="14" fillId="6" borderId="11" xfId="0" applyNumberFormat="1" applyFont="1" applyFill="1" applyBorder="1"/>
    <xf numFmtId="166" fontId="2" fillId="6" borderId="25" xfId="0" applyNumberFormat="1" applyFont="1" applyFill="1" applyBorder="1"/>
    <xf numFmtId="0" fontId="0" fillId="3" borderId="0" xfId="0" applyFill="1"/>
    <xf numFmtId="166" fontId="20" fillId="0" borderId="0" xfId="0" applyNumberFormat="1" applyFont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166" fontId="0" fillId="0" borderId="2" xfId="0" applyNumberFormat="1" applyBorder="1"/>
    <xf numFmtId="164" fontId="15" fillId="3" borderId="1" xfId="0" applyNumberFormat="1" applyFont="1" applyFill="1" applyBorder="1"/>
    <xf numFmtId="166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166" fontId="2" fillId="6" borderId="1" xfId="0" applyNumberFormat="1" applyFont="1" applyFill="1" applyBorder="1"/>
    <xf numFmtId="166" fontId="2" fillId="6" borderId="1" xfId="1" applyFont="1" applyFill="1" applyBorder="1"/>
    <xf numFmtId="166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3" xfId="0" applyFill="1" applyBorder="1" applyAlignment="1">
      <alignment horizontal="left" vertical="center" wrapText="1"/>
    </xf>
    <xf numFmtId="166" fontId="15" fillId="9" borderId="1" xfId="1" applyFont="1" applyFill="1" applyBorder="1"/>
    <xf numFmtId="167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0" fontId="6" fillId="0" borderId="1" xfId="0" applyFont="1" applyBorder="1" applyAlignment="1">
      <alignment horizontal="center" vertical="center"/>
    </xf>
    <xf numFmtId="166" fontId="6" fillId="3" borderId="11" xfId="1" applyFont="1" applyFill="1" applyBorder="1"/>
    <xf numFmtId="166" fontId="6" fillId="0" borderId="11" xfId="1" applyFont="1" applyBorder="1"/>
    <xf numFmtId="0" fontId="6" fillId="0" borderId="0" xfId="0" applyFont="1"/>
    <xf numFmtId="166" fontId="6" fillId="0" borderId="1" xfId="1" applyFont="1" applyBorder="1"/>
    <xf numFmtId="0" fontId="6" fillId="0" borderId="1" xfId="0" applyFont="1" applyBorder="1"/>
    <xf numFmtId="166" fontId="14" fillId="10" borderId="11" xfId="1" applyFont="1" applyFill="1" applyBorder="1"/>
    <xf numFmtId="166" fontId="14" fillId="7" borderId="26" xfId="0" applyNumberFormat="1" applyFont="1" applyFill="1" applyBorder="1"/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170" fontId="6" fillId="0" borderId="1" xfId="1" applyNumberFormat="1" applyFont="1" applyBorder="1"/>
    <xf numFmtId="170" fontId="6" fillId="3" borderId="1" xfId="1" applyNumberFormat="1" applyFont="1" applyFill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66" fontId="0" fillId="0" borderId="0" xfId="0" applyNumberFormat="1" applyAlignment="1">
      <alignment horizontal="left"/>
    </xf>
    <xf numFmtId="0" fontId="0" fillId="11" borderId="1" xfId="0" applyFill="1" applyBorder="1"/>
    <xf numFmtId="166" fontId="20" fillId="3" borderId="1" xfId="1" applyFont="1" applyFill="1" applyBorder="1"/>
    <xf numFmtId="166" fontId="20" fillId="0" borderId="1" xfId="1" applyFont="1" applyBorder="1"/>
    <xf numFmtId="0" fontId="0" fillId="11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166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66" fontId="6" fillId="11" borderId="1" xfId="1" applyFont="1" applyFill="1" applyBorder="1"/>
    <xf numFmtId="0" fontId="16" fillId="0" borderId="11" xfId="0" applyFont="1" applyBorder="1" applyAlignment="1">
      <alignment horizontal="left" wrapText="1"/>
    </xf>
    <xf numFmtId="0" fontId="16" fillId="0" borderId="12" xfId="0" applyFont="1" applyBorder="1" applyAlignment="1">
      <alignment horizontal="left" wrapText="1"/>
    </xf>
    <xf numFmtId="0" fontId="16" fillId="0" borderId="13" xfId="0" applyFont="1" applyBorder="1" applyAlignment="1">
      <alignment horizontal="left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"/>
  <sheetViews>
    <sheetView tabSelected="1" topLeftCell="A77" workbookViewId="0">
      <selection activeCell="B114" sqref="B114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8"/>
      <c r="B1" s="97" t="s">
        <v>118</v>
      </c>
      <c r="C1" s="8"/>
      <c r="D1" s="8"/>
      <c r="E1" s="8"/>
    </row>
    <row r="2" spans="1:5" x14ac:dyDescent="0.25">
      <c r="A2" s="64"/>
      <c r="B2" s="65" t="s">
        <v>0</v>
      </c>
      <c r="C2" s="65"/>
      <c r="D2" s="65"/>
      <c r="E2" s="66"/>
    </row>
    <row r="3" spans="1:5" x14ac:dyDescent="0.25">
      <c r="A3" s="67"/>
      <c r="B3" s="68" t="s">
        <v>88</v>
      </c>
      <c r="C3" s="68"/>
      <c r="D3" s="68"/>
      <c r="E3" s="69"/>
    </row>
    <row r="4" spans="1:5" ht="33.75" customHeight="1" thickBot="1" x14ac:dyDescent="0.3">
      <c r="A4" s="67"/>
      <c r="B4" s="68" t="s">
        <v>89</v>
      </c>
      <c r="C4" s="68"/>
      <c r="D4" s="68"/>
      <c r="E4" s="69"/>
    </row>
    <row r="5" spans="1:5" ht="15.75" thickBot="1" x14ac:dyDescent="0.3">
      <c r="A5" s="70" t="s">
        <v>1</v>
      </c>
      <c r="B5" s="71" t="s">
        <v>152</v>
      </c>
      <c r="C5" s="71" t="s">
        <v>155</v>
      </c>
      <c r="D5" s="71"/>
      <c r="E5" s="72"/>
    </row>
    <row r="6" spans="1:5" ht="15.75" thickBot="1" x14ac:dyDescent="0.3">
      <c r="A6" s="67" t="s">
        <v>99</v>
      </c>
      <c r="B6" s="68"/>
      <c r="C6" s="68"/>
      <c r="D6" s="68"/>
      <c r="E6" s="69"/>
    </row>
    <row r="7" spans="1:5" ht="15.75" thickBot="1" x14ac:dyDescent="0.3">
      <c r="A7" s="70" t="s">
        <v>98</v>
      </c>
      <c r="B7" s="71"/>
      <c r="C7" s="71"/>
      <c r="D7" s="71"/>
      <c r="E7" s="72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199" t="s">
        <v>134</v>
      </c>
      <c r="C14" s="200"/>
      <c r="D14" s="201"/>
    </row>
    <row r="15" spans="1:5" x14ac:dyDescent="0.25">
      <c r="B15" s="202"/>
      <c r="C15" s="203"/>
      <c r="D15" s="204"/>
    </row>
    <row r="16" spans="1:5" x14ac:dyDescent="0.25">
      <c r="B16" s="202"/>
      <c r="C16" s="203"/>
      <c r="D16" s="204"/>
    </row>
    <row r="17" spans="1:8" x14ac:dyDescent="0.25">
      <c r="B17" s="205"/>
      <c r="C17" s="206"/>
      <c r="D17" s="207"/>
    </row>
    <row r="19" spans="1:8" x14ac:dyDescent="0.25">
      <c r="A19" s="3"/>
    </row>
    <row r="20" spans="1:8" ht="15.75" thickBot="1" x14ac:dyDescent="0.3"/>
    <row r="21" spans="1:8" x14ac:dyDescent="0.25">
      <c r="A21" s="61" t="s">
        <v>86</v>
      </c>
      <c r="B21" s="62"/>
      <c r="C21" s="63"/>
      <c r="D21" s="59"/>
      <c r="E21" s="146" t="s">
        <v>121</v>
      </c>
      <c r="F21" s="145" t="s">
        <v>87</v>
      </c>
    </row>
    <row r="22" spans="1:8" x14ac:dyDescent="0.25">
      <c r="A22" s="121" t="s">
        <v>165</v>
      </c>
      <c r="B22" s="7" t="s">
        <v>167</v>
      </c>
      <c r="C22" s="7"/>
      <c r="D22" s="130"/>
      <c r="E22" s="7"/>
      <c r="F22" s="7"/>
    </row>
    <row r="23" spans="1:8" x14ac:dyDescent="0.25">
      <c r="A23" s="121" t="s">
        <v>126</v>
      </c>
      <c r="B23" s="7"/>
      <c r="C23" s="7"/>
      <c r="D23" s="180">
        <v>1869737.25</v>
      </c>
      <c r="E23" s="134">
        <f>D23*91.91%</f>
        <v>1718475.5064749999</v>
      </c>
      <c r="F23" s="134">
        <f>D23*8.09%</f>
        <v>151261.743525</v>
      </c>
    </row>
    <row r="24" spans="1:8" x14ac:dyDescent="0.25">
      <c r="A24" s="121" t="s">
        <v>2</v>
      </c>
      <c r="B24" s="7"/>
      <c r="C24" s="7"/>
      <c r="D24" s="180">
        <v>-406667.86</v>
      </c>
      <c r="E24" s="134">
        <f t="shared" ref="E24:E25" si="0">D24*91.91%</f>
        <v>-373768.43012599996</v>
      </c>
      <c r="F24" s="134">
        <f t="shared" ref="F24:F25" si="1">D24*8.09%</f>
        <v>-32899.429874000001</v>
      </c>
    </row>
    <row r="25" spans="1:8" x14ac:dyDescent="0.25">
      <c r="A25" s="121" t="s">
        <v>112</v>
      </c>
      <c r="B25" s="7"/>
      <c r="C25" s="7"/>
      <c r="D25" s="180">
        <v>0.61</v>
      </c>
      <c r="E25" s="134">
        <f t="shared" si="0"/>
        <v>0.5606509999999999</v>
      </c>
      <c r="F25" s="134">
        <f t="shared" si="1"/>
        <v>4.9348999999999997E-2</v>
      </c>
    </row>
    <row r="26" spans="1:8" x14ac:dyDescent="0.25">
      <c r="A26" s="121"/>
      <c r="B26" s="7"/>
      <c r="C26" s="7"/>
      <c r="D26" s="180"/>
      <c r="E26" s="134"/>
      <c r="F26" s="7"/>
    </row>
    <row r="27" spans="1:8" ht="12.75" customHeight="1" x14ac:dyDescent="0.25">
      <c r="A27" s="95" t="s">
        <v>3</v>
      </c>
      <c r="B27" s="95"/>
      <c r="C27" s="95"/>
      <c r="D27" s="107">
        <f>SUM(D23:D26)</f>
        <v>1463070.0000000002</v>
      </c>
      <c r="E27" s="107">
        <f>SUM(E23:E26)</f>
        <v>1344707.6369999999</v>
      </c>
      <c r="F27" s="107">
        <f>SUM(F23:F26)</f>
        <v>118362.363</v>
      </c>
      <c r="G27" s="109">
        <f>E27+F27</f>
        <v>1463069.9999999998</v>
      </c>
      <c r="H27" s="150" t="str">
        <f>IF(D27=G27, "", "Error")</f>
        <v/>
      </c>
    </row>
    <row r="28" spans="1:8" hidden="1" x14ac:dyDescent="0.25">
      <c r="A28" s="94" t="s">
        <v>109</v>
      </c>
      <c r="B28" s="7"/>
      <c r="C28" s="7"/>
      <c r="D28" s="181">
        <v>0</v>
      </c>
      <c r="E28" s="134">
        <f>D28*91.91%</f>
        <v>0</v>
      </c>
      <c r="F28" s="134">
        <f>D28*8.09%</f>
        <v>0</v>
      </c>
      <c r="H28" s="150"/>
    </row>
    <row r="29" spans="1:8" hidden="1" x14ac:dyDescent="0.25">
      <c r="A29" s="94"/>
      <c r="B29" s="7"/>
      <c r="C29" s="7"/>
      <c r="D29" s="180">
        <v>0</v>
      </c>
      <c r="E29" s="134">
        <f>D29*91.91%</f>
        <v>0</v>
      </c>
      <c r="F29" s="134">
        <f>D29*8.09%</f>
        <v>0</v>
      </c>
      <c r="H29" s="150"/>
    </row>
    <row r="30" spans="1:8" hidden="1" x14ac:dyDescent="0.25">
      <c r="A30" s="94"/>
      <c r="B30" s="7"/>
      <c r="C30" s="7"/>
      <c r="D30" s="180"/>
      <c r="E30" s="7"/>
      <c r="F30" s="7"/>
      <c r="H30" s="150"/>
    </row>
    <row r="31" spans="1:8" hidden="1" x14ac:dyDescent="0.25">
      <c r="A31" s="94"/>
      <c r="B31" s="7"/>
      <c r="C31" s="7"/>
      <c r="D31" s="180"/>
      <c r="E31" s="7"/>
      <c r="F31" s="7"/>
      <c r="H31" s="150"/>
    </row>
    <row r="32" spans="1:8" hidden="1" x14ac:dyDescent="0.25">
      <c r="A32" s="95" t="s">
        <v>117</v>
      </c>
      <c r="B32" s="95"/>
      <c r="C32" s="95"/>
      <c r="D32" s="107">
        <f>SUM(D28:D30)</f>
        <v>0</v>
      </c>
      <c r="E32" s="107">
        <f t="shared" ref="E32:F32" si="2">SUM(E28:E30)</f>
        <v>0</v>
      </c>
      <c r="F32" s="107">
        <f t="shared" si="2"/>
        <v>0</v>
      </c>
      <c r="G32" s="109">
        <f>E32+F32</f>
        <v>0</v>
      </c>
      <c r="H32" s="150" t="str">
        <f>IF(D32=G32, "", "Error")</f>
        <v/>
      </c>
    </row>
    <row r="33" spans="1:8" hidden="1" x14ac:dyDescent="0.25">
      <c r="A33" s="94" t="s">
        <v>109</v>
      </c>
      <c r="B33" s="7"/>
      <c r="C33" s="7"/>
      <c r="D33" s="181"/>
      <c r="E33" s="134">
        <f>D33*91.91%</f>
        <v>0</v>
      </c>
      <c r="F33" s="134">
        <f>D33*8.09%</f>
        <v>0</v>
      </c>
      <c r="H33" s="150"/>
    </row>
    <row r="34" spans="1:8" hidden="1" x14ac:dyDescent="0.25">
      <c r="A34" s="7" t="s">
        <v>130</v>
      </c>
      <c r="B34" s="7"/>
      <c r="C34" s="7"/>
      <c r="D34" s="180"/>
      <c r="E34" s="134">
        <f t="shared" ref="E34:E35" si="3">D34*91.91%</f>
        <v>0</v>
      </c>
      <c r="F34" s="134">
        <f t="shared" ref="F34:F35" si="4">D34*8.09%</f>
        <v>0</v>
      </c>
      <c r="H34" s="150"/>
    </row>
    <row r="35" spans="1:8" hidden="1" x14ac:dyDescent="0.25">
      <c r="A35" s="94" t="s">
        <v>2</v>
      </c>
      <c r="B35" s="7"/>
      <c r="C35" s="7"/>
      <c r="D35" s="180"/>
      <c r="E35" s="134">
        <f t="shared" si="3"/>
        <v>0</v>
      </c>
      <c r="F35" s="134">
        <f t="shared" si="4"/>
        <v>0</v>
      </c>
      <c r="H35" s="150"/>
    </row>
    <row r="36" spans="1:8" hidden="1" x14ac:dyDescent="0.25">
      <c r="A36" s="95" t="s">
        <v>110</v>
      </c>
      <c r="B36" s="95"/>
      <c r="C36" s="95"/>
      <c r="D36" s="107">
        <f>SUM(D29:D35)</f>
        <v>0</v>
      </c>
      <c r="E36" s="107">
        <f t="shared" ref="E36" si="5">SUM(E29:E35)</f>
        <v>0</v>
      </c>
      <c r="F36" s="119">
        <f>E36*8.09%</f>
        <v>0</v>
      </c>
      <c r="H36" s="150"/>
    </row>
    <row r="37" spans="1:8" ht="0.75" hidden="1" customHeight="1" x14ac:dyDescent="0.25">
      <c r="A37" s="129"/>
      <c r="B37" s="98"/>
      <c r="C37" s="98"/>
      <c r="D37" s="180"/>
      <c r="E37" s="120"/>
      <c r="F37" s="120"/>
      <c r="H37" s="150"/>
    </row>
    <row r="38" spans="1:8" hidden="1" x14ac:dyDescent="0.25">
      <c r="A38" s="129"/>
      <c r="B38" s="98"/>
      <c r="C38" s="98"/>
      <c r="D38" s="180"/>
      <c r="E38" s="120"/>
      <c r="F38" s="120"/>
      <c r="H38" s="150"/>
    </row>
    <row r="39" spans="1:8" hidden="1" x14ac:dyDescent="0.25">
      <c r="A39" s="98"/>
      <c r="B39" s="98"/>
      <c r="C39" s="111"/>
      <c r="D39" s="180"/>
      <c r="E39" s="120"/>
      <c r="F39" s="120"/>
      <c r="H39" s="150"/>
    </row>
    <row r="40" spans="1:8" hidden="1" x14ac:dyDescent="0.25">
      <c r="A40" s="95" t="s">
        <v>117</v>
      </c>
      <c r="B40" s="95"/>
      <c r="C40" s="95"/>
      <c r="D40" s="107"/>
      <c r="E40" s="112">
        <f>SUM(D37:D39)</f>
        <v>0</v>
      </c>
      <c r="F40" s="110">
        <f>(D37)*8.09%</f>
        <v>0</v>
      </c>
      <c r="H40" s="150"/>
    </row>
    <row r="41" spans="1:8" x14ac:dyDescent="0.25">
      <c r="A41" s="94" t="s">
        <v>145</v>
      </c>
      <c r="B41" s="7"/>
      <c r="C41" s="7"/>
      <c r="D41" s="195">
        <v>3567.21</v>
      </c>
      <c r="E41" s="134">
        <f>D41*91.91%</f>
        <v>3278.6227109999995</v>
      </c>
      <c r="F41" s="134">
        <f>D41*8.09%</f>
        <v>288.587289</v>
      </c>
      <c r="H41" s="150"/>
    </row>
    <row r="42" spans="1:8" x14ac:dyDescent="0.25">
      <c r="A42" s="94" t="s">
        <v>144</v>
      </c>
      <c r="B42" s="7"/>
      <c r="C42" s="7"/>
      <c r="D42" s="195">
        <v>37000</v>
      </c>
      <c r="E42" s="134">
        <f>D42*91.91%</f>
        <v>34006.699999999997</v>
      </c>
      <c r="F42" s="134">
        <f>D42*8.09%</f>
        <v>2993.3</v>
      </c>
      <c r="H42" s="150"/>
    </row>
    <row r="43" spans="1:8" ht="15.75" thickBot="1" x14ac:dyDescent="0.3">
      <c r="A43" s="94"/>
      <c r="B43" s="7"/>
      <c r="C43" s="7"/>
      <c r="D43" s="183"/>
      <c r="E43" s="134">
        <f>D43*91.91%</f>
        <v>0</v>
      </c>
      <c r="F43" s="134">
        <f>D43*8.09%</f>
        <v>0</v>
      </c>
      <c r="H43" s="150"/>
    </row>
    <row r="44" spans="1:8" ht="15.75" thickBot="1" x14ac:dyDescent="0.3">
      <c r="A44" s="95" t="s">
        <v>127</v>
      </c>
      <c r="B44" s="95"/>
      <c r="C44" s="95"/>
      <c r="D44" s="107">
        <f>SUM(D41:D43)</f>
        <v>40567.21</v>
      </c>
      <c r="E44" s="159">
        <f>SUM(E41:E43)</f>
        <v>37285.322710999993</v>
      </c>
      <c r="F44" s="169">
        <f>SUM(F41:F43)</f>
        <v>3281.8872890000002</v>
      </c>
      <c r="G44" s="109">
        <f>E44+F44</f>
        <v>40567.209999999992</v>
      </c>
      <c r="H44" s="150"/>
    </row>
    <row r="45" spans="1:8" x14ac:dyDescent="0.25">
      <c r="A45" s="94" t="s">
        <v>4</v>
      </c>
      <c r="B45" s="7"/>
      <c r="C45" s="7"/>
      <c r="D45" s="183"/>
      <c r="E45" s="114"/>
      <c r="F45" s="100"/>
      <c r="H45" s="150"/>
    </row>
    <row r="46" spans="1:8" x14ac:dyDescent="0.25">
      <c r="A46" s="94" t="s">
        <v>140</v>
      </c>
      <c r="B46" s="7"/>
      <c r="C46" s="98"/>
      <c r="D46" s="113">
        <v>5020</v>
      </c>
      <c r="E46" s="134">
        <f>D46*91.91%</f>
        <v>4613.8819999999996</v>
      </c>
      <c r="F46" s="134">
        <f>D46*8.09%</f>
        <v>406.11799999999999</v>
      </c>
      <c r="H46" s="150"/>
    </row>
    <row r="47" spans="1:8" x14ac:dyDescent="0.25">
      <c r="A47" s="94" t="s">
        <v>5</v>
      </c>
      <c r="B47" s="7" t="s">
        <v>141</v>
      </c>
      <c r="C47" s="7"/>
      <c r="D47" s="195">
        <f>157828.92+9348.69+84138.18</f>
        <v>251315.79</v>
      </c>
      <c r="E47" s="134">
        <f>D47*91.91%</f>
        <v>230984.34258899998</v>
      </c>
      <c r="F47" s="134">
        <f>D47*8.09%</f>
        <v>20331.447411000001</v>
      </c>
      <c r="H47" s="150"/>
    </row>
    <row r="48" spans="1:8" x14ac:dyDescent="0.25">
      <c r="A48" s="94" t="s">
        <v>135</v>
      </c>
      <c r="B48" s="98" t="s">
        <v>142</v>
      </c>
      <c r="C48" s="7"/>
      <c r="D48" s="195">
        <v>828107.55</v>
      </c>
      <c r="E48" s="134">
        <f>D48*91.91%</f>
        <v>761113.64920500002</v>
      </c>
      <c r="F48" s="134">
        <f>D48*8.09%</f>
        <v>66993.900795000009</v>
      </c>
      <c r="H48" s="150"/>
    </row>
    <row r="49" spans="1:16" x14ac:dyDescent="0.25">
      <c r="A49" s="95" t="s">
        <v>6</v>
      </c>
      <c r="B49" s="96"/>
      <c r="C49" s="96"/>
      <c r="D49" s="108">
        <f>SUM(D46:D48)</f>
        <v>1084443.3400000001</v>
      </c>
      <c r="E49" s="108">
        <f t="shared" ref="E49:F49" si="6">SUM(E46:E48)</f>
        <v>996711.87379400001</v>
      </c>
      <c r="F49" s="108">
        <f t="shared" si="6"/>
        <v>87731.466206000012</v>
      </c>
      <c r="G49" s="109">
        <f>E49+F49</f>
        <v>1084443.3400000001</v>
      </c>
      <c r="H49" s="150" t="str">
        <f>IF(D49=G49, "", "Error")</f>
        <v/>
      </c>
    </row>
    <row r="50" spans="1:16" x14ac:dyDescent="0.25">
      <c r="A50" s="7" t="s">
        <v>7</v>
      </c>
      <c r="B50" s="7"/>
      <c r="C50" s="7"/>
      <c r="D50" s="183"/>
      <c r="E50" s="115"/>
      <c r="F50" s="7"/>
      <c r="H50" s="150"/>
    </row>
    <row r="51" spans="1:16" ht="16.5" customHeight="1" x14ac:dyDescent="0.25">
      <c r="A51" s="188" t="s">
        <v>162</v>
      </c>
      <c r="B51" s="176"/>
      <c r="C51" s="177"/>
      <c r="D51" s="196">
        <v>960000</v>
      </c>
      <c r="E51" s="149">
        <f>D51</f>
        <v>960000</v>
      </c>
      <c r="F51" s="7"/>
      <c r="G51" s="109">
        <f>D51</f>
        <v>960000</v>
      </c>
      <c r="H51" s="161">
        <f>E51+F51</f>
        <v>960000</v>
      </c>
      <c r="I51" s="178">
        <f t="shared" ref="I51:I69" si="7">H51-D51</f>
        <v>0</v>
      </c>
      <c r="J51" s="178">
        <f t="shared" ref="J51:J69" si="8">G51-D51</f>
        <v>0</v>
      </c>
    </row>
    <row r="52" spans="1:16" ht="16.5" customHeight="1" x14ac:dyDescent="0.25">
      <c r="A52" s="188" t="s">
        <v>143</v>
      </c>
      <c r="B52" s="176"/>
      <c r="C52" s="177"/>
      <c r="D52" s="195">
        <v>372000</v>
      </c>
      <c r="E52" s="149">
        <f>D52</f>
        <v>372000</v>
      </c>
      <c r="F52" s="7"/>
      <c r="G52" s="109">
        <f>D52</f>
        <v>372000</v>
      </c>
      <c r="H52" s="161">
        <f>E52+F52</f>
        <v>372000</v>
      </c>
      <c r="I52" s="178">
        <f>H52-D52</f>
        <v>0</v>
      </c>
      <c r="J52" s="178"/>
    </row>
    <row r="53" spans="1:16" ht="27" customHeight="1" x14ac:dyDescent="0.25">
      <c r="A53" s="242" t="s">
        <v>163</v>
      </c>
      <c r="B53" s="243"/>
      <c r="C53" s="244"/>
      <c r="D53" s="195">
        <v>165500</v>
      </c>
      <c r="E53" s="149">
        <f t="shared" ref="E53:E58" si="9">D53*91.91%</f>
        <v>152111.04999999999</v>
      </c>
      <c r="F53" s="134">
        <f t="shared" ref="F53:F58" si="10">D53*8.09%</f>
        <v>13388.95</v>
      </c>
      <c r="G53" s="109">
        <f t="shared" ref="G53:G69" si="11">D53</f>
        <v>165500</v>
      </c>
      <c r="H53" s="161">
        <f t="shared" ref="H53:H69" si="12">E53+F53</f>
        <v>165500</v>
      </c>
      <c r="I53" s="178">
        <f t="shared" si="7"/>
        <v>0</v>
      </c>
      <c r="J53" s="178">
        <f t="shared" si="8"/>
        <v>0</v>
      </c>
    </row>
    <row r="54" spans="1:16" ht="14.25" customHeight="1" x14ac:dyDescent="0.25">
      <c r="A54" s="121" t="s">
        <v>8</v>
      </c>
      <c r="B54" s="163"/>
      <c r="C54" s="7"/>
      <c r="D54" s="195">
        <v>148124.67000000001</v>
      </c>
      <c r="E54" s="149">
        <f t="shared" si="9"/>
        <v>136141.38419700001</v>
      </c>
      <c r="F54" s="134">
        <f t="shared" si="10"/>
        <v>11983.285803000001</v>
      </c>
      <c r="G54" s="109">
        <f t="shared" si="11"/>
        <v>148124.67000000001</v>
      </c>
      <c r="H54" s="161">
        <f t="shared" si="12"/>
        <v>148124.67000000001</v>
      </c>
      <c r="I54" s="178"/>
      <c r="J54" s="178"/>
    </row>
    <row r="55" spans="1:16" x14ac:dyDescent="0.25">
      <c r="A55" s="94" t="s">
        <v>153</v>
      </c>
      <c r="B55" s="7"/>
      <c r="C55" s="7"/>
      <c r="D55" s="195">
        <v>148200</v>
      </c>
      <c r="E55" s="149">
        <f t="shared" si="9"/>
        <v>136210.62</v>
      </c>
      <c r="F55" s="134">
        <f t="shared" si="10"/>
        <v>11989.38</v>
      </c>
      <c r="G55" s="109">
        <f t="shared" si="11"/>
        <v>148200</v>
      </c>
      <c r="H55" s="161">
        <f t="shared" si="12"/>
        <v>148200</v>
      </c>
      <c r="I55" s="178">
        <f t="shared" si="7"/>
        <v>0</v>
      </c>
      <c r="J55" s="178">
        <f t="shared" si="8"/>
        <v>0</v>
      </c>
    </row>
    <row r="56" spans="1:16" x14ac:dyDescent="0.25">
      <c r="A56" s="94" t="s">
        <v>9</v>
      </c>
      <c r="B56" s="7" t="s">
        <v>139</v>
      </c>
      <c r="C56" s="7"/>
      <c r="D56" s="113">
        <v>74623.7</v>
      </c>
      <c r="E56" s="149">
        <f>D56*91.91%</f>
        <v>68586.642669999987</v>
      </c>
      <c r="F56" s="134">
        <f t="shared" si="10"/>
        <v>6037.0573299999996</v>
      </c>
      <c r="G56" s="109">
        <f t="shared" si="11"/>
        <v>74623.7</v>
      </c>
      <c r="H56" s="161">
        <f>E56+F56</f>
        <v>74623.699999999983</v>
      </c>
      <c r="I56" s="178">
        <f t="shared" si="7"/>
        <v>0</v>
      </c>
      <c r="J56" s="178">
        <f t="shared" si="8"/>
        <v>0</v>
      </c>
    </row>
    <row r="57" spans="1:16" x14ac:dyDescent="0.25">
      <c r="A57" s="94" t="s">
        <v>11</v>
      </c>
      <c r="B57" s="7"/>
      <c r="C57" s="7"/>
      <c r="D57" s="195">
        <v>614674.98</v>
      </c>
      <c r="E57" s="149">
        <f t="shared" si="9"/>
        <v>564947.77411799994</v>
      </c>
      <c r="F57" s="134">
        <f t="shared" si="10"/>
        <v>49727.205881999995</v>
      </c>
      <c r="G57" s="109">
        <f t="shared" si="11"/>
        <v>614674.98</v>
      </c>
      <c r="H57" s="161">
        <f t="shared" si="12"/>
        <v>614674.98</v>
      </c>
      <c r="I57" s="178">
        <f t="shared" si="7"/>
        <v>0</v>
      </c>
      <c r="J57" s="178">
        <f t="shared" si="8"/>
        <v>0</v>
      </c>
    </row>
    <row r="58" spans="1:16" x14ac:dyDescent="0.25">
      <c r="A58" s="129" t="s">
        <v>10</v>
      </c>
      <c r="B58" s="98" t="s">
        <v>160</v>
      </c>
      <c r="C58" s="98"/>
      <c r="D58" s="195">
        <v>1101493.94</v>
      </c>
      <c r="E58" s="149">
        <f t="shared" si="9"/>
        <v>1012383.0802539999</v>
      </c>
      <c r="F58" s="134">
        <f t="shared" si="10"/>
        <v>89110.859746000002</v>
      </c>
      <c r="G58" s="109">
        <f t="shared" si="11"/>
        <v>1101493.94</v>
      </c>
      <c r="H58" s="161">
        <f t="shared" si="12"/>
        <v>1101493.94</v>
      </c>
      <c r="I58" s="178">
        <f t="shared" si="7"/>
        <v>0</v>
      </c>
      <c r="J58" s="178">
        <f t="shared" si="8"/>
        <v>0</v>
      </c>
    </row>
    <row r="59" spans="1:16" x14ac:dyDescent="0.25">
      <c r="A59" s="219" t="s">
        <v>156</v>
      </c>
      <c r="B59" s="220"/>
      <c r="C59" s="221"/>
      <c r="D59" s="195">
        <v>65500</v>
      </c>
      <c r="E59" s="149">
        <f t="shared" ref="E59:E63" si="13">D59</f>
        <v>65500</v>
      </c>
      <c r="F59" s="134"/>
      <c r="G59" s="109">
        <f t="shared" si="11"/>
        <v>65500</v>
      </c>
      <c r="H59" s="161">
        <f t="shared" si="12"/>
        <v>65500</v>
      </c>
      <c r="I59" s="178">
        <f t="shared" si="7"/>
        <v>0</v>
      </c>
      <c r="J59" s="178">
        <f t="shared" si="8"/>
        <v>0</v>
      </c>
    </row>
    <row r="60" spans="1:16" ht="15" customHeight="1" x14ac:dyDescent="0.25">
      <c r="A60" s="191" t="s">
        <v>158</v>
      </c>
      <c r="B60" s="192"/>
      <c r="C60" s="187"/>
      <c r="D60" s="195">
        <v>90000</v>
      </c>
      <c r="E60" s="149">
        <f t="shared" si="13"/>
        <v>90000</v>
      </c>
      <c r="F60" s="134"/>
      <c r="G60" s="109">
        <f t="shared" si="11"/>
        <v>90000</v>
      </c>
      <c r="H60" s="161">
        <f t="shared" si="12"/>
        <v>90000</v>
      </c>
      <c r="I60" s="178">
        <f t="shared" si="7"/>
        <v>0</v>
      </c>
      <c r="J60" s="178">
        <f t="shared" si="8"/>
        <v>0</v>
      </c>
    </row>
    <row r="61" spans="1:16" ht="15" customHeight="1" x14ac:dyDescent="0.25">
      <c r="A61" s="7" t="s">
        <v>157</v>
      </c>
      <c r="B61" s="114"/>
      <c r="C61" s="7"/>
      <c r="D61" s="195">
        <v>29200</v>
      </c>
      <c r="E61" s="149">
        <f t="shared" si="13"/>
        <v>29200</v>
      </c>
      <c r="F61" s="134"/>
      <c r="G61" s="109">
        <f t="shared" si="11"/>
        <v>29200</v>
      </c>
      <c r="H61" s="161">
        <f t="shared" si="12"/>
        <v>29200</v>
      </c>
      <c r="I61" s="178">
        <f t="shared" si="7"/>
        <v>0</v>
      </c>
      <c r="J61" s="178"/>
    </row>
    <row r="62" spans="1:16" ht="32.25" customHeight="1" x14ac:dyDescent="0.25">
      <c r="A62" s="219" t="s">
        <v>166</v>
      </c>
      <c r="B62" s="220"/>
      <c r="C62" s="221"/>
      <c r="D62" s="241"/>
      <c r="E62" s="149">
        <f t="shared" si="13"/>
        <v>0</v>
      </c>
      <c r="F62" s="7"/>
      <c r="G62" s="109">
        <f t="shared" si="11"/>
        <v>0</v>
      </c>
      <c r="H62" s="161">
        <f t="shared" si="12"/>
        <v>0</v>
      </c>
      <c r="I62" s="178">
        <f t="shared" si="7"/>
        <v>0</v>
      </c>
      <c r="J62" s="178"/>
    </row>
    <row r="63" spans="1:16" x14ac:dyDescent="0.25">
      <c r="A63" s="194" t="s">
        <v>147</v>
      </c>
      <c r="B63" s="194"/>
      <c r="C63" s="194"/>
      <c r="D63" s="241">
        <v>736429.26</v>
      </c>
      <c r="E63" s="149">
        <f t="shared" si="13"/>
        <v>736429.26</v>
      </c>
      <c r="F63" s="134"/>
      <c r="G63" s="109">
        <f t="shared" si="11"/>
        <v>736429.26</v>
      </c>
      <c r="H63" s="161">
        <f t="shared" si="12"/>
        <v>736429.26</v>
      </c>
      <c r="I63" s="178">
        <f t="shared" si="7"/>
        <v>0</v>
      </c>
      <c r="J63" s="178">
        <f t="shared" si="8"/>
        <v>0</v>
      </c>
      <c r="M63" s="194" t="s">
        <v>149</v>
      </c>
      <c r="N63" s="7"/>
      <c r="O63" s="7"/>
      <c r="P63" s="195">
        <v>232510.18</v>
      </c>
    </row>
    <row r="64" spans="1:16" x14ac:dyDescent="0.25">
      <c r="A64" s="194" t="s">
        <v>149</v>
      </c>
      <c r="B64" s="194" t="s">
        <v>150</v>
      </c>
      <c r="C64" s="194"/>
      <c r="D64" s="241"/>
      <c r="E64" s="149">
        <f t="shared" ref="E64:E68" si="14">D64*91.91%</f>
        <v>0</v>
      </c>
      <c r="F64" s="134">
        <f t="shared" ref="F64:F68" si="15">D64*8.09%</f>
        <v>0</v>
      </c>
      <c r="G64" s="109">
        <f t="shared" si="11"/>
        <v>0</v>
      </c>
      <c r="H64" s="161">
        <f t="shared" si="12"/>
        <v>0</v>
      </c>
      <c r="I64" s="178">
        <f t="shared" si="7"/>
        <v>0</v>
      </c>
      <c r="J64" s="178">
        <f t="shared" si="8"/>
        <v>0</v>
      </c>
      <c r="M64" s="194" t="s">
        <v>138</v>
      </c>
      <c r="N64" s="7"/>
      <c r="O64" s="7"/>
      <c r="P64" s="195">
        <v>357622.29</v>
      </c>
    </row>
    <row r="65" spans="1:16" x14ac:dyDescent="0.25">
      <c r="A65" s="194" t="s">
        <v>138</v>
      </c>
      <c r="B65" s="194" t="s">
        <v>150</v>
      </c>
      <c r="C65" s="194"/>
      <c r="D65" s="241"/>
      <c r="E65" s="149">
        <f t="shared" si="14"/>
        <v>0</v>
      </c>
      <c r="F65" s="134">
        <f t="shared" si="15"/>
        <v>0</v>
      </c>
      <c r="G65" s="109">
        <f t="shared" si="11"/>
        <v>0</v>
      </c>
      <c r="H65" s="161">
        <f t="shared" si="12"/>
        <v>0</v>
      </c>
      <c r="I65" s="178">
        <f t="shared" si="7"/>
        <v>0</v>
      </c>
      <c r="J65" s="178">
        <f t="shared" si="8"/>
        <v>0</v>
      </c>
      <c r="M65" s="194" t="s">
        <v>138</v>
      </c>
      <c r="N65" s="7"/>
      <c r="O65" s="7"/>
      <c r="P65" s="195">
        <v>358487.12</v>
      </c>
    </row>
    <row r="66" spans="1:16" x14ac:dyDescent="0.25">
      <c r="A66" s="194" t="s">
        <v>138</v>
      </c>
      <c r="B66" s="194" t="s">
        <v>150</v>
      </c>
      <c r="C66" s="194"/>
      <c r="D66" s="241"/>
      <c r="E66" s="149">
        <f t="shared" si="14"/>
        <v>0</v>
      </c>
      <c r="F66" s="134">
        <f t="shared" si="15"/>
        <v>0</v>
      </c>
      <c r="G66" s="109">
        <f t="shared" si="11"/>
        <v>0</v>
      </c>
      <c r="H66" s="161">
        <f t="shared" si="12"/>
        <v>0</v>
      </c>
      <c r="I66" s="178">
        <f t="shared" si="7"/>
        <v>0</v>
      </c>
      <c r="J66" s="178">
        <f t="shared" si="8"/>
        <v>0</v>
      </c>
    </row>
    <row r="67" spans="1:16" ht="14.25" customHeight="1" x14ac:dyDescent="0.25">
      <c r="A67" s="194" t="s">
        <v>148</v>
      </c>
      <c r="B67" s="194"/>
      <c r="C67" s="194"/>
      <c r="D67" s="241">
        <v>186859.86</v>
      </c>
      <c r="E67" s="149">
        <f t="shared" ref="E67" si="16">D67</f>
        <v>186859.86</v>
      </c>
      <c r="F67" s="134"/>
      <c r="G67" s="109">
        <f t="shared" si="11"/>
        <v>186859.86</v>
      </c>
      <c r="H67" s="161">
        <f t="shared" si="12"/>
        <v>186859.86</v>
      </c>
      <c r="I67" s="178">
        <f t="shared" si="7"/>
        <v>0</v>
      </c>
      <c r="J67" s="178">
        <f t="shared" si="8"/>
        <v>0</v>
      </c>
    </row>
    <row r="68" spans="1:16" ht="14.25" customHeight="1" x14ac:dyDescent="0.25">
      <c r="A68" s="7" t="s">
        <v>119</v>
      </c>
      <c r="B68" s="7" t="s">
        <v>154</v>
      </c>
      <c r="C68" s="7"/>
      <c r="D68" s="195">
        <v>83283.39</v>
      </c>
      <c r="E68" s="149">
        <f t="shared" si="14"/>
        <v>76545.763748999991</v>
      </c>
      <c r="F68" s="134">
        <f t="shared" si="15"/>
        <v>6737.6262509999997</v>
      </c>
      <c r="G68" s="109">
        <f t="shared" si="11"/>
        <v>83283.39</v>
      </c>
      <c r="H68" s="161">
        <f t="shared" si="12"/>
        <v>83283.389999999985</v>
      </c>
      <c r="I68" s="178">
        <f t="shared" si="7"/>
        <v>0</v>
      </c>
      <c r="J68" s="178">
        <f t="shared" si="8"/>
        <v>0</v>
      </c>
    </row>
    <row r="69" spans="1:16" ht="14.25" customHeight="1" x14ac:dyDescent="0.25">
      <c r="A69" s="98" t="s">
        <v>161</v>
      </c>
      <c r="B69" s="114"/>
      <c r="C69" s="162"/>
      <c r="D69" s="195">
        <v>300000</v>
      </c>
      <c r="E69" s="149">
        <f t="shared" ref="E69" si="17">D69</f>
        <v>300000</v>
      </c>
      <c r="F69" s="134"/>
      <c r="G69" s="109">
        <f t="shared" si="11"/>
        <v>300000</v>
      </c>
      <c r="H69" s="161">
        <f t="shared" si="12"/>
        <v>300000</v>
      </c>
      <c r="I69" s="178">
        <f t="shared" si="7"/>
        <v>0</v>
      </c>
      <c r="J69" s="178">
        <f t="shared" si="8"/>
        <v>0</v>
      </c>
    </row>
    <row r="70" spans="1:16" x14ac:dyDescent="0.25">
      <c r="A70" s="155"/>
      <c r="B70" s="156"/>
      <c r="C70" s="156"/>
      <c r="D70" s="166"/>
      <c r="E70" s="149"/>
      <c r="F70" s="134"/>
      <c r="G70" s="109"/>
      <c r="H70" s="161"/>
      <c r="I70" t="str">
        <f>IF(G70=H70, "", "Error")</f>
        <v/>
      </c>
    </row>
    <row r="71" spans="1:16" x14ac:dyDescent="0.25">
      <c r="A71" s="96" t="s">
        <v>12</v>
      </c>
      <c r="B71" s="96"/>
      <c r="C71" s="96"/>
      <c r="D71" s="108">
        <f>SUM(D51:D70)</f>
        <v>5075889.8</v>
      </c>
      <c r="E71" s="108">
        <f>SUM(E51:E70)</f>
        <v>4886915.4349879995</v>
      </c>
      <c r="F71" s="108">
        <f>SUM(F51:F70)</f>
        <v>188974.36501199999</v>
      </c>
      <c r="G71" s="109">
        <f>E71+F71</f>
        <v>5075889.8</v>
      </c>
      <c r="H71" s="150" t="str">
        <f>IF(D71=G71, "", "Error")</f>
        <v/>
      </c>
      <c r="I71" s="178">
        <f>D71-G71</f>
        <v>0</v>
      </c>
    </row>
    <row r="72" spans="1:16" hidden="1" x14ac:dyDescent="0.25">
      <c r="A72" s="7"/>
      <c r="B72" s="7"/>
      <c r="C72" s="7"/>
      <c r="D72" s="183"/>
      <c r="E72" s="115"/>
      <c r="F72" s="7"/>
      <c r="H72" s="150"/>
    </row>
    <row r="73" spans="1:16" hidden="1" x14ac:dyDescent="0.25">
      <c r="A73" s="7"/>
      <c r="B73" s="7"/>
      <c r="C73" s="7"/>
      <c r="D73" s="183"/>
      <c r="E73" s="114"/>
      <c r="F73" s="7"/>
      <c r="H73" s="150"/>
    </row>
    <row r="74" spans="1:16" hidden="1" x14ac:dyDescent="0.25">
      <c r="A74" s="7"/>
      <c r="B74" s="7"/>
      <c r="C74" s="7"/>
      <c r="D74" s="183"/>
      <c r="E74" s="114"/>
      <c r="F74" s="7"/>
      <c r="H74" s="150"/>
    </row>
    <row r="75" spans="1:16" x14ac:dyDescent="0.25">
      <c r="A75" s="94" t="s">
        <v>159</v>
      </c>
      <c r="B75" s="98"/>
      <c r="C75" s="7"/>
      <c r="D75" s="195">
        <f>127080+80450</f>
        <v>207530</v>
      </c>
      <c r="E75" s="149">
        <f>D75*91.91%</f>
        <v>190740.82299999997</v>
      </c>
      <c r="F75" s="134">
        <f>D75*8.09%</f>
        <v>16789.177</v>
      </c>
      <c r="G75" s="160"/>
      <c r="H75" s="150"/>
    </row>
    <row r="76" spans="1:16" x14ac:dyDescent="0.25">
      <c r="A76" s="7"/>
      <c r="B76" s="7"/>
      <c r="C76" s="7"/>
      <c r="D76" s="113"/>
      <c r="E76" s="164">
        <f>D76</f>
        <v>0</v>
      </c>
      <c r="F76" s="7"/>
      <c r="H76" s="150"/>
      <c r="I76" s="109"/>
    </row>
    <row r="77" spans="1:16" ht="13.5" customHeight="1" x14ac:dyDescent="0.25">
      <c r="A77" s="95" t="s">
        <v>16</v>
      </c>
      <c r="B77" s="95"/>
      <c r="C77" s="95"/>
      <c r="D77" s="107">
        <f>SUM(D75:D76)</f>
        <v>207530</v>
      </c>
      <c r="E77" s="107">
        <f>SUM(E75:E76)</f>
        <v>190740.82299999997</v>
      </c>
      <c r="F77" s="107">
        <f>SUM(F75:F76)</f>
        <v>16789.177</v>
      </c>
      <c r="G77" s="109">
        <f>E77+F77</f>
        <v>207529.99999999997</v>
      </c>
      <c r="H77" s="150" t="str">
        <f>IF(D77=G77, "", "Error")</f>
        <v/>
      </c>
      <c r="J77" s="109"/>
    </row>
    <row r="78" spans="1:16" hidden="1" x14ac:dyDescent="0.25">
      <c r="A78" s="7"/>
      <c r="B78" s="7"/>
      <c r="C78" s="7"/>
      <c r="D78" s="183"/>
      <c r="E78" s="115"/>
      <c r="F78" s="7"/>
      <c r="H78" s="150"/>
    </row>
    <row r="79" spans="1:16" hidden="1" x14ac:dyDescent="0.25">
      <c r="A79" s="7"/>
      <c r="B79" s="7"/>
      <c r="C79" s="7"/>
      <c r="D79" s="183"/>
      <c r="E79" s="114"/>
      <c r="F79" s="7"/>
      <c r="H79" s="150"/>
    </row>
    <row r="80" spans="1:16" x14ac:dyDescent="0.25">
      <c r="A80" s="94" t="s">
        <v>13</v>
      </c>
      <c r="B80" s="7"/>
      <c r="C80" s="7"/>
      <c r="D80" s="183"/>
      <c r="E80" s="114"/>
      <c r="F80" s="7"/>
      <c r="H80" s="150"/>
    </row>
    <row r="81" spans="1:10" ht="14.25" customHeight="1" x14ac:dyDescent="0.25">
      <c r="A81" s="94" t="s">
        <v>14</v>
      </c>
      <c r="B81" s="7" t="s">
        <v>116</v>
      </c>
      <c r="C81" s="7"/>
      <c r="D81" s="195">
        <v>246000</v>
      </c>
      <c r="E81" s="149">
        <f>D81*91.91%</f>
        <v>226098.59999999998</v>
      </c>
      <c r="F81" s="134">
        <f>D81*8.09%</f>
        <v>19901.400000000001</v>
      </c>
      <c r="G81" t="s">
        <v>146</v>
      </c>
      <c r="H81" s="150"/>
    </row>
    <row r="82" spans="1:10" x14ac:dyDescent="0.25">
      <c r="A82" s="94" t="s">
        <v>107</v>
      </c>
      <c r="B82" s="7"/>
      <c r="C82" s="7"/>
      <c r="D82" s="195">
        <v>30000</v>
      </c>
      <c r="E82" s="149">
        <f>D82*91.91%</f>
        <v>27572.999999999996</v>
      </c>
      <c r="F82" s="134">
        <f>D82*8.09%</f>
        <v>2427</v>
      </c>
      <c r="H82" s="150"/>
      <c r="J82" s="113"/>
    </row>
    <row r="83" spans="1:10" x14ac:dyDescent="0.25">
      <c r="A83" s="7"/>
      <c r="B83" s="7"/>
      <c r="C83" s="7"/>
      <c r="D83" s="183"/>
      <c r="E83" s="116"/>
      <c r="F83" s="7"/>
      <c r="H83" s="150"/>
      <c r="J83" s="109"/>
    </row>
    <row r="84" spans="1:10" x14ac:dyDescent="0.25">
      <c r="A84" s="95" t="s">
        <v>100</v>
      </c>
      <c r="B84" s="95"/>
      <c r="C84" s="95"/>
      <c r="D84" s="107">
        <f>SUM(D81:D83)</f>
        <v>276000</v>
      </c>
      <c r="E84" s="107">
        <f>SUM(E81:E83)</f>
        <v>253671.59999999998</v>
      </c>
      <c r="F84" s="107">
        <f>SUM(F81:F83)</f>
        <v>22328.400000000001</v>
      </c>
      <c r="G84" s="109">
        <f>E84+F84</f>
        <v>276000</v>
      </c>
      <c r="H84" s="150" t="str">
        <f>IF(D84=G84, "", "Error")</f>
        <v/>
      </c>
      <c r="J84" s="109"/>
    </row>
    <row r="85" spans="1:10" ht="14.25" customHeight="1" x14ac:dyDescent="0.25">
      <c r="A85" s="7"/>
      <c r="B85" s="7"/>
      <c r="C85" s="7"/>
      <c r="D85" s="113"/>
      <c r="E85" s="117"/>
      <c r="F85" s="7"/>
      <c r="H85" s="150"/>
    </row>
    <row r="86" spans="1:10" x14ac:dyDescent="0.25">
      <c r="A86" s="94" t="s">
        <v>101</v>
      </c>
      <c r="B86" s="7"/>
      <c r="C86" s="7"/>
      <c r="D86" s="241">
        <v>116023.77</v>
      </c>
      <c r="E86" s="149">
        <f>D86*91.91%</f>
        <v>106637.447007</v>
      </c>
      <c r="F86" s="134">
        <f>D86*8.09%</f>
        <v>9386.3229929999998</v>
      </c>
      <c r="H86" s="150"/>
    </row>
    <row r="87" spans="1:10" x14ac:dyDescent="0.25">
      <c r="A87" s="94" t="s">
        <v>102</v>
      </c>
      <c r="B87" s="7"/>
      <c r="C87" s="122"/>
      <c r="D87" s="241">
        <v>44400</v>
      </c>
      <c r="E87" s="149">
        <f>D87*91.91%</f>
        <v>40808.039999999994</v>
      </c>
      <c r="F87" s="134">
        <f>D87*8.09%</f>
        <v>3591.96</v>
      </c>
      <c r="H87" s="150"/>
    </row>
    <row r="88" spans="1:10" x14ac:dyDescent="0.25">
      <c r="A88" s="95" t="s">
        <v>15</v>
      </c>
      <c r="B88" s="95"/>
      <c r="C88" s="95"/>
      <c r="D88" s="158">
        <f>SUM(D86:D87)</f>
        <v>160423.77000000002</v>
      </c>
      <c r="E88" s="147">
        <f t="shared" ref="E88:F88" si="18">SUM(E86:E87)</f>
        <v>147445.48700699999</v>
      </c>
      <c r="F88" s="147">
        <f t="shared" si="18"/>
        <v>12978.282993000001</v>
      </c>
      <c r="G88" s="109">
        <f>E88+F88</f>
        <v>160423.76999999999</v>
      </c>
      <c r="H88" s="150" t="str">
        <f>IF(D88=G88, "", "Error")</f>
        <v/>
      </c>
    </row>
    <row r="89" spans="1:10" ht="15.75" thickBot="1" x14ac:dyDescent="0.3">
      <c r="A89" s="7"/>
      <c r="B89" s="7"/>
      <c r="C89" s="7"/>
      <c r="D89" s="184"/>
      <c r="E89" s="12"/>
      <c r="F89" s="7"/>
      <c r="H89" s="150"/>
    </row>
    <row r="90" spans="1:10" ht="15.75" thickBot="1" x14ac:dyDescent="0.3">
      <c r="A90" s="99" t="s">
        <v>133</v>
      </c>
      <c r="B90" s="99"/>
      <c r="C90" s="99"/>
      <c r="D90" s="185"/>
      <c r="E90" s="118">
        <f>D90*91.91%</f>
        <v>0</v>
      </c>
      <c r="F90" s="136">
        <f>D90*8.09%</f>
        <v>0</v>
      </c>
      <c r="G90" s="109">
        <f>E90+F90</f>
        <v>0</v>
      </c>
      <c r="H90" s="150" t="str">
        <f>IF(D90=G90, "", "Error")</f>
        <v/>
      </c>
    </row>
    <row r="91" spans="1:10" ht="15.75" thickBot="1" x14ac:dyDescent="0.3">
      <c r="A91" s="1"/>
      <c r="D91" s="182"/>
      <c r="E91" s="2"/>
      <c r="F91" s="10"/>
      <c r="G91" s="157"/>
      <c r="H91" s="150"/>
    </row>
    <row r="92" spans="1:10" ht="15.75" thickBot="1" x14ac:dyDescent="0.3">
      <c r="A92" s="4" t="s">
        <v>103</v>
      </c>
      <c r="B92" s="60"/>
      <c r="C92" s="5"/>
      <c r="D92" s="186">
        <f>SUM(D90+D88+D84+D77+D71+D49+D32+D27+D44)</f>
        <v>8307924.1200000001</v>
      </c>
      <c r="E92" s="148">
        <f>SUM(E90+E88+E84+E77+E71+E49+E32+E27+E44)</f>
        <v>7857478.1784999995</v>
      </c>
      <c r="F92" s="148">
        <f>SUM(F90+F88+F84+F77+F71+F49+F32+F27+F44)</f>
        <v>450445.94150000002</v>
      </c>
      <c r="G92" s="109">
        <f>E92+F92</f>
        <v>8307924.1199999992</v>
      </c>
      <c r="H92" s="150" t="str">
        <f>IF(D92=G92, "", "Error")</f>
        <v/>
      </c>
      <c r="I92" s="178">
        <f>D92-G92</f>
        <v>0</v>
      </c>
    </row>
    <row r="93" spans="1:10" ht="15.75" thickBot="1" x14ac:dyDescent="0.3">
      <c r="D93" s="182"/>
      <c r="E93" s="109"/>
    </row>
    <row r="94" spans="1:10" ht="15.75" thickBot="1" x14ac:dyDescent="0.3">
      <c r="A94" s="142" t="s">
        <v>120</v>
      </c>
      <c r="B94" s="141"/>
      <c r="C94" s="141"/>
      <c r="E94" s="109"/>
    </row>
    <row r="95" spans="1:10" x14ac:dyDescent="0.25">
      <c r="A95" s="1"/>
      <c r="C95" s="139"/>
      <c r="E95" s="109"/>
    </row>
    <row r="96" spans="1:10" ht="15.75" thickBot="1" x14ac:dyDescent="0.3">
      <c r="A96" s="1"/>
      <c r="C96" s="139"/>
      <c r="E96" s="109"/>
    </row>
    <row r="97" spans="1:9" ht="15.75" thickBot="1" x14ac:dyDescent="0.3">
      <c r="A97" s="143" t="s">
        <v>29</v>
      </c>
      <c r="B97" s="144"/>
      <c r="C97" s="140">
        <f>SUM(C95:C96)</f>
        <v>0</v>
      </c>
      <c r="E97" s="109"/>
    </row>
    <row r="98" spans="1:9" x14ac:dyDescent="0.25">
      <c r="E98" s="109"/>
    </row>
    <row r="99" spans="1:9" x14ac:dyDescent="0.25">
      <c r="E99" s="137"/>
    </row>
    <row r="100" spans="1:9" x14ac:dyDescent="0.25">
      <c r="A100" s="217" t="s">
        <v>113</v>
      </c>
      <c r="B100" s="218"/>
      <c r="C100" s="218"/>
      <c r="D100" s="218"/>
      <c r="E100" s="171" t="s">
        <v>21</v>
      </c>
      <c r="F100" s="172" t="s">
        <v>122</v>
      </c>
    </row>
    <row r="101" spans="1:9" hidden="1" x14ac:dyDescent="0.25">
      <c r="A101" s="214"/>
      <c r="B101" s="215"/>
      <c r="C101" s="216"/>
      <c r="D101" s="166"/>
      <c r="E101" s="149"/>
      <c r="F101" s="134"/>
    </row>
    <row r="102" spans="1:9" ht="22.5" customHeight="1" x14ac:dyDescent="0.25">
      <c r="A102" s="211"/>
      <c r="B102" s="212"/>
      <c r="C102" s="173"/>
      <c r="D102" s="113"/>
      <c r="E102" s="149">
        <f t="shared" ref="E102:E103" si="19">D102*91.91%</f>
        <v>0</v>
      </c>
      <c r="F102" s="134">
        <f t="shared" ref="F102:F103" si="20">D102*8.09%</f>
        <v>0</v>
      </c>
    </row>
    <row r="103" spans="1:9" ht="24.75" customHeight="1" x14ac:dyDescent="0.25">
      <c r="A103" s="211"/>
      <c r="B103" s="212"/>
      <c r="C103" s="173"/>
      <c r="D103" s="113"/>
      <c r="E103" s="149">
        <f t="shared" si="19"/>
        <v>0</v>
      </c>
      <c r="F103" s="134">
        <f t="shared" si="20"/>
        <v>0</v>
      </c>
    </row>
    <row r="104" spans="1:9" ht="28.5" customHeight="1" x14ac:dyDescent="0.25">
      <c r="A104" s="211"/>
      <c r="B104" s="212"/>
      <c r="C104" s="213"/>
      <c r="D104" s="113"/>
      <c r="E104" s="149">
        <f>D104*91.91%</f>
        <v>0</v>
      </c>
      <c r="F104" s="134">
        <f>D104*8.09%</f>
        <v>0</v>
      </c>
    </row>
    <row r="105" spans="1:9" x14ac:dyDescent="0.25">
      <c r="A105" s="208" t="s">
        <v>29</v>
      </c>
      <c r="B105" s="209"/>
      <c r="C105" s="210"/>
      <c r="D105" s="170">
        <f>SUM(D101:D104)</f>
        <v>0</v>
      </c>
      <c r="E105" s="170">
        <f>SUM(E101:E104)</f>
        <v>0</v>
      </c>
      <c r="F105" s="170">
        <f>SUM(F101:F104)</f>
        <v>0</v>
      </c>
      <c r="H105" s="109">
        <f>E105+F105</f>
        <v>0</v>
      </c>
      <c r="I105" s="150" t="str">
        <f>IF(D105=H105, "", "Error")</f>
        <v/>
      </c>
    </row>
    <row r="107" spans="1:9" ht="15.75" thickBot="1" x14ac:dyDescent="0.3">
      <c r="E107" s="109"/>
    </row>
    <row r="108" spans="1:9" ht="15.75" thickBot="1" x14ac:dyDescent="0.3">
      <c r="A108" s="102" t="s">
        <v>104</v>
      </c>
      <c r="B108" s="103">
        <f>D92</f>
        <v>8307924.1200000001</v>
      </c>
    </row>
    <row r="109" spans="1:9" ht="15.75" thickBot="1" x14ac:dyDescent="0.3">
      <c r="A109" s="104" t="s">
        <v>106</v>
      </c>
      <c r="B109" s="105">
        <f>D92-D90</f>
        <v>8307924.1200000001</v>
      </c>
    </row>
    <row r="110" spans="1:9" x14ac:dyDescent="0.25">
      <c r="D110" s="198"/>
      <c r="E110" s="198"/>
    </row>
    <row r="111" spans="1:9" x14ac:dyDescent="0.25">
      <c r="A111" s="74" t="s">
        <v>90</v>
      </c>
      <c r="B111" s="75"/>
      <c r="C111" s="76"/>
      <c r="D111" s="198"/>
      <c r="E111" s="198"/>
    </row>
    <row r="112" spans="1:9" x14ac:dyDescent="0.25">
      <c r="A112" s="77" t="s">
        <v>91</v>
      </c>
      <c r="B112" s="11">
        <v>3924460.3236006536</v>
      </c>
      <c r="C112" s="78"/>
      <c r="D112" s="198"/>
      <c r="E112" s="198"/>
    </row>
    <row r="113" spans="1:7" x14ac:dyDescent="0.25">
      <c r="A113" s="79" t="s">
        <v>92</v>
      </c>
      <c r="B113" s="92" t="e">
        <f>PRORRATEO!G52</f>
        <v>#REF!</v>
      </c>
      <c r="C113" s="78" t="s">
        <v>93</v>
      </c>
      <c r="D113" s="198"/>
      <c r="E113" s="198"/>
    </row>
    <row r="114" spans="1:7" x14ac:dyDescent="0.25">
      <c r="A114" s="79" t="s">
        <v>115</v>
      </c>
      <c r="B114" s="175">
        <f>-B109</f>
        <v>-8307924.1200000001</v>
      </c>
      <c r="C114" s="76"/>
      <c r="D114" s="198"/>
      <c r="E114" s="198"/>
      <c r="G114" s="113"/>
    </row>
    <row r="115" spans="1:7" x14ac:dyDescent="0.25">
      <c r="A115" s="79" t="s">
        <v>114</v>
      </c>
      <c r="B115" s="175">
        <f>-D105</f>
        <v>0</v>
      </c>
      <c r="C115" s="76"/>
      <c r="D115" s="198"/>
      <c r="E115" s="198"/>
      <c r="G115" s="125"/>
    </row>
    <row r="116" spans="1:7" x14ac:dyDescent="0.25">
      <c r="A116" s="79" t="s">
        <v>105</v>
      </c>
      <c r="B116" s="175">
        <f>-B123</f>
        <v>0</v>
      </c>
      <c r="C116" s="80"/>
    </row>
    <row r="117" spans="1:7" x14ac:dyDescent="0.25">
      <c r="A117" s="79" t="s">
        <v>120</v>
      </c>
      <c r="B117" s="93">
        <f>-C97</f>
        <v>0</v>
      </c>
      <c r="C117" s="80"/>
    </row>
    <row r="118" spans="1:7" x14ac:dyDescent="0.25">
      <c r="A118" s="79"/>
      <c r="B118" s="75"/>
      <c r="C118" s="80"/>
    </row>
    <row r="119" spans="1:7" x14ac:dyDescent="0.25">
      <c r="A119" s="77" t="s">
        <v>94</v>
      </c>
      <c r="B119" s="81" t="e">
        <f>SUM(B112:B118)</f>
        <v>#REF!</v>
      </c>
      <c r="C119" s="154"/>
    </row>
    <row r="120" spans="1:7" x14ac:dyDescent="0.25">
      <c r="A120" s="80"/>
      <c r="C120" s="76"/>
      <c r="D120" s="83"/>
    </row>
    <row r="121" spans="1:7" x14ac:dyDescent="0.25">
      <c r="C121" s="76"/>
      <c r="D121" s="109"/>
      <c r="E121" s="178"/>
    </row>
    <row r="122" spans="1:7" x14ac:dyDescent="0.25">
      <c r="A122" s="74" t="s">
        <v>95</v>
      </c>
      <c r="B122" s="11">
        <v>-365694.54000000004</v>
      </c>
      <c r="C122" s="82"/>
      <c r="D122" s="178"/>
      <c r="E122" s="178"/>
      <c r="F122" s="178"/>
    </row>
    <row r="123" spans="1:7" ht="15" customHeight="1" x14ac:dyDescent="0.25">
      <c r="A123" s="77" t="s">
        <v>137</v>
      </c>
      <c r="B123" s="93"/>
      <c r="C123" s="82"/>
      <c r="D123" s="178"/>
      <c r="E123" s="193"/>
    </row>
    <row r="124" spans="1:7" x14ac:dyDescent="0.25">
      <c r="A124" s="77" t="s">
        <v>164</v>
      </c>
      <c r="B124" s="175">
        <v>-37000</v>
      </c>
      <c r="C124" s="82"/>
      <c r="E124" s="109"/>
    </row>
    <row r="125" spans="1:7" x14ac:dyDescent="0.25">
      <c r="A125" s="77"/>
      <c r="B125" s="175"/>
      <c r="C125" s="82"/>
      <c r="E125" s="109"/>
    </row>
    <row r="126" spans="1:7" x14ac:dyDescent="0.25">
      <c r="A126" s="100" t="s">
        <v>29</v>
      </c>
      <c r="B126" s="101">
        <f>SUM(B122:B125)</f>
        <v>-402694.54000000004</v>
      </c>
      <c r="C126" s="82"/>
    </row>
    <row r="127" spans="1:7" x14ac:dyDescent="0.25">
      <c r="C127" s="83"/>
      <c r="D127" s="178"/>
    </row>
    <row r="128" spans="1:7" x14ac:dyDescent="0.25">
      <c r="B128" s="80"/>
      <c r="C128" s="76"/>
    </row>
    <row r="130" spans="2:14" x14ac:dyDescent="0.25">
      <c r="N130" s="12"/>
    </row>
    <row r="133" spans="2:14" x14ac:dyDescent="0.25">
      <c r="B133" s="197"/>
      <c r="C133" s="197"/>
      <c r="D133" s="197"/>
      <c r="E133" s="197"/>
    </row>
    <row r="134" spans="2:14" x14ac:dyDescent="0.25">
      <c r="B134" s="197"/>
      <c r="C134" s="197"/>
      <c r="D134" s="197"/>
      <c r="E134" s="197"/>
    </row>
    <row r="135" spans="2:14" x14ac:dyDescent="0.25">
      <c r="B135" s="197"/>
      <c r="C135" s="197"/>
      <c r="D135" s="197"/>
      <c r="E135" s="197"/>
    </row>
    <row r="136" spans="2:14" x14ac:dyDescent="0.25">
      <c r="B136" s="197"/>
      <c r="C136" s="197"/>
      <c r="D136" s="197"/>
      <c r="E136" s="197"/>
    </row>
    <row r="137" spans="2:14" x14ac:dyDescent="0.25">
      <c r="B137" s="197"/>
      <c r="C137" s="197"/>
      <c r="D137" s="197"/>
      <c r="E137" s="197"/>
    </row>
  </sheetData>
  <mergeCells count="12">
    <mergeCell ref="A62:C62"/>
    <mergeCell ref="A53:C53"/>
    <mergeCell ref="B133:E137"/>
    <mergeCell ref="D110:E115"/>
    <mergeCell ref="B14:D17"/>
    <mergeCell ref="A105:C105"/>
    <mergeCell ref="A104:C104"/>
    <mergeCell ref="A101:C101"/>
    <mergeCell ref="A100:D100"/>
    <mergeCell ref="A59:C59"/>
    <mergeCell ref="A103:B103"/>
    <mergeCell ref="A102:B102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zoomScaleNormal="100" workbookViewId="0">
      <selection activeCell="K7" sqref="K7"/>
    </sheetView>
  </sheetViews>
  <sheetFormatPr baseColWidth="10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" bestFit="1" customWidth="1"/>
    <col min="8" max="8" width="9.85546875" customWidth="1"/>
    <col min="9" max="9" width="6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8"/>
      <c r="B1" s="8"/>
      <c r="C1" s="8"/>
      <c r="D1" s="8"/>
      <c r="E1" s="8"/>
      <c r="F1" s="8" t="s">
        <v>17</v>
      </c>
      <c r="G1" s="8"/>
      <c r="H1" s="8"/>
      <c r="I1" s="8"/>
      <c r="J1" s="8"/>
      <c r="K1" s="8" t="s">
        <v>124</v>
      </c>
      <c r="L1" s="225">
        <f>RESUMEN!D92</f>
        <v>8307924.1200000001</v>
      </c>
      <c r="M1" s="226"/>
      <c r="N1" s="152"/>
      <c r="O1" s="135">
        <f>L1*8.09%</f>
        <v>672111.061308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125</v>
      </c>
      <c r="L2" s="8"/>
      <c r="M2" s="152">
        <f>(5500000-150000-3015-250-12+1997000+170000+5497+450+30)</f>
        <v>7519700</v>
      </c>
      <c r="N2" s="153"/>
      <c r="O2" s="135">
        <f>O1-K7-553-50-86-8</f>
        <v>259256.3812</v>
      </c>
    </row>
    <row r="3" spans="1:16" x14ac:dyDescent="0.25">
      <c r="A3" s="8" t="str">
        <f>RESUMEN!C5</f>
        <v>VTO: 14/08</v>
      </c>
      <c r="B3" s="8"/>
      <c r="C3" s="8"/>
      <c r="D3" s="8"/>
      <c r="E3" s="8"/>
      <c r="F3" s="8"/>
      <c r="G3" s="8"/>
      <c r="H3" s="8"/>
      <c r="I3" s="8"/>
      <c r="J3" s="9"/>
      <c r="K3" s="8" t="s">
        <v>131</v>
      </c>
      <c r="L3" s="8"/>
      <c r="M3" s="128">
        <f>RESUMEN!D105</f>
        <v>0</v>
      </c>
      <c r="N3" s="151"/>
      <c r="O3" s="73"/>
    </row>
    <row r="4" spans="1:16" ht="15.75" thickBot="1" x14ac:dyDescent="0.3">
      <c r="A4" s="8"/>
      <c r="B4" s="8"/>
      <c r="C4" s="8"/>
      <c r="D4" s="8"/>
      <c r="E4" s="8"/>
      <c r="F4" s="8"/>
      <c r="G4" s="8"/>
      <c r="H4" s="8"/>
      <c r="I4" s="8"/>
      <c r="J4" s="123">
        <f>(J3*8.09%)/44</f>
        <v>0</v>
      </c>
      <c r="K4" s="8" t="s">
        <v>125</v>
      </c>
      <c r="L4" s="8"/>
      <c r="M4" s="128">
        <v>0</v>
      </c>
      <c r="N4" s="124"/>
    </row>
    <row r="5" spans="1:16" x14ac:dyDescent="0.25">
      <c r="A5" s="222" t="s">
        <v>19</v>
      </c>
      <c r="B5" s="236" t="s">
        <v>20</v>
      </c>
      <c r="C5" s="222" t="s">
        <v>21</v>
      </c>
      <c r="D5" s="234" t="s">
        <v>22</v>
      </c>
      <c r="E5" s="222" t="s">
        <v>97</v>
      </c>
      <c r="F5" s="222" t="s">
        <v>23</v>
      </c>
      <c r="G5" s="222" t="s">
        <v>24</v>
      </c>
      <c r="H5" s="229" t="s">
        <v>25</v>
      </c>
      <c r="I5" s="234" t="s">
        <v>108</v>
      </c>
      <c r="J5" s="227" t="s">
        <v>26</v>
      </c>
      <c r="K5" s="227" t="s">
        <v>69</v>
      </c>
      <c r="L5" s="232" t="s">
        <v>123</v>
      </c>
      <c r="M5" s="227" t="s">
        <v>67</v>
      </c>
      <c r="N5" s="227" t="s">
        <v>68</v>
      </c>
    </row>
    <row r="6" spans="1:16" x14ac:dyDescent="0.25">
      <c r="A6" s="223"/>
      <c r="B6" s="237"/>
      <c r="C6" s="223"/>
      <c r="D6" s="238"/>
      <c r="E6" s="223"/>
      <c r="F6" s="223"/>
      <c r="G6" s="223"/>
      <c r="H6" s="230"/>
      <c r="I6" s="235"/>
      <c r="J6" s="228"/>
      <c r="K6" s="231"/>
      <c r="L6" s="233"/>
      <c r="M6" s="231"/>
      <c r="N6" s="228"/>
    </row>
    <row r="7" spans="1:16" x14ac:dyDescent="0.25">
      <c r="A7" s="7" t="s">
        <v>33</v>
      </c>
      <c r="B7" s="7"/>
      <c r="C7" s="7">
        <v>1</v>
      </c>
      <c r="D7" s="133" t="s">
        <v>34</v>
      </c>
      <c r="E7" s="7">
        <v>8.09</v>
      </c>
      <c r="F7" s="88">
        <v>423542.38923799997</v>
      </c>
      <c r="G7" s="189">
        <f>F7</f>
        <v>423542.38923799997</v>
      </c>
      <c r="H7" s="131">
        <f>F7-G7</f>
        <v>0</v>
      </c>
      <c r="I7" s="106">
        <v>13</v>
      </c>
      <c r="J7" s="88"/>
      <c r="K7" s="88">
        <v>412157.680108</v>
      </c>
      <c r="L7" s="98">
        <v>0</v>
      </c>
      <c r="M7" s="6">
        <f>K7+J7+H7+L7</f>
        <v>412157.680108</v>
      </c>
      <c r="N7" s="11">
        <f>M7*6% + M7</f>
        <v>436887.14091447997</v>
      </c>
    </row>
    <row r="8" spans="1:16" x14ac:dyDescent="0.25">
      <c r="A8" s="7" t="s">
        <v>35</v>
      </c>
      <c r="B8" s="7"/>
      <c r="C8" s="7">
        <v>24</v>
      </c>
      <c r="D8" s="133" t="s">
        <v>36</v>
      </c>
      <c r="E8" s="7">
        <v>2.21</v>
      </c>
      <c r="F8" s="88">
        <v>151158.84501451589</v>
      </c>
      <c r="G8" s="189">
        <v>144100</v>
      </c>
      <c r="H8" s="131">
        <f t="shared" ref="H8:H51" si="0">F8-G8</f>
        <v>7058.8450145158859</v>
      </c>
      <c r="I8" s="106">
        <v>10</v>
      </c>
      <c r="J8" s="88">
        <f>M$4*E8%</f>
        <v>0</v>
      </c>
      <c r="K8" s="88">
        <f>M$2*E8 /100</f>
        <v>166185.37</v>
      </c>
      <c r="L8" s="165">
        <f>J$3*E8%+J$4</f>
        <v>0</v>
      </c>
      <c r="M8" s="6">
        <f>K8+J8+H8+L8</f>
        <v>173244.21501451588</v>
      </c>
      <c r="N8" s="11">
        <f t="shared" ref="N8:N51" si="1">M8*6% + M8</f>
        <v>183638.86791538683</v>
      </c>
    </row>
    <row r="9" spans="1:16" x14ac:dyDescent="0.25">
      <c r="A9" s="7" t="s">
        <v>35</v>
      </c>
      <c r="B9" s="7"/>
      <c r="C9" s="7">
        <v>25</v>
      </c>
      <c r="D9" s="133" t="s">
        <v>37</v>
      </c>
      <c r="E9" s="7">
        <v>4.21</v>
      </c>
      <c r="F9" s="88">
        <v>177670.97348426332</v>
      </c>
      <c r="G9" s="190">
        <f>214701-G34</f>
        <v>177670.97519999999</v>
      </c>
      <c r="H9" s="131">
        <f t="shared" si="0"/>
        <v>-1.7157366673927754E-3</v>
      </c>
      <c r="I9" s="106">
        <v>5</v>
      </c>
      <c r="J9" s="88">
        <f t="shared" ref="J9:J51" si="2">M$4*E9%</f>
        <v>0</v>
      </c>
      <c r="K9" s="88">
        <f t="shared" ref="K9:K51" si="3">M$2*E9 /100</f>
        <v>316579.37</v>
      </c>
      <c r="L9" s="165">
        <v>10000</v>
      </c>
      <c r="M9" s="6">
        <f t="shared" ref="M9:M51" si="4">K9+J9+H9+L9</f>
        <v>326579.3682842633</v>
      </c>
      <c r="N9" s="11">
        <f t="shared" si="1"/>
        <v>346174.13038131909</v>
      </c>
    </row>
    <row r="10" spans="1:16" x14ac:dyDescent="0.25">
      <c r="A10" s="7" t="s">
        <v>38</v>
      </c>
      <c r="B10" s="7"/>
      <c r="C10" s="7">
        <v>26</v>
      </c>
      <c r="D10" s="133" t="s">
        <v>39</v>
      </c>
      <c r="E10" s="7">
        <v>2.84</v>
      </c>
      <c r="F10" s="88">
        <v>229352.20620596872</v>
      </c>
      <c r="G10" s="189">
        <v>185159</v>
      </c>
      <c r="H10" s="131">
        <f t="shared" si="0"/>
        <v>44193.206205968716</v>
      </c>
      <c r="I10" s="106">
        <v>6</v>
      </c>
      <c r="J10" s="88">
        <f t="shared" si="2"/>
        <v>0</v>
      </c>
      <c r="K10" s="88">
        <f t="shared" si="3"/>
        <v>213559.48</v>
      </c>
      <c r="L10" s="165">
        <f t="shared" ref="L10:L51" si="5">J$3*E10%+J$4</f>
        <v>0</v>
      </c>
      <c r="M10" s="6">
        <f t="shared" si="4"/>
        <v>257752.68620596873</v>
      </c>
      <c r="N10" s="11">
        <f t="shared" si="1"/>
        <v>273217.84737832687</v>
      </c>
    </row>
    <row r="11" spans="1:16" x14ac:dyDescent="0.25">
      <c r="A11" s="7" t="s">
        <v>38</v>
      </c>
      <c r="B11" s="7"/>
      <c r="C11" s="7">
        <v>27</v>
      </c>
      <c r="D11" s="133" t="s">
        <v>40</v>
      </c>
      <c r="E11" s="7">
        <v>3.43</v>
      </c>
      <c r="F11" s="88">
        <v>235209.2316</v>
      </c>
      <c r="G11" s="189">
        <f>223626</f>
        <v>223626</v>
      </c>
      <c r="H11" s="131">
        <f t="shared" si="0"/>
        <v>11583.231599999999</v>
      </c>
      <c r="I11" s="106">
        <v>9</v>
      </c>
      <c r="J11" s="88">
        <f t="shared" si="2"/>
        <v>0</v>
      </c>
      <c r="K11" s="88">
        <f t="shared" si="3"/>
        <v>257925.71</v>
      </c>
      <c r="L11" s="165">
        <f t="shared" si="5"/>
        <v>0</v>
      </c>
      <c r="M11" s="6">
        <f t="shared" si="4"/>
        <v>269508.94160000002</v>
      </c>
      <c r="N11" s="11">
        <f t="shared" si="1"/>
        <v>285679.47809600004</v>
      </c>
      <c r="P11" s="109"/>
    </row>
    <row r="12" spans="1:16" x14ac:dyDescent="0.25">
      <c r="A12" s="7" t="s">
        <v>41</v>
      </c>
      <c r="B12" s="7"/>
      <c r="C12" s="7">
        <v>28</v>
      </c>
      <c r="D12" s="133" t="s">
        <v>111</v>
      </c>
      <c r="E12" s="7">
        <v>2.84</v>
      </c>
      <c r="F12" s="88">
        <v>194750.50080000001</v>
      </c>
      <c r="G12" s="190">
        <f>F12</f>
        <v>194750.50080000001</v>
      </c>
      <c r="H12" s="131">
        <f>F12-G12</f>
        <v>0</v>
      </c>
      <c r="I12" s="106">
        <v>3</v>
      </c>
      <c r="J12" s="88">
        <f t="shared" si="2"/>
        <v>0</v>
      </c>
      <c r="K12" s="88">
        <f t="shared" si="3"/>
        <v>213559.48</v>
      </c>
      <c r="L12" s="165">
        <v>10000</v>
      </c>
      <c r="M12" s="6">
        <f t="shared" si="4"/>
        <v>223559.48</v>
      </c>
      <c r="N12" s="11">
        <f t="shared" si="1"/>
        <v>236973.04880000002</v>
      </c>
    </row>
    <row r="13" spans="1:16" x14ac:dyDescent="0.25">
      <c r="A13" s="7" t="s">
        <v>41</v>
      </c>
      <c r="B13" s="7"/>
      <c r="C13" s="7">
        <v>29</v>
      </c>
      <c r="D13" s="133" t="s">
        <v>42</v>
      </c>
      <c r="E13" s="7">
        <v>3.43</v>
      </c>
      <c r="F13" s="88">
        <v>235208.87231924172</v>
      </c>
      <c r="G13" s="190">
        <f>235209-G50</f>
        <v>194750.26919999998</v>
      </c>
      <c r="H13" s="131">
        <f t="shared" si="0"/>
        <v>40458.603119241743</v>
      </c>
      <c r="I13" s="106">
        <v>3</v>
      </c>
      <c r="J13" s="88">
        <f t="shared" si="2"/>
        <v>0</v>
      </c>
      <c r="K13" s="88">
        <f t="shared" si="3"/>
        <v>257925.71</v>
      </c>
      <c r="L13" s="165">
        <v>10000</v>
      </c>
      <c r="M13" s="6">
        <f t="shared" si="4"/>
        <v>308384.31311924173</v>
      </c>
      <c r="N13" s="11">
        <f t="shared" si="1"/>
        <v>326887.37190639623</v>
      </c>
    </row>
    <row r="14" spans="1:16" x14ac:dyDescent="0.25">
      <c r="A14" s="7" t="s">
        <v>43</v>
      </c>
      <c r="B14" s="7"/>
      <c r="C14" s="7">
        <v>30</v>
      </c>
      <c r="D14" s="133" t="s">
        <v>44</v>
      </c>
      <c r="E14" s="7">
        <v>2.84</v>
      </c>
      <c r="F14" s="88">
        <v>194750.50080000001</v>
      </c>
      <c r="G14" s="189">
        <f>185159</f>
        <v>185159</v>
      </c>
      <c r="H14" s="131">
        <f t="shared" si="0"/>
        <v>9591.5008000000089</v>
      </c>
      <c r="I14" s="106">
        <v>14</v>
      </c>
      <c r="J14" s="88">
        <f t="shared" si="2"/>
        <v>0</v>
      </c>
      <c r="K14" s="88">
        <f t="shared" si="3"/>
        <v>213559.48</v>
      </c>
      <c r="L14" s="165">
        <f t="shared" si="5"/>
        <v>0</v>
      </c>
      <c r="M14" s="6">
        <f t="shared" si="4"/>
        <v>223150.98080000002</v>
      </c>
      <c r="N14" s="11">
        <f t="shared" si="1"/>
        <v>236540.03964800003</v>
      </c>
    </row>
    <row r="15" spans="1:16" x14ac:dyDescent="0.25">
      <c r="A15" s="7" t="s">
        <v>43</v>
      </c>
      <c r="B15" s="7"/>
      <c r="C15" s="7">
        <v>31</v>
      </c>
      <c r="D15" s="133" t="s">
        <v>151</v>
      </c>
      <c r="E15" s="7">
        <v>3.43</v>
      </c>
      <c r="F15" s="88">
        <v>235208.61604653395</v>
      </c>
      <c r="G15" s="190">
        <f>235209+34287-G35</f>
        <v>235208.94</v>
      </c>
      <c r="H15" s="131">
        <f t="shared" si="0"/>
        <v>-0.32395346605335362</v>
      </c>
      <c r="I15" s="106">
        <v>3</v>
      </c>
      <c r="J15" s="88">
        <f t="shared" si="2"/>
        <v>0</v>
      </c>
      <c r="K15" s="88">
        <f t="shared" si="3"/>
        <v>257925.71</v>
      </c>
      <c r="L15" s="165">
        <f t="shared" si="5"/>
        <v>0</v>
      </c>
      <c r="M15" s="6">
        <f t="shared" si="4"/>
        <v>257925.38604653394</v>
      </c>
      <c r="N15" s="11">
        <f t="shared" si="1"/>
        <v>273400.90920932597</v>
      </c>
    </row>
    <row r="16" spans="1:16" x14ac:dyDescent="0.25">
      <c r="A16" s="7" t="s">
        <v>46</v>
      </c>
      <c r="B16" s="7"/>
      <c r="C16" s="7">
        <v>32</v>
      </c>
      <c r="D16" s="133" t="s">
        <v>136</v>
      </c>
      <c r="E16" s="7">
        <v>2.84</v>
      </c>
      <c r="F16" s="88">
        <v>220949.42580066071</v>
      </c>
      <c r="G16" s="190">
        <f>220949+33601-G49</f>
        <v>220948.68119999999</v>
      </c>
      <c r="H16" s="131">
        <f t="shared" si="0"/>
        <v>0.74460066072060727</v>
      </c>
      <c r="I16" s="106">
        <v>6</v>
      </c>
      <c r="J16" s="88">
        <f t="shared" si="2"/>
        <v>0</v>
      </c>
      <c r="K16" s="88">
        <f t="shared" si="3"/>
        <v>213559.48</v>
      </c>
      <c r="L16" s="165">
        <v>0</v>
      </c>
      <c r="M16" s="6">
        <f t="shared" si="4"/>
        <v>213560.22460066073</v>
      </c>
      <c r="N16" s="11">
        <f t="shared" si="1"/>
        <v>226373.83807670037</v>
      </c>
    </row>
    <row r="17" spans="1:14" x14ac:dyDescent="0.25">
      <c r="A17" s="7" t="s">
        <v>46</v>
      </c>
      <c r="B17" s="7"/>
      <c r="C17" s="7">
        <v>33</v>
      </c>
      <c r="D17" s="133" t="s">
        <v>47</v>
      </c>
      <c r="E17" s="7">
        <v>3.43</v>
      </c>
      <c r="F17" s="88">
        <v>250529.74491111474</v>
      </c>
      <c r="G17" s="189">
        <f>318418-G47-G48</f>
        <v>250529.62119999999</v>
      </c>
      <c r="H17" s="131">
        <f t="shared" si="0"/>
        <v>0.1237111147493124</v>
      </c>
      <c r="I17" s="106">
        <v>11</v>
      </c>
      <c r="J17" s="88">
        <f t="shared" si="2"/>
        <v>0</v>
      </c>
      <c r="K17" s="88">
        <f t="shared" si="3"/>
        <v>257925.71</v>
      </c>
      <c r="L17" s="165">
        <f t="shared" si="5"/>
        <v>0</v>
      </c>
      <c r="M17" s="6">
        <f t="shared" si="4"/>
        <v>257925.83371111474</v>
      </c>
      <c r="N17" s="11">
        <f t="shared" si="1"/>
        <v>273401.38373378164</v>
      </c>
    </row>
    <row r="18" spans="1:14" x14ac:dyDescent="0.25">
      <c r="A18" s="7" t="s">
        <v>48</v>
      </c>
      <c r="B18" s="7"/>
      <c r="C18" s="7">
        <v>34</v>
      </c>
      <c r="D18" s="133" t="s">
        <v>49</v>
      </c>
      <c r="E18" s="7">
        <v>2.84</v>
      </c>
      <c r="F18" s="88">
        <v>194180.49558325135</v>
      </c>
      <c r="G18" s="189">
        <f>223000-G51</f>
        <v>183912.75160000002</v>
      </c>
      <c r="H18" s="131">
        <f t="shared" si="0"/>
        <v>10267.743983251334</v>
      </c>
      <c r="I18" s="106">
        <v>12</v>
      </c>
      <c r="J18" s="88">
        <f t="shared" si="2"/>
        <v>0</v>
      </c>
      <c r="K18" s="88">
        <f t="shared" si="3"/>
        <v>213559.48</v>
      </c>
      <c r="L18" s="165">
        <f t="shared" si="5"/>
        <v>0</v>
      </c>
      <c r="M18" s="6">
        <f t="shared" si="4"/>
        <v>223827.22398325134</v>
      </c>
      <c r="N18" s="11">
        <f t="shared" si="1"/>
        <v>237256.85742224642</v>
      </c>
    </row>
    <row r="19" spans="1:14" x14ac:dyDescent="0.25">
      <c r="A19" s="7" t="s">
        <v>48</v>
      </c>
      <c r="B19" s="7"/>
      <c r="C19" s="7">
        <v>35</v>
      </c>
      <c r="D19" s="133" t="s">
        <v>50</v>
      </c>
      <c r="E19" s="7">
        <v>3.43</v>
      </c>
      <c r="F19" s="88">
        <v>235209.45796516797</v>
      </c>
      <c r="G19" s="190">
        <f>272239-G41</f>
        <v>235208.97519999999</v>
      </c>
      <c r="H19" s="131">
        <f t="shared" si="0"/>
        <v>0.48276516798068769</v>
      </c>
      <c r="I19" s="106">
        <v>3</v>
      </c>
      <c r="J19" s="88">
        <f t="shared" si="2"/>
        <v>0</v>
      </c>
      <c r="K19" s="88">
        <f t="shared" si="3"/>
        <v>257925.71</v>
      </c>
      <c r="L19" s="165">
        <f t="shared" si="5"/>
        <v>0</v>
      </c>
      <c r="M19" s="6">
        <f t="shared" si="4"/>
        <v>257926.19276516797</v>
      </c>
      <c r="N19" s="11">
        <f t="shared" si="1"/>
        <v>273401.76433107804</v>
      </c>
    </row>
    <row r="20" spans="1:14" x14ac:dyDescent="0.25">
      <c r="A20" s="7" t="s">
        <v>51</v>
      </c>
      <c r="B20" s="7"/>
      <c r="C20" s="7">
        <v>36</v>
      </c>
      <c r="D20" s="133" t="s">
        <v>52</v>
      </c>
      <c r="E20" s="7">
        <v>2.84</v>
      </c>
      <c r="F20" s="88">
        <v>194750.27110707472</v>
      </c>
      <c r="G20" s="189">
        <f>217106-G38</f>
        <v>183504.68119999999</v>
      </c>
      <c r="H20" s="131">
        <f t="shared" si="0"/>
        <v>11245.589907074725</v>
      </c>
      <c r="I20" s="106">
        <v>3</v>
      </c>
      <c r="J20" s="88">
        <f t="shared" si="2"/>
        <v>0</v>
      </c>
      <c r="K20" s="88">
        <f t="shared" si="3"/>
        <v>213559.48</v>
      </c>
      <c r="L20" s="165">
        <f t="shared" si="5"/>
        <v>0</v>
      </c>
      <c r="M20" s="6">
        <f t="shared" si="4"/>
        <v>224805.06990707474</v>
      </c>
      <c r="N20" s="11">
        <f t="shared" si="1"/>
        <v>238293.37410149921</v>
      </c>
    </row>
    <row r="21" spans="1:14" x14ac:dyDescent="0.25">
      <c r="A21" s="7" t="s">
        <v>51</v>
      </c>
      <c r="B21" s="7"/>
      <c r="C21" s="7">
        <v>37</v>
      </c>
      <c r="D21" s="133" t="s">
        <v>53</v>
      </c>
      <c r="E21" s="7">
        <v>3.43</v>
      </c>
      <c r="F21" s="88">
        <v>235209.86029179581</v>
      </c>
      <c r="G21" s="189">
        <f>272240-G45</f>
        <v>235209.97519999999</v>
      </c>
      <c r="H21" s="131">
        <f t="shared" si="0"/>
        <v>-0.1149082041811198</v>
      </c>
      <c r="I21" s="106">
        <v>4</v>
      </c>
      <c r="J21" s="88">
        <f t="shared" si="2"/>
        <v>0</v>
      </c>
      <c r="K21" s="88">
        <f t="shared" si="3"/>
        <v>257925.71</v>
      </c>
      <c r="L21" s="165">
        <f t="shared" si="5"/>
        <v>0</v>
      </c>
      <c r="M21" s="6">
        <f t="shared" si="4"/>
        <v>257925.59509179581</v>
      </c>
      <c r="N21" s="11">
        <f t="shared" si="1"/>
        <v>273401.13079730357</v>
      </c>
    </row>
    <row r="22" spans="1:14" x14ac:dyDescent="0.25">
      <c r="A22" s="7" t="s">
        <v>54</v>
      </c>
      <c r="B22" s="7"/>
      <c r="C22" s="7">
        <v>38</v>
      </c>
      <c r="D22" s="167" t="s">
        <v>128</v>
      </c>
      <c r="E22" s="7">
        <v>2.84</v>
      </c>
      <c r="F22" s="88">
        <v>194750.50080000001</v>
      </c>
      <c r="G22" s="189">
        <v>185159</v>
      </c>
      <c r="H22" s="131">
        <f t="shared" si="0"/>
        <v>9591.5008000000089</v>
      </c>
      <c r="I22" s="106">
        <v>3</v>
      </c>
      <c r="J22" s="88">
        <f t="shared" si="2"/>
        <v>0</v>
      </c>
      <c r="K22" s="88">
        <f t="shared" si="3"/>
        <v>213559.48</v>
      </c>
      <c r="L22" s="165">
        <f t="shared" si="5"/>
        <v>0</v>
      </c>
      <c r="M22" s="6">
        <f t="shared" si="4"/>
        <v>223150.98080000002</v>
      </c>
      <c r="N22" s="11">
        <f t="shared" si="1"/>
        <v>236540.03964800003</v>
      </c>
    </row>
    <row r="23" spans="1:14" x14ac:dyDescent="0.25">
      <c r="A23" s="7" t="s">
        <v>54</v>
      </c>
      <c r="B23" s="7"/>
      <c r="C23" s="7">
        <v>39</v>
      </c>
      <c r="D23" s="133" t="s">
        <v>55</v>
      </c>
      <c r="E23" s="7">
        <v>3.43</v>
      </c>
      <c r="F23" s="88">
        <v>57370.666484095156</v>
      </c>
      <c r="G23" s="190">
        <f>118871-G46</f>
        <v>84583.94</v>
      </c>
      <c r="H23" s="131">
        <f t="shared" si="0"/>
        <v>-27213.273515904846</v>
      </c>
      <c r="I23" s="106">
        <v>4</v>
      </c>
      <c r="J23" s="88">
        <f t="shared" si="2"/>
        <v>0</v>
      </c>
      <c r="K23" s="88">
        <f t="shared" si="3"/>
        <v>257925.71</v>
      </c>
      <c r="L23" s="165">
        <v>10000</v>
      </c>
      <c r="M23" s="6">
        <f t="shared" si="4"/>
        <v>240712.43648409515</v>
      </c>
      <c r="N23" s="11">
        <f t="shared" si="1"/>
        <v>255155.18267314087</v>
      </c>
    </row>
    <row r="24" spans="1:14" x14ac:dyDescent="0.25">
      <c r="A24" s="7" t="s">
        <v>56</v>
      </c>
      <c r="B24" s="7"/>
      <c r="C24" s="7">
        <v>40</v>
      </c>
      <c r="D24" s="133" t="s">
        <v>57</v>
      </c>
      <c r="E24" s="7">
        <v>2.84</v>
      </c>
      <c r="F24" s="88">
        <v>191483.98867107474</v>
      </c>
      <c r="G24" s="189">
        <f>232000-G37</f>
        <v>198398.68119999999</v>
      </c>
      <c r="H24" s="131">
        <f t="shared" si="0"/>
        <v>-6914.692528925254</v>
      </c>
      <c r="I24" s="179">
        <v>5</v>
      </c>
      <c r="J24" s="88">
        <f t="shared" si="2"/>
        <v>0</v>
      </c>
      <c r="K24" s="88">
        <f t="shared" si="3"/>
        <v>213559.48</v>
      </c>
      <c r="L24" s="165">
        <f t="shared" si="5"/>
        <v>0</v>
      </c>
      <c r="M24" s="6">
        <f t="shared" si="4"/>
        <v>206644.78747107476</v>
      </c>
      <c r="N24" s="11">
        <f t="shared" si="1"/>
        <v>219043.47471933925</v>
      </c>
    </row>
    <row r="25" spans="1:14" x14ac:dyDescent="0.25">
      <c r="A25" s="7" t="s">
        <v>56</v>
      </c>
      <c r="B25" s="7"/>
      <c r="C25" s="7">
        <v>41</v>
      </c>
      <c r="D25" s="133" t="s">
        <v>58</v>
      </c>
      <c r="E25" s="7">
        <v>3.43</v>
      </c>
      <c r="F25" s="88">
        <v>235209.2316</v>
      </c>
      <c r="G25" s="189">
        <f>F25</f>
        <v>235209.2316</v>
      </c>
      <c r="H25" s="131">
        <f t="shared" si="0"/>
        <v>0</v>
      </c>
      <c r="I25" s="106">
        <v>6</v>
      </c>
      <c r="J25" s="88">
        <f t="shared" si="2"/>
        <v>0</v>
      </c>
      <c r="K25" s="88">
        <f t="shared" si="3"/>
        <v>257925.71</v>
      </c>
      <c r="L25" s="165">
        <v>10000</v>
      </c>
      <c r="M25" s="6">
        <f t="shared" si="4"/>
        <v>267925.70999999996</v>
      </c>
      <c r="N25" s="11">
        <f t="shared" si="1"/>
        <v>284001.25259999995</v>
      </c>
    </row>
    <row r="26" spans="1:14" x14ac:dyDescent="0.25">
      <c r="A26" s="7" t="s">
        <v>59</v>
      </c>
      <c r="B26" s="7"/>
      <c r="C26" s="7">
        <v>42</v>
      </c>
      <c r="D26" s="133" t="s">
        <v>60</v>
      </c>
      <c r="E26" s="7">
        <v>6</v>
      </c>
      <c r="F26" s="88">
        <v>-556256.30998396303</v>
      </c>
      <c r="G26" s="190">
        <f>-G30-G31-G36</f>
        <v>-109032.8508</v>
      </c>
      <c r="H26" s="132">
        <f t="shared" si="0"/>
        <v>-447223.45918396302</v>
      </c>
      <c r="I26" s="106">
        <v>5</v>
      </c>
      <c r="J26" s="88">
        <f t="shared" si="2"/>
        <v>0</v>
      </c>
      <c r="K26" s="88">
        <f t="shared" si="3"/>
        <v>451182</v>
      </c>
      <c r="L26" s="165">
        <f t="shared" si="5"/>
        <v>0</v>
      </c>
      <c r="M26" s="6">
        <f t="shared" si="4"/>
        <v>3958.5408160369843</v>
      </c>
      <c r="N26" s="11">
        <f t="shared" si="1"/>
        <v>4196.0532649992037</v>
      </c>
    </row>
    <row r="27" spans="1:14" x14ac:dyDescent="0.25">
      <c r="A27" s="7" t="s">
        <v>61</v>
      </c>
      <c r="B27" s="7"/>
      <c r="C27" s="7">
        <v>43</v>
      </c>
      <c r="D27" s="133" t="s">
        <v>62</v>
      </c>
      <c r="E27" s="7">
        <v>5.89</v>
      </c>
      <c r="F27" s="88">
        <v>403845.12633526558</v>
      </c>
      <c r="G27" s="189">
        <f>483391-G39-G40</f>
        <v>403845.0208</v>
      </c>
      <c r="H27" s="131">
        <f t="shared" si="0"/>
        <v>0.10553526558214799</v>
      </c>
      <c r="I27" s="106">
        <v>11</v>
      </c>
      <c r="J27" s="88">
        <f t="shared" si="2"/>
        <v>0</v>
      </c>
      <c r="K27" s="88">
        <f t="shared" si="3"/>
        <v>442910.33</v>
      </c>
      <c r="L27" s="165">
        <f t="shared" si="5"/>
        <v>0</v>
      </c>
      <c r="M27" s="6">
        <f t="shared" si="4"/>
        <v>442910.4355352656</v>
      </c>
      <c r="N27" s="11">
        <f t="shared" si="1"/>
        <v>469485.06166738155</v>
      </c>
    </row>
    <row r="28" spans="1:14" x14ac:dyDescent="0.25">
      <c r="A28" s="7" t="s">
        <v>63</v>
      </c>
      <c r="B28" s="7"/>
      <c r="C28" s="7">
        <v>44</v>
      </c>
      <c r="D28" s="133" t="s">
        <v>64</v>
      </c>
      <c r="E28" s="7">
        <v>5.89</v>
      </c>
      <c r="F28" s="88">
        <v>304604.19637654093</v>
      </c>
      <c r="G28" s="189">
        <f>353860-G32-G33</f>
        <v>281171.43280000001</v>
      </c>
      <c r="H28" s="131">
        <f t="shared" si="0"/>
        <v>23432.763576540921</v>
      </c>
      <c r="I28" s="106">
        <v>9</v>
      </c>
      <c r="J28" s="88">
        <f t="shared" si="2"/>
        <v>0</v>
      </c>
      <c r="K28" s="88">
        <f t="shared" si="3"/>
        <v>442910.33</v>
      </c>
      <c r="L28" s="165">
        <f t="shared" si="5"/>
        <v>0</v>
      </c>
      <c r="M28" s="6">
        <f t="shared" si="4"/>
        <v>466343.09357654094</v>
      </c>
      <c r="N28" s="11">
        <f t="shared" si="1"/>
        <v>494323.67919113341</v>
      </c>
    </row>
    <row r="29" spans="1:14" x14ac:dyDescent="0.25">
      <c r="A29" s="7" t="s">
        <v>65</v>
      </c>
      <c r="B29" s="7"/>
      <c r="C29" s="7">
        <v>45</v>
      </c>
      <c r="D29" s="133" t="s">
        <v>66</v>
      </c>
      <c r="E29" s="7">
        <v>5.89</v>
      </c>
      <c r="F29" s="88">
        <v>316080.21825669997</v>
      </c>
      <c r="G29" s="190" t="e">
        <f>-G42-G43-G44+RESUMEN!#REF!</f>
        <v>#REF!</v>
      </c>
      <c r="H29" s="132" t="e">
        <f t="shared" si="0"/>
        <v>#REF!</v>
      </c>
      <c r="I29" s="106">
        <v>5</v>
      </c>
      <c r="J29" s="88">
        <f t="shared" si="2"/>
        <v>0</v>
      </c>
      <c r="K29" s="88">
        <f t="shared" si="3"/>
        <v>442910.33</v>
      </c>
      <c r="L29" s="165">
        <f t="shared" si="5"/>
        <v>0</v>
      </c>
      <c r="M29" s="6" t="e">
        <f t="shared" si="4"/>
        <v>#REF!</v>
      </c>
      <c r="N29" s="11" t="e">
        <f t="shared" si="1"/>
        <v>#REF!</v>
      </c>
    </row>
    <row r="30" spans="1:14" x14ac:dyDescent="0.25">
      <c r="A30" s="126" t="s">
        <v>96</v>
      </c>
      <c r="B30" s="7"/>
      <c r="C30" s="7">
        <v>1</v>
      </c>
      <c r="D30" s="133" t="s">
        <v>60</v>
      </c>
      <c r="E30" s="7">
        <v>0.54</v>
      </c>
      <c r="F30" s="88">
        <v>37030.024799999999</v>
      </c>
      <c r="G30" s="189">
        <f t="shared" ref="G30:G34" si="6">F30</f>
        <v>37030.024799999999</v>
      </c>
      <c r="H30" s="131">
        <f t="shared" si="0"/>
        <v>0</v>
      </c>
      <c r="I30" s="106"/>
      <c r="J30" s="88">
        <f t="shared" si="2"/>
        <v>0</v>
      </c>
      <c r="K30" s="88">
        <f t="shared" si="3"/>
        <v>40606.380000000005</v>
      </c>
      <c r="L30" s="165">
        <f t="shared" si="5"/>
        <v>0</v>
      </c>
      <c r="M30" s="6">
        <f t="shared" si="4"/>
        <v>40606.380000000005</v>
      </c>
      <c r="N30" s="11">
        <f t="shared" si="1"/>
        <v>43042.762800000004</v>
      </c>
    </row>
    <row r="31" spans="1:14" x14ac:dyDescent="0.25">
      <c r="A31" s="126" t="s">
        <v>96</v>
      </c>
      <c r="B31" s="7"/>
      <c r="C31" s="7">
        <v>2</v>
      </c>
      <c r="D31" s="133" t="s">
        <v>60</v>
      </c>
      <c r="E31" s="7">
        <v>0.55000000000000004</v>
      </c>
      <c r="F31" s="88">
        <v>37715.766000000003</v>
      </c>
      <c r="G31" s="189">
        <f t="shared" si="6"/>
        <v>37715.766000000003</v>
      </c>
      <c r="H31" s="131">
        <f t="shared" si="0"/>
        <v>0</v>
      </c>
      <c r="I31" s="106"/>
      <c r="J31" s="88">
        <f t="shared" si="2"/>
        <v>0</v>
      </c>
      <c r="K31" s="88">
        <f t="shared" si="3"/>
        <v>41358.350000000006</v>
      </c>
      <c r="L31" s="165">
        <f t="shared" si="5"/>
        <v>0</v>
      </c>
      <c r="M31" s="6">
        <f t="shared" si="4"/>
        <v>41358.350000000006</v>
      </c>
      <c r="N31" s="11">
        <f t="shared" si="1"/>
        <v>43839.85100000001</v>
      </c>
    </row>
    <row r="32" spans="1:14" x14ac:dyDescent="0.25">
      <c r="A32" s="126" t="s">
        <v>96</v>
      </c>
      <c r="B32" s="7"/>
      <c r="C32" s="7">
        <v>3</v>
      </c>
      <c r="D32" s="133" t="s">
        <v>64</v>
      </c>
      <c r="E32" s="7">
        <v>0.45</v>
      </c>
      <c r="F32" s="88">
        <v>30858.354000000003</v>
      </c>
      <c r="G32" s="189">
        <f>F32</f>
        <v>30858.354000000003</v>
      </c>
      <c r="H32" s="131">
        <f t="shared" si="0"/>
        <v>0</v>
      </c>
      <c r="I32" s="106"/>
      <c r="J32" s="88">
        <f t="shared" si="2"/>
        <v>0</v>
      </c>
      <c r="K32" s="88">
        <f t="shared" si="3"/>
        <v>33838.65</v>
      </c>
      <c r="L32" s="165">
        <f t="shared" si="5"/>
        <v>0</v>
      </c>
      <c r="M32" s="6">
        <f t="shared" si="4"/>
        <v>33838.65</v>
      </c>
      <c r="N32" s="11">
        <f t="shared" si="1"/>
        <v>35868.969000000005</v>
      </c>
    </row>
    <row r="33" spans="1:17" x14ac:dyDescent="0.25">
      <c r="A33" s="126" t="s">
        <v>96</v>
      </c>
      <c r="B33" s="7"/>
      <c r="C33" s="7">
        <v>4</v>
      </c>
      <c r="D33" s="133" t="s">
        <v>64</v>
      </c>
      <c r="E33" s="7">
        <v>0.61</v>
      </c>
      <c r="F33" s="88">
        <v>41830.213199999998</v>
      </c>
      <c r="G33" s="189">
        <f t="shared" si="6"/>
        <v>41830.213199999998</v>
      </c>
      <c r="H33" s="131">
        <f t="shared" si="0"/>
        <v>0</v>
      </c>
      <c r="I33" s="106"/>
      <c r="J33" s="88">
        <f t="shared" si="2"/>
        <v>0</v>
      </c>
      <c r="K33" s="88">
        <f t="shared" si="3"/>
        <v>45870.17</v>
      </c>
      <c r="L33" s="165">
        <f t="shared" si="5"/>
        <v>0</v>
      </c>
      <c r="M33" s="6">
        <f t="shared" si="4"/>
        <v>45870.17</v>
      </c>
      <c r="N33" s="11">
        <f t="shared" si="1"/>
        <v>48622.3802</v>
      </c>
    </row>
    <row r="34" spans="1:17" x14ac:dyDescent="0.25">
      <c r="A34" s="126" t="s">
        <v>96</v>
      </c>
      <c r="B34" s="7"/>
      <c r="C34" s="7">
        <v>5</v>
      </c>
      <c r="D34" s="133" t="s">
        <v>37</v>
      </c>
      <c r="E34" s="7">
        <v>0.54</v>
      </c>
      <c r="F34" s="88">
        <v>37030.024799999999</v>
      </c>
      <c r="G34" s="189">
        <f t="shared" si="6"/>
        <v>37030.024799999999</v>
      </c>
      <c r="H34" s="131">
        <f t="shared" si="0"/>
        <v>0</v>
      </c>
      <c r="I34" s="106"/>
      <c r="J34" s="88">
        <f t="shared" si="2"/>
        <v>0</v>
      </c>
      <c r="K34" s="88">
        <f t="shared" si="3"/>
        <v>40606.380000000005</v>
      </c>
      <c r="L34" s="165">
        <f t="shared" si="5"/>
        <v>0</v>
      </c>
      <c r="M34" s="6">
        <f t="shared" si="4"/>
        <v>40606.380000000005</v>
      </c>
      <c r="N34" s="11">
        <f t="shared" si="1"/>
        <v>43042.762800000004</v>
      </c>
    </row>
    <row r="35" spans="1:17" x14ac:dyDescent="0.25">
      <c r="A35" s="126" t="s">
        <v>96</v>
      </c>
      <c r="B35" s="7"/>
      <c r="C35" s="7">
        <v>6</v>
      </c>
      <c r="D35" s="133" t="s">
        <v>151</v>
      </c>
      <c r="E35" s="7">
        <v>0.5</v>
      </c>
      <c r="F35" s="11">
        <v>34287.06</v>
      </c>
      <c r="G35" s="190">
        <f>F35</f>
        <v>34287.06</v>
      </c>
      <c r="H35" s="131">
        <f t="shared" si="0"/>
        <v>0</v>
      </c>
      <c r="I35" s="106"/>
      <c r="J35" s="88">
        <f t="shared" si="2"/>
        <v>0</v>
      </c>
      <c r="K35" s="88">
        <f t="shared" si="3"/>
        <v>37598.5</v>
      </c>
      <c r="L35" s="165">
        <f t="shared" si="5"/>
        <v>0</v>
      </c>
      <c r="M35" s="6">
        <f t="shared" si="4"/>
        <v>37598.5</v>
      </c>
      <c r="N35" s="11">
        <f t="shared" si="1"/>
        <v>39854.410000000003</v>
      </c>
    </row>
    <row r="36" spans="1:17" x14ac:dyDescent="0.25">
      <c r="A36" s="126" t="s">
        <v>96</v>
      </c>
      <c r="B36" s="7"/>
      <c r="C36" s="7">
        <v>7</v>
      </c>
      <c r="D36" s="133" t="s">
        <v>60</v>
      </c>
      <c r="E36" s="7">
        <v>0.5</v>
      </c>
      <c r="F36" s="88">
        <v>34287.06</v>
      </c>
      <c r="G36" s="189">
        <f t="shared" ref="G36:G41" si="7">F36</f>
        <v>34287.06</v>
      </c>
      <c r="H36" s="131">
        <f t="shared" si="0"/>
        <v>0</v>
      </c>
      <c r="I36" s="106"/>
      <c r="J36" s="88">
        <f t="shared" si="2"/>
        <v>0</v>
      </c>
      <c r="K36" s="88">
        <f t="shared" si="3"/>
        <v>37598.5</v>
      </c>
      <c r="L36" s="165">
        <f t="shared" si="5"/>
        <v>0</v>
      </c>
      <c r="M36" s="6">
        <f t="shared" si="4"/>
        <v>37598.5</v>
      </c>
      <c r="N36" s="11">
        <f t="shared" si="1"/>
        <v>39854.410000000003</v>
      </c>
    </row>
    <row r="37" spans="1:17" x14ac:dyDescent="0.25">
      <c r="A37" s="126" t="s">
        <v>96</v>
      </c>
      <c r="B37" s="7"/>
      <c r="C37" s="7">
        <v>8</v>
      </c>
      <c r="D37" s="133" t="s">
        <v>57</v>
      </c>
      <c r="E37" s="7">
        <v>0.49</v>
      </c>
      <c r="F37" s="88">
        <v>33601.318800000001</v>
      </c>
      <c r="G37" s="189">
        <f t="shared" si="7"/>
        <v>33601.318800000001</v>
      </c>
      <c r="H37" s="131">
        <f t="shared" si="0"/>
        <v>0</v>
      </c>
      <c r="I37" s="106"/>
      <c r="J37" s="88">
        <f t="shared" si="2"/>
        <v>0</v>
      </c>
      <c r="K37" s="88">
        <f t="shared" si="3"/>
        <v>36846.53</v>
      </c>
      <c r="L37" s="165">
        <f t="shared" si="5"/>
        <v>0</v>
      </c>
      <c r="M37" s="6">
        <f t="shared" si="4"/>
        <v>36846.53</v>
      </c>
      <c r="N37" s="11">
        <f t="shared" si="1"/>
        <v>39057.321799999998</v>
      </c>
    </row>
    <row r="38" spans="1:17" x14ac:dyDescent="0.25">
      <c r="A38" s="126" t="s">
        <v>96</v>
      </c>
      <c r="B38" s="7"/>
      <c r="C38" s="7">
        <v>9</v>
      </c>
      <c r="D38" s="133" t="s">
        <v>52</v>
      </c>
      <c r="E38" s="7">
        <v>0.49</v>
      </c>
      <c r="F38" s="88">
        <v>33601.318800000001</v>
      </c>
      <c r="G38" s="189">
        <f t="shared" si="7"/>
        <v>33601.318800000001</v>
      </c>
      <c r="H38" s="131">
        <f t="shared" si="0"/>
        <v>0</v>
      </c>
      <c r="I38" s="106"/>
      <c r="J38" s="88">
        <f t="shared" si="2"/>
        <v>0</v>
      </c>
      <c r="K38" s="88">
        <f t="shared" si="3"/>
        <v>36846.53</v>
      </c>
      <c r="L38" s="165">
        <f t="shared" si="5"/>
        <v>0</v>
      </c>
      <c r="M38" s="6">
        <f t="shared" si="4"/>
        <v>36846.53</v>
      </c>
      <c r="N38" s="11">
        <f t="shared" si="1"/>
        <v>39057.321799999998</v>
      </c>
    </row>
    <row r="39" spans="1:17" x14ac:dyDescent="0.25">
      <c r="A39" s="126" t="s">
        <v>96</v>
      </c>
      <c r="B39" s="7"/>
      <c r="C39" s="7">
        <v>10</v>
      </c>
      <c r="D39" s="133" t="s">
        <v>62</v>
      </c>
      <c r="E39" s="7">
        <v>0.59</v>
      </c>
      <c r="F39" s="88">
        <v>40458.730800000005</v>
      </c>
      <c r="G39" s="189">
        <f t="shared" si="7"/>
        <v>40458.730800000005</v>
      </c>
      <c r="H39" s="131">
        <f t="shared" si="0"/>
        <v>0</v>
      </c>
      <c r="I39" s="106"/>
      <c r="J39" s="88">
        <f t="shared" si="2"/>
        <v>0</v>
      </c>
      <c r="K39" s="88">
        <f t="shared" si="3"/>
        <v>44366.23</v>
      </c>
      <c r="L39" s="165">
        <f t="shared" si="5"/>
        <v>0</v>
      </c>
      <c r="M39" s="6">
        <f t="shared" si="4"/>
        <v>44366.23</v>
      </c>
      <c r="N39" s="11">
        <f t="shared" si="1"/>
        <v>47028.203800000003</v>
      </c>
    </row>
    <row r="40" spans="1:17" x14ac:dyDescent="0.25">
      <c r="A40" s="126" t="s">
        <v>96</v>
      </c>
      <c r="B40" s="7"/>
      <c r="C40" s="7">
        <v>11</v>
      </c>
      <c r="D40" s="133" t="s">
        <v>62</v>
      </c>
      <c r="E40" s="7">
        <v>0.56999999999999995</v>
      </c>
      <c r="F40" s="88">
        <v>39087.248399999997</v>
      </c>
      <c r="G40" s="189">
        <f t="shared" si="7"/>
        <v>39087.248399999997</v>
      </c>
      <c r="H40" s="131">
        <f t="shared" si="0"/>
        <v>0</v>
      </c>
      <c r="I40" s="106"/>
      <c r="J40" s="88">
        <f t="shared" si="2"/>
        <v>0</v>
      </c>
      <c r="K40" s="88">
        <f t="shared" si="3"/>
        <v>42862.29</v>
      </c>
      <c r="L40" s="165">
        <f t="shared" si="5"/>
        <v>0</v>
      </c>
      <c r="M40" s="6">
        <f t="shared" si="4"/>
        <v>42862.29</v>
      </c>
      <c r="N40" s="11">
        <f t="shared" si="1"/>
        <v>45434.027399999999</v>
      </c>
    </row>
    <row r="41" spans="1:17" x14ac:dyDescent="0.25">
      <c r="A41" s="126" t="s">
        <v>96</v>
      </c>
      <c r="B41" s="7"/>
      <c r="C41" s="7">
        <v>12</v>
      </c>
      <c r="D41" s="133" t="s">
        <v>50</v>
      </c>
      <c r="E41" s="7">
        <v>0.54</v>
      </c>
      <c r="F41" s="88">
        <v>37030.024799999999</v>
      </c>
      <c r="G41" s="189">
        <f t="shared" si="7"/>
        <v>37030.024799999999</v>
      </c>
      <c r="H41" s="131">
        <f t="shared" si="0"/>
        <v>0</v>
      </c>
      <c r="I41" s="106"/>
      <c r="J41" s="88">
        <f t="shared" si="2"/>
        <v>0</v>
      </c>
      <c r="K41" s="88">
        <f t="shared" si="3"/>
        <v>40606.380000000005</v>
      </c>
      <c r="L41" s="165">
        <f t="shared" si="5"/>
        <v>0</v>
      </c>
      <c r="M41" s="6">
        <f t="shared" si="4"/>
        <v>40606.380000000005</v>
      </c>
      <c r="N41" s="11">
        <f t="shared" si="1"/>
        <v>43042.762800000004</v>
      </c>
    </row>
    <row r="42" spans="1:17" x14ac:dyDescent="0.25">
      <c r="A42" s="126" t="s">
        <v>96</v>
      </c>
      <c r="B42" s="7"/>
      <c r="C42" s="7">
        <v>13</v>
      </c>
      <c r="D42" s="133" t="s">
        <v>66</v>
      </c>
      <c r="E42" s="7">
        <v>0.55000000000000004</v>
      </c>
      <c r="F42" s="88">
        <v>37715.766000000003</v>
      </c>
      <c r="G42" s="189">
        <f>F42</f>
        <v>37715.766000000003</v>
      </c>
      <c r="H42" s="131">
        <f t="shared" si="0"/>
        <v>0</v>
      </c>
      <c r="I42" s="106"/>
      <c r="J42" s="88">
        <f t="shared" si="2"/>
        <v>0</v>
      </c>
      <c r="K42" s="88">
        <f t="shared" si="3"/>
        <v>41358.350000000006</v>
      </c>
      <c r="L42" s="165">
        <f t="shared" si="5"/>
        <v>0</v>
      </c>
      <c r="M42" s="6">
        <f t="shared" si="4"/>
        <v>41358.350000000006</v>
      </c>
      <c r="N42" s="11">
        <f t="shared" si="1"/>
        <v>43839.85100000001</v>
      </c>
    </row>
    <row r="43" spans="1:17" x14ac:dyDescent="0.25">
      <c r="A43" s="126" t="s">
        <v>96</v>
      </c>
      <c r="B43" s="7"/>
      <c r="C43" s="7">
        <v>14</v>
      </c>
      <c r="D43" s="133" t="s">
        <v>66</v>
      </c>
      <c r="E43" s="7">
        <v>0.45</v>
      </c>
      <c r="F43" s="88">
        <v>30858.354000000003</v>
      </c>
      <c r="G43" s="189">
        <f t="shared" ref="G43:G44" si="8">F43</f>
        <v>30858.354000000003</v>
      </c>
      <c r="H43" s="131">
        <f t="shared" si="0"/>
        <v>0</v>
      </c>
      <c r="I43" s="106"/>
      <c r="J43" s="88">
        <f t="shared" si="2"/>
        <v>0</v>
      </c>
      <c r="K43" s="88">
        <f t="shared" si="3"/>
        <v>33838.65</v>
      </c>
      <c r="L43" s="165">
        <f t="shared" si="5"/>
        <v>0</v>
      </c>
      <c r="M43" s="6">
        <f t="shared" si="4"/>
        <v>33838.65</v>
      </c>
      <c r="N43" s="11">
        <f t="shared" si="1"/>
        <v>35868.969000000005</v>
      </c>
      <c r="P43" s="109">
        <f>L1-K52</f>
        <v>984410.16989199817</v>
      </c>
    </row>
    <row r="44" spans="1:17" x14ac:dyDescent="0.25">
      <c r="A44" s="126" t="s">
        <v>96</v>
      </c>
      <c r="B44" s="7"/>
      <c r="C44" s="7">
        <v>15</v>
      </c>
      <c r="D44" s="133" t="s">
        <v>66</v>
      </c>
      <c r="E44" s="7">
        <v>0.61</v>
      </c>
      <c r="F44" s="88">
        <v>41830.213199999998</v>
      </c>
      <c r="G44" s="189">
        <f t="shared" si="8"/>
        <v>41830.213199999998</v>
      </c>
      <c r="H44" s="131">
        <f t="shared" si="0"/>
        <v>0</v>
      </c>
      <c r="I44" s="106"/>
      <c r="J44" s="88">
        <f t="shared" si="2"/>
        <v>0</v>
      </c>
      <c r="K44" s="88">
        <f t="shared" si="3"/>
        <v>45870.17</v>
      </c>
      <c r="L44" s="165">
        <f t="shared" si="5"/>
        <v>0</v>
      </c>
      <c r="M44" s="6">
        <f t="shared" si="4"/>
        <v>45870.17</v>
      </c>
      <c r="N44" s="11">
        <f t="shared" si="1"/>
        <v>48622.3802</v>
      </c>
    </row>
    <row r="45" spans="1:17" x14ac:dyDescent="0.25">
      <c r="A45" s="126" t="s">
        <v>96</v>
      </c>
      <c r="B45" s="7"/>
      <c r="C45" s="7">
        <v>16</v>
      </c>
      <c r="D45" s="133" t="s">
        <v>53</v>
      </c>
      <c r="E45" s="7">
        <v>0.54</v>
      </c>
      <c r="F45" s="88">
        <v>37030.024799999999</v>
      </c>
      <c r="G45" s="189">
        <f t="shared" ref="G45:G51" si="9">F45</f>
        <v>37030.024799999999</v>
      </c>
      <c r="H45" s="131">
        <f t="shared" si="0"/>
        <v>0</v>
      </c>
      <c r="I45" s="106"/>
      <c r="J45" s="88">
        <f t="shared" si="2"/>
        <v>0</v>
      </c>
      <c r="K45" s="88">
        <f t="shared" si="3"/>
        <v>40606.380000000005</v>
      </c>
      <c r="L45" s="165">
        <f t="shared" si="5"/>
        <v>0</v>
      </c>
      <c r="M45" s="6">
        <f t="shared" si="4"/>
        <v>40606.380000000005</v>
      </c>
      <c r="N45" s="11">
        <f t="shared" si="1"/>
        <v>43042.762800000004</v>
      </c>
    </row>
    <row r="46" spans="1:17" x14ac:dyDescent="0.25">
      <c r="A46" s="126" t="s">
        <v>96</v>
      </c>
      <c r="B46" s="7"/>
      <c r="C46" s="7">
        <v>17</v>
      </c>
      <c r="D46" s="133" t="s">
        <v>55</v>
      </c>
      <c r="E46" s="7">
        <v>0.5</v>
      </c>
      <c r="F46" s="88">
        <v>34287.06</v>
      </c>
      <c r="G46" s="189">
        <f>F46</f>
        <v>34287.06</v>
      </c>
      <c r="H46" s="131">
        <f t="shared" si="0"/>
        <v>0</v>
      </c>
      <c r="I46" s="106"/>
      <c r="J46" s="88">
        <f t="shared" si="2"/>
        <v>0</v>
      </c>
      <c r="K46" s="88">
        <f t="shared" si="3"/>
        <v>37598.5</v>
      </c>
      <c r="L46" s="165">
        <f t="shared" si="5"/>
        <v>0</v>
      </c>
      <c r="M46" s="6">
        <f t="shared" si="4"/>
        <v>37598.5</v>
      </c>
      <c r="N46" s="11">
        <f t="shared" si="1"/>
        <v>39854.410000000003</v>
      </c>
      <c r="Q46" t="s">
        <v>132</v>
      </c>
    </row>
    <row r="47" spans="1:17" x14ac:dyDescent="0.25">
      <c r="A47" s="126" t="s">
        <v>96</v>
      </c>
      <c r="B47" s="7"/>
      <c r="C47" s="7">
        <v>18</v>
      </c>
      <c r="D47" s="133" t="s">
        <v>47</v>
      </c>
      <c r="E47" s="7">
        <v>0.5</v>
      </c>
      <c r="F47" s="88">
        <v>34287.06</v>
      </c>
      <c r="G47" s="189">
        <f t="shared" si="9"/>
        <v>34287.06</v>
      </c>
      <c r="H47" s="131">
        <f t="shared" si="0"/>
        <v>0</v>
      </c>
      <c r="I47" s="106"/>
      <c r="J47" s="88">
        <f t="shared" si="2"/>
        <v>0</v>
      </c>
      <c r="K47" s="88">
        <f t="shared" si="3"/>
        <v>37598.5</v>
      </c>
      <c r="L47" s="165">
        <f t="shared" si="5"/>
        <v>0</v>
      </c>
      <c r="M47" s="6">
        <f t="shared" si="4"/>
        <v>37598.5</v>
      </c>
      <c r="N47" s="11">
        <f t="shared" si="1"/>
        <v>39854.410000000003</v>
      </c>
      <c r="O47" s="138"/>
      <c r="Q47" s="135">
        <f>M3-J52</f>
        <v>0</v>
      </c>
    </row>
    <row r="48" spans="1:17" x14ac:dyDescent="0.25">
      <c r="A48" s="126" t="s">
        <v>96</v>
      </c>
      <c r="B48" s="7"/>
      <c r="C48" s="7">
        <v>19</v>
      </c>
      <c r="D48" s="133" t="s">
        <v>47</v>
      </c>
      <c r="E48" s="7">
        <v>0.49</v>
      </c>
      <c r="F48" s="88">
        <v>33601.318800000001</v>
      </c>
      <c r="G48" s="189">
        <f t="shared" si="9"/>
        <v>33601.318800000001</v>
      </c>
      <c r="H48" s="131">
        <f t="shared" si="0"/>
        <v>0</v>
      </c>
      <c r="I48" s="106"/>
      <c r="J48" s="88">
        <f t="shared" si="2"/>
        <v>0</v>
      </c>
      <c r="K48" s="88">
        <f t="shared" si="3"/>
        <v>36846.53</v>
      </c>
      <c r="L48" s="165">
        <f t="shared" si="5"/>
        <v>0</v>
      </c>
      <c r="M48" s="6">
        <f t="shared" si="4"/>
        <v>36846.53</v>
      </c>
      <c r="N48" s="11">
        <f t="shared" si="1"/>
        <v>39057.321799999998</v>
      </c>
    </row>
    <row r="49" spans="1:16" x14ac:dyDescent="0.25">
      <c r="A49" s="126" t="s">
        <v>96</v>
      </c>
      <c r="B49" s="7"/>
      <c r="C49" s="7">
        <v>20</v>
      </c>
      <c r="D49" s="133" t="str">
        <f>D16</f>
        <v>FEUILLANT, GASTON</v>
      </c>
      <c r="E49" s="7">
        <v>0.49</v>
      </c>
      <c r="F49" s="88">
        <v>33601.318800000001</v>
      </c>
      <c r="G49" s="189">
        <f>F49</f>
        <v>33601.318800000001</v>
      </c>
      <c r="H49" s="131">
        <f t="shared" si="0"/>
        <v>0</v>
      </c>
      <c r="I49" s="106"/>
      <c r="J49" s="88">
        <f t="shared" si="2"/>
        <v>0</v>
      </c>
      <c r="K49" s="88">
        <f t="shared" si="3"/>
        <v>36846.53</v>
      </c>
      <c r="L49" s="165">
        <f t="shared" si="5"/>
        <v>0</v>
      </c>
      <c r="M49" s="6">
        <f t="shared" si="4"/>
        <v>36846.53</v>
      </c>
      <c r="N49" s="11">
        <f t="shared" si="1"/>
        <v>39057.321799999998</v>
      </c>
    </row>
    <row r="50" spans="1:16" x14ac:dyDescent="0.25">
      <c r="A50" s="126" t="s">
        <v>96</v>
      </c>
      <c r="B50" s="7"/>
      <c r="C50" s="7">
        <v>21</v>
      </c>
      <c r="D50" s="133" t="s">
        <v>42</v>
      </c>
      <c r="E50" s="7">
        <v>0.59</v>
      </c>
      <c r="F50" s="88">
        <v>40458.730800000005</v>
      </c>
      <c r="G50" s="190">
        <f>F50</f>
        <v>40458.730800000005</v>
      </c>
      <c r="H50" s="131">
        <f t="shared" si="0"/>
        <v>0</v>
      </c>
      <c r="I50" s="106"/>
      <c r="J50" s="88">
        <f t="shared" si="2"/>
        <v>0</v>
      </c>
      <c r="K50" s="88">
        <f t="shared" si="3"/>
        <v>44366.23</v>
      </c>
      <c r="L50" s="165">
        <f t="shared" si="5"/>
        <v>0</v>
      </c>
      <c r="M50" s="6">
        <f t="shared" si="4"/>
        <v>44366.23</v>
      </c>
      <c r="N50" s="11">
        <f t="shared" si="1"/>
        <v>47028.203800000003</v>
      </c>
    </row>
    <row r="51" spans="1:16" x14ac:dyDescent="0.25">
      <c r="A51" s="126" t="s">
        <v>96</v>
      </c>
      <c r="B51" s="7"/>
      <c r="C51" s="7">
        <v>22</v>
      </c>
      <c r="D51" s="133" t="s">
        <v>49</v>
      </c>
      <c r="E51" s="7">
        <v>0.56999999999999995</v>
      </c>
      <c r="F51" s="88">
        <v>39087.248399999997</v>
      </c>
      <c r="G51" s="189">
        <f t="shared" si="9"/>
        <v>39087.248399999997</v>
      </c>
      <c r="H51" s="131">
        <f t="shared" si="0"/>
        <v>0</v>
      </c>
      <c r="I51" s="106"/>
      <c r="J51" s="88">
        <f t="shared" si="2"/>
        <v>0</v>
      </c>
      <c r="K51" s="88">
        <f t="shared" si="3"/>
        <v>42862.29</v>
      </c>
      <c r="L51" s="165">
        <f t="shared" si="5"/>
        <v>0</v>
      </c>
      <c r="M51" s="6">
        <f t="shared" si="4"/>
        <v>42862.29</v>
      </c>
      <c r="N51" s="11">
        <f t="shared" si="1"/>
        <v>45434.027399999999</v>
      </c>
    </row>
    <row r="52" spans="1:16" ht="14.25" customHeight="1" x14ac:dyDescent="0.25">
      <c r="A52" s="89"/>
      <c r="B52" s="89"/>
      <c r="C52" s="89"/>
      <c r="D52" s="89"/>
      <c r="E52" s="89">
        <f>SUM(E7:E51)</f>
        <v>99.999999999999986</v>
      </c>
      <c r="F52" s="90">
        <f>SUM(F7:F51)</f>
        <v>5354343.2489072988</v>
      </c>
      <c r="G52" s="90" t="e">
        <f>SUM(G7:G51)</f>
        <v>#REF!</v>
      </c>
      <c r="H52" s="89"/>
      <c r="I52" s="89"/>
      <c r="J52" s="127">
        <f>SUM(J8:J51)</f>
        <v>0</v>
      </c>
      <c r="K52" s="90">
        <f>SUM(K7:K51)</f>
        <v>7323513.9501080019</v>
      </c>
      <c r="L52" s="174">
        <f>SUM(L7:L51)</f>
        <v>50000</v>
      </c>
      <c r="M52" s="91" t="e">
        <f>SUM(M7:M51)</f>
        <v>#REF!</v>
      </c>
      <c r="N52" s="90" t="e">
        <f>SUM(N7:N51)</f>
        <v>#REF!</v>
      </c>
      <c r="P52" s="135"/>
    </row>
    <row r="53" spans="1:16" hidden="1" x14ac:dyDescent="0.25">
      <c r="K53" s="138">
        <f>K52-L1</f>
        <v>-984410.16989199817</v>
      </c>
    </row>
    <row r="54" spans="1:16" ht="15" hidden="1" customHeight="1" x14ac:dyDescent="0.25"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</row>
    <row r="55" spans="1:16" hidden="1" x14ac:dyDescent="0.25"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</row>
    <row r="56" spans="1:16" x14ac:dyDescent="0.25"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</row>
    <row r="57" spans="1:16" x14ac:dyDescent="0.25">
      <c r="C57" s="224" t="s">
        <v>129</v>
      </c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</row>
    <row r="58" spans="1:16" x14ac:dyDescent="0.25"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</row>
    <row r="59" spans="1:16" x14ac:dyDescent="0.25"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</row>
    <row r="60" spans="1:16" x14ac:dyDescent="0.25"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</row>
    <row r="61" spans="1:16" x14ac:dyDescent="0.25"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</row>
    <row r="62" spans="1:16" x14ac:dyDescent="0.25"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</row>
    <row r="63" spans="1:16" x14ac:dyDescent="0.25"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</row>
  </sheetData>
  <mergeCells count="17">
    <mergeCell ref="A5:A6"/>
    <mergeCell ref="B5:B6"/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48"/>
      <c r="B1" s="49"/>
      <c r="C1" s="49"/>
      <c r="D1" s="50" t="s">
        <v>17</v>
      </c>
      <c r="E1" s="50"/>
      <c r="F1" s="49"/>
      <c r="G1" s="49"/>
      <c r="H1" s="49"/>
      <c r="I1" s="49"/>
      <c r="J1" s="49"/>
      <c r="K1" s="49"/>
      <c r="L1" s="50" t="s">
        <v>70</v>
      </c>
      <c r="M1" s="49"/>
      <c r="N1" s="52" t="str">
        <f>RESUMEN!C5</f>
        <v>VTO: 14/08</v>
      </c>
      <c r="O1" s="52"/>
    </row>
    <row r="2" spans="1:15" x14ac:dyDescent="0.25">
      <c r="A2" s="49"/>
      <c r="B2" s="51"/>
      <c r="C2" s="51"/>
      <c r="D2" s="50" t="s">
        <v>18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25">
      <c r="A3" s="49"/>
      <c r="B3" s="51"/>
      <c r="C3" s="51"/>
      <c r="D3" s="50"/>
      <c r="E3" s="49"/>
      <c r="F3" s="49"/>
      <c r="G3" s="49"/>
      <c r="H3" s="49"/>
      <c r="I3" s="49"/>
      <c r="J3" s="50" t="s">
        <v>71</v>
      </c>
      <c r="K3" s="50"/>
      <c r="L3" s="53">
        <v>249991.29847799998</v>
      </c>
      <c r="M3" s="49"/>
      <c r="N3" s="54">
        <v>-1891.33</v>
      </c>
      <c r="O3" s="54"/>
    </row>
    <row r="4" spans="1:15" ht="15.75" thickBot="1" x14ac:dyDescent="0.3">
      <c r="A4" s="49"/>
      <c r="B4" s="51"/>
      <c r="C4" s="51"/>
      <c r="D4" s="50"/>
      <c r="E4" s="49"/>
      <c r="F4" s="49"/>
      <c r="G4" s="49"/>
      <c r="H4" s="49"/>
      <c r="I4" s="49"/>
      <c r="J4" s="50" t="s">
        <v>72</v>
      </c>
      <c r="K4" s="50"/>
      <c r="L4" s="53">
        <v>0</v>
      </c>
      <c r="M4" s="49"/>
      <c r="N4" s="49"/>
      <c r="O4" s="49"/>
    </row>
    <row r="5" spans="1:15" ht="30" x14ac:dyDescent="0.25">
      <c r="A5" s="239" t="s">
        <v>73</v>
      </c>
      <c r="B5" s="239" t="s">
        <v>22</v>
      </c>
      <c r="C5" s="55" t="s">
        <v>74</v>
      </c>
      <c r="D5" s="35" t="s">
        <v>23</v>
      </c>
      <c r="E5" s="35" t="s">
        <v>24</v>
      </c>
      <c r="F5" s="239" t="s">
        <v>75</v>
      </c>
      <c r="G5" s="37" t="s">
        <v>76</v>
      </c>
      <c r="H5" s="38" t="s">
        <v>27</v>
      </c>
      <c r="I5" s="36" t="s">
        <v>77</v>
      </c>
      <c r="J5" s="39" t="s">
        <v>28</v>
      </c>
      <c r="K5" s="40" t="s">
        <v>28</v>
      </c>
      <c r="L5" s="37" t="s">
        <v>29</v>
      </c>
      <c r="M5" s="41"/>
      <c r="N5" s="239" t="s">
        <v>78</v>
      </c>
      <c r="O5" s="239" t="s">
        <v>79</v>
      </c>
    </row>
    <row r="6" spans="1:15" x14ac:dyDescent="0.25">
      <c r="A6" s="240"/>
      <c r="B6" s="240"/>
      <c r="C6" s="56" t="s">
        <v>80</v>
      </c>
      <c r="D6" s="42" t="s">
        <v>30</v>
      </c>
      <c r="E6" s="42" t="s">
        <v>31</v>
      </c>
      <c r="F6" s="240"/>
      <c r="G6" s="44" t="s">
        <v>81</v>
      </c>
      <c r="H6" s="45">
        <v>0.06</v>
      </c>
      <c r="I6" s="43" t="s">
        <v>82</v>
      </c>
      <c r="J6" s="46" t="s">
        <v>32</v>
      </c>
      <c r="K6" s="47" t="s">
        <v>83</v>
      </c>
      <c r="L6" s="44" t="s">
        <v>84</v>
      </c>
      <c r="M6" s="47"/>
      <c r="N6" s="240"/>
      <c r="O6" s="240"/>
    </row>
    <row r="7" spans="1:15" ht="15" customHeight="1" x14ac:dyDescent="0.25">
      <c r="A7" s="15">
        <v>1</v>
      </c>
      <c r="B7" s="84" t="s">
        <v>60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25">
      <c r="A8" s="15">
        <v>2</v>
      </c>
      <c r="B8" s="84" t="s">
        <v>60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25">
      <c r="A9" s="15">
        <v>3</v>
      </c>
      <c r="B9" s="84" t="s">
        <v>64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25">
      <c r="A10" s="15">
        <v>4</v>
      </c>
      <c r="B10" s="84" t="s">
        <v>64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25">
      <c r="A11" s="15">
        <v>5</v>
      </c>
      <c r="B11" s="84" t="s">
        <v>37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25">
      <c r="A12" s="15">
        <v>6</v>
      </c>
      <c r="B12" s="85" t="s">
        <v>45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25">
      <c r="A13" s="15">
        <v>7</v>
      </c>
      <c r="B13" s="84" t="s">
        <v>60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25">
      <c r="A14" s="15">
        <v>8</v>
      </c>
      <c r="B14" s="84" t="s">
        <v>57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25">
      <c r="A15" s="15">
        <v>9</v>
      </c>
      <c r="B15" s="84" t="s">
        <v>52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25">
      <c r="A16" s="15">
        <v>10</v>
      </c>
      <c r="B16" s="84" t="s">
        <v>62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25">
      <c r="A17" s="15">
        <v>11</v>
      </c>
      <c r="B17" s="84" t="s">
        <v>62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25">
      <c r="A18" s="15">
        <v>12</v>
      </c>
      <c r="B18" s="84" t="s">
        <v>50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25">
      <c r="A19" s="15">
        <v>13</v>
      </c>
      <c r="B19" s="84" t="s">
        <v>66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25">
      <c r="A20" s="15">
        <v>14</v>
      </c>
      <c r="B20" s="84" t="s">
        <v>66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25">
      <c r="A21" s="15">
        <v>15</v>
      </c>
      <c r="B21" s="84" t="s">
        <v>66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25">
      <c r="A22" s="15">
        <v>16</v>
      </c>
      <c r="B22" s="84" t="s">
        <v>53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25">
      <c r="A23" s="15">
        <v>17</v>
      </c>
      <c r="B23" s="84" t="s">
        <v>55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25">
      <c r="A24" s="15">
        <v>18</v>
      </c>
      <c r="B24" s="84" t="s">
        <v>47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25">
      <c r="A25" s="15">
        <v>19</v>
      </c>
      <c r="B25" s="84" t="s">
        <v>47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25">
      <c r="A26" s="15">
        <v>20</v>
      </c>
      <c r="B26" s="84" t="s">
        <v>85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25">
      <c r="A27" s="15">
        <v>21</v>
      </c>
      <c r="B27" s="84" t="s">
        <v>42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25">
      <c r="A28" s="15">
        <v>22</v>
      </c>
      <c r="B28" s="86" t="s">
        <v>49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25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.75" thickBot="1" x14ac:dyDescent="0.3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25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2025-07-01T18:44:59Z</cp:lastPrinted>
  <dcterms:created xsi:type="dcterms:W3CDTF">2023-09-17T12:29:07Z</dcterms:created>
  <dcterms:modified xsi:type="dcterms:W3CDTF">2025-07-27T22:25:35Z</dcterms:modified>
</cp:coreProperties>
</file>