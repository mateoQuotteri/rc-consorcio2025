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20" windowWidth="18915" windowHeight="5970" tabRatio="850" activeTab="1"/>
  </bookViews>
  <sheets>
    <sheet name="RESUMEN" sheetId="1" r:id="rId1"/>
    <sheet name="PRORRATEO" sheetId="2" r:id="rId2"/>
  </sheets>
  <definedNames>
    <definedName name="_xlnm.Print_Area" localSheetId="1">PRORRATEO!$A$1:$R$90</definedName>
    <definedName name="_xlnm.Print_Area" localSheetId="0">RESUMEN!$A$1:$E$137</definedName>
  </definedNames>
  <calcPr calcId="144525"/>
</workbook>
</file>

<file path=xl/calcChain.xml><?xml version="1.0" encoding="utf-8"?>
<calcChain xmlns="http://schemas.openxmlformats.org/spreadsheetml/2006/main">
  <c r="I21" i="2" l="1"/>
  <c r="I52" i="2"/>
  <c r="I54" i="2" l="1"/>
  <c r="B125" i="1" l="1"/>
  <c r="G28" i="1"/>
  <c r="I25" i="2"/>
  <c r="I12" i="2"/>
  <c r="I55" i="2"/>
  <c r="I6" i="2"/>
  <c r="D73" i="1"/>
  <c r="I23" i="2"/>
  <c r="I69" i="2" l="1"/>
  <c r="I59" i="2"/>
  <c r="I48" i="2"/>
  <c r="I13" i="2"/>
  <c r="I7" i="2"/>
  <c r="I67" i="2" l="1"/>
  <c r="I28" i="2"/>
  <c r="I19" i="2"/>
  <c r="I37" i="2"/>
  <c r="I26" i="2"/>
  <c r="I71" i="2"/>
  <c r="I57" i="2"/>
  <c r="I43" i="2"/>
  <c r="I31" i="2"/>
  <c r="I56" i="2"/>
  <c r="I24" i="2"/>
  <c r="I34" i="2"/>
  <c r="I42" i="2"/>
  <c r="I17" i="2"/>
  <c r="I22" i="2"/>
  <c r="I66" i="2"/>
  <c r="I74" i="2"/>
  <c r="I49" i="2"/>
  <c r="I53" i="2"/>
  <c r="I29" i="2"/>
  <c r="I58" i="2"/>
  <c r="I38" i="2"/>
  <c r="I30" i="2"/>
  <c r="I63" i="2"/>
  <c r="I60" i="2"/>
  <c r="I72" i="2"/>
  <c r="I46" i="2"/>
  <c r="I18" i="2"/>
  <c r="I65" i="2"/>
  <c r="I40" i="2"/>
  <c r="I39" i="2"/>
  <c r="I36" i="2"/>
  <c r="I11" i="2"/>
  <c r="I75" i="2"/>
  <c r="I27" i="2"/>
  <c r="I14" i="2"/>
  <c r="I15" i="2"/>
  <c r="I50" i="2"/>
  <c r="I10" i="2"/>
  <c r="I20" i="2"/>
  <c r="I51" i="2"/>
  <c r="I41" i="2"/>
  <c r="I45" i="2"/>
  <c r="I70" i="2"/>
  <c r="I33" i="2"/>
  <c r="I35" i="2"/>
  <c r="I64" i="2"/>
  <c r="I32" i="2"/>
  <c r="I61" i="2"/>
  <c r="I68" i="2"/>
  <c r="E84" i="2" l="1"/>
  <c r="E51" i="1"/>
  <c r="E52" i="1" s="1"/>
  <c r="E56" i="1"/>
  <c r="E57" i="1" s="1"/>
  <c r="E58" i="1" s="1"/>
  <c r="S36" i="2" l="1"/>
  <c r="S37" i="2"/>
  <c r="S38" i="2"/>
  <c r="S39" i="2"/>
  <c r="S40" i="2" s="1"/>
  <c r="S41" i="2" s="1"/>
  <c r="S42" i="2" s="1"/>
  <c r="S43" i="2" s="1"/>
  <c r="S44" i="2" s="1"/>
  <c r="S45" i="2" s="1"/>
  <c r="S46" i="2" s="1"/>
  <c r="S47" i="2" s="1"/>
  <c r="S48" i="2" s="1"/>
  <c r="S49" i="2" s="1"/>
  <c r="S50" i="2" s="1"/>
  <c r="S51" i="2" s="1"/>
  <c r="S52" i="2" s="1"/>
  <c r="S53" i="2" s="1"/>
  <c r="S54" i="2" s="1"/>
  <c r="S55" i="2" s="1"/>
  <c r="S56" i="2" s="1"/>
  <c r="S57" i="2" s="1"/>
  <c r="S58" i="2" s="1"/>
  <c r="S59" i="2" s="1"/>
  <c r="S60" i="2" s="1"/>
  <c r="S61" i="2" s="1"/>
  <c r="S62" i="2" s="1"/>
  <c r="S63" i="2" s="1"/>
  <c r="S64" i="2" s="1"/>
  <c r="S65" i="2" s="1"/>
  <c r="S66" i="2" s="1"/>
  <c r="S67" i="2" s="1"/>
  <c r="S68" i="2" s="1"/>
  <c r="S69" i="2" s="1"/>
  <c r="S70" i="2" s="1"/>
  <c r="S71" i="2" s="1"/>
  <c r="S72" i="2" s="1"/>
  <c r="S73" i="2" s="1"/>
  <c r="S74" i="2" s="1"/>
  <c r="S75" i="2" s="1"/>
  <c r="K17" i="2"/>
  <c r="I8" i="2" l="1"/>
  <c r="I9" i="2"/>
  <c r="I47" i="2"/>
  <c r="I73" i="2"/>
  <c r="D7" i="2"/>
  <c r="D8" i="2" s="1"/>
  <c r="D9" i="2" s="1"/>
  <c r="D10" i="2" s="1"/>
  <c r="D11" i="2" s="1"/>
  <c r="D12" i="2" s="1"/>
  <c r="D13" i="2" s="1"/>
  <c r="D14" i="2" s="1"/>
  <c r="D15" i="2" s="1"/>
  <c r="D16" i="2" s="1"/>
  <c r="D17" i="2" s="1"/>
  <c r="D18" i="2" s="1"/>
  <c r="D19" i="2" s="1"/>
  <c r="D20" i="2" s="1"/>
  <c r="D21" i="2" s="1"/>
  <c r="D22" i="2" s="1"/>
  <c r="D23" i="2" s="1"/>
  <c r="D24" i="2" s="1"/>
  <c r="D25" i="2" s="1"/>
  <c r="D26" i="2" s="1"/>
  <c r="D27" i="2" s="1"/>
  <c r="D28" i="2" s="1"/>
  <c r="D29" i="2" s="1"/>
  <c r="D30" i="2" s="1"/>
  <c r="D31" i="2" s="1"/>
  <c r="D32" i="2" s="1"/>
  <c r="D33" i="2" s="1"/>
  <c r="D34" i="2" s="1"/>
  <c r="D35" i="2" s="1"/>
  <c r="D36" i="2" s="1"/>
  <c r="D37" i="2" s="1"/>
  <c r="D38" i="2" s="1"/>
  <c r="D39" i="2" s="1"/>
  <c r="D40" i="2" s="1"/>
  <c r="D41" i="2" s="1"/>
  <c r="D42" i="2" s="1"/>
  <c r="D43" i="2" s="1"/>
  <c r="D44" i="2" s="1"/>
  <c r="D45" i="2" s="1"/>
  <c r="D46" i="2" s="1"/>
  <c r="D47" i="2" s="1"/>
  <c r="D48" i="2" s="1"/>
  <c r="D49" i="2" s="1"/>
  <c r="D50" i="2" s="1"/>
  <c r="D51" i="2" s="1"/>
  <c r="D52" i="2" s="1"/>
  <c r="D53" i="2" s="1"/>
  <c r="D54" i="2" s="1"/>
  <c r="D55" i="2" s="1"/>
  <c r="D56" i="2" s="1"/>
  <c r="D57" i="2" s="1"/>
  <c r="D58" i="2" s="1"/>
  <c r="D59" i="2" s="1"/>
  <c r="D60" i="2" s="1"/>
  <c r="D61" i="2" s="1"/>
  <c r="D62" i="2" s="1"/>
  <c r="D63" i="2" s="1"/>
  <c r="D64" i="2" s="1"/>
  <c r="D65" i="2" s="1"/>
  <c r="D66" i="2" s="1"/>
  <c r="D67" i="2" s="1"/>
  <c r="D68" i="2" s="1"/>
  <c r="D69" i="2" s="1"/>
  <c r="D70" i="2" s="1"/>
  <c r="D71" i="2" s="1"/>
  <c r="D72" i="2" s="1"/>
  <c r="D73" i="2" s="1"/>
  <c r="D74" i="2" s="1"/>
  <c r="D75" i="2" s="1"/>
  <c r="E64" i="1" l="1"/>
  <c r="E87" i="1" l="1"/>
  <c r="E92" i="1" s="1"/>
  <c r="B96" i="1" s="1"/>
  <c r="B112" i="1" s="1"/>
  <c r="B136" i="1" l="1"/>
  <c r="B108" i="1" s="1"/>
  <c r="E71" i="1" l="1"/>
  <c r="K47" i="2" l="1"/>
  <c r="E42" i="1" l="1"/>
  <c r="K20" i="2" l="1"/>
  <c r="D37" i="1" l="1"/>
  <c r="P5" i="2" l="1"/>
  <c r="D28" i="1" l="1"/>
  <c r="E38" i="1" l="1"/>
  <c r="S7" i="2" l="1"/>
  <c r="S8" i="2" s="1"/>
  <c r="S9" i="2" s="1"/>
  <c r="S10" i="2" s="1"/>
  <c r="S11" i="2" s="1"/>
  <c r="S12" i="2" s="1"/>
  <c r="S13" i="2" s="1"/>
  <c r="S14" i="2" s="1"/>
  <c r="S15" i="2" s="1"/>
  <c r="S16" i="2" s="1"/>
  <c r="S17" i="2" s="1"/>
  <c r="S18" i="2" s="1"/>
  <c r="S19" i="2" s="1"/>
  <c r="S20" i="2" s="1"/>
  <c r="S21" i="2" s="1"/>
  <c r="S22" i="2" s="1"/>
  <c r="S23" i="2" s="1"/>
  <c r="S24" i="2" s="1"/>
  <c r="S25" i="2" s="1"/>
  <c r="S26" i="2" s="1"/>
  <c r="S27" i="2" s="1"/>
  <c r="S28" i="2" s="1"/>
  <c r="S29" i="2" s="1"/>
  <c r="S30" i="2" s="1"/>
  <c r="S31" i="2" s="1"/>
  <c r="S32" i="2" s="1"/>
  <c r="S33" i="2" s="1"/>
  <c r="S34" i="2" s="1"/>
  <c r="S35" i="2" s="1"/>
  <c r="E53" i="1" l="1"/>
  <c r="E46" i="1"/>
  <c r="I81" i="2" l="1"/>
  <c r="B106" i="1" s="1"/>
  <c r="E2" i="2"/>
  <c r="J81" i="2"/>
  <c r="G81" i="2"/>
  <c r="H81" i="2"/>
  <c r="N74" i="2"/>
  <c r="N75" i="2"/>
  <c r="K74" i="2"/>
  <c r="K75"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K42" i="2"/>
  <c r="K43" i="2"/>
  <c r="K44" i="2"/>
  <c r="K45" i="2"/>
  <c r="K46" i="2"/>
  <c r="K48" i="2"/>
  <c r="K49" i="2"/>
  <c r="K50" i="2"/>
  <c r="K51" i="2"/>
  <c r="K52" i="2"/>
  <c r="K53" i="2"/>
  <c r="K54" i="2"/>
  <c r="K55" i="2"/>
  <c r="K56" i="2"/>
  <c r="K57" i="2"/>
  <c r="K58" i="2"/>
  <c r="K59" i="2"/>
  <c r="K60" i="2"/>
  <c r="K61" i="2"/>
  <c r="K62" i="2"/>
  <c r="K63" i="2"/>
  <c r="K64" i="2"/>
  <c r="K65" i="2"/>
  <c r="K66" i="2"/>
  <c r="K67" i="2"/>
  <c r="K68" i="2"/>
  <c r="K69" i="2"/>
  <c r="K70" i="2"/>
  <c r="K71" i="2"/>
  <c r="K72" i="2"/>
  <c r="K73" i="2"/>
  <c r="L47" i="2" l="1"/>
  <c r="P47" i="2" s="1"/>
  <c r="L70" i="2"/>
  <c r="P70" i="2" s="1"/>
  <c r="L66" i="2"/>
  <c r="P66" i="2" s="1"/>
  <c r="L58" i="2"/>
  <c r="P58" i="2" s="1"/>
  <c r="L50" i="2"/>
  <c r="P50" i="2" s="1"/>
  <c r="L42" i="2"/>
  <c r="P42" i="2" s="1"/>
  <c r="L74" i="2"/>
  <c r="P74" i="2" s="1"/>
  <c r="L75" i="2"/>
  <c r="P75" i="2" s="1"/>
  <c r="L68" i="2"/>
  <c r="P68" i="2" s="1"/>
  <c r="L60" i="2"/>
  <c r="P60" i="2" s="1"/>
  <c r="L52" i="2"/>
  <c r="P52" i="2" s="1"/>
  <c r="L44" i="2"/>
  <c r="P44" i="2" s="1"/>
  <c r="L63" i="2"/>
  <c r="P63" i="2" s="1"/>
  <c r="L55" i="2"/>
  <c r="P55" i="2" s="1"/>
  <c r="L62" i="2"/>
  <c r="P62" i="2" s="1"/>
  <c r="L54" i="2"/>
  <c r="P54" i="2" s="1"/>
  <c r="L46" i="2"/>
  <c r="P46" i="2" s="1"/>
  <c r="L72" i="2"/>
  <c r="P72" i="2" s="1"/>
  <c r="L64" i="2"/>
  <c r="P64" i="2" s="1"/>
  <c r="L56" i="2"/>
  <c r="P56" i="2" s="1"/>
  <c r="L48" i="2"/>
  <c r="P48" i="2" s="1"/>
  <c r="L71" i="2"/>
  <c r="P71" i="2" s="1"/>
  <c r="L73" i="2"/>
  <c r="P73" i="2" s="1"/>
  <c r="L69" i="2"/>
  <c r="P69" i="2" s="1"/>
  <c r="L65" i="2"/>
  <c r="P65" i="2" s="1"/>
  <c r="L61" i="2"/>
  <c r="P61" i="2" s="1"/>
  <c r="L57" i="2"/>
  <c r="P57" i="2" s="1"/>
  <c r="L53" i="2"/>
  <c r="P53" i="2" s="1"/>
  <c r="L49" i="2"/>
  <c r="P49" i="2" s="1"/>
  <c r="L45" i="2"/>
  <c r="P45" i="2" s="1"/>
  <c r="L67" i="2"/>
  <c r="P67" i="2" s="1"/>
  <c r="L59" i="2"/>
  <c r="P59" i="2" s="1"/>
  <c r="L51" i="2"/>
  <c r="P51" i="2" s="1"/>
  <c r="L43" i="2"/>
  <c r="P43" i="2" s="1"/>
  <c r="K7" i="2"/>
  <c r="K8" i="2"/>
  <c r="K9" i="2"/>
  <c r="K10" i="2"/>
  <c r="K11" i="2"/>
  <c r="K12" i="2"/>
  <c r="K13" i="2"/>
  <c r="K14" i="2"/>
  <c r="K15" i="2"/>
  <c r="K16" i="2"/>
  <c r="K18" i="2"/>
  <c r="K19" i="2"/>
  <c r="K21" i="2"/>
  <c r="K22" i="2"/>
  <c r="K23" i="2"/>
  <c r="K24" i="2"/>
  <c r="K25" i="2"/>
  <c r="K26" i="2"/>
  <c r="K27" i="2"/>
  <c r="K28" i="2"/>
  <c r="K29" i="2"/>
  <c r="K30" i="2"/>
  <c r="K31" i="2"/>
  <c r="K32" i="2"/>
  <c r="K33" i="2"/>
  <c r="K34" i="2"/>
  <c r="K35" i="2"/>
  <c r="K36" i="2"/>
  <c r="K37" i="2"/>
  <c r="K38" i="2"/>
  <c r="K39" i="2"/>
  <c r="K40" i="2"/>
  <c r="K41" i="2"/>
  <c r="K6" i="2"/>
  <c r="R49" i="2" l="1"/>
  <c r="R73" i="2"/>
  <c r="R43" i="2"/>
  <c r="R45" i="2"/>
  <c r="R61" i="2"/>
  <c r="R71" i="2"/>
  <c r="R72" i="2"/>
  <c r="R55" i="2"/>
  <c r="R60" i="2"/>
  <c r="R66" i="2"/>
  <c r="R65" i="2"/>
  <c r="R48" i="2"/>
  <c r="R46" i="2"/>
  <c r="R63" i="2"/>
  <c r="R68" i="2"/>
  <c r="R42" i="2"/>
  <c r="R70" i="2"/>
  <c r="R51" i="2"/>
  <c r="R59" i="2"/>
  <c r="R53" i="2"/>
  <c r="R69" i="2"/>
  <c r="R56" i="2"/>
  <c r="R54" i="2"/>
  <c r="R44" i="2"/>
  <c r="R75" i="2"/>
  <c r="R50" i="2"/>
  <c r="R47" i="2"/>
  <c r="R67" i="2"/>
  <c r="R57" i="2"/>
  <c r="R64" i="2"/>
  <c r="R62" i="2"/>
  <c r="R52" i="2"/>
  <c r="R74" i="2"/>
  <c r="R58" i="2"/>
  <c r="B97" i="1"/>
  <c r="K81" i="2"/>
  <c r="Q67" i="2"/>
  <c r="Q57" i="2"/>
  <c r="Q73" i="2"/>
  <c r="Q64" i="2"/>
  <c r="Q62" i="2"/>
  <c r="Q52" i="2"/>
  <c r="Q74" i="2"/>
  <c r="Q43" i="2"/>
  <c r="Q45" i="2"/>
  <c r="Q61" i="2"/>
  <c r="Q71" i="2"/>
  <c r="Q72" i="2"/>
  <c r="Q55" i="2"/>
  <c r="Q60" i="2"/>
  <c r="Q51" i="2"/>
  <c r="Q48" i="2"/>
  <c r="Q46" i="2"/>
  <c r="Q63" i="2"/>
  <c r="Q68" i="2"/>
  <c r="Q58" i="2"/>
  <c r="Q47" i="2"/>
  <c r="Q59" i="2"/>
  <c r="Q56" i="2"/>
  <c r="Q54" i="2"/>
  <c r="Q44" i="2"/>
  <c r="Q75" i="2"/>
  <c r="Q66" i="2"/>
  <c r="Q53" i="2"/>
  <c r="L36" i="2"/>
  <c r="Q49" i="2"/>
  <c r="Q65" i="2"/>
  <c r="Q50" i="2"/>
  <c r="Q70" i="2"/>
  <c r="Q42" i="2"/>
  <c r="Q69" i="2"/>
  <c r="L37" i="2"/>
  <c r="L40" i="2"/>
  <c r="L41" i="2"/>
  <c r="L39" i="2"/>
  <c r="L38" i="2"/>
  <c r="L23" i="2"/>
  <c r="L11" i="2"/>
  <c r="L34" i="2"/>
  <c r="L30" i="2"/>
  <c r="L26" i="2"/>
  <c r="L22" i="2"/>
  <c r="L18" i="2"/>
  <c r="L14" i="2"/>
  <c r="L10" i="2"/>
  <c r="L27" i="2"/>
  <c r="L19" i="2"/>
  <c r="L7" i="2"/>
  <c r="L33" i="2"/>
  <c r="L29" i="2"/>
  <c r="L25" i="2"/>
  <c r="L21" i="2"/>
  <c r="L17" i="2"/>
  <c r="L13" i="2"/>
  <c r="L9" i="2"/>
  <c r="L35" i="2"/>
  <c r="L15" i="2"/>
  <c r="L32" i="2"/>
  <c r="L28" i="2"/>
  <c r="L24" i="2"/>
  <c r="L20" i="2"/>
  <c r="L16" i="2"/>
  <c r="L12" i="2"/>
  <c r="L8" i="2"/>
  <c r="L31" i="2"/>
  <c r="L6" i="2"/>
  <c r="M81" i="2"/>
  <c r="L81" i="2" l="1"/>
  <c r="A51" i="1"/>
  <c r="A52" i="1" s="1"/>
  <c r="E75" i="1" l="1"/>
  <c r="E79" i="1" s="1"/>
  <c r="N7" i="2" l="1"/>
  <c r="P7" i="2" s="1"/>
  <c r="N8" i="2"/>
  <c r="P8" i="2" s="1"/>
  <c r="N9" i="2"/>
  <c r="P9" i="2" s="1"/>
  <c r="N10" i="2"/>
  <c r="P10" i="2" s="1"/>
  <c r="N11" i="2"/>
  <c r="P11" i="2" s="1"/>
  <c r="N12" i="2"/>
  <c r="P12" i="2" s="1"/>
  <c r="N13" i="2"/>
  <c r="P13" i="2" s="1"/>
  <c r="N14" i="2"/>
  <c r="P14" i="2" s="1"/>
  <c r="N15" i="2"/>
  <c r="P15" i="2" s="1"/>
  <c r="N16" i="2"/>
  <c r="P16" i="2" s="1"/>
  <c r="N17" i="2"/>
  <c r="P17" i="2" s="1"/>
  <c r="N18" i="2"/>
  <c r="P18" i="2" s="1"/>
  <c r="N19" i="2"/>
  <c r="P19" i="2" s="1"/>
  <c r="N20" i="2"/>
  <c r="P20" i="2" s="1"/>
  <c r="N21" i="2"/>
  <c r="P21" i="2" s="1"/>
  <c r="N22" i="2"/>
  <c r="P22" i="2" s="1"/>
  <c r="N23" i="2"/>
  <c r="P23" i="2" s="1"/>
  <c r="N24" i="2"/>
  <c r="P24" i="2" s="1"/>
  <c r="N25" i="2"/>
  <c r="P25" i="2" s="1"/>
  <c r="N26" i="2"/>
  <c r="P26" i="2" s="1"/>
  <c r="N27" i="2"/>
  <c r="P27" i="2" s="1"/>
  <c r="N28" i="2"/>
  <c r="P28" i="2" s="1"/>
  <c r="N29" i="2"/>
  <c r="P29" i="2" s="1"/>
  <c r="N30" i="2"/>
  <c r="P30" i="2" s="1"/>
  <c r="N31" i="2"/>
  <c r="P31" i="2" s="1"/>
  <c r="N32" i="2"/>
  <c r="P32" i="2" s="1"/>
  <c r="N33" i="2"/>
  <c r="N34" i="2"/>
  <c r="P34" i="2" s="1"/>
  <c r="N35" i="2"/>
  <c r="P35" i="2" s="1"/>
  <c r="N36" i="2"/>
  <c r="P36" i="2" s="1"/>
  <c r="N37" i="2"/>
  <c r="P37" i="2" s="1"/>
  <c r="N38" i="2"/>
  <c r="P38" i="2" s="1"/>
  <c r="N39" i="2"/>
  <c r="P39" i="2" s="1"/>
  <c r="N40" i="2"/>
  <c r="P40" i="2" s="1"/>
  <c r="N41" i="2"/>
  <c r="P41" i="2" s="1"/>
  <c r="N6" i="2"/>
  <c r="P6" i="2" s="1"/>
  <c r="R41" i="2" l="1"/>
  <c r="R39" i="2"/>
  <c r="R35" i="2"/>
  <c r="R31" i="2"/>
  <c r="R27" i="2"/>
  <c r="R23" i="2"/>
  <c r="R19" i="2"/>
  <c r="R15" i="2"/>
  <c r="R11" i="2"/>
  <c r="R7" i="2"/>
  <c r="R6" i="2"/>
  <c r="R38" i="2"/>
  <c r="R34" i="2"/>
  <c r="R30" i="2"/>
  <c r="R26" i="2"/>
  <c r="R22" i="2"/>
  <c r="R18" i="2"/>
  <c r="R14" i="2"/>
  <c r="R10" i="2"/>
  <c r="R37" i="2"/>
  <c r="R29" i="2"/>
  <c r="R25" i="2"/>
  <c r="R21" i="2"/>
  <c r="R17" i="2"/>
  <c r="R13" i="2"/>
  <c r="R9" i="2"/>
  <c r="R40" i="2"/>
  <c r="R32" i="2"/>
  <c r="R28" i="2"/>
  <c r="R24" i="2"/>
  <c r="R20" i="2"/>
  <c r="R16" i="2"/>
  <c r="R12" i="2"/>
  <c r="R8" i="2"/>
  <c r="Q36" i="2"/>
  <c r="R36" i="2"/>
  <c r="Q38" i="2"/>
  <c r="Q26" i="2"/>
  <c r="Q14" i="2"/>
  <c r="Q37" i="2"/>
  <c r="Q29" i="2"/>
  <c r="Q25" i="2"/>
  <c r="Q21" i="2"/>
  <c r="Q17" i="2"/>
  <c r="Q13" i="2"/>
  <c r="Q9" i="2"/>
  <c r="Q6" i="2"/>
  <c r="Q30" i="2"/>
  <c r="Q18" i="2"/>
  <c r="Q41" i="2"/>
  <c r="Q32" i="2"/>
  <c r="Q28" i="2"/>
  <c r="Q24" i="2"/>
  <c r="Q20" i="2"/>
  <c r="Q16" i="2"/>
  <c r="Q12" i="2"/>
  <c r="Q8" i="2"/>
  <c r="Q34" i="2"/>
  <c r="Q22" i="2"/>
  <c r="Q10" i="2"/>
  <c r="Q40" i="2"/>
  <c r="Q39" i="2"/>
  <c r="Q35" i="2"/>
  <c r="Q31" i="2"/>
  <c r="Q27" i="2"/>
  <c r="Q23" i="2"/>
  <c r="Q19" i="2"/>
  <c r="Q15" i="2"/>
  <c r="Q11" i="2"/>
  <c r="Q7" i="2"/>
  <c r="N81" i="2"/>
  <c r="B95" i="1" l="1"/>
  <c r="B111" i="1" l="1"/>
  <c r="B113" i="1" s="1"/>
  <c r="B94" i="1"/>
  <c r="O81" i="2" l="1"/>
  <c r="P33" i="2"/>
  <c r="P81" i="2" s="1"/>
  <c r="Q33" i="2" l="1"/>
  <c r="Q81" i="2" s="1"/>
  <c r="R33" i="2"/>
  <c r="R81" i="2" s="1"/>
</calcChain>
</file>

<file path=xl/sharedStrings.xml><?xml version="1.0" encoding="utf-8"?>
<sst xmlns="http://schemas.openxmlformats.org/spreadsheetml/2006/main" count="316" uniqueCount="219">
  <si>
    <t>LIQUIDACION DE EXPENSAS</t>
  </si>
  <si>
    <t>TOTAL SUELDO</t>
  </si>
  <si>
    <t>TOTAL IMPUESTO</t>
  </si>
  <si>
    <t>TOTAL Aportes y Contribuciones - Sindicato</t>
  </si>
  <si>
    <t>TOTAL ABONOS Y SERVICIOS</t>
  </si>
  <si>
    <t>Gastos Ordinarios:</t>
  </si>
  <si>
    <t>Piso</t>
  </si>
  <si>
    <t>Dpto.</t>
  </si>
  <si>
    <t>UF</t>
  </si>
  <si>
    <t>Propietario</t>
  </si>
  <si>
    <t xml:space="preserve">Ingreso </t>
  </si>
  <si>
    <t>Expensas extraor.</t>
  </si>
  <si>
    <t>TOTAL</t>
  </si>
  <si>
    <t>PB</t>
  </si>
  <si>
    <t>3º</t>
  </si>
  <si>
    <t>4º</t>
  </si>
  <si>
    <t>5º</t>
  </si>
  <si>
    <t>6º</t>
  </si>
  <si>
    <t>7º</t>
  </si>
  <si>
    <t>8º</t>
  </si>
  <si>
    <t>9º</t>
  </si>
  <si>
    <t>10º</t>
  </si>
  <si>
    <t>11º</t>
  </si>
  <si>
    <t>12º</t>
  </si>
  <si>
    <t>13º</t>
  </si>
  <si>
    <t>14º</t>
  </si>
  <si>
    <t>15º</t>
  </si>
  <si>
    <t>GASTOS ORDINARIOS UNIDADES FUNCIONALES:</t>
  </si>
  <si>
    <t>COC</t>
  </si>
  <si>
    <t xml:space="preserve"> (%)</t>
  </si>
  <si>
    <t>GASTOS BANCARIOS</t>
  </si>
  <si>
    <t xml:space="preserve">TOTAL ORDINARIOS </t>
  </si>
  <si>
    <t>GASTOS ORDINARIOS + PREVISION :</t>
  </si>
  <si>
    <t>GASTOS ORDINARIOS SIN PREVISION:</t>
  </si>
  <si>
    <t xml:space="preserve">TOTAL </t>
  </si>
  <si>
    <t>APORTES Y CONTRIBUCIONES</t>
  </si>
  <si>
    <t>GASTOS GENERALES / MANTENIMIENTO</t>
  </si>
  <si>
    <t>ABONOS Y SERVICIOS</t>
  </si>
  <si>
    <t>Seracarh</t>
  </si>
  <si>
    <t>Fatheryh</t>
  </si>
  <si>
    <t>HONORARIOS</t>
  </si>
  <si>
    <t>PREVISION EXTRAORDINARIA</t>
  </si>
  <si>
    <t xml:space="preserve">TOTAL EXTRAORDINARIOS </t>
  </si>
  <si>
    <t>GASTOS EXTRAORDINARIOS SIN PREVISION:</t>
  </si>
  <si>
    <t>Egresos Ordinarios</t>
  </si>
  <si>
    <t>Egresos Extraordinarios</t>
  </si>
  <si>
    <t>Total 2do Vto.</t>
  </si>
  <si>
    <t>Expensas ord.</t>
  </si>
  <si>
    <t>TELEFONO: 11 5320-2676</t>
  </si>
  <si>
    <t>Inquilinos</t>
  </si>
  <si>
    <t>Pago por</t>
  </si>
  <si>
    <t>CUIT ADMINISTRACION: 27231256879</t>
  </si>
  <si>
    <t>HORARIOS DE ATENCION: LUNES A VIERNES</t>
  </si>
  <si>
    <t>10 A 16HS - EMERGENCIAS 24HS</t>
  </si>
  <si>
    <t>Deuda o Saldo a favor</t>
  </si>
  <si>
    <t xml:space="preserve">SEGUROS </t>
  </si>
  <si>
    <t>DEPOSITOS NO IDENTIFICADOS</t>
  </si>
  <si>
    <t>RESUMEN</t>
  </si>
  <si>
    <t>HABERES ENCARGADOS</t>
  </si>
  <si>
    <t xml:space="preserve">Retenciones </t>
  </si>
  <si>
    <t>Neto</t>
  </si>
  <si>
    <t>Retenciones</t>
  </si>
  <si>
    <t>Total 2do Vto</t>
  </si>
  <si>
    <t>Total 1er Vto</t>
  </si>
  <si>
    <t>Gastos part.</t>
  </si>
  <si>
    <t>ADMINISTRADORA: CAROLINA CANCIANI MP:1148</t>
  </si>
  <si>
    <t>Retenciones SAC</t>
  </si>
  <si>
    <t>SAC</t>
  </si>
  <si>
    <t>GASTOS EXTRAORDINARIOS CON PREVISION:</t>
  </si>
  <si>
    <t>Suther</t>
  </si>
  <si>
    <t xml:space="preserve">Deposito sin identificar </t>
  </si>
  <si>
    <t>ESTIMADOS PROPIETARIOS E INQUILINOS: POR FAVOR LOS QUE ABONAN EN PRIMER VENCIMIENTO ABONEN EL MONTO DE PRIMER VENCIMIENTO, ASI AGILIZAN LA LIQUIDACION, RESPETEN LOS CENTAVOS CORRESPONDIENTES A LA UNIDAD FUNCIONAL. ES DE CARÁCTER OBLIGATORIO INFORMAR VIA MAIL LAS EXPENSAS. CASO CONTRARIO SE INFORMARA VIA CARTA DOCUMENTO A LA UNIDAD FUNCIONAL QUE CREEMOS QUE CORRESPONDE, CUYO COSTO SERA IMPUTADO A LA UNIDAD FUNCIONAL SOSPECHADA.</t>
  </si>
  <si>
    <t>CUIT DEL EDIFICIO: 30583957819</t>
  </si>
  <si>
    <t>CONSORCIO DE PROPIETARIOS DEL EDIFICIO CALLE GORRITI 368</t>
  </si>
  <si>
    <t>GEFFNER SILVIA E.</t>
  </si>
  <si>
    <t>COVILOZA S. A.</t>
  </si>
  <si>
    <t>ASIST Y TRAB.</t>
  </si>
  <si>
    <t>CANDEL JORGE ISAAC</t>
  </si>
  <si>
    <t>BORTZ SERGIO</t>
  </si>
  <si>
    <t>KIM SOON LEO</t>
  </si>
  <si>
    <t>FRAGA DORA</t>
  </si>
  <si>
    <t>SARUBBI MARTIN</t>
  </si>
  <si>
    <t>LACENTRE</t>
  </si>
  <si>
    <t>VERONES JOSE MARIA</t>
  </si>
  <si>
    <t>SRUGO CARLOS</t>
  </si>
  <si>
    <t>DINOTO</t>
  </si>
  <si>
    <t>COUSO MARIA CRISTINA</t>
  </si>
  <si>
    <t>POSSENTI JUAN JOSE</t>
  </si>
  <si>
    <t>VANNI KARINA</t>
  </si>
  <si>
    <t>BLANCO</t>
  </si>
  <si>
    <t>GALANTE CELIA</t>
  </si>
  <si>
    <t>CANDEL E. MARCELO</t>
  </si>
  <si>
    <t>GUTMAN MARIO</t>
  </si>
  <si>
    <t>PRATOLONGO EDUARDO</t>
  </si>
  <si>
    <t>CARTABBIA MARIO</t>
  </si>
  <si>
    <t>BRATTOLI</t>
  </si>
  <si>
    <t>SAIN GUILLERMO</t>
  </si>
  <si>
    <t>CANDEL RAÚL F.</t>
  </si>
  <si>
    <t>AZCARATE DIEGO</t>
  </si>
  <si>
    <t>BELEN CICCIARELLI</t>
  </si>
  <si>
    <t>STELLISANO VICTORIA</t>
  </si>
  <si>
    <t>GEFFNER JORGE RAÚL</t>
  </si>
  <si>
    <t>REY ALICIA</t>
  </si>
  <si>
    <t>DE SERIO BOFFA</t>
  </si>
  <si>
    <t>ALVAREZ EDUARDO</t>
  </si>
  <si>
    <t>VENTIMIGLIA SILVANA</t>
  </si>
  <si>
    <t>RIVA MÓNICA</t>
  </si>
  <si>
    <t>LORUSSO DORA</t>
  </si>
  <si>
    <t>FERÁNDEZ HÉCTOR</t>
  </si>
  <si>
    <t>KARGODORIAN SILVIA</t>
  </si>
  <si>
    <t>ALVAREZ</t>
  </si>
  <si>
    <t>DE BIAGGIO PABLO</t>
  </si>
  <si>
    <t>LOC</t>
  </si>
  <si>
    <t>A</t>
  </si>
  <si>
    <t>B</t>
  </si>
  <si>
    <t>C</t>
  </si>
  <si>
    <t>D</t>
  </si>
  <si>
    <t>E</t>
  </si>
  <si>
    <t>CBU: 0290034600000502294350</t>
  </si>
  <si>
    <t>Interes 3%</t>
  </si>
  <si>
    <t>MAIL: consorciogorriti368@gmail.com</t>
  </si>
  <si>
    <t>BENMAOR D.</t>
  </si>
  <si>
    <t>Cristian Requelme</t>
  </si>
  <si>
    <t>GALANTERNIK A</t>
  </si>
  <si>
    <t xml:space="preserve"> Miriam Larken</t>
  </si>
  <si>
    <t>CANDEL MARCELO</t>
  </si>
  <si>
    <t>TRIPODI</t>
  </si>
  <si>
    <t>Mariela Pricolo</t>
  </si>
  <si>
    <t xml:space="preserve">Susana </t>
  </si>
  <si>
    <t>MIRANDA DE GIL</t>
  </si>
  <si>
    <t>BORTZ ESTHER</t>
  </si>
  <si>
    <t>Daniel</t>
  </si>
  <si>
    <t>CARRIZO RAÚL</t>
  </si>
  <si>
    <t>Noelia Villarino</t>
  </si>
  <si>
    <t>Carla</t>
  </si>
  <si>
    <t>Romina Navarro</t>
  </si>
  <si>
    <t>LEGUIZAMON PABLO</t>
  </si>
  <si>
    <t>DAVICCA MIGUEL</t>
  </si>
  <si>
    <t>Marcos</t>
  </si>
  <si>
    <t>NAVA HECTOR</t>
  </si>
  <si>
    <t>Mabel Rodríguez</t>
  </si>
  <si>
    <t>MARIA I. ROTTA</t>
  </si>
  <si>
    <t>Jose Medina</t>
  </si>
  <si>
    <t>Isabel Infante</t>
  </si>
  <si>
    <t>GOLBERG DIEGO</t>
  </si>
  <si>
    <t>Ines Telo</t>
  </si>
  <si>
    <t>Ezequiel Caputo</t>
  </si>
  <si>
    <t>MORONI MABEL</t>
  </si>
  <si>
    <t>PARMA</t>
  </si>
  <si>
    <t>TORRES BASSO RUBEN</t>
  </si>
  <si>
    <t>WAINBERG LUIS</t>
  </si>
  <si>
    <t>Lionel Giglia</t>
  </si>
  <si>
    <t>MANDELLI MARIA</t>
  </si>
  <si>
    <t>Analía</t>
  </si>
  <si>
    <t>BRITEZ M.</t>
  </si>
  <si>
    <t>Francini IGNACIO</t>
  </si>
  <si>
    <t>Jorge Sicilia</t>
  </si>
  <si>
    <t>FERREIRO MARTA</t>
  </si>
  <si>
    <t>CIGNOLI</t>
  </si>
  <si>
    <t>Pablo Coiro</t>
  </si>
  <si>
    <t>RECHIMUZZI</t>
  </si>
  <si>
    <t>GENTILE EDUARDO</t>
  </si>
  <si>
    <t>Aldana</t>
  </si>
  <si>
    <t xml:space="preserve">Brian Alvarez </t>
  </si>
  <si>
    <t>Sueldo encargado Colmiero Oscar</t>
  </si>
  <si>
    <t>Sueldo encargado Balcazza Leonardo</t>
  </si>
  <si>
    <t>EDESUR - Cliente nro. 828563</t>
  </si>
  <si>
    <t>EDESUR - Cliente nro. 01672309</t>
  </si>
  <si>
    <t>EDESUR - Cliente nro. 01672321</t>
  </si>
  <si>
    <t>EDESUR - Cliente nro. 01672319</t>
  </si>
  <si>
    <t>Metrogas - Cliente nro. 20495697900</t>
  </si>
  <si>
    <t>Metrogas - Cliente nro. 20463936100</t>
  </si>
  <si>
    <t xml:space="preserve">Personal Flow - Debito automatico </t>
  </si>
  <si>
    <t>Seguro Integral consorcio San Cristobal - Poliza 01-05-07-30183461</t>
  </si>
  <si>
    <t>Debito 13/12</t>
  </si>
  <si>
    <t>GASTOS EXTRAORDINARIOS:</t>
  </si>
  <si>
    <t>AYSA - Nro de cliente 3888610</t>
  </si>
  <si>
    <t>Punitorios mal cobrados</t>
  </si>
  <si>
    <t>PERÍODO: ENERO</t>
  </si>
  <si>
    <t>Sindicatos mes de ENERO</t>
  </si>
  <si>
    <t>PMC 13/01</t>
  </si>
  <si>
    <t>PMC 17/01</t>
  </si>
  <si>
    <t>PMC 23/01</t>
  </si>
  <si>
    <t>PMC 24/01</t>
  </si>
  <si>
    <t>GUSTAVO PADRON - NO SE COBRAN HONORARIOS HASTA TENER EL CONTROL DE LA CUENTA - SE ADEUDA MES 12/24 Y MES 1/25</t>
  </si>
  <si>
    <t>HONORARIOS ADMINISTRACION RC - NO SE COBRAN HONORARIOS HASTA TENER EL CONTROL DE LA CUENTA - SE ADEUDA  MES 1/25</t>
  </si>
  <si>
    <t xml:space="preserve">Romanatti Carlos - Certificacion digital del reglamento, acta de designacion para presentar en ARCA </t>
  </si>
  <si>
    <t>Doartero -  Reparacion caño de subida en emergencia 28/1</t>
  </si>
  <si>
    <t>Ascensores Zuazola Paulo -  Sin factura - 50% del trabajo a realizar en el ascensor</t>
  </si>
  <si>
    <t>Transf 23/01</t>
  </si>
  <si>
    <t>Debito 20/01</t>
  </si>
  <si>
    <t xml:space="preserve">ARCA </t>
  </si>
  <si>
    <t>ARCA - Empleada que realizo el reemplazo en Noviembre</t>
  </si>
  <si>
    <t>Florencia Fucci</t>
  </si>
  <si>
    <t>No hay factura</t>
  </si>
  <si>
    <t>Saldo Ord + EXP DE URGENCIA</t>
  </si>
  <si>
    <t>VTO 13/02</t>
  </si>
  <si>
    <t>Debito 10/01</t>
  </si>
  <si>
    <t>Romina Barbara Lotfi</t>
  </si>
  <si>
    <t>Deposito sin identificar a nombre de Veron Wanda 10/01</t>
  </si>
  <si>
    <t>ESTA ES LA FUNDACION DE MEDICOS</t>
  </si>
  <si>
    <t>Melina Navarro</t>
  </si>
  <si>
    <t>Gabriela Tamara</t>
  </si>
  <si>
    <t>PALERMO</t>
  </si>
  <si>
    <t>Palermo Hernan</t>
  </si>
  <si>
    <t>MAXIMO</t>
  </si>
  <si>
    <t xml:space="preserve">PENDIENTE </t>
  </si>
  <si>
    <t xml:space="preserve">FERNANDEZ BERTA               </t>
  </si>
  <si>
    <t>KRAVETZ</t>
  </si>
  <si>
    <t>Compra de caja navideña (a cargo de la Sra. Adriana)</t>
  </si>
  <si>
    <t>Calman - Articulos de limpieza (a cargo de la Sra. Adriana) -  Factura 19/20</t>
  </si>
  <si>
    <t>PREVISION ORDINARIA - PARA ASCENSOR</t>
  </si>
  <si>
    <t>SALDO EN BANCO AL 5/2/25</t>
  </si>
  <si>
    <t>LA SUMA DE LOS SUELDOS DE LOS PORTEROS, EQUIVALE A $2.218.075, Y TAN SOLO SE DEPOSITO $500,000 A CUENTA. EL SALDO DE CAJA SON $698091,7 MENOS LO QUE RESTA DEPOSITAR ($1.718.075)</t>
  </si>
  <si>
    <t>CAJA REAL</t>
  </si>
  <si>
    <t>ESTIMADOS PROPIETARIOS E INQUILINOS; ENTENDIENDO QUE AL PRORRATEAR EL GASTO JUSTO QUE SE REALIZO DURANTE EL MES SIN TENER EN CUENTA LOS DEUDORES HISTORICOS DEL CONSORCIO SE HACE DEFICITARIA LA CAJA, YA QUE NUNCA SE CUBREN EL MONTO REAL GASTADO MEDIANTE LOS INGRESOS. ESTA RAZON ES EL MOTIVO POR EL CUAL SE COMIENZA A HACER UN FONDO DE GASTOS ORDINARIOS DESANDO QUE UNA VEZ COBRADAS LAS EXPENSAS DEUDORAS, LA CAJA QUEDE A FAVOR DEL CONSORCIO PARA IMPLEMENTAR MEJORAS. SE TOMA EL SALDO DE BANCO REAL AL 05/02 (RESUMEN BANCARIO) YA QUE NO HABIA CAJAS ANTERIORES. A PARTIR DE ESTE MOMENTO, TENDRAN RENDIDA LA CAJA AL FINAL DE LAS EXPENSAS.</t>
  </si>
  <si>
    <t>brian exige plata a favor pero desde donde tenemos entendido NO PAGO DICIEMBRE</t>
  </si>
  <si>
    <t>Andrea</t>
  </si>
  <si>
    <t>Sarubbi Adriana</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</si>
</sst>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b/>
      <i/>
      <sz val="1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3" tint="0.7999816888943144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cellStyleXfs>
  <cellXfs count="250">
    <xf numFmtId="0" fontId="0" fillId="0" borderId="0" xfId="0"/>
    <xf numFmtId="0" fontId="0" fillId="0" borderId="16" xfId="0" applyBorder="1"/>
    <xf numFmtId="0" fontId="0" fillId="0" borderId="0" xfId="0"/>
    <xf numFmtId="0" fontId="0" fillId="0" borderId="0"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8" fontId="0" fillId="3" borderId="0" xfId="0" applyNumberFormat="1" applyFill="1"/>
    <xf numFmtId="0" fontId="0" fillId="0" borderId="5" xfId="0" applyBorder="1"/>
    <xf numFmtId="0" fontId="0" fillId="0" borderId="0" xfId="0"/>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applyBorder="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0" fontId="5" fillId="6" borderId="0" xfId="0" applyFont="1" applyFill="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0" fontId="0" fillId="0" borderId="1" xfId="0" applyFill="1" applyBorder="1"/>
    <xf numFmtId="0" fontId="7" fillId="0" borderId="1" xfId="0" applyFont="1" applyBorder="1"/>
    <xf numFmtId="0" fontId="2" fillId="4" borderId="1" xfId="0" applyFont="1" applyFill="1" applyBorder="1"/>
    <xf numFmtId="0" fontId="0" fillId="4" borderId="1" xfId="0" applyFill="1" applyBorder="1"/>
    <xf numFmtId="8" fontId="8" fillId="4" borderId="6" xfId="0" applyNumberFormat="1" applyFont="1" applyFill="1" applyBorder="1"/>
    <xf numFmtId="43" fontId="0" fillId="3" borderId="0" xfId="3" applyFont="1" applyFill="1"/>
    <xf numFmtId="0" fontId="2" fillId="8" borderId="1" xfId="0" applyFont="1" applyFill="1" applyBorder="1"/>
    <xf numFmtId="0" fontId="2" fillId="8" borderId="6" xfId="0" applyFont="1" applyFill="1" applyBorder="1"/>
    <xf numFmtId="0" fontId="2" fillId="0" borderId="1" xfId="0" applyFont="1" applyBorder="1"/>
    <xf numFmtId="0" fontId="11" fillId="2" borderId="0" xfId="0" applyFont="1" applyFill="1"/>
    <xf numFmtId="0" fontId="12" fillId="4" borderId="1" xfId="0" applyFont="1" applyFill="1" applyBorder="1"/>
    <xf numFmtId="0" fontId="8" fillId="4" borderId="1" xfId="0" applyFont="1" applyFill="1" applyBorder="1"/>
    <xf numFmtId="0" fontId="13" fillId="4" borderId="1" xfId="0" applyFont="1" applyFill="1" applyBorder="1"/>
    <xf numFmtId="8" fontId="12" fillId="4" borderId="1" xfId="0" applyNumberFormat="1" applyFont="1" applyFill="1" applyBorder="1"/>
    <xf numFmtId="44" fontId="8" fillId="4" borderId="1" xfId="1" applyFont="1" applyFill="1" applyBorder="1"/>
    <xf numFmtId="44" fontId="0" fillId="0" borderId="1" xfId="1" applyFont="1" applyBorder="1"/>
    <xf numFmtId="44" fontId="4" fillId="0" borderId="1" xfId="1" applyFont="1" applyBorder="1"/>
    <xf numFmtId="44" fontId="8" fillId="4" borderId="6" xfId="1" applyFont="1" applyFill="1" applyBorder="1"/>
    <xf numFmtId="44" fontId="4" fillId="4" borderId="1" xfId="1" applyFont="1" applyFill="1" applyBorder="1"/>
    <xf numFmtId="44" fontId="4" fillId="4" borderId="6" xfId="1" applyFont="1" applyFill="1" applyBorder="1"/>
    <xf numFmtId="0" fontId="0" fillId="0" borderId="1" xfId="0" applyFont="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3" fillId="2" borderId="1" xfId="1" applyFont="1" applyFill="1" applyBorder="1"/>
    <xf numFmtId="44" fontId="0" fillId="0" borderId="0" xfId="1" applyFont="1"/>
    <xf numFmtId="44" fontId="3" fillId="0" borderId="0" xfId="1" applyFont="1"/>
    <xf numFmtId="0" fontId="9" fillId="2" borderId="0" xfId="0" applyFont="1" applyFill="1"/>
    <xf numFmtId="44" fontId="0" fillId="0" borderId="0" xfId="0" applyNumberFormat="1"/>
    <xf numFmtId="0" fontId="10" fillId="6" borderId="0" xfId="0" applyFont="1" applyFill="1"/>
    <xf numFmtId="44" fontId="10" fillId="6" borderId="0" xfId="1" applyFont="1" applyFill="1"/>
    <xf numFmtId="44" fontId="0" fillId="0" borderId="0" xfId="0" applyNumberFormat="1" applyAlignment="1">
      <alignment wrapText="1"/>
    </xf>
    <xf numFmtId="44" fontId="15" fillId="2" borderId="1" xfId="1" applyNumberFormat="1" applyFont="1" applyFill="1" applyBorder="1"/>
    <xf numFmtId="0" fontId="0" fillId="4" borderId="0" xfId="0" applyFill="1"/>
    <xf numFmtId="0" fontId="2" fillId="4" borderId="0" xfId="0" applyFont="1" applyFill="1"/>
    <xf numFmtId="0" fontId="14" fillId="0" borderId="0" xfId="0" applyFont="1"/>
    <xf numFmtId="0" fontId="2" fillId="4" borderId="3" xfId="0" applyFont="1" applyFill="1" applyBorder="1"/>
    <xf numFmtId="0" fontId="0" fillId="2" borderId="1" xfId="0" applyFill="1" applyBorder="1"/>
    <xf numFmtId="44" fontId="16" fillId="4" borderId="13" xfId="0" applyNumberFormat="1" applyFont="1" applyFill="1" applyBorder="1"/>
    <xf numFmtId="0" fontId="0" fillId="0" borderId="1" xfId="0" applyFont="1" applyBorder="1" applyAlignment="1">
      <alignment vertical="center" wrapText="1"/>
    </xf>
    <xf numFmtId="16" fontId="0" fillId="0" borderId="1" xfId="0" applyNumberFormat="1" applyBorder="1" applyAlignment="1">
      <alignment vertical="center" wrapText="1"/>
    </xf>
    <xf numFmtId="16" fontId="3" fillId="0" borderId="1" xfId="0" applyNumberFormat="1" applyFont="1" applyBorder="1"/>
    <xf numFmtId="14" fontId="0" fillId="0" borderId="1" xfId="0" applyNumberFormat="1" applyFont="1" applyBorder="1"/>
    <xf numFmtId="44" fontId="0" fillId="3" borderId="0" xfId="1" applyFont="1" applyFill="1" applyAlignment="1"/>
    <xf numFmtId="44" fontId="0" fillId="3" borderId="8" xfId="1" applyFont="1" applyFill="1" applyBorder="1" applyAlignment="1">
      <alignment vertical="center"/>
    </xf>
    <xf numFmtId="0" fontId="20" fillId="11" borderId="1" xfId="0" applyFont="1" applyFill="1" applyBorder="1"/>
    <xf numFmtId="8" fontId="21" fillId="11" borderId="6" xfId="0" applyNumberFormat="1" applyFont="1" applyFill="1" applyBorder="1"/>
    <xf numFmtId="44" fontId="0" fillId="4" borderId="0" xfId="1" applyFont="1" applyFill="1"/>
    <xf numFmtId="44" fontId="8" fillId="0" borderId="1" xfId="1" applyFont="1" applyBorder="1"/>
    <xf numFmtId="44" fontId="15" fillId="2" borderId="1" xfId="1" applyFont="1" applyFill="1" applyBorder="1"/>
    <xf numFmtId="44" fontId="0" fillId="3" borderId="0" xfId="1" applyFont="1" applyFill="1" applyBorder="1" applyAlignment="1">
      <alignment vertical="center"/>
    </xf>
    <xf numFmtId="0" fontId="17" fillId="3" borderId="20" xfId="0" applyFont="1" applyFill="1" applyBorder="1" applyAlignment="1">
      <alignment horizontal="center" vertical="center" wrapText="1"/>
    </xf>
    <xf numFmtId="165" fontId="16" fillId="4" borderId="13" xfId="0" applyNumberFormat="1" applyFont="1" applyFill="1" applyBorder="1"/>
    <xf numFmtId="0" fontId="17" fillId="3" borderId="18" xfId="0" applyFont="1" applyFill="1" applyBorder="1" applyAlignment="1">
      <alignment horizontal="center" vertical="center" wrapText="1"/>
    </xf>
    <xf numFmtId="0" fontId="16" fillId="2" borderId="1" xfId="0" applyFont="1" applyFill="1" applyBorder="1" applyAlignment="1"/>
    <xf numFmtId="0" fontId="16" fillId="0" borderId="1" xfId="0" applyFont="1" applyBorder="1" applyAlignment="1"/>
    <xf numFmtId="0" fontId="16" fillId="0" borderId="1" xfId="0" applyFont="1" applyBorder="1" applyAlignment="1">
      <alignment wrapText="1"/>
    </xf>
    <xf numFmtId="0" fontId="16" fillId="0" borderId="1" xfId="0" applyFont="1" applyBorder="1" applyAlignment="1">
      <alignment vertical="center" wrapText="1"/>
    </xf>
    <xf numFmtId="0" fontId="0" fillId="0" borderId="7" xfId="0" applyBorder="1" applyAlignment="1">
      <alignment wrapText="1"/>
    </xf>
    <xf numFmtId="0" fontId="2" fillId="4" borderId="1" xfId="0" applyFont="1" applyFill="1" applyBorder="1" applyAlignment="1">
      <alignment wrapText="1"/>
    </xf>
    <xf numFmtId="44" fontId="11" fillId="4" borderId="1" xfId="1" applyFont="1" applyFill="1" applyBorder="1"/>
    <xf numFmtId="44" fontId="6" fillId="5" borderId="11" xfId="0" applyNumberFormat="1" applyFont="1" applyFill="1" applyBorder="1"/>
    <xf numFmtId="0" fontId="6" fillId="3" borderId="12" xfId="0" applyFont="1" applyFill="1" applyBorder="1"/>
    <xf numFmtId="0" fontId="6" fillId="3" borderId="15" xfId="0" applyFont="1" applyFill="1" applyBorder="1"/>
    <xf numFmtId="0" fontId="6" fillId="3" borderId="0" xfId="0" applyFont="1" applyFill="1" applyBorder="1"/>
    <xf numFmtId="0" fontId="6" fillId="3" borderId="17" xfId="0" applyFont="1" applyFill="1" applyBorder="1"/>
    <xf numFmtId="0" fontId="16" fillId="0" borderId="1" xfId="0" applyFont="1" applyBorder="1"/>
    <xf numFmtId="0" fontId="16" fillId="0" borderId="1" xfId="0" applyFont="1" applyBorder="1" applyAlignment="1">
      <alignment horizontal="center"/>
    </xf>
    <xf numFmtId="44" fontId="22" fillId="0" borderId="1" xfId="1" applyNumberFormat="1" applyFont="1" applyBorder="1"/>
    <xf numFmtId="44" fontId="22" fillId="2" borderId="1" xfId="1" applyNumberFormat="1" applyFont="1" applyFill="1" applyBorder="1"/>
    <xf numFmtId="165" fontId="22" fillId="2" borderId="1" xfId="1" applyNumberFormat="1" applyFont="1" applyFill="1" applyBorder="1"/>
    <xf numFmtId="165" fontId="16" fillId="0" borderId="1" xfId="0" applyNumberFormat="1" applyFont="1" applyBorder="1"/>
    <xf numFmtId="44" fontId="16" fillId="0" borderId="1" xfId="1" applyFont="1" applyBorder="1"/>
    <xf numFmtId="165" fontId="16" fillId="0" borderId="1" xfId="1" applyNumberFormat="1" applyFont="1" applyBorder="1"/>
    <xf numFmtId="44" fontId="16" fillId="0" borderId="6" xfId="1" applyFont="1" applyBorder="1"/>
    <xf numFmtId="44" fontId="22" fillId="0" borderId="27" xfId="1" applyFont="1" applyBorder="1"/>
    <xf numFmtId="44" fontId="22" fillId="0" borderId="6" xfId="1" applyFont="1" applyBorder="1"/>
    <xf numFmtId="44" fontId="22" fillId="0" borderId="31" xfId="1" applyFont="1" applyBorder="1"/>
    <xf numFmtId="165" fontId="23" fillId="2" borderId="1" xfId="1" applyNumberFormat="1" applyFont="1" applyFill="1" applyBorder="1"/>
    <xf numFmtId="165" fontId="23" fillId="0" borderId="1" xfId="0" applyNumberFormat="1" applyFont="1" applyBorder="1"/>
    <xf numFmtId="44" fontId="23" fillId="0" borderId="6" xfId="1" applyFont="1" applyBorder="1"/>
    <xf numFmtId="0" fontId="16" fillId="2" borderId="1" xfId="0" applyFont="1" applyFill="1" applyBorder="1"/>
    <xf numFmtId="0" fontId="16" fillId="2" borderId="1" xfId="0" applyFont="1" applyFill="1" applyBorder="1" applyAlignment="1">
      <alignment wrapText="1"/>
    </xf>
    <xf numFmtId="2" fontId="16" fillId="2" borderId="1" xfId="0" applyNumberFormat="1" applyFont="1" applyFill="1" applyBorder="1" applyAlignment="1">
      <alignment horizontal="center"/>
    </xf>
    <xf numFmtId="0" fontId="16" fillId="0" borderId="7" xfId="0" applyFont="1" applyBorder="1"/>
    <xf numFmtId="0" fontId="16" fillId="0" borderId="23" xfId="0" applyFont="1" applyBorder="1"/>
    <xf numFmtId="0" fontId="16" fillId="2" borderId="2" xfId="0" applyFont="1" applyFill="1" applyBorder="1" applyAlignment="1"/>
    <xf numFmtId="0" fontId="16" fillId="2" borderId="2" xfId="0" applyFont="1" applyFill="1" applyBorder="1"/>
    <xf numFmtId="2" fontId="16" fillId="2" borderId="2" xfId="0" applyNumberFormat="1" applyFont="1" applyFill="1" applyBorder="1" applyAlignment="1">
      <alignment horizontal="center"/>
    </xf>
    <xf numFmtId="44" fontId="22" fillId="0" borderId="2" xfId="1" applyNumberFormat="1" applyFont="1" applyBorder="1"/>
    <xf numFmtId="44" fontId="22" fillId="2" borderId="2" xfId="1" applyNumberFormat="1" applyFont="1" applyFill="1" applyBorder="1"/>
    <xf numFmtId="165" fontId="22" fillId="2" borderId="2" xfId="1" applyNumberFormat="1" applyFont="1" applyFill="1" applyBorder="1"/>
    <xf numFmtId="165" fontId="16" fillId="0" borderId="2" xfId="0" applyNumberFormat="1" applyFont="1" applyBorder="1"/>
    <xf numFmtId="165" fontId="16" fillId="0" borderId="2" xfId="1" applyNumberFormat="1" applyFont="1" applyBorder="1"/>
    <xf numFmtId="44" fontId="16" fillId="0" borderId="26" xfId="1" applyFont="1" applyBorder="1"/>
    <xf numFmtId="0" fontId="16" fillId="0" borderId="2" xfId="0" applyFont="1" applyBorder="1" applyAlignment="1">
      <alignment wrapText="1"/>
    </xf>
    <xf numFmtId="0" fontId="16" fillId="2" borderId="18" xfId="0" applyFont="1" applyFill="1" applyBorder="1"/>
    <xf numFmtId="0" fontId="16" fillId="0" borderId="2" xfId="0" applyFont="1" applyBorder="1" applyAlignment="1"/>
    <xf numFmtId="0" fontId="16" fillId="0" borderId="2" xfId="0" applyFont="1" applyBorder="1"/>
    <xf numFmtId="44" fontId="22" fillId="0" borderId="28" xfId="1" applyFont="1" applyBorder="1"/>
    <xf numFmtId="44" fontId="22" fillId="0" borderId="30" xfId="1" applyFont="1" applyBorder="1"/>
    <xf numFmtId="44" fontId="22" fillId="0" borderId="32" xfId="1" applyFont="1" applyBorder="1"/>
    <xf numFmtId="0" fontId="16" fillId="10" borderId="21" xfId="0" applyFont="1" applyFill="1" applyBorder="1"/>
    <xf numFmtId="0" fontId="16" fillId="4" borderId="29" xfId="0" applyFont="1" applyFill="1" applyBorder="1"/>
    <xf numFmtId="0" fontId="16" fillId="4" borderId="13" xfId="0" applyFont="1" applyFill="1" applyBorder="1"/>
    <xf numFmtId="0" fontId="16" fillId="4" borderId="13" xfId="0" applyFont="1" applyFill="1" applyBorder="1" applyAlignment="1">
      <alignment horizontal="center"/>
    </xf>
    <xf numFmtId="44" fontId="16" fillId="4" borderId="21" xfId="0" applyNumberFormat="1" applyFont="1" applyFill="1" applyBorder="1"/>
    <xf numFmtId="0" fontId="2" fillId="3" borderId="10" xfId="0" applyFont="1" applyFill="1" applyBorder="1" applyAlignment="1">
      <alignment horizontal="left"/>
    </xf>
    <xf numFmtId="0" fontId="2" fillId="3" borderId="0" xfId="0" applyFont="1" applyFill="1" applyBorder="1" applyAlignment="1">
      <alignment vertical="center"/>
    </xf>
    <xf numFmtId="0" fontId="2" fillId="3" borderId="0" xfId="0" applyFont="1" applyFill="1" applyBorder="1" applyAlignment="1">
      <alignment wrapText="1"/>
    </xf>
    <xf numFmtId="0" fontId="6" fillId="7" borderId="9" xfId="0" applyFont="1" applyFill="1" applyBorder="1"/>
    <xf numFmtId="44" fontId="6" fillId="7" borderId="11" xfId="0" applyNumberFormat="1" applyFont="1" applyFill="1" applyBorder="1"/>
    <xf numFmtId="165" fontId="16" fillId="2" borderId="1" xfId="0" applyNumberFormat="1" applyFont="1" applyFill="1" applyBorder="1"/>
    <xf numFmtId="44" fontId="14" fillId="8" borderId="8" xfId="1" applyFont="1" applyFill="1" applyBorder="1" applyAlignment="1">
      <alignment vertical="center"/>
    </xf>
    <xf numFmtId="0" fontId="4" fillId="0" borderId="1" xfId="0" applyFont="1" applyBorder="1"/>
    <xf numFmtId="0" fontId="4" fillId="11" borderId="1" xfId="0" applyFont="1" applyFill="1" applyBorder="1"/>
    <xf numFmtId="8" fontId="11" fillId="4" borderId="21" xfId="1" applyNumberFormat="1" applyFont="1" applyFill="1" applyBorder="1"/>
    <xf numFmtId="44" fontId="24" fillId="4" borderId="3" xfId="1" applyFont="1" applyFill="1" applyBorder="1"/>
    <xf numFmtId="44" fontId="25" fillId="0" borderId="3" xfId="1" applyFont="1" applyBorder="1"/>
    <xf numFmtId="8" fontId="11" fillId="4" borderId="13" xfId="1" applyNumberFormat="1" applyFont="1" applyFill="1" applyBorder="1"/>
    <xf numFmtId="44" fontId="11" fillId="4" borderId="21" xfId="1" applyFont="1" applyFill="1" applyBorder="1"/>
    <xf numFmtId="44" fontId="25" fillId="4" borderId="3" xfId="1" applyFont="1" applyFill="1" applyBorder="1"/>
    <xf numFmtId="0" fontId="25" fillId="0" borderId="1" xfId="1" applyNumberFormat="1" applyFont="1" applyBorder="1" applyAlignment="1">
      <alignment horizontal="left"/>
    </xf>
    <xf numFmtId="44" fontId="25" fillId="2" borderId="1" xfId="1" applyFont="1" applyFill="1" applyBorder="1" applyAlignment="1"/>
    <xf numFmtId="44" fontId="25" fillId="0" borderId="1" xfId="1" applyFont="1" applyBorder="1"/>
    <xf numFmtId="44" fontId="11" fillId="4" borderId="13" xfId="1" applyFont="1" applyFill="1" applyBorder="1"/>
    <xf numFmtId="0" fontId="0" fillId="0" borderId="6" xfId="0" applyFont="1" applyBorder="1" applyAlignment="1">
      <alignment horizontal="left" vertical="center" wrapText="1"/>
    </xf>
    <xf numFmtId="44" fontId="4" fillId="2" borderId="6" xfId="1" applyFont="1" applyFill="1" applyBorder="1"/>
    <xf numFmtId="0" fontId="0" fillId="0" borderId="25" xfId="0" applyFont="1" applyBorder="1" applyAlignment="1">
      <alignment horizontal="left" vertical="center" wrapText="1"/>
    </xf>
    <xf numFmtId="0" fontId="25" fillId="2" borderId="1" xfId="1" applyNumberFormat="1" applyFont="1" applyFill="1" applyBorder="1" applyAlignment="1">
      <alignment horizontal="left"/>
    </xf>
    <xf numFmtId="44" fontId="25" fillId="2" borderId="1" xfId="1" applyFont="1" applyFill="1" applyBorder="1"/>
    <xf numFmtId="0" fontId="25" fillId="2" borderId="1" xfId="1" applyNumberFormat="1" applyFont="1" applyFill="1" applyBorder="1" applyAlignment="1"/>
    <xf numFmtId="0" fontId="25" fillId="2" borderId="2" xfId="1" applyNumberFormat="1" applyFont="1" applyFill="1" applyBorder="1" applyAlignment="1"/>
    <xf numFmtId="44" fontId="11" fillId="4" borderId="2" xfId="1" applyFont="1" applyFill="1" applyBorder="1"/>
    <xf numFmtId="44" fontId="25" fillId="2" borderId="3" xfId="1" applyFont="1" applyFill="1" applyBorder="1"/>
    <xf numFmtId="8" fontId="8" fillId="4" borderId="22" xfId="0" applyNumberFormat="1" applyFont="1" applyFill="1" applyBorder="1"/>
    <xf numFmtId="0" fontId="25" fillId="0" borderId="4" xfId="0" applyFont="1" applyBorder="1"/>
    <xf numFmtId="0" fontId="8" fillId="8" borderId="6" xfId="0" applyFont="1" applyFill="1" applyBorder="1"/>
    <xf numFmtId="44" fontId="11" fillId="8" borderId="13" xfId="1" applyFont="1" applyFill="1" applyBorder="1"/>
    <xf numFmtId="0" fontId="4" fillId="0" borderId="0" xfId="0" applyFont="1" applyBorder="1"/>
    <xf numFmtId="0" fontId="25" fillId="0" borderId="17" xfId="0" applyFont="1" applyBorder="1"/>
    <xf numFmtId="0" fontId="8" fillId="5" borderId="10" xfId="0" applyFont="1" applyFill="1" applyBorder="1"/>
    <xf numFmtId="44" fontId="11" fillId="5" borderId="11" xfId="0" applyNumberFormat="1" applyFont="1" applyFill="1" applyBorder="1"/>
    <xf numFmtId="0" fontId="4" fillId="0" borderId="0" xfId="0" applyFont="1"/>
    <xf numFmtId="0" fontId="4" fillId="5" borderId="12" xfId="0" applyFont="1" applyFill="1" applyBorder="1"/>
    <xf numFmtId="0" fontId="4" fillId="5" borderId="15" xfId="0" applyFont="1" applyFill="1" applyBorder="1"/>
    <xf numFmtId="44" fontId="0" fillId="0" borderId="0" xfId="1" applyFont="1" applyBorder="1"/>
    <xf numFmtId="165" fontId="22" fillId="2" borderId="6" xfId="1" applyNumberFormat="1" applyFont="1" applyFill="1" applyBorder="1"/>
    <xf numFmtId="0" fontId="3" fillId="0" borderId="1" xfId="0" applyFont="1" applyBorder="1" applyAlignment="1">
      <alignment vertical="center" wrapText="1"/>
    </xf>
    <xf numFmtId="44" fontId="10" fillId="6" borderId="0" xfId="0" applyNumberFormat="1" applyFont="1" applyFill="1"/>
    <xf numFmtId="44" fontId="4" fillId="2" borderId="1" xfId="1" applyFont="1" applyFill="1" applyBorder="1"/>
    <xf numFmtId="44" fontId="3" fillId="0" borderId="1" xfId="1" applyFont="1" applyBorder="1" applyAlignment="1">
      <alignment vertical="center" wrapText="1"/>
    </xf>
    <xf numFmtId="44" fontId="25" fillId="2" borderId="1" xfId="1" applyFont="1" applyFill="1" applyBorder="1" applyAlignment="1">
      <alignment wrapText="1"/>
    </xf>
    <xf numFmtId="8" fontId="21" fillId="11" borderId="1" xfId="0" applyNumberFormat="1" applyFont="1" applyFill="1" applyBorder="1"/>
    <xf numFmtId="0" fontId="25" fillId="2" borderId="1" xfId="0" applyFont="1" applyFill="1" applyBorder="1"/>
    <xf numFmtId="0" fontId="17" fillId="0" borderId="1" xfId="1" applyNumberFormat="1" applyFont="1" applyBorder="1"/>
    <xf numFmtId="8" fontId="4" fillId="2" borderId="1" xfId="0" applyNumberFormat="1" applyFont="1" applyFill="1" applyBorder="1"/>
    <xf numFmtId="8" fontId="4" fillId="2" borderId="6" xfId="0" applyNumberFormat="1" applyFont="1" applyFill="1" applyBorder="1"/>
    <xf numFmtId="44" fontId="4" fillId="2" borderId="1" xfId="1" applyFont="1" applyFill="1" applyBorder="1" applyAlignment="1"/>
    <xf numFmtId="0" fontId="6" fillId="0" borderId="1" xfId="0" applyFont="1" applyBorder="1" applyAlignment="1">
      <alignment horizontal="left" vertical="center" wrapText="1"/>
    </xf>
    <xf numFmtId="0" fontId="14" fillId="3" borderId="14" xfId="0" applyFont="1" applyFill="1" applyBorder="1" applyAlignment="1">
      <alignment horizontal="center" vertical="center"/>
    </xf>
    <xf numFmtId="0" fontId="14" fillId="3" borderId="16" xfId="0" applyFont="1" applyFill="1" applyBorder="1" applyAlignment="1">
      <alignment horizontal="center" vertical="center"/>
    </xf>
    <xf numFmtId="0" fontId="16" fillId="2" borderId="0" xfId="0" applyFont="1" applyFill="1" applyBorder="1"/>
    <xf numFmtId="0" fontId="16" fillId="10" borderId="29" xfId="0" applyFont="1" applyFill="1" applyBorder="1"/>
    <xf numFmtId="166" fontId="22" fillId="2" borderId="1" xfId="1" applyNumberFormat="1" applyFont="1" applyFill="1" applyBorder="1"/>
    <xf numFmtId="0" fontId="0" fillId="2" borderId="0" xfId="0" applyFill="1"/>
    <xf numFmtId="44" fontId="6" fillId="6" borderId="1" xfId="1" applyFont="1" applyFill="1" applyBorder="1"/>
    <xf numFmtId="166" fontId="0" fillId="0" borderId="0" xfId="0" applyNumberFormat="1"/>
    <xf numFmtId="167" fontId="0" fillId="0" borderId="0" xfId="0" applyNumberFormat="1"/>
    <xf numFmtId="165" fontId="22" fillId="0" borderId="1" xfId="1" applyNumberFormat="1" applyFont="1" applyBorder="1"/>
    <xf numFmtId="44" fontId="9" fillId="2" borderId="6" xfId="1" applyFont="1" applyFill="1" applyBorder="1"/>
    <xf numFmtId="0" fontId="15" fillId="2" borderId="1" xfId="1" applyNumberFormat="1" applyFont="1" applyFill="1" applyBorder="1" applyAlignment="1">
      <alignment horizontal="left"/>
    </xf>
    <xf numFmtId="44" fontId="4" fillId="9" borderId="1" xfId="1" applyFont="1" applyFill="1" applyBorder="1"/>
    <xf numFmtId="0" fontId="23" fillId="0" borderId="1" xfId="0" applyFont="1" applyBorder="1"/>
    <xf numFmtId="44" fontId="4" fillId="2" borderId="1" xfId="1" applyFont="1" applyFill="1" applyBorder="1" applyAlignment="1">
      <alignment wrapText="1"/>
    </xf>
    <xf numFmtId="166" fontId="0" fillId="3" borderId="0" xfId="1" applyNumberFormat="1" applyFont="1" applyFill="1" applyAlignment="1"/>
    <xf numFmtId="0" fontId="10" fillId="6" borderId="2" xfId="0" applyFont="1" applyFill="1" applyBorder="1"/>
    <xf numFmtId="44" fontId="0" fillId="0" borderId="2" xfId="1" applyFont="1" applyBorder="1"/>
    <xf numFmtId="0" fontId="0" fillId="0" borderId="0" xfId="0" applyBorder="1" applyAlignment="1">
      <alignment horizontal="left" vertical="center" wrapText="1"/>
    </xf>
    <xf numFmtId="0" fontId="2" fillId="12" borderId="9" xfId="0" applyFont="1" applyFill="1" applyBorder="1" applyAlignment="1">
      <alignment horizontal="left" vertical="center" wrapText="1"/>
    </xf>
    <xf numFmtId="44" fontId="2" fillId="12" borderId="11" xfId="1" applyFont="1" applyFill="1" applyBorder="1" applyAlignment="1">
      <alignment horizontal="left" vertical="center" wrapText="1"/>
    </xf>
    <xf numFmtId="166" fontId="16" fillId="4" borderId="13" xfId="0" applyNumberFormat="1" applyFont="1" applyFill="1" applyBorder="1"/>
    <xf numFmtId="0" fontId="0" fillId="0" borderId="6" xfId="0" applyFont="1" applyBorder="1" applyAlignment="1">
      <alignment horizontal="left" vertical="center" wrapText="1"/>
    </xf>
    <xf numFmtId="0" fontId="0" fillId="0" borderId="7" xfId="0" applyFont="1" applyBorder="1" applyAlignment="1">
      <alignment horizontal="left" vertical="center" wrapText="1"/>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0" borderId="33" xfId="0" applyBorder="1" applyAlignment="1">
      <alignment horizontal="left" vertical="center" wrapText="1"/>
    </xf>
    <xf numFmtId="0" fontId="0" fillId="0" borderId="29" xfId="0" applyBorder="1" applyAlignment="1">
      <alignment horizontal="left" vertical="center" wrapText="1"/>
    </xf>
    <xf numFmtId="0" fontId="2" fillId="9" borderId="0" xfId="0" applyFont="1" applyFill="1" applyAlignment="1">
      <alignment horizontal="center" vertical="center" wrapText="1"/>
    </xf>
    <xf numFmtId="0" fontId="10" fillId="6" borderId="0" xfId="0" applyFont="1" applyFill="1" applyAlignment="1">
      <alignment horizontal="center" vertical="center"/>
    </xf>
    <xf numFmtId="0" fontId="0" fillId="0" borderId="6" xfId="0" applyFont="1" applyBorder="1" applyAlignment="1">
      <alignment horizontal="left" wrapText="1"/>
    </xf>
    <xf numFmtId="0" fontId="0" fillId="0" borderId="25" xfId="0" applyFont="1" applyBorder="1" applyAlignment="1">
      <alignment horizontal="left" wrapText="1"/>
    </xf>
    <xf numFmtId="0" fontId="0" fillId="2" borderId="6" xfId="0" applyFont="1" applyFill="1" applyBorder="1" applyAlignment="1">
      <alignment horizontal="left" vertical="center" wrapText="1"/>
    </xf>
    <xf numFmtId="0" fontId="0" fillId="2" borderId="7" xfId="0" applyFont="1" applyFill="1" applyBorder="1" applyAlignment="1">
      <alignment horizontal="left" vertical="center" wrapText="1"/>
    </xf>
    <xf numFmtId="0" fontId="0" fillId="0" borderId="7" xfId="0" applyFont="1" applyBorder="1" applyAlignment="1">
      <alignment horizontal="left" wrapText="1"/>
    </xf>
    <xf numFmtId="0" fontId="18" fillId="7" borderId="0" xfId="0" applyFont="1" applyFill="1" applyAlignment="1">
      <alignment horizontal="center" vertical="center" wrapText="1"/>
    </xf>
    <xf numFmtId="0" fontId="19" fillId="9" borderId="0" xfId="0" applyFont="1" applyFill="1" applyAlignment="1">
      <alignment horizontal="center" vertical="center"/>
    </xf>
    <xf numFmtId="0" fontId="17" fillId="3" borderId="18" xfId="0" applyFont="1" applyFill="1" applyBorder="1" applyAlignment="1">
      <alignment horizontal="center" vertical="center" wrapText="1"/>
    </xf>
    <xf numFmtId="0" fontId="17" fillId="3" borderId="19" xfId="0" applyFont="1" applyFill="1" applyBorder="1" applyAlignment="1">
      <alignment horizontal="center" vertical="center" wrapText="1"/>
    </xf>
    <xf numFmtId="0" fontId="14" fillId="3" borderId="18" xfId="0" applyFont="1" applyFill="1" applyBorder="1" applyAlignment="1">
      <alignment horizontal="center" vertical="center"/>
    </xf>
    <xf numFmtId="0" fontId="14" fillId="3" borderId="20" xfId="0" applyFont="1" applyFill="1" applyBorder="1" applyAlignment="1">
      <alignment horizontal="center" vertical="center"/>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14" fillId="3" borderId="14" xfId="0" applyFont="1" applyFill="1" applyBorder="1" applyAlignment="1">
      <alignment horizontal="center" vertical="center"/>
    </xf>
    <xf numFmtId="0" fontId="14" fillId="3" borderId="16" xfId="0" applyFont="1" applyFill="1" applyBorder="1" applyAlignment="1">
      <alignment horizontal="center" vertical="center"/>
    </xf>
    <xf numFmtId="0" fontId="14" fillId="3" borderId="19" xfId="0" applyFont="1" applyFill="1" applyBorder="1" applyAlignment="1">
      <alignment horizontal="center" vertical="center"/>
    </xf>
    <xf numFmtId="0" fontId="0" fillId="3" borderId="0" xfId="0" applyFont="1" applyFill="1" applyAlignment="1">
      <alignment horizontal="left"/>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7" fillId="3" borderId="14" xfId="0" applyFont="1" applyFill="1" applyBorder="1" applyAlignment="1">
      <alignment horizontal="center" vertical="center" wrapText="1"/>
    </xf>
    <xf numFmtId="0" fontId="17" fillId="3" borderId="16" xfId="0" applyFont="1" applyFill="1" applyBorder="1" applyAlignment="1">
      <alignment horizontal="center" vertical="center" wrapText="1"/>
    </xf>
    <xf numFmtId="0" fontId="16" fillId="3" borderId="18" xfId="0" applyFont="1" applyFill="1" applyBorder="1" applyAlignment="1">
      <alignment horizontal="center" vertical="center" wrapText="1"/>
    </xf>
    <xf numFmtId="0" fontId="16" fillId="3" borderId="20"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14" fillId="3" borderId="14" xfId="0" applyFont="1" applyFill="1" applyBorder="1" applyAlignment="1">
      <alignment horizontal="center" vertical="center" wrapText="1"/>
    </xf>
    <xf numFmtId="0" fontId="14" fillId="3" borderId="24" xfId="0" applyFont="1" applyFill="1" applyBorder="1" applyAlignment="1">
      <alignment horizontal="center" vertical="center" wrapText="1"/>
    </xf>
  </cellXfs>
  <cellStyles count="4">
    <cellStyle name="Millares" xfId="3" builtinId="3"/>
    <cellStyle name="Moneda" xfId="1" builtinId="4"/>
    <cellStyle name="Moneda 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104775</xdr:rowOff>
    </xdr:from>
    <xdr:to>
      <xdr:col>0</xdr:col>
      <xdr:colOff>2228850</xdr:colOff>
      <xdr:row>3</xdr:row>
      <xdr:rowOff>361950</xdr:rowOff>
    </xdr:to>
    <xdr:pic>
      <xdr:nvPicPr>
        <xdr:cNvPr id="4" name="1 Imagen" descr="C:\Users\Particular\Desktop\NATI\CONSORCIOS RC\WhatsApp Image 2020-12-10 at 14.53.20.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04775"/>
          <a:ext cx="2162175" cy="838200"/>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1"/>
  <sheetViews>
    <sheetView topLeftCell="A98" workbookViewId="0">
      <selection activeCell="B98" sqref="B98"/>
    </sheetView>
  </sheetViews>
  <sheetFormatPr baseColWidth="10" defaultRowHeight="15" x14ac:dyDescent="0.25"/>
  <cols>
    <col min="1" max="1" width="37.5703125" customWidth="1"/>
    <col min="2" max="2" width="24.7109375" customWidth="1"/>
    <col min="3" max="3" width="15.85546875" hidden="1" customWidth="1"/>
    <col min="4" max="4" width="21.7109375" customWidth="1"/>
    <col min="5" max="5" width="14.7109375" customWidth="1"/>
    <col min="6" max="6" width="13" bestFit="1" customWidth="1"/>
    <col min="7" max="7" width="13.140625" bestFit="1" customWidth="1"/>
    <col min="11" max="11" width="18" customWidth="1"/>
    <col min="12" max="12" width="18.28515625" customWidth="1"/>
  </cols>
  <sheetData>
    <row r="1" spans="1:5" ht="15.75" thickBot="1" x14ac:dyDescent="0.3">
      <c r="A1" s="8"/>
      <c r="B1" s="37"/>
      <c r="C1" s="8"/>
      <c r="D1" s="8"/>
      <c r="E1" s="8"/>
    </row>
    <row r="2" spans="1:5" x14ac:dyDescent="0.25">
      <c r="A2" s="18"/>
      <c r="B2" s="94" t="s">
        <v>120</v>
      </c>
      <c r="C2" s="94"/>
      <c r="D2" s="94"/>
      <c r="E2" s="95"/>
    </row>
    <row r="3" spans="1:5" x14ac:dyDescent="0.25">
      <c r="A3" s="19"/>
      <c r="B3" s="96" t="s">
        <v>51</v>
      </c>
      <c r="C3" s="96"/>
      <c r="D3" s="96"/>
      <c r="E3" s="97"/>
    </row>
    <row r="4" spans="1:5" ht="32.25" customHeight="1" thickBot="1" x14ac:dyDescent="0.3">
      <c r="A4" s="19"/>
      <c r="B4" s="141" t="s">
        <v>118</v>
      </c>
      <c r="C4" s="96"/>
      <c r="D4" s="140" t="s">
        <v>48</v>
      </c>
      <c r="E4" s="97"/>
    </row>
    <row r="5" spans="1:5" ht="15.75" thickBot="1" x14ac:dyDescent="0.3">
      <c r="A5" s="22" t="s">
        <v>0</v>
      </c>
      <c r="B5" s="139" t="s">
        <v>65</v>
      </c>
      <c r="C5" s="23"/>
      <c r="D5" s="23"/>
      <c r="E5" s="24"/>
    </row>
    <row r="6" spans="1:5" ht="15.75" thickBot="1" x14ac:dyDescent="0.3">
      <c r="A6" s="19" t="s">
        <v>72</v>
      </c>
      <c r="B6" s="23" t="s">
        <v>178</v>
      </c>
      <c r="C6" s="20"/>
      <c r="D6" s="96" t="s">
        <v>52</v>
      </c>
      <c r="E6" s="21"/>
    </row>
    <row r="7" spans="1:5" ht="15.75" thickBot="1" x14ac:dyDescent="0.3">
      <c r="A7" s="22" t="s">
        <v>73</v>
      </c>
      <c r="B7" s="23"/>
      <c r="C7" s="23"/>
      <c r="D7" s="23" t="s">
        <v>53</v>
      </c>
      <c r="E7" s="24"/>
    </row>
    <row r="9" spans="1:5" x14ac:dyDescent="0.25">
      <c r="B9" s="230" t="s">
        <v>196</v>
      </c>
      <c r="C9" s="230"/>
    </row>
    <row r="10" spans="1:5" x14ac:dyDescent="0.25">
      <c r="B10" s="230"/>
      <c r="C10" s="230"/>
    </row>
    <row r="11" spans="1:5" x14ac:dyDescent="0.25">
      <c r="B11" s="230"/>
      <c r="C11" s="230"/>
    </row>
    <row r="13" spans="1:5" hidden="1" x14ac:dyDescent="0.25"/>
    <row r="14" spans="1:5" ht="15" customHeight="1" x14ac:dyDescent="0.25">
      <c r="A14" s="229" t="s">
        <v>71</v>
      </c>
      <c r="B14" s="229"/>
      <c r="C14" s="229"/>
      <c r="D14" s="229"/>
      <c r="E14" s="229"/>
    </row>
    <row r="15" spans="1:5" ht="15" customHeight="1" x14ac:dyDescent="0.25">
      <c r="A15" s="229"/>
      <c r="B15" s="229"/>
      <c r="C15" s="229"/>
      <c r="D15" s="229"/>
      <c r="E15" s="229"/>
    </row>
    <row r="16" spans="1:5" ht="15" customHeight="1" x14ac:dyDescent="0.25">
      <c r="A16" s="229"/>
      <c r="B16" s="229"/>
      <c r="C16" s="229"/>
      <c r="D16" s="229"/>
      <c r="E16" s="229"/>
    </row>
    <row r="17" spans="1:7" ht="53.25" customHeight="1" x14ac:dyDescent="0.25">
      <c r="A17" s="229"/>
      <c r="B17" s="229"/>
      <c r="C17" s="229"/>
      <c r="D17" s="229"/>
      <c r="E17" s="229"/>
    </row>
    <row r="18" spans="1:7" ht="14.25" customHeight="1" thickBot="1" x14ac:dyDescent="0.3"/>
    <row r="19" spans="1:7" hidden="1" x14ac:dyDescent="0.25">
      <c r="A19" s="4"/>
    </row>
    <row r="20" spans="1:7" ht="15.75" hidden="1" thickBot="1" x14ac:dyDescent="0.3"/>
    <row r="21" spans="1:7" x14ac:dyDescent="0.25">
      <c r="A21" s="14" t="s">
        <v>27</v>
      </c>
      <c r="B21" s="15"/>
      <c r="C21" s="16"/>
      <c r="D21" s="12"/>
      <c r="E21" s="17"/>
    </row>
    <row r="22" spans="1:7" x14ac:dyDescent="0.25">
      <c r="A22" s="44" t="s">
        <v>58</v>
      </c>
      <c r="B22" s="44"/>
      <c r="C22" s="44"/>
      <c r="D22" s="42"/>
      <c r="E22" s="42"/>
    </row>
    <row r="23" spans="1:7" ht="12.75" customHeight="1" x14ac:dyDescent="0.25">
      <c r="A23" s="52" t="s">
        <v>164</v>
      </c>
      <c r="B23" s="7"/>
      <c r="C23" s="7"/>
      <c r="D23" s="188">
        <v>1158217</v>
      </c>
      <c r="E23" s="146"/>
    </row>
    <row r="24" spans="1:7" s="11" customFormat="1" hidden="1" x14ac:dyDescent="0.25">
      <c r="A24" s="52"/>
      <c r="B24" s="7"/>
      <c r="C24" s="7"/>
      <c r="D24" s="188"/>
      <c r="E24" s="146"/>
    </row>
    <row r="25" spans="1:7" s="11" customFormat="1" hidden="1" x14ac:dyDescent="0.25">
      <c r="A25" s="52"/>
      <c r="B25" s="7"/>
      <c r="C25" s="7"/>
      <c r="D25" s="188"/>
      <c r="E25" s="146"/>
    </row>
    <row r="26" spans="1:7" hidden="1" x14ac:dyDescent="0.25">
      <c r="A26" s="52" t="s">
        <v>59</v>
      </c>
      <c r="B26" s="7"/>
      <c r="C26" s="7"/>
      <c r="D26" s="188">
        <v>0</v>
      </c>
      <c r="E26" s="146"/>
    </row>
    <row r="27" spans="1:7" s="11" customFormat="1" hidden="1" x14ac:dyDescent="0.25">
      <c r="A27" s="52"/>
      <c r="B27" s="7"/>
      <c r="C27" s="7"/>
      <c r="D27" s="188"/>
      <c r="E27" s="146"/>
      <c r="G27" s="25"/>
    </row>
    <row r="28" spans="1:7" s="11" customFormat="1" x14ac:dyDescent="0.25">
      <c r="A28" s="77" t="s">
        <v>60</v>
      </c>
      <c r="B28" s="77"/>
      <c r="C28" s="77"/>
      <c r="D28" s="185">
        <f>SUM(D23:D27)</f>
        <v>1158217</v>
      </c>
      <c r="E28" s="147"/>
      <c r="G28" s="25">
        <f>D28+D37</f>
        <v>2218075</v>
      </c>
    </row>
    <row r="29" spans="1:7" ht="14.25" customHeight="1" x14ac:dyDescent="0.25">
      <c r="A29" s="52" t="s">
        <v>165</v>
      </c>
      <c r="B29" s="52"/>
      <c r="C29" s="7"/>
      <c r="D29" s="188">
        <v>1059858</v>
      </c>
      <c r="E29" s="146"/>
    </row>
    <row r="30" spans="1:7" s="11" customFormat="1" hidden="1" x14ac:dyDescent="0.25">
      <c r="A30" s="33"/>
      <c r="B30" s="7"/>
      <c r="C30" s="7"/>
      <c r="D30" s="188"/>
      <c r="E30" s="146"/>
    </row>
    <row r="31" spans="1:7" hidden="1" x14ac:dyDescent="0.25">
      <c r="A31" s="7"/>
      <c r="B31" s="7"/>
      <c r="C31" s="7"/>
      <c r="D31" s="188"/>
      <c r="E31" s="146"/>
    </row>
    <row r="32" spans="1:7" s="11" customFormat="1" hidden="1" x14ac:dyDescent="0.25">
      <c r="A32" s="7"/>
      <c r="B32" s="7"/>
      <c r="C32" s="7"/>
      <c r="D32" s="189"/>
      <c r="E32" s="146"/>
    </row>
    <row r="33" spans="1:7" ht="0.75" hidden="1" customHeight="1" x14ac:dyDescent="0.25">
      <c r="A33" s="7" t="s">
        <v>67</v>
      </c>
      <c r="B33" s="7"/>
      <c r="C33" s="7"/>
      <c r="D33" s="189"/>
      <c r="E33" s="146"/>
    </row>
    <row r="34" spans="1:7" s="11" customFormat="1" hidden="1" x14ac:dyDescent="0.25">
      <c r="A34" s="7" t="s">
        <v>66</v>
      </c>
      <c r="B34" s="7"/>
      <c r="C34" s="7"/>
      <c r="D34" s="189"/>
      <c r="E34" s="146"/>
    </row>
    <row r="35" spans="1:7" s="11" customFormat="1" hidden="1" x14ac:dyDescent="0.25">
      <c r="A35" s="7" t="s">
        <v>61</v>
      </c>
      <c r="B35" s="7"/>
      <c r="C35" s="7"/>
      <c r="D35" s="189">
        <v>0</v>
      </c>
      <c r="E35" s="146"/>
    </row>
    <row r="36" spans="1:7" s="11" customFormat="1" hidden="1" x14ac:dyDescent="0.25">
      <c r="A36" s="52"/>
      <c r="B36" s="7"/>
      <c r="C36" s="7"/>
      <c r="D36" s="189"/>
      <c r="E36" s="146"/>
    </row>
    <row r="37" spans="1:7" s="11" customFormat="1" x14ac:dyDescent="0.25">
      <c r="A37" s="77" t="s">
        <v>60</v>
      </c>
      <c r="B37" s="77"/>
      <c r="C37" s="77"/>
      <c r="D37" s="78">
        <f>SUM(D29:D36)</f>
        <v>1059858</v>
      </c>
      <c r="E37" s="147"/>
    </row>
    <row r="38" spans="1:7" ht="15.75" thickBot="1" x14ac:dyDescent="0.3">
      <c r="A38" s="34" t="s">
        <v>1</v>
      </c>
      <c r="B38" s="34"/>
      <c r="C38" s="34"/>
      <c r="D38" s="36"/>
      <c r="E38" s="148">
        <f>D28+D37</f>
        <v>2218075</v>
      </c>
      <c r="F38" s="25"/>
    </row>
    <row r="39" spans="1:7" s="2" customFormat="1" x14ac:dyDescent="0.25">
      <c r="A39" s="44" t="s">
        <v>40</v>
      </c>
      <c r="B39" s="44"/>
      <c r="C39" s="44"/>
      <c r="D39" s="45"/>
      <c r="E39" s="149"/>
    </row>
    <row r="40" spans="1:7" s="11" customFormat="1" ht="48.75" customHeight="1" x14ac:dyDescent="0.25">
      <c r="A40" s="214" t="s">
        <v>184</v>
      </c>
      <c r="B40" s="215"/>
      <c r="C40" s="7"/>
      <c r="D40" s="188"/>
      <c r="E40" s="150"/>
    </row>
    <row r="41" spans="1:7" s="11" customFormat="1" ht="57" customHeight="1" thickBot="1" x14ac:dyDescent="0.3">
      <c r="A41" s="214" t="s">
        <v>185</v>
      </c>
      <c r="B41" s="215"/>
      <c r="C41" s="7"/>
      <c r="D41" s="188">
        <v>230000</v>
      </c>
      <c r="E41" s="150"/>
    </row>
    <row r="42" spans="1:7" s="2" customFormat="1" ht="15.75" thickBot="1" x14ac:dyDescent="0.3">
      <c r="A42" s="34" t="s">
        <v>34</v>
      </c>
      <c r="B42" s="34"/>
      <c r="C42" s="34"/>
      <c r="D42" s="49"/>
      <c r="E42" s="151">
        <f>SUM(D40:D41)</f>
        <v>230000</v>
      </c>
    </row>
    <row r="43" spans="1:7" x14ac:dyDescent="0.25">
      <c r="A43" s="42" t="s">
        <v>55</v>
      </c>
      <c r="B43" s="43"/>
      <c r="C43" s="43"/>
      <c r="D43" s="46"/>
      <c r="E43" s="92"/>
    </row>
    <row r="44" spans="1:7" s="54" customFormat="1" ht="14.25" customHeight="1" x14ac:dyDescent="0.25">
      <c r="A44" s="214" t="s">
        <v>173</v>
      </c>
      <c r="B44" s="215"/>
      <c r="C44" s="71"/>
      <c r="D44" s="206">
        <v>120974</v>
      </c>
      <c r="E44" s="184" t="s">
        <v>197</v>
      </c>
    </row>
    <row r="45" spans="1:7" ht="14.25" customHeight="1" x14ac:dyDescent="0.25">
      <c r="A45" s="214"/>
      <c r="B45" s="215"/>
      <c r="C45" s="71"/>
      <c r="D45" s="190"/>
      <c r="E45" s="184"/>
    </row>
    <row r="46" spans="1:7" ht="15.75" thickBot="1" x14ac:dyDescent="0.3">
      <c r="A46" s="34" t="s">
        <v>2</v>
      </c>
      <c r="B46" s="34"/>
      <c r="C46" s="34"/>
      <c r="D46" s="49"/>
      <c r="E46" s="152">
        <f>SUM(D44:D45)</f>
        <v>120974</v>
      </c>
    </row>
    <row r="47" spans="1:7" s="2" customFormat="1" x14ac:dyDescent="0.25">
      <c r="A47" s="44" t="s">
        <v>35</v>
      </c>
      <c r="B47" s="35"/>
      <c r="C47" s="35"/>
      <c r="D47" s="50"/>
      <c r="E47" s="153"/>
    </row>
    <row r="48" spans="1:7" x14ac:dyDescent="0.25">
      <c r="A48" s="52" t="s">
        <v>191</v>
      </c>
      <c r="B48" s="7"/>
      <c r="C48" s="69"/>
      <c r="D48" s="48">
        <v>2255205.48</v>
      </c>
      <c r="E48" s="186" t="s">
        <v>183</v>
      </c>
      <c r="G48" s="197"/>
    </row>
    <row r="49" spans="1:7" s="11" customFormat="1" x14ac:dyDescent="0.25">
      <c r="A49" s="52" t="s">
        <v>192</v>
      </c>
      <c r="B49" s="7"/>
      <c r="C49" s="69"/>
      <c r="D49" s="48">
        <v>66437.69</v>
      </c>
      <c r="E49" s="186" t="s">
        <v>183</v>
      </c>
      <c r="G49" s="197"/>
    </row>
    <row r="50" spans="1:7" s="11" customFormat="1" x14ac:dyDescent="0.25">
      <c r="A50" s="52" t="s">
        <v>179</v>
      </c>
      <c r="B50" s="7" t="s">
        <v>39</v>
      </c>
      <c r="C50" s="7"/>
      <c r="D50" s="182">
        <v>328236.93</v>
      </c>
      <c r="E50" s="163" t="s">
        <v>190</v>
      </c>
    </row>
    <row r="51" spans="1:7" x14ac:dyDescent="0.25">
      <c r="A51" s="52" t="str">
        <f>A50</f>
        <v>Sindicatos mes de ENERO</v>
      </c>
      <c r="B51" s="7" t="s">
        <v>69</v>
      </c>
      <c r="C51" s="7"/>
      <c r="D51" s="182">
        <v>209289.75</v>
      </c>
      <c r="E51" s="163" t="str">
        <f>E50</f>
        <v>Debito 20/01</v>
      </c>
    </row>
    <row r="52" spans="1:7" x14ac:dyDescent="0.25">
      <c r="A52" s="52" t="str">
        <f>A51</f>
        <v>Sindicatos mes de ENERO</v>
      </c>
      <c r="B52" s="7" t="s">
        <v>38</v>
      </c>
      <c r="C52" s="7"/>
      <c r="D52" s="182">
        <v>23254.21</v>
      </c>
      <c r="E52" s="164" t="str">
        <f>E51</f>
        <v>Debito 20/01</v>
      </c>
    </row>
    <row r="53" spans="1:7" ht="15" customHeight="1" thickBot="1" x14ac:dyDescent="0.3">
      <c r="A53" s="34" t="s">
        <v>3</v>
      </c>
      <c r="B53" s="35"/>
      <c r="C53" s="35"/>
      <c r="D53" s="51"/>
      <c r="E53" s="152">
        <f>SUM(D48:D52)</f>
        <v>2882424.06</v>
      </c>
    </row>
    <row r="54" spans="1:7" s="2" customFormat="1" x14ac:dyDescent="0.25">
      <c r="A54" s="44" t="s">
        <v>37</v>
      </c>
      <c r="B54" s="35"/>
      <c r="C54" s="35"/>
      <c r="D54" s="50"/>
      <c r="E54" s="153"/>
    </row>
    <row r="55" spans="1:7" s="11" customFormat="1" ht="14.25" customHeight="1" x14ac:dyDescent="0.25">
      <c r="A55" s="7" t="s">
        <v>166</v>
      </c>
      <c r="B55" s="7"/>
      <c r="C55" s="7"/>
      <c r="D55" s="182">
        <v>835158.74</v>
      </c>
      <c r="E55" s="161" t="s">
        <v>180</v>
      </c>
    </row>
    <row r="56" spans="1:7" s="11" customFormat="1" ht="14.25" customHeight="1" x14ac:dyDescent="0.25">
      <c r="A56" s="7" t="s">
        <v>167</v>
      </c>
      <c r="B56" s="7"/>
      <c r="C56" s="7"/>
      <c r="D56" s="182">
        <v>1120.25</v>
      </c>
      <c r="E56" s="161" t="str">
        <f>E55</f>
        <v>PMC 13/01</v>
      </c>
    </row>
    <row r="57" spans="1:7" x14ac:dyDescent="0.25">
      <c r="A57" s="7" t="s">
        <v>168</v>
      </c>
      <c r="B57" s="7"/>
      <c r="C57" s="7"/>
      <c r="D57" s="182">
        <v>13712.85</v>
      </c>
      <c r="E57" s="161" t="str">
        <f>E56</f>
        <v>PMC 13/01</v>
      </c>
    </row>
    <row r="58" spans="1:7" s="11" customFormat="1" x14ac:dyDescent="0.25">
      <c r="A58" s="7" t="s">
        <v>169</v>
      </c>
      <c r="B58" s="7"/>
      <c r="C58" s="7"/>
      <c r="D58" s="182">
        <v>6514.33</v>
      </c>
      <c r="E58" s="161" t="str">
        <f>E57</f>
        <v>PMC 13/01</v>
      </c>
    </row>
    <row r="59" spans="1:7" x14ac:dyDescent="0.25">
      <c r="A59" s="7" t="s">
        <v>170</v>
      </c>
      <c r="B59" s="7"/>
      <c r="C59" s="7"/>
      <c r="D59" s="182">
        <v>5186.1400000000003</v>
      </c>
      <c r="E59" s="161" t="s">
        <v>181</v>
      </c>
    </row>
    <row r="60" spans="1:7" x14ac:dyDescent="0.25">
      <c r="A60" s="7" t="s">
        <v>171</v>
      </c>
      <c r="B60" s="7" t="s">
        <v>194</v>
      </c>
      <c r="C60" s="7"/>
      <c r="D60" s="182"/>
      <c r="E60" s="203"/>
    </row>
    <row r="61" spans="1:7" s="11" customFormat="1" x14ac:dyDescent="0.25">
      <c r="A61" s="52" t="s">
        <v>172</v>
      </c>
      <c r="B61" s="52"/>
      <c r="C61" s="7"/>
      <c r="D61" s="182">
        <v>13674.01</v>
      </c>
      <c r="E61" s="161" t="s">
        <v>174</v>
      </c>
    </row>
    <row r="62" spans="1:7" s="11" customFormat="1" x14ac:dyDescent="0.25">
      <c r="A62" s="214" t="s">
        <v>176</v>
      </c>
      <c r="B62" s="215"/>
      <c r="C62" s="7"/>
      <c r="D62" s="182">
        <v>1947353.82</v>
      </c>
      <c r="E62" s="155" t="s">
        <v>182</v>
      </c>
    </row>
    <row r="63" spans="1:7" s="11" customFormat="1" ht="32.25" customHeight="1" x14ac:dyDescent="0.25">
      <c r="A63" s="214" t="s">
        <v>188</v>
      </c>
      <c r="B63" s="215"/>
      <c r="C63" s="72"/>
      <c r="D63" s="182">
        <v>900000</v>
      </c>
      <c r="E63" s="155" t="s">
        <v>189</v>
      </c>
    </row>
    <row r="64" spans="1:7" ht="15.75" thickBot="1" x14ac:dyDescent="0.3">
      <c r="A64" s="34" t="s">
        <v>4</v>
      </c>
      <c r="B64" s="34"/>
      <c r="C64" s="34"/>
      <c r="D64" s="49"/>
      <c r="E64" s="152">
        <f>SUM(D55:D63)</f>
        <v>3722720.14</v>
      </c>
    </row>
    <row r="65" spans="1:10" ht="15" customHeight="1" thickBot="1" x14ac:dyDescent="0.3">
      <c r="A65" s="44" t="s">
        <v>36</v>
      </c>
      <c r="B65" s="34"/>
      <c r="C65" s="34"/>
      <c r="D65" s="49"/>
      <c r="E65" s="157"/>
    </row>
    <row r="66" spans="1:10" s="2" customFormat="1" hidden="1" x14ac:dyDescent="0.25">
      <c r="A66" s="224"/>
      <c r="B66" s="225"/>
      <c r="C66" s="90"/>
      <c r="D66" s="204"/>
      <c r="E66" s="162"/>
    </row>
    <row r="67" spans="1:10" s="11" customFormat="1" ht="29.25" customHeight="1" x14ac:dyDescent="0.25">
      <c r="A67" s="224" t="s">
        <v>187</v>
      </c>
      <c r="B67" s="228"/>
      <c r="C67" s="73"/>
      <c r="D67" s="182">
        <v>55000</v>
      </c>
      <c r="E67" s="162"/>
    </row>
    <row r="68" spans="1:10" ht="0.75" customHeight="1" x14ac:dyDescent="0.25">
      <c r="A68" s="52"/>
      <c r="B68" s="7"/>
      <c r="C68" s="7"/>
      <c r="D68" s="182"/>
      <c r="E68" s="187"/>
    </row>
    <row r="69" spans="1:10" ht="32.25" customHeight="1" x14ac:dyDescent="0.25">
      <c r="A69" s="214" t="s">
        <v>210</v>
      </c>
      <c r="B69" s="215"/>
      <c r="C69" s="7"/>
      <c r="D69" s="182">
        <v>18000</v>
      </c>
      <c r="E69" s="187"/>
    </row>
    <row r="70" spans="1:10" ht="15" customHeight="1" x14ac:dyDescent="0.25">
      <c r="A70" s="214" t="s">
        <v>209</v>
      </c>
      <c r="B70" s="215"/>
      <c r="C70" s="7"/>
      <c r="D70" s="159">
        <v>29980</v>
      </c>
      <c r="E70" s="156"/>
      <c r="H70" t="s">
        <v>206</v>
      </c>
      <c r="I70" s="214" t="s">
        <v>186</v>
      </c>
      <c r="J70" s="215"/>
    </row>
    <row r="71" spans="1:10" s="11" customFormat="1" ht="15.75" thickBot="1" x14ac:dyDescent="0.3">
      <c r="A71" s="34" t="s">
        <v>12</v>
      </c>
      <c r="B71" s="44"/>
      <c r="C71" s="44"/>
      <c r="D71" s="42"/>
      <c r="E71" s="165">
        <f>SUM(D66:D70)</f>
        <v>102980</v>
      </c>
    </row>
    <row r="72" spans="1:10" s="11" customFormat="1" ht="15.75" thickBot="1" x14ac:dyDescent="0.3">
      <c r="A72" s="44" t="s">
        <v>30</v>
      </c>
      <c r="B72" s="91"/>
      <c r="C72" s="34"/>
      <c r="D72" s="36"/>
      <c r="E72" s="157"/>
    </row>
    <row r="73" spans="1:10" s="11" customFormat="1" x14ac:dyDescent="0.25">
      <c r="A73" s="7" t="s">
        <v>30</v>
      </c>
      <c r="B73" s="7"/>
      <c r="C73" s="7"/>
      <c r="D73" s="182">
        <f>612.68+3455.33+10361.01+11715.24+2269.38+13929.86+4860+82.04+159.39+5284.68+1220.91+3000+33.53+330+57.3+1582.35+6000+856.31+5985.52+2866.33+739.74+7350.17+401.9+1914+11507.67+8070.53</f>
        <v>104645.87000000001</v>
      </c>
      <c r="E73" s="166"/>
    </row>
    <row r="74" spans="1:10" s="11" customFormat="1" x14ac:dyDescent="0.25">
      <c r="A74" s="52"/>
      <c r="B74" s="7"/>
      <c r="C74" s="7"/>
      <c r="D74" s="182"/>
      <c r="E74" s="162"/>
    </row>
    <row r="75" spans="1:10" ht="15.75" thickBot="1" x14ac:dyDescent="0.3">
      <c r="A75" s="68" t="s">
        <v>34</v>
      </c>
      <c r="B75" s="68"/>
      <c r="C75" s="68"/>
      <c r="D75" s="167"/>
      <c r="E75" s="152">
        <f>SUM(D73:D74)</f>
        <v>104645.87000000001</v>
      </c>
    </row>
    <row r="76" spans="1:10" ht="15.75" thickBot="1" x14ac:dyDescent="0.3">
      <c r="A76" s="7"/>
      <c r="B76" s="7"/>
      <c r="C76" s="7"/>
      <c r="D76" s="146"/>
      <c r="E76" s="168"/>
    </row>
    <row r="77" spans="1:10" ht="15.75" thickBot="1" x14ac:dyDescent="0.3">
      <c r="A77" s="38" t="s">
        <v>211</v>
      </c>
      <c r="B77" s="38"/>
      <c r="C77" s="38"/>
      <c r="D77" s="169"/>
      <c r="E77" s="170">
        <v>1000000</v>
      </c>
    </row>
    <row r="78" spans="1:10" ht="15.75" thickBot="1" x14ac:dyDescent="0.3">
      <c r="A78" s="1"/>
      <c r="B78" s="3"/>
      <c r="C78" s="3"/>
      <c r="D78" s="171"/>
      <c r="E78" s="172"/>
      <c r="F78" s="60"/>
    </row>
    <row r="79" spans="1:10" ht="15.75" thickBot="1" x14ac:dyDescent="0.3">
      <c r="A79" s="5" t="s">
        <v>31</v>
      </c>
      <c r="B79" s="13"/>
      <c r="C79" s="6"/>
      <c r="D79" s="173"/>
      <c r="E79" s="174">
        <f>(SUM(E31:E77))</f>
        <v>10381819.07</v>
      </c>
    </row>
    <row r="80" spans="1:10" x14ac:dyDescent="0.25">
      <c r="D80" s="175"/>
      <c r="E80" s="175"/>
    </row>
    <row r="81" spans="1:5" s="11" customFormat="1" ht="15.75" thickBot="1" x14ac:dyDescent="0.3">
      <c r="D81" s="175"/>
      <c r="E81" s="175"/>
    </row>
    <row r="82" spans="1:5" s="11" customFormat="1" x14ac:dyDescent="0.25">
      <c r="A82" s="14" t="s">
        <v>175</v>
      </c>
      <c r="B82" s="15"/>
      <c r="C82" s="16"/>
      <c r="D82" s="176"/>
      <c r="E82" s="177"/>
    </row>
    <row r="83" spans="1:5" s="11" customFormat="1" x14ac:dyDescent="0.25">
      <c r="A83" s="214"/>
      <c r="B83" s="215"/>
      <c r="C83" s="7"/>
      <c r="D83" s="202"/>
      <c r="E83" s="154"/>
    </row>
    <row r="84" spans="1:5" s="11" customFormat="1" x14ac:dyDescent="0.25">
      <c r="A84" s="214"/>
      <c r="B84" s="215"/>
      <c r="C84" s="7"/>
      <c r="D84" s="159"/>
      <c r="E84" s="154"/>
    </row>
    <row r="85" spans="1:5" s="11" customFormat="1" ht="15.75" customHeight="1" x14ac:dyDescent="0.25">
      <c r="A85" s="226"/>
      <c r="B85" s="227"/>
      <c r="C85" s="7"/>
      <c r="D85" s="159"/>
      <c r="E85" s="154"/>
    </row>
    <row r="86" spans="1:5" s="11" customFormat="1" x14ac:dyDescent="0.25">
      <c r="A86" s="158"/>
      <c r="B86" s="160"/>
      <c r="C86" s="7"/>
      <c r="D86" s="159"/>
      <c r="E86" s="154"/>
    </row>
    <row r="87" spans="1:5" s="11" customFormat="1" x14ac:dyDescent="0.25">
      <c r="A87" s="66"/>
      <c r="B87" s="65"/>
      <c r="C87" s="65"/>
      <c r="D87" s="79"/>
      <c r="E87" s="79">
        <f>SUM(D83:D86)</f>
        <v>0</v>
      </c>
    </row>
    <row r="88" spans="1:5" s="11" customFormat="1" ht="15" customHeight="1" x14ac:dyDescent="0.25"/>
    <row r="89" spans="1:5" s="11" customFormat="1" ht="15.75" hidden="1" thickBot="1" x14ac:dyDescent="0.3"/>
    <row r="90" spans="1:5" s="11" customFormat="1" ht="15.75" thickBot="1" x14ac:dyDescent="0.3">
      <c r="A90" s="38" t="s">
        <v>41</v>
      </c>
      <c r="B90" s="38"/>
      <c r="C90" s="38"/>
      <c r="D90" s="39"/>
      <c r="E90" s="145"/>
    </row>
    <row r="91" spans="1:5" s="11" customFormat="1" ht="15.75" thickBot="1" x14ac:dyDescent="0.3"/>
    <row r="92" spans="1:5" s="11" customFormat="1" ht="15.75" thickBot="1" x14ac:dyDescent="0.3">
      <c r="A92" s="5" t="s">
        <v>42</v>
      </c>
      <c r="B92" s="13"/>
      <c r="C92" s="6"/>
      <c r="D92" s="6"/>
      <c r="E92" s="93">
        <f>E87+E90</f>
        <v>0</v>
      </c>
    </row>
    <row r="93" spans="1:5" s="11" customFormat="1" ht="15.75" thickBot="1" x14ac:dyDescent="0.3"/>
    <row r="94" spans="1:5" s="11" customFormat="1" ht="15.75" thickBot="1" x14ac:dyDescent="0.3">
      <c r="A94" s="142" t="s">
        <v>32</v>
      </c>
      <c r="B94" s="143">
        <f>E79</f>
        <v>10381819.07</v>
      </c>
    </row>
    <row r="95" spans="1:5" ht="15.75" thickBot="1" x14ac:dyDescent="0.3">
      <c r="A95" s="142" t="s">
        <v>33</v>
      </c>
      <c r="B95" s="143">
        <f>E79-E77</f>
        <v>9381819.0700000003</v>
      </c>
    </row>
    <row r="96" spans="1:5" s="11" customFormat="1" ht="15.75" thickBot="1" x14ac:dyDescent="0.3">
      <c r="A96" s="142" t="s">
        <v>43</v>
      </c>
      <c r="B96" s="143">
        <f>E92-E90</f>
        <v>0</v>
      </c>
    </row>
    <row r="97" spans="1:5" s="11" customFormat="1" ht="15.75" thickBot="1" x14ac:dyDescent="0.3">
      <c r="A97" s="142" t="s">
        <v>68</v>
      </c>
      <c r="B97" s="143">
        <f>E92</f>
        <v>0</v>
      </c>
    </row>
    <row r="98" spans="1:5" ht="73.5" customHeight="1" x14ac:dyDescent="0.25">
      <c r="A98" s="11"/>
      <c r="B98" s="11"/>
      <c r="C98" s="11"/>
      <c r="D98" s="11"/>
      <c r="E98" s="11"/>
    </row>
    <row r="99" spans="1:5" s="11" customFormat="1" ht="34.5" customHeight="1" x14ac:dyDescent="0.25"/>
    <row r="100" spans="1:5" s="11" customFormat="1" x14ac:dyDescent="0.25">
      <c r="A100" s="222" t="s">
        <v>215</v>
      </c>
      <c r="B100" s="222"/>
      <c r="C100" s="222"/>
      <c r="D100" s="222"/>
      <c r="E100" s="222"/>
    </row>
    <row r="101" spans="1:5" s="11" customFormat="1" ht="106.5" customHeight="1" x14ac:dyDescent="0.25">
      <c r="A101" s="222"/>
      <c r="B101" s="222"/>
      <c r="C101" s="222"/>
      <c r="D101" s="222"/>
      <c r="E101" s="222"/>
    </row>
    <row r="102" spans="1:5" s="11" customFormat="1" ht="15.75" hidden="1" customHeight="1" x14ac:dyDescent="0.25">
      <c r="A102" s="222"/>
      <c r="B102" s="222"/>
      <c r="C102" s="222"/>
      <c r="D102" s="222"/>
      <c r="E102" s="222"/>
    </row>
    <row r="103" spans="1:5" s="11" customFormat="1" x14ac:dyDescent="0.25"/>
    <row r="104" spans="1:5" ht="0.75" customHeight="1" x14ac:dyDescent="0.25">
      <c r="A104" s="26" t="s">
        <v>57</v>
      </c>
      <c r="B104" s="198"/>
      <c r="C104" s="27"/>
    </row>
    <row r="105" spans="1:5" hidden="1" x14ac:dyDescent="0.25">
      <c r="A105" s="41"/>
      <c r="B105" s="80">
        <v>0</v>
      </c>
      <c r="C105" s="29"/>
    </row>
    <row r="106" spans="1:5" ht="14.25" hidden="1" customHeight="1" x14ac:dyDescent="0.25">
      <c r="A106" s="28" t="s">
        <v>10</v>
      </c>
      <c r="B106" s="56">
        <f>PRORRATEO!I81</f>
        <v>9182407.8999999966</v>
      </c>
      <c r="C106" s="27"/>
    </row>
    <row r="107" spans="1:5" s="11" customFormat="1" hidden="1" x14ac:dyDescent="0.25">
      <c r="A107" s="28"/>
      <c r="B107" s="56">
        <v>0</v>
      </c>
      <c r="C107" s="27"/>
    </row>
    <row r="108" spans="1:5" s="11" customFormat="1" hidden="1" x14ac:dyDescent="0.25">
      <c r="A108" s="28" t="s">
        <v>70</v>
      </c>
      <c r="B108" s="162">
        <f>B136</f>
        <v>67214</v>
      </c>
      <c r="C108" s="27"/>
    </row>
    <row r="109" spans="1:5" s="11" customFormat="1" hidden="1" x14ac:dyDescent="0.25">
      <c r="A109" s="31"/>
      <c r="B109" s="81"/>
      <c r="C109" s="27"/>
    </row>
    <row r="110" spans="1:5" s="11" customFormat="1" hidden="1" x14ac:dyDescent="0.25">
      <c r="A110" s="191" t="s">
        <v>177</v>
      </c>
      <c r="B110" s="81"/>
      <c r="C110" s="27"/>
    </row>
    <row r="111" spans="1:5" s="11" customFormat="1" hidden="1" x14ac:dyDescent="0.25">
      <c r="A111" s="55" t="s">
        <v>44</v>
      </c>
      <c r="B111" s="81">
        <f>-B95</f>
        <v>-9381819.0700000003</v>
      </c>
      <c r="C111" s="27"/>
    </row>
    <row r="112" spans="1:5" hidden="1" x14ac:dyDescent="0.25">
      <c r="A112" s="31" t="s">
        <v>45</v>
      </c>
      <c r="B112" s="64">
        <f>-(B96)</f>
        <v>0</v>
      </c>
      <c r="C112" s="27"/>
    </row>
    <row r="113" spans="1:6" hidden="1" x14ac:dyDescent="0.25">
      <c r="A113" s="40" t="s">
        <v>12</v>
      </c>
      <c r="B113" s="80">
        <f>SUM(B105:B112)</f>
        <v>-132197.17000000365</v>
      </c>
      <c r="C113" s="30"/>
      <c r="D113" s="60"/>
    </row>
    <row r="114" spans="1:6" s="11" customFormat="1" ht="34.5" hidden="1" customHeight="1" x14ac:dyDescent="0.25">
      <c r="B114" s="57"/>
      <c r="C114" s="30"/>
      <c r="D114" s="60"/>
      <c r="E114" s="199"/>
      <c r="F114" s="200"/>
    </row>
    <row r="115" spans="1:6" ht="14.25" hidden="1" customHeight="1" x14ac:dyDescent="0.25">
      <c r="A115" s="11"/>
      <c r="B115" s="58"/>
      <c r="C115" s="30"/>
    </row>
    <row r="116" spans="1:6" s="54" customFormat="1" ht="27" hidden="1" customHeight="1" x14ac:dyDescent="0.25">
      <c r="A116"/>
      <c r="B116" s="57"/>
      <c r="C116" s="53"/>
    </row>
    <row r="117" spans="1:6" s="54" customFormat="1" ht="15.75" thickBot="1" x14ac:dyDescent="0.3">
      <c r="A117" s="208" t="s">
        <v>212</v>
      </c>
      <c r="B117" s="209">
        <v>698091.7</v>
      </c>
      <c r="C117" s="53"/>
      <c r="D117" s="63"/>
    </row>
    <row r="118" spans="1:6" x14ac:dyDescent="0.25">
      <c r="A118" s="216" t="s">
        <v>213</v>
      </c>
      <c r="B118" s="217"/>
    </row>
    <row r="119" spans="1:6" x14ac:dyDescent="0.25">
      <c r="A119" s="218"/>
      <c r="B119" s="219"/>
    </row>
    <row r="120" spans="1:6" x14ac:dyDescent="0.25">
      <c r="A120" s="218"/>
      <c r="B120" s="219"/>
    </row>
    <row r="121" spans="1:6" x14ac:dyDescent="0.25">
      <c r="A121" s="218"/>
      <c r="B121" s="219"/>
    </row>
    <row r="122" spans="1:6" x14ac:dyDescent="0.25">
      <c r="A122" s="218"/>
      <c r="B122" s="219"/>
    </row>
    <row r="123" spans="1:6" ht="15.75" thickBot="1" x14ac:dyDescent="0.3">
      <c r="A123" s="220"/>
      <c r="B123" s="221"/>
    </row>
    <row r="124" spans="1:6" s="11" customFormat="1" ht="15.75" thickBot="1" x14ac:dyDescent="0.3">
      <c r="A124" s="210"/>
      <c r="B124" s="210"/>
    </row>
    <row r="125" spans="1:6" s="11" customFormat="1" ht="15.75" thickBot="1" x14ac:dyDescent="0.3">
      <c r="A125" s="211" t="s">
        <v>214</v>
      </c>
      <c r="B125" s="212">
        <f>698091.7-1718075</f>
        <v>-1019983.3</v>
      </c>
    </row>
    <row r="126" spans="1:6" s="11" customFormat="1" x14ac:dyDescent="0.25">
      <c r="A126" s="210"/>
      <c r="B126" s="210"/>
    </row>
    <row r="127" spans="1:6" ht="34.5" customHeight="1" x14ac:dyDescent="0.25"/>
    <row r="128" spans="1:6" x14ac:dyDescent="0.25">
      <c r="A128" s="223" t="s">
        <v>56</v>
      </c>
      <c r="B128" s="223"/>
      <c r="C128" s="223"/>
    </row>
    <row r="129" spans="1:13" ht="27.75" customHeight="1" x14ac:dyDescent="0.25">
      <c r="A129" s="223"/>
      <c r="B129" s="223"/>
      <c r="C129" s="223"/>
    </row>
    <row r="130" spans="1:13" ht="0.75" customHeight="1" x14ac:dyDescent="0.25">
      <c r="A130" s="7"/>
      <c r="B130" s="47"/>
      <c r="C130" s="47">
        <v>11948.17</v>
      </c>
    </row>
    <row r="131" spans="1:13" hidden="1" x14ac:dyDescent="0.25">
      <c r="A131" s="52"/>
      <c r="B131" s="47"/>
      <c r="C131" s="47">
        <v>52000</v>
      </c>
    </row>
    <row r="132" spans="1:13" s="11" customFormat="1" ht="14.25" hidden="1" customHeight="1" x14ac:dyDescent="0.25">
      <c r="A132" s="74"/>
      <c r="B132" s="47"/>
      <c r="C132" s="47">
        <v>61209</v>
      </c>
    </row>
    <row r="133" spans="1:13" s="11" customFormat="1" ht="0.75" customHeight="1" x14ac:dyDescent="0.25">
      <c r="A133" s="180"/>
      <c r="B133" s="47"/>
      <c r="C133" s="47"/>
    </row>
    <row r="134" spans="1:13" s="11" customFormat="1" ht="36" customHeight="1" x14ac:dyDescent="0.25">
      <c r="A134" s="180" t="s">
        <v>199</v>
      </c>
      <c r="B134" s="47">
        <v>67214</v>
      </c>
      <c r="C134" s="47">
        <v>40000</v>
      </c>
    </row>
    <row r="135" spans="1:13" s="11" customFormat="1" ht="24.75" customHeight="1" x14ac:dyDescent="0.25">
      <c r="A135" s="180"/>
      <c r="B135" s="183"/>
      <c r="C135" s="178"/>
    </row>
    <row r="136" spans="1:13" x14ac:dyDescent="0.25">
      <c r="A136" s="61" t="s">
        <v>12</v>
      </c>
      <c r="B136" s="181">
        <f>SUM(B134:B135)</f>
        <v>67214</v>
      </c>
      <c r="C136" s="62"/>
    </row>
    <row r="137" spans="1:13" x14ac:dyDescent="0.25">
      <c r="M137" s="10"/>
    </row>
    <row r="138" spans="1:13" ht="15" customHeight="1" x14ac:dyDescent="0.25">
      <c r="A138" s="222"/>
      <c r="B138" s="222"/>
      <c r="C138" s="222"/>
      <c r="D138" s="222"/>
      <c r="E138" s="222"/>
    </row>
    <row r="139" spans="1:13" x14ac:dyDescent="0.25">
      <c r="A139" s="222"/>
      <c r="B139" s="222"/>
      <c r="C139" s="222"/>
      <c r="D139" s="222"/>
      <c r="E139" s="222"/>
    </row>
    <row r="140" spans="1:13" x14ac:dyDescent="0.25">
      <c r="A140" s="222"/>
      <c r="B140" s="222"/>
      <c r="C140" s="222"/>
      <c r="D140" s="222"/>
      <c r="E140" s="222"/>
    </row>
    <row r="141" spans="1:13" x14ac:dyDescent="0.25">
      <c r="A141" s="222"/>
      <c r="B141" s="222"/>
      <c r="C141" s="222"/>
      <c r="D141" s="222"/>
      <c r="E141" s="222"/>
    </row>
  </sheetData>
  <mergeCells count="20">
    <mergeCell ref="A14:E17"/>
    <mergeCell ref="B9:C11"/>
    <mergeCell ref="A44:B44"/>
    <mergeCell ref="A45:B45"/>
    <mergeCell ref="A62:B62"/>
    <mergeCell ref="A41:B41"/>
    <mergeCell ref="A40:B40"/>
    <mergeCell ref="A63:B63"/>
    <mergeCell ref="A100:E102"/>
    <mergeCell ref="A66:B66"/>
    <mergeCell ref="A84:B84"/>
    <mergeCell ref="A83:B83"/>
    <mergeCell ref="A85:B85"/>
    <mergeCell ref="A67:B67"/>
    <mergeCell ref="A70:B70"/>
    <mergeCell ref="I70:J70"/>
    <mergeCell ref="A69:B69"/>
    <mergeCell ref="A118:B123"/>
    <mergeCell ref="A138:E141"/>
    <mergeCell ref="A128:C129"/>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9"/>
  <sheetViews>
    <sheetView tabSelected="1" topLeftCell="A7" zoomScaleNormal="100" workbookViewId="0">
      <selection activeCell="P21" sqref="P21"/>
    </sheetView>
  </sheetViews>
  <sheetFormatPr baseColWidth="10" defaultRowHeight="15" x14ac:dyDescent="0.25"/>
  <cols>
    <col min="1" max="1" width="4.7109375" bestFit="1" customWidth="1"/>
    <col min="2" max="2" width="4.28515625" customWidth="1"/>
    <col min="3" max="3" width="3.7109375" style="11" customWidth="1"/>
    <col min="4" max="4" width="4.28515625" customWidth="1"/>
    <col min="5" max="5" width="18.5703125" customWidth="1"/>
    <col min="6" max="6" width="13.85546875" style="11" customWidth="1"/>
    <col min="7" max="7" width="5.42578125" customWidth="1"/>
    <col min="8" max="8" width="14.140625" customWidth="1"/>
    <col min="9" max="9" width="11.5703125" customWidth="1"/>
    <col min="10" max="10" width="7.7109375" style="11" hidden="1" customWidth="1"/>
    <col min="11" max="11" width="10.5703125" customWidth="1"/>
    <col min="12" max="12" width="9.5703125" style="11" customWidth="1"/>
    <col min="13" max="13" width="0.140625" customWidth="1"/>
    <col min="14" max="14" width="12.42578125" customWidth="1"/>
    <col min="15" max="15" width="5.42578125" hidden="1" customWidth="1"/>
    <col min="16" max="16" width="14.7109375" customWidth="1"/>
    <col min="17" max="17" width="0.42578125" hidden="1" customWidth="1"/>
    <col min="18" max="18" width="14.28515625" style="11" customWidth="1"/>
    <col min="19" max="19" width="0.140625" customWidth="1"/>
    <col min="20" max="20" width="12" bestFit="1" customWidth="1"/>
    <col min="21" max="21" width="13" bestFit="1" customWidth="1"/>
  </cols>
  <sheetData>
    <row r="1" spans="1:21" ht="12.95" customHeight="1" x14ac:dyDescent="0.25">
      <c r="A1" s="8"/>
      <c r="B1" s="8"/>
      <c r="C1" s="8"/>
      <c r="D1" s="8"/>
      <c r="E1" s="8"/>
      <c r="F1" s="8"/>
      <c r="G1" s="240"/>
      <c r="H1" s="240"/>
      <c r="I1" s="240"/>
      <c r="J1" s="240"/>
      <c r="K1" s="240"/>
      <c r="L1" s="240"/>
      <c r="M1" s="240"/>
      <c r="N1" s="240"/>
      <c r="O1" s="240"/>
      <c r="P1" s="240"/>
      <c r="Q1" s="8"/>
      <c r="R1" s="8"/>
    </row>
    <row r="2" spans="1:21" ht="12.95" customHeight="1" x14ac:dyDescent="0.25">
      <c r="A2" s="8"/>
      <c r="B2" s="8"/>
      <c r="C2" s="8"/>
      <c r="D2" s="8"/>
      <c r="E2" s="8" t="str">
        <f>RESUMEN!B4</f>
        <v>CBU: 0290034600000502294350</v>
      </c>
      <c r="F2" s="8"/>
      <c r="G2" s="8"/>
      <c r="H2" s="8"/>
      <c r="I2" s="8"/>
      <c r="J2" s="8"/>
      <c r="K2" s="8"/>
      <c r="L2" s="8"/>
      <c r="M2" s="9" t="s">
        <v>5</v>
      </c>
      <c r="N2" s="8"/>
      <c r="O2" s="8"/>
      <c r="P2" s="207">
        <v>10381819.07</v>
      </c>
      <c r="Q2" s="75"/>
      <c r="R2" s="75"/>
      <c r="S2" s="25"/>
    </row>
    <row r="3" spans="1:21" ht="12.95" customHeight="1" thickBot="1" x14ac:dyDescent="0.3">
      <c r="A3" s="8"/>
      <c r="B3" s="8"/>
      <c r="C3" s="8"/>
      <c r="D3" s="8"/>
      <c r="E3" s="8"/>
      <c r="F3" s="8"/>
      <c r="G3" s="8"/>
      <c r="H3" s="8"/>
      <c r="I3" s="8"/>
      <c r="J3" s="8"/>
      <c r="K3" s="8"/>
      <c r="L3" s="8"/>
      <c r="M3" s="8"/>
      <c r="N3" s="8"/>
      <c r="O3" s="8"/>
      <c r="P3" s="76"/>
      <c r="Q3" s="76"/>
      <c r="R3" s="82"/>
    </row>
    <row r="4" spans="1:21" x14ac:dyDescent="0.25">
      <c r="A4" s="235" t="s">
        <v>6</v>
      </c>
      <c r="B4" s="237" t="s">
        <v>7</v>
      </c>
      <c r="C4" s="192"/>
      <c r="D4" s="233" t="s">
        <v>8</v>
      </c>
      <c r="E4" s="233" t="s">
        <v>9</v>
      </c>
      <c r="F4" s="233" t="s">
        <v>49</v>
      </c>
      <c r="G4" s="233" t="s">
        <v>29</v>
      </c>
      <c r="H4" s="241" t="s">
        <v>195</v>
      </c>
      <c r="I4" s="233" t="s">
        <v>10</v>
      </c>
      <c r="J4" s="233" t="s">
        <v>50</v>
      </c>
      <c r="K4" s="245" t="s">
        <v>54</v>
      </c>
      <c r="L4" s="241" t="s">
        <v>119</v>
      </c>
      <c r="M4" s="241" t="s">
        <v>11</v>
      </c>
      <c r="N4" s="241" t="s">
        <v>47</v>
      </c>
      <c r="O4" s="248" t="s">
        <v>64</v>
      </c>
      <c r="P4" s="85" t="s">
        <v>63</v>
      </c>
      <c r="Q4" s="243" t="s">
        <v>46</v>
      </c>
      <c r="R4" s="231" t="s">
        <v>62</v>
      </c>
      <c r="S4" s="11"/>
      <c r="U4" s="60"/>
    </row>
    <row r="5" spans="1:21" ht="15.75" customHeight="1" x14ac:dyDescent="0.25">
      <c r="A5" s="236"/>
      <c r="B5" s="238"/>
      <c r="C5" s="193"/>
      <c r="D5" s="239"/>
      <c r="E5" s="239"/>
      <c r="F5" s="234"/>
      <c r="G5" s="239"/>
      <c r="H5" s="242"/>
      <c r="I5" s="239"/>
      <c r="J5" s="234"/>
      <c r="K5" s="246"/>
      <c r="L5" s="242"/>
      <c r="M5" s="247"/>
      <c r="N5" s="242"/>
      <c r="O5" s="249"/>
      <c r="P5" s="83" t="str">
        <f>RESUMEN!B9</f>
        <v>VTO 13/02</v>
      </c>
      <c r="Q5" s="244"/>
      <c r="R5" s="232"/>
    </row>
    <row r="6" spans="1:21" ht="17.100000000000001" customHeight="1" x14ac:dyDescent="0.25">
      <c r="A6" s="7" t="s">
        <v>13</v>
      </c>
      <c r="B6" s="98"/>
      <c r="C6" s="98" t="s">
        <v>112</v>
      </c>
      <c r="D6" s="98">
        <v>1</v>
      </c>
      <c r="E6" s="87" t="s">
        <v>74</v>
      </c>
      <c r="F6" s="98"/>
      <c r="G6" s="99">
        <v>0.5131</v>
      </c>
      <c r="H6" s="100">
        <v>50798.020000000004</v>
      </c>
      <c r="I6" s="196">
        <f>640937-I13-I7-I47-I48-I56-I59-I69-I73+65440</f>
        <v>53236.869999999995</v>
      </c>
      <c r="J6" s="102"/>
      <c r="K6" s="103">
        <f>H6-I6</f>
        <v>-2438.8499999999913</v>
      </c>
      <c r="L6" s="103">
        <f>IF(K6&gt;0,K6*3%,0)</f>
        <v>0</v>
      </c>
      <c r="M6" s="104">
        <v>0</v>
      </c>
      <c r="N6" s="105">
        <f t="shared" ref="N6:N69" si="0">P$2*G6%</f>
        <v>53269.113648170001</v>
      </c>
      <c r="O6" s="106">
        <v>0</v>
      </c>
      <c r="P6" s="107">
        <f>ROUND(SUM(K6:O6),0) + S6</f>
        <v>50830.01</v>
      </c>
      <c r="Q6" s="108">
        <f>ROUND(P6*6% + P6,0) + S6</f>
        <v>53880.01</v>
      </c>
      <c r="R6" s="109">
        <f>ROUND(P6*3%,0) + P6</f>
        <v>52355.01</v>
      </c>
      <c r="S6" s="60">
        <v>0.01</v>
      </c>
    </row>
    <row r="7" spans="1:21" ht="17.100000000000001" customHeight="1" x14ac:dyDescent="0.25">
      <c r="A7" s="7" t="s">
        <v>14</v>
      </c>
      <c r="B7" s="98"/>
      <c r="C7" s="98" t="s">
        <v>112</v>
      </c>
      <c r="D7" s="98">
        <f>D6+1</f>
        <v>2</v>
      </c>
      <c r="E7" s="87" t="s">
        <v>75</v>
      </c>
      <c r="F7" s="88"/>
      <c r="G7" s="99">
        <v>0.6119</v>
      </c>
      <c r="H7" s="100">
        <v>60579.039999999994</v>
      </c>
      <c r="I7" s="196">
        <f>H7</f>
        <v>60579.039999999994</v>
      </c>
      <c r="J7" s="102"/>
      <c r="K7" s="103">
        <f t="shared" ref="K7:K70" si="1">H7-I7</f>
        <v>0</v>
      </c>
      <c r="L7" s="103">
        <f t="shared" ref="L7:L70" si="2">IF(K7&gt;0,K7*3%,0)</f>
        <v>0</v>
      </c>
      <c r="M7" s="104">
        <v>0</v>
      </c>
      <c r="N7" s="105">
        <f t="shared" si="0"/>
        <v>63526.350889330002</v>
      </c>
      <c r="O7" s="106">
        <v>0</v>
      </c>
      <c r="P7" s="107">
        <f t="shared" ref="P7:P70" si="3">ROUND(SUM(K7:O7),0) + S7</f>
        <v>63526.02</v>
      </c>
      <c r="Q7" s="108">
        <f t="shared" ref="Q7:Q70" si="4">ROUND(P7*6% + P7,0) + S7</f>
        <v>67338.02</v>
      </c>
      <c r="R7" s="109">
        <f t="shared" ref="R7:R70" si="5">ROUND(P7*3%,0) + P7</f>
        <v>65432.02</v>
      </c>
      <c r="S7" s="60">
        <f>S6+0.01</f>
        <v>0.02</v>
      </c>
      <c r="T7" s="60"/>
    </row>
    <row r="8" spans="1:21" ht="17.100000000000001" customHeight="1" x14ac:dyDescent="0.25">
      <c r="A8" s="7" t="s">
        <v>14</v>
      </c>
      <c r="B8" s="98">
        <v>1</v>
      </c>
      <c r="C8" s="98"/>
      <c r="D8" s="98">
        <f t="shared" ref="D8:D71" si="6">D7+1</f>
        <v>3</v>
      </c>
      <c r="E8" s="87" t="s">
        <v>76</v>
      </c>
      <c r="F8" s="88"/>
      <c r="G8" s="99">
        <v>0.61150000000000004</v>
      </c>
      <c r="H8" s="100">
        <v>60540.06</v>
      </c>
      <c r="I8" s="196">
        <f t="shared" ref="I8:I47" si="7">H8</f>
        <v>60540.06</v>
      </c>
      <c r="J8" s="102"/>
      <c r="K8" s="103">
        <f t="shared" si="1"/>
        <v>0</v>
      </c>
      <c r="L8" s="103">
        <f t="shared" si="2"/>
        <v>0</v>
      </c>
      <c r="M8" s="104">
        <v>0</v>
      </c>
      <c r="N8" s="105">
        <f t="shared" si="0"/>
        <v>63484.823613050008</v>
      </c>
      <c r="O8" s="106">
        <v>0</v>
      </c>
      <c r="P8" s="107">
        <f t="shared" si="3"/>
        <v>63485.03</v>
      </c>
      <c r="Q8" s="108">
        <f t="shared" si="4"/>
        <v>67294.03</v>
      </c>
      <c r="R8" s="109">
        <f t="shared" si="5"/>
        <v>65390.03</v>
      </c>
      <c r="S8" s="60">
        <f t="shared" ref="S8:S71" si="8">S7+0.01</f>
        <v>0.03</v>
      </c>
    </row>
    <row r="9" spans="1:21" ht="17.100000000000001" customHeight="1" x14ac:dyDescent="0.25">
      <c r="A9" s="7" t="s">
        <v>15</v>
      </c>
      <c r="B9" s="98">
        <v>2</v>
      </c>
      <c r="C9" s="98"/>
      <c r="D9" s="98">
        <f t="shared" si="6"/>
        <v>4</v>
      </c>
      <c r="E9" s="87" t="s">
        <v>76</v>
      </c>
      <c r="F9" s="88"/>
      <c r="G9" s="99">
        <v>0.50329999999999997</v>
      </c>
      <c r="H9" s="100">
        <v>49828.08</v>
      </c>
      <c r="I9" s="196">
        <f t="shared" si="7"/>
        <v>49828.08</v>
      </c>
      <c r="J9" s="102"/>
      <c r="K9" s="103">
        <f t="shared" si="1"/>
        <v>0</v>
      </c>
      <c r="L9" s="103">
        <f t="shared" si="2"/>
        <v>0</v>
      </c>
      <c r="M9" s="104">
        <v>0</v>
      </c>
      <c r="N9" s="105">
        <f t="shared" si="0"/>
        <v>52251.695379309996</v>
      </c>
      <c r="O9" s="106">
        <v>0</v>
      </c>
      <c r="P9" s="107">
        <f t="shared" si="3"/>
        <v>52252.04</v>
      </c>
      <c r="Q9" s="108">
        <f t="shared" si="4"/>
        <v>55387.040000000001</v>
      </c>
      <c r="R9" s="109">
        <f t="shared" si="5"/>
        <v>53820.04</v>
      </c>
      <c r="S9" s="60">
        <f t="shared" si="8"/>
        <v>0.04</v>
      </c>
      <c r="U9" s="60"/>
    </row>
    <row r="10" spans="1:21" ht="17.100000000000001" customHeight="1" x14ac:dyDescent="0.25">
      <c r="A10" s="7" t="s">
        <v>15</v>
      </c>
      <c r="B10" s="98">
        <v>3</v>
      </c>
      <c r="C10" s="98"/>
      <c r="D10" s="98">
        <f t="shared" si="6"/>
        <v>5</v>
      </c>
      <c r="E10" s="87" t="s">
        <v>76</v>
      </c>
      <c r="F10" s="88"/>
      <c r="G10" s="99">
        <v>0.50329999999999997</v>
      </c>
      <c r="H10" s="100">
        <v>49828.100000000006</v>
      </c>
      <c r="I10" s="196">
        <f>144015-I9-I8</f>
        <v>33646.86</v>
      </c>
      <c r="J10" s="102"/>
      <c r="K10" s="103">
        <f t="shared" si="1"/>
        <v>16181.240000000005</v>
      </c>
      <c r="L10" s="103">
        <f t="shared" si="2"/>
        <v>485.43720000000013</v>
      </c>
      <c r="M10" s="104">
        <v>0</v>
      </c>
      <c r="N10" s="105">
        <f t="shared" si="0"/>
        <v>52251.695379309996</v>
      </c>
      <c r="O10" s="106">
        <v>0</v>
      </c>
      <c r="P10" s="107">
        <f t="shared" si="3"/>
        <v>68918.05</v>
      </c>
      <c r="Q10" s="108">
        <f t="shared" si="4"/>
        <v>73053.05</v>
      </c>
      <c r="R10" s="109">
        <f t="shared" si="5"/>
        <v>70986.05</v>
      </c>
      <c r="S10" s="60">
        <f t="shared" si="8"/>
        <v>0.05</v>
      </c>
      <c r="U10" s="60"/>
    </row>
    <row r="11" spans="1:21" ht="17.100000000000001" customHeight="1" x14ac:dyDescent="0.25">
      <c r="A11" s="7" t="s">
        <v>16</v>
      </c>
      <c r="B11" s="98">
        <v>4</v>
      </c>
      <c r="C11" s="98"/>
      <c r="D11" s="98">
        <f t="shared" si="6"/>
        <v>6</v>
      </c>
      <c r="E11" s="87" t="s">
        <v>121</v>
      </c>
      <c r="F11" s="98" t="s">
        <v>122</v>
      </c>
      <c r="G11" s="99">
        <v>0.74990000000000001</v>
      </c>
      <c r="H11" s="100">
        <v>74242.12</v>
      </c>
      <c r="I11" s="196">
        <f>66743.06</f>
        <v>66743.06</v>
      </c>
      <c r="J11" s="102"/>
      <c r="K11" s="103">
        <f t="shared" si="1"/>
        <v>7499.0599999999977</v>
      </c>
      <c r="L11" s="103">
        <f t="shared" si="2"/>
        <v>224.97179999999992</v>
      </c>
      <c r="M11" s="104">
        <v>0</v>
      </c>
      <c r="N11" s="105">
        <f t="shared" si="0"/>
        <v>77853.261205930001</v>
      </c>
      <c r="O11" s="106">
        <v>0</v>
      </c>
      <c r="P11" s="107">
        <f t="shared" si="3"/>
        <v>85577.06</v>
      </c>
      <c r="Q11" s="108">
        <f t="shared" si="4"/>
        <v>90712.06</v>
      </c>
      <c r="R11" s="109">
        <f t="shared" si="5"/>
        <v>88144.06</v>
      </c>
      <c r="S11" s="60">
        <f t="shared" si="8"/>
        <v>6.0000000000000005E-2</v>
      </c>
    </row>
    <row r="12" spans="1:21" ht="17.100000000000001" customHeight="1" x14ac:dyDescent="0.25">
      <c r="A12" s="7" t="s">
        <v>16</v>
      </c>
      <c r="B12" s="98">
        <v>5</v>
      </c>
      <c r="C12" s="98"/>
      <c r="D12" s="98">
        <f t="shared" si="6"/>
        <v>7</v>
      </c>
      <c r="E12" s="87" t="s">
        <v>123</v>
      </c>
      <c r="F12" s="98" t="s">
        <v>124</v>
      </c>
      <c r="G12" s="99">
        <v>0.54249999999999998</v>
      </c>
      <c r="H12" s="100">
        <v>53709.14</v>
      </c>
      <c r="I12" s="196">
        <f>48284.07+5588.07</f>
        <v>53872.14</v>
      </c>
      <c r="J12" s="102"/>
      <c r="K12" s="103">
        <f t="shared" si="1"/>
        <v>-163</v>
      </c>
      <c r="L12" s="103">
        <f t="shared" si="2"/>
        <v>0</v>
      </c>
      <c r="M12" s="104">
        <v>0</v>
      </c>
      <c r="N12" s="105">
        <f t="shared" si="0"/>
        <v>56321.368454750002</v>
      </c>
      <c r="O12" s="106">
        <v>0</v>
      </c>
      <c r="P12" s="107">
        <f t="shared" si="3"/>
        <v>56158.07</v>
      </c>
      <c r="Q12" s="108">
        <f t="shared" si="4"/>
        <v>59528.07</v>
      </c>
      <c r="R12" s="109">
        <f t="shared" si="5"/>
        <v>57843.07</v>
      </c>
      <c r="S12" s="60">
        <f t="shared" si="8"/>
        <v>7.0000000000000007E-2</v>
      </c>
    </row>
    <row r="13" spans="1:21" ht="17.100000000000001" customHeight="1" x14ac:dyDescent="0.25">
      <c r="A13" s="7" t="s">
        <v>17</v>
      </c>
      <c r="B13" s="98">
        <v>6</v>
      </c>
      <c r="C13" s="98"/>
      <c r="D13" s="98">
        <f t="shared" si="6"/>
        <v>8</v>
      </c>
      <c r="E13" s="87" t="s">
        <v>77</v>
      </c>
      <c r="F13" s="88"/>
      <c r="G13" s="99">
        <v>0.45369999999999999</v>
      </c>
      <c r="H13" s="100">
        <v>44917.16</v>
      </c>
      <c r="I13" s="196">
        <f>H13</f>
        <v>44917.16</v>
      </c>
      <c r="J13" s="102"/>
      <c r="K13" s="103">
        <f t="shared" si="1"/>
        <v>0</v>
      </c>
      <c r="L13" s="103">
        <f t="shared" si="2"/>
        <v>0</v>
      </c>
      <c r="M13" s="104">
        <v>0</v>
      </c>
      <c r="N13" s="105">
        <f t="shared" si="0"/>
        <v>47102.313120590006</v>
      </c>
      <c r="O13" s="106">
        <v>0</v>
      </c>
      <c r="P13" s="107">
        <f t="shared" si="3"/>
        <v>47102.080000000002</v>
      </c>
      <c r="Q13" s="108">
        <f t="shared" si="4"/>
        <v>49928.08</v>
      </c>
      <c r="R13" s="109">
        <f t="shared" si="5"/>
        <v>48515.08</v>
      </c>
      <c r="S13" s="60">
        <f t="shared" si="8"/>
        <v>0.08</v>
      </c>
    </row>
    <row r="14" spans="1:21" ht="17.100000000000001" customHeight="1" x14ac:dyDescent="0.25">
      <c r="A14" s="7" t="s">
        <v>17</v>
      </c>
      <c r="B14" s="98">
        <v>7</v>
      </c>
      <c r="C14" s="98"/>
      <c r="D14" s="98">
        <f t="shared" si="6"/>
        <v>9</v>
      </c>
      <c r="E14" s="87" t="s">
        <v>78</v>
      </c>
      <c r="F14" s="88"/>
      <c r="G14" s="99">
        <v>0.52439999999999998</v>
      </c>
      <c r="H14" s="100">
        <v>51917.179999999993</v>
      </c>
      <c r="I14" s="196">
        <f>46673.09</f>
        <v>46673.09</v>
      </c>
      <c r="J14" s="102"/>
      <c r="K14" s="103">
        <f t="shared" si="1"/>
        <v>5244.0899999999965</v>
      </c>
      <c r="L14" s="103">
        <f t="shared" si="2"/>
        <v>157.32269999999988</v>
      </c>
      <c r="M14" s="104">
        <v>0</v>
      </c>
      <c r="N14" s="105">
        <f t="shared" si="0"/>
        <v>54442.259203079993</v>
      </c>
      <c r="O14" s="106">
        <v>0</v>
      </c>
      <c r="P14" s="107">
        <f t="shared" si="3"/>
        <v>59844.09</v>
      </c>
      <c r="Q14" s="108">
        <f t="shared" si="4"/>
        <v>63435.09</v>
      </c>
      <c r="R14" s="109">
        <f t="shared" si="5"/>
        <v>61639.09</v>
      </c>
      <c r="S14" s="60">
        <f t="shared" si="8"/>
        <v>0.09</v>
      </c>
      <c r="U14" s="11" t="s">
        <v>200</v>
      </c>
    </row>
    <row r="15" spans="1:21" ht="17.100000000000001" customHeight="1" x14ac:dyDescent="0.25">
      <c r="A15" s="7" t="s">
        <v>18</v>
      </c>
      <c r="B15" s="98">
        <v>8</v>
      </c>
      <c r="C15" s="98"/>
      <c r="D15" s="98">
        <f t="shared" si="6"/>
        <v>10</v>
      </c>
      <c r="E15" s="87" t="s">
        <v>78</v>
      </c>
      <c r="F15" s="88"/>
      <c r="G15" s="99">
        <v>0.42399999999999999</v>
      </c>
      <c r="H15" s="100">
        <v>41977.2</v>
      </c>
      <c r="I15" s="196">
        <f>37737.1</f>
        <v>37737.1</v>
      </c>
      <c r="J15" s="102"/>
      <c r="K15" s="103">
        <f t="shared" si="1"/>
        <v>4240.0999999999985</v>
      </c>
      <c r="L15" s="103">
        <f t="shared" si="2"/>
        <v>127.20299999999995</v>
      </c>
      <c r="M15" s="104">
        <v>0</v>
      </c>
      <c r="N15" s="105">
        <f t="shared" si="0"/>
        <v>44018.912856800001</v>
      </c>
      <c r="O15" s="106">
        <v>0</v>
      </c>
      <c r="P15" s="107">
        <f t="shared" si="3"/>
        <v>48386.1</v>
      </c>
      <c r="Q15" s="108">
        <f t="shared" si="4"/>
        <v>51289.1</v>
      </c>
      <c r="R15" s="109">
        <f t="shared" si="5"/>
        <v>49838.1</v>
      </c>
      <c r="S15" s="60">
        <f t="shared" si="8"/>
        <v>9.9999999999999992E-2</v>
      </c>
      <c r="U15" s="11" t="s">
        <v>200</v>
      </c>
    </row>
    <row r="16" spans="1:21" ht="17.100000000000001" customHeight="1" x14ac:dyDescent="0.25">
      <c r="A16" s="7" t="s">
        <v>18</v>
      </c>
      <c r="B16" s="98">
        <v>1</v>
      </c>
      <c r="C16" s="98" t="s">
        <v>113</v>
      </c>
      <c r="D16" s="98">
        <f t="shared" si="6"/>
        <v>11</v>
      </c>
      <c r="E16" s="87" t="s">
        <v>79</v>
      </c>
      <c r="F16" s="88"/>
      <c r="G16" s="99">
        <v>2.3033000000000001</v>
      </c>
      <c r="H16" s="100">
        <v>1633137.2200000002</v>
      </c>
      <c r="I16" s="196"/>
      <c r="J16" s="102"/>
      <c r="K16" s="103">
        <f t="shared" si="1"/>
        <v>1633137.2200000002</v>
      </c>
      <c r="L16" s="103">
        <f t="shared" si="2"/>
        <v>48994.116600000001</v>
      </c>
      <c r="M16" s="104">
        <v>0</v>
      </c>
      <c r="N16" s="105">
        <f t="shared" si="0"/>
        <v>239124.43863931001</v>
      </c>
      <c r="O16" s="106">
        <v>0</v>
      </c>
      <c r="P16" s="107">
        <f t="shared" si="3"/>
        <v>1921256.11</v>
      </c>
      <c r="Q16" s="108">
        <f t="shared" si="4"/>
        <v>2036531.11</v>
      </c>
      <c r="R16" s="109">
        <f t="shared" si="5"/>
        <v>1978894.11</v>
      </c>
      <c r="S16" s="60">
        <f t="shared" si="8"/>
        <v>0.10999999999999999</v>
      </c>
    </row>
    <row r="17" spans="1:21" ht="17.100000000000001" customHeight="1" x14ac:dyDescent="0.25">
      <c r="A17" s="7" t="s">
        <v>19</v>
      </c>
      <c r="B17" s="98">
        <v>1</v>
      </c>
      <c r="C17" s="98" t="s">
        <v>114</v>
      </c>
      <c r="D17" s="98">
        <f t="shared" si="6"/>
        <v>12</v>
      </c>
      <c r="E17" s="87" t="s">
        <v>125</v>
      </c>
      <c r="F17" s="88" t="s">
        <v>193</v>
      </c>
      <c r="G17" s="99">
        <v>2.7492999999999999</v>
      </c>
      <c r="H17" s="100">
        <v>279528.24</v>
      </c>
      <c r="I17" s="196">
        <f>244694</f>
        <v>244694</v>
      </c>
      <c r="J17" s="102"/>
      <c r="K17" s="103">
        <f t="shared" si="1"/>
        <v>34834.239999999991</v>
      </c>
      <c r="L17" s="103">
        <f t="shared" si="2"/>
        <v>1045.0271999999998</v>
      </c>
      <c r="M17" s="104">
        <v>0</v>
      </c>
      <c r="N17" s="105">
        <f t="shared" si="0"/>
        <v>285427.35169151</v>
      </c>
      <c r="O17" s="106">
        <v>0</v>
      </c>
      <c r="P17" s="107">
        <f t="shared" si="3"/>
        <v>321307.12</v>
      </c>
      <c r="Q17" s="108">
        <f t="shared" si="4"/>
        <v>340586.12</v>
      </c>
      <c r="R17" s="109">
        <f t="shared" si="5"/>
        <v>330946.12</v>
      </c>
      <c r="S17" s="60">
        <f t="shared" si="8"/>
        <v>0.11999999999999998</v>
      </c>
    </row>
    <row r="18" spans="1:21" ht="17.100000000000001" customHeight="1" x14ac:dyDescent="0.25">
      <c r="A18" s="7" t="s">
        <v>19</v>
      </c>
      <c r="B18" s="98">
        <v>2</v>
      </c>
      <c r="C18" s="98" t="s">
        <v>113</v>
      </c>
      <c r="D18" s="98">
        <f t="shared" si="6"/>
        <v>13</v>
      </c>
      <c r="E18" s="87" t="s">
        <v>126</v>
      </c>
      <c r="F18" s="88" t="s">
        <v>127</v>
      </c>
      <c r="G18" s="99">
        <v>2.3033000000000001</v>
      </c>
      <c r="H18" s="100">
        <v>228032.26</v>
      </c>
      <c r="I18" s="196">
        <f>214999.13</f>
        <v>214999.13</v>
      </c>
      <c r="J18" s="102"/>
      <c r="K18" s="103">
        <f t="shared" si="1"/>
        <v>13033.130000000005</v>
      </c>
      <c r="L18" s="103">
        <f t="shared" si="2"/>
        <v>390.99390000000011</v>
      </c>
      <c r="M18" s="104">
        <v>0</v>
      </c>
      <c r="N18" s="105">
        <f t="shared" si="0"/>
        <v>239124.43863931001</v>
      </c>
      <c r="O18" s="106">
        <v>0</v>
      </c>
      <c r="P18" s="107">
        <f t="shared" si="3"/>
        <v>252549.13</v>
      </c>
      <c r="Q18" s="108">
        <f t="shared" si="4"/>
        <v>267702.13</v>
      </c>
      <c r="R18" s="109">
        <f t="shared" si="5"/>
        <v>260125.13</v>
      </c>
      <c r="S18" s="60">
        <f t="shared" si="8"/>
        <v>0.12999999999999998</v>
      </c>
    </row>
    <row r="19" spans="1:21" ht="17.100000000000001" customHeight="1" x14ac:dyDescent="0.25">
      <c r="A19" s="7" t="s">
        <v>20</v>
      </c>
      <c r="B19" s="98">
        <v>2</v>
      </c>
      <c r="C19" s="98" t="s">
        <v>114</v>
      </c>
      <c r="D19" s="98">
        <f t="shared" si="6"/>
        <v>14</v>
      </c>
      <c r="E19" s="87" t="s">
        <v>129</v>
      </c>
      <c r="F19" s="88" t="s">
        <v>128</v>
      </c>
      <c r="G19" s="99">
        <v>2.6368</v>
      </c>
      <c r="H19" s="100">
        <v>268089.28000000003</v>
      </c>
      <c r="I19" s="196">
        <f>200000+40000</f>
        <v>240000</v>
      </c>
      <c r="J19" s="102"/>
      <c r="K19" s="103">
        <f t="shared" si="1"/>
        <v>28089.280000000028</v>
      </c>
      <c r="L19" s="103">
        <f t="shared" si="2"/>
        <v>842.67840000000081</v>
      </c>
      <c r="M19" s="104">
        <v>0</v>
      </c>
      <c r="N19" s="105">
        <f t="shared" si="0"/>
        <v>273747.80523776001</v>
      </c>
      <c r="O19" s="106">
        <v>0</v>
      </c>
      <c r="P19" s="107">
        <f t="shared" si="3"/>
        <v>302680.14</v>
      </c>
      <c r="Q19" s="108">
        <f t="shared" si="4"/>
        <v>320841.14</v>
      </c>
      <c r="R19" s="109">
        <f t="shared" si="5"/>
        <v>311760.14</v>
      </c>
      <c r="S19" s="60">
        <f t="shared" si="8"/>
        <v>0.13999999999999999</v>
      </c>
      <c r="U19" t="s">
        <v>205</v>
      </c>
    </row>
    <row r="20" spans="1:21" ht="17.100000000000001" customHeight="1" x14ac:dyDescent="0.25">
      <c r="A20" s="7" t="s">
        <v>20</v>
      </c>
      <c r="B20" s="98">
        <v>3</v>
      </c>
      <c r="C20" s="98" t="s">
        <v>113</v>
      </c>
      <c r="D20" s="98">
        <f t="shared" si="6"/>
        <v>15</v>
      </c>
      <c r="E20" s="87" t="s">
        <v>80</v>
      </c>
      <c r="F20" s="88"/>
      <c r="G20" s="99">
        <v>2.3536999999999999</v>
      </c>
      <c r="H20" s="100">
        <v>233021.3</v>
      </c>
      <c r="I20" s="196">
        <f>209484.15</f>
        <v>209484.15</v>
      </c>
      <c r="J20" s="102"/>
      <c r="K20" s="103">
        <f>H20-I20</f>
        <v>23537.149999999994</v>
      </c>
      <c r="L20" s="103">
        <f t="shared" si="2"/>
        <v>706.11449999999979</v>
      </c>
      <c r="M20" s="104">
        <v>0</v>
      </c>
      <c r="N20" s="105">
        <f t="shared" si="0"/>
        <v>244356.87545058999</v>
      </c>
      <c r="O20" s="106">
        <v>0</v>
      </c>
      <c r="P20" s="107">
        <f t="shared" si="3"/>
        <v>268600.15000000002</v>
      </c>
      <c r="Q20" s="108">
        <f t="shared" si="4"/>
        <v>284716.15000000002</v>
      </c>
      <c r="R20" s="109">
        <f t="shared" si="5"/>
        <v>276658.15000000002</v>
      </c>
      <c r="S20" s="60">
        <f t="shared" si="8"/>
        <v>0.15</v>
      </c>
    </row>
    <row r="21" spans="1:21" ht="17.100000000000001" customHeight="1" x14ac:dyDescent="0.25">
      <c r="A21" s="7" t="s">
        <v>21</v>
      </c>
      <c r="B21" s="98">
        <v>3</v>
      </c>
      <c r="C21" s="98" t="s">
        <v>114</v>
      </c>
      <c r="D21" s="98">
        <f t="shared" si="6"/>
        <v>16</v>
      </c>
      <c r="E21" s="87" t="s">
        <v>81</v>
      </c>
      <c r="F21" s="98" t="s">
        <v>218</v>
      </c>
      <c r="G21" s="99">
        <v>2.6476999999999999</v>
      </c>
      <c r="H21" s="100">
        <v>262128.32</v>
      </c>
      <c r="I21" s="196">
        <f>235651.16+27271.26+RESUMEN!D70+RESUMEN!D69</f>
        <v>310902.42</v>
      </c>
      <c r="J21" s="102"/>
      <c r="K21" s="103">
        <f t="shared" si="1"/>
        <v>-48774.099999999977</v>
      </c>
      <c r="L21" s="103">
        <f t="shared" si="2"/>
        <v>0</v>
      </c>
      <c r="M21" s="104">
        <v>0</v>
      </c>
      <c r="N21" s="105">
        <f t="shared" si="0"/>
        <v>274879.42351639003</v>
      </c>
      <c r="O21" s="106">
        <v>0</v>
      </c>
      <c r="P21" s="107">
        <f t="shared" si="3"/>
        <v>226105.16</v>
      </c>
      <c r="Q21" s="108">
        <f t="shared" si="4"/>
        <v>239671.16</v>
      </c>
      <c r="R21" s="109">
        <f t="shared" si="5"/>
        <v>232888.16</v>
      </c>
      <c r="S21" s="60">
        <f t="shared" si="8"/>
        <v>0.16</v>
      </c>
      <c r="U21" s="59"/>
    </row>
    <row r="22" spans="1:21" ht="17.100000000000001" customHeight="1" x14ac:dyDescent="0.25">
      <c r="A22" s="7" t="s">
        <v>21</v>
      </c>
      <c r="B22" s="98">
        <v>4</v>
      </c>
      <c r="C22" s="98" t="s">
        <v>113</v>
      </c>
      <c r="D22" s="98">
        <f t="shared" si="6"/>
        <v>17</v>
      </c>
      <c r="E22" s="87" t="s">
        <v>82</v>
      </c>
      <c r="F22" s="88" t="s">
        <v>202</v>
      </c>
      <c r="G22" s="99">
        <v>2.3235000000000001</v>
      </c>
      <c r="H22" s="101">
        <v>230031.34000000003</v>
      </c>
      <c r="I22" s="196">
        <f>206796.17</f>
        <v>206796.17</v>
      </c>
      <c r="J22" s="102"/>
      <c r="K22" s="103">
        <f t="shared" si="1"/>
        <v>23235.170000000013</v>
      </c>
      <c r="L22" s="103">
        <f t="shared" si="2"/>
        <v>697.05510000000038</v>
      </c>
      <c r="M22" s="104">
        <v>0</v>
      </c>
      <c r="N22" s="105">
        <f t="shared" si="0"/>
        <v>241221.56609145002</v>
      </c>
      <c r="O22" s="106">
        <v>0</v>
      </c>
      <c r="P22" s="107">
        <f t="shared" si="3"/>
        <v>265154.17</v>
      </c>
      <c r="Q22" s="108">
        <f t="shared" si="4"/>
        <v>281063.17</v>
      </c>
      <c r="R22" s="109">
        <f t="shared" si="5"/>
        <v>273109.17</v>
      </c>
      <c r="S22" s="60">
        <f t="shared" si="8"/>
        <v>0.17</v>
      </c>
    </row>
    <row r="23" spans="1:21" ht="17.100000000000001" customHeight="1" x14ac:dyDescent="0.25">
      <c r="A23" s="7" t="s">
        <v>22</v>
      </c>
      <c r="B23" s="98">
        <v>4</v>
      </c>
      <c r="C23" s="98" t="s">
        <v>114</v>
      </c>
      <c r="D23" s="98">
        <f t="shared" si="6"/>
        <v>18</v>
      </c>
      <c r="E23" s="87" t="s">
        <v>207</v>
      </c>
      <c r="F23" s="205" t="s">
        <v>208</v>
      </c>
      <c r="G23" s="99">
        <v>2.6880000000000002</v>
      </c>
      <c r="H23" s="100">
        <v>160942.35999999999</v>
      </c>
      <c r="I23" s="196">
        <f>130157</f>
        <v>130157</v>
      </c>
      <c r="J23" s="102"/>
      <c r="K23" s="103">
        <f t="shared" si="1"/>
        <v>30785.359999999986</v>
      </c>
      <c r="L23" s="103">
        <f t="shared" si="2"/>
        <v>923.56079999999952</v>
      </c>
      <c r="M23" s="104">
        <v>0</v>
      </c>
      <c r="N23" s="105">
        <f t="shared" si="0"/>
        <v>279063.29660160001</v>
      </c>
      <c r="O23" s="106">
        <v>0</v>
      </c>
      <c r="P23" s="107">
        <f t="shared" si="3"/>
        <v>310772.18</v>
      </c>
      <c r="Q23" s="108">
        <f t="shared" si="4"/>
        <v>329419.18</v>
      </c>
      <c r="R23" s="109">
        <f t="shared" si="5"/>
        <v>320095.18</v>
      </c>
      <c r="S23" s="60">
        <f t="shared" si="8"/>
        <v>0.18000000000000002</v>
      </c>
    </row>
    <row r="24" spans="1:21" ht="17.100000000000001" customHeight="1" x14ac:dyDescent="0.25">
      <c r="A24" s="7" t="s">
        <v>22</v>
      </c>
      <c r="B24" s="98">
        <v>5</v>
      </c>
      <c r="C24" s="98" t="s">
        <v>113</v>
      </c>
      <c r="D24" s="98">
        <f t="shared" si="6"/>
        <v>19</v>
      </c>
      <c r="E24" s="87" t="s">
        <v>83</v>
      </c>
      <c r="F24" s="88"/>
      <c r="G24" s="99">
        <v>2.36</v>
      </c>
      <c r="H24" s="100">
        <v>233645.38</v>
      </c>
      <c r="I24" s="196">
        <f>210045.19+23600</f>
        <v>233645.19</v>
      </c>
      <c r="J24" s="102"/>
      <c r="K24" s="103">
        <f t="shared" si="1"/>
        <v>0.19000000000232831</v>
      </c>
      <c r="L24" s="103">
        <f t="shared" si="2"/>
        <v>5.7000000000698488E-3</v>
      </c>
      <c r="M24" s="104">
        <v>0</v>
      </c>
      <c r="N24" s="105">
        <f t="shared" si="0"/>
        <v>245010.93005200001</v>
      </c>
      <c r="O24" s="106">
        <v>0</v>
      </c>
      <c r="P24" s="107">
        <f t="shared" si="3"/>
        <v>245011.19</v>
      </c>
      <c r="Q24" s="108">
        <f t="shared" si="4"/>
        <v>259712.19</v>
      </c>
      <c r="R24" s="109">
        <f t="shared" si="5"/>
        <v>252361.19</v>
      </c>
      <c r="S24" s="60">
        <f t="shared" si="8"/>
        <v>0.19000000000000003</v>
      </c>
    </row>
    <row r="25" spans="1:21" ht="17.100000000000001" customHeight="1" x14ac:dyDescent="0.25">
      <c r="A25" s="7" t="s">
        <v>23</v>
      </c>
      <c r="B25" s="98">
        <v>5</v>
      </c>
      <c r="C25" s="98" t="s">
        <v>114</v>
      </c>
      <c r="D25" s="98">
        <f t="shared" si="6"/>
        <v>20</v>
      </c>
      <c r="E25" s="87" t="s">
        <v>84</v>
      </c>
      <c r="F25" s="98"/>
      <c r="G25" s="99">
        <v>2.7183000000000002</v>
      </c>
      <c r="H25" s="100">
        <v>276376.40000000002</v>
      </c>
      <c r="I25" s="196">
        <f>242000</f>
        <v>242000</v>
      </c>
      <c r="J25" s="102"/>
      <c r="K25" s="144">
        <f t="shared" si="1"/>
        <v>34376.400000000023</v>
      </c>
      <c r="L25" s="103">
        <f t="shared" si="2"/>
        <v>1031.2920000000006</v>
      </c>
      <c r="M25" s="104">
        <v>0</v>
      </c>
      <c r="N25" s="105">
        <f t="shared" si="0"/>
        <v>282208.98777981004</v>
      </c>
      <c r="O25" s="106">
        <v>0</v>
      </c>
      <c r="P25" s="107">
        <f t="shared" si="3"/>
        <v>317617.2</v>
      </c>
      <c r="Q25" s="108">
        <f t="shared" si="4"/>
        <v>336674.2</v>
      </c>
      <c r="R25" s="109">
        <f t="shared" si="5"/>
        <v>327146.2</v>
      </c>
      <c r="S25" s="60">
        <f t="shared" si="8"/>
        <v>0.20000000000000004</v>
      </c>
    </row>
    <row r="26" spans="1:21" ht="17.100000000000001" customHeight="1" x14ac:dyDescent="0.25">
      <c r="A26" s="7" t="s">
        <v>24</v>
      </c>
      <c r="B26" s="98">
        <v>6</v>
      </c>
      <c r="C26" s="98" t="s">
        <v>113</v>
      </c>
      <c r="D26" s="98">
        <f t="shared" si="6"/>
        <v>21</v>
      </c>
      <c r="E26" s="87" t="s">
        <v>85</v>
      </c>
      <c r="F26" s="88"/>
      <c r="G26" s="99">
        <v>2.3033000000000001</v>
      </c>
      <c r="H26" s="100">
        <v>228032.41999999998</v>
      </c>
      <c r="I26" s="196">
        <f>204999.21+23724.21</f>
        <v>228723.41999999998</v>
      </c>
      <c r="J26" s="102"/>
      <c r="K26" s="103">
        <f t="shared" si="1"/>
        <v>-691</v>
      </c>
      <c r="L26" s="103">
        <f t="shared" si="2"/>
        <v>0</v>
      </c>
      <c r="M26" s="104">
        <v>0</v>
      </c>
      <c r="N26" s="105">
        <f t="shared" si="0"/>
        <v>239124.43863931001</v>
      </c>
      <c r="O26" s="106">
        <v>0</v>
      </c>
      <c r="P26" s="107">
        <f t="shared" si="3"/>
        <v>238433.21</v>
      </c>
      <c r="Q26" s="108">
        <f t="shared" si="4"/>
        <v>252739.21</v>
      </c>
      <c r="R26" s="109">
        <f t="shared" si="5"/>
        <v>245586.21</v>
      </c>
      <c r="S26" s="60">
        <f t="shared" si="8"/>
        <v>0.21000000000000005</v>
      </c>
    </row>
    <row r="27" spans="1:21" ht="17.100000000000001" customHeight="1" x14ac:dyDescent="0.25">
      <c r="A27" s="7" t="s">
        <v>25</v>
      </c>
      <c r="B27" s="98">
        <v>6</v>
      </c>
      <c r="C27" s="98" t="s">
        <v>114</v>
      </c>
      <c r="D27" s="98">
        <f t="shared" si="6"/>
        <v>22</v>
      </c>
      <c r="E27" s="87" t="s">
        <v>130</v>
      </c>
      <c r="F27" s="88" t="s">
        <v>131</v>
      </c>
      <c r="G27" s="99">
        <v>2.6360000000000001</v>
      </c>
      <c r="H27" s="100">
        <v>260970.44</v>
      </c>
      <c r="I27" s="196">
        <f>234610.22</f>
        <v>234610.22</v>
      </c>
      <c r="J27" s="102"/>
      <c r="K27" s="103">
        <f t="shared" si="1"/>
        <v>26360.22</v>
      </c>
      <c r="L27" s="103">
        <f t="shared" si="2"/>
        <v>790.8066</v>
      </c>
      <c r="M27" s="104">
        <v>0</v>
      </c>
      <c r="N27" s="105">
        <f t="shared" si="0"/>
        <v>273664.75068520004</v>
      </c>
      <c r="O27" s="106">
        <v>0</v>
      </c>
      <c r="P27" s="107">
        <f t="shared" si="3"/>
        <v>300816.21999999997</v>
      </c>
      <c r="Q27" s="108">
        <f t="shared" si="4"/>
        <v>318865.21999999997</v>
      </c>
      <c r="R27" s="109">
        <f t="shared" si="5"/>
        <v>309840.21999999997</v>
      </c>
      <c r="S27" s="60">
        <f t="shared" si="8"/>
        <v>0.22000000000000006</v>
      </c>
      <c r="U27" t="s">
        <v>200</v>
      </c>
    </row>
    <row r="28" spans="1:21" ht="17.100000000000001" customHeight="1" x14ac:dyDescent="0.25">
      <c r="A28" s="7" t="s">
        <v>26</v>
      </c>
      <c r="B28" s="98">
        <v>7</v>
      </c>
      <c r="C28" s="98" t="s">
        <v>113</v>
      </c>
      <c r="D28" s="98">
        <f t="shared" si="6"/>
        <v>23</v>
      </c>
      <c r="E28" s="87" t="s">
        <v>86</v>
      </c>
      <c r="F28" s="88"/>
      <c r="G28" s="99">
        <v>2.3033000000000001</v>
      </c>
      <c r="H28" s="100">
        <v>228032.46000000002</v>
      </c>
      <c r="I28" s="196">
        <f>204999.23+23724.23</f>
        <v>228723.46000000002</v>
      </c>
      <c r="J28" s="102"/>
      <c r="K28" s="103">
        <f t="shared" si="1"/>
        <v>-691</v>
      </c>
      <c r="L28" s="103">
        <f t="shared" si="2"/>
        <v>0</v>
      </c>
      <c r="M28" s="104">
        <v>0</v>
      </c>
      <c r="N28" s="105">
        <f t="shared" si="0"/>
        <v>239124.43863931001</v>
      </c>
      <c r="O28" s="106">
        <v>0</v>
      </c>
      <c r="P28" s="107">
        <f t="shared" si="3"/>
        <v>238433.23</v>
      </c>
      <c r="Q28" s="108">
        <f t="shared" si="4"/>
        <v>252739.23</v>
      </c>
      <c r="R28" s="109">
        <f t="shared" si="5"/>
        <v>245586.23</v>
      </c>
      <c r="S28" s="60">
        <f t="shared" si="8"/>
        <v>0.23000000000000007</v>
      </c>
    </row>
    <row r="29" spans="1:21" ht="17.100000000000001" customHeight="1" x14ac:dyDescent="0.25">
      <c r="A29" s="32" t="s">
        <v>28</v>
      </c>
      <c r="B29" s="98">
        <v>7</v>
      </c>
      <c r="C29" s="98" t="s">
        <v>114</v>
      </c>
      <c r="D29" s="98">
        <f t="shared" si="6"/>
        <v>24</v>
      </c>
      <c r="E29" s="87" t="s">
        <v>87</v>
      </c>
      <c r="F29" s="88"/>
      <c r="G29" s="99">
        <v>2.6158999999999999</v>
      </c>
      <c r="H29" s="100">
        <v>258980.47999999998</v>
      </c>
      <c r="I29" s="196">
        <f>232821.24+6159.24</f>
        <v>238980.47999999998</v>
      </c>
      <c r="J29" s="102"/>
      <c r="K29" s="103">
        <f t="shared" si="1"/>
        <v>20000</v>
      </c>
      <c r="L29" s="103">
        <f t="shared" si="2"/>
        <v>600</v>
      </c>
      <c r="M29" s="104">
        <v>0</v>
      </c>
      <c r="N29" s="105">
        <f t="shared" si="0"/>
        <v>271578.00505212997</v>
      </c>
      <c r="O29" s="106">
        <v>0</v>
      </c>
      <c r="P29" s="107">
        <f t="shared" si="3"/>
        <v>292178.24</v>
      </c>
      <c r="Q29" s="108">
        <f t="shared" si="4"/>
        <v>309709.24</v>
      </c>
      <c r="R29" s="109">
        <f t="shared" si="5"/>
        <v>300943.24</v>
      </c>
      <c r="S29" s="60">
        <f t="shared" si="8"/>
        <v>0.24000000000000007</v>
      </c>
    </row>
    <row r="30" spans="1:21" ht="17.100000000000001" customHeight="1" x14ac:dyDescent="0.25">
      <c r="A30" s="32" t="s">
        <v>28</v>
      </c>
      <c r="B30" s="98">
        <v>8</v>
      </c>
      <c r="C30" s="98" t="s">
        <v>113</v>
      </c>
      <c r="D30" s="98">
        <f t="shared" si="6"/>
        <v>25</v>
      </c>
      <c r="E30" s="87" t="s">
        <v>88</v>
      </c>
      <c r="F30" s="98"/>
      <c r="G30" s="99">
        <v>2.3536999999999999</v>
      </c>
      <c r="H30" s="100">
        <v>233021.5</v>
      </c>
      <c r="I30" s="196">
        <f>209484.25+24243.25</f>
        <v>233727.5</v>
      </c>
      <c r="J30" s="102"/>
      <c r="K30" s="103">
        <f t="shared" si="1"/>
        <v>-706</v>
      </c>
      <c r="L30" s="103">
        <f t="shared" si="2"/>
        <v>0</v>
      </c>
      <c r="M30" s="104">
        <v>0</v>
      </c>
      <c r="N30" s="105">
        <f t="shared" si="0"/>
        <v>244356.87545058999</v>
      </c>
      <c r="O30" s="106">
        <v>0</v>
      </c>
      <c r="P30" s="107">
        <f t="shared" si="3"/>
        <v>243651.25</v>
      </c>
      <c r="Q30" s="108">
        <f t="shared" si="4"/>
        <v>258270.25</v>
      </c>
      <c r="R30" s="109">
        <f t="shared" si="5"/>
        <v>250961.25</v>
      </c>
      <c r="S30" s="60">
        <f t="shared" si="8"/>
        <v>0.25000000000000006</v>
      </c>
    </row>
    <row r="31" spans="1:21" ht="17.100000000000001" customHeight="1" x14ac:dyDescent="0.25">
      <c r="A31" s="32" t="s">
        <v>28</v>
      </c>
      <c r="B31" s="98">
        <v>8</v>
      </c>
      <c r="C31" s="98" t="s">
        <v>114</v>
      </c>
      <c r="D31" s="98">
        <f t="shared" si="6"/>
        <v>26</v>
      </c>
      <c r="E31" s="87" t="s">
        <v>132</v>
      </c>
      <c r="F31" s="98" t="s">
        <v>133</v>
      </c>
      <c r="G31" s="99">
        <v>2.6469</v>
      </c>
      <c r="H31" s="100">
        <v>262049.52000000002</v>
      </c>
      <c r="I31" s="196">
        <f>235580.26+26469</f>
        <v>262049.26</v>
      </c>
      <c r="J31" s="102"/>
      <c r="K31" s="103">
        <f t="shared" si="1"/>
        <v>0.26000000000931323</v>
      </c>
      <c r="L31" s="103">
        <f t="shared" si="2"/>
        <v>7.8000000002793968E-3</v>
      </c>
      <c r="M31" s="104">
        <v>0</v>
      </c>
      <c r="N31" s="105">
        <f t="shared" si="0"/>
        <v>274796.36896383</v>
      </c>
      <c r="O31" s="106">
        <v>0</v>
      </c>
      <c r="P31" s="107">
        <f t="shared" si="3"/>
        <v>274797.26</v>
      </c>
      <c r="Q31" s="108">
        <f t="shared" si="4"/>
        <v>291285.26</v>
      </c>
      <c r="R31" s="109">
        <f t="shared" si="5"/>
        <v>283041.26</v>
      </c>
      <c r="S31" s="60">
        <f t="shared" si="8"/>
        <v>0.26000000000000006</v>
      </c>
    </row>
    <row r="32" spans="1:21" ht="17.100000000000001" customHeight="1" x14ac:dyDescent="0.25">
      <c r="A32" s="32" t="s">
        <v>28</v>
      </c>
      <c r="B32" s="98">
        <v>9</v>
      </c>
      <c r="C32" s="98" t="s">
        <v>113</v>
      </c>
      <c r="D32" s="98">
        <f t="shared" si="6"/>
        <v>27</v>
      </c>
      <c r="E32" s="87" t="s">
        <v>89</v>
      </c>
      <c r="F32" s="88"/>
      <c r="G32" s="99">
        <v>2.3536999999999999</v>
      </c>
      <c r="H32" s="100">
        <v>233021.53999999998</v>
      </c>
      <c r="I32" s="196">
        <f>209484.27</f>
        <v>209484.27</v>
      </c>
      <c r="J32" s="102"/>
      <c r="K32" s="103">
        <f t="shared" si="1"/>
        <v>23537.26999999999</v>
      </c>
      <c r="L32" s="103">
        <f t="shared" si="2"/>
        <v>706.11809999999969</v>
      </c>
      <c r="M32" s="104">
        <v>0</v>
      </c>
      <c r="N32" s="105">
        <f t="shared" si="0"/>
        <v>244356.87545058999</v>
      </c>
      <c r="O32" s="106">
        <v>0</v>
      </c>
      <c r="P32" s="107">
        <f t="shared" si="3"/>
        <v>268600.27</v>
      </c>
      <c r="Q32" s="108">
        <f t="shared" si="4"/>
        <v>284716.27</v>
      </c>
      <c r="R32" s="109">
        <f t="shared" si="5"/>
        <v>276658.27</v>
      </c>
      <c r="S32" s="60">
        <f t="shared" si="8"/>
        <v>0.27000000000000007</v>
      </c>
    </row>
    <row r="33" spans="1:21" ht="17.100000000000001" customHeight="1" x14ac:dyDescent="0.25">
      <c r="A33" s="32" t="s">
        <v>28</v>
      </c>
      <c r="B33" s="98">
        <v>9</v>
      </c>
      <c r="C33" s="98" t="s">
        <v>114</v>
      </c>
      <c r="D33" s="98">
        <f t="shared" si="6"/>
        <v>28</v>
      </c>
      <c r="E33" s="87" t="s">
        <v>90</v>
      </c>
      <c r="F33" s="98"/>
      <c r="G33" s="99">
        <v>2.6663000000000001</v>
      </c>
      <c r="H33" s="100">
        <v>263969.56</v>
      </c>
      <c r="I33" s="196">
        <f>237306.28</f>
        <v>237306.28</v>
      </c>
      <c r="J33" s="102"/>
      <c r="K33" s="103">
        <f t="shared" si="1"/>
        <v>26663.279999999999</v>
      </c>
      <c r="L33" s="103">
        <f t="shared" si="2"/>
        <v>799.89839999999992</v>
      </c>
      <c r="M33" s="104">
        <v>0</v>
      </c>
      <c r="N33" s="105">
        <f t="shared" si="0"/>
        <v>276810.44186341006</v>
      </c>
      <c r="O33" s="179">
        <v>0</v>
      </c>
      <c r="P33" s="107">
        <f t="shared" si="3"/>
        <v>304274.28000000003</v>
      </c>
      <c r="Q33" s="108">
        <f t="shared" si="4"/>
        <v>322531.28000000003</v>
      </c>
      <c r="R33" s="109">
        <f t="shared" si="5"/>
        <v>313402.28000000003</v>
      </c>
      <c r="S33" s="60">
        <f t="shared" si="8"/>
        <v>0.28000000000000008</v>
      </c>
    </row>
    <row r="34" spans="1:21" ht="17.100000000000001" customHeight="1" x14ac:dyDescent="0.25">
      <c r="A34" s="32" t="s">
        <v>28</v>
      </c>
      <c r="B34" s="98">
        <v>10</v>
      </c>
      <c r="C34" s="98" t="s">
        <v>113</v>
      </c>
      <c r="D34" s="98">
        <f t="shared" si="6"/>
        <v>29</v>
      </c>
      <c r="E34" s="87" t="s">
        <v>136</v>
      </c>
      <c r="F34" s="98" t="s">
        <v>134</v>
      </c>
      <c r="G34" s="99">
        <v>2.4476</v>
      </c>
      <c r="H34" s="100">
        <v>242318.58000000002</v>
      </c>
      <c r="I34" s="196">
        <f>217842.29+25210.29</f>
        <v>243052.58000000002</v>
      </c>
      <c r="J34" s="102"/>
      <c r="K34" s="103">
        <f t="shared" si="1"/>
        <v>-734</v>
      </c>
      <c r="L34" s="103">
        <f t="shared" si="2"/>
        <v>0</v>
      </c>
      <c r="M34" s="104">
        <v>0</v>
      </c>
      <c r="N34" s="105">
        <f t="shared" si="0"/>
        <v>254105.40355732001</v>
      </c>
      <c r="O34" s="106">
        <v>0</v>
      </c>
      <c r="P34" s="107">
        <f t="shared" si="3"/>
        <v>253371.29</v>
      </c>
      <c r="Q34" s="108">
        <f t="shared" si="4"/>
        <v>268574.28999999998</v>
      </c>
      <c r="R34" s="109">
        <f t="shared" si="5"/>
        <v>260972.29</v>
      </c>
      <c r="S34" s="60">
        <f t="shared" si="8"/>
        <v>0.29000000000000009</v>
      </c>
    </row>
    <row r="35" spans="1:21" ht="17.100000000000001" customHeight="1" x14ac:dyDescent="0.25">
      <c r="A35" s="32" t="s">
        <v>28</v>
      </c>
      <c r="B35" s="98">
        <v>10</v>
      </c>
      <c r="C35" s="98" t="s">
        <v>114</v>
      </c>
      <c r="D35" s="98">
        <f t="shared" si="6"/>
        <v>30</v>
      </c>
      <c r="E35" s="87" t="s">
        <v>91</v>
      </c>
      <c r="F35" s="88"/>
      <c r="G35" s="99">
        <v>2.7183000000000002</v>
      </c>
      <c r="H35" s="100">
        <v>269118.59999999998</v>
      </c>
      <c r="I35" s="196">
        <f>241935.3</f>
        <v>241935.3</v>
      </c>
      <c r="J35" s="102"/>
      <c r="K35" s="103">
        <f t="shared" si="1"/>
        <v>27183.299999999988</v>
      </c>
      <c r="L35" s="103">
        <f t="shared" si="2"/>
        <v>815.49899999999957</v>
      </c>
      <c r="M35" s="104">
        <v>0</v>
      </c>
      <c r="N35" s="105">
        <f t="shared" si="0"/>
        <v>282208.98777981004</v>
      </c>
      <c r="O35" s="106">
        <v>0</v>
      </c>
      <c r="P35" s="107">
        <f t="shared" si="3"/>
        <v>310208.3</v>
      </c>
      <c r="Q35" s="108">
        <f t="shared" si="4"/>
        <v>328821.3</v>
      </c>
      <c r="R35" s="109">
        <f t="shared" si="5"/>
        <v>319514.3</v>
      </c>
      <c r="S35" s="60">
        <f t="shared" si="8"/>
        <v>0.3000000000000001</v>
      </c>
    </row>
    <row r="36" spans="1:21" x14ac:dyDescent="0.25">
      <c r="A36" s="32" t="s">
        <v>28</v>
      </c>
      <c r="B36" s="98">
        <v>11</v>
      </c>
      <c r="C36" s="98" t="s">
        <v>113</v>
      </c>
      <c r="D36" s="98">
        <f t="shared" si="6"/>
        <v>31</v>
      </c>
      <c r="E36" s="87" t="s">
        <v>137</v>
      </c>
      <c r="F36" s="98" t="s">
        <v>135</v>
      </c>
      <c r="G36" s="99">
        <v>2.3026</v>
      </c>
      <c r="H36" s="101">
        <v>227962.62</v>
      </c>
      <c r="I36" s="196">
        <f>209936.31</f>
        <v>209936.31</v>
      </c>
      <c r="J36" s="110"/>
      <c r="K36" s="111">
        <f t="shared" si="1"/>
        <v>18026.309999999998</v>
      </c>
      <c r="L36" s="103">
        <f t="shared" si="2"/>
        <v>540.78929999999991</v>
      </c>
      <c r="M36" s="104">
        <v>0</v>
      </c>
      <c r="N36" s="201">
        <f t="shared" si="0"/>
        <v>239051.76590582001</v>
      </c>
      <c r="O36" s="112">
        <v>0</v>
      </c>
      <c r="P36" s="107">
        <f t="shared" si="3"/>
        <v>257619.31</v>
      </c>
      <c r="Q36" s="108">
        <f t="shared" si="4"/>
        <v>273076.31</v>
      </c>
      <c r="R36" s="109">
        <f t="shared" si="5"/>
        <v>265348.31</v>
      </c>
      <c r="S36" s="60">
        <f t="shared" si="8"/>
        <v>0.31000000000000011</v>
      </c>
    </row>
    <row r="37" spans="1:21" ht="17.100000000000001" customHeight="1" x14ac:dyDescent="0.25">
      <c r="A37" s="32" t="s">
        <v>28</v>
      </c>
      <c r="B37" s="98">
        <v>11</v>
      </c>
      <c r="C37" s="98" t="s">
        <v>114</v>
      </c>
      <c r="D37" s="98">
        <f t="shared" si="6"/>
        <v>32</v>
      </c>
      <c r="E37" s="87" t="s">
        <v>92</v>
      </c>
      <c r="F37" s="88"/>
      <c r="G37" s="99">
        <v>2.6562000000000001</v>
      </c>
      <c r="H37" s="100">
        <v>358385.64</v>
      </c>
      <c r="I37" s="196">
        <f>236407.32+26562.32</f>
        <v>262969.64</v>
      </c>
      <c r="J37" s="102"/>
      <c r="K37" s="103">
        <f t="shared" si="1"/>
        <v>95416</v>
      </c>
      <c r="L37" s="103">
        <f t="shared" si="2"/>
        <v>2862.48</v>
      </c>
      <c r="M37" s="104">
        <v>0</v>
      </c>
      <c r="N37" s="105">
        <f t="shared" si="0"/>
        <v>275761.87813734001</v>
      </c>
      <c r="O37" s="106">
        <v>0</v>
      </c>
      <c r="P37" s="107">
        <f t="shared" si="3"/>
        <v>374040.32000000001</v>
      </c>
      <c r="Q37" s="108">
        <f t="shared" si="4"/>
        <v>396483.32</v>
      </c>
      <c r="R37" s="109">
        <f t="shared" si="5"/>
        <v>385261.32</v>
      </c>
      <c r="S37" s="60">
        <f t="shared" si="8"/>
        <v>0.32000000000000012</v>
      </c>
    </row>
    <row r="38" spans="1:21" ht="17.100000000000001" customHeight="1" x14ac:dyDescent="0.25">
      <c r="A38" s="32" t="s">
        <v>28</v>
      </c>
      <c r="B38" s="98">
        <v>12</v>
      </c>
      <c r="C38" s="98" t="s">
        <v>113</v>
      </c>
      <c r="D38" s="98">
        <f t="shared" si="6"/>
        <v>33</v>
      </c>
      <c r="E38" s="87" t="s">
        <v>93</v>
      </c>
      <c r="F38" s="88"/>
      <c r="G38" s="99">
        <v>2.3342999999999998</v>
      </c>
      <c r="H38" s="100">
        <v>231101.65999999997</v>
      </c>
      <c r="I38" s="196">
        <f>207758.33+23343</f>
        <v>231101.33</v>
      </c>
      <c r="J38" s="102"/>
      <c r="K38" s="103">
        <f t="shared" si="1"/>
        <v>0.32999999998719431</v>
      </c>
      <c r="L38" s="103">
        <f t="shared" si="2"/>
        <v>9.899999999615829E-3</v>
      </c>
      <c r="M38" s="104">
        <v>0</v>
      </c>
      <c r="N38" s="105">
        <f t="shared" si="0"/>
        <v>242342.80255101001</v>
      </c>
      <c r="O38" s="106">
        <v>0</v>
      </c>
      <c r="P38" s="107">
        <f t="shared" si="3"/>
        <v>242343.33</v>
      </c>
      <c r="Q38" s="108">
        <f t="shared" si="4"/>
        <v>256884.33</v>
      </c>
      <c r="R38" s="109">
        <f t="shared" si="5"/>
        <v>249613.33</v>
      </c>
      <c r="S38" s="60">
        <f t="shared" si="8"/>
        <v>0.33000000000000013</v>
      </c>
    </row>
    <row r="39" spans="1:21" ht="17.100000000000001" customHeight="1" x14ac:dyDescent="0.25">
      <c r="A39" s="32" t="s">
        <v>28</v>
      </c>
      <c r="B39" s="98">
        <v>12</v>
      </c>
      <c r="C39" s="98" t="s">
        <v>114</v>
      </c>
      <c r="D39" s="98">
        <f t="shared" si="6"/>
        <v>34</v>
      </c>
      <c r="E39" s="87" t="s">
        <v>94</v>
      </c>
      <c r="F39" s="98"/>
      <c r="G39" s="99">
        <v>2.6259000000000001</v>
      </c>
      <c r="H39" s="100">
        <v>259970.68</v>
      </c>
      <c r="I39" s="196">
        <f>233711.34</f>
        <v>233711.34</v>
      </c>
      <c r="J39" s="102"/>
      <c r="K39" s="103">
        <f t="shared" si="1"/>
        <v>26259.339999999997</v>
      </c>
      <c r="L39" s="103">
        <f t="shared" si="2"/>
        <v>787.78019999999992</v>
      </c>
      <c r="M39" s="104">
        <v>0</v>
      </c>
      <c r="N39" s="105">
        <f t="shared" si="0"/>
        <v>272616.18695912999</v>
      </c>
      <c r="O39" s="106">
        <v>0</v>
      </c>
      <c r="P39" s="107">
        <f t="shared" si="3"/>
        <v>299663.34000000003</v>
      </c>
      <c r="Q39" s="108">
        <f t="shared" si="4"/>
        <v>317643.34000000003</v>
      </c>
      <c r="R39" s="109">
        <f t="shared" si="5"/>
        <v>308653.34000000003</v>
      </c>
      <c r="S39" s="60">
        <f t="shared" si="8"/>
        <v>0.34000000000000014</v>
      </c>
    </row>
    <row r="40" spans="1:21" ht="17.100000000000001" customHeight="1" x14ac:dyDescent="0.25">
      <c r="A40" s="32" t="s">
        <v>28</v>
      </c>
      <c r="B40" s="98">
        <v>1</v>
      </c>
      <c r="C40" s="98" t="s">
        <v>115</v>
      </c>
      <c r="D40" s="98">
        <f t="shared" si="6"/>
        <v>35</v>
      </c>
      <c r="E40" s="87" t="s">
        <v>139</v>
      </c>
      <c r="F40" s="88" t="s">
        <v>138</v>
      </c>
      <c r="G40" s="99">
        <v>1.0069999999999999</v>
      </c>
      <c r="H40" s="100">
        <v>99695.700000000012</v>
      </c>
      <c r="I40" s="196">
        <f>89625.35</f>
        <v>89625.35</v>
      </c>
      <c r="J40" s="102"/>
      <c r="K40" s="103">
        <f t="shared" si="1"/>
        <v>10070.350000000006</v>
      </c>
      <c r="L40" s="103">
        <f t="shared" si="2"/>
        <v>302.11050000000017</v>
      </c>
      <c r="M40" s="104">
        <v>0</v>
      </c>
      <c r="N40" s="105">
        <f t="shared" si="0"/>
        <v>104544.91803489999</v>
      </c>
      <c r="O40" s="106">
        <v>0</v>
      </c>
      <c r="P40" s="107">
        <f t="shared" si="3"/>
        <v>114917.35</v>
      </c>
      <c r="Q40" s="108">
        <f t="shared" si="4"/>
        <v>121812.35</v>
      </c>
      <c r="R40" s="109">
        <f t="shared" si="5"/>
        <v>118365.35</v>
      </c>
      <c r="S40" s="60">
        <f t="shared" si="8"/>
        <v>0.35000000000000014</v>
      </c>
    </row>
    <row r="41" spans="1:21" ht="17.100000000000001" customHeight="1" x14ac:dyDescent="0.25">
      <c r="A41" s="32" t="s">
        <v>28</v>
      </c>
      <c r="B41" s="98">
        <v>1</v>
      </c>
      <c r="C41" s="98" t="s">
        <v>116</v>
      </c>
      <c r="D41" s="98">
        <f t="shared" si="6"/>
        <v>36</v>
      </c>
      <c r="E41" s="87" t="s">
        <v>95</v>
      </c>
      <c r="F41" s="88" t="s">
        <v>204</v>
      </c>
      <c r="G41" s="99">
        <v>0.78120000000000001</v>
      </c>
      <c r="H41" s="101">
        <v>77340.72</v>
      </c>
      <c r="I41" s="196">
        <f>H41</f>
        <v>77340.72</v>
      </c>
      <c r="J41" s="102"/>
      <c r="K41" s="103">
        <f t="shared" si="1"/>
        <v>0</v>
      </c>
      <c r="L41" s="103">
        <f t="shared" si="2"/>
        <v>0</v>
      </c>
      <c r="M41" s="104">
        <v>0</v>
      </c>
      <c r="N41" s="105">
        <f t="shared" si="0"/>
        <v>81102.770574840004</v>
      </c>
      <c r="O41" s="106">
        <v>0</v>
      </c>
      <c r="P41" s="107">
        <f t="shared" si="3"/>
        <v>81103.360000000001</v>
      </c>
      <c r="Q41" s="108">
        <f t="shared" si="4"/>
        <v>85970.36</v>
      </c>
      <c r="R41" s="109">
        <f t="shared" si="5"/>
        <v>83536.36</v>
      </c>
      <c r="S41" s="60">
        <f t="shared" si="8"/>
        <v>0.36000000000000015</v>
      </c>
      <c r="U41" t="s">
        <v>203</v>
      </c>
    </row>
    <row r="42" spans="1:21" ht="17.100000000000001" customHeight="1" x14ac:dyDescent="0.25">
      <c r="A42" s="69"/>
      <c r="B42" s="113">
        <v>1</v>
      </c>
      <c r="C42" s="113" t="s">
        <v>117</v>
      </c>
      <c r="D42" s="98">
        <f t="shared" si="6"/>
        <v>37</v>
      </c>
      <c r="E42" s="86" t="s">
        <v>95</v>
      </c>
      <c r="F42" s="88" t="s">
        <v>204</v>
      </c>
      <c r="G42" s="115">
        <v>1.2153</v>
      </c>
      <c r="H42" s="100">
        <v>120317.73999999999</v>
      </c>
      <c r="I42" s="196">
        <f>178000-I41+20570</f>
        <v>121229.28</v>
      </c>
      <c r="J42" s="102"/>
      <c r="K42" s="103">
        <f t="shared" si="1"/>
        <v>-911.54000000000815</v>
      </c>
      <c r="L42" s="103">
        <f t="shared" si="2"/>
        <v>0</v>
      </c>
      <c r="M42" s="104">
        <v>0</v>
      </c>
      <c r="N42" s="105">
        <f t="shared" si="0"/>
        <v>126170.24715771001</v>
      </c>
      <c r="O42" s="106">
        <v>0</v>
      </c>
      <c r="P42" s="107">
        <f t="shared" si="3"/>
        <v>125259.37</v>
      </c>
      <c r="Q42" s="108">
        <f t="shared" si="4"/>
        <v>132775.37</v>
      </c>
      <c r="R42" s="109">
        <f t="shared" si="5"/>
        <v>129017.37</v>
      </c>
      <c r="S42" s="60">
        <f t="shared" si="8"/>
        <v>0.37000000000000016</v>
      </c>
      <c r="U42" t="s">
        <v>203</v>
      </c>
    </row>
    <row r="43" spans="1:21" ht="17.100000000000001" customHeight="1" x14ac:dyDescent="0.25">
      <c r="B43" s="98">
        <v>2</v>
      </c>
      <c r="C43" s="116" t="s">
        <v>115</v>
      </c>
      <c r="D43" s="98">
        <f t="shared" si="6"/>
        <v>38</v>
      </c>
      <c r="E43" s="86" t="s">
        <v>141</v>
      </c>
      <c r="F43" s="113" t="s">
        <v>140</v>
      </c>
      <c r="G43" s="115">
        <v>0.95489999999999997</v>
      </c>
      <c r="H43" s="100">
        <v>97087.760000000009</v>
      </c>
      <c r="I43" s="196">
        <f>9835.38</f>
        <v>9835.3799999999992</v>
      </c>
      <c r="J43" s="102"/>
      <c r="K43" s="103">
        <f t="shared" si="1"/>
        <v>87252.38</v>
      </c>
      <c r="L43" s="103">
        <f t="shared" si="2"/>
        <v>2617.5714000000003</v>
      </c>
      <c r="M43" s="104">
        <v>0</v>
      </c>
      <c r="N43" s="105">
        <f t="shared" si="0"/>
        <v>99135.990299430006</v>
      </c>
      <c r="O43" s="106">
        <v>0</v>
      </c>
      <c r="P43" s="107">
        <f t="shared" si="3"/>
        <v>189006.38</v>
      </c>
      <c r="Q43" s="108">
        <f t="shared" si="4"/>
        <v>200347.38</v>
      </c>
      <c r="R43" s="109">
        <f t="shared" si="5"/>
        <v>194676.38</v>
      </c>
      <c r="S43" s="60">
        <f t="shared" si="8"/>
        <v>0.38000000000000017</v>
      </c>
    </row>
    <row r="44" spans="1:21" ht="17.100000000000001" customHeight="1" x14ac:dyDescent="0.25">
      <c r="B44" s="98">
        <v>2</v>
      </c>
      <c r="C44" s="116" t="s">
        <v>116</v>
      </c>
      <c r="D44" s="98">
        <f t="shared" si="6"/>
        <v>39</v>
      </c>
      <c r="E44" s="86" t="s">
        <v>96</v>
      </c>
      <c r="F44" s="114"/>
      <c r="G44" s="115">
        <v>0.75519999999999998</v>
      </c>
      <c r="H44" s="100">
        <v>76782.78</v>
      </c>
      <c r="I44" s="196"/>
      <c r="J44" s="102"/>
      <c r="K44" s="103">
        <f t="shared" si="1"/>
        <v>76782.78</v>
      </c>
      <c r="L44" s="103">
        <f t="shared" si="2"/>
        <v>2303.4834000000001</v>
      </c>
      <c r="M44" s="104">
        <v>0</v>
      </c>
      <c r="N44" s="105">
        <f t="shared" si="0"/>
        <v>78403.497616640001</v>
      </c>
      <c r="O44" s="106">
        <v>0</v>
      </c>
      <c r="P44" s="107">
        <f t="shared" si="3"/>
        <v>157490.39000000001</v>
      </c>
      <c r="Q44" s="108">
        <f t="shared" si="4"/>
        <v>166940.39000000001</v>
      </c>
      <c r="R44" s="109">
        <f t="shared" si="5"/>
        <v>162215.39000000001</v>
      </c>
      <c r="S44" s="60">
        <f t="shared" si="8"/>
        <v>0.39000000000000018</v>
      </c>
    </row>
    <row r="45" spans="1:21" ht="17.100000000000001" customHeight="1" x14ac:dyDescent="0.25">
      <c r="B45" s="98">
        <v>2</v>
      </c>
      <c r="C45" s="116" t="s">
        <v>117</v>
      </c>
      <c r="D45" s="98">
        <f t="shared" si="6"/>
        <v>40</v>
      </c>
      <c r="E45" s="86" t="s">
        <v>89</v>
      </c>
      <c r="F45" s="113" t="s">
        <v>142</v>
      </c>
      <c r="G45" s="115">
        <v>1.1545000000000001</v>
      </c>
      <c r="H45" s="100">
        <v>114298.79999999999</v>
      </c>
      <c r="I45" s="196">
        <f>102753.4</f>
        <v>102753.4</v>
      </c>
      <c r="J45" s="102"/>
      <c r="K45" s="103">
        <f t="shared" si="1"/>
        <v>11545.399999999994</v>
      </c>
      <c r="L45" s="103">
        <f t="shared" si="2"/>
        <v>346.3619999999998</v>
      </c>
      <c r="M45" s="104">
        <v>0</v>
      </c>
      <c r="N45" s="105">
        <f t="shared" si="0"/>
        <v>119858.10116315002</v>
      </c>
      <c r="O45" s="106">
        <v>0</v>
      </c>
      <c r="P45" s="107">
        <f t="shared" si="3"/>
        <v>131750.39999999999</v>
      </c>
      <c r="Q45" s="108">
        <f t="shared" si="4"/>
        <v>139655.4</v>
      </c>
      <c r="R45" s="109">
        <f t="shared" si="5"/>
        <v>135703.4</v>
      </c>
      <c r="S45" s="60">
        <f t="shared" si="8"/>
        <v>0.40000000000000019</v>
      </c>
    </row>
    <row r="46" spans="1:21" ht="17.100000000000001" customHeight="1" x14ac:dyDescent="0.25">
      <c r="B46" s="98">
        <v>3</v>
      </c>
      <c r="C46" s="116" t="s">
        <v>115</v>
      </c>
      <c r="D46" s="98">
        <f t="shared" si="6"/>
        <v>41</v>
      </c>
      <c r="E46" s="86" t="s">
        <v>144</v>
      </c>
      <c r="F46" s="113" t="s">
        <v>143</v>
      </c>
      <c r="G46" s="115">
        <v>0.95489999999999997</v>
      </c>
      <c r="H46" s="100">
        <v>97087.82</v>
      </c>
      <c r="I46" s="196">
        <f>84988.41</f>
        <v>84988.41</v>
      </c>
      <c r="J46" s="102"/>
      <c r="K46" s="103">
        <f t="shared" si="1"/>
        <v>12099.410000000003</v>
      </c>
      <c r="L46" s="103">
        <f t="shared" si="2"/>
        <v>362.98230000000007</v>
      </c>
      <c r="M46" s="104">
        <v>0</v>
      </c>
      <c r="N46" s="105">
        <f t="shared" si="0"/>
        <v>99135.990299430006</v>
      </c>
      <c r="O46" s="106">
        <v>0</v>
      </c>
      <c r="P46" s="107">
        <f t="shared" si="3"/>
        <v>111598.41</v>
      </c>
      <c r="Q46" s="108">
        <f t="shared" si="4"/>
        <v>118294.41</v>
      </c>
      <c r="R46" s="109">
        <f t="shared" si="5"/>
        <v>114946.41</v>
      </c>
      <c r="S46" s="60">
        <f t="shared" si="8"/>
        <v>0.4100000000000002</v>
      </c>
    </row>
    <row r="47" spans="1:21" ht="17.100000000000001" customHeight="1" x14ac:dyDescent="0.25">
      <c r="B47" s="98">
        <v>3</v>
      </c>
      <c r="C47" s="116" t="s">
        <v>116</v>
      </c>
      <c r="D47" s="98">
        <f t="shared" si="6"/>
        <v>42</v>
      </c>
      <c r="E47" s="86" t="s">
        <v>97</v>
      </c>
      <c r="F47" s="114"/>
      <c r="G47" s="115">
        <v>0.75519999999999998</v>
      </c>
      <c r="H47" s="100">
        <v>74766.84</v>
      </c>
      <c r="I47" s="196">
        <f t="shared" si="7"/>
        <v>74766.84</v>
      </c>
      <c r="J47" s="102"/>
      <c r="K47" s="103">
        <f t="shared" si="1"/>
        <v>0</v>
      </c>
      <c r="L47" s="103">
        <f t="shared" si="2"/>
        <v>0</v>
      </c>
      <c r="M47" s="104">
        <v>0</v>
      </c>
      <c r="N47" s="105">
        <f t="shared" si="0"/>
        <v>78403.497616640001</v>
      </c>
      <c r="O47" s="106">
        <v>0</v>
      </c>
      <c r="P47" s="107">
        <f t="shared" si="3"/>
        <v>78403.42</v>
      </c>
      <c r="Q47" s="108">
        <f t="shared" si="4"/>
        <v>83108.42</v>
      </c>
      <c r="R47" s="109">
        <f t="shared" si="5"/>
        <v>80755.42</v>
      </c>
      <c r="S47" s="60">
        <f t="shared" si="8"/>
        <v>0.42000000000000021</v>
      </c>
    </row>
    <row r="48" spans="1:21" ht="17.100000000000001" customHeight="1" x14ac:dyDescent="0.25">
      <c r="B48" s="98">
        <v>3</v>
      </c>
      <c r="C48" s="116" t="s">
        <v>117</v>
      </c>
      <c r="D48" s="98">
        <f t="shared" si="6"/>
        <v>43</v>
      </c>
      <c r="E48" s="86" t="s">
        <v>98</v>
      </c>
      <c r="F48" s="114"/>
      <c r="G48" s="115">
        <v>1.1545000000000001</v>
      </c>
      <c r="H48" s="100">
        <v>114298.85999999999</v>
      </c>
      <c r="I48" s="196">
        <f>H48</f>
        <v>114298.85999999999</v>
      </c>
      <c r="J48" s="102"/>
      <c r="K48" s="103">
        <f t="shared" si="1"/>
        <v>0</v>
      </c>
      <c r="L48" s="103">
        <f t="shared" si="2"/>
        <v>0</v>
      </c>
      <c r="M48" s="104">
        <v>0</v>
      </c>
      <c r="N48" s="105">
        <f t="shared" si="0"/>
        <v>119858.10116315002</v>
      </c>
      <c r="O48" s="106">
        <v>0</v>
      </c>
      <c r="P48" s="107">
        <f t="shared" si="3"/>
        <v>119858.43</v>
      </c>
      <c r="Q48" s="108">
        <f t="shared" si="4"/>
        <v>127050.43</v>
      </c>
      <c r="R48" s="109">
        <f t="shared" si="5"/>
        <v>123454.43</v>
      </c>
      <c r="S48" s="60">
        <f t="shared" si="8"/>
        <v>0.43000000000000022</v>
      </c>
    </row>
    <row r="49" spans="2:19" ht="17.100000000000001" customHeight="1" x14ac:dyDescent="0.25">
      <c r="B49" s="98">
        <v>4</v>
      </c>
      <c r="C49" s="116" t="s">
        <v>115</v>
      </c>
      <c r="D49" s="98">
        <f t="shared" si="6"/>
        <v>44</v>
      </c>
      <c r="E49" s="86" t="s">
        <v>147</v>
      </c>
      <c r="F49" s="114" t="s">
        <v>145</v>
      </c>
      <c r="G49" s="115">
        <v>0.95489999999999997</v>
      </c>
      <c r="H49" s="100">
        <v>94537.88</v>
      </c>
      <c r="I49" s="196">
        <f>84988.44+9549</f>
        <v>94537.44</v>
      </c>
      <c r="J49" s="102"/>
      <c r="K49" s="103">
        <f t="shared" si="1"/>
        <v>0.44000000000232831</v>
      </c>
      <c r="L49" s="103">
        <f t="shared" si="2"/>
        <v>1.3200000000069849E-2</v>
      </c>
      <c r="M49" s="104">
        <v>0</v>
      </c>
      <c r="N49" s="105">
        <f t="shared" si="0"/>
        <v>99135.990299430006</v>
      </c>
      <c r="O49" s="106">
        <v>0</v>
      </c>
      <c r="P49" s="107">
        <f t="shared" si="3"/>
        <v>99136.44</v>
      </c>
      <c r="Q49" s="108">
        <f t="shared" si="4"/>
        <v>105085.44</v>
      </c>
      <c r="R49" s="109">
        <f t="shared" si="5"/>
        <v>102110.44</v>
      </c>
      <c r="S49" s="60">
        <f t="shared" si="8"/>
        <v>0.44000000000000022</v>
      </c>
    </row>
    <row r="50" spans="2:19" ht="17.100000000000001" customHeight="1" x14ac:dyDescent="0.25">
      <c r="B50" s="98">
        <v>4</v>
      </c>
      <c r="C50" s="116" t="s">
        <v>116</v>
      </c>
      <c r="D50" s="98">
        <f t="shared" si="6"/>
        <v>45</v>
      </c>
      <c r="E50" s="86" t="s">
        <v>99</v>
      </c>
      <c r="F50" s="113"/>
      <c r="G50" s="115">
        <v>0.75519999999999998</v>
      </c>
      <c r="H50" s="100">
        <v>74766.899999999994</v>
      </c>
      <c r="I50" s="196">
        <f>67214.45</f>
        <v>67214.45</v>
      </c>
      <c r="J50" s="102"/>
      <c r="K50" s="103">
        <f t="shared" si="1"/>
        <v>7552.4499999999971</v>
      </c>
      <c r="L50" s="103">
        <f t="shared" si="2"/>
        <v>226.57349999999991</v>
      </c>
      <c r="M50" s="104">
        <v>0</v>
      </c>
      <c r="N50" s="105">
        <f t="shared" si="0"/>
        <v>78403.497616640001</v>
      </c>
      <c r="O50" s="106">
        <v>0</v>
      </c>
      <c r="P50" s="107">
        <f t="shared" si="3"/>
        <v>86183.45</v>
      </c>
      <c r="Q50" s="108">
        <f t="shared" si="4"/>
        <v>91354.45</v>
      </c>
      <c r="R50" s="109">
        <f t="shared" si="5"/>
        <v>88769.45</v>
      </c>
      <c r="S50" s="60">
        <f t="shared" si="8"/>
        <v>0.45000000000000023</v>
      </c>
    </row>
    <row r="51" spans="2:19" ht="17.100000000000001" customHeight="1" x14ac:dyDescent="0.25">
      <c r="B51" s="98">
        <v>4</v>
      </c>
      <c r="C51" s="116" t="s">
        <v>117</v>
      </c>
      <c r="D51" s="98">
        <f t="shared" si="6"/>
        <v>46</v>
      </c>
      <c r="E51" s="86" t="s">
        <v>148</v>
      </c>
      <c r="F51" s="113" t="s">
        <v>146</v>
      </c>
      <c r="G51" s="115">
        <v>1.1545000000000001</v>
      </c>
      <c r="H51" s="100">
        <v>114298.92000000001</v>
      </c>
      <c r="I51" s="196">
        <f>102753.46</f>
        <v>102753.46</v>
      </c>
      <c r="J51" s="102"/>
      <c r="K51" s="103">
        <f t="shared" si="1"/>
        <v>11545.460000000006</v>
      </c>
      <c r="L51" s="103">
        <f t="shared" si="2"/>
        <v>346.3638000000002</v>
      </c>
      <c r="M51" s="104">
        <v>0</v>
      </c>
      <c r="N51" s="105">
        <f t="shared" si="0"/>
        <v>119858.10116315002</v>
      </c>
      <c r="O51" s="106">
        <v>0</v>
      </c>
      <c r="P51" s="107">
        <f t="shared" si="3"/>
        <v>131750.46</v>
      </c>
      <c r="Q51" s="108">
        <f t="shared" si="4"/>
        <v>139655.46</v>
      </c>
      <c r="R51" s="109">
        <f t="shared" si="5"/>
        <v>135703.46</v>
      </c>
      <c r="S51" s="60">
        <f t="shared" si="8"/>
        <v>0.46000000000000024</v>
      </c>
    </row>
    <row r="52" spans="2:19" ht="17.100000000000001" customHeight="1" x14ac:dyDescent="0.25">
      <c r="B52" s="98">
        <v>5</v>
      </c>
      <c r="C52" s="116" t="s">
        <v>115</v>
      </c>
      <c r="D52" s="98">
        <f t="shared" si="6"/>
        <v>47</v>
      </c>
      <c r="E52" s="86" t="s">
        <v>149</v>
      </c>
      <c r="F52" s="114" t="s">
        <v>217</v>
      </c>
      <c r="G52" s="115">
        <v>0.95489999999999997</v>
      </c>
      <c r="H52" s="100">
        <v>106340.94</v>
      </c>
      <c r="I52" s="196">
        <f>9549+96791.47</f>
        <v>106340.47</v>
      </c>
      <c r="J52" s="102"/>
      <c r="K52" s="103">
        <f t="shared" si="1"/>
        <v>0.47000000000116415</v>
      </c>
      <c r="L52" s="103">
        <f t="shared" si="2"/>
        <v>1.4100000000034925E-2</v>
      </c>
      <c r="M52" s="104">
        <v>0</v>
      </c>
      <c r="N52" s="105">
        <f t="shared" si="0"/>
        <v>99135.990299430006</v>
      </c>
      <c r="O52" s="106">
        <v>0</v>
      </c>
      <c r="P52" s="107">
        <f t="shared" si="3"/>
        <v>99136.47</v>
      </c>
      <c r="Q52" s="108">
        <f t="shared" si="4"/>
        <v>105085.47</v>
      </c>
      <c r="R52" s="109">
        <f t="shared" si="5"/>
        <v>102110.47</v>
      </c>
      <c r="S52" s="60">
        <f t="shared" si="8"/>
        <v>0.47000000000000025</v>
      </c>
    </row>
    <row r="53" spans="2:19" ht="17.100000000000001" customHeight="1" x14ac:dyDescent="0.25">
      <c r="B53" s="98">
        <v>5</v>
      </c>
      <c r="C53" s="116" t="s">
        <v>116</v>
      </c>
      <c r="D53" s="98">
        <f t="shared" si="6"/>
        <v>48</v>
      </c>
      <c r="E53" s="86" t="s">
        <v>125</v>
      </c>
      <c r="F53" s="113" t="s">
        <v>198</v>
      </c>
      <c r="G53" s="115">
        <v>0.75519999999999998</v>
      </c>
      <c r="H53" s="100">
        <v>74766.959999999992</v>
      </c>
      <c r="I53" s="196">
        <f>67215+7552</f>
        <v>74767</v>
      </c>
      <c r="J53" s="102"/>
      <c r="K53" s="103">
        <f t="shared" si="1"/>
        <v>-4.0000000008149073E-2</v>
      </c>
      <c r="L53" s="103">
        <f t="shared" si="2"/>
        <v>0</v>
      </c>
      <c r="M53" s="104">
        <v>0</v>
      </c>
      <c r="N53" s="105">
        <f t="shared" si="0"/>
        <v>78403.497616640001</v>
      </c>
      <c r="O53" s="106">
        <v>0</v>
      </c>
      <c r="P53" s="107">
        <f t="shared" si="3"/>
        <v>78403.48</v>
      </c>
      <c r="Q53" s="108">
        <f t="shared" si="4"/>
        <v>83108.479999999996</v>
      </c>
      <c r="R53" s="109">
        <f t="shared" si="5"/>
        <v>80755.48</v>
      </c>
      <c r="S53" s="60">
        <f t="shared" si="8"/>
        <v>0.48000000000000026</v>
      </c>
    </row>
    <row r="54" spans="2:19" ht="17.100000000000001" customHeight="1" x14ac:dyDescent="0.25">
      <c r="B54" s="98">
        <v>5</v>
      </c>
      <c r="C54" s="116" t="s">
        <v>117</v>
      </c>
      <c r="D54" s="98">
        <f t="shared" si="6"/>
        <v>49</v>
      </c>
      <c r="E54" s="86" t="s">
        <v>150</v>
      </c>
      <c r="F54" s="113" t="s">
        <v>151</v>
      </c>
      <c r="G54" s="115">
        <v>1.1545000000000001</v>
      </c>
      <c r="H54" s="100">
        <v>117381.98000000001</v>
      </c>
      <c r="I54" s="196">
        <f>102753.49+11545.49+3083</f>
        <v>117381.98000000001</v>
      </c>
      <c r="J54" s="102"/>
      <c r="K54" s="103">
        <f t="shared" si="1"/>
        <v>0</v>
      </c>
      <c r="L54" s="103">
        <f t="shared" si="2"/>
        <v>0</v>
      </c>
      <c r="M54" s="104">
        <v>0</v>
      </c>
      <c r="N54" s="105">
        <f t="shared" si="0"/>
        <v>119858.10116315002</v>
      </c>
      <c r="O54" s="106">
        <v>0</v>
      </c>
      <c r="P54" s="107">
        <f t="shared" si="3"/>
        <v>119858.49</v>
      </c>
      <c r="Q54" s="108">
        <f t="shared" si="4"/>
        <v>127050.49</v>
      </c>
      <c r="R54" s="109">
        <f t="shared" si="5"/>
        <v>123454.49</v>
      </c>
      <c r="S54" s="60">
        <f t="shared" si="8"/>
        <v>0.49000000000000027</v>
      </c>
    </row>
    <row r="55" spans="2:19" ht="17.100000000000001" customHeight="1" x14ac:dyDescent="0.25">
      <c r="B55" s="98">
        <v>6</v>
      </c>
      <c r="C55" s="116" t="s">
        <v>115</v>
      </c>
      <c r="D55" s="98">
        <f t="shared" si="6"/>
        <v>50</v>
      </c>
      <c r="E55" s="86" t="s">
        <v>100</v>
      </c>
      <c r="F55" s="113"/>
      <c r="G55" s="115">
        <v>0.95489999999999997</v>
      </c>
      <c r="H55" s="100">
        <v>94538</v>
      </c>
      <c r="I55" s="196">
        <f>84988.5+9835.5</f>
        <v>94824</v>
      </c>
      <c r="J55" s="102"/>
      <c r="K55" s="103">
        <f t="shared" si="1"/>
        <v>-286</v>
      </c>
      <c r="L55" s="103">
        <f t="shared" si="2"/>
        <v>0</v>
      </c>
      <c r="M55" s="104">
        <v>0</v>
      </c>
      <c r="N55" s="105">
        <f t="shared" si="0"/>
        <v>99135.990299430006</v>
      </c>
      <c r="O55" s="106">
        <v>0</v>
      </c>
      <c r="P55" s="107">
        <f t="shared" si="3"/>
        <v>98850.5</v>
      </c>
      <c r="Q55" s="108">
        <f t="shared" si="4"/>
        <v>104782.5</v>
      </c>
      <c r="R55" s="109">
        <f t="shared" si="5"/>
        <v>101816.5</v>
      </c>
      <c r="S55" s="60">
        <f t="shared" si="8"/>
        <v>0.50000000000000022</v>
      </c>
    </row>
    <row r="56" spans="2:19" ht="17.100000000000001" customHeight="1" x14ac:dyDescent="0.25">
      <c r="B56" s="98">
        <v>6</v>
      </c>
      <c r="C56" s="116" t="s">
        <v>116</v>
      </c>
      <c r="D56" s="98">
        <f t="shared" si="6"/>
        <v>51</v>
      </c>
      <c r="E56" s="86" t="s">
        <v>101</v>
      </c>
      <c r="F56" s="113"/>
      <c r="G56" s="115">
        <v>0.75519999999999998</v>
      </c>
      <c r="H56" s="100">
        <v>150272.02000000002</v>
      </c>
      <c r="I56" s="196">
        <f>67214+7759.51</f>
        <v>74973.509999999995</v>
      </c>
      <c r="J56" s="102"/>
      <c r="K56" s="103">
        <f t="shared" si="1"/>
        <v>75298.510000000024</v>
      </c>
      <c r="L56" s="103">
        <f t="shared" si="2"/>
        <v>2258.9553000000005</v>
      </c>
      <c r="M56" s="104">
        <v>0</v>
      </c>
      <c r="N56" s="105">
        <f t="shared" si="0"/>
        <v>78403.497616640001</v>
      </c>
      <c r="O56" s="106">
        <v>0</v>
      </c>
      <c r="P56" s="107">
        <f t="shared" si="3"/>
        <v>155961.51</v>
      </c>
      <c r="Q56" s="108">
        <f t="shared" si="4"/>
        <v>165319.51</v>
      </c>
      <c r="R56" s="109">
        <f t="shared" si="5"/>
        <v>160640.51</v>
      </c>
      <c r="S56" s="60">
        <f t="shared" si="8"/>
        <v>0.51000000000000023</v>
      </c>
    </row>
    <row r="57" spans="2:19" ht="17.100000000000001" customHeight="1" x14ac:dyDescent="0.25">
      <c r="B57" s="98">
        <v>6</v>
      </c>
      <c r="C57" s="116" t="s">
        <v>117</v>
      </c>
      <c r="D57" s="98">
        <f t="shared" si="6"/>
        <v>52</v>
      </c>
      <c r="E57" s="86" t="s">
        <v>102</v>
      </c>
      <c r="F57" s="114"/>
      <c r="G57" s="115">
        <v>1.1545000000000001</v>
      </c>
      <c r="H57" s="100">
        <v>114299.04000000001</v>
      </c>
      <c r="I57" s="196">
        <f>102753.52+11891.52</f>
        <v>114645.04000000001</v>
      </c>
      <c r="J57" s="102"/>
      <c r="K57" s="103">
        <f t="shared" si="1"/>
        <v>-346</v>
      </c>
      <c r="L57" s="103">
        <f t="shared" si="2"/>
        <v>0</v>
      </c>
      <c r="M57" s="104">
        <v>0</v>
      </c>
      <c r="N57" s="105">
        <f t="shared" si="0"/>
        <v>119858.10116315002</v>
      </c>
      <c r="O57" s="106">
        <v>0</v>
      </c>
      <c r="P57" s="107">
        <f t="shared" si="3"/>
        <v>119512.52</v>
      </c>
      <c r="Q57" s="108">
        <f t="shared" si="4"/>
        <v>126683.52</v>
      </c>
      <c r="R57" s="109">
        <f t="shared" si="5"/>
        <v>123097.52</v>
      </c>
      <c r="S57" s="60">
        <f t="shared" si="8"/>
        <v>0.52000000000000024</v>
      </c>
    </row>
    <row r="58" spans="2:19" ht="17.100000000000001" customHeight="1" x14ac:dyDescent="0.25">
      <c r="B58" s="98">
        <v>7</v>
      </c>
      <c r="C58" s="116" t="s">
        <v>115</v>
      </c>
      <c r="D58" s="98">
        <f t="shared" si="6"/>
        <v>53</v>
      </c>
      <c r="E58" s="86" t="s">
        <v>103</v>
      </c>
      <c r="F58" s="114"/>
      <c r="G58" s="115">
        <v>0.95489999999999997</v>
      </c>
      <c r="H58" s="100">
        <v>94538.06</v>
      </c>
      <c r="I58" s="196">
        <f>84988.53+9549.53</f>
        <v>94538.06</v>
      </c>
      <c r="J58" s="102"/>
      <c r="K58" s="103">
        <f t="shared" si="1"/>
        <v>0</v>
      </c>
      <c r="L58" s="103">
        <f t="shared" si="2"/>
        <v>0</v>
      </c>
      <c r="M58" s="104">
        <v>0</v>
      </c>
      <c r="N58" s="105">
        <f t="shared" si="0"/>
        <v>99135.990299430006</v>
      </c>
      <c r="O58" s="106">
        <v>0</v>
      </c>
      <c r="P58" s="107">
        <f t="shared" si="3"/>
        <v>99136.53</v>
      </c>
      <c r="Q58" s="108">
        <f t="shared" si="4"/>
        <v>105085.53</v>
      </c>
      <c r="R58" s="109">
        <f t="shared" si="5"/>
        <v>102110.53</v>
      </c>
      <c r="S58" s="60">
        <f t="shared" si="8"/>
        <v>0.53000000000000025</v>
      </c>
    </row>
    <row r="59" spans="2:19" ht="17.100000000000001" customHeight="1" x14ac:dyDescent="0.25">
      <c r="B59" s="98">
        <v>7</v>
      </c>
      <c r="C59" s="116" t="s">
        <v>116</v>
      </c>
      <c r="D59" s="98">
        <f t="shared" si="6"/>
        <v>54</v>
      </c>
      <c r="E59" s="86" t="s">
        <v>104</v>
      </c>
      <c r="F59" s="113"/>
      <c r="G59" s="115">
        <v>0.75519999999999998</v>
      </c>
      <c r="H59" s="100">
        <v>74767.079999999987</v>
      </c>
      <c r="I59" s="196">
        <f>H59</f>
        <v>74767.079999999987</v>
      </c>
      <c r="J59" s="102"/>
      <c r="K59" s="103">
        <f t="shared" si="1"/>
        <v>0</v>
      </c>
      <c r="L59" s="103">
        <f t="shared" si="2"/>
        <v>0</v>
      </c>
      <c r="M59" s="104">
        <v>0</v>
      </c>
      <c r="N59" s="105">
        <f t="shared" si="0"/>
        <v>78403.497616640001</v>
      </c>
      <c r="O59" s="106">
        <v>0</v>
      </c>
      <c r="P59" s="107">
        <f t="shared" si="3"/>
        <v>78403.539999999994</v>
      </c>
      <c r="Q59" s="108">
        <f t="shared" si="4"/>
        <v>83108.539999999994</v>
      </c>
      <c r="R59" s="109">
        <f t="shared" si="5"/>
        <v>80755.539999999994</v>
      </c>
      <c r="S59" s="60">
        <f t="shared" si="8"/>
        <v>0.54000000000000026</v>
      </c>
    </row>
    <row r="60" spans="2:19" ht="17.100000000000001" customHeight="1" x14ac:dyDescent="0.25">
      <c r="B60" s="98">
        <v>7</v>
      </c>
      <c r="C60" s="116" t="s">
        <v>117</v>
      </c>
      <c r="D60" s="98">
        <f t="shared" si="6"/>
        <v>55</v>
      </c>
      <c r="E60" s="86" t="s">
        <v>152</v>
      </c>
      <c r="F60" s="114" t="s">
        <v>153</v>
      </c>
      <c r="G60" s="115">
        <v>1.1545000000000001</v>
      </c>
      <c r="H60" s="100">
        <v>337689.1</v>
      </c>
      <c r="I60" s="196">
        <f>102753</f>
        <v>102753</v>
      </c>
      <c r="J60" s="102"/>
      <c r="K60" s="103">
        <f t="shared" si="1"/>
        <v>234936.09999999998</v>
      </c>
      <c r="L60" s="103">
        <f t="shared" si="2"/>
        <v>7048.0829999999987</v>
      </c>
      <c r="M60" s="104">
        <v>0</v>
      </c>
      <c r="N60" s="105">
        <f t="shared" si="0"/>
        <v>119858.10116315002</v>
      </c>
      <c r="O60" s="106">
        <v>0</v>
      </c>
      <c r="P60" s="107">
        <f t="shared" si="3"/>
        <v>361842.55</v>
      </c>
      <c r="Q60" s="108">
        <f t="shared" si="4"/>
        <v>383553.55</v>
      </c>
      <c r="R60" s="109">
        <f t="shared" si="5"/>
        <v>372697.55</v>
      </c>
      <c r="S60" s="60">
        <f t="shared" si="8"/>
        <v>0.55000000000000027</v>
      </c>
    </row>
    <row r="61" spans="2:19" ht="17.100000000000001" customHeight="1" x14ac:dyDescent="0.25">
      <c r="B61" s="98">
        <v>8</v>
      </c>
      <c r="C61" s="116" t="s">
        <v>115</v>
      </c>
      <c r="D61" s="98">
        <f t="shared" si="6"/>
        <v>56</v>
      </c>
      <c r="E61" s="86" t="s">
        <v>154</v>
      </c>
      <c r="F61" s="114" t="s">
        <v>155</v>
      </c>
      <c r="G61" s="115">
        <v>0.95489999999999997</v>
      </c>
      <c r="H61" s="100">
        <v>94538.12</v>
      </c>
      <c r="I61" s="196">
        <f>84988.56</f>
        <v>84988.56</v>
      </c>
      <c r="J61" s="102"/>
      <c r="K61" s="103">
        <f t="shared" si="1"/>
        <v>9549.5599999999977</v>
      </c>
      <c r="L61" s="103">
        <f t="shared" si="2"/>
        <v>286.4867999999999</v>
      </c>
      <c r="M61" s="104">
        <v>0</v>
      </c>
      <c r="N61" s="105">
        <f t="shared" si="0"/>
        <v>99135.990299430006</v>
      </c>
      <c r="O61" s="106"/>
      <c r="P61" s="107">
        <f t="shared" si="3"/>
        <v>108972.56</v>
      </c>
      <c r="Q61" s="108">
        <f t="shared" si="4"/>
        <v>115511.56</v>
      </c>
      <c r="R61" s="109">
        <f t="shared" si="5"/>
        <v>112241.56</v>
      </c>
      <c r="S61" s="60">
        <f t="shared" si="8"/>
        <v>0.56000000000000028</v>
      </c>
    </row>
    <row r="62" spans="2:19" ht="17.100000000000001" customHeight="1" x14ac:dyDescent="0.25">
      <c r="B62" s="98">
        <v>8</v>
      </c>
      <c r="C62" s="116" t="s">
        <v>116</v>
      </c>
      <c r="D62" s="98">
        <f t="shared" si="6"/>
        <v>57</v>
      </c>
      <c r="E62" s="86" t="s">
        <v>157</v>
      </c>
      <c r="F62" s="114" t="s">
        <v>156</v>
      </c>
      <c r="G62" s="115">
        <v>0.75519999999999998</v>
      </c>
      <c r="H62" s="100">
        <v>76783.140000000014</v>
      </c>
      <c r="I62" s="196"/>
      <c r="J62" s="102"/>
      <c r="K62" s="103">
        <f t="shared" si="1"/>
        <v>76783.140000000014</v>
      </c>
      <c r="L62" s="103">
        <f t="shared" si="2"/>
        <v>2303.4942000000005</v>
      </c>
      <c r="M62" s="104">
        <v>0</v>
      </c>
      <c r="N62" s="105">
        <f t="shared" si="0"/>
        <v>78403.497616640001</v>
      </c>
      <c r="O62" s="106">
        <v>0</v>
      </c>
      <c r="P62" s="107">
        <f t="shared" si="3"/>
        <v>157490.57</v>
      </c>
      <c r="Q62" s="108">
        <f t="shared" si="4"/>
        <v>166940.57</v>
      </c>
      <c r="R62" s="109">
        <f t="shared" si="5"/>
        <v>162215.57</v>
      </c>
      <c r="S62" s="60">
        <f t="shared" si="8"/>
        <v>0.57000000000000028</v>
      </c>
    </row>
    <row r="63" spans="2:19" ht="17.100000000000001" customHeight="1" x14ac:dyDescent="0.25">
      <c r="B63" s="98">
        <v>8</v>
      </c>
      <c r="C63" s="116" t="s">
        <v>117</v>
      </c>
      <c r="D63" s="98">
        <f t="shared" si="6"/>
        <v>58</v>
      </c>
      <c r="E63" s="86" t="s">
        <v>105</v>
      </c>
      <c r="F63" s="114"/>
      <c r="G63" s="115">
        <v>1.1545000000000001</v>
      </c>
      <c r="H63" s="100">
        <v>114299.16</v>
      </c>
      <c r="I63" s="196">
        <f>102753.58+11546</f>
        <v>114299.58</v>
      </c>
      <c r="J63" s="102"/>
      <c r="K63" s="103">
        <f t="shared" si="1"/>
        <v>-0.41999999999825377</v>
      </c>
      <c r="L63" s="103">
        <f t="shared" si="2"/>
        <v>0</v>
      </c>
      <c r="M63" s="104">
        <v>0</v>
      </c>
      <c r="N63" s="105">
        <f>P$2*G63%</f>
        <v>119858.10116315002</v>
      </c>
      <c r="O63" s="106">
        <v>0</v>
      </c>
      <c r="P63" s="107">
        <f t="shared" si="3"/>
        <v>119858.58</v>
      </c>
      <c r="Q63" s="108">
        <f t="shared" si="4"/>
        <v>127050.58</v>
      </c>
      <c r="R63" s="109">
        <f t="shared" si="5"/>
        <v>123454.58</v>
      </c>
      <c r="S63" s="60">
        <f t="shared" si="8"/>
        <v>0.58000000000000029</v>
      </c>
    </row>
    <row r="64" spans="2:19" ht="17.100000000000001" customHeight="1" x14ac:dyDescent="0.25">
      <c r="B64" s="98">
        <v>9</v>
      </c>
      <c r="C64" s="116" t="s">
        <v>115</v>
      </c>
      <c r="D64" s="98">
        <f t="shared" si="6"/>
        <v>59</v>
      </c>
      <c r="E64" s="86" t="s">
        <v>158</v>
      </c>
      <c r="F64" s="113" t="s">
        <v>159</v>
      </c>
      <c r="G64" s="115">
        <v>0.95489999999999997</v>
      </c>
      <c r="H64" s="100">
        <v>94538.18</v>
      </c>
      <c r="I64" s="196">
        <f>84988.59</f>
        <v>84988.59</v>
      </c>
      <c r="J64" s="102"/>
      <c r="K64" s="103">
        <f t="shared" si="1"/>
        <v>9549.5899999999965</v>
      </c>
      <c r="L64" s="103">
        <f t="shared" si="2"/>
        <v>286.4876999999999</v>
      </c>
      <c r="M64" s="104">
        <v>0</v>
      </c>
      <c r="N64" s="105">
        <f>P$2*G64%</f>
        <v>99135.990299430006</v>
      </c>
      <c r="O64" s="106">
        <v>0</v>
      </c>
      <c r="P64" s="107">
        <f t="shared" si="3"/>
        <v>108972.59</v>
      </c>
      <c r="Q64" s="108">
        <f t="shared" si="4"/>
        <v>115511.59</v>
      </c>
      <c r="R64" s="109">
        <f t="shared" si="5"/>
        <v>112241.59</v>
      </c>
      <c r="S64" s="60">
        <f t="shared" si="8"/>
        <v>0.5900000000000003</v>
      </c>
    </row>
    <row r="65" spans="2:21" ht="17.100000000000001" customHeight="1" x14ac:dyDescent="0.25">
      <c r="B65" s="98">
        <v>9</v>
      </c>
      <c r="C65" s="116" t="s">
        <v>116</v>
      </c>
      <c r="D65" s="98">
        <f t="shared" si="6"/>
        <v>60</v>
      </c>
      <c r="E65" s="86" t="s">
        <v>160</v>
      </c>
      <c r="F65" s="114"/>
      <c r="G65" s="115">
        <v>0.75519999999999998</v>
      </c>
      <c r="H65" s="100">
        <v>150272.20000000001</v>
      </c>
      <c r="I65" s="196">
        <f>75505</f>
        <v>75505</v>
      </c>
      <c r="J65" s="102"/>
      <c r="K65" s="103">
        <f t="shared" si="1"/>
        <v>74767.200000000012</v>
      </c>
      <c r="L65" s="103">
        <f t="shared" si="2"/>
        <v>2243.0160000000001</v>
      </c>
      <c r="M65" s="104">
        <v>0</v>
      </c>
      <c r="N65" s="105">
        <f>P$2*G65%</f>
        <v>78403.497616640001</v>
      </c>
      <c r="O65" s="106">
        <v>0</v>
      </c>
      <c r="P65" s="107">
        <f t="shared" si="3"/>
        <v>155414.6</v>
      </c>
      <c r="Q65" s="108">
        <f t="shared" si="4"/>
        <v>164739.6</v>
      </c>
      <c r="R65" s="109">
        <f t="shared" si="5"/>
        <v>160076.6</v>
      </c>
      <c r="S65" s="60">
        <f t="shared" si="8"/>
        <v>0.60000000000000031</v>
      </c>
    </row>
    <row r="66" spans="2:21" ht="17.100000000000001" customHeight="1" x14ac:dyDescent="0.25">
      <c r="B66" s="98">
        <v>9</v>
      </c>
      <c r="C66" s="116" t="s">
        <v>117</v>
      </c>
      <c r="D66" s="98">
        <f t="shared" si="6"/>
        <v>61</v>
      </c>
      <c r="E66" s="86" t="s">
        <v>106</v>
      </c>
      <c r="F66" s="113"/>
      <c r="G66" s="115">
        <v>1.1545000000000001</v>
      </c>
      <c r="H66" s="100">
        <v>114299.22</v>
      </c>
      <c r="I66" s="196">
        <f>102753.61+11546</f>
        <v>114299.61</v>
      </c>
      <c r="J66" s="102"/>
      <c r="K66" s="103">
        <f t="shared" si="1"/>
        <v>-0.38999999999941792</v>
      </c>
      <c r="L66" s="103">
        <f t="shared" si="2"/>
        <v>0</v>
      </c>
      <c r="M66" s="104">
        <v>0</v>
      </c>
      <c r="N66" s="105">
        <f>P$2*G66%</f>
        <v>119858.10116315002</v>
      </c>
      <c r="O66" s="106">
        <v>0</v>
      </c>
      <c r="P66" s="107">
        <f t="shared" si="3"/>
        <v>119858.61</v>
      </c>
      <c r="Q66" s="108">
        <f t="shared" si="4"/>
        <v>127050.61</v>
      </c>
      <c r="R66" s="109">
        <f t="shared" si="5"/>
        <v>123454.61</v>
      </c>
      <c r="S66" s="60">
        <f t="shared" si="8"/>
        <v>0.61000000000000032</v>
      </c>
    </row>
    <row r="67" spans="2:21" ht="17.100000000000001" customHeight="1" x14ac:dyDescent="0.25">
      <c r="B67" s="98">
        <v>10</v>
      </c>
      <c r="C67" s="116" t="s">
        <v>115</v>
      </c>
      <c r="D67" s="98">
        <f t="shared" si="6"/>
        <v>62</v>
      </c>
      <c r="E67" s="86" t="s">
        <v>161</v>
      </c>
      <c r="F67" s="114" t="s">
        <v>162</v>
      </c>
      <c r="G67" s="115">
        <v>0.95489999999999997</v>
      </c>
      <c r="H67" s="100">
        <v>190009.24</v>
      </c>
      <c r="I67" s="196">
        <f>84988+9459.62</f>
        <v>94447.62</v>
      </c>
      <c r="J67" s="102"/>
      <c r="K67" s="103">
        <f t="shared" si="1"/>
        <v>95561.62</v>
      </c>
      <c r="L67" s="103">
        <f t="shared" si="2"/>
        <v>2866.8485999999998</v>
      </c>
      <c r="M67" s="104">
        <v>0</v>
      </c>
      <c r="N67" s="105">
        <f t="shared" si="0"/>
        <v>99135.990299430006</v>
      </c>
      <c r="O67" s="106">
        <v>0</v>
      </c>
      <c r="P67" s="107">
        <f t="shared" si="3"/>
        <v>197564.62</v>
      </c>
      <c r="Q67" s="108">
        <f t="shared" si="4"/>
        <v>209418.62</v>
      </c>
      <c r="R67" s="109">
        <f t="shared" si="5"/>
        <v>203491.62</v>
      </c>
      <c r="S67" s="60">
        <f t="shared" si="8"/>
        <v>0.62000000000000033</v>
      </c>
    </row>
    <row r="68" spans="2:21" ht="17.100000000000001" customHeight="1" x14ac:dyDescent="0.25">
      <c r="B68" s="98">
        <v>10</v>
      </c>
      <c r="C68" s="116" t="s">
        <v>116</v>
      </c>
      <c r="D68" s="98">
        <f t="shared" si="6"/>
        <v>63</v>
      </c>
      <c r="E68" s="86" t="s">
        <v>125</v>
      </c>
      <c r="F68" s="113" t="s">
        <v>163</v>
      </c>
      <c r="G68" s="115">
        <v>0.75519999999999998</v>
      </c>
      <c r="H68" s="100">
        <v>142719.63</v>
      </c>
      <c r="I68" s="196">
        <f>H68</f>
        <v>142719.63</v>
      </c>
      <c r="J68" s="102"/>
      <c r="K68" s="103">
        <f t="shared" si="1"/>
        <v>0</v>
      </c>
      <c r="L68" s="103">
        <f t="shared" si="2"/>
        <v>0</v>
      </c>
      <c r="M68" s="104">
        <v>0</v>
      </c>
      <c r="N68" s="105">
        <f t="shared" si="0"/>
        <v>78403.497616640001</v>
      </c>
      <c r="O68" s="106">
        <v>0</v>
      </c>
      <c r="P68" s="107">
        <f t="shared" si="3"/>
        <v>78403.63</v>
      </c>
      <c r="Q68" s="108">
        <f t="shared" si="4"/>
        <v>83108.63</v>
      </c>
      <c r="R68" s="109">
        <f t="shared" si="5"/>
        <v>80755.63</v>
      </c>
      <c r="S68" s="60">
        <f t="shared" si="8"/>
        <v>0.63000000000000034</v>
      </c>
      <c r="U68" t="s">
        <v>216</v>
      </c>
    </row>
    <row r="69" spans="2:21" ht="17.100000000000001" customHeight="1" x14ac:dyDescent="0.25">
      <c r="B69" s="98">
        <v>10</v>
      </c>
      <c r="C69" s="116" t="s">
        <v>117</v>
      </c>
      <c r="D69" s="98">
        <f t="shared" si="6"/>
        <v>64</v>
      </c>
      <c r="E69" s="86" t="s">
        <v>97</v>
      </c>
      <c r="F69" s="113"/>
      <c r="G69" s="115">
        <v>1.1545000000000001</v>
      </c>
      <c r="H69" s="100">
        <v>114299.28</v>
      </c>
      <c r="I69" s="196">
        <f>H69</f>
        <v>114299.28</v>
      </c>
      <c r="J69" s="102"/>
      <c r="K69" s="103">
        <f t="shared" si="1"/>
        <v>0</v>
      </c>
      <c r="L69" s="103">
        <f t="shared" si="2"/>
        <v>0</v>
      </c>
      <c r="M69" s="104">
        <v>0</v>
      </c>
      <c r="N69" s="105">
        <f t="shared" si="0"/>
        <v>119858.10116315002</v>
      </c>
      <c r="O69" s="106">
        <v>0</v>
      </c>
      <c r="P69" s="107">
        <f t="shared" si="3"/>
        <v>119858.64</v>
      </c>
      <c r="Q69" s="108">
        <f t="shared" si="4"/>
        <v>127050.64</v>
      </c>
      <c r="R69" s="109">
        <f t="shared" si="5"/>
        <v>123454.64</v>
      </c>
      <c r="S69" s="60">
        <f t="shared" si="8"/>
        <v>0.64000000000000035</v>
      </c>
    </row>
    <row r="70" spans="2:21" ht="17.100000000000001" customHeight="1" x14ac:dyDescent="0.25">
      <c r="B70" s="98">
        <v>11</v>
      </c>
      <c r="C70" s="116" t="s">
        <v>115</v>
      </c>
      <c r="D70" s="98">
        <f t="shared" si="6"/>
        <v>65</v>
      </c>
      <c r="E70" s="86" t="s">
        <v>107</v>
      </c>
      <c r="F70" s="114"/>
      <c r="G70" s="115">
        <v>0.95489999999999997</v>
      </c>
      <c r="H70" s="100">
        <v>94538.299999999988</v>
      </c>
      <c r="I70" s="196">
        <f>84988.65</f>
        <v>84988.65</v>
      </c>
      <c r="J70" s="102"/>
      <c r="K70" s="103">
        <f t="shared" si="1"/>
        <v>9549.6499999999942</v>
      </c>
      <c r="L70" s="103">
        <f t="shared" si="2"/>
        <v>286.48949999999979</v>
      </c>
      <c r="M70" s="104">
        <v>0</v>
      </c>
      <c r="N70" s="105">
        <f t="shared" ref="N70" si="9">P$2*G70%</f>
        <v>99135.990299430006</v>
      </c>
      <c r="O70" s="106">
        <v>0</v>
      </c>
      <c r="P70" s="107">
        <f t="shared" si="3"/>
        <v>108972.65</v>
      </c>
      <c r="Q70" s="108">
        <f t="shared" si="4"/>
        <v>115511.65</v>
      </c>
      <c r="R70" s="109">
        <f t="shared" si="5"/>
        <v>112241.65</v>
      </c>
      <c r="S70" s="60">
        <f t="shared" si="8"/>
        <v>0.65000000000000036</v>
      </c>
    </row>
    <row r="71" spans="2:21" ht="17.100000000000001" customHeight="1" x14ac:dyDescent="0.25">
      <c r="B71" s="98">
        <v>11</v>
      </c>
      <c r="C71" s="116" t="s">
        <v>116</v>
      </c>
      <c r="D71" s="98">
        <f t="shared" si="6"/>
        <v>66</v>
      </c>
      <c r="E71" s="86" t="s">
        <v>108</v>
      </c>
      <c r="F71" s="114" t="s">
        <v>201</v>
      </c>
      <c r="G71" s="115">
        <v>0.75519999999999998</v>
      </c>
      <c r="H71" s="100">
        <v>150272.32000000001</v>
      </c>
      <c r="I71" s="196">
        <f>75504.66+67214+7779.66</f>
        <v>150498.32</v>
      </c>
      <c r="J71" s="102"/>
      <c r="K71" s="103">
        <f t="shared" ref="K71:K75" si="10">H71-I71</f>
        <v>-226</v>
      </c>
      <c r="L71" s="103">
        <f t="shared" ref="L71:L75" si="11">IF(K71&gt;0,K71*3%,0)</f>
        <v>0</v>
      </c>
      <c r="M71" s="104">
        <v>0</v>
      </c>
      <c r="N71" s="105">
        <f>P$2*G71%</f>
        <v>78403.497616640001</v>
      </c>
      <c r="O71" s="106">
        <v>0</v>
      </c>
      <c r="P71" s="107">
        <f t="shared" ref="P71:P75" si="12">ROUND(SUM(K71:O71),0) + S71</f>
        <v>78177.66</v>
      </c>
      <c r="Q71" s="108">
        <f t="shared" ref="Q71:Q75" si="13">ROUND(P71*6% + P71,0) + S71</f>
        <v>82868.66</v>
      </c>
      <c r="R71" s="109">
        <f t="shared" ref="R71:R75" si="14">ROUND(P71*3%,0) + P71</f>
        <v>80522.66</v>
      </c>
      <c r="S71" s="60">
        <f t="shared" si="8"/>
        <v>0.66000000000000036</v>
      </c>
    </row>
    <row r="72" spans="2:21" ht="17.100000000000001" customHeight="1" x14ac:dyDescent="0.25">
      <c r="B72" s="98">
        <v>11</v>
      </c>
      <c r="C72" s="116" t="s">
        <v>117</v>
      </c>
      <c r="D72" s="98">
        <f t="shared" ref="D72:D75" si="15">D71+1</f>
        <v>67</v>
      </c>
      <c r="E72" s="86" t="s">
        <v>109</v>
      </c>
      <c r="F72" s="113"/>
      <c r="G72" s="115">
        <v>1.1545000000000001</v>
      </c>
      <c r="H72" s="100">
        <v>236271.34000000003</v>
      </c>
      <c r="I72" s="196">
        <f>218180.67</f>
        <v>218180.67</v>
      </c>
      <c r="J72" s="102"/>
      <c r="K72" s="103">
        <f t="shared" si="10"/>
        <v>18090.670000000013</v>
      </c>
      <c r="L72" s="103">
        <f t="shared" si="11"/>
        <v>542.72010000000034</v>
      </c>
      <c r="M72" s="104">
        <v>0</v>
      </c>
      <c r="N72" s="105">
        <f>P$2*G72%</f>
        <v>119858.10116315002</v>
      </c>
      <c r="O72" s="106">
        <v>0</v>
      </c>
      <c r="P72" s="107">
        <f t="shared" si="12"/>
        <v>138491.67000000001</v>
      </c>
      <c r="Q72" s="108">
        <f t="shared" si="13"/>
        <v>146801.67000000001</v>
      </c>
      <c r="R72" s="109">
        <f t="shared" si="14"/>
        <v>142646.67000000001</v>
      </c>
      <c r="S72" s="60">
        <f t="shared" ref="S72:S75" si="16">S71+0.01</f>
        <v>0.67000000000000037</v>
      </c>
    </row>
    <row r="73" spans="2:21" ht="17.100000000000001" customHeight="1" x14ac:dyDescent="0.25">
      <c r="B73" s="98">
        <v>12</v>
      </c>
      <c r="C73" s="117" t="s">
        <v>115</v>
      </c>
      <c r="D73" s="98">
        <f t="shared" si="15"/>
        <v>68</v>
      </c>
      <c r="E73" s="118" t="s">
        <v>110</v>
      </c>
      <c r="F73" s="119"/>
      <c r="G73" s="120">
        <v>0.95489999999999997</v>
      </c>
      <c r="H73" s="121">
        <v>94538.359999999986</v>
      </c>
      <c r="I73" s="196">
        <f t="shared" ref="I73" si="17">H73</f>
        <v>94538.359999999986</v>
      </c>
      <c r="J73" s="123"/>
      <c r="K73" s="124">
        <f t="shared" si="10"/>
        <v>0</v>
      </c>
      <c r="L73" s="103">
        <f t="shared" si="11"/>
        <v>0</v>
      </c>
      <c r="M73" s="104">
        <v>0</v>
      </c>
      <c r="N73" s="125">
        <f>P$2*G73%</f>
        <v>99135.990299430006</v>
      </c>
      <c r="O73" s="126">
        <v>0</v>
      </c>
      <c r="P73" s="107">
        <f t="shared" si="12"/>
        <v>99136.68</v>
      </c>
      <c r="Q73" s="108">
        <f t="shared" si="13"/>
        <v>105085.68</v>
      </c>
      <c r="R73" s="109">
        <f t="shared" si="14"/>
        <v>102110.68</v>
      </c>
      <c r="S73" s="60">
        <f t="shared" si="16"/>
        <v>0.68000000000000038</v>
      </c>
    </row>
    <row r="74" spans="2:21" ht="17.100000000000001" customHeight="1" x14ac:dyDescent="0.25">
      <c r="B74" s="98">
        <v>12</v>
      </c>
      <c r="C74" s="116" t="s">
        <v>116</v>
      </c>
      <c r="D74" s="98">
        <f t="shared" si="15"/>
        <v>69</v>
      </c>
      <c r="E74" s="87" t="s">
        <v>106</v>
      </c>
      <c r="F74" s="127"/>
      <c r="G74" s="120">
        <v>0.75519999999999998</v>
      </c>
      <c r="H74" s="121">
        <v>74767.38</v>
      </c>
      <c r="I74" s="196">
        <f>67214.69+7553</f>
        <v>74767.69</v>
      </c>
      <c r="J74" s="123"/>
      <c r="K74" s="124">
        <f t="shared" si="10"/>
        <v>-0.30999999999767169</v>
      </c>
      <c r="L74" s="103">
        <f t="shared" si="11"/>
        <v>0</v>
      </c>
      <c r="M74" s="104">
        <v>0</v>
      </c>
      <c r="N74" s="125">
        <f>P$2*G74%</f>
        <v>78403.497616640001</v>
      </c>
      <c r="O74" s="126">
        <v>0</v>
      </c>
      <c r="P74" s="107">
        <f t="shared" si="12"/>
        <v>78403.69</v>
      </c>
      <c r="Q74" s="108">
        <f t="shared" si="13"/>
        <v>83108.69</v>
      </c>
      <c r="R74" s="109">
        <f t="shared" si="14"/>
        <v>80755.69</v>
      </c>
      <c r="S74" s="60">
        <f t="shared" si="16"/>
        <v>0.69000000000000039</v>
      </c>
    </row>
    <row r="75" spans="2:21" ht="16.5" customHeight="1" x14ac:dyDescent="0.25">
      <c r="B75" s="98">
        <v>12</v>
      </c>
      <c r="C75" s="116" t="s">
        <v>117</v>
      </c>
      <c r="D75" s="98">
        <f t="shared" si="15"/>
        <v>70</v>
      </c>
      <c r="E75" s="87" t="s">
        <v>111</v>
      </c>
      <c r="F75" s="127"/>
      <c r="G75" s="120">
        <v>1.1549</v>
      </c>
      <c r="H75" s="121">
        <v>114339.4</v>
      </c>
      <c r="I75" s="196">
        <f>102789.7</f>
        <v>102789.7</v>
      </c>
      <c r="J75" s="123"/>
      <c r="K75" s="124">
        <f t="shared" si="10"/>
        <v>11549.699999999997</v>
      </c>
      <c r="L75" s="103">
        <f t="shared" si="11"/>
        <v>346.49099999999987</v>
      </c>
      <c r="M75" s="104">
        <v>0</v>
      </c>
      <c r="N75" s="125">
        <f>P$2*G75%</f>
        <v>119899.62843943</v>
      </c>
      <c r="O75" s="126">
        <v>0</v>
      </c>
      <c r="P75" s="107">
        <f t="shared" si="12"/>
        <v>131796.70000000001</v>
      </c>
      <c r="Q75" s="108">
        <f t="shared" si="13"/>
        <v>139705.70000000001</v>
      </c>
      <c r="R75" s="109">
        <f t="shared" si="14"/>
        <v>135750.70000000001</v>
      </c>
      <c r="S75" s="60">
        <f t="shared" si="16"/>
        <v>0.7000000000000004</v>
      </c>
    </row>
    <row r="76" spans="2:21" ht="16.5" customHeight="1" x14ac:dyDescent="0.25">
      <c r="B76" s="98"/>
      <c r="C76" s="116"/>
      <c r="D76" s="116"/>
      <c r="E76" s="87"/>
      <c r="F76" s="88"/>
      <c r="G76" s="99"/>
      <c r="H76" s="121">
        <v>0</v>
      </c>
      <c r="I76" s="122"/>
      <c r="J76" s="123"/>
      <c r="K76" s="124"/>
      <c r="L76" s="103"/>
      <c r="M76" s="104"/>
      <c r="N76" s="125"/>
      <c r="O76" s="126"/>
      <c r="P76" s="107"/>
      <c r="Q76" s="108"/>
      <c r="R76" s="109"/>
      <c r="S76" s="60"/>
    </row>
    <row r="77" spans="2:21" ht="16.5" hidden="1" customHeight="1" x14ac:dyDescent="0.25">
      <c r="B77" s="98"/>
      <c r="C77" s="116"/>
      <c r="D77" s="116"/>
      <c r="E77" s="87"/>
      <c r="F77" s="88"/>
      <c r="G77" s="99"/>
      <c r="H77" s="121"/>
      <c r="I77" s="122"/>
      <c r="J77" s="123"/>
      <c r="K77" s="124"/>
      <c r="L77" s="103"/>
      <c r="M77" s="104"/>
      <c r="N77" s="125"/>
      <c r="O77" s="126"/>
      <c r="P77" s="107"/>
      <c r="Q77" s="108"/>
      <c r="R77" s="109"/>
      <c r="S77" s="60"/>
    </row>
    <row r="78" spans="2:21" ht="22.5" hidden="1" customHeight="1" x14ac:dyDescent="0.25">
      <c r="B78" s="98"/>
      <c r="C78" s="116"/>
      <c r="D78" s="116"/>
      <c r="E78" s="89"/>
      <c r="F78" s="88"/>
      <c r="G78" s="99"/>
      <c r="H78" s="121"/>
      <c r="I78" s="122"/>
      <c r="J78" s="123"/>
      <c r="K78" s="124"/>
      <c r="L78" s="103"/>
      <c r="M78" s="104"/>
      <c r="N78" s="125"/>
      <c r="O78" s="126"/>
      <c r="P78" s="107"/>
      <c r="Q78" s="108"/>
      <c r="R78" s="109"/>
      <c r="S78" s="60"/>
    </row>
    <row r="79" spans="2:21" ht="16.5" hidden="1" customHeight="1" x14ac:dyDescent="0.25">
      <c r="B79" s="128"/>
      <c r="C79" s="194"/>
      <c r="D79" s="117"/>
      <c r="E79" s="87"/>
      <c r="F79" s="88"/>
      <c r="G79" s="99"/>
      <c r="H79" s="121"/>
      <c r="I79" s="122"/>
      <c r="J79" s="123"/>
      <c r="K79" s="124"/>
      <c r="L79" s="103"/>
      <c r="M79" s="104"/>
      <c r="N79" s="125"/>
      <c r="O79" s="126"/>
      <c r="P79" s="107"/>
      <c r="Q79" s="108"/>
      <c r="R79" s="109"/>
      <c r="S79" s="60"/>
    </row>
    <row r="80" spans="2:21" ht="17.100000000000001" customHeight="1" thickBot="1" x14ac:dyDescent="0.3">
      <c r="B80" s="98"/>
      <c r="C80" s="98"/>
      <c r="D80" s="98"/>
      <c r="E80" s="129"/>
      <c r="F80" s="130"/>
      <c r="G80" s="99"/>
      <c r="H80" s="121"/>
      <c r="I80" s="122"/>
      <c r="J80" s="123"/>
      <c r="K80" s="124"/>
      <c r="L80" s="103"/>
      <c r="M80" s="104"/>
      <c r="N80" s="125"/>
      <c r="O80" s="126"/>
      <c r="P80" s="131"/>
      <c r="Q80" s="132"/>
      <c r="R80" s="133"/>
      <c r="S80" s="60"/>
    </row>
    <row r="81" spans="2:18" ht="17.100000000000001" customHeight="1" thickBot="1" x14ac:dyDescent="0.3">
      <c r="B81" s="134"/>
      <c r="C81" s="195"/>
      <c r="D81" s="135"/>
      <c r="E81" s="136"/>
      <c r="F81" s="136"/>
      <c r="G81" s="137">
        <f>SUM(G6:G80)</f>
        <v>99.999999999999957</v>
      </c>
      <c r="H81" s="70">
        <f>SUM(H6:H80)</f>
        <v>12076563.07</v>
      </c>
      <c r="I81" s="84">
        <f>SUM(I6:I80)</f>
        <v>9182407.8999999966</v>
      </c>
      <c r="J81" s="70">
        <f t="shared" ref="J81:Q81" si="18">SUM(J6:J80)</f>
        <v>0</v>
      </c>
      <c r="K81" s="84">
        <f>SUM(K6:K80)</f>
        <v>2894155.1700000009</v>
      </c>
      <c r="L81" s="70">
        <f t="shared" si="18"/>
        <v>88503.714599999992</v>
      </c>
      <c r="M81" s="84">
        <f t="shared" si="18"/>
        <v>0</v>
      </c>
      <c r="N81" s="213">
        <f t="shared" si="18"/>
        <v>10381819.069999997</v>
      </c>
      <c r="O81" s="84">
        <f t="shared" si="18"/>
        <v>0</v>
      </c>
      <c r="P81" s="138">
        <f t="shared" si="18"/>
        <v>13364497.85</v>
      </c>
      <c r="Q81" s="138">
        <f t="shared" si="18"/>
        <v>14166391.85</v>
      </c>
      <c r="R81" s="138">
        <f>SUM(R6:R80)</f>
        <v>13765434.85</v>
      </c>
    </row>
    <row r="82" spans="2:18" ht="12.75" customHeight="1" x14ac:dyDescent="0.25">
      <c r="E82" s="67"/>
      <c r="F82" s="67"/>
    </row>
    <row r="83" spans="2:18" hidden="1" x14ac:dyDescent="0.25"/>
    <row r="84" spans="2:18" ht="9" customHeight="1" x14ac:dyDescent="0.25">
      <c r="E84" s="222" t="str">
        <f>RESUMEN!A14</f>
        <v>ESTIMADOS PROPIETARIOS E INQUILINOS: POR FAVOR LOS QUE ABONAN EN PRIMER VENCIMIENTO ABONEN EL MONTO DE PRIMER VENCIMIENTO, ASI AGILIZAN LA LIQUIDACION, RESPETEN LOS CENTAVOS CORRESPONDIENTES A LA UNIDAD FUNCIONAL. ES DE CARÁCTER OBLIGATORIO INFORMAR VIA MAIL LAS EXPENSAS. CASO CONTRARIO SE INFORMARA VIA CARTA DOCUMENTO A LA UNIDAD FUNCIONAL QUE CREEMOS QUE CORRESPONDE, CUYO COSTO SERA IMPUTADO A LA UNIDAD FUNCIONAL SOSPECHADA.</v>
      </c>
      <c r="F84" s="222"/>
      <c r="G84" s="222"/>
      <c r="H84" s="222"/>
      <c r="I84" s="222"/>
      <c r="J84" s="222"/>
      <c r="K84" s="222"/>
      <c r="L84" s="222"/>
      <c r="M84" s="222"/>
      <c r="N84" s="222"/>
      <c r="O84" s="222"/>
      <c r="P84" s="222"/>
    </row>
    <row r="85" spans="2:18" ht="12" hidden="1" customHeight="1" x14ac:dyDescent="0.25">
      <c r="E85" s="222"/>
      <c r="F85" s="222"/>
      <c r="G85" s="222"/>
      <c r="H85" s="222"/>
      <c r="I85" s="222"/>
      <c r="J85" s="222"/>
      <c r="K85" s="222"/>
      <c r="L85" s="222"/>
      <c r="M85" s="222"/>
      <c r="N85" s="222"/>
      <c r="O85" s="222"/>
      <c r="P85" s="222"/>
    </row>
    <row r="86" spans="2:18" ht="12" hidden="1" customHeight="1" x14ac:dyDescent="0.25">
      <c r="E86" s="222"/>
      <c r="F86" s="222"/>
      <c r="G86" s="222"/>
      <c r="H86" s="222"/>
      <c r="I86" s="222"/>
      <c r="J86" s="222"/>
      <c r="K86" s="222"/>
      <c r="L86" s="222"/>
      <c r="M86" s="222"/>
      <c r="N86" s="222"/>
      <c r="O86" s="222"/>
      <c r="P86" s="222"/>
    </row>
    <row r="87" spans="2:18" ht="12" hidden="1" customHeight="1" x14ac:dyDescent="0.25">
      <c r="E87" s="222"/>
      <c r="F87" s="222"/>
      <c r="G87" s="222"/>
      <c r="H87" s="222"/>
      <c r="I87" s="222"/>
      <c r="J87" s="222"/>
      <c r="K87" s="222"/>
      <c r="L87" s="222"/>
      <c r="M87" s="222"/>
      <c r="N87" s="222"/>
      <c r="O87" s="222"/>
      <c r="P87" s="222"/>
    </row>
    <row r="88" spans="2:18" ht="12" hidden="1" customHeight="1" x14ac:dyDescent="0.25">
      <c r="E88" s="222"/>
      <c r="F88" s="222"/>
      <c r="G88" s="222"/>
      <c r="H88" s="222"/>
      <c r="I88" s="222"/>
      <c r="J88" s="222"/>
      <c r="K88" s="222"/>
      <c r="L88" s="222"/>
      <c r="M88" s="222"/>
      <c r="N88" s="222"/>
      <c r="O88" s="222"/>
      <c r="P88" s="222"/>
    </row>
    <row r="89" spans="2:18" ht="60.75" customHeight="1" x14ac:dyDescent="0.25">
      <c r="E89" s="222"/>
      <c r="F89" s="222"/>
      <c r="G89" s="222"/>
      <c r="H89" s="222"/>
      <c r="I89" s="222"/>
      <c r="J89" s="222"/>
      <c r="K89" s="222"/>
      <c r="L89" s="222"/>
      <c r="M89" s="222"/>
      <c r="N89" s="222"/>
      <c r="O89" s="222"/>
      <c r="P89" s="222"/>
    </row>
  </sheetData>
  <mergeCells count="18">
    <mergeCell ref="G1:P1"/>
    <mergeCell ref="L4:L5"/>
    <mergeCell ref="H4:H5"/>
    <mergeCell ref="Q4:Q5"/>
    <mergeCell ref="I4:I5"/>
    <mergeCell ref="K4:K5"/>
    <mergeCell ref="M4:M5"/>
    <mergeCell ref="N4:N5"/>
    <mergeCell ref="O4:O5"/>
    <mergeCell ref="R4:R5"/>
    <mergeCell ref="E84:P89"/>
    <mergeCell ref="F4:F5"/>
    <mergeCell ref="J4:J5"/>
    <mergeCell ref="A4:A5"/>
    <mergeCell ref="B4:B5"/>
    <mergeCell ref="D4:D5"/>
    <mergeCell ref="E4:E5"/>
    <mergeCell ref="G4:G5"/>
  </mergeCells>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RESUMEN</vt:lpstr>
      <vt:lpstr>PRORRATEO</vt:lpstr>
      <vt:lpstr>PRORRATEO!Área_de_impresión</vt:lpstr>
      <vt:lpstr>RESUMEN!Área_de_impresión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2025-02-05T14:07:47Z</cp:lastPrinted>
  <dcterms:created xsi:type="dcterms:W3CDTF">2023-09-17T12:29:07Z</dcterms:created>
  <dcterms:modified xsi:type="dcterms:W3CDTF">2025-02-05T16:59:34Z</dcterms:modified>
</cp:coreProperties>
</file>