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Agosto\"/>
    </mc:Choice>
  </mc:AlternateContent>
  <xr:revisionPtr revIDLastSave="0" documentId="13_ncr:1_{7494E812-3AC3-4115-ACC2-3CB397427058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Hoja1" sheetId="3" r:id="rId3"/>
    <sheet name="PRORRATEO DE PRUEBA  EMERGENCIA" sheetId="4" r:id="rId4"/>
  </sheets>
  <definedNames>
    <definedName name="_xlnm.Print_Area" localSheetId="1">PRORRATEO!$A$1:$R$90</definedName>
    <definedName name="_xlnm.Print_Area" localSheetId="3">'PRORRATEO DE PRUEBA  EMERGENCIA'!$A$1:$R$90</definedName>
    <definedName name="_xlnm.Print_Area" localSheetId="0">RESUMEN!$A$1:$E$129</definedName>
  </definedNames>
  <calcPr calcId="181029"/>
</workbook>
</file>

<file path=xl/calcChain.xml><?xml version="1.0" encoding="utf-8"?>
<calcChain xmlns="http://schemas.openxmlformats.org/spreadsheetml/2006/main">
  <c r="I7" i="2" l="1"/>
  <c r="I6" i="2" s="1"/>
  <c r="P2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6" i="2"/>
  <c r="E47" i="1"/>
  <c r="E37" i="1"/>
  <c r="E58" i="1"/>
  <c r="E70" i="1"/>
  <c r="E74" i="1"/>
  <c r="I21" i="2"/>
  <c r="I28" i="2"/>
  <c r="I46" i="2"/>
  <c r="I19" i="2"/>
  <c r="I55" i="2"/>
  <c r="I50" i="2"/>
  <c r="I27" i="2"/>
  <c r="I14" i="2"/>
  <c r="I24" i="2"/>
  <c r="I51" i="2"/>
  <c r="I65" i="2"/>
  <c r="I34" i="2"/>
  <c r="I20" i="2"/>
  <c r="I32" i="2"/>
  <c r="I45" i="2"/>
  <c r="I72" i="2"/>
  <c r="E52" i="1"/>
  <c r="N6" i="2" l="1"/>
  <c r="P2" i="4" l="1"/>
  <c r="N54" i="4" s="1"/>
  <c r="N74" i="4"/>
  <c r="E84" i="4"/>
  <c r="O81" i="4"/>
  <c r="M81" i="4"/>
  <c r="J81" i="4"/>
  <c r="H81" i="4"/>
  <c r="G81" i="4"/>
  <c r="N72" i="4"/>
  <c r="N70" i="4"/>
  <c r="N69" i="4"/>
  <c r="N68" i="4"/>
  <c r="N67" i="4"/>
  <c r="N64" i="4"/>
  <c r="N61" i="4"/>
  <c r="N60" i="4"/>
  <c r="N59" i="4"/>
  <c r="N55" i="4"/>
  <c r="N50" i="4"/>
  <c r="N49" i="4"/>
  <c r="N45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S9" i="4"/>
  <c r="S10" i="4" s="1"/>
  <c r="N9" i="4"/>
  <c r="D9" i="4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S8" i="4"/>
  <c r="N8" i="4"/>
  <c r="D8" i="4"/>
  <c r="S7" i="4"/>
  <c r="N7" i="4"/>
  <c r="D7" i="4"/>
  <c r="N6" i="4"/>
  <c r="E41" i="1"/>
  <c r="D32" i="1"/>
  <c r="I70" i="2"/>
  <c r="I8" i="2"/>
  <c r="N46" i="4" l="1"/>
  <c r="N47" i="4"/>
  <c r="N48" i="4"/>
  <c r="N51" i="4"/>
  <c r="N52" i="4"/>
  <c r="N53" i="4"/>
  <c r="N56" i="4"/>
  <c r="N57" i="4"/>
  <c r="N58" i="4"/>
  <c r="N65" i="4"/>
  <c r="N66" i="4"/>
  <c r="N73" i="4"/>
  <c r="N75" i="4"/>
  <c r="N44" i="4"/>
  <c r="N62" i="4"/>
  <c r="N63" i="4"/>
  <c r="N71" i="4"/>
  <c r="P8" i="4"/>
  <c r="S11" i="4"/>
  <c r="P10" i="4"/>
  <c r="P7" i="4"/>
  <c r="P9" i="4"/>
  <c r="N81" i="4"/>
  <c r="K81" i="4"/>
  <c r="I81" i="4"/>
  <c r="P6" i="4"/>
  <c r="Q7" i="4" l="1"/>
  <c r="R7" i="4"/>
  <c r="S12" i="4"/>
  <c r="P11" i="4"/>
  <c r="Q6" i="4"/>
  <c r="R6" i="4"/>
  <c r="R9" i="4"/>
  <c r="Q9" i="4"/>
  <c r="R8" i="4"/>
  <c r="Q8" i="4"/>
  <c r="Q10" i="4"/>
  <c r="R10" i="4"/>
  <c r="Q11" i="4" l="1"/>
  <c r="R11" i="4"/>
  <c r="S13" i="4"/>
  <c r="P12" i="4"/>
  <c r="S14" i="4" l="1"/>
  <c r="P13" i="4"/>
  <c r="R12" i="4"/>
  <c r="Q12" i="4"/>
  <c r="R13" i="4" l="1"/>
  <c r="Q13" i="4"/>
  <c r="S15" i="4"/>
  <c r="P14" i="4"/>
  <c r="S16" i="4" l="1"/>
  <c r="P15" i="4"/>
  <c r="R14" i="4"/>
  <c r="Q14" i="4"/>
  <c r="R15" i="4" l="1"/>
  <c r="Q15" i="4"/>
  <c r="S17" i="4"/>
  <c r="P16" i="4"/>
  <c r="R16" i="4" l="1"/>
  <c r="Q16" i="4"/>
  <c r="S18" i="4"/>
  <c r="P17" i="4"/>
  <c r="Q17" i="4" l="1"/>
  <c r="R17" i="4"/>
  <c r="S19" i="4"/>
  <c r="P18" i="4"/>
  <c r="Q18" i="4" l="1"/>
  <c r="R18" i="4"/>
  <c r="S20" i="4"/>
  <c r="P19" i="4"/>
  <c r="R19" i="4" l="1"/>
  <c r="Q19" i="4"/>
  <c r="S21" i="4"/>
  <c r="P20" i="4"/>
  <c r="R20" i="4" l="1"/>
  <c r="Q20" i="4"/>
  <c r="S22" i="4"/>
  <c r="P21" i="4"/>
  <c r="Q21" i="4" l="1"/>
  <c r="R21" i="4"/>
  <c r="S23" i="4"/>
  <c r="P22" i="4"/>
  <c r="R22" i="4" l="1"/>
  <c r="Q22" i="4"/>
  <c r="P23" i="4"/>
  <c r="S24" i="4"/>
  <c r="S25" i="4" l="1"/>
  <c r="P24" i="4"/>
  <c r="R23" i="4"/>
  <c r="Q23" i="4"/>
  <c r="S26" i="4" l="1"/>
  <c r="P25" i="4"/>
  <c r="Q24" i="4"/>
  <c r="R24" i="4"/>
  <c r="S27" i="4" l="1"/>
  <c r="P26" i="4"/>
  <c r="Q25" i="4"/>
  <c r="R25" i="4"/>
  <c r="Q26" i="4" l="1"/>
  <c r="R26" i="4"/>
  <c r="S28" i="4"/>
  <c r="P27" i="4"/>
  <c r="R27" i="4" l="1"/>
  <c r="Q27" i="4"/>
  <c r="P28" i="4"/>
  <c r="S29" i="4"/>
  <c r="R28" i="4" l="1"/>
  <c r="Q28" i="4"/>
  <c r="P29" i="4"/>
  <c r="S30" i="4"/>
  <c r="R29" i="4" l="1"/>
  <c r="Q29" i="4"/>
  <c r="S31" i="4"/>
  <c r="P30" i="4"/>
  <c r="Q30" i="4" l="1"/>
  <c r="R30" i="4"/>
  <c r="P31" i="4"/>
  <c r="S32" i="4"/>
  <c r="S33" i="4" l="1"/>
  <c r="P32" i="4"/>
  <c r="Q31" i="4"/>
  <c r="R31" i="4"/>
  <c r="S34" i="4" l="1"/>
  <c r="P33" i="4"/>
  <c r="Q32" i="4"/>
  <c r="R32" i="4"/>
  <c r="S35" i="4" l="1"/>
  <c r="P34" i="4"/>
  <c r="R33" i="4"/>
  <c r="Q33" i="4"/>
  <c r="S36" i="4" l="1"/>
  <c r="P35" i="4"/>
  <c r="R34" i="4"/>
  <c r="Q34" i="4"/>
  <c r="P36" i="4" l="1"/>
  <c r="S37" i="4"/>
  <c r="Q35" i="4"/>
  <c r="R35" i="4"/>
  <c r="Q36" i="4" l="1"/>
  <c r="R36" i="4"/>
  <c r="S38" i="4"/>
  <c r="P37" i="4"/>
  <c r="Q37" i="4" l="1"/>
  <c r="R37" i="4"/>
  <c r="S39" i="4"/>
  <c r="P38" i="4"/>
  <c r="R38" i="4" l="1"/>
  <c r="Q38" i="4"/>
  <c r="S40" i="4"/>
  <c r="P39" i="4"/>
  <c r="R39" i="4" l="1"/>
  <c r="Q39" i="4"/>
  <c r="S41" i="4"/>
  <c r="P40" i="4"/>
  <c r="R40" i="4" l="1"/>
  <c r="Q40" i="4"/>
  <c r="S42" i="4"/>
  <c r="P41" i="4"/>
  <c r="S43" i="4" l="1"/>
  <c r="P42" i="4"/>
  <c r="Q41" i="4"/>
  <c r="R41" i="4"/>
  <c r="R42" i="4" l="1"/>
  <c r="Q42" i="4"/>
  <c r="S44" i="4"/>
  <c r="P43" i="4"/>
  <c r="R43" i="4" l="1"/>
  <c r="Q43" i="4"/>
  <c r="S45" i="4"/>
  <c r="P44" i="4"/>
  <c r="R44" i="4" l="1"/>
  <c r="Q44" i="4"/>
  <c r="S46" i="4"/>
  <c r="P45" i="4"/>
  <c r="R45" i="4" l="1"/>
  <c r="Q45" i="4"/>
  <c r="P46" i="4"/>
  <c r="S47" i="4"/>
  <c r="R46" i="4" l="1"/>
  <c r="Q46" i="4"/>
  <c r="S48" i="4"/>
  <c r="P47" i="4"/>
  <c r="R47" i="4" l="1"/>
  <c r="Q47" i="4"/>
  <c r="S49" i="4"/>
  <c r="P48" i="4"/>
  <c r="Q48" i="4" l="1"/>
  <c r="R48" i="4"/>
  <c r="S50" i="4"/>
  <c r="P49" i="4"/>
  <c r="R49" i="4" l="1"/>
  <c r="Q49" i="4"/>
  <c r="S51" i="4"/>
  <c r="P50" i="4"/>
  <c r="R50" i="4" l="1"/>
  <c r="Q50" i="4"/>
  <c r="P51" i="4"/>
  <c r="S52" i="4"/>
  <c r="R51" i="4" l="1"/>
  <c r="Q51" i="4"/>
  <c r="S53" i="4"/>
  <c r="P52" i="4"/>
  <c r="R52" i="4" l="1"/>
  <c r="Q52" i="4"/>
  <c r="S54" i="4"/>
  <c r="P53" i="4"/>
  <c r="Q53" i="4" l="1"/>
  <c r="R53" i="4"/>
  <c r="S55" i="4"/>
  <c r="P54" i="4"/>
  <c r="R54" i="4" l="1"/>
  <c r="Q54" i="4"/>
  <c r="S56" i="4"/>
  <c r="P55" i="4"/>
  <c r="S57" i="4" l="1"/>
  <c r="P56" i="4"/>
  <c r="R55" i="4"/>
  <c r="Q55" i="4"/>
  <c r="S58" i="4" l="1"/>
  <c r="P57" i="4"/>
  <c r="R56" i="4"/>
  <c r="Q56" i="4"/>
  <c r="S59" i="4" l="1"/>
  <c r="P58" i="4"/>
  <c r="R57" i="4"/>
  <c r="Q57" i="4"/>
  <c r="P59" i="4" l="1"/>
  <c r="S60" i="4"/>
  <c r="Q58" i="4"/>
  <c r="R58" i="4"/>
  <c r="S61" i="4" l="1"/>
  <c r="P60" i="4"/>
  <c r="R59" i="4"/>
  <c r="Q59" i="4"/>
  <c r="S62" i="4" l="1"/>
  <c r="P61" i="4"/>
  <c r="R60" i="4"/>
  <c r="Q60" i="4"/>
  <c r="R61" i="4" l="1"/>
  <c r="Q61" i="4"/>
  <c r="P62" i="4"/>
  <c r="S63" i="4"/>
  <c r="P63" i="4" l="1"/>
  <c r="S64" i="4"/>
  <c r="R62" i="4"/>
  <c r="Q62" i="4"/>
  <c r="P64" i="4" l="1"/>
  <c r="S65" i="4"/>
  <c r="R63" i="4"/>
  <c r="Q63" i="4"/>
  <c r="R64" i="4" l="1"/>
  <c r="Q64" i="4"/>
  <c r="S66" i="4"/>
  <c r="P65" i="4"/>
  <c r="R65" i="4" l="1"/>
  <c r="Q65" i="4"/>
  <c r="S67" i="4"/>
  <c r="P66" i="4"/>
  <c r="S68" i="4" l="1"/>
  <c r="P67" i="4"/>
  <c r="Q66" i="4"/>
  <c r="R66" i="4"/>
  <c r="S69" i="4" l="1"/>
  <c r="P68" i="4"/>
  <c r="R67" i="4"/>
  <c r="Q67" i="4"/>
  <c r="S70" i="4" l="1"/>
  <c r="P69" i="4"/>
  <c r="R68" i="4"/>
  <c r="Q68" i="4"/>
  <c r="P70" i="4" l="1"/>
  <c r="S71" i="4"/>
  <c r="R69" i="4"/>
  <c r="Q69" i="4"/>
  <c r="P71" i="4" l="1"/>
  <c r="S72" i="4"/>
  <c r="Q70" i="4"/>
  <c r="R70" i="4"/>
  <c r="Q71" i="4" l="1"/>
  <c r="R71" i="4"/>
  <c r="S73" i="4"/>
  <c r="P72" i="4"/>
  <c r="Q72" i="4" l="1"/>
  <c r="R72" i="4"/>
  <c r="S74" i="4"/>
  <c r="P73" i="4"/>
  <c r="S75" i="4" l="1"/>
  <c r="P75" i="4" s="1"/>
  <c r="P74" i="4"/>
  <c r="R73" i="4"/>
  <c r="Q73" i="4"/>
  <c r="R75" i="4" l="1"/>
  <c r="Q75" i="4"/>
  <c r="Q81" i="4" s="1"/>
  <c r="P81" i="4"/>
  <c r="R74" i="4"/>
  <c r="Q74" i="4"/>
  <c r="I17" i="2" l="1"/>
  <c r="I10" i="2" l="1"/>
  <c r="I9" i="2"/>
  <c r="I73" i="2"/>
  <c r="I68" i="2"/>
  <c r="I35" i="2"/>
  <c r="E84" i="2" l="1"/>
  <c r="O81" i="2"/>
  <c r="M81" i="2"/>
  <c r="J81" i="2"/>
  <c r="H81" i="2"/>
  <c r="G81" i="2"/>
  <c r="N75" i="2"/>
  <c r="I75" i="2"/>
  <c r="K75" i="2" s="1"/>
  <c r="L75" i="2" s="1"/>
  <c r="N74" i="2"/>
  <c r="I74" i="2"/>
  <c r="K74" i="2" s="1"/>
  <c r="L74" i="2" s="1"/>
  <c r="N73" i="2"/>
  <c r="K73" i="2"/>
  <c r="L73" i="2" s="1"/>
  <c r="N72" i="2"/>
  <c r="K72" i="2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K63" i="2"/>
  <c r="L63" i="2" s="1"/>
  <c r="N62" i="2"/>
  <c r="K62" i="2"/>
  <c r="L62" i="2" s="1"/>
  <c r="N61" i="2"/>
  <c r="K61" i="2"/>
  <c r="L61" i="2" s="1"/>
  <c r="N60" i="2"/>
  <c r="K60" i="2"/>
  <c r="L60" i="2" s="1"/>
  <c r="N59" i="2"/>
  <c r="I59" i="2"/>
  <c r="K59" i="2" s="1"/>
  <c r="L59" i="2" s="1"/>
  <c r="N58" i="2"/>
  <c r="I58" i="2"/>
  <c r="K58" i="2" s="1"/>
  <c r="L58" i="2" s="1"/>
  <c r="N57" i="2"/>
  <c r="K57" i="2"/>
  <c r="L57" i="2" s="1"/>
  <c r="N56" i="2"/>
  <c r="K56" i="2"/>
  <c r="L56" i="2" s="1"/>
  <c r="N55" i="2"/>
  <c r="K55" i="2"/>
  <c r="L55" i="2" s="1"/>
  <c r="N54" i="2"/>
  <c r="I54" i="2"/>
  <c r="K54" i="2" s="1"/>
  <c r="L54" i="2" s="1"/>
  <c r="N53" i="2"/>
  <c r="K53" i="2"/>
  <c r="L53" i="2" s="1"/>
  <c r="N52" i="2"/>
  <c r="N51" i="2"/>
  <c r="K51" i="2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K46" i="2"/>
  <c r="L46" i="2" s="1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K41" i="2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K34" i="2"/>
  <c r="L34" i="2" s="1"/>
  <c r="N33" i="2"/>
  <c r="I33" i="2"/>
  <c r="K33" i="2" s="1"/>
  <c r="L33" i="2" s="1"/>
  <c r="N32" i="2"/>
  <c r="K32" i="2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K28" i="2"/>
  <c r="L28" i="2" s="1"/>
  <c r="N27" i="2"/>
  <c r="K27" i="2"/>
  <c r="L27" i="2" s="1"/>
  <c r="N26" i="2"/>
  <c r="I26" i="2"/>
  <c r="K26" i="2" s="1"/>
  <c r="L26" i="2" s="1"/>
  <c r="N25" i="2"/>
  <c r="K25" i="2"/>
  <c r="L25" i="2" s="1"/>
  <c r="N24" i="2"/>
  <c r="K24" i="2"/>
  <c r="L24" i="2" s="1"/>
  <c r="N23" i="2"/>
  <c r="K23" i="2"/>
  <c r="L23" i="2" s="1"/>
  <c r="N22" i="2"/>
  <c r="I22" i="2"/>
  <c r="K22" i="2" s="1"/>
  <c r="L22" i="2" s="1"/>
  <c r="N21" i="2"/>
  <c r="K21" i="2"/>
  <c r="L21" i="2" s="1"/>
  <c r="N20" i="2"/>
  <c r="K20" i="2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D7" i="2"/>
  <c r="P5" i="2"/>
  <c r="E2" i="2"/>
  <c r="B129" i="1"/>
  <c r="B118" i="1" s="1"/>
  <c r="E86" i="1"/>
  <c r="E91" i="1" s="1"/>
  <c r="B96" i="1" s="1"/>
  <c r="E45" i="1"/>
  <c r="E46" i="1" s="1"/>
  <c r="A45" i="1"/>
  <c r="A46" i="1" s="1"/>
  <c r="D30" i="1"/>
  <c r="D28" i="1"/>
  <c r="K52" i="2" l="1"/>
  <c r="L52" i="2" s="1"/>
  <c r="I81" i="2"/>
  <c r="B120" i="1" s="1"/>
  <c r="G32" i="1"/>
  <c r="E33" i="1"/>
  <c r="E78" i="1" s="1"/>
  <c r="K6" i="2"/>
  <c r="K13" i="2"/>
  <c r="L13" i="2" s="1"/>
  <c r="B95" i="1"/>
  <c r="B110" i="1" s="1"/>
  <c r="P8" i="2"/>
  <c r="S9" i="2"/>
  <c r="B106" i="1"/>
  <c r="N81" i="2"/>
  <c r="L7" i="2"/>
  <c r="P7" i="2" s="1"/>
  <c r="K81" i="2" l="1"/>
  <c r="L6" i="2"/>
  <c r="P6" i="2" s="1"/>
  <c r="R6" i="2" s="1"/>
  <c r="B93" i="1"/>
  <c r="B94" i="1"/>
  <c r="B116" i="1" s="1"/>
  <c r="B122" i="1" s="1"/>
  <c r="B117" i="1"/>
  <c r="R7" i="2"/>
  <c r="Q7" i="2"/>
  <c r="P9" i="2"/>
  <c r="S10" i="2"/>
  <c r="R8" i="2"/>
  <c r="Q8" i="2"/>
  <c r="B104" i="1"/>
  <c r="Q6" i="2" l="1"/>
  <c r="B109" i="1"/>
  <c r="B111" i="1" s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<sst xmlns="http://schemas.openxmlformats.org/spreadsheetml/2006/main" count="574" uniqueCount="246">
  <si>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</si>
  <si>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</si>
  <si>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</si>
  <si>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</si>
  <si>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</si>
  <si>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</si>
  <si>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</si>
  <si>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</si>
  <si>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</si>
  <si>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</si>
  <si>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</si>
  <si>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</si>
  <si>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</si>
  <si>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</si>
  <si>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</si>
  <si>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</si>
  <si>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</si>
  <si>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</si>
  <si>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</si>
  <si>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</si>
  <si>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</si>
  <si>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</si>
  <si>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</si>
  <si>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</si>
  <si>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</si>
  <si>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</si>
  <si>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</si>
  <si>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</si>
  <si>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</si>
  <si>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</si>
  <si>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</si>
  <si>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</si>
  <si>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</si>
  <si>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</si>
  <si>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</si>
  <si>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</si>
  <si>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</si>
  <si>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</si>
  <si>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</si>
  <si>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</si>
  <si>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</si>
  <si>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</si>
  <si>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</si>
  <si>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</si>
  <si>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</si>
  <si>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</si>
  <si>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</si>
  <si>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</si>
  <si>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</si>
  <si>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</si>
  <si>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</si>
  <si>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</si>
  <si>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</si>
  <si>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</si>
  <si>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</si>
  <si>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</si>
  <si>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</si>
  <si>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</si>
  <si>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</si>
  <si>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</si>
  <si>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</si>
  <si>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</si>
  <si>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</si>
  <si>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</si>
  <si>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</si>
  <si>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</si>
  <si>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</si>
  <si>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</si>
  <si>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</si>
  <si>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</si>
  <si>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</si>
  <si>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</si>
  <si>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</si>
  <si>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</si>
  <si>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</si>
  <si>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</si>
  <si>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</si>
  <si>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</si>
  <si>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</si>
  <si>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</si>
  <si>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</si>
  <si>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</si>
  <si>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</si>
  <si>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</si>
  <si>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</si>
  <si>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</si>
  <si>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</si>
  <si>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</si>
  <si>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</si>
  <si>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</si>
  <si>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</si>
  <si>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</si>
  <si>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</si>
  <si>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</si>
  <si>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</si>
  <si>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</si>
  <si>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</si>
  <si>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</si>
  <si>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</si>
  <si>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</si>
  <si>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</si>
  <si>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</si>
  <si>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</si>
  <si>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</si>
  <si>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</si>
  <si>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</si>
  <si>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</si>
  <si>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</si>
  <si>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</si>
  <si>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</si>
  <si>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</si>
  <si>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</si>
  <si>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</si>
  <si>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</si>
  <si>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</si>
  <si>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</si>
  <si>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</si>
  <si>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</si>
  <si>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</si>
  <si>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</si>
  <si>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</si>
  <si>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</si>
  <si>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</si>
  <si>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</si>
  <si>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</si>
  <si>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</si>
  <si>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</si>
  <si>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</si>
  <si>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</si>
  <si>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</si>
  <si>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</si>
  <si>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</si>
  <si>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</si>
  <si>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</si>
  <si>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</si>
  <si>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</si>
  <si>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</si>
  <si>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</si>
  <si>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</si>
  <si>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</si>
  <si>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</si>
  <si>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</si>
  <si>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</si>
  <si>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</si>
  <si>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</si>
  <si>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</si>
  <si>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</si>
  <si>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</si>
  <si>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</si>
  <si>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</si>
  <si>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</si>
  <si>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</si>
  <si>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</si>
  <si>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</si>
  <si>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</si>
  <si>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</si>
  <si>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</si>
  <si>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</si>
  <si>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</si>
  <si>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</si>
  <si>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</si>
  <si>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</si>
  <si>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</si>
  <si>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</si>
  <si>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</si>
  <si>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</si>
  <si>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</si>
  <si>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</si>
  <si>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</si>
  <si>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</si>
  <si>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</si>
  <si>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</si>
  <si>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</si>
  <si>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</si>
  <si>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</si>
  <si>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</si>
  <si>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</si>
  <si>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</si>
  <si>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</si>
  <si>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</si>
  <si>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</si>
  <si>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</si>
  <si>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</si>
  <si>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</si>
  <si>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</si>
  <si>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</si>
  <si>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</si>
  <si>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</si>
  <si>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</si>
  <si>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</si>
  <si>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</si>
  <si>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</si>
  <si>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</si>
  <si>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</si>
  <si>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</si>
  <si>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</si>
  <si>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</si>
  <si>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</si>
  <si>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</si>
  <si>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</si>
  <si>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</si>
  <si>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</si>
  <si>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HONORARIOS CONTADOR GUSTAVO PADRON</t>
  </si>
  <si>
    <t>Metrogas - Cliente nro. 20463936100</t>
  </si>
  <si>
    <t>Metrogas - Cliente nro. 20495697900</t>
  </si>
  <si>
    <t>MANTENIMIENTO DE CUENTA - NO SE DEBITO NUEVAMENTE</t>
  </si>
  <si>
    <t>Articulos de limpieza</t>
  </si>
  <si>
    <t>Transf 21/07</t>
  </si>
  <si>
    <t>EN MAY, JUNI, JULI NO SE DEBITA EL MANTENIMIENTO DE CUENTA</t>
  </si>
  <si>
    <t>Debito 17/07</t>
  </si>
  <si>
    <t>Castellano Alejandro - Abono de servicio de mantenimiento de grupo electrogeno y porton</t>
  </si>
  <si>
    <t>PRESUPUESTO LEMA</t>
  </si>
  <si>
    <t>Presupuesto</t>
  </si>
  <si>
    <t>Efectivo</t>
  </si>
  <si>
    <t>Doartero Mano de obra y materiales recubrimiento de caño bajada</t>
  </si>
  <si>
    <t>Transf 22/08</t>
  </si>
  <si>
    <t>Transf 19/08</t>
  </si>
  <si>
    <t>Matafuegos FIRE - Recarga</t>
  </si>
  <si>
    <t>Transf 18/08</t>
  </si>
  <si>
    <t>Transf 11/08</t>
  </si>
  <si>
    <t>Doartero Mano de obra reparacion y cambio de luces piso 13</t>
  </si>
  <si>
    <t>Transf 01/08</t>
  </si>
  <si>
    <t>VTO 15/09</t>
  </si>
  <si>
    <t>PERÍODO: AGOSTO</t>
  </si>
  <si>
    <t>Sindicatos mes de AGOSTO</t>
  </si>
  <si>
    <t>HONORARIOS ADMINISTRACION RC - SE ABONA EL MES JULIO - SE DEBE AGOSTO</t>
  </si>
  <si>
    <t>Carta documento - Envio - 1A</t>
  </si>
  <si>
    <t>Debito 13/08</t>
  </si>
  <si>
    <t>PMC 11/08</t>
  </si>
  <si>
    <t>Debito 12/08</t>
  </si>
  <si>
    <t>Transf 14/08</t>
  </si>
  <si>
    <t>Transf 07/08</t>
  </si>
  <si>
    <t>Debito 11/08</t>
  </si>
  <si>
    <t>Transf 12/08</t>
  </si>
  <si>
    <t>Transf 21/08</t>
  </si>
  <si>
    <t>No llego factura</t>
  </si>
  <si>
    <t>Sin consumo</t>
  </si>
  <si>
    <t>ANALIA AYELEN CAMERA</t>
  </si>
  <si>
    <t>Retiro de piezas pagado por el propietario Carlos Srugo - Sin comprobante</t>
  </si>
  <si>
    <t>Retiro de piezas pagado por el propietario Maria Couso - Sin comprobante</t>
  </si>
  <si>
    <t>Retiro de piezas pagado por el propietario Sarubbi Adriana - Sin comprobante</t>
  </si>
  <si>
    <t>Deposito sin identificar - 18/08</t>
  </si>
  <si>
    <t>LA CAJA NOS DA EN $1.510.113 PESOS, CUANDO EN EL BANCO TENEMOS 636.353,64 Y EN EFECTIVO 400.000 APROX, LA DIFERENCIA ES DE $473.759,95 ENTRE LA CAJA REAL QUE TENEMOS Y LA CAJA QUE NOS DA EL EXCEL DE $1.510.113</t>
  </si>
  <si>
    <t>PREVISION ORDINARIA - ASCENSOR - LIQUIDADO EN COLUMNA APARTE</t>
  </si>
  <si>
    <t>Ascensor</t>
  </si>
  <si>
    <t>Ascensor: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</si>
</sst>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  <numFmt numFmtId="171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5" fontId="1" fillId="0" borderId="0"/>
    <xf numFmtId="166" fontId="1" fillId="0" borderId="0"/>
    <xf numFmtId="43" fontId="1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5" fontId="0" fillId="3" borderId="8" xfId="1" applyFont="1" applyFill="1" applyBorder="1" applyAlignment="1">
      <alignment vertical="center"/>
    </xf>
    <xf numFmtId="0" fontId="19" fillId="11" borderId="1" xfId="0" applyFont="1" applyFill="1" applyBorder="1"/>
    <xf numFmtId="165" fontId="0" fillId="4" borderId="0" xfId="1" applyFont="1" applyFill="1"/>
    <xf numFmtId="165" fontId="7" fillId="0" borderId="1" xfId="1" applyFont="1" applyBorder="1"/>
    <xf numFmtId="165" fontId="0" fillId="3" borderId="0" xfId="1" applyFont="1" applyFill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7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2" borderId="1" xfId="0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5" fillId="0" borderId="1" xfId="0" applyNumberFormat="1" applyFont="1" applyBorder="1"/>
    <xf numFmtId="165" fontId="15" fillId="0" borderId="1" xfId="1" applyFont="1" applyBorder="1"/>
    <xf numFmtId="167" fontId="15" fillId="0" borderId="1" xfId="1" applyNumberFormat="1" applyFont="1" applyBorder="1"/>
    <xf numFmtId="165" fontId="15" fillId="0" borderId="6" xfId="1" applyFont="1" applyBorder="1"/>
    <xf numFmtId="165" fontId="20" fillId="0" borderId="27" xfId="1" applyFont="1" applyBorder="1"/>
    <xf numFmtId="165" fontId="20" fillId="0" borderId="6" xfId="1" applyFont="1" applyBorder="1"/>
    <xf numFmtId="165" fontId="20" fillId="0" borderId="31" xfId="1" applyFont="1" applyBorder="1"/>
    <xf numFmtId="167" fontId="21" fillId="2" borderId="1" xfId="1" applyNumberFormat="1" applyFont="1" applyFill="1" applyBorder="1"/>
    <xf numFmtId="165" fontId="21" fillId="0" borderId="6" xfId="1" applyFont="1" applyBorder="1"/>
    <xf numFmtId="0" fontId="15" fillId="2" borderId="1" xfId="0" applyFont="1" applyFill="1" applyBorder="1" applyAlignment="1">
      <alignment wrapText="1"/>
    </xf>
    <xf numFmtId="2" fontId="15" fillId="2" borderId="1" xfId="0" applyNumberFormat="1" applyFont="1" applyFill="1" applyBorder="1" applyAlignment="1">
      <alignment horizontal="center"/>
    </xf>
    <xf numFmtId="0" fontId="15" fillId="0" borderId="7" xfId="0" applyFont="1" applyBorder="1"/>
    <xf numFmtId="0" fontId="15" fillId="0" borderId="23" xfId="0" applyFont="1" applyBorder="1"/>
    <xf numFmtId="0" fontId="15" fillId="2" borderId="2" xfId="0" applyFont="1" applyFill="1" applyBorder="1"/>
    <xf numFmtId="2" fontId="15" fillId="2" borderId="2" xfId="0" applyNumberFormat="1" applyFont="1" applyFill="1" applyBorder="1" applyAlignment="1">
      <alignment horizontal="center"/>
    </xf>
    <xf numFmtId="165" fontId="20" fillId="0" borderId="2" xfId="1" applyFont="1" applyBorder="1"/>
    <xf numFmtId="165" fontId="20" fillId="2" borderId="2" xfId="1" applyFont="1" applyFill="1" applyBorder="1"/>
    <xf numFmtId="167" fontId="20" fillId="2" borderId="2" xfId="1" applyNumberFormat="1" applyFont="1" applyFill="1" applyBorder="1"/>
    <xf numFmtId="167" fontId="15" fillId="0" borderId="2" xfId="0" applyNumberFormat="1" applyFont="1" applyBorder="1"/>
    <xf numFmtId="167" fontId="15" fillId="0" borderId="2" xfId="1" applyNumberFormat="1" applyFont="1" applyBorder="1"/>
    <xf numFmtId="165" fontId="15" fillId="0" borderId="26" xfId="1" applyFont="1" applyBorder="1"/>
    <xf numFmtId="0" fontId="15" fillId="0" borderId="2" xfId="0" applyFont="1" applyBorder="1" applyAlignment="1">
      <alignment wrapText="1"/>
    </xf>
    <xf numFmtId="0" fontId="15" fillId="2" borderId="18" xfId="0" applyFont="1" applyFill="1" applyBorder="1"/>
    <xf numFmtId="0" fontId="15" fillId="0" borderId="2" xfId="0" applyFont="1" applyBorder="1"/>
    <xf numFmtId="165" fontId="20" fillId="0" borderId="28" xfId="1" applyFont="1" applyBorder="1"/>
    <xf numFmtId="165" fontId="20" fillId="0" borderId="30" xfId="1" applyFont="1" applyBorder="1"/>
    <xf numFmtId="165" fontId="20" fillId="0" borderId="32" xfId="1" applyFont="1" applyBorder="1"/>
    <xf numFmtId="0" fontId="15" fillId="10" borderId="21" xfId="0" applyFont="1" applyFill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165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7" fontId="15" fillId="2" borderId="1" xfId="0" applyNumberFormat="1" applyFont="1" applyFill="1" applyBorder="1"/>
    <xf numFmtId="165" fontId="13" fillId="8" borderId="8" xfId="1" applyFont="1" applyFill="1" applyBorder="1" applyAlignment="1">
      <alignment vertical="center"/>
    </xf>
    <xf numFmtId="0" fontId="4" fillId="0" borderId="1" xfId="0" applyFont="1" applyBorder="1"/>
    <xf numFmtId="165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2" fillId="2" borderId="1" xfId="1" applyFont="1" applyFill="1" applyBorder="1"/>
    <xf numFmtId="164" fontId="7" fillId="4" borderId="22" xfId="0" applyNumberFormat="1" applyFont="1" applyFill="1" applyBorder="1"/>
    <xf numFmtId="0" fontId="22" fillId="0" borderId="4" xfId="0" applyFont="1" applyBorder="1"/>
    <xf numFmtId="165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0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5" fillId="2" borderId="0" xfId="0" applyFont="1" applyFill="1"/>
    <xf numFmtId="0" fontId="15" fillId="10" borderId="29" xfId="0" applyFont="1" applyFill="1" applyBorder="1"/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0" fillId="0" borderId="1" xfId="1" applyNumberFormat="1" applyFont="1" applyBorder="1"/>
    <xf numFmtId="165" fontId="8" fillId="2" borderId="6" xfId="1" applyFont="1" applyFill="1" applyBorder="1"/>
    <xf numFmtId="0" fontId="21" fillId="0" borderId="1" xfId="0" applyFont="1" applyBorder="1"/>
    <xf numFmtId="0" fontId="9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5" fontId="2" fillId="12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0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4" fontId="4" fillId="2" borderId="1" xfId="0" applyNumberFormat="1" applyFont="1" applyFill="1" applyBorder="1"/>
    <xf numFmtId="164" fontId="23" fillId="11" borderId="1" xfId="0" applyNumberFormat="1" applyFont="1" applyFill="1" applyBorder="1"/>
    <xf numFmtId="0" fontId="4" fillId="11" borderId="1" xfId="0" applyFont="1" applyFill="1" applyBorder="1"/>
    <xf numFmtId="164" fontId="7" fillId="4" borderId="6" xfId="0" applyNumberFormat="1" applyFont="1" applyFill="1" applyBorder="1"/>
    <xf numFmtId="164" fontId="10" fillId="4" borderId="21" xfId="1" applyNumberFormat="1" applyFont="1" applyFill="1" applyBorder="1"/>
    <xf numFmtId="164" fontId="11" fillId="4" borderId="1" xfId="0" applyNumberFormat="1" applyFont="1" applyFill="1" applyBorder="1"/>
    <xf numFmtId="165" fontId="24" fillId="4" borderId="3" xfId="1" applyFont="1" applyFill="1" applyBorder="1"/>
    <xf numFmtId="165" fontId="7" fillId="4" borderId="6" xfId="1" applyFont="1" applyFill="1" applyBorder="1"/>
    <xf numFmtId="164" fontId="10" fillId="4" borderId="13" xfId="1" applyNumberFormat="1" applyFont="1" applyFill="1" applyBorder="1"/>
    <xf numFmtId="165" fontId="7" fillId="4" borderId="1" xfId="1" applyFont="1" applyFill="1" applyBorder="1"/>
    <xf numFmtId="165" fontId="10" fillId="4" borderId="1" xfId="1" applyFont="1" applyFill="1" applyBorder="1"/>
    <xf numFmtId="165" fontId="22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22" fillId="4" borderId="3" xfId="1" applyFont="1" applyFill="1" applyBorder="1"/>
    <xf numFmtId="0" fontId="22" fillId="2" borderId="1" xfId="0" applyFont="1" applyFill="1" applyBorder="1"/>
    <xf numFmtId="0" fontId="22" fillId="2" borderId="1" xfId="1" applyNumberFormat="1" applyFont="1" applyFill="1" applyBorder="1"/>
    <xf numFmtId="0" fontId="22" fillId="2" borderId="2" xfId="1" applyNumberFormat="1" applyFont="1" applyFill="1" applyBorder="1"/>
    <xf numFmtId="165" fontId="4" fillId="4" borderId="6" xfId="1" applyFont="1" applyFill="1" applyBorder="1"/>
    <xf numFmtId="0" fontId="22" fillId="2" borderId="1" xfId="1" applyNumberFormat="1" applyFont="1" applyFill="1" applyBorder="1" applyAlignment="1">
      <alignment horizontal="left"/>
    </xf>
    <xf numFmtId="165" fontId="10" fillId="4" borderId="13" xfId="1" applyFont="1" applyFill="1" applyBorder="1"/>
    <xf numFmtId="165" fontId="10" fillId="4" borderId="2" xfId="1" applyFont="1" applyFill="1" applyBorder="1"/>
    <xf numFmtId="165" fontId="22" fillId="2" borderId="3" xfId="1" applyFont="1" applyFill="1" applyBorder="1"/>
    <xf numFmtId="0" fontId="22" fillId="0" borderId="1" xfId="1" applyNumberFormat="1" applyFont="1" applyBorder="1"/>
    <xf numFmtId="16" fontId="22" fillId="0" borderId="1" xfId="1" applyNumberFormat="1" applyFont="1" applyBorder="1"/>
    <xf numFmtId="165" fontId="22" fillId="2" borderId="3" xfId="1" applyFont="1" applyFill="1" applyBorder="1" applyAlignment="1">
      <alignment wrapText="1"/>
    </xf>
    <xf numFmtId="0" fontId="4" fillId="2" borderId="1" xfId="0" applyFont="1" applyFill="1" applyBorder="1"/>
    <xf numFmtId="167" fontId="25" fillId="0" borderId="6" xfId="1" applyNumberFormat="1" applyFont="1" applyBorder="1"/>
    <xf numFmtId="165" fontId="8" fillId="2" borderId="1" xfId="1" applyFont="1" applyFill="1" applyBorder="1"/>
    <xf numFmtId="16" fontId="22" fillId="2" borderId="1" xfId="1" applyNumberFormat="1" applyFont="1" applyFill="1" applyBorder="1" applyAlignment="1">
      <alignment horizontal="left"/>
    </xf>
    <xf numFmtId="165" fontId="26" fillId="0" borderId="1" xfId="1" applyFont="1" applyBorder="1" applyAlignment="1">
      <alignment horizontal="left" vertical="center" wrapText="1"/>
    </xf>
    <xf numFmtId="167" fontId="15" fillId="0" borderId="6" xfId="1" applyNumberFormat="1" applyFont="1" applyBorder="1"/>
    <xf numFmtId="165" fontId="4" fillId="2" borderId="1" xfId="1" applyFont="1" applyFill="1" applyBorder="1" applyAlignment="1">
      <alignment wrapText="1"/>
    </xf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0" fontId="0" fillId="9" borderId="1" xfId="0" applyFill="1" applyBorder="1"/>
    <xf numFmtId="165" fontId="10" fillId="5" borderId="11" xfId="0" applyNumberFormat="1" applyFont="1" applyFill="1" applyBorder="1"/>
    <xf numFmtId="0" fontId="19" fillId="2" borderId="1" xfId="0" applyFont="1" applyFill="1" applyBorder="1"/>
    <xf numFmtId="164" fontId="4" fillId="2" borderId="0" xfId="0" applyNumberFormat="1" applyFont="1" applyFill="1"/>
    <xf numFmtId="171" fontId="4" fillId="2" borderId="0" xfId="0" applyNumberFormat="1" applyFont="1" applyFill="1"/>
    <xf numFmtId="170" fontId="4" fillId="2" borderId="0" xfId="0" applyNumberFormat="1" applyFont="1" applyFill="1"/>
    <xf numFmtId="165" fontId="4" fillId="2" borderId="1" xfId="1" applyFont="1" applyFill="1" applyBorder="1" applyAlignment="1">
      <alignment vertical="center" wrapText="1"/>
    </xf>
    <xf numFmtId="0" fontId="4" fillId="0" borderId="7" xfId="0" applyFont="1" applyBorder="1"/>
    <xf numFmtId="0" fontId="2" fillId="9" borderId="0" xfId="0" applyFont="1" applyFill="1" applyAlignment="1">
      <alignment horizontal="center" vertical="center" wrapText="1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0" fontId="0" fillId="2" borderId="7" xfId="0" applyFill="1" applyBorder="1"/>
    <xf numFmtId="0" fontId="9" fillId="6" borderId="0" xfId="0" applyFont="1" applyFill="1" applyAlignment="1">
      <alignment horizontal="center" vertical="center"/>
    </xf>
    <xf numFmtId="0" fontId="2" fillId="8" borderId="6" xfId="0" applyFont="1" applyFill="1" applyBorder="1" applyAlignment="1">
      <alignment horizontal="left" vertical="center" wrapText="1"/>
    </xf>
    <xf numFmtId="0" fontId="2" fillId="8" borderId="25" xfId="0" applyFont="1" applyFill="1" applyBorder="1" applyAlignment="1">
      <alignment horizontal="left" vertical="center" wrapText="1"/>
    </xf>
    <xf numFmtId="0" fontId="2" fillId="8" borderId="36" xfId="0" applyFont="1" applyFill="1" applyBorder="1" applyAlignment="1">
      <alignment horizontal="left" vertical="center" wrapText="1"/>
    </xf>
    <xf numFmtId="0" fontId="18" fillId="9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5" fillId="3" borderId="34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6" fillId="3" borderId="18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3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6" fillId="3" borderId="14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165" fontId="8" fillId="0" borderId="1" xfId="4" applyFont="1" applyBorder="1"/>
    <xf numFmtId="165" fontId="4" fillId="2" borderId="1" xfId="1" applyFont="1" applyFill="1" applyBorder="1" applyAlignment="1">
      <alignment horizontal="left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70" fontId="3" fillId="0" borderId="1" xfId="0" applyNumberFormat="1" applyFont="1" applyBorder="1" applyAlignment="1">
      <alignment vertical="center" wrapText="1"/>
    </xf>
    <xf numFmtId="165" fontId="4" fillId="0" borderId="1" xfId="1" applyFont="1" applyBorder="1"/>
    <xf numFmtId="167" fontId="20" fillId="0" borderId="6" xfId="1" applyNumberFormat="1" applyFont="1" applyBorder="1"/>
  </cellXfs>
  <cellStyles count="7">
    <cellStyle name="Millares" xfId="3" builtinId="3"/>
    <cellStyle name="Millares 2" xfId="6" xr:uid="{597077D9-9C69-4BDC-9DD8-85C218DCA8E3}"/>
    <cellStyle name="Moneda" xfId="1" builtinId="4"/>
    <cellStyle name="Moneda 2" xfId="2" xr:uid="{00000000-0005-0000-0000-000002000000}"/>
    <cellStyle name="Moneda 2 2" xfId="5" xr:uid="{2349FA81-2132-404A-A966-625621B7782C}"/>
    <cellStyle name="Moneda 3" xfId="4" xr:uid="{665C8742-CD70-4B07-8D73-3FFF859DA87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4"/>
  <sheetViews>
    <sheetView topLeftCell="A36" workbookViewId="0">
      <selection activeCell="E78" sqref="E78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190"/>
      <c r="B1" s="191"/>
      <c r="C1" s="192"/>
      <c r="D1" s="192"/>
      <c r="E1" s="193"/>
    </row>
    <row r="2" spans="1:5" x14ac:dyDescent="0.25">
      <c r="A2" s="15"/>
      <c r="B2" s="189" t="s">
        <v>0</v>
      </c>
      <c r="C2" s="69"/>
      <c r="D2" s="189"/>
      <c r="E2" s="70"/>
    </row>
    <row r="3" spans="1:5" x14ac:dyDescent="0.25">
      <c r="A3" s="15"/>
      <c r="B3" s="189" t="s">
        <v>1</v>
      </c>
      <c r="C3" s="189"/>
      <c r="D3" s="189"/>
      <c r="E3" s="70"/>
    </row>
    <row r="4" spans="1:5" ht="32.25" customHeight="1" thickBot="1" x14ac:dyDescent="0.3">
      <c r="A4" s="15"/>
      <c r="B4" s="194" t="s">
        <v>2</v>
      </c>
      <c r="C4" s="189"/>
      <c r="D4" s="195" t="s">
        <v>3</v>
      </c>
      <c r="E4" s="70"/>
    </row>
    <row r="5" spans="1:5" ht="15.75" customHeight="1" thickBot="1" x14ac:dyDescent="0.3">
      <c r="A5" s="17" t="s">
        <v>4</v>
      </c>
      <c r="B5" s="107" t="s">
        <v>5</v>
      </c>
      <c r="C5" s="18"/>
      <c r="D5" s="18"/>
      <c r="E5" s="19"/>
    </row>
    <row r="6" spans="1:5" ht="15.75" customHeight="1" thickBot="1" x14ac:dyDescent="0.3">
      <c r="A6" s="15" t="s">
        <v>6</v>
      </c>
      <c r="B6" s="18" t="s">
        <v>223</v>
      </c>
      <c r="C6" s="196"/>
      <c r="D6" s="189" t="s">
        <v>7</v>
      </c>
      <c r="E6" s="16"/>
    </row>
    <row r="7" spans="1:5" ht="15.75" customHeight="1" thickBot="1" x14ac:dyDescent="0.3">
      <c r="A7" s="17" t="s">
        <v>8</v>
      </c>
      <c r="B7" s="18"/>
      <c r="C7" s="18"/>
      <c r="D7" s="18" t="s">
        <v>9</v>
      </c>
      <c r="E7" s="19"/>
    </row>
    <row r="9" spans="1:5" x14ac:dyDescent="0.25">
      <c r="B9" s="215" t="s">
        <v>222</v>
      </c>
      <c r="C9" s="206"/>
    </row>
    <row r="10" spans="1:5" x14ac:dyDescent="0.25">
      <c r="B10" s="206"/>
      <c r="C10" s="206"/>
    </row>
    <row r="11" spans="1:5" x14ac:dyDescent="0.25">
      <c r="B11" s="206"/>
      <c r="C11" s="206"/>
    </row>
    <row r="13" spans="1:5" hidden="1" x14ac:dyDescent="0.25"/>
    <row r="14" spans="1:5" ht="15" customHeight="1" x14ac:dyDescent="0.25">
      <c r="A14" s="217" t="s">
        <v>10</v>
      </c>
      <c r="B14" s="206"/>
      <c r="C14" s="206"/>
      <c r="D14" s="206"/>
      <c r="E14" s="206"/>
    </row>
    <row r="15" spans="1:5" ht="15" customHeight="1" x14ac:dyDescent="0.25">
      <c r="A15" s="206"/>
      <c r="B15" s="206"/>
      <c r="C15" s="206"/>
      <c r="D15" s="206"/>
      <c r="E15" s="206"/>
    </row>
    <row r="16" spans="1:5" ht="15" customHeight="1" x14ac:dyDescent="0.25">
      <c r="A16" s="206"/>
      <c r="B16" s="206"/>
      <c r="C16" s="206"/>
      <c r="D16" s="206"/>
      <c r="E16" s="206"/>
    </row>
    <row r="17" spans="1:8" ht="53.25" customHeight="1" x14ac:dyDescent="0.25">
      <c r="A17" s="206"/>
      <c r="B17" s="206"/>
      <c r="C17" s="206"/>
      <c r="D17" s="206"/>
      <c r="E17" s="206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11</v>
      </c>
      <c r="B21" s="12"/>
      <c r="C21" s="13"/>
      <c r="D21" s="9"/>
      <c r="E21" s="14"/>
    </row>
    <row r="22" spans="1:8" x14ac:dyDescent="0.25">
      <c r="A22" s="33" t="s">
        <v>12</v>
      </c>
      <c r="B22" s="33"/>
      <c r="C22" s="33"/>
      <c r="D22" s="32"/>
      <c r="E22" s="32"/>
    </row>
    <row r="23" spans="1:8" ht="12.75" customHeight="1" x14ac:dyDescent="0.25">
      <c r="A23" s="5" t="s">
        <v>13</v>
      </c>
      <c r="B23" s="5"/>
      <c r="C23" s="5"/>
      <c r="D23" s="156">
        <v>1312219</v>
      </c>
      <c r="E23" s="152"/>
    </row>
    <row r="24" spans="1:8" hidden="1" x14ac:dyDescent="0.25">
      <c r="A24" s="5"/>
      <c r="B24" s="5"/>
      <c r="C24" s="5"/>
      <c r="D24" s="156"/>
      <c r="E24" s="112"/>
    </row>
    <row r="25" spans="1:8" hidden="1" x14ac:dyDescent="0.25">
      <c r="A25" s="5"/>
      <c r="B25" s="5"/>
      <c r="C25" s="5"/>
      <c r="D25" s="156"/>
      <c r="E25" s="112"/>
    </row>
    <row r="26" spans="1:8" hidden="1" x14ac:dyDescent="0.25">
      <c r="A26" s="5" t="s">
        <v>14</v>
      </c>
      <c r="B26" s="5"/>
      <c r="C26" s="5"/>
      <c r="D26" s="156">
        <v>0</v>
      </c>
      <c r="E26" s="112"/>
    </row>
    <row r="27" spans="1:8" hidden="1" x14ac:dyDescent="0.25">
      <c r="A27" s="5"/>
      <c r="B27" s="5"/>
      <c r="C27" s="5"/>
      <c r="D27" s="156"/>
      <c r="E27" s="112"/>
      <c r="G27" s="20"/>
    </row>
    <row r="28" spans="1:8" x14ac:dyDescent="0.25">
      <c r="A28" s="56" t="s">
        <v>15</v>
      </c>
      <c r="B28" s="56"/>
      <c r="C28" s="56"/>
      <c r="D28" s="157">
        <f>SUM(D23:D27)</f>
        <v>1312219</v>
      </c>
      <c r="E28" s="158"/>
      <c r="G28" s="200"/>
    </row>
    <row r="29" spans="1:8" ht="14.25" customHeight="1" x14ac:dyDescent="0.25">
      <c r="A29" s="5" t="s">
        <v>16</v>
      </c>
      <c r="B29" s="5"/>
      <c r="C29" s="5"/>
      <c r="D29" s="156">
        <v>1079569</v>
      </c>
      <c r="E29" s="152"/>
      <c r="G29" s="202"/>
    </row>
    <row r="30" spans="1:8" ht="13.5" customHeight="1" x14ac:dyDescent="0.25">
      <c r="A30" s="56" t="s">
        <v>15</v>
      </c>
      <c r="B30" s="56"/>
      <c r="C30" s="56"/>
      <c r="D30" s="157">
        <f>SUM(D29:D29)</f>
        <v>1079569</v>
      </c>
      <c r="E30" s="158"/>
      <c r="G30" s="201"/>
    </row>
    <row r="31" spans="1:8" hidden="1" x14ac:dyDescent="0.25">
      <c r="A31" s="5"/>
      <c r="B31" s="199"/>
      <c r="C31" s="199"/>
      <c r="D31" s="156"/>
      <c r="E31" s="182"/>
      <c r="G31" s="201">
        <v>-500000</v>
      </c>
      <c r="H31" t="s">
        <v>213</v>
      </c>
    </row>
    <row r="32" spans="1:8" hidden="1" x14ac:dyDescent="0.25">
      <c r="A32" s="56" t="s">
        <v>15</v>
      </c>
      <c r="B32" s="56"/>
      <c r="C32" s="56"/>
      <c r="D32" s="157">
        <f>SUM(D31)</f>
        <v>0</v>
      </c>
      <c r="E32" s="158"/>
      <c r="G32" s="201">
        <f>G30+G31</f>
        <v>-500000</v>
      </c>
    </row>
    <row r="33" spans="1:8" ht="15.75" customHeight="1" thickBot="1" x14ac:dyDescent="0.3">
      <c r="A33" s="50" t="s">
        <v>17</v>
      </c>
      <c r="B33" s="50"/>
      <c r="C33" s="50"/>
      <c r="D33" s="119"/>
      <c r="E33" s="160">
        <f>D28+D30+D32</f>
        <v>2391788</v>
      </c>
      <c r="F33" s="20"/>
    </row>
    <row r="34" spans="1:8" x14ac:dyDescent="0.25">
      <c r="A34" s="33" t="s">
        <v>18</v>
      </c>
      <c r="B34" s="33"/>
      <c r="C34" s="33"/>
      <c r="D34" s="161"/>
      <c r="E34" s="162"/>
    </row>
    <row r="35" spans="1:8" ht="22.5" customHeight="1" x14ac:dyDescent="0.25">
      <c r="A35" s="216" t="s">
        <v>202</v>
      </c>
      <c r="B35" s="208"/>
      <c r="C35" s="182"/>
      <c r="D35" s="156">
        <v>90000</v>
      </c>
      <c r="E35" s="181" t="s">
        <v>231</v>
      </c>
    </row>
    <row r="36" spans="1:8" ht="27.75" customHeight="1" thickBot="1" x14ac:dyDescent="0.3">
      <c r="A36" s="207" t="s">
        <v>225</v>
      </c>
      <c r="B36" s="210"/>
      <c r="C36" s="51"/>
      <c r="D36" s="156">
        <v>249000</v>
      </c>
      <c r="E36" s="181" t="s">
        <v>233</v>
      </c>
      <c r="H36" s="136"/>
    </row>
    <row r="37" spans="1:8" ht="15.75" customHeight="1" thickBot="1" x14ac:dyDescent="0.3">
      <c r="A37" s="27" t="s">
        <v>19</v>
      </c>
      <c r="B37" s="27"/>
      <c r="C37" s="27"/>
      <c r="D37" s="163"/>
      <c r="E37" s="164">
        <f>SUM(D35:D36)</f>
        <v>339000</v>
      </c>
    </row>
    <row r="38" spans="1:8" x14ac:dyDescent="0.25">
      <c r="A38" s="33" t="s">
        <v>20</v>
      </c>
      <c r="B38" s="27"/>
      <c r="C38" s="27"/>
      <c r="D38" s="165"/>
      <c r="E38" s="166"/>
    </row>
    <row r="39" spans="1:8" s="36" customFormat="1" ht="14.25" customHeight="1" x14ac:dyDescent="0.25">
      <c r="A39" s="209" t="s">
        <v>21</v>
      </c>
      <c r="B39" s="208"/>
      <c r="C39" s="53"/>
      <c r="D39" s="188">
        <v>144149</v>
      </c>
      <c r="E39" s="167" t="s">
        <v>232</v>
      </c>
    </row>
    <row r="40" spans="1:8" ht="14.25" customHeight="1" x14ac:dyDescent="0.25">
      <c r="A40" s="209"/>
      <c r="B40" s="208"/>
      <c r="C40" s="53"/>
      <c r="D40" s="168"/>
      <c r="E40" s="167"/>
    </row>
    <row r="41" spans="1:8" ht="15.75" customHeight="1" thickBot="1" x14ac:dyDescent="0.3">
      <c r="A41" s="27" t="s">
        <v>22</v>
      </c>
      <c r="B41" s="27"/>
      <c r="C41" s="27"/>
      <c r="D41" s="163"/>
      <c r="E41" s="113">
        <f>SUM(D39:D40)</f>
        <v>144149</v>
      </c>
    </row>
    <row r="42" spans="1:8" x14ac:dyDescent="0.25">
      <c r="A42" s="33" t="s">
        <v>23</v>
      </c>
      <c r="B42" s="153"/>
      <c r="C42" s="153"/>
      <c r="D42" s="169"/>
      <c r="E42" s="170"/>
    </row>
    <row r="43" spans="1:8" x14ac:dyDescent="0.25">
      <c r="A43" s="5" t="s">
        <v>24</v>
      </c>
      <c r="B43" s="5"/>
      <c r="C43" s="51"/>
      <c r="D43" s="240">
        <v>1843741.12</v>
      </c>
      <c r="E43" s="171" t="s">
        <v>228</v>
      </c>
      <c r="G43" s="136"/>
    </row>
    <row r="44" spans="1:8" x14ac:dyDescent="0.25">
      <c r="A44" s="5" t="s">
        <v>224</v>
      </c>
      <c r="B44" s="5" t="s">
        <v>25</v>
      </c>
      <c r="C44" s="5"/>
      <c r="D44" s="168">
        <v>133047.14000000001</v>
      </c>
      <c r="E44" s="172" t="s">
        <v>229</v>
      </c>
    </row>
    <row r="45" spans="1:8" x14ac:dyDescent="0.25">
      <c r="A45" s="5" t="str">
        <f>A44</f>
        <v>Sindicatos mes de AGOSTO</v>
      </c>
      <c r="B45" s="5" t="s">
        <v>26</v>
      </c>
      <c r="C45" s="5"/>
      <c r="D45" s="168">
        <v>241435.09</v>
      </c>
      <c r="E45" s="172" t="str">
        <f>E44</f>
        <v>Debito 12/08</v>
      </c>
    </row>
    <row r="46" spans="1:8" x14ac:dyDescent="0.25">
      <c r="A46" s="5" t="str">
        <f>A45</f>
        <v>Sindicatos mes de AGOSTO</v>
      </c>
      <c r="B46" s="5" t="s">
        <v>27</v>
      </c>
      <c r="C46" s="5"/>
      <c r="D46" s="168">
        <v>14783.02</v>
      </c>
      <c r="E46" s="173" t="str">
        <f>E45</f>
        <v>Debito 12/08</v>
      </c>
    </row>
    <row r="47" spans="1:8" ht="15" customHeight="1" thickBot="1" x14ac:dyDescent="0.3">
      <c r="A47" s="27" t="s">
        <v>28</v>
      </c>
      <c r="B47" s="153"/>
      <c r="C47" s="153"/>
      <c r="D47" s="174"/>
      <c r="E47" s="113">
        <f>SUM(D43:D46)</f>
        <v>2233006.37</v>
      </c>
    </row>
    <row r="48" spans="1:8" x14ac:dyDescent="0.25">
      <c r="A48" s="33" t="s">
        <v>29</v>
      </c>
      <c r="B48" s="153"/>
      <c r="C48" s="153"/>
      <c r="D48" s="169"/>
      <c r="E48" s="170"/>
    </row>
    <row r="49" spans="1:5" ht="14.25" customHeight="1" x14ac:dyDescent="0.25">
      <c r="A49" s="5" t="s">
        <v>30</v>
      </c>
      <c r="B49" s="5"/>
      <c r="C49" s="5"/>
      <c r="D49" s="168">
        <v>1002998.17</v>
      </c>
      <c r="E49" s="179" t="s">
        <v>216</v>
      </c>
    </row>
    <row r="50" spans="1:5" ht="14.25" customHeight="1" x14ac:dyDescent="0.25">
      <c r="A50" s="5" t="s">
        <v>31</v>
      </c>
      <c r="B50" s="184"/>
      <c r="C50" s="5"/>
      <c r="D50" s="168">
        <v>23385.69</v>
      </c>
      <c r="E50" s="179" t="s">
        <v>219</v>
      </c>
    </row>
    <row r="51" spans="1:5" x14ac:dyDescent="0.25">
      <c r="A51" s="5" t="s">
        <v>32</v>
      </c>
      <c r="B51" s="5" t="s">
        <v>236</v>
      </c>
      <c r="C51" s="5"/>
      <c r="D51" s="168">
        <v>0</v>
      </c>
      <c r="E51" s="175"/>
    </row>
    <row r="52" spans="1:5" x14ac:dyDescent="0.25">
      <c r="A52" s="5" t="s">
        <v>33</v>
      </c>
      <c r="B52" s="184"/>
      <c r="C52" s="5"/>
      <c r="D52" s="168">
        <v>12432.23</v>
      </c>
      <c r="E52" s="179" t="str">
        <f>E50</f>
        <v>Transf 11/08</v>
      </c>
    </row>
    <row r="53" spans="1:5" x14ac:dyDescent="0.25">
      <c r="A53" s="5" t="s">
        <v>203</v>
      </c>
      <c r="B53" s="5"/>
      <c r="C53" s="5"/>
      <c r="D53" s="168">
        <v>5586.39</v>
      </c>
      <c r="E53" s="185" t="s">
        <v>218</v>
      </c>
    </row>
    <row r="54" spans="1:5" x14ac:dyDescent="0.25">
      <c r="A54" s="5" t="s">
        <v>204</v>
      </c>
      <c r="B54" s="5"/>
      <c r="C54" s="5"/>
      <c r="D54" s="168">
        <v>2046270.6</v>
      </c>
      <c r="E54" s="185" t="s">
        <v>209</v>
      </c>
    </row>
    <row r="55" spans="1:5" x14ac:dyDescent="0.25">
      <c r="A55" s="5" t="s">
        <v>34</v>
      </c>
      <c r="B55" s="5"/>
      <c r="C55" s="5"/>
      <c r="D55" s="168">
        <v>24435</v>
      </c>
      <c r="E55" s="180" t="s">
        <v>234</v>
      </c>
    </row>
    <row r="56" spans="1:5" x14ac:dyDescent="0.25">
      <c r="A56" s="209" t="s">
        <v>35</v>
      </c>
      <c r="B56" s="208"/>
      <c r="C56" s="5"/>
      <c r="D56" s="168">
        <v>2168902.4</v>
      </c>
      <c r="E56" s="185" t="s">
        <v>227</v>
      </c>
    </row>
    <row r="57" spans="1:5" ht="17.25" customHeight="1" x14ac:dyDescent="0.25">
      <c r="A57" s="209"/>
      <c r="B57" s="208"/>
      <c r="C57" s="154"/>
      <c r="D57" s="203"/>
      <c r="E57" s="204"/>
    </row>
    <row r="58" spans="1:5" ht="15.75" customHeight="1" thickBot="1" x14ac:dyDescent="0.3">
      <c r="A58" s="27" t="s">
        <v>36</v>
      </c>
      <c r="B58" s="27"/>
      <c r="C58" s="27"/>
      <c r="D58" s="163"/>
      <c r="E58" s="113">
        <f>SUM(D49:D57)</f>
        <v>5284010.4800000004</v>
      </c>
    </row>
    <row r="59" spans="1:5" ht="15" customHeight="1" thickBot="1" x14ac:dyDescent="0.3">
      <c r="A59" s="33" t="s">
        <v>37</v>
      </c>
      <c r="B59" s="27"/>
      <c r="C59" s="27"/>
      <c r="D59" s="163"/>
      <c r="E59" s="176"/>
    </row>
    <row r="60" spans="1:5" ht="29.45" customHeight="1" x14ac:dyDescent="0.25">
      <c r="A60" s="207" t="s">
        <v>210</v>
      </c>
      <c r="B60" s="208"/>
      <c r="C60" s="54"/>
      <c r="D60" s="236" t="s">
        <v>235</v>
      </c>
      <c r="E60" s="179"/>
    </row>
    <row r="61" spans="1:5" x14ac:dyDescent="0.25">
      <c r="A61" s="5" t="s">
        <v>38</v>
      </c>
      <c r="B61" s="155"/>
      <c r="C61" s="5"/>
      <c r="D61" s="168">
        <v>56800</v>
      </c>
      <c r="E61" s="179" t="s">
        <v>216</v>
      </c>
    </row>
    <row r="62" spans="1:5" x14ac:dyDescent="0.25">
      <c r="A62" s="5" t="s">
        <v>39</v>
      </c>
      <c r="B62" s="155"/>
      <c r="C62" s="5"/>
      <c r="D62" s="168">
        <v>155700</v>
      </c>
      <c r="E62" s="181" t="s">
        <v>231</v>
      </c>
    </row>
    <row r="63" spans="1:5" ht="21.95" customHeight="1" x14ac:dyDescent="0.25">
      <c r="A63" s="207" t="s">
        <v>214</v>
      </c>
      <c r="B63" s="210"/>
      <c r="C63" s="197"/>
      <c r="D63" s="116">
        <v>300000</v>
      </c>
      <c r="E63" s="180" t="s">
        <v>215</v>
      </c>
    </row>
    <row r="64" spans="1:5" ht="21.95" customHeight="1" x14ac:dyDescent="0.25">
      <c r="A64" s="207" t="s">
        <v>220</v>
      </c>
      <c r="B64" s="210"/>
      <c r="C64" s="51"/>
      <c r="D64" s="116">
        <v>150000</v>
      </c>
      <c r="E64" s="180" t="s">
        <v>221</v>
      </c>
    </row>
    <row r="65" spans="1:10" ht="39" customHeight="1" x14ac:dyDescent="0.25">
      <c r="A65" s="237" t="s">
        <v>238</v>
      </c>
      <c r="B65" s="238"/>
      <c r="C65" s="51"/>
      <c r="D65" s="116">
        <v>300000</v>
      </c>
      <c r="E65" s="180"/>
    </row>
    <row r="66" spans="1:10" ht="39" customHeight="1" x14ac:dyDescent="0.25">
      <c r="A66" s="237" t="s">
        <v>239</v>
      </c>
      <c r="B66" s="238"/>
      <c r="C66" s="51"/>
      <c r="D66" s="116">
        <v>300000</v>
      </c>
      <c r="E66" s="180"/>
    </row>
    <row r="67" spans="1:10" ht="39" customHeight="1" x14ac:dyDescent="0.25">
      <c r="A67" s="237" t="s">
        <v>240</v>
      </c>
      <c r="B67" s="238"/>
      <c r="C67" s="51"/>
      <c r="D67" s="116">
        <v>300000</v>
      </c>
      <c r="E67" s="180"/>
    </row>
    <row r="68" spans="1:10" ht="22.15" customHeight="1" x14ac:dyDescent="0.25">
      <c r="A68" s="207" t="s">
        <v>206</v>
      </c>
      <c r="B68" s="210"/>
      <c r="C68" s="5"/>
      <c r="D68" s="116">
        <v>0</v>
      </c>
      <c r="E68" s="180" t="s">
        <v>207</v>
      </c>
    </row>
    <row r="69" spans="1:10" ht="22.9" customHeight="1" x14ac:dyDescent="0.25">
      <c r="A69" s="209" t="s">
        <v>217</v>
      </c>
      <c r="B69" s="208"/>
      <c r="C69" s="5"/>
      <c r="D69" s="116">
        <v>481849.77</v>
      </c>
      <c r="E69" s="180" t="s">
        <v>230</v>
      </c>
      <c r="I69" s="209"/>
      <c r="J69" s="208"/>
    </row>
    <row r="70" spans="1:10" ht="15.75" customHeight="1" thickBot="1" x14ac:dyDescent="0.3">
      <c r="A70" s="27" t="s">
        <v>40</v>
      </c>
      <c r="B70" s="33"/>
      <c r="C70" s="33"/>
      <c r="D70" s="32"/>
      <c r="E70" s="177">
        <f>SUM(D60:D69)</f>
        <v>2044349.77</v>
      </c>
    </row>
    <row r="71" spans="1:10" ht="15.75" customHeight="1" thickBot="1" x14ac:dyDescent="0.3">
      <c r="A71" s="33" t="s">
        <v>41</v>
      </c>
      <c r="B71" s="67"/>
      <c r="C71" s="27"/>
      <c r="D71" s="159"/>
      <c r="E71" s="176"/>
    </row>
    <row r="72" spans="1:10" x14ac:dyDescent="0.25">
      <c r="A72" s="5" t="s">
        <v>41</v>
      </c>
      <c r="B72" s="5"/>
      <c r="C72" s="5"/>
      <c r="D72" s="168">
        <v>187224.98</v>
      </c>
      <c r="E72" s="178"/>
    </row>
    <row r="73" spans="1:10" x14ac:dyDescent="0.25">
      <c r="A73" s="5" t="s">
        <v>205</v>
      </c>
      <c r="B73" s="5"/>
      <c r="C73" s="5"/>
      <c r="D73" s="168"/>
      <c r="E73" s="118"/>
      <c r="G73" t="s">
        <v>208</v>
      </c>
    </row>
    <row r="74" spans="1:10" ht="15.75" customHeight="1" thickBot="1" x14ac:dyDescent="0.3">
      <c r="A74" s="50" t="s">
        <v>19</v>
      </c>
      <c r="B74" s="50"/>
      <c r="C74" s="50"/>
      <c r="D74" s="119"/>
      <c r="E74" s="113">
        <f>SUM(D72:D73)</f>
        <v>187224.98</v>
      </c>
    </row>
    <row r="75" spans="1:10" ht="15.75" customHeight="1" thickBot="1" x14ac:dyDescent="0.3">
      <c r="A75" s="5"/>
      <c r="B75" s="5"/>
      <c r="C75" s="5"/>
      <c r="D75" s="112"/>
      <c r="E75" s="120"/>
    </row>
    <row r="76" spans="1:10" ht="20.25" customHeight="1" thickBot="1" x14ac:dyDescent="0.3">
      <c r="A76" s="212" t="s">
        <v>243</v>
      </c>
      <c r="B76" s="213"/>
      <c r="C76" s="213"/>
      <c r="D76" s="214"/>
      <c r="E76" s="121">
        <v>3500000</v>
      </c>
    </row>
    <row r="77" spans="1:10" ht="15.75" customHeight="1" thickBot="1" x14ac:dyDescent="0.3">
      <c r="A77" s="1"/>
      <c r="D77" s="122"/>
      <c r="E77" s="123"/>
      <c r="F77" s="42"/>
    </row>
    <row r="78" spans="1:10" ht="15.75" customHeight="1" thickBot="1" x14ac:dyDescent="0.3">
      <c r="A78" s="3" t="s">
        <v>42</v>
      </c>
      <c r="B78" s="10"/>
      <c r="C78" s="4"/>
      <c r="D78" s="124"/>
      <c r="E78" s="198">
        <f>(SUM(E30:E76))</f>
        <v>16123528.600000001</v>
      </c>
      <c r="F78" s="151"/>
      <c r="G78" s="42"/>
    </row>
    <row r="79" spans="1:10" x14ac:dyDescent="0.25">
      <c r="D79" s="122"/>
      <c r="E79" s="122"/>
      <c r="G79" s="151"/>
    </row>
    <row r="80" spans="1:10" ht="15.75" customHeight="1" thickBot="1" x14ac:dyDescent="0.3">
      <c r="D80" s="122"/>
      <c r="E80" s="122"/>
    </row>
    <row r="81" spans="1:5" x14ac:dyDescent="0.25">
      <c r="A81" s="11" t="s">
        <v>43</v>
      </c>
      <c r="B81" s="12"/>
      <c r="C81" s="13"/>
      <c r="D81" s="125"/>
      <c r="E81" s="126"/>
    </row>
    <row r="82" spans="1:5" x14ac:dyDescent="0.25">
      <c r="A82" s="209"/>
      <c r="B82" s="208"/>
      <c r="C82" s="5"/>
      <c r="D82" s="141"/>
      <c r="E82" s="114"/>
    </row>
    <row r="83" spans="1:5" x14ac:dyDescent="0.25">
      <c r="A83" s="209"/>
      <c r="B83" s="208"/>
      <c r="C83" s="5"/>
      <c r="D83" s="116"/>
      <c r="E83" s="114"/>
    </row>
    <row r="84" spans="1:5" ht="15.75" customHeight="1" x14ac:dyDescent="0.25">
      <c r="A84" s="207"/>
      <c r="B84" s="208"/>
      <c r="C84" s="5"/>
      <c r="D84" s="116"/>
      <c r="E84" s="114"/>
    </row>
    <row r="85" spans="1:5" x14ac:dyDescent="0.25">
      <c r="A85" s="115"/>
      <c r="B85" s="117"/>
      <c r="C85" s="5"/>
      <c r="D85" s="116"/>
      <c r="E85" s="114"/>
    </row>
    <row r="86" spans="1:5" x14ac:dyDescent="0.25">
      <c r="A86" s="48"/>
      <c r="B86" s="47"/>
      <c r="C86" s="47"/>
      <c r="D86" s="57"/>
      <c r="E86" s="57">
        <f>SUM(D82:D85)</f>
        <v>0</v>
      </c>
    </row>
    <row r="87" spans="1:5" ht="15" customHeight="1" x14ac:dyDescent="0.25"/>
    <row r="88" spans="1:5" ht="15.75" hidden="1" customHeight="1" x14ac:dyDescent="0.25"/>
    <row r="89" spans="1:5" ht="15.75" customHeight="1" thickBot="1" x14ac:dyDescent="0.3">
      <c r="A89" s="28" t="s">
        <v>44</v>
      </c>
      <c r="B89" s="28"/>
      <c r="C89" s="28"/>
      <c r="D89" s="29"/>
      <c r="E89" s="111"/>
    </row>
    <row r="90" spans="1:5" ht="15.75" customHeight="1" thickBot="1" x14ac:dyDescent="0.3"/>
    <row r="91" spans="1:5" ht="15.75" customHeight="1" thickBot="1" x14ac:dyDescent="0.3">
      <c r="A91" s="3" t="s">
        <v>45</v>
      </c>
      <c r="B91" s="10"/>
      <c r="C91" s="4"/>
      <c r="D91" s="4"/>
      <c r="E91" s="68">
        <f>E86+E89</f>
        <v>0</v>
      </c>
    </row>
    <row r="92" spans="1:5" ht="15.75" customHeight="1" thickBot="1" x14ac:dyDescent="0.3"/>
    <row r="93" spans="1:5" ht="15.75" customHeight="1" thickBot="1" x14ac:dyDescent="0.3">
      <c r="A93" s="108" t="s">
        <v>46</v>
      </c>
      <c r="B93" s="109">
        <f>E78</f>
        <v>16123528.600000001</v>
      </c>
    </row>
    <row r="94" spans="1:5" ht="15.75" customHeight="1" thickBot="1" x14ac:dyDescent="0.3">
      <c r="A94" s="108" t="s">
        <v>47</v>
      </c>
      <c r="B94" s="109">
        <f>E78-E76</f>
        <v>12623528.600000001</v>
      </c>
    </row>
    <row r="95" spans="1:5" ht="15.75" customHeight="1" thickBot="1" x14ac:dyDescent="0.3">
      <c r="A95" s="108" t="s">
        <v>48</v>
      </c>
      <c r="B95" s="109">
        <f>E91-E89</f>
        <v>0</v>
      </c>
    </row>
    <row r="96" spans="1:5" ht="15.75" customHeight="1" thickBot="1" x14ac:dyDescent="0.3">
      <c r="A96" s="108" t="s">
        <v>49</v>
      </c>
      <c r="B96" s="109">
        <f>E91</f>
        <v>0</v>
      </c>
    </row>
    <row r="97" spans="1:6" ht="34.5" hidden="1" customHeight="1" thickBot="1" x14ac:dyDescent="0.3"/>
    <row r="98" spans="1:6" hidden="1" x14ac:dyDescent="0.25">
      <c r="A98" s="205"/>
      <c r="B98" s="206"/>
      <c r="C98" s="206"/>
      <c r="D98" s="206"/>
      <c r="E98" s="206"/>
    </row>
    <row r="99" spans="1:6" ht="106.5" hidden="1" customHeight="1" x14ac:dyDescent="0.25">
      <c r="A99" s="206"/>
      <c r="B99" s="206"/>
      <c r="C99" s="206"/>
      <c r="D99" s="206"/>
      <c r="E99" s="206"/>
    </row>
    <row r="100" spans="1:6" ht="15.75" hidden="1" customHeight="1" x14ac:dyDescent="0.25">
      <c r="A100" s="206"/>
      <c r="B100" s="206"/>
      <c r="C100" s="206"/>
      <c r="D100" s="206"/>
      <c r="E100" s="206"/>
    </row>
    <row r="102" spans="1:6" ht="0.75" customHeight="1" x14ac:dyDescent="0.25">
      <c r="A102" s="21" t="s">
        <v>50</v>
      </c>
      <c r="B102" s="137"/>
      <c r="C102" s="22"/>
    </row>
    <row r="103" spans="1:6" hidden="1" x14ac:dyDescent="0.25">
      <c r="A103" s="31"/>
      <c r="B103" s="58">
        <v>0</v>
      </c>
      <c r="C103" s="24"/>
    </row>
    <row r="104" spans="1:6" ht="14.25" hidden="1" customHeight="1" x14ac:dyDescent="0.25">
      <c r="A104" s="23" t="s">
        <v>51</v>
      </c>
      <c r="B104" s="38">
        <f>PRORRATEO!I81</f>
        <v>14195644.699999997</v>
      </c>
      <c r="C104" s="22"/>
    </row>
    <row r="105" spans="1:6" hidden="1" x14ac:dyDescent="0.25">
      <c r="A105" s="23"/>
      <c r="B105" s="38">
        <v>0</v>
      </c>
      <c r="C105" s="22"/>
    </row>
    <row r="106" spans="1:6" hidden="1" x14ac:dyDescent="0.25">
      <c r="A106" s="23" t="s">
        <v>52</v>
      </c>
      <c r="B106" s="118">
        <f>B129</f>
        <v>190000</v>
      </c>
      <c r="C106" s="22"/>
    </row>
    <row r="107" spans="1:6" hidden="1" x14ac:dyDescent="0.25">
      <c r="A107" s="26"/>
      <c r="B107" s="46"/>
      <c r="C107" s="22"/>
    </row>
    <row r="108" spans="1:6" hidden="1" x14ac:dyDescent="0.25">
      <c r="A108" s="131" t="s">
        <v>53</v>
      </c>
      <c r="B108" s="46"/>
      <c r="C108" s="22"/>
    </row>
    <row r="109" spans="1:6" hidden="1" x14ac:dyDescent="0.25">
      <c r="A109" s="37" t="s">
        <v>54</v>
      </c>
      <c r="B109" s="46">
        <f>-B94</f>
        <v>-12623528.600000001</v>
      </c>
      <c r="C109" s="22"/>
    </row>
    <row r="110" spans="1:6" hidden="1" x14ac:dyDescent="0.25">
      <c r="A110" s="26" t="s">
        <v>55</v>
      </c>
      <c r="B110" s="46">
        <f>-(B95)</f>
        <v>0</v>
      </c>
      <c r="C110" s="22"/>
    </row>
    <row r="111" spans="1:6" hidden="1" x14ac:dyDescent="0.25">
      <c r="A111" s="30" t="s">
        <v>40</v>
      </c>
      <c r="B111" s="58">
        <f>SUM(B103:B110)</f>
        <v>1762116.0999999959</v>
      </c>
      <c r="C111" s="25"/>
      <c r="D111" s="42"/>
    </row>
    <row r="112" spans="1:6" ht="34.5" hidden="1" customHeight="1" x14ac:dyDescent="0.25">
      <c r="B112" s="39"/>
      <c r="C112" s="25"/>
      <c r="D112" s="42"/>
      <c r="E112" s="138"/>
      <c r="F112" s="139"/>
    </row>
    <row r="113" spans="1:7" ht="14.25" hidden="1" customHeight="1" x14ac:dyDescent="0.25">
      <c r="B113" s="40"/>
      <c r="C113" s="25"/>
    </row>
    <row r="114" spans="1:7" s="36" customFormat="1" ht="27" hidden="1" customHeight="1" x14ac:dyDescent="0.25">
      <c r="B114" s="39"/>
      <c r="C114" s="35"/>
    </row>
    <row r="115" spans="1:7" s="36" customFormat="1" x14ac:dyDescent="0.25">
      <c r="A115" s="143" t="s">
        <v>56</v>
      </c>
      <c r="B115" s="144">
        <v>-160998.50937697478</v>
      </c>
      <c r="C115" s="35"/>
      <c r="D115" s="45"/>
    </row>
    <row r="116" spans="1:7" x14ac:dyDescent="0.25">
      <c r="A116" s="53" t="s">
        <v>57</v>
      </c>
      <c r="B116" s="148">
        <f>-B94</f>
        <v>-12623528.600000001</v>
      </c>
    </row>
    <row r="117" spans="1:7" x14ac:dyDescent="0.25">
      <c r="A117" s="53" t="s">
        <v>58</v>
      </c>
      <c r="B117" s="148">
        <f>-B95</f>
        <v>0</v>
      </c>
      <c r="G117" t="s">
        <v>242</v>
      </c>
    </row>
    <row r="118" spans="1:7" x14ac:dyDescent="0.25">
      <c r="A118" s="53" t="s">
        <v>59</v>
      </c>
      <c r="B118" s="148">
        <f>B129</f>
        <v>190000</v>
      </c>
    </row>
    <row r="119" spans="1:7" x14ac:dyDescent="0.25">
      <c r="A119" s="53" t="s">
        <v>226</v>
      </c>
      <c r="B119" s="235">
        <v>-91004</v>
      </c>
    </row>
    <row r="120" spans="1:7" x14ac:dyDescent="0.25">
      <c r="A120" s="53" t="s">
        <v>60</v>
      </c>
      <c r="B120" s="149">
        <f>PRORRATEO!I81</f>
        <v>14195644.699999997</v>
      </c>
    </row>
    <row r="121" spans="1:7" x14ac:dyDescent="0.25">
      <c r="A121" s="150" t="s">
        <v>61</v>
      </c>
      <c r="B121" s="186"/>
    </row>
    <row r="122" spans="1:7" ht="15.75" customHeight="1" thickBot="1" x14ac:dyDescent="0.3">
      <c r="A122" s="146" t="s">
        <v>62</v>
      </c>
      <c r="B122" s="147">
        <f>SUM(B115:C121)</f>
        <v>1510113.5906230211</v>
      </c>
      <c r="D122" s="24"/>
      <c r="F122" s="24"/>
    </row>
    <row r="123" spans="1:7" x14ac:dyDescent="0.25">
      <c r="A123" s="145"/>
      <c r="B123" s="145"/>
      <c r="F123" s="151"/>
    </row>
    <row r="124" spans="1:7" ht="34.5" customHeight="1" x14ac:dyDescent="0.25"/>
    <row r="125" spans="1:7" x14ac:dyDescent="0.25">
      <c r="A125" s="211" t="s">
        <v>63</v>
      </c>
      <c r="B125" s="206"/>
      <c r="C125" s="206"/>
    </row>
    <row r="126" spans="1:7" x14ac:dyDescent="0.25">
      <c r="A126" s="206"/>
      <c r="B126" s="206"/>
      <c r="C126" s="206"/>
    </row>
    <row r="127" spans="1:7" ht="27" customHeight="1" x14ac:dyDescent="0.25">
      <c r="A127" s="128" t="s">
        <v>241</v>
      </c>
      <c r="B127" s="239">
        <v>190000</v>
      </c>
      <c r="C127" s="34">
        <v>40000</v>
      </c>
    </row>
    <row r="128" spans="1:7" ht="27" customHeight="1" x14ac:dyDescent="0.25">
      <c r="A128" s="128"/>
      <c r="B128" s="130"/>
      <c r="C128" s="39"/>
    </row>
    <row r="129" spans="1:13" x14ac:dyDescent="0.25">
      <c r="A129" s="43" t="s">
        <v>40</v>
      </c>
      <c r="B129" s="129">
        <f>SUM(B127:B128)</f>
        <v>190000</v>
      </c>
      <c r="C129" s="44"/>
    </row>
    <row r="130" spans="1:13" x14ac:dyDescent="0.25">
      <c r="M130" s="8"/>
    </row>
    <row r="131" spans="1:13" ht="15" customHeight="1" x14ac:dyDescent="0.25">
      <c r="A131" s="205"/>
      <c r="B131" s="206"/>
      <c r="C131" s="206"/>
      <c r="D131" s="206"/>
      <c r="E131" s="206"/>
    </row>
    <row r="132" spans="1:13" x14ac:dyDescent="0.25">
      <c r="A132" s="206"/>
      <c r="B132" s="206"/>
      <c r="C132" s="206"/>
      <c r="D132" s="206"/>
      <c r="E132" s="206"/>
    </row>
    <row r="133" spans="1:13" x14ac:dyDescent="0.25">
      <c r="A133" s="206"/>
      <c r="B133" s="206"/>
      <c r="C133" s="206"/>
      <c r="D133" s="206"/>
      <c r="E133" s="206"/>
    </row>
    <row r="134" spans="1:13" x14ac:dyDescent="0.25">
      <c r="A134" s="206"/>
      <c r="B134" s="206"/>
      <c r="C134" s="206"/>
      <c r="D134" s="206"/>
      <c r="E134" s="206"/>
    </row>
  </sheetData>
  <mergeCells count="24">
    <mergeCell ref="I69:J69"/>
    <mergeCell ref="B9:C11"/>
    <mergeCell ref="A67:B67"/>
    <mergeCell ref="A69:B69"/>
    <mergeCell ref="A39:B39"/>
    <mergeCell ref="A35:B35"/>
    <mergeCell ref="A14:E17"/>
    <mergeCell ref="A36:B36"/>
    <mergeCell ref="A63:B63"/>
    <mergeCell ref="A68:B68"/>
    <mergeCell ref="A40:B40"/>
    <mergeCell ref="A56:B56"/>
    <mergeCell ref="A64:B64"/>
    <mergeCell ref="A65:B65"/>
    <mergeCell ref="A66:B66"/>
    <mergeCell ref="A131:E134"/>
    <mergeCell ref="A98:E100"/>
    <mergeCell ref="A84:B84"/>
    <mergeCell ref="A57:B57"/>
    <mergeCell ref="A60:B60"/>
    <mergeCell ref="A83:B83"/>
    <mergeCell ref="A82:B82"/>
    <mergeCell ref="A125:C126"/>
    <mergeCell ref="A76:D7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abSelected="1" zoomScaleNormal="100" workbookViewId="0">
      <selection activeCell="O16" sqref="O16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9.85546875" customWidth="1"/>
    <col min="13" max="13" width="10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31"/>
      <c r="H1" s="206"/>
      <c r="I1" s="206"/>
      <c r="J1" s="206"/>
      <c r="K1" s="206"/>
      <c r="L1" s="206"/>
      <c r="M1" s="206"/>
      <c r="N1" s="206"/>
      <c r="O1" s="206"/>
      <c r="P1" s="206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64</v>
      </c>
      <c r="M2" s="7"/>
      <c r="N2" s="6"/>
      <c r="O2" s="6"/>
      <c r="P2" s="228">
        <f>U2-P3</f>
        <v>12623528.600000001</v>
      </c>
      <c r="Q2" s="206"/>
      <c r="R2" s="206"/>
      <c r="S2" s="20"/>
      <c r="U2">
        <v>16123528.600000001</v>
      </c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 t="s">
        <v>245</v>
      </c>
      <c r="M3" s="6"/>
      <c r="N3" s="6"/>
      <c r="O3" s="6"/>
      <c r="P3" s="228">
        <v>3500000</v>
      </c>
      <c r="Q3" s="206"/>
      <c r="R3" s="206"/>
    </row>
    <row r="4" spans="1:21" x14ac:dyDescent="0.25">
      <c r="A4" s="223" t="s">
        <v>65</v>
      </c>
      <c r="B4" s="225" t="s">
        <v>66</v>
      </c>
      <c r="C4" s="132"/>
      <c r="D4" s="218" t="s">
        <v>67</v>
      </c>
      <c r="E4" s="218" t="s">
        <v>68</v>
      </c>
      <c r="F4" s="220" t="s">
        <v>69</v>
      </c>
      <c r="G4" s="218" t="s">
        <v>70</v>
      </c>
      <c r="H4" s="222" t="s">
        <v>71</v>
      </c>
      <c r="I4" s="218" t="s">
        <v>51</v>
      </c>
      <c r="J4" s="220" t="s">
        <v>72</v>
      </c>
      <c r="K4" s="224" t="s">
        <v>73</v>
      </c>
      <c r="L4" s="222" t="s">
        <v>74</v>
      </c>
      <c r="M4" s="233" t="s">
        <v>244</v>
      </c>
      <c r="N4" s="222" t="s">
        <v>76</v>
      </c>
      <c r="O4" s="229" t="s">
        <v>77</v>
      </c>
      <c r="P4" s="62" t="s">
        <v>78</v>
      </c>
      <c r="Q4" s="232" t="s">
        <v>79</v>
      </c>
      <c r="R4" s="227" t="s">
        <v>80</v>
      </c>
      <c r="U4" s="42"/>
    </row>
    <row r="5" spans="1:21" ht="15.75" customHeight="1" x14ac:dyDescent="0.25">
      <c r="A5" s="219"/>
      <c r="B5" s="226"/>
      <c r="C5" s="133"/>
      <c r="D5" s="219"/>
      <c r="E5" s="219"/>
      <c r="F5" s="221"/>
      <c r="G5" s="219"/>
      <c r="H5" s="221"/>
      <c r="I5" s="219"/>
      <c r="J5" s="221"/>
      <c r="K5" s="221"/>
      <c r="L5" s="221"/>
      <c r="M5" s="219"/>
      <c r="N5" s="221"/>
      <c r="O5" s="230"/>
      <c r="P5" s="60" t="str">
        <f>RESUMEN!B9</f>
        <v>VTO 15/09</v>
      </c>
      <c r="Q5" s="226"/>
      <c r="R5" s="219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>
        <v>74326.009999999995</v>
      </c>
      <c r="I6" s="73">
        <f>920334-I13-I7-I47-I48-I59-I69-I73</f>
        <v>74375.19</v>
      </c>
      <c r="J6" s="74"/>
      <c r="K6" s="75">
        <f t="shared" ref="K6:K37" si="0">H6-I6</f>
        <v>-49.180000000007567</v>
      </c>
      <c r="L6" s="75">
        <f t="shared" ref="L6:L37" si="1">IF(K6&gt;0,K6*3%,0)</f>
        <v>0</v>
      </c>
      <c r="M6" s="76">
        <f>P$3*G6%</f>
        <v>17958.5</v>
      </c>
      <c r="N6" s="77">
        <f>P$2*G6%</f>
        <v>64771.325246600012</v>
      </c>
      <c r="O6" s="78">
        <v>0</v>
      </c>
      <c r="P6" s="79">
        <f t="shared" ref="P6:P37" si="2">ROUND(SUM(K6:O6),0) + S6</f>
        <v>82681.009999999995</v>
      </c>
      <c r="Q6" s="80">
        <f t="shared" ref="Q6:Q37" si="3">ROUND(P6*6% + P6,0) + S6</f>
        <v>87642.01</v>
      </c>
      <c r="R6" s="81">
        <f t="shared" ref="R6:R37" si="4">ROUND(P6*3%,0) + P6</f>
        <v>85161.01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38" si="5">D6+1</f>
        <v>2</v>
      </c>
      <c r="E7" s="64" t="s">
        <v>86</v>
      </c>
      <c r="F7" s="65"/>
      <c r="G7" s="71">
        <v>0.6119</v>
      </c>
      <c r="H7" s="72">
        <v>88639.02</v>
      </c>
      <c r="I7" s="73">
        <f>H7</f>
        <v>88639.02</v>
      </c>
      <c r="J7" s="74"/>
      <c r="K7" s="75">
        <f t="shared" si="0"/>
        <v>0</v>
      </c>
      <c r="L7" s="75">
        <f t="shared" si="1"/>
        <v>0</v>
      </c>
      <c r="M7" s="76">
        <f t="shared" ref="M7:M70" si="6">P$3*G7%</f>
        <v>21416.5</v>
      </c>
      <c r="N7" s="77">
        <f t="shared" ref="N6:N37" si="7">P$2*G7%</f>
        <v>77243.37150340002</v>
      </c>
      <c r="O7" s="78">
        <v>0</v>
      </c>
      <c r="P7" s="79">
        <f t="shared" si="2"/>
        <v>98660.02</v>
      </c>
      <c r="Q7" s="80">
        <f t="shared" si="3"/>
        <v>104580.02</v>
      </c>
      <c r="R7" s="81">
        <f t="shared" si="4"/>
        <v>101620.02</v>
      </c>
      <c r="S7" s="42">
        <f t="shared" ref="S7:S38" si="8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5"/>
        <v>3</v>
      </c>
      <c r="E8" s="64" t="s">
        <v>87</v>
      </c>
      <c r="F8" s="65"/>
      <c r="G8" s="71">
        <v>0.61150000000000004</v>
      </c>
      <c r="H8" s="72">
        <v>91238.03</v>
      </c>
      <c r="I8" s="73">
        <f t="shared" ref="I7:I13" si="9">H8</f>
        <v>91238.03</v>
      </c>
      <c r="J8" s="74"/>
      <c r="K8" s="75">
        <f t="shared" si="0"/>
        <v>0</v>
      </c>
      <c r="L8" s="75">
        <f t="shared" si="1"/>
        <v>0</v>
      </c>
      <c r="M8" s="76">
        <f t="shared" si="6"/>
        <v>21402.500000000004</v>
      </c>
      <c r="N8" s="77">
        <f t="shared" si="7"/>
        <v>77192.877389000016</v>
      </c>
      <c r="O8" s="78">
        <v>0</v>
      </c>
      <c r="P8" s="79">
        <f t="shared" si="2"/>
        <v>98595.03</v>
      </c>
      <c r="Q8" s="80">
        <f t="shared" si="3"/>
        <v>104511.03</v>
      </c>
      <c r="R8" s="81">
        <f t="shared" si="4"/>
        <v>101553.03</v>
      </c>
      <c r="S8" s="42">
        <f t="shared" si="8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5"/>
        <v>4</v>
      </c>
      <c r="E9" s="64" t="s">
        <v>87</v>
      </c>
      <c r="F9" s="65"/>
      <c r="G9" s="71">
        <v>0.50329999999999997</v>
      </c>
      <c r="H9" s="72">
        <v>75094.039999999994</v>
      </c>
      <c r="I9" s="73">
        <f t="shared" si="9"/>
        <v>75094.039999999994</v>
      </c>
      <c r="J9" s="74"/>
      <c r="K9" s="75">
        <f t="shared" si="0"/>
        <v>0</v>
      </c>
      <c r="L9" s="75">
        <f t="shared" si="1"/>
        <v>0</v>
      </c>
      <c r="M9" s="76">
        <f t="shared" si="6"/>
        <v>17615.499999999996</v>
      </c>
      <c r="N9" s="77">
        <f t="shared" si="7"/>
        <v>63534.219443800001</v>
      </c>
      <c r="O9" s="78">
        <v>0</v>
      </c>
      <c r="P9" s="79">
        <f t="shared" si="2"/>
        <v>81150.039999999994</v>
      </c>
      <c r="Q9" s="80">
        <f t="shared" si="3"/>
        <v>86019.04</v>
      </c>
      <c r="R9" s="81">
        <f t="shared" si="4"/>
        <v>83585.039999999994</v>
      </c>
      <c r="S9" s="42">
        <f t="shared" si="8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5"/>
        <v>5</v>
      </c>
      <c r="E10" s="64" t="s">
        <v>87</v>
      </c>
      <c r="F10" s="65"/>
      <c r="G10" s="71">
        <v>0.50329999999999997</v>
      </c>
      <c r="H10" s="72">
        <v>75094.05</v>
      </c>
      <c r="I10" s="73">
        <f t="shared" si="9"/>
        <v>75094.05</v>
      </c>
      <c r="J10" s="74"/>
      <c r="K10" s="75">
        <f t="shared" si="0"/>
        <v>0</v>
      </c>
      <c r="L10" s="75">
        <f t="shared" si="1"/>
        <v>0</v>
      </c>
      <c r="M10" s="76">
        <f t="shared" si="6"/>
        <v>17615.499999999996</v>
      </c>
      <c r="N10" s="77">
        <f t="shared" si="7"/>
        <v>63534.219443800001</v>
      </c>
      <c r="O10" s="78">
        <v>0</v>
      </c>
      <c r="P10" s="79">
        <f t="shared" si="2"/>
        <v>81150.05</v>
      </c>
      <c r="Q10" s="80">
        <f t="shared" si="3"/>
        <v>86019.05</v>
      </c>
      <c r="R10" s="81">
        <f t="shared" si="4"/>
        <v>83585.05</v>
      </c>
      <c r="S10" s="42">
        <f t="shared" si="8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5"/>
        <v>6</v>
      </c>
      <c r="E11" s="64" t="s">
        <v>90</v>
      </c>
      <c r="F11" s="64" t="s">
        <v>91</v>
      </c>
      <c r="G11" s="71">
        <v>0.74990000000000001</v>
      </c>
      <c r="H11" s="72">
        <v>108629.06</v>
      </c>
      <c r="I11" s="73">
        <f t="shared" si="9"/>
        <v>108629.06</v>
      </c>
      <c r="J11" s="74"/>
      <c r="K11" s="75">
        <f t="shared" si="0"/>
        <v>0</v>
      </c>
      <c r="L11" s="75">
        <f t="shared" si="1"/>
        <v>0</v>
      </c>
      <c r="M11" s="76">
        <f t="shared" si="6"/>
        <v>26246.5</v>
      </c>
      <c r="N11" s="77">
        <f t="shared" si="7"/>
        <v>94663.840971400015</v>
      </c>
      <c r="O11" s="78">
        <v>0</v>
      </c>
      <c r="P11" s="79">
        <f t="shared" si="2"/>
        <v>120910.06</v>
      </c>
      <c r="Q11" s="80">
        <f t="shared" si="3"/>
        <v>128165.06</v>
      </c>
      <c r="R11" s="81">
        <f t="shared" si="4"/>
        <v>124537.06</v>
      </c>
      <c r="S11" s="42">
        <f t="shared" si="8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5"/>
        <v>7</v>
      </c>
      <c r="E12" s="64" t="s">
        <v>92</v>
      </c>
      <c r="F12" s="64" t="s">
        <v>93</v>
      </c>
      <c r="G12" s="71">
        <v>0.54249999999999998</v>
      </c>
      <c r="H12" s="72">
        <v>78585.070000000007</v>
      </c>
      <c r="I12" s="73">
        <f t="shared" si="9"/>
        <v>78585.070000000007</v>
      </c>
      <c r="J12" s="74"/>
      <c r="K12" s="75">
        <f t="shared" si="0"/>
        <v>0</v>
      </c>
      <c r="L12" s="75">
        <f t="shared" si="1"/>
        <v>0</v>
      </c>
      <c r="M12" s="76">
        <f t="shared" si="6"/>
        <v>18987.5</v>
      </c>
      <c r="N12" s="77">
        <f t="shared" si="7"/>
        <v>68482.642655000003</v>
      </c>
      <c r="O12" s="78">
        <v>0</v>
      </c>
      <c r="P12" s="79">
        <f t="shared" si="2"/>
        <v>87470.07</v>
      </c>
      <c r="Q12" s="80">
        <f t="shared" si="3"/>
        <v>92718.07</v>
      </c>
      <c r="R12" s="81">
        <f t="shared" si="4"/>
        <v>90094.07</v>
      </c>
      <c r="S12" s="42">
        <f t="shared" si="8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5"/>
        <v>8</v>
      </c>
      <c r="E13" s="64" t="s">
        <v>95</v>
      </c>
      <c r="F13" s="65"/>
      <c r="G13" s="71">
        <v>0.45369999999999999</v>
      </c>
      <c r="H13" s="72">
        <v>65722.080000000002</v>
      </c>
      <c r="I13" s="73">
        <f t="shared" si="9"/>
        <v>65722.080000000002</v>
      </c>
      <c r="J13" s="74"/>
      <c r="K13" s="75">
        <f t="shared" si="0"/>
        <v>0</v>
      </c>
      <c r="L13" s="75">
        <f t="shared" si="1"/>
        <v>0</v>
      </c>
      <c r="M13" s="76">
        <f t="shared" si="6"/>
        <v>15879.5</v>
      </c>
      <c r="N13" s="77">
        <f t="shared" si="7"/>
        <v>57272.949258200009</v>
      </c>
      <c r="O13" s="78">
        <v>0</v>
      </c>
      <c r="P13" s="79">
        <f t="shared" si="2"/>
        <v>73152.08</v>
      </c>
      <c r="Q13" s="80">
        <f t="shared" si="3"/>
        <v>77541.08</v>
      </c>
      <c r="R13" s="81">
        <f t="shared" si="4"/>
        <v>75347.08</v>
      </c>
      <c r="S13" s="42">
        <f t="shared" si="8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5"/>
        <v>9</v>
      </c>
      <c r="E14" s="64" t="s">
        <v>96</v>
      </c>
      <c r="F14" s="84" t="s">
        <v>97</v>
      </c>
      <c r="G14" s="71">
        <v>0.52439999999999998</v>
      </c>
      <c r="H14" s="72">
        <v>7718.09</v>
      </c>
      <c r="I14" s="73">
        <f>H14</f>
        <v>7718.09</v>
      </c>
      <c r="J14" s="74"/>
      <c r="K14" s="75">
        <f t="shared" si="0"/>
        <v>0</v>
      </c>
      <c r="L14" s="75">
        <f t="shared" si="1"/>
        <v>0</v>
      </c>
      <c r="M14" s="76">
        <f t="shared" si="6"/>
        <v>18354</v>
      </c>
      <c r="N14" s="77">
        <f t="shared" si="7"/>
        <v>66197.783978399995</v>
      </c>
      <c r="O14" s="78">
        <v>0</v>
      </c>
      <c r="P14" s="79">
        <f t="shared" si="2"/>
        <v>84552.09</v>
      </c>
      <c r="Q14" s="80">
        <f t="shared" si="3"/>
        <v>89625.09</v>
      </c>
      <c r="R14" s="81">
        <f t="shared" si="4"/>
        <v>87089.09</v>
      </c>
      <c r="S14" s="42">
        <f t="shared" si="8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5"/>
        <v>10</v>
      </c>
      <c r="E15" s="64" t="s">
        <v>96</v>
      </c>
      <c r="F15" s="84" t="s">
        <v>97</v>
      </c>
      <c r="G15" s="71">
        <v>0.42399999999999999</v>
      </c>
      <c r="H15" s="72">
        <v>-32049.9</v>
      </c>
      <c r="I15" s="73">
        <v>32049.1</v>
      </c>
      <c r="J15" s="74"/>
      <c r="K15" s="75">
        <f t="shared" si="0"/>
        <v>-64099</v>
      </c>
      <c r="L15" s="75">
        <f t="shared" si="1"/>
        <v>0</v>
      </c>
      <c r="M15" s="76">
        <f t="shared" si="6"/>
        <v>14840</v>
      </c>
      <c r="N15" s="77">
        <f t="shared" si="7"/>
        <v>53523.761264000008</v>
      </c>
      <c r="O15" s="78">
        <v>0</v>
      </c>
      <c r="P15" s="79">
        <f t="shared" si="2"/>
        <v>4265.1000000000004</v>
      </c>
      <c r="Q15" s="80">
        <f t="shared" si="3"/>
        <v>4521.1000000000004</v>
      </c>
      <c r="R15" s="81">
        <f t="shared" si="4"/>
        <v>4393.1000000000004</v>
      </c>
      <c r="S15" s="42">
        <f t="shared" si="8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5"/>
        <v>11</v>
      </c>
      <c r="E16" s="64" t="s">
        <v>101</v>
      </c>
      <c r="F16" s="65"/>
      <c r="G16" s="71">
        <v>2.3033000000000001</v>
      </c>
      <c r="H16" s="72">
        <v>4082280.11</v>
      </c>
      <c r="I16" s="73"/>
      <c r="J16" s="74"/>
      <c r="K16" s="75">
        <f t="shared" si="0"/>
        <v>4082280.11</v>
      </c>
      <c r="L16" s="75">
        <f t="shared" si="1"/>
        <v>122468.40329999999</v>
      </c>
      <c r="M16" s="76">
        <f t="shared" si="6"/>
        <v>80615.5</v>
      </c>
      <c r="N16" s="77">
        <f t="shared" si="7"/>
        <v>290757.73424380005</v>
      </c>
      <c r="O16" s="241">
        <v>91004</v>
      </c>
      <c r="P16" s="79">
        <f t="shared" si="2"/>
        <v>4667126.1100000003</v>
      </c>
      <c r="Q16" s="80">
        <f t="shared" si="3"/>
        <v>4947154.1100000003</v>
      </c>
      <c r="R16" s="81">
        <f t="shared" si="4"/>
        <v>4807140.1100000003</v>
      </c>
      <c r="S16" s="42">
        <f t="shared" si="8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5"/>
        <v>12</v>
      </c>
      <c r="E17" s="64" t="s">
        <v>104</v>
      </c>
      <c r="F17" s="65" t="s">
        <v>105</v>
      </c>
      <c r="G17" s="71">
        <v>2.7492999999999999</v>
      </c>
      <c r="H17" s="72">
        <v>398258.12</v>
      </c>
      <c r="I17" s="73">
        <f>H17</f>
        <v>398258.12</v>
      </c>
      <c r="J17" s="74"/>
      <c r="K17" s="75">
        <f t="shared" si="0"/>
        <v>0</v>
      </c>
      <c r="L17" s="75">
        <f t="shared" si="1"/>
        <v>0</v>
      </c>
      <c r="M17" s="76">
        <f t="shared" si="6"/>
        <v>96225.5</v>
      </c>
      <c r="N17" s="77">
        <f t="shared" si="7"/>
        <v>347058.67179980007</v>
      </c>
      <c r="O17" s="78">
        <v>0</v>
      </c>
      <c r="P17" s="79">
        <f t="shared" si="2"/>
        <v>443284.12</v>
      </c>
      <c r="Q17" s="80">
        <f t="shared" si="3"/>
        <v>469881.12</v>
      </c>
      <c r="R17" s="81">
        <f t="shared" si="4"/>
        <v>456583.12</v>
      </c>
      <c r="S17" s="42">
        <f t="shared" si="8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5"/>
        <v>13</v>
      </c>
      <c r="E18" s="64" t="s">
        <v>106</v>
      </c>
      <c r="F18" s="65" t="s">
        <v>107</v>
      </c>
      <c r="G18" s="71">
        <v>2.3033000000000001</v>
      </c>
      <c r="H18" s="72">
        <v>333651.13</v>
      </c>
      <c r="I18" s="73">
        <f>H18</f>
        <v>333651.13</v>
      </c>
      <c r="J18" s="74"/>
      <c r="K18" s="75">
        <f t="shared" si="0"/>
        <v>0</v>
      </c>
      <c r="L18" s="75">
        <f t="shared" si="1"/>
        <v>0</v>
      </c>
      <c r="M18" s="76">
        <f t="shared" si="6"/>
        <v>80615.5</v>
      </c>
      <c r="N18" s="77">
        <f t="shared" si="7"/>
        <v>290757.73424380005</v>
      </c>
      <c r="O18" s="78">
        <v>0</v>
      </c>
      <c r="P18" s="79">
        <f t="shared" si="2"/>
        <v>371373.13</v>
      </c>
      <c r="Q18" s="80">
        <f t="shared" si="3"/>
        <v>393656.13</v>
      </c>
      <c r="R18" s="81">
        <f t="shared" si="4"/>
        <v>382514.13</v>
      </c>
      <c r="S18" s="42">
        <f t="shared" si="8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5"/>
        <v>14</v>
      </c>
      <c r="E19" s="64" t="s">
        <v>109</v>
      </c>
      <c r="F19" s="65" t="s">
        <v>110</v>
      </c>
      <c r="G19" s="71">
        <v>2.6368</v>
      </c>
      <c r="H19" s="72">
        <v>980449.14</v>
      </c>
      <c r="I19" s="73">
        <f>40000+200000+350000+40000</f>
        <v>630000</v>
      </c>
      <c r="J19" s="74"/>
      <c r="K19" s="75">
        <f t="shared" si="0"/>
        <v>350449.14</v>
      </c>
      <c r="L19" s="75">
        <f t="shared" si="1"/>
        <v>10513.474200000001</v>
      </c>
      <c r="M19" s="76">
        <f t="shared" si="6"/>
        <v>92288</v>
      </c>
      <c r="N19" s="77">
        <f t="shared" si="7"/>
        <v>332857.20212480001</v>
      </c>
      <c r="O19" s="78">
        <v>0</v>
      </c>
      <c r="P19" s="79">
        <f t="shared" si="2"/>
        <v>786108.14</v>
      </c>
      <c r="Q19" s="80">
        <f t="shared" si="3"/>
        <v>833275.14</v>
      </c>
      <c r="R19" s="81">
        <f t="shared" si="4"/>
        <v>809691.14</v>
      </c>
      <c r="S19" s="42">
        <f t="shared" si="8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5"/>
        <v>15</v>
      </c>
      <c r="E20" s="64" t="s">
        <v>112</v>
      </c>
      <c r="F20" s="65"/>
      <c r="G20" s="71">
        <v>2.3536999999999999</v>
      </c>
      <c r="H20" s="72">
        <v>340952.15</v>
      </c>
      <c r="I20" s="73">
        <f>H20</f>
        <v>340952.15</v>
      </c>
      <c r="J20" s="74"/>
      <c r="K20" s="75">
        <f t="shared" si="0"/>
        <v>0</v>
      </c>
      <c r="L20" s="75">
        <f t="shared" si="1"/>
        <v>0</v>
      </c>
      <c r="M20" s="76">
        <f t="shared" si="6"/>
        <v>82379.5</v>
      </c>
      <c r="N20" s="77">
        <f t="shared" si="7"/>
        <v>297119.99265820003</v>
      </c>
      <c r="O20" s="78">
        <v>0</v>
      </c>
      <c r="P20" s="79">
        <f t="shared" si="2"/>
        <v>379499.15</v>
      </c>
      <c r="Q20" s="80">
        <f t="shared" si="3"/>
        <v>402269.15</v>
      </c>
      <c r="R20" s="81">
        <f t="shared" si="4"/>
        <v>390884.15</v>
      </c>
      <c r="S20" s="42">
        <f t="shared" si="8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5"/>
        <v>16</v>
      </c>
      <c r="E21" s="64" t="s">
        <v>114</v>
      </c>
      <c r="F21" s="64" t="s">
        <v>115</v>
      </c>
      <c r="G21" s="71">
        <v>2.6476999999999999</v>
      </c>
      <c r="H21" s="72">
        <v>383540.16</v>
      </c>
      <c r="I21" s="73">
        <f>83540.16+300000</f>
        <v>383540.16000000003</v>
      </c>
      <c r="J21" s="74"/>
      <c r="K21" s="75">
        <f t="shared" si="0"/>
        <v>0</v>
      </c>
      <c r="L21" s="75">
        <f t="shared" si="1"/>
        <v>0</v>
      </c>
      <c r="M21" s="76">
        <f t="shared" si="6"/>
        <v>92669.5</v>
      </c>
      <c r="N21" s="77">
        <f t="shared" si="7"/>
        <v>334233.16674220003</v>
      </c>
      <c r="O21" s="78">
        <v>0</v>
      </c>
      <c r="P21" s="79">
        <f t="shared" si="2"/>
        <v>426903.16</v>
      </c>
      <c r="Q21" s="80">
        <f t="shared" si="3"/>
        <v>452517.16</v>
      </c>
      <c r="R21" s="81">
        <f t="shared" si="4"/>
        <v>439710.16</v>
      </c>
      <c r="S21" s="42">
        <f t="shared" si="8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5"/>
        <v>17</v>
      </c>
      <c r="E22" s="64" t="s">
        <v>116</v>
      </c>
      <c r="F22" s="65" t="s">
        <v>117</v>
      </c>
      <c r="G22" s="71">
        <v>2.3235000000000001</v>
      </c>
      <c r="H22" s="73">
        <v>336577.17</v>
      </c>
      <c r="I22" s="73">
        <f>H22</f>
        <v>336577.17</v>
      </c>
      <c r="J22" s="74"/>
      <c r="K22" s="75">
        <f t="shared" si="0"/>
        <v>0</v>
      </c>
      <c r="L22" s="75">
        <f t="shared" si="1"/>
        <v>0</v>
      </c>
      <c r="M22" s="76">
        <f t="shared" si="6"/>
        <v>81322.500000000015</v>
      </c>
      <c r="N22" s="77">
        <f t="shared" si="7"/>
        <v>293307.68702100008</v>
      </c>
      <c r="O22" s="78">
        <v>0</v>
      </c>
      <c r="P22" s="79">
        <f t="shared" si="2"/>
        <v>374630.17</v>
      </c>
      <c r="Q22" s="80">
        <f t="shared" si="3"/>
        <v>397108.17</v>
      </c>
      <c r="R22" s="81">
        <f t="shared" si="4"/>
        <v>385869.17</v>
      </c>
      <c r="S22" s="42">
        <f t="shared" si="8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5"/>
        <v>18</v>
      </c>
      <c r="E23" s="64" t="s">
        <v>119</v>
      </c>
      <c r="F23" s="142" t="s">
        <v>120</v>
      </c>
      <c r="G23" s="71">
        <v>2.6880000000000002</v>
      </c>
      <c r="H23" s="72">
        <v>401059.18</v>
      </c>
      <c r="I23" s="73">
        <v>389378</v>
      </c>
      <c r="J23" s="74"/>
      <c r="K23" s="75">
        <f t="shared" si="0"/>
        <v>11681.179999999993</v>
      </c>
      <c r="L23" s="75">
        <f t="shared" si="1"/>
        <v>350.43539999999979</v>
      </c>
      <c r="M23" s="76">
        <f t="shared" si="6"/>
        <v>94080</v>
      </c>
      <c r="N23" s="77">
        <f t="shared" si="7"/>
        <v>339320.44876800006</v>
      </c>
      <c r="O23" s="78">
        <v>0</v>
      </c>
      <c r="P23" s="79">
        <f t="shared" si="2"/>
        <v>445432.18</v>
      </c>
      <c r="Q23" s="80">
        <f t="shared" si="3"/>
        <v>472158.18</v>
      </c>
      <c r="R23" s="81">
        <f t="shared" si="4"/>
        <v>458795.18</v>
      </c>
      <c r="S23" s="42">
        <f t="shared" si="8"/>
        <v>0.18000000000000002</v>
      </c>
      <c r="U23" s="152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5"/>
        <v>19</v>
      </c>
      <c r="E24" s="64" t="s">
        <v>121</v>
      </c>
      <c r="F24" s="65"/>
      <c r="G24" s="71">
        <v>2.36</v>
      </c>
      <c r="H24" s="72">
        <v>241865.19</v>
      </c>
      <c r="I24" s="73">
        <f>H24</f>
        <v>241865.19</v>
      </c>
      <c r="J24" s="74"/>
      <c r="K24" s="75">
        <f t="shared" si="0"/>
        <v>0</v>
      </c>
      <c r="L24" s="75">
        <f t="shared" si="1"/>
        <v>0</v>
      </c>
      <c r="M24" s="76">
        <f t="shared" si="6"/>
        <v>82600</v>
      </c>
      <c r="N24" s="77">
        <f t="shared" si="7"/>
        <v>297915.27496000001</v>
      </c>
      <c r="O24" s="78">
        <v>0</v>
      </c>
      <c r="P24" s="79">
        <f t="shared" si="2"/>
        <v>380515.19</v>
      </c>
      <c r="Q24" s="80">
        <f t="shared" si="3"/>
        <v>403346.19</v>
      </c>
      <c r="R24" s="81">
        <f t="shared" si="4"/>
        <v>391930.19</v>
      </c>
      <c r="S24" s="42">
        <f t="shared" si="8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5"/>
        <v>20</v>
      </c>
      <c r="E25" s="64" t="s">
        <v>123</v>
      </c>
      <c r="F25" s="64"/>
      <c r="G25" s="71">
        <v>2.7183000000000002</v>
      </c>
      <c r="H25" s="72">
        <v>393382.2</v>
      </c>
      <c r="I25" s="73">
        <v>400000</v>
      </c>
      <c r="J25" s="74"/>
      <c r="K25" s="110">
        <f t="shared" si="0"/>
        <v>-6617.7999999999884</v>
      </c>
      <c r="L25" s="75">
        <f t="shared" si="1"/>
        <v>0</v>
      </c>
      <c r="M25" s="76">
        <f t="shared" si="6"/>
        <v>95140.500000000015</v>
      </c>
      <c r="N25" s="77">
        <f t="shared" si="7"/>
        <v>343145.37793380005</v>
      </c>
      <c r="O25" s="78">
        <v>0</v>
      </c>
      <c r="P25" s="79">
        <f t="shared" si="2"/>
        <v>431668.2</v>
      </c>
      <c r="Q25" s="80">
        <f t="shared" si="3"/>
        <v>457568.2</v>
      </c>
      <c r="R25" s="81">
        <f t="shared" si="4"/>
        <v>444618.2</v>
      </c>
      <c r="S25" s="42">
        <f t="shared" si="8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5"/>
        <v>21</v>
      </c>
      <c r="E26" s="64" t="s">
        <v>125</v>
      </c>
      <c r="F26" s="65"/>
      <c r="G26" s="71">
        <v>2.3033000000000001</v>
      </c>
      <c r="H26" s="72">
        <v>333651.21000000002</v>
      </c>
      <c r="I26" s="73">
        <f>H26</f>
        <v>333651.21000000002</v>
      </c>
      <c r="J26" s="74"/>
      <c r="K26" s="75">
        <f t="shared" si="0"/>
        <v>0</v>
      </c>
      <c r="L26" s="75">
        <f t="shared" si="1"/>
        <v>0</v>
      </c>
      <c r="M26" s="76">
        <f t="shared" si="6"/>
        <v>80615.5</v>
      </c>
      <c r="N26" s="77">
        <f t="shared" si="7"/>
        <v>290757.73424380005</v>
      </c>
      <c r="O26" s="78">
        <v>0</v>
      </c>
      <c r="P26" s="79">
        <f t="shared" si="2"/>
        <v>371373.21</v>
      </c>
      <c r="Q26" s="80">
        <f t="shared" si="3"/>
        <v>393656.21</v>
      </c>
      <c r="R26" s="81">
        <f t="shared" si="4"/>
        <v>382514.21</v>
      </c>
      <c r="S26" s="42">
        <f t="shared" si="8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5"/>
        <v>22</v>
      </c>
      <c r="E27" s="64" t="s">
        <v>127</v>
      </c>
      <c r="F27" s="84" t="s">
        <v>128</v>
      </c>
      <c r="G27" s="71">
        <v>2.6360000000000001</v>
      </c>
      <c r="H27" s="72">
        <v>149378.22</v>
      </c>
      <c r="I27" s="73">
        <f>H27</f>
        <v>149378.22</v>
      </c>
      <c r="J27" s="74"/>
      <c r="K27" s="75">
        <f t="shared" si="0"/>
        <v>0</v>
      </c>
      <c r="L27" s="75">
        <f t="shared" si="1"/>
        <v>0</v>
      </c>
      <c r="M27" s="76">
        <f t="shared" si="6"/>
        <v>92260</v>
      </c>
      <c r="N27" s="77">
        <f t="shared" si="7"/>
        <v>332756.21389600006</v>
      </c>
      <c r="O27" s="183">
        <v>0</v>
      </c>
      <c r="P27" s="79">
        <f t="shared" si="2"/>
        <v>425016.22</v>
      </c>
      <c r="Q27" s="80">
        <f t="shared" si="3"/>
        <v>450517.22</v>
      </c>
      <c r="R27" s="81">
        <f t="shared" si="4"/>
        <v>437766.22</v>
      </c>
      <c r="S27" s="42">
        <f t="shared" si="8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5"/>
        <v>23</v>
      </c>
      <c r="E28" s="64" t="s">
        <v>130</v>
      </c>
      <c r="F28" s="65"/>
      <c r="G28" s="71">
        <v>2.3033000000000001</v>
      </c>
      <c r="H28" s="72">
        <v>328727.23</v>
      </c>
      <c r="I28" s="73">
        <f>300000+28727.23</f>
        <v>328727.23</v>
      </c>
      <c r="J28" s="74"/>
      <c r="K28" s="75">
        <f t="shared" si="0"/>
        <v>0</v>
      </c>
      <c r="L28" s="75">
        <f t="shared" si="1"/>
        <v>0</v>
      </c>
      <c r="M28" s="76">
        <f t="shared" si="6"/>
        <v>80615.5</v>
      </c>
      <c r="N28" s="77">
        <f t="shared" si="7"/>
        <v>290757.73424380005</v>
      </c>
      <c r="O28" s="78">
        <v>0</v>
      </c>
      <c r="P28" s="79">
        <f t="shared" si="2"/>
        <v>371373.23</v>
      </c>
      <c r="Q28" s="80">
        <f t="shared" si="3"/>
        <v>393656.23</v>
      </c>
      <c r="R28" s="81">
        <f t="shared" si="4"/>
        <v>382514.23</v>
      </c>
      <c r="S28" s="42">
        <f t="shared" si="8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5"/>
        <v>24</v>
      </c>
      <c r="E29" s="64" t="s">
        <v>132</v>
      </c>
      <c r="F29" s="65"/>
      <c r="G29" s="71">
        <v>2.6158999999999999</v>
      </c>
      <c r="H29" s="72">
        <v>378934.24</v>
      </c>
      <c r="I29" s="73">
        <f t="shared" ref="I29:I34" si="10">H29</f>
        <v>378934.24</v>
      </c>
      <c r="J29" s="74"/>
      <c r="K29" s="75">
        <f t="shared" si="0"/>
        <v>0</v>
      </c>
      <c r="L29" s="75">
        <f t="shared" si="1"/>
        <v>0</v>
      </c>
      <c r="M29" s="76">
        <f t="shared" si="6"/>
        <v>91556.5</v>
      </c>
      <c r="N29" s="77">
        <f t="shared" si="7"/>
        <v>330218.8846474</v>
      </c>
      <c r="O29" s="78">
        <v>0</v>
      </c>
      <c r="P29" s="79">
        <f t="shared" si="2"/>
        <v>421775.24</v>
      </c>
      <c r="Q29" s="80">
        <f t="shared" si="3"/>
        <v>447082.23999999999</v>
      </c>
      <c r="R29" s="81">
        <f t="shared" si="4"/>
        <v>434428.24</v>
      </c>
      <c r="S29" s="42">
        <f t="shared" si="8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5"/>
        <v>25</v>
      </c>
      <c r="E30" s="64" t="s">
        <v>133</v>
      </c>
      <c r="F30" s="64"/>
      <c r="G30" s="71">
        <v>2.3536999999999999</v>
      </c>
      <c r="H30" s="72">
        <v>340952.25</v>
      </c>
      <c r="I30" s="73">
        <f t="shared" si="10"/>
        <v>340952.25</v>
      </c>
      <c r="J30" s="74"/>
      <c r="K30" s="75">
        <f t="shared" si="0"/>
        <v>0</v>
      </c>
      <c r="L30" s="75">
        <f t="shared" si="1"/>
        <v>0</v>
      </c>
      <c r="M30" s="76">
        <f t="shared" si="6"/>
        <v>82379.5</v>
      </c>
      <c r="N30" s="77">
        <f t="shared" si="7"/>
        <v>297119.99265820003</v>
      </c>
      <c r="O30" s="78">
        <v>0</v>
      </c>
      <c r="P30" s="79">
        <f t="shared" si="2"/>
        <v>379499.25</v>
      </c>
      <c r="Q30" s="80">
        <f t="shared" si="3"/>
        <v>402269.25</v>
      </c>
      <c r="R30" s="81">
        <f t="shared" si="4"/>
        <v>390884.25</v>
      </c>
      <c r="S30" s="42">
        <f t="shared" si="8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5"/>
        <v>26</v>
      </c>
      <c r="E31" s="64" t="s">
        <v>134</v>
      </c>
      <c r="F31" s="64" t="s">
        <v>135</v>
      </c>
      <c r="G31" s="71">
        <v>2.6469</v>
      </c>
      <c r="H31" s="72">
        <v>383424.26</v>
      </c>
      <c r="I31" s="73">
        <f t="shared" si="10"/>
        <v>383424.26</v>
      </c>
      <c r="J31" s="74"/>
      <c r="K31" s="75">
        <f t="shared" si="0"/>
        <v>0</v>
      </c>
      <c r="L31" s="75">
        <f t="shared" si="1"/>
        <v>0</v>
      </c>
      <c r="M31" s="76">
        <f t="shared" si="6"/>
        <v>92641.5</v>
      </c>
      <c r="N31" s="77">
        <f t="shared" si="7"/>
        <v>334132.17851340002</v>
      </c>
      <c r="O31" s="78">
        <v>0</v>
      </c>
      <c r="P31" s="79">
        <f t="shared" si="2"/>
        <v>426774.26</v>
      </c>
      <c r="Q31" s="80">
        <f t="shared" si="3"/>
        <v>452381.26</v>
      </c>
      <c r="R31" s="81">
        <f t="shared" si="4"/>
        <v>439577.26</v>
      </c>
      <c r="S31" s="42">
        <f t="shared" si="8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5"/>
        <v>27</v>
      </c>
      <c r="E32" s="64" t="s">
        <v>136</v>
      </c>
      <c r="F32" s="65"/>
      <c r="G32" s="71">
        <v>2.3536999999999999</v>
      </c>
      <c r="H32" s="72">
        <v>332213.27</v>
      </c>
      <c r="I32" s="73">
        <f>H32</f>
        <v>332213.27</v>
      </c>
      <c r="J32" s="74"/>
      <c r="K32" s="75">
        <f t="shared" si="0"/>
        <v>0</v>
      </c>
      <c r="L32" s="75">
        <f t="shared" si="1"/>
        <v>0</v>
      </c>
      <c r="M32" s="76">
        <f t="shared" si="6"/>
        <v>82379.5</v>
      </c>
      <c r="N32" s="77">
        <f t="shared" si="7"/>
        <v>297119.99265820003</v>
      </c>
      <c r="O32" s="78">
        <v>0</v>
      </c>
      <c r="P32" s="79">
        <f t="shared" si="2"/>
        <v>379499.27</v>
      </c>
      <c r="Q32" s="80">
        <f t="shared" si="3"/>
        <v>402269.27</v>
      </c>
      <c r="R32" s="81">
        <f t="shared" si="4"/>
        <v>390884.27</v>
      </c>
      <c r="S32" s="42">
        <f t="shared" si="8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5"/>
        <v>28</v>
      </c>
      <c r="E33" s="64" t="s">
        <v>137</v>
      </c>
      <c r="F33" s="64"/>
      <c r="G33" s="71">
        <v>2.6663000000000001</v>
      </c>
      <c r="H33" s="72">
        <v>386235.28</v>
      </c>
      <c r="I33" s="73">
        <f t="shared" si="10"/>
        <v>386235.28</v>
      </c>
      <c r="J33" s="74"/>
      <c r="K33" s="75">
        <f t="shared" si="0"/>
        <v>0</v>
      </c>
      <c r="L33" s="75">
        <f t="shared" si="1"/>
        <v>0</v>
      </c>
      <c r="M33" s="76">
        <f t="shared" si="6"/>
        <v>93320.500000000015</v>
      </c>
      <c r="N33" s="77">
        <f t="shared" si="7"/>
        <v>336581.14306180004</v>
      </c>
      <c r="O33" s="127">
        <v>0</v>
      </c>
      <c r="P33" s="79">
        <f t="shared" si="2"/>
        <v>429902.28</v>
      </c>
      <c r="Q33" s="80">
        <f t="shared" si="3"/>
        <v>455696.28</v>
      </c>
      <c r="R33" s="81">
        <f t="shared" si="4"/>
        <v>442799.28</v>
      </c>
      <c r="S33" s="42">
        <f t="shared" si="8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5"/>
        <v>29</v>
      </c>
      <c r="E34" s="64" t="s">
        <v>138</v>
      </c>
      <c r="F34" s="64" t="s">
        <v>139</v>
      </c>
      <c r="G34" s="71">
        <v>2.4476</v>
      </c>
      <c r="H34" s="72">
        <v>373054.29</v>
      </c>
      <c r="I34" s="73">
        <f>H34</f>
        <v>373054.29</v>
      </c>
      <c r="J34" s="74"/>
      <c r="K34" s="75">
        <f t="shared" si="0"/>
        <v>0</v>
      </c>
      <c r="L34" s="75">
        <f t="shared" si="1"/>
        <v>0</v>
      </c>
      <c r="M34" s="76">
        <f t="shared" si="6"/>
        <v>85666</v>
      </c>
      <c r="N34" s="77">
        <f t="shared" si="7"/>
        <v>308973.48601360008</v>
      </c>
      <c r="O34" s="187">
        <v>18500</v>
      </c>
      <c r="P34" s="79">
        <f t="shared" si="2"/>
        <v>413139.29</v>
      </c>
      <c r="Q34" s="80">
        <f t="shared" si="3"/>
        <v>437928.29</v>
      </c>
      <c r="R34" s="81">
        <f t="shared" si="4"/>
        <v>425533.29</v>
      </c>
      <c r="S34" s="42">
        <f t="shared" si="8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5"/>
        <v>30</v>
      </c>
      <c r="E35" s="64" t="s">
        <v>140</v>
      </c>
      <c r="F35" s="65"/>
      <c r="G35" s="71">
        <v>2.7183000000000002</v>
      </c>
      <c r="H35" s="72">
        <v>393767.3</v>
      </c>
      <c r="I35" s="73">
        <f>H35</f>
        <v>393767.3</v>
      </c>
      <c r="J35" s="74"/>
      <c r="K35" s="75">
        <f t="shared" si="0"/>
        <v>0</v>
      </c>
      <c r="L35" s="75">
        <f t="shared" si="1"/>
        <v>0</v>
      </c>
      <c r="M35" s="76">
        <f t="shared" si="6"/>
        <v>95140.500000000015</v>
      </c>
      <c r="N35" s="77">
        <f t="shared" si="7"/>
        <v>343145.37793380005</v>
      </c>
      <c r="O35" s="78">
        <v>0</v>
      </c>
      <c r="P35" s="79">
        <f t="shared" si="2"/>
        <v>438286.3</v>
      </c>
      <c r="Q35" s="80">
        <f t="shared" si="3"/>
        <v>464583.3</v>
      </c>
      <c r="R35" s="81">
        <f t="shared" si="4"/>
        <v>451435.3</v>
      </c>
      <c r="S35" s="42">
        <f t="shared" si="8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5"/>
        <v>31</v>
      </c>
      <c r="E36" s="64" t="s">
        <v>141</v>
      </c>
      <c r="F36" s="64" t="s">
        <v>142</v>
      </c>
      <c r="G36" s="71">
        <v>2.3026</v>
      </c>
      <c r="H36" s="73">
        <v>333550.31</v>
      </c>
      <c r="I36" s="73">
        <f>H36</f>
        <v>333550.31</v>
      </c>
      <c r="J36" s="82"/>
      <c r="K36" s="75">
        <f t="shared" si="0"/>
        <v>0</v>
      </c>
      <c r="L36" s="75">
        <f t="shared" si="1"/>
        <v>0</v>
      </c>
      <c r="M36" s="76">
        <f t="shared" si="6"/>
        <v>80591</v>
      </c>
      <c r="N36" s="140">
        <f t="shared" si="7"/>
        <v>290669.36954360007</v>
      </c>
      <c r="O36" s="83">
        <v>0</v>
      </c>
      <c r="P36" s="79">
        <f t="shared" si="2"/>
        <v>371260.31</v>
      </c>
      <c r="Q36" s="80">
        <f t="shared" si="3"/>
        <v>393536.31</v>
      </c>
      <c r="R36" s="81">
        <f t="shared" si="4"/>
        <v>382398.31</v>
      </c>
      <c r="S36" s="42">
        <f t="shared" si="8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5"/>
        <v>32</v>
      </c>
      <c r="E37" s="64" t="s">
        <v>143</v>
      </c>
      <c r="F37" s="65"/>
      <c r="G37" s="71">
        <v>2.6562000000000001</v>
      </c>
      <c r="H37" s="72">
        <v>515847.32</v>
      </c>
      <c r="I37" s="73">
        <v>384772.32</v>
      </c>
      <c r="J37" s="74"/>
      <c r="K37" s="75">
        <f t="shared" si="0"/>
        <v>131075</v>
      </c>
      <c r="L37" s="75">
        <f t="shared" si="1"/>
        <v>3932.25</v>
      </c>
      <c r="M37" s="76">
        <f t="shared" si="6"/>
        <v>92967.000000000015</v>
      </c>
      <c r="N37" s="77">
        <f t="shared" si="7"/>
        <v>335306.16667320009</v>
      </c>
      <c r="O37" s="78">
        <v>0</v>
      </c>
      <c r="P37" s="79">
        <f t="shared" si="2"/>
        <v>563280.31999999995</v>
      </c>
      <c r="Q37" s="80">
        <f t="shared" si="3"/>
        <v>597077.31999999995</v>
      </c>
      <c r="R37" s="81">
        <f t="shared" si="4"/>
        <v>580178.31999999995</v>
      </c>
      <c r="S37" s="42">
        <f t="shared" si="8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5"/>
        <v>33</v>
      </c>
      <c r="E38" s="64" t="s">
        <v>144</v>
      </c>
      <c r="F38" s="65"/>
      <c r="G38" s="71">
        <v>2.3342999999999998</v>
      </c>
      <c r="H38" s="72">
        <v>338142.33</v>
      </c>
      <c r="I38" s="73">
        <f t="shared" ref="I38:I41" si="11">H38</f>
        <v>338142.33</v>
      </c>
      <c r="J38" s="74"/>
      <c r="K38" s="75">
        <f t="shared" ref="K38:K69" si="12">H38-I38</f>
        <v>0</v>
      </c>
      <c r="L38" s="75">
        <f t="shared" ref="L38:L69" si="13">IF(K38&gt;0,K38*3%,0)</f>
        <v>0</v>
      </c>
      <c r="M38" s="76">
        <f t="shared" si="6"/>
        <v>81700.5</v>
      </c>
      <c r="N38" s="77">
        <f t="shared" ref="N38:N69" si="14">P$2*G38%</f>
        <v>294671.02810980001</v>
      </c>
      <c r="O38" s="78">
        <v>0</v>
      </c>
      <c r="P38" s="79">
        <f t="shared" ref="P38:P69" si="15">ROUND(SUM(K38:O38),0) + S38</f>
        <v>376372.33</v>
      </c>
      <c r="Q38" s="80">
        <f t="shared" ref="Q38:Q69" si="16">ROUND(P38*6% + P38,0) + S38</f>
        <v>398955.33</v>
      </c>
      <c r="R38" s="81">
        <f t="shared" ref="R38:R69" si="17">ROUND(P38*3%,0) + P38</f>
        <v>387663.33</v>
      </c>
      <c r="S38" s="42">
        <f t="shared" si="8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ref="D39:D75" si="18">D38+1</f>
        <v>34</v>
      </c>
      <c r="E39" s="64" t="s">
        <v>145</v>
      </c>
      <c r="F39" s="64"/>
      <c r="G39" s="71">
        <v>2.6259000000000001</v>
      </c>
      <c r="H39" s="72">
        <v>380382.34</v>
      </c>
      <c r="I39" s="73">
        <f t="shared" si="11"/>
        <v>380382.34</v>
      </c>
      <c r="J39" s="74"/>
      <c r="K39" s="75">
        <f t="shared" si="12"/>
        <v>0</v>
      </c>
      <c r="L39" s="75">
        <f t="shared" si="13"/>
        <v>0</v>
      </c>
      <c r="M39" s="76">
        <f t="shared" si="6"/>
        <v>91906.5</v>
      </c>
      <c r="N39" s="77">
        <f t="shared" si="14"/>
        <v>331481.23750740004</v>
      </c>
      <c r="O39" s="78">
        <v>0</v>
      </c>
      <c r="P39" s="79">
        <f t="shared" si="15"/>
        <v>423388.34</v>
      </c>
      <c r="Q39" s="80">
        <f t="shared" si="16"/>
        <v>448792.34</v>
      </c>
      <c r="R39" s="81">
        <f t="shared" si="17"/>
        <v>436090.34</v>
      </c>
      <c r="S39" s="42">
        <f t="shared" ref="S39:S75" si="19">S38+0.01</f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18"/>
        <v>35</v>
      </c>
      <c r="E40" s="64" t="s">
        <v>147</v>
      </c>
      <c r="F40" s="65" t="s">
        <v>148</v>
      </c>
      <c r="G40" s="71">
        <v>1.0069999999999999</v>
      </c>
      <c r="H40" s="72">
        <v>145872.35</v>
      </c>
      <c r="I40" s="73">
        <f t="shared" si="11"/>
        <v>145872.35</v>
      </c>
      <c r="J40" s="74"/>
      <c r="K40" s="75">
        <f t="shared" si="12"/>
        <v>0</v>
      </c>
      <c r="L40" s="75">
        <f t="shared" si="13"/>
        <v>0</v>
      </c>
      <c r="M40" s="76">
        <f t="shared" si="6"/>
        <v>35245</v>
      </c>
      <c r="N40" s="77">
        <f t="shared" si="14"/>
        <v>127118.93300200001</v>
      </c>
      <c r="O40" s="78">
        <v>0</v>
      </c>
      <c r="P40" s="79">
        <f t="shared" si="15"/>
        <v>162364.35</v>
      </c>
      <c r="Q40" s="80">
        <f t="shared" si="16"/>
        <v>172106.35</v>
      </c>
      <c r="R40" s="81">
        <f t="shared" si="17"/>
        <v>167235.35</v>
      </c>
      <c r="S40" s="42">
        <f t="shared" si="19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18"/>
        <v>36</v>
      </c>
      <c r="E41" s="64" t="s">
        <v>150</v>
      </c>
      <c r="F41" s="65" t="s">
        <v>151</v>
      </c>
      <c r="G41" s="71">
        <v>0.78120000000000001</v>
      </c>
      <c r="H41" s="73">
        <v>116558.36</v>
      </c>
      <c r="I41" s="73">
        <v>113163.36</v>
      </c>
      <c r="J41" s="74"/>
      <c r="K41" s="75">
        <f t="shared" si="12"/>
        <v>3395</v>
      </c>
      <c r="L41" s="75">
        <f t="shared" si="13"/>
        <v>101.85</v>
      </c>
      <c r="M41" s="76">
        <f t="shared" si="6"/>
        <v>27342</v>
      </c>
      <c r="N41" s="77">
        <f t="shared" si="14"/>
        <v>98615.005423200011</v>
      </c>
      <c r="O41" s="78">
        <v>0</v>
      </c>
      <c r="P41" s="79">
        <f t="shared" si="15"/>
        <v>129454.36</v>
      </c>
      <c r="Q41" s="80">
        <f t="shared" si="16"/>
        <v>137222.35999999999</v>
      </c>
      <c r="R41" s="81">
        <f t="shared" si="17"/>
        <v>133338.35999999999</v>
      </c>
      <c r="S41" s="42">
        <f t="shared" si="19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18"/>
        <v>37</v>
      </c>
      <c r="E42" s="63" t="s">
        <v>150</v>
      </c>
      <c r="F42" s="65" t="s">
        <v>151</v>
      </c>
      <c r="G42" s="85">
        <v>1.2153</v>
      </c>
      <c r="H42" s="72">
        <v>181327.37</v>
      </c>
      <c r="I42" s="73">
        <v>176047.37</v>
      </c>
      <c r="J42" s="74"/>
      <c r="K42" s="75">
        <f t="shared" si="12"/>
        <v>5280</v>
      </c>
      <c r="L42" s="75">
        <f t="shared" si="13"/>
        <v>158.4</v>
      </c>
      <c r="M42" s="76">
        <f t="shared" si="6"/>
        <v>42535.5</v>
      </c>
      <c r="N42" s="77">
        <f t="shared" si="14"/>
        <v>153413.74307580001</v>
      </c>
      <c r="O42" s="78">
        <v>0</v>
      </c>
      <c r="P42" s="79">
        <f t="shared" si="15"/>
        <v>201388.37</v>
      </c>
      <c r="Q42" s="80">
        <f t="shared" si="16"/>
        <v>213472.37</v>
      </c>
      <c r="R42" s="81">
        <f t="shared" si="17"/>
        <v>207430.37</v>
      </c>
      <c r="S42" s="42">
        <f t="shared" si="19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18"/>
        <v>38</v>
      </c>
      <c r="E43" s="63" t="s">
        <v>154</v>
      </c>
      <c r="F43" s="63" t="s">
        <v>155</v>
      </c>
      <c r="G43" s="85">
        <v>0.95489999999999997</v>
      </c>
      <c r="H43" s="72">
        <v>142475.38</v>
      </c>
      <c r="I43" s="73">
        <v>138325.38</v>
      </c>
      <c r="J43" s="74"/>
      <c r="K43" s="75">
        <f t="shared" si="12"/>
        <v>4150</v>
      </c>
      <c r="L43" s="75">
        <f t="shared" si="13"/>
        <v>124.5</v>
      </c>
      <c r="M43" s="76">
        <f t="shared" si="6"/>
        <v>33421.5</v>
      </c>
      <c r="N43" s="77">
        <f t="shared" si="14"/>
        <v>120542.07460140002</v>
      </c>
      <c r="O43" s="78">
        <v>0</v>
      </c>
      <c r="P43" s="79">
        <f t="shared" si="15"/>
        <v>158238.38</v>
      </c>
      <c r="Q43" s="80">
        <f t="shared" si="16"/>
        <v>167733.38</v>
      </c>
      <c r="R43" s="81">
        <f t="shared" si="17"/>
        <v>162985.38</v>
      </c>
      <c r="S43" s="42">
        <f t="shared" si="19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18"/>
        <v>39</v>
      </c>
      <c r="E44" s="63" t="s">
        <v>156</v>
      </c>
      <c r="F44" s="84"/>
      <c r="G44" s="85">
        <v>0.75519999999999998</v>
      </c>
      <c r="H44" s="72">
        <v>774365.39</v>
      </c>
      <c r="I44" s="73"/>
      <c r="J44" s="74"/>
      <c r="K44" s="75">
        <f t="shared" si="12"/>
        <v>774365.39</v>
      </c>
      <c r="L44" s="75">
        <f t="shared" si="13"/>
        <v>23230.9617</v>
      </c>
      <c r="M44" s="76">
        <f t="shared" si="6"/>
        <v>26432</v>
      </c>
      <c r="N44" s="77">
        <f t="shared" si="14"/>
        <v>95332.887987200011</v>
      </c>
      <c r="O44" s="78">
        <v>0</v>
      </c>
      <c r="P44" s="79">
        <f t="shared" si="15"/>
        <v>919361.39</v>
      </c>
      <c r="Q44" s="80">
        <f t="shared" si="16"/>
        <v>974523.39</v>
      </c>
      <c r="R44" s="81">
        <f t="shared" si="17"/>
        <v>946942.39</v>
      </c>
      <c r="S44" s="42">
        <f t="shared" si="19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18"/>
        <v>40</v>
      </c>
      <c r="E45" s="63" t="s">
        <v>136</v>
      </c>
      <c r="F45" s="63" t="s">
        <v>157</v>
      </c>
      <c r="G45" s="85">
        <v>1.1545000000000001</v>
      </c>
      <c r="H45" s="72">
        <v>162981.4</v>
      </c>
      <c r="I45" s="73">
        <f>H45</f>
        <v>162981.4</v>
      </c>
      <c r="J45" s="74"/>
      <c r="K45" s="75">
        <f t="shared" si="12"/>
        <v>0</v>
      </c>
      <c r="L45" s="75">
        <f t="shared" si="13"/>
        <v>0</v>
      </c>
      <c r="M45" s="76">
        <f t="shared" si="6"/>
        <v>40407.500000000007</v>
      </c>
      <c r="N45" s="77">
        <f t="shared" si="14"/>
        <v>145738.63768700004</v>
      </c>
      <c r="O45" s="78">
        <v>0</v>
      </c>
      <c r="P45" s="79">
        <f t="shared" si="15"/>
        <v>186146.4</v>
      </c>
      <c r="Q45" s="80">
        <f t="shared" si="16"/>
        <v>197315.4</v>
      </c>
      <c r="R45" s="81">
        <f t="shared" si="17"/>
        <v>191730.4</v>
      </c>
      <c r="S45" s="42">
        <f t="shared" si="19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18"/>
        <v>41</v>
      </c>
      <c r="E46" s="63" t="s">
        <v>158</v>
      </c>
      <c r="F46" s="63" t="s">
        <v>159</v>
      </c>
      <c r="G46" s="85">
        <v>0.95489999999999997</v>
      </c>
      <c r="H46" s="72">
        <v>138930.41</v>
      </c>
      <c r="I46" s="73">
        <f>H46</f>
        <v>138930.41</v>
      </c>
      <c r="J46" s="74"/>
      <c r="K46" s="75">
        <f t="shared" si="12"/>
        <v>0</v>
      </c>
      <c r="L46" s="75">
        <f t="shared" si="13"/>
        <v>0</v>
      </c>
      <c r="M46" s="76">
        <f t="shared" si="6"/>
        <v>33421.5</v>
      </c>
      <c r="N46" s="77">
        <f t="shared" si="14"/>
        <v>120542.07460140002</v>
      </c>
      <c r="O46" s="78">
        <v>0</v>
      </c>
      <c r="P46" s="79">
        <f t="shared" si="15"/>
        <v>153964.41</v>
      </c>
      <c r="Q46" s="80">
        <f t="shared" si="16"/>
        <v>163202.41</v>
      </c>
      <c r="R46" s="81">
        <f t="shared" si="17"/>
        <v>158583.41</v>
      </c>
      <c r="S46" s="42">
        <f t="shared" si="19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18"/>
        <v>42</v>
      </c>
      <c r="E47" s="63" t="s">
        <v>160</v>
      </c>
      <c r="F47" s="84"/>
      <c r="G47" s="85">
        <v>0.75519999999999998</v>
      </c>
      <c r="H47" s="72">
        <v>109397.42</v>
      </c>
      <c r="I47" s="73">
        <f>H47</f>
        <v>109397.42</v>
      </c>
      <c r="J47" s="74"/>
      <c r="K47" s="75">
        <f t="shared" si="12"/>
        <v>0</v>
      </c>
      <c r="L47" s="75">
        <f t="shared" si="13"/>
        <v>0</v>
      </c>
      <c r="M47" s="76">
        <f t="shared" si="6"/>
        <v>26432</v>
      </c>
      <c r="N47" s="77">
        <f t="shared" si="14"/>
        <v>95332.887987200011</v>
      </c>
      <c r="O47" s="78">
        <v>0</v>
      </c>
      <c r="P47" s="79">
        <f t="shared" si="15"/>
        <v>121765.42</v>
      </c>
      <c r="Q47" s="80">
        <f t="shared" si="16"/>
        <v>129071.42</v>
      </c>
      <c r="R47" s="81">
        <f t="shared" si="17"/>
        <v>125418.42</v>
      </c>
      <c r="S47" s="42">
        <f t="shared" si="19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18"/>
        <v>43</v>
      </c>
      <c r="E48" s="63" t="s">
        <v>161</v>
      </c>
      <c r="F48" s="84"/>
      <c r="G48" s="85">
        <v>1.1545000000000001</v>
      </c>
      <c r="H48" s="72">
        <v>167238.43</v>
      </c>
      <c r="I48" s="73">
        <f>H48</f>
        <v>167238.43</v>
      </c>
      <c r="J48" s="74"/>
      <c r="K48" s="75">
        <f t="shared" si="12"/>
        <v>0</v>
      </c>
      <c r="L48" s="75">
        <f t="shared" si="13"/>
        <v>0</v>
      </c>
      <c r="M48" s="76">
        <f t="shared" si="6"/>
        <v>40407.500000000007</v>
      </c>
      <c r="N48" s="77">
        <f t="shared" si="14"/>
        <v>145738.63768700004</v>
      </c>
      <c r="O48" s="78">
        <v>0</v>
      </c>
      <c r="P48" s="79">
        <f t="shared" si="15"/>
        <v>186146.43</v>
      </c>
      <c r="Q48" s="80">
        <f t="shared" si="16"/>
        <v>197315.43</v>
      </c>
      <c r="R48" s="81">
        <f t="shared" si="17"/>
        <v>191730.43</v>
      </c>
      <c r="S48" s="42">
        <f t="shared" si="19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18"/>
        <v>44</v>
      </c>
      <c r="E49" s="63" t="s">
        <v>162</v>
      </c>
      <c r="F49" s="84" t="s">
        <v>163</v>
      </c>
      <c r="G49" s="85">
        <v>0.95489999999999997</v>
      </c>
      <c r="H49" s="72">
        <v>138325.44</v>
      </c>
      <c r="I49" s="73">
        <f>H49</f>
        <v>138325.44</v>
      </c>
      <c r="J49" s="74"/>
      <c r="K49" s="75">
        <f t="shared" si="12"/>
        <v>0</v>
      </c>
      <c r="L49" s="75">
        <f t="shared" si="13"/>
        <v>0</v>
      </c>
      <c r="M49" s="76">
        <f t="shared" si="6"/>
        <v>33421.5</v>
      </c>
      <c r="N49" s="77">
        <f t="shared" si="14"/>
        <v>120542.07460140002</v>
      </c>
      <c r="O49" s="78">
        <v>0</v>
      </c>
      <c r="P49" s="79">
        <f t="shared" si="15"/>
        <v>153964.44</v>
      </c>
      <c r="Q49" s="80">
        <f t="shared" si="16"/>
        <v>163202.44</v>
      </c>
      <c r="R49" s="81">
        <f t="shared" si="17"/>
        <v>158583.44</v>
      </c>
      <c r="S49" s="42">
        <f t="shared" si="19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18"/>
        <v>45</v>
      </c>
      <c r="E50" s="63" t="s">
        <v>164</v>
      </c>
      <c r="F50" s="63"/>
      <c r="G50" s="85">
        <v>0.75519999999999998</v>
      </c>
      <c r="H50" s="72">
        <v>109395.45</v>
      </c>
      <c r="I50" s="73">
        <f>H50</f>
        <v>109395.45</v>
      </c>
      <c r="J50" s="74"/>
      <c r="K50" s="75">
        <f t="shared" si="12"/>
        <v>0</v>
      </c>
      <c r="L50" s="75">
        <f t="shared" si="13"/>
        <v>0</v>
      </c>
      <c r="M50" s="76">
        <f t="shared" si="6"/>
        <v>26432</v>
      </c>
      <c r="N50" s="77">
        <f t="shared" si="14"/>
        <v>95332.887987200011</v>
      </c>
      <c r="O50" s="78">
        <v>0</v>
      </c>
      <c r="P50" s="79">
        <f t="shared" si="15"/>
        <v>121765.45</v>
      </c>
      <c r="Q50" s="80">
        <f t="shared" si="16"/>
        <v>129071.45</v>
      </c>
      <c r="R50" s="81">
        <f t="shared" si="17"/>
        <v>125418.45</v>
      </c>
      <c r="S50" s="42">
        <f t="shared" si="19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18"/>
        <v>46</v>
      </c>
      <c r="E51" s="63" t="s">
        <v>166</v>
      </c>
      <c r="F51" s="63" t="s">
        <v>167</v>
      </c>
      <c r="G51" s="85">
        <v>1.1545000000000001</v>
      </c>
      <c r="H51" s="72">
        <v>314417.46000000002</v>
      </c>
      <c r="I51" s="73">
        <f>H51</f>
        <v>314417.46000000002</v>
      </c>
      <c r="J51" s="74"/>
      <c r="K51" s="75">
        <f t="shared" si="12"/>
        <v>0</v>
      </c>
      <c r="L51" s="75">
        <f t="shared" si="13"/>
        <v>0</v>
      </c>
      <c r="M51" s="76">
        <f t="shared" si="6"/>
        <v>40407.500000000007</v>
      </c>
      <c r="N51" s="77">
        <f t="shared" si="14"/>
        <v>145738.63768700004</v>
      </c>
      <c r="O51" s="78">
        <v>0</v>
      </c>
      <c r="P51" s="79">
        <f t="shared" si="15"/>
        <v>186146.46</v>
      </c>
      <c r="Q51" s="80">
        <f t="shared" si="16"/>
        <v>197315.46</v>
      </c>
      <c r="R51" s="81">
        <f t="shared" si="17"/>
        <v>191730.46</v>
      </c>
      <c r="S51" s="42">
        <f t="shared" si="19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18"/>
        <v>47</v>
      </c>
      <c r="E52" s="63" t="s">
        <v>168</v>
      </c>
      <c r="F52" s="84" t="s">
        <v>169</v>
      </c>
      <c r="G52" s="85">
        <v>0.95489999999999997</v>
      </c>
      <c r="H52" s="72">
        <v>142475.47</v>
      </c>
      <c r="I52" s="73">
        <v>138325.47</v>
      </c>
      <c r="J52" s="74"/>
      <c r="K52" s="75">
        <f t="shared" si="12"/>
        <v>4150</v>
      </c>
      <c r="L52" s="75">
        <f t="shared" si="13"/>
        <v>124.5</v>
      </c>
      <c r="M52" s="76">
        <f t="shared" si="6"/>
        <v>33421.5</v>
      </c>
      <c r="N52" s="77">
        <f t="shared" si="14"/>
        <v>120542.07460140002</v>
      </c>
      <c r="O52" s="78">
        <v>0</v>
      </c>
      <c r="P52" s="79">
        <f t="shared" si="15"/>
        <v>158238.47</v>
      </c>
      <c r="Q52" s="80">
        <f t="shared" si="16"/>
        <v>167733.47</v>
      </c>
      <c r="R52" s="81">
        <f t="shared" si="17"/>
        <v>162985.47</v>
      </c>
      <c r="S52" s="42">
        <f t="shared" si="19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18"/>
        <v>48</v>
      </c>
      <c r="E53" s="63" t="s">
        <v>104</v>
      </c>
      <c r="F53" s="63" t="s">
        <v>170</v>
      </c>
      <c r="G53" s="85">
        <v>0.75519999999999998</v>
      </c>
      <c r="H53" s="72">
        <v>109397.48</v>
      </c>
      <c r="I53" s="73">
        <v>109400</v>
      </c>
      <c r="J53" s="74"/>
      <c r="K53" s="75">
        <f t="shared" si="12"/>
        <v>-2.5200000000040745</v>
      </c>
      <c r="L53" s="75">
        <f t="shared" si="13"/>
        <v>0</v>
      </c>
      <c r="M53" s="76">
        <f t="shared" si="6"/>
        <v>26432</v>
      </c>
      <c r="N53" s="77">
        <f t="shared" si="14"/>
        <v>95332.887987200011</v>
      </c>
      <c r="O53" s="78">
        <v>0</v>
      </c>
      <c r="P53" s="79">
        <f t="shared" si="15"/>
        <v>121762.48</v>
      </c>
      <c r="Q53" s="80">
        <f t="shared" si="16"/>
        <v>129068.48</v>
      </c>
      <c r="R53" s="81">
        <f t="shared" si="17"/>
        <v>125415.48</v>
      </c>
      <c r="S53" s="42">
        <f t="shared" si="19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18"/>
        <v>49</v>
      </c>
      <c r="E54" s="63" t="s">
        <v>171</v>
      </c>
      <c r="F54" s="63" t="s">
        <v>172</v>
      </c>
      <c r="G54" s="85">
        <v>1.1545000000000001</v>
      </c>
      <c r="H54" s="72">
        <v>167238.49</v>
      </c>
      <c r="I54" s="73">
        <f t="shared" ref="I52:I59" si="20">H54</f>
        <v>167238.49</v>
      </c>
      <c r="J54" s="74"/>
      <c r="K54" s="75">
        <f t="shared" si="12"/>
        <v>0</v>
      </c>
      <c r="L54" s="75">
        <f t="shared" si="13"/>
        <v>0</v>
      </c>
      <c r="M54" s="76">
        <f t="shared" si="6"/>
        <v>40407.500000000007</v>
      </c>
      <c r="N54" s="77">
        <f t="shared" si="14"/>
        <v>145738.63768700004</v>
      </c>
      <c r="O54" s="78">
        <v>0</v>
      </c>
      <c r="P54" s="79">
        <f t="shared" si="15"/>
        <v>186146.49</v>
      </c>
      <c r="Q54" s="80">
        <f t="shared" si="16"/>
        <v>197315.49</v>
      </c>
      <c r="R54" s="81">
        <f t="shared" si="17"/>
        <v>191730.49</v>
      </c>
      <c r="S54" s="42">
        <f t="shared" si="19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18"/>
        <v>50</v>
      </c>
      <c r="E55" s="63" t="s">
        <v>173</v>
      </c>
      <c r="F55" s="63"/>
      <c r="G55" s="85">
        <v>0.95489999999999997</v>
      </c>
      <c r="H55" s="72">
        <v>142475.5</v>
      </c>
      <c r="I55" s="73">
        <f>H55</f>
        <v>142475.5</v>
      </c>
      <c r="J55" s="74"/>
      <c r="K55" s="75">
        <f t="shared" si="12"/>
        <v>0</v>
      </c>
      <c r="L55" s="75">
        <f t="shared" si="13"/>
        <v>0</v>
      </c>
      <c r="M55" s="76">
        <f t="shared" si="6"/>
        <v>33421.5</v>
      </c>
      <c r="N55" s="77">
        <f t="shared" si="14"/>
        <v>120542.07460140002</v>
      </c>
      <c r="O55" s="78">
        <v>0</v>
      </c>
      <c r="P55" s="79">
        <f t="shared" si="15"/>
        <v>153964.5</v>
      </c>
      <c r="Q55" s="80">
        <f t="shared" si="16"/>
        <v>163202.5</v>
      </c>
      <c r="R55" s="81">
        <f t="shared" si="17"/>
        <v>158583.5</v>
      </c>
      <c r="S55" s="42">
        <f t="shared" si="19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18"/>
        <v>51</v>
      </c>
      <c r="E56" s="63" t="s">
        <v>174</v>
      </c>
      <c r="F56" s="63"/>
      <c r="G56" s="85">
        <v>0.75519999999999998</v>
      </c>
      <c r="H56" s="72">
        <v>112375.51</v>
      </c>
      <c r="I56" s="73">
        <v>109397</v>
      </c>
      <c r="J56" s="74"/>
      <c r="K56" s="75">
        <f t="shared" si="12"/>
        <v>2978.5099999999948</v>
      </c>
      <c r="L56" s="75">
        <f t="shared" si="13"/>
        <v>89.355299999999843</v>
      </c>
      <c r="M56" s="76">
        <f t="shared" si="6"/>
        <v>26432</v>
      </c>
      <c r="N56" s="77">
        <f t="shared" si="14"/>
        <v>95332.887987200011</v>
      </c>
      <c r="O56" s="78">
        <v>0</v>
      </c>
      <c r="P56" s="79">
        <f t="shared" si="15"/>
        <v>124833.51</v>
      </c>
      <c r="Q56" s="80">
        <f t="shared" si="16"/>
        <v>132324.51</v>
      </c>
      <c r="R56" s="81">
        <f t="shared" si="17"/>
        <v>128578.51</v>
      </c>
      <c r="S56" s="42">
        <f t="shared" si="19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18"/>
        <v>52</v>
      </c>
      <c r="E57" s="63" t="s">
        <v>176</v>
      </c>
      <c r="F57" s="84"/>
      <c r="G57" s="85">
        <v>1.1545000000000001</v>
      </c>
      <c r="H57" s="72">
        <v>167238.51999999999</v>
      </c>
      <c r="I57" s="73">
        <v>283506</v>
      </c>
      <c r="J57" s="74"/>
      <c r="K57" s="75">
        <f t="shared" si="12"/>
        <v>-116267.48000000001</v>
      </c>
      <c r="L57" s="75">
        <f t="shared" si="13"/>
        <v>0</v>
      </c>
      <c r="M57" s="76">
        <f t="shared" si="6"/>
        <v>40407.500000000007</v>
      </c>
      <c r="N57" s="77">
        <f t="shared" si="14"/>
        <v>145738.63768700004</v>
      </c>
      <c r="O57" s="78">
        <v>0</v>
      </c>
      <c r="P57" s="79">
        <f t="shared" si="15"/>
        <v>69879.520000000004</v>
      </c>
      <c r="Q57" s="80">
        <f t="shared" si="16"/>
        <v>74072.52</v>
      </c>
      <c r="R57" s="81">
        <f t="shared" si="17"/>
        <v>71975.520000000004</v>
      </c>
      <c r="S57" s="42">
        <f t="shared" si="19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18"/>
        <v>53</v>
      </c>
      <c r="E58" s="63" t="s">
        <v>177</v>
      </c>
      <c r="F58" s="84"/>
      <c r="G58" s="85">
        <v>0.95489999999999997</v>
      </c>
      <c r="H58" s="72">
        <v>138325.53</v>
      </c>
      <c r="I58" s="73">
        <f t="shared" si="20"/>
        <v>138325.53</v>
      </c>
      <c r="J58" s="74"/>
      <c r="K58" s="75">
        <f t="shared" si="12"/>
        <v>0</v>
      </c>
      <c r="L58" s="75">
        <f t="shared" si="13"/>
        <v>0</v>
      </c>
      <c r="M58" s="76">
        <f t="shared" si="6"/>
        <v>33421.5</v>
      </c>
      <c r="N58" s="77">
        <f t="shared" si="14"/>
        <v>120542.07460140002</v>
      </c>
      <c r="O58" s="78">
        <v>0</v>
      </c>
      <c r="P58" s="79">
        <f t="shared" si="15"/>
        <v>153964.53</v>
      </c>
      <c r="Q58" s="80">
        <f t="shared" si="16"/>
        <v>163202.53</v>
      </c>
      <c r="R58" s="81">
        <f t="shared" si="17"/>
        <v>158583.53</v>
      </c>
      <c r="S58" s="42">
        <f t="shared" si="19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18"/>
        <v>54</v>
      </c>
      <c r="E59" s="63" t="s">
        <v>178</v>
      </c>
      <c r="F59" s="63"/>
      <c r="G59" s="85">
        <v>0.75519999999999998</v>
      </c>
      <c r="H59" s="72">
        <v>109397.54</v>
      </c>
      <c r="I59" s="73">
        <f t="shared" si="20"/>
        <v>109397.54</v>
      </c>
      <c r="J59" s="74"/>
      <c r="K59" s="75">
        <f t="shared" si="12"/>
        <v>0</v>
      </c>
      <c r="L59" s="75">
        <f t="shared" si="13"/>
        <v>0</v>
      </c>
      <c r="M59" s="76">
        <f t="shared" si="6"/>
        <v>26432</v>
      </c>
      <c r="N59" s="77">
        <f t="shared" si="14"/>
        <v>95332.887987200011</v>
      </c>
      <c r="O59" s="78">
        <v>0</v>
      </c>
      <c r="P59" s="79">
        <f t="shared" si="15"/>
        <v>121765.54</v>
      </c>
      <c r="Q59" s="80">
        <f t="shared" si="16"/>
        <v>129071.54</v>
      </c>
      <c r="R59" s="81">
        <f t="shared" si="17"/>
        <v>125418.54</v>
      </c>
      <c r="S59" s="42">
        <f t="shared" si="19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18"/>
        <v>55</v>
      </c>
      <c r="E60" s="63" t="s">
        <v>237</v>
      </c>
      <c r="F60" s="63"/>
      <c r="G60" s="85">
        <v>1.1545000000000001</v>
      </c>
      <c r="H60" s="72">
        <v>919383.55</v>
      </c>
      <c r="I60" s="73">
        <v>300000</v>
      </c>
      <c r="J60" s="74"/>
      <c r="K60" s="75">
        <f t="shared" si="12"/>
        <v>619383.55000000005</v>
      </c>
      <c r="L60" s="75">
        <f t="shared" si="13"/>
        <v>18581.5065</v>
      </c>
      <c r="M60" s="76">
        <f t="shared" si="6"/>
        <v>40407.500000000007</v>
      </c>
      <c r="N60" s="77">
        <f t="shared" si="14"/>
        <v>145738.63768700004</v>
      </c>
      <c r="O60" s="78">
        <v>0</v>
      </c>
      <c r="P60" s="79">
        <f t="shared" si="15"/>
        <v>824111.55</v>
      </c>
      <c r="Q60" s="80">
        <f t="shared" si="16"/>
        <v>873558.55</v>
      </c>
      <c r="R60" s="81">
        <f t="shared" si="17"/>
        <v>848834.55</v>
      </c>
      <c r="S60" s="42">
        <f t="shared" si="19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18"/>
        <v>56</v>
      </c>
      <c r="E61" s="63" t="s">
        <v>181</v>
      </c>
      <c r="F61" s="84" t="s">
        <v>182</v>
      </c>
      <c r="G61" s="85">
        <v>0.95489999999999997</v>
      </c>
      <c r="H61" s="72">
        <v>138325.56</v>
      </c>
      <c r="I61" s="73">
        <v>118186.56</v>
      </c>
      <c r="J61" s="74"/>
      <c r="K61" s="75">
        <f t="shared" si="12"/>
        <v>20139</v>
      </c>
      <c r="L61" s="75">
        <f t="shared" si="13"/>
        <v>604.16999999999996</v>
      </c>
      <c r="M61" s="76">
        <f t="shared" si="6"/>
        <v>33421.5</v>
      </c>
      <c r="N61" s="77">
        <f t="shared" si="14"/>
        <v>120542.07460140002</v>
      </c>
      <c r="O61" s="78"/>
      <c r="P61" s="79">
        <f t="shared" si="15"/>
        <v>174707.56</v>
      </c>
      <c r="Q61" s="80">
        <f t="shared" si="16"/>
        <v>185190.56</v>
      </c>
      <c r="R61" s="81">
        <f t="shared" si="17"/>
        <v>179948.56</v>
      </c>
      <c r="S61" s="42">
        <f t="shared" si="19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18"/>
        <v>57</v>
      </c>
      <c r="E62" s="63" t="s">
        <v>183</v>
      </c>
      <c r="F62" s="84" t="s">
        <v>184</v>
      </c>
      <c r="G62" s="85">
        <v>0.75519999999999998</v>
      </c>
      <c r="H62" s="72">
        <v>103329.57</v>
      </c>
      <c r="I62" s="73">
        <v>103329.57</v>
      </c>
      <c r="J62" s="74"/>
      <c r="K62" s="75">
        <f t="shared" si="12"/>
        <v>0</v>
      </c>
      <c r="L62" s="75">
        <f t="shared" si="13"/>
        <v>0</v>
      </c>
      <c r="M62" s="76">
        <f t="shared" si="6"/>
        <v>26432</v>
      </c>
      <c r="N62" s="77">
        <f t="shared" si="14"/>
        <v>95332.887987200011</v>
      </c>
      <c r="O62" s="78">
        <v>0</v>
      </c>
      <c r="P62" s="79">
        <f t="shared" si="15"/>
        <v>121765.57</v>
      </c>
      <c r="Q62" s="80">
        <f t="shared" si="16"/>
        <v>129072.57</v>
      </c>
      <c r="R62" s="81">
        <f t="shared" si="17"/>
        <v>125418.57</v>
      </c>
      <c r="S62" s="42">
        <f t="shared" si="19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18"/>
        <v>58</v>
      </c>
      <c r="E63" s="63" t="s">
        <v>185</v>
      </c>
      <c r="F63" s="84"/>
      <c r="G63" s="85">
        <v>1.1545000000000001</v>
      </c>
      <c r="H63" s="72">
        <v>172255.58</v>
      </c>
      <c r="I63" s="73">
        <v>167238.57999999999</v>
      </c>
      <c r="J63" s="74"/>
      <c r="K63" s="75">
        <f t="shared" si="12"/>
        <v>5017</v>
      </c>
      <c r="L63" s="75">
        <f t="shared" si="13"/>
        <v>150.51</v>
      </c>
      <c r="M63" s="76">
        <f t="shared" si="6"/>
        <v>40407.500000000007</v>
      </c>
      <c r="N63" s="77">
        <f t="shared" si="14"/>
        <v>145738.63768700004</v>
      </c>
      <c r="O63" s="78">
        <v>0</v>
      </c>
      <c r="P63" s="79">
        <f t="shared" si="15"/>
        <v>191314.58</v>
      </c>
      <c r="Q63" s="80">
        <f t="shared" si="16"/>
        <v>202793.58</v>
      </c>
      <c r="R63" s="81">
        <f t="shared" si="17"/>
        <v>197053.58</v>
      </c>
      <c r="S63" s="42">
        <f t="shared" si="19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18"/>
        <v>59</v>
      </c>
      <c r="E64" s="63" t="s">
        <v>186</v>
      </c>
      <c r="F64" s="63"/>
      <c r="G64" s="85">
        <v>0.95489999999999997</v>
      </c>
      <c r="H64" s="72">
        <v>-133488.41</v>
      </c>
      <c r="I64" s="73"/>
      <c r="J64" s="74"/>
      <c r="K64" s="75">
        <f t="shared" si="12"/>
        <v>-133488.41</v>
      </c>
      <c r="L64" s="75">
        <f t="shared" si="13"/>
        <v>0</v>
      </c>
      <c r="M64" s="76">
        <f t="shared" si="6"/>
        <v>33421.5</v>
      </c>
      <c r="N64" s="77">
        <f t="shared" si="14"/>
        <v>120542.07460140002</v>
      </c>
      <c r="O64" s="78">
        <v>0</v>
      </c>
      <c r="P64" s="79">
        <f t="shared" si="15"/>
        <v>20475.59</v>
      </c>
      <c r="Q64" s="80">
        <f t="shared" si="16"/>
        <v>21704.59</v>
      </c>
      <c r="R64" s="81">
        <f t="shared" si="17"/>
        <v>21089.59</v>
      </c>
      <c r="S64" s="42">
        <f t="shared" si="19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18"/>
        <v>60</v>
      </c>
      <c r="E65" s="63" t="s">
        <v>188</v>
      </c>
      <c r="F65" s="84"/>
      <c r="G65" s="85">
        <v>0.75519999999999998</v>
      </c>
      <c r="H65" s="72">
        <v>307651.59999999998</v>
      </c>
      <c r="I65" s="73">
        <f>H65</f>
        <v>307651.59999999998</v>
      </c>
      <c r="J65" s="74"/>
      <c r="K65" s="75">
        <f t="shared" si="12"/>
        <v>0</v>
      </c>
      <c r="L65" s="75">
        <f t="shared" si="13"/>
        <v>0</v>
      </c>
      <c r="M65" s="76">
        <f t="shared" si="6"/>
        <v>26432</v>
      </c>
      <c r="N65" s="77">
        <f t="shared" si="14"/>
        <v>95332.887987200011</v>
      </c>
      <c r="O65" s="78">
        <v>0</v>
      </c>
      <c r="P65" s="79">
        <f t="shared" si="15"/>
        <v>121765.6</v>
      </c>
      <c r="Q65" s="80">
        <f t="shared" si="16"/>
        <v>129072.6</v>
      </c>
      <c r="R65" s="81">
        <f t="shared" si="17"/>
        <v>125418.6</v>
      </c>
      <c r="S65" s="42">
        <f t="shared" si="19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18"/>
        <v>61</v>
      </c>
      <c r="E66" s="63" t="s">
        <v>190</v>
      </c>
      <c r="F66" s="63"/>
      <c r="G66" s="85">
        <v>1.1545000000000001</v>
      </c>
      <c r="H66" s="72">
        <v>167238.60999999999</v>
      </c>
      <c r="I66" s="73">
        <f>H66</f>
        <v>167238.60999999999</v>
      </c>
      <c r="J66" s="74"/>
      <c r="K66" s="75">
        <f t="shared" si="12"/>
        <v>0</v>
      </c>
      <c r="L66" s="75">
        <f t="shared" si="13"/>
        <v>0</v>
      </c>
      <c r="M66" s="76">
        <f t="shared" si="6"/>
        <v>40407.500000000007</v>
      </c>
      <c r="N66" s="77">
        <f t="shared" si="14"/>
        <v>145738.63768700004</v>
      </c>
      <c r="O66" s="78">
        <v>0</v>
      </c>
      <c r="P66" s="79">
        <f t="shared" si="15"/>
        <v>186146.61</v>
      </c>
      <c r="Q66" s="80">
        <f t="shared" si="16"/>
        <v>197315.61</v>
      </c>
      <c r="R66" s="81">
        <f t="shared" si="17"/>
        <v>191730.61</v>
      </c>
      <c r="S66" s="42">
        <f t="shared" si="19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18"/>
        <v>62</v>
      </c>
      <c r="E67" s="63" t="s">
        <v>192</v>
      </c>
      <c r="F67" s="84" t="s">
        <v>193</v>
      </c>
      <c r="G67" s="85">
        <v>0.95489999999999997</v>
      </c>
      <c r="H67" s="72">
        <v>138325.62</v>
      </c>
      <c r="I67" s="73">
        <f>H67</f>
        <v>138325.62</v>
      </c>
      <c r="J67" s="74"/>
      <c r="K67" s="75">
        <f t="shared" si="12"/>
        <v>0</v>
      </c>
      <c r="L67" s="75">
        <f t="shared" si="13"/>
        <v>0</v>
      </c>
      <c r="M67" s="76">
        <f t="shared" si="6"/>
        <v>33421.5</v>
      </c>
      <c r="N67" s="77">
        <f t="shared" si="14"/>
        <v>120542.07460140002</v>
      </c>
      <c r="O67" s="78">
        <v>0</v>
      </c>
      <c r="P67" s="79">
        <f t="shared" si="15"/>
        <v>153964.62</v>
      </c>
      <c r="Q67" s="80">
        <f t="shared" si="16"/>
        <v>163202.62</v>
      </c>
      <c r="R67" s="81">
        <f t="shared" si="17"/>
        <v>158583.62</v>
      </c>
      <c r="S67" s="42">
        <f t="shared" si="19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18"/>
        <v>63</v>
      </c>
      <c r="E68" s="63" t="s">
        <v>104</v>
      </c>
      <c r="F68" s="63" t="s">
        <v>195</v>
      </c>
      <c r="G68" s="85">
        <v>0.75519999999999998</v>
      </c>
      <c r="H68" s="72">
        <v>109397.63</v>
      </c>
      <c r="I68" s="73">
        <f>H68</f>
        <v>109397.63</v>
      </c>
      <c r="J68" s="74"/>
      <c r="K68" s="75">
        <f t="shared" si="12"/>
        <v>0</v>
      </c>
      <c r="L68" s="75">
        <f t="shared" si="13"/>
        <v>0</v>
      </c>
      <c r="M68" s="76">
        <f t="shared" si="6"/>
        <v>26432</v>
      </c>
      <c r="N68" s="77">
        <f t="shared" si="14"/>
        <v>95332.887987200011</v>
      </c>
      <c r="O68" s="78">
        <v>0</v>
      </c>
      <c r="P68" s="79">
        <f t="shared" si="15"/>
        <v>121765.63</v>
      </c>
      <c r="Q68" s="80">
        <f t="shared" si="16"/>
        <v>129072.63</v>
      </c>
      <c r="R68" s="81">
        <f t="shared" si="17"/>
        <v>125418.63</v>
      </c>
      <c r="S68" s="42">
        <f t="shared" si="19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18"/>
        <v>64</v>
      </c>
      <c r="E69" s="63" t="s">
        <v>160</v>
      </c>
      <c r="F69" s="63"/>
      <c r="G69" s="85">
        <v>1.1545000000000001</v>
      </c>
      <c r="H69" s="72">
        <v>167238.64000000001</v>
      </c>
      <c r="I69" s="73">
        <f>H69</f>
        <v>167238.64000000001</v>
      </c>
      <c r="J69" s="74"/>
      <c r="K69" s="75">
        <f t="shared" si="12"/>
        <v>0</v>
      </c>
      <c r="L69" s="75">
        <f t="shared" si="13"/>
        <v>0</v>
      </c>
      <c r="M69" s="76">
        <f t="shared" si="6"/>
        <v>40407.500000000007</v>
      </c>
      <c r="N69" s="77">
        <f t="shared" si="14"/>
        <v>145738.63768700004</v>
      </c>
      <c r="O69" s="78">
        <v>0</v>
      </c>
      <c r="P69" s="79">
        <f t="shared" si="15"/>
        <v>186146.64</v>
      </c>
      <c r="Q69" s="80">
        <f t="shared" si="16"/>
        <v>197315.64</v>
      </c>
      <c r="R69" s="81">
        <f t="shared" si="17"/>
        <v>191730.64</v>
      </c>
      <c r="S69" s="42">
        <f t="shared" si="19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18"/>
        <v>65</v>
      </c>
      <c r="E70" s="63" t="s">
        <v>196</v>
      </c>
      <c r="F70" s="84"/>
      <c r="G70" s="85">
        <v>0.95489999999999997</v>
      </c>
      <c r="H70" s="72">
        <v>138325.65</v>
      </c>
      <c r="I70" s="73">
        <f>H70</f>
        <v>138325.65</v>
      </c>
      <c r="J70" s="74"/>
      <c r="K70" s="75">
        <f t="shared" ref="K70:K75" si="21">H70-I70</f>
        <v>0</v>
      </c>
      <c r="L70" s="75">
        <f t="shared" ref="L70:L75" si="22">IF(K70&gt;0,K70*3%,0)</f>
        <v>0</v>
      </c>
      <c r="M70" s="76">
        <f t="shared" si="6"/>
        <v>33421.5</v>
      </c>
      <c r="N70" s="77">
        <f t="shared" ref="N70:N75" si="23">P$2*G70%</f>
        <v>120542.07460140002</v>
      </c>
      <c r="O70" s="78">
        <v>0</v>
      </c>
      <c r="P70" s="79">
        <f t="shared" ref="P70:P75" si="24">ROUND(SUM(K70:O70),0) + S70</f>
        <v>153964.65</v>
      </c>
      <c r="Q70" s="80">
        <f t="shared" ref="Q70:Q75" si="25">ROUND(P70*6% + P70,0) + S70</f>
        <v>163203.65</v>
      </c>
      <c r="R70" s="81">
        <f t="shared" ref="R70:R75" si="26">ROUND(P70*3%,0) + P70</f>
        <v>158583.65</v>
      </c>
      <c r="S70" s="42">
        <f t="shared" si="19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si="18"/>
        <v>66</v>
      </c>
      <c r="E71" s="63" t="s">
        <v>197</v>
      </c>
      <c r="F71" s="84" t="s">
        <v>198</v>
      </c>
      <c r="G71" s="85">
        <v>0.75519999999999998</v>
      </c>
      <c r="H71" s="72">
        <v>302099.65999999997</v>
      </c>
      <c r="I71" s="73"/>
      <c r="J71" s="74"/>
      <c r="K71" s="75">
        <f t="shared" si="21"/>
        <v>302099.65999999997</v>
      </c>
      <c r="L71" s="75">
        <f t="shared" si="22"/>
        <v>9062.9897999999994</v>
      </c>
      <c r="M71" s="76">
        <f t="shared" ref="M71:M75" si="27">P$3*G71%</f>
        <v>26432</v>
      </c>
      <c r="N71" s="77">
        <f t="shared" si="23"/>
        <v>95332.887987200011</v>
      </c>
      <c r="O71" s="78">
        <v>0</v>
      </c>
      <c r="P71" s="79">
        <f t="shared" si="24"/>
        <v>432928.66</v>
      </c>
      <c r="Q71" s="80">
        <f t="shared" si="25"/>
        <v>458904.66</v>
      </c>
      <c r="R71" s="81">
        <f t="shared" si="26"/>
        <v>445916.66</v>
      </c>
      <c r="S71" s="42">
        <f t="shared" si="19"/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8"/>
        <v>67</v>
      </c>
      <c r="E72" s="63" t="s">
        <v>199</v>
      </c>
      <c r="F72" s="63"/>
      <c r="G72" s="85">
        <v>1.1545000000000001</v>
      </c>
      <c r="H72" s="72">
        <v>162981.67000000001</v>
      </c>
      <c r="I72" s="73">
        <f>H72</f>
        <v>162981.67000000001</v>
      </c>
      <c r="J72" s="74"/>
      <c r="K72" s="75">
        <f t="shared" si="21"/>
        <v>0</v>
      </c>
      <c r="L72" s="75">
        <f t="shared" si="22"/>
        <v>0</v>
      </c>
      <c r="M72" s="76">
        <f t="shared" si="27"/>
        <v>40407.500000000007</v>
      </c>
      <c r="N72" s="77">
        <f t="shared" si="23"/>
        <v>145738.63768700004</v>
      </c>
      <c r="O72" s="78">
        <v>0</v>
      </c>
      <c r="P72" s="79">
        <f t="shared" si="24"/>
        <v>186146.67</v>
      </c>
      <c r="Q72" s="80">
        <f t="shared" si="25"/>
        <v>197315.67</v>
      </c>
      <c r="R72" s="81">
        <f t="shared" si="26"/>
        <v>191730.67</v>
      </c>
      <c r="S72" s="42">
        <f t="shared" si="19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8"/>
        <v>68</v>
      </c>
      <c r="E73" s="88" t="s">
        <v>200</v>
      </c>
      <c r="F73" s="88"/>
      <c r="G73" s="89">
        <v>0.95489999999999997</v>
      </c>
      <c r="H73" s="90">
        <v>138325.68</v>
      </c>
      <c r="I73" s="73">
        <f>H73</f>
        <v>138325.68</v>
      </c>
      <c r="J73" s="92"/>
      <c r="K73" s="93">
        <f t="shared" si="21"/>
        <v>0</v>
      </c>
      <c r="L73" s="75">
        <f t="shared" si="22"/>
        <v>0</v>
      </c>
      <c r="M73" s="76">
        <f t="shared" si="27"/>
        <v>33421.5</v>
      </c>
      <c r="N73" s="94">
        <f t="shared" si="23"/>
        <v>120542.07460140002</v>
      </c>
      <c r="O73" s="95">
        <v>0</v>
      </c>
      <c r="P73" s="79">
        <f t="shared" si="24"/>
        <v>153964.68</v>
      </c>
      <c r="Q73" s="80">
        <f t="shared" si="25"/>
        <v>163203.68</v>
      </c>
      <c r="R73" s="81">
        <f t="shared" si="26"/>
        <v>158583.67999999999</v>
      </c>
      <c r="S73" s="42">
        <f t="shared" si="19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8"/>
        <v>69</v>
      </c>
      <c r="E74" s="64" t="s">
        <v>190</v>
      </c>
      <c r="F74" s="96"/>
      <c r="G74" s="89">
        <v>0.75519999999999998</v>
      </c>
      <c r="H74" s="90">
        <v>109397.69</v>
      </c>
      <c r="I74" s="73">
        <f>H74</f>
        <v>109397.69</v>
      </c>
      <c r="J74" s="92"/>
      <c r="K74" s="93">
        <f t="shared" si="21"/>
        <v>0</v>
      </c>
      <c r="L74" s="75">
        <f t="shared" si="22"/>
        <v>0</v>
      </c>
      <c r="M74" s="76">
        <f t="shared" si="27"/>
        <v>26432</v>
      </c>
      <c r="N74" s="94">
        <f t="shared" si="23"/>
        <v>95332.887987200011</v>
      </c>
      <c r="O74" s="95">
        <v>0</v>
      </c>
      <c r="P74" s="79">
        <f t="shared" si="24"/>
        <v>121765.69</v>
      </c>
      <c r="Q74" s="80">
        <f t="shared" si="25"/>
        <v>129072.69</v>
      </c>
      <c r="R74" s="81">
        <f t="shared" si="26"/>
        <v>125418.69</v>
      </c>
      <c r="S74" s="42">
        <f t="shared" si="19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8"/>
        <v>70</v>
      </c>
      <c r="E75" s="64" t="s">
        <v>201</v>
      </c>
      <c r="F75" s="96"/>
      <c r="G75" s="89">
        <v>1.1549</v>
      </c>
      <c r="H75" s="90">
        <v>167296.70000000001</v>
      </c>
      <c r="I75" s="73">
        <f>H75</f>
        <v>167296.70000000001</v>
      </c>
      <c r="J75" s="92"/>
      <c r="K75" s="93">
        <f t="shared" si="21"/>
        <v>0</v>
      </c>
      <c r="L75" s="75">
        <f t="shared" si="22"/>
        <v>0</v>
      </c>
      <c r="M75" s="76">
        <f t="shared" si="27"/>
        <v>40421.5</v>
      </c>
      <c r="N75" s="94">
        <f t="shared" si="23"/>
        <v>145789.13180140001</v>
      </c>
      <c r="O75" s="95">
        <v>0</v>
      </c>
      <c r="P75" s="79">
        <f t="shared" si="24"/>
        <v>186211.7</v>
      </c>
      <c r="Q75" s="80">
        <f t="shared" si="25"/>
        <v>197384.7</v>
      </c>
      <c r="R75" s="81">
        <f t="shared" si="26"/>
        <v>191797.7</v>
      </c>
      <c r="S75" s="42">
        <f t="shared" si="19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20191563.850000001</v>
      </c>
      <c r="I81" s="61">
        <f>SUM(I6:I80)</f>
        <v>14195644.699999997</v>
      </c>
      <c r="J81" s="52">
        <f>SUM(J6:J80)</f>
        <v>0</v>
      </c>
      <c r="K81" s="61">
        <f>SUM(K6:K80)</f>
        <v>5995919.1499999985</v>
      </c>
      <c r="L81" s="61"/>
      <c r="M81" s="61">
        <f>SUM(M6:M80)</f>
        <v>3500000</v>
      </c>
      <c r="N81" s="61">
        <f>SUM(N6:N80)</f>
        <v>12623528.600000003</v>
      </c>
      <c r="O81" s="61">
        <f>SUM(O6:O80)</f>
        <v>109504</v>
      </c>
      <c r="P81" s="106">
        <f>SUM(P6:P80)</f>
        <v>22418471.850000001</v>
      </c>
      <c r="Q81" s="106">
        <f>SUM(Q6:Q80)</f>
        <v>23763602.850000001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05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6"/>
      <c r="G84" s="206"/>
      <c r="H84" s="206"/>
      <c r="I84" s="206"/>
      <c r="J84" s="206"/>
      <c r="K84" s="206"/>
      <c r="L84" s="206"/>
      <c r="M84" s="206"/>
      <c r="N84" s="206"/>
      <c r="O84" s="206"/>
      <c r="P84" s="206"/>
    </row>
    <row r="85" spans="2:18" ht="12" hidden="1" customHeight="1" x14ac:dyDescent="0.25">
      <c r="E85" s="206"/>
      <c r="F85" s="206"/>
      <c r="G85" s="206"/>
      <c r="H85" s="206"/>
      <c r="I85" s="206"/>
      <c r="J85" s="206"/>
      <c r="K85" s="206"/>
      <c r="L85" s="206"/>
      <c r="M85" s="206"/>
      <c r="N85" s="206"/>
      <c r="O85" s="206"/>
      <c r="P85" s="206"/>
    </row>
    <row r="86" spans="2:18" ht="12" hidden="1" customHeight="1" x14ac:dyDescent="0.25">
      <c r="E86" s="206"/>
      <c r="F86" s="206"/>
      <c r="G86" s="206"/>
      <c r="H86" s="206"/>
      <c r="I86" s="206"/>
      <c r="J86" s="206"/>
      <c r="K86" s="206"/>
      <c r="L86" s="206"/>
      <c r="M86" s="206"/>
      <c r="N86" s="206"/>
      <c r="O86" s="206"/>
      <c r="P86" s="206"/>
    </row>
    <row r="87" spans="2:18" ht="12" hidden="1" customHeight="1" x14ac:dyDescent="0.25">
      <c r="E87" s="206"/>
      <c r="F87" s="206"/>
      <c r="G87" s="206"/>
      <c r="H87" s="206"/>
      <c r="I87" s="206"/>
      <c r="J87" s="206"/>
      <c r="K87" s="206"/>
      <c r="L87" s="206"/>
      <c r="M87" s="206"/>
      <c r="N87" s="206"/>
      <c r="O87" s="206"/>
      <c r="P87" s="206"/>
    </row>
    <row r="88" spans="2:18" ht="12" hidden="1" customHeight="1" x14ac:dyDescent="0.25">
      <c r="E88" s="206"/>
      <c r="F88" s="206"/>
      <c r="G88" s="206"/>
      <c r="H88" s="206"/>
      <c r="I88" s="206"/>
      <c r="J88" s="206"/>
      <c r="K88" s="206"/>
      <c r="L88" s="206"/>
      <c r="M88" s="206"/>
      <c r="N88" s="206"/>
      <c r="O88" s="206"/>
      <c r="P88" s="206"/>
    </row>
    <row r="89" spans="2:18" ht="67.5" customHeight="1" x14ac:dyDescent="0.25">
      <c r="E89" s="206"/>
      <c r="F89" s="206"/>
      <c r="G89" s="206"/>
      <c r="H89" s="206"/>
      <c r="I89" s="206"/>
      <c r="J89" s="206"/>
      <c r="K89" s="206"/>
      <c r="L89" s="206"/>
      <c r="M89" s="206"/>
      <c r="N89" s="206"/>
      <c r="O89" s="206"/>
      <c r="P89" s="206"/>
    </row>
  </sheetData>
  <mergeCells count="20">
    <mergeCell ref="R4:R5"/>
    <mergeCell ref="P2:R2"/>
    <mergeCell ref="E4:E5"/>
    <mergeCell ref="O4:O5"/>
    <mergeCell ref="G1:P1"/>
    <mergeCell ref="Q4:Q5"/>
    <mergeCell ref="M4:M5"/>
    <mergeCell ref="N4:N5"/>
    <mergeCell ref="P3:R3"/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topLeftCell="A2" workbookViewId="0">
      <selection activeCell="C19" sqref="C18:C19"/>
    </sheetView>
  </sheetViews>
  <sheetFormatPr baseColWidth="10" defaultRowHeight="15" x14ac:dyDescent="0.25"/>
  <sheetData>
    <row r="5" spans="3:3" x14ac:dyDescent="0.25">
      <c r="C5" s="1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EB00-CFEB-49D4-A088-2327BD05E9DF}">
  <dimension ref="A1:U89"/>
  <sheetViews>
    <sheetView zoomScaleNormal="100" workbookViewId="0">
      <selection activeCell="T12" sqref="T12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28515625" customWidth="1"/>
    <col min="8" max="8" width="14.140625" hidden="1" customWidth="1"/>
    <col min="9" max="9" width="11.5703125" hidden="1" customWidth="1"/>
    <col min="10" max="10" width="7.7109375" hidden="1" customWidth="1"/>
    <col min="11" max="11" width="9.7109375" hidden="1" customWidth="1"/>
    <col min="12" max="12" width="9.85546875" hidden="1" customWidth="1"/>
    <col min="13" max="13" width="0.140625" hidden="1" customWidth="1"/>
    <col min="14" max="14" width="10.5703125" customWidth="1"/>
    <col min="15" max="15" width="8.42578125" hidden="1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31"/>
      <c r="H1" s="206"/>
      <c r="I1" s="206"/>
      <c r="J1" s="206"/>
      <c r="K1" s="206"/>
      <c r="L1" s="206"/>
      <c r="M1" s="206"/>
      <c r="N1" s="206"/>
      <c r="O1" s="206"/>
      <c r="P1" s="206"/>
      <c r="Q1" s="6"/>
      <c r="R1" s="6"/>
    </row>
    <row r="2" spans="1:21" ht="12.95" customHeight="1" x14ac:dyDescent="0.25">
      <c r="A2" s="6"/>
      <c r="B2" s="6"/>
      <c r="C2" s="6"/>
      <c r="D2" s="6"/>
      <c r="E2" s="6" t="s">
        <v>211</v>
      </c>
      <c r="F2" s="6"/>
      <c r="G2" s="6"/>
      <c r="H2" s="6"/>
      <c r="I2" s="6"/>
      <c r="J2" s="6"/>
      <c r="K2" s="6"/>
      <c r="L2" s="6" t="s">
        <v>211</v>
      </c>
      <c r="M2" s="7"/>
      <c r="N2" s="6"/>
      <c r="O2" s="6"/>
      <c r="P2" s="228">
        <f>16770000+7700000</f>
        <v>24470000</v>
      </c>
      <c r="Q2" s="206"/>
      <c r="R2" s="206"/>
      <c r="S2" s="20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25">
      <c r="A4" s="223" t="s">
        <v>65</v>
      </c>
      <c r="B4" s="225" t="s">
        <v>66</v>
      </c>
      <c r="C4" s="132"/>
      <c r="D4" s="218" t="s">
        <v>67</v>
      </c>
      <c r="E4" s="218" t="s">
        <v>68</v>
      </c>
      <c r="F4" s="220" t="s">
        <v>69</v>
      </c>
      <c r="G4" s="218" t="s">
        <v>70</v>
      </c>
      <c r="H4" s="222" t="s">
        <v>71</v>
      </c>
      <c r="I4" s="218" t="s">
        <v>51</v>
      </c>
      <c r="J4" s="220" t="s">
        <v>72</v>
      </c>
      <c r="K4" s="224" t="s">
        <v>73</v>
      </c>
      <c r="L4" s="222" t="s">
        <v>74</v>
      </c>
      <c r="M4" s="233" t="s">
        <v>75</v>
      </c>
      <c r="N4" s="222" t="s">
        <v>212</v>
      </c>
      <c r="O4" s="229"/>
      <c r="P4" s="227" t="s">
        <v>78</v>
      </c>
      <c r="Q4" s="232" t="s">
        <v>79</v>
      </c>
      <c r="R4" s="227" t="s">
        <v>80</v>
      </c>
      <c r="U4" s="42"/>
    </row>
    <row r="5" spans="1:21" ht="15.75" customHeight="1" x14ac:dyDescent="0.25">
      <c r="A5" s="219"/>
      <c r="B5" s="226"/>
      <c r="C5" s="133"/>
      <c r="D5" s="219"/>
      <c r="E5" s="219"/>
      <c r="F5" s="221"/>
      <c r="G5" s="219"/>
      <c r="H5" s="221"/>
      <c r="I5" s="219"/>
      <c r="J5" s="221"/>
      <c r="K5" s="221"/>
      <c r="L5" s="221"/>
      <c r="M5" s="219"/>
      <c r="N5" s="221"/>
      <c r="O5" s="230"/>
      <c r="P5" s="234"/>
      <c r="Q5" s="226"/>
      <c r="R5" s="219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/>
      <c r="I6" s="73"/>
      <c r="J6" s="74"/>
      <c r="K6" s="75"/>
      <c r="L6" s="75"/>
      <c r="M6" s="76">
        <v>0</v>
      </c>
      <c r="N6" s="77">
        <f t="shared" ref="N6:N69" si="0">P$2*G6%</f>
        <v>125555.57</v>
      </c>
      <c r="O6" s="78">
        <v>0</v>
      </c>
      <c r="P6" s="79">
        <f t="shared" ref="P6:P69" si="1">ROUND(SUM(K6:O6),0) + S6</f>
        <v>125556.01</v>
      </c>
      <c r="Q6" s="80">
        <f t="shared" ref="Q6:Q69" si="2">ROUND(P6*6% + P6,0) + S6</f>
        <v>133089.01</v>
      </c>
      <c r="R6" s="81">
        <f t="shared" ref="R6:R69" si="3">ROUND(P6*3%,0) + P6</f>
        <v>129323.01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70" si="4">D6+1</f>
        <v>2</v>
      </c>
      <c r="E7" s="64" t="s">
        <v>86</v>
      </c>
      <c r="F7" s="65"/>
      <c r="G7" s="71">
        <v>0.6119</v>
      </c>
      <c r="H7" s="72"/>
      <c r="I7" s="73"/>
      <c r="J7" s="74"/>
      <c r="K7" s="75"/>
      <c r="L7" s="75"/>
      <c r="M7" s="76">
        <v>0</v>
      </c>
      <c r="N7" s="77">
        <f t="shared" si="0"/>
        <v>149731.93</v>
      </c>
      <c r="O7" s="78">
        <v>0</v>
      </c>
      <c r="P7" s="79">
        <f t="shared" si="1"/>
        <v>149732.01999999999</v>
      </c>
      <c r="Q7" s="80">
        <f t="shared" si="2"/>
        <v>158716.01999999999</v>
      </c>
      <c r="R7" s="81">
        <f t="shared" si="3"/>
        <v>154224.01999999999</v>
      </c>
      <c r="S7" s="42">
        <f t="shared" ref="S7:S70" si="5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4"/>
        <v>3</v>
      </c>
      <c r="E8" s="64" t="s">
        <v>87</v>
      </c>
      <c r="F8" s="65"/>
      <c r="G8" s="71">
        <v>0.61150000000000004</v>
      </c>
      <c r="H8" s="72"/>
      <c r="I8" s="73"/>
      <c r="J8" s="74"/>
      <c r="K8" s="75"/>
      <c r="L8" s="75"/>
      <c r="M8" s="76">
        <v>0</v>
      </c>
      <c r="N8" s="77">
        <f t="shared" si="0"/>
        <v>149634.05000000002</v>
      </c>
      <c r="O8" s="78">
        <v>0</v>
      </c>
      <c r="P8" s="79">
        <f t="shared" si="1"/>
        <v>149634.03</v>
      </c>
      <c r="Q8" s="80">
        <f t="shared" si="2"/>
        <v>158612.03</v>
      </c>
      <c r="R8" s="81">
        <f t="shared" si="3"/>
        <v>154123.03</v>
      </c>
      <c r="S8" s="42">
        <f t="shared" si="5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4"/>
        <v>4</v>
      </c>
      <c r="E9" s="64" t="s">
        <v>87</v>
      </c>
      <c r="F9" s="65"/>
      <c r="G9" s="71">
        <v>0.50329999999999997</v>
      </c>
      <c r="H9" s="72"/>
      <c r="I9" s="73"/>
      <c r="J9" s="74"/>
      <c r="K9" s="75"/>
      <c r="L9" s="75"/>
      <c r="M9" s="76">
        <v>0</v>
      </c>
      <c r="N9" s="77">
        <f t="shared" si="0"/>
        <v>123157.50999999998</v>
      </c>
      <c r="O9" s="78">
        <v>0</v>
      </c>
      <c r="P9" s="79">
        <f t="shared" si="1"/>
        <v>123158.04</v>
      </c>
      <c r="Q9" s="80">
        <f t="shared" si="2"/>
        <v>130548.04</v>
      </c>
      <c r="R9" s="81">
        <f t="shared" si="3"/>
        <v>126853.04</v>
      </c>
      <c r="S9" s="42">
        <f t="shared" si="5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4"/>
        <v>5</v>
      </c>
      <c r="E10" s="64" t="s">
        <v>87</v>
      </c>
      <c r="F10" s="65"/>
      <c r="G10" s="71">
        <v>0.50329999999999997</v>
      </c>
      <c r="H10" s="72"/>
      <c r="I10" s="73"/>
      <c r="J10" s="74"/>
      <c r="K10" s="75"/>
      <c r="L10" s="75"/>
      <c r="M10" s="76">
        <v>0</v>
      </c>
      <c r="N10" s="77">
        <f t="shared" si="0"/>
        <v>123157.50999999998</v>
      </c>
      <c r="O10" s="78">
        <v>0</v>
      </c>
      <c r="P10" s="79">
        <f t="shared" si="1"/>
        <v>123158.05</v>
      </c>
      <c r="Q10" s="80">
        <f t="shared" si="2"/>
        <v>130548.05</v>
      </c>
      <c r="R10" s="81">
        <f t="shared" si="3"/>
        <v>126853.05</v>
      </c>
      <c r="S10" s="42">
        <f t="shared" si="5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4"/>
        <v>6</v>
      </c>
      <c r="E11" s="64" t="s">
        <v>90</v>
      </c>
      <c r="F11" s="64" t="s">
        <v>91</v>
      </c>
      <c r="G11" s="71">
        <v>0.74990000000000001</v>
      </c>
      <c r="H11" s="72"/>
      <c r="I11" s="73"/>
      <c r="J11" s="74"/>
      <c r="K11" s="75"/>
      <c r="L11" s="75"/>
      <c r="M11" s="76">
        <v>0</v>
      </c>
      <c r="N11" s="77">
        <f t="shared" si="0"/>
        <v>183500.53</v>
      </c>
      <c r="O11" s="78">
        <v>0</v>
      </c>
      <c r="P11" s="79">
        <f t="shared" si="1"/>
        <v>183501.06</v>
      </c>
      <c r="Q11" s="80">
        <f t="shared" si="2"/>
        <v>194511.06</v>
      </c>
      <c r="R11" s="81">
        <f t="shared" si="3"/>
        <v>189006.06</v>
      </c>
      <c r="S11" s="42">
        <f t="shared" si="5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4"/>
        <v>7</v>
      </c>
      <c r="E12" s="64" t="s">
        <v>92</v>
      </c>
      <c r="F12" s="64" t="s">
        <v>93</v>
      </c>
      <c r="G12" s="71">
        <v>0.54249999999999998</v>
      </c>
      <c r="H12" s="72"/>
      <c r="I12" s="73"/>
      <c r="J12" s="74"/>
      <c r="K12" s="75"/>
      <c r="L12" s="75"/>
      <c r="M12" s="76">
        <v>0</v>
      </c>
      <c r="N12" s="77">
        <f t="shared" si="0"/>
        <v>132749.75</v>
      </c>
      <c r="O12" s="78">
        <v>0</v>
      </c>
      <c r="P12" s="79">
        <f t="shared" si="1"/>
        <v>132750.07</v>
      </c>
      <c r="Q12" s="80">
        <f t="shared" si="2"/>
        <v>140715.07</v>
      </c>
      <c r="R12" s="81">
        <f t="shared" si="3"/>
        <v>136733.07</v>
      </c>
      <c r="S12" s="42">
        <f t="shared" si="5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4"/>
        <v>8</v>
      </c>
      <c r="E13" s="64" t="s">
        <v>95</v>
      </c>
      <c r="F13" s="65"/>
      <c r="G13" s="71">
        <v>0.45369999999999999</v>
      </c>
      <c r="H13" s="72"/>
      <c r="I13" s="73"/>
      <c r="J13" s="74"/>
      <c r="K13" s="75"/>
      <c r="L13" s="75"/>
      <c r="M13" s="76">
        <v>0</v>
      </c>
      <c r="N13" s="77">
        <f t="shared" si="0"/>
        <v>111020.39</v>
      </c>
      <c r="O13" s="78">
        <v>0</v>
      </c>
      <c r="P13" s="79">
        <f t="shared" si="1"/>
        <v>111020.08</v>
      </c>
      <c r="Q13" s="80">
        <f t="shared" si="2"/>
        <v>117681.08</v>
      </c>
      <c r="R13" s="81">
        <f t="shared" si="3"/>
        <v>114351.08</v>
      </c>
      <c r="S13" s="42">
        <f t="shared" si="5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4"/>
        <v>9</v>
      </c>
      <c r="E14" s="64" t="s">
        <v>96</v>
      </c>
      <c r="F14" s="84" t="s">
        <v>97</v>
      </c>
      <c r="G14" s="71">
        <v>0.52439999999999998</v>
      </c>
      <c r="H14" s="72"/>
      <c r="I14" s="73"/>
      <c r="J14" s="74"/>
      <c r="K14" s="75"/>
      <c r="L14" s="75"/>
      <c r="M14" s="76">
        <v>0</v>
      </c>
      <c r="N14" s="77">
        <f t="shared" si="0"/>
        <v>128320.68</v>
      </c>
      <c r="O14" s="78">
        <v>0</v>
      </c>
      <c r="P14" s="79">
        <f t="shared" si="1"/>
        <v>128321.09</v>
      </c>
      <c r="Q14" s="80">
        <f t="shared" si="2"/>
        <v>136020.09</v>
      </c>
      <c r="R14" s="81">
        <f t="shared" si="3"/>
        <v>132171.09</v>
      </c>
      <c r="S14" s="42">
        <f t="shared" si="5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4"/>
        <v>10</v>
      </c>
      <c r="E15" s="64" t="s">
        <v>96</v>
      </c>
      <c r="F15" s="84" t="s">
        <v>97</v>
      </c>
      <c r="G15" s="71">
        <v>0.42399999999999999</v>
      </c>
      <c r="H15" s="72"/>
      <c r="I15" s="73"/>
      <c r="J15" s="74"/>
      <c r="K15" s="75"/>
      <c r="L15" s="75"/>
      <c r="M15" s="76">
        <v>0</v>
      </c>
      <c r="N15" s="77">
        <f t="shared" si="0"/>
        <v>103752.8</v>
      </c>
      <c r="O15" s="78">
        <v>0</v>
      </c>
      <c r="P15" s="79">
        <f t="shared" si="1"/>
        <v>103753.1</v>
      </c>
      <c r="Q15" s="80">
        <f t="shared" si="2"/>
        <v>109978.1</v>
      </c>
      <c r="R15" s="81">
        <f t="shared" si="3"/>
        <v>106866.1</v>
      </c>
      <c r="S15" s="42">
        <f t="shared" si="5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4"/>
        <v>11</v>
      </c>
      <c r="E16" s="64" t="s">
        <v>101</v>
      </c>
      <c r="F16" s="65"/>
      <c r="G16" s="71">
        <v>2.3033000000000001</v>
      </c>
      <c r="H16" s="72"/>
      <c r="I16" s="73"/>
      <c r="J16" s="74"/>
      <c r="K16" s="75"/>
      <c r="L16" s="75"/>
      <c r="M16" s="76">
        <v>0</v>
      </c>
      <c r="N16" s="77">
        <f t="shared" si="0"/>
        <v>563617.51</v>
      </c>
      <c r="O16" s="78">
        <v>0</v>
      </c>
      <c r="P16" s="79">
        <f t="shared" si="1"/>
        <v>563618.11</v>
      </c>
      <c r="Q16" s="80">
        <f t="shared" si="2"/>
        <v>597435.11</v>
      </c>
      <c r="R16" s="81">
        <f t="shared" si="3"/>
        <v>580527.11</v>
      </c>
      <c r="S16" s="42">
        <f t="shared" si="5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4"/>
        <v>12</v>
      </c>
      <c r="E17" s="64" t="s">
        <v>104</v>
      </c>
      <c r="F17" s="65" t="s">
        <v>105</v>
      </c>
      <c r="G17" s="71">
        <v>2.7492999999999999</v>
      </c>
      <c r="H17" s="72"/>
      <c r="I17" s="73"/>
      <c r="J17" s="74"/>
      <c r="K17" s="75"/>
      <c r="L17" s="75"/>
      <c r="M17" s="76">
        <v>0</v>
      </c>
      <c r="N17" s="77">
        <f t="shared" si="0"/>
        <v>672753.71</v>
      </c>
      <c r="O17" s="78">
        <v>0</v>
      </c>
      <c r="P17" s="79">
        <f t="shared" si="1"/>
        <v>672754.12</v>
      </c>
      <c r="Q17" s="80">
        <f t="shared" si="2"/>
        <v>713119.12</v>
      </c>
      <c r="R17" s="81">
        <f t="shared" si="3"/>
        <v>692937.12</v>
      </c>
      <c r="S17" s="42">
        <f t="shared" si="5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4"/>
        <v>13</v>
      </c>
      <c r="E18" s="64" t="s">
        <v>106</v>
      </c>
      <c r="F18" s="65" t="s">
        <v>107</v>
      </c>
      <c r="G18" s="71">
        <v>2.3033000000000001</v>
      </c>
      <c r="H18" s="72"/>
      <c r="I18" s="73"/>
      <c r="J18" s="74"/>
      <c r="K18" s="75"/>
      <c r="L18" s="75"/>
      <c r="M18" s="76">
        <v>0</v>
      </c>
      <c r="N18" s="77">
        <f t="shared" si="0"/>
        <v>563617.51</v>
      </c>
      <c r="O18" s="78">
        <v>0</v>
      </c>
      <c r="P18" s="79">
        <f t="shared" si="1"/>
        <v>563618.13</v>
      </c>
      <c r="Q18" s="80">
        <f t="shared" si="2"/>
        <v>597435.13</v>
      </c>
      <c r="R18" s="81">
        <f t="shared" si="3"/>
        <v>580527.13</v>
      </c>
      <c r="S18" s="42">
        <f t="shared" si="5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4"/>
        <v>14</v>
      </c>
      <c r="E19" s="64" t="s">
        <v>109</v>
      </c>
      <c r="F19" s="65" t="s">
        <v>110</v>
      </c>
      <c r="G19" s="71">
        <v>2.6368</v>
      </c>
      <c r="H19" s="72"/>
      <c r="I19" s="73"/>
      <c r="J19" s="74"/>
      <c r="K19" s="75"/>
      <c r="L19" s="75"/>
      <c r="M19" s="76">
        <v>0</v>
      </c>
      <c r="N19" s="77">
        <f t="shared" si="0"/>
        <v>645224.95999999996</v>
      </c>
      <c r="O19" s="78">
        <v>0</v>
      </c>
      <c r="P19" s="79">
        <f t="shared" si="1"/>
        <v>645225.14</v>
      </c>
      <c r="Q19" s="80">
        <f t="shared" si="2"/>
        <v>683939.14</v>
      </c>
      <c r="R19" s="81">
        <f t="shared" si="3"/>
        <v>664582.14</v>
      </c>
      <c r="S19" s="42">
        <f t="shared" si="5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4"/>
        <v>15</v>
      </c>
      <c r="E20" s="64" t="s">
        <v>112</v>
      </c>
      <c r="F20" s="65"/>
      <c r="G20" s="71">
        <v>2.3536999999999999</v>
      </c>
      <c r="H20" s="72"/>
      <c r="I20" s="73"/>
      <c r="J20" s="74"/>
      <c r="K20" s="75"/>
      <c r="L20" s="75"/>
      <c r="M20" s="76">
        <v>0</v>
      </c>
      <c r="N20" s="77">
        <f t="shared" si="0"/>
        <v>575950.39</v>
      </c>
      <c r="O20" s="78">
        <v>0</v>
      </c>
      <c r="P20" s="79">
        <f t="shared" si="1"/>
        <v>575950.15</v>
      </c>
      <c r="Q20" s="80">
        <f t="shared" si="2"/>
        <v>610507.15</v>
      </c>
      <c r="R20" s="81">
        <f t="shared" si="3"/>
        <v>593229.15</v>
      </c>
      <c r="S20" s="42">
        <f t="shared" si="5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4"/>
        <v>16</v>
      </c>
      <c r="E21" s="64" t="s">
        <v>114</v>
      </c>
      <c r="F21" s="64" t="s">
        <v>115</v>
      </c>
      <c r="G21" s="71">
        <v>2.6476999999999999</v>
      </c>
      <c r="H21" s="72"/>
      <c r="I21" s="73"/>
      <c r="J21" s="74"/>
      <c r="K21" s="75"/>
      <c r="L21" s="75"/>
      <c r="M21" s="76">
        <v>0</v>
      </c>
      <c r="N21" s="77">
        <f t="shared" si="0"/>
        <v>647892.19000000006</v>
      </c>
      <c r="O21" s="78">
        <v>0</v>
      </c>
      <c r="P21" s="79">
        <f t="shared" si="1"/>
        <v>647892.16</v>
      </c>
      <c r="Q21" s="80">
        <f t="shared" si="2"/>
        <v>686766.16</v>
      </c>
      <c r="R21" s="81">
        <f t="shared" si="3"/>
        <v>667329.16</v>
      </c>
      <c r="S21" s="42">
        <f t="shared" si="5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4"/>
        <v>17</v>
      </c>
      <c r="E22" s="64" t="s">
        <v>116</v>
      </c>
      <c r="F22" s="65" t="s">
        <v>117</v>
      </c>
      <c r="G22" s="71">
        <v>2.3235000000000001</v>
      </c>
      <c r="H22" s="73"/>
      <c r="I22" s="73"/>
      <c r="J22" s="74"/>
      <c r="K22" s="75"/>
      <c r="L22" s="75"/>
      <c r="M22" s="76">
        <v>0</v>
      </c>
      <c r="N22" s="77">
        <f t="shared" si="0"/>
        <v>568560.45000000007</v>
      </c>
      <c r="O22" s="78">
        <v>0</v>
      </c>
      <c r="P22" s="79">
        <f t="shared" si="1"/>
        <v>568560.17000000004</v>
      </c>
      <c r="Q22" s="80">
        <f t="shared" si="2"/>
        <v>602674.17000000004</v>
      </c>
      <c r="R22" s="81">
        <f t="shared" si="3"/>
        <v>585617.17000000004</v>
      </c>
      <c r="S22" s="42">
        <f t="shared" si="5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4"/>
        <v>18</v>
      </c>
      <c r="E23" s="64" t="s">
        <v>119</v>
      </c>
      <c r="F23" s="142" t="s">
        <v>120</v>
      </c>
      <c r="G23" s="71">
        <v>2.6880000000000002</v>
      </c>
      <c r="H23" s="72"/>
      <c r="I23" s="73"/>
      <c r="J23" s="74"/>
      <c r="K23" s="75"/>
      <c r="L23" s="75"/>
      <c r="M23" s="76">
        <v>0</v>
      </c>
      <c r="N23" s="77">
        <f t="shared" si="0"/>
        <v>657753.59999999998</v>
      </c>
      <c r="O23" s="78">
        <v>0</v>
      </c>
      <c r="P23" s="79">
        <f t="shared" si="1"/>
        <v>657754.18000000005</v>
      </c>
      <c r="Q23" s="80">
        <f t="shared" si="2"/>
        <v>697219.18</v>
      </c>
      <c r="R23" s="81">
        <f t="shared" si="3"/>
        <v>677487.18</v>
      </c>
      <c r="S23" s="42">
        <f t="shared" si="5"/>
        <v>0.18000000000000002</v>
      </c>
      <c r="U23" s="152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4"/>
        <v>19</v>
      </c>
      <c r="E24" s="64" t="s">
        <v>121</v>
      </c>
      <c r="F24" s="65"/>
      <c r="G24" s="71">
        <v>2.36</v>
      </c>
      <c r="H24" s="72"/>
      <c r="I24" s="73"/>
      <c r="J24" s="74"/>
      <c r="K24" s="75"/>
      <c r="L24" s="75"/>
      <c r="M24" s="76">
        <v>0</v>
      </c>
      <c r="N24" s="77">
        <f t="shared" si="0"/>
        <v>577492</v>
      </c>
      <c r="O24" s="78">
        <v>0</v>
      </c>
      <c r="P24" s="79">
        <f t="shared" si="1"/>
        <v>577492.18999999994</v>
      </c>
      <c r="Q24" s="80">
        <f t="shared" si="2"/>
        <v>612142.18999999994</v>
      </c>
      <c r="R24" s="81">
        <f t="shared" si="3"/>
        <v>594817.18999999994</v>
      </c>
      <c r="S24" s="42">
        <f t="shared" si="5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4"/>
        <v>20</v>
      </c>
      <c r="E25" s="64" t="s">
        <v>123</v>
      </c>
      <c r="F25" s="64"/>
      <c r="G25" s="71">
        <v>2.7183000000000002</v>
      </c>
      <c r="H25" s="72"/>
      <c r="I25" s="73"/>
      <c r="J25" s="74"/>
      <c r="K25" s="110"/>
      <c r="L25" s="75"/>
      <c r="M25" s="76">
        <v>0</v>
      </c>
      <c r="N25" s="77">
        <f t="shared" si="0"/>
        <v>665168.01</v>
      </c>
      <c r="O25" s="78">
        <v>0</v>
      </c>
      <c r="P25" s="79">
        <f t="shared" si="1"/>
        <v>665168.19999999995</v>
      </c>
      <c r="Q25" s="80">
        <f t="shared" si="2"/>
        <v>705078.2</v>
      </c>
      <c r="R25" s="81">
        <f t="shared" si="3"/>
        <v>685123.2</v>
      </c>
      <c r="S25" s="42">
        <f t="shared" si="5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4"/>
        <v>21</v>
      </c>
      <c r="E26" s="64" t="s">
        <v>125</v>
      </c>
      <c r="F26" s="65"/>
      <c r="G26" s="71">
        <v>2.3033000000000001</v>
      </c>
      <c r="H26" s="72"/>
      <c r="I26" s="73"/>
      <c r="J26" s="74"/>
      <c r="K26" s="75"/>
      <c r="L26" s="75"/>
      <c r="M26" s="76">
        <v>0</v>
      </c>
      <c r="N26" s="77">
        <f t="shared" si="0"/>
        <v>563617.51</v>
      </c>
      <c r="O26" s="78">
        <v>0</v>
      </c>
      <c r="P26" s="79">
        <f t="shared" si="1"/>
        <v>563618.21</v>
      </c>
      <c r="Q26" s="80">
        <f t="shared" si="2"/>
        <v>597435.21</v>
      </c>
      <c r="R26" s="81">
        <f t="shared" si="3"/>
        <v>580527.21</v>
      </c>
      <c r="S26" s="42">
        <f t="shared" si="5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4"/>
        <v>22</v>
      </c>
      <c r="E27" s="64" t="s">
        <v>127</v>
      </c>
      <c r="F27" s="84" t="s">
        <v>128</v>
      </c>
      <c r="G27" s="71">
        <v>2.6360000000000001</v>
      </c>
      <c r="H27" s="72"/>
      <c r="I27" s="73"/>
      <c r="J27" s="74"/>
      <c r="K27" s="75"/>
      <c r="L27" s="75"/>
      <c r="M27" s="76">
        <v>0</v>
      </c>
      <c r="N27" s="77">
        <f t="shared" si="0"/>
        <v>645029.20000000007</v>
      </c>
      <c r="O27" s="183">
        <v>0</v>
      </c>
      <c r="P27" s="79">
        <f t="shared" si="1"/>
        <v>645029.22</v>
      </c>
      <c r="Q27" s="80">
        <f t="shared" si="2"/>
        <v>683731.22</v>
      </c>
      <c r="R27" s="81">
        <f t="shared" si="3"/>
        <v>664380.22</v>
      </c>
      <c r="S27" s="42">
        <f t="shared" si="5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4"/>
        <v>23</v>
      </c>
      <c r="E28" s="64" t="s">
        <v>130</v>
      </c>
      <c r="F28" s="65"/>
      <c r="G28" s="71">
        <v>2.3033000000000001</v>
      </c>
      <c r="H28" s="72"/>
      <c r="I28" s="73"/>
      <c r="J28" s="74"/>
      <c r="K28" s="75"/>
      <c r="L28" s="75"/>
      <c r="M28" s="76">
        <v>0</v>
      </c>
      <c r="N28" s="77">
        <f t="shared" si="0"/>
        <v>563617.51</v>
      </c>
      <c r="O28" s="78">
        <v>0</v>
      </c>
      <c r="P28" s="79">
        <f t="shared" si="1"/>
        <v>563618.23</v>
      </c>
      <c r="Q28" s="80">
        <f t="shared" si="2"/>
        <v>597435.23</v>
      </c>
      <c r="R28" s="81">
        <f t="shared" si="3"/>
        <v>580527.23</v>
      </c>
      <c r="S28" s="42">
        <f t="shared" si="5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4"/>
        <v>24</v>
      </c>
      <c r="E29" s="64" t="s">
        <v>132</v>
      </c>
      <c r="F29" s="65"/>
      <c r="G29" s="71">
        <v>2.6158999999999999</v>
      </c>
      <c r="H29" s="72"/>
      <c r="I29" s="73"/>
      <c r="J29" s="74"/>
      <c r="K29" s="75"/>
      <c r="L29" s="75"/>
      <c r="M29" s="76">
        <v>0</v>
      </c>
      <c r="N29" s="77">
        <f t="shared" si="0"/>
        <v>640110.73</v>
      </c>
      <c r="O29" s="78">
        <v>0</v>
      </c>
      <c r="P29" s="79">
        <f t="shared" si="1"/>
        <v>640111.24</v>
      </c>
      <c r="Q29" s="80">
        <f t="shared" si="2"/>
        <v>678518.24</v>
      </c>
      <c r="R29" s="81">
        <f t="shared" si="3"/>
        <v>659314.24</v>
      </c>
      <c r="S29" s="42">
        <f t="shared" si="5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4"/>
        <v>25</v>
      </c>
      <c r="E30" s="64" t="s">
        <v>133</v>
      </c>
      <c r="F30" s="64"/>
      <c r="G30" s="71">
        <v>2.3536999999999999</v>
      </c>
      <c r="H30" s="72"/>
      <c r="I30" s="73"/>
      <c r="J30" s="74"/>
      <c r="K30" s="75"/>
      <c r="L30" s="75"/>
      <c r="M30" s="76">
        <v>0</v>
      </c>
      <c r="N30" s="77">
        <f t="shared" si="0"/>
        <v>575950.39</v>
      </c>
      <c r="O30" s="78">
        <v>0</v>
      </c>
      <c r="P30" s="79">
        <f t="shared" si="1"/>
        <v>575950.25</v>
      </c>
      <c r="Q30" s="80">
        <f t="shared" si="2"/>
        <v>610507.25</v>
      </c>
      <c r="R30" s="81">
        <f t="shared" si="3"/>
        <v>593229.25</v>
      </c>
      <c r="S30" s="42">
        <f t="shared" si="5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4"/>
        <v>26</v>
      </c>
      <c r="E31" s="64" t="s">
        <v>134</v>
      </c>
      <c r="F31" s="64" t="s">
        <v>135</v>
      </c>
      <c r="G31" s="71">
        <v>2.6469</v>
      </c>
      <c r="H31" s="72"/>
      <c r="I31" s="73"/>
      <c r="J31" s="74"/>
      <c r="K31" s="75"/>
      <c r="L31" s="75"/>
      <c r="M31" s="76">
        <v>0</v>
      </c>
      <c r="N31" s="77">
        <f t="shared" si="0"/>
        <v>647696.42999999993</v>
      </c>
      <c r="O31" s="78">
        <v>0</v>
      </c>
      <c r="P31" s="79">
        <f t="shared" si="1"/>
        <v>647696.26</v>
      </c>
      <c r="Q31" s="80">
        <f t="shared" si="2"/>
        <v>686558.26</v>
      </c>
      <c r="R31" s="81">
        <f t="shared" si="3"/>
        <v>667127.26</v>
      </c>
      <c r="S31" s="42">
        <f t="shared" si="5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4"/>
        <v>27</v>
      </c>
      <c r="E32" s="64" t="s">
        <v>136</v>
      </c>
      <c r="F32" s="65"/>
      <c r="G32" s="71">
        <v>2.3536999999999999</v>
      </c>
      <c r="H32" s="72"/>
      <c r="I32" s="73"/>
      <c r="J32" s="74"/>
      <c r="K32" s="75"/>
      <c r="L32" s="75"/>
      <c r="M32" s="76">
        <v>0</v>
      </c>
      <c r="N32" s="77">
        <f t="shared" si="0"/>
        <v>575950.39</v>
      </c>
      <c r="O32" s="78">
        <v>0</v>
      </c>
      <c r="P32" s="79">
        <f t="shared" si="1"/>
        <v>575950.27</v>
      </c>
      <c r="Q32" s="80">
        <f t="shared" si="2"/>
        <v>610507.27</v>
      </c>
      <c r="R32" s="81">
        <f t="shared" si="3"/>
        <v>593229.27</v>
      </c>
      <c r="S32" s="42">
        <f t="shared" si="5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4"/>
        <v>28</v>
      </c>
      <c r="E33" s="64" t="s">
        <v>137</v>
      </c>
      <c r="F33" s="64"/>
      <c r="G33" s="71">
        <v>2.6663000000000001</v>
      </c>
      <c r="H33" s="72"/>
      <c r="I33" s="73"/>
      <c r="J33" s="74"/>
      <c r="K33" s="75"/>
      <c r="L33" s="75"/>
      <c r="M33" s="76">
        <v>0</v>
      </c>
      <c r="N33" s="77">
        <f t="shared" si="0"/>
        <v>652443.6100000001</v>
      </c>
      <c r="O33" s="127">
        <v>0</v>
      </c>
      <c r="P33" s="79">
        <f t="shared" si="1"/>
        <v>652444.28</v>
      </c>
      <c r="Q33" s="80">
        <f t="shared" si="2"/>
        <v>691591.28</v>
      </c>
      <c r="R33" s="81">
        <f t="shared" si="3"/>
        <v>672017.28</v>
      </c>
      <c r="S33" s="42">
        <f t="shared" si="5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4"/>
        <v>29</v>
      </c>
      <c r="E34" s="64" t="s">
        <v>138</v>
      </c>
      <c r="F34" s="64" t="s">
        <v>139</v>
      </c>
      <c r="G34" s="71">
        <v>2.4476</v>
      </c>
      <c r="H34" s="72"/>
      <c r="I34" s="73"/>
      <c r="J34" s="74"/>
      <c r="K34" s="75"/>
      <c r="L34" s="75"/>
      <c r="M34" s="76">
        <v>0</v>
      </c>
      <c r="N34" s="77">
        <f t="shared" si="0"/>
        <v>598927.72</v>
      </c>
      <c r="O34" s="187">
        <v>18500</v>
      </c>
      <c r="P34" s="79">
        <f t="shared" si="1"/>
        <v>617428.29</v>
      </c>
      <c r="Q34" s="80">
        <f t="shared" si="2"/>
        <v>654474.29</v>
      </c>
      <c r="R34" s="81">
        <f t="shared" si="3"/>
        <v>635951.29</v>
      </c>
      <c r="S34" s="42">
        <f t="shared" si="5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4"/>
        <v>30</v>
      </c>
      <c r="E35" s="64" t="s">
        <v>140</v>
      </c>
      <c r="F35" s="65"/>
      <c r="G35" s="71">
        <v>2.7183000000000002</v>
      </c>
      <c r="H35" s="72"/>
      <c r="I35" s="73"/>
      <c r="J35" s="74"/>
      <c r="K35" s="75"/>
      <c r="L35" s="75"/>
      <c r="M35" s="76">
        <v>0</v>
      </c>
      <c r="N35" s="77">
        <f t="shared" si="0"/>
        <v>665168.01</v>
      </c>
      <c r="O35" s="78">
        <v>0</v>
      </c>
      <c r="P35" s="79">
        <f t="shared" si="1"/>
        <v>665168.30000000005</v>
      </c>
      <c r="Q35" s="80">
        <f t="shared" si="2"/>
        <v>705078.3</v>
      </c>
      <c r="R35" s="81">
        <f t="shared" si="3"/>
        <v>685123.3</v>
      </c>
      <c r="S35" s="42">
        <f t="shared" si="5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4"/>
        <v>31</v>
      </c>
      <c r="E36" s="64" t="s">
        <v>141</v>
      </c>
      <c r="F36" s="64" t="s">
        <v>142</v>
      </c>
      <c r="G36" s="71">
        <v>2.3026</v>
      </c>
      <c r="H36" s="73"/>
      <c r="I36" s="73"/>
      <c r="J36" s="82"/>
      <c r="K36" s="75"/>
      <c r="L36" s="75"/>
      <c r="M36" s="76">
        <v>0</v>
      </c>
      <c r="N36" s="140">
        <f t="shared" si="0"/>
        <v>563446.22000000009</v>
      </c>
      <c r="O36" s="83">
        <v>0</v>
      </c>
      <c r="P36" s="79">
        <f t="shared" si="1"/>
        <v>563446.31000000006</v>
      </c>
      <c r="Q36" s="80">
        <f t="shared" si="2"/>
        <v>597253.31000000006</v>
      </c>
      <c r="R36" s="81">
        <f t="shared" si="3"/>
        <v>580349.31000000006</v>
      </c>
      <c r="S36" s="42">
        <f t="shared" si="5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4"/>
        <v>32</v>
      </c>
      <c r="E37" s="64" t="s">
        <v>143</v>
      </c>
      <c r="F37" s="65"/>
      <c r="G37" s="71">
        <v>2.6562000000000001</v>
      </c>
      <c r="H37" s="72"/>
      <c r="I37" s="73"/>
      <c r="J37" s="74"/>
      <c r="K37" s="75"/>
      <c r="L37" s="75"/>
      <c r="M37" s="76">
        <v>0</v>
      </c>
      <c r="N37" s="77">
        <f t="shared" si="0"/>
        <v>649972.14</v>
      </c>
      <c r="O37" s="78">
        <v>0</v>
      </c>
      <c r="P37" s="79">
        <f t="shared" si="1"/>
        <v>649972.31999999995</v>
      </c>
      <c r="Q37" s="80">
        <f t="shared" si="2"/>
        <v>688971.32</v>
      </c>
      <c r="R37" s="81">
        <f t="shared" si="3"/>
        <v>669471.31999999995</v>
      </c>
      <c r="S37" s="42">
        <f t="shared" si="5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4"/>
        <v>33</v>
      </c>
      <c r="E38" s="64" t="s">
        <v>144</v>
      </c>
      <c r="F38" s="65"/>
      <c r="G38" s="71">
        <v>2.3342999999999998</v>
      </c>
      <c r="H38" s="72"/>
      <c r="I38" s="73"/>
      <c r="J38" s="74"/>
      <c r="K38" s="75"/>
      <c r="L38" s="75"/>
      <c r="M38" s="76">
        <v>0</v>
      </c>
      <c r="N38" s="77">
        <f t="shared" si="0"/>
        <v>571203.21</v>
      </c>
      <c r="O38" s="78">
        <v>0</v>
      </c>
      <c r="P38" s="79">
        <f t="shared" si="1"/>
        <v>571203.32999999996</v>
      </c>
      <c r="Q38" s="80">
        <f t="shared" si="2"/>
        <v>605476.32999999996</v>
      </c>
      <c r="R38" s="81">
        <f t="shared" si="3"/>
        <v>588339.32999999996</v>
      </c>
      <c r="S38" s="42">
        <f t="shared" si="5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si="4"/>
        <v>34</v>
      </c>
      <c r="E39" s="64" t="s">
        <v>145</v>
      </c>
      <c r="F39" s="64"/>
      <c r="G39" s="71">
        <v>2.6259000000000001</v>
      </c>
      <c r="H39" s="72"/>
      <c r="I39" s="73"/>
      <c r="J39" s="74"/>
      <c r="K39" s="75"/>
      <c r="L39" s="75"/>
      <c r="M39" s="76">
        <v>0</v>
      </c>
      <c r="N39" s="77">
        <f t="shared" si="0"/>
        <v>642557.73</v>
      </c>
      <c r="O39" s="78">
        <v>0</v>
      </c>
      <c r="P39" s="79">
        <f t="shared" si="1"/>
        <v>642558.34</v>
      </c>
      <c r="Q39" s="80">
        <f t="shared" si="2"/>
        <v>681112.34</v>
      </c>
      <c r="R39" s="81">
        <f t="shared" si="3"/>
        <v>661835.34</v>
      </c>
      <c r="S39" s="42">
        <f t="shared" si="5"/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4"/>
        <v>35</v>
      </c>
      <c r="E40" s="64" t="s">
        <v>147</v>
      </c>
      <c r="F40" s="65" t="s">
        <v>148</v>
      </c>
      <c r="G40" s="71">
        <v>1.0069999999999999</v>
      </c>
      <c r="H40" s="72"/>
      <c r="I40" s="73"/>
      <c r="J40" s="74"/>
      <c r="K40" s="75"/>
      <c r="L40" s="75"/>
      <c r="M40" s="76">
        <v>0</v>
      </c>
      <c r="N40" s="77">
        <f t="shared" si="0"/>
        <v>246412.89999999997</v>
      </c>
      <c r="O40" s="78">
        <v>0</v>
      </c>
      <c r="P40" s="79">
        <f t="shared" si="1"/>
        <v>246413.35</v>
      </c>
      <c r="Q40" s="80">
        <f t="shared" si="2"/>
        <v>261198.35</v>
      </c>
      <c r="R40" s="81">
        <f t="shared" si="3"/>
        <v>253805.35</v>
      </c>
      <c r="S40" s="42">
        <f t="shared" si="5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4"/>
        <v>36</v>
      </c>
      <c r="E41" s="64" t="s">
        <v>150</v>
      </c>
      <c r="F41" s="65" t="s">
        <v>151</v>
      </c>
      <c r="G41" s="71">
        <v>0.78120000000000001</v>
      </c>
      <c r="H41" s="73"/>
      <c r="I41" s="73"/>
      <c r="J41" s="74"/>
      <c r="K41" s="75"/>
      <c r="L41" s="75"/>
      <c r="M41" s="76">
        <v>0</v>
      </c>
      <c r="N41" s="77">
        <f t="shared" si="0"/>
        <v>191159.64</v>
      </c>
      <c r="O41" s="78">
        <v>0</v>
      </c>
      <c r="P41" s="79">
        <f t="shared" si="1"/>
        <v>191160.36</v>
      </c>
      <c r="Q41" s="80">
        <f t="shared" si="2"/>
        <v>202630.36</v>
      </c>
      <c r="R41" s="81">
        <f t="shared" si="3"/>
        <v>196895.35999999999</v>
      </c>
      <c r="S41" s="42">
        <f t="shared" si="5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4"/>
        <v>37</v>
      </c>
      <c r="E42" s="63" t="s">
        <v>150</v>
      </c>
      <c r="F42" s="65" t="s">
        <v>151</v>
      </c>
      <c r="G42" s="85">
        <v>1.2153</v>
      </c>
      <c r="H42" s="72"/>
      <c r="I42" s="73"/>
      <c r="J42" s="74"/>
      <c r="K42" s="75"/>
      <c r="L42" s="75"/>
      <c r="M42" s="76">
        <v>0</v>
      </c>
      <c r="N42" s="77">
        <f t="shared" si="0"/>
        <v>297383.91000000003</v>
      </c>
      <c r="O42" s="78">
        <v>0</v>
      </c>
      <c r="P42" s="79">
        <f t="shared" si="1"/>
        <v>297384.37</v>
      </c>
      <c r="Q42" s="80">
        <f t="shared" si="2"/>
        <v>315227.37</v>
      </c>
      <c r="R42" s="81">
        <f t="shared" si="3"/>
        <v>306306.37</v>
      </c>
      <c r="S42" s="42">
        <f t="shared" si="5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4"/>
        <v>38</v>
      </c>
      <c r="E43" s="63" t="s">
        <v>154</v>
      </c>
      <c r="F43" s="63" t="s">
        <v>155</v>
      </c>
      <c r="G43" s="85">
        <v>0.95489999999999997</v>
      </c>
      <c r="H43" s="72"/>
      <c r="I43" s="73"/>
      <c r="J43" s="74"/>
      <c r="K43" s="75"/>
      <c r="L43" s="75"/>
      <c r="M43" s="76">
        <v>0</v>
      </c>
      <c r="N43" s="77">
        <f t="shared" si="0"/>
        <v>233664.03</v>
      </c>
      <c r="O43" s="78">
        <v>0</v>
      </c>
      <c r="P43" s="79">
        <f t="shared" si="1"/>
        <v>233664.38</v>
      </c>
      <c r="Q43" s="80">
        <f t="shared" si="2"/>
        <v>247684.38</v>
      </c>
      <c r="R43" s="81">
        <f t="shared" si="3"/>
        <v>240674.38</v>
      </c>
      <c r="S43" s="42">
        <f t="shared" si="5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4"/>
        <v>39</v>
      </c>
      <c r="E44" s="63" t="s">
        <v>156</v>
      </c>
      <c r="F44" s="84"/>
      <c r="G44" s="85">
        <v>0.75519999999999998</v>
      </c>
      <c r="H44" s="72"/>
      <c r="I44" s="73"/>
      <c r="J44" s="74"/>
      <c r="K44" s="75"/>
      <c r="L44" s="75"/>
      <c r="M44" s="76">
        <v>0</v>
      </c>
      <c r="N44" s="77">
        <f t="shared" si="0"/>
        <v>184797.44</v>
      </c>
      <c r="O44" s="78">
        <v>0</v>
      </c>
      <c r="P44" s="79">
        <f t="shared" si="1"/>
        <v>184797.39</v>
      </c>
      <c r="Q44" s="80">
        <f t="shared" si="2"/>
        <v>195885.39</v>
      </c>
      <c r="R44" s="81">
        <f t="shared" si="3"/>
        <v>190341.39</v>
      </c>
      <c r="S44" s="42">
        <f t="shared" si="5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4"/>
        <v>40</v>
      </c>
      <c r="E45" s="63" t="s">
        <v>136</v>
      </c>
      <c r="F45" s="63" t="s">
        <v>157</v>
      </c>
      <c r="G45" s="85">
        <v>1.1545000000000001</v>
      </c>
      <c r="H45" s="72"/>
      <c r="I45" s="73"/>
      <c r="J45" s="74"/>
      <c r="K45" s="75"/>
      <c r="L45" s="75"/>
      <c r="M45" s="76">
        <v>0</v>
      </c>
      <c r="N45" s="77">
        <f t="shared" si="0"/>
        <v>282506.15000000002</v>
      </c>
      <c r="O45" s="78">
        <v>0</v>
      </c>
      <c r="P45" s="79">
        <f t="shared" si="1"/>
        <v>282506.40000000002</v>
      </c>
      <c r="Q45" s="80">
        <f t="shared" si="2"/>
        <v>299457.40000000002</v>
      </c>
      <c r="R45" s="81">
        <f t="shared" si="3"/>
        <v>290981.40000000002</v>
      </c>
      <c r="S45" s="42">
        <f t="shared" si="5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4"/>
        <v>41</v>
      </c>
      <c r="E46" s="63" t="s">
        <v>158</v>
      </c>
      <c r="F46" s="63" t="s">
        <v>159</v>
      </c>
      <c r="G46" s="85">
        <v>0.95489999999999997</v>
      </c>
      <c r="H46" s="72"/>
      <c r="I46" s="73"/>
      <c r="J46" s="74"/>
      <c r="K46" s="75"/>
      <c r="L46" s="75"/>
      <c r="M46" s="76">
        <v>0</v>
      </c>
      <c r="N46" s="77">
        <f t="shared" si="0"/>
        <v>233664.03</v>
      </c>
      <c r="O46" s="78">
        <v>0</v>
      </c>
      <c r="P46" s="79">
        <f t="shared" si="1"/>
        <v>233664.41</v>
      </c>
      <c r="Q46" s="80">
        <f t="shared" si="2"/>
        <v>247684.41</v>
      </c>
      <c r="R46" s="81">
        <f t="shared" si="3"/>
        <v>240674.41</v>
      </c>
      <c r="S46" s="42">
        <f t="shared" si="5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4"/>
        <v>42</v>
      </c>
      <c r="E47" s="63" t="s">
        <v>160</v>
      </c>
      <c r="F47" s="84"/>
      <c r="G47" s="85">
        <v>0.75519999999999998</v>
      </c>
      <c r="H47" s="72"/>
      <c r="I47" s="73"/>
      <c r="J47" s="74"/>
      <c r="K47" s="75"/>
      <c r="L47" s="75"/>
      <c r="M47" s="76">
        <v>0</v>
      </c>
      <c r="N47" s="77">
        <f t="shared" si="0"/>
        <v>184797.44</v>
      </c>
      <c r="O47" s="78">
        <v>0</v>
      </c>
      <c r="P47" s="79">
        <f t="shared" si="1"/>
        <v>184797.42</v>
      </c>
      <c r="Q47" s="80">
        <f t="shared" si="2"/>
        <v>195885.42</v>
      </c>
      <c r="R47" s="81">
        <f t="shared" si="3"/>
        <v>190341.42</v>
      </c>
      <c r="S47" s="42">
        <f t="shared" si="5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4"/>
        <v>43</v>
      </c>
      <c r="E48" s="63" t="s">
        <v>161</v>
      </c>
      <c r="F48" s="84"/>
      <c r="G48" s="85">
        <v>1.1545000000000001</v>
      </c>
      <c r="H48" s="72"/>
      <c r="I48" s="73"/>
      <c r="J48" s="74"/>
      <c r="K48" s="75"/>
      <c r="L48" s="75"/>
      <c r="M48" s="76">
        <v>0</v>
      </c>
      <c r="N48" s="77">
        <f t="shared" si="0"/>
        <v>282506.15000000002</v>
      </c>
      <c r="O48" s="78">
        <v>0</v>
      </c>
      <c r="P48" s="79">
        <f t="shared" si="1"/>
        <v>282506.43</v>
      </c>
      <c r="Q48" s="80">
        <f t="shared" si="2"/>
        <v>299457.43</v>
      </c>
      <c r="R48" s="81">
        <f t="shared" si="3"/>
        <v>290981.43</v>
      </c>
      <c r="S48" s="42">
        <f t="shared" si="5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4"/>
        <v>44</v>
      </c>
      <c r="E49" s="63" t="s">
        <v>162</v>
      </c>
      <c r="F49" s="84" t="s">
        <v>163</v>
      </c>
      <c r="G49" s="85">
        <v>0.95489999999999997</v>
      </c>
      <c r="H49" s="72"/>
      <c r="I49" s="73"/>
      <c r="J49" s="74"/>
      <c r="K49" s="75"/>
      <c r="L49" s="75"/>
      <c r="M49" s="76">
        <v>0</v>
      </c>
      <c r="N49" s="77">
        <f t="shared" si="0"/>
        <v>233664.03</v>
      </c>
      <c r="O49" s="78">
        <v>0</v>
      </c>
      <c r="P49" s="79">
        <f t="shared" si="1"/>
        <v>233664.44</v>
      </c>
      <c r="Q49" s="80">
        <f t="shared" si="2"/>
        <v>247684.44</v>
      </c>
      <c r="R49" s="81">
        <f t="shared" si="3"/>
        <v>240674.44</v>
      </c>
      <c r="S49" s="42">
        <f t="shared" si="5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4"/>
        <v>45</v>
      </c>
      <c r="E50" s="63" t="s">
        <v>164</v>
      </c>
      <c r="F50" s="63"/>
      <c r="G50" s="85">
        <v>0.75519999999999998</v>
      </c>
      <c r="H50" s="72"/>
      <c r="I50" s="73"/>
      <c r="J50" s="74"/>
      <c r="K50" s="75"/>
      <c r="L50" s="75"/>
      <c r="M50" s="76">
        <v>0</v>
      </c>
      <c r="N50" s="77">
        <f t="shared" si="0"/>
        <v>184797.44</v>
      </c>
      <c r="O50" s="78">
        <v>0</v>
      </c>
      <c r="P50" s="79">
        <f t="shared" si="1"/>
        <v>184797.45</v>
      </c>
      <c r="Q50" s="80">
        <f t="shared" si="2"/>
        <v>195885.45</v>
      </c>
      <c r="R50" s="81">
        <f t="shared" si="3"/>
        <v>190341.45</v>
      </c>
      <c r="S50" s="42">
        <f t="shared" si="5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4"/>
        <v>46</v>
      </c>
      <c r="E51" s="63" t="s">
        <v>166</v>
      </c>
      <c r="F51" s="63" t="s">
        <v>167</v>
      </c>
      <c r="G51" s="85">
        <v>1.1545000000000001</v>
      </c>
      <c r="H51" s="72"/>
      <c r="I51" s="73"/>
      <c r="J51" s="74"/>
      <c r="K51" s="75"/>
      <c r="L51" s="75"/>
      <c r="M51" s="76">
        <v>0</v>
      </c>
      <c r="N51" s="77">
        <f t="shared" si="0"/>
        <v>282506.15000000002</v>
      </c>
      <c r="O51" s="78">
        <v>0</v>
      </c>
      <c r="P51" s="79">
        <f t="shared" si="1"/>
        <v>282506.46000000002</v>
      </c>
      <c r="Q51" s="80">
        <f t="shared" si="2"/>
        <v>299457.46000000002</v>
      </c>
      <c r="R51" s="81">
        <f t="shared" si="3"/>
        <v>290981.46000000002</v>
      </c>
      <c r="S51" s="42">
        <f t="shared" si="5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4"/>
        <v>47</v>
      </c>
      <c r="E52" s="63" t="s">
        <v>168</v>
      </c>
      <c r="F52" s="84" t="s">
        <v>169</v>
      </c>
      <c r="G52" s="85">
        <v>0.95489999999999997</v>
      </c>
      <c r="H52" s="72"/>
      <c r="I52" s="73"/>
      <c r="J52" s="74"/>
      <c r="K52" s="75"/>
      <c r="L52" s="75"/>
      <c r="M52" s="76">
        <v>0</v>
      </c>
      <c r="N52" s="77">
        <f t="shared" si="0"/>
        <v>233664.03</v>
      </c>
      <c r="O52" s="78">
        <v>0</v>
      </c>
      <c r="P52" s="79">
        <f t="shared" si="1"/>
        <v>233664.47</v>
      </c>
      <c r="Q52" s="80">
        <f t="shared" si="2"/>
        <v>247684.47</v>
      </c>
      <c r="R52" s="81">
        <f t="shared" si="3"/>
        <v>240674.47</v>
      </c>
      <c r="S52" s="42">
        <f t="shared" si="5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4"/>
        <v>48</v>
      </c>
      <c r="E53" s="63" t="s">
        <v>104</v>
      </c>
      <c r="F53" s="63" t="s">
        <v>170</v>
      </c>
      <c r="G53" s="85">
        <v>0.75519999999999998</v>
      </c>
      <c r="H53" s="72"/>
      <c r="I53" s="73"/>
      <c r="J53" s="74"/>
      <c r="K53" s="75"/>
      <c r="L53" s="75"/>
      <c r="M53" s="76">
        <v>0</v>
      </c>
      <c r="N53" s="77">
        <f t="shared" si="0"/>
        <v>184797.44</v>
      </c>
      <c r="O53" s="78">
        <v>0</v>
      </c>
      <c r="P53" s="79">
        <f t="shared" si="1"/>
        <v>184797.48</v>
      </c>
      <c r="Q53" s="80">
        <f t="shared" si="2"/>
        <v>195885.48</v>
      </c>
      <c r="R53" s="81">
        <f t="shared" si="3"/>
        <v>190341.48</v>
      </c>
      <c r="S53" s="42">
        <f t="shared" si="5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4"/>
        <v>49</v>
      </c>
      <c r="E54" s="63" t="s">
        <v>171</v>
      </c>
      <c r="F54" s="63" t="s">
        <v>172</v>
      </c>
      <c r="G54" s="85">
        <v>1.1545000000000001</v>
      </c>
      <c r="H54" s="72"/>
      <c r="I54" s="73"/>
      <c r="J54" s="74"/>
      <c r="K54" s="75"/>
      <c r="L54" s="75"/>
      <c r="M54" s="76">
        <v>0</v>
      </c>
      <c r="N54" s="77">
        <f t="shared" si="0"/>
        <v>282506.15000000002</v>
      </c>
      <c r="O54" s="78">
        <v>0</v>
      </c>
      <c r="P54" s="79">
        <f t="shared" si="1"/>
        <v>282506.49</v>
      </c>
      <c r="Q54" s="80">
        <f t="shared" si="2"/>
        <v>299457.49</v>
      </c>
      <c r="R54" s="81">
        <f t="shared" si="3"/>
        <v>290981.49</v>
      </c>
      <c r="S54" s="42">
        <f t="shared" si="5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4"/>
        <v>50</v>
      </c>
      <c r="E55" s="63" t="s">
        <v>173</v>
      </c>
      <c r="F55" s="63"/>
      <c r="G55" s="85">
        <v>0.95489999999999997</v>
      </c>
      <c r="H55" s="72"/>
      <c r="I55" s="73"/>
      <c r="J55" s="74"/>
      <c r="K55" s="75"/>
      <c r="L55" s="75"/>
      <c r="M55" s="76">
        <v>0</v>
      </c>
      <c r="N55" s="77">
        <f t="shared" si="0"/>
        <v>233664.03</v>
      </c>
      <c r="O55" s="78">
        <v>0</v>
      </c>
      <c r="P55" s="79">
        <f t="shared" si="1"/>
        <v>233664.5</v>
      </c>
      <c r="Q55" s="80">
        <f t="shared" si="2"/>
        <v>247684.5</v>
      </c>
      <c r="R55" s="81">
        <f t="shared" si="3"/>
        <v>240674.5</v>
      </c>
      <c r="S55" s="42">
        <f t="shared" si="5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4"/>
        <v>51</v>
      </c>
      <c r="E56" s="63" t="s">
        <v>174</v>
      </c>
      <c r="F56" s="63"/>
      <c r="G56" s="85">
        <v>0.75519999999999998</v>
      </c>
      <c r="H56" s="72"/>
      <c r="I56" s="73"/>
      <c r="J56" s="74"/>
      <c r="K56" s="75"/>
      <c r="L56" s="75"/>
      <c r="M56" s="76">
        <v>0</v>
      </c>
      <c r="N56" s="77">
        <f t="shared" si="0"/>
        <v>184797.44</v>
      </c>
      <c r="O56" s="78">
        <v>0</v>
      </c>
      <c r="P56" s="79">
        <f t="shared" si="1"/>
        <v>184797.51</v>
      </c>
      <c r="Q56" s="80">
        <f t="shared" si="2"/>
        <v>195885.51</v>
      </c>
      <c r="R56" s="81">
        <f t="shared" si="3"/>
        <v>190341.51</v>
      </c>
      <c r="S56" s="42">
        <f t="shared" si="5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4"/>
        <v>52</v>
      </c>
      <c r="E57" s="63" t="s">
        <v>176</v>
      </c>
      <c r="F57" s="84"/>
      <c r="G57" s="85">
        <v>1.1545000000000001</v>
      </c>
      <c r="H57" s="72"/>
      <c r="I57" s="73"/>
      <c r="J57" s="74"/>
      <c r="K57" s="75"/>
      <c r="L57" s="75"/>
      <c r="M57" s="76">
        <v>0</v>
      </c>
      <c r="N57" s="77">
        <f t="shared" si="0"/>
        <v>282506.15000000002</v>
      </c>
      <c r="O57" s="78">
        <v>0</v>
      </c>
      <c r="P57" s="79">
        <f t="shared" si="1"/>
        <v>282506.52</v>
      </c>
      <c r="Q57" s="80">
        <f t="shared" si="2"/>
        <v>299457.52</v>
      </c>
      <c r="R57" s="81">
        <f t="shared" si="3"/>
        <v>290981.52</v>
      </c>
      <c r="S57" s="42">
        <f t="shared" si="5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4"/>
        <v>53</v>
      </c>
      <c r="E58" s="63" t="s">
        <v>177</v>
      </c>
      <c r="F58" s="84"/>
      <c r="G58" s="85">
        <v>0.95489999999999997</v>
      </c>
      <c r="H58" s="72"/>
      <c r="I58" s="73"/>
      <c r="J58" s="74"/>
      <c r="K58" s="75"/>
      <c r="L58" s="75"/>
      <c r="M58" s="76">
        <v>0</v>
      </c>
      <c r="N58" s="77">
        <f t="shared" si="0"/>
        <v>233664.03</v>
      </c>
      <c r="O58" s="78">
        <v>0</v>
      </c>
      <c r="P58" s="79">
        <f t="shared" si="1"/>
        <v>233664.53</v>
      </c>
      <c r="Q58" s="80">
        <f t="shared" si="2"/>
        <v>247684.53</v>
      </c>
      <c r="R58" s="81">
        <f t="shared" si="3"/>
        <v>240674.53</v>
      </c>
      <c r="S58" s="42">
        <f t="shared" si="5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4"/>
        <v>54</v>
      </c>
      <c r="E59" s="63" t="s">
        <v>178</v>
      </c>
      <c r="F59" s="63"/>
      <c r="G59" s="85">
        <v>0.75519999999999998</v>
      </c>
      <c r="H59" s="72"/>
      <c r="I59" s="73"/>
      <c r="J59" s="74"/>
      <c r="K59" s="75"/>
      <c r="L59" s="75"/>
      <c r="M59" s="76">
        <v>0</v>
      </c>
      <c r="N59" s="77">
        <f t="shared" si="0"/>
        <v>184797.44</v>
      </c>
      <c r="O59" s="78">
        <v>0</v>
      </c>
      <c r="P59" s="79">
        <f t="shared" si="1"/>
        <v>184797.54</v>
      </c>
      <c r="Q59" s="80">
        <f t="shared" si="2"/>
        <v>195885.54</v>
      </c>
      <c r="R59" s="81">
        <f t="shared" si="3"/>
        <v>190341.54</v>
      </c>
      <c r="S59" s="42">
        <f t="shared" si="5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4"/>
        <v>55</v>
      </c>
      <c r="E60" s="63" t="s">
        <v>179</v>
      </c>
      <c r="F60" s="63" t="s">
        <v>180</v>
      </c>
      <c r="G60" s="85">
        <v>1.1545000000000001</v>
      </c>
      <c r="H60" s="72"/>
      <c r="I60" s="73"/>
      <c r="J60" s="74"/>
      <c r="K60" s="75"/>
      <c r="L60" s="75"/>
      <c r="M60" s="76">
        <v>0</v>
      </c>
      <c r="N60" s="77">
        <f t="shared" si="0"/>
        <v>282506.15000000002</v>
      </c>
      <c r="O60" s="78">
        <v>0</v>
      </c>
      <c r="P60" s="79">
        <f t="shared" si="1"/>
        <v>282506.55</v>
      </c>
      <c r="Q60" s="80">
        <f t="shared" si="2"/>
        <v>299457.55</v>
      </c>
      <c r="R60" s="81">
        <f t="shared" si="3"/>
        <v>290981.55</v>
      </c>
      <c r="S60" s="42">
        <f t="shared" si="5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4"/>
        <v>56</v>
      </c>
      <c r="E61" s="63" t="s">
        <v>181</v>
      </c>
      <c r="F61" s="84" t="s">
        <v>182</v>
      </c>
      <c r="G61" s="85">
        <v>0.95489999999999997</v>
      </c>
      <c r="H61" s="72"/>
      <c r="I61" s="73"/>
      <c r="J61" s="74"/>
      <c r="K61" s="75"/>
      <c r="L61" s="75"/>
      <c r="M61" s="76">
        <v>0</v>
      </c>
      <c r="N61" s="77">
        <f t="shared" si="0"/>
        <v>233664.03</v>
      </c>
      <c r="O61" s="78"/>
      <c r="P61" s="79">
        <f t="shared" si="1"/>
        <v>233664.56</v>
      </c>
      <c r="Q61" s="80">
        <f t="shared" si="2"/>
        <v>247684.56</v>
      </c>
      <c r="R61" s="81">
        <f t="shared" si="3"/>
        <v>240674.56</v>
      </c>
      <c r="S61" s="42">
        <f t="shared" si="5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4"/>
        <v>57</v>
      </c>
      <c r="E62" s="63" t="s">
        <v>183</v>
      </c>
      <c r="F62" s="84" t="s">
        <v>184</v>
      </c>
      <c r="G62" s="85">
        <v>0.75519999999999998</v>
      </c>
      <c r="H62" s="72"/>
      <c r="I62" s="73"/>
      <c r="J62" s="74"/>
      <c r="K62" s="75"/>
      <c r="L62" s="75"/>
      <c r="M62" s="76">
        <v>0</v>
      </c>
      <c r="N62" s="77">
        <f t="shared" si="0"/>
        <v>184797.44</v>
      </c>
      <c r="O62" s="78">
        <v>0</v>
      </c>
      <c r="P62" s="79">
        <f t="shared" si="1"/>
        <v>184797.57</v>
      </c>
      <c r="Q62" s="80">
        <f t="shared" si="2"/>
        <v>195885.57</v>
      </c>
      <c r="R62" s="81">
        <f t="shared" si="3"/>
        <v>190341.57</v>
      </c>
      <c r="S62" s="42">
        <f t="shared" si="5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4"/>
        <v>58</v>
      </c>
      <c r="E63" s="63" t="s">
        <v>185</v>
      </c>
      <c r="F63" s="84"/>
      <c r="G63" s="85">
        <v>1.1545000000000001</v>
      </c>
      <c r="H63" s="72"/>
      <c r="I63" s="73"/>
      <c r="J63" s="74"/>
      <c r="K63" s="75"/>
      <c r="L63" s="75"/>
      <c r="M63" s="76">
        <v>0</v>
      </c>
      <c r="N63" s="77">
        <f t="shared" si="0"/>
        <v>282506.15000000002</v>
      </c>
      <c r="O63" s="78">
        <v>0</v>
      </c>
      <c r="P63" s="79">
        <f t="shared" si="1"/>
        <v>282506.58</v>
      </c>
      <c r="Q63" s="80">
        <f t="shared" si="2"/>
        <v>299457.58</v>
      </c>
      <c r="R63" s="81">
        <f t="shared" si="3"/>
        <v>290981.58</v>
      </c>
      <c r="S63" s="42">
        <f t="shared" si="5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4"/>
        <v>59</v>
      </c>
      <c r="E64" s="63" t="s">
        <v>186</v>
      </c>
      <c r="F64" s="63" t="s">
        <v>187</v>
      </c>
      <c r="G64" s="85">
        <v>0.95489999999999997</v>
      </c>
      <c r="H64" s="72"/>
      <c r="I64" s="73"/>
      <c r="J64" s="74"/>
      <c r="K64" s="75"/>
      <c r="L64" s="75"/>
      <c r="M64" s="76">
        <v>0</v>
      </c>
      <c r="N64" s="77">
        <f t="shared" si="0"/>
        <v>233664.03</v>
      </c>
      <c r="O64" s="78">
        <v>0</v>
      </c>
      <c r="P64" s="79">
        <f t="shared" si="1"/>
        <v>233664.59</v>
      </c>
      <c r="Q64" s="80">
        <f t="shared" si="2"/>
        <v>247684.59</v>
      </c>
      <c r="R64" s="81">
        <f t="shared" si="3"/>
        <v>240674.59</v>
      </c>
      <c r="S64" s="42">
        <f t="shared" si="5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4"/>
        <v>60</v>
      </c>
      <c r="E65" s="63" t="s">
        <v>188</v>
      </c>
      <c r="F65" s="84"/>
      <c r="G65" s="85">
        <v>0.75519999999999998</v>
      </c>
      <c r="H65" s="72"/>
      <c r="I65" s="73"/>
      <c r="J65" s="74"/>
      <c r="K65" s="75"/>
      <c r="L65" s="75"/>
      <c r="M65" s="76">
        <v>0</v>
      </c>
      <c r="N65" s="77">
        <f t="shared" si="0"/>
        <v>184797.44</v>
      </c>
      <c r="O65" s="78">
        <v>0</v>
      </c>
      <c r="P65" s="79">
        <f t="shared" si="1"/>
        <v>184797.6</v>
      </c>
      <c r="Q65" s="80">
        <f t="shared" si="2"/>
        <v>195885.6</v>
      </c>
      <c r="R65" s="81">
        <f t="shared" si="3"/>
        <v>190341.6</v>
      </c>
      <c r="S65" s="42">
        <f t="shared" si="5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4"/>
        <v>61</v>
      </c>
      <c r="E66" s="63" t="s">
        <v>190</v>
      </c>
      <c r="F66" s="63"/>
      <c r="G66" s="85">
        <v>1.1545000000000001</v>
      </c>
      <c r="H66" s="72"/>
      <c r="I66" s="73"/>
      <c r="J66" s="74"/>
      <c r="K66" s="75"/>
      <c r="L66" s="75"/>
      <c r="M66" s="76">
        <v>0</v>
      </c>
      <c r="N66" s="77">
        <f t="shared" si="0"/>
        <v>282506.15000000002</v>
      </c>
      <c r="O66" s="78">
        <v>0</v>
      </c>
      <c r="P66" s="79">
        <f t="shared" si="1"/>
        <v>282506.61</v>
      </c>
      <c r="Q66" s="80">
        <f t="shared" si="2"/>
        <v>299457.61</v>
      </c>
      <c r="R66" s="81">
        <f t="shared" si="3"/>
        <v>290981.61</v>
      </c>
      <c r="S66" s="42">
        <f t="shared" si="5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4"/>
        <v>62</v>
      </c>
      <c r="E67" s="63" t="s">
        <v>192</v>
      </c>
      <c r="F67" s="84" t="s">
        <v>193</v>
      </c>
      <c r="G67" s="85">
        <v>0.95489999999999997</v>
      </c>
      <c r="H67" s="72"/>
      <c r="I67" s="73"/>
      <c r="J67" s="74"/>
      <c r="K67" s="75"/>
      <c r="L67" s="75"/>
      <c r="M67" s="76">
        <v>0</v>
      </c>
      <c r="N67" s="77">
        <f t="shared" si="0"/>
        <v>233664.03</v>
      </c>
      <c r="O67" s="78">
        <v>0</v>
      </c>
      <c r="P67" s="79">
        <f t="shared" si="1"/>
        <v>233664.62</v>
      </c>
      <c r="Q67" s="80">
        <f t="shared" si="2"/>
        <v>247684.62</v>
      </c>
      <c r="R67" s="81">
        <f t="shared" si="3"/>
        <v>240674.62</v>
      </c>
      <c r="S67" s="42">
        <f t="shared" si="5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4"/>
        <v>63</v>
      </c>
      <c r="E68" s="63" t="s">
        <v>104</v>
      </c>
      <c r="F68" s="63" t="s">
        <v>195</v>
      </c>
      <c r="G68" s="85">
        <v>0.75519999999999998</v>
      </c>
      <c r="H68" s="72"/>
      <c r="I68" s="73"/>
      <c r="J68" s="74"/>
      <c r="K68" s="75"/>
      <c r="L68" s="75"/>
      <c r="M68" s="76">
        <v>0</v>
      </c>
      <c r="N68" s="77">
        <f t="shared" si="0"/>
        <v>184797.44</v>
      </c>
      <c r="O68" s="78">
        <v>0</v>
      </c>
      <c r="P68" s="79">
        <f t="shared" si="1"/>
        <v>184797.63</v>
      </c>
      <c r="Q68" s="80">
        <f t="shared" si="2"/>
        <v>195885.63</v>
      </c>
      <c r="R68" s="81">
        <f t="shared" si="3"/>
        <v>190341.63</v>
      </c>
      <c r="S68" s="42">
        <f t="shared" si="5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4"/>
        <v>64</v>
      </c>
      <c r="E69" s="63" t="s">
        <v>160</v>
      </c>
      <c r="F69" s="63"/>
      <c r="G69" s="85">
        <v>1.1545000000000001</v>
      </c>
      <c r="H69" s="72"/>
      <c r="I69" s="73"/>
      <c r="J69" s="74"/>
      <c r="K69" s="75"/>
      <c r="L69" s="75"/>
      <c r="M69" s="76">
        <v>0</v>
      </c>
      <c r="N69" s="77">
        <f t="shared" si="0"/>
        <v>282506.15000000002</v>
      </c>
      <c r="O69" s="78">
        <v>0</v>
      </c>
      <c r="P69" s="79">
        <f t="shared" si="1"/>
        <v>282506.64</v>
      </c>
      <c r="Q69" s="80">
        <f t="shared" si="2"/>
        <v>299457.64</v>
      </c>
      <c r="R69" s="81">
        <f t="shared" si="3"/>
        <v>290981.64</v>
      </c>
      <c r="S69" s="42">
        <f t="shared" si="5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4"/>
        <v>65</v>
      </c>
      <c r="E70" s="63" t="s">
        <v>196</v>
      </c>
      <c r="F70" s="84"/>
      <c r="G70" s="85">
        <v>0.95489999999999997</v>
      </c>
      <c r="H70" s="72"/>
      <c r="I70" s="73"/>
      <c r="J70" s="74"/>
      <c r="K70" s="75"/>
      <c r="L70" s="75"/>
      <c r="M70" s="76">
        <v>0</v>
      </c>
      <c r="N70" s="77">
        <f t="shared" ref="N70:N75" si="6">P$2*G70%</f>
        <v>233664.03</v>
      </c>
      <c r="O70" s="78">
        <v>0</v>
      </c>
      <c r="P70" s="79">
        <f t="shared" ref="P70:P75" si="7">ROUND(SUM(K70:O70),0) + S70</f>
        <v>233664.65</v>
      </c>
      <c r="Q70" s="80">
        <f t="shared" ref="Q70:Q75" si="8">ROUND(P70*6% + P70,0) + S70</f>
        <v>247685.65</v>
      </c>
      <c r="R70" s="81">
        <f t="shared" ref="R70:R75" si="9">ROUND(P70*3%,0) + P70</f>
        <v>240674.65</v>
      </c>
      <c r="S70" s="42">
        <f t="shared" si="5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ref="D71:D75" si="10">D70+1</f>
        <v>66</v>
      </c>
      <c r="E71" s="63" t="s">
        <v>197</v>
      </c>
      <c r="F71" s="84" t="s">
        <v>198</v>
      </c>
      <c r="G71" s="85">
        <v>0.75519999999999998</v>
      </c>
      <c r="H71" s="72"/>
      <c r="I71" s="73"/>
      <c r="J71" s="74"/>
      <c r="K71" s="75"/>
      <c r="L71" s="75"/>
      <c r="M71" s="76">
        <v>0</v>
      </c>
      <c r="N71" s="77">
        <f t="shared" si="6"/>
        <v>184797.44</v>
      </c>
      <c r="O71" s="78">
        <v>0</v>
      </c>
      <c r="P71" s="79">
        <f t="shared" si="7"/>
        <v>184797.66</v>
      </c>
      <c r="Q71" s="80">
        <f t="shared" si="8"/>
        <v>195886.66</v>
      </c>
      <c r="R71" s="81">
        <f t="shared" si="9"/>
        <v>190341.66</v>
      </c>
      <c r="S71" s="42">
        <f t="shared" ref="S71:S75" si="11">S70+0.01</f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0"/>
        <v>67</v>
      </c>
      <c r="E72" s="63" t="s">
        <v>199</v>
      </c>
      <c r="F72" s="63"/>
      <c r="G72" s="85">
        <v>1.1545000000000001</v>
      </c>
      <c r="H72" s="72"/>
      <c r="I72" s="73"/>
      <c r="J72" s="74"/>
      <c r="K72" s="75"/>
      <c r="L72" s="75"/>
      <c r="M72" s="76">
        <v>0</v>
      </c>
      <c r="N72" s="77">
        <f t="shared" si="6"/>
        <v>282506.15000000002</v>
      </c>
      <c r="O72" s="78">
        <v>0</v>
      </c>
      <c r="P72" s="79">
        <f t="shared" si="7"/>
        <v>282506.67</v>
      </c>
      <c r="Q72" s="80">
        <f t="shared" si="8"/>
        <v>299457.67</v>
      </c>
      <c r="R72" s="81">
        <f t="shared" si="9"/>
        <v>290981.67</v>
      </c>
      <c r="S72" s="42">
        <f t="shared" si="11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0"/>
        <v>68</v>
      </c>
      <c r="E73" s="88" t="s">
        <v>200</v>
      </c>
      <c r="F73" s="88"/>
      <c r="G73" s="89">
        <v>0.95489999999999997</v>
      </c>
      <c r="H73" s="90"/>
      <c r="I73" s="73"/>
      <c r="J73" s="92"/>
      <c r="K73" s="93"/>
      <c r="L73" s="75"/>
      <c r="M73" s="76">
        <v>0</v>
      </c>
      <c r="N73" s="94">
        <f t="shared" si="6"/>
        <v>233664.03</v>
      </c>
      <c r="O73" s="95">
        <v>0</v>
      </c>
      <c r="P73" s="79">
        <f t="shared" si="7"/>
        <v>233664.68</v>
      </c>
      <c r="Q73" s="80">
        <f t="shared" si="8"/>
        <v>247685.68</v>
      </c>
      <c r="R73" s="81">
        <f t="shared" si="9"/>
        <v>240674.68</v>
      </c>
      <c r="S73" s="42">
        <f t="shared" si="11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0"/>
        <v>69</v>
      </c>
      <c r="E74" s="64" t="s">
        <v>190</v>
      </c>
      <c r="F74" s="96"/>
      <c r="G74" s="89">
        <v>0.75519999999999998</v>
      </c>
      <c r="H74" s="90"/>
      <c r="I74" s="73"/>
      <c r="J74" s="92"/>
      <c r="K74" s="93"/>
      <c r="L74" s="75"/>
      <c r="M74" s="76">
        <v>0</v>
      </c>
      <c r="N74" s="94">
        <f t="shared" si="6"/>
        <v>184797.44</v>
      </c>
      <c r="O74" s="95">
        <v>0</v>
      </c>
      <c r="P74" s="79">
        <f t="shared" si="7"/>
        <v>184797.69</v>
      </c>
      <c r="Q74" s="80">
        <f t="shared" si="8"/>
        <v>195886.69</v>
      </c>
      <c r="R74" s="81">
        <f t="shared" si="9"/>
        <v>190341.69</v>
      </c>
      <c r="S74" s="42">
        <f t="shared" si="11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0"/>
        <v>70</v>
      </c>
      <c r="E75" s="64" t="s">
        <v>201</v>
      </c>
      <c r="F75" s="96"/>
      <c r="G75" s="89">
        <v>1.1549</v>
      </c>
      <c r="H75" s="90"/>
      <c r="I75" s="73"/>
      <c r="J75" s="92"/>
      <c r="K75" s="93"/>
      <c r="L75" s="75"/>
      <c r="M75" s="76">
        <v>0</v>
      </c>
      <c r="N75" s="94">
        <f t="shared" si="6"/>
        <v>282604.03000000003</v>
      </c>
      <c r="O75" s="95">
        <v>0</v>
      </c>
      <c r="P75" s="79">
        <f t="shared" si="7"/>
        <v>282604.7</v>
      </c>
      <c r="Q75" s="80">
        <f t="shared" si="8"/>
        <v>299561.7</v>
      </c>
      <c r="R75" s="81">
        <f t="shared" si="9"/>
        <v>291082.7</v>
      </c>
      <c r="S75" s="42">
        <f t="shared" si="11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0</v>
      </c>
      <c r="I81" s="61">
        <f>SUM(I6:I80)</f>
        <v>0</v>
      </c>
      <c r="J81" s="52">
        <f>SUM(J6:J80)</f>
        <v>0</v>
      </c>
      <c r="K81" s="61">
        <f>SUM(K6:K80)</f>
        <v>0</v>
      </c>
      <c r="L81" s="61"/>
      <c r="M81" s="61">
        <f>SUM(M6:M80)</f>
        <v>0</v>
      </c>
      <c r="N81" s="61">
        <f>SUM(N6:N80)</f>
        <v>24470000.000000015</v>
      </c>
      <c r="O81" s="61">
        <f>SUM(O6:O80)</f>
        <v>18500</v>
      </c>
      <c r="P81" s="106">
        <f>SUM(P6:P80)</f>
        <v>24488521.850000001</v>
      </c>
      <c r="Q81" s="106">
        <f>SUM(Q6:Q80)</f>
        <v>25957851.850000005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05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6"/>
      <c r="G84" s="206"/>
      <c r="H84" s="206"/>
      <c r="I84" s="206"/>
      <c r="J84" s="206"/>
      <c r="K84" s="206"/>
      <c r="L84" s="206"/>
      <c r="M84" s="206"/>
      <c r="N84" s="206"/>
      <c r="O84" s="206"/>
      <c r="P84" s="206"/>
    </row>
    <row r="85" spans="2:18" ht="12" hidden="1" customHeight="1" x14ac:dyDescent="0.25">
      <c r="E85" s="206"/>
      <c r="F85" s="206"/>
      <c r="G85" s="206"/>
      <c r="H85" s="206"/>
      <c r="I85" s="206"/>
      <c r="J85" s="206"/>
      <c r="K85" s="206"/>
      <c r="L85" s="206"/>
      <c r="M85" s="206"/>
      <c r="N85" s="206"/>
      <c r="O85" s="206"/>
      <c r="P85" s="206"/>
    </row>
    <row r="86" spans="2:18" ht="12" hidden="1" customHeight="1" x14ac:dyDescent="0.25">
      <c r="E86" s="206"/>
      <c r="F86" s="206"/>
      <c r="G86" s="206"/>
      <c r="H86" s="206"/>
      <c r="I86" s="206"/>
      <c r="J86" s="206"/>
      <c r="K86" s="206"/>
      <c r="L86" s="206"/>
      <c r="M86" s="206"/>
      <c r="N86" s="206"/>
      <c r="O86" s="206"/>
      <c r="P86" s="206"/>
    </row>
    <row r="87" spans="2:18" ht="12" hidden="1" customHeight="1" x14ac:dyDescent="0.25">
      <c r="E87" s="206"/>
      <c r="F87" s="206"/>
      <c r="G87" s="206"/>
      <c r="H87" s="206"/>
      <c r="I87" s="206"/>
      <c r="J87" s="206"/>
      <c r="K87" s="206"/>
      <c r="L87" s="206"/>
      <c r="M87" s="206"/>
      <c r="N87" s="206"/>
      <c r="O87" s="206"/>
      <c r="P87" s="206"/>
    </row>
    <row r="88" spans="2:18" ht="12" hidden="1" customHeight="1" x14ac:dyDescent="0.25">
      <c r="E88" s="206"/>
      <c r="F88" s="206"/>
      <c r="G88" s="206"/>
      <c r="H88" s="206"/>
      <c r="I88" s="206"/>
      <c r="J88" s="206"/>
      <c r="K88" s="206"/>
      <c r="L88" s="206"/>
      <c r="M88" s="206"/>
      <c r="N88" s="206"/>
      <c r="O88" s="206"/>
      <c r="P88" s="206"/>
    </row>
    <row r="89" spans="2:18" ht="67.5" customHeight="1" x14ac:dyDescent="0.25">
      <c r="E89" s="206"/>
      <c r="F89" s="206"/>
      <c r="G89" s="206"/>
      <c r="H89" s="206"/>
      <c r="I89" s="206"/>
      <c r="J89" s="206"/>
      <c r="K89" s="206"/>
      <c r="L89" s="206"/>
      <c r="M89" s="206"/>
      <c r="N89" s="206"/>
      <c r="O89" s="206"/>
      <c r="P89" s="206"/>
    </row>
  </sheetData>
  <mergeCells count="20">
    <mergeCell ref="E84:P89"/>
    <mergeCell ref="P4:P5"/>
    <mergeCell ref="J4:J5"/>
    <mergeCell ref="K4:K5"/>
    <mergeCell ref="L4:L5"/>
    <mergeCell ref="M4:M5"/>
    <mergeCell ref="N4:N5"/>
    <mergeCell ref="O4:O5"/>
    <mergeCell ref="G1:P1"/>
    <mergeCell ref="P2:R2"/>
    <mergeCell ref="A4:A5"/>
    <mergeCell ref="B4:B5"/>
    <mergeCell ref="D4:D5"/>
    <mergeCell ref="E4:E5"/>
    <mergeCell ref="F4:F5"/>
    <mergeCell ref="G4:G5"/>
    <mergeCell ref="H4:H5"/>
    <mergeCell ref="I4:I5"/>
    <mergeCell ref="Q4:Q5"/>
    <mergeCell ref="R4:R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PRORRATEO DE PRUEBA  EMERGENCIA</vt:lpstr>
      <vt:lpstr>PRORRATEO!Área_de_impresión</vt:lpstr>
      <vt:lpstr>'PRORRATEO DE PRUEBA  EMERGENCIA'!Área_de_impresión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2025-08-06T15:15:37Z</cp:lastPrinted>
  <dcterms:created xsi:type="dcterms:W3CDTF">2023-09-17T12:29:07Z</dcterms:created>
  <dcterms:modified xsi:type="dcterms:W3CDTF">2025-09-04T18:23:31Z</dcterms:modified>
</cp:coreProperties>
</file>