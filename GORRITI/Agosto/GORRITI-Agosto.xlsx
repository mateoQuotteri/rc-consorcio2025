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GORRITI\Agosto\"/>
    </mc:Choice>
  </mc:AlternateContent>
  <xr:revisionPtr revIDLastSave="0" documentId="13_ncr:1_{2CDFB36A-E9A5-40CE-BC5C-472080D62579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Hoja1" sheetId="3" r:id="rId3"/>
    <sheet name="PRORRATEO DE PRUEBA  EMERGENCIA" sheetId="4" r:id="rId4"/>
  </sheets>
  <definedNames>
    <definedName name="_xlnm.Print_Area" localSheetId="1">PRORRATEO!$A$1:$R$90</definedName>
    <definedName name="_xlnm.Print_Area" localSheetId="3">'PRORRATEO DE PRUEBA  EMERGENCIA'!$A$1:$R$90</definedName>
    <definedName name="_xlnm.Print_Area" localSheetId="0">RESUMEN!$A$1:$E$131</definedName>
  </definedNames>
  <calcPr calcId="181029"/>
</workbook>
</file>

<file path=xl/calcChain.xml><?xml version="1.0" encoding="utf-8"?>
<calcChain xmlns="http://schemas.openxmlformats.org/spreadsheetml/2006/main">
  <c r="P2" i="2" l="1"/>
  <c r="I64" i="2"/>
  <c r="E58" i="1"/>
  <c r="G29" i="1" l="1"/>
  <c r="P2" i="4" l="1"/>
  <c r="N54" i="4" s="1"/>
  <c r="N74" i="4"/>
  <c r="E84" i="4"/>
  <c r="O81" i="4"/>
  <c r="M81" i="4"/>
  <c r="J81" i="4"/>
  <c r="H81" i="4"/>
  <c r="G81" i="4"/>
  <c r="N72" i="4"/>
  <c r="N70" i="4"/>
  <c r="N69" i="4"/>
  <c r="N68" i="4"/>
  <c r="N67" i="4"/>
  <c r="N64" i="4"/>
  <c r="N61" i="4"/>
  <c r="N60" i="4"/>
  <c r="N59" i="4"/>
  <c r="N55" i="4"/>
  <c r="N50" i="4"/>
  <c r="N49" i="4"/>
  <c r="N45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S9" i="4"/>
  <c r="S10" i="4" s="1"/>
  <c r="N9" i="4"/>
  <c r="D9" i="4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S8" i="4"/>
  <c r="N8" i="4"/>
  <c r="D8" i="4"/>
  <c r="S7" i="4"/>
  <c r="N7" i="4"/>
  <c r="D7" i="4"/>
  <c r="N6" i="4"/>
  <c r="D73" i="1"/>
  <c r="E75" i="1" s="1"/>
  <c r="E37" i="1"/>
  <c r="E41" i="1"/>
  <c r="E47" i="1"/>
  <c r="D32" i="1"/>
  <c r="I23" i="2"/>
  <c r="I42" i="2"/>
  <c r="I6" i="2"/>
  <c r="I43" i="2"/>
  <c r="I70" i="2"/>
  <c r="I24" i="2"/>
  <c r="I27" i="2"/>
  <c r="I8" i="2"/>
  <c r="N46" i="4" l="1"/>
  <c r="N47" i="4"/>
  <c r="N48" i="4"/>
  <c r="N51" i="4"/>
  <c r="N52" i="4"/>
  <c r="N53" i="4"/>
  <c r="N56" i="4"/>
  <c r="N57" i="4"/>
  <c r="N58" i="4"/>
  <c r="N65" i="4"/>
  <c r="N66" i="4"/>
  <c r="N73" i="4"/>
  <c r="N75" i="4"/>
  <c r="N44" i="4"/>
  <c r="N62" i="4"/>
  <c r="N63" i="4"/>
  <c r="N71" i="4"/>
  <c r="P8" i="4"/>
  <c r="S11" i="4"/>
  <c r="P10" i="4"/>
  <c r="P7" i="4"/>
  <c r="P9" i="4"/>
  <c r="N81" i="4"/>
  <c r="K81" i="4"/>
  <c r="I81" i="4"/>
  <c r="P6" i="4"/>
  <c r="Q7" i="4" l="1"/>
  <c r="R7" i="4"/>
  <c r="S12" i="4"/>
  <c r="P11" i="4"/>
  <c r="Q6" i="4"/>
  <c r="R6" i="4"/>
  <c r="R9" i="4"/>
  <c r="Q9" i="4"/>
  <c r="R8" i="4"/>
  <c r="Q8" i="4"/>
  <c r="Q10" i="4"/>
  <c r="R10" i="4"/>
  <c r="Q11" i="4" l="1"/>
  <c r="R11" i="4"/>
  <c r="S13" i="4"/>
  <c r="P12" i="4"/>
  <c r="S14" i="4" l="1"/>
  <c r="P13" i="4"/>
  <c r="R12" i="4"/>
  <c r="Q12" i="4"/>
  <c r="R13" i="4" l="1"/>
  <c r="Q13" i="4"/>
  <c r="S15" i="4"/>
  <c r="P14" i="4"/>
  <c r="S16" i="4" l="1"/>
  <c r="P15" i="4"/>
  <c r="R14" i="4"/>
  <c r="Q14" i="4"/>
  <c r="R15" i="4" l="1"/>
  <c r="Q15" i="4"/>
  <c r="S17" i="4"/>
  <c r="P16" i="4"/>
  <c r="R16" i="4" l="1"/>
  <c r="Q16" i="4"/>
  <c r="S18" i="4"/>
  <c r="P17" i="4"/>
  <c r="Q17" i="4" l="1"/>
  <c r="R17" i="4"/>
  <c r="S19" i="4"/>
  <c r="P18" i="4"/>
  <c r="Q18" i="4" l="1"/>
  <c r="R18" i="4"/>
  <c r="S20" i="4"/>
  <c r="P19" i="4"/>
  <c r="R19" i="4" l="1"/>
  <c r="Q19" i="4"/>
  <c r="S21" i="4"/>
  <c r="P20" i="4"/>
  <c r="R20" i="4" l="1"/>
  <c r="Q20" i="4"/>
  <c r="S22" i="4"/>
  <c r="P21" i="4"/>
  <c r="Q21" i="4" l="1"/>
  <c r="R21" i="4"/>
  <c r="S23" i="4"/>
  <c r="P22" i="4"/>
  <c r="R22" i="4" l="1"/>
  <c r="Q22" i="4"/>
  <c r="P23" i="4"/>
  <c r="S24" i="4"/>
  <c r="S25" i="4" l="1"/>
  <c r="P24" i="4"/>
  <c r="R23" i="4"/>
  <c r="Q23" i="4"/>
  <c r="S26" i="4" l="1"/>
  <c r="P25" i="4"/>
  <c r="Q24" i="4"/>
  <c r="R24" i="4"/>
  <c r="S27" i="4" l="1"/>
  <c r="P26" i="4"/>
  <c r="Q25" i="4"/>
  <c r="R25" i="4"/>
  <c r="Q26" i="4" l="1"/>
  <c r="R26" i="4"/>
  <c r="S28" i="4"/>
  <c r="P27" i="4"/>
  <c r="R27" i="4" l="1"/>
  <c r="Q27" i="4"/>
  <c r="P28" i="4"/>
  <c r="S29" i="4"/>
  <c r="R28" i="4" l="1"/>
  <c r="Q28" i="4"/>
  <c r="P29" i="4"/>
  <c r="S30" i="4"/>
  <c r="R29" i="4" l="1"/>
  <c r="Q29" i="4"/>
  <c r="S31" i="4"/>
  <c r="P30" i="4"/>
  <c r="Q30" i="4" l="1"/>
  <c r="R30" i="4"/>
  <c r="P31" i="4"/>
  <c r="S32" i="4"/>
  <c r="S33" i="4" l="1"/>
  <c r="P32" i="4"/>
  <c r="Q31" i="4"/>
  <c r="R31" i="4"/>
  <c r="S34" i="4" l="1"/>
  <c r="P33" i="4"/>
  <c r="Q32" i="4"/>
  <c r="R32" i="4"/>
  <c r="S35" i="4" l="1"/>
  <c r="P34" i="4"/>
  <c r="R33" i="4"/>
  <c r="Q33" i="4"/>
  <c r="S36" i="4" l="1"/>
  <c r="P35" i="4"/>
  <c r="R34" i="4"/>
  <c r="Q34" i="4"/>
  <c r="P36" i="4" l="1"/>
  <c r="S37" i="4"/>
  <c r="Q35" i="4"/>
  <c r="R35" i="4"/>
  <c r="Q36" i="4" l="1"/>
  <c r="R36" i="4"/>
  <c r="S38" i="4"/>
  <c r="P37" i="4"/>
  <c r="Q37" i="4" l="1"/>
  <c r="R37" i="4"/>
  <c r="S39" i="4"/>
  <c r="P38" i="4"/>
  <c r="R38" i="4" l="1"/>
  <c r="Q38" i="4"/>
  <c r="S40" i="4"/>
  <c r="P39" i="4"/>
  <c r="R39" i="4" l="1"/>
  <c r="Q39" i="4"/>
  <c r="S41" i="4"/>
  <c r="P40" i="4"/>
  <c r="R40" i="4" l="1"/>
  <c r="Q40" i="4"/>
  <c r="S42" i="4"/>
  <c r="P41" i="4"/>
  <c r="S43" i="4" l="1"/>
  <c r="P42" i="4"/>
  <c r="Q41" i="4"/>
  <c r="R41" i="4"/>
  <c r="R42" i="4" l="1"/>
  <c r="Q42" i="4"/>
  <c r="S44" i="4"/>
  <c r="P43" i="4"/>
  <c r="R43" i="4" l="1"/>
  <c r="Q43" i="4"/>
  <c r="S45" i="4"/>
  <c r="P44" i="4"/>
  <c r="R44" i="4" l="1"/>
  <c r="Q44" i="4"/>
  <c r="S46" i="4"/>
  <c r="P45" i="4"/>
  <c r="R45" i="4" l="1"/>
  <c r="Q45" i="4"/>
  <c r="P46" i="4"/>
  <c r="S47" i="4"/>
  <c r="R46" i="4" l="1"/>
  <c r="Q46" i="4"/>
  <c r="S48" i="4"/>
  <c r="P47" i="4"/>
  <c r="R47" i="4" l="1"/>
  <c r="Q47" i="4"/>
  <c r="S49" i="4"/>
  <c r="P48" i="4"/>
  <c r="Q48" i="4" l="1"/>
  <c r="R48" i="4"/>
  <c r="S50" i="4"/>
  <c r="P49" i="4"/>
  <c r="R49" i="4" l="1"/>
  <c r="Q49" i="4"/>
  <c r="S51" i="4"/>
  <c r="P50" i="4"/>
  <c r="R50" i="4" l="1"/>
  <c r="Q50" i="4"/>
  <c r="P51" i="4"/>
  <c r="S52" i="4"/>
  <c r="R51" i="4" l="1"/>
  <c r="Q51" i="4"/>
  <c r="S53" i="4"/>
  <c r="P52" i="4"/>
  <c r="R52" i="4" l="1"/>
  <c r="Q52" i="4"/>
  <c r="S54" i="4"/>
  <c r="P53" i="4"/>
  <c r="Q53" i="4" l="1"/>
  <c r="R53" i="4"/>
  <c r="S55" i="4"/>
  <c r="P54" i="4"/>
  <c r="R54" i="4" l="1"/>
  <c r="Q54" i="4"/>
  <c r="S56" i="4"/>
  <c r="P55" i="4"/>
  <c r="S57" i="4" l="1"/>
  <c r="P56" i="4"/>
  <c r="R55" i="4"/>
  <c r="Q55" i="4"/>
  <c r="S58" i="4" l="1"/>
  <c r="P57" i="4"/>
  <c r="R56" i="4"/>
  <c r="Q56" i="4"/>
  <c r="S59" i="4" l="1"/>
  <c r="P58" i="4"/>
  <c r="R57" i="4"/>
  <c r="Q57" i="4"/>
  <c r="P59" i="4" l="1"/>
  <c r="S60" i="4"/>
  <c r="Q58" i="4"/>
  <c r="R58" i="4"/>
  <c r="S61" i="4" l="1"/>
  <c r="P60" i="4"/>
  <c r="R59" i="4"/>
  <c r="Q59" i="4"/>
  <c r="S62" i="4" l="1"/>
  <c r="P61" i="4"/>
  <c r="R60" i="4"/>
  <c r="Q60" i="4"/>
  <c r="R61" i="4" l="1"/>
  <c r="Q61" i="4"/>
  <c r="P62" i="4"/>
  <c r="S63" i="4"/>
  <c r="P63" i="4" l="1"/>
  <c r="S64" i="4"/>
  <c r="R62" i="4"/>
  <c r="Q62" i="4"/>
  <c r="P64" i="4" l="1"/>
  <c r="S65" i="4"/>
  <c r="R63" i="4"/>
  <c r="Q63" i="4"/>
  <c r="R64" i="4" l="1"/>
  <c r="Q64" i="4"/>
  <c r="S66" i="4"/>
  <c r="P65" i="4"/>
  <c r="R65" i="4" l="1"/>
  <c r="Q65" i="4"/>
  <c r="S67" i="4"/>
  <c r="P66" i="4"/>
  <c r="S68" i="4" l="1"/>
  <c r="P67" i="4"/>
  <c r="Q66" i="4"/>
  <c r="R66" i="4"/>
  <c r="S69" i="4" l="1"/>
  <c r="P68" i="4"/>
  <c r="R67" i="4"/>
  <c r="Q67" i="4"/>
  <c r="S70" i="4" l="1"/>
  <c r="P69" i="4"/>
  <c r="R68" i="4"/>
  <c r="Q68" i="4"/>
  <c r="P70" i="4" l="1"/>
  <c r="S71" i="4"/>
  <c r="R69" i="4"/>
  <c r="Q69" i="4"/>
  <c r="P71" i="4" l="1"/>
  <c r="S72" i="4"/>
  <c r="Q70" i="4"/>
  <c r="R70" i="4"/>
  <c r="Q71" i="4" l="1"/>
  <c r="R71" i="4"/>
  <c r="S73" i="4"/>
  <c r="P72" i="4"/>
  <c r="Q72" i="4" l="1"/>
  <c r="R72" i="4"/>
  <c r="S74" i="4"/>
  <c r="P73" i="4"/>
  <c r="S75" i="4" l="1"/>
  <c r="P75" i="4" s="1"/>
  <c r="P74" i="4"/>
  <c r="R73" i="4"/>
  <c r="Q73" i="4"/>
  <c r="R75" i="4" l="1"/>
  <c r="Q75" i="4"/>
  <c r="Q81" i="4" s="1"/>
  <c r="P81" i="4"/>
  <c r="R74" i="4"/>
  <c r="Q74" i="4"/>
  <c r="D68" i="1" l="1"/>
  <c r="E71" i="1" s="1"/>
  <c r="I17" i="2"/>
  <c r="I10" i="2" l="1"/>
  <c r="I9" i="2"/>
  <c r="I73" i="2"/>
  <c r="I68" i="2"/>
  <c r="I19" i="2"/>
  <c r="I35" i="2"/>
  <c r="I50" i="2"/>
  <c r="E84" i="2" l="1"/>
  <c r="O81" i="2"/>
  <c r="M81" i="2"/>
  <c r="J81" i="2"/>
  <c r="H81" i="2"/>
  <c r="G81" i="2"/>
  <c r="N75" i="2"/>
  <c r="I75" i="2"/>
  <c r="K75" i="2" s="1"/>
  <c r="L75" i="2" s="1"/>
  <c r="N74" i="2"/>
  <c r="I74" i="2"/>
  <c r="K74" i="2" s="1"/>
  <c r="L74" i="2" s="1"/>
  <c r="N73" i="2"/>
  <c r="K73" i="2"/>
  <c r="L73" i="2" s="1"/>
  <c r="N72" i="2"/>
  <c r="K72" i="2"/>
  <c r="L72" i="2" s="1"/>
  <c r="N71" i="2"/>
  <c r="K71" i="2"/>
  <c r="L71" i="2" s="1"/>
  <c r="N70" i="2"/>
  <c r="K70" i="2"/>
  <c r="L70" i="2" s="1"/>
  <c r="N69" i="2"/>
  <c r="I69" i="2"/>
  <c r="K69" i="2" s="1"/>
  <c r="L69" i="2" s="1"/>
  <c r="N68" i="2"/>
  <c r="K68" i="2"/>
  <c r="L68" i="2" s="1"/>
  <c r="N67" i="2"/>
  <c r="I67" i="2"/>
  <c r="K67" i="2" s="1"/>
  <c r="L67" i="2" s="1"/>
  <c r="N66" i="2"/>
  <c r="K66" i="2"/>
  <c r="L66" i="2" s="1"/>
  <c r="I66" i="2"/>
  <c r="N65" i="2"/>
  <c r="K65" i="2"/>
  <c r="L65" i="2" s="1"/>
  <c r="N64" i="2"/>
  <c r="K64" i="2"/>
  <c r="L64" i="2" s="1"/>
  <c r="N63" i="2"/>
  <c r="I63" i="2"/>
  <c r="K63" i="2" s="1"/>
  <c r="L63" i="2" s="1"/>
  <c r="N62" i="2"/>
  <c r="K62" i="2"/>
  <c r="L62" i="2" s="1"/>
  <c r="N61" i="2"/>
  <c r="I61" i="2"/>
  <c r="K61" i="2" s="1"/>
  <c r="L61" i="2" s="1"/>
  <c r="N60" i="2"/>
  <c r="K60" i="2"/>
  <c r="L60" i="2" s="1"/>
  <c r="N59" i="2"/>
  <c r="I59" i="2"/>
  <c r="K59" i="2" s="1"/>
  <c r="L59" i="2" s="1"/>
  <c r="N58" i="2"/>
  <c r="I58" i="2"/>
  <c r="K58" i="2" s="1"/>
  <c r="L58" i="2" s="1"/>
  <c r="N57" i="2"/>
  <c r="I57" i="2"/>
  <c r="K57" i="2" s="1"/>
  <c r="L57" i="2" s="1"/>
  <c r="N56" i="2"/>
  <c r="K56" i="2"/>
  <c r="L56" i="2" s="1"/>
  <c r="N55" i="2"/>
  <c r="I55" i="2"/>
  <c r="K55" i="2" s="1"/>
  <c r="L55" i="2" s="1"/>
  <c r="N54" i="2"/>
  <c r="I54" i="2"/>
  <c r="K54" i="2" s="1"/>
  <c r="L54" i="2" s="1"/>
  <c r="N53" i="2"/>
  <c r="I53" i="2"/>
  <c r="K53" i="2" s="1"/>
  <c r="L53" i="2" s="1"/>
  <c r="N52" i="2"/>
  <c r="I52" i="2"/>
  <c r="K52" i="2" s="1"/>
  <c r="L52" i="2" s="1"/>
  <c r="N51" i="2"/>
  <c r="K51" i="2"/>
  <c r="L51" i="2" s="1"/>
  <c r="N50" i="2"/>
  <c r="K50" i="2"/>
  <c r="L50" i="2" s="1"/>
  <c r="N49" i="2"/>
  <c r="I49" i="2"/>
  <c r="K49" i="2" s="1"/>
  <c r="L49" i="2" s="1"/>
  <c r="N48" i="2"/>
  <c r="I48" i="2"/>
  <c r="K48" i="2" s="1"/>
  <c r="L48" i="2" s="1"/>
  <c r="N47" i="2"/>
  <c r="I47" i="2"/>
  <c r="K47" i="2" s="1"/>
  <c r="L47" i="2" s="1"/>
  <c r="N46" i="2"/>
  <c r="K46" i="2"/>
  <c r="L46" i="2" s="1"/>
  <c r="N45" i="2"/>
  <c r="K45" i="2"/>
  <c r="L45" i="2" s="1"/>
  <c r="N44" i="2"/>
  <c r="K44" i="2"/>
  <c r="L44" i="2" s="1"/>
  <c r="N43" i="2"/>
  <c r="K43" i="2"/>
  <c r="L43" i="2" s="1"/>
  <c r="N42" i="2"/>
  <c r="K42" i="2"/>
  <c r="L42" i="2" s="1"/>
  <c r="N41" i="2"/>
  <c r="I41" i="2"/>
  <c r="K41" i="2" s="1"/>
  <c r="L41" i="2" s="1"/>
  <c r="N40" i="2"/>
  <c r="I40" i="2"/>
  <c r="K40" i="2" s="1"/>
  <c r="L40" i="2" s="1"/>
  <c r="N39" i="2"/>
  <c r="I39" i="2"/>
  <c r="K39" i="2" s="1"/>
  <c r="L39" i="2" s="1"/>
  <c r="N38" i="2"/>
  <c r="I38" i="2"/>
  <c r="K38" i="2" s="1"/>
  <c r="L38" i="2" s="1"/>
  <c r="N37" i="2"/>
  <c r="K37" i="2"/>
  <c r="L37" i="2" s="1"/>
  <c r="N36" i="2"/>
  <c r="I36" i="2"/>
  <c r="K36" i="2" s="1"/>
  <c r="L36" i="2" s="1"/>
  <c r="N35" i="2"/>
  <c r="K35" i="2"/>
  <c r="L35" i="2" s="1"/>
  <c r="N34" i="2"/>
  <c r="I34" i="2"/>
  <c r="K34" i="2" s="1"/>
  <c r="L34" i="2" s="1"/>
  <c r="N33" i="2"/>
  <c r="I33" i="2"/>
  <c r="K33" i="2" s="1"/>
  <c r="L33" i="2" s="1"/>
  <c r="N32" i="2"/>
  <c r="K32" i="2"/>
  <c r="L32" i="2" s="1"/>
  <c r="N31" i="2"/>
  <c r="I31" i="2"/>
  <c r="K31" i="2" s="1"/>
  <c r="L31" i="2" s="1"/>
  <c r="N30" i="2"/>
  <c r="K30" i="2"/>
  <c r="L30" i="2" s="1"/>
  <c r="I30" i="2"/>
  <c r="N29" i="2"/>
  <c r="I29" i="2"/>
  <c r="K29" i="2" s="1"/>
  <c r="L29" i="2" s="1"/>
  <c r="N28" i="2"/>
  <c r="K28" i="2"/>
  <c r="L28" i="2" s="1"/>
  <c r="N27" i="2"/>
  <c r="K27" i="2"/>
  <c r="L27" i="2" s="1"/>
  <c r="N26" i="2"/>
  <c r="I26" i="2"/>
  <c r="K26" i="2" s="1"/>
  <c r="L26" i="2" s="1"/>
  <c r="N25" i="2"/>
  <c r="K25" i="2"/>
  <c r="L25" i="2" s="1"/>
  <c r="N24" i="2"/>
  <c r="K24" i="2"/>
  <c r="L24" i="2" s="1"/>
  <c r="N23" i="2"/>
  <c r="K23" i="2"/>
  <c r="L23" i="2" s="1"/>
  <c r="N22" i="2"/>
  <c r="I22" i="2"/>
  <c r="K22" i="2" s="1"/>
  <c r="L22" i="2" s="1"/>
  <c r="N21" i="2"/>
  <c r="I21" i="2"/>
  <c r="K21" i="2" s="1"/>
  <c r="L21" i="2" s="1"/>
  <c r="N20" i="2"/>
  <c r="I20" i="2"/>
  <c r="K20" i="2" s="1"/>
  <c r="L20" i="2" s="1"/>
  <c r="N19" i="2"/>
  <c r="K19" i="2"/>
  <c r="L19" i="2" s="1"/>
  <c r="N18" i="2"/>
  <c r="I18" i="2"/>
  <c r="K18" i="2" s="1"/>
  <c r="L18" i="2" s="1"/>
  <c r="N17" i="2"/>
  <c r="K17" i="2"/>
  <c r="L17" i="2" s="1"/>
  <c r="N16" i="2"/>
  <c r="K16" i="2"/>
  <c r="L16" i="2" s="1"/>
  <c r="N15" i="2"/>
  <c r="K15" i="2"/>
  <c r="L15" i="2" s="1"/>
  <c r="N14" i="2"/>
  <c r="K14" i="2"/>
  <c r="L14" i="2" s="1"/>
  <c r="N13" i="2"/>
  <c r="I13" i="2"/>
  <c r="N12" i="2"/>
  <c r="I12" i="2"/>
  <c r="K12" i="2" s="1"/>
  <c r="L12" i="2" s="1"/>
  <c r="N11" i="2"/>
  <c r="I11" i="2"/>
  <c r="K11" i="2" s="1"/>
  <c r="L11" i="2" s="1"/>
  <c r="N10" i="2"/>
  <c r="K10" i="2"/>
  <c r="L10" i="2" s="1"/>
  <c r="N9" i="2"/>
  <c r="K9" i="2"/>
  <c r="L9" i="2" s="1"/>
  <c r="N8" i="2"/>
  <c r="K8" i="2"/>
  <c r="L8" i="2" s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S7" i="2"/>
  <c r="S8" i="2" s="1"/>
  <c r="N7" i="2"/>
  <c r="K7" i="2"/>
  <c r="I7" i="2"/>
  <c r="D7" i="2"/>
  <c r="N6" i="2"/>
  <c r="P5" i="2"/>
  <c r="E2" i="2"/>
  <c r="B130" i="1"/>
  <c r="B119" i="1" s="1"/>
  <c r="E87" i="1"/>
  <c r="E92" i="1" s="1"/>
  <c r="B97" i="1" s="1"/>
  <c r="E51" i="1"/>
  <c r="E52" i="1" s="1"/>
  <c r="E45" i="1"/>
  <c r="E46" i="1" s="1"/>
  <c r="A45" i="1"/>
  <c r="A46" i="1" s="1"/>
  <c r="D30" i="1"/>
  <c r="D28" i="1"/>
  <c r="G28" i="1" l="1"/>
  <c r="G30" i="1" s="1"/>
  <c r="G32" i="1" s="1"/>
  <c r="E33" i="1"/>
  <c r="E79" i="1"/>
  <c r="K6" i="2"/>
  <c r="K13" i="2"/>
  <c r="L13" i="2" s="1"/>
  <c r="B96" i="1"/>
  <c r="B111" i="1" s="1"/>
  <c r="P8" i="2"/>
  <c r="S9" i="2"/>
  <c r="B107" i="1"/>
  <c r="N81" i="2"/>
  <c r="L7" i="2"/>
  <c r="P7" i="2" s="1"/>
  <c r="I81" i="2"/>
  <c r="B121" i="1" s="1"/>
  <c r="K81" i="2" l="1"/>
  <c r="L6" i="2"/>
  <c r="P6" i="2" s="1"/>
  <c r="R6" i="2" s="1"/>
  <c r="B94" i="1"/>
  <c r="B95" i="1"/>
  <c r="B117" i="1" s="1"/>
  <c r="B118" i="1"/>
  <c r="R7" i="2"/>
  <c r="Q7" i="2"/>
  <c r="P9" i="2"/>
  <c r="S10" i="2"/>
  <c r="R8" i="2"/>
  <c r="Q8" i="2"/>
  <c r="B105" i="1"/>
  <c r="B123" i="1" l="1"/>
  <c r="Q6" i="2"/>
  <c r="B110" i="1"/>
  <c r="B112" i="1" s="1"/>
  <c r="R9" i="2"/>
  <c r="Q9" i="2"/>
  <c r="S11" i="2"/>
  <c r="P10" i="2"/>
  <c r="S12" i="2" l="1"/>
  <c r="P11" i="2"/>
  <c r="R10" i="2"/>
  <c r="Q10" i="2"/>
  <c r="R11" i="2" l="1"/>
  <c r="Q11" i="2"/>
  <c r="S13" i="2"/>
  <c r="P12" i="2"/>
  <c r="R12" i="2" l="1"/>
  <c r="Q12" i="2"/>
  <c r="S14" i="2"/>
  <c r="P13" i="2"/>
  <c r="Q13" i="2" l="1"/>
  <c r="R13" i="2"/>
  <c r="P14" i="2"/>
  <c r="S15" i="2"/>
  <c r="R14" i="2" l="1"/>
  <c r="Q14" i="2"/>
  <c r="P15" i="2"/>
  <c r="S16" i="2"/>
  <c r="R15" i="2" l="1"/>
  <c r="Q15" i="2"/>
  <c r="S17" i="2"/>
  <c r="P16" i="2"/>
  <c r="S18" i="2" l="1"/>
  <c r="P17" i="2"/>
  <c r="R16" i="2"/>
  <c r="Q16" i="2"/>
  <c r="R17" i="2" l="1"/>
  <c r="Q17" i="2"/>
  <c r="S19" i="2"/>
  <c r="P18" i="2"/>
  <c r="R18" i="2" l="1"/>
  <c r="Q18" i="2"/>
  <c r="S20" i="2"/>
  <c r="P19" i="2"/>
  <c r="Q19" i="2" l="1"/>
  <c r="R19" i="2"/>
  <c r="S21" i="2"/>
  <c r="P20" i="2"/>
  <c r="P21" i="2" l="1"/>
  <c r="S22" i="2"/>
  <c r="R20" i="2"/>
  <c r="Q20" i="2"/>
  <c r="P22" i="2" l="1"/>
  <c r="S23" i="2"/>
  <c r="R21" i="2"/>
  <c r="Q21" i="2"/>
  <c r="R22" i="2" l="1"/>
  <c r="Q22" i="2"/>
  <c r="S24" i="2"/>
  <c r="P23" i="2"/>
  <c r="R23" i="2" l="1"/>
  <c r="Q23" i="2"/>
  <c r="S25" i="2"/>
  <c r="P24" i="2"/>
  <c r="P25" i="2" l="1"/>
  <c r="S26" i="2"/>
  <c r="Q24" i="2"/>
  <c r="R24" i="2"/>
  <c r="S27" i="2" l="1"/>
  <c r="P26" i="2"/>
  <c r="Q25" i="2"/>
  <c r="R25" i="2"/>
  <c r="R26" i="2" l="1"/>
  <c r="Q26" i="2"/>
  <c r="P27" i="2"/>
  <c r="S28" i="2"/>
  <c r="Q27" i="2" l="1"/>
  <c r="R27" i="2"/>
  <c r="S29" i="2"/>
  <c r="P28" i="2"/>
  <c r="R28" i="2" l="1"/>
  <c r="Q28" i="2"/>
  <c r="P29" i="2"/>
  <c r="S30" i="2"/>
  <c r="Q29" i="2" l="1"/>
  <c r="R29" i="2"/>
  <c r="S31" i="2"/>
  <c r="P30" i="2"/>
  <c r="R30" i="2" l="1"/>
  <c r="Q30" i="2"/>
  <c r="S32" i="2"/>
  <c r="P31" i="2"/>
  <c r="S33" i="2" l="1"/>
  <c r="P32" i="2"/>
  <c r="Q31" i="2"/>
  <c r="R31" i="2"/>
  <c r="R32" i="2" l="1"/>
  <c r="Q32" i="2"/>
  <c r="P33" i="2"/>
  <c r="S34" i="2"/>
  <c r="P34" i="2" l="1"/>
  <c r="S35" i="2"/>
  <c r="Q33" i="2"/>
  <c r="R33" i="2"/>
  <c r="S36" i="2" l="1"/>
  <c r="P35" i="2"/>
  <c r="R34" i="2"/>
  <c r="Q34" i="2"/>
  <c r="R35" i="2" l="1"/>
  <c r="Q35" i="2"/>
  <c r="S37" i="2"/>
  <c r="P36" i="2"/>
  <c r="S38" i="2" l="1"/>
  <c r="P37" i="2"/>
  <c r="Q36" i="2"/>
  <c r="R36" i="2"/>
  <c r="Q37" i="2" l="1"/>
  <c r="R37" i="2"/>
  <c r="S39" i="2"/>
  <c r="P38" i="2"/>
  <c r="R38" i="2" l="1"/>
  <c r="Q38" i="2"/>
  <c r="P39" i="2"/>
  <c r="S40" i="2"/>
  <c r="Q39" i="2" l="1"/>
  <c r="R39" i="2"/>
  <c r="S41" i="2"/>
  <c r="P40" i="2"/>
  <c r="P41" i="2" l="1"/>
  <c r="S42" i="2"/>
  <c r="R40" i="2"/>
  <c r="Q40" i="2"/>
  <c r="S43" i="2" l="1"/>
  <c r="P42" i="2"/>
  <c r="Q41" i="2"/>
  <c r="R41" i="2"/>
  <c r="R42" i="2" l="1"/>
  <c r="Q42" i="2"/>
  <c r="S44" i="2"/>
  <c r="P43" i="2"/>
  <c r="Q43" i="2" l="1"/>
  <c r="R43" i="2"/>
  <c r="S45" i="2"/>
  <c r="P44" i="2"/>
  <c r="Q44" i="2" l="1"/>
  <c r="R44" i="2"/>
  <c r="S46" i="2"/>
  <c r="P45" i="2"/>
  <c r="Q45" i="2" l="1"/>
  <c r="R45" i="2"/>
  <c r="P46" i="2"/>
  <c r="S47" i="2"/>
  <c r="Q46" i="2" l="1"/>
  <c r="R46" i="2"/>
  <c r="S48" i="2"/>
  <c r="P47" i="2"/>
  <c r="R47" i="2" l="1"/>
  <c r="Q47" i="2"/>
  <c r="P48" i="2"/>
  <c r="S49" i="2"/>
  <c r="P49" i="2" l="1"/>
  <c r="S50" i="2"/>
  <c r="Q48" i="2"/>
  <c r="R48" i="2"/>
  <c r="S51" i="2" l="1"/>
  <c r="P50" i="2"/>
  <c r="R49" i="2"/>
  <c r="Q49" i="2"/>
  <c r="R50" i="2" l="1"/>
  <c r="Q50" i="2"/>
  <c r="S52" i="2"/>
  <c r="P51" i="2"/>
  <c r="Q51" i="2" l="1"/>
  <c r="R51" i="2"/>
  <c r="S53" i="2"/>
  <c r="P52" i="2"/>
  <c r="R52" i="2" l="1"/>
  <c r="Q52" i="2"/>
  <c r="S54" i="2"/>
  <c r="P53" i="2"/>
  <c r="S55" i="2" l="1"/>
  <c r="P54" i="2"/>
  <c r="Q53" i="2"/>
  <c r="R53" i="2"/>
  <c r="R54" i="2" l="1"/>
  <c r="Q54" i="2"/>
  <c r="P55" i="2"/>
  <c r="S56" i="2"/>
  <c r="S57" i="2" l="1"/>
  <c r="P56" i="2"/>
  <c r="Q55" i="2"/>
  <c r="R55" i="2"/>
  <c r="R56" i="2" l="1"/>
  <c r="Q56" i="2"/>
  <c r="P57" i="2"/>
  <c r="S58" i="2"/>
  <c r="Q57" i="2" l="1"/>
  <c r="R57" i="2"/>
  <c r="S59" i="2"/>
  <c r="P58" i="2"/>
  <c r="R58" i="2" l="1"/>
  <c r="Q58" i="2"/>
  <c r="S60" i="2"/>
  <c r="P59" i="2"/>
  <c r="Q59" i="2" l="1"/>
  <c r="R59" i="2"/>
  <c r="P60" i="2"/>
  <c r="S61" i="2"/>
  <c r="Q60" i="2" l="1"/>
  <c r="R60" i="2"/>
  <c r="P61" i="2"/>
  <c r="S62" i="2"/>
  <c r="R61" i="2" l="1"/>
  <c r="Q61" i="2"/>
  <c r="S63" i="2"/>
  <c r="P62" i="2"/>
  <c r="R62" i="2" l="1"/>
  <c r="Q62" i="2"/>
  <c r="S64" i="2"/>
  <c r="P63" i="2"/>
  <c r="Q63" i="2" l="1"/>
  <c r="R63" i="2"/>
  <c r="S65" i="2"/>
  <c r="P64" i="2"/>
  <c r="Q64" i="2" l="1"/>
  <c r="R64" i="2"/>
  <c r="P65" i="2"/>
  <c r="S66" i="2"/>
  <c r="Q65" i="2" l="1"/>
  <c r="R65" i="2"/>
  <c r="S67" i="2"/>
  <c r="P66" i="2"/>
  <c r="R66" i="2" l="1"/>
  <c r="Q66" i="2"/>
  <c r="S68" i="2"/>
  <c r="P67" i="2"/>
  <c r="Q67" i="2" l="1"/>
  <c r="R67" i="2"/>
  <c r="P68" i="2"/>
  <c r="S69" i="2"/>
  <c r="S70" i="2" l="1"/>
  <c r="P69" i="2"/>
  <c r="Q68" i="2"/>
  <c r="R68" i="2"/>
  <c r="R69" i="2" l="1"/>
  <c r="Q69" i="2"/>
  <c r="S71" i="2"/>
  <c r="P70" i="2"/>
  <c r="Q70" i="2" l="1"/>
  <c r="R70" i="2"/>
  <c r="S72" i="2"/>
  <c r="P71" i="2"/>
  <c r="S73" i="2" l="1"/>
  <c r="P72" i="2"/>
  <c r="Q71" i="2"/>
  <c r="R71" i="2"/>
  <c r="R72" i="2" l="1"/>
  <c r="Q72" i="2"/>
  <c r="P73" i="2"/>
  <c r="S74" i="2"/>
  <c r="S75" i="2" l="1"/>
  <c r="P75" i="2" s="1"/>
  <c r="P74" i="2"/>
  <c r="Q73" i="2"/>
  <c r="R73" i="2"/>
  <c r="R74" i="2" l="1"/>
  <c r="Q74" i="2"/>
  <c r="Q75" i="2"/>
  <c r="R75" i="2"/>
  <c r="P81" i="2"/>
  <c r="Q81" i="2" l="1"/>
</calcChain>
</file>

<file path=xl/sharedStrings.xml><?xml version="1.0" encoding="utf-8"?>
<sst xmlns="http://schemas.openxmlformats.org/spreadsheetml/2006/main" count="577" uniqueCount="241">
  <si>
    <t>MAIL: consorciogorriti368@gmail.com</t>
  </si>
  <si>
    <t>CUIT ADMINISTRACION: 27231256879</t>
  </si>
  <si>
    <t>CBU: 0290034600000502294350</t>
  </si>
  <si>
    <t>TELEFONO: 11 5320-2676</t>
  </si>
  <si>
    <t>LIQUIDACION DE EXPENSAS</t>
  </si>
  <si>
    <t>ADMINISTRADORA: CAROLINA CANCIANI MP:1148</t>
  </si>
  <si>
    <t>CUIT DEL EDIFICIO: 30583957819</t>
  </si>
  <si>
    <t>HORARIOS DE ATENCION: LUNES A VIERNES</t>
  </si>
  <si>
    <t>CONSORCIO DE PROPIETARIOS DEL EDIFICIO CALLE GORRITI 368</t>
  </si>
  <si>
    <t>10 A 16HS - EMERGENCIAS 24HS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</si>
  <si>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</si>
  <si>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ORDINARIOS UNIDADES FUNCIONALES:</t>
  </si>
  <si>
    <t>HABERES ENCARGADOS</t>
  </si>
  <si>
    <t>Sueldo encargado Colmiero Oscar</t>
  </si>
  <si>
    <t xml:space="preserve">Retenciones </t>
  </si>
  <si>
    <t>Neto</t>
  </si>
  <si>
    <t>Sueldo encargado Balcazza Leonardo</t>
  </si>
  <si>
    <t>TOTAL SUELDO</t>
  </si>
  <si>
    <t>HONORARIOS</t>
  </si>
  <si>
    <t xml:space="preserve">TOTAL </t>
  </si>
  <si>
    <t xml:space="preserve">SEGUROS </t>
  </si>
  <si>
    <t>Seguro Integral consorcio San Cristobal - Poliza 01-05-07-30183461</t>
  </si>
  <si>
    <t>TOTAL IMPUESTO</t>
  </si>
  <si>
    <t>APORTES Y CONTRIBUCIONES</t>
  </si>
  <si>
    <t xml:space="preserve">ARCA </t>
  </si>
  <si>
    <t>Fatheryh</t>
  </si>
  <si>
    <t>Suther</t>
  </si>
  <si>
    <t>Seracarh</t>
  </si>
  <si>
    <t>TOTAL Aportes y Contribuciones - Sindicato</t>
  </si>
  <si>
    <t>ABONOS Y SERVICIOS</t>
  </si>
  <si>
    <t>EDESUR - Cliente nro. 828563</t>
  </si>
  <si>
    <t>EDESUR - Cliente nro. 01672309</t>
  </si>
  <si>
    <t>EDESUR - Cliente nro. 01672321</t>
  </si>
  <si>
    <t>EDESUR - Cliente nro. 01672319</t>
  </si>
  <si>
    <t xml:space="preserve">Personal Flow - Debito automatico </t>
  </si>
  <si>
    <t>AYSA - Nro de cliente 3888610</t>
  </si>
  <si>
    <t>TOTAL ABONOS Y SERVICIOS</t>
  </si>
  <si>
    <t>GASTOS GENERALES / MANTENIMIENTO</t>
  </si>
  <si>
    <t>Fumigacion Viturro Alberto</t>
  </si>
  <si>
    <t xml:space="preserve">Ascensores Lema mantenimiento </t>
  </si>
  <si>
    <t>TOTAL</t>
  </si>
  <si>
    <t>GASTOS BANCARIOS</t>
  </si>
  <si>
    <t xml:space="preserve">TOTAL ORDINARIOS </t>
  </si>
  <si>
    <t>GASTOS EXTRAORDINARIOS: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</si>
  <si>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</si>
  <si>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</si>
  <si>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</si>
  <si>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</si>
  <si>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</si>
  <si>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</si>
  <si>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</si>
  <si>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 xml:space="preserve">Ingreso </t>
  </si>
  <si>
    <t xml:space="preserve">Deposito sin identificar </t>
  </si>
  <si>
    <t>Punitorios mal cobrados</t>
  </si>
  <si>
    <t>Egresos Ordinarios</t>
  </si>
  <si>
    <t>Egresos Extraordinarios</t>
  </si>
  <si>
    <t xml:space="preserve">SALDO ANTERIOR </t>
  </si>
  <si>
    <t>Egresos del mes ordinarios</t>
  </si>
  <si>
    <t>Egresos del mes extrordinarios</t>
  </si>
  <si>
    <t>Ingresos sin identificar</t>
  </si>
  <si>
    <t>Ingresos</t>
  </si>
  <si>
    <t xml:space="preserve">Punitorios mal cobrados </t>
  </si>
  <si>
    <t>CAJA REAL</t>
  </si>
  <si>
    <t>DEPOSITOS NO IDENTIFICADOS</t>
  </si>
  <si>
    <t>Gastos 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</si>
  <si>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</si>
  <si>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</si>
  <si>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</si>
  <si>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</si>
  <si>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</si>
  <si>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</si>
  <si>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Ord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</si>
  <si>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</si>
  <si>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</si>
  <si>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</si>
  <si>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</si>
  <si>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</si>
  <si>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</si>
  <si>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</si>
  <si>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</si>
  <si>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</si>
  <si>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</si>
  <si>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LOC</t>
  </si>
  <si>
    <t>GEFFNER SILVIA E.</t>
  </si>
  <si>
    <t>este es el candel que tiene a todas sus demas ufs relacionadas</t>
  </si>
  <si>
    <t>3º</t>
  </si>
  <si>
    <t>COVILOZA S. A.</t>
  </si>
  <si>
    <t>ASIST Y TRAB.</t>
  </si>
  <si>
    <t>4º</t>
  </si>
  <si>
    <t>5º</t>
  </si>
  <si>
    <t>BENMAOR D.</t>
  </si>
  <si>
    <t>Cristian Requelme</t>
  </si>
  <si>
    <t>GALANTERNIK A</t>
  </si>
  <si>
    <t xml:space="preserve"> Miriam Larken</t>
  </si>
  <si>
    <t>6º</t>
  </si>
  <si>
    <t>CANDEL JORGE ISAAC</t>
  </si>
  <si>
    <t>BORTZ SERGIO</t>
  </si>
  <si>
    <t>Luciana</t>
  </si>
  <si>
    <t>ESTA ES LA FUNDACION DE MEDICOS</t>
  </si>
  <si>
    <t>7º</t>
  </si>
  <si>
    <t>A</t>
  </si>
  <si>
    <t>KIM SOON LEO</t>
  </si>
  <si>
    <t>8º</t>
  </si>
  <si>
    <t>B</t>
  </si>
  <si>
    <t>CANDEL MARCELO</t>
  </si>
  <si>
    <t>Florencia Fucci</t>
  </si>
  <si>
    <t>TRIPODI</t>
  </si>
  <si>
    <t>Mariela Pricolo</t>
  </si>
  <si>
    <t>9º</t>
  </si>
  <si>
    <t>MIRANDA DE GIL</t>
  </si>
  <si>
    <t xml:space="preserve">Susana </t>
  </si>
  <si>
    <t>MAXIMO</t>
  </si>
  <si>
    <t>FRAGA DORA</t>
  </si>
  <si>
    <t>10º</t>
  </si>
  <si>
    <t>SARUBBI MARTIN</t>
  </si>
  <si>
    <t>Sarubbi Adriana</t>
  </si>
  <si>
    <t>LACENTRE</t>
  </si>
  <si>
    <t>Gabriela Tamara</t>
  </si>
  <si>
    <t>11º</t>
  </si>
  <si>
    <t xml:space="preserve">FERNANDEZ BERTA               </t>
  </si>
  <si>
    <t>KRAVETZ</t>
  </si>
  <si>
    <t>VERONES JOSE MARIA</t>
  </si>
  <si>
    <t>12º</t>
  </si>
  <si>
    <t>SRUGO CARLOS</t>
  </si>
  <si>
    <t>13º</t>
  </si>
  <si>
    <t>DINOTO</t>
  </si>
  <si>
    <t>14º</t>
  </si>
  <si>
    <t>BORTZ ESTHER</t>
  </si>
  <si>
    <t>Daniel / Luciana</t>
  </si>
  <si>
    <t>15º</t>
  </si>
  <si>
    <t>COUSO MARIA CRISTINA</t>
  </si>
  <si>
    <t>COC</t>
  </si>
  <si>
    <t>POSSENTI JUAN JOSE</t>
  </si>
  <si>
    <t>VANNI KARINA</t>
  </si>
  <si>
    <t>CARRIZO RAÚL</t>
  </si>
  <si>
    <t>Noelia Villarino</t>
  </si>
  <si>
    <t>BLANCO</t>
  </si>
  <si>
    <t>GALANTE CELIA</t>
  </si>
  <si>
    <t>LEGUIZAMON PABLO</t>
  </si>
  <si>
    <t>Carla</t>
  </si>
  <si>
    <t>CANDEL E. MARCELO</t>
  </si>
  <si>
    <t>DAVICCA MIGUEL</t>
  </si>
  <si>
    <t>Romina Navarro</t>
  </si>
  <si>
    <t>GUTMAN MARIO</t>
  </si>
  <si>
    <t>PRATOLONGO EDUARDO</t>
  </si>
  <si>
    <t>CARTABBIA MARIO</t>
  </si>
  <si>
    <t>C</t>
  </si>
  <si>
    <t>NAVA HECTOR</t>
  </si>
  <si>
    <t>Marcos</t>
  </si>
  <si>
    <t>D</t>
  </si>
  <si>
    <t>BRATTOLI</t>
  </si>
  <si>
    <t>Palermo Hernan</t>
  </si>
  <si>
    <t>PALERMO</t>
  </si>
  <si>
    <t>E</t>
  </si>
  <si>
    <t>MARIA I. ROTTA</t>
  </si>
  <si>
    <t>Mabel Rodríguez</t>
  </si>
  <si>
    <t>SAIN GUILLERMO</t>
  </si>
  <si>
    <t>Jose Medina</t>
  </si>
  <si>
    <t>GOLBERG DIEGO</t>
  </si>
  <si>
    <t>Isabel Infante</t>
  </si>
  <si>
    <t>CANDEL RAÚL F.</t>
  </si>
  <si>
    <t>AZCARATE DIEGO</t>
  </si>
  <si>
    <t>MORONI MABEL</t>
  </si>
  <si>
    <t>Ines Telo</t>
  </si>
  <si>
    <t>BELEN CIACCIARELLI</t>
  </si>
  <si>
    <t>ESTA ES MARIA BELEN CIACCARELLI</t>
  </si>
  <si>
    <t>PARMA</t>
  </si>
  <si>
    <t>Ezequiel Caputo</t>
  </si>
  <si>
    <t>TORRES BASSO RUBEN</t>
  </si>
  <si>
    <t>Andrea</t>
  </si>
  <si>
    <t>Romina Barbara Lotfi</t>
  </si>
  <si>
    <t>WAINBERG LUIS</t>
  </si>
  <si>
    <t>Lionel Giglia</t>
  </si>
  <si>
    <t>STELLISANO VICTORIA</t>
  </si>
  <si>
    <t>GEFFNER JORGE RAÚL</t>
  </si>
  <si>
    <t>LUIS SAAVEDRA FERNANDO ESPINO</t>
  </si>
  <si>
    <t>REY ALICIA</t>
  </si>
  <si>
    <t>DE SERIO BOFFA</t>
  </si>
  <si>
    <t>ALVAREZ EDUARDO</t>
  </si>
  <si>
    <t>MANDELLI MARIA</t>
  </si>
  <si>
    <t>Analía Ayelen Camera</t>
  </si>
  <si>
    <t>BRITEZ M.</t>
  </si>
  <si>
    <t>Francini IGNACIO</t>
  </si>
  <si>
    <t>FERREIRO MARTA</t>
  </si>
  <si>
    <t>Jorge Sicilia</t>
  </si>
  <si>
    <t>VENTIMIGLIA SILVANA</t>
  </si>
  <si>
    <t>CIGNOLI</t>
  </si>
  <si>
    <t>Pablo Coiro</t>
  </si>
  <si>
    <t>RECHIMUZZI</t>
  </si>
  <si>
    <t>ESTA ES WANDA VERON</t>
  </si>
  <si>
    <t>RIVA MÓNICA</t>
  </si>
  <si>
    <t>PUED ETRANSFERIR DESDE GALI NELLY MABEL</t>
  </si>
  <si>
    <t>GENTILE EDUARDO</t>
  </si>
  <si>
    <t>Aldana</t>
  </si>
  <si>
    <t>GABRIEL TORRANDELLA</t>
  </si>
  <si>
    <t xml:space="preserve">Brian Alvarez </t>
  </si>
  <si>
    <t>LORUSSO DORA</t>
  </si>
  <si>
    <t>FERÁNDEZ HÉCTOR</t>
  </si>
  <si>
    <t>Melina Navarro</t>
  </si>
  <si>
    <t>KARGODORIAN SILVIA</t>
  </si>
  <si>
    <t>ALVAREZ</t>
  </si>
  <si>
    <t>DE BIAGGIO PABLO</t>
  </si>
  <si>
    <t>HONORARIOS CONTADOR GUSTAVO PADRON</t>
  </si>
  <si>
    <t>Metrogas - Cliente nro. 20463936100</t>
  </si>
  <si>
    <t>Metrogas - Cliente nro. 20495697900</t>
  </si>
  <si>
    <t>MANTENIMIENTO DE CUENTA - NO SE DEBITO NUEVAMENTE</t>
  </si>
  <si>
    <t>Transf 14/07</t>
  </si>
  <si>
    <t>Doartero mano de obra reparacion de portero</t>
  </si>
  <si>
    <t>Transf 10/07</t>
  </si>
  <si>
    <t>Articulos de limpieza</t>
  </si>
  <si>
    <t>Debito 14/07</t>
  </si>
  <si>
    <t>Transf 21/07</t>
  </si>
  <si>
    <t>Transf 17/07</t>
  </si>
  <si>
    <t>EN MAY, JUNI, JULI NO SE DEBITA EL MANTENIMIENTO DE CUENTA</t>
  </si>
  <si>
    <t>Debito 10/07</t>
  </si>
  <si>
    <t>Debito 17/07</t>
  </si>
  <si>
    <t>Ascensores Lema - Provision y colocacion de 95mts de cable de acero para sistema de caida de frenos mecanico</t>
  </si>
  <si>
    <t>Castellano Alejandro - Abono de servicio de mantenimiento de grupo electrogeno y porton</t>
  </si>
  <si>
    <t>Transf 30/07</t>
  </si>
  <si>
    <t>Sueldo Alcaraz Gisela - Reemplazo del Sr. Leonardo</t>
  </si>
  <si>
    <t>Debito 21/07</t>
  </si>
  <si>
    <t>PRESUPUESTO LEMA</t>
  </si>
  <si>
    <t>Presupuesto</t>
  </si>
  <si>
    <t>Efectivo</t>
  </si>
  <si>
    <t>PREVISION ORDINARIA - ADECUACION EDESUR - LIMPIEZA DE TANQUES - GASTOS VARIOS QUE NO SE REALIZAN POR FALTA DE CAJA</t>
  </si>
  <si>
    <t>Ingreso sin identificar ya identificado Diciembre 24</t>
  </si>
  <si>
    <t>Doartero Mano de obra y materiales recubrimiento de caño bajada</t>
  </si>
  <si>
    <t>Transf 22/08</t>
  </si>
  <si>
    <t>Sanitarios roma - Materiales</t>
  </si>
  <si>
    <t>Transf 19/08</t>
  </si>
  <si>
    <t>Matafuegos FIRE - Recarga</t>
  </si>
  <si>
    <t>Doartero Mano de obra cañeria principal de subida de tanque</t>
  </si>
  <si>
    <t>Transf 18/08</t>
  </si>
  <si>
    <t>PMC 12/08</t>
  </si>
  <si>
    <t>Transf 11/08</t>
  </si>
  <si>
    <t>Doartero Mano de obra reparacion y cambio de luces piso 13</t>
  </si>
  <si>
    <t>Transf 01/08</t>
  </si>
  <si>
    <t>VTO 15/09</t>
  </si>
  <si>
    <t>PERÍODO: AGOSTO</t>
  </si>
  <si>
    <t>Sindicatos mes de AGOSTO</t>
  </si>
  <si>
    <t>HONORARIOS ADMINISTRACION RC - SE ABONA EL MES JULIO - SE DEBE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</si>
</sst>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  <numFmt numFmtId="169" formatCode="#,##0.00_ ;[Red]\-#,##0.00\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EE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1" fillId="0" borderId="0"/>
    <xf numFmtId="164" fontId="1" fillId="0" borderId="0"/>
    <xf numFmtId="43" fontId="1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0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6" xfId="0" applyFont="1" applyFill="1" applyBorder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5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3" fillId="0" borderId="1" xfId="0" applyNumberFormat="1" applyFont="1" applyBorder="1"/>
    <xf numFmtId="44" fontId="0" fillId="3" borderId="8" xfId="1" applyFont="1" applyFill="1" applyBorder="1" applyAlignment="1">
      <alignment vertical="center"/>
    </xf>
    <xf numFmtId="0" fontId="19" fillId="11" borderId="1" xfId="0" applyFont="1" applyFill="1" applyBorder="1"/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Alignment="1">
      <alignment vertical="center"/>
    </xf>
    <xf numFmtId="0" fontId="16" fillId="3" borderId="20" xfId="0" applyFont="1" applyFill="1" applyBorder="1" applyAlignment="1">
      <alignment horizontal="center" vertical="center" wrapText="1"/>
    </xf>
    <xf numFmtId="165" fontId="15" fillId="4" borderId="13" xfId="0" applyNumberFormat="1" applyFont="1" applyFill="1" applyBorder="1"/>
    <xf numFmtId="0" fontId="16" fillId="3" borderId="18" xfId="0" applyFont="1" applyFill="1" applyBorder="1" applyAlignment="1">
      <alignment horizontal="center" vertical="center" wrapText="1"/>
    </xf>
    <xf numFmtId="0" fontId="15" fillId="2" borderId="1" xfId="0" applyFont="1" applyFill="1" applyBorder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7" xfId="0" applyFont="1" applyFill="1" applyBorder="1"/>
    <xf numFmtId="0" fontId="15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5" fillId="0" borderId="1" xfId="0" applyNumberFormat="1" applyFont="1" applyBorder="1"/>
    <xf numFmtId="44" fontId="15" fillId="0" borderId="1" xfId="1" applyFont="1" applyBorder="1"/>
    <xf numFmtId="165" fontId="15" fillId="0" borderId="1" xfId="1" applyNumberFormat="1" applyFont="1" applyBorder="1"/>
    <xf numFmtId="44" fontId="15" fillId="0" borderId="6" xfId="1" applyFont="1" applyBorder="1"/>
    <xf numFmtId="44" fontId="20" fillId="0" borderId="27" xfId="1" applyFont="1" applyBorder="1"/>
    <xf numFmtId="44" fontId="20" fillId="0" borderId="6" xfId="1" applyFont="1" applyBorder="1"/>
    <xf numFmtId="44" fontId="20" fillId="0" borderId="31" xfId="1" applyFont="1" applyBorder="1"/>
    <xf numFmtId="165" fontId="21" fillId="2" borderId="1" xfId="1" applyNumberFormat="1" applyFont="1" applyFill="1" applyBorder="1"/>
    <xf numFmtId="44" fontId="21" fillId="0" borderId="6" xfId="1" applyFont="1" applyBorder="1"/>
    <xf numFmtId="0" fontId="15" fillId="2" borderId="1" xfId="0" applyFont="1" applyFill="1" applyBorder="1" applyAlignment="1">
      <alignment wrapText="1"/>
    </xf>
    <xf numFmtId="2" fontId="15" fillId="2" borderId="1" xfId="0" applyNumberFormat="1" applyFont="1" applyFill="1" applyBorder="1" applyAlignment="1">
      <alignment horizontal="center"/>
    </xf>
    <xf numFmtId="0" fontId="15" fillId="0" borderId="7" xfId="0" applyFont="1" applyBorder="1"/>
    <xf numFmtId="0" fontId="15" fillId="0" borderId="23" xfId="0" applyFont="1" applyBorder="1"/>
    <xf numFmtId="0" fontId="15" fillId="2" borderId="2" xfId="0" applyFont="1" applyFill="1" applyBorder="1"/>
    <xf numFmtId="2" fontId="15" fillId="2" borderId="2" xfId="0" applyNumberFormat="1" applyFont="1" applyFill="1" applyBorder="1" applyAlignment="1">
      <alignment horizontal="center"/>
    </xf>
    <xf numFmtId="44" fontId="20" fillId="0" borderId="2" xfId="1" applyFont="1" applyBorder="1"/>
    <xf numFmtId="44" fontId="20" fillId="2" borderId="2" xfId="1" applyFont="1" applyFill="1" applyBorder="1"/>
    <xf numFmtId="165" fontId="20" fillId="2" borderId="2" xfId="1" applyNumberFormat="1" applyFont="1" applyFill="1" applyBorder="1"/>
    <xf numFmtId="165" fontId="15" fillId="0" borderId="2" xfId="0" applyNumberFormat="1" applyFont="1" applyBorder="1"/>
    <xf numFmtId="165" fontId="15" fillId="0" borderId="2" xfId="1" applyNumberFormat="1" applyFont="1" applyBorder="1"/>
    <xf numFmtId="44" fontId="15" fillId="0" borderId="26" xfId="1" applyFont="1" applyBorder="1"/>
    <xf numFmtId="0" fontId="15" fillId="0" borderId="2" xfId="0" applyFont="1" applyBorder="1" applyAlignment="1">
      <alignment wrapText="1"/>
    </xf>
    <xf numFmtId="0" fontId="15" fillId="2" borderId="18" xfId="0" applyFont="1" applyFill="1" applyBorder="1"/>
    <xf numFmtId="0" fontId="15" fillId="0" borderId="2" xfId="0" applyFont="1" applyBorder="1"/>
    <xf numFmtId="44" fontId="20" fillId="0" borderId="28" xfId="1" applyFont="1" applyBorder="1"/>
    <xf numFmtId="44" fontId="20" fillId="0" borderId="30" xfId="1" applyFont="1" applyBorder="1"/>
    <xf numFmtId="44" fontId="20" fillId="0" borderId="32" xfId="1" applyFont="1" applyBorder="1"/>
    <xf numFmtId="0" fontId="15" fillId="10" borderId="21" xfId="0" applyFont="1" applyFill="1" applyBorder="1"/>
    <xf numFmtId="0" fontId="15" fillId="4" borderId="29" xfId="0" applyFont="1" applyFill="1" applyBorder="1"/>
    <xf numFmtId="0" fontId="15" fillId="4" borderId="13" xfId="0" applyFont="1" applyFill="1" applyBorder="1"/>
    <xf numFmtId="0" fontId="15" fillId="4" borderId="13" xfId="0" applyFont="1" applyFill="1" applyBorder="1" applyAlignment="1">
      <alignment horizontal="center"/>
    </xf>
    <xf numFmtId="44" fontId="15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165" fontId="15" fillId="2" borderId="1" xfId="0" applyNumberFormat="1" applyFont="1" applyFill="1" applyBorder="1"/>
    <xf numFmtId="44" fontId="13" fillId="8" borderId="8" xfId="1" applyFont="1" applyFill="1" applyBorder="1" applyAlignment="1">
      <alignment vertical="center"/>
    </xf>
    <xf numFmtId="0" fontId="4" fillId="0" borderId="1" xfId="0" applyFont="1" applyBorder="1"/>
    <xf numFmtId="44" fontId="10" fillId="4" borderId="21" xfId="1" applyFont="1" applyFill="1" applyBorder="1"/>
    <xf numFmtId="0" fontId="22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2" fillId="2" borderId="1" xfId="1" applyFont="1" applyFill="1" applyBorder="1"/>
    <xf numFmtId="8" fontId="7" fillId="4" borderId="22" xfId="0" applyNumberFormat="1" applyFont="1" applyFill="1" applyBorder="1"/>
    <xf numFmtId="0" fontId="22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20" fillId="2" borderId="6" xfId="1" applyNumberFormat="1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5" fillId="2" borderId="0" xfId="0" applyFont="1" applyFill="1"/>
    <xf numFmtId="0" fontId="15" fillId="10" borderId="29" xfId="0" applyFont="1" applyFill="1" applyBorder="1"/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165" fontId="20" fillId="0" borderId="1" xfId="1" applyNumberFormat="1" applyFont="1" applyBorder="1"/>
    <xf numFmtId="44" fontId="8" fillId="2" borderId="6" xfId="1" applyFont="1" applyFill="1" applyBorder="1"/>
    <xf numFmtId="0" fontId="21" fillId="0" borderId="1" xfId="0" applyFont="1" applyBorder="1"/>
    <xf numFmtId="0" fontId="9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0" fontId="2" fillId="12" borderId="33" xfId="0" applyFont="1" applyFill="1" applyBorder="1" applyAlignment="1">
      <alignment horizontal="left" vertical="center" wrapText="1"/>
    </xf>
    <xf numFmtId="44" fontId="2" fillId="12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20" fillId="0" borderId="1" xfId="0" applyFont="1" applyBorder="1"/>
    <xf numFmtId="0" fontId="0" fillId="4" borderId="1" xfId="0" applyFill="1" applyBorder="1"/>
    <xf numFmtId="16" fontId="0" fillId="0" borderId="1" xfId="0" applyNumberFormat="1" applyBorder="1" applyAlignment="1">
      <alignment vertical="center" wrapText="1"/>
    </xf>
    <xf numFmtId="0" fontId="0" fillId="0" borderId="7" xfId="0" applyBorder="1"/>
    <xf numFmtId="8" fontId="4" fillId="2" borderId="1" xfId="0" applyNumberFormat="1" applyFont="1" applyFill="1" applyBorder="1"/>
    <xf numFmtId="8" fontId="23" fillId="11" borderId="1" xfId="0" applyNumberFormat="1" applyFont="1" applyFill="1" applyBorder="1"/>
    <xf numFmtId="0" fontId="4" fillId="11" borderId="1" xfId="0" applyFont="1" applyFill="1" applyBorder="1"/>
    <xf numFmtId="8" fontId="7" fillId="4" borderId="6" xfId="0" applyNumberFormat="1" applyFont="1" applyFill="1" applyBorder="1"/>
    <xf numFmtId="8" fontId="10" fillId="4" borderId="21" xfId="1" applyNumberFormat="1" applyFont="1" applyFill="1" applyBorder="1"/>
    <xf numFmtId="8" fontId="11" fillId="4" borderId="1" xfId="0" applyNumberFormat="1" applyFont="1" applyFill="1" applyBorder="1"/>
    <xf numFmtId="44" fontId="24" fillId="4" borderId="3" xfId="1" applyFont="1" applyFill="1" applyBorder="1"/>
    <xf numFmtId="44" fontId="7" fillId="4" borderId="6" xfId="1" applyFont="1" applyFill="1" applyBorder="1"/>
    <xf numFmtId="8" fontId="10" fillId="4" borderId="13" xfId="1" applyNumberFormat="1" applyFont="1" applyFill="1" applyBorder="1"/>
    <xf numFmtId="44" fontId="7" fillId="4" borderId="1" xfId="1" applyFont="1" applyFill="1" applyBorder="1"/>
    <xf numFmtId="44" fontId="10" fillId="4" borderId="1" xfId="1" applyFont="1" applyFill="1" applyBorder="1"/>
    <xf numFmtId="44" fontId="22" fillId="2" borderId="1" xfId="1" applyFont="1" applyFill="1" applyBorder="1" applyAlignment="1">
      <alignment wrapText="1"/>
    </xf>
    <xf numFmtId="44" fontId="4" fillId="2" borderId="1" xfId="1" applyFont="1" applyFill="1" applyBorder="1"/>
    <xf numFmtId="44" fontId="4" fillId="4" borderId="1" xfId="1" applyFont="1" applyFill="1" applyBorder="1"/>
    <xf numFmtId="44" fontId="22" fillId="4" borderId="3" xfId="1" applyFont="1" applyFill="1" applyBorder="1"/>
    <xf numFmtId="0" fontId="22" fillId="2" borderId="1" xfId="0" applyFont="1" applyFill="1" applyBorder="1"/>
    <xf numFmtId="0" fontId="22" fillId="2" borderId="1" xfId="1" applyNumberFormat="1" applyFont="1" applyFill="1" applyBorder="1"/>
    <xf numFmtId="0" fontId="22" fillId="2" borderId="2" xfId="1" applyNumberFormat="1" applyFont="1" applyFill="1" applyBorder="1"/>
    <xf numFmtId="44" fontId="4" fillId="4" borderId="6" xfId="1" applyFont="1" applyFill="1" applyBorder="1"/>
    <xf numFmtId="0" fontId="22" fillId="2" borderId="1" xfId="1" applyNumberFormat="1" applyFont="1" applyFill="1" applyBorder="1" applyAlignment="1">
      <alignment horizontal="left"/>
    </xf>
    <xf numFmtId="44" fontId="10" fillId="4" borderId="13" xfId="1" applyFont="1" applyFill="1" applyBorder="1"/>
    <xf numFmtId="44" fontId="10" fillId="4" borderId="2" xfId="1" applyFont="1" applyFill="1" applyBorder="1"/>
    <xf numFmtId="44" fontId="22" fillId="2" borderId="3" xfId="1" applyFont="1" applyFill="1" applyBorder="1"/>
    <xf numFmtId="0" fontId="22" fillId="0" borderId="1" xfId="1" applyNumberFormat="1" applyFont="1" applyBorder="1"/>
    <xf numFmtId="16" fontId="22" fillId="0" borderId="1" xfId="1" applyNumberFormat="1" applyFont="1" applyBorder="1"/>
    <xf numFmtId="44" fontId="22" fillId="2" borderId="3" xfId="1" applyFont="1" applyFill="1" applyBorder="1" applyAlignment="1">
      <alignment wrapText="1"/>
    </xf>
    <xf numFmtId="0" fontId="4" fillId="2" borderId="1" xfId="0" applyFont="1" applyFill="1" applyBorder="1"/>
    <xf numFmtId="165" fontId="25" fillId="0" borderId="6" xfId="1" applyNumberFormat="1" applyFont="1" applyBorder="1"/>
    <xf numFmtId="44" fontId="8" fillId="2" borderId="1" xfId="1" applyFont="1" applyFill="1" applyBorder="1"/>
    <xf numFmtId="16" fontId="22" fillId="2" borderId="1" xfId="1" applyNumberFormat="1" applyFont="1" applyFill="1" applyBorder="1" applyAlignment="1">
      <alignment horizontal="left"/>
    </xf>
    <xf numFmtId="44" fontId="26" fillId="0" borderId="1" xfId="1" applyFont="1" applyBorder="1" applyAlignment="1">
      <alignment horizontal="left" vertical="center" wrapText="1"/>
    </xf>
    <xf numFmtId="165" fontId="15" fillId="0" borderId="6" xfId="1" applyNumberFormat="1" applyFont="1" applyBorder="1"/>
    <xf numFmtId="44" fontId="4" fillId="2" borderId="1" xfId="1" applyFont="1" applyFill="1" applyBorder="1" applyAlignment="1">
      <alignment wrapText="1"/>
    </xf>
    <xf numFmtId="0" fontId="6" fillId="3" borderId="0" xfId="0" applyFont="1" applyFill="1"/>
    <xf numFmtId="0" fontId="0" fillId="3" borderId="14" xfId="0" applyFill="1" applyBorder="1"/>
    <xf numFmtId="43" fontId="0" fillId="3" borderId="12" xfId="3" applyFont="1" applyFill="1" applyBorder="1"/>
    <xf numFmtId="0" fontId="0" fillId="3" borderId="12" xfId="0" applyFill="1" applyBorder="1"/>
    <xf numFmtId="0" fontId="0" fillId="3" borderId="15" xfId="0" applyFill="1" applyBorder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0" fillId="2" borderId="1" xfId="0" applyFill="1" applyBorder="1" applyAlignment="1">
      <alignment horizontal="left" vertical="center" wrapText="1"/>
    </xf>
    <xf numFmtId="0" fontId="0" fillId="2" borderId="7" xfId="0" applyFill="1" applyBorder="1"/>
    <xf numFmtId="0" fontId="0" fillId="9" borderId="1" xfId="0" applyFill="1" applyBorder="1"/>
    <xf numFmtId="44" fontId="10" fillId="5" borderId="11" xfId="0" applyNumberFormat="1" applyFont="1" applyFill="1" applyBorder="1"/>
    <xf numFmtId="0" fontId="19" fillId="2" borderId="1" xfId="0" applyFont="1" applyFill="1" applyBorder="1"/>
    <xf numFmtId="8" fontId="4" fillId="2" borderId="0" xfId="0" applyNumberFormat="1" applyFont="1" applyFill="1"/>
    <xf numFmtId="169" fontId="4" fillId="2" borderId="0" xfId="0" applyNumberFormat="1" applyFont="1" applyFill="1"/>
    <xf numFmtId="168" fontId="4" fillId="2" borderId="0" xfId="0" applyNumberFormat="1" applyFont="1" applyFill="1"/>
    <xf numFmtId="44" fontId="4" fillId="2" borderId="1" xfId="1" applyFont="1" applyFill="1" applyBorder="1" applyAlignment="1">
      <alignment vertical="center" wrapText="1"/>
    </xf>
    <xf numFmtId="0" fontId="4" fillId="0" borderId="7" xfId="0" applyFont="1" applyBorder="1"/>
    <xf numFmtId="44" fontId="0" fillId="0" borderId="1" xfId="4" applyFont="1" applyBorder="1"/>
    <xf numFmtId="44" fontId="8" fillId="0" borderId="1" xfId="1" applyFont="1" applyBorder="1"/>
    <xf numFmtId="8" fontId="8" fillId="9" borderId="1" xfId="0" applyNumberFormat="1" applyFont="1" applyFill="1" applyBorder="1"/>
    <xf numFmtId="0" fontId="0" fillId="0" borderId="1" xfId="0" applyBorder="1" applyAlignment="1">
      <alignment horizontal="left" vertical="center" wrapText="1"/>
    </xf>
    <xf numFmtId="0" fontId="0" fillId="0" borderId="7" xfId="0" applyBorder="1"/>
    <xf numFmtId="0" fontId="18" fillId="9" borderId="0" xfId="0" applyFont="1" applyFill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center" vertical="center" wrapText="1"/>
    </xf>
    <xf numFmtId="0" fontId="0" fillId="2" borderId="7" xfId="0" applyFill="1" applyBorder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" fillId="8" borderId="6" xfId="0" applyFont="1" applyFill="1" applyBorder="1" applyAlignment="1">
      <alignment horizontal="left" vertical="center" wrapText="1"/>
    </xf>
    <xf numFmtId="0" fontId="2" fillId="8" borderId="25" xfId="0" applyFont="1" applyFill="1" applyBorder="1" applyAlignment="1">
      <alignment horizontal="left" vertical="center" wrapText="1"/>
    </xf>
    <xf numFmtId="0" fontId="2" fillId="8" borderId="36" xfId="0" applyFont="1" applyFill="1" applyBorder="1" applyAlignment="1">
      <alignment horizontal="left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0" fillId="0" borderId="19" xfId="0" applyBorder="1"/>
    <xf numFmtId="166" fontId="0" fillId="3" borderId="0" xfId="1" applyNumberFormat="1" applyFont="1" applyFill="1" applyAlignment="1">
      <alignment horizontal="center"/>
    </xf>
    <xf numFmtId="0" fontId="13" fillId="3" borderId="18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 wrapText="1"/>
    </xf>
    <xf numFmtId="0" fontId="0" fillId="0" borderId="24" xfId="0" applyBorder="1"/>
    <xf numFmtId="0" fontId="0" fillId="3" borderId="0" xfId="0" applyFill="1" applyAlignment="1">
      <alignment horizontal="left"/>
    </xf>
    <xf numFmtId="0" fontId="16" fillId="3" borderId="14" xfId="0" applyFont="1" applyFill="1" applyBorder="1" applyAlignment="1">
      <alignment horizontal="center" vertical="center" wrapText="1"/>
    </xf>
    <xf numFmtId="0" fontId="0" fillId="0" borderId="16" xfId="0" applyBorder="1"/>
    <xf numFmtId="0" fontId="13" fillId="3" borderId="18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0" fillId="0" borderId="20" xfId="0" applyBorder="1"/>
    <xf numFmtId="0" fontId="13" fillId="3" borderId="34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 wrapText="1"/>
    </xf>
  </cellXfs>
  <cellStyles count="7">
    <cellStyle name="Millares" xfId="3" builtinId="3"/>
    <cellStyle name="Millares 2" xfId="6" xr:uid="{597077D9-9C69-4BDC-9DD8-85C218DCA8E3}"/>
    <cellStyle name="Moneda" xfId="1" builtinId="4"/>
    <cellStyle name="Moneda 2" xfId="2" xr:uid="{00000000-0005-0000-0000-000002000000}"/>
    <cellStyle name="Moneda 2 2" xfId="5" xr:uid="{2349FA81-2132-404A-A966-625621B7782C}"/>
    <cellStyle name="Moneda 3" xfId="4" xr:uid="{665C8742-CD70-4B07-8D73-3FFF859DA87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47625</xdr:rowOff>
    </xdr:from>
    <xdr:to>
      <xdr:col>0</xdr:col>
      <xdr:colOff>2124075</xdr:colOff>
      <xdr:row>3</xdr:row>
      <xdr:rowOff>333376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9D21E6F4-163D-430D-8DD3-2A7C347EF9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47625"/>
          <a:ext cx="1943100" cy="866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tabSelected="1" workbookViewId="0">
      <selection activeCell="B12" sqref="B12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11" max="11" width="18" customWidth="1"/>
    <col min="12" max="12" width="18.33203125" customWidth="1"/>
  </cols>
  <sheetData>
    <row r="1" spans="1:5" ht="15.75" customHeight="1" thickBot="1" x14ac:dyDescent="0.35">
      <c r="A1" s="190"/>
      <c r="B1" s="191"/>
      <c r="C1" s="192"/>
      <c r="D1" s="192"/>
      <c r="E1" s="193"/>
    </row>
    <row r="2" spans="1:5" x14ac:dyDescent="0.3">
      <c r="A2" s="15"/>
      <c r="B2" s="189" t="s">
        <v>0</v>
      </c>
      <c r="C2" s="69"/>
      <c r="D2" s="189"/>
      <c r="E2" s="70"/>
    </row>
    <row r="3" spans="1:5" x14ac:dyDescent="0.3">
      <c r="A3" s="15"/>
      <c r="B3" s="189" t="s">
        <v>1</v>
      </c>
      <c r="C3" s="189"/>
      <c r="D3" s="189"/>
      <c r="E3" s="70"/>
    </row>
    <row r="4" spans="1:5" ht="32.25" customHeight="1" thickBot="1" x14ac:dyDescent="0.35">
      <c r="A4" s="15"/>
      <c r="B4" s="194" t="s">
        <v>2</v>
      </c>
      <c r="C4" s="189"/>
      <c r="D4" s="195" t="s">
        <v>3</v>
      </c>
      <c r="E4" s="70"/>
    </row>
    <row r="5" spans="1:5" ht="15.75" customHeight="1" thickBot="1" x14ac:dyDescent="0.35">
      <c r="A5" s="17" t="s">
        <v>4</v>
      </c>
      <c r="B5" s="107" t="s">
        <v>5</v>
      </c>
      <c r="C5" s="18"/>
      <c r="D5" s="18"/>
      <c r="E5" s="19"/>
    </row>
    <row r="6" spans="1:5" ht="15.75" customHeight="1" thickBot="1" x14ac:dyDescent="0.35">
      <c r="A6" s="15" t="s">
        <v>6</v>
      </c>
      <c r="B6" s="18" t="s">
        <v>238</v>
      </c>
      <c r="C6" s="196"/>
      <c r="D6" s="189" t="s">
        <v>7</v>
      </c>
      <c r="E6" s="16"/>
    </row>
    <row r="7" spans="1:5" ht="15.75" customHeight="1" thickBot="1" x14ac:dyDescent="0.35">
      <c r="A7" s="17" t="s">
        <v>8</v>
      </c>
      <c r="B7" s="18"/>
      <c r="C7" s="18"/>
      <c r="D7" s="18" t="s">
        <v>9</v>
      </c>
      <c r="E7" s="19"/>
    </row>
    <row r="9" spans="1:5" x14ac:dyDescent="0.3">
      <c r="B9" s="212" t="s">
        <v>237</v>
      </c>
      <c r="C9" s="213"/>
    </row>
    <row r="10" spans="1:5" x14ac:dyDescent="0.3">
      <c r="B10" s="213"/>
      <c r="C10" s="213"/>
    </row>
    <row r="11" spans="1:5" x14ac:dyDescent="0.3">
      <c r="B11" s="213"/>
      <c r="C11" s="213"/>
    </row>
    <row r="13" spans="1:5" hidden="1" x14ac:dyDescent="0.3"/>
    <row r="14" spans="1:5" ht="15" customHeight="1" x14ac:dyDescent="0.3">
      <c r="A14" s="216" t="s">
        <v>10</v>
      </c>
      <c r="B14" s="213"/>
      <c r="C14" s="213"/>
      <c r="D14" s="213"/>
      <c r="E14" s="213"/>
    </row>
    <row r="15" spans="1:5" ht="15" customHeight="1" x14ac:dyDescent="0.3">
      <c r="A15" s="213"/>
      <c r="B15" s="213"/>
      <c r="C15" s="213"/>
      <c r="D15" s="213"/>
      <c r="E15" s="213"/>
    </row>
    <row r="16" spans="1:5" ht="15" customHeight="1" x14ac:dyDescent="0.3">
      <c r="A16" s="213"/>
      <c r="B16" s="213"/>
      <c r="C16" s="213"/>
      <c r="D16" s="213"/>
      <c r="E16" s="213"/>
    </row>
    <row r="17" spans="1:8" ht="53.25" customHeight="1" x14ac:dyDescent="0.3">
      <c r="A17" s="213"/>
      <c r="B17" s="213"/>
      <c r="C17" s="213"/>
      <c r="D17" s="213"/>
      <c r="E17" s="213"/>
    </row>
    <row r="18" spans="1:8" ht="14.25" customHeight="1" thickBot="1" x14ac:dyDescent="0.35"/>
    <row r="19" spans="1:8" hidden="1" x14ac:dyDescent="0.3">
      <c r="A19" s="2"/>
    </row>
    <row r="20" spans="1:8" ht="15.75" hidden="1" customHeight="1" thickBot="1" x14ac:dyDescent="0.35"/>
    <row r="21" spans="1:8" x14ac:dyDescent="0.3">
      <c r="A21" s="11" t="s">
        <v>11</v>
      </c>
      <c r="B21" s="12"/>
      <c r="C21" s="13"/>
      <c r="D21" s="9"/>
      <c r="E21" s="14"/>
    </row>
    <row r="22" spans="1:8" x14ac:dyDescent="0.3">
      <c r="A22" s="33" t="s">
        <v>12</v>
      </c>
      <c r="B22" s="33"/>
      <c r="C22" s="33"/>
      <c r="D22" s="32"/>
      <c r="E22" s="32"/>
    </row>
    <row r="23" spans="1:8" ht="12.75" customHeight="1" x14ac:dyDescent="0.3">
      <c r="A23" s="5" t="s">
        <v>13</v>
      </c>
      <c r="B23" s="5"/>
      <c r="C23" s="5"/>
      <c r="D23" s="156">
        <v>1271490</v>
      </c>
      <c r="E23" s="152"/>
    </row>
    <row r="24" spans="1:8" hidden="1" x14ac:dyDescent="0.3">
      <c r="A24" s="5"/>
      <c r="B24" s="5"/>
      <c r="C24" s="5"/>
      <c r="D24" s="156"/>
      <c r="E24" s="112"/>
    </row>
    <row r="25" spans="1:8" hidden="1" x14ac:dyDescent="0.3">
      <c r="A25" s="5"/>
      <c r="B25" s="5"/>
      <c r="C25" s="5"/>
      <c r="D25" s="156"/>
      <c r="E25" s="112"/>
    </row>
    <row r="26" spans="1:8" hidden="1" x14ac:dyDescent="0.3">
      <c r="A26" s="5" t="s">
        <v>14</v>
      </c>
      <c r="B26" s="5"/>
      <c r="C26" s="5"/>
      <c r="D26" s="156">
        <v>0</v>
      </c>
      <c r="E26" s="112"/>
    </row>
    <row r="27" spans="1:8" hidden="1" x14ac:dyDescent="0.3">
      <c r="A27" s="5"/>
      <c r="B27" s="5"/>
      <c r="C27" s="5"/>
      <c r="D27" s="156"/>
      <c r="E27" s="112"/>
      <c r="G27" s="20"/>
    </row>
    <row r="28" spans="1:8" x14ac:dyDescent="0.3">
      <c r="A28" s="56" t="s">
        <v>15</v>
      </c>
      <c r="B28" s="56"/>
      <c r="C28" s="56"/>
      <c r="D28" s="157">
        <f>SUM(D23:D27)</f>
        <v>1271490</v>
      </c>
      <c r="E28" s="158"/>
      <c r="G28" s="202">
        <f>D28+D30</f>
        <v>2313543</v>
      </c>
    </row>
    <row r="29" spans="1:8" ht="14.25" customHeight="1" x14ac:dyDescent="0.3">
      <c r="A29" s="5" t="s">
        <v>16</v>
      </c>
      <c r="B29" s="5"/>
      <c r="C29" s="5"/>
      <c r="D29" s="156">
        <v>1042053</v>
      </c>
      <c r="E29" s="152"/>
      <c r="G29" s="204">
        <f>700000</f>
        <v>700000</v>
      </c>
    </row>
    <row r="30" spans="1:8" x14ac:dyDescent="0.3">
      <c r="A30" s="56" t="s">
        <v>15</v>
      </c>
      <c r="B30" s="56"/>
      <c r="C30" s="56"/>
      <c r="D30" s="157">
        <f>SUM(D29:D29)</f>
        <v>1042053</v>
      </c>
      <c r="E30" s="158"/>
      <c r="G30" s="203">
        <f>G28-G29</f>
        <v>1613543</v>
      </c>
    </row>
    <row r="31" spans="1:8" x14ac:dyDescent="0.3">
      <c r="A31" s="5" t="s">
        <v>219</v>
      </c>
      <c r="B31" s="201"/>
      <c r="C31" s="201"/>
      <c r="D31" s="156">
        <v>98440</v>
      </c>
      <c r="E31" s="182"/>
      <c r="G31" s="203">
        <v>-500000</v>
      </c>
      <c r="H31" t="s">
        <v>223</v>
      </c>
    </row>
    <row r="32" spans="1:8" x14ac:dyDescent="0.3">
      <c r="A32" s="56" t="s">
        <v>15</v>
      </c>
      <c r="B32" s="56"/>
      <c r="C32" s="56"/>
      <c r="D32" s="157">
        <f>SUM(D31)</f>
        <v>98440</v>
      </c>
      <c r="E32" s="158"/>
      <c r="G32" s="203">
        <f>G30+G31</f>
        <v>1113543</v>
      </c>
    </row>
    <row r="33" spans="1:8" ht="15.75" customHeight="1" thickBot="1" x14ac:dyDescent="0.35">
      <c r="A33" s="50" t="s">
        <v>17</v>
      </c>
      <c r="B33" s="50"/>
      <c r="C33" s="50"/>
      <c r="D33" s="119"/>
      <c r="E33" s="160">
        <f>D28+D30+D32</f>
        <v>2411983</v>
      </c>
      <c r="F33" s="20"/>
    </row>
    <row r="34" spans="1:8" x14ac:dyDescent="0.3">
      <c r="A34" s="33" t="s">
        <v>18</v>
      </c>
      <c r="B34" s="33"/>
      <c r="C34" s="33"/>
      <c r="D34" s="161"/>
      <c r="E34" s="162"/>
    </row>
    <row r="35" spans="1:8" ht="22.5" customHeight="1" x14ac:dyDescent="0.3">
      <c r="A35" s="215" t="s">
        <v>202</v>
      </c>
      <c r="B35" s="211"/>
      <c r="C35" s="182"/>
      <c r="D35" s="209">
        <v>90000</v>
      </c>
      <c r="E35" s="181" t="s">
        <v>206</v>
      </c>
    </row>
    <row r="36" spans="1:8" ht="27.75" customHeight="1" thickBot="1" x14ac:dyDescent="0.35">
      <c r="A36" s="214" t="s">
        <v>240</v>
      </c>
      <c r="B36" s="217"/>
      <c r="C36" s="51"/>
      <c r="D36" s="156">
        <v>249000</v>
      </c>
      <c r="E36" s="181" t="s">
        <v>206</v>
      </c>
      <c r="H36" s="136"/>
    </row>
    <row r="37" spans="1:8" ht="15.75" customHeight="1" thickBot="1" x14ac:dyDescent="0.35">
      <c r="A37" s="27" t="s">
        <v>19</v>
      </c>
      <c r="B37" s="27"/>
      <c r="C37" s="27"/>
      <c r="D37" s="163"/>
      <c r="E37" s="164">
        <f>SUM(D35:D36)</f>
        <v>339000</v>
      </c>
    </row>
    <row r="38" spans="1:8" x14ac:dyDescent="0.3">
      <c r="A38" s="33" t="s">
        <v>20</v>
      </c>
      <c r="B38" s="27"/>
      <c r="C38" s="27"/>
      <c r="D38" s="165"/>
      <c r="E38" s="166"/>
    </row>
    <row r="39" spans="1:8" s="36" customFormat="1" ht="14.25" customHeight="1" x14ac:dyDescent="0.3">
      <c r="A39" s="210" t="s">
        <v>21</v>
      </c>
      <c r="B39" s="211"/>
      <c r="C39" s="53"/>
      <c r="D39" s="188">
        <v>144149</v>
      </c>
      <c r="E39" s="167" t="s">
        <v>214</v>
      </c>
    </row>
    <row r="40" spans="1:8" ht="14.25" customHeight="1" x14ac:dyDescent="0.3">
      <c r="A40" s="210"/>
      <c r="B40" s="211"/>
      <c r="C40" s="53"/>
      <c r="D40" s="168"/>
      <c r="E40" s="167"/>
    </row>
    <row r="41" spans="1:8" ht="15.75" customHeight="1" thickBot="1" x14ac:dyDescent="0.35">
      <c r="A41" s="27" t="s">
        <v>22</v>
      </c>
      <c r="B41" s="27"/>
      <c r="C41" s="27"/>
      <c r="D41" s="163"/>
      <c r="E41" s="113">
        <f>SUM(D39:D40)</f>
        <v>144149</v>
      </c>
    </row>
    <row r="42" spans="1:8" x14ac:dyDescent="0.3">
      <c r="A42" s="33" t="s">
        <v>23</v>
      </c>
      <c r="B42" s="153"/>
      <c r="C42" s="153"/>
      <c r="D42" s="169"/>
      <c r="E42" s="170"/>
    </row>
    <row r="43" spans="1:8" x14ac:dyDescent="0.3">
      <c r="A43" s="5" t="s">
        <v>24</v>
      </c>
      <c r="B43" s="5"/>
      <c r="C43" s="51"/>
      <c r="D43" s="208">
        <v>1843741.12</v>
      </c>
      <c r="E43" s="171" t="s">
        <v>233</v>
      </c>
      <c r="G43" s="136"/>
    </row>
    <row r="44" spans="1:8" x14ac:dyDescent="0.3">
      <c r="A44" s="5" t="s">
        <v>239</v>
      </c>
      <c r="B44" s="5" t="s">
        <v>25</v>
      </c>
      <c r="C44" s="5"/>
      <c r="D44" s="184">
        <v>133047.14000000001</v>
      </c>
      <c r="E44" s="172" t="s">
        <v>210</v>
      </c>
    </row>
    <row r="45" spans="1:8" x14ac:dyDescent="0.3">
      <c r="A45" s="5" t="str">
        <f>A44</f>
        <v>Sindicatos mes de AGOSTO</v>
      </c>
      <c r="B45" s="5" t="s">
        <v>26</v>
      </c>
      <c r="C45" s="5"/>
      <c r="D45" s="184">
        <v>241435.09</v>
      </c>
      <c r="E45" s="172" t="str">
        <f>E44</f>
        <v>Debito 14/07</v>
      </c>
    </row>
    <row r="46" spans="1:8" x14ac:dyDescent="0.3">
      <c r="A46" s="5" t="str">
        <f>A45</f>
        <v>Sindicatos mes de AGOSTO</v>
      </c>
      <c r="B46" s="5" t="s">
        <v>27</v>
      </c>
      <c r="C46" s="5"/>
      <c r="D46" s="184">
        <v>14783.02</v>
      </c>
      <c r="E46" s="173" t="str">
        <f>E45</f>
        <v>Debito 14/07</v>
      </c>
    </row>
    <row r="47" spans="1:8" ht="15" customHeight="1" thickBot="1" x14ac:dyDescent="0.35">
      <c r="A47" s="27" t="s">
        <v>28</v>
      </c>
      <c r="B47" s="153"/>
      <c r="C47" s="153"/>
      <c r="D47" s="174"/>
      <c r="E47" s="113">
        <f>SUM(D43:D46)</f>
        <v>2233006.37</v>
      </c>
    </row>
    <row r="48" spans="1:8" x14ac:dyDescent="0.3">
      <c r="A48" s="33" t="s">
        <v>29</v>
      </c>
      <c r="B48" s="153"/>
      <c r="C48" s="153"/>
      <c r="D48" s="169"/>
      <c r="E48" s="170"/>
    </row>
    <row r="49" spans="1:5" ht="14.25" customHeight="1" x14ac:dyDescent="0.3">
      <c r="A49" s="5" t="s">
        <v>30</v>
      </c>
      <c r="B49" s="5"/>
      <c r="C49" s="5"/>
      <c r="D49" s="184">
        <v>1002998.17</v>
      </c>
      <c r="E49" s="179" t="s">
        <v>229</v>
      </c>
    </row>
    <row r="50" spans="1:5" ht="14.25" customHeight="1" x14ac:dyDescent="0.3">
      <c r="A50" s="5" t="s">
        <v>31</v>
      </c>
      <c r="B50" s="184"/>
      <c r="C50" s="5"/>
      <c r="D50" s="184">
        <v>23385.69</v>
      </c>
      <c r="E50" s="179" t="s">
        <v>234</v>
      </c>
    </row>
    <row r="51" spans="1:5" x14ac:dyDescent="0.3">
      <c r="A51" s="5" t="s">
        <v>32</v>
      </c>
      <c r="B51" s="5"/>
      <c r="C51" s="5"/>
      <c r="D51" s="168">
        <v>14748.22</v>
      </c>
      <c r="E51" s="175" t="str">
        <f>E50</f>
        <v>Transf 11/08</v>
      </c>
    </row>
    <row r="52" spans="1:5" x14ac:dyDescent="0.3">
      <c r="A52" s="5" t="s">
        <v>33</v>
      </c>
      <c r="B52" s="184"/>
      <c r="C52" s="5"/>
      <c r="D52" s="184">
        <v>12432.23</v>
      </c>
      <c r="E52" s="179" t="str">
        <f>E51</f>
        <v>Transf 11/08</v>
      </c>
    </row>
    <row r="53" spans="1:5" x14ac:dyDescent="0.3">
      <c r="A53" s="5" t="s">
        <v>203</v>
      </c>
      <c r="B53" s="5"/>
      <c r="C53" s="5"/>
      <c r="D53" s="184">
        <v>5586.39</v>
      </c>
      <c r="E53" s="185" t="s">
        <v>232</v>
      </c>
    </row>
    <row r="54" spans="1:5" x14ac:dyDescent="0.3">
      <c r="A54" s="5" t="s">
        <v>204</v>
      </c>
      <c r="B54" s="5"/>
      <c r="C54" s="5"/>
      <c r="D54" s="184">
        <v>2046270.6</v>
      </c>
      <c r="E54" s="185" t="s">
        <v>215</v>
      </c>
    </row>
    <row r="55" spans="1:5" x14ac:dyDescent="0.3">
      <c r="A55" s="5" t="s">
        <v>34</v>
      </c>
      <c r="B55" s="5"/>
      <c r="C55" s="5"/>
      <c r="D55" s="168">
        <v>23728.51</v>
      </c>
      <c r="E55" s="185" t="s">
        <v>220</v>
      </c>
    </row>
    <row r="56" spans="1:5" x14ac:dyDescent="0.3">
      <c r="A56" s="210" t="s">
        <v>35</v>
      </c>
      <c r="B56" s="211"/>
      <c r="C56" s="5"/>
      <c r="D56" s="184">
        <v>2168902.4</v>
      </c>
      <c r="E56" s="185" t="s">
        <v>215</v>
      </c>
    </row>
    <row r="57" spans="1:5" ht="17.25" customHeight="1" x14ac:dyDescent="0.3">
      <c r="A57" s="210"/>
      <c r="B57" s="211"/>
      <c r="C57" s="154"/>
      <c r="D57" s="205"/>
      <c r="E57" s="206"/>
    </row>
    <row r="58" spans="1:5" ht="15.75" customHeight="1" thickBot="1" x14ac:dyDescent="0.35">
      <c r="A58" s="27" t="s">
        <v>36</v>
      </c>
      <c r="B58" s="27"/>
      <c r="C58" s="27"/>
      <c r="D58" s="163"/>
      <c r="E58" s="113">
        <f>SUM(D49:D57)</f>
        <v>5298052.209999999</v>
      </c>
    </row>
    <row r="59" spans="1:5" ht="15" customHeight="1" thickBot="1" x14ac:dyDescent="0.35">
      <c r="A59" s="33" t="s">
        <v>37</v>
      </c>
      <c r="B59" s="27"/>
      <c r="C59" s="27"/>
      <c r="D59" s="163"/>
      <c r="E59" s="176"/>
    </row>
    <row r="60" spans="1:5" ht="29.4" customHeight="1" x14ac:dyDescent="0.3">
      <c r="A60" s="214" t="s">
        <v>217</v>
      </c>
      <c r="B60" s="211"/>
      <c r="C60" s="54"/>
      <c r="D60" s="168">
        <v>48400</v>
      </c>
      <c r="E60" s="179" t="s">
        <v>218</v>
      </c>
    </row>
    <row r="61" spans="1:5" x14ac:dyDescent="0.3">
      <c r="A61" s="5" t="s">
        <v>38</v>
      </c>
      <c r="B61" s="155"/>
      <c r="C61" s="5"/>
      <c r="D61" s="184">
        <v>56800</v>
      </c>
      <c r="E61" s="179" t="s">
        <v>229</v>
      </c>
    </row>
    <row r="62" spans="1:5" x14ac:dyDescent="0.3">
      <c r="A62" s="5" t="s">
        <v>39</v>
      </c>
      <c r="B62" s="155"/>
      <c r="C62" s="5"/>
      <c r="D62" s="168">
        <v>135000</v>
      </c>
      <c r="E62" s="180" t="s">
        <v>211</v>
      </c>
    </row>
    <row r="63" spans="1:5" ht="37.5" customHeight="1" x14ac:dyDescent="0.3">
      <c r="A63" s="214" t="s">
        <v>216</v>
      </c>
      <c r="B63" s="217"/>
      <c r="C63" s="5"/>
      <c r="D63" s="168">
        <v>770000</v>
      </c>
      <c r="E63" s="180" t="s">
        <v>212</v>
      </c>
    </row>
    <row r="64" spans="1:5" ht="32.25" customHeight="1" x14ac:dyDescent="0.3">
      <c r="A64" s="214" t="s">
        <v>231</v>
      </c>
      <c r="B64" s="217"/>
      <c r="C64" s="5"/>
      <c r="D64" s="141">
        <v>300000</v>
      </c>
      <c r="E64" s="180" t="s">
        <v>211</v>
      </c>
    </row>
    <row r="65" spans="1:10" ht="32.25" customHeight="1" x14ac:dyDescent="0.3">
      <c r="A65" s="214" t="s">
        <v>226</v>
      </c>
      <c r="B65" s="217"/>
      <c r="C65" s="199"/>
      <c r="D65" s="141">
        <v>300000</v>
      </c>
      <c r="E65" s="180" t="s">
        <v>227</v>
      </c>
    </row>
    <row r="66" spans="1:10" ht="32.25" customHeight="1" x14ac:dyDescent="0.3">
      <c r="A66" s="214" t="s">
        <v>235</v>
      </c>
      <c r="B66" s="217"/>
      <c r="C66" s="51"/>
      <c r="D66" s="141">
        <v>150000</v>
      </c>
      <c r="E66" s="180" t="s">
        <v>236</v>
      </c>
    </row>
    <row r="67" spans="1:10" ht="32.25" customHeight="1" x14ac:dyDescent="0.3">
      <c r="A67" s="214" t="s">
        <v>207</v>
      </c>
      <c r="B67" s="211"/>
      <c r="C67" s="5"/>
      <c r="D67" s="116">
        <v>150000</v>
      </c>
      <c r="E67" s="180" t="s">
        <v>208</v>
      </c>
    </row>
    <row r="68" spans="1:10" ht="22.2" customHeight="1" x14ac:dyDescent="0.3">
      <c r="A68" s="214" t="s">
        <v>209</v>
      </c>
      <c r="B68" s="217"/>
      <c r="C68" s="5"/>
      <c r="D68" s="116">
        <f>65050+57650</f>
        <v>122700</v>
      </c>
      <c r="E68" s="180" t="s">
        <v>211</v>
      </c>
    </row>
    <row r="69" spans="1:10" ht="22.2" customHeight="1" x14ac:dyDescent="0.3">
      <c r="A69" s="197" t="s">
        <v>228</v>
      </c>
      <c r="B69" s="198"/>
      <c r="C69" s="5"/>
      <c r="D69" s="141">
        <v>95706.73</v>
      </c>
      <c r="E69" s="180"/>
    </row>
    <row r="70" spans="1:10" ht="22.95" customHeight="1" x14ac:dyDescent="0.3">
      <c r="A70" s="210" t="s">
        <v>230</v>
      </c>
      <c r="B70" s="211"/>
      <c r="C70" s="5"/>
      <c r="D70" s="141">
        <v>481849.77</v>
      </c>
      <c r="E70" s="180" t="s">
        <v>211</v>
      </c>
      <c r="I70" s="210"/>
      <c r="J70" s="211"/>
    </row>
    <row r="71" spans="1:10" ht="15.75" customHeight="1" thickBot="1" x14ac:dyDescent="0.35">
      <c r="A71" s="27" t="s">
        <v>40</v>
      </c>
      <c r="B71" s="33"/>
      <c r="C71" s="33"/>
      <c r="D71" s="32"/>
      <c r="E71" s="177">
        <f>SUM(D60:D70)</f>
        <v>2610456.5</v>
      </c>
    </row>
    <row r="72" spans="1:10" ht="15.75" customHeight="1" thickBot="1" x14ac:dyDescent="0.35">
      <c r="A72" s="33" t="s">
        <v>41</v>
      </c>
      <c r="B72" s="67"/>
      <c r="C72" s="27"/>
      <c r="D72" s="159"/>
      <c r="E72" s="176"/>
    </row>
    <row r="73" spans="1:10" x14ac:dyDescent="0.3">
      <c r="A73" s="5" t="s">
        <v>41</v>
      </c>
      <c r="B73" s="5"/>
      <c r="C73" s="5"/>
      <c r="D73" s="168">
        <f>156032.49</f>
        <v>156032.49</v>
      </c>
      <c r="E73" s="178"/>
    </row>
    <row r="74" spans="1:10" x14ac:dyDescent="0.3">
      <c r="A74" s="5" t="s">
        <v>205</v>
      </c>
      <c r="B74" s="5"/>
      <c r="C74" s="5"/>
      <c r="D74" s="168"/>
      <c r="E74" s="118"/>
      <c r="G74" t="s">
        <v>213</v>
      </c>
    </row>
    <row r="75" spans="1:10" ht="15.75" customHeight="1" thickBot="1" x14ac:dyDescent="0.35">
      <c r="A75" s="50" t="s">
        <v>19</v>
      </c>
      <c r="B75" s="50"/>
      <c r="C75" s="50"/>
      <c r="D75" s="119"/>
      <c r="E75" s="113">
        <f>SUM(D73:D74)</f>
        <v>156032.49</v>
      </c>
    </row>
    <row r="76" spans="1:10" ht="15.75" customHeight="1" thickBot="1" x14ac:dyDescent="0.35">
      <c r="A76" s="5"/>
      <c r="B76" s="5"/>
      <c r="C76" s="5"/>
      <c r="D76" s="112"/>
      <c r="E76" s="120"/>
    </row>
    <row r="77" spans="1:10" ht="44.25" customHeight="1" thickBot="1" x14ac:dyDescent="0.35">
      <c r="A77" s="220" t="s">
        <v>224</v>
      </c>
      <c r="B77" s="221"/>
      <c r="C77" s="221"/>
      <c r="D77" s="222"/>
      <c r="E77" s="121">
        <v>1500000</v>
      </c>
    </row>
    <row r="78" spans="1:10" ht="15.75" customHeight="1" thickBot="1" x14ac:dyDescent="0.35">
      <c r="A78" s="1"/>
      <c r="D78" s="122"/>
      <c r="E78" s="123"/>
      <c r="F78" s="42"/>
    </row>
    <row r="79" spans="1:10" ht="15.75" customHeight="1" thickBot="1" x14ac:dyDescent="0.35">
      <c r="A79" s="3" t="s">
        <v>42</v>
      </c>
      <c r="B79" s="10"/>
      <c r="C79" s="4"/>
      <c r="D79" s="124"/>
      <c r="E79" s="200">
        <f>(SUM(E30:E77))</f>
        <v>14692679.569999998</v>
      </c>
      <c r="F79" s="151"/>
      <c r="G79" s="42"/>
    </row>
    <row r="80" spans="1:10" x14ac:dyDescent="0.3">
      <c r="D80" s="122"/>
      <c r="E80" s="122"/>
      <c r="G80" s="151"/>
    </row>
    <row r="81" spans="1:5" ht="15.75" customHeight="1" thickBot="1" x14ac:dyDescent="0.35">
      <c r="D81" s="122"/>
      <c r="E81" s="122"/>
    </row>
    <row r="82" spans="1:5" x14ac:dyDescent="0.3">
      <c r="A82" s="11" t="s">
        <v>43</v>
      </c>
      <c r="B82" s="12"/>
      <c r="C82" s="13"/>
      <c r="D82" s="125"/>
      <c r="E82" s="126"/>
    </row>
    <row r="83" spans="1:5" x14ac:dyDescent="0.3">
      <c r="A83" s="210"/>
      <c r="B83" s="211"/>
      <c r="C83" s="5"/>
      <c r="D83" s="141"/>
      <c r="E83" s="114"/>
    </row>
    <row r="84" spans="1:5" x14ac:dyDescent="0.3">
      <c r="A84" s="210"/>
      <c r="B84" s="211"/>
      <c r="C84" s="5"/>
      <c r="D84" s="116"/>
      <c r="E84" s="114"/>
    </row>
    <row r="85" spans="1:5" ht="15.75" customHeight="1" x14ac:dyDescent="0.3">
      <c r="A85" s="214"/>
      <c r="B85" s="211"/>
      <c r="C85" s="5"/>
      <c r="D85" s="116"/>
      <c r="E85" s="114"/>
    </row>
    <row r="86" spans="1:5" x14ac:dyDescent="0.3">
      <c r="A86" s="115"/>
      <c r="B86" s="117"/>
      <c r="C86" s="5"/>
      <c r="D86" s="116"/>
      <c r="E86" s="114"/>
    </row>
    <row r="87" spans="1:5" x14ac:dyDescent="0.3">
      <c r="A87" s="48"/>
      <c r="B87" s="47"/>
      <c r="C87" s="47"/>
      <c r="D87" s="57"/>
      <c r="E87" s="57">
        <f>SUM(D83:D86)</f>
        <v>0</v>
      </c>
    </row>
    <row r="88" spans="1:5" ht="15" customHeight="1" x14ac:dyDescent="0.3"/>
    <row r="89" spans="1:5" ht="15.75" hidden="1" customHeight="1" x14ac:dyDescent="0.3"/>
    <row r="90" spans="1:5" ht="15.75" customHeight="1" thickBot="1" x14ac:dyDescent="0.35">
      <c r="A90" s="28" t="s">
        <v>44</v>
      </c>
      <c r="B90" s="28"/>
      <c r="C90" s="28"/>
      <c r="D90" s="29"/>
      <c r="E90" s="111"/>
    </row>
    <row r="91" spans="1:5" ht="15.75" customHeight="1" thickBot="1" x14ac:dyDescent="0.35"/>
    <row r="92" spans="1:5" ht="15.75" customHeight="1" thickBot="1" x14ac:dyDescent="0.35">
      <c r="A92" s="3" t="s">
        <v>45</v>
      </c>
      <c r="B92" s="10"/>
      <c r="C92" s="4"/>
      <c r="D92" s="4"/>
      <c r="E92" s="68">
        <f>E87+E90</f>
        <v>0</v>
      </c>
    </row>
    <row r="93" spans="1:5" ht="15.75" customHeight="1" thickBot="1" x14ac:dyDescent="0.35"/>
    <row r="94" spans="1:5" ht="15.75" customHeight="1" thickBot="1" x14ac:dyDescent="0.35">
      <c r="A94" s="108" t="s">
        <v>46</v>
      </c>
      <c r="B94" s="109">
        <f>E79</f>
        <v>14692679.569999998</v>
      </c>
    </row>
    <row r="95" spans="1:5" ht="15.75" customHeight="1" thickBot="1" x14ac:dyDescent="0.35">
      <c r="A95" s="108" t="s">
        <v>47</v>
      </c>
      <c r="B95" s="109">
        <f>E79-E77</f>
        <v>13192679.569999998</v>
      </c>
    </row>
    <row r="96" spans="1:5" ht="15.75" customHeight="1" thickBot="1" x14ac:dyDescent="0.35">
      <c r="A96" s="108" t="s">
        <v>48</v>
      </c>
      <c r="B96" s="109">
        <f>E92-E90</f>
        <v>0</v>
      </c>
    </row>
    <row r="97" spans="1:5" ht="15.75" customHeight="1" thickBot="1" x14ac:dyDescent="0.35">
      <c r="A97" s="108" t="s">
        <v>49</v>
      </c>
      <c r="B97" s="109">
        <f>E92</f>
        <v>0</v>
      </c>
    </row>
    <row r="98" spans="1:5" ht="34.5" hidden="1" customHeight="1" thickBot="1" x14ac:dyDescent="0.35"/>
    <row r="99" spans="1:5" hidden="1" x14ac:dyDescent="0.3">
      <c r="A99" s="218"/>
      <c r="B99" s="213"/>
      <c r="C99" s="213"/>
      <c r="D99" s="213"/>
      <c r="E99" s="213"/>
    </row>
    <row r="100" spans="1:5" ht="106.5" hidden="1" customHeight="1" x14ac:dyDescent="0.3">
      <c r="A100" s="213"/>
      <c r="B100" s="213"/>
      <c r="C100" s="213"/>
      <c r="D100" s="213"/>
      <c r="E100" s="213"/>
    </row>
    <row r="101" spans="1:5" ht="15.75" hidden="1" customHeight="1" x14ac:dyDescent="0.3">
      <c r="A101" s="213"/>
      <c r="B101" s="213"/>
      <c r="C101" s="213"/>
      <c r="D101" s="213"/>
      <c r="E101" s="213"/>
    </row>
    <row r="103" spans="1:5" ht="0.75" customHeight="1" x14ac:dyDescent="0.3">
      <c r="A103" s="21" t="s">
        <v>50</v>
      </c>
      <c r="B103" s="137"/>
      <c r="C103" s="22"/>
    </row>
    <row r="104" spans="1:5" hidden="1" x14ac:dyDescent="0.3">
      <c r="A104" s="31"/>
      <c r="B104" s="58">
        <v>0</v>
      </c>
      <c r="C104" s="24"/>
    </row>
    <row r="105" spans="1:5" ht="14.25" hidden="1" customHeight="1" x14ac:dyDescent="0.3">
      <c r="A105" s="23" t="s">
        <v>51</v>
      </c>
      <c r="B105" s="38">
        <f>PRORRATEO!I81</f>
        <v>12230350.099999998</v>
      </c>
      <c r="C105" s="22"/>
    </row>
    <row r="106" spans="1:5" hidden="1" x14ac:dyDescent="0.3">
      <c r="A106" s="23"/>
      <c r="B106" s="38">
        <v>0</v>
      </c>
      <c r="C106" s="22"/>
    </row>
    <row r="107" spans="1:5" hidden="1" x14ac:dyDescent="0.3">
      <c r="A107" s="23" t="s">
        <v>52</v>
      </c>
      <c r="B107" s="118">
        <f>B130</f>
        <v>0</v>
      </c>
      <c r="C107" s="22"/>
    </row>
    <row r="108" spans="1:5" hidden="1" x14ac:dyDescent="0.3">
      <c r="A108" s="26"/>
      <c r="B108" s="46"/>
      <c r="C108" s="22"/>
    </row>
    <row r="109" spans="1:5" hidden="1" x14ac:dyDescent="0.3">
      <c r="A109" s="131" t="s">
        <v>53</v>
      </c>
      <c r="B109" s="46"/>
      <c r="C109" s="22"/>
    </row>
    <row r="110" spans="1:5" hidden="1" x14ac:dyDescent="0.3">
      <c r="A110" s="37" t="s">
        <v>54</v>
      </c>
      <c r="B110" s="46">
        <f>-B95</f>
        <v>-13192679.569999998</v>
      </c>
      <c r="C110" s="22"/>
    </row>
    <row r="111" spans="1:5" hidden="1" x14ac:dyDescent="0.3">
      <c r="A111" s="26" t="s">
        <v>55</v>
      </c>
      <c r="B111" s="46">
        <f>-(B96)</f>
        <v>0</v>
      </c>
      <c r="C111" s="22"/>
    </row>
    <row r="112" spans="1:5" hidden="1" x14ac:dyDescent="0.3">
      <c r="A112" s="30" t="s">
        <v>40</v>
      </c>
      <c r="B112" s="58">
        <f>SUM(B104:B111)</f>
        <v>-962329.47000000067</v>
      </c>
      <c r="C112" s="25"/>
      <c r="D112" s="42"/>
    </row>
    <row r="113" spans="1:6" ht="34.5" hidden="1" customHeight="1" x14ac:dyDescent="0.3">
      <c r="B113" s="39"/>
      <c r="C113" s="25"/>
      <c r="D113" s="42"/>
      <c r="E113" s="138"/>
      <c r="F113" s="139"/>
    </row>
    <row r="114" spans="1:6" ht="14.25" hidden="1" customHeight="1" x14ac:dyDescent="0.3">
      <c r="B114" s="40"/>
      <c r="C114" s="25"/>
    </row>
    <row r="115" spans="1:6" s="36" customFormat="1" ht="27" hidden="1" customHeight="1" x14ac:dyDescent="0.3">
      <c r="B115" s="39"/>
      <c r="C115" s="35"/>
    </row>
    <row r="116" spans="1:6" s="36" customFormat="1" x14ac:dyDescent="0.3">
      <c r="A116" s="143" t="s">
        <v>56</v>
      </c>
      <c r="B116" s="144">
        <v>412214.68062303029</v>
      </c>
      <c r="C116" s="35"/>
      <c r="D116" s="45"/>
    </row>
    <row r="117" spans="1:6" x14ac:dyDescent="0.3">
      <c r="A117" s="53" t="s">
        <v>57</v>
      </c>
      <c r="B117" s="148">
        <f>-B95</f>
        <v>-13192679.569999998</v>
      </c>
    </row>
    <row r="118" spans="1:6" x14ac:dyDescent="0.3">
      <c r="A118" s="53" t="s">
        <v>58</v>
      </c>
      <c r="B118" s="148">
        <f>-B96</f>
        <v>0</v>
      </c>
    </row>
    <row r="119" spans="1:6" x14ac:dyDescent="0.3">
      <c r="A119" s="53" t="s">
        <v>59</v>
      </c>
      <c r="B119" s="148">
        <f>B130</f>
        <v>0</v>
      </c>
    </row>
    <row r="120" spans="1:6" ht="28.8" x14ac:dyDescent="0.3">
      <c r="A120" s="53" t="s">
        <v>225</v>
      </c>
      <c r="B120" s="207">
        <v>-112065.15</v>
      </c>
    </row>
    <row r="121" spans="1:6" x14ac:dyDescent="0.3">
      <c r="A121" s="53" t="s">
        <v>60</v>
      </c>
      <c r="B121" s="149">
        <f>PRORRATEO!I81</f>
        <v>12230350.099999998</v>
      </c>
    </row>
    <row r="122" spans="1:6" x14ac:dyDescent="0.3">
      <c r="A122" s="150" t="s">
        <v>61</v>
      </c>
      <c r="B122" s="186"/>
    </row>
    <row r="123" spans="1:6" ht="15.75" customHeight="1" thickBot="1" x14ac:dyDescent="0.35">
      <c r="A123" s="146" t="s">
        <v>62</v>
      </c>
      <c r="B123" s="147">
        <f>SUM(B116:C122)</f>
        <v>-662179.93937697075</v>
      </c>
    </row>
    <row r="124" spans="1:6" x14ac:dyDescent="0.3">
      <c r="A124" s="145"/>
      <c r="B124" s="145"/>
    </row>
    <row r="125" spans="1:6" ht="34.5" customHeight="1" x14ac:dyDescent="0.3"/>
    <row r="126" spans="1:6" x14ac:dyDescent="0.3">
      <c r="A126" s="219" t="s">
        <v>63</v>
      </c>
      <c r="B126" s="213"/>
      <c r="C126" s="213"/>
    </row>
    <row r="127" spans="1:6" x14ac:dyDescent="0.3">
      <c r="A127" s="213"/>
      <c r="B127" s="213"/>
      <c r="C127" s="213"/>
    </row>
    <row r="128" spans="1:6" ht="35.25" customHeight="1" x14ac:dyDescent="0.3">
      <c r="A128" s="128"/>
      <c r="B128" s="34"/>
      <c r="C128" s="34">
        <v>40000</v>
      </c>
    </row>
    <row r="129" spans="1:13" ht="27" customHeight="1" x14ac:dyDescent="0.3">
      <c r="A129" s="128"/>
      <c r="B129" s="130"/>
      <c r="C129" s="39"/>
    </row>
    <row r="130" spans="1:13" x14ac:dyDescent="0.3">
      <c r="A130" s="43" t="s">
        <v>40</v>
      </c>
      <c r="B130" s="129">
        <f>SUM(B128:B129)</f>
        <v>0</v>
      </c>
      <c r="C130" s="44"/>
    </row>
    <row r="131" spans="1:13" x14ac:dyDescent="0.3">
      <c r="M131" s="8"/>
    </row>
    <row r="132" spans="1:13" ht="15" customHeight="1" x14ac:dyDescent="0.3">
      <c r="A132" s="218"/>
      <c r="B132" s="213"/>
      <c r="C132" s="213"/>
      <c r="D132" s="213"/>
      <c r="E132" s="213"/>
    </row>
    <row r="133" spans="1:13" x14ac:dyDescent="0.3">
      <c r="A133" s="213"/>
      <c r="B133" s="213"/>
      <c r="C133" s="213"/>
      <c r="D133" s="213"/>
      <c r="E133" s="213"/>
    </row>
    <row r="134" spans="1:13" x14ac:dyDescent="0.3">
      <c r="A134" s="213"/>
      <c r="B134" s="213"/>
      <c r="C134" s="213"/>
      <c r="D134" s="213"/>
      <c r="E134" s="213"/>
    </row>
    <row r="135" spans="1:13" x14ac:dyDescent="0.3">
      <c r="A135" s="213"/>
      <c r="B135" s="213"/>
      <c r="C135" s="213"/>
      <c r="D135" s="213"/>
      <c r="E135" s="213"/>
    </row>
  </sheetData>
  <mergeCells count="24">
    <mergeCell ref="A132:E135"/>
    <mergeCell ref="A99:E101"/>
    <mergeCell ref="A85:B85"/>
    <mergeCell ref="A57:B57"/>
    <mergeCell ref="A64:B64"/>
    <mergeCell ref="A60:B60"/>
    <mergeCell ref="A84:B84"/>
    <mergeCell ref="A83:B83"/>
    <mergeCell ref="A126:C127"/>
    <mergeCell ref="A77:D77"/>
    <mergeCell ref="I70:J70"/>
    <mergeCell ref="B9:C11"/>
    <mergeCell ref="A67:B67"/>
    <mergeCell ref="A70:B70"/>
    <mergeCell ref="A39:B39"/>
    <mergeCell ref="A35:B35"/>
    <mergeCell ref="A14:E17"/>
    <mergeCell ref="A36:B36"/>
    <mergeCell ref="A65:B65"/>
    <mergeCell ref="A68:B68"/>
    <mergeCell ref="A63:B63"/>
    <mergeCell ref="A40:B40"/>
    <mergeCell ref="A56:B56"/>
    <mergeCell ref="A66:B66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9"/>
  <sheetViews>
    <sheetView topLeftCell="A76" zoomScaleNormal="100" workbookViewId="0">
      <selection activeCell="R90" sqref="A1:R90"/>
    </sheetView>
  </sheetViews>
  <sheetFormatPr baseColWidth="10" defaultRowHeight="14.4" x14ac:dyDescent="0.3"/>
  <cols>
    <col min="1" max="1" width="4.6640625" bestFit="1" customWidth="1"/>
    <col min="2" max="2" width="4.33203125" customWidth="1"/>
    <col min="3" max="3" width="3.6640625" customWidth="1"/>
    <col min="4" max="4" width="4.33203125" customWidth="1"/>
    <col min="5" max="5" width="17.6640625" customWidth="1"/>
    <col min="6" max="6" width="13.88671875" customWidth="1"/>
    <col min="7" max="7" width="5.44140625" customWidth="1"/>
    <col min="8" max="8" width="14.109375" customWidth="1"/>
    <col min="9" max="9" width="11.5546875" customWidth="1"/>
    <col min="10" max="10" width="7.6640625" hidden="1" customWidth="1"/>
    <col min="11" max="11" width="9.6640625" customWidth="1"/>
    <col min="12" max="12" width="9.88671875" customWidth="1"/>
    <col min="13" max="13" width="0.109375" hidden="1" customWidth="1"/>
    <col min="14" max="14" width="10.5546875" customWidth="1"/>
    <col min="15" max="15" width="8.44140625" customWidth="1"/>
    <col min="16" max="16" width="13.5546875" customWidth="1"/>
    <col min="17" max="17" width="0.44140625" hidden="1" customWidth="1"/>
    <col min="18" max="18" width="12.109375" customWidth="1"/>
    <col min="19" max="19" width="0.109375" customWidth="1"/>
    <col min="20" max="20" width="12" bestFit="1" customWidth="1"/>
    <col min="21" max="21" width="13" bestFit="1" customWidth="1"/>
  </cols>
  <sheetData>
    <row r="1" spans="1:21" ht="12.9" customHeight="1" x14ac:dyDescent="0.3">
      <c r="A1" s="6"/>
      <c r="B1" s="6"/>
      <c r="C1" s="6"/>
      <c r="D1" s="6"/>
      <c r="E1" s="6"/>
      <c r="F1" s="6"/>
      <c r="G1" s="229"/>
      <c r="H1" s="213"/>
      <c r="I1" s="213"/>
      <c r="J1" s="213"/>
      <c r="K1" s="213"/>
      <c r="L1" s="213"/>
      <c r="M1" s="213"/>
      <c r="N1" s="213"/>
      <c r="O1" s="213"/>
      <c r="P1" s="213"/>
      <c r="Q1" s="6"/>
      <c r="R1" s="6"/>
    </row>
    <row r="2" spans="1:21" ht="12.9" customHeight="1" x14ac:dyDescent="0.3">
      <c r="A2" s="6"/>
      <c r="B2" s="6"/>
      <c r="C2" s="6"/>
      <c r="D2" s="6"/>
      <c r="E2" s="6" t="str">
        <f>RESUMEN!B4</f>
        <v>CBU: 0290034600000502294350</v>
      </c>
      <c r="F2" s="6"/>
      <c r="G2" s="6"/>
      <c r="H2" s="6"/>
      <c r="I2" s="6"/>
      <c r="J2" s="6"/>
      <c r="K2" s="6"/>
      <c r="L2" s="6" t="s">
        <v>64</v>
      </c>
      <c r="M2" s="7"/>
      <c r="N2" s="6"/>
      <c r="O2" s="6"/>
      <c r="P2" s="225">
        <f>U2</f>
        <v>14485791.410000002</v>
      </c>
      <c r="Q2" s="213"/>
      <c r="R2" s="213"/>
      <c r="S2" s="20"/>
      <c r="U2">
        <v>14485791.410000002</v>
      </c>
    </row>
    <row r="3" spans="1:21" ht="12.9" customHeight="1" thickBo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55"/>
      <c r="Q3" s="55"/>
      <c r="R3" s="59"/>
    </row>
    <row r="4" spans="1:21" x14ac:dyDescent="0.3">
      <c r="A4" s="236" t="s">
        <v>65</v>
      </c>
      <c r="B4" s="238" t="s">
        <v>66</v>
      </c>
      <c r="C4" s="132"/>
      <c r="D4" s="226" t="s">
        <v>67</v>
      </c>
      <c r="E4" s="226" t="s">
        <v>68</v>
      </c>
      <c r="F4" s="235" t="s">
        <v>69</v>
      </c>
      <c r="G4" s="226" t="s">
        <v>70</v>
      </c>
      <c r="H4" s="233" t="s">
        <v>71</v>
      </c>
      <c r="I4" s="226" t="s">
        <v>51</v>
      </c>
      <c r="J4" s="235" t="s">
        <v>72</v>
      </c>
      <c r="K4" s="237" t="s">
        <v>73</v>
      </c>
      <c r="L4" s="233" t="s">
        <v>74</v>
      </c>
      <c r="M4" s="232" t="s">
        <v>75</v>
      </c>
      <c r="N4" s="233" t="s">
        <v>76</v>
      </c>
      <c r="O4" s="227" t="s">
        <v>77</v>
      </c>
      <c r="P4" s="62" t="s">
        <v>78</v>
      </c>
      <c r="Q4" s="230" t="s">
        <v>79</v>
      </c>
      <c r="R4" s="223" t="s">
        <v>80</v>
      </c>
      <c r="U4" s="42"/>
    </row>
    <row r="5" spans="1:21" ht="15.75" customHeight="1" x14ac:dyDescent="0.3">
      <c r="A5" s="224"/>
      <c r="B5" s="231"/>
      <c r="C5" s="133"/>
      <c r="D5" s="224"/>
      <c r="E5" s="224"/>
      <c r="F5" s="234"/>
      <c r="G5" s="224"/>
      <c r="H5" s="234"/>
      <c r="I5" s="224"/>
      <c r="J5" s="234"/>
      <c r="K5" s="234"/>
      <c r="L5" s="234"/>
      <c r="M5" s="224"/>
      <c r="N5" s="234"/>
      <c r="O5" s="228"/>
      <c r="P5" s="60" t="str">
        <f>RESUMEN!B9</f>
        <v>VTO 15/09</v>
      </c>
      <c r="Q5" s="231"/>
      <c r="R5" s="224"/>
    </row>
    <row r="6" spans="1:21" ht="17.100000000000001" customHeight="1" x14ac:dyDescent="0.3">
      <c r="A6" s="5" t="s">
        <v>81</v>
      </c>
      <c r="B6" s="64"/>
      <c r="C6" s="64" t="s">
        <v>82</v>
      </c>
      <c r="D6" s="64">
        <v>1</v>
      </c>
      <c r="E6" s="64" t="s">
        <v>83</v>
      </c>
      <c r="F6" s="64"/>
      <c r="G6" s="71">
        <v>0.5131</v>
      </c>
      <c r="H6" s="72">
        <v>63505.01</v>
      </c>
      <c r="I6" s="73">
        <f>786304-I13-I7-I47-I48-I59-I69-I73</f>
        <v>63505.19</v>
      </c>
      <c r="J6" s="74"/>
      <c r="K6" s="75">
        <f t="shared" ref="K6:K37" si="0">H6-I6</f>
        <v>-0.18000000000029104</v>
      </c>
      <c r="L6" s="75">
        <f t="shared" ref="L6:L37" si="1">IF(K6&gt;0,K6*3%,0)</f>
        <v>0</v>
      </c>
      <c r="M6" s="76">
        <v>0</v>
      </c>
      <c r="N6" s="77">
        <f t="shared" ref="N6:N37" si="2">P$2*G6%</f>
        <v>74326.595724710016</v>
      </c>
      <c r="O6" s="78">
        <v>0</v>
      </c>
      <c r="P6" s="79">
        <f t="shared" ref="P6:P37" si="3">ROUND(SUM(K6:O6),0) + S6</f>
        <v>74326.009999999995</v>
      </c>
      <c r="Q6" s="80">
        <f t="shared" ref="Q6:Q37" si="4">ROUND(P6*6% + P6,0) + S6</f>
        <v>78786.009999999995</v>
      </c>
      <c r="R6" s="81">
        <f t="shared" ref="R6:R37" si="5">ROUND(P6*3%,0) + P6</f>
        <v>76556.009999999995</v>
      </c>
      <c r="S6" s="42">
        <v>0.01</v>
      </c>
      <c r="U6" t="s">
        <v>84</v>
      </c>
    </row>
    <row r="7" spans="1:21" ht="17.100000000000001" customHeight="1" x14ac:dyDescent="0.3">
      <c r="A7" s="5" t="s">
        <v>85</v>
      </c>
      <c r="B7" s="64"/>
      <c r="C7" s="64" t="s">
        <v>82</v>
      </c>
      <c r="D7" s="64">
        <f t="shared" ref="D7:D38" si="6">D6+1</f>
        <v>2</v>
      </c>
      <c r="E7" s="64" t="s">
        <v>86</v>
      </c>
      <c r="F7" s="65"/>
      <c r="G7" s="71">
        <v>0.6119</v>
      </c>
      <c r="H7" s="72">
        <v>75734.02</v>
      </c>
      <c r="I7" s="73">
        <f t="shared" ref="I7:I13" si="7">H7</f>
        <v>75734.02</v>
      </c>
      <c r="J7" s="74"/>
      <c r="K7" s="75">
        <f t="shared" si="0"/>
        <v>0</v>
      </c>
      <c r="L7" s="75">
        <f t="shared" si="1"/>
        <v>0</v>
      </c>
      <c r="M7" s="76">
        <v>0</v>
      </c>
      <c r="N7" s="77">
        <f t="shared" si="2"/>
        <v>88638.557637790014</v>
      </c>
      <c r="O7" s="78">
        <v>0</v>
      </c>
      <c r="P7" s="79">
        <f t="shared" si="3"/>
        <v>88639.02</v>
      </c>
      <c r="Q7" s="80">
        <f t="shared" si="4"/>
        <v>93957.02</v>
      </c>
      <c r="R7" s="81">
        <f t="shared" si="5"/>
        <v>91298.02</v>
      </c>
      <c r="S7" s="42">
        <f t="shared" ref="S7:S38" si="8">S6+0.01</f>
        <v>0.02</v>
      </c>
      <c r="T7" s="42"/>
    </row>
    <row r="8" spans="1:21" ht="17.100000000000001" customHeight="1" x14ac:dyDescent="0.3">
      <c r="A8" s="5" t="s">
        <v>85</v>
      </c>
      <c r="B8" s="64">
        <v>1</v>
      </c>
      <c r="C8" s="64"/>
      <c r="D8" s="64">
        <f t="shared" si="6"/>
        <v>3</v>
      </c>
      <c r="E8" s="64" t="s">
        <v>87</v>
      </c>
      <c r="F8" s="65"/>
      <c r="G8" s="71">
        <v>0.61150000000000004</v>
      </c>
      <c r="H8" s="72">
        <v>75684.03</v>
      </c>
      <c r="I8" s="73">
        <f t="shared" si="7"/>
        <v>75684.03</v>
      </c>
      <c r="J8" s="74"/>
      <c r="K8" s="75">
        <f t="shared" si="0"/>
        <v>0</v>
      </c>
      <c r="L8" s="75">
        <f t="shared" si="1"/>
        <v>0</v>
      </c>
      <c r="M8" s="76">
        <v>0</v>
      </c>
      <c r="N8" s="77">
        <f t="shared" si="2"/>
        <v>88580.614472150017</v>
      </c>
      <c r="O8" s="78">
        <v>0</v>
      </c>
      <c r="P8" s="79">
        <f t="shared" si="3"/>
        <v>88581.03</v>
      </c>
      <c r="Q8" s="80">
        <f t="shared" si="4"/>
        <v>93896.03</v>
      </c>
      <c r="R8" s="81">
        <f t="shared" si="5"/>
        <v>91238.03</v>
      </c>
      <c r="S8" s="42">
        <f t="shared" si="8"/>
        <v>0.03</v>
      </c>
    </row>
    <row r="9" spans="1:21" ht="17.100000000000001" customHeight="1" x14ac:dyDescent="0.3">
      <c r="A9" s="5" t="s">
        <v>88</v>
      </c>
      <c r="B9" s="64">
        <v>2</v>
      </c>
      <c r="C9" s="64"/>
      <c r="D9" s="64">
        <f t="shared" si="6"/>
        <v>4</v>
      </c>
      <c r="E9" s="64" t="s">
        <v>87</v>
      </c>
      <c r="F9" s="65"/>
      <c r="G9" s="71">
        <v>0.50329999999999997</v>
      </c>
      <c r="H9" s="72">
        <v>62293.04</v>
      </c>
      <c r="I9" s="73">
        <f t="shared" si="7"/>
        <v>62293.04</v>
      </c>
      <c r="J9" s="74"/>
      <c r="K9" s="75">
        <f t="shared" si="0"/>
        <v>0</v>
      </c>
      <c r="L9" s="75">
        <f t="shared" si="1"/>
        <v>0</v>
      </c>
      <c r="M9" s="76">
        <v>0</v>
      </c>
      <c r="N9" s="77">
        <f t="shared" si="2"/>
        <v>72906.988166530005</v>
      </c>
      <c r="O9" s="78">
        <v>0</v>
      </c>
      <c r="P9" s="79">
        <f t="shared" si="3"/>
        <v>72907.039999999994</v>
      </c>
      <c r="Q9" s="80">
        <f t="shared" si="4"/>
        <v>77281.039999999994</v>
      </c>
      <c r="R9" s="81">
        <f t="shared" si="5"/>
        <v>75094.039999999994</v>
      </c>
      <c r="S9" s="42">
        <f t="shared" si="8"/>
        <v>0.04</v>
      </c>
      <c r="U9" s="42"/>
    </row>
    <row r="10" spans="1:21" ht="17.100000000000001" customHeight="1" x14ac:dyDescent="0.3">
      <c r="A10" s="5" t="s">
        <v>88</v>
      </c>
      <c r="B10" s="64">
        <v>3</v>
      </c>
      <c r="C10" s="64"/>
      <c r="D10" s="64">
        <f t="shared" si="6"/>
        <v>5</v>
      </c>
      <c r="E10" s="64" t="s">
        <v>87</v>
      </c>
      <c r="F10" s="65"/>
      <c r="G10" s="71">
        <v>0.50329999999999997</v>
      </c>
      <c r="H10" s="72">
        <v>62293.05</v>
      </c>
      <c r="I10" s="73">
        <f t="shared" si="7"/>
        <v>62293.05</v>
      </c>
      <c r="J10" s="74"/>
      <c r="K10" s="75">
        <f t="shared" si="0"/>
        <v>0</v>
      </c>
      <c r="L10" s="75">
        <f t="shared" si="1"/>
        <v>0</v>
      </c>
      <c r="M10" s="76">
        <v>0</v>
      </c>
      <c r="N10" s="77">
        <f t="shared" si="2"/>
        <v>72906.988166530005</v>
      </c>
      <c r="O10" s="78">
        <v>0</v>
      </c>
      <c r="P10" s="79">
        <f t="shared" si="3"/>
        <v>72907.05</v>
      </c>
      <c r="Q10" s="80">
        <f t="shared" si="4"/>
        <v>77281.05</v>
      </c>
      <c r="R10" s="81">
        <f t="shared" si="5"/>
        <v>75094.05</v>
      </c>
      <c r="S10" s="42">
        <f t="shared" si="8"/>
        <v>0.05</v>
      </c>
      <c r="U10" s="42"/>
    </row>
    <row r="11" spans="1:21" ht="17.100000000000001" customHeight="1" x14ac:dyDescent="0.3">
      <c r="A11" s="5" t="s">
        <v>89</v>
      </c>
      <c r="B11" s="64">
        <v>4</v>
      </c>
      <c r="C11" s="64"/>
      <c r="D11" s="64">
        <f t="shared" si="6"/>
        <v>6</v>
      </c>
      <c r="E11" s="64" t="s">
        <v>90</v>
      </c>
      <c r="F11" s="64" t="s">
        <v>91</v>
      </c>
      <c r="G11" s="71">
        <v>0.74990000000000001</v>
      </c>
      <c r="H11" s="72">
        <v>92814.06</v>
      </c>
      <c r="I11" s="73">
        <f t="shared" si="7"/>
        <v>92814.06</v>
      </c>
      <c r="J11" s="74"/>
      <c r="K11" s="75">
        <f t="shared" si="0"/>
        <v>0</v>
      </c>
      <c r="L11" s="75">
        <f t="shared" si="1"/>
        <v>0</v>
      </c>
      <c r="M11" s="76">
        <v>0</v>
      </c>
      <c r="N11" s="77">
        <f t="shared" si="2"/>
        <v>108628.94978359003</v>
      </c>
      <c r="O11" s="78">
        <v>0</v>
      </c>
      <c r="P11" s="79">
        <f t="shared" si="3"/>
        <v>108629.06</v>
      </c>
      <c r="Q11" s="80">
        <f t="shared" si="4"/>
        <v>115147.06</v>
      </c>
      <c r="R11" s="81">
        <f t="shared" si="5"/>
        <v>111888.06</v>
      </c>
      <c r="S11" s="42">
        <f t="shared" si="8"/>
        <v>6.0000000000000005E-2</v>
      </c>
    </row>
    <row r="12" spans="1:21" ht="17.100000000000001" customHeight="1" x14ac:dyDescent="0.3">
      <c r="A12" s="5" t="s">
        <v>89</v>
      </c>
      <c r="B12" s="64">
        <v>5</v>
      </c>
      <c r="C12" s="64"/>
      <c r="D12" s="64">
        <f t="shared" si="6"/>
        <v>7</v>
      </c>
      <c r="E12" s="64" t="s">
        <v>92</v>
      </c>
      <c r="F12" s="64" t="s">
        <v>93</v>
      </c>
      <c r="G12" s="71">
        <v>0.54249999999999998</v>
      </c>
      <c r="H12" s="72">
        <v>67144.070000000007</v>
      </c>
      <c r="I12" s="73">
        <f t="shared" si="7"/>
        <v>67144.070000000007</v>
      </c>
      <c r="J12" s="74"/>
      <c r="K12" s="75">
        <f t="shared" si="0"/>
        <v>0</v>
      </c>
      <c r="L12" s="75">
        <f t="shared" si="1"/>
        <v>0</v>
      </c>
      <c r="M12" s="76">
        <v>0</v>
      </c>
      <c r="N12" s="77">
        <f t="shared" si="2"/>
        <v>78585.418399250018</v>
      </c>
      <c r="O12" s="78">
        <v>0</v>
      </c>
      <c r="P12" s="79">
        <f t="shared" si="3"/>
        <v>78585.070000000007</v>
      </c>
      <c r="Q12" s="80">
        <f t="shared" si="4"/>
        <v>83300.070000000007</v>
      </c>
      <c r="R12" s="81">
        <f t="shared" si="5"/>
        <v>80943.070000000007</v>
      </c>
      <c r="S12" s="42">
        <f t="shared" si="8"/>
        <v>7.0000000000000007E-2</v>
      </c>
    </row>
    <row r="13" spans="1:21" ht="17.100000000000001" customHeight="1" x14ac:dyDescent="0.3">
      <c r="A13" s="5" t="s">
        <v>94</v>
      </c>
      <c r="B13" s="64">
        <v>6</v>
      </c>
      <c r="C13" s="64"/>
      <c r="D13" s="64">
        <f t="shared" si="6"/>
        <v>8</v>
      </c>
      <c r="E13" s="64" t="s">
        <v>95</v>
      </c>
      <c r="F13" s="65"/>
      <c r="G13" s="71">
        <v>0.45369999999999999</v>
      </c>
      <c r="H13" s="72">
        <v>56154.080000000002</v>
      </c>
      <c r="I13" s="73">
        <f t="shared" si="7"/>
        <v>56154.080000000002</v>
      </c>
      <c r="J13" s="74"/>
      <c r="K13" s="75">
        <f t="shared" si="0"/>
        <v>0</v>
      </c>
      <c r="L13" s="75">
        <f t="shared" si="1"/>
        <v>0</v>
      </c>
      <c r="M13" s="76">
        <v>0</v>
      </c>
      <c r="N13" s="77">
        <f t="shared" si="2"/>
        <v>65722.035627170015</v>
      </c>
      <c r="O13" s="78">
        <v>0</v>
      </c>
      <c r="P13" s="79">
        <f t="shared" si="3"/>
        <v>65722.080000000002</v>
      </c>
      <c r="Q13" s="80">
        <f t="shared" si="4"/>
        <v>69665.08</v>
      </c>
      <c r="R13" s="81">
        <f t="shared" si="5"/>
        <v>67694.080000000002</v>
      </c>
      <c r="S13" s="42">
        <f t="shared" si="8"/>
        <v>0.08</v>
      </c>
    </row>
    <row r="14" spans="1:21" ht="17.100000000000001" customHeight="1" x14ac:dyDescent="0.3">
      <c r="A14" s="5" t="s">
        <v>94</v>
      </c>
      <c r="B14" s="64">
        <v>7</v>
      </c>
      <c r="C14" s="64"/>
      <c r="D14" s="64">
        <f t="shared" si="6"/>
        <v>9</v>
      </c>
      <c r="E14" s="64" t="s">
        <v>96</v>
      </c>
      <c r="F14" s="84" t="s">
        <v>97</v>
      </c>
      <c r="G14" s="71">
        <v>0.52439999999999998</v>
      </c>
      <c r="H14" s="72">
        <v>131755.09</v>
      </c>
      <c r="I14" s="73">
        <v>200000.09</v>
      </c>
      <c r="J14" s="74"/>
      <c r="K14" s="75">
        <f t="shared" si="0"/>
        <v>-68245</v>
      </c>
      <c r="L14" s="75">
        <f t="shared" si="1"/>
        <v>0</v>
      </c>
      <c r="M14" s="76">
        <v>0</v>
      </c>
      <c r="N14" s="77">
        <f t="shared" si="2"/>
        <v>75963.490154040002</v>
      </c>
      <c r="O14" s="78">
        <v>0</v>
      </c>
      <c r="P14" s="79">
        <f t="shared" si="3"/>
        <v>7718.09</v>
      </c>
      <c r="Q14" s="80">
        <f t="shared" si="4"/>
        <v>8181.09</v>
      </c>
      <c r="R14" s="81">
        <f t="shared" si="5"/>
        <v>7950.09</v>
      </c>
      <c r="S14" s="42">
        <f t="shared" si="8"/>
        <v>0.09</v>
      </c>
      <c r="U14" t="s">
        <v>98</v>
      </c>
    </row>
    <row r="15" spans="1:21" ht="17.100000000000001" customHeight="1" x14ac:dyDescent="0.3">
      <c r="A15" s="5" t="s">
        <v>99</v>
      </c>
      <c r="B15" s="64">
        <v>8</v>
      </c>
      <c r="C15" s="64"/>
      <c r="D15" s="64">
        <f t="shared" si="6"/>
        <v>10</v>
      </c>
      <c r="E15" s="64" t="s">
        <v>96</v>
      </c>
      <c r="F15" s="84" t="s">
        <v>97</v>
      </c>
      <c r="G15" s="71">
        <v>0.42399999999999999</v>
      </c>
      <c r="H15" s="72">
        <v>106530.1</v>
      </c>
      <c r="I15" s="73">
        <v>200000.1</v>
      </c>
      <c r="J15" s="74"/>
      <c r="K15" s="75">
        <f t="shared" si="0"/>
        <v>-93470</v>
      </c>
      <c r="L15" s="75">
        <f t="shared" si="1"/>
        <v>0</v>
      </c>
      <c r="M15" s="76">
        <v>0</v>
      </c>
      <c r="N15" s="77">
        <f t="shared" si="2"/>
        <v>61419.755578400007</v>
      </c>
      <c r="O15" s="78">
        <v>0</v>
      </c>
      <c r="P15" s="79">
        <f t="shared" si="3"/>
        <v>-32049.9</v>
      </c>
      <c r="Q15" s="80">
        <f t="shared" si="4"/>
        <v>-33972.9</v>
      </c>
      <c r="R15" s="81">
        <f t="shared" si="5"/>
        <v>-33010.9</v>
      </c>
      <c r="S15" s="42">
        <f t="shared" si="8"/>
        <v>9.9999999999999992E-2</v>
      </c>
      <c r="U15" t="s">
        <v>98</v>
      </c>
    </row>
    <row r="16" spans="1:21" ht="17.100000000000001" customHeight="1" x14ac:dyDescent="0.3">
      <c r="A16" s="5" t="s">
        <v>99</v>
      </c>
      <c r="B16" s="64">
        <v>1</v>
      </c>
      <c r="C16" s="64" t="s">
        <v>100</v>
      </c>
      <c r="D16" s="64">
        <f t="shared" si="6"/>
        <v>11</v>
      </c>
      <c r="E16" s="64" t="s">
        <v>101</v>
      </c>
      <c r="F16" s="65"/>
      <c r="G16" s="71">
        <v>2.3033000000000001</v>
      </c>
      <c r="H16" s="72">
        <v>3639445.11</v>
      </c>
      <c r="I16" s="73"/>
      <c r="J16" s="74"/>
      <c r="K16" s="75">
        <f t="shared" si="0"/>
        <v>3639445.11</v>
      </c>
      <c r="L16" s="75">
        <f t="shared" si="1"/>
        <v>109183.35329999999</v>
      </c>
      <c r="M16" s="76">
        <v>0</v>
      </c>
      <c r="N16" s="77">
        <f t="shared" si="2"/>
        <v>333651.23354653007</v>
      </c>
      <c r="O16" s="78">
        <v>0</v>
      </c>
      <c r="P16" s="79">
        <f t="shared" si="3"/>
        <v>4082280.11</v>
      </c>
      <c r="Q16" s="80">
        <f t="shared" si="4"/>
        <v>4327217.1100000003</v>
      </c>
      <c r="R16" s="81">
        <f t="shared" si="5"/>
        <v>4204748.1099999994</v>
      </c>
      <c r="S16" s="42">
        <f t="shared" si="8"/>
        <v>0.10999999999999999</v>
      </c>
    </row>
    <row r="17" spans="1:21" ht="17.100000000000001" customHeight="1" x14ac:dyDescent="0.3">
      <c r="A17" s="5" t="s">
        <v>102</v>
      </c>
      <c r="B17" s="64">
        <v>1</v>
      </c>
      <c r="C17" s="64" t="s">
        <v>103</v>
      </c>
      <c r="D17" s="64">
        <f t="shared" si="6"/>
        <v>12</v>
      </c>
      <c r="E17" s="64" t="s">
        <v>104</v>
      </c>
      <c r="F17" s="65" t="s">
        <v>105</v>
      </c>
      <c r="G17" s="71">
        <v>2.7492999999999999</v>
      </c>
      <c r="H17" s="72">
        <v>350484.12</v>
      </c>
      <c r="I17" s="73">
        <f>H17</f>
        <v>350484.12</v>
      </c>
      <c r="J17" s="74"/>
      <c r="K17" s="75">
        <f t="shared" si="0"/>
        <v>0</v>
      </c>
      <c r="L17" s="75">
        <f t="shared" si="1"/>
        <v>0</v>
      </c>
      <c r="M17" s="76">
        <v>0</v>
      </c>
      <c r="N17" s="77">
        <f t="shared" si="2"/>
        <v>398257.86323513003</v>
      </c>
      <c r="O17" s="78">
        <v>0</v>
      </c>
      <c r="P17" s="79">
        <f t="shared" si="3"/>
        <v>398258.12</v>
      </c>
      <c r="Q17" s="80">
        <f t="shared" si="4"/>
        <v>422154.12</v>
      </c>
      <c r="R17" s="81">
        <f t="shared" si="5"/>
        <v>410206.12</v>
      </c>
      <c r="S17" s="42">
        <f t="shared" si="8"/>
        <v>0.11999999999999998</v>
      </c>
    </row>
    <row r="18" spans="1:21" ht="17.100000000000001" customHeight="1" x14ac:dyDescent="0.3">
      <c r="A18" s="5" t="s">
        <v>102</v>
      </c>
      <c r="B18" s="64">
        <v>2</v>
      </c>
      <c r="C18" s="64" t="s">
        <v>100</v>
      </c>
      <c r="D18" s="64">
        <f t="shared" si="6"/>
        <v>13</v>
      </c>
      <c r="E18" s="64" t="s">
        <v>106</v>
      </c>
      <c r="F18" s="65" t="s">
        <v>107</v>
      </c>
      <c r="G18" s="71">
        <v>2.3033000000000001</v>
      </c>
      <c r="H18" s="72">
        <v>285076.13</v>
      </c>
      <c r="I18" s="73">
        <f>H18</f>
        <v>285076.13</v>
      </c>
      <c r="J18" s="74"/>
      <c r="K18" s="75">
        <f t="shared" si="0"/>
        <v>0</v>
      </c>
      <c r="L18" s="75">
        <f t="shared" si="1"/>
        <v>0</v>
      </c>
      <c r="M18" s="76">
        <v>0</v>
      </c>
      <c r="N18" s="77">
        <f t="shared" si="2"/>
        <v>333651.23354653007</v>
      </c>
      <c r="O18" s="78">
        <v>0</v>
      </c>
      <c r="P18" s="79">
        <f t="shared" si="3"/>
        <v>333651.13</v>
      </c>
      <c r="Q18" s="80">
        <f t="shared" si="4"/>
        <v>353670.13</v>
      </c>
      <c r="R18" s="81">
        <f t="shared" si="5"/>
        <v>343661.13</v>
      </c>
      <c r="S18" s="42">
        <f t="shared" si="8"/>
        <v>0.12999999999999998</v>
      </c>
    </row>
    <row r="19" spans="1:21" ht="17.100000000000001" customHeight="1" x14ac:dyDescent="0.3">
      <c r="A19" s="5" t="s">
        <v>108</v>
      </c>
      <c r="B19" s="64">
        <v>2</v>
      </c>
      <c r="C19" s="64" t="s">
        <v>103</v>
      </c>
      <c r="D19" s="64">
        <f t="shared" si="6"/>
        <v>14</v>
      </c>
      <c r="E19" s="64" t="s">
        <v>109</v>
      </c>
      <c r="F19" s="65" t="s">
        <v>110</v>
      </c>
      <c r="G19" s="71">
        <v>2.6368</v>
      </c>
      <c r="H19" s="72">
        <v>621056.14</v>
      </c>
      <c r="I19" s="73">
        <f>40000</f>
        <v>40000</v>
      </c>
      <c r="J19" s="74"/>
      <c r="K19" s="75">
        <f t="shared" si="0"/>
        <v>581056.14</v>
      </c>
      <c r="L19" s="75">
        <f t="shared" si="1"/>
        <v>17431.6842</v>
      </c>
      <c r="M19" s="76">
        <v>0</v>
      </c>
      <c r="N19" s="77">
        <f t="shared" si="2"/>
        <v>381961.34789888002</v>
      </c>
      <c r="O19" s="78">
        <v>0</v>
      </c>
      <c r="P19" s="79">
        <f t="shared" si="3"/>
        <v>980449.14</v>
      </c>
      <c r="Q19" s="80">
        <f t="shared" si="4"/>
        <v>1039276.14</v>
      </c>
      <c r="R19" s="81">
        <f t="shared" si="5"/>
        <v>1009862.14</v>
      </c>
      <c r="S19" s="42">
        <f t="shared" si="8"/>
        <v>0.13999999999999999</v>
      </c>
      <c r="U19" t="s">
        <v>111</v>
      </c>
    </row>
    <row r="20" spans="1:21" ht="17.100000000000001" customHeight="1" x14ac:dyDescent="0.3">
      <c r="A20" s="5" t="s">
        <v>108</v>
      </c>
      <c r="B20" s="64">
        <v>3</v>
      </c>
      <c r="C20" s="64" t="s">
        <v>100</v>
      </c>
      <c r="D20" s="64">
        <f t="shared" si="6"/>
        <v>15</v>
      </c>
      <c r="E20" s="64" t="s">
        <v>112</v>
      </c>
      <c r="F20" s="65"/>
      <c r="G20" s="71">
        <v>2.3536999999999999</v>
      </c>
      <c r="H20" s="72">
        <v>291313.15000000002</v>
      </c>
      <c r="I20" s="73">
        <f>H20</f>
        <v>291313.15000000002</v>
      </c>
      <c r="J20" s="74"/>
      <c r="K20" s="75">
        <f t="shared" si="0"/>
        <v>0</v>
      </c>
      <c r="L20" s="75">
        <f t="shared" si="1"/>
        <v>0</v>
      </c>
      <c r="M20" s="76">
        <v>0</v>
      </c>
      <c r="N20" s="77">
        <f t="shared" si="2"/>
        <v>340952.07241717004</v>
      </c>
      <c r="O20" s="78">
        <v>0</v>
      </c>
      <c r="P20" s="79">
        <f t="shared" si="3"/>
        <v>340952.15</v>
      </c>
      <c r="Q20" s="80">
        <f t="shared" si="4"/>
        <v>361409.15</v>
      </c>
      <c r="R20" s="81">
        <f t="shared" si="5"/>
        <v>351181.15</v>
      </c>
      <c r="S20" s="42">
        <f t="shared" si="8"/>
        <v>0.15</v>
      </c>
    </row>
    <row r="21" spans="1:21" ht="17.100000000000001" customHeight="1" x14ac:dyDescent="0.3">
      <c r="A21" s="5" t="s">
        <v>113</v>
      </c>
      <c r="B21" s="64">
        <v>3</v>
      </c>
      <c r="C21" s="64" t="s">
        <v>103</v>
      </c>
      <c r="D21" s="64">
        <f t="shared" si="6"/>
        <v>16</v>
      </c>
      <c r="E21" s="64" t="s">
        <v>114</v>
      </c>
      <c r="F21" s="64" t="s">
        <v>115</v>
      </c>
      <c r="G21" s="71">
        <v>2.6476999999999999</v>
      </c>
      <c r="H21" s="72">
        <v>327701.15999999997</v>
      </c>
      <c r="I21" s="73">
        <f>H21</f>
        <v>327701.15999999997</v>
      </c>
      <c r="J21" s="74"/>
      <c r="K21" s="75">
        <f t="shared" si="0"/>
        <v>0</v>
      </c>
      <c r="L21" s="75">
        <f t="shared" si="1"/>
        <v>0</v>
      </c>
      <c r="M21" s="76">
        <v>0</v>
      </c>
      <c r="N21" s="77">
        <f t="shared" si="2"/>
        <v>383540.29916257004</v>
      </c>
      <c r="O21" s="78">
        <v>0</v>
      </c>
      <c r="P21" s="79">
        <f t="shared" si="3"/>
        <v>383540.16</v>
      </c>
      <c r="Q21" s="80">
        <f t="shared" si="4"/>
        <v>406553.16</v>
      </c>
      <c r="R21" s="81">
        <f t="shared" si="5"/>
        <v>395046.16</v>
      </c>
      <c r="S21" s="42">
        <f t="shared" si="8"/>
        <v>0.16</v>
      </c>
      <c r="U21" s="41"/>
    </row>
    <row r="22" spans="1:21" ht="17.100000000000001" customHeight="1" x14ac:dyDescent="0.3">
      <c r="A22" s="5" t="s">
        <v>113</v>
      </c>
      <c r="B22" s="64">
        <v>4</v>
      </c>
      <c r="C22" s="64" t="s">
        <v>100</v>
      </c>
      <c r="D22" s="64">
        <f t="shared" si="6"/>
        <v>17</v>
      </c>
      <c r="E22" s="64" t="s">
        <v>116</v>
      </c>
      <c r="F22" s="65" t="s">
        <v>117</v>
      </c>
      <c r="G22" s="71">
        <v>2.3235000000000001</v>
      </c>
      <c r="H22" s="73">
        <v>287576.17</v>
      </c>
      <c r="I22" s="73">
        <f>H22</f>
        <v>287576.17</v>
      </c>
      <c r="J22" s="74"/>
      <c r="K22" s="75">
        <f t="shared" si="0"/>
        <v>0</v>
      </c>
      <c r="L22" s="75">
        <f t="shared" si="1"/>
        <v>0</v>
      </c>
      <c r="M22" s="76">
        <v>0</v>
      </c>
      <c r="N22" s="77">
        <f t="shared" si="2"/>
        <v>336577.36341135006</v>
      </c>
      <c r="O22" s="78">
        <v>0</v>
      </c>
      <c r="P22" s="79">
        <f t="shared" si="3"/>
        <v>336577.17</v>
      </c>
      <c r="Q22" s="80">
        <f t="shared" si="4"/>
        <v>356772.17</v>
      </c>
      <c r="R22" s="81">
        <f t="shared" si="5"/>
        <v>346674.17</v>
      </c>
      <c r="S22" s="42">
        <f t="shared" si="8"/>
        <v>0.17</v>
      </c>
    </row>
    <row r="23" spans="1:21" ht="17.100000000000001" customHeight="1" x14ac:dyDescent="0.3">
      <c r="A23" s="5" t="s">
        <v>118</v>
      </c>
      <c r="B23" s="64">
        <v>4</v>
      </c>
      <c r="C23" s="64" t="s">
        <v>103</v>
      </c>
      <c r="D23" s="64">
        <f t="shared" si="6"/>
        <v>18</v>
      </c>
      <c r="E23" s="64" t="s">
        <v>119</v>
      </c>
      <c r="F23" s="142" t="s">
        <v>120</v>
      </c>
      <c r="G23" s="71">
        <v>2.6880000000000002</v>
      </c>
      <c r="H23" s="72">
        <v>342670.18</v>
      </c>
      <c r="I23" s="73">
        <f>H23</f>
        <v>342670.18</v>
      </c>
      <c r="J23" s="74"/>
      <c r="K23" s="75">
        <f t="shared" si="0"/>
        <v>0</v>
      </c>
      <c r="L23" s="75">
        <f t="shared" si="1"/>
        <v>0</v>
      </c>
      <c r="M23" s="76">
        <v>0</v>
      </c>
      <c r="N23" s="77">
        <f t="shared" si="2"/>
        <v>389378.07310080004</v>
      </c>
      <c r="O23" s="78">
        <v>0</v>
      </c>
      <c r="P23" s="79">
        <f t="shared" si="3"/>
        <v>389378.18</v>
      </c>
      <c r="Q23" s="80">
        <f t="shared" si="4"/>
        <v>412741.18</v>
      </c>
      <c r="R23" s="81">
        <f t="shared" si="5"/>
        <v>401059.18</v>
      </c>
      <c r="S23" s="42">
        <f t="shared" si="8"/>
        <v>0.18000000000000002</v>
      </c>
      <c r="U23" s="152" t="s">
        <v>120</v>
      </c>
    </row>
    <row r="24" spans="1:21" ht="17.100000000000001" customHeight="1" x14ac:dyDescent="0.3">
      <c r="A24" s="5" t="s">
        <v>118</v>
      </c>
      <c r="B24" s="64">
        <v>5</v>
      </c>
      <c r="C24" s="64" t="s">
        <v>100</v>
      </c>
      <c r="D24" s="64">
        <f t="shared" si="6"/>
        <v>19</v>
      </c>
      <c r="E24" s="64" t="s">
        <v>121</v>
      </c>
      <c r="F24" s="65"/>
      <c r="G24" s="71">
        <v>2.36</v>
      </c>
      <c r="H24" s="72">
        <v>292093.19</v>
      </c>
      <c r="I24" s="73">
        <f>H24+100000</f>
        <v>392093.19</v>
      </c>
      <c r="J24" s="74"/>
      <c r="K24" s="75">
        <f t="shared" si="0"/>
        <v>-100000</v>
      </c>
      <c r="L24" s="75">
        <f t="shared" si="1"/>
        <v>0</v>
      </c>
      <c r="M24" s="76">
        <v>0</v>
      </c>
      <c r="N24" s="77">
        <f t="shared" si="2"/>
        <v>341864.67727600003</v>
      </c>
      <c r="O24" s="78">
        <v>0</v>
      </c>
      <c r="P24" s="79">
        <f t="shared" si="3"/>
        <v>241865.19</v>
      </c>
      <c r="Q24" s="80">
        <f t="shared" si="4"/>
        <v>256377.19</v>
      </c>
      <c r="R24" s="81">
        <f t="shared" si="5"/>
        <v>249121.19</v>
      </c>
      <c r="S24" s="42">
        <f t="shared" si="8"/>
        <v>0.19000000000000003</v>
      </c>
    </row>
    <row r="25" spans="1:21" ht="17.100000000000001" customHeight="1" x14ac:dyDescent="0.3">
      <c r="A25" s="5" t="s">
        <v>122</v>
      </c>
      <c r="B25" s="64">
        <v>5</v>
      </c>
      <c r="C25" s="64" t="s">
        <v>103</v>
      </c>
      <c r="D25" s="64">
        <f t="shared" si="6"/>
        <v>20</v>
      </c>
      <c r="E25" s="64" t="s">
        <v>123</v>
      </c>
      <c r="F25" s="64"/>
      <c r="G25" s="71">
        <v>2.7183000000000002</v>
      </c>
      <c r="H25" s="72">
        <v>326615.2</v>
      </c>
      <c r="I25" s="73">
        <v>327000</v>
      </c>
      <c r="J25" s="74"/>
      <c r="K25" s="110">
        <f t="shared" si="0"/>
        <v>-384.79999999998836</v>
      </c>
      <c r="L25" s="75">
        <f t="shared" si="1"/>
        <v>0</v>
      </c>
      <c r="M25" s="76">
        <v>0</v>
      </c>
      <c r="N25" s="77">
        <f t="shared" si="2"/>
        <v>393767.26789803011</v>
      </c>
      <c r="O25" s="78">
        <v>0</v>
      </c>
      <c r="P25" s="79">
        <f t="shared" si="3"/>
        <v>393382.2</v>
      </c>
      <c r="Q25" s="80">
        <f t="shared" si="4"/>
        <v>416985.2</v>
      </c>
      <c r="R25" s="81">
        <f t="shared" si="5"/>
        <v>405183.2</v>
      </c>
      <c r="S25" s="42">
        <f t="shared" si="8"/>
        <v>0.20000000000000004</v>
      </c>
    </row>
    <row r="26" spans="1:21" ht="17.100000000000001" customHeight="1" x14ac:dyDescent="0.3">
      <c r="A26" s="5" t="s">
        <v>124</v>
      </c>
      <c r="B26" s="64">
        <v>6</v>
      </c>
      <c r="C26" s="64" t="s">
        <v>100</v>
      </c>
      <c r="D26" s="64">
        <f t="shared" si="6"/>
        <v>21</v>
      </c>
      <c r="E26" s="64" t="s">
        <v>125</v>
      </c>
      <c r="F26" s="65"/>
      <c r="G26" s="71">
        <v>2.3033000000000001</v>
      </c>
      <c r="H26" s="72">
        <v>285076.21000000002</v>
      </c>
      <c r="I26" s="73">
        <f>H26</f>
        <v>285076.21000000002</v>
      </c>
      <c r="J26" s="74"/>
      <c r="K26" s="75">
        <f t="shared" si="0"/>
        <v>0</v>
      </c>
      <c r="L26" s="75">
        <f t="shared" si="1"/>
        <v>0</v>
      </c>
      <c r="M26" s="76">
        <v>0</v>
      </c>
      <c r="N26" s="77">
        <f t="shared" si="2"/>
        <v>333651.23354653007</v>
      </c>
      <c r="O26" s="78">
        <v>0</v>
      </c>
      <c r="P26" s="79">
        <f t="shared" si="3"/>
        <v>333651.21000000002</v>
      </c>
      <c r="Q26" s="80">
        <f t="shared" si="4"/>
        <v>353670.21</v>
      </c>
      <c r="R26" s="81">
        <f t="shared" si="5"/>
        <v>343661.21</v>
      </c>
      <c r="S26" s="42">
        <f t="shared" si="8"/>
        <v>0.21000000000000005</v>
      </c>
    </row>
    <row r="27" spans="1:21" ht="17.100000000000001" customHeight="1" x14ac:dyDescent="0.3">
      <c r="A27" s="5" t="s">
        <v>126</v>
      </c>
      <c r="B27" s="64">
        <v>6</v>
      </c>
      <c r="C27" s="64" t="s">
        <v>103</v>
      </c>
      <c r="D27" s="64">
        <f t="shared" si="6"/>
        <v>22</v>
      </c>
      <c r="E27" s="64" t="s">
        <v>127</v>
      </c>
      <c r="F27" s="84" t="s">
        <v>128</v>
      </c>
      <c r="G27" s="71">
        <v>2.6360000000000001</v>
      </c>
      <c r="H27" s="72">
        <v>653120.22</v>
      </c>
      <c r="I27" s="73">
        <f>885587.22</f>
        <v>885587.22</v>
      </c>
      <c r="J27" s="74"/>
      <c r="K27" s="75">
        <f t="shared" si="0"/>
        <v>-232467</v>
      </c>
      <c r="L27" s="75">
        <f t="shared" si="1"/>
        <v>0</v>
      </c>
      <c r="M27" s="76">
        <v>0</v>
      </c>
      <c r="N27" s="77">
        <f t="shared" si="2"/>
        <v>381845.46156760008</v>
      </c>
      <c r="O27" s="183">
        <v>0</v>
      </c>
      <c r="P27" s="79">
        <f t="shared" si="3"/>
        <v>149378.22</v>
      </c>
      <c r="Q27" s="80">
        <f t="shared" si="4"/>
        <v>158341.22</v>
      </c>
      <c r="R27" s="81">
        <f t="shared" si="5"/>
        <v>153859.22</v>
      </c>
      <c r="S27" s="42">
        <f t="shared" si="8"/>
        <v>0.22000000000000006</v>
      </c>
      <c r="T27" s="65" t="s">
        <v>97</v>
      </c>
      <c r="U27" t="s">
        <v>98</v>
      </c>
    </row>
    <row r="28" spans="1:21" ht="17.100000000000001" customHeight="1" x14ac:dyDescent="0.3">
      <c r="A28" s="5" t="s">
        <v>129</v>
      </c>
      <c r="B28" s="64">
        <v>7</v>
      </c>
      <c r="C28" s="64" t="s">
        <v>100</v>
      </c>
      <c r="D28" s="64">
        <f t="shared" si="6"/>
        <v>23</v>
      </c>
      <c r="E28" s="64" t="s">
        <v>130</v>
      </c>
      <c r="F28" s="65"/>
      <c r="G28" s="71">
        <v>2.3033000000000001</v>
      </c>
      <c r="H28" s="72">
        <v>285076.23</v>
      </c>
      <c r="I28" s="73">
        <v>290000.23</v>
      </c>
      <c r="J28" s="74"/>
      <c r="K28" s="75">
        <f t="shared" si="0"/>
        <v>-4924</v>
      </c>
      <c r="L28" s="75">
        <f t="shared" si="1"/>
        <v>0</v>
      </c>
      <c r="M28" s="76">
        <v>0</v>
      </c>
      <c r="N28" s="77">
        <f t="shared" si="2"/>
        <v>333651.23354653007</v>
      </c>
      <c r="O28" s="78">
        <v>0</v>
      </c>
      <c r="P28" s="79">
        <f t="shared" si="3"/>
        <v>328727.23</v>
      </c>
      <c r="Q28" s="80">
        <f t="shared" si="4"/>
        <v>348451.23</v>
      </c>
      <c r="R28" s="81">
        <f t="shared" si="5"/>
        <v>338589.23</v>
      </c>
      <c r="S28" s="42">
        <f t="shared" si="8"/>
        <v>0.23000000000000007</v>
      </c>
    </row>
    <row r="29" spans="1:21" ht="17.100000000000001" customHeight="1" x14ac:dyDescent="0.3">
      <c r="A29" s="5" t="s">
        <v>131</v>
      </c>
      <c r="B29" s="64">
        <v>7</v>
      </c>
      <c r="C29" s="64" t="s">
        <v>103</v>
      </c>
      <c r="D29" s="64">
        <f t="shared" si="6"/>
        <v>24</v>
      </c>
      <c r="E29" s="64" t="s">
        <v>132</v>
      </c>
      <c r="F29" s="65"/>
      <c r="G29" s="71">
        <v>2.6158999999999999</v>
      </c>
      <c r="H29" s="72">
        <v>323766.24</v>
      </c>
      <c r="I29" s="73">
        <f t="shared" ref="I29:I34" si="9">H29</f>
        <v>323766.24</v>
      </c>
      <c r="J29" s="74"/>
      <c r="K29" s="75">
        <f t="shared" si="0"/>
        <v>0</v>
      </c>
      <c r="L29" s="75">
        <f t="shared" si="1"/>
        <v>0</v>
      </c>
      <c r="M29" s="76">
        <v>0</v>
      </c>
      <c r="N29" s="77">
        <f t="shared" si="2"/>
        <v>378933.81749419001</v>
      </c>
      <c r="O29" s="78">
        <v>0</v>
      </c>
      <c r="P29" s="79">
        <f t="shared" si="3"/>
        <v>378934.24</v>
      </c>
      <c r="Q29" s="80">
        <f t="shared" si="4"/>
        <v>401670.24</v>
      </c>
      <c r="R29" s="81">
        <f t="shared" si="5"/>
        <v>390302.24</v>
      </c>
      <c r="S29" s="42">
        <f t="shared" si="8"/>
        <v>0.24000000000000007</v>
      </c>
    </row>
    <row r="30" spans="1:21" ht="17.100000000000001" customHeight="1" x14ac:dyDescent="0.3">
      <c r="A30" s="5" t="s">
        <v>131</v>
      </c>
      <c r="B30" s="64">
        <v>8</v>
      </c>
      <c r="C30" s="64" t="s">
        <v>100</v>
      </c>
      <c r="D30" s="64">
        <f t="shared" si="6"/>
        <v>25</v>
      </c>
      <c r="E30" s="64" t="s">
        <v>133</v>
      </c>
      <c r="F30" s="64"/>
      <c r="G30" s="71">
        <v>2.3536999999999999</v>
      </c>
      <c r="H30" s="72">
        <v>291313.25</v>
      </c>
      <c r="I30" s="73">
        <f t="shared" si="9"/>
        <v>291313.25</v>
      </c>
      <c r="J30" s="74"/>
      <c r="K30" s="75">
        <f t="shared" si="0"/>
        <v>0</v>
      </c>
      <c r="L30" s="75">
        <f t="shared" si="1"/>
        <v>0</v>
      </c>
      <c r="M30" s="76">
        <v>0</v>
      </c>
      <c r="N30" s="77">
        <f t="shared" si="2"/>
        <v>340952.07241717004</v>
      </c>
      <c r="O30" s="78">
        <v>0</v>
      </c>
      <c r="P30" s="79">
        <f t="shared" si="3"/>
        <v>340952.25</v>
      </c>
      <c r="Q30" s="80">
        <f t="shared" si="4"/>
        <v>361409.25</v>
      </c>
      <c r="R30" s="81">
        <f t="shared" si="5"/>
        <v>351181.25</v>
      </c>
      <c r="S30" s="42">
        <f t="shared" si="8"/>
        <v>0.25000000000000006</v>
      </c>
    </row>
    <row r="31" spans="1:21" ht="17.100000000000001" customHeight="1" x14ac:dyDescent="0.3">
      <c r="A31" s="5" t="s">
        <v>131</v>
      </c>
      <c r="B31" s="64">
        <v>8</v>
      </c>
      <c r="C31" s="64" t="s">
        <v>103</v>
      </c>
      <c r="D31" s="64">
        <f t="shared" si="6"/>
        <v>26</v>
      </c>
      <c r="E31" s="64" t="s">
        <v>134</v>
      </c>
      <c r="F31" s="64" t="s">
        <v>135</v>
      </c>
      <c r="G31" s="71">
        <v>2.6469</v>
      </c>
      <c r="H31" s="72">
        <v>327602.26</v>
      </c>
      <c r="I31" s="73">
        <f t="shared" si="9"/>
        <v>327602.26</v>
      </c>
      <c r="J31" s="74"/>
      <c r="K31" s="75">
        <f t="shared" si="0"/>
        <v>0</v>
      </c>
      <c r="L31" s="75">
        <f t="shared" si="1"/>
        <v>0</v>
      </c>
      <c r="M31" s="76">
        <v>0</v>
      </c>
      <c r="N31" s="77">
        <f t="shared" si="2"/>
        <v>383424.41283129004</v>
      </c>
      <c r="O31" s="78">
        <v>0</v>
      </c>
      <c r="P31" s="79">
        <f t="shared" si="3"/>
        <v>383424.26</v>
      </c>
      <c r="Q31" s="80">
        <f t="shared" si="4"/>
        <v>406430.26</v>
      </c>
      <c r="R31" s="81">
        <f t="shared" si="5"/>
        <v>394927.26</v>
      </c>
      <c r="S31" s="42">
        <f t="shared" si="8"/>
        <v>0.26000000000000006</v>
      </c>
    </row>
    <row r="32" spans="1:21" ht="17.100000000000001" customHeight="1" x14ac:dyDescent="0.3">
      <c r="A32" s="5" t="s">
        <v>131</v>
      </c>
      <c r="B32" s="64">
        <v>9</v>
      </c>
      <c r="C32" s="64" t="s">
        <v>100</v>
      </c>
      <c r="D32" s="64">
        <f t="shared" si="6"/>
        <v>27</v>
      </c>
      <c r="E32" s="64" t="s">
        <v>136</v>
      </c>
      <c r="F32" s="65"/>
      <c r="G32" s="71">
        <v>2.3536999999999999</v>
      </c>
      <c r="H32" s="72">
        <v>291313.27</v>
      </c>
      <c r="I32" s="73">
        <v>300052.27</v>
      </c>
      <c r="J32" s="74"/>
      <c r="K32" s="75">
        <f t="shared" si="0"/>
        <v>-8739</v>
      </c>
      <c r="L32" s="75">
        <f t="shared" si="1"/>
        <v>0</v>
      </c>
      <c r="M32" s="76">
        <v>0</v>
      </c>
      <c r="N32" s="77">
        <f t="shared" si="2"/>
        <v>340952.07241717004</v>
      </c>
      <c r="O32" s="78">
        <v>0</v>
      </c>
      <c r="P32" s="79">
        <f t="shared" si="3"/>
        <v>332213.27</v>
      </c>
      <c r="Q32" s="80">
        <f t="shared" si="4"/>
        <v>352146.27</v>
      </c>
      <c r="R32" s="81">
        <f t="shared" si="5"/>
        <v>342179.27</v>
      </c>
      <c r="S32" s="42">
        <f t="shared" si="8"/>
        <v>0.27000000000000007</v>
      </c>
    </row>
    <row r="33" spans="1:21" ht="17.100000000000001" customHeight="1" x14ac:dyDescent="0.3">
      <c r="A33" s="5" t="s">
        <v>131</v>
      </c>
      <c r="B33" s="64">
        <v>9</v>
      </c>
      <c r="C33" s="64" t="s">
        <v>103</v>
      </c>
      <c r="D33" s="64">
        <f t="shared" si="6"/>
        <v>28</v>
      </c>
      <c r="E33" s="64" t="s">
        <v>137</v>
      </c>
      <c r="F33" s="64"/>
      <c r="G33" s="71">
        <v>2.6663000000000001</v>
      </c>
      <c r="H33" s="72">
        <v>330003.28000000003</v>
      </c>
      <c r="I33" s="73">
        <f t="shared" si="9"/>
        <v>330003.28000000003</v>
      </c>
      <c r="J33" s="74"/>
      <c r="K33" s="75">
        <f t="shared" si="0"/>
        <v>0</v>
      </c>
      <c r="L33" s="75">
        <f t="shared" si="1"/>
        <v>0</v>
      </c>
      <c r="M33" s="76">
        <v>0</v>
      </c>
      <c r="N33" s="77">
        <f t="shared" si="2"/>
        <v>386234.65636483009</v>
      </c>
      <c r="O33" s="127">
        <v>0</v>
      </c>
      <c r="P33" s="79">
        <f t="shared" si="3"/>
        <v>386235.28</v>
      </c>
      <c r="Q33" s="80">
        <f t="shared" si="4"/>
        <v>409409.28000000003</v>
      </c>
      <c r="R33" s="81">
        <f t="shared" si="5"/>
        <v>397822.28</v>
      </c>
      <c r="S33" s="42">
        <f t="shared" si="8"/>
        <v>0.28000000000000008</v>
      </c>
    </row>
    <row r="34" spans="1:21" ht="17.100000000000001" customHeight="1" x14ac:dyDescent="0.3">
      <c r="A34" s="5" t="s">
        <v>131</v>
      </c>
      <c r="B34" s="64">
        <v>10</v>
      </c>
      <c r="C34" s="64" t="s">
        <v>100</v>
      </c>
      <c r="D34" s="64">
        <f t="shared" si="6"/>
        <v>29</v>
      </c>
      <c r="E34" s="64" t="s">
        <v>138</v>
      </c>
      <c r="F34" s="64" t="s">
        <v>139</v>
      </c>
      <c r="G34" s="71">
        <v>2.4476</v>
      </c>
      <c r="H34" s="72">
        <v>321435.28999999998</v>
      </c>
      <c r="I34" s="73">
        <f t="shared" si="9"/>
        <v>321435.28999999998</v>
      </c>
      <c r="J34" s="74"/>
      <c r="K34" s="75">
        <f t="shared" si="0"/>
        <v>0</v>
      </c>
      <c r="L34" s="75">
        <f t="shared" si="1"/>
        <v>0</v>
      </c>
      <c r="M34" s="76">
        <v>0</v>
      </c>
      <c r="N34" s="77">
        <f t="shared" si="2"/>
        <v>354554.23055116006</v>
      </c>
      <c r="O34" s="187">
        <v>18500</v>
      </c>
      <c r="P34" s="79">
        <f t="shared" si="3"/>
        <v>373054.29</v>
      </c>
      <c r="Q34" s="80">
        <f t="shared" si="4"/>
        <v>395438.29</v>
      </c>
      <c r="R34" s="81">
        <f t="shared" si="5"/>
        <v>384246.29</v>
      </c>
      <c r="S34" s="42">
        <f t="shared" si="8"/>
        <v>0.29000000000000009</v>
      </c>
    </row>
    <row r="35" spans="1:21" ht="17.100000000000001" customHeight="1" x14ac:dyDescent="0.3">
      <c r="A35" s="5" t="s">
        <v>131</v>
      </c>
      <c r="B35" s="64">
        <v>10</v>
      </c>
      <c r="C35" s="64" t="s">
        <v>103</v>
      </c>
      <c r="D35" s="64">
        <f t="shared" si="6"/>
        <v>30</v>
      </c>
      <c r="E35" s="64" t="s">
        <v>140</v>
      </c>
      <c r="F35" s="65"/>
      <c r="G35" s="71">
        <v>2.7183000000000002</v>
      </c>
      <c r="H35" s="72">
        <v>336439.3</v>
      </c>
      <c r="I35" s="73">
        <f>H35</f>
        <v>336439.3</v>
      </c>
      <c r="J35" s="74"/>
      <c r="K35" s="75">
        <f t="shared" si="0"/>
        <v>0</v>
      </c>
      <c r="L35" s="75">
        <f t="shared" si="1"/>
        <v>0</v>
      </c>
      <c r="M35" s="76">
        <v>0</v>
      </c>
      <c r="N35" s="77">
        <f t="shared" si="2"/>
        <v>393767.26789803011</v>
      </c>
      <c r="O35" s="78">
        <v>0</v>
      </c>
      <c r="P35" s="79">
        <f t="shared" si="3"/>
        <v>393767.3</v>
      </c>
      <c r="Q35" s="80">
        <f t="shared" si="4"/>
        <v>417393.3</v>
      </c>
      <c r="R35" s="81">
        <f t="shared" si="5"/>
        <v>405580.3</v>
      </c>
      <c r="S35" s="42">
        <f t="shared" si="8"/>
        <v>0.3000000000000001</v>
      </c>
    </row>
    <row r="36" spans="1:21" x14ac:dyDescent="0.3">
      <c r="A36" s="5" t="s">
        <v>131</v>
      </c>
      <c r="B36" s="64">
        <v>11</v>
      </c>
      <c r="C36" s="64" t="s">
        <v>100</v>
      </c>
      <c r="D36" s="64">
        <f t="shared" si="6"/>
        <v>31</v>
      </c>
      <c r="E36" s="64" t="s">
        <v>141</v>
      </c>
      <c r="F36" s="64" t="s">
        <v>142</v>
      </c>
      <c r="G36" s="71">
        <v>2.3026</v>
      </c>
      <c r="H36" s="73">
        <v>284989.31</v>
      </c>
      <c r="I36" s="73">
        <f>H36</f>
        <v>284989.31</v>
      </c>
      <c r="J36" s="82"/>
      <c r="K36" s="75">
        <f t="shared" si="0"/>
        <v>0</v>
      </c>
      <c r="L36" s="75">
        <f t="shared" si="1"/>
        <v>0</v>
      </c>
      <c r="M36" s="76">
        <v>0</v>
      </c>
      <c r="N36" s="140">
        <f t="shared" si="2"/>
        <v>333549.83300666005</v>
      </c>
      <c r="O36" s="83">
        <v>0</v>
      </c>
      <c r="P36" s="79">
        <f t="shared" si="3"/>
        <v>333550.31</v>
      </c>
      <c r="Q36" s="80">
        <f t="shared" si="4"/>
        <v>353563.31</v>
      </c>
      <c r="R36" s="81">
        <f t="shared" si="5"/>
        <v>343557.31</v>
      </c>
      <c r="S36" s="42">
        <f t="shared" si="8"/>
        <v>0.31000000000000011</v>
      </c>
    </row>
    <row r="37" spans="1:21" ht="17.100000000000001" customHeight="1" x14ac:dyDescent="0.3">
      <c r="A37" s="5" t="s">
        <v>131</v>
      </c>
      <c r="B37" s="64">
        <v>11</v>
      </c>
      <c r="C37" s="64" t="s">
        <v>103</v>
      </c>
      <c r="D37" s="64">
        <f t="shared" si="6"/>
        <v>32</v>
      </c>
      <c r="E37" s="64" t="s">
        <v>143</v>
      </c>
      <c r="F37" s="65"/>
      <c r="G37" s="71">
        <v>2.6562000000000001</v>
      </c>
      <c r="H37" s="72">
        <v>456011.32</v>
      </c>
      <c r="I37" s="73">
        <v>328753.32</v>
      </c>
      <c r="J37" s="74"/>
      <c r="K37" s="75">
        <f t="shared" si="0"/>
        <v>127258</v>
      </c>
      <c r="L37" s="75">
        <f t="shared" si="1"/>
        <v>3817.74</v>
      </c>
      <c r="M37" s="76">
        <v>0</v>
      </c>
      <c r="N37" s="77">
        <f t="shared" si="2"/>
        <v>384771.59143242007</v>
      </c>
      <c r="O37" s="78">
        <v>0</v>
      </c>
      <c r="P37" s="79">
        <f t="shared" si="3"/>
        <v>515847.32</v>
      </c>
      <c r="Q37" s="80">
        <f t="shared" si="4"/>
        <v>546798.31999999995</v>
      </c>
      <c r="R37" s="81">
        <f t="shared" si="5"/>
        <v>531322.32000000007</v>
      </c>
      <c r="S37" s="42">
        <f t="shared" si="8"/>
        <v>0.32000000000000012</v>
      </c>
    </row>
    <row r="38" spans="1:21" ht="17.100000000000001" customHeight="1" x14ac:dyDescent="0.3">
      <c r="A38" s="5" t="s">
        <v>131</v>
      </c>
      <c r="B38" s="64">
        <v>12</v>
      </c>
      <c r="C38" s="64" t="s">
        <v>100</v>
      </c>
      <c r="D38" s="64">
        <f t="shared" si="6"/>
        <v>33</v>
      </c>
      <c r="E38" s="64" t="s">
        <v>144</v>
      </c>
      <c r="F38" s="65"/>
      <c r="G38" s="71">
        <v>2.3342999999999998</v>
      </c>
      <c r="H38" s="72">
        <v>288912.33</v>
      </c>
      <c r="I38" s="73">
        <f t="shared" ref="I38:I41" si="10">H38</f>
        <v>288912.33</v>
      </c>
      <c r="J38" s="74"/>
      <c r="K38" s="75">
        <f t="shared" ref="K38:K69" si="11">H38-I38</f>
        <v>0</v>
      </c>
      <c r="L38" s="75">
        <f t="shared" ref="L38:L69" si="12">IF(K38&gt;0,K38*3%,0)</f>
        <v>0</v>
      </c>
      <c r="M38" s="76">
        <v>0</v>
      </c>
      <c r="N38" s="77">
        <f t="shared" ref="N38:N69" si="13">P$2*G38%</f>
        <v>338141.82888363005</v>
      </c>
      <c r="O38" s="78">
        <v>0</v>
      </c>
      <c r="P38" s="79">
        <f t="shared" ref="P38:P69" si="14">ROUND(SUM(K38:O38),0) + S38</f>
        <v>338142.33</v>
      </c>
      <c r="Q38" s="80">
        <f t="shared" ref="Q38:Q69" si="15">ROUND(P38*6% + P38,0) + S38</f>
        <v>358431.33</v>
      </c>
      <c r="R38" s="81">
        <f t="shared" ref="R38:R69" si="16">ROUND(P38*3%,0) + P38</f>
        <v>348286.33</v>
      </c>
      <c r="S38" s="42">
        <f t="shared" si="8"/>
        <v>0.33000000000000013</v>
      </c>
    </row>
    <row r="39" spans="1:21" ht="17.100000000000001" customHeight="1" x14ac:dyDescent="0.3">
      <c r="A39" s="5" t="s">
        <v>131</v>
      </c>
      <c r="B39" s="64">
        <v>12</v>
      </c>
      <c r="C39" s="64" t="s">
        <v>103</v>
      </c>
      <c r="D39" s="64">
        <f t="shared" ref="D39:D75" si="17">D38+1</f>
        <v>34</v>
      </c>
      <c r="E39" s="64" t="s">
        <v>145</v>
      </c>
      <c r="F39" s="64"/>
      <c r="G39" s="71">
        <v>2.6259000000000001</v>
      </c>
      <c r="H39" s="72">
        <v>325003.34000000003</v>
      </c>
      <c r="I39" s="73">
        <f t="shared" si="10"/>
        <v>325003.34000000003</v>
      </c>
      <c r="J39" s="74"/>
      <c r="K39" s="75">
        <f t="shared" si="11"/>
        <v>0</v>
      </c>
      <c r="L39" s="75">
        <f t="shared" si="12"/>
        <v>0</v>
      </c>
      <c r="M39" s="76">
        <v>0</v>
      </c>
      <c r="N39" s="77">
        <f t="shared" si="13"/>
        <v>380382.39663519006</v>
      </c>
      <c r="O39" s="78">
        <v>0</v>
      </c>
      <c r="P39" s="79">
        <f t="shared" si="14"/>
        <v>380382.34</v>
      </c>
      <c r="Q39" s="80">
        <f t="shared" si="15"/>
        <v>403205.34</v>
      </c>
      <c r="R39" s="81">
        <f t="shared" si="16"/>
        <v>391793.34</v>
      </c>
      <c r="S39" s="42">
        <f t="shared" ref="S39:S75" si="18">S38+0.01</f>
        <v>0.34000000000000014</v>
      </c>
    </row>
    <row r="40" spans="1:21" ht="17.100000000000001" customHeight="1" x14ac:dyDescent="0.3">
      <c r="A40" s="5" t="s">
        <v>131</v>
      </c>
      <c r="B40" s="64">
        <v>1</v>
      </c>
      <c r="C40" s="64" t="s">
        <v>146</v>
      </c>
      <c r="D40" s="64">
        <f t="shared" si="17"/>
        <v>35</v>
      </c>
      <c r="E40" s="64" t="s">
        <v>147</v>
      </c>
      <c r="F40" s="65" t="s">
        <v>148</v>
      </c>
      <c r="G40" s="71">
        <v>1.0069999999999999</v>
      </c>
      <c r="H40" s="72">
        <v>128374.35</v>
      </c>
      <c r="I40" s="73">
        <f t="shared" si="10"/>
        <v>128374.35</v>
      </c>
      <c r="J40" s="74"/>
      <c r="K40" s="75">
        <f t="shared" si="11"/>
        <v>0</v>
      </c>
      <c r="L40" s="75">
        <f t="shared" si="12"/>
        <v>0</v>
      </c>
      <c r="M40" s="76">
        <v>0</v>
      </c>
      <c r="N40" s="77">
        <f t="shared" si="13"/>
        <v>145871.91949870001</v>
      </c>
      <c r="O40" s="78">
        <v>0</v>
      </c>
      <c r="P40" s="79">
        <f t="shared" si="14"/>
        <v>145872.35</v>
      </c>
      <c r="Q40" s="80">
        <f t="shared" si="15"/>
        <v>154625.35</v>
      </c>
      <c r="R40" s="81">
        <f t="shared" si="16"/>
        <v>150248.35</v>
      </c>
      <c r="S40" s="42">
        <f t="shared" si="18"/>
        <v>0.35000000000000014</v>
      </c>
    </row>
    <row r="41" spans="1:21" ht="17.100000000000001" customHeight="1" x14ac:dyDescent="0.3">
      <c r="A41" s="5" t="s">
        <v>131</v>
      </c>
      <c r="B41" s="64">
        <v>1</v>
      </c>
      <c r="C41" s="64" t="s">
        <v>149</v>
      </c>
      <c r="D41" s="64">
        <f t="shared" si="17"/>
        <v>36</v>
      </c>
      <c r="E41" s="64" t="s">
        <v>150</v>
      </c>
      <c r="F41" s="65" t="s">
        <v>151</v>
      </c>
      <c r="G41" s="71">
        <v>0.78120000000000001</v>
      </c>
      <c r="H41" s="73">
        <v>99589.36</v>
      </c>
      <c r="I41" s="73">
        <f t="shared" si="10"/>
        <v>99589.36</v>
      </c>
      <c r="J41" s="74"/>
      <c r="K41" s="75">
        <f t="shared" si="11"/>
        <v>0</v>
      </c>
      <c r="L41" s="75">
        <f t="shared" si="12"/>
        <v>0</v>
      </c>
      <c r="M41" s="76">
        <v>0</v>
      </c>
      <c r="N41" s="77">
        <f t="shared" si="13"/>
        <v>113163.00249492002</v>
      </c>
      <c r="O41" s="78">
        <v>0</v>
      </c>
      <c r="P41" s="79">
        <f t="shared" si="14"/>
        <v>113163.36</v>
      </c>
      <c r="Q41" s="80">
        <f t="shared" si="15"/>
        <v>119953.36</v>
      </c>
      <c r="R41" s="81">
        <f t="shared" si="16"/>
        <v>116558.36</v>
      </c>
      <c r="S41" s="42">
        <f t="shared" si="18"/>
        <v>0.36000000000000015</v>
      </c>
      <c r="U41" t="s">
        <v>152</v>
      </c>
    </row>
    <row r="42" spans="1:21" ht="17.100000000000001" customHeight="1" x14ac:dyDescent="0.3">
      <c r="A42" s="51"/>
      <c r="B42" s="63">
        <v>1</v>
      </c>
      <c r="C42" s="63" t="s">
        <v>153</v>
      </c>
      <c r="D42" s="64">
        <f t="shared" si="17"/>
        <v>37</v>
      </c>
      <c r="E42" s="63" t="s">
        <v>150</v>
      </c>
      <c r="F42" s="65" t="s">
        <v>151</v>
      </c>
      <c r="G42" s="85">
        <v>1.2153</v>
      </c>
      <c r="H42" s="72">
        <v>154928.37</v>
      </c>
      <c r="I42" s="73">
        <f>H42</f>
        <v>154928.37</v>
      </c>
      <c r="J42" s="74"/>
      <c r="K42" s="75">
        <f t="shared" si="11"/>
        <v>0</v>
      </c>
      <c r="L42" s="75">
        <f t="shared" si="12"/>
        <v>0</v>
      </c>
      <c r="M42" s="76">
        <v>0</v>
      </c>
      <c r="N42" s="77">
        <f t="shared" si="13"/>
        <v>176045.82300573002</v>
      </c>
      <c r="O42" s="78">
        <v>0</v>
      </c>
      <c r="P42" s="79">
        <f t="shared" si="14"/>
        <v>176046.37</v>
      </c>
      <c r="Q42" s="80">
        <f t="shared" si="15"/>
        <v>186609.37</v>
      </c>
      <c r="R42" s="81">
        <f t="shared" si="16"/>
        <v>181327.37</v>
      </c>
      <c r="S42" s="42">
        <f t="shared" si="18"/>
        <v>0.37000000000000016</v>
      </c>
      <c r="U42" t="s">
        <v>152</v>
      </c>
    </row>
    <row r="43" spans="1:21" ht="17.100000000000001" customHeight="1" x14ac:dyDescent="0.3">
      <c r="B43" s="64">
        <v>2</v>
      </c>
      <c r="C43" s="86" t="s">
        <v>146</v>
      </c>
      <c r="D43" s="64">
        <f t="shared" si="17"/>
        <v>38</v>
      </c>
      <c r="E43" s="63" t="s">
        <v>154</v>
      </c>
      <c r="F43" s="63" t="s">
        <v>155</v>
      </c>
      <c r="G43" s="85">
        <v>0.95489999999999997</v>
      </c>
      <c r="H43" s="72">
        <v>124665.38</v>
      </c>
      <c r="I43" s="73">
        <f>H43</f>
        <v>124665.38</v>
      </c>
      <c r="J43" s="74"/>
      <c r="K43" s="75">
        <f t="shared" si="11"/>
        <v>0</v>
      </c>
      <c r="L43" s="75">
        <f t="shared" si="12"/>
        <v>0</v>
      </c>
      <c r="M43" s="76">
        <v>0</v>
      </c>
      <c r="N43" s="77">
        <f t="shared" si="13"/>
        <v>138324.82217409002</v>
      </c>
      <c r="O43" s="78">
        <v>0</v>
      </c>
      <c r="P43" s="79">
        <f t="shared" si="14"/>
        <v>138325.38</v>
      </c>
      <c r="Q43" s="80">
        <f t="shared" si="15"/>
        <v>146625.38</v>
      </c>
      <c r="R43" s="81">
        <f t="shared" si="16"/>
        <v>142475.38</v>
      </c>
      <c r="S43" s="42">
        <f t="shared" si="18"/>
        <v>0.38000000000000017</v>
      </c>
    </row>
    <row r="44" spans="1:21" ht="17.100000000000001" customHeight="1" x14ac:dyDescent="0.3">
      <c r="B44" s="64">
        <v>2</v>
      </c>
      <c r="C44" s="86" t="s">
        <v>149</v>
      </c>
      <c r="D44" s="64">
        <f t="shared" si="17"/>
        <v>39</v>
      </c>
      <c r="E44" s="63" t="s">
        <v>156</v>
      </c>
      <c r="F44" s="84"/>
      <c r="G44" s="85">
        <v>0.75519999999999998</v>
      </c>
      <c r="H44" s="72">
        <v>645600.39</v>
      </c>
      <c r="I44" s="73"/>
      <c r="J44" s="74"/>
      <c r="K44" s="75">
        <f t="shared" si="11"/>
        <v>645600.39</v>
      </c>
      <c r="L44" s="75">
        <f t="shared" si="12"/>
        <v>19368.011699999999</v>
      </c>
      <c r="M44" s="76">
        <v>0</v>
      </c>
      <c r="N44" s="77">
        <f t="shared" si="13"/>
        <v>109396.69672832001</v>
      </c>
      <c r="O44" s="78">
        <v>0</v>
      </c>
      <c r="P44" s="79">
        <f t="shared" si="14"/>
        <v>774365.39</v>
      </c>
      <c r="Q44" s="80">
        <f t="shared" si="15"/>
        <v>820827.39</v>
      </c>
      <c r="R44" s="81">
        <f t="shared" si="16"/>
        <v>797596.39</v>
      </c>
      <c r="S44" s="42">
        <f t="shared" si="18"/>
        <v>0.39000000000000018</v>
      </c>
    </row>
    <row r="45" spans="1:21" ht="17.100000000000001" customHeight="1" x14ac:dyDescent="0.3">
      <c r="B45" s="64">
        <v>2</v>
      </c>
      <c r="C45" s="86" t="s">
        <v>153</v>
      </c>
      <c r="D45" s="64">
        <f t="shared" si="17"/>
        <v>40</v>
      </c>
      <c r="E45" s="63" t="s">
        <v>136</v>
      </c>
      <c r="F45" s="63" t="s">
        <v>157</v>
      </c>
      <c r="G45" s="85">
        <v>1.1545000000000001</v>
      </c>
      <c r="H45" s="72">
        <v>142891.4</v>
      </c>
      <c r="I45" s="73">
        <v>147148.4</v>
      </c>
      <c r="J45" s="74"/>
      <c r="K45" s="75">
        <f t="shared" si="11"/>
        <v>-4257</v>
      </c>
      <c r="L45" s="75">
        <f t="shared" si="12"/>
        <v>0</v>
      </c>
      <c r="M45" s="76">
        <v>0</v>
      </c>
      <c r="N45" s="77">
        <f t="shared" si="13"/>
        <v>167238.46182845003</v>
      </c>
      <c r="O45" s="78">
        <v>0</v>
      </c>
      <c r="P45" s="79">
        <f t="shared" si="14"/>
        <v>162981.4</v>
      </c>
      <c r="Q45" s="80">
        <f t="shared" si="15"/>
        <v>172760.4</v>
      </c>
      <c r="R45" s="81">
        <f t="shared" si="16"/>
        <v>167870.4</v>
      </c>
      <c r="S45" s="42">
        <f t="shared" si="18"/>
        <v>0.40000000000000019</v>
      </c>
    </row>
    <row r="46" spans="1:21" ht="17.100000000000001" customHeight="1" x14ac:dyDescent="0.3">
      <c r="B46" s="64">
        <v>3</v>
      </c>
      <c r="C46" s="86" t="s">
        <v>146</v>
      </c>
      <c r="D46" s="64">
        <f t="shared" si="17"/>
        <v>41</v>
      </c>
      <c r="E46" s="63" t="s">
        <v>158</v>
      </c>
      <c r="F46" s="63" t="s">
        <v>159</v>
      </c>
      <c r="G46" s="85">
        <v>0.95489999999999997</v>
      </c>
      <c r="H46" s="72">
        <v>114738.41</v>
      </c>
      <c r="I46" s="73">
        <v>118180.41</v>
      </c>
      <c r="J46" s="74"/>
      <c r="K46" s="75">
        <f t="shared" si="11"/>
        <v>-3442</v>
      </c>
      <c r="L46" s="75">
        <f t="shared" si="12"/>
        <v>0</v>
      </c>
      <c r="M46" s="76">
        <v>0</v>
      </c>
      <c r="N46" s="77">
        <f t="shared" si="13"/>
        <v>138324.82217409002</v>
      </c>
      <c r="O46" s="78">
        <v>0</v>
      </c>
      <c r="P46" s="79">
        <f t="shared" si="14"/>
        <v>134883.41</v>
      </c>
      <c r="Q46" s="80">
        <f t="shared" si="15"/>
        <v>142976.41</v>
      </c>
      <c r="R46" s="81">
        <f t="shared" si="16"/>
        <v>138930.41</v>
      </c>
      <c r="S46" s="42">
        <f t="shared" si="18"/>
        <v>0.4100000000000002</v>
      </c>
    </row>
    <row r="47" spans="1:21" ht="17.100000000000001" customHeight="1" x14ac:dyDescent="0.3">
      <c r="B47" s="64">
        <v>3</v>
      </c>
      <c r="C47" s="86" t="s">
        <v>149</v>
      </c>
      <c r="D47" s="64">
        <f t="shared" si="17"/>
        <v>42</v>
      </c>
      <c r="E47" s="63" t="s">
        <v>160</v>
      </c>
      <c r="F47" s="84"/>
      <c r="G47" s="85">
        <v>0.75519999999999998</v>
      </c>
      <c r="H47" s="72">
        <v>93470.42</v>
      </c>
      <c r="I47" s="73">
        <f>H47</f>
        <v>93470.42</v>
      </c>
      <c r="J47" s="74"/>
      <c r="K47" s="75">
        <f t="shared" si="11"/>
        <v>0</v>
      </c>
      <c r="L47" s="75">
        <f t="shared" si="12"/>
        <v>0</v>
      </c>
      <c r="M47" s="76">
        <v>0</v>
      </c>
      <c r="N47" s="77">
        <f t="shared" si="13"/>
        <v>109396.69672832001</v>
      </c>
      <c r="O47" s="78">
        <v>0</v>
      </c>
      <c r="P47" s="79">
        <f t="shared" si="14"/>
        <v>109397.42</v>
      </c>
      <c r="Q47" s="80">
        <f t="shared" si="15"/>
        <v>115961.42</v>
      </c>
      <c r="R47" s="81">
        <f t="shared" si="16"/>
        <v>112679.42</v>
      </c>
      <c r="S47" s="42">
        <f t="shared" si="18"/>
        <v>0.42000000000000021</v>
      </c>
    </row>
    <row r="48" spans="1:21" ht="17.100000000000001" customHeight="1" x14ac:dyDescent="0.3">
      <c r="B48" s="64">
        <v>3</v>
      </c>
      <c r="C48" s="86" t="s">
        <v>153</v>
      </c>
      <c r="D48" s="64">
        <f t="shared" si="17"/>
        <v>43</v>
      </c>
      <c r="E48" s="63" t="s">
        <v>161</v>
      </c>
      <c r="F48" s="84"/>
      <c r="G48" s="85">
        <v>1.1545000000000001</v>
      </c>
      <c r="H48" s="72">
        <v>142891.43</v>
      </c>
      <c r="I48" s="73">
        <f>H48</f>
        <v>142891.43</v>
      </c>
      <c r="J48" s="74"/>
      <c r="K48" s="75">
        <f t="shared" si="11"/>
        <v>0</v>
      </c>
      <c r="L48" s="75">
        <f t="shared" si="12"/>
        <v>0</v>
      </c>
      <c r="M48" s="76">
        <v>0</v>
      </c>
      <c r="N48" s="77">
        <f t="shared" si="13"/>
        <v>167238.46182845003</v>
      </c>
      <c r="O48" s="78">
        <v>0</v>
      </c>
      <c r="P48" s="79">
        <f t="shared" si="14"/>
        <v>167238.43</v>
      </c>
      <c r="Q48" s="80">
        <f t="shared" si="15"/>
        <v>177273.43</v>
      </c>
      <c r="R48" s="81">
        <f t="shared" si="16"/>
        <v>172255.43</v>
      </c>
      <c r="S48" s="42">
        <f t="shared" si="18"/>
        <v>0.43000000000000022</v>
      </c>
    </row>
    <row r="49" spans="2:21" ht="17.100000000000001" customHeight="1" x14ac:dyDescent="0.3">
      <c r="B49" s="64">
        <v>4</v>
      </c>
      <c r="C49" s="86" t="s">
        <v>146</v>
      </c>
      <c r="D49" s="64">
        <f t="shared" si="17"/>
        <v>44</v>
      </c>
      <c r="E49" s="63" t="s">
        <v>162</v>
      </c>
      <c r="F49" s="84" t="s">
        <v>163</v>
      </c>
      <c r="G49" s="85">
        <v>0.95489999999999997</v>
      </c>
      <c r="H49" s="72">
        <v>118186.44</v>
      </c>
      <c r="I49" s="73">
        <f>H49</f>
        <v>118186.44</v>
      </c>
      <c r="J49" s="74"/>
      <c r="K49" s="75">
        <f t="shared" si="11"/>
        <v>0</v>
      </c>
      <c r="L49" s="75">
        <f t="shared" si="12"/>
        <v>0</v>
      </c>
      <c r="M49" s="76">
        <v>0</v>
      </c>
      <c r="N49" s="77">
        <f t="shared" si="13"/>
        <v>138324.82217409002</v>
      </c>
      <c r="O49" s="78">
        <v>0</v>
      </c>
      <c r="P49" s="79">
        <f t="shared" si="14"/>
        <v>138325.44</v>
      </c>
      <c r="Q49" s="80">
        <f t="shared" si="15"/>
        <v>146625.44</v>
      </c>
      <c r="R49" s="81">
        <f t="shared" si="16"/>
        <v>142475.44</v>
      </c>
      <c r="S49" s="42">
        <f t="shared" si="18"/>
        <v>0.44000000000000022</v>
      </c>
    </row>
    <row r="50" spans="2:21" ht="17.100000000000001" customHeight="1" x14ac:dyDescent="0.3">
      <c r="B50" s="64">
        <v>4</v>
      </c>
      <c r="C50" s="86" t="s">
        <v>149</v>
      </c>
      <c r="D50" s="64">
        <f t="shared" si="17"/>
        <v>45</v>
      </c>
      <c r="E50" s="63" t="s">
        <v>164</v>
      </c>
      <c r="F50" s="63"/>
      <c r="G50" s="85">
        <v>0.75519999999999998</v>
      </c>
      <c r="H50" s="72">
        <v>93468.45</v>
      </c>
      <c r="I50" s="73">
        <f>93470</f>
        <v>93470</v>
      </c>
      <c r="J50" s="74"/>
      <c r="K50" s="75">
        <f t="shared" si="11"/>
        <v>-1.5500000000029104</v>
      </c>
      <c r="L50" s="75">
        <f t="shared" si="12"/>
        <v>0</v>
      </c>
      <c r="M50" s="76">
        <v>0</v>
      </c>
      <c r="N50" s="77">
        <f t="shared" si="13"/>
        <v>109396.69672832001</v>
      </c>
      <c r="O50" s="78">
        <v>0</v>
      </c>
      <c r="P50" s="79">
        <f t="shared" si="14"/>
        <v>109395.45</v>
      </c>
      <c r="Q50" s="80">
        <f t="shared" si="15"/>
        <v>115959.45</v>
      </c>
      <c r="R50" s="81">
        <f t="shared" si="16"/>
        <v>112677.45</v>
      </c>
      <c r="S50" s="42">
        <f t="shared" si="18"/>
        <v>0.45000000000000023</v>
      </c>
      <c r="U50" t="s">
        <v>165</v>
      </c>
    </row>
    <row r="51" spans="2:21" ht="17.100000000000001" customHeight="1" x14ac:dyDescent="0.3">
      <c r="B51" s="64">
        <v>4</v>
      </c>
      <c r="C51" s="86" t="s">
        <v>153</v>
      </c>
      <c r="D51" s="64">
        <f t="shared" si="17"/>
        <v>46</v>
      </c>
      <c r="E51" s="63" t="s">
        <v>166</v>
      </c>
      <c r="F51" s="63" t="s">
        <v>167</v>
      </c>
      <c r="G51" s="85">
        <v>1.1545000000000001</v>
      </c>
      <c r="H51" s="72">
        <v>142891.46</v>
      </c>
      <c r="I51" s="73"/>
      <c r="J51" s="74"/>
      <c r="K51" s="75">
        <f t="shared" si="11"/>
        <v>142891.46</v>
      </c>
      <c r="L51" s="75">
        <f t="shared" si="12"/>
        <v>4286.7437999999993</v>
      </c>
      <c r="M51" s="76">
        <v>0</v>
      </c>
      <c r="N51" s="77">
        <f t="shared" si="13"/>
        <v>167238.46182845003</v>
      </c>
      <c r="O51" s="78">
        <v>0</v>
      </c>
      <c r="P51" s="79">
        <f t="shared" si="14"/>
        <v>314417.46000000002</v>
      </c>
      <c r="Q51" s="80">
        <f t="shared" si="15"/>
        <v>333283.46000000002</v>
      </c>
      <c r="R51" s="81">
        <f t="shared" si="16"/>
        <v>323850.46000000002</v>
      </c>
      <c r="S51" s="42">
        <f t="shared" si="18"/>
        <v>0.46000000000000024</v>
      </c>
    </row>
    <row r="52" spans="2:21" ht="17.100000000000001" customHeight="1" x14ac:dyDescent="0.3">
      <c r="B52" s="64">
        <v>5</v>
      </c>
      <c r="C52" s="86" t="s">
        <v>146</v>
      </c>
      <c r="D52" s="64">
        <f t="shared" si="17"/>
        <v>47</v>
      </c>
      <c r="E52" s="63" t="s">
        <v>168</v>
      </c>
      <c r="F52" s="84" t="s">
        <v>169</v>
      </c>
      <c r="G52" s="85">
        <v>0.95489999999999997</v>
      </c>
      <c r="H52" s="72">
        <v>118186.47</v>
      </c>
      <c r="I52" s="73">
        <f t="shared" ref="I52:I59" si="19">H52</f>
        <v>118186.47</v>
      </c>
      <c r="J52" s="74"/>
      <c r="K52" s="75">
        <f t="shared" si="11"/>
        <v>0</v>
      </c>
      <c r="L52" s="75">
        <f t="shared" si="12"/>
        <v>0</v>
      </c>
      <c r="M52" s="76">
        <v>0</v>
      </c>
      <c r="N52" s="77">
        <f t="shared" si="13"/>
        <v>138324.82217409002</v>
      </c>
      <c r="O52" s="78">
        <v>0</v>
      </c>
      <c r="P52" s="79">
        <f t="shared" si="14"/>
        <v>138325.47</v>
      </c>
      <c r="Q52" s="80">
        <f t="shared" si="15"/>
        <v>146625.47</v>
      </c>
      <c r="R52" s="81">
        <f t="shared" si="16"/>
        <v>142475.47</v>
      </c>
      <c r="S52" s="42">
        <f t="shared" si="18"/>
        <v>0.47000000000000025</v>
      </c>
    </row>
    <row r="53" spans="2:21" ht="17.100000000000001" customHeight="1" x14ac:dyDescent="0.3">
      <c r="B53" s="64">
        <v>5</v>
      </c>
      <c r="C53" s="86" t="s">
        <v>149</v>
      </c>
      <c r="D53" s="64">
        <f t="shared" si="17"/>
        <v>48</v>
      </c>
      <c r="E53" s="63" t="s">
        <v>104</v>
      </c>
      <c r="F53" s="63" t="s">
        <v>170</v>
      </c>
      <c r="G53" s="85">
        <v>0.75519999999999998</v>
      </c>
      <c r="H53" s="72">
        <v>93470.48</v>
      </c>
      <c r="I53" s="73">
        <f t="shared" si="19"/>
        <v>93470.48</v>
      </c>
      <c r="J53" s="74"/>
      <c r="K53" s="75">
        <f t="shared" si="11"/>
        <v>0</v>
      </c>
      <c r="L53" s="75">
        <f t="shared" si="12"/>
        <v>0</v>
      </c>
      <c r="M53" s="76">
        <v>0</v>
      </c>
      <c r="N53" s="77">
        <f t="shared" si="13"/>
        <v>109396.69672832001</v>
      </c>
      <c r="O53" s="78">
        <v>0</v>
      </c>
      <c r="P53" s="79">
        <f t="shared" si="14"/>
        <v>109397.48</v>
      </c>
      <c r="Q53" s="80">
        <f t="shared" si="15"/>
        <v>115961.48</v>
      </c>
      <c r="R53" s="81">
        <f t="shared" si="16"/>
        <v>112679.48</v>
      </c>
      <c r="S53" s="42">
        <f t="shared" si="18"/>
        <v>0.48000000000000026</v>
      </c>
    </row>
    <row r="54" spans="2:21" ht="17.100000000000001" customHeight="1" x14ac:dyDescent="0.3">
      <c r="B54" s="64">
        <v>5</v>
      </c>
      <c r="C54" s="86" t="s">
        <v>153</v>
      </c>
      <c r="D54" s="64">
        <f t="shared" si="17"/>
        <v>49</v>
      </c>
      <c r="E54" s="63" t="s">
        <v>171</v>
      </c>
      <c r="F54" s="63" t="s">
        <v>172</v>
      </c>
      <c r="G54" s="85">
        <v>1.1545000000000001</v>
      </c>
      <c r="H54" s="72">
        <v>142891.49</v>
      </c>
      <c r="I54" s="73">
        <f t="shared" si="19"/>
        <v>142891.49</v>
      </c>
      <c r="J54" s="74"/>
      <c r="K54" s="75">
        <f t="shared" si="11"/>
        <v>0</v>
      </c>
      <c r="L54" s="75">
        <f t="shared" si="12"/>
        <v>0</v>
      </c>
      <c r="M54" s="76">
        <v>0</v>
      </c>
      <c r="N54" s="77">
        <f t="shared" si="13"/>
        <v>167238.46182845003</v>
      </c>
      <c r="O54" s="78">
        <v>0</v>
      </c>
      <c r="P54" s="79">
        <f t="shared" si="14"/>
        <v>167238.49</v>
      </c>
      <c r="Q54" s="80">
        <f t="shared" si="15"/>
        <v>177273.49</v>
      </c>
      <c r="R54" s="81">
        <f t="shared" si="16"/>
        <v>172255.49</v>
      </c>
      <c r="S54" s="42">
        <f t="shared" si="18"/>
        <v>0.49000000000000027</v>
      </c>
    </row>
    <row r="55" spans="2:21" ht="17.100000000000001" customHeight="1" x14ac:dyDescent="0.3">
      <c r="B55" s="64">
        <v>6</v>
      </c>
      <c r="C55" s="86" t="s">
        <v>146</v>
      </c>
      <c r="D55" s="64">
        <f t="shared" si="17"/>
        <v>50</v>
      </c>
      <c r="E55" s="63" t="s">
        <v>173</v>
      </c>
      <c r="F55" s="63"/>
      <c r="G55" s="85">
        <v>0.95489999999999997</v>
      </c>
      <c r="H55" s="72">
        <v>118186.5</v>
      </c>
      <c r="I55" s="73">
        <f t="shared" si="19"/>
        <v>118186.5</v>
      </c>
      <c r="J55" s="74"/>
      <c r="K55" s="75">
        <f t="shared" si="11"/>
        <v>0</v>
      </c>
      <c r="L55" s="75">
        <f t="shared" si="12"/>
        <v>0</v>
      </c>
      <c r="M55" s="76">
        <v>0</v>
      </c>
      <c r="N55" s="77">
        <f t="shared" si="13"/>
        <v>138324.82217409002</v>
      </c>
      <c r="O55" s="78">
        <v>0</v>
      </c>
      <c r="P55" s="79">
        <f t="shared" si="14"/>
        <v>138325.5</v>
      </c>
      <c r="Q55" s="80">
        <f t="shared" si="15"/>
        <v>146625.5</v>
      </c>
      <c r="R55" s="81">
        <f t="shared" si="16"/>
        <v>142475.5</v>
      </c>
      <c r="S55" s="42">
        <f t="shared" si="18"/>
        <v>0.50000000000000022</v>
      </c>
    </row>
    <row r="56" spans="2:21" ht="17.100000000000001" customHeight="1" x14ac:dyDescent="0.3">
      <c r="B56" s="64">
        <v>6</v>
      </c>
      <c r="C56" s="86" t="s">
        <v>149</v>
      </c>
      <c r="D56" s="64">
        <f t="shared" si="17"/>
        <v>51</v>
      </c>
      <c r="E56" s="63" t="s">
        <v>174</v>
      </c>
      <c r="F56" s="63"/>
      <c r="G56" s="85">
        <v>0.75519999999999998</v>
      </c>
      <c r="H56" s="72">
        <v>99249.51</v>
      </c>
      <c r="I56" s="73">
        <v>96358</v>
      </c>
      <c r="J56" s="74"/>
      <c r="K56" s="75">
        <f t="shared" si="11"/>
        <v>2891.5099999999948</v>
      </c>
      <c r="L56" s="75">
        <f t="shared" si="12"/>
        <v>86.745299999999844</v>
      </c>
      <c r="M56" s="76">
        <v>0</v>
      </c>
      <c r="N56" s="77">
        <f t="shared" si="13"/>
        <v>109396.69672832001</v>
      </c>
      <c r="O56" s="78">
        <v>0</v>
      </c>
      <c r="P56" s="79">
        <f t="shared" si="14"/>
        <v>112375.51</v>
      </c>
      <c r="Q56" s="80">
        <f t="shared" si="15"/>
        <v>119118.51</v>
      </c>
      <c r="R56" s="81">
        <f t="shared" si="16"/>
        <v>115746.51</v>
      </c>
      <c r="S56" s="42">
        <f t="shared" si="18"/>
        <v>0.51000000000000023</v>
      </c>
      <c r="U56" t="s">
        <v>175</v>
      </c>
    </row>
    <row r="57" spans="2:21" ht="17.100000000000001" customHeight="1" x14ac:dyDescent="0.3">
      <c r="B57" s="64">
        <v>6</v>
      </c>
      <c r="C57" s="86" t="s">
        <v>153</v>
      </c>
      <c r="D57" s="64">
        <f t="shared" si="17"/>
        <v>52</v>
      </c>
      <c r="E57" s="63" t="s">
        <v>176</v>
      </c>
      <c r="F57" s="84"/>
      <c r="G57" s="85">
        <v>1.1545000000000001</v>
      </c>
      <c r="H57" s="72">
        <v>142891.51999999999</v>
      </c>
      <c r="I57" s="73">
        <f t="shared" si="19"/>
        <v>142891.51999999999</v>
      </c>
      <c r="J57" s="74"/>
      <c r="K57" s="75">
        <f t="shared" si="11"/>
        <v>0</v>
      </c>
      <c r="L57" s="75">
        <f t="shared" si="12"/>
        <v>0</v>
      </c>
      <c r="M57" s="76">
        <v>0</v>
      </c>
      <c r="N57" s="77">
        <f t="shared" si="13"/>
        <v>167238.46182845003</v>
      </c>
      <c r="O57" s="78">
        <v>0</v>
      </c>
      <c r="P57" s="79">
        <f t="shared" si="14"/>
        <v>167238.51999999999</v>
      </c>
      <c r="Q57" s="80">
        <f t="shared" si="15"/>
        <v>177273.52</v>
      </c>
      <c r="R57" s="81">
        <f t="shared" si="16"/>
        <v>172255.52</v>
      </c>
      <c r="S57" s="42">
        <f t="shared" si="18"/>
        <v>0.52000000000000024</v>
      </c>
    </row>
    <row r="58" spans="2:21" ht="17.100000000000001" customHeight="1" x14ac:dyDescent="0.3">
      <c r="B58" s="64">
        <v>7</v>
      </c>
      <c r="C58" s="86" t="s">
        <v>146</v>
      </c>
      <c r="D58" s="64">
        <f t="shared" si="17"/>
        <v>53</v>
      </c>
      <c r="E58" s="63" t="s">
        <v>177</v>
      </c>
      <c r="F58" s="84"/>
      <c r="G58" s="85">
        <v>0.95489999999999997</v>
      </c>
      <c r="H58" s="72">
        <v>118186.53</v>
      </c>
      <c r="I58" s="73">
        <f t="shared" si="19"/>
        <v>118186.53</v>
      </c>
      <c r="J58" s="74"/>
      <c r="K58" s="75">
        <f t="shared" si="11"/>
        <v>0</v>
      </c>
      <c r="L58" s="75">
        <f t="shared" si="12"/>
        <v>0</v>
      </c>
      <c r="M58" s="76">
        <v>0</v>
      </c>
      <c r="N58" s="77">
        <f t="shared" si="13"/>
        <v>138324.82217409002</v>
      </c>
      <c r="O58" s="78">
        <v>0</v>
      </c>
      <c r="P58" s="79">
        <f t="shared" si="14"/>
        <v>138325.53</v>
      </c>
      <c r="Q58" s="80">
        <f t="shared" si="15"/>
        <v>146625.53</v>
      </c>
      <c r="R58" s="81">
        <f t="shared" si="16"/>
        <v>142475.53</v>
      </c>
      <c r="S58" s="42">
        <f t="shared" si="18"/>
        <v>0.53000000000000025</v>
      </c>
    </row>
    <row r="59" spans="2:21" ht="17.100000000000001" customHeight="1" x14ac:dyDescent="0.3">
      <c r="B59" s="64">
        <v>7</v>
      </c>
      <c r="C59" s="86" t="s">
        <v>149</v>
      </c>
      <c r="D59" s="64">
        <f t="shared" si="17"/>
        <v>54</v>
      </c>
      <c r="E59" s="63" t="s">
        <v>178</v>
      </c>
      <c r="F59" s="63"/>
      <c r="G59" s="85">
        <v>0.75519999999999998</v>
      </c>
      <c r="H59" s="72">
        <v>93470.54</v>
      </c>
      <c r="I59" s="73">
        <f t="shared" si="19"/>
        <v>93470.54</v>
      </c>
      <c r="J59" s="74"/>
      <c r="K59" s="75">
        <f t="shared" si="11"/>
        <v>0</v>
      </c>
      <c r="L59" s="75">
        <f t="shared" si="12"/>
        <v>0</v>
      </c>
      <c r="M59" s="76">
        <v>0</v>
      </c>
      <c r="N59" s="77">
        <f t="shared" si="13"/>
        <v>109396.69672832001</v>
      </c>
      <c r="O59" s="78">
        <v>0</v>
      </c>
      <c r="P59" s="79">
        <f t="shared" si="14"/>
        <v>109397.54</v>
      </c>
      <c r="Q59" s="80">
        <f t="shared" si="15"/>
        <v>115961.54</v>
      </c>
      <c r="R59" s="81">
        <f t="shared" si="16"/>
        <v>112679.54</v>
      </c>
      <c r="S59" s="42">
        <f t="shared" si="18"/>
        <v>0.54000000000000026</v>
      </c>
    </row>
    <row r="60" spans="2:21" ht="17.100000000000001" customHeight="1" x14ac:dyDescent="0.3">
      <c r="B60" s="64">
        <v>7</v>
      </c>
      <c r="C60" s="86" t="s">
        <v>153</v>
      </c>
      <c r="D60" s="64">
        <f t="shared" si="17"/>
        <v>55</v>
      </c>
      <c r="E60" s="63" t="s">
        <v>179</v>
      </c>
      <c r="F60" s="63" t="s">
        <v>180</v>
      </c>
      <c r="G60" s="85">
        <v>1.1545000000000001</v>
      </c>
      <c r="H60" s="72">
        <v>730237.55</v>
      </c>
      <c r="I60" s="73"/>
      <c r="J60" s="74"/>
      <c r="K60" s="75">
        <f t="shared" si="11"/>
        <v>730237.55</v>
      </c>
      <c r="L60" s="75">
        <f t="shared" si="12"/>
        <v>21907.126500000002</v>
      </c>
      <c r="M60" s="76">
        <v>0</v>
      </c>
      <c r="N60" s="77">
        <f t="shared" si="13"/>
        <v>167238.46182845003</v>
      </c>
      <c r="O60" s="78">
        <v>0</v>
      </c>
      <c r="P60" s="79">
        <f t="shared" si="14"/>
        <v>919383.55</v>
      </c>
      <c r="Q60" s="80">
        <f t="shared" si="15"/>
        <v>974547.55</v>
      </c>
      <c r="R60" s="81">
        <f t="shared" si="16"/>
        <v>946965.55</v>
      </c>
      <c r="S60" s="42">
        <f t="shared" si="18"/>
        <v>0.55000000000000027</v>
      </c>
    </row>
    <row r="61" spans="2:21" ht="17.100000000000001" customHeight="1" x14ac:dyDescent="0.3">
      <c r="B61" s="64">
        <v>8</v>
      </c>
      <c r="C61" s="86" t="s">
        <v>146</v>
      </c>
      <c r="D61" s="64">
        <f t="shared" si="17"/>
        <v>56</v>
      </c>
      <c r="E61" s="63" t="s">
        <v>181</v>
      </c>
      <c r="F61" s="84" t="s">
        <v>182</v>
      </c>
      <c r="G61" s="85">
        <v>0.95489999999999997</v>
      </c>
      <c r="H61" s="72">
        <v>118186.56</v>
      </c>
      <c r="I61" s="73">
        <f>H61</f>
        <v>118186.56</v>
      </c>
      <c r="J61" s="74"/>
      <c r="K61" s="75">
        <f t="shared" si="11"/>
        <v>0</v>
      </c>
      <c r="L61" s="75">
        <f t="shared" si="12"/>
        <v>0</v>
      </c>
      <c r="M61" s="76">
        <v>0</v>
      </c>
      <c r="N61" s="77">
        <f t="shared" si="13"/>
        <v>138324.82217409002</v>
      </c>
      <c r="O61" s="78"/>
      <c r="P61" s="79">
        <f t="shared" si="14"/>
        <v>138325.56</v>
      </c>
      <c r="Q61" s="80">
        <f t="shared" si="15"/>
        <v>146625.56</v>
      </c>
      <c r="R61" s="81">
        <f t="shared" si="16"/>
        <v>142475.56</v>
      </c>
      <c r="S61" s="42">
        <f t="shared" si="18"/>
        <v>0.56000000000000028</v>
      </c>
    </row>
    <row r="62" spans="2:21" ht="17.100000000000001" customHeight="1" x14ac:dyDescent="0.3">
      <c r="B62" s="64">
        <v>8</v>
      </c>
      <c r="C62" s="86" t="s">
        <v>149</v>
      </c>
      <c r="D62" s="64">
        <f t="shared" si="17"/>
        <v>57</v>
      </c>
      <c r="E62" s="63" t="s">
        <v>183</v>
      </c>
      <c r="F62" s="84" t="s">
        <v>184</v>
      </c>
      <c r="G62" s="85">
        <v>0.75519999999999998</v>
      </c>
      <c r="H62" s="72">
        <v>90653.57</v>
      </c>
      <c r="I62" s="73">
        <v>96721.57</v>
      </c>
      <c r="J62" s="74"/>
      <c r="K62" s="75">
        <f t="shared" si="11"/>
        <v>-6068</v>
      </c>
      <c r="L62" s="75">
        <f t="shared" si="12"/>
        <v>0</v>
      </c>
      <c r="M62" s="76">
        <v>0</v>
      </c>
      <c r="N62" s="77">
        <f t="shared" si="13"/>
        <v>109396.69672832001</v>
      </c>
      <c r="O62" s="78">
        <v>0</v>
      </c>
      <c r="P62" s="79">
        <f t="shared" si="14"/>
        <v>103329.57</v>
      </c>
      <c r="Q62" s="80">
        <f t="shared" si="15"/>
        <v>109529.57</v>
      </c>
      <c r="R62" s="81">
        <f t="shared" si="16"/>
        <v>106429.57</v>
      </c>
      <c r="S62" s="42">
        <f t="shared" si="18"/>
        <v>0.57000000000000028</v>
      </c>
    </row>
    <row r="63" spans="2:21" ht="17.100000000000001" customHeight="1" x14ac:dyDescent="0.3">
      <c r="B63" s="64">
        <v>8</v>
      </c>
      <c r="C63" s="86" t="s">
        <v>153</v>
      </c>
      <c r="D63" s="64">
        <f t="shared" si="17"/>
        <v>58</v>
      </c>
      <c r="E63" s="63" t="s">
        <v>185</v>
      </c>
      <c r="F63" s="84"/>
      <c r="G63" s="85">
        <v>1.1545000000000001</v>
      </c>
      <c r="H63" s="72">
        <v>142891.57999999999</v>
      </c>
      <c r="I63" s="73">
        <f>H63</f>
        <v>142891.57999999999</v>
      </c>
      <c r="J63" s="74"/>
      <c r="K63" s="75">
        <f t="shared" si="11"/>
        <v>0</v>
      </c>
      <c r="L63" s="75">
        <f t="shared" si="12"/>
        <v>0</v>
      </c>
      <c r="M63" s="76">
        <v>0</v>
      </c>
      <c r="N63" s="77">
        <f t="shared" si="13"/>
        <v>167238.46182845003</v>
      </c>
      <c r="O63" s="78">
        <v>0</v>
      </c>
      <c r="P63" s="79">
        <f t="shared" si="14"/>
        <v>167238.57999999999</v>
      </c>
      <c r="Q63" s="80">
        <f t="shared" si="15"/>
        <v>177273.58</v>
      </c>
      <c r="R63" s="81">
        <f t="shared" si="16"/>
        <v>172255.58</v>
      </c>
      <c r="S63" s="42">
        <f t="shared" si="18"/>
        <v>0.58000000000000029</v>
      </c>
    </row>
    <row r="64" spans="2:21" ht="17.100000000000001" customHeight="1" x14ac:dyDescent="0.3">
      <c r="B64" s="64">
        <v>9</v>
      </c>
      <c r="C64" s="86" t="s">
        <v>146</v>
      </c>
      <c r="D64" s="64">
        <f t="shared" si="17"/>
        <v>59</v>
      </c>
      <c r="E64" s="63" t="s">
        <v>186</v>
      </c>
      <c r="F64" s="63" t="s">
        <v>187</v>
      </c>
      <c r="G64" s="85">
        <v>0.95489999999999997</v>
      </c>
      <c r="H64" s="72">
        <v>118186.59</v>
      </c>
      <c r="I64" s="73">
        <f>RESUMEN!D69</f>
        <v>95706.73</v>
      </c>
      <c r="J64" s="74"/>
      <c r="K64" s="75">
        <f t="shared" si="11"/>
        <v>22479.86</v>
      </c>
      <c r="L64" s="75">
        <f t="shared" si="12"/>
        <v>674.39580000000001</v>
      </c>
      <c r="M64" s="76">
        <v>0</v>
      </c>
      <c r="N64" s="77">
        <f t="shared" si="13"/>
        <v>138324.82217409002</v>
      </c>
      <c r="O64" s="78">
        <v>0</v>
      </c>
      <c r="P64" s="79">
        <f t="shared" si="14"/>
        <v>161479.59</v>
      </c>
      <c r="Q64" s="80">
        <f t="shared" si="15"/>
        <v>171168.59</v>
      </c>
      <c r="R64" s="81">
        <f t="shared" si="16"/>
        <v>166323.59</v>
      </c>
      <c r="S64" s="42">
        <f t="shared" si="18"/>
        <v>0.5900000000000003</v>
      </c>
    </row>
    <row r="65" spans="2:21" ht="17.100000000000001" customHeight="1" x14ac:dyDescent="0.3">
      <c r="B65" s="64">
        <v>9</v>
      </c>
      <c r="C65" s="86" t="s">
        <v>149</v>
      </c>
      <c r="D65" s="64">
        <f t="shared" si="17"/>
        <v>60</v>
      </c>
      <c r="E65" s="63" t="s">
        <v>188</v>
      </c>
      <c r="F65" s="84"/>
      <c r="G65" s="85">
        <v>0.75519999999999998</v>
      </c>
      <c r="H65" s="72">
        <v>192479.6</v>
      </c>
      <c r="I65" s="73"/>
      <c r="J65" s="74"/>
      <c r="K65" s="75">
        <f t="shared" si="11"/>
        <v>192479.6</v>
      </c>
      <c r="L65" s="75">
        <f t="shared" si="12"/>
        <v>5774.3879999999999</v>
      </c>
      <c r="M65" s="76">
        <v>0</v>
      </c>
      <c r="N65" s="77">
        <f t="shared" si="13"/>
        <v>109396.69672832001</v>
      </c>
      <c r="O65" s="78">
        <v>0</v>
      </c>
      <c r="P65" s="79">
        <f t="shared" si="14"/>
        <v>307651.59999999998</v>
      </c>
      <c r="Q65" s="80">
        <f t="shared" si="15"/>
        <v>326111.59999999998</v>
      </c>
      <c r="R65" s="81">
        <f t="shared" si="16"/>
        <v>316881.59999999998</v>
      </c>
      <c r="S65" s="42">
        <f t="shared" si="18"/>
        <v>0.60000000000000031</v>
      </c>
      <c r="U65" t="s">
        <v>189</v>
      </c>
    </row>
    <row r="66" spans="2:21" ht="17.100000000000001" customHeight="1" x14ac:dyDescent="0.3">
      <c r="B66" s="64">
        <v>9</v>
      </c>
      <c r="C66" s="86" t="s">
        <v>153</v>
      </c>
      <c r="D66" s="64">
        <f t="shared" si="17"/>
        <v>61</v>
      </c>
      <c r="E66" s="63" t="s">
        <v>190</v>
      </c>
      <c r="F66" s="63"/>
      <c r="G66" s="85">
        <v>1.1545000000000001</v>
      </c>
      <c r="H66" s="72">
        <v>142891.60999999999</v>
      </c>
      <c r="I66" s="73">
        <f>H66</f>
        <v>142891.60999999999</v>
      </c>
      <c r="J66" s="74"/>
      <c r="K66" s="75">
        <f t="shared" si="11"/>
        <v>0</v>
      </c>
      <c r="L66" s="75">
        <f t="shared" si="12"/>
        <v>0</v>
      </c>
      <c r="M66" s="76">
        <v>0</v>
      </c>
      <c r="N66" s="77">
        <f t="shared" si="13"/>
        <v>167238.46182845003</v>
      </c>
      <c r="O66" s="78">
        <v>0</v>
      </c>
      <c r="P66" s="79">
        <f t="shared" si="14"/>
        <v>167238.60999999999</v>
      </c>
      <c r="Q66" s="80">
        <f t="shared" si="15"/>
        <v>177273.61</v>
      </c>
      <c r="R66" s="81">
        <f t="shared" si="16"/>
        <v>172255.61</v>
      </c>
      <c r="S66" s="42">
        <f t="shared" si="18"/>
        <v>0.61000000000000032</v>
      </c>
      <c r="U66" t="s">
        <v>191</v>
      </c>
    </row>
    <row r="67" spans="2:21" ht="17.100000000000001" customHeight="1" x14ac:dyDescent="0.3">
      <c r="B67" s="64">
        <v>10</v>
      </c>
      <c r="C67" s="86" t="s">
        <v>146</v>
      </c>
      <c r="D67" s="64">
        <f t="shared" si="17"/>
        <v>62</v>
      </c>
      <c r="E67" s="63" t="s">
        <v>192</v>
      </c>
      <c r="F67" s="84" t="s">
        <v>193</v>
      </c>
      <c r="G67" s="85">
        <v>0.95489999999999997</v>
      </c>
      <c r="H67" s="72">
        <v>118186.62</v>
      </c>
      <c r="I67" s="73">
        <f>H67</f>
        <v>118186.62</v>
      </c>
      <c r="J67" s="74"/>
      <c r="K67" s="75">
        <f t="shared" si="11"/>
        <v>0</v>
      </c>
      <c r="L67" s="75">
        <f t="shared" si="12"/>
        <v>0</v>
      </c>
      <c r="M67" s="76">
        <v>0</v>
      </c>
      <c r="N67" s="77">
        <f t="shared" si="13"/>
        <v>138324.82217409002</v>
      </c>
      <c r="O67" s="78">
        <v>0</v>
      </c>
      <c r="P67" s="79">
        <f t="shared" si="14"/>
        <v>138325.62</v>
      </c>
      <c r="Q67" s="80">
        <f t="shared" si="15"/>
        <v>146625.62</v>
      </c>
      <c r="R67" s="81">
        <f t="shared" si="16"/>
        <v>142475.62</v>
      </c>
      <c r="S67" s="42">
        <f t="shared" si="18"/>
        <v>0.62000000000000033</v>
      </c>
      <c r="U67" t="s">
        <v>194</v>
      </c>
    </row>
    <row r="68" spans="2:21" ht="17.100000000000001" customHeight="1" x14ac:dyDescent="0.3">
      <c r="B68" s="64">
        <v>10</v>
      </c>
      <c r="C68" s="86" t="s">
        <v>149</v>
      </c>
      <c r="D68" s="64">
        <f t="shared" si="17"/>
        <v>63</v>
      </c>
      <c r="E68" s="63" t="s">
        <v>104</v>
      </c>
      <c r="F68" s="63" t="s">
        <v>195</v>
      </c>
      <c r="G68" s="85">
        <v>0.75519999999999998</v>
      </c>
      <c r="H68" s="72">
        <v>93470.63</v>
      </c>
      <c r="I68" s="73">
        <f>H68</f>
        <v>93470.63</v>
      </c>
      <c r="J68" s="74"/>
      <c r="K68" s="75">
        <f t="shared" si="11"/>
        <v>0</v>
      </c>
      <c r="L68" s="75">
        <f t="shared" si="12"/>
        <v>0</v>
      </c>
      <c r="M68" s="76">
        <v>0</v>
      </c>
      <c r="N68" s="77">
        <f t="shared" si="13"/>
        <v>109396.69672832001</v>
      </c>
      <c r="O68" s="78">
        <v>0</v>
      </c>
      <c r="P68" s="79">
        <f t="shared" si="14"/>
        <v>109397.63</v>
      </c>
      <c r="Q68" s="80">
        <f t="shared" si="15"/>
        <v>115961.63</v>
      </c>
      <c r="R68" s="81">
        <f t="shared" si="16"/>
        <v>112679.63</v>
      </c>
      <c r="S68" s="42">
        <f t="shared" si="18"/>
        <v>0.63000000000000034</v>
      </c>
    </row>
    <row r="69" spans="2:21" ht="17.100000000000001" customHeight="1" x14ac:dyDescent="0.3">
      <c r="B69" s="64">
        <v>10</v>
      </c>
      <c r="C69" s="86" t="s">
        <v>153</v>
      </c>
      <c r="D69" s="64">
        <f t="shared" si="17"/>
        <v>64</v>
      </c>
      <c r="E69" s="63" t="s">
        <v>160</v>
      </c>
      <c r="F69" s="63"/>
      <c r="G69" s="85">
        <v>1.1545000000000001</v>
      </c>
      <c r="H69" s="72">
        <v>142891.64000000001</v>
      </c>
      <c r="I69" s="73">
        <f>H69</f>
        <v>142891.64000000001</v>
      </c>
      <c r="J69" s="74"/>
      <c r="K69" s="75">
        <f t="shared" si="11"/>
        <v>0</v>
      </c>
      <c r="L69" s="75">
        <f t="shared" si="12"/>
        <v>0</v>
      </c>
      <c r="M69" s="76">
        <v>0</v>
      </c>
      <c r="N69" s="77">
        <f t="shared" si="13"/>
        <v>167238.46182845003</v>
      </c>
      <c r="O69" s="78">
        <v>0</v>
      </c>
      <c r="P69" s="79">
        <f t="shared" si="14"/>
        <v>167238.64000000001</v>
      </c>
      <c r="Q69" s="80">
        <f t="shared" si="15"/>
        <v>177273.64</v>
      </c>
      <c r="R69" s="81">
        <f t="shared" si="16"/>
        <v>172255.64</v>
      </c>
      <c r="S69" s="42">
        <f t="shared" si="18"/>
        <v>0.64000000000000035</v>
      </c>
    </row>
    <row r="70" spans="2:21" ht="17.100000000000001" customHeight="1" x14ac:dyDescent="0.3">
      <c r="B70" s="64">
        <v>11</v>
      </c>
      <c r="C70" s="86" t="s">
        <v>146</v>
      </c>
      <c r="D70" s="64">
        <f t="shared" si="17"/>
        <v>65</v>
      </c>
      <c r="E70" s="63" t="s">
        <v>196</v>
      </c>
      <c r="F70" s="84"/>
      <c r="G70" s="85">
        <v>0.95489999999999997</v>
      </c>
      <c r="H70" s="72">
        <v>114640.65</v>
      </c>
      <c r="I70" s="73">
        <f>H70</f>
        <v>114640.65</v>
      </c>
      <c r="J70" s="74"/>
      <c r="K70" s="75">
        <f t="shared" ref="K70:K75" si="20">H70-I70</f>
        <v>0</v>
      </c>
      <c r="L70" s="75">
        <f t="shared" ref="L70:L75" si="21">IF(K70&gt;0,K70*3%,0)</f>
        <v>0</v>
      </c>
      <c r="M70" s="76">
        <v>0</v>
      </c>
      <c r="N70" s="77">
        <f t="shared" ref="N70:N75" si="22">P$2*G70%</f>
        <v>138324.82217409002</v>
      </c>
      <c r="O70" s="78">
        <v>0</v>
      </c>
      <c r="P70" s="79">
        <f t="shared" ref="P70:P75" si="23">ROUND(SUM(K70:O70),0) + S70</f>
        <v>138325.65</v>
      </c>
      <c r="Q70" s="80">
        <f t="shared" ref="Q70:Q75" si="24">ROUND(P70*6% + P70,0) + S70</f>
        <v>146625.65</v>
      </c>
      <c r="R70" s="81">
        <f t="shared" ref="R70:R75" si="25">ROUND(P70*3%,0) + P70</f>
        <v>142475.65</v>
      </c>
      <c r="S70" s="42">
        <f t="shared" si="18"/>
        <v>0.65000000000000036</v>
      </c>
    </row>
    <row r="71" spans="2:21" ht="17.100000000000001" customHeight="1" x14ac:dyDescent="0.3">
      <c r="B71" s="64">
        <v>11</v>
      </c>
      <c r="C71" s="86" t="s">
        <v>149</v>
      </c>
      <c r="D71" s="64">
        <f t="shared" si="17"/>
        <v>66</v>
      </c>
      <c r="E71" s="63" t="s">
        <v>197</v>
      </c>
      <c r="F71" s="84" t="s">
        <v>198</v>
      </c>
      <c r="G71" s="85">
        <v>0.75519999999999998</v>
      </c>
      <c r="H71" s="72">
        <v>187089.66</v>
      </c>
      <c r="I71" s="73"/>
      <c r="J71" s="74"/>
      <c r="K71" s="75">
        <f t="shared" si="20"/>
        <v>187089.66</v>
      </c>
      <c r="L71" s="75">
        <f t="shared" si="21"/>
        <v>5612.6898000000001</v>
      </c>
      <c r="M71" s="76">
        <v>0</v>
      </c>
      <c r="N71" s="77">
        <f t="shared" si="22"/>
        <v>109396.69672832001</v>
      </c>
      <c r="O71" s="78">
        <v>0</v>
      </c>
      <c r="P71" s="79">
        <f t="shared" si="23"/>
        <v>302099.65999999997</v>
      </c>
      <c r="Q71" s="80">
        <f t="shared" si="24"/>
        <v>320226.65999999997</v>
      </c>
      <c r="R71" s="81">
        <f t="shared" si="25"/>
        <v>311162.65999999997</v>
      </c>
      <c r="S71" s="42">
        <f t="shared" si="18"/>
        <v>0.66000000000000036</v>
      </c>
    </row>
    <row r="72" spans="2:21" ht="17.100000000000001" customHeight="1" x14ac:dyDescent="0.3">
      <c r="B72" s="64">
        <v>11</v>
      </c>
      <c r="C72" s="86" t="s">
        <v>153</v>
      </c>
      <c r="D72" s="64">
        <f t="shared" si="17"/>
        <v>67</v>
      </c>
      <c r="E72" s="63" t="s">
        <v>199</v>
      </c>
      <c r="F72" s="63"/>
      <c r="G72" s="85">
        <v>1.1545000000000001</v>
      </c>
      <c r="H72" s="72">
        <v>142891.67000000001</v>
      </c>
      <c r="I72" s="73">
        <v>147148.67000000001</v>
      </c>
      <c r="J72" s="74"/>
      <c r="K72" s="75">
        <f t="shared" si="20"/>
        <v>-4257</v>
      </c>
      <c r="L72" s="75">
        <f t="shared" si="21"/>
        <v>0</v>
      </c>
      <c r="M72" s="76">
        <v>0</v>
      </c>
      <c r="N72" s="77">
        <f t="shared" si="22"/>
        <v>167238.46182845003</v>
      </c>
      <c r="O72" s="78">
        <v>0</v>
      </c>
      <c r="P72" s="79">
        <f t="shared" si="23"/>
        <v>162981.67000000001</v>
      </c>
      <c r="Q72" s="80">
        <f t="shared" si="24"/>
        <v>172761.67</v>
      </c>
      <c r="R72" s="81">
        <f t="shared" si="25"/>
        <v>167870.67</v>
      </c>
      <c r="S72" s="42">
        <f t="shared" si="18"/>
        <v>0.67000000000000037</v>
      </c>
    </row>
    <row r="73" spans="2:21" ht="17.100000000000001" customHeight="1" x14ac:dyDescent="0.3">
      <c r="B73" s="64">
        <v>12</v>
      </c>
      <c r="C73" s="87" t="s">
        <v>146</v>
      </c>
      <c r="D73" s="64">
        <f t="shared" si="17"/>
        <v>68</v>
      </c>
      <c r="E73" s="88" t="s">
        <v>200</v>
      </c>
      <c r="F73" s="88"/>
      <c r="G73" s="89">
        <v>0.95489999999999997</v>
      </c>
      <c r="H73" s="90">
        <v>118186.68</v>
      </c>
      <c r="I73" s="73">
        <f>H73</f>
        <v>118186.68</v>
      </c>
      <c r="J73" s="92"/>
      <c r="K73" s="93">
        <f t="shared" si="20"/>
        <v>0</v>
      </c>
      <c r="L73" s="75">
        <f t="shared" si="21"/>
        <v>0</v>
      </c>
      <c r="M73" s="76">
        <v>0</v>
      </c>
      <c r="N73" s="94">
        <f t="shared" si="22"/>
        <v>138324.82217409002</v>
      </c>
      <c r="O73" s="95">
        <v>0</v>
      </c>
      <c r="P73" s="79">
        <f t="shared" si="23"/>
        <v>138325.68</v>
      </c>
      <c r="Q73" s="80">
        <f t="shared" si="24"/>
        <v>146625.68</v>
      </c>
      <c r="R73" s="81">
        <f t="shared" si="25"/>
        <v>142475.68</v>
      </c>
      <c r="S73" s="42">
        <f t="shared" si="18"/>
        <v>0.68000000000000038</v>
      </c>
    </row>
    <row r="74" spans="2:21" ht="17.100000000000001" customHeight="1" x14ac:dyDescent="0.3">
      <c r="B74" s="64">
        <v>12</v>
      </c>
      <c r="C74" s="86" t="s">
        <v>149</v>
      </c>
      <c r="D74" s="64">
        <f t="shared" si="17"/>
        <v>69</v>
      </c>
      <c r="E74" s="64" t="s">
        <v>190</v>
      </c>
      <c r="F74" s="96"/>
      <c r="G74" s="89">
        <v>0.75519999999999998</v>
      </c>
      <c r="H74" s="90">
        <v>93470.69</v>
      </c>
      <c r="I74" s="73">
        <f>H74</f>
        <v>93470.69</v>
      </c>
      <c r="J74" s="92"/>
      <c r="K74" s="93">
        <f t="shared" si="20"/>
        <v>0</v>
      </c>
      <c r="L74" s="75">
        <f t="shared" si="21"/>
        <v>0</v>
      </c>
      <c r="M74" s="76">
        <v>0</v>
      </c>
      <c r="N74" s="94">
        <f t="shared" si="22"/>
        <v>109396.69672832001</v>
      </c>
      <c r="O74" s="95">
        <v>0</v>
      </c>
      <c r="P74" s="79">
        <f t="shared" si="23"/>
        <v>109397.69</v>
      </c>
      <c r="Q74" s="80">
        <f t="shared" si="24"/>
        <v>115962.69</v>
      </c>
      <c r="R74" s="81">
        <f t="shared" si="25"/>
        <v>112679.69</v>
      </c>
      <c r="S74" s="42">
        <f t="shared" si="18"/>
        <v>0.69000000000000039</v>
      </c>
    </row>
    <row r="75" spans="2:21" ht="16.5" customHeight="1" x14ac:dyDescent="0.3">
      <c r="B75" s="64">
        <v>12</v>
      </c>
      <c r="C75" s="86" t="s">
        <v>153</v>
      </c>
      <c r="D75" s="64">
        <f t="shared" si="17"/>
        <v>70</v>
      </c>
      <c r="E75" s="64" t="s">
        <v>201</v>
      </c>
      <c r="F75" s="96"/>
      <c r="G75" s="89">
        <v>1.1549</v>
      </c>
      <c r="H75" s="90">
        <v>142940.70000000001</v>
      </c>
      <c r="I75" s="73">
        <f>H75</f>
        <v>142940.70000000001</v>
      </c>
      <c r="J75" s="92"/>
      <c r="K75" s="93">
        <f t="shared" si="20"/>
        <v>0</v>
      </c>
      <c r="L75" s="75">
        <f t="shared" si="21"/>
        <v>0</v>
      </c>
      <c r="M75" s="76">
        <v>0</v>
      </c>
      <c r="N75" s="94">
        <f t="shared" si="22"/>
        <v>167296.40499409003</v>
      </c>
      <c r="O75" s="95">
        <v>0</v>
      </c>
      <c r="P75" s="79">
        <f t="shared" si="23"/>
        <v>167296.70000000001</v>
      </c>
      <c r="Q75" s="80">
        <f t="shared" si="24"/>
        <v>177335.7</v>
      </c>
      <c r="R75" s="81">
        <f t="shared" si="25"/>
        <v>172315.7</v>
      </c>
      <c r="S75" s="42">
        <f t="shared" si="18"/>
        <v>0.7000000000000004</v>
      </c>
    </row>
    <row r="76" spans="2:21" ht="16.5" customHeight="1" x14ac:dyDescent="0.3">
      <c r="B76" s="64"/>
      <c r="C76" s="86"/>
      <c r="D76" s="86"/>
      <c r="E76" s="64"/>
      <c r="F76" s="65"/>
      <c r="G76" s="71"/>
      <c r="H76" s="90"/>
      <c r="I76" s="91"/>
      <c r="J76" s="92"/>
      <c r="K76" s="93"/>
      <c r="L76" s="75"/>
      <c r="M76" s="76"/>
      <c r="N76" s="94"/>
      <c r="O76" s="95"/>
      <c r="P76" s="79"/>
      <c r="Q76" s="80"/>
      <c r="R76" s="81"/>
      <c r="S76" s="42"/>
    </row>
    <row r="77" spans="2:21" ht="16.5" hidden="1" customHeight="1" x14ac:dyDescent="0.3">
      <c r="B77" s="64"/>
      <c r="C77" s="86"/>
      <c r="D77" s="86"/>
      <c r="E77" s="64"/>
      <c r="F77" s="65"/>
      <c r="G77" s="71"/>
      <c r="H77" s="90"/>
      <c r="I77" s="91"/>
      <c r="J77" s="92"/>
      <c r="K77" s="93"/>
      <c r="L77" s="75"/>
      <c r="M77" s="76"/>
      <c r="N77" s="94"/>
      <c r="O77" s="95"/>
      <c r="P77" s="79"/>
      <c r="Q77" s="80"/>
      <c r="R77" s="81"/>
      <c r="S77" s="42"/>
    </row>
    <row r="78" spans="2:21" ht="22.5" hidden="1" customHeight="1" x14ac:dyDescent="0.3">
      <c r="B78" s="64"/>
      <c r="C78" s="86"/>
      <c r="D78" s="86"/>
      <c r="E78" s="66"/>
      <c r="F78" s="65"/>
      <c r="G78" s="71"/>
      <c r="H78" s="90"/>
      <c r="I78" s="91"/>
      <c r="J78" s="92"/>
      <c r="K78" s="93"/>
      <c r="L78" s="75"/>
      <c r="M78" s="76"/>
      <c r="N78" s="94"/>
      <c r="O78" s="95"/>
      <c r="P78" s="79"/>
      <c r="Q78" s="80"/>
      <c r="R78" s="81"/>
      <c r="S78" s="42"/>
    </row>
    <row r="79" spans="2:21" ht="16.5" hidden="1" customHeight="1" x14ac:dyDescent="0.3">
      <c r="B79" s="97"/>
      <c r="C79" s="134"/>
      <c r="D79" s="87"/>
      <c r="E79" s="64"/>
      <c r="F79" s="65"/>
      <c r="G79" s="71"/>
      <c r="H79" s="90"/>
      <c r="I79" s="91"/>
      <c r="J79" s="92"/>
      <c r="K79" s="93"/>
      <c r="L79" s="75"/>
      <c r="M79" s="76"/>
      <c r="N79" s="94"/>
      <c r="O79" s="95"/>
      <c r="P79" s="79"/>
      <c r="Q79" s="80"/>
      <c r="R79" s="81"/>
      <c r="S79" s="42"/>
    </row>
    <row r="80" spans="2:21" ht="17.100000000000001" customHeight="1" thickBot="1" x14ac:dyDescent="0.35">
      <c r="B80" s="64"/>
      <c r="C80" s="64"/>
      <c r="D80" s="64"/>
      <c r="E80" s="98"/>
      <c r="F80" s="98"/>
      <c r="G80" s="71"/>
      <c r="H80" s="90"/>
      <c r="I80" s="91"/>
      <c r="J80" s="92"/>
      <c r="K80" s="93"/>
      <c r="L80" s="75"/>
      <c r="M80" s="76"/>
      <c r="N80" s="94"/>
      <c r="O80" s="95"/>
      <c r="P80" s="99"/>
      <c r="Q80" s="100"/>
      <c r="R80" s="101"/>
      <c r="S80" s="42"/>
    </row>
    <row r="81" spans="2:18" ht="17.100000000000001" customHeight="1" thickBot="1" x14ac:dyDescent="0.35">
      <c r="B81" s="102"/>
      <c r="C81" s="135"/>
      <c r="D81" s="103"/>
      <c r="E81" s="104"/>
      <c r="F81" s="104"/>
      <c r="G81" s="105">
        <f>SUM(G6:G80)</f>
        <v>99.999999999999957</v>
      </c>
      <c r="H81" s="52">
        <f>SUM(H6:H80)</f>
        <v>17975523.850000001</v>
      </c>
      <c r="I81" s="61">
        <f>SUM(I6:I80)</f>
        <v>12230350.099999998</v>
      </c>
      <c r="J81" s="52">
        <f>SUM(J6:J80)</f>
        <v>0</v>
      </c>
      <c r="K81" s="61">
        <f>SUM(K6:K80)</f>
        <v>5745173.75</v>
      </c>
      <c r="L81" s="61"/>
      <c r="M81" s="61">
        <f>SUM(M6:M80)</f>
        <v>0</v>
      </c>
      <c r="N81" s="61">
        <f>SUM(N6:N80)</f>
        <v>14485791.410000015</v>
      </c>
      <c r="O81" s="61">
        <f>SUM(O6:O80)</f>
        <v>18500</v>
      </c>
      <c r="P81" s="106">
        <f>SUM(P6:P80)</f>
        <v>20437629.850000001</v>
      </c>
      <c r="Q81" s="106">
        <f>SUM(Q6:Q80)</f>
        <v>21663909.849999998</v>
      </c>
      <c r="R81" s="106"/>
    </row>
    <row r="82" spans="2:18" ht="12.75" customHeight="1" x14ac:dyDescent="0.3">
      <c r="E82" s="49"/>
      <c r="F82" s="49"/>
    </row>
    <row r="83" spans="2:18" hidden="1" x14ac:dyDescent="0.3"/>
    <row r="84" spans="2:18" ht="9" customHeight="1" x14ac:dyDescent="0.3">
      <c r="E84" s="218" t="str">
        <f>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</row>
    <row r="85" spans="2:18" ht="12" hidden="1" customHeight="1" x14ac:dyDescent="0.3"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</row>
    <row r="86" spans="2:18" ht="12" hidden="1" customHeight="1" x14ac:dyDescent="0.3"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</row>
    <row r="87" spans="2:18" ht="12" hidden="1" customHeight="1" x14ac:dyDescent="0.3"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</row>
    <row r="88" spans="2:18" ht="12" hidden="1" customHeight="1" x14ac:dyDescent="0.3"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</row>
    <row r="89" spans="2:18" ht="67.5" customHeight="1" x14ac:dyDescent="0.3"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</row>
  </sheetData>
  <mergeCells count="19">
    <mergeCell ref="E84:P89"/>
    <mergeCell ref="D4:D5"/>
    <mergeCell ref="J4:J5"/>
    <mergeCell ref="L4:L5"/>
    <mergeCell ref="A4:A5"/>
    <mergeCell ref="G4:G5"/>
    <mergeCell ref="I4:I5"/>
    <mergeCell ref="K4:K5"/>
    <mergeCell ref="B4:B5"/>
    <mergeCell ref="F4:F5"/>
    <mergeCell ref="H4:H5"/>
    <mergeCell ref="R4:R5"/>
    <mergeCell ref="P2:R2"/>
    <mergeCell ref="E4:E5"/>
    <mergeCell ref="O4:O5"/>
    <mergeCell ref="G1:P1"/>
    <mergeCell ref="Q4:Q5"/>
    <mergeCell ref="M4:M5"/>
    <mergeCell ref="N4:N5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"/>
  <sheetViews>
    <sheetView topLeftCell="A2" workbookViewId="0">
      <selection activeCell="C19" sqref="C18:C19"/>
    </sheetView>
  </sheetViews>
  <sheetFormatPr baseColWidth="10" defaultRowHeight="14.4" x14ac:dyDescent="0.3"/>
  <sheetData>
    <row r="5" spans="3:3" x14ac:dyDescent="0.3">
      <c r="C5" s="1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EB00-CFEB-49D4-A088-2327BD05E9DF}">
  <dimension ref="A1:U89"/>
  <sheetViews>
    <sheetView zoomScaleNormal="100" workbookViewId="0">
      <selection activeCell="T12" sqref="T12"/>
    </sheetView>
  </sheetViews>
  <sheetFormatPr baseColWidth="10" defaultRowHeight="14.4" x14ac:dyDescent="0.3"/>
  <cols>
    <col min="1" max="1" width="4.6640625" bestFit="1" customWidth="1"/>
    <col min="2" max="2" width="4.33203125" customWidth="1"/>
    <col min="3" max="3" width="3.6640625" customWidth="1"/>
    <col min="4" max="4" width="4.33203125" customWidth="1"/>
    <col min="5" max="5" width="17.6640625" customWidth="1"/>
    <col min="6" max="6" width="13.88671875" customWidth="1"/>
    <col min="7" max="7" width="5.33203125" customWidth="1"/>
    <col min="8" max="8" width="14.109375" hidden="1" customWidth="1"/>
    <col min="9" max="9" width="11.5546875" hidden="1" customWidth="1"/>
    <col min="10" max="10" width="7.6640625" hidden="1" customWidth="1"/>
    <col min="11" max="11" width="9.6640625" hidden="1" customWidth="1"/>
    <col min="12" max="12" width="9.88671875" hidden="1" customWidth="1"/>
    <col min="13" max="13" width="0.109375" hidden="1" customWidth="1"/>
    <col min="14" max="14" width="10.5546875" customWidth="1"/>
    <col min="15" max="15" width="8.44140625" hidden="1" customWidth="1"/>
    <col min="16" max="16" width="13.5546875" customWidth="1"/>
    <col min="17" max="17" width="0.44140625" hidden="1" customWidth="1"/>
    <col min="18" max="18" width="12.109375" customWidth="1"/>
    <col min="19" max="19" width="0.109375" customWidth="1"/>
    <col min="20" max="20" width="12" bestFit="1" customWidth="1"/>
    <col min="21" max="21" width="13" bestFit="1" customWidth="1"/>
  </cols>
  <sheetData>
    <row r="1" spans="1:21" ht="12.9" customHeight="1" x14ac:dyDescent="0.3">
      <c r="A1" s="6"/>
      <c r="B1" s="6"/>
      <c r="C1" s="6"/>
      <c r="D1" s="6"/>
      <c r="E1" s="6"/>
      <c r="F1" s="6"/>
      <c r="G1" s="229"/>
      <c r="H1" s="213"/>
      <c r="I1" s="213"/>
      <c r="J1" s="213"/>
      <c r="K1" s="213"/>
      <c r="L1" s="213"/>
      <c r="M1" s="213"/>
      <c r="N1" s="213"/>
      <c r="O1" s="213"/>
      <c r="P1" s="213"/>
      <c r="Q1" s="6"/>
      <c r="R1" s="6"/>
    </row>
    <row r="2" spans="1:21" ht="12.9" customHeight="1" x14ac:dyDescent="0.3">
      <c r="A2" s="6"/>
      <c r="B2" s="6"/>
      <c r="C2" s="6"/>
      <c r="D2" s="6"/>
      <c r="E2" s="6" t="s">
        <v>221</v>
      </c>
      <c r="F2" s="6"/>
      <c r="G2" s="6"/>
      <c r="H2" s="6"/>
      <c r="I2" s="6"/>
      <c r="J2" s="6"/>
      <c r="K2" s="6"/>
      <c r="L2" s="6" t="s">
        <v>221</v>
      </c>
      <c r="M2" s="7"/>
      <c r="N2" s="6"/>
      <c r="O2" s="6"/>
      <c r="P2" s="225">
        <f>16770000+7700000</f>
        <v>24470000</v>
      </c>
      <c r="Q2" s="213"/>
      <c r="R2" s="213"/>
      <c r="S2" s="20"/>
    </row>
    <row r="3" spans="1:21" ht="12.9" customHeight="1" thickBo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55"/>
      <c r="Q3" s="55"/>
      <c r="R3" s="59"/>
    </row>
    <row r="4" spans="1:21" x14ac:dyDescent="0.3">
      <c r="A4" s="236" t="s">
        <v>65</v>
      </c>
      <c r="B4" s="238" t="s">
        <v>66</v>
      </c>
      <c r="C4" s="132"/>
      <c r="D4" s="226" t="s">
        <v>67</v>
      </c>
      <c r="E4" s="226" t="s">
        <v>68</v>
      </c>
      <c r="F4" s="235" t="s">
        <v>69</v>
      </c>
      <c r="G4" s="226" t="s">
        <v>70</v>
      </c>
      <c r="H4" s="233" t="s">
        <v>71</v>
      </c>
      <c r="I4" s="226" t="s">
        <v>51</v>
      </c>
      <c r="J4" s="235" t="s">
        <v>72</v>
      </c>
      <c r="K4" s="237" t="s">
        <v>73</v>
      </c>
      <c r="L4" s="233" t="s">
        <v>74</v>
      </c>
      <c r="M4" s="232" t="s">
        <v>75</v>
      </c>
      <c r="N4" s="233" t="s">
        <v>222</v>
      </c>
      <c r="O4" s="227"/>
      <c r="P4" s="223" t="s">
        <v>78</v>
      </c>
      <c r="Q4" s="230" t="s">
        <v>79</v>
      </c>
      <c r="R4" s="223" t="s">
        <v>80</v>
      </c>
      <c r="U4" s="42"/>
    </row>
    <row r="5" spans="1:21" ht="15.75" customHeight="1" x14ac:dyDescent="0.3">
      <c r="A5" s="224"/>
      <c r="B5" s="231"/>
      <c r="C5" s="133"/>
      <c r="D5" s="224"/>
      <c r="E5" s="224"/>
      <c r="F5" s="234"/>
      <c r="G5" s="224"/>
      <c r="H5" s="234"/>
      <c r="I5" s="224"/>
      <c r="J5" s="234"/>
      <c r="K5" s="234"/>
      <c r="L5" s="234"/>
      <c r="M5" s="224"/>
      <c r="N5" s="234"/>
      <c r="O5" s="228"/>
      <c r="P5" s="239"/>
      <c r="Q5" s="231"/>
      <c r="R5" s="224"/>
    </row>
    <row r="6" spans="1:21" ht="17.100000000000001" customHeight="1" x14ac:dyDescent="0.3">
      <c r="A6" s="5" t="s">
        <v>81</v>
      </c>
      <c r="B6" s="64"/>
      <c r="C6" s="64" t="s">
        <v>82</v>
      </c>
      <c r="D6" s="64">
        <v>1</v>
      </c>
      <c r="E6" s="64" t="s">
        <v>83</v>
      </c>
      <c r="F6" s="64"/>
      <c r="G6" s="71">
        <v>0.5131</v>
      </c>
      <c r="H6" s="72"/>
      <c r="I6" s="73"/>
      <c r="J6" s="74"/>
      <c r="K6" s="75"/>
      <c r="L6" s="75"/>
      <c r="M6" s="76">
        <v>0</v>
      </c>
      <c r="N6" s="77">
        <f t="shared" ref="N6:N69" si="0">P$2*G6%</f>
        <v>125555.57</v>
      </c>
      <c r="O6" s="78">
        <v>0</v>
      </c>
      <c r="P6" s="79">
        <f t="shared" ref="P6:P69" si="1">ROUND(SUM(K6:O6),0) + S6</f>
        <v>125556.01</v>
      </c>
      <c r="Q6" s="80">
        <f t="shared" ref="Q6:Q69" si="2">ROUND(P6*6% + P6,0) + S6</f>
        <v>133089.01</v>
      </c>
      <c r="R6" s="81">
        <f t="shared" ref="R6:R69" si="3">ROUND(P6*3%,0) + P6</f>
        <v>129323.01</v>
      </c>
      <c r="S6" s="42">
        <v>0.01</v>
      </c>
      <c r="U6" t="s">
        <v>84</v>
      </c>
    </row>
    <row r="7" spans="1:21" ht="17.100000000000001" customHeight="1" x14ac:dyDescent="0.3">
      <c r="A7" s="5" t="s">
        <v>85</v>
      </c>
      <c r="B7" s="64"/>
      <c r="C7" s="64" t="s">
        <v>82</v>
      </c>
      <c r="D7" s="64">
        <f t="shared" ref="D7:D70" si="4">D6+1</f>
        <v>2</v>
      </c>
      <c r="E7" s="64" t="s">
        <v>86</v>
      </c>
      <c r="F7" s="65"/>
      <c r="G7" s="71">
        <v>0.6119</v>
      </c>
      <c r="H7" s="72"/>
      <c r="I7" s="73"/>
      <c r="J7" s="74"/>
      <c r="K7" s="75"/>
      <c r="L7" s="75"/>
      <c r="M7" s="76">
        <v>0</v>
      </c>
      <c r="N7" s="77">
        <f t="shared" si="0"/>
        <v>149731.93</v>
      </c>
      <c r="O7" s="78">
        <v>0</v>
      </c>
      <c r="P7" s="79">
        <f t="shared" si="1"/>
        <v>149732.01999999999</v>
      </c>
      <c r="Q7" s="80">
        <f t="shared" si="2"/>
        <v>158716.01999999999</v>
      </c>
      <c r="R7" s="81">
        <f t="shared" si="3"/>
        <v>154224.01999999999</v>
      </c>
      <c r="S7" s="42">
        <f t="shared" ref="S7:S70" si="5">S6+0.01</f>
        <v>0.02</v>
      </c>
      <c r="T7" s="42"/>
    </row>
    <row r="8" spans="1:21" ht="17.100000000000001" customHeight="1" x14ac:dyDescent="0.3">
      <c r="A8" s="5" t="s">
        <v>85</v>
      </c>
      <c r="B8" s="64">
        <v>1</v>
      </c>
      <c r="C8" s="64"/>
      <c r="D8" s="64">
        <f t="shared" si="4"/>
        <v>3</v>
      </c>
      <c r="E8" s="64" t="s">
        <v>87</v>
      </c>
      <c r="F8" s="65"/>
      <c r="G8" s="71">
        <v>0.61150000000000004</v>
      </c>
      <c r="H8" s="72"/>
      <c r="I8" s="73"/>
      <c r="J8" s="74"/>
      <c r="K8" s="75"/>
      <c r="L8" s="75"/>
      <c r="M8" s="76">
        <v>0</v>
      </c>
      <c r="N8" s="77">
        <f t="shared" si="0"/>
        <v>149634.05000000002</v>
      </c>
      <c r="O8" s="78">
        <v>0</v>
      </c>
      <c r="P8" s="79">
        <f t="shared" si="1"/>
        <v>149634.03</v>
      </c>
      <c r="Q8" s="80">
        <f t="shared" si="2"/>
        <v>158612.03</v>
      </c>
      <c r="R8" s="81">
        <f t="shared" si="3"/>
        <v>154123.03</v>
      </c>
      <c r="S8" s="42">
        <f t="shared" si="5"/>
        <v>0.03</v>
      </c>
    </row>
    <row r="9" spans="1:21" ht="17.100000000000001" customHeight="1" x14ac:dyDescent="0.3">
      <c r="A9" s="5" t="s">
        <v>88</v>
      </c>
      <c r="B9" s="64">
        <v>2</v>
      </c>
      <c r="C9" s="64"/>
      <c r="D9" s="64">
        <f t="shared" si="4"/>
        <v>4</v>
      </c>
      <c r="E9" s="64" t="s">
        <v>87</v>
      </c>
      <c r="F9" s="65"/>
      <c r="G9" s="71">
        <v>0.50329999999999997</v>
      </c>
      <c r="H9" s="72"/>
      <c r="I9" s="73"/>
      <c r="J9" s="74"/>
      <c r="K9" s="75"/>
      <c r="L9" s="75"/>
      <c r="M9" s="76">
        <v>0</v>
      </c>
      <c r="N9" s="77">
        <f t="shared" si="0"/>
        <v>123157.50999999998</v>
      </c>
      <c r="O9" s="78">
        <v>0</v>
      </c>
      <c r="P9" s="79">
        <f t="shared" si="1"/>
        <v>123158.04</v>
      </c>
      <c r="Q9" s="80">
        <f t="shared" si="2"/>
        <v>130548.04</v>
      </c>
      <c r="R9" s="81">
        <f t="shared" si="3"/>
        <v>126853.04</v>
      </c>
      <c r="S9" s="42">
        <f t="shared" si="5"/>
        <v>0.04</v>
      </c>
      <c r="U9" s="42"/>
    </row>
    <row r="10" spans="1:21" ht="17.100000000000001" customHeight="1" x14ac:dyDescent="0.3">
      <c r="A10" s="5" t="s">
        <v>88</v>
      </c>
      <c r="B10" s="64">
        <v>3</v>
      </c>
      <c r="C10" s="64"/>
      <c r="D10" s="64">
        <f t="shared" si="4"/>
        <v>5</v>
      </c>
      <c r="E10" s="64" t="s">
        <v>87</v>
      </c>
      <c r="F10" s="65"/>
      <c r="G10" s="71">
        <v>0.50329999999999997</v>
      </c>
      <c r="H10" s="72"/>
      <c r="I10" s="73"/>
      <c r="J10" s="74"/>
      <c r="K10" s="75"/>
      <c r="L10" s="75"/>
      <c r="M10" s="76">
        <v>0</v>
      </c>
      <c r="N10" s="77">
        <f t="shared" si="0"/>
        <v>123157.50999999998</v>
      </c>
      <c r="O10" s="78">
        <v>0</v>
      </c>
      <c r="P10" s="79">
        <f t="shared" si="1"/>
        <v>123158.05</v>
      </c>
      <c r="Q10" s="80">
        <f t="shared" si="2"/>
        <v>130548.05</v>
      </c>
      <c r="R10" s="81">
        <f t="shared" si="3"/>
        <v>126853.05</v>
      </c>
      <c r="S10" s="42">
        <f t="shared" si="5"/>
        <v>0.05</v>
      </c>
      <c r="U10" s="42"/>
    </row>
    <row r="11" spans="1:21" ht="17.100000000000001" customHeight="1" x14ac:dyDescent="0.3">
      <c r="A11" s="5" t="s">
        <v>89</v>
      </c>
      <c r="B11" s="64">
        <v>4</v>
      </c>
      <c r="C11" s="64"/>
      <c r="D11" s="64">
        <f t="shared" si="4"/>
        <v>6</v>
      </c>
      <c r="E11" s="64" t="s">
        <v>90</v>
      </c>
      <c r="F11" s="64" t="s">
        <v>91</v>
      </c>
      <c r="G11" s="71">
        <v>0.74990000000000001</v>
      </c>
      <c r="H11" s="72"/>
      <c r="I11" s="73"/>
      <c r="J11" s="74"/>
      <c r="K11" s="75"/>
      <c r="L11" s="75"/>
      <c r="M11" s="76">
        <v>0</v>
      </c>
      <c r="N11" s="77">
        <f t="shared" si="0"/>
        <v>183500.53</v>
      </c>
      <c r="O11" s="78">
        <v>0</v>
      </c>
      <c r="P11" s="79">
        <f t="shared" si="1"/>
        <v>183501.06</v>
      </c>
      <c r="Q11" s="80">
        <f t="shared" si="2"/>
        <v>194511.06</v>
      </c>
      <c r="R11" s="81">
        <f t="shared" si="3"/>
        <v>189006.06</v>
      </c>
      <c r="S11" s="42">
        <f t="shared" si="5"/>
        <v>6.0000000000000005E-2</v>
      </c>
    </row>
    <row r="12" spans="1:21" ht="17.100000000000001" customHeight="1" x14ac:dyDescent="0.3">
      <c r="A12" s="5" t="s">
        <v>89</v>
      </c>
      <c r="B12" s="64">
        <v>5</v>
      </c>
      <c r="C12" s="64"/>
      <c r="D12" s="64">
        <f t="shared" si="4"/>
        <v>7</v>
      </c>
      <c r="E12" s="64" t="s">
        <v>92</v>
      </c>
      <c r="F12" s="64" t="s">
        <v>93</v>
      </c>
      <c r="G12" s="71">
        <v>0.54249999999999998</v>
      </c>
      <c r="H12" s="72"/>
      <c r="I12" s="73"/>
      <c r="J12" s="74"/>
      <c r="K12" s="75"/>
      <c r="L12" s="75"/>
      <c r="M12" s="76">
        <v>0</v>
      </c>
      <c r="N12" s="77">
        <f t="shared" si="0"/>
        <v>132749.75</v>
      </c>
      <c r="O12" s="78">
        <v>0</v>
      </c>
      <c r="P12" s="79">
        <f t="shared" si="1"/>
        <v>132750.07</v>
      </c>
      <c r="Q12" s="80">
        <f t="shared" si="2"/>
        <v>140715.07</v>
      </c>
      <c r="R12" s="81">
        <f t="shared" si="3"/>
        <v>136733.07</v>
      </c>
      <c r="S12" s="42">
        <f t="shared" si="5"/>
        <v>7.0000000000000007E-2</v>
      </c>
    </row>
    <row r="13" spans="1:21" ht="17.100000000000001" customHeight="1" x14ac:dyDescent="0.3">
      <c r="A13" s="5" t="s">
        <v>94</v>
      </c>
      <c r="B13" s="64">
        <v>6</v>
      </c>
      <c r="C13" s="64"/>
      <c r="D13" s="64">
        <f t="shared" si="4"/>
        <v>8</v>
      </c>
      <c r="E13" s="64" t="s">
        <v>95</v>
      </c>
      <c r="F13" s="65"/>
      <c r="G13" s="71">
        <v>0.45369999999999999</v>
      </c>
      <c r="H13" s="72"/>
      <c r="I13" s="73"/>
      <c r="J13" s="74"/>
      <c r="K13" s="75"/>
      <c r="L13" s="75"/>
      <c r="M13" s="76">
        <v>0</v>
      </c>
      <c r="N13" s="77">
        <f t="shared" si="0"/>
        <v>111020.39</v>
      </c>
      <c r="O13" s="78">
        <v>0</v>
      </c>
      <c r="P13" s="79">
        <f t="shared" si="1"/>
        <v>111020.08</v>
      </c>
      <c r="Q13" s="80">
        <f t="shared" si="2"/>
        <v>117681.08</v>
      </c>
      <c r="R13" s="81">
        <f t="shared" si="3"/>
        <v>114351.08</v>
      </c>
      <c r="S13" s="42">
        <f t="shared" si="5"/>
        <v>0.08</v>
      </c>
    </row>
    <row r="14" spans="1:21" ht="17.100000000000001" customHeight="1" x14ac:dyDescent="0.3">
      <c r="A14" s="5" t="s">
        <v>94</v>
      </c>
      <c r="B14" s="64">
        <v>7</v>
      </c>
      <c r="C14" s="64"/>
      <c r="D14" s="64">
        <f t="shared" si="4"/>
        <v>9</v>
      </c>
      <c r="E14" s="64" t="s">
        <v>96</v>
      </c>
      <c r="F14" s="84" t="s">
        <v>97</v>
      </c>
      <c r="G14" s="71">
        <v>0.52439999999999998</v>
      </c>
      <c r="H14" s="72"/>
      <c r="I14" s="73"/>
      <c r="J14" s="74"/>
      <c r="K14" s="75"/>
      <c r="L14" s="75"/>
      <c r="M14" s="76">
        <v>0</v>
      </c>
      <c r="N14" s="77">
        <f t="shared" si="0"/>
        <v>128320.68</v>
      </c>
      <c r="O14" s="78">
        <v>0</v>
      </c>
      <c r="P14" s="79">
        <f t="shared" si="1"/>
        <v>128321.09</v>
      </c>
      <c r="Q14" s="80">
        <f t="shared" si="2"/>
        <v>136020.09</v>
      </c>
      <c r="R14" s="81">
        <f t="shared" si="3"/>
        <v>132171.09</v>
      </c>
      <c r="S14" s="42">
        <f t="shared" si="5"/>
        <v>0.09</v>
      </c>
      <c r="U14" t="s">
        <v>98</v>
      </c>
    </row>
    <row r="15" spans="1:21" ht="17.100000000000001" customHeight="1" x14ac:dyDescent="0.3">
      <c r="A15" s="5" t="s">
        <v>99</v>
      </c>
      <c r="B15" s="64">
        <v>8</v>
      </c>
      <c r="C15" s="64"/>
      <c r="D15" s="64">
        <f t="shared" si="4"/>
        <v>10</v>
      </c>
      <c r="E15" s="64" t="s">
        <v>96</v>
      </c>
      <c r="F15" s="84" t="s">
        <v>97</v>
      </c>
      <c r="G15" s="71">
        <v>0.42399999999999999</v>
      </c>
      <c r="H15" s="72"/>
      <c r="I15" s="73"/>
      <c r="J15" s="74"/>
      <c r="K15" s="75"/>
      <c r="L15" s="75"/>
      <c r="M15" s="76">
        <v>0</v>
      </c>
      <c r="N15" s="77">
        <f t="shared" si="0"/>
        <v>103752.8</v>
      </c>
      <c r="O15" s="78">
        <v>0</v>
      </c>
      <c r="P15" s="79">
        <f t="shared" si="1"/>
        <v>103753.1</v>
      </c>
      <c r="Q15" s="80">
        <f t="shared" si="2"/>
        <v>109978.1</v>
      </c>
      <c r="R15" s="81">
        <f t="shared" si="3"/>
        <v>106866.1</v>
      </c>
      <c r="S15" s="42">
        <f t="shared" si="5"/>
        <v>9.9999999999999992E-2</v>
      </c>
      <c r="U15" t="s">
        <v>98</v>
      </c>
    </row>
    <row r="16" spans="1:21" ht="17.100000000000001" customHeight="1" x14ac:dyDescent="0.3">
      <c r="A16" s="5" t="s">
        <v>99</v>
      </c>
      <c r="B16" s="64">
        <v>1</v>
      </c>
      <c r="C16" s="64" t="s">
        <v>100</v>
      </c>
      <c r="D16" s="64">
        <f t="shared" si="4"/>
        <v>11</v>
      </c>
      <c r="E16" s="64" t="s">
        <v>101</v>
      </c>
      <c r="F16" s="65"/>
      <c r="G16" s="71">
        <v>2.3033000000000001</v>
      </c>
      <c r="H16" s="72"/>
      <c r="I16" s="73"/>
      <c r="J16" s="74"/>
      <c r="K16" s="75"/>
      <c r="L16" s="75"/>
      <c r="M16" s="76">
        <v>0</v>
      </c>
      <c r="N16" s="77">
        <f t="shared" si="0"/>
        <v>563617.51</v>
      </c>
      <c r="O16" s="78">
        <v>0</v>
      </c>
      <c r="P16" s="79">
        <f t="shared" si="1"/>
        <v>563618.11</v>
      </c>
      <c r="Q16" s="80">
        <f t="shared" si="2"/>
        <v>597435.11</v>
      </c>
      <c r="R16" s="81">
        <f t="shared" si="3"/>
        <v>580527.11</v>
      </c>
      <c r="S16" s="42">
        <f t="shared" si="5"/>
        <v>0.10999999999999999</v>
      </c>
    </row>
    <row r="17" spans="1:21" ht="17.100000000000001" customHeight="1" x14ac:dyDescent="0.3">
      <c r="A17" s="5" t="s">
        <v>102</v>
      </c>
      <c r="B17" s="64">
        <v>1</v>
      </c>
      <c r="C17" s="64" t="s">
        <v>103</v>
      </c>
      <c r="D17" s="64">
        <f t="shared" si="4"/>
        <v>12</v>
      </c>
      <c r="E17" s="64" t="s">
        <v>104</v>
      </c>
      <c r="F17" s="65" t="s">
        <v>105</v>
      </c>
      <c r="G17" s="71">
        <v>2.7492999999999999</v>
      </c>
      <c r="H17" s="72"/>
      <c r="I17" s="73"/>
      <c r="J17" s="74"/>
      <c r="K17" s="75"/>
      <c r="L17" s="75"/>
      <c r="M17" s="76">
        <v>0</v>
      </c>
      <c r="N17" s="77">
        <f t="shared" si="0"/>
        <v>672753.71</v>
      </c>
      <c r="O17" s="78">
        <v>0</v>
      </c>
      <c r="P17" s="79">
        <f t="shared" si="1"/>
        <v>672754.12</v>
      </c>
      <c r="Q17" s="80">
        <f t="shared" si="2"/>
        <v>713119.12</v>
      </c>
      <c r="R17" s="81">
        <f t="shared" si="3"/>
        <v>692937.12</v>
      </c>
      <c r="S17" s="42">
        <f t="shared" si="5"/>
        <v>0.11999999999999998</v>
      </c>
    </row>
    <row r="18" spans="1:21" ht="17.100000000000001" customHeight="1" x14ac:dyDescent="0.3">
      <c r="A18" s="5" t="s">
        <v>102</v>
      </c>
      <c r="B18" s="64">
        <v>2</v>
      </c>
      <c r="C18" s="64" t="s">
        <v>100</v>
      </c>
      <c r="D18" s="64">
        <f t="shared" si="4"/>
        <v>13</v>
      </c>
      <c r="E18" s="64" t="s">
        <v>106</v>
      </c>
      <c r="F18" s="65" t="s">
        <v>107</v>
      </c>
      <c r="G18" s="71">
        <v>2.3033000000000001</v>
      </c>
      <c r="H18" s="72"/>
      <c r="I18" s="73"/>
      <c r="J18" s="74"/>
      <c r="K18" s="75"/>
      <c r="L18" s="75"/>
      <c r="M18" s="76">
        <v>0</v>
      </c>
      <c r="N18" s="77">
        <f t="shared" si="0"/>
        <v>563617.51</v>
      </c>
      <c r="O18" s="78">
        <v>0</v>
      </c>
      <c r="P18" s="79">
        <f t="shared" si="1"/>
        <v>563618.13</v>
      </c>
      <c r="Q18" s="80">
        <f t="shared" si="2"/>
        <v>597435.13</v>
      </c>
      <c r="R18" s="81">
        <f t="shared" si="3"/>
        <v>580527.13</v>
      </c>
      <c r="S18" s="42">
        <f t="shared" si="5"/>
        <v>0.12999999999999998</v>
      </c>
    </row>
    <row r="19" spans="1:21" ht="17.100000000000001" customHeight="1" x14ac:dyDescent="0.3">
      <c r="A19" s="5" t="s">
        <v>108</v>
      </c>
      <c r="B19" s="64">
        <v>2</v>
      </c>
      <c r="C19" s="64" t="s">
        <v>103</v>
      </c>
      <c r="D19" s="64">
        <f t="shared" si="4"/>
        <v>14</v>
      </c>
      <c r="E19" s="64" t="s">
        <v>109</v>
      </c>
      <c r="F19" s="65" t="s">
        <v>110</v>
      </c>
      <c r="G19" s="71">
        <v>2.6368</v>
      </c>
      <c r="H19" s="72"/>
      <c r="I19" s="73"/>
      <c r="J19" s="74"/>
      <c r="K19" s="75"/>
      <c r="L19" s="75"/>
      <c r="M19" s="76">
        <v>0</v>
      </c>
      <c r="N19" s="77">
        <f t="shared" si="0"/>
        <v>645224.95999999996</v>
      </c>
      <c r="O19" s="78">
        <v>0</v>
      </c>
      <c r="P19" s="79">
        <f t="shared" si="1"/>
        <v>645225.14</v>
      </c>
      <c r="Q19" s="80">
        <f t="shared" si="2"/>
        <v>683939.14</v>
      </c>
      <c r="R19" s="81">
        <f t="shared" si="3"/>
        <v>664582.14</v>
      </c>
      <c r="S19" s="42">
        <f t="shared" si="5"/>
        <v>0.13999999999999999</v>
      </c>
      <c r="U19" t="s">
        <v>111</v>
      </c>
    </row>
    <row r="20" spans="1:21" ht="17.100000000000001" customHeight="1" x14ac:dyDescent="0.3">
      <c r="A20" s="5" t="s">
        <v>108</v>
      </c>
      <c r="B20" s="64">
        <v>3</v>
      </c>
      <c r="C20" s="64" t="s">
        <v>100</v>
      </c>
      <c r="D20" s="64">
        <f t="shared" si="4"/>
        <v>15</v>
      </c>
      <c r="E20" s="64" t="s">
        <v>112</v>
      </c>
      <c r="F20" s="65"/>
      <c r="G20" s="71">
        <v>2.3536999999999999</v>
      </c>
      <c r="H20" s="72"/>
      <c r="I20" s="73"/>
      <c r="J20" s="74"/>
      <c r="K20" s="75"/>
      <c r="L20" s="75"/>
      <c r="M20" s="76">
        <v>0</v>
      </c>
      <c r="N20" s="77">
        <f t="shared" si="0"/>
        <v>575950.39</v>
      </c>
      <c r="O20" s="78">
        <v>0</v>
      </c>
      <c r="P20" s="79">
        <f t="shared" si="1"/>
        <v>575950.15</v>
      </c>
      <c r="Q20" s="80">
        <f t="shared" si="2"/>
        <v>610507.15</v>
      </c>
      <c r="R20" s="81">
        <f t="shared" si="3"/>
        <v>593229.15</v>
      </c>
      <c r="S20" s="42">
        <f t="shared" si="5"/>
        <v>0.15</v>
      </c>
    </row>
    <row r="21" spans="1:21" ht="17.100000000000001" customHeight="1" x14ac:dyDescent="0.3">
      <c r="A21" s="5" t="s">
        <v>113</v>
      </c>
      <c r="B21" s="64">
        <v>3</v>
      </c>
      <c r="C21" s="64" t="s">
        <v>103</v>
      </c>
      <c r="D21" s="64">
        <f t="shared" si="4"/>
        <v>16</v>
      </c>
      <c r="E21" s="64" t="s">
        <v>114</v>
      </c>
      <c r="F21" s="64" t="s">
        <v>115</v>
      </c>
      <c r="G21" s="71">
        <v>2.6476999999999999</v>
      </c>
      <c r="H21" s="72"/>
      <c r="I21" s="73"/>
      <c r="J21" s="74"/>
      <c r="K21" s="75"/>
      <c r="L21" s="75"/>
      <c r="M21" s="76">
        <v>0</v>
      </c>
      <c r="N21" s="77">
        <f t="shared" si="0"/>
        <v>647892.19000000006</v>
      </c>
      <c r="O21" s="78">
        <v>0</v>
      </c>
      <c r="P21" s="79">
        <f t="shared" si="1"/>
        <v>647892.16</v>
      </c>
      <c r="Q21" s="80">
        <f t="shared" si="2"/>
        <v>686766.16</v>
      </c>
      <c r="R21" s="81">
        <f t="shared" si="3"/>
        <v>667329.16</v>
      </c>
      <c r="S21" s="42">
        <f t="shared" si="5"/>
        <v>0.16</v>
      </c>
      <c r="U21" s="41"/>
    </row>
    <row r="22" spans="1:21" ht="17.100000000000001" customHeight="1" x14ac:dyDescent="0.3">
      <c r="A22" s="5" t="s">
        <v>113</v>
      </c>
      <c r="B22" s="64">
        <v>4</v>
      </c>
      <c r="C22" s="64" t="s">
        <v>100</v>
      </c>
      <c r="D22" s="64">
        <f t="shared" si="4"/>
        <v>17</v>
      </c>
      <c r="E22" s="64" t="s">
        <v>116</v>
      </c>
      <c r="F22" s="65" t="s">
        <v>117</v>
      </c>
      <c r="G22" s="71">
        <v>2.3235000000000001</v>
      </c>
      <c r="H22" s="73"/>
      <c r="I22" s="73"/>
      <c r="J22" s="74"/>
      <c r="K22" s="75"/>
      <c r="L22" s="75"/>
      <c r="M22" s="76">
        <v>0</v>
      </c>
      <c r="N22" s="77">
        <f t="shared" si="0"/>
        <v>568560.45000000007</v>
      </c>
      <c r="O22" s="78">
        <v>0</v>
      </c>
      <c r="P22" s="79">
        <f t="shared" si="1"/>
        <v>568560.17000000004</v>
      </c>
      <c r="Q22" s="80">
        <f t="shared" si="2"/>
        <v>602674.17000000004</v>
      </c>
      <c r="R22" s="81">
        <f t="shared" si="3"/>
        <v>585617.17000000004</v>
      </c>
      <c r="S22" s="42">
        <f t="shared" si="5"/>
        <v>0.17</v>
      </c>
    </row>
    <row r="23" spans="1:21" ht="17.100000000000001" customHeight="1" x14ac:dyDescent="0.3">
      <c r="A23" s="5" t="s">
        <v>118</v>
      </c>
      <c r="B23" s="64">
        <v>4</v>
      </c>
      <c r="C23" s="64" t="s">
        <v>103</v>
      </c>
      <c r="D23" s="64">
        <f t="shared" si="4"/>
        <v>18</v>
      </c>
      <c r="E23" s="64" t="s">
        <v>119</v>
      </c>
      <c r="F23" s="142" t="s">
        <v>120</v>
      </c>
      <c r="G23" s="71">
        <v>2.6880000000000002</v>
      </c>
      <c r="H23" s="72"/>
      <c r="I23" s="73"/>
      <c r="J23" s="74"/>
      <c r="K23" s="75"/>
      <c r="L23" s="75"/>
      <c r="M23" s="76">
        <v>0</v>
      </c>
      <c r="N23" s="77">
        <f t="shared" si="0"/>
        <v>657753.59999999998</v>
      </c>
      <c r="O23" s="78">
        <v>0</v>
      </c>
      <c r="P23" s="79">
        <f t="shared" si="1"/>
        <v>657754.18000000005</v>
      </c>
      <c r="Q23" s="80">
        <f t="shared" si="2"/>
        <v>697219.18</v>
      </c>
      <c r="R23" s="81">
        <f t="shared" si="3"/>
        <v>677487.18</v>
      </c>
      <c r="S23" s="42">
        <f t="shared" si="5"/>
        <v>0.18000000000000002</v>
      </c>
      <c r="U23" s="152" t="s">
        <v>120</v>
      </c>
    </row>
    <row r="24" spans="1:21" ht="17.100000000000001" customHeight="1" x14ac:dyDescent="0.3">
      <c r="A24" s="5" t="s">
        <v>118</v>
      </c>
      <c r="B24" s="64">
        <v>5</v>
      </c>
      <c r="C24" s="64" t="s">
        <v>100</v>
      </c>
      <c r="D24" s="64">
        <f t="shared" si="4"/>
        <v>19</v>
      </c>
      <c r="E24" s="64" t="s">
        <v>121</v>
      </c>
      <c r="F24" s="65"/>
      <c r="G24" s="71">
        <v>2.36</v>
      </c>
      <c r="H24" s="72"/>
      <c r="I24" s="73"/>
      <c r="J24" s="74"/>
      <c r="K24" s="75"/>
      <c r="L24" s="75"/>
      <c r="M24" s="76">
        <v>0</v>
      </c>
      <c r="N24" s="77">
        <f t="shared" si="0"/>
        <v>577492</v>
      </c>
      <c r="O24" s="78">
        <v>0</v>
      </c>
      <c r="P24" s="79">
        <f t="shared" si="1"/>
        <v>577492.18999999994</v>
      </c>
      <c r="Q24" s="80">
        <f t="shared" si="2"/>
        <v>612142.18999999994</v>
      </c>
      <c r="R24" s="81">
        <f t="shared" si="3"/>
        <v>594817.18999999994</v>
      </c>
      <c r="S24" s="42">
        <f t="shared" si="5"/>
        <v>0.19000000000000003</v>
      </c>
    </row>
    <row r="25" spans="1:21" ht="17.100000000000001" customHeight="1" x14ac:dyDescent="0.3">
      <c r="A25" s="5" t="s">
        <v>122</v>
      </c>
      <c r="B25" s="64">
        <v>5</v>
      </c>
      <c r="C25" s="64" t="s">
        <v>103</v>
      </c>
      <c r="D25" s="64">
        <f t="shared" si="4"/>
        <v>20</v>
      </c>
      <c r="E25" s="64" t="s">
        <v>123</v>
      </c>
      <c r="F25" s="64"/>
      <c r="G25" s="71">
        <v>2.7183000000000002</v>
      </c>
      <c r="H25" s="72"/>
      <c r="I25" s="73"/>
      <c r="J25" s="74"/>
      <c r="K25" s="110"/>
      <c r="L25" s="75"/>
      <c r="M25" s="76">
        <v>0</v>
      </c>
      <c r="N25" s="77">
        <f t="shared" si="0"/>
        <v>665168.01</v>
      </c>
      <c r="O25" s="78">
        <v>0</v>
      </c>
      <c r="P25" s="79">
        <f t="shared" si="1"/>
        <v>665168.19999999995</v>
      </c>
      <c r="Q25" s="80">
        <f t="shared" si="2"/>
        <v>705078.2</v>
      </c>
      <c r="R25" s="81">
        <f t="shared" si="3"/>
        <v>685123.2</v>
      </c>
      <c r="S25" s="42">
        <f t="shared" si="5"/>
        <v>0.20000000000000004</v>
      </c>
    </row>
    <row r="26" spans="1:21" ht="17.100000000000001" customHeight="1" x14ac:dyDescent="0.3">
      <c r="A26" s="5" t="s">
        <v>124</v>
      </c>
      <c r="B26" s="64">
        <v>6</v>
      </c>
      <c r="C26" s="64" t="s">
        <v>100</v>
      </c>
      <c r="D26" s="64">
        <f t="shared" si="4"/>
        <v>21</v>
      </c>
      <c r="E26" s="64" t="s">
        <v>125</v>
      </c>
      <c r="F26" s="65"/>
      <c r="G26" s="71">
        <v>2.3033000000000001</v>
      </c>
      <c r="H26" s="72"/>
      <c r="I26" s="73"/>
      <c r="J26" s="74"/>
      <c r="K26" s="75"/>
      <c r="L26" s="75"/>
      <c r="M26" s="76">
        <v>0</v>
      </c>
      <c r="N26" s="77">
        <f t="shared" si="0"/>
        <v>563617.51</v>
      </c>
      <c r="O26" s="78">
        <v>0</v>
      </c>
      <c r="P26" s="79">
        <f t="shared" si="1"/>
        <v>563618.21</v>
      </c>
      <c r="Q26" s="80">
        <f t="shared" si="2"/>
        <v>597435.21</v>
      </c>
      <c r="R26" s="81">
        <f t="shared" si="3"/>
        <v>580527.21</v>
      </c>
      <c r="S26" s="42">
        <f t="shared" si="5"/>
        <v>0.21000000000000005</v>
      </c>
    </row>
    <row r="27" spans="1:21" ht="17.100000000000001" customHeight="1" x14ac:dyDescent="0.3">
      <c r="A27" s="5" t="s">
        <v>126</v>
      </c>
      <c r="B27" s="64">
        <v>6</v>
      </c>
      <c r="C27" s="64" t="s">
        <v>103</v>
      </c>
      <c r="D27" s="64">
        <f t="shared" si="4"/>
        <v>22</v>
      </c>
      <c r="E27" s="64" t="s">
        <v>127</v>
      </c>
      <c r="F27" s="84" t="s">
        <v>128</v>
      </c>
      <c r="G27" s="71">
        <v>2.6360000000000001</v>
      </c>
      <c r="H27" s="72"/>
      <c r="I27" s="73"/>
      <c r="J27" s="74"/>
      <c r="K27" s="75"/>
      <c r="L27" s="75"/>
      <c r="M27" s="76">
        <v>0</v>
      </c>
      <c r="N27" s="77">
        <f t="shared" si="0"/>
        <v>645029.20000000007</v>
      </c>
      <c r="O27" s="183">
        <v>0</v>
      </c>
      <c r="P27" s="79">
        <f t="shared" si="1"/>
        <v>645029.22</v>
      </c>
      <c r="Q27" s="80">
        <f t="shared" si="2"/>
        <v>683731.22</v>
      </c>
      <c r="R27" s="81">
        <f t="shared" si="3"/>
        <v>664380.22</v>
      </c>
      <c r="S27" s="42">
        <f t="shared" si="5"/>
        <v>0.22000000000000006</v>
      </c>
      <c r="T27" s="65" t="s">
        <v>97</v>
      </c>
      <c r="U27" t="s">
        <v>98</v>
      </c>
    </row>
    <row r="28" spans="1:21" ht="17.100000000000001" customHeight="1" x14ac:dyDescent="0.3">
      <c r="A28" s="5" t="s">
        <v>129</v>
      </c>
      <c r="B28" s="64">
        <v>7</v>
      </c>
      <c r="C28" s="64" t="s">
        <v>100</v>
      </c>
      <c r="D28" s="64">
        <f t="shared" si="4"/>
        <v>23</v>
      </c>
      <c r="E28" s="64" t="s">
        <v>130</v>
      </c>
      <c r="F28" s="65"/>
      <c r="G28" s="71">
        <v>2.3033000000000001</v>
      </c>
      <c r="H28" s="72"/>
      <c r="I28" s="73"/>
      <c r="J28" s="74"/>
      <c r="K28" s="75"/>
      <c r="L28" s="75"/>
      <c r="M28" s="76">
        <v>0</v>
      </c>
      <c r="N28" s="77">
        <f t="shared" si="0"/>
        <v>563617.51</v>
      </c>
      <c r="O28" s="78">
        <v>0</v>
      </c>
      <c r="P28" s="79">
        <f t="shared" si="1"/>
        <v>563618.23</v>
      </c>
      <c r="Q28" s="80">
        <f t="shared" si="2"/>
        <v>597435.23</v>
      </c>
      <c r="R28" s="81">
        <f t="shared" si="3"/>
        <v>580527.23</v>
      </c>
      <c r="S28" s="42">
        <f t="shared" si="5"/>
        <v>0.23000000000000007</v>
      </c>
    </row>
    <row r="29" spans="1:21" ht="17.100000000000001" customHeight="1" x14ac:dyDescent="0.3">
      <c r="A29" s="5" t="s">
        <v>131</v>
      </c>
      <c r="B29" s="64">
        <v>7</v>
      </c>
      <c r="C29" s="64" t="s">
        <v>103</v>
      </c>
      <c r="D29" s="64">
        <f t="shared" si="4"/>
        <v>24</v>
      </c>
      <c r="E29" s="64" t="s">
        <v>132</v>
      </c>
      <c r="F29" s="65"/>
      <c r="G29" s="71">
        <v>2.6158999999999999</v>
      </c>
      <c r="H29" s="72"/>
      <c r="I29" s="73"/>
      <c r="J29" s="74"/>
      <c r="K29" s="75"/>
      <c r="L29" s="75"/>
      <c r="M29" s="76">
        <v>0</v>
      </c>
      <c r="N29" s="77">
        <f t="shared" si="0"/>
        <v>640110.73</v>
      </c>
      <c r="O29" s="78">
        <v>0</v>
      </c>
      <c r="P29" s="79">
        <f t="shared" si="1"/>
        <v>640111.24</v>
      </c>
      <c r="Q29" s="80">
        <f t="shared" si="2"/>
        <v>678518.24</v>
      </c>
      <c r="R29" s="81">
        <f t="shared" si="3"/>
        <v>659314.24</v>
      </c>
      <c r="S29" s="42">
        <f t="shared" si="5"/>
        <v>0.24000000000000007</v>
      </c>
    </row>
    <row r="30" spans="1:21" ht="17.100000000000001" customHeight="1" x14ac:dyDescent="0.3">
      <c r="A30" s="5" t="s">
        <v>131</v>
      </c>
      <c r="B30" s="64">
        <v>8</v>
      </c>
      <c r="C30" s="64" t="s">
        <v>100</v>
      </c>
      <c r="D30" s="64">
        <f t="shared" si="4"/>
        <v>25</v>
      </c>
      <c r="E30" s="64" t="s">
        <v>133</v>
      </c>
      <c r="F30" s="64"/>
      <c r="G30" s="71">
        <v>2.3536999999999999</v>
      </c>
      <c r="H30" s="72"/>
      <c r="I30" s="73"/>
      <c r="J30" s="74"/>
      <c r="K30" s="75"/>
      <c r="L30" s="75"/>
      <c r="M30" s="76">
        <v>0</v>
      </c>
      <c r="N30" s="77">
        <f t="shared" si="0"/>
        <v>575950.39</v>
      </c>
      <c r="O30" s="78">
        <v>0</v>
      </c>
      <c r="P30" s="79">
        <f t="shared" si="1"/>
        <v>575950.25</v>
      </c>
      <c r="Q30" s="80">
        <f t="shared" si="2"/>
        <v>610507.25</v>
      </c>
      <c r="R30" s="81">
        <f t="shared" si="3"/>
        <v>593229.25</v>
      </c>
      <c r="S30" s="42">
        <f t="shared" si="5"/>
        <v>0.25000000000000006</v>
      </c>
    </row>
    <row r="31" spans="1:21" ht="17.100000000000001" customHeight="1" x14ac:dyDescent="0.3">
      <c r="A31" s="5" t="s">
        <v>131</v>
      </c>
      <c r="B31" s="64">
        <v>8</v>
      </c>
      <c r="C31" s="64" t="s">
        <v>103</v>
      </c>
      <c r="D31" s="64">
        <f t="shared" si="4"/>
        <v>26</v>
      </c>
      <c r="E31" s="64" t="s">
        <v>134</v>
      </c>
      <c r="F31" s="64" t="s">
        <v>135</v>
      </c>
      <c r="G31" s="71">
        <v>2.6469</v>
      </c>
      <c r="H31" s="72"/>
      <c r="I31" s="73"/>
      <c r="J31" s="74"/>
      <c r="K31" s="75"/>
      <c r="L31" s="75"/>
      <c r="M31" s="76">
        <v>0</v>
      </c>
      <c r="N31" s="77">
        <f t="shared" si="0"/>
        <v>647696.42999999993</v>
      </c>
      <c r="O31" s="78">
        <v>0</v>
      </c>
      <c r="P31" s="79">
        <f t="shared" si="1"/>
        <v>647696.26</v>
      </c>
      <c r="Q31" s="80">
        <f t="shared" si="2"/>
        <v>686558.26</v>
      </c>
      <c r="R31" s="81">
        <f t="shared" si="3"/>
        <v>667127.26</v>
      </c>
      <c r="S31" s="42">
        <f t="shared" si="5"/>
        <v>0.26000000000000006</v>
      </c>
    </row>
    <row r="32" spans="1:21" ht="17.100000000000001" customHeight="1" x14ac:dyDescent="0.3">
      <c r="A32" s="5" t="s">
        <v>131</v>
      </c>
      <c r="B32" s="64">
        <v>9</v>
      </c>
      <c r="C32" s="64" t="s">
        <v>100</v>
      </c>
      <c r="D32" s="64">
        <f t="shared" si="4"/>
        <v>27</v>
      </c>
      <c r="E32" s="64" t="s">
        <v>136</v>
      </c>
      <c r="F32" s="65"/>
      <c r="G32" s="71">
        <v>2.3536999999999999</v>
      </c>
      <c r="H32" s="72"/>
      <c r="I32" s="73"/>
      <c r="J32" s="74"/>
      <c r="K32" s="75"/>
      <c r="L32" s="75"/>
      <c r="M32" s="76">
        <v>0</v>
      </c>
      <c r="N32" s="77">
        <f t="shared" si="0"/>
        <v>575950.39</v>
      </c>
      <c r="O32" s="78">
        <v>0</v>
      </c>
      <c r="P32" s="79">
        <f t="shared" si="1"/>
        <v>575950.27</v>
      </c>
      <c r="Q32" s="80">
        <f t="shared" si="2"/>
        <v>610507.27</v>
      </c>
      <c r="R32" s="81">
        <f t="shared" si="3"/>
        <v>593229.27</v>
      </c>
      <c r="S32" s="42">
        <f t="shared" si="5"/>
        <v>0.27000000000000007</v>
      </c>
    </row>
    <row r="33" spans="1:21" ht="17.100000000000001" customHeight="1" x14ac:dyDescent="0.3">
      <c r="A33" s="5" t="s">
        <v>131</v>
      </c>
      <c r="B33" s="64">
        <v>9</v>
      </c>
      <c r="C33" s="64" t="s">
        <v>103</v>
      </c>
      <c r="D33" s="64">
        <f t="shared" si="4"/>
        <v>28</v>
      </c>
      <c r="E33" s="64" t="s">
        <v>137</v>
      </c>
      <c r="F33" s="64"/>
      <c r="G33" s="71">
        <v>2.6663000000000001</v>
      </c>
      <c r="H33" s="72"/>
      <c r="I33" s="73"/>
      <c r="J33" s="74"/>
      <c r="K33" s="75"/>
      <c r="L33" s="75"/>
      <c r="M33" s="76">
        <v>0</v>
      </c>
      <c r="N33" s="77">
        <f t="shared" si="0"/>
        <v>652443.6100000001</v>
      </c>
      <c r="O33" s="127">
        <v>0</v>
      </c>
      <c r="P33" s="79">
        <f t="shared" si="1"/>
        <v>652444.28</v>
      </c>
      <c r="Q33" s="80">
        <f t="shared" si="2"/>
        <v>691591.28</v>
      </c>
      <c r="R33" s="81">
        <f t="shared" si="3"/>
        <v>672017.28</v>
      </c>
      <c r="S33" s="42">
        <f t="shared" si="5"/>
        <v>0.28000000000000008</v>
      </c>
    </row>
    <row r="34" spans="1:21" ht="17.100000000000001" customHeight="1" x14ac:dyDescent="0.3">
      <c r="A34" s="5" t="s">
        <v>131</v>
      </c>
      <c r="B34" s="64">
        <v>10</v>
      </c>
      <c r="C34" s="64" t="s">
        <v>100</v>
      </c>
      <c r="D34" s="64">
        <f t="shared" si="4"/>
        <v>29</v>
      </c>
      <c r="E34" s="64" t="s">
        <v>138</v>
      </c>
      <c r="F34" s="64" t="s">
        <v>139</v>
      </c>
      <c r="G34" s="71">
        <v>2.4476</v>
      </c>
      <c r="H34" s="72"/>
      <c r="I34" s="73"/>
      <c r="J34" s="74"/>
      <c r="K34" s="75"/>
      <c r="L34" s="75"/>
      <c r="M34" s="76">
        <v>0</v>
      </c>
      <c r="N34" s="77">
        <f t="shared" si="0"/>
        <v>598927.72</v>
      </c>
      <c r="O34" s="187">
        <v>18500</v>
      </c>
      <c r="P34" s="79">
        <f t="shared" si="1"/>
        <v>617428.29</v>
      </c>
      <c r="Q34" s="80">
        <f t="shared" si="2"/>
        <v>654474.29</v>
      </c>
      <c r="R34" s="81">
        <f t="shared" si="3"/>
        <v>635951.29</v>
      </c>
      <c r="S34" s="42">
        <f t="shared" si="5"/>
        <v>0.29000000000000009</v>
      </c>
    </row>
    <row r="35" spans="1:21" ht="17.100000000000001" customHeight="1" x14ac:dyDescent="0.3">
      <c r="A35" s="5" t="s">
        <v>131</v>
      </c>
      <c r="B35" s="64">
        <v>10</v>
      </c>
      <c r="C35" s="64" t="s">
        <v>103</v>
      </c>
      <c r="D35" s="64">
        <f t="shared" si="4"/>
        <v>30</v>
      </c>
      <c r="E35" s="64" t="s">
        <v>140</v>
      </c>
      <c r="F35" s="65"/>
      <c r="G35" s="71">
        <v>2.7183000000000002</v>
      </c>
      <c r="H35" s="72"/>
      <c r="I35" s="73"/>
      <c r="J35" s="74"/>
      <c r="K35" s="75"/>
      <c r="L35" s="75"/>
      <c r="M35" s="76">
        <v>0</v>
      </c>
      <c r="N35" s="77">
        <f t="shared" si="0"/>
        <v>665168.01</v>
      </c>
      <c r="O35" s="78">
        <v>0</v>
      </c>
      <c r="P35" s="79">
        <f t="shared" si="1"/>
        <v>665168.30000000005</v>
      </c>
      <c r="Q35" s="80">
        <f t="shared" si="2"/>
        <v>705078.3</v>
      </c>
      <c r="R35" s="81">
        <f t="shared" si="3"/>
        <v>685123.3</v>
      </c>
      <c r="S35" s="42">
        <f t="shared" si="5"/>
        <v>0.3000000000000001</v>
      </c>
    </row>
    <row r="36" spans="1:21" x14ac:dyDescent="0.3">
      <c r="A36" s="5" t="s">
        <v>131</v>
      </c>
      <c r="B36" s="64">
        <v>11</v>
      </c>
      <c r="C36" s="64" t="s">
        <v>100</v>
      </c>
      <c r="D36" s="64">
        <f t="shared" si="4"/>
        <v>31</v>
      </c>
      <c r="E36" s="64" t="s">
        <v>141</v>
      </c>
      <c r="F36" s="64" t="s">
        <v>142</v>
      </c>
      <c r="G36" s="71">
        <v>2.3026</v>
      </c>
      <c r="H36" s="73"/>
      <c r="I36" s="73"/>
      <c r="J36" s="82"/>
      <c r="K36" s="75"/>
      <c r="L36" s="75"/>
      <c r="M36" s="76">
        <v>0</v>
      </c>
      <c r="N36" s="140">
        <f t="shared" si="0"/>
        <v>563446.22000000009</v>
      </c>
      <c r="O36" s="83">
        <v>0</v>
      </c>
      <c r="P36" s="79">
        <f t="shared" si="1"/>
        <v>563446.31000000006</v>
      </c>
      <c r="Q36" s="80">
        <f t="shared" si="2"/>
        <v>597253.31000000006</v>
      </c>
      <c r="R36" s="81">
        <f t="shared" si="3"/>
        <v>580349.31000000006</v>
      </c>
      <c r="S36" s="42">
        <f t="shared" si="5"/>
        <v>0.31000000000000011</v>
      </c>
    </row>
    <row r="37" spans="1:21" ht="17.100000000000001" customHeight="1" x14ac:dyDescent="0.3">
      <c r="A37" s="5" t="s">
        <v>131</v>
      </c>
      <c r="B37" s="64">
        <v>11</v>
      </c>
      <c r="C37" s="64" t="s">
        <v>103</v>
      </c>
      <c r="D37" s="64">
        <f t="shared" si="4"/>
        <v>32</v>
      </c>
      <c r="E37" s="64" t="s">
        <v>143</v>
      </c>
      <c r="F37" s="65"/>
      <c r="G37" s="71">
        <v>2.6562000000000001</v>
      </c>
      <c r="H37" s="72"/>
      <c r="I37" s="73"/>
      <c r="J37" s="74"/>
      <c r="K37" s="75"/>
      <c r="L37" s="75"/>
      <c r="M37" s="76">
        <v>0</v>
      </c>
      <c r="N37" s="77">
        <f t="shared" si="0"/>
        <v>649972.14</v>
      </c>
      <c r="O37" s="78">
        <v>0</v>
      </c>
      <c r="P37" s="79">
        <f t="shared" si="1"/>
        <v>649972.31999999995</v>
      </c>
      <c r="Q37" s="80">
        <f t="shared" si="2"/>
        <v>688971.32</v>
      </c>
      <c r="R37" s="81">
        <f t="shared" si="3"/>
        <v>669471.31999999995</v>
      </c>
      <c r="S37" s="42">
        <f t="shared" si="5"/>
        <v>0.32000000000000012</v>
      </c>
    </row>
    <row r="38" spans="1:21" ht="17.100000000000001" customHeight="1" x14ac:dyDescent="0.3">
      <c r="A38" s="5" t="s">
        <v>131</v>
      </c>
      <c r="B38" s="64">
        <v>12</v>
      </c>
      <c r="C38" s="64" t="s">
        <v>100</v>
      </c>
      <c r="D38" s="64">
        <f t="shared" si="4"/>
        <v>33</v>
      </c>
      <c r="E38" s="64" t="s">
        <v>144</v>
      </c>
      <c r="F38" s="65"/>
      <c r="G38" s="71">
        <v>2.3342999999999998</v>
      </c>
      <c r="H38" s="72"/>
      <c r="I38" s="73"/>
      <c r="J38" s="74"/>
      <c r="K38" s="75"/>
      <c r="L38" s="75"/>
      <c r="M38" s="76">
        <v>0</v>
      </c>
      <c r="N38" s="77">
        <f t="shared" si="0"/>
        <v>571203.21</v>
      </c>
      <c r="O38" s="78">
        <v>0</v>
      </c>
      <c r="P38" s="79">
        <f t="shared" si="1"/>
        <v>571203.32999999996</v>
      </c>
      <c r="Q38" s="80">
        <f t="shared" si="2"/>
        <v>605476.32999999996</v>
      </c>
      <c r="R38" s="81">
        <f t="shared" si="3"/>
        <v>588339.32999999996</v>
      </c>
      <c r="S38" s="42">
        <f t="shared" si="5"/>
        <v>0.33000000000000013</v>
      </c>
    </row>
    <row r="39" spans="1:21" ht="17.100000000000001" customHeight="1" x14ac:dyDescent="0.3">
      <c r="A39" s="5" t="s">
        <v>131</v>
      </c>
      <c r="B39" s="64">
        <v>12</v>
      </c>
      <c r="C39" s="64" t="s">
        <v>103</v>
      </c>
      <c r="D39" s="64">
        <f t="shared" si="4"/>
        <v>34</v>
      </c>
      <c r="E39" s="64" t="s">
        <v>145</v>
      </c>
      <c r="F39" s="64"/>
      <c r="G39" s="71">
        <v>2.6259000000000001</v>
      </c>
      <c r="H39" s="72"/>
      <c r="I39" s="73"/>
      <c r="J39" s="74"/>
      <c r="K39" s="75"/>
      <c r="L39" s="75"/>
      <c r="M39" s="76">
        <v>0</v>
      </c>
      <c r="N39" s="77">
        <f t="shared" si="0"/>
        <v>642557.73</v>
      </c>
      <c r="O39" s="78">
        <v>0</v>
      </c>
      <c r="P39" s="79">
        <f t="shared" si="1"/>
        <v>642558.34</v>
      </c>
      <c r="Q39" s="80">
        <f t="shared" si="2"/>
        <v>681112.34</v>
      </c>
      <c r="R39" s="81">
        <f t="shared" si="3"/>
        <v>661835.34</v>
      </c>
      <c r="S39" s="42">
        <f t="shared" si="5"/>
        <v>0.34000000000000014</v>
      </c>
    </row>
    <row r="40" spans="1:21" ht="17.100000000000001" customHeight="1" x14ac:dyDescent="0.3">
      <c r="A40" s="5" t="s">
        <v>131</v>
      </c>
      <c r="B40" s="64">
        <v>1</v>
      </c>
      <c r="C40" s="64" t="s">
        <v>146</v>
      </c>
      <c r="D40" s="64">
        <f t="shared" si="4"/>
        <v>35</v>
      </c>
      <c r="E40" s="64" t="s">
        <v>147</v>
      </c>
      <c r="F40" s="65" t="s">
        <v>148</v>
      </c>
      <c r="G40" s="71">
        <v>1.0069999999999999</v>
      </c>
      <c r="H40" s="72"/>
      <c r="I40" s="73"/>
      <c r="J40" s="74"/>
      <c r="K40" s="75"/>
      <c r="L40" s="75"/>
      <c r="M40" s="76">
        <v>0</v>
      </c>
      <c r="N40" s="77">
        <f t="shared" si="0"/>
        <v>246412.89999999997</v>
      </c>
      <c r="O40" s="78">
        <v>0</v>
      </c>
      <c r="P40" s="79">
        <f t="shared" si="1"/>
        <v>246413.35</v>
      </c>
      <c r="Q40" s="80">
        <f t="shared" si="2"/>
        <v>261198.35</v>
      </c>
      <c r="R40" s="81">
        <f t="shared" si="3"/>
        <v>253805.35</v>
      </c>
      <c r="S40" s="42">
        <f t="shared" si="5"/>
        <v>0.35000000000000014</v>
      </c>
    </row>
    <row r="41" spans="1:21" ht="17.100000000000001" customHeight="1" x14ac:dyDescent="0.3">
      <c r="A41" s="5" t="s">
        <v>131</v>
      </c>
      <c r="B41" s="64">
        <v>1</v>
      </c>
      <c r="C41" s="64" t="s">
        <v>149</v>
      </c>
      <c r="D41" s="64">
        <f t="shared" si="4"/>
        <v>36</v>
      </c>
      <c r="E41" s="64" t="s">
        <v>150</v>
      </c>
      <c r="F41" s="65" t="s">
        <v>151</v>
      </c>
      <c r="G41" s="71">
        <v>0.78120000000000001</v>
      </c>
      <c r="H41" s="73"/>
      <c r="I41" s="73"/>
      <c r="J41" s="74"/>
      <c r="K41" s="75"/>
      <c r="L41" s="75"/>
      <c r="M41" s="76">
        <v>0</v>
      </c>
      <c r="N41" s="77">
        <f t="shared" si="0"/>
        <v>191159.64</v>
      </c>
      <c r="O41" s="78">
        <v>0</v>
      </c>
      <c r="P41" s="79">
        <f t="shared" si="1"/>
        <v>191160.36</v>
      </c>
      <c r="Q41" s="80">
        <f t="shared" si="2"/>
        <v>202630.36</v>
      </c>
      <c r="R41" s="81">
        <f t="shared" si="3"/>
        <v>196895.35999999999</v>
      </c>
      <c r="S41" s="42">
        <f t="shared" si="5"/>
        <v>0.36000000000000015</v>
      </c>
      <c r="U41" t="s">
        <v>152</v>
      </c>
    </row>
    <row r="42" spans="1:21" ht="17.100000000000001" customHeight="1" x14ac:dyDescent="0.3">
      <c r="A42" s="51"/>
      <c r="B42" s="63">
        <v>1</v>
      </c>
      <c r="C42" s="63" t="s">
        <v>153</v>
      </c>
      <c r="D42" s="64">
        <f t="shared" si="4"/>
        <v>37</v>
      </c>
      <c r="E42" s="63" t="s">
        <v>150</v>
      </c>
      <c r="F42" s="65" t="s">
        <v>151</v>
      </c>
      <c r="G42" s="85">
        <v>1.2153</v>
      </c>
      <c r="H42" s="72"/>
      <c r="I42" s="73"/>
      <c r="J42" s="74"/>
      <c r="K42" s="75"/>
      <c r="L42" s="75"/>
      <c r="M42" s="76">
        <v>0</v>
      </c>
      <c r="N42" s="77">
        <f t="shared" si="0"/>
        <v>297383.91000000003</v>
      </c>
      <c r="O42" s="78">
        <v>0</v>
      </c>
      <c r="P42" s="79">
        <f t="shared" si="1"/>
        <v>297384.37</v>
      </c>
      <c r="Q42" s="80">
        <f t="shared" si="2"/>
        <v>315227.37</v>
      </c>
      <c r="R42" s="81">
        <f t="shared" si="3"/>
        <v>306306.37</v>
      </c>
      <c r="S42" s="42">
        <f t="shared" si="5"/>
        <v>0.37000000000000016</v>
      </c>
      <c r="U42" t="s">
        <v>152</v>
      </c>
    </row>
    <row r="43" spans="1:21" ht="17.100000000000001" customHeight="1" x14ac:dyDescent="0.3">
      <c r="B43" s="64">
        <v>2</v>
      </c>
      <c r="C43" s="86" t="s">
        <v>146</v>
      </c>
      <c r="D43" s="64">
        <f t="shared" si="4"/>
        <v>38</v>
      </c>
      <c r="E43" s="63" t="s">
        <v>154</v>
      </c>
      <c r="F43" s="63" t="s">
        <v>155</v>
      </c>
      <c r="G43" s="85">
        <v>0.95489999999999997</v>
      </c>
      <c r="H43" s="72"/>
      <c r="I43" s="73"/>
      <c r="J43" s="74"/>
      <c r="K43" s="75"/>
      <c r="L43" s="75"/>
      <c r="M43" s="76">
        <v>0</v>
      </c>
      <c r="N43" s="77">
        <f t="shared" si="0"/>
        <v>233664.03</v>
      </c>
      <c r="O43" s="78">
        <v>0</v>
      </c>
      <c r="P43" s="79">
        <f t="shared" si="1"/>
        <v>233664.38</v>
      </c>
      <c r="Q43" s="80">
        <f t="shared" si="2"/>
        <v>247684.38</v>
      </c>
      <c r="R43" s="81">
        <f t="shared" si="3"/>
        <v>240674.38</v>
      </c>
      <c r="S43" s="42">
        <f t="shared" si="5"/>
        <v>0.38000000000000017</v>
      </c>
    </row>
    <row r="44" spans="1:21" ht="17.100000000000001" customHeight="1" x14ac:dyDescent="0.3">
      <c r="B44" s="64">
        <v>2</v>
      </c>
      <c r="C44" s="86" t="s">
        <v>149</v>
      </c>
      <c r="D44" s="64">
        <f t="shared" si="4"/>
        <v>39</v>
      </c>
      <c r="E44" s="63" t="s">
        <v>156</v>
      </c>
      <c r="F44" s="84"/>
      <c r="G44" s="85">
        <v>0.75519999999999998</v>
      </c>
      <c r="H44" s="72"/>
      <c r="I44" s="73"/>
      <c r="J44" s="74"/>
      <c r="K44" s="75"/>
      <c r="L44" s="75"/>
      <c r="M44" s="76">
        <v>0</v>
      </c>
      <c r="N44" s="77">
        <f t="shared" si="0"/>
        <v>184797.44</v>
      </c>
      <c r="O44" s="78">
        <v>0</v>
      </c>
      <c r="P44" s="79">
        <f t="shared" si="1"/>
        <v>184797.39</v>
      </c>
      <c r="Q44" s="80">
        <f t="shared" si="2"/>
        <v>195885.39</v>
      </c>
      <c r="R44" s="81">
        <f t="shared" si="3"/>
        <v>190341.39</v>
      </c>
      <c r="S44" s="42">
        <f t="shared" si="5"/>
        <v>0.39000000000000018</v>
      </c>
    </row>
    <row r="45" spans="1:21" ht="17.100000000000001" customHeight="1" x14ac:dyDescent="0.3">
      <c r="B45" s="64">
        <v>2</v>
      </c>
      <c r="C45" s="86" t="s">
        <v>153</v>
      </c>
      <c r="D45" s="64">
        <f t="shared" si="4"/>
        <v>40</v>
      </c>
      <c r="E45" s="63" t="s">
        <v>136</v>
      </c>
      <c r="F45" s="63" t="s">
        <v>157</v>
      </c>
      <c r="G45" s="85">
        <v>1.1545000000000001</v>
      </c>
      <c r="H45" s="72"/>
      <c r="I45" s="73"/>
      <c r="J45" s="74"/>
      <c r="K45" s="75"/>
      <c r="L45" s="75"/>
      <c r="M45" s="76">
        <v>0</v>
      </c>
      <c r="N45" s="77">
        <f t="shared" si="0"/>
        <v>282506.15000000002</v>
      </c>
      <c r="O45" s="78">
        <v>0</v>
      </c>
      <c r="P45" s="79">
        <f t="shared" si="1"/>
        <v>282506.40000000002</v>
      </c>
      <c r="Q45" s="80">
        <f t="shared" si="2"/>
        <v>299457.40000000002</v>
      </c>
      <c r="R45" s="81">
        <f t="shared" si="3"/>
        <v>290981.40000000002</v>
      </c>
      <c r="S45" s="42">
        <f t="shared" si="5"/>
        <v>0.40000000000000019</v>
      </c>
    </row>
    <row r="46" spans="1:21" ht="17.100000000000001" customHeight="1" x14ac:dyDescent="0.3">
      <c r="B46" s="64">
        <v>3</v>
      </c>
      <c r="C46" s="86" t="s">
        <v>146</v>
      </c>
      <c r="D46" s="64">
        <f t="shared" si="4"/>
        <v>41</v>
      </c>
      <c r="E46" s="63" t="s">
        <v>158</v>
      </c>
      <c r="F46" s="63" t="s">
        <v>159</v>
      </c>
      <c r="G46" s="85">
        <v>0.95489999999999997</v>
      </c>
      <c r="H46" s="72"/>
      <c r="I46" s="73"/>
      <c r="J46" s="74"/>
      <c r="K46" s="75"/>
      <c r="L46" s="75"/>
      <c r="M46" s="76">
        <v>0</v>
      </c>
      <c r="N46" s="77">
        <f t="shared" si="0"/>
        <v>233664.03</v>
      </c>
      <c r="O46" s="78">
        <v>0</v>
      </c>
      <c r="P46" s="79">
        <f t="shared" si="1"/>
        <v>233664.41</v>
      </c>
      <c r="Q46" s="80">
        <f t="shared" si="2"/>
        <v>247684.41</v>
      </c>
      <c r="R46" s="81">
        <f t="shared" si="3"/>
        <v>240674.41</v>
      </c>
      <c r="S46" s="42">
        <f t="shared" si="5"/>
        <v>0.4100000000000002</v>
      </c>
    </row>
    <row r="47" spans="1:21" ht="17.100000000000001" customHeight="1" x14ac:dyDescent="0.3">
      <c r="B47" s="64">
        <v>3</v>
      </c>
      <c r="C47" s="86" t="s">
        <v>149</v>
      </c>
      <c r="D47" s="64">
        <f t="shared" si="4"/>
        <v>42</v>
      </c>
      <c r="E47" s="63" t="s">
        <v>160</v>
      </c>
      <c r="F47" s="84"/>
      <c r="G47" s="85">
        <v>0.75519999999999998</v>
      </c>
      <c r="H47" s="72"/>
      <c r="I47" s="73"/>
      <c r="J47" s="74"/>
      <c r="K47" s="75"/>
      <c r="L47" s="75"/>
      <c r="M47" s="76">
        <v>0</v>
      </c>
      <c r="N47" s="77">
        <f t="shared" si="0"/>
        <v>184797.44</v>
      </c>
      <c r="O47" s="78">
        <v>0</v>
      </c>
      <c r="P47" s="79">
        <f t="shared" si="1"/>
        <v>184797.42</v>
      </c>
      <c r="Q47" s="80">
        <f t="shared" si="2"/>
        <v>195885.42</v>
      </c>
      <c r="R47" s="81">
        <f t="shared" si="3"/>
        <v>190341.42</v>
      </c>
      <c r="S47" s="42">
        <f t="shared" si="5"/>
        <v>0.42000000000000021</v>
      </c>
    </row>
    <row r="48" spans="1:21" ht="17.100000000000001" customHeight="1" x14ac:dyDescent="0.3">
      <c r="B48" s="64">
        <v>3</v>
      </c>
      <c r="C48" s="86" t="s">
        <v>153</v>
      </c>
      <c r="D48" s="64">
        <f t="shared" si="4"/>
        <v>43</v>
      </c>
      <c r="E48" s="63" t="s">
        <v>161</v>
      </c>
      <c r="F48" s="84"/>
      <c r="G48" s="85">
        <v>1.1545000000000001</v>
      </c>
      <c r="H48" s="72"/>
      <c r="I48" s="73"/>
      <c r="J48" s="74"/>
      <c r="K48" s="75"/>
      <c r="L48" s="75"/>
      <c r="M48" s="76">
        <v>0</v>
      </c>
      <c r="N48" s="77">
        <f t="shared" si="0"/>
        <v>282506.15000000002</v>
      </c>
      <c r="O48" s="78">
        <v>0</v>
      </c>
      <c r="P48" s="79">
        <f t="shared" si="1"/>
        <v>282506.43</v>
      </c>
      <c r="Q48" s="80">
        <f t="shared" si="2"/>
        <v>299457.43</v>
      </c>
      <c r="R48" s="81">
        <f t="shared" si="3"/>
        <v>290981.43</v>
      </c>
      <c r="S48" s="42">
        <f t="shared" si="5"/>
        <v>0.43000000000000022</v>
      </c>
    </row>
    <row r="49" spans="2:21" ht="17.100000000000001" customHeight="1" x14ac:dyDescent="0.3">
      <c r="B49" s="64">
        <v>4</v>
      </c>
      <c r="C49" s="86" t="s">
        <v>146</v>
      </c>
      <c r="D49" s="64">
        <f t="shared" si="4"/>
        <v>44</v>
      </c>
      <c r="E49" s="63" t="s">
        <v>162</v>
      </c>
      <c r="F49" s="84" t="s">
        <v>163</v>
      </c>
      <c r="G49" s="85">
        <v>0.95489999999999997</v>
      </c>
      <c r="H49" s="72"/>
      <c r="I49" s="73"/>
      <c r="J49" s="74"/>
      <c r="K49" s="75"/>
      <c r="L49" s="75"/>
      <c r="M49" s="76">
        <v>0</v>
      </c>
      <c r="N49" s="77">
        <f t="shared" si="0"/>
        <v>233664.03</v>
      </c>
      <c r="O49" s="78">
        <v>0</v>
      </c>
      <c r="P49" s="79">
        <f t="shared" si="1"/>
        <v>233664.44</v>
      </c>
      <c r="Q49" s="80">
        <f t="shared" si="2"/>
        <v>247684.44</v>
      </c>
      <c r="R49" s="81">
        <f t="shared" si="3"/>
        <v>240674.44</v>
      </c>
      <c r="S49" s="42">
        <f t="shared" si="5"/>
        <v>0.44000000000000022</v>
      </c>
    </row>
    <row r="50" spans="2:21" ht="17.100000000000001" customHeight="1" x14ac:dyDescent="0.3">
      <c r="B50" s="64">
        <v>4</v>
      </c>
      <c r="C50" s="86" t="s">
        <v>149</v>
      </c>
      <c r="D50" s="64">
        <f t="shared" si="4"/>
        <v>45</v>
      </c>
      <c r="E50" s="63" t="s">
        <v>164</v>
      </c>
      <c r="F50" s="63"/>
      <c r="G50" s="85">
        <v>0.75519999999999998</v>
      </c>
      <c r="H50" s="72"/>
      <c r="I50" s="73"/>
      <c r="J50" s="74"/>
      <c r="K50" s="75"/>
      <c r="L50" s="75"/>
      <c r="M50" s="76">
        <v>0</v>
      </c>
      <c r="N50" s="77">
        <f t="shared" si="0"/>
        <v>184797.44</v>
      </c>
      <c r="O50" s="78">
        <v>0</v>
      </c>
      <c r="P50" s="79">
        <f t="shared" si="1"/>
        <v>184797.45</v>
      </c>
      <c r="Q50" s="80">
        <f t="shared" si="2"/>
        <v>195885.45</v>
      </c>
      <c r="R50" s="81">
        <f t="shared" si="3"/>
        <v>190341.45</v>
      </c>
      <c r="S50" s="42">
        <f t="shared" si="5"/>
        <v>0.45000000000000023</v>
      </c>
      <c r="U50" t="s">
        <v>165</v>
      </c>
    </row>
    <row r="51" spans="2:21" ht="17.100000000000001" customHeight="1" x14ac:dyDescent="0.3">
      <c r="B51" s="64">
        <v>4</v>
      </c>
      <c r="C51" s="86" t="s">
        <v>153</v>
      </c>
      <c r="D51" s="64">
        <f t="shared" si="4"/>
        <v>46</v>
      </c>
      <c r="E51" s="63" t="s">
        <v>166</v>
      </c>
      <c r="F51" s="63" t="s">
        <v>167</v>
      </c>
      <c r="G51" s="85">
        <v>1.1545000000000001</v>
      </c>
      <c r="H51" s="72"/>
      <c r="I51" s="73"/>
      <c r="J51" s="74"/>
      <c r="K51" s="75"/>
      <c r="L51" s="75"/>
      <c r="M51" s="76">
        <v>0</v>
      </c>
      <c r="N51" s="77">
        <f t="shared" si="0"/>
        <v>282506.15000000002</v>
      </c>
      <c r="O51" s="78">
        <v>0</v>
      </c>
      <c r="P51" s="79">
        <f t="shared" si="1"/>
        <v>282506.46000000002</v>
      </c>
      <c r="Q51" s="80">
        <f t="shared" si="2"/>
        <v>299457.46000000002</v>
      </c>
      <c r="R51" s="81">
        <f t="shared" si="3"/>
        <v>290981.46000000002</v>
      </c>
      <c r="S51" s="42">
        <f t="shared" si="5"/>
        <v>0.46000000000000024</v>
      </c>
    </row>
    <row r="52" spans="2:21" ht="17.100000000000001" customHeight="1" x14ac:dyDescent="0.3">
      <c r="B52" s="64">
        <v>5</v>
      </c>
      <c r="C52" s="86" t="s">
        <v>146</v>
      </c>
      <c r="D52" s="64">
        <f t="shared" si="4"/>
        <v>47</v>
      </c>
      <c r="E52" s="63" t="s">
        <v>168</v>
      </c>
      <c r="F52" s="84" t="s">
        <v>169</v>
      </c>
      <c r="G52" s="85">
        <v>0.95489999999999997</v>
      </c>
      <c r="H52" s="72"/>
      <c r="I52" s="73"/>
      <c r="J52" s="74"/>
      <c r="K52" s="75"/>
      <c r="L52" s="75"/>
      <c r="M52" s="76">
        <v>0</v>
      </c>
      <c r="N52" s="77">
        <f t="shared" si="0"/>
        <v>233664.03</v>
      </c>
      <c r="O52" s="78">
        <v>0</v>
      </c>
      <c r="P52" s="79">
        <f t="shared" si="1"/>
        <v>233664.47</v>
      </c>
      <c r="Q52" s="80">
        <f t="shared" si="2"/>
        <v>247684.47</v>
      </c>
      <c r="R52" s="81">
        <f t="shared" si="3"/>
        <v>240674.47</v>
      </c>
      <c r="S52" s="42">
        <f t="shared" si="5"/>
        <v>0.47000000000000025</v>
      </c>
    </row>
    <row r="53" spans="2:21" ht="17.100000000000001" customHeight="1" x14ac:dyDescent="0.3">
      <c r="B53" s="64">
        <v>5</v>
      </c>
      <c r="C53" s="86" t="s">
        <v>149</v>
      </c>
      <c r="D53" s="64">
        <f t="shared" si="4"/>
        <v>48</v>
      </c>
      <c r="E53" s="63" t="s">
        <v>104</v>
      </c>
      <c r="F53" s="63" t="s">
        <v>170</v>
      </c>
      <c r="G53" s="85">
        <v>0.75519999999999998</v>
      </c>
      <c r="H53" s="72"/>
      <c r="I53" s="73"/>
      <c r="J53" s="74"/>
      <c r="K53" s="75"/>
      <c r="L53" s="75"/>
      <c r="M53" s="76">
        <v>0</v>
      </c>
      <c r="N53" s="77">
        <f t="shared" si="0"/>
        <v>184797.44</v>
      </c>
      <c r="O53" s="78">
        <v>0</v>
      </c>
      <c r="P53" s="79">
        <f t="shared" si="1"/>
        <v>184797.48</v>
      </c>
      <c r="Q53" s="80">
        <f t="shared" si="2"/>
        <v>195885.48</v>
      </c>
      <c r="R53" s="81">
        <f t="shared" si="3"/>
        <v>190341.48</v>
      </c>
      <c r="S53" s="42">
        <f t="shared" si="5"/>
        <v>0.48000000000000026</v>
      </c>
    </row>
    <row r="54" spans="2:21" ht="17.100000000000001" customHeight="1" x14ac:dyDescent="0.3">
      <c r="B54" s="64">
        <v>5</v>
      </c>
      <c r="C54" s="86" t="s">
        <v>153</v>
      </c>
      <c r="D54" s="64">
        <f t="shared" si="4"/>
        <v>49</v>
      </c>
      <c r="E54" s="63" t="s">
        <v>171</v>
      </c>
      <c r="F54" s="63" t="s">
        <v>172</v>
      </c>
      <c r="G54" s="85">
        <v>1.1545000000000001</v>
      </c>
      <c r="H54" s="72"/>
      <c r="I54" s="73"/>
      <c r="J54" s="74"/>
      <c r="K54" s="75"/>
      <c r="L54" s="75"/>
      <c r="M54" s="76">
        <v>0</v>
      </c>
      <c r="N54" s="77">
        <f t="shared" si="0"/>
        <v>282506.15000000002</v>
      </c>
      <c r="O54" s="78">
        <v>0</v>
      </c>
      <c r="P54" s="79">
        <f t="shared" si="1"/>
        <v>282506.49</v>
      </c>
      <c r="Q54" s="80">
        <f t="shared" si="2"/>
        <v>299457.49</v>
      </c>
      <c r="R54" s="81">
        <f t="shared" si="3"/>
        <v>290981.49</v>
      </c>
      <c r="S54" s="42">
        <f t="shared" si="5"/>
        <v>0.49000000000000027</v>
      </c>
    </row>
    <row r="55" spans="2:21" ht="17.100000000000001" customHeight="1" x14ac:dyDescent="0.3">
      <c r="B55" s="64">
        <v>6</v>
      </c>
      <c r="C55" s="86" t="s">
        <v>146</v>
      </c>
      <c r="D55" s="64">
        <f t="shared" si="4"/>
        <v>50</v>
      </c>
      <c r="E55" s="63" t="s">
        <v>173</v>
      </c>
      <c r="F55" s="63"/>
      <c r="G55" s="85">
        <v>0.95489999999999997</v>
      </c>
      <c r="H55" s="72"/>
      <c r="I55" s="73"/>
      <c r="J55" s="74"/>
      <c r="K55" s="75"/>
      <c r="L55" s="75"/>
      <c r="M55" s="76">
        <v>0</v>
      </c>
      <c r="N55" s="77">
        <f t="shared" si="0"/>
        <v>233664.03</v>
      </c>
      <c r="O55" s="78">
        <v>0</v>
      </c>
      <c r="P55" s="79">
        <f t="shared" si="1"/>
        <v>233664.5</v>
      </c>
      <c r="Q55" s="80">
        <f t="shared" si="2"/>
        <v>247684.5</v>
      </c>
      <c r="R55" s="81">
        <f t="shared" si="3"/>
        <v>240674.5</v>
      </c>
      <c r="S55" s="42">
        <f t="shared" si="5"/>
        <v>0.50000000000000022</v>
      </c>
    </row>
    <row r="56" spans="2:21" ht="17.100000000000001" customHeight="1" x14ac:dyDescent="0.3">
      <c r="B56" s="64">
        <v>6</v>
      </c>
      <c r="C56" s="86" t="s">
        <v>149</v>
      </c>
      <c r="D56" s="64">
        <f t="shared" si="4"/>
        <v>51</v>
      </c>
      <c r="E56" s="63" t="s">
        <v>174</v>
      </c>
      <c r="F56" s="63"/>
      <c r="G56" s="85">
        <v>0.75519999999999998</v>
      </c>
      <c r="H56" s="72"/>
      <c r="I56" s="73"/>
      <c r="J56" s="74"/>
      <c r="K56" s="75"/>
      <c r="L56" s="75"/>
      <c r="M56" s="76">
        <v>0</v>
      </c>
      <c r="N56" s="77">
        <f t="shared" si="0"/>
        <v>184797.44</v>
      </c>
      <c r="O56" s="78">
        <v>0</v>
      </c>
      <c r="P56" s="79">
        <f t="shared" si="1"/>
        <v>184797.51</v>
      </c>
      <c r="Q56" s="80">
        <f t="shared" si="2"/>
        <v>195885.51</v>
      </c>
      <c r="R56" s="81">
        <f t="shared" si="3"/>
        <v>190341.51</v>
      </c>
      <c r="S56" s="42">
        <f t="shared" si="5"/>
        <v>0.51000000000000023</v>
      </c>
      <c r="U56" t="s">
        <v>175</v>
      </c>
    </row>
    <row r="57" spans="2:21" ht="17.100000000000001" customHeight="1" x14ac:dyDescent="0.3">
      <c r="B57" s="64">
        <v>6</v>
      </c>
      <c r="C57" s="86" t="s">
        <v>153</v>
      </c>
      <c r="D57" s="64">
        <f t="shared" si="4"/>
        <v>52</v>
      </c>
      <c r="E57" s="63" t="s">
        <v>176</v>
      </c>
      <c r="F57" s="84"/>
      <c r="G57" s="85">
        <v>1.1545000000000001</v>
      </c>
      <c r="H57" s="72"/>
      <c r="I57" s="73"/>
      <c r="J57" s="74"/>
      <c r="K57" s="75"/>
      <c r="L57" s="75"/>
      <c r="M57" s="76">
        <v>0</v>
      </c>
      <c r="N57" s="77">
        <f t="shared" si="0"/>
        <v>282506.15000000002</v>
      </c>
      <c r="O57" s="78">
        <v>0</v>
      </c>
      <c r="P57" s="79">
        <f t="shared" si="1"/>
        <v>282506.52</v>
      </c>
      <c r="Q57" s="80">
        <f t="shared" si="2"/>
        <v>299457.52</v>
      </c>
      <c r="R57" s="81">
        <f t="shared" si="3"/>
        <v>290981.52</v>
      </c>
      <c r="S57" s="42">
        <f t="shared" si="5"/>
        <v>0.52000000000000024</v>
      </c>
    </row>
    <row r="58" spans="2:21" ht="17.100000000000001" customHeight="1" x14ac:dyDescent="0.3">
      <c r="B58" s="64">
        <v>7</v>
      </c>
      <c r="C58" s="86" t="s">
        <v>146</v>
      </c>
      <c r="D58" s="64">
        <f t="shared" si="4"/>
        <v>53</v>
      </c>
      <c r="E58" s="63" t="s">
        <v>177</v>
      </c>
      <c r="F58" s="84"/>
      <c r="G58" s="85">
        <v>0.95489999999999997</v>
      </c>
      <c r="H58" s="72"/>
      <c r="I58" s="73"/>
      <c r="J58" s="74"/>
      <c r="K58" s="75"/>
      <c r="L58" s="75"/>
      <c r="M58" s="76">
        <v>0</v>
      </c>
      <c r="N58" s="77">
        <f t="shared" si="0"/>
        <v>233664.03</v>
      </c>
      <c r="O58" s="78">
        <v>0</v>
      </c>
      <c r="P58" s="79">
        <f t="shared" si="1"/>
        <v>233664.53</v>
      </c>
      <c r="Q58" s="80">
        <f t="shared" si="2"/>
        <v>247684.53</v>
      </c>
      <c r="R58" s="81">
        <f t="shared" si="3"/>
        <v>240674.53</v>
      </c>
      <c r="S58" s="42">
        <f t="shared" si="5"/>
        <v>0.53000000000000025</v>
      </c>
    </row>
    <row r="59" spans="2:21" ht="17.100000000000001" customHeight="1" x14ac:dyDescent="0.3">
      <c r="B59" s="64">
        <v>7</v>
      </c>
      <c r="C59" s="86" t="s">
        <v>149</v>
      </c>
      <c r="D59" s="64">
        <f t="shared" si="4"/>
        <v>54</v>
      </c>
      <c r="E59" s="63" t="s">
        <v>178</v>
      </c>
      <c r="F59" s="63"/>
      <c r="G59" s="85">
        <v>0.75519999999999998</v>
      </c>
      <c r="H59" s="72"/>
      <c r="I59" s="73"/>
      <c r="J59" s="74"/>
      <c r="K59" s="75"/>
      <c r="L59" s="75"/>
      <c r="M59" s="76">
        <v>0</v>
      </c>
      <c r="N59" s="77">
        <f t="shared" si="0"/>
        <v>184797.44</v>
      </c>
      <c r="O59" s="78">
        <v>0</v>
      </c>
      <c r="P59" s="79">
        <f t="shared" si="1"/>
        <v>184797.54</v>
      </c>
      <c r="Q59" s="80">
        <f t="shared" si="2"/>
        <v>195885.54</v>
      </c>
      <c r="R59" s="81">
        <f t="shared" si="3"/>
        <v>190341.54</v>
      </c>
      <c r="S59" s="42">
        <f t="shared" si="5"/>
        <v>0.54000000000000026</v>
      </c>
    </row>
    <row r="60" spans="2:21" ht="17.100000000000001" customHeight="1" x14ac:dyDescent="0.3">
      <c r="B60" s="64">
        <v>7</v>
      </c>
      <c r="C60" s="86" t="s">
        <v>153</v>
      </c>
      <c r="D60" s="64">
        <f t="shared" si="4"/>
        <v>55</v>
      </c>
      <c r="E60" s="63" t="s">
        <v>179</v>
      </c>
      <c r="F60" s="63" t="s">
        <v>180</v>
      </c>
      <c r="G60" s="85">
        <v>1.1545000000000001</v>
      </c>
      <c r="H60" s="72"/>
      <c r="I60" s="73"/>
      <c r="J60" s="74"/>
      <c r="K60" s="75"/>
      <c r="L60" s="75"/>
      <c r="M60" s="76">
        <v>0</v>
      </c>
      <c r="N60" s="77">
        <f t="shared" si="0"/>
        <v>282506.15000000002</v>
      </c>
      <c r="O60" s="78">
        <v>0</v>
      </c>
      <c r="P60" s="79">
        <f t="shared" si="1"/>
        <v>282506.55</v>
      </c>
      <c r="Q60" s="80">
        <f t="shared" si="2"/>
        <v>299457.55</v>
      </c>
      <c r="R60" s="81">
        <f t="shared" si="3"/>
        <v>290981.55</v>
      </c>
      <c r="S60" s="42">
        <f t="shared" si="5"/>
        <v>0.55000000000000027</v>
      </c>
    </row>
    <row r="61" spans="2:21" ht="17.100000000000001" customHeight="1" x14ac:dyDescent="0.3">
      <c r="B61" s="64">
        <v>8</v>
      </c>
      <c r="C61" s="86" t="s">
        <v>146</v>
      </c>
      <c r="D61" s="64">
        <f t="shared" si="4"/>
        <v>56</v>
      </c>
      <c r="E61" s="63" t="s">
        <v>181</v>
      </c>
      <c r="F61" s="84" t="s">
        <v>182</v>
      </c>
      <c r="G61" s="85">
        <v>0.95489999999999997</v>
      </c>
      <c r="H61" s="72"/>
      <c r="I61" s="73"/>
      <c r="J61" s="74"/>
      <c r="K61" s="75"/>
      <c r="L61" s="75"/>
      <c r="M61" s="76">
        <v>0</v>
      </c>
      <c r="N61" s="77">
        <f t="shared" si="0"/>
        <v>233664.03</v>
      </c>
      <c r="O61" s="78"/>
      <c r="P61" s="79">
        <f t="shared" si="1"/>
        <v>233664.56</v>
      </c>
      <c r="Q61" s="80">
        <f t="shared" si="2"/>
        <v>247684.56</v>
      </c>
      <c r="R61" s="81">
        <f t="shared" si="3"/>
        <v>240674.56</v>
      </c>
      <c r="S61" s="42">
        <f t="shared" si="5"/>
        <v>0.56000000000000028</v>
      </c>
    </row>
    <row r="62" spans="2:21" ht="17.100000000000001" customHeight="1" x14ac:dyDescent="0.3">
      <c r="B62" s="64">
        <v>8</v>
      </c>
      <c r="C62" s="86" t="s">
        <v>149</v>
      </c>
      <c r="D62" s="64">
        <f t="shared" si="4"/>
        <v>57</v>
      </c>
      <c r="E62" s="63" t="s">
        <v>183</v>
      </c>
      <c r="F62" s="84" t="s">
        <v>184</v>
      </c>
      <c r="G62" s="85">
        <v>0.75519999999999998</v>
      </c>
      <c r="H62" s="72"/>
      <c r="I62" s="73"/>
      <c r="J62" s="74"/>
      <c r="K62" s="75"/>
      <c r="L62" s="75"/>
      <c r="M62" s="76">
        <v>0</v>
      </c>
      <c r="N62" s="77">
        <f t="shared" si="0"/>
        <v>184797.44</v>
      </c>
      <c r="O62" s="78">
        <v>0</v>
      </c>
      <c r="P62" s="79">
        <f t="shared" si="1"/>
        <v>184797.57</v>
      </c>
      <c r="Q62" s="80">
        <f t="shared" si="2"/>
        <v>195885.57</v>
      </c>
      <c r="R62" s="81">
        <f t="shared" si="3"/>
        <v>190341.57</v>
      </c>
      <c r="S62" s="42">
        <f t="shared" si="5"/>
        <v>0.57000000000000028</v>
      </c>
    </row>
    <row r="63" spans="2:21" ht="17.100000000000001" customHeight="1" x14ac:dyDescent="0.3">
      <c r="B63" s="64">
        <v>8</v>
      </c>
      <c r="C63" s="86" t="s">
        <v>153</v>
      </c>
      <c r="D63" s="64">
        <f t="shared" si="4"/>
        <v>58</v>
      </c>
      <c r="E63" s="63" t="s">
        <v>185</v>
      </c>
      <c r="F63" s="84"/>
      <c r="G63" s="85">
        <v>1.1545000000000001</v>
      </c>
      <c r="H63" s="72"/>
      <c r="I63" s="73"/>
      <c r="J63" s="74"/>
      <c r="K63" s="75"/>
      <c r="L63" s="75"/>
      <c r="M63" s="76">
        <v>0</v>
      </c>
      <c r="N63" s="77">
        <f t="shared" si="0"/>
        <v>282506.15000000002</v>
      </c>
      <c r="O63" s="78">
        <v>0</v>
      </c>
      <c r="P63" s="79">
        <f t="shared" si="1"/>
        <v>282506.58</v>
      </c>
      <c r="Q63" s="80">
        <f t="shared" si="2"/>
        <v>299457.58</v>
      </c>
      <c r="R63" s="81">
        <f t="shared" si="3"/>
        <v>290981.58</v>
      </c>
      <c r="S63" s="42">
        <f t="shared" si="5"/>
        <v>0.58000000000000029</v>
      </c>
    </row>
    <row r="64" spans="2:21" ht="17.100000000000001" customHeight="1" x14ac:dyDescent="0.3">
      <c r="B64" s="64">
        <v>9</v>
      </c>
      <c r="C64" s="86" t="s">
        <v>146</v>
      </c>
      <c r="D64" s="64">
        <f t="shared" si="4"/>
        <v>59</v>
      </c>
      <c r="E64" s="63" t="s">
        <v>186</v>
      </c>
      <c r="F64" s="63" t="s">
        <v>187</v>
      </c>
      <c r="G64" s="85">
        <v>0.95489999999999997</v>
      </c>
      <c r="H64" s="72"/>
      <c r="I64" s="73"/>
      <c r="J64" s="74"/>
      <c r="K64" s="75"/>
      <c r="L64" s="75"/>
      <c r="M64" s="76">
        <v>0</v>
      </c>
      <c r="N64" s="77">
        <f t="shared" si="0"/>
        <v>233664.03</v>
      </c>
      <c r="O64" s="78">
        <v>0</v>
      </c>
      <c r="P64" s="79">
        <f t="shared" si="1"/>
        <v>233664.59</v>
      </c>
      <c r="Q64" s="80">
        <f t="shared" si="2"/>
        <v>247684.59</v>
      </c>
      <c r="R64" s="81">
        <f t="shared" si="3"/>
        <v>240674.59</v>
      </c>
      <c r="S64" s="42">
        <f t="shared" si="5"/>
        <v>0.5900000000000003</v>
      </c>
    </row>
    <row r="65" spans="2:21" ht="17.100000000000001" customHeight="1" x14ac:dyDescent="0.3">
      <c r="B65" s="64">
        <v>9</v>
      </c>
      <c r="C65" s="86" t="s">
        <v>149</v>
      </c>
      <c r="D65" s="64">
        <f t="shared" si="4"/>
        <v>60</v>
      </c>
      <c r="E65" s="63" t="s">
        <v>188</v>
      </c>
      <c r="F65" s="84"/>
      <c r="G65" s="85">
        <v>0.75519999999999998</v>
      </c>
      <c r="H65" s="72"/>
      <c r="I65" s="73"/>
      <c r="J65" s="74"/>
      <c r="K65" s="75"/>
      <c r="L65" s="75"/>
      <c r="M65" s="76">
        <v>0</v>
      </c>
      <c r="N65" s="77">
        <f t="shared" si="0"/>
        <v>184797.44</v>
      </c>
      <c r="O65" s="78">
        <v>0</v>
      </c>
      <c r="P65" s="79">
        <f t="shared" si="1"/>
        <v>184797.6</v>
      </c>
      <c r="Q65" s="80">
        <f t="shared" si="2"/>
        <v>195885.6</v>
      </c>
      <c r="R65" s="81">
        <f t="shared" si="3"/>
        <v>190341.6</v>
      </c>
      <c r="S65" s="42">
        <f t="shared" si="5"/>
        <v>0.60000000000000031</v>
      </c>
      <c r="U65" t="s">
        <v>189</v>
      </c>
    </row>
    <row r="66" spans="2:21" ht="17.100000000000001" customHeight="1" x14ac:dyDescent="0.3">
      <c r="B66" s="64">
        <v>9</v>
      </c>
      <c r="C66" s="86" t="s">
        <v>153</v>
      </c>
      <c r="D66" s="64">
        <f t="shared" si="4"/>
        <v>61</v>
      </c>
      <c r="E66" s="63" t="s">
        <v>190</v>
      </c>
      <c r="F66" s="63"/>
      <c r="G66" s="85">
        <v>1.1545000000000001</v>
      </c>
      <c r="H66" s="72"/>
      <c r="I66" s="73"/>
      <c r="J66" s="74"/>
      <c r="K66" s="75"/>
      <c r="L66" s="75"/>
      <c r="M66" s="76">
        <v>0</v>
      </c>
      <c r="N66" s="77">
        <f t="shared" si="0"/>
        <v>282506.15000000002</v>
      </c>
      <c r="O66" s="78">
        <v>0</v>
      </c>
      <c r="P66" s="79">
        <f t="shared" si="1"/>
        <v>282506.61</v>
      </c>
      <c r="Q66" s="80">
        <f t="shared" si="2"/>
        <v>299457.61</v>
      </c>
      <c r="R66" s="81">
        <f t="shared" si="3"/>
        <v>290981.61</v>
      </c>
      <c r="S66" s="42">
        <f t="shared" si="5"/>
        <v>0.61000000000000032</v>
      </c>
      <c r="U66" t="s">
        <v>191</v>
      </c>
    </row>
    <row r="67" spans="2:21" ht="17.100000000000001" customHeight="1" x14ac:dyDescent="0.3">
      <c r="B67" s="64">
        <v>10</v>
      </c>
      <c r="C67" s="86" t="s">
        <v>146</v>
      </c>
      <c r="D67" s="64">
        <f t="shared" si="4"/>
        <v>62</v>
      </c>
      <c r="E67" s="63" t="s">
        <v>192</v>
      </c>
      <c r="F67" s="84" t="s">
        <v>193</v>
      </c>
      <c r="G67" s="85">
        <v>0.95489999999999997</v>
      </c>
      <c r="H67" s="72"/>
      <c r="I67" s="73"/>
      <c r="J67" s="74"/>
      <c r="K67" s="75"/>
      <c r="L67" s="75"/>
      <c r="M67" s="76">
        <v>0</v>
      </c>
      <c r="N67" s="77">
        <f t="shared" si="0"/>
        <v>233664.03</v>
      </c>
      <c r="O67" s="78">
        <v>0</v>
      </c>
      <c r="P67" s="79">
        <f t="shared" si="1"/>
        <v>233664.62</v>
      </c>
      <c r="Q67" s="80">
        <f t="shared" si="2"/>
        <v>247684.62</v>
      </c>
      <c r="R67" s="81">
        <f t="shared" si="3"/>
        <v>240674.62</v>
      </c>
      <c r="S67" s="42">
        <f t="shared" si="5"/>
        <v>0.62000000000000033</v>
      </c>
      <c r="U67" t="s">
        <v>194</v>
      </c>
    </row>
    <row r="68" spans="2:21" ht="17.100000000000001" customHeight="1" x14ac:dyDescent="0.3">
      <c r="B68" s="64">
        <v>10</v>
      </c>
      <c r="C68" s="86" t="s">
        <v>149</v>
      </c>
      <c r="D68" s="64">
        <f t="shared" si="4"/>
        <v>63</v>
      </c>
      <c r="E68" s="63" t="s">
        <v>104</v>
      </c>
      <c r="F68" s="63" t="s">
        <v>195</v>
      </c>
      <c r="G68" s="85">
        <v>0.75519999999999998</v>
      </c>
      <c r="H68" s="72"/>
      <c r="I68" s="73"/>
      <c r="J68" s="74"/>
      <c r="K68" s="75"/>
      <c r="L68" s="75"/>
      <c r="M68" s="76">
        <v>0</v>
      </c>
      <c r="N68" s="77">
        <f t="shared" si="0"/>
        <v>184797.44</v>
      </c>
      <c r="O68" s="78">
        <v>0</v>
      </c>
      <c r="P68" s="79">
        <f t="shared" si="1"/>
        <v>184797.63</v>
      </c>
      <c r="Q68" s="80">
        <f t="shared" si="2"/>
        <v>195885.63</v>
      </c>
      <c r="R68" s="81">
        <f t="shared" si="3"/>
        <v>190341.63</v>
      </c>
      <c r="S68" s="42">
        <f t="shared" si="5"/>
        <v>0.63000000000000034</v>
      </c>
    </row>
    <row r="69" spans="2:21" ht="17.100000000000001" customHeight="1" x14ac:dyDescent="0.3">
      <c r="B69" s="64">
        <v>10</v>
      </c>
      <c r="C69" s="86" t="s">
        <v>153</v>
      </c>
      <c r="D69" s="64">
        <f t="shared" si="4"/>
        <v>64</v>
      </c>
      <c r="E69" s="63" t="s">
        <v>160</v>
      </c>
      <c r="F69" s="63"/>
      <c r="G69" s="85">
        <v>1.1545000000000001</v>
      </c>
      <c r="H69" s="72"/>
      <c r="I69" s="73"/>
      <c r="J69" s="74"/>
      <c r="K69" s="75"/>
      <c r="L69" s="75"/>
      <c r="M69" s="76">
        <v>0</v>
      </c>
      <c r="N69" s="77">
        <f t="shared" si="0"/>
        <v>282506.15000000002</v>
      </c>
      <c r="O69" s="78">
        <v>0</v>
      </c>
      <c r="P69" s="79">
        <f t="shared" si="1"/>
        <v>282506.64</v>
      </c>
      <c r="Q69" s="80">
        <f t="shared" si="2"/>
        <v>299457.64</v>
      </c>
      <c r="R69" s="81">
        <f t="shared" si="3"/>
        <v>290981.64</v>
      </c>
      <c r="S69" s="42">
        <f t="shared" si="5"/>
        <v>0.64000000000000035</v>
      </c>
    </row>
    <row r="70" spans="2:21" ht="17.100000000000001" customHeight="1" x14ac:dyDescent="0.3">
      <c r="B70" s="64">
        <v>11</v>
      </c>
      <c r="C70" s="86" t="s">
        <v>146</v>
      </c>
      <c r="D70" s="64">
        <f t="shared" si="4"/>
        <v>65</v>
      </c>
      <c r="E70" s="63" t="s">
        <v>196</v>
      </c>
      <c r="F70" s="84"/>
      <c r="G70" s="85">
        <v>0.95489999999999997</v>
      </c>
      <c r="H70" s="72"/>
      <c r="I70" s="73"/>
      <c r="J70" s="74"/>
      <c r="K70" s="75"/>
      <c r="L70" s="75"/>
      <c r="M70" s="76">
        <v>0</v>
      </c>
      <c r="N70" s="77">
        <f t="shared" ref="N70:N75" si="6">P$2*G70%</f>
        <v>233664.03</v>
      </c>
      <c r="O70" s="78">
        <v>0</v>
      </c>
      <c r="P70" s="79">
        <f t="shared" ref="P70:P75" si="7">ROUND(SUM(K70:O70),0) + S70</f>
        <v>233664.65</v>
      </c>
      <c r="Q70" s="80">
        <f t="shared" ref="Q70:Q75" si="8">ROUND(P70*6% + P70,0) + S70</f>
        <v>247685.65</v>
      </c>
      <c r="R70" s="81">
        <f t="shared" ref="R70:R75" si="9">ROUND(P70*3%,0) + P70</f>
        <v>240674.65</v>
      </c>
      <c r="S70" s="42">
        <f t="shared" si="5"/>
        <v>0.65000000000000036</v>
      </c>
    </row>
    <row r="71" spans="2:21" ht="17.100000000000001" customHeight="1" x14ac:dyDescent="0.3">
      <c r="B71" s="64">
        <v>11</v>
      </c>
      <c r="C71" s="86" t="s">
        <v>149</v>
      </c>
      <c r="D71" s="64">
        <f t="shared" ref="D71:D75" si="10">D70+1</f>
        <v>66</v>
      </c>
      <c r="E71" s="63" t="s">
        <v>197</v>
      </c>
      <c r="F71" s="84" t="s">
        <v>198</v>
      </c>
      <c r="G71" s="85">
        <v>0.75519999999999998</v>
      </c>
      <c r="H71" s="72"/>
      <c r="I71" s="73"/>
      <c r="J71" s="74"/>
      <c r="K71" s="75"/>
      <c r="L71" s="75"/>
      <c r="M71" s="76">
        <v>0</v>
      </c>
      <c r="N71" s="77">
        <f t="shared" si="6"/>
        <v>184797.44</v>
      </c>
      <c r="O71" s="78">
        <v>0</v>
      </c>
      <c r="P71" s="79">
        <f t="shared" si="7"/>
        <v>184797.66</v>
      </c>
      <c r="Q71" s="80">
        <f t="shared" si="8"/>
        <v>195886.66</v>
      </c>
      <c r="R71" s="81">
        <f t="shared" si="9"/>
        <v>190341.66</v>
      </c>
      <c r="S71" s="42">
        <f t="shared" ref="S71:S75" si="11">S70+0.01</f>
        <v>0.66000000000000036</v>
      </c>
    </row>
    <row r="72" spans="2:21" ht="17.100000000000001" customHeight="1" x14ac:dyDescent="0.3">
      <c r="B72" s="64">
        <v>11</v>
      </c>
      <c r="C72" s="86" t="s">
        <v>153</v>
      </c>
      <c r="D72" s="64">
        <f t="shared" si="10"/>
        <v>67</v>
      </c>
      <c r="E72" s="63" t="s">
        <v>199</v>
      </c>
      <c r="F72" s="63"/>
      <c r="G72" s="85">
        <v>1.1545000000000001</v>
      </c>
      <c r="H72" s="72"/>
      <c r="I72" s="73"/>
      <c r="J72" s="74"/>
      <c r="K72" s="75"/>
      <c r="L72" s="75"/>
      <c r="M72" s="76">
        <v>0</v>
      </c>
      <c r="N72" s="77">
        <f t="shared" si="6"/>
        <v>282506.15000000002</v>
      </c>
      <c r="O72" s="78">
        <v>0</v>
      </c>
      <c r="P72" s="79">
        <f t="shared" si="7"/>
        <v>282506.67</v>
      </c>
      <c r="Q72" s="80">
        <f t="shared" si="8"/>
        <v>299457.67</v>
      </c>
      <c r="R72" s="81">
        <f t="shared" si="9"/>
        <v>290981.67</v>
      </c>
      <c r="S72" s="42">
        <f t="shared" si="11"/>
        <v>0.67000000000000037</v>
      </c>
    </row>
    <row r="73" spans="2:21" ht="17.100000000000001" customHeight="1" x14ac:dyDescent="0.3">
      <c r="B73" s="64">
        <v>12</v>
      </c>
      <c r="C73" s="87" t="s">
        <v>146</v>
      </c>
      <c r="D73" s="64">
        <f t="shared" si="10"/>
        <v>68</v>
      </c>
      <c r="E73" s="88" t="s">
        <v>200</v>
      </c>
      <c r="F73" s="88"/>
      <c r="G73" s="89">
        <v>0.95489999999999997</v>
      </c>
      <c r="H73" s="90"/>
      <c r="I73" s="73"/>
      <c r="J73" s="92"/>
      <c r="K73" s="93"/>
      <c r="L73" s="75"/>
      <c r="M73" s="76">
        <v>0</v>
      </c>
      <c r="N73" s="94">
        <f t="shared" si="6"/>
        <v>233664.03</v>
      </c>
      <c r="O73" s="95">
        <v>0</v>
      </c>
      <c r="P73" s="79">
        <f t="shared" si="7"/>
        <v>233664.68</v>
      </c>
      <c r="Q73" s="80">
        <f t="shared" si="8"/>
        <v>247685.68</v>
      </c>
      <c r="R73" s="81">
        <f t="shared" si="9"/>
        <v>240674.68</v>
      </c>
      <c r="S73" s="42">
        <f t="shared" si="11"/>
        <v>0.68000000000000038</v>
      </c>
    </row>
    <row r="74" spans="2:21" ht="17.100000000000001" customHeight="1" x14ac:dyDescent="0.3">
      <c r="B74" s="64">
        <v>12</v>
      </c>
      <c r="C74" s="86" t="s">
        <v>149</v>
      </c>
      <c r="D74" s="64">
        <f t="shared" si="10"/>
        <v>69</v>
      </c>
      <c r="E74" s="64" t="s">
        <v>190</v>
      </c>
      <c r="F74" s="96"/>
      <c r="G74" s="89">
        <v>0.75519999999999998</v>
      </c>
      <c r="H74" s="90"/>
      <c r="I74" s="73"/>
      <c r="J74" s="92"/>
      <c r="K74" s="93"/>
      <c r="L74" s="75"/>
      <c r="M74" s="76">
        <v>0</v>
      </c>
      <c r="N74" s="94">
        <f t="shared" si="6"/>
        <v>184797.44</v>
      </c>
      <c r="O74" s="95">
        <v>0</v>
      </c>
      <c r="P74" s="79">
        <f t="shared" si="7"/>
        <v>184797.69</v>
      </c>
      <c r="Q74" s="80">
        <f t="shared" si="8"/>
        <v>195886.69</v>
      </c>
      <c r="R74" s="81">
        <f t="shared" si="9"/>
        <v>190341.69</v>
      </c>
      <c r="S74" s="42">
        <f t="shared" si="11"/>
        <v>0.69000000000000039</v>
      </c>
    </row>
    <row r="75" spans="2:21" ht="16.5" customHeight="1" x14ac:dyDescent="0.3">
      <c r="B75" s="64">
        <v>12</v>
      </c>
      <c r="C75" s="86" t="s">
        <v>153</v>
      </c>
      <c r="D75" s="64">
        <f t="shared" si="10"/>
        <v>70</v>
      </c>
      <c r="E75" s="64" t="s">
        <v>201</v>
      </c>
      <c r="F75" s="96"/>
      <c r="G75" s="89">
        <v>1.1549</v>
      </c>
      <c r="H75" s="90"/>
      <c r="I75" s="73"/>
      <c r="J75" s="92"/>
      <c r="K75" s="93"/>
      <c r="L75" s="75"/>
      <c r="M75" s="76">
        <v>0</v>
      </c>
      <c r="N75" s="94">
        <f t="shared" si="6"/>
        <v>282604.03000000003</v>
      </c>
      <c r="O75" s="95">
        <v>0</v>
      </c>
      <c r="P75" s="79">
        <f t="shared" si="7"/>
        <v>282604.7</v>
      </c>
      <c r="Q75" s="80">
        <f t="shared" si="8"/>
        <v>299561.7</v>
      </c>
      <c r="R75" s="81">
        <f t="shared" si="9"/>
        <v>291082.7</v>
      </c>
      <c r="S75" s="42">
        <f t="shared" si="11"/>
        <v>0.7000000000000004</v>
      </c>
    </row>
    <row r="76" spans="2:21" ht="16.5" customHeight="1" x14ac:dyDescent="0.3">
      <c r="B76" s="64"/>
      <c r="C76" s="86"/>
      <c r="D76" s="86"/>
      <c r="E76" s="64"/>
      <c r="F76" s="65"/>
      <c r="G76" s="71"/>
      <c r="H76" s="90"/>
      <c r="I76" s="91"/>
      <c r="J76" s="92"/>
      <c r="K76" s="93"/>
      <c r="L76" s="75"/>
      <c r="M76" s="76"/>
      <c r="N76" s="94"/>
      <c r="O76" s="95"/>
      <c r="P76" s="79"/>
      <c r="Q76" s="80"/>
      <c r="R76" s="81"/>
      <c r="S76" s="42"/>
    </row>
    <row r="77" spans="2:21" ht="16.5" hidden="1" customHeight="1" x14ac:dyDescent="0.3">
      <c r="B77" s="64"/>
      <c r="C77" s="86"/>
      <c r="D77" s="86"/>
      <c r="E77" s="64"/>
      <c r="F77" s="65"/>
      <c r="G77" s="71"/>
      <c r="H77" s="90"/>
      <c r="I77" s="91"/>
      <c r="J77" s="92"/>
      <c r="K77" s="93"/>
      <c r="L77" s="75"/>
      <c r="M77" s="76"/>
      <c r="N77" s="94"/>
      <c r="O77" s="95"/>
      <c r="P77" s="79"/>
      <c r="Q77" s="80"/>
      <c r="R77" s="81"/>
      <c r="S77" s="42"/>
    </row>
    <row r="78" spans="2:21" ht="22.5" hidden="1" customHeight="1" x14ac:dyDescent="0.3">
      <c r="B78" s="64"/>
      <c r="C78" s="86"/>
      <c r="D78" s="86"/>
      <c r="E78" s="66"/>
      <c r="F78" s="65"/>
      <c r="G78" s="71"/>
      <c r="H78" s="90"/>
      <c r="I78" s="91"/>
      <c r="J78" s="92"/>
      <c r="K78" s="93"/>
      <c r="L78" s="75"/>
      <c r="M78" s="76"/>
      <c r="N78" s="94"/>
      <c r="O78" s="95"/>
      <c r="P78" s="79"/>
      <c r="Q78" s="80"/>
      <c r="R78" s="81"/>
      <c r="S78" s="42"/>
    </row>
    <row r="79" spans="2:21" ht="16.5" hidden="1" customHeight="1" x14ac:dyDescent="0.3">
      <c r="B79" s="97"/>
      <c r="C79" s="134"/>
      <c r="D79" s="87"/>
      <c r="E79" s="64"/>
      <c r="F79" s="65"/>
      <c r="G79" s="71"/>
      <c r="H79" s="90"/>
      <c r="I79" s="91"/>
      <c r="J79" s="92"/>
      <c r="K79" s="93"/>
      <c r="L79" s="75"/>
      <c r="M79" s="76"/>
      <c r="N79" s="94"/>
      <c r="O79" s="95"/>
      <c r="P79" s="79"/>
      <c r="Q79" s="80"/>
      <c r="R79" s="81"/>
      <c r="S79" s="42"/>
    </row>
    <row r="80" spans="2:21" ht="17.100000000000001" customHeight="1" thickBot="1" x14ac:dyDescent="0.35">
      <c r="B80" s="64"/>
      <c r="C80" s="64"/>
      <c r="D80" s="64"/>
      <c r="E80" s="98"/>
      <c r="F80" s="98"/>
      <c r="G80" s="71"/>
      <c r="H80" s="90"/>
      <c r="I80" s="91"/>
      <c r="J80" s="92"/>
      <c r="K80" s="93"/>
      <c r="L80" s="75"/>
      <c r="M80" s="76"/>
      <c r="N80" s="94"/>
      <c r="O80" s="95"/>
      <c r="P80" s="99"/>
      <c r="Q80" s="100"/>
      <c r="R80" s="101"/>
      <c r="S80" s="42"/>
    </row>
    <row r="81" spans="2:18" ht="17.100000000000001" customHeight="1" thickBot="1" x14ac:dyDescent="0.35">
      <c r="B81" s="102"/>
      <c r="C81" s="135"/>
      <c r="D81" s="103"/>
      <c r="E81" s="104"/>
      <c r="F81" s="104"/>
      <c r="G81" s="105">
        <f>SUM(G6:G80)</f>
        <v>99.999999999999957</v>
      </c>
      <c r="H81" s="52">
        <f>SUM(H6:H80)</f>
        <v>0</v>
      </c>
      <c r="I81" s="61">
        <f>SUM(I6:I80)</f>
        <v>0</v>
      </c>
      <c r="J81" s="52">
        <f>SUM(J6:J80)</f>
        <v>0</v>
      </c>
      <c r="K81" s="61">
        <f>SUM(K6:K80)</f>
        <v>0</v>
      </c>
      <c r="L81" s="61"/>
      <c r="M81" s="61">
        <f>SUM(M6:M80)</f>
        <v>0</v>
      </c>
      <c r="N81" s="61">
        <f>SUM(N6:N80)</f>
        <v>24470000.000000015</v>
      </c>
      <c r="O81" s="61">
        <f>SUM(O6:O80)</f>
        <v>18500</v>
      </c>
      <c r="P81" s="106">
        <f>SUM(P6:P80)</f>
        <v>24488521.850000001</v>
      </c>
      <c r="Q81" s="106">
        <f>SUM(Q6:Q80)</f>
        <v>25957851.850000005</v>
      </c>
      <c r="R81" s="106"/>
    </row>
    <row r="82" spans="2:18" ht="12.75" customHeight="1" x14ac:dyDescent="0.3">
      <c r="E82" s="49"/>
      <c r="F82" s="49"/>
    </row>
    <row r="83" spans="2:18" hidden="1" x14ac:dyDescent="0.3"/>
    <row r="84" spans="2:18" ht="9" customHeight="1" x14ac:dyDescent="0.3">
      <c r="E84" s="218" t="str">
        <f>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</row>
    <row r="85" spans="2:18" ht="12" hidden="1" customHeight="1" x14ac:dyDescent="0.3"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</row>
    <row r="86" spans="2:18" ht="12" hidden="1" customHeight="1" x14ac:dyDescent="0.3"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</row>
    <row r="87" spans="2:18" ht="12" hidden="1" customHeight="1" x14ac:dyDescent="0.3"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</row>
    <row r="88" spans="2:18" ht="12" hidden="1" customHeight="1" x14ac:dyDescent="0.3"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</row>
    <row r="89" spans="2:18" ht="67.5" customHeight="1" x14ac:dyDescent="0.3"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</row>
  </sheetData>
  <mergeCells count="20">
    <mergeCell ref="G1:P1"/>
    <mergeCell ref="P2:R2"/>
    <mergeCell ref="A4:A5"/>
    <mergeCell ref="B4:B5"/>
    <mergeCell ref="D4:D5"/>
    <mergeCell ref="E4:E5"/>
    <mergeCell ref="F4:F5"/>
    <mergeCell ref="G4:G5"/>
    <mergeCell ref="H4:H5"/>
    <mergeCell ref="I4:I5"/>
    <mergeCell ref="Q4:Q5"/>
    <mergeCell ref="R4:R5"/>
    <mergeCell ref="E84:P89"/>
    <mergeCell ref="P4:P5"/>
    <mergeCell ref="J4:J5"/>
    <mergeCell ref="K4:K5"/>
    <mergeCell ref="L4:L5"/>
    <mergeCell ref="M4:M5"/>
    <mergeCell ref="N4:N5"/>
    <mergeCell ref="O4:O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RESUMEN</vt:lpstr>
      <vt:lpstr>PRORRATEO</vt:lpstr>
      <vt:lpstr>Hoja1</vt:lpstr>
      <vt:lpstr>PRORRATEO DE PRUEBA  EMERGENCIA</vt:lpstr>
      <vt:lpstr>PRORRATEO!Área_de_impresión</vt:lpstr>
      <vt:lpstr>'PRORRATEO DE PRUEBA  EMERGENCIA'!Área_de_impresión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2025-08-06T15:15:37Z</cp:lastPrinted>
  <dcterms:created xsi:type="dcterms:W3CDTF">2023-09-17T12:29:07Z</dcterms:created>
  <dcterms:modified xsi:type="dcterms:W3CDTF">2025-08-29T12:37:26Z</dcterms:modified>
</cp:coreProperties>
</file>