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526"/>
  <workbookPr defaultThemeVersion="124226"/>
  <mc:AlternateContent xmlns:mc="http://schemas.openxmlformats.org/markup-compatibility/2006">
    <mc:Choice Requires="x15">
      <x15ac:absPath xmlns:x15ac="http://schemas.microsoft.com/office/spreadsheetml/2010/11/ac" url="D:\OneDrive\Desktop\RC CONSORCIO 2025\GORRITI\marzo\"/>
    </mc:Choice>
  </mc:AlternateContent>
  <xr:revisionPtr revIDLastSave="0" documentId="13_ncr:1_{D9D59853-4B4A-46E4-AC6C-15E8EA504C5A}" xr6:coauthVersionLast="47" xr6:coauthVersionMax="47" xr10:uidLastSave="{00000000-0000-0000-0000-000000000000}"/>
  <bookViews>
    <workbookView xWindow="-120" yWindow="-120" windowWidth="20730" windowHeight="11160" tabRatio="850" xr2:uid="{00000000-000D-0000-FFFF-FFFF00000000}"/>
  </bookViews>
  <sheets>
    <sheet name="RESUMEN" sheetId="1" r:id="rId1"/>
    <sheet name="PRORRATEO" sheetId="2" r:id="rId2"/>
  </sheets>
  <definedNames>
    <definedName name="_xlnm.Print_Area" localSheetId="1">PRORRATEO!$A$1:$R$90</definedName>
    <definedName name="_xlnm.Print_Area" localSheetId="0">RESUMEN!$A$1:$E$133</definedName>
  </definedNames>
  <calcPr calcId="181029"/>
</workbook>
</file>

<file path=xl/calcChain.xml><?xml version="1.0" encoding="utf-8"?>
<calcChain xmlns="http://schemas.openxmlformats.org/spreadsheetml/2006/main">
  <c r="I19" i="2" l="1"/>
  <c r="I75" i="2"/>
  <c r="D75" i="1"/>
  <c r="I23" i="2"/>
  <c r="I71" i="2"/>
  <c r="I17" i="2" l="1"/>
  <c r="I46" i="2"/>
  <c r="I43" i="2"/>
  <c r="I40" i="2"/>
  <c r="I6" i="2"/>
  <c r="I65" i="2"/>
  <c r="I36" i="2"/>
  <c r="I63" i="2"/>
  <c r="I24" i="2"/>
  <c r="I66" i="2"/>
  <c r="I50" i="2"/>
  <c r="E73" i="1"/>
  <c r="D58" i="1"/>
  <c r="E64" i="1" s="1"/>
  <c r="E41" i="1"/>
  <c r="I62" i="2" l="1"/>
  <c r="I74" i="2"/>
  <c r="I64" i="2"/>
  <c r="I38" i="2"/>
  <c r="I31" i="2"/>
  <c r="I30" i="2"/>
  <c r="I22" i="2"/>
  <c r="I12" i="2"/>
  <c r="I18" i="2"/>
  <c r="I39" i="2"/>
  <c r="I21" i="2"/>
  <c r="I55" i="2"/>
  <c r="K36" i="2"/>
  <c r="I54" i="2"/>
  <c r="I29" i="2"/>
  <c r="I34" i="2"/>
  <c r="I53" i="2"/>
  <c r="I11" i="2"/>
  <c r="I49" i="2"/>
  <c r="I32" i="2"/>
  <c r="I28" i="2"/>
  <c r="I52" i="2"/>
  <c r="I70" i="2"/>
  <c r="I42" i="2"/>
  <c r="I58" i="2"/>
  <c r="I69" i="2" l="1"/>
  <c r="I59" i="2"/>
  <c r="I48" i="2"/>
  <c r="I13" i="2"/>
  <c r="I7" i="2"/>
  <c r="I41" i="2" l="1"/>
  <c r="E84" i="2" l="1"/>
  <c r="E50" i="1"/>
  <c r="E51" i="1" s="1"/>
  <c r="E55" i="1"/>
  <c r="E56" i="1" s="1"/>
  <c r="E57" i="1" s="1"/>
  <c r="K17" i="2" l="1"/>
  <c r="I47" i="2" l="1"/>
  <c r="I73" i="2"/>
  <c r="D7" i="2"/>
  <c r="D8" i="2" s="1"/>
  <c r="D9" i="2" s="1"/>
  <c r="D10" i="2" s="1"/>
  <c r="D11" i="2" s="1"/>
  <c r="D12" i="2" s="1"/>
  <c r="D13" i="2" s="1"/>
  <c r="D14" i="2" s="1"/>
  <c r="D15" i="2" s="1"/>
  <c r="D16" i="2" s="1"/>
  <c r="D17" i="2" s="1"/>
  <c r="D18" i="2" s="1"/>
  <c r="D19" i="2" s="1"/>
  <c r="D20" i="2" s="1"/>
  <c r="D21" i="2" s="1"/>
  <c r="D22" i="2" s="1"/>
  <c r="D23" i="2" s="1"/>
  <c r="D24" i="2" s="1"/>
  <c r="D25" i="2" s="1"/>
  <c r="D26" i="2" s="1"/>
  <c r="D27" i="2" s="1"/>
  <c r="D28" i="2" s="1"/>
  <c r="D29" i="2" s="1"/>
  <c r="D30" i="2" s="1"/>
  <c r="D31" i="2" s="1"/>
  <c r="D32" i="2" s="1"/>
  <c r="D33" i="2" s="1"/>
  <c r="D34" i="2" s="1"/>
  <c r="D35" i="2" s="1"/>
  <c r="D36" i="2" s="1"/>
  <c r="D37" i="2" s="1"/>
  <c r="D38" i="2" s="1"/>
  <c r="D39" i="2" s="1"/>
  <c r="D40" i="2" s="1"/>
  <c r="D41" i="2" s="1"/>
  <c r="D42" i="2" s="1"/>
  <c r="D43" i="2" s="1"/>
  <c r="D44" i="2" s="1"/>
  <c r="D45" i="2" s="1"/>
  <c r="D46" i="2" s="1"/>
  <c r="D47" i="2" s="1"/>
  <c r="D48" i="2" s="1"/>
  <c r="D49" i="2" s="1"/>
  <c r="D50" i="2" s="1"/>
  <c r="D51" i="2" s="1"/>
  <c r="D52" i="2" s="1"/>
  <c r="D53" i="2" s="1"/>
  <c r="D54" i="2" s="1"/>
  <c r="D55" i="2" s="1"/>
  <c r="D56" i="2" s="1"/>
  <c r="D57" i="2" s="1"/>
  <c r="D58" i="2" s="1"/>
  <c r="D59" i="2" s="1"/>
  <c r="D60" i="2" s="1"/>
  <c r="D61" i="2" s="1"/>
  <c r="D62" i="2" s="1"/>
  <c r="D63" i="2" s="1"/>
  <c r="D64" i="2" s="1"/>
  <c r="D65" i="2" s="1"/>
  <c r="D66" i="2" s="1"/>
  <c r="D67" i="2" s="1"/>
  <c r="D68" i="2" s="1"/>
  <c r="D69" i="2" s="1"/>
  <c r="D70" i="2" s="1"/>
  <c r="D71" i="2" s="1"/>
  <c r="D72" i="2" s="1"/>
  <c r="D73" i="2" s="1"/>
  <c r="D74" i="2" s="1"/>
  <c r="D75" i="2" s="1"/>
  <c r="E89" i="1" l="1"/>
  <c r="E94" i="1" s="1"/>
  <c r="B98" i="1" s="1"/>
  <c r="B114" i="1" l="1"/>
  <c r="B121" i="1"/>
  <c r="B132" i="1"/>
  <c r="B110" i="1" s="1"/>
  <c r="K47" i="2" l="1"/>
  <c r="E42" i="1" l="1"/>
  <c r="K20" i="2" l="1"/>
  <c r="D37" i="1" l="1"/>
  <c r="P5" i="2" l="1"/>
  <c r="D28" i="1" l="1"/>
  <c r="G28" i="1" s="1"/>
  <c r="E38" i="1" l="1"/>
  <c r="S7" i="2" l="1"/>
  <c r="S8" i="2" s="1"/>
  <c r="S9" i="2" s="1"/>
  <c r="S10" i="2" s="1"/>
  <c r="S11" i="2" s="1"/>
  <c r="S12" i="2" s="1"/>
  <c r="S13" i="2" s="1"/>
  <c r="S14" i="2" s="1"/>
  <c r="S15" i="2" s="1"/>
  <c r="S16" i="2" s="1"/>
  <c r="S17" i="2" s="1"/>
  <c r="S18" i="2" s="1"/>
  <c r="S19" i="2" s="1"/>
  <c r="S20" i="2" s="1"/>
  <c r="S21" i="2" s="1"/>
  <c r="S22" i="2" s="1"/>
  <c r="S23" i="2" s="1"/>
  <c r="S24" i="2" s="1"/>
  <c r="S25" i="2" s="1"/>
  <c r="S26" i="2" s="1"/>
  <c r="S27" i="2" s="1"/>
  <c r="S28" i="2" s="1"/>
  <c r="S29" i="2" s="1"/>
  <c r="S30" i="2" s="1"/>
  <c r="S31" i="2" s="1"/>
  <c r="S32" i="2" s="1"/>
  <c r="S33" i="2" s="1"/>
  <c r="S34" i="2" s="1"/>
  <c r="S35" i="2" s="1"/>
  <c r="S36" i="2" s="1"/>
  <c r="S37" i="2" s="1"/>
  <c r="S38" i="2" s="1"/>
  <c r="S39" i="2" s="1"/>
  <c r="S40" i="2" s="1"/>
  <c r="S41" i="2" s="1"/>
  <c r="S42" i="2" s="1"/>
  <c r="S43" i="2" s="1"/>
  <c r="S44" i="2" s="1"/>
  <c r="S45" i="2" s="1"/>
  <c r="S46" i="2" s="1"/>
  <c r="S47" i="2" s="1"/>
  <c r="S48" i="2" s="1"/>
  <c r="S49" i="2" s="1"/>
  <c r="S50" i="2" s="1"/>
  <c r="S51" i="2" s="1"/>
  <c r="S52" i="2" s="1"/>
  <c r="S53" i="2" s="1"/>
  <c r="S54" i="2" s="1"/>
  <c r="S55" i="2" s="1"/>
  <c r="S56" i="2" s="1"/>
  <c r="S57" i="2" s="1"/>
  <c r="S58" i="2" s="1"/>
  <c r="S59" i="2" s="1"/>
  <c r="S60" i="2" s="1"/>
  <c r="S61" i="2" s="1"/>
  <c r="S62" i="2" s="1"/>
  <c r="S63" i="2" s="1"/>
  <c r="S64" i="2" s="1"/>
  <c r="S65" i="2" s="1"/>
  <c r="S66" i="2" s="1"/>
  <c r="S67" i="2" s="1"/>
  <c r="S68" i="2" s="1"/>
  <c r="S69" i="2" s="1"/>
  <c r="S70" i="2" s="1"/>
  <c r="S71" i="2" s="1"/>
  <c r="S72" i="2" s="1"/>
  <c r="S73" i="2" s="1"/>
  <c r="S74" i="2" s="1"/>
  <c r="S75" i="2" s="1"/>
  <c r="E52" i="1" l="1"/>
  <c r="E46" i="1"/>
  <c r="I81" i="2" l="1"/>
  <c r="E2" i="2"/>
  <c r="J81" i="2"/>
  <c r="G81" i="2"/>
  <c r="H81" i="2"/>
  <c r="N74" i="2"/>
  <c r="N75" i="2"/>
  <c r="K74" i="2"/>
  <c r="K75" i="2"/>
  <c r="N42" i="2"/>
  <c r="N43" i="2"/>
  <c r="N44" i="2"/>
  <c r="N45" i="2"/>
  <c r="N46" i="2"/>
  <c r="N47" i="2"/>
  <c r="N48" i="2"/>
  <c r="N49" i="2"/>
  <c r="N50" i="2"/>
  <c r="N51" i="2"/>
  <c r="N52" i="2"/>
  <c r="N53" i="2"/>
  <c r="N54" i="2"/>
  <c r="N55" i="2"/>
  <c r="N56" i="2"/>
  <c r="N57" i="2"/>
  <c r="N58" i="2"/>
  <c r="N59" i="2"/>
  <c r="N60" i="2"/>
  <c r="N61" i="2"/>
  <c r="N62" i="2"/>
  <c r="N63" i="2"/>
  <c r="N64" i="2"/>
  <c r="N65" i="2"/>
  <c r="N66" i="2"/>
  <c r="N67" i="2"/>
  <c r="N68" i="2"/>
  <c r="N69" i="2"/>
  <c r="N70" i="2"/>
  <c r="N71" i="2"/>
  <c r="N72" i="2"/>
  <c r="N73" i="2"/>
  <c r="K42" i="2"/>
  <c r="K43" i="2"/>
  <c r="K44" i="2"/>
  <c r="K45" i="2"/>
  <c r="K46" i="2"/>
  <c r="K48" i="2"/>
  <c r="K49" i="2"/>
  <c r="K50" i="2"/>
  <c r="K51" i="2"/>
  <c r="K52" i="2"/>
  <c r="K53" i="2"/>
  <c r="K54" i="2"/>
  <c r="K55" i="2"/>
  <c r="K56" i="2"/>
  <c r="K57" i="2"/>
  <c r="K58" i="2"/>
  <c r="K59" i="2"/>
  <c r="K60" i="2"/>
  <c r="K61" i="2"/>
  <c r="K62" i="2"/>
  <c r="K63" i="2"/>
  <c r="K64" i="2"/>
  <c r="K65" i="2"/>
  <c r="K66" i="2"/>
  <c r="K67" i="2"/>
  <c r="K68" i="2"/>
  <c r="K69" i="2"/>
  <c r="K70" i="2"/>
  <c r="K71" i="2"/>
  <c r="K72" i="2"/>
  <c r="K73" i="2"/>
  <c r="B108" i="1" l="1"/>
  <c r="B123" i="1"/>
  <c r="L47" i="2"/>
  <c r="P47" i="2" s="1"/>
  <c r="L70" i="2"/>
  <c r="P70" i="2" s="1"/>
  <c r="L66" i="2"/>
  <c r="P66" i="2" s="1"/>
  <c r="L58" i="2"/>
  <c r="P58" i="2" s="1"/>
  <c r="L50" i="2"/>
  <c r="P50" i="2" s="1"/>
  <c r="L42" i="2"/>
  <c r="P42" i="2" s="1"/>
  <c r="L74" i="2"/>
  <c r="P74" i="2" s="1"/>
  <c r="L75" i="2"/>
  <c r="P75" i="2" s="1"/>
  <c r="L68" i="2"/>
  <c r="P68" i="2" s="1"/>
  <c r="L60" i="2"/>
  <c r="P60" i="2" s="1"/>
  <c r="L52" i="2"/>
  <c r="P52" i="2" s="1"/>
  <c r="L44" i="2"/>
  <c r="P44" i="2" s="1"/>
  <c r="L63" i="2"/>
  <c r="P63" i="2" s="1"/>
  <c r="L55" i="2"/>
  <c r="P55" i="2" s="1"/>
  <c r="L62" i="2"/>
  <c r="P62" i="2" s="1"/>
  <c r="L54" i="2"/>
  <c r="P54" i="2" s="1"/>
  <c r="L46" i="2"/>
  <c r="P46" i="2" s="1"/>
  <c r="L72" i="2"/>
  <c r="P72" i="2" s="1"/>
  <c r="L64" i="2"/>
  <c r="P64" i="2" s="1"/>
  <c r="L56" i="2"/>
  <c r="P56" i="2" s="1"/>
  <c r="L48" i="2"/>
  <c r="P48" i="2" s="1"/>
  <c r="L71" i="2"/>
  <c r="P71" i="2" s="1"/>
  <c r="L73" i="2"/>
  <c r="P73" i="2" s="1"/>
  <c r="L69" i="2"/>
  <c r="P69" i="2" s="1"/>
  <c r="L65" i="2"/>
  <c r="P65" i="2" s="1"/>
  <c r="L61" i="2"/>
  <c r="P61" i="2" s="1"/>
  <c r="L57" i="2"/>
  <c r="P57" i="2" s="1"/>
  <c r="L53" i="2"/>
  <c r="P53" i="2" s="1"/>
  <c r="L49" i="2"/>
  <c r="P49" i="2" s="1"/>
  <c r="L45" i="2"/>
  <c r="P45" i="2" s="1"/>
  <c r="L67" i="2"/>
  <c r="P67" i="2" s="1"/>
  <c r="L59" i="2"/>
  <c r="P59" i="2" s="1"/>
  <c r="L51" i="2"/>
  <c r="P51" i="2" s="1"/>
  <c r="L43" i="2"/>
  <c r="P43" i="2" s="1"/>
  <c r="K7" i="2"/>
  <c r="K8" i="2"/>
  <c r="K9" i="2"/>
  <c r="K10" i="2"/>
  <c r="K11" i="2"/>
  <c r="K12" i="2"/>
  <c r="K13" i="2"/>
  <c r="K14" i="2"/>
  <c r="K15" i="2"/>
  <c r="K16" i="2"/>
  <c r="K18" i="2"/>
  <c r="K19" i="2"/>
  <c r="K21" i="2"/>
  <c r="K22" i="2"/>
  <c r="K23" i="2"/>
  <c r="K24" i="2"/>
  <c r="K25" i="2"/>
  <c r="K26" i="2"/>
  <c r="K27" i="2"/>
  <c r="K28" i="2"/>
  <c r="K29" i="2"/>
  <c r="K30" i="2"/>
  <c r="K31" i="2"/>
  <c r="K32" i="2"/>
  <c r="K33" i="2"/>
  <c r="K34" i="2"/>
  <c r="K35" i="2"/>
  <c r="K37" i="2"/>
  <c r="K38" i="2"/>
  <c r="K39" i="2"/>
  <c r="K40" i="2"/>
  <c r="K41" i="2"/>
  <c r="K6" i="2"/>
  <c r="R49" i="2" l="1"/>
  <c r="R73" i="2"/>
  <c r="R43" i="2"/>
  <c r="R45" i="2"/>
  <c r="R61" i="2"/>
  <c r="R71" i="2"/>
  <c r="R72" i="2"/>
  <c r="R55" i="2"/>
  <c r="R60" i="2"/>
  <c r="R66" i="2"/>
  <c r="R65" i="2"/>
  <c r="R48" i="2"/>
  <c r="R46" i="2"/>
  <c r="R63" i="2"/>
  <c r="R68" i="2"/>
  <c r="R42" i="2"/>
  <c r="R70" i="2"/>
  <c r="R51" i="2"/>
  <c r="R59" i="2"/>
  <c r="R53" i="2"/>
  <c r="R69" i="2"/>
  <c r="R56" i="2"/>
  <c r="R54" i="2"/>
  <c r="R44" i="2"/>
  <c r="R75" i="2"/>
  <c r="R50" i="2"/>
  <c r="R47" i="2"/>
  <c r="R67" i="2"/>
  <c r="R57" i="2"/>
  <c r="R64" i="2"/>
  <c r="R62" i="2"/>
  <c r="R52" i="2"/>
  <c r="R74" i="2"/>
  <c r="R58" i="2"/>
  <c r="B99" i="1"/>
  <c r="K81" i="2"/>
  <c r="Q67" i="2"/>
  <c r="Q57" i="2"/>
  <c r="Q73" i="2"/>
  <c r="Q64" i="2"/>
  <c r="Q62" i="2"/>
  <c r="Q52" i="2"/>
  <c r="Q74" i="2"/>
  <c r="Q43" i="2"/>
  <c r="Q45" i="2"/>
  <c r="Q61" i="2"/>
  <c r="Q71" i="2"/>
  <c r="Q72" i="2"/>
  <c r="Q55" i="2"/>
  <c r="Q60" i="2"/>
  <c r="Q51" i="2"/>
  <c r="Q48" i="2"/>
  <c r="Q46" i="2"/>
  <c r="Q63" i="2"/>
  <c r="Q68" i="2"/>
  <c r="Q58" i="2"/>
  <c r="Q47" i="2"/>
  <c r="Q59" i="2"/>
  <c r="Q56" i="2"/>
  <c r="Q54" i="2"/>
  <c r="Q44" i="2"/>
  <c r="Q75" i="2"/>
  <c r="Q66" i="2"/>
  <c r="Q53" i="2"/>
  <c r="L36" i="2"/>
  <c r="Q49" i="2"/>
  <c r="Q65" i="2"/>
  <c r="Q50" i="2"/>
  <c r="Q70" i="2"/>
  <c r="Q42" i="2"/>
  <c r="Q69" i="2"/>
  <c r="L37" i="2"/>
  <c r="L40" i="2"/>
  <c r="L41" i="2"/>
  <c r="L39" i="2"/>
  <c r="L38" i="2"/>
  <c r="L23" i="2"/>
  <c r="L11" i="2"/>
  <c r="L34" i="2"/>
  <c r="L30" i="2"/>
  <c r="L26" i="2"/>
  <c r="L22" i="2"/>
  <c r="L18" i="2"/>
  <c r="L14" i="2"/>
  <c r="L10" i="2"/>
  <c r="L27" i="2"/>
  <c r="L19" i="2"/>
  <c r="L7" i="2"/>
  <c r="L33" i="2"/>
  <c r="L29" i="2"/>
  <c r="L25" i="2"/>
  <c r="L21" i="2"/>
  <c r="L17" i="2"/>
  <c r="L13" i="2"/>
  <c r="L9" i="2"/>
  <c r="L35" i="2"/>
  <c r="L15" i="2"/>
  <c r="L32" i="2"/>
  <c r="L28" i="2"/>
  <c r="L24" i="2"/>
  <c r="L20" i="2"/>
  <c r="L16" i="2"/>
  <c r="L12" i="2"/>
  <c r="L8" i="2"/>
  <c r="L31" i="2"/>
  <c r="L6" i="2"/>
  <c r="M81" i="2"/>
  <c r="L81" i="2" l="1"/>
  <c r="A50" i="1"/>
  <c r="A51" i="1" s="1"/>
  <c r="E77" i="1" l="1"/>
  <c r="E81" i="1" s="1"/>
  <c r="N7" i="2" l="1"/>
  <c r="P7" i="2" s="1"/>
  <c r="N8" i="2"/>
  <c r="P8" i="2" s="1"/>
  <c r="N9" i="2"/>
  <c r="P9" i="2" s="1"/>
  <c r="N10" i="2"/>
  <c r="P10" i="2" s="1"/>
  <c r="N11" i="2"/>
  <c r="P11" i="2" s="1"/>
  <c r="N12" i="2"/>
  <c r="P12" i="2" s="1"/>
  <c r="N13" i="2"/>
  <c r="P13" i="2" s="1"/>
  <c r="N14" i="2"/>
  <c r="P14" i="2" s="1"/>
  <c r="N15" i="2"/>
  <c r="P15" i="2" s="1"/>
  <c r="N16" i="2"/>
  <c r="P16" i="2" s="1"/>
  <c r="N17" i="2"/>
  <c r="P17" i="2" s="1"/>
  <c r="N18" i="2"/>
  <c r="P18" i="2" s="1"/>
  <c r="N19" i="2"/>
  <c r="P19" i="2" s="1"/>
  <c r="N20" i="2"/>
  <c r="P20" i="2" s="1"/>
  <c r="N21" i="2"/>
  <c r="P21" i="2" s="1"/>
  <c r="N22" i="2"/>
  <c r="P22" i="2" s="1"/>
  <c r="N23" i="2"/>
  <c r="P23" i="2" s="1"/>
  <c r="N24" i="2"/>
  <c r="P24" i="2" s="1"/>
  <c r="N25" i="2"/>
  <c r="P25" i="2" s="1"/>
  <c r="N26" i="2"/>
  <c r="P26" i="2" s="1"/>
  <c r="N27" i="2"/>
  <c r="P27" i="2" s="1"/>
  <c r="N28" i="2"/>
  <c r="P28" i="2" s="1"/>
  <c r="N29" i="2"/>
  <c r="P29" i="2" s="1"/>
  <c r="N30" i="2"/>
  <c r="P30" i="2" s="1"/>
  <c r="N31" i="2"/>
  <c r="P31" i="2" s="1"/>
  <c r="N32" i="2"/>
  <c r="P32" i="2" s="1"/>
  <c r="N33" i="2"/>
  <c r="N34" i="2"/>
  <c r="P34" i="2" s="1"/>
  <c r="N35" i="2"/>
  <c r="P35" i="2" s="1"/>
  <c r="N36" i="2"/>
  <c r="P36" i="2" s="1"/>
  <c r="N37" i="2"/>
  <c r="P37" i="2" s="1"/>
  <c r="N38" i="2"/>
  <c r="P38" i="2" s="1"/>
  <c r="N39" i="2"/>
  <c r="P39" i="2" s="1"/>
  <c r="N40" i="2"/>
  <c r="P40" i="2" s="1"/>
  <c r="N41" i="2"/>
  <c r="P41" i="2" s="1"/>
  <c r="N6" i="2"/>
  <c r="P6" i="2" s="1"/>
  <c r="R41" i="2" l="1"/>
  <c r="R39" i="2"/>
  <c r="R35" i="2"/>
  <c r="R31" i="2"/>
  <c r="R27" i="2"/>
  <c r="R23" i="2"/>
  <c r="R19" i="2"/>
  <c r="R15" i="2"/>
  <c r="R11" i="2"/>
  <c r="R7" i="2"/>
  <c r="R6" i="2"/>
  <c r="R38" i="2"/>
  <c r="R34" i="2"/>
  <c r="R30" i="2"/>
  <c r="R26" i="2"/>
  <c r="R22" i="2"/>
  <c r="R18" i="2"/>
  <c r="R14" i="2"/>
  <c r="R10" i="2"/>
  <c r="R37" i="2"/>
  <c r="R29" i="2"/>
  <c r="R25" i="2"/>
  <c r="R21" i="2"/>
  <c r="R17" i="2"/>
  <c r="R13" i="2"/>
  <c r="R9" i="2"/>
  <c r="R40" i="2"/>
  <c r="R32" i="2"/>
  <c r="R28" i="2"/>
  <c r="R24" i="2"/>
  <c r="R20" i="2"/>
  <c r="R16" i="2"/>
  <c r="R12" i="2"/>
  <c r="R8" i="2"/>
  <c r="Q36" i="2"/>
  <c r="R36" i="2"/>
  <c r="Q38" i="2"/>
  <c r="Q26" i="2"/>
  <c r="Q14" i="2"/>
  <c r="Q37" i="2"/>
  <c r="Q29" i="2"/>
  <c r="Q25" i="2"/>
  <c r="Q21" i="2"/>
  <c r="Q17" i="2"/>
  <c r="Q13" i="2"/>
  <c r="Q9" i="2"/>
  <c r="Q6" i="2"/>
  <c r="Q30" i="2"/>
  <c r="Q18" i="2"/>
  <c r="Q41" i="2"/>
  <c r="Q32" i="2"/>
  <c r="Q28" i="2"/>
  <c r="Q24" i="2"/>
  <c r="Q20" i="2"/>
  <c r="Q16" i="2"/>
  <c r="Q12" i="2"/>
  <c r="Q8" i="2"/>
  <c r="Q34" i="2"/>
  <c r="Q22" i="2"/>
  <c r="Q10" i="2"/>
  <c r="Q40" i="2"/>
  <c r="Q39" i="2"/>
  <c r="Q35" i="2"/>
  <c r="Q31" i="2"/>
  <c r="Q27" i="2"/>
  <c r="Q23" i="2"/>
  <c r="Q19" i="2"/>
  <c r="Q15" i="2"/>
  <c r="Q11" i="2"/>
  <c r="Q7" i="2"/>
  <c r="N81" i="2"/>
  <c r="B97" i="1" l="1"/>
  <c r="B120" i="1" s="1"/>
  <c r="B125" i="1" s="1"/>
  <c r="B113" i="1" l="1"/>
  <c r="B115" i="1" s="1"/>
  <c r="B96" i="1"/>
  <c r="O81" i="2" l="1"/>
  <c r="P33" i="2"/>
  <c r="P81" i="2" s="1"/>
  <c r="Q33" i="2" l="1"/>
  <c r="Q81" i="2" s="1"/>
  <c r="R33" i="2"/>
  <c r="R81" i="2" s="1"/>
</calcChain>
</file>

<file path=xl/sharedStrings.xml><?xml version="1.0" encoding="utf-8"?>
<sst xmlns="http://schemas.openxmlformats.org/spreadsheetml/2006/main" count="330" uniqueCount="232">
  <si>
    <t>LIQUIDACION DE EXPENSAS</t>
  </si>
  <si>
    <t>TOTAL SUELDO</t>
  </si>
  <si>
    <t>TOTAL IMPUESTO</t>
  </si>
  <si>
    <t>TOTAL Aportes y Contribuciones - Sindicato</t>
  </si>
  <si>
    <t>TOTAL ABONOS Y SERVICIOS</t>
  </si>
  <si>
    <t>Piso</t>
  </si>
  <si>
    <t>Dpto.</t>
  </si>
  <si>
    <t>UF</t>
  </si>
  <si>
    <t>Propietario</t>
  </si>
  <si>
    <t xml:space="preserve">Ingreso </t>
  </si>
  <si>
    <t>Expensas extraor.</t>
  </si>
  <si>
    <t>TOTAL</t>
  </si>
  <si>
    <t>PB</t>
  </si>
  <si>
    <t>3º</t>
  </si>
  <si>
    <t>4º</t>
  </si>
  <si>
    <t>5º</t>
  </si>
  <si>
    <t>6º</t>
  </si>
  <si>
    <t>7º</t>
  </si>
  <si>
    <t>8º</t>
  </si>
  <si>
    <t>9º</t>
  </si>
  <si>
    <t>10º</t>
  </si>
  <si>
    <t>11º</t>
  </si>
  <si>
    <t>12º</t>
  </si>
  <si>
    <t>13º</t>
  </si>
  <si>
    <t>14º</t>
  </si>
  <si>
    <t>15º</t>
  </si>
  <si>
    <t>GASTOS ORDINARIOS UNIDADES FUNCIONALES:</t>
  </si>
  <si>
    <t>COC</t>
  </si>
  <si>
    <t xml:space="preserve"> (%)</t>
  </si>
  <si>
    <t>GASTOS BANCARIOS</t>
  </si>
  <si>
    <t xml:space="preserve">TOTAL ORDINARIOS </t>
  </si>
  <si>
    <t>GASTOS ORDINARIOS + PREVISION :</t>
  </si>
  <si>
    <t>GASTOS ORDINARIOS SIN PREVISION:</t>
  </si>
  <si>
    <t xml:space="preserve">TOTAL </t>
  </si>
  <si>
    <t>APORTES Y CONTRIBUCIONES</t>
  </si>
  <si>
    <t>GASTOS GENERALES / MANTENIMIENTO</t>
  </si>
  <si>
    <t>ABONOS Y SERVICIOS</t>
  </si>
  <si>
    <t>Seracarh</t>
  </si>
  <si>
    <t>Fatheryh</t>
  </si>
  <si>
    <t>HONORARIOS</t>
  </si>
  <si>
    <t>PREVISION EXTRAORDINARIA</t>
  </si>
  <si>
    <t xml:space="preserve">TOTAL EXTRAORDINARIOS </t>
  </si>
  <si>
    <t>GASTOS EXTRAORDINARIOS SIN PREVISION:</t>
  </si>
  <si>
    <t>Egresos Ordinarios</t>
  </si>
  <si>
    <t>Egresos Extraordinarios</t>
  </si>
  <si>
    <t>Total 2do Vto.</t>
  </si>
  <si>
    <t>Expensas ord.</t>
  </si>
  <si>
    <t>TELEFONO: 11 5320-2676</t>
  </si>
  <si>
    <t>Inquilinos</t>
  </si>
  <si>
    <t>Pago por</t>
  </si>
  <si>
    <t>CUIT ADMINISTRACION: 27231256879</t>
  </si>
  <si>
    <t>HORARIOS DE ATENCION: LUNES A VIERNES</t>
  </si>
  <si>
    <t>10 A 16HS - EMERGENCIAS 24HS</t>
  </si>
  <si>
    <t>Deuda o Saldo a favor</t>
  </si>
  <si>
    <t xml:space="preserve">SEGUROS </t>
  </si>
  <si>
    <t>DEPOSITOS NO IDENTIFICADOS</t>
  </si>
  <si>
    <t>RESUMEN</t>
  </si>
  <si>
    <t>HABERES ENCARGADOS</t>
  </si>
  <si>
    <t xml:space="preserve">Retenciones </t>
  </si>
  <si>
    <t>Neto</t>
  </si>
  <si>
    <t>Retenciones</t>
  </si>
  <si>
    <t>Total 2do Vto</t>
  </si>
  <si>
    <t>Total 1er Vto</t>
  </si>
  <si>
    <t>Gastos part.</t>
  </si>
  <si>
    <t>ADMINISTRADORA: CAROLINA CANCIANI MP:1148</t>
  </si>
  <si>
    <t>Retenciones SAC</t>
  </si>
  <si>
    <t>SAC</t>
  </si>
  <si>
    <t>GASTOS EXTRAORDINARIOS CON PREVISION:</t>
  </si>
  <si>
    <t>Suther</t>
  </si>
  <si>
    <t xml:space="preserve">Deposito sin identificar </t>
  </si>
  <si>
    <t>ESTIMADOS PROPIETARIOS E INQUILINOS: POR FAVOR LOS QUE ABONAN EN PRIMER VENCIMIENTO ABONEN EL MONTO DE PRIMER VENCIMIENTO, ASI AGILIZAN LA LIQUIDACION, RESPETEN LOS CENTAVOS CORRESPONDIENTES A LA UNIDAD FUNCIONAL. ES DE CARÁCTER OBLIGATORIO INFORMAR VIA MAIL LAS EXPENSAS. CASO CONTRARIO SE INFORMARA VIA CARTA DOCUMENTO A LA UNIDAD FUNCIONAL QUE CREEMOS QUE CORRESPONDE, CUYO COSTO SERA IMPUTADO A LA UNIDAD FUNCIONAL SOSPECHADA.</t>
  </si>
  <si>
    <t>CUIT DEL EDIFICIO: 30583957819</t>
  </si>
  <si>
    <t>CONSORCIO DE PROPIETARIOS DEL EDIFICIO CALLE GORRITI 368</t>
  </si>
  <si>
    <t>GEFFNER SILVIA E.</t>
  </si>
  <si>
    <t>COVILOZA S. A.</t>
  </si>
  <si>
    <t>ASIST Y TRAB.</t>
  </si>
  <si>
    <t>CANDEL JORGE ISAAC</t>
  </si>
  <si>
    <t>BORTZ SERGIO</t>
  </si>
  <si>
    <t>KIM SOON LEO</t>
  </si>
  <si>
    <t>FRAGA DORA</t>
  </si>
  <si>
    <t>SARUBBI MARTIN</t>
  </si>
  <si>
    <t>LACENTRE</t>
  </si>
  <si>
    <t>VERONES JOSE MARIA</t>
  </si>
  <si>
    <t>SRUGO CARLOS</t>
  </si>
  <si>
    <t>DINOTO</t>
  </si>
  <si>
    <t>COUSO MARIA CRISTINA</t>
  </si>
  <si>
    <t>POSSENTI JUAN JOSE</t>
  </si>
  <si>
    <t>VANNI KARINA</t>
  </si>
  <si>
    <t>BLANCO</t>
  </si>
  <si>
    <t>GALANTE CELIA</t>
  </si>
  <si>
    <t>CANDEL E. MARCELO</t>
  </si>
  <si>
    <t>GUTMAN MARIO</t>
  </si>
  <si>
    <t>PRATOLONGO EDUARDO</t>
  </si>
  <si>
    <t>CARTABBIA MARIO</t>
  </si>
  <si>
    <t>BRATTOLI</t>
  </si>
  <si>
    <t>SAIN GUILLERMO</t>
  </si>
  <si>
    <t>CANDEL RAÚL F.</t>
  </si>
  <si>
    <t>AZCARATE DIEGO</t>
  </si>
  <si>
    <t>STELLISANO VICTORIA</t>
  </si>
  <si>
    <t>GEFFNER JORGE RAÚL</t>
  </si>
  <si>
    <t>REY ALICIA</t>
  </si>
  <si>
    <t>DE SERIO BOFFA</t>
  </si>
  <si>
    <t>ALVAREZ EDUARDO</t>
  </si>
  <si>
    <t>VENTIMIGLIA SILVANA</t>
  </si>
  <si>
    <t>RIVA MÓNICA</t>
  </si>
  <si>
    <t>LORUSSO DORA</t>
  </si>
  <si>
    <t>FERÁNDEZ HÉCTOR</t>
  </si>
  <si>
    <t>KARGODORIAN SILVIA</t>
  </si>
  <si>
    <t>ALVAREZ</t>
  </si>
  <si>
    <t>DE BIAGGIO PABLO</t>
  </si>
  <si>
    <t>LOC</t>
  </si>
  <si>
    <t>A</t>
  </si>
  <si>
    <t>B</t>
  </si>
  <si>
    <t>C</t>
  </si>
  <si>
    <t>D</t>
  </si>
  <si>
    <t>E</t>
  </si>
  <si>
    <t>CBU: 0290034600000502294350</t>
  </si>
  <si>
    <t>Interes 3%</t>
  </si>
  <si>
    <t>MAIL: consorciogorriti368@gmail.com</t>
  </si>
  <si>
    <t>BENMAOR D.</t>
  </si>
  <si>
    <t>Cristian Requelme</t>
  </si>
  <si>
    <t>GALANTERNIK A</t>
  </si>
  <si>
    <t xml:space="preserve"> Miriam Larken</t>
  </si>
  <si>
    <t>CANDEL MARCELO</t>
  </si>
  <si>
    <t>TRIPODI</t>
  </si>
  <si>
    <t>Mariela Pricolo</t>
  </si>
  <si>
    <t xml:space="preserve">Susana </t>
  </si>
  <si>
    <t>MIRANDA DE GIL</t>
  </si>
  <si>
    <t>BORTZ ESTHER</t>
  </si>
  <si>
    <t>Daniel</t>
  </si>
  <si>
    <t>CARRIZO RAÚL</t>
  </si>
  <si>
    <t>Noelia Villarino</t>
  </si>
  <si>
    <t>Carla</t>
  </si>
  <si>
    <t>Romina Navarro</t>
  </si>
  <si>
    <t>LEGUIZAMON PABLO</t>
  </si>
  <si>
    <t>DAVICCA MIGUEL</t>
  </si>
  <si>
    <t>Marcos</t>
  </si>
  <si>
    <t>NAVA HECTOR</t>
  </si>
  <si>
    <t>Mabel Rodríguez</t>
  </si>
  <si>
    <t>MARIA I. ROTTA</t>
  </si>
  <si>
    <t>Jose Medina</t>
  </si>
  <si>
    <t>Isabel Infante</t>
  </si>
  <si>
    <t>GOLBERG DIEGO</t>
  </si>
  <si>
    <t>Ines Telo</t>
  </si>
  <si>
    <t>Ezequiel Caputo</t>
  </si>
  <si>
    <t>MORONI MABEL</t>
  </si>
  <si>
    <t>PARMA</t>
  </si>
  <si>
    <t>TORRES BASSO RUBEN</t>
  </si>
  <si>
    <t>WAINBERG LUIS</t>
  </si>
  <si>
    <t>Lionel Giglia</t>
  </si>
  <si>
    <t>MANDELLI MARIA</t>
  </si>
  <si>
    <t>Analía</t>
  </si>
  <si>
    <t>BRITEZ M.</t>
  </si>
  <si>
    <t>Francini IGNACIO</t>
  </si>
  <si>
    <t>Jorge Sicilia</t>
  </si>
  <si>
    <t>FERREIRO MARTA</t>
  </si>
  <si>
    <t>CIGNOLI</t>
  </si>
  <si>
    <t>Pablo Coiro</t>
  </si>
  <si>
    <t>RECHIMUZZI</t>
  </si>
  <si>
    <t>GENTILE EDUARDO</t>
  </si>
  <si>
    <t>Aldana</t>
  </si>
  <si>
    <t xml:space="preserve">Brian Alvarez </t>
  </si>
  <si>
    <t>Sueldo encargado Colmiero Oscar</t>
  </si>
  <si>
    <t>Sueldo encargado Balcazza Leonardo</t>
  </si>
  <si>
    <t>EDESUR - Cliente nro. 828563</t>
  </si>
  <si>
    <t>EDESUR - Cliente nro. 01672309</t>
  </si>
  <si>
    <t>EDESUR - Cliente nro. 01672321</t>
  </si>
  <si>
    <t>EDESUR - Cliente nro. 01672319</t>
  </si>
  <si>
    <t>Metrogas - Cliente nro. 20463936100</t>
  </si>
  <si>
    <t xml:space="preserve">Personal Flow - Debito automatico </t>
  </si>
  <si>
    <t>Seguro Integral consorcio San Cristobal - Poliza 01-05-07-30183461</t>
  </si>
  <si>
    <t>GASTOS EXTRAORDINARIOS:</t>
  </si>
  <si>
    <t>AYSA - Nro de cliente 3888610</t>
  </si>
  <si>
    <t>Punitorios mal cobrados</t>
  </si>
  <si>
    <t xml:space="preserve">ARCA </t>
  </si>
  <si>
    <t>Florencia Fucci</t>
  </si>
  <si>
    <t>Romina Barbara Lotfi</t>
  </si>
  <si>
    <t>ESTA ES LA FUNDACION DE MEDICOS</t>
  </si>
  <si>
    <t>Melina Navarro</t>
  </si>
  <si>
    <t>Gabriela Tamara</t>
  </si>
  <si>
    <t>PALERMO</t>
  </si>
  <si>
    <t>Palermo Hernan</t>
  </si>
  <si>
    <t>MAXIMO</t>
  </si>
  <si>
    <t xml:space="preserve">FERNANDEZ BERTA               </t>
  </si>
  <si>
    <t>KRAVETZ</t>
  </si>
  <si>
    <t>CAJA REAL</t>
  </si>
  <si>
    <t>Andrea</t>
  </si>
  <si>
    <t>Sarubbi Adriana</t>
  </si>
  <si>
    <t xml:space="preserve">Saldo Ord </t>
  </si>
  <si>
    <t xml:space="preserve">PREVISION ORDINARIA </t>
  </si>
  <si>
    <t>ESTA ES WANDA VERON</t>
  </si>
  <si>
    <t>SALDO EN BANCO ANTERIOR REAL</t>
  </si>
  <si>
    <t>BELEN CIACCIARELLI</t>
  </si>
  <si>
    <t>ESTA ES MARIA BELEN CIACCARELLI</t>
  </si>
  <si>
    <t>Egresos del mes ordinarios</t>
  </si>
  <si>
    <t>Egresos del mes extrordinarios</t>
  </si>
  <si>
    <t>Ingresos</t>
  </si>
  <si>
    <t>PUED ETRANSFERIR DESDE GALI NELLY MABEL</t>
  </si>
  <si>
    <t>VTO 14/04</t>
  </si>
  <si>
    <t>PERÍODO: MARZO</t>
  </si>
  <si>
    <t>Sindicatos mes de MARZO</t>
  </si>
  <si>
    <t>Tranfs 21/3</t>
  </si>
  <si>
    <t>Debito 12/03</t>
  </si>
  <si>
    <t>PMC 10/03</t>
  </si>
  <si>
    <t>PMC 13/03</t>
  </si>
  <si>
    <t>Debito 10/03</t>
  </si>
  <si>
    <t>HONORARIOS ADMINISTRACION RC - SE ABONA EL MES 1 Y 2 DEL 2025 - SE ADEUDA MES 3</t>
  </si>
  <si>
    <t>GUSTAVO PADRON - SE ABONA MES 12/2024 - MES 1 Y 2 DEL 2025 - SE DEBE MES DE MARZO 2025</t>
  </si>
  <si>
    <t>Transf 13/02</t>
  </si>
  <si>
    <t>PMC 19/03</t>
  </si>
  <si>
    <t>Arreglo terraza Sergio - Resto del pago de la factura presentada en el drive</t>
  </si>
  <si>
    <t>Transf 19/03</t>
  </si>
  <si>
    <t>Sanitarios Millie - Compra materiales para obra ascendente de agua 21/3</t>
  </si>
  <si>
    <t>Debito 25/03</t>
  </si>
  <si>
    <t>Control de plagas 26/3 - Servicio Viturro Alberto</t>
  </si>
  <si>
    <t>Transf 26/3</t>
  </si>
  <si>
    <t>Tranfs 26/03</t>
  </si>
  <si>
    <t>Acesur compra de termoestato y vaina - 27/03</t>
  </si>
  <si>
    <t>Toto Calderista - Limpieza y puesta en marcha de caldera anual 2025 (verificacion de automaticos por corte de temperatura, limpieza de tubos, etc)</t>
  </si>
  <si>
    <t xml:space="preserve">Toto Calderista - Cambio de presostato de calefaccion en colector de caldera, purga - Mano de obra </t>
  </si>
  <si>
    <t>Transf 27/03</t>
  </si>
  <si>
    <t>Tranfs 31/03</t>
  </si>
  <si>
    <t>Transf 28/03</t>
  </si>
  <si>
    <t>Castellano Alejandro - Abono parcial de servicio de mantenimiento de grupo electrogeno y porton - Meses Septiembre a Marzo 2025 ( Restan $38.800)</t>
  </si>
  <si>
    <t>JPL articulos de limpieza (cera, blem, rejillas, detergente, desengrasante, bolsas, trapos, etc)</t>
  </si>
  <si>
    <t>Gastos ordinarios:</t>
  </si>
  <si>
    <t xml:space="preserve">Punitorios mal cobrados </t>
  </si>
  <si>
    <t>Efect 31/03</t>
  </si>
  <si>
    <t>Metrogas Plan de pagos cuota 1 de 4 - Cliente nro. 020495697900</t>
  </si>
  <si>
    <t>EL EFECTIVO FUE ABONADO POR LA ADMINISTRACION Y SE RECUPERARA MEDIANTE TRANSFERENCIA YA QUE LOS PLANES DE PAGO SE ABONAN CON TARJETA DE CREDITO, DEBITO O EFECTIVO.</t>
  </si>
  <si>
    <t>GABRIEL TORRANDELLA</t>
  </si>
  <si>
    <t>este es el candel que tiene a todas sus demas ufs relacionadas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</si>
</sst>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-* #,##0.00_-;\-* #,##0.00_-;_-* &quot;-&quot;??_-;_-@_-"/>
    <numFmt numFmtId="164" formatCode="&quot;$&quot;\ #,##0.00;[Red]\-&quot;$&quot;\ #,##0.00"/>
    <numFmt numFmtId="165" formatCode="_-&quot;$&quot;\ * #,##0.00_-;\-&quot;$&quot;\ * #,##0.00_-;_-&quot;$&quot;\ * &quot;-&quot;??_-;_-@_-"/>
    <numFmt numFmtId="166" formatCode="_ &quot;$&quot;\ * #,##0.00_ ;_ &quot;$&quot;\ * \-#,##0.00_ ;_ &quot;$&quot;\ * &quot;-&quot;??_ ;_ @_ "/>
    <numFmt numFmtId="167" formatCode="_-&quot;$&quot;\ * #,##0_-;\-&quot;$&quot;\ * #,##0_-;_-&quot;$&quot;\ * &quot;-&quot;??_-;_-@_-"/>
    <numFmt numFmtId="168" formatCode="_-&quot;$&quot;\ * #,##0.0_-;\-&quot;$&quot;\ * #,##0.0_-;_-&quot;$&quot;\ * &quot;-&quot;??_-;_-@_-"/>
    <numFmt numFmtId="169" formatCode="_-&quot;$&quot;\ * #,##0.0_-;\-&quot;$&quot;\ * #,##0.0_-;_-&quot;$&quot;\ * &quot;-&quot;?_-;_-@_-"/>
  </numFmts>
  <fonts count="2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10"/>
      <color theme="1"/>
      <name val="Calibri"/>
      <family val="2"/>
      <scheme val="minor"/>
    </font>
    <font>
      <i/>
      <u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0"/>
      <name val="Calibri"/>
      <family val="2"/>
      <scheme val="minor"/>
    </font>
    <font>
      <b/>
      <i/>
      <u/>
      <sz val="11"/>
      <name val="Calibri"/>
      <family val="2"/>
      <scheme val="minor"/>
    </font>
    <font>
      <b/>
      <i/>
      <u/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rgb="FFFF0000"/>
      <name val="Calibri"/>
      <family val="2"/>
      <scheme val="minor"/>
    </font>
    <font>
      <sz val="8"/>
      <color theme="1"/>
      <name val="Calibri"/>
      <family val="2"/>
      <scheme val="minor"/>
    </font>
    <font>
      <sz val="9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8"/>
      <color theme="0"/>
      <name val="Calibri"/>
      <family val="2"/>
      <scheme val="minor"/>
    </font>
    <font>
      <sz val="10"/>
      <name val="Calibri"/>
      <family val="2"/>
      <scheme val="minor"/>
    </font>
    <font>
      <b/>
      <i/>
      <u/>
      <sz val="10"/>
      <color theme="1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3" tint="0.79998168889431442"/>
        <bgColor indexed="64"/>
      </patternFill>
    </fill>
  </fills>
  <borders count="3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</borders>
  <cellStyleXfs count="4">
    <xf numFmtId="0" fontId="0" fillId="0" borderId="0"/>
    <xf numFmtId="165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243">
    <xf numFmtId="0" fontId="0" fillId="0" borderId="0" xfId="0"/>
    <xf numFmtId="0" fontId="0" fillId="0" borderId="16" xfId="0" applyBorder="1"/>
    <xf numFmtId="0" fontId="2" fillId="0" borderId="0" xfId="0" applyFont="1"/>
    <xf numFmtId="0" fontId="2" fillId="5" borderId="9" xfId="0" applyFont="1" applyFill="1" applyBorder="1"/>
    <xf numFmtId="0" fontId="2" fillId="5" borderId="10" xfId="0" applyFont="1" applyFill="1" applyBorder="1"/>
    <xf numFmtId="0" fontId="0" fillId="0" borderId="1" xfId="0" applyBorder="1"/>
    <xf numFmtId="0" fontId="0" fillId="3" borderId="0" xfId="0" applyFill="1"/>
    <xf numFmtId="164" fontId="0" fillId="3" borderId="0" xfId="0" applyNumberFormat="1" applyFill="1"/>
    <xf numFmtId="0" fontId="0" fillId="0" borderId="5" xfId="0" applyBorder="1"/>
    <xf numFmtId="0" fontId="0" fillId="5" borderId="12" xfId="0" applyFill="1" applyBorder="1"/>
    <xf numFmtId="10" fontId="2" fillId="5" borderId="10" xfId="0" applyNumberFormat="1" applyFont="1" applyFill="1" applyBorder="1"/>
    <xf numFmtId="0" fontId="2" fillId="5" borderId="14" xfId="0" applyFont="1" applyFill="1" applyBorder="1"/>
    <xf numFmtId="0" fontId="2" fillId="5" borderId="12" xfId="0" applyFont="1" applyFill="1" applyBorder="1"/>
    <xf numFmtId="10" fontId="2" fillId="5" borderId="12" xfId="0" applyNumberFormat="1" applyFont="1" applyFill="1" applyBorder="1"/>
    <xf numFmtId="0" fontId="0" fillId="5" borderId="15" xfId="0" applyFill="1" applyBorder="1"/>
    <xf numFmtId="0" fontId="2" fillId="3" borderId="14" xfId="0" applyFont="1" applyFill="1" applyBorder="1"/>
    <xf numFmtId="0" fontId="2" fillId="3" borderId="16" xfId="0" applyFont="1" applyFill="1" applyBorder="1"/>
    <xf numFmtId="0" fontId="2" fillId="3" borderId="0" xfId="0" applyFont="1" applyFill="1"/>
    <xf numFmtId="0" fontId="2" fillId="3" borderId="17" xfId="0" applyFont="1" applyFill="1" applyBorder="1"/>
    <xf numFmtId="0" fontId="2" fillId="3" borderId="9" xfId="0" applyFont="1" applyFill="1" applyBorder="1"/>
    <xf numFmtId="0" fontId="2" fillId="3" borderId="10" xfId="0" applyFont="1" applyFill="1" applyBorder="1"/>
    <xf numFmtId="0" fontId="2" fillId="3" borderId="11" xfId="0" applyFont="1" applyFill="1" applyBorder="1"/>
    <xf numFmtId="164" fontId="0" fillId="0" borderId="0" xfId="0" applyNumberFormat="1"/>
    <xf numFmtId="0" fontId="5" fillId="6" borderId="0" xfId="0" applyFont="1" applyFill="1"/>
    <xf numFmtId="166" fontId="3" fillId="0" borderId="0" xfId="0" applyNumberFormat="1" applyFont="1"/>
    <xf numFmtId="0" fontId="6" fillId="0" borderId="1" xfId="0" applyFont="1" applyBorder="1"/>
    <xf numFmtId="4" fontId="0" fillId="0" borderId="0" xfId="0" applyNumberFormat="1"/>
    <xf numFmtId="4" fontId="6" fillId="0" borderId="0" xfId="0" applyNumberFormat="1" applyFont="1"/>
    <xf numFmtId="0" fontId="6" fillId="0" borderId="1" xfId="0" applyFont="1" applyBorder="1" applyAlignment="1">
      <alignment vertical="center" wrapText="1"/>
    </xf>
    <xf numFmtId="0" fontId="7" fillId="0" borderId="1" xfId="0" applyFont="1" applyBorder="1"/>
    <xf numFmtId="0" fontId="2" fillId="4" borderId="1" xfId="0" applyFont="1" applyFill="1" applyBorder="1"/>
    <xf numFmtId="43" fontId="0" fillId="3" borderId="0" xfId="3" applyFont="1" applyFill="1"/>
    <xf numFmtId="0" fontId="2" fillId="8" borderId="1" xfId="0" applyFont="1" applyFill="1" applyBorder="1"/>
    <xf numFmtId="0" fontId="2" fillId="8" borderId="6" xfId="0" applyFont="1" applyFill="1" applyBorder="1"/>
    <xf numFmtId="0" fontId="2" fillId="0" borderId="1" xfId="0" applyFont="1" applyBorder="1"/>
    <xf numFmtId="0" fontId="11" fillId="2" borderId="0" xfId="0" applyFont="1" applyFill="1"/>
    <xf numFmtId="0" fontId="12" fillId="4" borderId="1" xfId="0" applyFont="1" applyFill="1" applyBorder="1"/>
    <xf numFmtId="0" fontId="13" fillId="4" borderId="1" xfId="0" applyFont="1" applyFill="1" applyBorder="1"/>
    <xf numFmtId="165" fontId="0" fillId="0" borderId="1" xfId="1" applyFont="1" applyBorder="1"/>
    <xf numFmtId="4" fontId="6" fillId="0" borderId="0" xfId="0" applyNumberFormat="1" applyFont="1" applyAlignment="1">
      <alignment wrapText="1"/>
    </xf>
    <xf numFmtId="0" fontId="0" fillId="0" borderId="0" xfId="0" applyAlignment="1">
      <alignment wrapText="1"/>
    </xf>
    <xf numFmtId="0" fontId="6" fillId="0" borderId="1" xfId="0" applyFont="1" applyBorder="1" applyAlignment="1">
      <alignment vertical="top" wrapText="1"/>
    </xf>
    <xf numFmtId="165" fontId="3" fillId="2" borderId="1" xfId="1" applyFont="1" applyFill="1" applyBorder="1"/>
    <xf numFmtId="165" fontId="0" fillId="0" borderId="0" xfId="1" applyFont="1"/>
    <xf numFmtId="165" fontId="3" fillId="0" borderId="0" xfId="1" applyFont="1"/>
    <xf numFmtId="0" fontId="9" fillId="2" borderId="0" xfId="0" applyFont="1" applyFill="1"/>
    <xf numFmtId="165" fontId="0" fillId="0" borderId="0" xfId="0" applyNumberFormat="1"/>
    <xf numFmtId="0" fontId="10" fillId="6" borderId="0" xfId="0" applyFont="1" applyFill="1"/>
    <xf numFmtId="165" fontId="10" fillId="6" borderId="0" xfId="1" applyFont="1" applyFill="1"/>
    <xf numFmtId="165" fontId="0" fillId="0" borderId="0" xfId="0" applyNumberFormat="1" applyAlignment="1">
      <alignment wrapText="1"/>
    </xf>
    <xf numFmtId="165" fontId="15" fillId="2" borderId="1" xfId="1" applyFont="1" applyFill="1" applyBorder="1"/>
    <xf numFmtId="0" fontId="0" fillId="4" borderId="0" xfId="0" applyFill="1"/>
    <xf numFmtId="0" fontId="2" fillId="4" borderId="0" xfId="0" applyFont="1" applyFill="1"/>
    <xf numFmtId="0" fontId="14" fillId="0" borderId="0" xfId="0" applyFont="1"/>
    <xf numFmtId="0" fontId="2" fillId="4" borderId="3" xfId="0" applyFont="1" applyFill="1" applyBorder="1"/>
    <xf numFmtId="0" fontId="0" fillId="2" borderId="1" xfId="0" applyFill="1" applyBorder="1"/>
    <xf numFmtId="165" fontId="16" fillId="4" borderId="13" xfId="0" applyNumberFormat="1" applyFont="1" applyFill="1" applyBorder="1"/>
    <xf numFmtId="0" fontId="0" fillId="0" borderId="1" xfId="0" applyBorder="1" applyAlignment="1">
      <alignment vertical="center" wrapText="1"/>
    </xf>
    <xf numFmtId="16" fontId="3" fillId="0" borderId="1" xfId="0" applyNumberFormat="1" applyFont="1" applyBorder="1"/>
    <xf numFmtId="165" fontId="0" fillId="3" borderId="0" xfId="1" applyFont="1" applyFill="1" applyAlignment="1"/>
    <xf numFmtId="165" fontId="0" fillId="3" borderId="8" xfId="1" applyFont="1" applyFill="1" applyBorder="1" applyAlignment="1">
      <alignment vertical="center"/>
    </xf>
    <xf numFmtId="0" fontId="20" fillId="11" borderId="1" xfId="0" applyFont="1" applyFill="1" applyBorder="1"/>
    <xf numFmtId="165" fontId="0" fillId="4" borderId="0" xfId="1" applyFont="1" applyFill="1"/>
    <xf numFmtId="165" fontId="8" fillId="0" borderId="1" xfId="1" applyFont="1" applyBorder="1"/>
    <xf numFmtId="165" fontId="0" fillId="3" borderId="0" xfId="1" applyFont="1" applyFill="1" applyBorder="1" applyAlignment="1">
      <alignment vertical="center"/>
    </xf>
    <xf numFmtId="0" fontId="17" fillId="3" borderId="20" xfId="0" applyFont="1" applyFill="1" applyBorder="1" applyAlignment="1">
      <alignment horizontal="center" vertical="center" wrapText="1"/>
    </xf>
    <xf numFmtId="167" fontId="16" fillId="4" borderId="13" xfId="0" applyNumberFormat="1" applyFont="1" applyFill="1" applyBorder="1"/>
    <xf numFmtId="0" fontId="17" fillId="3" borderId="18" xfId="0" applyFont="1" applyFill="1" applyBorder="1" applyAlignment="1">
      <alignment horizontal="center" vertical="center" wrapText="1"/>
    </xf>
    <xf numFmtId="0" fontId="16" fillId="2" borderId="1" xfId="0" applyFont="1" applyFill="1" applyBorder="1"/>
    <xf numFmtId="0" fontId="16" fillId="0" borderId="1" xfId="0" applyFont="1" applyBorder="1"/>
    <xf numFmtId="0" fontId="16" fillId="0" borderId="1" xfId="0" applyFont="1" applyBorder="1" applyAlignment="1">
      <alignment wrapText="1"/>
    </xf>
    <xf numFmtId="0" fontId="16" fillId="0" borderId="1" xfId="0" applyFont="1" applyBorder="1" applyAlignment="1">
      <alignment vertical="center" wrapText="1"/>
    </xf>
    <xf numFmtId="0" fontId="2" fillId="4" borderId="1" xfId="0" applyFont="1" applyFill="1" applyBorder="1" applyAlignment="1">
      <alignment wrapText="1"/>
    </xf>
    <xf numFmtId="165" fontId="6" fillId="5" borderId="11" xfId="0" applyNumberFormat="1" applyFont="1" applyFill="1" applyBorder="1"/>
    <xf numFmtId="0" fontId="6" fillId="3" borderId="12" xfId="0" applyFont="1" applyFill="1" applyBorder="1"/>
    <xf numFmtId="0" fontId="6" fillId="3" borderId="15" xfId="0" applyFont="1" applyFill="1" applyBorder="1"/>
    <xf numFmtId="0" fontId="6" fillId="3" borderId="0" xfId="0" applyFont="1" applyFill="1"/>
    <xf numFmtId="0" fontId="6" fillId="3" borderId="17" xfId="0" applyFont="1" applyFill="1" applyBorder="1"/>
    <xf numFmtId="0" fontId="16" fillId="0" borderId="1" xfId="0" applyFont="1" applyBorder="1" applyAlignment="1">
      <alignment horizontal="center"/>
    </xf>
    <xf numFmtId="165" fontId="21" fillId="0" borderId="1" xfId="1" applyFont="1" applyBorder="1"/>
    <xf numFmtId="165" fontId="21" fillId="2" borderId="1" xfId="1" applyFont="1" applyFill="1" applyBorder="1"/>
    <xf numFmtId="167" fontId="21" fillId="2" borderId="1" xfId="1" applyNumberFormat="1" applyFont="1" applyFill="1" applyBorder="1"/>
    <xf numFmtId="167" fontId="16" fillId="0" borderId="1" xfId="0" applyNumberFormat="1" applyFont="1" applyBorder="1"/>
    <xf numFmtId="165" fontId="16" fillId="0" borderId="1" xfId="1" applyFont="1" applyBorder="1"/>
    <xf numFmtId="167" fontId="16" fillId="0" borderId="1" xfId="1" applyNumberFormat="1" applyFont="1" applyBorder="1"/>
    <xf numFmtId="165" fontId="16" fillId="0" borderId="6" xfId="1" applyFont="1" applyBorder="1"/>
    <xf numFmtId="165" fontId="21" fillId="0" borderId="27" xfId="1" applyFont="1" applyBorder="1"/>
    <xf numFmtId="165" fontId="21" fillId="0" borderId="6" xfId="1" applyFont="1" applyBorder="1"/>
    <xf numFmtId="165" fontId="21" fillId="0" borderId="31" xfId="1" applyFont="1" applyBorder="1"/>
    <xf numFmtId="167" fontId="22" fillId="2" borderId="1" xfId="1" applyNumberFormat="1" applyFont="1" applyFill="1" applyBorder="1"/>
    <xf numFmtId="165" fontId="22" fillId="0" borderId="6" xfId="1" applyFont="1" applyBorder="1"/>
    <xf numFmtId="0" fontId="16" fillId="2" borderId="1" xfId="0" applyFont="1" applyFill="1" applyBorder="1" applyAlignment="1">
      <alignment wrapText="1"/>
    </xf>
    <xf numFmtId="2" fontId="16" fillId="2" borderId="1" xfId="0" applyNumberFormat="1" applyFont="1" applyFill="1" applyBorder="1" applyAlignment="1">
      <alignment horizontal="center"/>
    </xf>
    <xf numFmtId="0" fontId="16" fillId="0" borderId="7" xfId="0" applyFont="1" applyBorder="1"/>
    <xf numFmtId="0" fontId="16" fillId="0" borderId="23" xfId="0" applyFont="1" applyBorder="1"/>
    <xf numFmtId="0" fontId="16" fillId="2" borderId="2" xfId="0" applyFont="1" applyFill="1" applyBorder="1"/>
    <xf numFmtId="2" fontId="16" fillId="2" borderId="2" xfId="0" applyNumberFormat="1" applyFont="1" applyFill="1" applyBorder="1" applyAlignment="1">
      <alignment horizontal="center"/>
    </xf>
    <xf numFmtId="165" fontId="21" fillId="0" borderId="2" xfId="1" applyFont="1" applyBorder="1"/>
    <xf numFmtId="165" fontId="21" fillId="2" borderId="2" xfId="1" applyFont="1" applyFill="1" applyBorder="1"/>
    <xf numFmtId="167" fontId="21" fillId="2" borderId="2" xfId="1" applyNumberFormat="1" applyFont="1" applyFill="1" applyBorder="1"/>
    <xf numFmtId="167" fontId="16" fillId="0" borderId="2" xfId="0" applyNumberFormat="1" applyFont="1" applyBorder="1"/>
    <xf numFmtId="167" fontId="16" fillId="0" borderId="2" xfId="1" applyNumberFormat="1" applyFont="1" applyBorder="1"/>
    <xf numFmtId="165" fontId="16" fillId="0" borderId="26" xfId="1" applyFont="1" applyBorder="1"/>
    <xf numFmtId="0" fontId="16" fillId="0" borderId="2" xfId="0" applyFont="1" applyBorder="1" applyAlignment="1">
      <alignment wrapText="1"/>
    </xf>
    <xf numFmtId="0" fontId="16" fillId="2" borderId="18" xfId="0" applyFont="1" applyFill="1" applyBorder="1"/>
    <xf numFmtId="0" fontId="16" fillId="0" borderId="2" xfId="0" applyFont="1" applyBorder="1"/>
    <xf numFmtId="165" fontId="21" fillId="0" borderId="28" xfId="1" applyFont="1" applyBorder="1"/>
    <xf numFmtId="165" fontId="21" fillId="0" borderId="30" xfId="1" applyFont="1" applyBorder="1"/>
    <xf numFmtId="165" fontId="21" fillId="0" borderId="32" xfId="1" applyFont="1" applyBorder="1"/>
    <xf numFmtId="0" fontId="16" fillId="10" borderId="21" xfId="0" applyFont="1" applyFill="1" applyBorder="1"/>
    <xf numFmtId="0" fontId="16" fillId="4" borderId="29" xfId="0" applyFont="1" applyFill="1" applyBorder="1"/>
    <xf numFmtId="0" fontId="16" fillId="4" borderId="13" xfId="0" applyFont="1" applyFill="1" applyBorder="1"/>
    <xf numFmtId="0" fontId="16" fillId="4" borderId="13" xfId="0" applyFont="1" applyFill="1" applyBorder="1" applyAlignment="1">
      <alignment horizontal="center"/>
    </xf>
    <xf numFmtId="165" fontId="16" fillId="4" borderId="21" xfId="0" applyNumberFormat="1" applyFont="1" applyFill="1" applyBorder="1"/>
    <xf numFmtId="0" fontId="2" fillId="3" borderId="10" xfId="0" applyFont="1" applyFill="1" applyBorder="1" applyAlignment="1">
      <alignment horizontal="left"/>
    </xf>
    <xf numFmtId="0" fontId="2" fillId="3" borderId="0" xfId="0" applyFont="1" applyFill="1" applyAlignment="1">
      <alignment vertical="center"/>
    </xf>
    <xf numFmtId="0" fontId="2" fillId="3" borderId="0" xfId="0" applyFont="1" applyFill="1" applyAlignment="1">
      <alignment wrapText="1"/>
    </xf>
    <xf numFmtId="0" fontId="6" fillId="7" borderId="9" xfId="0" applyFont="1" applyFill="1" applyBorder="1"/>
    <xf numFmtId="165" fontId="6" fillId="7" borderId="11" xfId="0" applyNumberFormat="1" applyFont="1" applyFill="1" applyBorder="1"/>
    <xf numFmtId="167" fontId="16" fillId="2" borderId="1" xfId="0" applyNumberFormat="1" applyFont="1" applyFill="1" applyBorder="1"/>
    <xf numFmtId="165" fontId="14" fillId="8" borderId="8" xfId="1" applyFont="1" applyFill="1" applyBorder="1" applyAlignment="1">
      <alignment vertical="center"/>
    </xf>
    <xf numFmtId="0" fontId="4" fillId="0" borderId="1" xfId="0" applyFont="1" applyBorder="1"/>
    <xf numFmtId="165" fontId="11" fillId="4" borderId="21" xfId="1" applyFont="1" applyFill="1" applyBorder="1"/>
    <xf numFmtId="0" fontId="23" fillId="0" borderId="1" xfId="1" applyNumberFormat="1" applyFont="1" applyBorder="1" applyAlignment="1">
      <alignment horizontal="left"/>
    </xf>
    <xf numFmtId="0" fontId="0" fillId="0" borderId="6" xfId="0" applyBorder="1" applyAlignment="1">
      <alignment horizontal="left" vertical="center" wrapText="1"/>
    </xf>
    <xf numFmtId="165" fontId="4" fillId="2" borderId="6" xfId="1" applyFont="1" applyFill="1" applyBorder="1"/>
    <xf numFmtId="0" fontId="0" fillId="0" borderId="25" xfId="0" applyBorder="1" applyAlignment="1">
      <alignment horizontal="left" vertical="center" wrapText="1"/>
    </xf>
    <xf numFmtId="165" fontId="23" fillId="2" borderId="1" xfId="1" applyFont="1" applyFill="1" applyBorder="1"/>
    <xf numFmtId="164" fontId="8" fillId="4" borderId="22" xfId="0" applyNumberFormat="1" applyFont="1" applyFill="1" applyBorder="1"/>
    <xf numFmtId="0" fontId="23" fillId="0" borderId="4" xfId="0" applyFont="1" applyBorder="1"/>
    <xf numFmtId="0" fontId="8" fillId="8" borderId="6" xfId="0" applyFont="1" applyFill="1" applyBorder="1"/>
    <xf numFmtId="165" fontId="11" fillId="8" borderId="13" xfId="1" applyFont="1" applyFill="1" applyBorder="1"/>
    <xf numFmtId="0" fontId="4" fillId="0" borderId="0" xfId="0" applyFont="1"/>
    <xf numFmtId="0" fontId="23" fillId="0" borderId="17" xfId="0" applyFont="1" applyBorder="1"/>
    <xf numFmtId="0" fontId="8" fillId="5" borderId="10" xfId="0" applyFont="1" applyFill="1" applyBorder="1"/>
    <xf numFmtId="165" fontId="11" fillId="5" borderId="11" xfId="0" applyNumberFormat="1" applyFont="1" applyFill="1" applyBorder="1"/>
    <xf numFmtId="0" fontId="4" fillId="5" borderId="12" xfId="0" applyFont="1" applyFill="1" applyBorder="1"/>
    <xf numFmtId="0" fontId="4" fillId="5" borderId="15" xfId="0" applyFont="1" applyFill="1" applyBorder="1"/>
    <xf numFmtId="165" fontId="0" fillId="0" borderId="0" xfId="1" applyFont="1" applyBorder="1"/>
    <xf numFmtId="167" fontId="21" fillId="2" borderId="6" xfId="1" applyNumberFormat="1" applyFont="1" applyFill="1" applyBorder="1"/>
    <xf numFmtId="0" fontId="3" fillId="0" borderId="1" xfId="0" applyFont="1" applyBorder="1" applyAlignment="1">
      <alignment vertical="center" wrapText="1"/>
    </xf>
    <xf numFmtId="165" fontId="10" fillId="6" borderId="0" xfId="0" applyNumberFormat="1" applyFont="1" applyFill="1"/>
    <xf numFmtId="165" fontId="3" fillId="0" borderId="1" xfId="1" applyFont="1" applyBorder="1" applyAlignment="1">
      <alignment vertical="center" wrapText="1"/>
    </xf>
    <xf numFmtId="0" fontId="6" fillId="0" borderId="1" xfId="0" applyFont="1" applyBorder="1" applyAlignment="1">
      <alignment horizontal="left" vertical="center" wrapText="1"/>
    </xf>
    <xf numFmtId="0" fontId="14" fillId="3" borderId="14" xfId="0" applyFont="1" applyFill="1" applyBorder="1" applyAlignment="1">
      <alignment horizontal="center" vertical="center"/>
    </xf>
    <xf numFmtId="0" fontId="14" fillId="3" borderId="16" xfId="0" applyFont="1" applyFill="1" applyBorder="1" applyAlignment="1">
      <alignment horizontal="center" vertical="center"/>
    </xf>
    <xf numFmtId="0" fontId="16" fillId="2" borderId="0" xfId="0" applyFont="1" applyFill="1"/>
    <xf numFmtId="0" fontId="16" fillId="10" borderId="29" xfId="0" applyFont="1" applyFill="1" applyBorder="1"/>
    <xf numFmtId="0" fontId="0" fillId="2" borderId="0" xfId="0" applyFill="1"/>
    <xf numFmtId="165" fontId="6" fillId="6" borderId="1" xfId="1" applyFont="1" applyFill="1" applyBorder="1"/>
    <xf numFmtId="168" fontId="0" fillId="0" borderId="0" xfId="0" applyNumberFormat="1"/>
    <xf numFmtId="169" fontId="0" fillId="0" borderId="0" xfId="0" applyNumberFormat="1"/>
    <xf numFmtId="167" fontId="21" fillId="0" borderId="1" xfId="1" applyNumberFormat="1" applyFont="1" applyBorder="1"/>
    <xf numFmtId="165" fontId="9" fillId="2" borderId="6" xfId="1" applyFont="1" applyFill="1" applyBorder="1"/>
    <xf numFmtId="0" fontId="22" fillId="0" borderId="1" xfId="0" applyFont="1" applyBorder="1"/>
    <xf numFmtId="168" fontId="0" fillId="3" borderId="0" xfId="1" applyNumberFormat="1" applyFont="1" applyFill="1" applyAlignment="1"/>
    <xf numFmtId="0" fontId="10" fillId="6" borderId="2" xfId="0" applyFont="1" applyFill="1" applyBorder="1"/>
    <xf numFmtId="165" fontId="0" fillId="0" borderId="2" xfId="1" applyFont="1" applyBorder="1"/>
    <xf numFmtId="0" fontId="0" fillId="0" borderId="0" xfId="0" applyAlignment="1">
      <alignment horizontal="left" vertical="center" wrapText="1"/>
    </xf>
    <xf numFmtId="168" fontId="16" fillId="4" borderId="13" xfId="0" applyNumberFormat="1" applyFont="1" applyFill="1" applyBorder="1"/>
    <xf numFmtId="0" fontId="2" fillId="12" borderId="33" xfId="0" applyFont="1" applyFill="1" applyBorder="1" applyAlignment="1">
      <alignment horizontal="left" vertical="center" wrapText="1"/>
    </xf>
    <xf numFmtId="165" fontId="2" fillId="12" borderId="29" xfId="1" applyFont="1" applyFill="1" applyBorder="1" applyAlignment="1">
      <alignment horizontal="left" vertical="center" wrapText="1"/>
    </xf>
    <xf numFmtId="165" fontId="0" fillId="0" borderId="1" xfId="0" applyNumberFormat="1" applyBorder="1" applyAlignment="1">
      <alignment vertical="center" wrapText="1"/>
    </xf>
    <xf numFmtId="165" fontId="0" fillId="0" borderId="1" xfId="1" applyFont="1" applyBorder="1" applyAlignment="1">
      <alignment vertical="center" wrapText="1"/>
    </xf>
    <xf numFmtId="0" fontId="4" fillId="0" borderId="1" xfId="0" applyFont="1" applyBorder="1" applyAlignment="1">
      <alignment horizontal="left" vertical="center" wrapText="1"/>
    </xf>
    <xf numFmtId="165" fontId="4" fillId="0" borderId="1" xfId="1" applyFont="1" applyBorder="1" applyAlignment="1">
      <alignment horizontal="left" vertical="center" wrapText="1"/>
    </xf>
    <xf numFmtId="43" fontId="0" fillId="0" borderId="0" xfId="0" applyNumberFormat="1"/>
    <xf numFmtId="0" fontId="21" fillId="0" borderId="1" xfId="0" applyFont="1" applyBorder="1"/>
    <xf numFmtId="168" fontId="16" fillId="2" borderId="1" xfId="1" applyNumberFormat="1" applyFont="1" applyFill="1" applyBorder="1"/>
    <xf numFmtId="164" fontId="0" fillId="2" borderId="1" xfId="0" applyNumberFormat="1" applyFill="1" applyBorder="1"/>
    <xf numFmtId="164" fontId="20" fillId="11" borderId="1" xfId="0" applyNumberFormat="1" applyFont="1" applyFill="1" applyBorder="1"/>
    <xf numFmtId="0" fontId="0" fillId="11" borderId="1" xfId="0" applyFill="1" applyBorder="1"/>
    <xf numFmtId="164" fontId="0" fillId="2" borderId="6" xfId="0" applyNumberFormat="1" applyFill="1" applyBorder="1"/>
    <xf numFmtId="164" fontId="20" fillId="11" borderId="6" xfId="0" applyNumberFormat="1" applyFont="1" applyFill="1" applyBorder="1"/>
    <xf numFmtId="164" fontId="2" fillId="4" borderId="6" xfId="0" applyNumberFormat="1" applyFont="1" applyFill="1" applyBorder="1"/>
    <xf numFmtId="164" fontId="6" fillId="4" borderId="21" xfId="1" applyNumberFormat="1" applyFont="1" applyFill="1" applyBorder="1"/>
    <xf numFmtId="164" fontId="13" fillId="4" borderId="1" xfId="0" applyNumberFormat="1" applyFont="1" applyFill="1" applyBorder="1"/>
    <xf numFmtId="165" fontId="24" fillId="4" borderId="3" xfId="1" applyFont="1" applyFill="1" applyBorder="1"/>
    <xf numFmtId="165" fontId="3" fillId="0" borderId="3" xfId="1" applyFont="1" applyBorder="1" applyAlignment="1">
      <alignment wrapText="1"/>
    </xf>
    <xf numFmtId="165" fontId="2" fillId="4" borderId="6" xfId="1" applyFont="1" applyFill="1" applyBorder="1"/>
    <xf numFmtId="164" fontId="6" fillId="4" borderId="13" xfId="1" applyNumberFormat="1" applyFont="1" applyFill="1" applyBorder="1"/>
    <xf numFmtId="165" fontId="2" fillId="4" borderId="1" xfId="1" applyFont="1" applyFill="1" applyBorder="1"/>
    <xf numFmtId="165" fontId="6" fillId="4" borderId="1" xfId="1" applyFont="1" applyFill="1" applyBorder="1"/>
    <xf numFmtId="165" fontId="0" fillId="2" borderId="1" xfId="1" applyFont="1" applyFill="1" applyBorder="1" applyAlignment="1">
      <alignment wrapText="1"/>
    </xf>
    <xf numFmtId="165" fontId="3" fillId="2" borderId="1" xfId="1" applyFont="1" applyFill="1" applyBorder="1" applyAlignment="1">
      <alignment wrapText="1"/>
    </xf>
    <xf numFmtId="165" fontId="0" fillId="2" borderId="1" xfId="1" applyFont="1" applyFill="1" applyBorder="1" applyAlignment="1"/>
    <xf numFmtId="165" fontId="6" fillId="4" borderId="21" xfId="1" applyFont="1" applyFill="1" applyBorder="1"/>
    <xf numFmtId="0" fontId="0" fillId="4" borderId="1" xfId="0" applyFill="1" applyBorder="1"/>
    <xf numFmtId="165" fontId="0" fillId="4" borderId="1" xfId="1" applyFont="1" applyFill="1" applyBorder="1"/>
    <xf numFmtId="165" fontId="3" fillId="4" borderId="3" xfId="1" applyFont="1" applyFill="1" applyBorder="1"/>
    <xf numFmtId="0" fontId="3" fillId="2" borderId="1" xfId="0" applyFont="1" applyFill="1" applyBorder="1"/>
    <xf numFmtId="165" fontId="0" fillId="2" borderId="1" xfId="1" applyFont="1" applyFill="1" applyBorder="1"/>
    <xf numFmtId="0" fontId="3" fillId="2" borderId="1" xfId="1" applyNumberFormat="1" applyFont="1" applyFill="1" applyBorder="1" applyAlignment="1"/>
    <xf numFmtId="0" fontId="3" fillId="2" borderId="2" xfId="1" applyNumberFormat="1" applyFont="1" applyFill="1" applyBorder="1" applyAlignment="1"/>
    <xf numFmtId="165" fontId="0" fillId="4" borderId="6" xfId="1" applyFont="1" applyFill="1" applyBorder="1"/>
    <xf numFmtId="0" fontId="3" fillId="2" borderId="1" xfId="1" applyNumberFormat="1" applyFont="1" applyFill="1" applyBorder="1" applyAlignment="1">
      <alignment horizontal="left"/>
    </xf>
    <xf numFmtId="0" fontId="3" fillId="9" borderId="1" xfId="1" applyNumberFormat="1" applyFont="1" applyFill="1" applyBorder="1" applyAlignment="1">
      <alignment horizontal="left"/>
    </xf>
    <xf numFmtId="16" fontId="3" fillId="2" borderId="1" xfId="1" applyNumberFormat="1" applyFont="1" applyFill="1" applyBorder="1" applyAlignment="1">
      <alignment horizontal="left"/>
    </xf>
    <xf numFmtId="165" fontId="3" fillId="2" borderId="1" xfId="1" applyFont="1" applyFill="1" applyBorder="1" applyAlignment="1"/>
    <xf numFmtId="16" fontId="0" fillId="0" borderId="1" xfId="0" applyNumberFormat="1" applyBorder="1" applyAlignment="1">
      <alignment vertical="center" wrapText="1"/>
    </xf>
    <xf numFmtId="165" fontId="6" fillId="4" borderId="13" xfId="1" applyFont="1" applyFill="1" applyBorder="1"/>
    <xf numFmtId="0" fontId="14" fillId="0" borderId="1" xfId="1" applyNumberFormat="1" applyFont="1" applyBorder="1"/>
    <xf numFmtId="16" fontId="14" fillId="0" borderId="1" xfId="1" applyNumberFormat="1" applyFont="1" applyBorder="1"/>
    <xf numFmtId="165" fontId="0" fillId="2" borderId="6" xfId="1" applyFont="1" applyFill="1" applyBorder="1"/>
    <xf numFmtId="165" fontId="3" fillId="0" borderId="1" xfId="1" applyFont="1" applyBorder="1"/>
    <xf numFmtId="165" fontId="6" fillId="4" borderId="2" xfId="1" applyFont="1" applyFill="1" applyBorder="1"/>
    <xf numFmtId="165" fontId="3" fillId="2" borderId="3" xfId="1" applyFont="1" applyFill="1" applyBorder="1"/>
    <xf numFmtId="0" fontId="0" fillId="0" borderId="6" xfId="0" applyBorder="1" applyAlignment="1">
      <alignment horizontal="left" vertical="center" wrapText="1"/>
    </xf>
    <xf numFmtId="0" fontId="0" fillId="0" borderId="7" xfId="0" applyBorder="1" applyAlignment="1">
      <alignment horizontal="left" vertical="center" wrapText="1"/>
    </xf>
    <xf numFmtId="0" fontId="0" fillId="2" borderId="6" xfId="0" applyFill="1" applyBorder="1" applyAlignment="1">
      <alignment horizontal="left" vertical="center" wrapText="1"/>
    </xf>
    <xf numFmtId="0" fontId="0" fillId="2" borderId="7" xfId="0" applyFill="1" applyBorder="1" applyAlignment="1">
      <alignment horizontal="left" vertical="center" wrapText="1"/>
    </xf>
    <xf numFmtId="0" fontId="2" fillId="9" borderId="0" xfId="0" applyFont="1" applyFill="1" applyAlignment="1">
      <alignment horizontal="center" vertical="center" wrapText="1"/>
    </xf>
    <xf numFmtId="0" fontId="10" fillId="6" borderId="0" xfId="0" applyFont="1" applyFill="1" applyAlignment="1">
      <alignment horizontal="center" vertical="center"/>
    </xf>
    <xf numFmtId="0" fontId="0" fillId="2" borderId="6" xfId="0" applyFill="1" applyBorder="1" applyAlignment="1">
      <alignment horizontal="left" wrapText="1"/>
    </xf>
    <xf numFmtId="0" fontId="0" fillId="2" borderId="7" xfId="0" applyFill="1" applyBorder="1" applyAlignment="1">
      <alignment horizontal="left" wrapText="1"/>
    </xf>
    <xf numFmtId="0" fontId="0" fillId="0" borderId="6" xfId="0" applyBorder="1" applyAlignment="1">
      <alignment horizontal="left" wrapText="1"/>
    </xf>
    <xf numFmtId="0" fontId="0" fillId="0" borderId="7" xfId="0" applyBorder="1" applyAlignment="1">
      <alignment horizontal="left" wrapText="1"/>
    </xf>
    <xf numFmtId="165" fontId="0" fillId="2" borderId="6" xfId="1" applyFont="1" applyFill="1" applyBorder="1" applyAlignment="1">
      <alignment horizontal="left" vertical="center" wrapText="1"/>
    </xf>
    <xf numFmtId="165" fontId="0" fillId="2" borderId="7" xfId="1" applyFont="1" applyFill="1" applyBorder="1" applyAlignment="1">
      <alignment horizontal="left" vertical="center" wrapText="1"/>
    </xf>
    <xf numFmtId="0" fontId="18" fillId="7" borderId="0" xfId="0" applyFont="1" applyFill="1" applyAlignment="1">
      <alignment horizontal="center" vertical="center" wrapText="1"/>
    </xf>
    <xf numFmtId="0" fontId="19" fillId="9" borderId="0" xfId="0" applyFont="1" applyFill="1" applyAlignment="1">
      <alignment horizontal="center" vertical="center"/>
    </xf>
    <xf numFmtId="0" fontId="0" fillId="9" borderId="6" xfId="0" applyFill="1" applyBorder="1" applyAlignment="1">
      <alignment horizontal="left" wrapText="1"/>
    </xf>
    <xf numFmtId="0" fontId="0" fillId="9" borderId="25" xfId="0" applyFill="1" applyBorder="1" applyAlignment="1">
      <alignment horizontal="left" wrapText="1"/>
    </xf>
    <xf numFmtId="0" fontId="0" fillId="9" borderId="7" xfId="0" applyFill="1" applyBorder="1" applyAlignment="1">
      <alignment horizontal="left" wrapText="1"/>
    </xf>
    <xf numFmtId="0" fontId="17" fillId="3" borderId="18" xfId="0" applyFont="1" applyFill="1" applyBorder="1" applyAlignment="1">
      <alignment horizontal="center" vertical="center" wrapText="1"/>
    </xf>
    <xf numFmtId="0" fontId="17" fillId="3" borderId="19" xfId="0" applyFont="1" applyFill="1" applyBorder="1" applyAlignment="1">
      <alignment horizontal="center" vertical="center" wrapText="1"/>
    </xf>
    <xf numFmtId="0" fontId="14" fillId="3" borderId="18" xfId="0" applyFont="1" applyFill="1" applyBorder="1" applyAlignment="1">
      <alignment horizontal="center" vertical="center"/>
    </xf>
    <xf numFmtId="0" fontId="14" fillId="3" borderId="20" xfId="0" applyFont="1" applyFill="1" applyBorder="1" applyAlignment="1">
      <alignment horizontal="center" vertical="center"/>
    </xf>
    <xf numFmtId="0" fontId="0" fillId="3" borderId="18" xfId="0" applyFill="1" applyBorder="1" applyAlignment="1">
      <alignment horizontal="center" vertical="center"/>
    </xf>
    <xf numFmtId="0" fontId="0" fillId="3" borderId="19" xfId="0" applyFill="1" applyBorder="1" applyAlignment="1">
      <alignment horizontal="center" vertical="center"/>
    </xf>
    <xf numFmtId="0" fontId="14" fillId="3" borderId="14" xfId="0" applyFont="1" applyFill="1" applyBorder="1" applyAlignment="1">
      <alignment horizontal="center" vertical="center"/>
    </xf>
    <xf numFmtId="0" fontId="14" fillId="3" borderId="16" xfId="0" applyFont="1" applyFill="1" applyBorder="1" applyAlignment="1">
      <alignment horizontal="center" vertical="center"/>
    </xf>
    <xf numFmtId="0" fontId="14" fillId="3" borderId="19" xfId="0" applyFont="1" applyFill="1" applyBorder="1" applyAlignment="1">
      <alignment horizontal="center" vertical="center"/>
    </xf>
    <xf numFmtId="0" fontId="0" fillId="3" borderId="0" xfId="0" applyFill="1" applyAlignment="1">
      <alignment horizontal="left"/>
    </xf>
    <xf numFmtId="0" fontId="14" fillId="3" borderId="18" xfId="0" applyFont="1" applyFill="1" applyBorder="1" applyAlignment="1">
      <alignment horizontal="center" vertical="center" wrapText="1"/>
    </xf>
    <xf numFmtId="0" fontId="14" fillId="3" borderId="20" xfId="0" applyFont="1" applyFill="1" applyBorder="1" applyAlignment="1">
      <alignment horizontal="center" vertical="center" wrapText="1"/>
    </xf>
    <xf numFmtId="0" fontId="17" fillId="3" borderId="14" xfId="0" applyFont="1" applyFill="1" applyBorder="1" applyAlignment="1">
      <alignment horizontal="center" vertical="center" wrapText="1"/>
    </xf>
    <xf numFmtId="0" fontId="17" fillId="3" borderId="16" xfId="0" applyFont="1" applyFill="1" applyBorder="1" applyAlignment="1">
      <alignment horizontal="center" vertical="center" wrapText="1"/>
    </xf>
    <xf numFmtId="0" fontId="16" fillId="3" borderId="18" xfId="0" applyFont="1" applyFill="1" applyBorder="1" applyAlignment="1">
      <alignment horizontal="center" vertical="center" wrapText="1"/>
    </xf>
    <xf numFmtId="0" fontId="16" fillId="3" borderId="20" xfId="0" applyFont="1" applyFill="1" applyBorder="1" applyAlignment="1">
      <alignment horizontal="center" vertical="center" wrapText="1"/>
    </xf>
    <xf numFmtId="0" fontId="14" fillId="3" borderId="19" xfId="0" applyFont="1" applyFill="1" applyBorder="1" applyAlignment="1">
      <alignment horizontal="center" vertical="center" wrapText="1"/>
    </xf>
    <xf numFmtId="0" fontId="14" fillId="3" borderId="14" xfId="0" applyFont="1" applyFill="1" applyBorder="1" applyAlignment="1">
      <alignment horizontal="center" vertical="center" wrapText="1"/>
    </xf>
    <xf numFmtId="0" fontId="14" fillId="3" borderId="24" xfId="0" applyFont="1" applyFill="1" applyBorder="1" applyAlignment="1">
      <alignment horizontal="center" vertical="center" wrapText="1"/>
    </xf>
  </cellXfs>
  <cellStyles count="4">
    <cellStyle name="Millares" xfId="3" builtinId="3"/>
    <cellStyle name="Moneda" xfId="1" builtinId="4"/>
    <cellStyle name="Moneda 2" xfId="2" xr:uid="{00000000-0005-0000-0000-000002000000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66675</xdr:colOff>
      <xdr:row>0</xdr:row>
      <xdr:rowOff>104775</xdr:rowOff>
    </xdr:from>
    <xdr:to>
      <xdr:col>0</xdr:col>
      <xdr:colOff>2228850</xdr:colOff>
      <xdr:row>3</xdr:row>
      <xdr:rowOff>361950</xdr:rowOff>
    </xdr:to>
    <xdr:pic>
      <xdr:nvPicPr>
        <xdr:cNvPr id="4" name="1 Imagen" descr="C:\Users\Particular\Desktop\NATI\CONSORCIOS RC\WhatsApp Image 2020-12-10 at 14.53.20.jpeg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675" y="104775"/>
          <a:ext cx="2162175" cy="83820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37"/>
  <sheetViews>
    <sheetView tabSelected="1" topLeftCell="A29" workbookViewId="0">
      <selection activeCell="B125" sqref="B125"/>
    </sheetView>
  </sheetViews>
  <sheetFormatPr baseColWidth="10" defaultRowHeight="15" x14ac:dyDescent="0.25"/>
  <cols>
    <col min="1" max="1" width="37.5703125" customWidth="1"/>
    <col min="2" max="2" width="24.7109375" customWidth="1"/>
    <col min="3" max="3" width="15.85546875" hidden="1" customWidth="1"/>
    <col min="4" max="4" width="21.7109375" customWidth="1"/>
    <col min="5" max="5" width="14.7109375" customWidth="1"/>
    <col min="6" max="6" width="13" bestFit="1" customWidth="1"/>
    <col min="7" max="7" width="14.5703125" bestFit="1" customWidth="1"/>
    <col min="11" max="11" width="18" customWidth="1"/>
    <col min="12" max="12" width="18.28515625" customWidth="1"/>
  </cols>
  <sheetData>
    <row r="1" spans="1:5" ht="15.75" thickBot="1" x14ac:dyDescent="0.3">
      <c r="A1" s="6"/>
      <c r="B1" s="31"/>
      <c r="C1" s="6"/>
      <c r="D1" s="6"/>
      <c r="E1" s="6"/>
    </row>
    <row r="2" spans="1:5" x14ac:dyDescent="0.25">
      <c r="A2" s="15"/>
      <c r="B2" s="74" t="s">
        <v>118</v>
      </c>
      <c r="C2" s="74"/>
      <c r="D2" s="74"/>
      <c r="E2" s="75"/>
    </row>
    <row r="3" spans="1:5" x14ac:dyDescent="0.25">
      <c r="A3" s="16"/>
      <c r="B3" s="76" t="s">
        <v>50</v>
      </c>
      <c r="C3" s="76"/>
      <c r="D3" s="76"/>
      <c r="E3" s="77"/>
    </row>
    <row r="4" spans="1:5" ht="32.25" customHeight="1" thickBot="1" x14ac:dyDescent="0.3">
      <c r="A4" s="16"/>
      <c r="B4" s="116" t="s">
        <v>116</v>
      </c>
      <c r="C4" s="76"/>
      <c r="D4" s="115" t="s">
        <v>47</v>
      </c>
      <c r="E4" s="77"/>
    </row>
    <row r="5" spans="1:5" ht="15.75" thickBot="1" x14ac:dyDescent="0.3">
      <c r="A5" s="19" t="s">
        <v>0</v>
      </c>
      <c r="B5" s="114" t="s">
        <v>64</v>
      </c>
      <c r="C5" s="20"/>
      <c r="D5" s="20"/>
      <c r="E5" s="21"/>
    </row>
    <row r="6" spans="1:5" ht="15.75" thickBot="1" x14ac:dyDescent="0.3">
      <c r="A6" s="16" t="s">
        <v>71</v>
      </c>
      <c r="B6" s="20" t="s">
        <v>199</v>
      </c>
      <c r="C6" s="17"/>
      <c r="D6" s="76" t="s">
        <v>51</v>
      </c>
      <c r="E6" s="18"/>
    </row>
    <row r="7" spans="1:5" ht="15.75" thickBot="1" x14ac:dyDescent="0.3">
      <c r="A7" s="19" t="s">
        <v>72</v>
      </c>
      <c r="B7" s="20"/>
      <c r="C7" s="20"/>
      <c r="D7" s="20" t="s">
        <v>52</v>
      </c>
      <c r="E7" s="21"/>
    </row>
    <row r="9" spans="1:5" x14ac:dyDescent="0.25">
      <c r="B9" s="220" t="s">
        <v>198</v>
      </c>
      <c r="C9" s="220"/>
    </row>
    <row r="10" spans="1:5" x14ac:dyDescent="0.25">
      <c r="B10" s="220"/>
      <c r="C10" s="220"/>
    </row>
    <row r="11" spans="1:5" x14ac:dyDescent="0.25">
      <c r="B11" s="220"/>
      <c r="C11" s="220"/>
    </row>
    <row r="13" spans="1:5" hidden="1" x14ac:dyDescent="0.25"/>
    <row r="14" spans="1:5" ht="15" customHeight="1" x14ac:dyDescent="0.25">
      <c r="A14" s="219" t="s">
        <v>70</v>
      </c>
      <c r="B14" s="219"/>
      <c r="C14" s="219"/>
      <c r="D14" s="219"/>
      <c r="E14" s="219"/>
    </row>
    <row r="15" spans="1:5" ht="15" customHeight="1" x14ac:dyDescent="0.25">
      <c r="A15" s="219"/>
      <c r="B15" s="219"/>
      <c r="C15" s="219"/>
      <c r="D15" s="219"/>
      <c r="E15" s="219"/>
    </row>
    <row r="16" spans="1:5" ht="15" customHeight="1" x14ac:dyDescent="0.25">
      <c r="A16" s="219"/>
      <c r="B16" s="219"/>
      <c r="C16" s="219"/>
      <c r="D16" s="219"/>
      <c r="E16" s="219"/>
    </row>
    <row r="17" spans="1:7" ht="53.25" customHeight="1" x14ac:dyDescent="0.25">
      <c r="A17" s="219"/>
      <c r="B17" s="219"/>
      <c r="C17" s="219"/>
      <c r="D17" s="219"/>
      <c r="E17" s="219"/>
    </row>
    <row r="18" spans="1:7" ht="14.25" customHeight="1" thickBot="1" x14ac:dyDescent="0.3"/>
    <row r="19" spans="1:7" hidden="1" x14ac:dyDescent="0.25">
      <c r="A19" s="2"/>
    </row>
    <row r="20" spans="1:7" ht="15.75" hidden="1" thickBot="1" x14ac:dyDescent="0.3"/>
    <row r="21" spans="1:7" x14ac:dyDescent="0.25">
      <c r="A21" s="11" t="s">
        <v>26</v>
      </c>
      <c r="B21" s="12"/>
      <c r="C21" s="13"/>
      <c r="D21" s="9"/>
      <c r="E21" s="14"/>
    </row>
    <row r="22" spans="1:7" x14ac:dyDescent="0.25">
      <c r="A22" s="37" t="s">
        <v>57</v>
      </c>
      <c r="B22" s="37"/>
      <c r="C22" s="37"/>
      <c r="D22" s="36"/>
      <c r="E22" s="36"/>
    </row>
    <row r="23" spans="1:7" ht="12.75" customHeight="1" x14ac:dyDescent="0.25">
      <c r="A23" s="5" t="s">
        <v>162</v>
      </c>
      <c r="B23" s="5"/>
      <c r="C23" s="5"/>
      <c r="D23" s="169">
        <v>1227647</v>
      </c>
      <c r="E23" s="5"/>
    </row>
    <row r="24" spans="1:7" hidden="1" x14ac:dyDescent="0.25">
      <c r="A24" s="5"/>
      <c r="B24" s="5"/>
      <c r="C24" s="5"/>
      <c r="D24" s="169"/>
      <c r="E24" s="5"/>
    </row>
    <row r="25" spans="1:7" hidden="1" x14ac:dyDescent="0.25">
      <c r="A25" s="5"/>
      <c r="B25" s="5"/>
      <c r="C25" s="5"/>
      <c r="D25" s="169"/>
      <c r="E25" s="5"/>
    </row>
    <row r="26" spans="1:7" hidden="1" x14ac:dyDescent="0.25">
      <c r="A26" s="5" t="s">
        <v>58</v>
      </c>
      <c r="B26" s="5"/>
      <c r="C26" s="5"/>
      <c r="D26" s="169">
        <v>0</v>
      </c>
      <c r="E26" s="5"/>
    </row>
    <row r="27" spans="1:7" hidden="1" x14ac:dyDescent="0.25">
      <c r="A27" s="5"/>
      <c r="B27" s="5"/>
      <c r="C27" s="5"/>
      <c r="D27" s="169"/>
      <c r="E27" s="5"/>
      <c r="G27" s="22"/>
    </row>
    <row r="28" spans="1:7" x14ac:dyDescent="0.25">
      <c r="A28" s="61" t="s">
        <v>59</v>
      </c>
      <c r="B28" s="61"/>
      <c r="C28" s="61"/>
      <c r="D28" s="170">
        <f>SUM(D23:D27)</f>
        <v>1227647</v>
      </c>
      <c r="E28" s="171"/>
      <c r="G28" s="22">
        <f>D28+D37</f>
        <v>2231706</v>
      </c>
    </row>
    <row r="29" spans="1:7" ht="14.25" customHeight="1" x14ac:dyDescent="0.25">
      <c r="A29" s="5" t="s">
        <v>163</v>
      </c>
      <c r="B29" s="5"/>
      <c r="C29" s="5"/>
      <c r="D29" s="169">
        <v>1004059</v>
      </c>
      <c r="E29" s="5"/>
    </row>
    <row r="30" spans="1:7" hidden="1" x14ac:dyDescent="0.25">
      <c r="A30" s="29"/>
      <c r="B30" s="5"/>
      <c r="C30" s="5"/>
      <c r="D30" s="169"/>
      <c r="E30" s="5"/>
    </row>
    <row r="31" spans="1:7" hidden="1" x14ac:dyDescent="0.25">
      <c r="A31" s="5"/>
      <c r="B31" s="5"/>
      <c r="C31" s="5"/>
      <c r="D31" s="169"/>
      <c r="E31" s="5"/>
    </row>
    <row r="32" spans="1:7" hidden="1" x14ac:dyDescent="0.25">
      <c r="A32" s="5"/>
      <c r="B32" s="5"/>
      <c r="C32" s="5"/>
      <c r="D32" s="172"/>
      <c r="E32" s="5"/>
    </row>
    <row r="33" spans="1:7" ht="0.75" hidden="1" customHeight="1" x14ac:dyDescent="0.25">
      <c r="A33" s="5" t="s">
        <v>66</v>
      </c>
      <c r="B33" s="5"/>
      <c r="C33" s="5"/>
      <c r="D33" s="172"/>
      <c r="E33" s="5"/>
    </row>
    <row r="34" spans="1:7" hidden="1" x14ac:dyDescent="0.25">
      <c r="A34" s="5" t="s">
        <v>65</v>
      </c>
      <c r="B34" s="5"/>
      <c r="C34" s="5"/>
      <c r="D34" s="172"/>
      <c r="E34" s="5"/>
    </row>
    <row r="35" spans="1:7" hidden="1" x14ac:dyDescent="0.25">
      <c r="A35" s="5" t="s">
        <v>60</v>
      </c>
      <c r="B35" s="5"/>
      <c r="C35" s="5"/>
      <c r="D35" s="172">
        <v>0</v>
      </c>
      <c r="E35" s="5"/>
    </row>
    <row r="36" spans="1:7" hidden="1" x14ac:dyDescent="0.25">
      <c r="A36" s="5"/>
      <c r="B36" s="5"/>
      <c r="C36" s="5"/>
      <c r="D36" s="172"/>
      <c r="E36" s="5"/>
    </row>
    <row r="37" spans="1:7" x14ac:dyDescent="0.25">
      <c r="A37" s="61" t="s">
        <v>59</v>
      </c>
      <c r="B37" s="61"/>
      <c r="C37" s="61"/>
      <c r="D37" s="173">
        <f>SUM(D29:D36)</f>
        <v>1004059</v>
      </c>
      <c r="E37" s="171"/>
    </row>
    <row r="38" spans="1:7" ht="15.75" thickBot="1" x14ac:dyDescent="0.3">
      <c r="A38" s="30" t="s">
        <v>1</v>
      </c>
      <c r="B38" s="30"/>
      <c r="C38" s="30"/>
      <c r="D38" s="174"/>
      <c r="E38" s="175">
        <f>D28+D37</f>
        <v>2231706</v>
      </c>
      <c r="F38" s="22"/>
    </row>
    <row r="39" spans="1:7" x14ac:dyDescent="0.25">
      <c r="A39" s="37" t="s">
        <v>39</v>
      </c>
      <c r="B39" s="37"/>
      <c r="C39" s="37"/>
      <c r="D39" s="176"/>
      <c r="E39" s="177"/>
    </row>
    <row r="40" spans="1:7" ht="48.75" customHeight="1" x14ac:dyDescent="0.25">
      <c r="A40" s="209" t="s">
        <v>207</v>
      </c>
      <c r="B40" s="210"/>
      <c r="C40" s="55"/>
      <c r="D40" s="169">
        <v>150000</v>
      </c>
      <c r="E40" s="178" t="s">
        <v>208</v>
      </c>
    </row>
    <row r="41" spans="1:7" ht="57" customHeight="1" thickBot="1" x14ac:dyDescent="0.3">
      <c r="A41" s="209" t="s">
        <v>206</v>
      </c>
      <c r="B41" s="210"/>
      <c r="C41" s="55"/>
      <c r="D41" s="169">
        <v>460000</v>
      </c>
      <c r="E41" s="178" t="str">
        <f>E40</f>
        <v>Transf 13/02</v>
      </c>
    </row>
    <row r="42" spans="1:7" ht="15.75" thickBot="1" x14ac:dyDescent="0.3">
      <c r="A42" s="30" t="s">
        <v>33</v>
      </c>
      <c r="B42" s="30"/>
      <c r="C42" s="30"/>
      <c r="D42" s="179"/>
      <c r="E42" s="180">
        <f>SUM(D40:D41)</f>
        <v>610000</v>
      </c>
    </row>
    <row r="43" spans="1:7" x14ac:dyDescent="0.25">
      <c r="A43" s="37" t="s">
        <v>54</v>
      </c>
      <c r="B43" s="30"/>
      <c r="C43" s="30"/>
      <c r="D43" s="181"/>
      <c r="E43" s="182"/>
    </row>
    <row r="44" spans="1:7" s="40" customFormat="1" ht="14.25" customHeight="1" x14ac:dyDescent="0.25">
      <c r="A44" s="207" t="s">
        <v>170</v>
      </c>
      <c r="B44" s="208"/>
      <c r="C44" s="57"/>
      <c r="D44" s="183">
        <v>120974</v>
      </c>
      <c r="E44" s="184" t="s">
        <v>205</v>
      </c>
    </row>
    <row r="45" spans="1:7" ht="14.25" customHeight="1" x14ac:dyDescent="0.25">
      <c r="A45" s="207"/>
      <c r="B45" s="208"/>
      <c r="C45" s="57"/>
      <c r="D45" s="185"/>
      <c r="E45" s="184"/>
    </row>
    <row r="46" spans="1:7" ht="15.75" thickBot="1" x14ac:dyDescent="0.3">
      <c r="A46" s="30" t="s">
        <v>2</v>
      </c>
      <c r="B46" s="30"/>
      <c r="C46" s="30"/>
      <c r="D46" s="179"/>
      <c r="E46" s="186">
        <f>SUM(D44:D45)</f>
        <v>120974</v>
      </c>
    </row>
    <row r="47" spans="1:7" x14ac:dyDescent="0.25">
      <c r="A47" s="37" t="s">
        <v>34</v>
      </c>
      <c r="B47" s="187"/>
      <c r="C47" s="187"/>
      <c r="D47" s="188"/>
      <c r="E47" s="189"/>
    </row>
    <row r="48" spans="1:7" x14ac:dyDescent="0.25">
      <c r="A48" s="5" t="s">
        <v>174</v>
      </c>
      <c r="B48" s="5"/>
      <c r="C48" s="55"/>
      <c r="D48" s="38">
        <v>1425903.02</v>
      </c>
      <c r="E48" s="190" t="s">
        <v>204</v>
      </c>
      <c r="G48" s="148"/>
    </row>
    <row r="49" spans="1:5" x14ac:dyDescent="0.25">
      <c r="A49" s="5" t="s">
        <v>200</v>
      </c>
      <c r="B49" s="5" t="s">
        <v>38</v>
      </c>
      <c r="C49" s="5"/>
      <c r="D49" s="191">
        <v>130033.66</v>
      </c>
      <c r="E49" s="192" t="s">
        <v>202</v>
      </c>
    </row>
    <row r="50" spans="1:5" x14ac:dyDescent="0.25">
      <c r="A50" s="5" t="str">
        <f>A49</f>
        <v>Sindicatos mes de MARZO</v>
      </c>
      <c r="B50" s="5" t="s">
        <v>68</v>
      </c>
      <c r="C50" s="5"/>
      <c r="D50" s="191">
        <v>263175.12</v>
      </c>
      <c r="E50" s="192" t="str">
        <f>E49</f>
        <v>Debito 12/03</v>
      </c>
    </row>
    <row r="51" spans="1:5" x14ac:dyDescent="0.25">
      <c r="A51" s="5" t="str">
        <f>A50</f>
        <v>Sindicatos mes de MARZO</v>
      </c>
      <c r="B51" s="5" t="s">
        <v>37</v>
      </c>
      <c r="C51" s="5"/>
      <c r="D51" s="191">
        <v>14448.18</v>
      </c>
      <c r="E51" s="193" t="str">
        <f>E50</f>
        <v>Debito 12/03</v>
      </c>
    </row>
    <row r="52" spans="1:5" ht="15" customHeight="1" thickBot="1" x14ac:dyDescent="0.3">
      <c r="A52" s="30" t="s">
        <v>3</v>
      </c>
      <c r="B52" s="187"/>
      <c r="C52" s="187"/>
      <c r="D52" s="194"/>
      <c r="E52" s="186">
        <f>SUM(D48:D51)</f>
        <v>1833559.9799999997</v>
      </c>
    </row>
    <row r="53" spans="1:5" x14ac:dyDescent="0.25">
      <c r="A53" s="37" t="s">
        <v>36</v>
      </c>
      <c r="B53" s="187"/>
      <c r="C53" s="187"/>
      <c r="D53" s="188"/>
      <c r="E53" s="189"/>
    </row>
    <row r="54" spans="1:5" ht="14.25" customHeight="1" x14ac:dyDescent="0.25">
      <c r="A54" s="5" t="s">
        <v>164</v>
      </c>
      <c r="B54" s="5"/>
      <c r="C54" s="5"/>
      <c r="D54" s="191">
        <v>684571.44</v>
      </c>
      <c r="E54" s="195" t="s">
        <v>203</v>
      </c>
    </row>
    <row r="55" spans="1:5" ht="14.25" customHeight="1" x14ac:dyDescent="0.25">
      <c r="A55" s="5" t="s">
        <v>165</v>
      </c>
      <c r="B55" s="5"/>
      <c r="C55" s="5"/>
      <c r="D55" s="191">
        <v>22935.54</v>
      </c>
      <c r="E55" s="195" t="str">
        <f>E54</f>
        <v>PMC 10/03</v>
      </c>
    </row>
    <row r="56" spans="1:5" x14ac:dyDescent="0.25">
      <c r="A56" s="5" t="s">
        <v>166</v>
      </c>
      <c r="B56" s="5"/>
      <c r="C56" s="5"/>
      <c r="D56" s="191">
        <v>16991</v>
      </c>
      <c r="E56" s="195" t="str">
        <f>E55</f>
        <v>PMC 10/03</v>
      </c>
    </row>
    <row r="57" spans="1:5" x14ac:dyDescent="0.25">
      <c r="A57" s="5" t="s">
        <v>167</v>
      </c>
      <c r="B57" s="5"/>
      <c r="C57" s="5"/>
      <c r="D57" s="191">
        <v>11712.22</v>
      </c>
      <c r="E57" s="195" t="str">
        <f>E56</f>
        <v>PMC 10/03</v>
      </c>
    </row>
    <row r="58" spans="1:5" x14ac:dyDescent="0.25">
      <c r="A58" s="5" t="s">
        <v>168</v>
      </c>
      <c r="B58" s="5"/>
      <c r="C58" s="5"/>
      <c r="D58" s="191">
        <f>8218.47</f>
        <v>8218.4699999999993</v>
      </c>
      <c r="E58" s="195" t="s">
        <v>209</v>
      </c>
    </row>
    <row r="59" spans="1:5" x14ac:dyDescent="0.25">
      <c r="A59" s="5" t="s">
        <v>228</v>
      </c>
      <c r="B59" s="5"/>
      <c r="C59" s="5"/>
      <c r="D59" s="191">
        <v>571923.57999999996</v>
      </c>
      <c r="E59" s="196" t="s">
        <v>227</v>
      </c>
    </row>
    <row r="60" spans="1:5" ht="28.5" customHeight="1" x14ac:dyDescent="0.25">
      <c r="A60" s="221" t="s">
        <v>229</v>
      </c>
      <c r="B60" s="222"/>
      <c r="C60" s="222"/>
      <c r="D60" s="222"/>
      <c r="E60" s="223"/>
    </row>
    <row r="61" spans="1:5" x14ac:dyDescent="0.25">
      <c r="A61" s="5" t="s">
        <v>169</v>
      </c>
      <c r="B61" s="5"/>
      <c r="C61" s="5"/>
      <c r="D61" s="191">
        <v>13674.01</v>
      </c>
      <c r="E61" s="197" t="s">
        <v>213</v>
      </c>
    </row>
    <row r="62" spans="1:5" x14ac:dyDescent="0.25">
      <c r="A62" s="207" t="s">
        <v>172</v>
      </c>
      <c r="B62" s="208"/>
      <c r="C62" s="5"/>
      <c r="D62" s="191">
        <v>2285959.92</v>
      </c>
      <c r="E62" s="198" t="s">
        <v>204</v>
      </c>
    </row>
    <row r="63" spans="1:5" ht="17.25" customHeight="1" x14ac:dyDescent="0.25">
      <c r="A63" s="207"/>
      <c r="B63" s="208"/>
      <c r="C63" s="199"/>
      <c r="D63" s="217"/>
      <c r="E63" s="218"/>
    </row>
    <row r="64" spans="1:5" ht="15.75" thickBot="1" x14ac:dyDescent="0.3">
      <c r="A64" s="30" t="s">
        <v>4</v>
      </c>
      <c r="B64" s="30"/>
      <c r="C64" s="30"/>
      <c r="D64" s="179"/>
      <c r="E64" s="186">
        <f>SUM(D54:D63)</f>
        <v>3615986.1799999997</v>
      </c>
    </row>
    <row r="65" spans="1:10" ht="15" customHeight="1" thickBot="1" x14ac:dyDescent="0.3">
      <c r="A65" s="37" t="s">
        <v>35</v>
      </c>
      <c r="B65" s="30"/>
      <c r="C65" s="30"/>
      <c r="D65" s="179"/>
      <c r="E65" s="200"/>
    </row>
    <row r="66" spans="1:10" ht="43.5" customHeight="1" x14ac:dyDescent="0.25">
      <c r="A66" s="215" t="s">
        <v>223</v>
      </c>
      <c r="B66" s="216"/>
      <c r="C66" s="58"/>
      <c r="D66" s="191">
        <v>300000</v>
      </c>
      <c r="E66" s="42" t="s">
        <v>222</v>
      </c>
    </row>
    <row r="67" spans="1:10" x14ac:dyDescent="0.25">
      <c r="A67" s="5" t="s">
        <v>214</v>
      </c>
      <c r="B67" s="5"/>
      <c r="C67" s="5"/>
      <c r="D67" s="191">
        <v>49400</v>
      </c>
      <c r="E67" s="201" t="s">
        <v>215</v>
      </c>
    </row>
    <row r="68" spans="1:10" ht="31.5" customHeight="1" x14ac:dyDescent="0.25">
      <c r="A68" s="207" t="s">
        <v>210</v>
      </c>
      <c r="B68" s="208"/>
      <c r="C68" s="5"/>
      <c r="D68" s="191">
        <v>300000</v>
      </c>
      <c r="E68" s="201" t="s">
        <v>211</v>
      </c>
    </row>
    <row r="69" spans="1:10" ht="32.25" customHeight="1" x14ac:dyDescent="0.25">
      <c r="A69" s="209" t="s">
        <v>217</v>
      </c>
      <c r="B69" s="210"/>
      <c r="C69" s="5"/>
      <c r="D69" s="191">
        <v>76658.350000000006</v>
      </c>
      <c r="E69" s="202" t="s">
        <v>220</v>
      </c>
    </row>
    <row r="70" spans="1:10" ht="32.25" customHeight="1" x14ac:dyDescent="0.25">
      <c r="A70" s="209" t="s">
        <v>219</v>
      </c>
      <c r="B70" s="210"/>
      <c r="C70" s="5"/>
      <c r="D70" s="203">
        <v>460000</v>
      </c>
      <c r="E70" s="202" t="s">
        <v>221</v>
      </c>
    </row>
    <row r="71" spans="1:10" ht="45" customHeight="1" x14ac:dyDescent="0.25">
      <c r="A71" s="213" t="s">
        <v>218</v>
      </c>
      <c r="B71" s="214"/>
      <c r="C71" s="5"/>
      <c r="D71" s="203">
        <v>420000</v>
      </c>
      <c r="E71" s="202" t="s">
        <v>216</v>
      </c>
    </row>
    <row r="72" spans="1:10" ht="31.5" customHeight="1" x14ac:dyDescent="0.25">
      <c r="A72" s="207" t="s">
        <v>224</v>
      </c>
      <c r="B72" s="208"/>
      <c r="C72" s="5"/>
      <c r="D72" s="203">
        <v>250400</v>
      </c>
      <c r="E72" s="204" t="s">
        <v>201</v>
      </c>
      <c r="I72" s="207"/>
      <c r="J72" s="208"/>
    </row>
    <row r="73" spans="1:10" ht="15.75" thickBot="1" x14ac:dyDescent="0.3">
      <c r="A73" s="30" t="s">
        <v>11</v>
      </c>
      <c r="B73" s="37"/>
      <c r="C73" s="37"/>
      <c r="D73" s="37"/>
      <c r="E73" s="205">
        <f>SUM(D66:D72)</f>
        <v>1856458.35</v>
      </c>
    </row>
    <row r="74" spans="1:10" ht="15.75" thickBot="1" x14ac:dyDescent="0.3">
      <c r="A74" s="37" t="s">
        <v>29</v>
      </c>
      <c r="B74" s="72"/>
      <c r="C74" s="30"/>
      <c r="D74" s="174"/>
      <c r="E74" s="200"/>
    </row>
    <row r="75" spans="1:10" x14ac:dyDescent="0.25">
      <c r="A75" s="5" t="s">
        <v>29</v>
      </c>
      <c r="B75" s="5"/>
      <c r="C75" s="5"/>
      <c r="D75" s="191">
        <f>8907.49+5230.62+29148.47+20852.71+40446.28+2323.01-7800-1473.52-1710.35+10419.95+1802.27</f>
        <v>108146.93</v>
      </c>
      <c r="E75" s="206"/>
    </row>
    <row r="76" spans="1:10" x14ac:dyDescent="0.25">
      <c r="A76" s="5"/>
      <c r="B76" s="5"/>
      <c r="C76" s="5"/>
      <c r="D76" s="191"/>
      <c r="E76" s="42"/>
    </row>
    <row r="77" spans="1:10" ht="15.75" thickBot="1" x14ac:dyDescent="0.3">
      <c r="A77" s="54" t="s">
        <v>33</v>
      </c>
      <c r="B77" s="54"/>
      <c r="C77" s="54"/>
      <c r="D77" s="128"/>
      <c r="E77" s="122">
        <f>SUM(D75:D76)</f>
        <v>108146.93</v>
      </c>
    </row>
    <row r="78" spans="1:10" ht="15.75" thickBot="1" x14ac:dyDescent="0.3">
      <c r="A78" s="5"/>
      <c r="B78" s="5"/>
      <c r="C78" s="5"/>
      <c r="D78" s="121"/>
      <c r="E78" s="129"/>
    </row>
    <row r="79" spans="1:10" ht="15.75" thickBot="1" x14ac:dyDescent="0.3">
      <c r="A79" s="32" t="s">
        <v>189</v>
      </c>
      <c r="B79" s="32"/>
      <c r="C79" s="32"/>
      <c r="D79" s="130"/>
      <c r="E79" s="131">
        <v>1000000</v>
      </c>
    </row>
    <row r="80" spans="1:10" ht="15.75" thickBot="1" x14ac:dyDescent="0.3">
      <c r="A80" s="1"/>
      <c r="D80" s="132"/>
      <c r="E80" s="133"/>
      <c r="F80" s="46"/>
    </row>
    <row r="81" spans="1:7" ht="15.75" thickBot="1" x14ac:dyDescent="0.3">
      <c r="A81" s="3" t="s">
        <v>30</v>
      </c>
      <c r="B81" s="10"/>
      <c r="C81" s="4"/>
      <c r="D81" s="134"/>
      <c r="E81" s="135">
        <f>(SUM(E31:E79))</f>
        <v>11376831.439999999</v>
      </c>
      <c r="F81" s="166"/>
      <c r="G81" s="46"/>
    </row>
    <row r="82" spans="1:7" x14ac:dyDescent="0.25">
      <c r="D82" s="132"/>
      <c r="E82" s="132"/>
    </row>
    <row r="83" spans="1:7" ht="15.75" thickBot="1" x14ac:dyDescent="0.3">
      <c r="D83" s="132"/>
      <c r="E83" s="132"/>
    </row>
    <row r="84" spans="1:7" x14ac:dyDescent="0.25">
      <c r="A84" s="11" t="s">
        <v>171</v>
      </c>
      <c r="B84" s="12"/>
      <c r="C84" s="13"/>
      <c r="D84" s="136"/>
      <c r="E84" s="137"/>
    </row>
    <row r="85" spans="1:7" x14ac:dyDescent="0.25">
      <c r="A85" s="207"/>
      <c r="B85" s="208"/>
      <c r="C85" s="5"/>
      <c r="D85" s="153"/>
      <c r="E85" s="123"/>
    </row>
    <row r="86" spans="1:7" x14ac:dyDescent="0.25">
      <c r="A86" s="207"/>
      <c r="B86" s="208"/>
      <c r="C86" s="5"/>
      <c r="D86" s="125"/>
      <c r="E86" s="123"/>
    </row>
    <row r="87" spans="1:7" ht="15.75" customHeight="1" x14ac:dyDescent="0.25">
      <c r="A87" s="209"/>
      <c r="B87" s="210"/>
      <c r="C87" s="5"/>
      <c r="D87" s="125"/>
      <c r="E87" s="123"/>
    </row>
    <row r="88" spans="1:7" x14ac:dyDescent="0.25">
      <c r="A88" s="124"/>
      <c r="B88" s="126"/>
      <c r="C88" s="5"/>
      <c r="D88" s="125"/>
      <c r="E88" s="123"/>
    </row>
    <row r="89" spans="1:7" x14ac:dyDescent="0.25">
      <c r="A89" s="52"/>
      <c r="B89" s="51"/>
      <c r="C89" s="51"/>
      <c r="D89" s="62"/>
      <c r="E89" s="62">
        <f>SUM(D85:D88)</f>
        <v>0</v>
      </c>
    </row>
    <row r="90" spans="1:7" ht="15" customHeight="1" x14ac:dyDescent="0.25"/>
    <row r="91" spans="1:7" ht="15.75" hidden="1" thickBot="1" x14ac:dyDescent="0.3"/>
    <row r="92" spans="1:7" ht="15.75" thickBot="1" x14ac:dyDescent="0.3">
      <c r="A92" s="32" t="s">
        <v>40</v>
      </c>
      <c r="B92" s="32"/>
      <c r="C92" s="32"/>
      <c r="D92" s="33"/>
      <c r="E92" s="120"/>
    </row>
    <row r="93" spans="1:7" ht="15.75" thickBot="1" x14ac:dyDescent="0.3"/>
    <row r="94" spans="1:7" ht="15.75" thickBot="1" x14ac:dyDescent="0.3">
      <c r="A94" s="3" t="s">
        <v>41</v>
      </c>
      <c r="B94" s="10"/>
      <c r="C94" s="4"/>
      <c r="D94" s="4"/>
      <c r="E94" s="73">
        <f>E89+E92</f>
        <v>0</v>
      </c>
    </row>
    <row r="95" spans="1:7" ht="15.75" thickBot="1" x14ac:dyDescent="0.3"/>
    <row r="96" spans="1:7" ht="15.75" thickBot="1" x14ac:dyDescent="0.3">
      <c r="A96" s="117" t="s">
        <v>31</v>
      </c>
      <c r="B96" s="118">
        <f>E81</f>
        <v>11376831.439999999</v>
      </c>
    </row>
    <row r="97" spans="1:5" ht="15.75" thickBot="1" x14ac:dyDescent="0.3">
      <c r="A97" s="117" t="s">
        <v>32</v>
      </c>
      <c r="B97" s="118">
        <f>E81-E79</f>
        <v>10376831.439999999</v>
      </c>
    </row>
    <row r="98" spans="1:5" ht="15.75" thickBot="1" x14ac:dyDescent="0.3">
      <c r="A98" s="117" t="s">
        <v>42</v>
      </c>
      <c r="B98" s="118">
        <f>E94-E92</f>
        <v>0</v>
      </c>
    </row>
    <row r="99" spans="1:5" ht="15.75" thickBot="1" x14ac:dyDescent="0.3">
      <c r="A99" s="117" t="s">
        <v>67</v>
      </c>
      <c r="B99" s="118">
        <f>E94</f>
        <v>0</v>
      </c>
    </row>
    <row r="100" spans="1:5" ht="73.5" customHeight="1" x14ac:dyDescent="0.25"/>
    <row r="101" spans="1:5" ht="34.5" hidden="1" customHeight="1" x14ac:dyDescent="0.25"/>
    <row r="102" spans="1:5" hidden="1" x14ac:dyDescent="0.25">
      <c r="A102" s="211"/>
      <c r="B102" s="211"/>
      <c r="C102" s="211"/>
      <c r="D102" s="211"/>
      <c r="E102" s="211"/>
    </row>
    <row r="103" spans="1:5" ht="106.5" hidden="1" customHeight="1" x14ac:dyDescent="0.25">
      <c r="A103" s="211"/>
      <c r="B103" s="211"/>
      <c r="C103" s="211"/>
      <c r="D103" s="211"/>
      <c r="E103" s="211"/>
    </row>
    <row r="104" spans="1:5" ht="15.75" hidden="1" customHeight="1" x14ac:dyDescent="0.25">
      <c r="A104" s="211"/>
      <c r="B104" s="211"/>
      <c r="C104" s="211"/>
      <c r="D104" s="211"/>
      <c r="E104" s="211"/>
    </row>
    <row r="106" spans="1:5" ht="0.75" customHeight="1" x14ac:dyDescent="0.25">
      <c r="A106" s="23" t="s">
        <v>56</v>
      </c>
      <c r="B106" s="149"/>
      <c r="C106" s="24"/>
    </row>
    <row r="107" spans="1:5" hidden="1" x14ac:dyDescent="0.25">
      <c r="A107" s="35"/>
      <c r="B107" s="63">
        <v>0</v>
      </c>
      <c r="C107" s="26"/>
    </row>
    <row r="108" spans="1:5" ht="14.25" hidden="1" customHeight="1" x14ac:dyDescent="0.25">
      <c r="A108" s="25" t="s">
        <v>9</v>
      </c>
      <c r="B108" s="42">
        <f>PRORRATEO!I81</f>
        <v>9620855.1599999983</v>
      </c>
      <c r="C108" s="24"/>
    </row>
    <row r="109" spans="1:5" hidden="1" x14ac:dyDescent="0.25">
      <c r="A109" s="25"/>
      <c r="B109" s="42">
        <v>0</v>
      </c>
      <c r="C109" s="24"/>
    </row>
    <row r="110" spans="1:5" hidden="1" x14ac:dyDescent="0.25">
      <c r="A110" s="25" t="s">
        <v>69</v>
      </c>
      <c r="B110" s="127">
        <f>B132</f>
        <v>0</v>
      </c>
      <c r="C110" s="24"/>
    </row>
    <row r="111" spans="1:5" hidden="1" x14ac:dyDescent="0.25">
      <c r="A111" s="28"/>
      <c r="B111" s="50"/>
      <c r="C111" s="24"/>
    </row>
    <row r="112" spans="1:5" hidden="1" x14ac:dyDescent="0.25">
      <c r="A112" s="143" t="s">
        <v>173</v>
      </c>
      <c r="B112" s="50"/>
      <c r="C112" s="24"/>
    </row>
    <row r="113" spans="1:6" hidden="1" x14ac:dyDescent="0.25">
      <c r="A113" s="41" t="s">
        <v>43</v>
      </c>
      <c r="B113" s="50">
        <f>-B97</f>
        <v>-10376831.439999999</v>
      </c>
      <c r="C113" s="24"/>
    </row>
    <row r="114" spans="1:6" hidden="1" x14ac:dyDescent="0.25">
      <c r="A114" s="28" t="s">
        <v>44</v>
      </c>
      <c r="B114" s="50">
        <f>-(B98)</f>
        <v>0</v>
      </c>
      <c r="C114" s="24"/>
    </row>
    <row r="115" spans="1:6" hidden="1" x14ac:dyDescent="0.25">
      <c r="A115" s="34" t="s">
        <v>11</v>
      </c>
      <c r="B115" s="63">
        <f>SUM(B107:B114)</f>
        <v>-755976.28000000119</v>
      </c>
      <c r="C115" s="27"/>
      <c r="D115" s="46"/>
    </row>
    <row r="116" spans="1:6" ht="34.5" hidden="1" customHeight="1" x14ac:dyDescent="0.25">
      <c r="B116" s="43"/>
      <c r="C116" s="27"/>
      <c r="D116" s="46"/>
      <c r="E116" s="150"/>
      <c r="F116" s="151"/>
    </row>
    <row r="117" spans="1:6" ht="14.25" hidden="1" customHeight="1" x14ac:dyDescent="0.25">
      <c r="B117" s="44"/>
      <c r="C117" s="27"/>
    </row>
    <row r="118" spans="1:6" s="40" customFormat="1" ht="27" hidden="1" customHeight="1" x14ac:dyDescent="0.25">
      <c r="A118"/>
      <c r="B118" s="43"/>
      <c r="C118" s="39"/>
    </row>
    <row r="119" spans="1:6" s="40" customFormat="1" x14ac:dyDescent="0.25">
      <c r="A119" s="156" t="s">
        <v>191</v>
      </c>
      <c r="B119" s="157">
        <v>1141207.3699999973</v>
      </c>
      <c r="C119" s="39"/>
      <c r="D119" s="49"/>
    </row>
    <row r="120" spans="1:6" x14ac:dyDescent="0.25">
      <c r="A120" s="57" t="s">
        <v>194</v>
      </c>
      <c r="B120" s="162">
        <f>-B97</f>
        <v>-10376831.439999999</v>
      </c>
    </row>
    <row r="121" spans="1:6" x14ac:dyDescent="0.25">
      <c r="A121" s="57" t="s">
        <v>195</v>
      </c>
      <c r="B121" s="162">
        <f>-B98</f>
        <v>0</v>
      </c>
    </row>
    <row r="122" spans="1:6" ht="30" x14ac:dyDescent="0.25">
      <c r="A122" s="57" t="s">
        <v>212</v>
      </c>
      <c r="B122" s="162">
        <v>-318300</v>
      </c>
    </row>
    <row r="123" spans="1:6" x14ac:dyDescent="0.25">
      <c r="A123" s="57" t="s">
        <v>196</v>
      </c>
      <c r="B123" s="163">
        <f>PRORRATEO!I81</f>
        <v>9620855.1599999983</v>
      </c>
    </row>
    <row r="124" spans="1:6" x14ac:dyDescent="0.25">
      <c r="A124" s="164" t="s">
        <v>226</v>
      </c>
      <c r="B124" s="165">
        <v>-618</v>
      </c>
    </row>
    <row r="125" spans="1:6" ht="15.75" thickBot="1" x14ac:dyDescent="0.3">
      <c r="A125" s="160" t="s">
        <v>185</v>
      </c>
      <c r="B125" s="161">
        <f>SUM(B119:C124)</f>
        <v>66313.089999996126</v>
      </c>
    </row>
    <row r="126" spans="1:6" x14ac:dyDescent="0.25">
      <c r="A126" s="158"/>
      <c r="B126" s="158"/>
    </row>
    <row r="127" spans="1:6" ht="34.5" customHeight="1" x14ac:dyDescent="0.25"/>
    <row r="128" spans="1:6" x14ac:dyDescent="0.25">
      <c r="A128" s="212" t="s">
        <v>55</v>
      </c>
      <c r="B128" s="212"/>
      <c r="C128" s="212"/>
    </row>
    <row r="129" spans="1:13" x14ac:dyDescent="0.25">
      <c r="A129" s="212"/>
      <c r="B129" s="212"/>
      <c r="C129" s="212"/>
    </row>
    <row r="130" spans="1:13" ht="35.25" customHeight="1" x14ac:dyDescent="0.25">
      <c r="A130" s="140"/>
      <c r="B130" s="38"/>
      <c r="C130" s="38">
        <v>40000</v>
      </c>
    </row>
    <row r="131" spans="1:13" ht="27" customHeight="1" x14ac:dyDescent="0.25">
      <c r="A131" s="140"/>
      <c r="B131" s="142"/>
      <c r="C131" s="138"/>
    </row>
    <row r="132" spans="1:13" x14ac:dyDescent="0.25">
      <c r="A132" s="47" t="s">
        <v>11</v>
      </c>
      <c r="B132" s="141">
        <f>SUM(B130:B131)</f>
        <v>0</v>
      </c>
      <c r="C132" s="48"/>
    </row>
    <row r="133" spans="1:13" x14ac:dyDescent="0.25">
      <c r="M133" s="8"/>
    </row>
    <row r="134" spans="1:13" ht="15" customHeight="1" x14ac:dyDescent="0.25">
      <c r="A134" s="211"/>
      <c r="B134" s="211"/>
      <c r="C134" s="211"/>
      <c r="D134" s="211"/>
      <c r="E134" s="211"/>
    </row>
    <row r="135" spans="1:13" x14ac:dyDescent="0.25">
      <c r="A135" s="211"/>
      <c r="B135" s="211"/>
      <c r="C135" s="211"/>
      <c r="D135" s="211"/>
      <c r="E135" s="211"/>
    </row>
    <row r="136" spans="1:13" x14ac:dyDescent="0.25">
      <c r="A136" s="211"/>
      <c r="B136" s="211"/>
      <c r="C136" s="211"/>
      <c r="D136" s="211"/>
      <c r="E136" s="211"/>
    </row>
    <row r="137" spans="1:13" x14ac:dyDescent="0.25">
      <c r="A137" s="211"/>
      <c r="B137" s="211"/>
      <c r="C137" s="211"/>
      <c r="D137" s="211"/>
      <c r="E137" s="211"/>
    </row>
  </sheetData>
  <mergeCells count="23">
    <mergeCell ref="A66:B66"/>
    <mergeCell ref="A72:B72"/>
    <mergeCell ref="D63:E63"/>
    <mergeCell ref="A14:E17"/>
    <mergeCell ref="B9:C11"/>
    <mergeCell ref="A44:B44"/>
    <mergeCell ref="A45:B45"/>
    <mergeCell ref="A62:B62"/>
    <mergeCell ref="A41:B41"/>
    <mergeCell ref="A40:B40"/>
    <mergeCell ref="A63:B63"/>
    <mergeCell ref="A68:B68"/>
    <mergeCell ref="A60:E60"/>
    <mergeCell ref="I72:J72"/>
    <mergeCell ref="A69:B69"/>
    <mergeCell ref="A134:E137"/>
    <mergeCell ref="A128:C129"/>
    <mergeCell ref="A102:E104"/>
    <mergeCell ref="A86:B86"/>
    <mergeCell ref="A85:B85"/>
    <mergeCell ref="A87:B87"/>
    <mergeCell ref="A71:B71"/>
    <mergeCell ref="A70:B70"/>
  </mergeCells>
  <pageMargins left="0.25" right="0.25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U89"/>
  <sheetViews>
    <sheetView topLeftCell="B1" zoomScaleNormal="100" workbookViewId="0">
      <selection activeCell="I19" sqref="I19"/>
    </sheetView>
  </sheetViews>
  <sheetFormatPr baseColWidth="10" defaultRowHeight="15" x14ac:dyDescent="0.25"/>
  <cols>
    <col min="1" max="1" width="4.7109375" bestFit="1" customWidth="1"/>
    <col min="2" max="2" width="4.28515625" customWidth="1"/>
    <col min="3" max="3" width="3.7109375" customWidth="1"/>
    <col min="4" max="4" width="4.28515625" customWidth="1"/>
    <col min="5" max="5" width="18.5703125" customWidth="1"/>
    <col min="6" max="6" width="13.85546875" customWidth="1"/>
    <col min="7" max="7" width="5.42578125" customWidth="1"/>
    <col min="8" max="8" width="14.140625" customWidth="1"/>
    <col min="9" max="9" width="11.5703125" customWidth="1"/>
    <col min="10" max="10" width="7.7109375" hidden="1" customWidth="1"/>
    <col min="11" max="11" width="10.5703125" customWidth="1"/>
    <col min="12" max="12" width="9.5703125" customWidth="1"/>
    <col min="13" max="13" width="0.140625" customWidth="1"/>
    <col min="14" max="14" width="12.42578125" customWidth="1"/>
    <col min="15" max="15" width="5.42578125" hidden="1" customWidth="1"/>
    <col min="16" max="16" width="14.7109375" customWidth="1"/>
    <col min="17" max="17" width="0.42578125" hidden="1" customWidth="1"/>
    <col min="18" max="18" width="14.28515625" customWidth="1"/>
    <col min="19" max="19" width="0.140625" customWidth="1"/>
    <col min="20" max="20" width="12" bestFit="1" customWidth="1"/>
    <col min="21" max="21" width="13" bestFit="1" customWidth="1"/>
  </cols>
  <sheetData>
    <row r="1" spans="1:21" ht="12.95" customHeight="1" x14ac:dyDescent="0.25">
      <c r="A1" s="6"/>
      <c r="B1" s="6"/>
      <c r="C1" s="6"/>
      <c r="D1" s="6"/>
      <c r="E1" s="6"/>
      <c r="F1" s="6"/>
      <c r="G1" s="233"/>
      <c r="H1" s="233"/>
      <c r="I1" s="233"/>
      <c r="J1" s="233"/>
      <c r="K1" s="233"/>
      <c r="L1" s="233"/>
      <c r="M1" s="233"/>
      <c r="N1" s="233"/>
      <c r="O1" s="233"/>
      <c r="P1" s="233"/>
      <c r="Q1" s="6"/>
      <c r="R1" s="6"/>
    </row>
    <row r="2" spans="1:21" ht="12.95" customHeight="1" x14ac:dyDescent="0.25">
      <c r="A2" s="6"/>
      <c r="B2" s="6"/>
      <c r="C2" s="6"/>
      <c r="D2" s="6"/>
      <c r="E2" s="6" t="str">
        <f>RESUMEN!B4</f>
        <v>CBU: 0290034600000502294350</v>
      </c>
      <c r="F2" s="6"/>
      <c r="G2" s="6"/>
      <c r="H2" s="6"/>
      <c r="I2" s="6"/>
      <c r="J2" s="6"/>
      <c r="K2" s="6"/>
      <c r="L2" s="6" t="s">
        <v>225</v>
      </c>
      <c r="M2" s="7"/>
      <c r="N2" s="6"/>
      <c r="O2" s="6"/>
      <c r="P2" s="155">
        <v>11376831.439999999</v>
      </c>
      <c r="Q2" s="59"/>
      <c r="R2" s="59"/>
      <c r="S2" s="22"/>
    </row>
    <row r="3" spans="1:21" ht="12.95" customHeight="1" thickBot="1" x14ac:dyDescent="0.3">
      <c r="A3" s="6"/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0"/>
      <c r="Q3" s="60"/>
      <c r="R3" s="64"/>
    </row>
    <row r="4" spans="1:21" x14ac:dyDescent="0.25">
      <c r="A4" s="228" t="s">
        <v>5</v>
      </c>
      <c r="B4" s="230" t="s">
        <v>6</v>
      </c>
      <c r="C4" s="144"/>
      <c r="D4" s="226" t="s">
        <v>7</v>
      </c>
      <c r="E4" s="226" t="s">
        <v>8</v>
      </c>
      <c r="F4" s="226" t="s">
        <v>48</v>
      </c>
      <c r="G4" s="226" t="s">
        <v>28</v>
      </c>
      <c r="H4" s="234" t="s">
        <v>188</v>
      </c>
      <c r="I4" s="226" t="s">
        <v>9</v>
      </c>
      <c r="J4" s="226" t="s">
        <v>49</v>
      </c>
      <c r="K4" s="238" t="s">
        <v>53</v>
      </c>
      <c r="L4" s="234" t="s">
        <v>117</v>
      </c>
      <c r="M4" s="234" t="s">
        <v>10</v>
      </c>
      <c r="N4" s="234" t="s">
        <v>46</v>
      </c>
      <c r="O4" s="241" t="s">
        <v>63</v>
      </c>
      <c r="P4" s="67" t="s">
        <v>62</v>
      </c>
      <c r="Q4" s="236" t="s">
        <v>45</v>
      </c>
      <c r="R4" s="224" t="s">
        <v>61</v>
      </c>
      <c r="U4" s="46"/>
    </row>
    <row r="5" spans="1:21" ht="15.75" customHeight="1" x14ac:dyDescent="0.25">
      <c r="A5" s="229"/>
      <c r="B5" s="231"/>
      <c r="C5" s="145"/>
      <c r="D5" s="232"/>
      <c r="E5" s="232"/>
      <c r="F5" s="227"/>
      <c r="G5" s="232"/>
      <c r="H5" s="235"/>
      <c r="I5" s="232"/>
      <c r="J5" s="227"/>
      <c r="K5" s="239"/>
      <c r="L5" s="235"/>
      <c r="M5" s="240"/>
      <c r="N5" s="235"/>
      <c r="O5" s="242"/>
      <c r="P5" s="65" t="str">
        <f>RESUMEN!B9</f>
        <v>VTO 14/04</v>
      </c>
      <c r="Q5" s="237"/>
      <c r="R5" s="225"/>
    </row>
    <row r="6" spans="1:21" ht="17.100000000000001" customHeight="1" x14ac:dyDescent="0.25">
      <c r="A6" s="5" t="s">
        <v>12</v>
      </c>
      <c r="B6" s="69"/>
      <c r="C6" s="69" t="s">
        <v>110</v>
      </c>
      <c r="D6" s="69">
        <v>1</v>
      </c>
      <c r="E6" s="69" t="s">
        <v>73</v>
      </c>
      <c r="F6" s="69"/>
      <c r="G6" s="78">
        <v>0.5131</v>
      </c>
      <c r="H6" s="79">
        <v>53269.01</v>
      </c>
      <c r="I6" s="168">
        <f>659558-I13-I7-I47-I48-I59-I69-I73</f>
        <v>53269.190000000061</v>
      </c>
      <c r="J6" s="81"/>
      <c r="K6" s="82">
        <f>H6-I6</f>
        <v>-0.1800000000584987</v>
      </c>
      <c r="L6" s="82">
        <f>IF(K6&gt;0,K6*3%,0)</f>
        <v>0</v>
      </c>
      <c r="M6" s="83">
        <v>0</v>
      </c>
      <c r="N6" s="84">
        <f t="shared" ref="N6:N69" si="0">P$2*G6%</f>
        <v>58374.522118640001</v>
      </c>
      <c r="O6" s="85">
        <v>0</v>
      </c>
      <c r="P6" s="86">
        <f>ROUND(SUM(K6:O6),0) + S6</f>
        <v>58374.01</v>
      </c>
      <c r="Q6" s="87">
        <f>ROUND(P6*6% + P6,0) + S6</f>
        <v>61876.01</v>
      </c>
      <c r="R6" s="88">
        <f>ROUND(P6*3%,0) + P6</f>
        <v>60125.01</v>
      </c>
      <c r="S6" s="46">
        <v>0.01</v>
      </c>
      <c r="U6" t="s">
        <v>231</v>
      </c>
    </row>
    <row r="7" spans="1:21" ht="17.100000000000001" customHeight="1" x14ac:dyDescent="0.25">
      <c r="A7" s="5" t="s">
        <v>13</v>
      </c>
      <c r="B7" s="69"/>
      <c r="C7" s="69" t="s">
        <v>110</v>
      </c>
      <c r="D7" s="69">
        <f>D6+1</f>
        <v>2</v>
      </c>
      <c r="E7" s="69" t="s">
        <v>74</v>
      </c>
      <c r="F7" s="70"/>
      <c r="G7" s="78">
        <v>0.6119</v>
      </c>
      <c r="H7" s="79">
        <v>63526.02</v>
      </c>
      <c r="I7" s="168">
        <f>H7</f>
        <v>63526.02</v>
      </c>
      <c r="J7" s="81"/>
      <c r="K7" s="82">
        <f t="shared" ref="K7:K70" si="1">H7-I7</f>
        <v>0</v>
      </c>
      <c r="L7" s="82">
        <f t="shared" ref="L7:L70" si="2">IF(K7&gt;0,K7*3%,0)</f>
        <v>0</v>
      </c>
      <c r="M7" s="83">
        <v>0</v>
      </c>
      <c r="N7" s="84">
        <f t="shared" si="0"/>
        <v>69614.831581360006</v>
      </c>
      <c r="O7" s="85">
        <v>0</v>
      </c>
      <c r="P7" s="86">
        <f t="shared" ref="P7:P70" si="3">ROUND(SUM(K7:O7),0) + S7</f>
        <v>69615.02</v>
      </c>
      <c r="Q7" s="87">
        <f t="shared" ref="Q7:Q70" si="4">ROUND(P7*6% + P7,0) + S7</f>
        <v>73792.02</v>
      </c>
      <c r="R7" s="88">
        <f t="shared" ref="R7:R70" si="5">ROUND(P7*3%,0) + P7</f>
        <v>71703.02</v>
      </c>
      <c r="S7" s="46">
        <f>S6+0.01</f>
        <v>0.02</v>
      </c>
      <c r="T7" s="46"/>
    </row>
    <row r="8" spans="1:21" ht="17.100000000000001" customHeight="1" x14ac:dyDescent="0.25">
      <c r="A8" s="5" t="s">
        <v>13</v>
      </c>
      <c r="B8" s="69">
        <v>1</v>
      </c>
      <c r="C8" s="69"/>
      <c r="D8" s="69">
        <f t="shared" ref="D8:D71" si="6">D7+1</f>
        <v>3</v>
      </c>
      <c r="E8" s="69" t="s">
        <v>75</v>
      </c>
      <c r="F8" s="70"/>
      <c r="G8" s="78">
        <v>0.61150000000000004</v>
      </c>
      <c r="H8" s="79">
        <v>63485.03</v>
      </c>
      <c r="I8" s="168"/>
      <c r="J8" s="81"/>
      <c r="K8" s="82">
        <f t="shared" si="1"/>
        <v>63485.03</v>
      </c>
      <c r="L8" s="82">
        <f t="shared" si="2"/>
        <v>1904.5509</v>
      </c>
      <c r="M8" s="83">
        <v>0</v>
      </c>
      <c r="N8" s="84">
        <f t="shared" si="0"/>
        <v>69569.324255600004</v>
      </c>
      <c r="O8" s="85">
        <v>0</v>
      </c>
      <c r="P8" s="86">
        <f t="shared" si="3"/>
        <v>134959.03</v>
      </c>
      <c r="Q8" s="87">
        <f t="shared" si="4"/>
        <v>143057.03</v>
      </c>
      <c r="R8" s="88">
        <f t="shared" si="5"/>
        <v>139008.03</v>
      </c>
      <c r="S8" s="46">
        <f t="shared" ref="S8:S71" si="7">S7+0.01</f>
        <v>0.03</v>
      </c>
    </row>
    <row r="9" spans="1:21" ht="17.100000000000001" customHeight="1" x14ac:dyDescent="0.25">
      <c r="A9" s="5" t="s">
        <v>14</v>
      </c>
      <c r="B9" s="69">
        <v>2</v>
      </c>
      <c r="C9" s="69"/>
      <c r="D9" s="69">
        <f t="shared" si="6"/>
        <v>4</v>
      </c>
      <c r="E9" s="69" t="s">
        <v>75</v>
      </c>
      <c r="F9" s="70"/>
      <c r="G9" s="78">
        <v>0.50329999999999997</v>
      </c>
      <c r="H9" s="79">
        <v>52252.04</v>
      </c>
      <c r="I9" s="168"/>
      <c r="J9" s="81"/>
      <c r="K9" s="82">
        <f t="shared" si="1"/>
        <v>52252.04</v>
      </c>
      <c r="L9" s="82">
        <f t="shared" si="2"/>
        <v>1567.5611999999999</v>
      </c>
      <c r="M9" s="83">
        <v>0</v>
      </c>
      <c r="N9" s="84">
        <f t="shared" si="0"/>
        <v>57259.592637519992</v>
      </c>
      <c r="O9" s="85">
        <v>0</v>
      </c>
      <c r="P9" s="86">
        <f t="shared" si="3"/>
        <v>111079.03999999999</v>
      </c>
      <c r="Q9" s="87">
        <f t="shared" si="4"/>
        <v>117744.04</v>
      </c>
      <c r="R9" s="88">
        <f t="shared" si="5"/>
        <v>114411.04</v>
      </c>
      <c r="S9" s="46">
        <f t="shared" si="7"/>
        <v>0.04</v>
      </c>
      <c r="U9" s="46"/>
    </row>
    <row r="10" spans="1:21" ht="17.100000000000001" customHeight="1" x14ac:dyDescent="0.25">
      <c r="A10" s="5" t="s">
        <v>14</v>
      </c>
      <c r="B10" s="69">
        <v>3</v>
      </c>
      <c r="C10" s="69"/>
      <c r="D10" s="69">
        <f t="shared" si="6"/>
        <v>5</v>
      </c>
      <c r="E10" s="69" t="s">
        <v>75</v>
      </c>
      <c r="F10" s="70"/>
      <c r="G10" s="78">
        <v>0.50329999999999997</v>
      </c>
      <c r="H10" s="79">
        <v>46711.05</v>
      </c>
      <c r="I10" s="168"/>
      <c r="J10" s="81"/>
      <c r="K10" s="82">
        <f t="shared" si="1"/>
        <v>46711.05</v>
      </c>
      <c r="L10" s="82">
        <f t="shared" si="2"/>
        <v>1401.3315</v>
      </c>
      <c r="M10" s="83">
        <v>0</v>
      </c>
      <c r="N10" s="84">
        <f t="shared" si="0"/>
        <v>57259.592637519992</v>
      </c>
      <c r="O10" s="85">
        <v>0</v>
      </c>
      <c r="P10" s="86">
        <f t="shared" si="3"/>
        <v>105372.05</v>
      </c>
      <c r="Q10" s="87">
        <f t="shared" si="4"/>
        <v>111694.05</v>
      </c>
      <c r="R10" s="88">
        <f t="shared" si="5"/>
        <v>108533.05</v>
      </c>
      <c r="S10" s="46">
        <f t="shared" si="7"/>
        <v>0.05</v>
      </c>
      <c r="U10" s="46"/>
    </row>
    <row r="11" spans="1:21" ht="17.100000000000001" customHeight="1" x14ac:dyDescent="0.25">
      <c r="A11" s="5" t="s">
        <v>15</v>
      </c>
      <c r="B11" s="69">
        <v>4</v>
      </c>
      <c r="C11" s="69"/>
      <c r="D11" s="69">
        <f t="shared" si="6"/>
        <v>6</v>
      </c>
      <c r="E11" s="69" t="s">
        <v>119</v>
      </c>
      <c r="F11" s="69" t="s">
        <v>120</v>
      </c>
      <c r="G11" s="78">
        <v>0.74990000000000001</v>
      </c>
      <c r="H11" s="79">
        <v>77853.06</v>
      </c>
      <c r="I11" s="168">
        <f>H11</f>
        <v>77853.06</v>
      </c>
      <c r="J11" s="81"/>
      <c r="K11" s="82">
        <f t="shared" si="1"/>
        <v>0</v>
      </c>
      <c r="L11" s="82">
        <f t="shared" si="2"/>
        <v>0</v>
      </c>
      <c r="M11" s="83">
        <v>0</v>
      </c>
      <c r="N11" s="84">
        <f t="shared" si="0"/>
        <v>85314.858968560002</v>
      </c>
      <c r="O11" s="85">
        <v>0</v>
      </c>
      <c r="P11" s="86">
        <f t="shared" si="3"/>
        <v>85315.06</v>
      </c>
      <c r="Q11" s="87">
        <f t="shared" si="4"/>
        <v>90434.06</v>
      </c>
      <c r="R11" s="88">
        <f t="shared" si="5"/>
        <v>87874.06</v>
      </c>
      <c r="S11" s="46">
        <f t="shared" si="7"/>
        <v>6.0000000000000005E-2</v>
      </c>
    </row>
    <row r="12" spans="1:21" ht="17.100000000000001" customHeight="1" x14ac:dyDescent="0.25">
      <c r="A12" s="5" t="s">
        <v>15</v>
      </c>
      <c r="B12" s="69">
        <v>5</v>
      </c>
      <c r="C12" s="69"/>
      <c r="D12" s="69">
        <f t="shared" si="6"/>
        <v>7</v>
      </c>
      <c r="E12" s="69" t="s">
        <v>121</v>
      </c>
      <c r="F12" s="69" t="s">
        <v>122</v>
      </c>
      <c r="G12" s="78">
        <v>0.54249999999999998</v>
      </c>
      <c r="H12" s="79">
        <v>56321.07</v>
      </c>
      <c r="I12" s="168">
        <f>H12</f>
        <v>56321.07</v>
      </c>
      <c r="J12" s="81"/>
      <c r="K12" s="82">
        <f t="shared" si="1"/>
        <v>0</v>
      </c>
      <c r="L12" s="82">
        <f t="shared" si="2"/>
        <v>0</v>
      </c>
      <c r="M12" s="83">
        <v>0</v>
      </c>
      <c r="N12" s="84">
        <f t="shared" si="0"/>
        <v>61719.310561999999</v>
      </c>
      <c r="O12" s="85">
        <v>0</v>
      </c>
      <c r="P12" s="86">
        <f t="shared" si="3"/>
        <v>61719.07</v>
      </c>
      <c r="Q12" s="87">
        <f t="shared" si="4"/>
        <v>65422.07</v>
      </c>
      <c r="R12" s="88">
        <f t="shared" si="5"/>
        <v>63571.07</v>
      </c>
      <c r="S12" s="46">
        <f t="shared" si="7"/>
        <v>7.0000000000000007E-2</v>
      </c>
    </row>
    <row r="13" spans="1:21" ht="17.100000000000001" customHeight="1" x14ac:dyDescent="0.25">
      <c r="A13" s="5" t="s">
        <v>16</v>
      </c>
      <c r="B13" s="69">
        <v>6</v>
      </c>
      <c r="C13" s="69"/>
      <c r="D13" s="69">
        <f t="shared" si="6"/>
        <v>8</v>
      </c>
      <c r="E13" s="69" t="s">
        <v>76</v>
      </c>
      <c r="F13" s="70"/>
      <c r="G13" s="78">
        <v>0.45369999999999999</v>
      </c>
      <c r="H13" s="79">
        <v>47102.080000000002</v>
      </c>
      <c r="I13" s="168">
        <f>H13</f>
        <v>47102.080000000002</v>
      </c>
      <c r="J13" s="81"/>
      <c r="K13" s="82">
        <f t="shared" si="1"/>
        <v>0</v>
      </c>
      <c r="L13" s="82">
        <f t="shared" si="2"/>
        <v>0</v>
      </c>
      <c r="M13" s="83">
        <v>0</v>
      </c>
      <c r="N13" s="84">
        <f t="shared" si="0"/>
        <v>51616.684243279997</v>
      </c>
      <c r="O13" s="85">
        <v>0</v>
      </c>
      <c r="P13" s="86">
        <f t="shared" si="3"/>
        <v>51617.08</v>
      </c>
      <c r="Q13" s="87">
        <f t="shared" si="4"/>
        <v>54714.080000000002</v>
      </c>
      <c r="R13" s="88">
        <f t="shared" si="5"/>
        <v>53166.080000000002</v>
      </c>
      <c r="S13" s="46">
        <f t="shared" si="7"/>
        <v>0.08</v>
      </c>
    </row>
    <row r="14" spans="1:21" ht="17.100000000000001" customHeight="1" x14ac:dyDescent="0.25">
      <c r="A14" s="5" t="s">
        <v>16</v>
      </c>
      <c r="B14" s="69">
        <v>7</v>
      </c>
      <c r="C14" s="69"/>
      <c r="D14" s="69">
        <f t="shared" si="6"/>
        <v>9</v>
      </c>
      <c r="E14" s="69" t="s">
        <v>77</v>
      </c>
      <c r="F14" s="70"/>
      <c r="G14" s="78">
        <v>0.52439999999999998</v>
      </c>
      <c r="H14" s="79">
        <v>54442.09</v>
      </c>
      <c r="I14" s="168"/>
      <c r="J14" s="81"/>
      <c r="K14" s="82">
        <f t="shared" si="1"/>
        <v>54442.09</v>
      </c>
      <c r="L14" s="82">
        <f t="shared" si="2"/>
        <v>1633.2626999999998</v>
      </c>
      <c r="M14" s="83">
        <v>0</v>
      </c>
      <c r="N14" s="84">
        <f t="shared" si="0"/>
        <v>59660.104071359994</v>
      </c>
      <c r="O14" s="85">
        <v>0</v>
      </c>
      <c r="P14" s="86">
        <f t="shared" si="3"/>
        <v>115735.09</v>
      </c>
      <c r="Q14" s="87">
        <f t="shared" si="4"/>
        <v>122679.09</v>
      </c>
      <c r="R14" s="88">
        <f t="shared" si="5"/>
        <v>119207.09</v>
      </c>
      <c r="S14" s="46">
        <f t="shared" si="7"/>
        <v>0.09</v>
      </c>
      <c r="U14" t="s">
        <v>177</v>
      </c>
    </row>
    <row r="15" spans="1:21" ht="17.100000000000001" customHeight="1" x14ac:dyDescent="0.25">
      <c r="A15" s="5" t="s">
        <v>17</v>
      </c>
      <c r="B15" s="69">
        <v>8</v>
      </c>
      <c r="C15" s="69"/>
      <c r="D15" s="69">
        <f t="shared" si="6"/>
        <v>10</v>
      </c>
      <c r="E15" s="69" t="s">
        <v>77</v>
      </c>
      <c r="F15" s="70"/>
      <c r="G15" s="78">
        <v>0.42399999999999999</v>
      </c>
      <c r="H15" s="79">
        <v>44019.1</v>
      </c>
      <c r="I15" s="168"/>
      <c r="J15" s="81"/>
      <c r="K15" s="82">
        <f t="shared" si="1"/>
        <v>44019.1</v>
      </c>
      <c r="L15" s="82">
        <f t="shared" si="2"/>
        <v>1320.5729999999999</v>
      </c>
      <c r="M15" s="83">
        <v>0</v>
      </c>
      <c r="N15" s="84">
        <f t="shared" si="0"/>
        <v>48237.765305599998</v>
      </c>
      <c r="O15" s="85">
        <v>0</v>
      </c>
      <c r="P15" s="86">
        <f t="shared" si="3"/>
        <v>93577.1</v>
      </c>
      <c r="Q15" s="87">
        <f t="shared" si="4"/>
        <v>99192.1</v>
      </c>
      <c r="R15" s="88">
        <f t="shared" si="5"/>
        <v>96384.1</v>
      </c>
      <c r="S15" s="46">
        <f t="shared" si="7"/>
        <v>9.9999999999999992E-2</v>
      </c>
      <c r="U15" t="s">
        <v>177</v>
      </c>
    </row>
    <row r="16" spans="1:21" ht="17.100000000000001" customHeight="1" x14ac:dyDescent="0.25">
      <c r="A16" s="5" t="s">
        <v>17</v>
      </c>
      <c r="B16" s="69">
        <v>1</v>
      </c>
      <c r="C16" s="69" t="s">
        <v>111</v>
      </c>
      <c r="D16" s="69">
        <f t="shared" si="6"/>
        <v>11</v>
      </c>
      <c r="E16" s="69" t="s">
        <v>78</v>
      </c>
      <c r="F16" s="70"/>
      <c r="G16" s="78">
        <v>2.3033000000000001</v>
      </c>
      <c r="H16" s="79">
        <v>2218018.11</v>
      </c>
      <c r="I16" s="168"/>
      <c r="J16" s="81"/>
      <c r="K16" s="82">
        <f t="shared" si="1"/>
        <v>2218018.11</v>
      </c>
      <c r="L16" s="82">
        <f t="shared" si="2"/>
        <v>66540.54329999999</v>
      </c>
      <c r="M16" s="83">
        <v>0</v>
      </c>
      <c r="N16" s="84">
        <f t="shared" si="0"/>
        <v>262042.55855752001</v>
      </c>
      <c r="O16" s="85">
        <v>0</v>
      </c>
      <c r="P16" s="86">
        <f t="shared" si="3"/>
        <v>2546601.11</v>
      </c>
      <c r="Q16" s="87">
        <f t="shared" si="4"/>
        <v>2699397.11</v>
      </c>
      <c r="R16" s="88">
        <f t="shared" si="5"/>
        <v>2622999.11</v>
      </c>
      <c r="S16" s="46">
        <f t="shared" si="7"/>
        <v>0.10999999999999999</v>
      </c>
    </row>
    <row r="17" spans="1:21" ht="17.100000000000001" customHeight="1" x14ac:dyDescent="0.25">
      <c r="A17" s="5" t="s">
        <v>18</v>
      </c>
      <c r="B17" s="69">
        <v>1</v>
      </c>
      <c r="C17" s="69" t="s">
        <v>112</v>
      </c>
      <c r="D17" s="69">
        <f t="shared" si="6"/>
        <v>12</v>
      </c>
      <c r="E17" s="69" t="s">
        <v>123</v>
      </c>
      <c r="F17" s="70" t="s">
        <v>175</v>
      </c>
      <c r="G17" s="78">
        <v>2.7492999999999999</v>
      </c>
      <c r="H17" s="79">
        <v>293990.12</v>
      </c>
      <c r="I17" s="168">
        <f>H17</f>
        <v>293990.12</v>
      </c>
      <c r="J17" s="81"/>
      <c r="K17" s="82">
        <f t="shared" si="1"/>
        <v>0</v>
      </c>
      <c r="L17" s="82">
        <f t="shared" si="2"/>
        <v>0</v>
      </c>
      <c r="M17" s="83">
        <v>0</v>
      </c>
      <c r="N17" s="84">
        <f t="shared" si="0"/>
        <v>312783.22677991999</v>
      </c>
      <c r="O17" s="85">
        <v>0</v>
      </c>
      <c r="P17" s="86">
        <f t="shared" si="3"/>
        <v>312783.12</v>
      </c>
      <c r="Q17" s="87">
        <f t="shared" si="4"/>
        <v>331550.12</v>
      </c>
      <c r="R17" s="88">
        <f t="shared" si="5"/>
        <v>322166.12</v>
      </c>
      <c r="S17" s="46">
        <f t="shared" si="7"/>
        <v>0.11999999999999998</v>
      </c>
    </row>
    <row r="18" spans="1:21" ht="17.100000000000001" customHeight="1" x14ac:dyDescent="0.25">
      <c r="A18" s="5" t="s">
        <v>18</v>
      </c>
      <c r="B18" s="69">
        <v>2</v>
      </c>
      <c r="C18" s="69" t="s">
        <v>111</v>
      </c>
      <c r="D18" s="69">
        <f t="shared" si="6"/>
        <v>13</v>
      </c>
      <c r="E18" s="69" t="s">
        <v>124</v>
      </c>
      <c r="F18" s="70" t="s">
        <v>125</v>
      </c>
      <c r="G18" s="78">
        <v>2.3033000000000001</v>
      </c>
      <c r="H18" s="79">
        <v>239124.13</v>
      </c>
      <c r="I18" s="168">
        <f>H18</f>
        <v>239124.13</v>
      </c>
      <c r="J18" s="81"/>
      <c r="K18" s="82">
        <f t="shared" si="1"/>
        <v>0</v>
      </c>
      <c r="L18" s="82">
        <f t="shared" si="2"/>
        <v>0</v>
      </c>
      <c r="M18" s="83">
        <v>0</v>
      </c>
      <c r="N18" s="84">
        <f t="shared" si="0"/>
        <v>262042.55855752001</v>
      </c>
      <c r="O18" s="85">
        <v>0</v>
      </c>
      <c r="P18" s="86">
        <f t="shared" si="3"/>
        <v>262043.13</v>
      </c>
      <c r="Q18" s="87">
        <f t="shared" si="4"/>
        <v>277766.13</v>
      </c>
      <c r="R18" s="88">
        <f t="shared" si="5"/>
        <v>269904.13</v>
      </c>
      <c r="S18" s="46">
        <f t="shared" si="7"/>
        <v>0.12999999999999998</v>
      </c>
    </row>
    <row r="19" spans="1:21" ht="17.100000000000001" customHeight="1" x14ac:dyDescent="0.25">
      <c r="A19" s="5" t="s">
        <v>19</v>
      </c>
      <c r="B19" s="69">
        <v>2</v>
      </c>
      <c r="C19" s="69" t="s">
        <v>112</v>
      </c>
      <c r="D19" s="69">
        <f t="shared" si="6"/>
        <v>14</v>
      </c>
      <c r="E19" s="69" t="s">
        <v>127</v>
      </c>
      <c r="F19" s="70" t="s">
        <v>126</v>
      </c>
      <c r="G19" s="78">
        <v>2.6368</v>
      </c>
      <c r="H19" s="79">
        <v>314618.14</v>
      </c>
      <c r="I19" s="168">
        <f>234000+80618</f>
        <v>314618</v>
      </c>
      <c r="J19" s="81"/>
      <c r="K19" s="82">
        <f t="shared" si="1"/>
        <v>0.14000000001396984</v>
      </c>
      <c r="L19" s="82">
        <f t="shared" si="2"/>
        <v>4.2000000004190951E-3</v>
      </c>
      <c r="M19" s="83">
        <v>0</v>
      </c>
      <c r="N19" s="84">
        <f t="shared" si="0"/>
        <v>299984.29140991997</v>
      </c>
      <c r="O19" s="85">
        <v>0</v>
      </c>
      <c r="P19" s="86">
        <f t="shared" si="3"/>
        <v>299984.14</v>
      </c>
      <c r="Q19" s="87">
        <f t="shared" si="4"/>
        <v>317983.14</v>
      </c>
      <c r="R19" s="88">
        <f t="shared" si="5"/>
        <v>308984.14</v>
      </c>
      <c r="S19" s="46">
        <f t="shared" si="7"/>
        <v>0.13999999999999999</v>
      </c>
      <c r="U19" t="s">
        <v>182</v>
      </c>
    </row>
    <row r="20" spans="1:21" ht="17.100000000000001" customHeight="1" x14ac:dyDescent="0.25">
      <c r="A20" s="5" t="s">
        <v>19</v>
      </c>
      <c r="B20" s="69">
        <v>3</v>
      </c>
      <c r="C20" s="69" t="s">
        <v>111</v>
      </c>
      <c r="D20" s="69">
        <f t="shared" si="6"/>
        <v>15</v>
      </c>
      <c r="E20" s="69" t="s">
        <v>79</v>
      </c>
      <c r="F20" s="70"/>
      <c r="G20" s="78">
        <v>2.3536999999999999</v>
      </c>
      <c r="H20" s="79">
        <v>236299.15</v>
      </c>
      <c r="I20" s="168">
        <v>243388.15</v>
      </c>
      <c r="J20" s="81"/>
      <c r="K20" s="82">
        <f>H20-I20</f>
        <v>-7089</v>
      </c>
      <c r="L20" s="82">
        <f t="shared" si="2"/>
        <v>0</v>
      </c>
      <c r="M20" s="83">
        <v>0</v>
      </c>
      <c r="N20" s="84">
        <f t="shared" si="0"/>
        <v>267776.48160328</v>
      </c>
      <c r="O20" s="85">
        <v>0</v>
      </c>
      <c r="P20" s="86">
        <f t="shared" si="3"/>
        <v>260687.15</v>
      </c>
      <c r="Q20" s="87">
        <f t="shared" si="4"/>
        <v>276328.15000000002</v>
      </c>
      <c r="R20" s="88">
        <f t="shared" si="5"/>
        <v>268508.15000000002</v>
      </c>
      <c r="S20" s="46">
        <f t="shared" si="7"/>
        <v>0.15</v>
      </c>
    </row>
    <row r="21" spans="1:21" ht="17.100000000000001" customHeight="1" x14ac:dyDescent="0.25">
      <c r="A21" s="5" t="s">
        <v>20</v>
      </c>
      <c r="B21" s="69">
        <v>3</v>
      </c>
      <c r="C21" s="69" t="s">
        <v>112</v>
      </c>
      <c r="D21" s="69">
        <f t="shared" si="6"/>
        <v>16</v>
      </c>
      <c r="E21" s="69" t="s">
        <v>80</v>
      </c>
      <c r="F21" s="69" t="s">
        <v>187</v>
      </c>
      <c r="G21" s="78">
        <v>2.6476999999999999</v>
      </c>
      <c r="H21" s="79">
        <v>274879.15999999997</v>
      </c>
      <c r="I21" s="168">
        <f>H21</f>
        <v>274879.15999999997</v>
      </c>
      <c r="J21" s="81"/>
      <c r="K21" s="82">
        <f t="shared" si="1"/>
        <v>0</v>
      </c>
      <c r="L21" s="82">
        <f t="shared" si="2"/>
        <v>0</v>
      </c>
      <c r="M21" s="83">
        <v>0</v>
      </c>
      <c r="N21" s="84">
        <f t="shared" si="0"/>
        <v>301224.36603688</v>
      </c>
      <c r="O21" s="85">
        <v>0</v>
      </c>
      <c r="P21" s="86">
        <f t="shared" si="3"/>
        <v>301224.15999999997</v>
      </c>
      <c r="Q21" s="87">
        <f t="shared" si="4"/>
        <v>319298.15999999997</v>
      </c>
      <c r="R21" s="88">
        <f t="shared" si="5"/>
        <v>310261.15999999997</v>
      </c>
      <c r="S21" s="46">
        <f t="shared" si="7"/>
        <v>0.16</v>
      </c>
      <c r="U21" s="45"/>
    </row>
    <row r="22" spans="1:21" ht="17.100000000000001" customHeight="1" x14ac:dyDescent="0.25">
      <c r="A22" s="5" t="s">
        <v>20</v>
      </c>
      <c r="B22" s="69">
        <v>4</v>
      </c>
      <c r="C22" s="69" t="s">
        <v>111</v>
      </c>
      <c r="D22" s="69">
        <f t="shared" si="6"/>
        <v>17</v>
      </c>
      <c r="E22" s="69" t="s">
        <v>81</v>
      </c>
      <c r="F22" s="70" t="s">
        <v>179</v>
      </c>
      <c r="G22" s="78">
        <v>2.3235000000000001</v>
      </c>
      <c r="H22" s="80">
        <v>241222.17</v>
      </c>
      <c r="I22" s="168">
        <f>H22</f>
        <v>241222.17</v>
      </c>
      <c r="J22" s="81"/>
      <c r="K22" s="82">
        <f t="shared" si="1"/>
        <v>0</v>
      </c>
      <c r="L22" s="82">
        <f t="shared" si="2"/>
        <v>0</v>
      </c>
      <c r="M22" s="83">
        <v>0</v>
      </c>
      <c r="N22" s="84">
        <f t="shared" si="0"/>
        <v>264340.67850839999</v>
      </c>
      <c r="O22" s="85">
        <v>0</v>
      </c>
      <c r="P22" s="86">
        <f t="shared" si="3"/>
        <v>264341.17</v>
      </c>
      <c r="Q22" s="87">
        <f t="shared" si="4"/>
        <v>280202.17</v>
      </c>
      <c r="R22" s="88">
        <f t="shared" si="5"/>
        <v>272271.17</v>
      </c>
      <c r="S22" s="46">
        <f t="shared" si="7"/>
        <v>0.17</v>
      </c>
    </row>
    <row r="23" spans="1:21" ht="17.100000000000001" customHeight="1" x14ac:dyDescent="0.25">
      <c r="A23" s="5" t="s">
        <v>21</v>
      </c>
      <c r="B23" s="69">
        <v>4</v>
      </c>
      <c r="C23" s="69" t="s">
        <v>112</v>
      </c>
      <c r="D23" s="69">
        <f t="shared" si="6"/>
        <v>18</v>
      </c>
      <c r="E23" s="69" t="s">
        <v>183</v>
      </c>
      <c r="F23" s="154" t="s">
        <v>184</v>
      </c>
      <c r="G23" s="78">
        <v>2.6880000000000002</v>
      </c>
      <c r="H23" s="79">
        <v>599159.18000000005</v>
      </c>
      <c r="I23" s="168">
        <f>200000*2+217134</f>
        <v>617134</v>
      </c>
      <c r="J23" s="81"/>
      <c r="K23" s="82">
        <f t="shared" si="1"/>
        <v>-17974.819999999949</v>
      </c>
      <c r="L23" s="82">
        <f t="shared" si="2"/>
        <v>0</v>
      </c>
      <c r="M23" s="83">
        <v>0</v>
      </c>
      <c r="N23" s="84">
        <f t="shared" si="0"/>
        <v>305809.22910719999</v>
      </c>
      <c r="O23" s="85">
        <v>0</v>
      </c>
      <c r="P23" s="86">
        <f t="shared" si="3"/>
        <v>287834.18</v>
      </c>
      <c r="Q23" s="87">
        <f t="shared" si="4"/>
        <v>305104.18</v>
      </c>
      <c r="R23" s="88">
        <f t="shared" si="5"/>
        <v>296469.18</v>
      </c>
      <c r="S23" s="46">
        <f t="shared" si="7"/>
        <v>0.18000000000000002</v>
      </c>
      <c r="U23" s="167" t="s">
        <v>184</v>
      </c>
    </row>
    <row r="24" spans="1:21" ht="17.100000000000001" customHeight="1" x14ac:dyDescent="0.25">
      <c r="A24" s="5" t="s">
        <v>21</v>
      </c>
      <c r="B24" s="69">
        <v>5</v>
      </c>
      <c r="C24" s="69" t="s">
        <v>111</v>
      </c>
      <c r="D24" s="69">
        <f t="shared" si="6"/>
        <v>19</v>
      </c>
      <c r="E24" s="69" t="s">
        <v>82</v>
      </c>
      <c r="F24" s="70"/>
      <c r="G24" s="78">
        <v>2.36</v>
      </c>
      <c r="H24" s="79">
        <v>245011.19</v>
      </c>
      <c r="I24" s="168">
        <f>345011.19</f>
        <v>345011.19</v>
      </c>
      <c r="J24" s="81"/>
      <c r="K24" s="82">
        <f t="shared" si="1"/>
        <v>-100000</v>
      </c>
      <c r="L24" s="82">
        <f t="shared" si="2"/>
        <v>0</v>
      </c>
      <c r="M24" s="83">
        <v>0</v>
      </c>
      <c r="N24" s="84">
        <f t="shared" si="0"/>
        <v>268493.221984</v>
      </c>
      <c r="O24" s="85">
        <v>0</v>
      </c>
      <c r="P24" s="86">
        <f t="shared" si="3"/>
        <v>168493.19</v>
      </c>
      <c r="Q24" s="87">
        <f t="shared" si="4"/>
        <v>178603.19</v>
      </c>
      <c r="R24" s="88">
        <f t="shared" si="5"/>
        <v>173548.19</v>
      </c>
      <c r="S24" s="46">
        <f t="shared" si="7"/>
        <v>0.19000000000000003</v>
      </c>
    </row>
    <row r="25" spans="1:21" ht="17.100000000000001" customHeight="1" x14ac:dyDescent="0.25">
      <c r="A25" s="5" t="s">
        <v>22</v>
      </c>
      <c r="B25" s="69">
        <v>5</v>
      </c>
      <c r="C25" s="69" t="s">
        <v>112</v>
      </c>
      <c r="D25" s="69">
        <f t="shared" si="6"/>
        <v>20</v>
      </c>
      <c r="E25" s="69" t="s">
        <v>83</v>
      </c>
      <c r="F25" s="69"/>
      <c r="G25" s="78">
        <v>2.7183000000000002</v>
      </c>
      <c r="H25" s="79">
        <v>365245.2</v>
      </c>
      <c r="I25" s="168">
        <v>365300</v>
      </c>
      <c r="J25" s="81"/>
      <c r="K25" s="119">
        <f t="shared" si="1"/>
        <v>-54.799999999988358</v>
      </c>
      <c r="L25" s="82">
        <f t="shared" si="2"/>
        <v>0</v>
      </c>
      <c r="M25" s="83">
        <v>0</v>
      </c>
      <c r="N25" s="84">
        <f t="shared" si="0"/>
        <v>309256.40903352003</v>
      </c>
      <c r="O25" s="85">
        <v>0</v>
      </c>
      <c r="P25" s="86">
        <f t="shared" si="3"/>
        <v>309202.2</v>
      </c>
      <c r="Q25" s="87">
        <f t="shared" si="4"/>
        <v>327754.2</v>
      </c>
      <c r="R25" s="88">
        <f t="shared" si="5"/>
        <v>318478.2</v>
      </c>
      <c r="S25" s="46">
        <f t="shared" si="7"/>
        <v>0.20000000000000004</v>
      </c>
    </row>
    <row r="26" spans="1:21" ht="17.100000000000001" customHeight="1" x14ac:dyDescent="0.25">
      <c r="A26" s="5" t="s">
        <v>23</v>
      </c>
      <c r="B26" s="69">
        <v>6</v>
      </c>
      <c r="C26" s="69" t="s">
        <v>111</v>
      </c>
      <c r="D26" s="69">
        <f t="shared" si="6"/>
        <v>21</v>
      </c>
      <c r="E26" s="69" t="s">
        <v>84</v>
      </c>
      <c r="F26" s="70"/>
      <c r="G26" s="78">
        <v>2.3033000000000001</v>
      </c>
      <c r="H26" s="79">
        <v>-6461.79</v>
      </c>
      <c r="I26" s="168"/>
      <c r="J26" s="81"/>
      <c r="K26" s="82">
        <f t="shared" si="1"/>
        <v>-6461.79</v>
      </c>
      <c r="L26" s="82">
        <f t="shared" si="2"/>
        <v>0</v>
      </c>
      <c r="M26" s="83">
        <v>0</v>
      </c>
      <c r="N26" s="84">
        <f t="shared" si="0"/>
        <v>262042.55855752001</v>
      </c>
      <c r="O26" s="85">
        <v>0</v>
      </c>
      <c r="P26" s="86">
        <f t="shared" si="3"/>
        <v>255581.21</v>
      </c>
      <c r="Q26" s="87">
        <f t="shared" si="4"/>
        <v>270916.21000000002</v>
      </c>
      <c r="R26" s="88">
        <f t="shared" si="5"/>
        <v>263248.20999999996</v>
      </c>
      <c r="S26" s="46">
        <f t="shared" si="7"/>
        <v>0.21000000000000005</v>
      </c>
    </row>
    <row r="27" spans="1:21" ht="17.100000000000001" customHeight="1" x14ac:dyDescent="0.25">
      <c r="A27" s="5" t="s">
        <v>24</v>
      </c>
      <c r="B27" s="69">
        <v>6</v>
      </c>
      <c r="C27" s="69" t="s">
        <v>112</v>
      </c>
      <c r="D27" s="69">
        <f t="shared" si="6"/>
        <v>22</v>
      </c>
      <c r="E27" s="69" t="s">
        <v>128</v>
      </c>
      <c r="F27" s="70" t="s">
        <v>129</v>
      </c>
      <c r="G27" s="78">
        <v>2.6360000000000001</v>
      </c>
      <c r="H27" s="79">
        <v>273665.21999999997</v>
      </c>
      <c r="I27" s="168"/>
      <c r="J27" s="81"/>
      <c r="K27" s="82">
        <f t="shared" si="1"/>
        <v>273665.21999999997</v>
      </c>
      <c r="L27" s="82">
        <f t="shared" si="2"/>
        <v>8209.9565999999995</v>
      </c>
      <c r="M27" s="83">
        <v>0</v>
      </c>
      <c r="N27" s="84">
        <f t="shared" si="0"/>
        <v>299893.27675840002</v>
      </c>
      <c r="O27" s="85">
        <v>0</v>
      </c>
      <c r="P27" s="86">
        <f t="shared" si="3"/>
        <v>581768.22</v>
      </c>
      <c r="Q27" s="87">
        <f t="shared" si="4"/>
        <v>616674.22</v>
      </c>
      <c r="R27" s="88">
        <f t="shared" si="5"/>
        <v>599221.22</v>
      </c>
      <c r="S27" s="46">
        <f t="shared" si="7"/>
        <v>0.22000000000000006</v>
      </c>
      <c r="U27" t="s">
        <v>177</v>
      </c>
    </row>
    <row r="28" spans="1:21" ht="17.100000000000001" customHeight="1" x14ac:dyDescent="0.25">
      <c r="A28" s="5" t="s">
        <v>25</v>
      </c>
      <c r="B28" s="69">
        <v>7</v>
      </c>
      <c r="C28" s="69" t="s">
        <v>111</v>
      </c>
      <c r="D28" s="69">
        <f t="shared" si="6"/>
        <v>23</v>
      </c>
      <c r="E28" s="69" t="s">
        <v>85</v>
      </c>
      <c r="F28" s="70"/>
      <c r="G28" s="78">
        <v>2.3033000000000001</v>
      </c>
      <c r="H28" s="79">
        <v>239124.23</v>
      </c>
      <c r="I28" s="168">
        <f t="shared" ref="I28:I32" si="8">H28</f>
        <v>239124.23</v>
      </c>
      <c r="J28" s="81"/>
      <c r="K28" s="82">
        <f t="shared" si="1"/>
        <v>0</v>
      </c>
      <c r="L28" s="82">
        <f t="shared" si="2"/>
        <v>0</v>
      </c>
      <c r="M28" s="83">
        <v>0</v>
      </c>
      <c r="N28" s="84">
        <f t="shared" si="0"/>
        <v>262042.55855752001</v>
      </c>
      <c r="O28" s="85">
        <v>0</v>
      </c>
      <c r="P28" s="86">
        <f t="shared" si="3"/>
        <v>262043.23</v>
      </c>
      <c r="Q28" s="87">
        <f t="shared" si="4"/>
        <v>277766.23</v>
      </c>
      <c r="R28" s="88">
        <f t="shared" si="5"/>
        <v>269904.23</v>
      </c>
      <c r="S28" s="46">
        <f t="shared" si="7"/>
        <v>0.23000000000000007</v>
      </c>
    </row>
    <row r="29" spans="1:21" ht="17.100000000000001" customHeight="1" x14ac:dyDescent="0.25">
      <c r="A29" s="5" t="s">
        <v>27</v>
      </c>
      <c r="B29" s="69">
        <v>7</v>
      </c>
      <c r="C29" s="69" t="s">
        <v>112</v>
      </c>
      <c r="D29" s="69">
        <f t="shared" si="6"/>
        <v>24</v>
      </c>
      <c r="E29" s="69" t="s">
        <v>86</v>
      </c>
      <c r="F29" s="70"/>
      <c r="G29" s="78">
        <v>2.6158999999999999</v>
      </c>
      <c r="H29" s="79">
        <v>271578.23999999999</v>
      </c>
      <c r="I29" s="168">
        <f t="shared" si="8"/>
        <v>271578.23999999999</v>
      </c>
      <c r="J29" s="81"/>
      <c r="K29" s="82">
        <f t="shared" si="1"/>
        <v>0</v>
      </c>
      <c r="L29" s="82">
        <f t="shared" si="2"/>
        <v>0</v>
      </c>
      <c r="M29" s="83">
        <v>0</v>
      </c>
      <c r="N29" s="84">
        <f t="shared" si="0"/>
        <v>297606.53363895998</v>
      </c>
      <c r="O29" s="85">
        <v>0</v>
      </c>
      <c r="P29" s="86">
        <f t="shared" si="3"/>
        <v>297607.24</v>
      </c>
      <c r="Q29" s="87">
        <f t="shared" si="4"/>
        <v>315464.24</v>
      </c>
      <c r="R29" s="88">
        <f t="shared" si="5"/>
        <v>306535.24</v>
      </c>
      <c r="S29" s="46">
        <f t="shared" si="7"/>
        <v>0.24000000000000007</v>
      </c>
    </row>
    <row r="30" spans="1:21" ht="17.100000000000001" customHeight="1" x14ac:dyDescent="0.25">
      <c r="A30" s="5" t="s">
        <v>27</v>
      </c>
      <c r="B30" s="69">
        <v>8</v>
      </c>
      <c r="C30" s="69" t="s">
        <v>111</v>
      </c>
      <c r="D30" s="69">
        <f t="shared" si="6"/>
        <v>25</v>
      </c>
      <c r="E30" s="69" t="s">
        <v>87</v>
      </c>
      <c r="F30" s="69"/>
      <c r="G30" s="78">
        <v>2.3536999999999999</v>
      </c>
      <c r="H30" s="79">
        <v>244357.25</v>
      </c>
      <c r="I30" s="168">
        <f t="shared" si="8"/>
        <v>244357.25</v>
      </c>
      <c r="J30" s="81"/>
      <c r="K30" s="82">
        <f t="shared" si="1"/>
        <v>0</v>
      </c>
      <c r="L30" s="82">
        <f t="shared" si="2"/>
        <v>0</v>
      </c>
      <c r="M30" s="83">
        <v>0</v>
      </c>
      <c r="N30" s="84">
        <f t="shared" si="0"/>
        <v>267776.48160328</v>
      </c>
      <c r="O30" s="85">
        <v>0</v>
      </c>
      <c r="P30" s="86">
        <f t="shared" si="3"/>
        <v>267776.25</v>
      </c>
      <c r="Q30" s="87">
        <f t="shared" si="4"/>
        <v>283843.25</v>
      </c>
      <c r="R30" s="88">
        <f t="shared" si="5"/>
        <v>275809.25</v>
      </c>
      <c r="S30" s="46">
        <f t="shared" si="7"/>
        <v>0.25000000000000006</v>
      </c>
    </row>
    <row r="31" spans="1:21" ht="17.100000000000001" customHeight="1" x14ac:dyDescent="0.25">
      <c r="A31" s="5" t="s">
        <v>27</v>
      </c>
      <c r="B31" s="69">
        <v>8</v>
      </c>
      <c r="C31" s="69" t="s">
        <v>112</v>
      </c>
      <c r="D31" s="69">
        <f t="shared" si="6"/>
        <v>26</v>
      </c>
      <c r="E31" s="69" t="s">
        <v>130</v>
      </c>
      <c r="F31" s="69" t="s">
        <v>131</v>
      </c>
      <c r="G31" s="78">
        <v>2.6469</v>
      </c>
      <c r="H31" s="79">
        <v>274796.26</v>
      </c>
      <c r="I31" s="168">
        <f t="shared" si="8"/>
        <v>274796.26</v>
      </c>
      <c r="J31" s="81"/>
      <c r="K31" s="82">
        <f t="shared" si="1"/>
        <v>0</v>
      </c>
      <c r="L31" s="82">
        <f t="shared" si="2"/>
        <v>0</v>
      </c>
      <c r="M31" s="83">
        <v>0</v>
      </c>
      <c r="N31" s="84">
        <f t="shared" si="0"/>
        <v>301133.35138536</v>
      </c>
      <c r="O31" s="85">
        <v>0</v>
      </c>
      <c r="P31" s="86">
        <f t="shared" si="3"/>
        <v>301133.26</v>
      </c>
      <c r="Q31" s="87">
        <f t="shared" si="4"/>
        <v>319201.26</v>
      </c>
      <c r="R31" s="88">
        <f t="shared" si="5"/>
        <v>310167.26</v>
      </c>
      <c r="S31" s="46">
        <f t="shared" si="7"/>
        <v>0.26000000000000006</v>
      </c>
    </row>
    <row r="32" spans="1:21" ht="17.100000000000001" customHeight="1" x14ac:dyDescent="0.25">
      <c r="A32" s="5" t="s">
        <v>27</v>
      </c>
      <c r="B32" s="69">
        <v>9</v>
      </c>
      <c r="C32" s="69" t="s">
        <v>111</v>
      </c>
      <c r="D32" s="69">
        <f t="shared" si="6"/>
        <v>27</v>
      </c>
      <c r="E32" s="69" t="s">
        <v>88</v>
      </c>
      <c r="F32" s="70"/>
      <c r="G32" s="78">
        <v>2.3536999999999999</v>
      </c>
      <c r="H32" s="79">
        <v>244357.27</v>
      </c>
      <c r="I32" s="168">
        <f t="shared" si="8"/>
        <v>244357.27</v>
      </c>
      <c r="J32" s="81"/>
      <c r="K32" s="82">
        <f t="shared" si="1"/>
        <v>0</v>
      </c>
      <c r="L32" s="82">
        <f t="shared" si="2"/>
        <v>0</v>
      </c>
      <c r="M32" s="83">
        <v>0</v>
      </c>
      <c r="N32" s="84">
        <f t="shared" si="0"/>
        <v>267776.48160328</v>
      </c>
      <c r="O32" s="85">
        <v>0</v>
      </c>
      <c r="P32" s="86">
        <f t="shared" si="3"/>
        <v>267776.27</v>
      </c>
      <c r="Q32" s="87">
        <f t="shared" si="4"/>
        <v>283843.27</v>
      </c>
      <c r="R32" s="88">
        <f t="shared" si="5"/>
        <v>275809.27</v>
      </c>
      <c r="S32" s="46">
        <f t="shared" si="7"/>
        <v>0.27000000000000007</v>
      </c>
    </row>
    <row r="33" spans="1:21" ht="17.100000000000001" customHeight="1" x14ac:dyDescent="0.25">
      <c r="A33" s="5" t="s">
        <v>27</v>
      </c>
      <c r="B33" s="69">
        <v>9</v>
      </c>
      <c r="C33" s="69" t="s">
        <v>112</v>
      </c>
      <c r="D33" s="69">
        <f t="shared" si="6"/>
        <v>28</v>
      </c>
      <c r="E33" s="69" t="s">
        <v>89</v>
      </c>
      <c r="F33" s="69"/>
      <c r="G33" s="78">
        <v>2.6663000000000001</v>
      </c>
      <c r="H33" s="79">
        <v>267682.28000000003</v>
      </c>
      <c r="I33" s="168">
        <v>275712.28000000003</v>
      </c>
      <c r="J33" s="81"/>
      <c r="K33" s="82">
        <f t="shared" si="1"/>
        <v>-8030</v>
      </c>
      <c r="L33" s="82">
        <f t="shared" si="2"/>
        <v>0</v>
      </c>
      <c r="M33" s="83">
        <v>0</v>
      </c>
      <c r="N33" s="84">
        <f t="shared" si="0"/>
        <v>303340.45668472</v>
      </c>
      <c r="O33" s="139">
        <v>0</v>
      </c>
      <c r="P33" s="86">
        <f t="shared" si="3"/>
        <v>295310.28000000003</v>
      </c>
      <c r="Q33" s="87">
        <f t="shared" si="4"/>
        <v>313029.28000000003</v>
      </c>
      <c r="R33" s="88">
        <f t="shared" si="5"/>
        <v>304169.28000000003</v>
      </c>
      <c r="S33" s="46">
        <f t="shared" si="7"/>
        <v>0.28000000000000008</v>
      </c>
    </row>
    <row r="34" spans="1:21" ht="17.100000000000001" customHeight="1" x14ac:dyDescent="0.25">
      <c r="A34" s="5" t="s">
        <v>27</v>
      </c>
      <c r="B34" s="69">
        <v>10</v>
      </c>
      <c r="C34" s="69" t="s">
        <v>111</v>
      </c>
      <c r="D34" s="69">
        <f t="shared" si="6"/>
        <v>29</v>
      </c>
      <c r="E34" s="69" t="s">
        <v>134</v>
      </c>
      <c r="F34" s="69" t="s">
        <v>132</v>
      </c>
      <c r="G34" s="78">
        <v>2.4476</v>
      </c>
      <c r="H34" s="79">
        <v>254105.29</v>
      </c>
      <c r="I34" s="168">
        <f>H34</f>
        <v>254105.29</v>
      </c>
      <c r="J34" s="81"/>
      <c r="K34" s="82">
        <f t="shared" si="1"/>
        <v>0</v>
      </c>
      <c r="L34" s="82">
        <f t="shared" si="2"/>
        <v>0</v>
      </c>
      <c r="M34" s="83">
        <v>0</v>
      </c>
      <c r="N34" s="84">
        <f t="shared" si="0"/>
        <v>278459.32632544002</v>
      </c>
      <c r="O34" s="85">
        <v>0</v>
      </c>
      <c r="P34" s="86">
        <f t="shared" si="3"/>
        <v>278459.28999999998</v>
      </c>
      <c r="Q34" s="87">
        <f t="shared" si="4"/>
        <v>295167.28999999998</v>
      </c>
      <c r="R34" s="88">
        <f t="shared" si="5"/>
        <v>286813.28999999998</v>
      </c>
      <c r="S34" s="46">
        <f t="shared" si="7"/>
        <v>0.29000000000000009</v>
      </c>
    </row>
    <row r="35" spans="1:21" ht="17.100000000000001" customHeight="1" x14ac:dyDescent="0.25">
      <c r="A35" s="5" t="s">
        <v>27</v>
      </c>
      <c r="B35" s="69">
        <v>10</v>
      </c>
      <c r="C35" s="69" t="s">
        <v>112</v>
      </c>
      <c r="D35" s="69">
        <f t="shared" si="6"/>
        <v>30</v>
      </c>
      <c r="E35" s="69" t="s">
        <v>90</v>
      </c>
      <c r="F35" s="70"/>
      <c r="G35" s="78">
        <v>2.7183000000000002</v>
      </c>
      <c r="H35" s="79">
        <v>601724.30000000005</v>
      </c>
      <c r="I35" s="168">
        <v>619776.30000000005</v>
      </c>
      <c r="J35" s="81"/>
      <c r="K35" s="82">
        <f t="shared" si="1"/>
        <v>-18052</v>
      </c>
      <c r="L35" s="82">
        <f t="shared" si="2"/>
        <v>0</v>
      </c>
      <c r="M35" s="83">
        <v>0</v>
      </c>
      <c r="N35" s="84">
        <f t="shared" si="0"/>
        <v>309256.40903352003</v>
      </c>
      <c r="O35" s="85">
        <v>0</v>
      </c>
      <c r="P35" s="86">
        <f t="shared" si="3"/>
        <v>291204.3</v>
      </c>
      <c r="Q35" s="87">
        <f t="shared" si="4"/>
        <v>308677.3</v>
      </c>
      <c r="R35" s="88">
        <f t="shared" si="5"/>
        <v>299940.3</v>
      </c>
      <c r="S35" s="46">
        <f t="shared" si="7"/>
        <v>0.3000000000000001</v>
      </c>
    </row>
    <row r="36" spans="1:21" x14ac:dyDescent="0.25">
      <c r="A36" s="5" t="s">
        <v>27</v>
      </c>
      <c r="B36" s="69">
        <v>11</v>
      </c>
      <c r="C36" s="69" t="s">
        <v>111</v>
      </c>
      <c r="D36" s="69">
        <f t="shared" si="6"/>
        <v>31</v>
      </c>
      <c r="E36" s="69" t="s">
        <v>135</v>
      </c>
      <c r="F36" s="69" t="s">
        <v>133</v>
      </c>
      <c r="G36" s="78">
        <v>2.3026</v>
      </c>
      <c r="H36" s="80">
        <v>231323.31</v>
      </c>
      <c r="I36" s="168">
        <f>H36</f>
        <v>231323.31</v>
      </c>
      <c r="J36" s="89"/>
      <c r="K36" s="82">
        <f t="shared" si="1"/>
        <v>0</v>
      </c>
      <c r="L36" s="82">
        <f t="shared" si="2"/>
        <v>0</v>
      </c>
      <c r="M36" s="83">
        <v>0</v>
      </c>
      <c r="N36" s="152">
        <f t="shared" si="0"/>
        <v>261962.92073744</v>
      </c>
      <c r="O36" s="90">
        <v>0</v>
      </c>
      <c r="P36" s="86">
        <f t="shared" si="3"/>
        <v>261963.31</v>
      </c>
      <c r="Q36" s="87">
        <f t="shared" si="4"/>
        <v>277681.31</v>
      </c>
      <c r="R36" s="88">
        <f t="shared" si="5"/>
        <v>269822.31</v>
      </c>
      <c r="S36" s="46">
        <f t="shared" si="7"/>
        <v>0.31000000000000011</v>
      </c>
    </row>
    <row r="37" spans="1:21" ht="17.100000000000001" customHeight="1" x14ac:dyDescent="0.25">
      <c r="A37" s="5" t="s">
        <v>27</v>
      </c>
      <c r="B37" s="69">
        <v>11</v>
      </c>
      <c r="C37" s="69" t="s">
        <v>112</v>
      </c>
      <c r="D37" s="69">
        <f t="shared" si="6"/>
        <v>32</v>
      </c>
      <c r="E37" s="69" t="s">
        <v>91</v>
      </c>
      <c r="F37" s="70"/>
      <c r="G37" s="78">
        <v>2.6562000000000001</v>
      </c>
      <c r="H37" s="79">
        <v>376989.32</v>
      </c>
      <c r="I37" s="168">
        <v>275762.32</v>
      </c>
      <c r="J37" s="81"/>
      <c r="K37" s="82">
        <f t="shared" si="1"/>
        <v>101227</v>
      </c>
      <c r="L37" s="82">
        <f t="shared" si="2"/>
        <v>3036.81</v>
      </c>
      <c r="M37" s="83">
        <v>0</v>
      </c>
      <c r="N37" s="84">
        <f t="shared" si="0"/>
        <v>302191.39670928003</v>
      </c>
      <c r="O37" s="85">
        <v>0</v>
      </c>
      <c r="P37" s="86">
        <f t="shared" si="3"/>
        <v>406455.32</v>
      </c>
      <c r="Q37" s="87">
        <f t="shared" si="4"/>
        <v>430843.32</v>
      </c>
      <c r="R37" s="88">
        <f t="shared" si="5"/>
        <v>418649.32</v>
      </c>
      <c r="S37" s="46">
        <f t="shared" si="7"/>
        <v>0.32000000000000012</v>
      </c>
    </row>
    <row r="38" spans="1:21" ht="17.100000000000001" customHeight="1" x14ac:dyDescent="0.25">
      <c r="A38" s="5" t="s">
        <v>27</v>
      </c>
      <c r="B38" s="69">
        <v>12</v>
      </c>
      <c r="C38" s="69" t="s">
        <v>111</v>
      </c>
      <c r="D38" s="69">
        <f t="shared" si="6"/>
        <v>33</v>
      </c>
      <c r="E38" s="69" t="s">
        <v>92</v>
      </c>
      <c r="F38" s="70"/>
      <c r="G38" s="78">
        <v>2.3342999999999998</v>
      </c>
      <c r="H38" s="79">
        <v>242343.33</v>
      </c>
      <c r="I38" s="168">
        <f>H38</f>
        <v>242343.33</v>
      </c>
      <c r="J38" s="81"/>
      <c r="K38" s="82">
        <f t="shared" si="1"/>
        <v>0</v>
      </c>
      <c r="L38" s="82">
        <f t="shared" si="2"/>
        <v>0</v>
      </c>
      <c r="M38" s="83">
        <v>0</v>
      </c>
      <c r="N38" s="84">
        <f t="shared" si="0"/>
        <v>265569.37630392</v>
      </c>
      <c r="O38" s="85">
        <v>0</v>
      </c>
      <c r="P38" s="86">
        <f t="shared" si="3"/>
        <v>265569.33</v>
      </c>
      <c r="Q38" s="87">
        <f t="shared" si="4"/>
        <v>281503.33</v>
      </c>
      <c r="R38" s="88">
        <f t="shared" si="5"/>
        <v>273536.33</v>
      </c>
      <c r="S38" s="46">
        <f t="shared" si="7"/>
        <v>0.33000000000000013</v>
      </c>
    </row>
    <row r="39" spans="1:21" ht="17.100000000000001" customHeight="1" x14ac:dyDescent="0.25">
      <c r="A39" s="5" t="s">
        <v>27</v>
      </c>
      <c r="B39" s="69">
        <v>12</v>
      </c>
      <c r="C39" s="69" t="s">
        <v>112</v>
      </c>
      <c r="D39" s="69">
        <f t="shared" si="6"/>
        <v>34</v>
      </c>
      <c r="E39" s="69" t="s">
        <v>93</v>
      </c>
      <c r="F39" s="69"/>
      <c r="G39" s="78">
        <v>2.6259000000000001</v>
      </c>
      <c r="H39" s="79">
        <v>272616.34000000003</v>
      </c>
      <c r="I39" s="168">
        <f>H39</f>
        <v>272616.34000000003</v>
      </c>
      <c r="J39" s="81"/>
      <c r="K39" s="82">
        <f t="shared" si="1"/>
        <v>0</v>
      </c>
      <c r="L39" s="82">
        <f t="shared" si="2"/>
        <v>0</v>
      </c>
      <c r="M39" s="83">
        <v>0</v>
      </c>
      <c r="N39" s="84">
        <f t="shared" si="0"/>
        <v>298744.21678295999</v>
      </c>
      <c r="O39" s="85">
        <v>0</v>
      </c>
      <c r="P39" s="86">
        <f t="shared" si="3"/>
        <v>298744.34000000003</v>
      </c>
      <c r="Q39" s="87">
        <f t="shared" si="4"/>
        <v>316669.34000000003</v>
      </c>
      <c r="R39" s="88">
        <f t="shared" si="5"/>
        <v>307706.34000000003</v>
      </c>
      <c r="S39" s="46">
        <f t="shared" si="7"/>
        <v>0.34000000000000014</v>
      </c>
    </row>
    <row r="40" spans="1:21" ht="17.100000000000001" customHeight="1" x14ac:dyDescent="0.25">
      <c r="A40" s="5" t="s">
        <v>27</v>
      </c>
      <c r="B40" s="69">
        <v>1</v>
      </c>
      <c r="C40" s="69" t="s">
        <v>113</v>
      </c>
      <c r="D40" s="69">
        <f t="shared" si="6"/>
        <v>35</v>
      </c>
      <c r="E40" s="69" t="s">
        <v>137</v>
      </c>
      <c r="F40" s="70" t="s">
        <v>136</v>
      </c>
      <c r="G40" s="78">
        <v>1.0069999999999999</v>
      </c>
      <c r="H40" s="79">
        <v>107681.35</v>
      </c>
      <c r="I40" s="168">
        <f>104545.35</f>
        <v>104545.35</v>
      </c>
      <c r="J40" s="81"/>
      <c r="K40" s="82">
        <f t="shared" si="1"/>
        <v>3136</v>
      </c>
      <c r="L40" s="82">
        <f t="shared" si="2"/>
        <v>94.08</v>
      </c>
      <c r="M40" s="83">
        <v>0</v>
      </c>
      <c r="N40" s="84">
        <f t="shared" si="0"/>
        <v>114564.69260079999</v>
      </c>
      <c r="O40" s="85">
        <v>0</v>
      </c>
      <c r="P40" s="86">
        <f t="shared" si="3"/>
        <v>117795.35</v>
      </c>
      <c r="Q40" s="87">
        <f t="shared" si="4"/>
        <v>124863.35</v>
      </c>
      <c r="R40" s="88">
        <f t="shared" si="5"/>
        <v>121329.35</v>
      </c>
      <c r="S40" s="46">
        <f t="shared" si="7"/>
        <v>0.35000000000000014</v>
      </c>
    </row>
    <row r="41" spans="1:21" ht="17.100000000000001" customHeight="1" x14ac:dyDescent="0.25">
      <c r="A41" s="5" t="s">
        <v>27</v>
      </c>
      <c r="B41" s="69">
        <v>1</v>
      </c>
      <c r="C41" s="69" t="s">
        <v>114</v>
      </c>
      <c r="D41" s="69">
        <f t="shared" si="6"/>
        <v>36</v>
      </c>
      <c r="E41" s="69" t="s">
        <v>94</v>
      </c>
      <c r="F41" s="70" t="s">
        <v>181</v>
      </c>
      <c r="G41" s="78">
        <v>0.78120000000000001</v>
      </c>
      <c r="H41" s="80">
        <v>81103.360000000001</v>
      </c>
      <c r="I41" s="168">
        <f>H41</f>
        <v>81103.360000000001</v>
      </c>
      <c r="J41" s="81"/>
      <c r="K41" s="82">
        <f t="shared" si="1"/>
        <v>0</v>
      </c>
      <c r="L41" s="82">
        <f t="shared" si="2"/>
        <v>0</v>
      </c>
      <c r="M41" s="83">
        <v>0</v>
      </c>
      <c r="N41" s="84">
        <f t="shared" si="0"/>
        <v>88875.807209279999</v>
      </c>
      <c r="O41" s="85">
        <v>0</v>
      </c>
      <c r="P41" s="86">
        <f t="shared" si="3"/>
        <v>88876.36</v>
      </c>
      <c r="Q41" s="87">
        <f t="shared" si="4"/>
        <v>94209.36</v>
      </c>
      <c r="R41" s="88">
        <f t="shared" si="5"/>
        <v>91542.36</v>
      </c>
      <c r="S41" s="46">
        <f t="shared" si="7"/>
        <v>0.36000000000000015</v>
      </c>
      <c r="U41" t="s">
        <v>180</v>
      </c>
    </row>
    <row r="42" spans="1:21" ht="17.100000000000001" customHeight="1" x14ac:dyDescent="0.25">
      <c r="A42" s="55"/>
      <c r="B42" s="68">
        <v>1</v>
      </c>
      <c r="C42" s="68" t="s">
        <v>115</v>
      </c>
      <c r="D42" s="69">
        <f t="shared" si="6"/>
        <v>37</v>
      </c>
      <c r="E42" s="68" t="s">
        <v>94</v>
      </c>
      <c r="F42" s="70" t="s">
        <v>181</v>
      </c>
      <c r="G42" s="92">
        <v>1.2153</v>
      </c>
      <c r="H42" s="79">
        <v>126170.37</v>
      </c>
      <c r="I42" s="168">
        <f>H42</f>
        <v>126170.37</v>
      </c>
      <c r="J42" s="81"/>
      <c r="K42" s="82">
        <f t="shared" si="1"/>
        <v>0</v>
      </c>
      <c r="L42" s="82">
        <f t="shared" si="2"/>
        <v>0</v>
      </c>
      <c r="M42" s="83">
        <v>0</v>
      </c>
      <c r="N42" s="84">
        <f t="shared" si="0"/>
        <v>138262.63249032001</v>
      </c>
      <c r="O42" s="85">
        <v>0</v>
      </c>
      <c r="P42" s="86">
        <f t="shared" si="3"/>
        <v>138263.37</v>
      </c>
      <c r="Q42" s="87">
        <f t="shared" si="4"/>
        <v>146559.37</v>
      </c>
      <c r="R42" s="88">
        <f t="shared" si="5"/>
        <v>142411.37</v>
      </c>
      <c r="S42" s="46">
        <f t="shared" si="7"/>
        <v>0.37000000000000016</v>
      </c>
      <c r="U42" t="s">
        <v>180</v>
      </c>
    </row>
    <row r="43" spans="1:21" ht="17.100000000000001" customHeight="1" x14ac:dyDescent="0.25">
      <c r="B43" s="69">
        <v>2</v>
      </c>
      <c r="C43" s="93" t="s">
        <v>113</v>
      </c>
      <c r="D43" s="69">
        <f t="shared" si="6"/>
        <v>38</v>
      </c>
      <c r="E43" s="68" t="s">
        <v>139</v>
      </c>
      <c r="F43" s="68" t="s">
        <v>138</v>
      </c>
      <c r="G43" s="92">
        <v>0.95489999999999997</v>
      </c>
      <c r="H43" s="79">
        <v>102110.38</v>
      </c>
      <c r="I43" s="168">
        <f>H43</f>
        <v>102110.38</v>
      </c>
      <c r="J43" s="81"/>
      <c r="K43" s="82">
        <f t="shared" si="1"/>
        <v>0</v>
      </c>
      <c r="L43" s="82">
        <f t="shared" si="2"/>
        <v>0</v>
      </c>
      <c r="M43" s="83">
        <v>0</v>
      </c>
      <c r="N43" s="84">
        <f t="shared" si="0"/>
        <v>108637.36342056</v>
      </c>
      <c r="O43" s="85">
        <v>0</v>
      </c>
      <c r="P43" s="86">
        <f t="shared" si="3"/>
        <v>108637.38</v>
      </c>
      <c r="Q43" s="87">
        <f t="shared" si="4"/>
        <v>115156.38</v>
      </c>
      <c r="R43" s="88">
        <f t="shared" si="5"/>
        <v>111896.38</v>
      </c>
      <c r="S43" s="46">
        <f t="shared" si="7"/>
        <v>0.38000000000000017</v>
      </c>
    </row>
    <row r="44" spans="1:21" ht="17.100000000000001" customHeight="1" x14ac:dyDescent="0.25">
      <c r="B44" s="69">
        <v>2</v>
      </c>
      <c r="C44" s="93" t="s">
        <v>114</v>
      </c>
      <c r="D44" s="69">
        <f t="shared" si="6"/>
        <v>39</v>
      </c>
      <c r="E44" s="68" t="s">
        <v>95</v>
      </c>
      <c r="F44" s="91"/>
      <c r="G44" s="92">
        <v>0.75519999999999998</v>
      </c>
      <c r="H44" s="79">
        <v>240619.39</v>
      </c>
      <c r="I44" s="168"/>
      <c r="J44" s="81"/>
      <c r="K44" s="82">
        <f t="shared" si="1"/>
        <v>240619.39</v>
      </c>
      <c r="L44" s="82">
        <f t="shared" si="2"/>
        <v>7218.5816999999997</v>
      </c>
      <c r="M44" s="83">
        <v>0</v>
      </c>
      <c r="N44" s="84">
        <f t="shared" si="0"/>
        <v>85917.831034879986</v>
      </c>
      <c r="O44" s="85">
        <v>0</v>
      </c>
      <c r="P44" s="86">
        <f t="shared" si="3"/>
        <v>333756.39</v>
      </c>
      <c r="Q44" s="87">
        <f t="shared" si="4"/>
        <v>353782.39</v>
      </c>
      <c r="R44" s="88">
        <f t="shared" si="5"/>
        <v>343769.39</v>
      </c>
      <c r="S44" s="46">
        <f t="shared" si="7"/>
        <v>0.39000000000000018</v>
      </c>
    </row>
    <row r="45" spans="1:21" ht="17.100000000000001" customHeight="1" x14ac:dyDescent="0.25">
      <c r="B45" s="69">
        <v>2</v>
      </c>
      <c r="C45" s="93" t="s">
        <v>115</v>
      </c>
      <c r="D45" s="69">
        <f t="shared" si="6"/>
        <v>40</v>
      </c>
      <c r="E45" s="68" t="s">
        <v>88</v>
      </c>
      <c r="F45" s="68" t="s">
        <v>140</v>
      </c>
      <c r="G45" s="92">
        <v>1.1545000000000001</v>
      </c>
      <c r="H45" s="79">
        <v>132107.4</v>
      </c>
      <c r="I45" s="168">
        <v>119858</v>
      </c>
      <c r="J45" s="81"/>
      <c r="K45" s="82">
        <f t="shared" si="1"/>
        <v>12249.399999999994</v>
      </c>
      <c r="L45" s="82">
        <f t="shared" si="2"/>
        <v>367.4819999999998</v>
      </c>
      <c r="M45" s="83">
        <v>0</v>
      </c>
      <c r="N45" s="84">
        <f t="shared" si="0"/>
        <v>131345.51897480001</v>
      </c>
      <c r="O45" s="85">
        <v>0</v>
      </c>
      <c r="P45" s="86">
        <f t="shared" si="3"/>
        <v>143962.4</v>
      </c>
      <c r="Q45" s="87">
        <f t="shared" si="4"/>
        <v>152600.4</v>
      </c>
      <c r="R45" s="88">
        <f t="shared" si="5"/>
        <v>148281.4</v>
      </c>
      <c r="S45" s="46">
        <f t="shared" si="7"/>
        <v>0.40000000000000019</v>
      </c>
    </row>
    <row r="46" spans="1:21" ht="17.100000000000001" customHeight="1" x14ac:dyDescent="0.25">
      <c r="B46" s="69">
        <v>3</v>
      </c>
      <c r="C46" s="93" t="s">
        <v>113</v>
      </c>
      <c r="D46" s="69">
        <f t="shared" si="6"/>
        <v>41</v>
      </c>
      <c r="E46" s="68" t="s">
        <v>142</v>
      </c>
      <c r="F46" s="68" t="s">
        <v>141</v>
      </c>
      <c r="G46" s="92">
        <v>0.95489999999999997</v>
      </c>
      <c r="H46" s="79">
        <v>102054.41</v>
      </c>
      <c r="I46" s="168">
        <f>H46</f>
        <v>102054.41</v>
      </c>
      <c r="J46" s="81"/>
      <c r="K46" s="82">
        <f t="shared" si="1"/>
        <v>0</v>
      </c>
      <c r="L46" s="82">
        <f t="shared" si="2"/>
        <v>0</v>
      </c>
      <c r="M46" s="83">
        <v>0</v>
      </c>
      <c r="N46" s="84">
        <f t="shared" si="0"/>
        <v>108637.36342056</v>
      </c>
      <c r="O46" s="85">
        <v>0</v>
      </c>
      <c r="P46" s="86">
        <f t="shared" si="3"/>
        <v>108637.41</v>
      </c>
      <c r="Q46" s="87">
        <f t="shared" si="4"/>
        <v>115156.41</v>
      </c>
      <c r="R46" s="88">
        <f t="shared" si="5"/>
        <v>111896.41</v>
      </c>
      <c r="S46" s="46">
        <f t="shared" si="7"/>
        <v>0.4100000000000002</v>
      </c>
    </row>
    <row r="47" spans="1:21" ht="17.100000000000001" customHeight="1" x14ac:dyDescent="0.25">
      <c r="B47" s="69">
        <v>3</v>
      </c>
      <c r="C47" s="93" t="s">
        <v>114</v>
      </c>
      <c r="D47" s="69">
        <f t="shared" si="6"/>
        <v>42</v>
      </c>
      <c r="E47" s="68" t="s">
        <v>96</v>
      </c>
      <c r="F47" s="91"/>
      <c r="G47" s="92">
        <v>0.75519999999999998</v>
      </c>
      <c r="H47" s="79">
        <v>78403.42</v>
      </c>
      <c r="I47" s="168">
        <f t="shared" ref="I47" si="9">H47</f>
        <v>78403.42</v>
      </c>
      <c r="J47" s="81"/>
      <c r="K47" s="82">
        <f t="shared" si="1"/>
        <v>0</v>
      </c>
      <c r="L47" s="82">
        <f t="shared" si="2"/>
        <v>0</v>
      </c>
      <c r="M47" s="83">
        <v>0</v>
      </c>
      <c r="N47" s="84">
        <f t="shared" si="0"/>
        <v>85917.831034879986</v>
      </c>
      <c r="O47" s="85">
        <v>0</v>
      </c>
      <c r="P47" s="86">
        <f t="shared" si="3"/>
        <v>85918.42</v>
      </c>
      <c r="Q47" s="87">
        <f t="shared" si="4"/>
        <v>91074.42</v>
      </c>
      <c r="R47" s="88">
        <f t="shared" si="5"/>
        <v>88496.42</v>
      </c>
      <c r="S47" s="46">
        <f t="shared" si="7"/>
        <v>0.42000000000000021</v>
      </c>
    </row>
    <row r="48" spans="1:21" ht="17.100000000000001" customHeight="1" x14ac:dyDescent="0.25">
      <c r="B48" s="69">
        <v>3</v>
      </c>
      <c r="C48" s="93" t="s">
        <v>115</v>
      </c>
      <c r="D48" s="69">
        <f t="shared" si="6"/>
        <v>43</v>
      </c>
      <c r="E48" s="68" t="s">
        <v>97</v>
      </c>
      <c r="F48" s="91"/>
      <c r="G48" s="92">
        <v>1.1545000000000001</v>
      </c>
      <c r="H48" s="79">
        <v>119858.43</v>
      </c>
      <c r="I48" s="168">
        <f>H48</f>
        <v>119858.43</v>
      </c>
      <c r="J48" s="81"/>
      <c r="K48" s="82">
        <f t="shared" si="1"/>
        <v>0</v>
      </c>
      <c r="L48" s="82">
        <f t="shared" si="2"/>
        <v>0</v>
      </c>
      <c r="M48" s="83">
        <v>0</v>
      </c>
      <c r="N48" s="84">
        <f t="shared" si="0"/>
        <v>131345.51897480001</v>
      </c>
      <c r="O48" s="85">
        <v>0</v>
      </c>
      <c r="P48" s="86">
        <f t="shared" si="3"/>
        <v>131346.43</v>
      </c>
      <c r="Q48" s="87">
        <f t="shared" si="4"/>
        <v>139227.43</v>
      </c>
      <c r="R48" s="88">
        <f t="shared" si="5"/>
        <v>135286.43</v>
      </c>
      <c r="S48" s="46">
        <f t="shared" si="7"/>
        <v>0.43000000000000022</v>
      </c>
    </row>
    <row r="49" spans="2:21" ht="17.100000000000001" customHeight="1" x14ac:dyDescent="0.25">
      <c r="B49" s="69">
        <v>4</v>
      </c>
      <c r="C49" s="93" t="s">
        <v>113</v>
      </c>
      <c r="D49" s="69">
        <f t="shared" si="6"/>
        <v>44</v>
      </c>
      <c r="E49" s="68" t="s">
        <v>145</v>
      </c>
      <c r="F49" s="91" t="s">
        <v>143</v>
      </c>
      <c r="G49" s="92">
        <v>0.95489999999999997</v>
      </c>
      <c r="H49" s="79">
        <v>99136.44</v>
      </c>
      <c r="I49" s="168">
        <f>H49</f>
        <v>99136.44</v>
      </c>
      <c r="J49" s="81"/>
      <c r="K49" s="82">
        <f t="shared" si="1"/>
        <v>0</v>
      </c>
      <c r="L49" s="82">
        <f t="shared" si="2"/>
        <v>0</v>
      </c>
      <c r="M49" s="83">
        <v>0</v>
      </c>
      <c r="N49" s="84">
        <f t="shared" si="0"/>
        <v>108637.36342056</v>
      </c>
      <c r="O49" s="85">
        <v>0</v>
      </c>
      <c r="P49" s="86">
        <f t="shared" si="3"/>
        <v>108637.44</v>
      </c>
      <c r="Q49" s="87">
        <f t="shared" si="4"/>
        <v>115156.44</v>
      </c>
      <c r="R49" s="88">
        <f t="shared" si="5"/>
        <v>111896.44</v>
      </c>
      <c r="S49" s="46">
        <f t="shared" si="7"/>
        <v>0.44000000000000022</v>
      </c>
    </row>
    <row r="50" spans="2:21" ht="17.100000000000001" customHeight="1" x14ac:dyDescent="0.25">
      <c r="B50" s="69">
        <v>4</v>
      </c>
      <c r="C50" s="93" t="s">
        <v>114</v>
      </c>
      <c r="D50" s="69">
        <f t="shared" si="6"/>
        <v>45</v>
      </c>
      <c r="E50" s="68" t="s">
        <v>192</v>
      </c>
      <c r="F50" s="68"/>
      <c r="G50" s="92">
        <v>0.75519999999999998</v>
      </c>
      <c r="H50" s="79">
        <v>86417.45</v>
      </c>
      <c r="I50" s="168">
        <f>H50</f>
        <v>86417.45</v>
      </c>
      <c r="J50" s="81"/>
      <c r="K50" s="82">
        <f t="shared" si="1"/>
        <v>0</v>
      </c>
      <c r="L50" s="82">
        <f t="shared" si="2"/>
        <v>0</v>
      </c>
      <c r="M50" s="83">
        <v>0</v>
      </c>
      <c r="N50" s="84">
        <f t="shared" si="0"/>
        <v>85917.831034879986</v>
      </c>
      <c r="O50" s="85">
        <v>0</v>
      </c>
      <c r="P50" s="86">
        <f t="shared" si="3"/>
        <v>85918.45</v>
      </c>
      <c r="Q50" s="87">
        <f t="shared" si="4"/>
        <v>91074.45</v>
      </c>
      <c r="R50" s="88">
        <f t="shared" si="5"/>
        <v>88496.45</v>
      </c>
      <c r="S50" s="46">
        <f t="shared" si="7"/>
        <v>0.45000000000000023</v>
      </c>
      <c r="U50" t="s">
        <v>193</v>
      </c>
    </row>
    <row r="51" spans="2:21" ht="17.100000000000001" customHeight="1" x14ac:dyDescent="0.25">
      <c r="B51" s="69">
        <v>4</v>
      </c>
      <c r="C51" s="93" t="s">
        <v>115</v>
      </c>
      <c r="D51" s="69">
        <f t="shared" si="6"/>
        <v>46</v>
      </c>
      <c r="E51" s="68" t="s">
        <v>146</v>
      </c>
      <c r="F51" s="68" t="s">
        <v>144</v>
      </c>
      <c r="G51" s="92">
        <v>1.1545000000000001</v>
      </c>
      <c r="H51" s="79">
        <v>115905.46</v>
      </c>
      <c r="I51" s="168"/>
      <c r="J51" s="81"/>
      <c r="K51" s="82">
        <f t="shared" si="1"/>
        <v>115905.46</v>
      </c>
      <c r="L51" s="82">
        <f t="shared" si="2"/>
        <v>3477.1638000000003</v>
      </c>
      <c r="M51" s="83">
        <v>0</v>
      </c>
      <c r="N51" s="84">
        <f t="shared" si="0"/>
        <v>131345.51897480001</v>
      </c>
      <c r="O51" s="85">
        <v>0</v>
      </c>
      <c r="P51" s="86">
        <f t="shared" si="3"/>
        <v>250728.46</v>
      </c>
      <c r="Q51" s="87">
        <f t="shared" si="4"/>
        <v>265772.46000000002</v>
      </c>
      <c r="R51" s="88">
        <f t="shared" si="5"/>
        <v>258250.46</v>
      </c>
      <c r="S51" s="46">
        <f t="shared" si="7"/>
        <v>0.46000000000000024</v>
      </c>
    </row>
    <row r="52" spans="2:21" ht="17.100000000000001" customHeight="1" x14ac:dyDescent="0.25">
      <c r="B52" s="69">
        <v>5</v>
      </c>
      <c r="C52" s="93" t="s">
        <v>113</v>
      </c>
      <c r="D52" s="69">
        <f t="shared" si="6"/>
        <v>47</v>
      </c>
      <c r="E52" s="68" t="s">
        <v>147</v>
      </c>
      <c r="F52" s="91" t="s">
        <v>186</v>
      </c>
      <c r="G52" s="92">
        <v>0.95489999999999997</v>
      </c>
      <c r="H52" s="79">
        <v>99136.47</v>
      </c>
      <c r="I52" s="168">
        <f>H52</f>
        <v>99136.47</v>
      </c>
      <c r="J52" s="81"/>
      <c r="K52" s="82">
        <f t="shared" si="1"/>
        <v>0</v>
      </c>
      <c r="L52" s="82">
        <f t="shared" si="2"/>
        <v>0</v>
      </c>
      <c r="M52" s="83">
        <v>0</v>
      </c>
      <c r="N52" s="84">
        <f t="shared" si="0"/>
        <v>108637.36342056</v>
      </c>
      <c r="O52" s="85">
        <v>0</v>
      </c>
      <c r="P52" s="86">
        <f t="shared" si="3"/>
        <v>108637.47</v>
      </c>
      <c r="Q52" s="87">
        <f t="shared" si="4"/>
        <v>115156.47</v>
      </c>
      <c r="R52" s="88">
        <f t="shared" si="5"/>
        <v>111896.47</v>
      </c>
      <c r="S52" s="46">
        <f t="shared" si="7"/>
        <v>0.47000000000000025</v>
      </c>
    </row>
    <row r="53" spans="2:21" ht="17.100000000000001" customHeight="1" x14ac:dyDescent="0.25">
      <c r="B53" s="69">
        <v>5</v>
      </c>
      <c r="C53" s="93" t="s">
        <v>114</v>
      </c>
      <c r="D53" s="69">
        <f t="shared" si="6"/>
        <v>48</v>
      </c>
      <c r="E53" s="68" t="s">
        <v>123</v>
      </c>
      <c r="F53" s="68" t="s">
        <v>176</v>
      </c>
      <c r="G53" s="92">
        <v>0.75519999999999998</v>
      </c>
      <c r="H53" s="79">
        <v>78403.48</v>
      </c>
      <c r="I53" s="168">
        <f>H53</f>
        <v>78403.48</v>
      </c>
      <c r="J53" s="81"/>
      <c r="K53" s="82">
        <f t="shared" si="1"/>
        <v>0</v>
      </c>
      <c r="L53" s="82">
        <f t="shared" si="2"/>
        <v>0</v>
      </c>
      <c r="M53" s="83">
        <v>0</v>
      </c>
      <c r="N53" s="84">
        <f t="shared" si="0"/>
        <v>85917.831034879986</v>
      </c>
      <c r="O53" s="85">
        <v>0</v>
      </c>
      <c r="P53" s="86">
        <f t="shared" si="3"/>
        <v>85918.48</v>
      </c>
      <c r="Q53" s="87">
        <f t="shared" si="4"/>
        <v>91074.48</v>
      </c>
      <c r="R53" s="88">
        <f t="shared" si="5"/>
        <v>88496.48</v>
      </c>
      <c r="S53" s="46">
        <f t="shared" si="7"/>
        <v>0.48000000000000026</v>
      </c>
    </row>
    <row r="54" spans="2:21" ht="17.100000000000001" customHeight="1" x14ac:dyDescent="0.25">
      <c r="B54" s="69">
        <v>5</v>
      </c>
      <c r="C54" s="93" t="s">
        <v>115</v>
      </c>
      <c r="D54" s="69">
        <f t="shared" si="6"/>
        <v>49</v>
      </c>
      <c r="E54" s="68" t="s">
        <v>148</v>
      </c>
      <c r="F54" s="68" t="s">
        <v>149</v>
      </c>
      <c r="G54" s="92">
        <v>1.1545000000000001</v>
      </c>
      <c r="H54" s="79">
        <v>119858.49</v>
      </c>
      <c r="I54" s="168">
        <f>H54</f>
        <v>119858.49</v>
      </c>
      <c r="J54" s="81"/>
      <c r="K54" s="82">
        <f t="shared" si="1"/>
        <v>0</v>
      </c>
      <c r="L54" s="82">
        <f t="shared" si="2"/>
        <v>0</v>
      </c>
      <c r="M54" s="83">
        <v>0</v>
      </c>
      <c r="N54" s="84">
        <f t="shared" si="0"/>
        <v>131345.51897480001</v>
      </c>
      <c r="O54" s="85">
        <v>0</v>
      </c>
      <c r="P54" s="86">
        <f t="shared" si="3"/>
        <v>131346.49</v>
      </c>
      <c r="Q54" s="87">
        <f t="shared" si="4"/>
        <v>139227.49</v>
      </c>
      <c r="R54" s="88">
        <f t="shared" si="5"/>
        <v>135286.49</v>
      </c>
      <c r="S54" s="46">
        <f t="shared" si="7"/>
        <v>0.49000000000000027</v>
      </c>
    </row>
    <row r="55" spans="2:21" ht="17.100000000000001" customHeight="1" x14ac:dyDescent="0.25">
      <c r="B55" s="69">
        <v>6</v>
      </c>
      <c r="C55" s="93" t="s">
        <v>113</v>
      </c>
      <c r="D55" s="69">
        <f t="shared" si="6"/>
        <v>50</v>
      </c>
      <c r="E55" s="68" t="s">
        <v>98</v>
      </c>
      <c r="F55" s="68"/>
      <c r="G55" s="92">
        <v>0.95489999999999997</v>
      </c>
      <c r="H55" s="79">
        <v>99136.5</v>
      </c>
      <c r="I55" s="168">
        <f>H55</f>
        <v>99136.5</v>
      </c>
      <c r="J55" s="81"/>
      <c r="K55" s="82">
        <f t="shared" si="1"/>
        <v>0</v>
      </c>
      <c r="L55" s="82">
        <f t="shared" si="2"/>
        <v>0</v>
      </c>
      <c r="M55" s="83">
        <v>0</v>
      </c>
      <c r="N55" s="84">
        <f t="shared" si="0"/>
        <v>108637.36342056</v>
      </c>
      <c r="O55" s="85">
        <v>0</v>
      </c>
      <c r="P55" s="86">
        <f t="shared" si="3"/>
        <v>108637.5</v>
      </c>
      <c r="Q55" s="87">
        <f t="shared" si="4"/>
        <v>115156.5</v>
      </c>
      <c r="R55" s="88">
        <f t="shared" si="5"/>
        <v>111896.5</v>
      </c>
      <c r="S55" s="46">
        <f t="shared" si="7"/>
        <v>0.50000000000000022</v>
      </c>
    </row>
    <row r="56" spans="2:21" ht="17.100000000000001" customHeight="1" x14ac:dyDescent="0.25">
      <c r="B56" s="69">
        <v>6</v>
      </c>
      <c r="C56" s="93" t="s">
        <v>114</v>
      </c>
      <c r="D56" s="69">
        <f t="shared" si="6"/>
        <v>51</v>
      </c>
      <c r="E56" s="68" t="s">
        <v>99</v>
      </c>
      <c r="F56" s="68"/>
      <c r="G56" s="92">
        <v>0.75519999999999998</v>
      </c>
      <c r="H56" s="79">
        <v>83223.509999999995</v>
      </c>
      <c r="I56" s="168"/>
      <c r="J56" s="81"/>
      <c r="K56" s="82">
        <f t="shared" si="1"/>
        <v>83223.509999999995</v>
      </c>
      <c r="L56" s="82">
        <f t="shared" si="2"/>
        <v>2496.7052999999996</v>
      </c>
      <c r="M56" s="83">
        <v>0</v>
      </c>
      <c r="N56" s="84">
        <f t="shared" si="0"/>
        <v>85917.831034879986</v>
      </c>
      <c r="O56" s="85">
        <v>0</v>
      </c>
      <c r="P56" s="86">
        <f t="shared" si="3"/>
        <v>171638.51</v>
      </c>
      <c r="Q56" s="87">
        <f t="shared" si="4"/>
        <v>181937.51</v>
      </c>
      <c r="R56" s="88">
        <f t="shared" si="5"/>
        <v>176787.51</v>
      </c>
      <c r="S56" s="46">
        <f t="shared" si="7"/>
        <v>0.51000000000000023</v>
      </c>
    </row>
    <row r="57" spans="2:21" ht="17.100000000000001" customHeight="1" x14ac:dyDescent="0.25">
      <c r="B57" s="69">
        <v>6</v>
      </c>
      <c r="C57" s="93" t="s">
        <v>115</v>
      </c>
      <c r="D57" s="69">
        <f t="shared" si="6"/>
        <v>52</v>
      </c>
      <c r="E57" s="68" t="s">
        <v>100</v>
      </c>
      <c r="F57" s="91"/>
      <c r="G57" s="92">
        <v>1.1545000000000001</v>
      </c>
      <c r="H57" s="79">
        <v>125228.52</v>
      </c>
      <c r="I57" s="168"/>
      <c r="J57" s="81"/>
      <c r="K57" s="82">
        <f t="shared" si="1"/>
        <v>125228.52</v>
      </c>
      <c r="L57" s="82">
        <f t="shared" si="2"/>
        <v>3756.8555999999999</v>
      </c>
      <c r="M57" s="83">
        <v>0</v>
      </c>
      <c r="N57" s="84">
        <f t="shared" si="0"/>
        <v>131345.51897480001</v>
      </c>
      <c r="O57" s="85">
        <v>0</v>
      </c>
      <c r="P57" s="86">
        <f t="shared" si="3"/>
        <v>260331.51999999999</v>
      </c>
      <c r="Q57" s="87">
        <f t="shared" si="4"/>
        <v>275951.52</v>
      </c>
      <c r="R57" s="88">
        <f t="shared" si="5"/>
        <v>268141.52</v>
      </c>
      <c r="S57" s="46">
        <f t="shared" si="7"/>
        <v>0.52000000000000024</v>
      </c>
    </row>
    <row r="58" spans="2:21" ht="17.100000000000001" customHeight="1" x14ac:dyDescent="0.25">
      <c r="B58" s="69">
        <v>7</v>
      </c>
      <c r="C58" s="93" t="s">
        <v>113</v>
      </c>
      <c r="D58" s="69">
        <f t="shared" si="6"/>
        <v>53</v>
      </c>
      <c r="E58" s="68" t="s">
        <v>101</v>
      </c>
      <c r="F58" s="91"/>
      <c r="G58" s="92">
        <v>0.95489999999999997</v>
      </c>
      <c r="H58" s="79">
        <v>102110.53</v>
      </c>
      <c r="I58" s="168">
        <f>H58</f>
        <v>102110.53</v>
      </c>
      <c r="J58" s="81"/>
      <c r="K58" s="82">
        <f t="shared" si="1"/>
        <v>0</v>
      </c>
      <c r="L58" s="82">
        <f t="shared" si="2"/>
        <v>0</v>
      </c>
      <c r="M58" s="83">
        <v>0</v>
      </c>
      <c r="N58" s="84">
        <f t="shared" si="0"/>
        <v>108637.36342056</v>
      </c>
      <c r="O58" s="85">
        <v>0</v>
      </c>
      <c r="P58" s="86">
        <f t="shared" si="3"/>
        <v>108637.53</v>
      </c>
      <c r="Q58" s="87">
        <f t="shared" si="4"/>
        <v>115156.53</v>
      </c>
      <c r="R58" s="88">
        <f t="shared" si="5"/>
        <v>111896.53</v>
      </c>
      <c r="S58" s="46">
        <f t="shared" si="7"/>
        <v>0.53000000000000025</v>
      </c>
    </row>
    <row r="59" spans="2:21" ht="17.100000000000001" customHeight="1" x14ac:dyDescent="0.25">
      <c r="B59" s="69">
        <v>7</v>
      </c>
      <c r="C59" s="93" t="s">
        <v>114</v>
      </c>
      <c r="D59" s="69">
        <f t="shared" si="6"/>
        <v>54</v>
      </c>
      <c r="E59" s="68" t="s">
        <v>102</v>
      </c>
      <c r="F59" s="68"/>
      <c r="G59" s="92">
        <v>0.75519999999999998</v>
      </c>
      <c r="H59" s="79">
        <v>78403.539999999994</v>
      </c>
      <c r="I59" s="168">
        <f>H59</f>
        <v>78403.539999999994</v>
      </c>
      <c r="J59" s="81"/>
      <c r="K59" s="82">
        <f t="shared" si="1"/>
        <v>0</v>
      </c>
      <c r="L59" s="82">
        <f t="shared" si="2"/>
        <v>0</v>
      </c>
      <c r="M59" s="83">
        <v>0</v>
      </c>
      <c r="N59" s="84">
        <f t="shared" si="0"/>
        <v>85917.831034879986</v>
      </c>
      <c r="O59" s="85">
        <v>0</v>
      </c>
      <c r="P59" s="86">
        <f t="shared" si="3"/>
        <v>85918.54</v>
      </c>
      <c r="Q59" s="87">
        <f t="shared" si="4"/>
        <v>91074.54</v>
      </c>
      <c r="R59" s="88">
        <f t="shared" si="5"/>
        <v>88496.54</v>
      </c>
      <c r="S59" s="46">
        <f t="shared" si="7"/>
        <v>0.54000000000000026</v>
      </c>
    </row>
    <row r="60" spans="2:21" ht="17.100000000000001" customHeight="1" x14ac:dyDescent="0.25">
      <c r="B60" s="69">
        <v>7</v>
      </c>
      <c r="C60" s="93" t="s">
        <v>115</v>
      </c>
      <c r="D60" s="69">
        <f t="shared" si="6"/>
        <v>55</v>
      </c>
      <c r="E60" s="68" t="s">
        <v>150</v>
      </c>
      <c r="F60" s="91" t="s">
        <v>151</v>
      </c>
      <c r="G60" s="92">
        <v>1.1545000000000001</v>
      </c>
      <c r="H60" s="79">
        <v>369102.55</v>
      </c>
      <c r="I60" s="168"/>
      <c r="J60" s="81"/>
      <c r="K60" s="82">
        <f t="shared" si="1"/>
        <v>369102.55</v>
      </c>
      <c r="L60" s="82">
        <f t="shared" si="2"/>
        <v>11073.076499999999</v>
      </c>
      <c r="M60" s="83">
        <v>0</v>
      </c>
      <c r="N60" s="84">
        <f t="shared" si="0"/>
        <v>131345.51897480001</v>
      </c>
      <c r="O60" s="85">
        <v>0</v>
      </c>
      <c r="P60" s="86">
        <f t="shared" si="3"/>
        <v>511521.55</v>
      </c>
      <c r="Q60" s="87">
        <f t="shared" si="4"/>
        <v>542213.55000000005</v>
      </c>
      <c r="R60" s="88">
        <f t="shared" si="5"/>
        <v>526867.55000000005</v>
      </c>
      <c r="S60" s="46">
        <f t="shared" si="7"/>
        <v>0.55000000000000027</v>
      </c>
    </row>
    <row r="61" spans="2:21" ht="17.100000000000001" customHeight="1" x14ac:dyDescent="0.25">
      <c r="B61" s="69">
        <v>8</v>
      </c>
      <c r="C61" s="93" t="s">
        <v>113</v>
      </c>
      <c r="D61" s="69">
        <f t="shared" si="6"/>
        <v>56</v>
      </c>
      <c r="E61" s="68" t="s">
        <v>152</v>
      </c>
      <c r="F61" s="91" t="s">
        <v>153</v>
      </c>
      <c r="G61" s="92">
        <v>0.95489999999999997</v>
      </c>
      <c r="H61" s="79">
        <v>99136.56</v>
      </c>
      <c r="I61" s="168">
        <v>108972.56</v>
      </c>
      <c r="J61" s="81"/>
      <c r="K61" s="82">
        <f t="shared" si="1"/>
        <v>-9836</v>
      </c>
      <c r="L61" s="82">
        <f t="shared" si="2"/>
        <v>0</v>
      </c>
      <c r="M61" s="83">
        <v>0</v>
      </c>
      <c r="N61" s="84">
        <f t="shared" si="0"/>
        <v>108637.36342056</v>
      </c>
      <c r="O61" s="85"/>
      <c r="P61" s="86">
        <f t="shared" si="3"/>
        <v>98801.56</v>
      </c>
      <c r="Q61" s="87">
        <f t="shared" si="4"/>
        <v>104730.56</v>
      </c>
      <c r="R61" s="88">
        <f t="shared" si="5"/>
        <v>101765.56</v>
      </c>
      <c r="S61" s="46">
        <f t="shared" si="7"/>
        <v>0.56000000000000028</v>
      </c>
    </row>
    <row r="62" spans="2:21" ht="17.100000000000001" customHeight="1" x14ac:dyDescent="0.25">
      <c r="B62" s="69">
        <v>8</v>
      </c>
      <c r="C62" s="93" t="s">
        <v>114</v>
      </c>
      <c r="D62" s="69">
        <f t="shared" si="6"/>
        <v>57</v>
      </c>
      <c r="E62" s="68" t="s">
        <v>155</v>
      </c>
      <c r="F62" s="91" t="s">
        <v>154</v>
      </c>
      <c r="G62" s="92">
        <v>0.75519999999999998</v>
      </c>
      <c r="H62" s="79">
        <v>78403.570000000007</v>
      </c>
      <c r="I62" s="168">
        <f>H62</f>
        <v>78403.570000000007</v>
      </c>
      <c r="J62" s="81"/>
      <c r="K62" s="82">
        <f t="shared" si="1"/>
        <v>0</v>
      </c>
      <c r="L62" s="82">
        <f t="shared" si="2"/>
        <v>0</v>
      </c>
      <c r="M62" s="83">
        <v>0</v>
      </c>
      <c r="N62" s="84">
        <f t="shared" si="0"/>
        <v>85917.831034879986</v>
      </c>
      <c r="O62" s="85">
        <v>0</v>
      </c>
      <c r="P62" s="86">
        <f t="shared" si="3"/>
        <v>85918.57</v>
      </c>
      <c r="Q62" s="87">
        <f t="shared" si="4"/>
        <v>91074.57</v>
      </c>
      <c r="R62" s="88">
        <f t="shared" si="5"/>
        <v>88496.57</v>
      </c>
      <c r="S62" s="46">
        <f t="shared" si="7"/>
        <v>0.57000000000000028</v>
      </c>
    </row>
    <row r="63" spans="2:21" ht="17.100000000000001" customHeight="1" x14ac:dyDescent="0.25">
      <c r="B63" s="69">
        <v>8</v>
      </c>
      <c r="C63" s="93" t="s">
        <v>115</v>
      </c>
      <c r="D63" s="69">
        <f t="shared" si="6"/>
        <v>58</v>
      </c>
      <c r="E63" s="68" t="s">
        <v>103</v>
      </c>
      <c r="F63" s="91"/>
      <c r="G63" s="92">
        <v>1.1545000000000001</v>
      </c>
      <c r="H63" s="79">
        <v>123562.58</v>
      </c>
      <c r="I63" s="168">
        <f>H63</f>
        <v>123562.58</v>
      </c>
      <c r="J63" s="81"/>
      <c r="K63" s="82">
        <f t="shared" si="1"/>
        <v>0</v>
      </c>
      <c r="L63" s="82">
        <f t="shared" si="2"/>
        <v>0</v>
      </c>
      <c r="M63" s="83">
        <v>0</v>
      </c>
      <c r="N63" s="84">
        <f>P$2*G63%</f>
        <v>131345.51897480001</v>
      </c>
      <c r="O63" s="85">
        <v>0</v>
      </c>
      <c r="P63" s="86">
        <f t="shared" si="3"/>
        <v>131346.57999999999</v>
      </c>
      <c r="Q63" s="87">
        <f t="shared" si="4"/>
        <v>139227.57999999999</v>
      </c>
      <c r="R63" s="88">
        <f t="shared" si="5"/>
        <v>135286.57999999999</v>
      </c>
      <c r="S63" s="46">
        <f t="shared" si="7"/>
        <v>0.58000000000000029</v>
      </c>
    </row>
    <row r="64" spans="2:21" ht="17.100000000000001" customHeight="1" x14ac:dyDescent="0.25">
      <c r="B64" s="69">
        <v>9</v>
      </c>
      <c r="C64" s="93" t="s">
        <v>113</v>
      </c>
      <c r="D64" s="69">
        <f t="shared" si="6"/>
        <v>59</v>
      </c>
      <c r="E64" s="68" t="s">
        <v>156</v>
      </c>
      <c r="F64" s="68" t="s">
        <v>157</v>
      </c>
      <c r="G64" s="92">
        <v>0.95489999999999997</v>
      </c>
      <c r="H64" s="79">
        <v>99136.59</v>
      </c>
      <c r="I64" s="168">
        <f>H64</f>
        <v>99136.59</v>
      </c>
      <c r="J64" s="81"/>
      <c r="K64" s="82">
        <f t="shared" si="1"/>
        <v>0</v>
      </c>
      <c r="L64" s="82">
        <f t="shared" si="2"/>
        <v>0</v>
      </c>
      <c r="M64" s="83">
        <v>0</v>
      </c>
      <c r="N64" s="84">
        <f>P$2*G64%</f>
        <v>108637.36342056</v>
      </c>
      <c r="O64" s="85">
        <v>0</v>
      </c>
      <c r="P64" s="86">
        <f t="shared" si="3"/>
        <v>108637.59</v>
      </c>
      <c r="Q64" s="87">
        <f t="shared" si="4"/>
        <v>115156.59</v>
      </c>
      <c r="R64" s="88">
        <f t="shared" si="5"/>
        <v>111896.59</v>
      </c>
      <c r="S64" s="46">
        <f t="shared" si="7"/>
        <v>0.5900000000000003</v>
      </c>
    </row>
    <row r="65" spans="2:21" ht="17.100000000000001" customHeight="1" x14ac:dyDescent="0.25">
      <c r="B65" s="69">
        <v>9</v>
      </c>
      <c r="C65" s="93" t="s">
        <v>114</v>
      </c>
      <c r="D65" s="69">
        <f t="shared" si="6"/>
        <v>60</v>
      </c>
      <c r="E65" s="68" t="s">
        <v>158</v>
      </c>
      <c r="F65" s="91"/>
      <c r="G65" s="92">
        <v>0.75519999999999998</v>
      </c>
      <c r="H65" s="79">
        <v>78403.600000000006</v>
      </c>
      <c r="I65" s="168">
        <f>H65</f>
        <v>78403.600000000006</v>
      </c>
      <c r="J65" s="81"/>
      <c r="K65" s="82">
        <f t="shared" si="1"/>
        <v>0</v>
      </c>
      <c r="L65" s="82">
        <f t="shared" si="2"/>
        <v>0</v>
      </c>
      <c r="M65" s="83">
        <v>0</v>
      </c>
      <c r="N65" s="84">
        <f>P$2*G65%</f>
        <v>85917.831034879986</v>
      </c>
      <c r="O65" s="85">
        <v>0</v>
      </c>
      <c r="P65" s="86">
        <f t="shared" si="3"/>
        <v>85918.6</v>
      </c>
      <c r="Q65" s="87">
        <f t="shared" si="4"/>
        <v>91074.6</v>
      </c>
      <c r="R65" s="88">
        <f t="shared" si="5"/>
        <v>88496.6</v>
      </c>
      <c r="S65" s="46">
        <f t="shared" si="7"/>
        <v>0.60000000000000031</v>
      </c>
      <c r="U65" t="s">
        <v>190</v>
      </c>
    </row>
    <row r="66" spans="2:21" ht="17.100000000000001" customHeight="1" x14ac:dyDescent="0.25">
      <c r="B66" s="69">
        <v>9</v>
      </c>
      <c r="C66" s="93" t="s">
        <v>115</v>
      </c>
      <c r="D66" s="69">
        <f t="shared" si="6"/>
        <v>61</v>
      </c>
      <c r="E66" s="68" t="s">
        <v>104</v>
      </c>
      <c r="F66" s="68"/>
      <c r="G66" s="92">
        <v>1.1545000000000001</v>
      </c>
      <c r="H66" s="79">
        <v>119858.61</v>
      </c>
      <c r="I66" s="168">
        <f>H66</f>
        <v>119858.61</v>
      </c>
      <c r="J66" s="81"/>
      <c r="K66" s="82">
        <f t="shared" si="1"/>
        <v>0</v>
      </c>
      <c r="L66" s="82">
        <f t="shared" si="2"/>
        <v>0</v>
      </c>
      <c r="M66" s="83">
        <v>0</v>
      </c>
      <c r="N66" s="84">
        <f>P$2*G66%</f>
        <v>131345.51897480001</v>
      </c>
      <c r="O66" s="85">
        <v>0</v>
      </c>
      <c r="P66" s="86">
        <f t="shared" si="3"/>
        <v>131346.60999999999</v>
      </c>
      <c r="Q66" s="87">
        <f t="shared" si="4"/>
        <v>139227.60999999999</v>
      </c>
      <c r="R66" s="88">
        <f t="shared" si="5"/>
        <v>135286.60999999999</v>
      </c>
      <c r="S66" s="46">
        <f t="shared" si="7"/>
        <v>0.61000000000000032</v>
      </c>
      <c r="U66" t="s">
        <v>197</v>
      </c>
    </row>
    <row r="67" spans="2:21" ht="17.100000000000001" customHeight="1" x14ac:dyDescent="0.25">
      <c r="B67" s="69">
        <v>10</v>
      </c>
      <c r="C67" s="93" t="s">
        <v>113</v>
      </c>
      <c r="D67" s="69">
        <f t="shared" si="6"/>
        <v>62</v>
      </c>
      <c r="E67" s="68" t="s">
        <v>159</v>
      </c>
      <c r="F67" s="91" t="s">
        <v>160</v>
      </c>
      <c r="G67" s="92">
        <v>0.95489999999999997</v>
      </c>
      <c r="H67" s="79">
        <v>200517.62</v>
      </c>
      <c r="I67" s="168">
        <v>99136.62</v>
      </c>
      <c r="J67" s="81"/>
      <c r="K67" s="82">
        <f t="shared" si="1"/>
        <v>101381</v>
      </c>
      <c r="L67" s="82">
        <f t="shared" si="2"/>
        <v>3041.43</v>
      </c>
      <c r="M67" s="83">
        <v>0</v>
      </c>
      <c r="N67" s="84">
        <f t="shared" si="0"/>
        <v>108637.36342056</v>
      </c>
      <c r="O67" s="85">
        <v>0</v>
      </c>
      <c r="P67" s="86">
        <f t="shared" si="3"/>
        <v>213060.62</v>
      </c>
      <c r="Q67" s="87">
        <f t="shared" si="4"/>
        <v>225844.62</v>
      </c>
      <c r="R67" s="88">
        <f t="shared" si="5"/>
        <v>219452.62</v>
      </c>
      <c r="S67" s="46">
        <f t="shared" si="7"/>
        <v>0.62000000000000033</v>
      </c>
      <c r="U67" t="s">
        <v>230</v>
      </c>
    </row>
    <row r="68" spans="2:21" ht="17.100000000000001" customHeight="1" x14ac:dyDescent="0.25">
      <c r="B68" s="69">
        <v>10</v>
      </c>
      <c r="C68" s="93" t="s">
        <v>114</v>
      </c>
      <c r="D68" s="69">
        <f t="shared" si="6"/>
        <v>63</v>
      </c>
      <c r="E68" s="68" t="s">
        <v>123</v>
      </c>
      <c r="F68" s="68" t="s">
        <v>161</v>
      </c>
      <c r="G68" s="92">
        <v>0.75519999999999998</v>
      </c>
      <c r="H68" s="79">
        <v>80755.63</v>
      </c>
      <c r="I68" s="168">
        <v>78403.63</v>
      </c>
      <c r="J68" s="81"/>
      <c r="K68" s="82">
        <f t="shared" si="1"/>
        <v>2352</v>
      </c>
      <c r="L68" s="82">
        <f t="shared" si="2"/>
        <v>70.56</v>
      </c>
      <c r="M68" s="83">
        <v>0</v>
      </c>
      <c r="N68" s="84">
        <f t="shared" si="0"/>
        <v>85917.831034879986</v>
      </c>
      <c r="O68" s="85">
        <v>0</v>
      </c>
      <c r="P68" s="86">
        <f t="shared" si="3"/>
        <v>88340.63</v>
      </c>
      <c r="Q68" s="87">
        <f t="shared" si="4"/>
        <v>93641.63</v>
      </c>
      <c r="R68" s="88">
        <f t="shared" si="5"/>
        <v>90990.63</v>
      </c>
      <c r="S68" s="46">
        <f t="shared" si="7"/>
        <v>0.63000000000000034</v>
      </c>
    </row>
    <row r="69" spans="2:21" ht="17.100000000000001" customHeight="1" x14ac:dyDescent="0.25">
      <c r="B69" s="69">
        <v>10</v>
      </c>
      <c r="C69" s="93" t="s">
        <v>115</v>
      </c>
      <c r="D69" s="69">
        <f t="shared" si="6"/>
        <v>64</v>
      </c>
      <c r="E69" s="68" t="s">
        <v>96</v>
      </c>
      <c r="F69" s="68"/>
      <c r="G69" s="92">
        <v>1.1545000000000001</v>
      </c>
      <c r="H69" s="79">
        <v>119858.64</v>
      </c>
      <c r="I69" s="168">
        <f>H69</f>
        <v>119858.64</v>
      </c>
      <c r="J69" s="81"/>
      <c r="K69" s="82">
        <f t="shared" si="1"/>
        <v>0</v>
      </c>
      <c r="L69" s="82">
        <f t="shared" si="2"/>
        <v>0</v>
      </c>
      <c r="M69" s="83">
        <v>0</v>
      </c>
      <c r="N69" s="84">
        <f t="shared" si="0"/>
        <v>131345.51897480001</v>
      </c>
      <c r="O69" s="85">
        <v>0</v>
      </c>
      <c r="P69" s="86">
        <f t="shared" si="3"/>
        <v>131346.64000000001</v>
      </c>
      <c r="Q69" s="87">
        <f t="shared" si="4"/>
        <v>139227.64000000001</v>
      </c>
      <c r="R69" s="88">
        <f t="shared" si="5"/>
        <v>135286.64000000001</v>
      </c>
      <c r="S69" s="46">
        <f t="shared" si="7"/>
        <v>0.64000000000000035</v>
      </c>
    </row>
    <row r="70" spans="2:21" ht="17.100000000000001" customHeight="1" x14ac:dyDescent="0.25">
      <c r="B70" s="69">
        <v>11</v>
      </c>
      <c r="C70" s="93" t="s">
        <v>113</v>
      </c>
      <c r="D70" s="69">
        <f t="shared" si="6"/>
        <v>65</v>
      </c>
      <c r="E70" s="68" t="s">
        <v>105</v>
      </c>
      <c r="F70" s="91"/>
      <c r="G70" s="92">
        <v>0.95489999999999997</v>
      </c>
      <c r="H70" s="79">
        <v>99136.65</v>
      </c>
      <c r="I70" s="168">
        <f>H70</f>
        <v>99136.65</v>
      </c>
      <c r="J70" s="81"/>
      <c r="K70" s="82">
        <f t="shared" si="1"/>
        <v>0</v>
      </c>
      <c r="L70" s="82">
        <f t="shared" si="2"/>
        <v>0</v>
      </c>
      <c r="M70" s="83">
        <v>0</v>
      </c>
      <c r="N70" s="84">
        <f t="shared" ref="N70" si="10">P$2*G70%</f>
        <v>108637.36342056</v>
      </c>
      <c r="O70" s="85">
        <v>0</v>
      </c>
      <c r="P70" s="86">
        <f t="shared" si="3"/>
        <v>108637.65</v>
      </c>
      <c r="Q70" s="87">
        <f t="shared" si="4"/>
        <v>115156.65</v>
      </c>
      <c r="R70" s="88">
        <f t="shared" si="5"/>
        <v>111896.65</v>
      </c>
      <c r="S70" s="46">
        <f t="shared" si="7"/>
        <v>0.65000000000000036</v>
      </c>
    </row>
    <row r="71" spans="2:21" ht="17.100000000000001" customHeight="1" x14ac:dyDescent="0.25">
      <c r="B71" s="69">
        <v>11</v>
      </c>
      <c r="C71" s="93" t="s">
        <v>114</v>
      </c>
      <c r="D71" s="69">
        <f t="shared" si="6"/>
        <v>66</v>
      </c>
      <c r="E71" s="68" t="s">
        <v>106</v>
      </c>
      <c r="F71" s="91" t="s">
        <v>178</v>
      </c>
      <c r="G71" s="92">
        <v>0.75519999999999998</v>
      </c>
      <c r="H71" s="79">
        <v>83244.66</v>
      </c>
      <c r="I71" s="168">
        <f>H71</f>
        <v>83244.66</v>
      </c>
      <c r="J71" s="81"/>
      <c r="K71" s="82">
        <f t="shared" ref="K71:K75" si="11">H71-I71</f>
        <v>0</v>
      </c>
      <c r="L71" s="82">
        <f t="shared" ref="L71:L75" si="12">IF(K71&gt;0,K71*3%,0)</f>
        <v>0</v>
      </c>
      <c r="M71" s="83">
        <v>0</v>
      </c>
      <c r="N71" s="84">
        <f>P$2*G71%</f>
        <v>85917.831034879986</v>
      </c>
      <c r="O71" s="85">
        <v>0</v>
      </c>
      <c r="P71" s="86">
        <f t="shared" ref="P71:P75" si="13">ROUND(SUM(K71:O71),0) + S71</f>
        <v>85918.66</v>
      </c>
      <c r="Q71" s="87">
        <f t="shared" ref="Q71:Q75" si="14">ROUND(P71*6% + P71,0) + S71</f>
        <v>91074.66</v>
      </c>
      <c r="R71" s="88">
        <f t="shared" ref="R71:R75" si="15">ROUND(P71*3%,0) + P71</f>
        <v>88496.66</v>
      </c>
      <c r="S71" s="46">
        <f t="shared" si="7"/>
        <v>0.66000000000000036</v>
      </c>
    </row>
    <row r="72" spans="2:21" ht="17.100000000000001" customHeight="1" x14ac:dyDescent="0.25">
      <c r="B72" s="69">
        <v>11</v>
      </c>
      <c r="C72" s="93" t="s">
        <v>115</v>
      </c>
      <c r="D72" s="69">
        <f t="shared" ref="D72:D75" si="16">D71+1</f>
        <v>67</v>
      </c>
      <c r="E72" s="68" t="s">
        <v>107</v>
      </c>
      <c r="F72" s="68"/>
      <c r="G72" s="92">
        <v>1.1545000000000001</v>
      </c>
      <c r="H72" s="79">
        <v>262505.67</v>
      </c>
      <c r="I72" s="168"/>
      <c r="J72" s="81"/>
      <c r="K72" s="82">
        <f t="shared" si="11"/>
        <v>262505.67</v>
      </c>
      <c r="L72" s="82">
        <f t="shared" si="12"/>
        <v>7875.1700999999994</v>
      </c>
      <c r="M72" s="83">
        <v>0</v>
      </c>
      <c r="N72" s="84">
        <f>P$2*G72%</f>
        <v>131345.51897480001</v>
      </c>
      <c r="O72" s="85">
        <v>0</v>
      </c>
      <c r="P72" s="86">
        <f t="shared" si="13"/>
        <v>401726.67</v>
      </c>
      <c r="Q72" s="87">
        <f t="shared" si="14"/>
        <v>425830.67</v>
      </c>
      <c r="R72" s="88">
        <f t="shared" si="15"/>
        <v>413778.67</v>
      </c>
      <c r="S72" s="46">
        <f t="shared" ref="S72:S75" si="17">S71+0.01</f>
        <v>0.67000000000000037</v>
      </c>
    </row>
    <row r="73" spans="2:21" ht="17.100000000000001" customHeight="1" x14ac:dyDescent="0.25">
      <c r="B73" s="69">
        <v>12</v>
      </c>
      <c r="C73" s="94" t="s">
        <v>113</v>
      </c>
      <c r="D73" s="69">
        <f t="shared" si="16"/>
        <v>68</v>
      </c>
      <c r="E73" s="95" t="s">
        <v>108</v>
      </c>
      <c r="F73" s="95"/>
      <c r="G73" s="96">
        <v>0.95489999999999997</v>
      </c>
      <c r="H73" s="97">
        <v>99136.68</v>
      </c>
      <c r="I73" s="168">
        <f t="shared" ref="I73" si="18">H73</f>
        <v>99136.68</v>
      </c>
      <c r="J73" s="99"/>
      <c r="K73" s="100">
        <f t="shared" si="11"/>
        <v>0</v>
      </c>
      <c r="L73" s="82">
        <f t="shared" si="12"/>
        <v>0</v>
      </c>
      <c r="M73" s="83">
        <v>0</v>
      </c>
      <c r="N73" s="101">
        <f>P$2*G73%</f>
        <v>108637.36342056</v>
      </c>
      <c r="O73" s="102">
        <v>0</v>
      </c>
      <c r="P73" s="86">
        <f t="shared" si="13"/>
        <v>108637.68</v>
      </c>
      <c r="Q73" s="87">
        <f t="shared" si="14"/>
        <v>115156.68</v>
      </c>
      <c r="R73" s="88">
        <f t="shared" si="15"/>
        <v>111896.68</v>
      </c>
      <c r="S73" s="46">
        <f t="shared" si="17"/>
        <v>0.68000000000000038</v>
      </c>
    </row>
    <row r="74" spans="2:21" ht="17.100000000000001" customHeight="1" x14ac:dyDescent="0.25">
      <c r="B74" s="69">
        <v>12</v>
      </c>
      <c r="C74" s="93" t="s">
        <v>114</v>
      </c>
      <c r="D74" s="69">
        <f t="shared" si="16"/>
        <v>69</v>
      </c>
      <c r="E74" s="69" t="s">
        <v>104</v>
      </c>
      <c r="F74" s="103"/>
      <c r="G74" s="96">
        <v>0.75519999999999998</v>
      </c>
      <c r="H74" s="97">
        <v>78403.69</v>
      </c>
      <c r="I74" s="168">
        <f>H74</f>
        <v>78403.69</v>
      </c>
      <c r="J74" s="99"/>
      <c r="K74" s="100">
        <f t="shared" si="11"/>
        <v>0</v>
      </c>
      <c r="L74" s="82">
        <f t="shared" si="12"/>
        <v>0</v>
      </c>
      <c r="M74" s="83">
        <v>0</v>
      </c>
      <c r="N74" s="101">
        <f>P$2*G74%</f>
        <v>85917.831034879986</v>
      </c>
      <c r="O74" s="102">
        <v>0</v>
      </c>
      <c r="P74" s="86">
        <f t="shared" si="13"/>
        <v>85918.69</v>
      </c>
      <c r="Q74" s="87">
        <f t="shared" si="14"/>
        <v>91074.69</v>
      </c>
      <c r="R74" s="88">
        <f t="shared" si="15"/>
        <v>88496.69</v>
      </c>
      <c r="S74" s="46">
        <f t="shared" si="17"/>
        <v>0.69000000000000039</v>
      </c>
    </row>
    <row r="75" spans="2:21" ht="16.5" customHeight="1" x14ac:dyDescent="0.25">
      <c r="B75" s="69">
        <v>12</v>
      </c>
      <c r="C75" s="93" t="s">
        <v>115</v>
      </c>
      <c r="D75" s="69">
        <f t="shared" si="16"/>
        <v>70</v>
      </c>
      <c r="E75" s="69" t="s">
        <v>109</v>
      </c>
      <c r="F75" s="103"/>
      <c r="G75" s="96">
        <v>1.1549</v>
      </c>
      <c r="H75" s="97">
        <v>79899.7</v>
      </c>
      <c r="I75" s="168">
        <f>79899.7</f>
        <v>79899.7</v>
      </c>
      <c r="J75" s="99"/>
      <c r="K75" s="100">
        <f t="shared" si="11"/>
        <v>0</v>
      </c>
      <c r="L75" s="82">
        <f t="shared" si="12"/>
        <v>0</v>
      </c>
      <c r="M75" s="83">
        <v>0</v>
      </c>
      <c r="N75" s="101">
        <f>P$2*G75%</f>
        <v>131391.02630055998</v>
      </c>
      <c r="O75" s="102">
        <v>0</v>
      </c>
      <c r="P75" s="86">
        <f t="shared" si="13"/>
        <v>131391.70000000001</v>
      </c>
      <c r="Q75" s="87">
        <f t="shared" si="14"/>
        <v>139275.70000000001</v>
      </c>
      <c r="R75" s="88">
        <f t="shared" si="15"/>
        <v>135333.70000000001</v>
      </c>
      <c r="S75" s="46">
        <f t="shared" si="17"/>
        <v>0.7000000000000004</v>
      </c>
    </row>
    <row r="76" spans="2:21" ht="16.5" customHeight="1" x14ac:dyDescent="0.25">
      <c r="B76" s="69"/>
      <c r="C76" s="93"/>
      <c r="D76" s="93"/>
      <c r="E76" s="69"/>
      <c r="F76" s="70"/>
      <c r="G76" s="78"/>
      <c r="H76" s="97">
        <v>0</v>
      </c>
      <c r="I76" s="98"/>
      <c r="J76" s="99"/>
      <c r="K76" s="100"/>
      <c r="L76" s="82"/>
      <c r="M76" s="83"/>
      <c r="N76" s="101"/>
      <c r="O76" s="102"/>
      <c r="P76" s="86"/>
      <c r="Q76" s="87"/>
      <c r="R76" s="88"/>
      <c r="S76" s="46"/>
    </row>
    <row r="77" spans="2:21" ht="16.5" hidden="1" customHeight="1" x14ac:dyDescent="0.25">
      <c r="B77" s="69"/>
      <c r="C77" s="93"/>
      <c r="D77" s="93"/>
      <c r="E77" s="69"/>
      <c r="F77" s="70"/>
      <c r="G77" s="78"/>
      <c r="H77" s="97"/>
      <c r="I77" s="98"/>
      <c r="J77" s="99"/>
      <c r="K77" s="100"/>
      <c r="L77" s="82"/>
      <c r="M77" s="83"/>
      <c r="N77" s="101"/>
      <c r="O77" s="102"/>
      <c r="P77" s="86"/>
      <c r="Q77" s="87"/>
      <c r="R77" s="88"/>
      <c r="S77" s="46"/>
    </row>
    <row r="78" spans="2:21" ht="22.5" hidden="1" customHeight="1" x14ac:dyDescent="0.25">
      <c r="B78" s="69"/>
      <c r="C78" s="93"/>
      <c r="D78" s="93"/>
      <c r="E78" s="71"/>
      <c r="F78" s="70"/>
      <c r="G78" s="78"/>
      <c r="H78" s="97"/>
      <c r="I78" s="98"/>
      <c r="J78" s="99"/>
      <c r="K78" s="100"/>
      <c r="L78" s="82"/>
      <c r="M78" s="83"/>
      <c r="N78" s="101"/>
      <c r="O78" s="102"/>
      <c r="P78" s="86"/>
      <c r="Q78" s="87"/>
      <c r="R78" s="88"/>
      <c r="S78" s="46"/>
    </row>
    <row r="79" spans="2:21" ht="16.5" hidden="1" customHeight="1" x14ac:dyDescent="0.25">
      <c r="B79" s="104"/>
      <c r="C79" s="146"/>
      <c r="D79" s="94"/>
      <c r="E79" s="69"/>
      <c r="F79" s="70"/>
      <c r="G79" s="78"/>
      <c r="H79" s="97"/>
      <c r="I79" s="98"/>
      <c r="J79" s="99"/>
      <c r="K79" s="100"/>
      <c r="L79" s="82"/>
      <c r="M79" s="83"/>
      <c r="N79" s="101"/>
      <c r="O79" s="102"/>
      <c r="P79" s="86"/>
      <c r="Q79" s="87"/>
      <c r="R79" s="88"/>
      <c r="S79" s="46"/>
    </row>
    <row r="80" spans="2:21" ht="17.100000000000001" customHeight="1" thickBot="1" x14ac:dyDescent="0.3">
      <c r="B80" s="69"/>
      <c r="C80" s="69"/>
      <c r="D80" s="69"/>
      <c r="E80" s="105"/>
      <c r="F80" s="105"/>
      <c r="G80" s="78"/>
      <c r="H80" s="97"/>
      <c r="I80" s="98"/>
      <c r="J80" s="99"/>
      <c r="K80" s="100"/>
      <c r="L80" s="82"/>
      <c r="M80" s="83"/>
      <c r="N80" s="101"/>
      <c r="O80" s="102"/>
      <c r="P80" s="106"/>
      <c r="Q80" s="107"/>
      <c r="R80" s="108"/>
      <c r="S80" s="46"/>
    </row>
    <row r="81" spans="2:18" ht="17.100000000000001" customHeight="1" thickBot="1" x14ac:dyDescent="0.3">
      <c r="B81" s="109"/>
      <c r="C81" s="147"/>
      <c r="D81" s="110"/>
      <c r="E81" s="111"/>
      <c r="F81" s="111"/>
      <c r="G81" s="112">
        <f>SUM(G6:G80)</f>
        <v>99.999999999999957</v>
      </c>
      <c r="H81" s="56">
        <f>SUM(H6:H80)</f>
        <v>13622879.85</v>
      </c>
      <c r="I81" s="66">
        <f>SUM(I6:I80)</f>
        <v>9620855.1599999983</v>
      </c>
      <c r="J81" s="56">
        <f t="shared" ref="J81:Q81" si="19">SUM(J6:J80)</f>
        <v>0</v>
      </c>
      <c r="K81" s="66">
        <f>SUM(K6:K80)</f>
        <v>4002024.69</v>
      </c>
      <c r="L81" s="66">
        <f t="shared" si="19"/>
        <v>125085.69839999996</v>
      </c>
      <c r="M81" s="66">
        <f t="shared" si="19"/>
        <v>0</v>
      </c>
      <c r="N81" s="159">
        <f t="shared" si="19"/>
        <v>11376831.43999999</v>
      </c>
      <c r="O81" s="66">
        <f t="shared" si="19"/>
        <v>0</v>
      </c>
      <c r="P81" s="113">
        <f t="shared" si="19"/>
        <v>15503961.85</v>
      </c>
      <c r="Q81" s="113">
        <f t="shared" si="19"/>
        <v>16434226.849999998</v>
      </c>
      <c r="R81" s="113">
        <f>SUM(R6:R80)</f>
        <v>15969079.849999998</v>
      </c>
    </row>
    <row r="82" spans="2:18" ht="12.75" customHeight="1" x14ac:dyDescent="0.25">
      <c r="E82" s="53"/>
      <c r="F82" s="53"/>
    </row>
    <row r="83" spans="2:18" hidden="1" x14ac:dyDescent="0.25"/>
    <row r="84" spans="2:18" ht="9" customHeight="1" x14ac:dyDescent="0.25">
      <c r="E84" s="211" t="str">
        <f>RESUMEN!A14</f>
        <v>ESTIMADOS PROPIETARIOS E INQUILINOS: POR FAVOR LOS QUE ABONAN EN PRIMER VENCIMIENTO ABONEN EL MONTO DE PRIMER VENCIMIENTO, ASI AGILIZAN LA LIQUIDACION, RESPETEN LOS CENTAVOS CORRESPONDIENTES A LA UNIDAD FUNCIONAL. ES DE CARÁCTER OBLIGATORIO INFORMAR VIA MAIL LAS EXPENSAS. CASO CONTRARIO SE INFORMARA VIA CARTA DOCUMENTO A LA UNIDAD FUNCIONAL QUE CREEMOS QUE CORRESPONDE, CUYO COSTO SERA IMPUTADO A LA UNIDAD FUNCIONAL SOSPECHADA.</v>
      </c>
      <c r="F84" s="211"/>
      <c r="G84" s="211"/>
      <c r="H84" s="211"/>
      <c r="I84" s="211"/>
      <c r="J84" s="211"/>
      <c r="K84" s="211"/>
      <c r="L84" s="211"/>
      <c r="M84" s="211"/>
      <c r="N84" s="211"/>
      <c r="O84" s="211"/>
      <c r="P84" s="211"/>
    </row>
    <row r="85" spans="2:18" ht="12" hidden="1" customHeight="1" x14ac:dyDescent="0.25">
      <c r="E85" s="211"/>
      <c r="F85" s="211"/>
      <c r="G85" s="211"/>
      <c r="H85" s="211"/>
      <c r="I85" s="211"/>
      <c r="J85" s="211"/>
      <c r="K85" s="211"/>
      <c r="L85" s="211"/>
      <c r="M85" s="211"/>
      <c r="N85" s="211"/>
      <c r="O85" s="211"/>
      <c r="P85" s="211"/>
    </row>
    <row r="86" spans="2:18" ht="12" hidden="1" customHeight="1" x14ac:dyDescent="0.25">
      <c r="E86" s="211"/>
      <c r="F86" s="211"/>
      <c r="G86" s="211"/>
      <c r="H86" s="211"/>
      <c r="I86" s="211"/>
      <c r="J86" s="211"/>
      <c r="K86" s="211"/>
      <c r="L86" s="211"/>
      <c r="M86" s="211"/>
      <c r="N86" s="211"/>
      <c r="O86" s="211"/>
      <c r="P86" s="211"/>
    </row>
    <row r="87" spans="2:18" ht="12" hidden="1" customHeight="1" x14ac:dyDescent="0.25">
      <c r="E87" s="211"/>
      <c r="F87" s="211"/>
      <c r="G87" s="211"/>
      <c r="H87" s="211"/>
      <c r="I87" s="211"/>
      <c r="J87" s="211"/>
      <c r="K87" s="211"/>
      <c r="L87" s="211"/>
      <c r="M87" s="211"/>
      <c r="N87" s="211"/>
      <c r="O87" s="211"/>
      <c r="P87" s="211"/>
    </row>
    <row r="88" spans="2:18" ht="12" hidden="1" customHeight="1" x14ac:dyDescent="0.25">
      <c r="E88" s="211"/>
      <c r="F88" s="211"/>
      <c r="G88" s="211"/>
      <c r="H88" s="211"/>
      <c r="I88" s="211"/>
      <c r="J88" s="211"/>
      <c r="K88" s="211"/>
      <c r="L88" s="211"/>
      <c r="M88" s="211"/>
      <c r="N88" s="211"/>
      <c r="O88" s="211"/>
      <c r="P88" s="211"/>
    </row>
    <row r="89" spans="2:18" ht="67.5" customHeight="1" x14ac:dyDescent="0.25">
      <c r="E89" s="211"/>
      <c r="F89" s="211"/>
      <c r="G89" s="211"/>
      <c r="H89" s="211"/>
      <c r="I89" s="211"/>
      <c r="J89" s="211"/>
      <c r="K89" s="211"/>
      <c r="L89" s="211"/>
      <c r="M89" s="211"/>
      <c r="N89" s="211"/>
      <c r="O89" s="211"/>
      <c r="P89" s="211"/>
    </row>
  </sheetData>
  <mergeCells count="18">
    <mergeCell ref="G1:P1"/>
    <mergeCell ref="L4:L5"/>
    <mergeCell ref="H4:H5"/>
    <mergeCell ref="Q4:Q5"/>
    <mergeCell ref="I4:I5"/>
    <mergeCell ref="K4:K5"/>
    <mergeCell ref="M4:M5"/>
    <mergeCell ref="N4:N5"/>
    <mergeCell ref="O4:O5"/>
    <mergeCell ref="R4:R5"/>
    <mergeCell ref="E84:P89"/>
    <mergeCell ref="F4:F5"/>
    <mergeCell ref="J4:J5"/>
    <mergeCell ref="A4:A5"/>
    <mergeCell ref="B4:B5"/>
    <mergeCell ref="D4:D5"/>
    <mergeCell ref="E4:E5"/>
    <mergeCell ref="G4:G5"/>
  </mergeCells>
  <pageMargins left="0.25" right="0.25" top="0.75" bottom="0.75" header="0.3" footer="0.3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2</vt:i4>
      </vt:variant>
    </vt:vector>
  </HeadingPairs>
  <TitlesOfParts>
    <vt:vector size="4" baseType="lpstr">
      <vt:lpstr>RESUMEN</vt:lpstr>
      <vt:lpstr>PRORRATEO</vt:lpstr>
      <vt:lpstr>PRORRATEO!Área_de_impresión</vt:lpstr>
      <vt:lpstr>RESUMEN!Área_de_impresión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Sistemax</dc:creator>
  <cp:lastModifiedBy>Sistemax</cp:lastModifiedBy>
  <cp:lastPrinted>2025-04-01T14:28:52Z</cp:lastPrinted>
  <dcterms:created xsi:type="dcterms:W3CDTF">2023-09-17T12:29:07Z</dcterms:created>
  <dcterms:modified xsi:type="dcterms:W3CDTF">2025-04-01T16:37:22Z</dcterms:modified>
</cp:coreProperties>
</file>