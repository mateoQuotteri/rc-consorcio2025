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6225"/>
  </bookViews>
  <sheets>
    <sheet name="PRORRATEO" sheetId="1" r:id="rId1"/>
  </sheets>
  <externalReferences>
    <externalReference r:id="rId2"/>
  </externalReferences>
  <definedNames>
    <definedName name="_xlnm.Print_Area" localSheetId="0">PRORRATEO!$B$1:$R$89</definedName>
  </definedNames>
  <calcPr calcId="144525"/>
</workbook>
</file>

<file path=xl/calcChain.xml><?xml version="1.0" encoding="utf-8"?>
<calcChain xmlns="http://schemas.openxmlformats.org/spreadsheetml/2006/main">
  <c r="N36" i="1" l="1"/>
  <c r="E2" i="1" l="1"/>
  <c r="K6" i="1"/>
  <c r="L6" i="1"/>
  <c r="N6" i="1"/>
  <c r="D7" i="1"/>
  <c r="D8" i="1" s="1"/>
  <c r="D9" i="1" s="1"/>
  <c r="D10" i="1" s="1"/>
  <c r="D11" i="1" s="1"/>
  <c r="D12" i="1" s="1"/>
  <c r="D13" i="1" s="1"/>
  <c r="K7" i="1"/>
  <c r="L7" i="1"/>
  <c r="N7" i="1"/>
  <c r="S7" i="1"/>
  <c r="K8" i="1"/>
  <c r="L8" i="1"/>
  <c r="N8" i="1"/>
  <c r="K9" i="1"/>
  <c r="L9" i="1" s="1"/>
  <c r="N9" i="1"/>
  <c r="K10" i="1"/>
  <c r="L10" i="1" s="1"/>
  <c r="N10" i="1"/>
  <c r="K11" i="1"/>
  <c r="L11" i="1" s="1"/>
  <c r="N11" i="1"/>
  <c r="K12" i="1"/>
  <c r="L12" i="1"/>
  <c r="N12" i="1"/>
  <c r="K13" i="1"/>
  <c r="L13" i="1" s="1"/>
  <c r="N13" i="1"/>
  <c r="D14" i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K14" i="1"/>
  <c r="L14" i="1" s="1"/>
  <c r="N14" i="1"/>
  <c r="K15" i="1"/>
  <c r="L15" i="1"/>
  <c r="N15" i="1"/>
  <c r="K16" i="1"/>
  <c r="L16" i="1" s="1"/>
  <c r="N16" i="1"/>
  <c r="K17" i="1"/>
  <c r="L17" i="1"/>
  <c r="N17" i="1"/>
  <c r="K18" i="1"/>
  <c r="L18" i="1" s="1"/>
  <c r="N18" i="1"/>
  <c r="K19" i="1"/>
  <c r="L19" i="1" s="1"/>
  <c r="N19" i="1"/>
  <c r="K20" i="1"/>
  <c r="L20" i="1" s="1"/>
  <c r="N20" i="1"/>
  <c r="K21" i="1"/>
  <c r="L21" i="1" s="1"/>
  <c r="N21" i="1"/>
  <c r="K22" i="1"/>
  <c r="L22" i="1" s="1"/>
  <c r="N22" i="1"/>
  <c r="K23" i="1"/>
  <c r="L23" i="1" s="1"/>
  <c r="N23" i="1"/>
  <c r="K24" i="1"/>
  <c r="L24" i="1"/>
  <c r="N24" i="1"/>
  <c r="K25" i="1"/>
  <c r="L25" i="1" s="1"/>
  <c r="N25" i="1"/>
  <c r="K26" i="1"/>
  <c r="L26" i="1" s="1"/>
  <c r="N26" i="1"/>
  <c r="K27" i="1"/>
  <c r="L27" i="1" s="1"/>
  <c r="N27" i="1"/>
  <c r="K28" i="1"/>
  <c r="L28" i="1" s="1"/>
  <c r="N28" i="1"/>
  <c r="K29" i="1"/>
  <c r="L29" i="1" s="1"/>
  <c r="N29" i="1"/>
  <c r="K30" i="1"/>
  <c r="L30" i="1" s="1"/>
  <c r="N30" i="1"/>
  <c r="K31" i="1"/>
  <c r="L31" i="1" s="1"/>
  <c r="N31" i="1"/>
  <c r="K32" i="1"/>
  <c r="L32" i="1"/>
  <c r="N32" i="1"/>
  <c r="K33" i="1"/>
  <c r="L33" i="1" s="1"/>
  <c r="N33" i="1"/>
  <c r="K34" i="1"/>
  <c r="L34" i="1" s="1"/>
  <c r="N34" i="1"/>
  <c r="K35" i="1"/>
  <c r="L35" i="1" s="1"/>
  <c r="N35" i="1"/>
  <c r="K36" i="1"/>
  <c r="L36" i="1"/>
  <c r="K37" i="1"/>
  <c r="L37" i="1" s="1"/>
  <c r="N37" i="1"/>
  <c r="K38" i="1"/>
  <c r="L38" i="1" s="1"/>
  <c r="N38" i="1"/>
  <c r="K39" i="1"/>
  <c r="L39" i="1" s="1"/>
  <c r="N39" i="1"/>
  <c r="K40" i="1"/>
  <c r="L40" i="1" s="1"/>
  <c r="N40" i="1"/>
  <c r="K41" i="1"/>
  <c r="L41" i="1" s="1"/>
  <c r="N41" i="1"/>
  <c r="K42" i="1"/>
  <c r="L42" i="1" s="1"/>
  <c r="N42" i="1"/>
  <c r="K43" i="1"/>
  <c r="L43" i="1" s="1"/>
  <c r="N43" i="1"/>
  <c r="K44" i="1"/>
  <c r="L44" i="1"/>
  <c r="N44" i="1"/>
  <c r="K45" i="1"/>
  <c r="L45" i="1" s="1"/>
  <c r="N45" i="1"/>
  <c r="K46" i="1"/>
  <c r="L46" i="1" s="1"/>
  <c r="N46" i="1"/>
  <c r="K47" i="1"/>
  <c r="L47" i="1" s="1"/>
  <c r="N47" i="1"/>
  <c r="K48" i="1"/>
  <c r="L48" i="1" s="1"/>
  <c r="N48" i="1"/>
  <c r="K49" i="1"/>
  <c r="L49" i="1"/>
  <c r="N49" i="1"/>
  <c r="K50" i="1"/>
  <c r="L50" i="1" s="1"/>
  <c r="N50" i="1"/>
  <c r="K51" i="1"/>
  <c r="L51" i="1" s="1"/>
  <c r="N51" i="1"/>
  <c r="K52" i="1"/>
  <c r="L52" i="1" s="1"/>
  <c r="N52" i="1"/>
  <c r="K53" i="1"/>
  <c r="L53" i="1" s="1"/>
  <c r="N53" i="1"/>
  <c r="K54" i="1"/>
  <c r="L54" i="1" s="1"/>
  <c r="N54" i="1"/>
  <c r="K55" i="1"/>
  <c r="L55" i="1" s="1"/>
  <c r="N55" i="1"/>
  <c r="K56" i="1"/>
  <c r="L56" i="1" s="1"/>
  <c r="N56" i="1"/>
  <c r="K57" i="1"/>
  <c r="L57" i="1" s="1"/>
  <c r="N57" i="1"/>
  <c r="K58" i="1"/>
  <c r="L58" i="1"/>
  <c r="N58" i="1"/>
  <c r="K59" i="1"/>
  <c r="L59" i="1" s="1"/>
  <c r="N59" i="1"/>
  <c r="K60" i="1"/>
  <c r="L60" i="1" s="1"/>
  <c r="N60" i="1"/>
  <c r="K61" i="1"/>
  <c r="L61" i="1" s="1"/>
  <c r="N61" i="1"/>
  <c r="K62" i="1"/>
  <c r="L62" i="1"/>
  <c r="N62" i="1"/>
  <c r="K63" i="1"/>
  <c r="L63" i="1" s="1"/>
  <c r="N63" i="1"/>
  <c r="K64" i="1"/>
  <c r="L64" i="1" s="1"/>
  <c r="N64" i="1"/>
  <c r="K65" i="1"/>
  <c r="L65" i="1" s="1"/>
  <c r="N65" i="1"/>
  <c r="K66" i="1"/>
  <c r="L66" i="1" s="1"/>
  <c r="N66" i="1"/>
  <c r="K67" i="1"/>
  <c r="L67" i="1" s="1"/>
  <c r="N67" i="1"/>
  <c r="K68" i="1"/>
  <c r="L68" i="1" s="1"/>
  <c r="N68" i="1"/>
  <c r="K69" i="1"/>
  <c r="L69" i="1" s="1"/>
  <c r="N69" i="1"/>
  <c r="K70" i="1"/>
  <c r="L70" i="1" s="1"/>
  <c r="N70" i="1"/>
  <c r="K71" i="1"/>
  <c r="L71" i="1"/>
  <c r="N71" i="1"/>
  <c r="K72" i="1"/>
  <c r="L72" i="1" s="1"/>
  <c r="N72" i="1"/>
  <c r="K73" i="1"/>
  <c r="L73" i="1" s="1"/>
  <c r="N73" i="1"/>
  <c r="K74" i="1"/>
  <c r="L74" i="1" s="1"/>
  <c r="N74" i="1"/>
  <c r="K75" i="1"/>
  <c r="L75" i="1" s="1"/>
  <c r="N75" i="1"/>
  <c r="G81" i="1"/>
  <c r="H81" i="1"/>
  <c r="J81" i="1"/>
  <c r="M81" i="1"/>
  <c r="O81" i="1"/>
  <c r="E84" i="1"/>
  <c r="N81" i="1" l="1"/>
  <c r="I81" i="1"/>
  <c r="L81" i="1"/>
  <c r="P6" i="1"/>
  <c r="K81" i="1"/>
  <c r="P7" i="1"/>
  <c r="S8" i="1"/>
  <c r="Q7" i="1" l="1"/>
  <c r="R7" i="1"/>
  <c r="Q6" i="1"/>
  <c r="R6" i="1"/>
  <c r="P8" i="1"/>
  <c r="S9" i="1"/>
  <c r="S10" i="1" l="1"/>
  <c r="P9" i="1"/>
  <c r="Q8" i="1"/>
  <c r="R8" i="1"/>
  <c r="P10" i="1" l="1"/>
  <c r="S11" i="1"/>
  <c r="R9" i="1"/>
  <c r="Q9" i="1"/>
  <c r="P11" i="1" l="1"/>
  <c r="S12" i="1"/>
  <c r="Q10" i="1"/>
  <c r="R10" i="1"/>
  <c r="P12" i="1" l="1"/>
  <c r="S13" i="1"/>
  <c r="Q11" i="1"/>
  <c r="R11" i="1"/>
  <c r="P13" i="1" l="1"/>
  <c r="S14" i="1"/>
  <c r="Q12" i="1"/>
  <c r="R12" i="1"/>
  <c r="R13" i="1" l="1"/>
  <c r="Q13" i="1"/>
  <c r="P14" i="1"/>
  <c r="S15" i="1"/>
  <c r="P15" i="1" l="1"/>
  <c r="S16" i="1"/>
  <c r="Q14" i="1"/>
  <c r="R14" i="1"/>
  <c r="Q15" i="1" l="1"/>
  <c r="R15" i="1"/>
  <c r="P16" i="1"/>
  <c r="S17" i="1"/>
  <c r="P17" i="1" l="1"/>
  <c r="S18" i="1"/>
  <c r="Q16" i="1"/>
  <c r="R16" i="1"/>
  <c r="P18" i="1" l="1"/>
  <c r="S19" i="1"/>
  <c r="Q17" i="1"/>
  <c r="R17" i="1"/>
  <c r="R18" i="1" l="1"/>
  <c r="Q18" i="1"/>
  <c r="P19" i="1"/>
  <c r="S20" i="1"/>
  <c r="P20" i="1" l="1"/>
  <c r="S21" i="1"/>
  <c r="Q19" i="1"/>
  <c r="R19" i="1"/>
  <c r="P21" i="1" l="1"/>
  <c r="S22" i="1"/>
  <c r="Q20" i="1"/>
  <c r="R20" i="1"/>
  <c r="P22" i="1" l="1"/>
  <c r="S23" i="1"/>
  <c r="R21" i="1"/>
  <c r="Q21" i="1"/>
  <c r="R22" i="1" l="1"/>
  <c r="Q22" i="1"/>
  <c r="P23" i="1"/>
  <c r="S24" i="1"/>
  <c r="P24" i="1" l="1"/>
  <c r="S25" i="1"/>
  <c r="Q23" i="1"/>
  <c r="R23" i="1"/>
  <c r="P25" i="1" l="1"/>
  <c r="S26" i="1"/>
  <c r="Q24" i="1"/>
  <c r="R24" i="1"/>
  <c r="S27" i="1" l="1"/>
  <c r="P26" i="1"/>
  <c r="R25" i="1"/>
  <c r="Q25" i="1"/>
  <c r="R26" i="1" l="1"/>
  <c r="Q26" i="1"/>
  <c r="P27" i="1"/>
  <c r="S28" i="1"/>
  <c r="Q27" i="1" l="1"/>
  <c r="R27" i="1"/>
  <c r="P28" i="1"/>
  <c r="S29" i="1"/>
  <c r="Q28" i="1" l="1"/>
  <c r="R28" i="1"/>
  <c r="P29" i="1"/>
  <c r="S30" i="1"/>
  <c r="S31" i="1" l="1"/>
  <c r="P30" i="1"/>
  <c r="Q29" i="1"/>
  <c r="R29" i="1"/>
  <c r="R30" i="1" l="1"/>
  <c r="Q30" i="1"/>
  <c r="S32" i="1"/>
  <c r="P31" i="1"/>
  <c r="Q31" i="1" l="1"/>
  <c r="R31" i="1"/>
  <c r="P32" i="1"/>
  <c r="S33" i="1"/>
  <c r="P33" i="1" l="1"/>
  <c r="S34" i="1"/>
  <c r="Q32" i="1"/>
  <c r="R32" i="1"/>
  <c r="P34" i="1" l="1"/>
  <c r="S35" i="1"/>
  <c r="Q33" i="1"/>
  <c r="R33" i="1"/>
  <c r="P35" i="1" l="1"/>
  <c r="S36" i="1"/>
  <c r="R34" i="1"/>
  <c r="Q34" i="1"/>
  <c r="P36" i="1" l="1"/>
  <c r="S37" i="1"/>
  <c r="Q35" i="1"/>
  <c r="R35" i="1"/>
  <c r="P37" i="1" l="1"/>
  <c r="S38" i="1"/>
  <c r="Q36" i="1"/>
  <c r="R36" i="1"/>
  <c r="P38" i="1" l="1"/>
  <c r="S39" i="1"/>
  <c r="R37" i="1"/>
  <c r="Q37" i="1"/>
  <c r="P39" i="1" l="1"/>
  <c r="S40" i="1"/>
  <c r="R38" i="1"/>
  <c r="Q38" i="1"/>
  <c r="P40" i="1" l="1"/>
  <c r="S41" i="1"/>
  <c r="Q39" i="1"/>
  <c r="R39" i="1"/>
  <c r="P41" i="1" l="1"/>
  <c r="S42" i="1"/>
  <c r="Q40" i="1"/>
  <c r="R40" i="1"/>
  <c r="S43" i="1" l="1"/>
  <c r="P42" i="1"/>
  <c r="R41" i="1"/>
  <c r="Q41" i="1"/>
  <c r="R42" i="1" l="1"/>
  <c r="Q42" i="1"/>
  <c r="P43" i="1"/>
  <c r="S44" i="1"/>
  <c r="P44" i="1" l="1"/>
  <c r="S45" i="1"/>
  <c r="Q43" i="1"/>
  <c r="R43" i="1"/>
  <c r="P45" i="1" l="1"/>
  <c r="S46" i="1"/>
  <c r="Q44" i="1"/>
  <c r="R44" i="1"/>
  <c r="S47" i="1" l="1"/>
  <c r="P46" i="1"/>
  <c r="Q45" i="1"/>
  <c r="R45" i="1"/>
  <c r="R46" i="1" l="1"/>
  <c r="Q46" i="1"/>
  <c r="S48" i="1"/>
  <c r="P47" i="1"/>
  <c r="Q47" i="1" l="1"/>
  <c r="R47" i="1"/>
  <c r="P48" i="1"/>
  <c r="S49" i="1"/>
  <c r="P49" i="1" l="1"/>
  <c r="S50" i="1"/>
  <c r="Q48" i="1"/>
  <c r="R48" i="1"/>
  <c r="P50" i="1" l="1"/>
  <c r="S51" i="1"/>
  <c r="Q49" i="1"/>
  <c r="R49" i="1"/>
  <c r="S52" i="1" l="1"/>
  <c r="P51" i="1"/>
  <c r="R50" i="1"/>
  <c r="Q50" i="1"/>
  <c r="Q51" i="1" l="1"/>
  <c r="R51" i="1"/>
  <c r="P52" i="1"/>
  <c r="S53" i="1"/>
  <c r="P53" i="1" l="1"/>
  <c r="S54" i="1"/>
  <c r="Q52" i="1"/>
  <c r="R52" i="1"/>
  <c r="P54" i="1" l="1"/>
  <c r="S55" i="1"/>
  <c r="Q53" i="1"/>
  <c r="R53" i="1"/>
  <c r="S56" i="1" l="1"/>
  <c r="P55" i="1"/>
  <c r="R54" i="1"/>
  <c r="Q54" i="1"/>
  <c r="Q55" i="1" l="1"/>
  <c r="R55" i="1"/>
  <c r="P56" i="1"/>
  <c r="S57" i="1"/>
  <c r="S58" i="1" l="1"/>
  <c r="P57" i="1"/>
  <c r="Q56" i="1"/>
  <c r="R56" i="1"/>
  <c r="Q57" i="1" l="1"/>
  <c r="R57" i="1"/>
  <c r="P58" i="1"/>
  <c r="S59" i="1"/>
  <c r="Q58" i="1" l="1"/>
  <c r="R58" i="1"/>
  <c r="P59" i="1"/>
  <c r="S60" i="1"/>
  <c r="S61" i="1" l="1"/>
  <c r="P60" i="1"/>
  <c r="Q59" i="1"/>
  <c r="R59" i="1"/>
  <c r="R60" i="1" l="1"/>
  <c r="Q60" i="1"/>
  <c r="S62" i="1"/>
  <c r="P61" i="1"/>
  <c r="Q61" i="1" l="1"/>
  <c r="R61" i="1"/>
  <c r="P62" i="1"/>
  <c r="S63" i="1"/>
  <c r="Q62" i="1" l="1"/>
  <c r="R62" i="1"/>
  <c r="P63" i="1"/>
  <c r="S64" i="1"/>
  <c r="S65" i="1" l="1"/>
  <c r="P64" i="1"/>
  <c r="R63" i="1"/>
  <c r="Q63" i="1"/>
  <c r="P65" i="1" l="1"/>
  <c r="S66" i="1"/>
  <c r="R64" i="1"/>
  <c r="Q64" i="1"/>
  <c r="S67" i="1" l="1"/>
  <c r="P66" i="1"/>
  <c r="R65" i="1"/>
  <c r="Q65" i="1"/>
  <c r="Q66" i="1" l="1"/>
  <c r="R66" i="1"/>
  <c r="S68" i="1"/>
  <c r="P67" i="1"/>
  <c r="Q67" i="1" l="1"/>
  <c r="R67" i="1"/>
  <c r="P68" i="1"/>
  <c r="S69" i="1"/>
  <c r="P69" i="1" l="1"/>
  <c r="S70" i="1"/>
  <c r="Q68" i="1"/>
  <c r="R68" i="1"/>
  <c r="S71" i="1" l="1"/>
  <c r="P70" i="1"/>
  <c r="Q69" i="1"/>
  <c r="R69" i="1"/>
  <c r="Q70" i="1" l="1"/>
  <c r="R70" i="1"/>
  <c r="S72" i="1"/>
  <c r="P71" i="1"/>
  <c r="Q71" i="1" l="1"/>
  <c r="R71" i="1"/>
  <c r="P72" i="1"/>
  <c r="S73" i="1"/>
  <c r="S74" i="1" l="1"/>
  <c r="P73" i="1"/>
  <c r="R72" i="1"/>
  <c r="Q72" i="1"/>
  <c r="R73" i="1" l="1"/>
  <c r="Q73" i="1"/>
  <c r="P74" i="1"/>
  <c r="S75" i="1"/>
  <c r="P75" i="1" s="1"/>
  <c r="Q75" i="1" l="1"/>
  <c r="R75" i="1"/>
  <c r="P81" i="1"/>
  <c r="Q74" i="1"/>
  <c r="R74" i="1"/>
  <c r="R81" i="1" l="1"/>
  <c r="Q81" i="1"/>
</calcChain>
</file>

<file path=xl/sharedStrings.xml><?xml version="1.0" encoding="utf-8"?>
<sst xmlns="http://schemas.openxmlformats.org/spreadsheetml/2006/main" count="211" uniqueCount="126">
  <si>
    <t>DE BIAGGIO PABLO</t>
  </si>
  <si>
    <t>E</t>
  </si>
  <si>
    <t>RIVA MÓNICA</t>
  </si>
  <si>
    <t>D</t>
  </si>
  <si>
    <t>ALVAREZ</t>
  </si>
  <si>
    <t>C</t>
  </si>
  <si>
    <t>KARGODORIAN SILVIA</t>
  </si>
  <si>
    <t>FERÁNDEZ HÉCTOR</t>
  </si>
  <si>
    <t>LORUSSO DORA</t>
  </si>
  <si>
    <t>CANDEL RAÚL F.</t>
  </si>
  <si>
    <t xml:space="preserve">Brian Alvarez </t>
  </si>
  <si>
    <t>CANDEL MARCELO</t>
  </si>
  <si>
    <t>Aldana</t>
  </si>
  <si>
    <t>GENTILE EDUARDO</t>
  </si>
  <si>
    <t>RECHIMUZZI</t>
  </si>
  <si>
    <t>Pablo Coiro</t>
  </si>
  <si>
    <t>CIGNOLI</t>
  </si>
  <si>
    <t>VENTIMIGLIA SILVANA</t>
  </si>
  <si>
    <t>Jorge Sicilia</t>
  </si>
  <si>
    <t>FERREIRO MARTA</t>
  </si>
  <si>
    <t>Francini IGNACIO</t>
  </si>
  <si>
    <t>BRITEZ M.</t>
  </si>
  <si>
    <t>Analía</t>
  </si>
  <si>
    <t>MANDELLI MARIA</t>
  </si>
  <si>
    <t>ALVAREZ EDUARDO</t>
  </si>
  <si>
    <t>DE SERIO BOFFA</t>
  </si>
  <si>
    <t>REY ALICIA</t>
  </si>
  <si>
    <t>GEFFNER JORGE RAÚL</t>
  </si>
  <si>
    <t>STELLISANO VICTORIA</t>
  </si>
  <si>
    <t>Lionel Giglia</t>
  </si>
  <si>
    <t>WAINBERG LUIS</t>
  </si>
  <si>
    <t>Romina Lotfi</t>
  </si>
  <si>
    <t xml:space="preserve">Sarubbi  </t>
  </si>
  <si>
    <t>TORRES BASSO RUBEN</t>
  </si>
  <si>
    <t>Ezequiel Caputo</t>
  </si>
  <si>
    <t>PARMA</t>
  </si>
  <si>
    <t>BELEN CICCIARELLI</t>
  </si>
  <si>
    <t>Ines Telo</t>
  </si>
  <si>
    <t>MORONI MABEL</t>
  </si>
  <si>
    <t>AZCARATE DIEGO</t>
  </si>
  <si>
    <t>Isabel Infante</t>
  </si>
  <si>
    <t>GOLBERG DIEGO</t>
  </si>
  <si>
    <t>Jose Medina</t>
  </si>
  <si>
    <t>BLANCO</t>
  </si>
  <si>
    <t>SAIN GUILLERMO</t>
  </si>
  <si>
    <t>Mabel Rodríguez</t>
  </si>
  <si>
    <t>MARIA I. ROTTA</t>
  </si>
  <si>
    <t>BRATTOLI</t>
  </si>
  <si>
    <t>COC</t>
  </si>
  <si>
    <t>Marcos</t>
  </si>
  <si>
    <t>NAVA HECTOR</t>
  </si>
  <si>
    <t>CARTABBIA MARIO</t>
  </si>
  <si>
    <t>B</t>
  </si>
  <si>
    <t>PRATOLONGO EDUARDO</t>
  </si>
  <si>
    <t>A</t>
  </si>
  <si>
    <t>GUTMAN MARIO</t>
  </si>
  <si>
    <t>Romina Navarro</t>
  </si>
  <si>
    <t>DAVICCA MIGUEL</t>
  </si>
  <si>
    <t>CANDEL E. MARCELO</t>
  </si>
  <si>
    <t>Carla</t>
  </si>
  <si>
    <t>LEGUIZAMON PABLO</t>
  </si>
  <si>
    <t>GALANTE CELIA</t>
  </si>
  <si>
    <t>Noelia Villarino</t>
  </si>
  <si>
    <t>CARRIZO RAÚL</t>
  </si>
  <si>
    <t>VANNI KARINA</t>
  </si>
  <si>
    <t>POSSENTI JUAN JOSE</t>
  </si>
  <si>
    <t>COUSO MARIA CRISTINA</t>
  </si>
  <si>
    <t>15º</t>
  </si>
  <si>
    <t>Daniel</t>
  </si>
  <si>
    <t>BORTZ ESTHER</t>
  </si>
  <si>
    <t>14º</t>
  </si>
  <si>
    <t>DINOTO</t>
  </si>
  <si>
    <t>13º</t>
  </si>
  <si>
    <t>SRUGO CARLOS</t>
  </si>
  <si>
    <t>12º</t>
  </si>
  <si>
    <t>VERONES JOSE MARIA</t>
  </si>
  <si>
    <t>11º</t>
  </si>
  <si>
    <t>FERNANDEZ BERTA</t>
  </si>
  <si>
    <t>LACENTRE</t>
  </si>
  <si>
    <t>10º</t>
  </si>
  <si>
    <t>SARUBBI MARTIN</t>
  </si>
  <si>
    <t>FRAGA DORA</t>
  </si>
  <si>
    <t>9º</t>
  </si>
  <si>
    <t xml:space="preserve">Susana </t>
  </si>
  <si>
    <t>MIRANDA DE GIL</t>
  </si>
  <si>
    <t>Mariela Pricolo</t>
  </si>
  <si>
    <t>TRIPODI</t>
  </si>
  <si>
    <t>8º</t>
  </si>
  <si>
    <t xml:space="preserve"> Florencia Fucci</t>
  </si>
  <si>
    <t>KIM SOON LEO</t>
  </si>
  <si>
    <t>7º</t>
  </si>
  <si>
    <t>BORTZ SERGIO</t>
  </si>
  <si>
    <t>6º</t>
  </si>
  <si>
    <t>CANDEL JORGE ISAAC</t>
  </si>
  <si>
    <t xml:space="preserve"> Miriam Larken</t>
  </si>
  <si>
    <t>GALANTERNIK A</t>
  </si>
  <si>
    <t>5º</t>
  </si>
  <si>
    <t>Cristian Requelme</t>
  </si>
  <si>
    <t>BENMAOR D.</t>
  </si>
  <si>
    <t>DEVOLBERG</t>
  </si>
  <si>
    <t>4º</t>
  </si>
  <si>
    <t>ASIST Y TRAB.</t>
  </si>
  <si>
    <t>3º</t>
  </si>
  <si>
    <t>COVILOZA S. A.</t>
  </si>
  <si>
    <t>LOC</t>
  </si>
  <si>
    <t>GEFFNER SILVIA E.</t>
  </si>
  <si>
    <t>PB</t>
  </si>
  <si>
    <t>Total 2do Vto</t>
  </si>
  <si>
    <t>Total 2do Vto.</t>
  </si>
  <si>
    <t>Total 1er Vto</t>
  </si>
  <si>
    <t>Gastos part.</t>
  </si>
  <si>
    <t>Expensas ord.</t>
  </si>
  <si>
    <t>Expensas extraor.</t>
  </si>
  <si>
    <t>Interes 3%</t>
  </si>
  <si>
    <t>Deuda o Saldo a favor</t>
  </si>
  <si>
    <t>Pago por</t>
  </si>
  <si>
    <t xml:space="preserve">Ingreso </t>
  </si>
  <si>
    <t>Saldo Ord</t>
  </si>
  <si>
    <t xml:space="preserve"> (%)</t>
  </si>
  <si>
    <t>Inquilinos</t>
  </si>
  <si>
    <t>Propietario</t>
  </si>
  <si>
    <t>UF</t>
  </si>
  <si>
    <t>Dpto.</t>
  </si>
  <si>
    <t>Piso</t>
  </si>
  <si>
    <t>Gastos Ordinarios:</t>
  </si>
  <si>
    <t>VTO 30/01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</si>
</sst>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\ * #,##0.0_-;\-&quot;$&quot;\ * #,##0.0_-;_-&quot;$&quot;\ * &quot;-&quot;??_-;_-@_-"/>
    <numFmt numFmtId="166" formatCode="_ &quot;$&quot;\ * #,##0.00_ ;_ &quot;$&quot;\ * \-#,##0.00_ ;_ &quot;$&quot;\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44" fontId="5" fillId="3" borderId="1" xfId="0" applyNumberFormat="1" applyFont="1" applyFill="1" applyBorder="1"/>
    <xf numFmtId="164" fontId="5" fillId="3" borderId="2" xfId="0" applyNumberFormat="1" applyFont="1" applyFill="1" applyBorder="1"/>
    <xf numFmtId="44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5" fillId="3" borderId="3" xfId="0" applyFont="1" applyFill="1" applyBorder="1"/>
    <xf numFmtId="0" fontId="5" fillId="4" borderId="3" xfId="0" applyFont="1" applyFill="1" applyBorder="1"/>
    <xf numFmtId="0" fontId="5" fillId="4" borderId="1" xfId="0" applyFont="1" applyFill="1" applyBorder="1"/>
    <xf numFmtId="44" fontId="0" fillId="0" borderId="0" xfId="0" applyNumberFormat="1"/>
    <xf numFmtId="44" fontId="6" fillId="0" borderId="4" xfId="1" applyFont="1" applyBorder="1"/>
    <xf numFmtId="44" fontId="6" fillId="0" borderId="5" xfId="1" applyFont="1" applyBorder="1"/>
    <xf numFmtId="44" fontId="6" fillId="0" borderId="6" xfId="1" applyFont="1" applyBorder="1"/>
    <xf numFmtId="44" fontId="5" fillId="0" borderId="7" xfId="1" applyFont="1" applyBorder="1"/>
    <xf numFmtId="164" fontId="5" fillId="0" borderId="8" xfId="1" applyNumberFormat="1" applyFont="1" applyBorder="1"/>
    <xf numFmtId="44" fontId="5" fillId="0" borderId="9" xfId="1" applyFont="1" applyBorder="1"/>
    <xf numFmtId="164" fontId="5" fillId="0" borderId="9" xfId="0" applyNumberFormat="1" applyFont="1" applyBorder="1"/>
    <xf numFmtId="164" fontId="5" fillId="0" borderId="8" xfId="0" applyNumberFormat="1" applyFont="1" applyBorder="1"/>
    <xf numFmtId="164" fontId="6" fillId="5" borderId="8" xfId="1" applyNumberFormat="1" applyFont="1" applyFill="1" applyBorder="1"/>
    <xf numFmtId="44" fontId="6" fillId="5" borderId="8" xfId="1" applyNumberFormat="1" applyFont="1" applyFill="1" applyBorder="1"/>
    <xf numFmtId="44" fontId="6" fillId="0" borderId="8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8" xfId="0" applyFont="1" applyBorder="1"/>
    <xf numFmtId="0" fontId="5" fillId="0" borderId="8" xfId="0" applyFont="1" applyBorder="1" applyAlignment="1"/>
    <xf numFmtId="0" fontId="5" fillId="0" borderId="9" xfId="0" applyFont="1" applyBorder="1"/>
    <xf numFmtId="44" fontId="6" fillId="0" borderId="10" xfId="1" applyFont="1" applyBorder="1"/>
    <xf numFmtId="44" fontId="6" fillId="0" borderId="11" xfId="1" applyFont="1" applyBorder="1"/>
    <xf numFmtId="44" fontId="6" fillId="0" borderId="12" xfId="1" applyFont="1" applyBorder="1"/>
    <xf numFmtId="0" fontId="5" fillId="0" borderId="9" xfId="0" applyFont="1" applyBorder="1" applyAlignment="1">
      <alignment wrapText="1"/>
    </xf>
    <xf numFmtId="0" fontId="5" fillId="0" borderId="9" xfId="0" applyFont="1" applyBorder="1" applyAlignment="1"/>
    <xf numFmtId="0" fontId="5" fillId="0" borderId="13" xfId="0" applyFont="1" applyBorder="1"/>
    <xf numFmtId="0" fontId="5" fillId="5" borderId="0" xfId="0" applyFont="1" applyFill="1" applyBorder="1"/>
    <xf numFmtId="0" fontId="5" fillId="5" borderId="14" xfId="0" applyFont="1" applyFill="1" applyBorder="1"/>
    <xf numFmtId="0" fontId="5" fillId="0" borderId="9" xfId="0" applyFont="1" applyBorder="1" applyAlignment="1">
      <alignment vertical="center" wrapText="1"/>
    </xf>
    <xf numFmtId="0" fontId="5" fillId="0" borderId="15" xfId="0" applyFont="1" applyBorder="1"/>
    <xf numFmtId="165" fontId="6" fillId="5" borderId="9" xfId="1" applyNumberFormat="1" applyFont="1" applyFill="1" applyBorder="1"/>
    <xf numFmtId="2" fontId="5" fillId="5" borderId="8" xfId="0" applyNumberFormat="1" applyFont="1" applyFill="1" applyBorder="1" applyAlignment="1">
      <alignment horizontal="center"/>
    </xf>
    <xf numFmtId="0" fontId="5" fillId="0" borderId="8" xfId="0" applyFont="1" applyBorder="1" applyAlignment="1">
      <alignment wrapText="1"/>
    </xf>
    <xf numFmtId="0" fontId="5" fillId="5" borderId="8" xfId="0" applyFont="1" applyFill="1" applyBorder="1"/>
    <xf numFmtId="0" fontId="5" fillId="5" borderId="8" xfId="0" applyFont="1" applyFill="1" applyBorder="1" applyAlignment="1"/>
    <xf numFmtId="44" fontId="5" fillId="0" borderId="11" xfId="1" applyFont="1" applyBorder="1"/>
    <xf numFmtId="164" fontId="5" fillId="0" borderId="9" xfId="1" applyNumberFormat="1" applyFont="1" applyBorder="1"/>
    <xf numFmtId="164" fontId="6" fillId="5" borderId="9" xfId="1" applyNumberFormat="1" applyFont="1" applyFill="1" applyBorder="1"/>
    <xf numFmtId="44" fontId="6" fillId="0" borderId="9" xfId="1" applyNumberFormat="1" applyFont="1" applyBorder="1"/>
    <xf numFmtId="2" fontId="5" fillId="5" borderId="9" xfId="0" applyNumberFormat="1" applyFont="1" applyFill="1" applyBorder="1" applyAlignment="1">
      <alignment horizontal="center"/>
    </xf>
    <xf numFmtId="0" fontId="5" fillId="5" borderId="9" xfId="0" applyFont="1" applyFill="1" applyBorder="1"/>
    <xf numFmtId="0" fontId="5" fillId="5" borderId="9" xfId="0" applyFont="1" applyFill="1" applyBorder="1" applyAlignment="1"/>
    <xf numFmtId="0" fontId="5" fillId="5" borderId="9" xfId="0" applyFont="1" applyFill="1" applyBorder="1" applyAlignment="1">
      <alignment wrapText="1"/>
    </xf>
    <xf numFmtId="0" fontId="0" fillId="5" borderId="9" xfId="0" applyFill="1" applyBorder="1"/>
    <xf numFmtId="44" fontId="6" fillId="5" borderId="9" xfId="1" applyNumberFormat="1" applyFont="1" applyFill="1" applyBorder="1"/>
    <xf numFmtId="0" fontId="0" fillId="0" borderId="9" xfId="0" applyFill="1" applyBorder="1"/>
    <xf numFmtId="44" fontId="7" fillId="0" borderId="11" xfId="1" applyFont="1" applyBorder="1"/>
    <xf numFmtId="164" fontId="7" fillId="0" borderId="9" xfId="0" applyNumberFormat="1" applyFont="1" applyBorder="1"/>
    <xf numFmtId="164" fontId="7" fillId="5" borderId="9" xfId="1" applyNumberFormat="1" applyFont="1" applyFill="1" applyBorder="1"/>
    <xf numFmtId="164" fontId="6" fillId="5" borderId="11" xfId="1" applyNumberFormat="1" applyFont="1" applyFill="1" applyBorder="1"/>
    <xf numFmtId="0" fontId="0" fillId="0" borderId="9" xfId="0" applyBorder="1"/>
    <xf numFmtId="164" fontId="5" fillId="5" borderId="9" xfId="0" applyNumberFormat="1" applyFont="1" applyFill="1" applyBorder="1"/>
    <xf numFmtId="0" fontId="2" fillId="5" borderId="0" xfId="0" applyFont="1" applyFill="1"/>
    <xf numFmtId="0" fontId="8" fillId="6" borderId="16" xfId="0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0" fontId="8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44" fontId="0" fillId="6" borderId="0" xfId="1" applyFont="1" applyFill="1" applyBorder="1" applyAlignment="1">
      <alignment vertical="center"/>
    </xf>
    <xf numFmtId="44" fontId="0" fillId="6" borderId="21" xfId="1" applyFont="1" applyFill="1" applyBorder="1" applyAlignment="1">
      <alignment vertical="center"/>
    </xf>
    <xf numFmtId="0" fontId="0" fillId="6" borderId="0" xfId="0" applyFill="1"/>
    <xf numFmtId="8" fontId="0" fillId="0" borderId="0" xfId="0" applyNumberFormat="1"/>
    <xf numFmtId="44" fontId="0" fillId="6" borderId="0" xfId="1" applyFont="1" applyFill="1" applyAlignment="1"/>
    <xf numFmtId="8" fontId="0" fillId="6" borderId="0" xfId="0" applyNumberFormat="1" applyFill="1"/>
    <xf numFmtId="0" fontId="0" fillId="6" borderId="0" xfId="0" applyFont="1" applyFill="1" applyAlignment="1">
      <alignment horizontal="left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ICIEMBRE/GORRITI-DIC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RORRATEO"/>
    </sheetNames>
    <sheetDataSet>
      <sheetData sheetId="0">
        <row r="4">
          <cell r="B4" t="str">
            <v>CBU: 0290034600000502294350</v>
          </cell>
        </row>
        <row r="14">
          <cell r="A14" t="str">
    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9"/>
  <sheetViews>
    <sheetView tabSelected="1" topLeftCell="A71" zoomScaleNormal="100" workbookViewId="0">
      <selection activeCell="B92" sqref="B92"/>
    </sheetView>
  </sheetViews>
  <sheetFormatPr baseColWidth="10" defaultRowHeight="15" x14ac:dyDescent="0.25"/>
  <cols>
    <col min="1" max="1" width="4.7109375" bestFit="1" customWidth="1"/>
    <col min="2" max="3" width="5.5703125" customWidth="1"/>
    <col min="4" max="4" width="4.28515625" customWidth="1"/>
    <col min="5" max="5" width="18.5703125" customWidth="1"/>
    <col min="6" max="6" width="13.85546875" customWidth="1"/>
    <col min="7" max="7" width="5.42578125" customWidth="1"/>
    <col min="8" max="8" width="14.140625" hidden="1" customWidth="1"/>
    <col min="9" max="9" width="11.5703125" hidden="1" customWidth="1"/>
    <col min="10" max="10" width="7.7109375" hidden="1" customWidth="1"/>
    <col min="11" max="11" width="10.5703125" hidden="1" customWidth="1"/>
    <col min="12" max="12" width="11.140625" hidden="1" customWidth="1"/>
    <col min="13" max="13" width="0.140625" hidden="1" customWidth="1"/>
    <col min="14" max="14" width="12.42578125" customWidth="1"/>
    <col min="15" max="15" width="0.140625" customWidth="1"/>
    <col min="16" max="16" width="14.7109375" customWidth="1"/>
    <col min="17" max="17" width="0.42578125" hidden="1" customWidth="1"/>
    <col min="18" max="18" width="13.85546875" customWidth="1"/>
    <col min="19" max="19" width="0.140625" hidden="1" customWidth="1"/>
    <col min="20" max="20" width="12" bestFit="1" customWidth="1"/>
    <col min="21" max="21" width="13" bestFit="1" customWidth="1"/>
  </cols>
  <sheetData>
    <row r="1" spans="1:21" ht="12.95" customHeight="1" x14ac:dyDescent="0.25">
      <c r="A1" s="84"/>
      <c r="B1" s="84"/>
      <c r="C1" s="84"/>
      <c r="D1" s="84"/>
      <c r="E1" s="84"/>
      <c r="F1" s="84"/>
      <c r="G1" s="88"/>
      <c r="H1" s="88"/>
      <c r="I1" s="88"/>
      <c r="J1" s="88"/>
      <c r="K1" s="88"/>
      <c r="L1" s="88"/>
      <c r="M1" s="88"/>
      <c r="N1" s="88"/>
      <c r="O1" s="88"/>
      <c r="P1" s="88"/>
      <c r="Q1" s="84"/>
      <c r="R1" s="84"/>
    </row>
    <row r="2" spans="1:21" ht="12.95" customHeight="1" x14ac:dyDescent="0.25">
      <c r="A2" s="84"/>
      <c r="B2" s="84"/>
      <c r="C2" s="84"/>
      <c r="D2" s="84"/>
      <c r="E2" s="84" t="str">
        <f>[1]RESUMEN!B4</f>
        <v>CBU: 0290034600000502294350</v>
      </c>
      <c r="F2" s="84"/>
      <c r="G2" s="84"/>
      <c r="H2" s="84"/>
      <c r="I2" s="84"/>
      <c r="J2" s="84"/>
      <c r="K2" s="84"/>
      <c r="L2" s="84"/>
      <c r="M2" s="87" t="s">
        <v>124</v>
      </c>
      <c r="N2" s="84"/>
      <c r="O2" s="84"/>
      <c r="P2" s="86">
        <v>1000000</v>
      </c>
      <c r="Q2" s="86"/>
      <c r="R2" s="86"/>
      <c r="S2" s="85"/>
    </row>
    <row r="3" spans="1:21" ht="12.95" customHeight="1" thickBot="1" x14ac:dyDescent="0.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3"/>
      <c r="Q3" s="83"/>
      <c r="R3" s="82"/>
    </row>
    <row r="4" spans="1:21" x14ac:dyDescent="0.25">
      <c r="A4" s="81" t="s">
        <v>123</v>
      </c>
      <c r="B4" s="80" t="s">
        <v>122</v>
      </c>
      <c r="C4" s="79"/>
      <c r="D4" s="78" t="s">
        <v>121</v>
      </c>
      <c r="E4" s="78" t="s">
        <v>120</v>
      </c>
      <c r="F4" s="78" t="s">
        <v>119</v>
      </c>
      <c r="G4" s="78" t="s">
        <v>118</v>
      </c>
      <c r="H4" s="78" t="s">
        <v>117</v>
      </c>
      <c r="I4" s="78" t="s">
        <v>116</v>
      </c>
      <c r="J4" s="78" t="s">
        <v>115</v>
      </c>
      <c r="K4" s="77" t="s">
        <v>114</v>
      </c>
      <c r="L4" s="76" t="s">
        <v>113</v>
      </c>
      <c r="M4" s="76" t="s">
        <v>112</v>
      </c>
      <c r="N4" s="76" t="s">
        <v>111</v>
      </c>
      <c r="O4" s="75" t="s">
        <v>110</v>
      </c>
      <c r="P4" s="74" t="s">
        <v>109</v>
      </c>
      <c r="Q4" s="73" t="s">
        <v>108</v>
      </c>
      <c r="R4" s="72" t="s">
        <v>107</v>
      </c>
      <c r="U4" s="11"/>
    </row>
    <row r="5" spans="1:21" ht="15.75" customHeight="1" x14ac:dyDescent="0.25">
      <c r="A5" s="71"/>
      <c r="B5" s="70"/>
      <c r="C5" s="69"/>
      <c r="D5" s="68"/>
      <c r="E5" s="68"/>
      <c r="F5" s="67"/>
      <c r="G5" s="68"/>
      <c r="H5" s="68"/>
      <c r="I5" s="68"/>
      <c r="J5" s="67"/>
      <c r="K5" s="66"/>
      <c r="L5" s="64"/>
      <c r="M5" s="65"/>
      <c r="N5" s="64"/>
      <c r="O5" s="63"/>
      <c r="P5" s="62" t="s">
        <v>125</v>
      </c>
      <c r="Q5" s="61"/>
      <c r="R5" s="60"/>
    </row>
    <row r="6" spans="1:21" ht="17.100000000000001" customHeight="1" x14ac:dyDescent="0.25">
      <c r="A6" s="57" t="s">
        <v>106</v>
      </c>
      <c r="B6" s="26"/>
      <c r="C6" s="26" t="s">
        <v>104</v>
      </c>
      <c r="D6" s="26">
        <v>1</v>
      </c>
      <c r="E6" s="31" t="s">
        <v>105</v>
      </c>
      <c r="F6" s="26"/>
      <c r="G6" s="23">
        <v>0.5131</v>
      </c>
      <c r="H6" s="45"/>
      <c r="I6" s="37"/>
      <c r="J6" s="44"/>
      <c r="K6" s="18">
        <f>H6-I6</f>
        <v>0</v>
      </c>
      <c r="L6" s="18">
        <f>IF(K6&gt;0,K6*3%,0)</f>
        <v>0</v>
      </c>
      <c r="M6" s="17">
        <v>0</v>
      </c>
      <c r="N6" s="43">
        <f>P$2*G6%</f>
        <v>5131</v>
      </c>
      <c r="O6" s="42">
        <v>0</v>
      </c>
      <c r="P6" s="29">
        <f>ROUND(SUM(K6:O6),0) + S6</f>
        <v>5131.01</v>
      </c>
      <c r="Q6" s="28">
        <f>ROUND(P6*6% + P6,0) + S6</f>
        <v>5439.01</v>
      </c>
      <c r="R6" s="27">
        <f>ROUND(P6*3%,0) + P6</f>
        <v>5285.01</v>
      </c>
      <c r="S6" s="11">
        <v>0.01</v>
      </c>
    </row>
    <row r="7" spans="1:21" ht="17.100000000000001" customHeight="1" x14ac:dyDescent="0.25">
      <c r="A7" s="57" t="s">
        <v>102</v>
      </c>
      <c r="B7" s="26"/>
      <c r="C7" s="26" t="s">
        <v>104</v>
      </c>
      <c r="D7" s="26">
        <f>D6+1</f>
        <v>2</v>
      </c>
      <c r="E7" s="31" t="s">
        <v>103</v>
      </c>
      <c r="F7" s="30"/>
      <c r="G7" s="23">
        <v>0.6119</v>
      </c>
      <c r="H7" s="45"/>
      <c r="I7" s="37"/>
      <c r="J7" s="44"/>
      <c r="K7" s="18">
        <f>H7-I7</f>
        <v>0</v>
      </c>
      <c r="L7" s="18">
        <f>IF(K7&gt;0,K7*3%,0)</f>
        <v>0</v>
      </c>
      <c r="M7" s="17">
        <v>0</v>
      </c>
      <c r="N7" s="43">
        <f>P$2*G7%</f>
        <v>6119</v>
      </c>
      <c r="O7" s="42">
        <v>0</v>
      </c>
      <c r="P7" s="29">
        <f>ROUND(SUM(K7:O7),0) + S7</f>
        <v>6119.02</v>
      </c>
      <c r="Q7" s="28">
        <f>ROUND(P7*6% + P7,0) + S7</f>
        <v>6486.02</v>
      </c>
      <c r="R7" s="27">
        <f>ROUND(P7*3%,0) + P7</f>
        <v>6303.02</v>
      </c>
      <c r="S7" s="11">
        <f>S6+0.01</f>
        <v>0.02</v>
      </c>
      <c r="T7" s="11"/>
    </row>
    <row r="8" spans="1:21" ht="17.100000000000001" customHeight="1" x14ac:dyDescent="0.25">
      <c r="A8" s="57" t="s">
        <v>102</v>
      </c>
      <c r="B8" s="26">
        <v>1</v>
      </c>
      <c r="C8" s="26"/>
      <c r="D8" s="26">
        <f>D7+1</f>
        <v>3</v>
      </c>
      <c r="E8" s="31" t="s">
        <v>101</v>
      </c>
      <c r="F8" s="30"/>
      <c r="G8" s="23">
        <v>0.61150000000000004</v>
      </c>
      <c r="H8" s="45"/>
      <c r="I8" s="37"/>
      <c r="J8" s="44"/>
      <c r="K8" s="18">
        <f>H8-I8</f>
        <v>0</v>
      </c>
      <c r="L8" s="18">
        <f>IF(K8&gt;0,K8*3%,0)</f>
        <v>0</v>
      </c>
      <c r="M8" s="17">
        <v>0</v>
      </c>
      <c r="N8" s="43">
        <f>P$2*G8%</f>
        <v>6115.0000000000009</v>
      </c>
      <c r="O8" s="42">
        <v>0</v>
      </c>
      <c r="P8" s="29">
        <f>ROUND(SUM(K8:O8),0) + S8</f>
        <v>6115.03</v>
      </c>
      <c r="Q8" s="28">
        <f>ROUND(P8*6% + P8,0) + S8</f>
        <v>6482.03</v>
      </c>
      <c r="R8" s="27">
        <f>ROUND(P8*3%,0) + P8</f>
        <v>6298.03</v>
      </c>
      <c r="S8" s="11">
        <f>S7+0.01</f>
        <v>0.03</v>
      </c>
    </row>
    <row r="9" spans="1:21" ht="17.100000000000001" customHeight="1" x14ac:dyDescent="0.25">
      <c r="A9" s="57" t="s">
        <v>100</v>
      </c>
      <c r="B9" s="26">
        <v>2</v>
      </c>
      <c r="C9" s="26"/>
      <c r="D9" s="26">
        <f>D8+1</f>
        <v>4</v>
      </c>
      <c r="E9" s="31" t="s">
        <v>101</v>
      </c>
      <c r="F9" s="30"/>
      <c r="G9" s="23">
        <v>0.50329999999999997</v>
      </c>
      <c r="H9" s="45"/>
      <c r="I9" s="37"/>
      <c r="J9" s="44"/>
      <c r="K9" s="18">
        <f>H9-I9</f>
        <v>0</v>
      </c>
      <c r="L9" s="18">
        <f>IF(K9&gt;0,K9*3%,0)</f>
        <v>0</v>
      </c>
      <c r="M9" s="17">
        <v>0</v>
      </c>
      <c r="N9" s="43">
        <f>P$2*G9%</f>
        <v>5032.9999999999991</v>
      </c>
      <c r="O9" s="42">
        <v>0</v>
      </c>
      <c r="P9" s="29">
        <f>ROUND(SUM(K9:O9),0) + S9</f>
        <v>5033.04</v>
      </c>
      <c r="Q9" s="28">
        <f>ROUND(P9*6% + P9,0) + S9</f>
        <v>5335.04</v>
      </c>
      <c r="R9" s="27">
        <f>ROUND(P9*3%,0) + P9</f>
        <v>5184.04</v>
      </c>
      <c r="S9" s="11">
        <f>S8+0.01</f>
        <v>0.04</v>
      </c>
      <c r="U9" s="11"/>
    </row>
    <row r="10" spans="1:21" ht="17.100000000000001" customHeight="1" x14ac:dyDescent="0.25">
      <c r="A10" s="57" t="s">
        <v>100</v>
      </c>
      <c r="B10" s="26">
        <v>3</v>
      </c>
      <c r="C10" s="26"/>
      <c r="D10" s="26">
        <f>D9+1</f>
        <v>5</v>
      </c>
      <c r="E10" s="31" t="s">
        <v>99</v>
      </c>
      <c r="F10" s="30"/>
      <c r="G10" s="23">
        <v>0.50329999999999997</v>
      </c>
      <c r="H10" s="45"/>
      <c r="I10" s="37"/>
      <c r="J10" s="44"/>
      <c r="K10" s="18">
        <f>H10-I10</f>
        <v>0</v>
      </c>
      <c r="L10" s="18">
        <f>IF(K10&gt;0,K10*3%,0)</f>
        <v>0</v>
      </c>
      <c r="M10" s="17">
        <v>0</v>
      </c>
      <c r="N10" s="43">
        <f>P$2*G10%</f>
        <v>5032.9999999999991</v>
      </c>
      <c r="O10" s="42">
        <v>0</v>
      </c>
      <c r="P10" s="29">
        <f>ROUND(SUM(K10:O10),0) + S10</f>
        <v>5033.05</v>
      </c>
      <c r="Q10" s="28">
        <f>ROUND(P10*6% + P10,0) + S10</f>
        <v>5335.05</v>
      </c>
      <c r="R10" s="27">
        <f>ROUND(P10*3%,0) + P10</f>
        <v>5184.05</v>
      </c>
      <c r="S10" s="11">
        <f>S9+0.01</f>
        <v>0.05</v>
      </c>
      <c r="U10" s="11"/>
    </row>
    <row r="11" spans="1:21" ht="17.100000000000001" customHeight="1" x14ac:dyDescent="0.25">
      <c r="A11" s="57" t="s">
        <v>96</v>
      </c>
      <c r="B11" s="26">
        <v>4</v>
      </c>
      <c r="C11" s="26"/>
      <c r="D11" s="26">
        <f>D10+1</f>
        <v>6</v>
      </c>
      <c r="E11" s="31" t="s">
        <v>98</v>
      </c>
      <c r="F11" s="26" t="s">
        <v>97</v>
      </c>
      <c r="G11" s="23">
        <v>0.74990000000000001</v>
      </c>
      <c r="H11" s="45"/>
      <c r="I11" s="37"/>
      <c r="J11" s="44"/>
      <c r="K11" s="18">
        <f>H11-I11</f>
        <v>0</v>
      </c>
      <c r="L11" s="18">
        <f>IF(K11&gt;0,K11*3%,0)</f>
        <v>0</v>
      </c>
      <c r="M11" s="17">
        <v>0</v>
      </c>
      <c r="N11" s="43">
        <f>P$2*G11%</f>
        <v>7499.0000000000009</v>
      </c>
      <c r="O11" s="42">
        <v>0</v>
      </c>
      <c r="P11" s="29">
        <f>ROUND(SUM(K11:O11),0) + S11</f>
        <v>7499.06</v>
      </c>
      <c r="Q11" s="28">
        <f>ROUND(P11*6% + P11,0) + S11</f>
        <v>7949.06</v>
      </c>
      <c r="R11" s="27">
        <f>ROUND(P11*3%,0) + P11</f>
        <v>7724.06</v>
      </c>
      <c r="S11" s="11">
        <f>S10+0.01</f>
        <v>6.0000000000000005E-2</v>
      </c>
    </row>
    <row r="12" spans="1:21" ht="17.100000000000001" customHeight="1" x14ac:dyDescent="0.25">
      <c r="A12" s="57" t="s">
        <v>96</v>
      </c>
      <c r="B12" s="26">
        <v>5</v>
      </c>
      <c r="C12" s="26"/>
      <c r="D12" s="26">
        <f>D11+1</f>
        <v>7</v>
      </c>
      <c r="E12" s="31" t="s">
        <v>95</v>
      </c>
      <c r="F12" s="26" t="s">
        <v>94</v>
      </c>
      <c r="G12" s="23">
        <v>0.54249999999999998</v>
      </c>
      <c r="H12" s="45"/>
      <c r="I12" s="37"/>
      <c r="J12" s="44"/>
      <c r="K12" s="18">
        <f>H12-I12</f>
        <v>0</v>
      </c>
      <c r="L12" s="18">
        <f>IF(K12&gt;0,K12*3%,0)</f>
        <v>0</v>
      </c>
      <c r="M12" s="17">
        <v>0</v>
      </c>
      <c r="N12" s="43">
        <f>P$2*G12%</f>
        <v>5425</v>
      </c>
      <c r="O12" s="42">
        <v>0</v>
      </c>
      <c r="P12" s="29">
        <f>ROUND(SUM(K12:O12),0) + S12</f>
        <v>5425.07</v>
      </c>
      <c r="Q12" s="28">
        <f>ROUND(P12*6% + P12,0) + S12</f>
        <v>5751.07</v>
      </c>
      <c r="R12" s="27">
        <f>ROUND(P12*3%,0) + P12</f>
        <v>5588.07</v>
      </c>
      <c r="S12" s="11">
        <f>S11+0.01</f>
        <v>7.0000000000000007E-2</v>
      </c>
    </row>
    <row r="13" spans="1:21" ht="17.100000000000001" customHeight="1" x14ac:dyDescent="0.25">
      <c r="A13" s="57" t="s">
        <v>92</v>
      </c>
      <c r="B13" s="26">
        <v>6</v>
      </c>
      <c r="C13" s="26"/>
      <c r="D13" s="26">
        <f>D12+1</f>
        <v>8</v>
      </c>
      <c r="E13" s="31" t="s">
        <v>93</v>
      </c>
      <c r="F13" s="30"/>
      <c r="G13" s="23">
        <v>0.45369999999999999</v>
      </c>
      <c r="H13" s="45"/>
      <c r="I13" s="37"/>
      <c r="J13" s="44"/>
      <c r="K13" s="18">
        <f>H13-I13</f>
        <v>0</v>
      </c>
      <c r="L13" s="18">
        <f>IF(K13&gt;0,K13*3%,0)</f>
        <v>0</v>
      </c>
      <c r="M13" s="17">
        <v>0</v>
      </c>
      <c r="N13" s="43">
        <f>P$2*G13%</f>
        <v>4537</v>
      </c>
      <c r="O13" s="42">
        <v>0</v>
      </c>
      <c r="P13" s="29">
        <f>ROUND(SUM(K13:O13),0) + S13</f>
        <v>4537.08</v>
      </c>
      <c r="Q13" s="28">
        <f>ROUND(P13*6% + P13,0) + S13</f>
        <v>4809.08</v>
      </c>
      <c r="R13" s="27">
        <f>ROUND(P13*3%,0) + P13</f>
        <v>4673.08</v>
      </c>
      <c r="S13" s="11">
        <f>S12+0.01</f>
        <v>0.08</v>
      </c>
    </row>
    <row r="14" spans="1:21" ht="17.100000000000001" customHeight="1" x14ac:dyDescent="0.25">
      <c r="A14" s="57" t="s">
        <v>92</v>
      </c>
      <c r="B14" s="26">
        <v>7</v>
      </c>
      <c r="C14" s="26"/>
      <c r="D14" s="26">
        <f>D13+1</f>
        <v>9</v>
      </c>
      <c r="E14" s="31" t="s">
        <v>91</v>
      </c>
      <c r="F14" s="30"/>
      <c r="G14" s="23">
        <v>0.52439999999999998</v>
      </c>
      <c r="H14" s="45"/>
      <c r="I14" s="37"/>
      <c r="J14" s="44"/>
      <c r="K14" s="18">
        <f>H14-I14</f>
        <v>0</v>
      </c>
      <c r="L14" s="18">
        <f>IF(K14&gt;0,K14*3%,0)</f>
        <v>0</v>
      </c>
      <c r="M14" s="17">
        <v>0</v>
      </c>
      <c r="N14" s="43">
        <f>P$2*G14%</f>
        <v>5243.9999999999991</v>
      </c>
      <c r="O14" s="42">
        <v>0</v>
      </c>
      <c r="P14" s="29">
        <f>ROUND(SUM(K14:O14),0) + S14</f>
        <v>5244.09</v>
      </c>
      <c r="Q14" s="28">
        <f>ROUND(P14*6% + P14,0) + S14</f>
        <v>5559.09</v>
      </c>
      <c r="R14" s="27">
        <f>ROUND(P14*3%,0) + P14</f>
        <v>5401.09</v>
      </c>
      <c r="S14" s="11">
        <f>S13+0.01</f>
        <v>0.09</v>
      </c>
    </row>
    <row r="15" spans="1:21" ht="17.100000000000001" customHeight="1" x14ac:dyDescent="0.25">
      <c r="A15" s="57" t="s">
        <v>90</v>
      </c>
      <c r="B15" s="26">
        <v>8</v>
      </c>
      <c r="C15" s="26"/>
      <c r="D15" s="26">
        <f>D14+1</f>
        <v>10</v>
      </c>
      <c r="E15" s="31" t="s">
        <v>91</v>
      </c>
      <c r="F15" s="30"/>
      <c r="G15" s="23">
        <v>0.42399999999999999</v>
      </c>
      <c r="H15" s="45"/>
      <c r="I15" s="37"/>
      <c r="J15" s="44"/>
      <c r="K15" s="18">
        <f>H15-I15</f>
        <v>0</v>
      </c>
      <c r="L15" s="18">
        <f>IF(K15&gt;0,K15*3%,0)</f>
        <v>0</v>
      </c>
      <c r="M15" s="17">
        <v>0</v>
      </c>
      <c r="N15" s="43">
        <f>P$2*G15%</f>
        <v>4240</v>
      </c>
      <c r="O15" s="42">
        <v>0</v>
      </c>
      <c r="P15" s="29">
        <f>ROUND(SUM(K15:O15),0) + S15</f>
        <v>4240.1000000000004</v>
      </c>
      <c r="Q15" s="28">
        <f>ROUND(P15*6% + P15,0) + S15</f>
        <v>4495.1000000000004</v>
      </c>
      <c r="R15" s="27">
        <f>ROUND(P15*3%,0) + P15</f>
        <v>4367.1000000000004</v>
      </c>
      <c r="S15" s="11">
        <f>S14+0.01</f>
        <v>9.9999999999999992E-2</v>
      </c>
    </row>
    <row r="16" spans="1:21" ht="17.100000000000001" customHeight="1" x14ac:dyDescent="0.25">
      <c r="A16" s="57" t="s">
        <v>90</v>
      </c>
      <c r="B16" s="26">
        <v>1</v>
      </c>
      <c r="C16" s="26" t="s">
        <v>54</v>
      </c>
      <c r="D16" s="26">
        <f>D15+1</f>
        <v>11</v>
      </c>
      <c r="E16" s="31" t="s">
        <v>89</v>
      </c>
      <c r="F16" s="30"/>
      <c r="G16" s="23">
        <v>2.3033000000000001</v>
      </c>
      <c r="H16" s="45"/>
      <c r="I16" s="37"/>
      <c r="J16" s="44"/>
      <c r="K16" s="18">
        <f>H16-I16</f>
        <v>0</v>
      </c>
      <c r="L16" s="18">
        <f>IF(K16&gt;0,K16*3%,0)</f>
        <v>0</v>
      </c>
      <c r="M16" s="17">
        <v>0</v>
      </c>
      <c r="N16" s="43">
        <f>P$2*G16%</f>
        <v>23033</v>
      </c>
      <c r="O16" s="42">
        <v>0</v>
      </c>
      <c r="P16" s="29">
        <f>ROUND(SUM(K16:O16),0) + S16</f>
        <v>23033.11</v>
      </c>
      <c r="Q16" s="28">
        <f>ROUND(P16*6% + P16,0) + S16</f>
        <v>24415.11</v>
      </c>
      <c r="R16" s="27">
        <f>ROUND(P16*3%,0) + P16</f>
        <v>23724.11</v>
      </c>
      <c r="S16" s="11">
        <f>S15+0.01</f>
        <v>0.10999999999999999</v>
      </c>
    </row>
    <row r="17" spans="1:21" ht="17.100000000000001" customHeight="1" x14ac:dyDescent="0.25">
      <c r="A17" s="57" t="s">
        <v>87</v>
      </c>
      <c r="B17" s="26">
        <v>1</v>
      </c>
      <c r="C17" s="26" t="s">
        <v>52</v>
      </c>
      <c r="D17" s="26">
        <f>D16+1</f>
        <v>12</v>
      </c>
      <c r="E17" s="31" t="s">
        <v>11</v>
      </c>
      <c r="F17" s="30" t="s">
        <v>88</v>
      </c>
      <c r="G17" s="23">
        <v>2.7492999999999999</v>
      </c>
      <c r="H17" s="45"/>
      <c r="I17" s="37"/>
      <c r="J17" s="44"/>
      <c r="K17" s="18">
        <f>H17-I17</f>
        <v>0</v>
      </c>
      <c r="L17" s="18">
        <f>IF(K17&gt;0,K17*3%,0)</f>
        <v>0</v>
      </c>
      <c r="M17" s="17">
        <v>0</v>
      </c>
      <c r="N17" s="43">
        <f>P$2*G17%</f>
        <v>27493</v>
      </c>
      <c r="O17" s="42">
        <v>0</v>
      </c>
      <c r="P17" s="29">
        <f>ROUND(SUM(K17:O17),0) + S17</f>
        <v>27493.119999999999</v>
      </c>
      <c r="Q17" s="28">
        <f>ROUND(P17*6% + P17,0) + S17</f>
        <v>29143.119999999999</v>
      </c>
      <c r="R17" s="27">
        <f>ROUND(P17*3%,0) + P17</f>
        <v>28318.12</v>
      </c>
      <c r="S17" s="11">
        <f>S16+0.01</f>
        <v>0.11999999999999998</v>
      </c>
    </row>
    <row r="18" spans="1:21" ht="17.100000000000001" customHeight="1" x14ac:dyDescent="0.25">
      <c r="A18" s="57" t="s">
        <v>87</v>
      </c>
      <c r="B18" s="26">
        <v>2</v>
      </c>
      <c r="C18" s="26" t="s">
        <v>54</v>
      </c>
      <c r="D18" s="26">
        <f>D17+1</f>
        <v>13</v>
      </c>
      <c r="E18" s="31" t="s">
        <v>86</v>
      </c>
      <c r="F18" s="30" t="s">
        <v>85</v>
      </c>
      <c r="G18" s="23">
        <v>2.3033000000000001</v>
      </c>
      <c r="H18" s="45"/>
      <c r="I18" s="37"/>
      <c r="J18" s="44"/>
      <c r="K18" s="18">
        <f>H18-I18</f>
        <v>0</v>
      </c>
      <c r="L18" s="18">
        <f>IF(K18&gt;0,K18*3%,0)</f>
        <v>0</v>
      </c>
      <c r="M18" s="17">
        <v>0</v>
      </c>
      <c r="N18" s="43">
        <f>P$2*G18%</f>
        <v>23033</v>
      </c>
      <c r="O18" s="42">
        <v>0</v>
      </c>
      <c r="P18" s="29">
        <f>ROUND(SUM(K18:O18),0) + S18</f>
        <v>23033.13</v>
      </c>
      <c r="Q18" s="28">
        <f>ROUND(P18*6% + P18,0) + S18</f>
        <v>24415.13</v>
      </c>
      <c r="R18" s="27">
        <f>ROUND(P18*3%,0) + P18</f>
        <v>23724.13</v>
      </c>
      <c r="S18" s="11">
        <f>S17+0.01</f>
        <v>0.12999999999999998</v>
      </c>
    </row>
    <row r="19" spans="1:21" ht="17.100000000000001" customHeight="1" x14ac:dyDescent="0.25">
      <c r="A19" s="57" t="s">
        <v>82</v>
      </c>
      <c r="B19" s="26">
        <v>2</v>
      </c>
      <c r="C19" s="26" t="s">
        <v>52</v>
      </c>
      <c r="D19" s="26">
        <f>D18+1</f>
        <v>14</v>
      </c>
      <c r="E19" s="31" t="s">
        <v>84</v>
      </c>
      <c r="F19" s="30" t="s">
        <v>83</v>
      </c>
      <c r="G19" s="23">
        <v>2.6368</v>
      </c>
      <c r="H19" s="45"/>
      <c r="I19" s="37"/>
      <c r="J19" s="44"/>
      <c r="K19" s="18">
        <f>H19-I19</f>
        <v>0</v>
      </c>
      <c r="L19" s="18">
        <f>IF(K19&gt;0,K19*3%,0)</f>
        <v>0</v>
      </c>
      <c r="M19" s="17">
        <v>0</v>
      </c>
      <c r="N19" s="43">
        <f>P$2*G19%</f>
        <v>26368</v>
      </c>
      <c r="O19" s="42">
        <v>0</v>
      </c>
      <c r="P19" s="29">
        <f>ROUND(SUM(K19:O19),0) + S19</f>
        <v>26368.14</v>
      </c>
      <c r="Q19" s="28">
        <f>ROUND(P19*6% + P19,0) + S19</f>
        <v>27950.14</v>
      </c>
      <c r="R19" s="27">
        <f>ROUND(P19*3%,0) + P19</f>
        <v>27159.14</v>
      </c>
      <c r="S19" s="11">
        <f>S18+0.01</f>
        <v>0.13999999999999999</v>
      </c>
    </row>
    <row r="20" spans="1:21" ht="17.100000000000001" customHeight="1" x14ac:dyDescent="0.25">
      <c r="A20" s="57" t="s">
        <v>82</v>
      </c>
      <c r="B20" s="26">
        <v>3</v>
      </c>
      <c r="C20" s="26" t="s">
        <v>54</v>
      </c>
      <c r="D20" s="26">
        <f>D19+1</f>
        <v>15</v>
      </c>
      <c r="E20" s="31" t="s">
        <v>81</v>
      </c>
      <c r="F20" s="30"/>
      <c r="G20" s="23">
        <v>2.3536999999999999</v>
      </c>
      <c r="H20" s="45"/>
      <c r="I20" s="37"/>
      <c r="J20" s="44"/>
      <c r="K20" s="18">
        <f>H20-I20</f>
        <v>0</v>
      </c>
      <c r="L20" s="18">
        <f>IF(K20&gt;0,K20*3%,0)</f>
        <v>0</v>
      </c>
      <c r="M20" s="17">
        <v>0</v>
      </c>
      <c r="N20" s="43">
        <f>P$2*G20%</f>
        <v>23537</v>
      </c>
      <c r="O20" s="42">
        <v>0</v>
      </c>
      <c r="P20" s="29">
        <f>ROUND(SUM(K20:O20),0) + S20</f>
        <v>23537.15</v>
      </c>
      <c r="Q20" s="28">
        <f>ROUND(P20*6% + P20,0) + S20</f>
        <v>24949.15</v>
      </c>
      <c r="R20" s="27">
        <f>ROUND(P20*3%,0) + P20</f>
        <v>24243.15</v>
      </c>
      <c r="S20" s="11">
        <f>S19+0.01</f>
        <v>0.15</v>
      </c>
    </row>
    <row r="21" spans="1:21" ht="17.100000000000001" customHeight="1" x14ac:dyDescent="0.25">
      <c r="A21" s="57" t="s">
        <v>79</v>
      </c>
      <c r="B21" s="26">
        <v>3</v>
      </c>
      <c r="C21" s="26" t="s">
        <v>52</v>
      </c>
      <c r="D21" s="26">
        <f>D20+1</f>
        <v>16</v>
      </c>
      <c r="E21" s="31" t="s">
        <v>80</v>
      </c>
      <c r="F21" s="26"/>
      <c r="G21" s="23">
        <v>2.6476999999999999</v>
      </c>
      <c r="H21" s="45"/>
      <c r="I21" s="37"/>
      <c r="J21" s="44"/>
      <c r="K21" s="18">
        <f>H21-I21</f>
        <v>0</v>
      </c>
      <c r="L21" s="18">
        <f>IF(K21&gt;0,K21*3%,0)</f>
        <v>0</v>
      </c>
      <c r="M21" s="17">
        <v>0</v>
      </c>
      <c r="N21" s="43">
        <f>P$2*G21%</f>
        <v>26477</v>
      </c>
      <c r="O21" s="42">
        <v>0</v>
      </c>
      <c r="P21" s="29">
        <f>ROUND(SUM(K21:O21),0) + S21</f>
        <v>26477.16</v>
      </c>
      <c r="Q21" s="28">
        <f>ROUND(P21*6% + P21,0) + S21</f>
        <v>28066.16</v>
      </c>
      <c r="R21" s="27">
        <f>ROUND(P21*3%,0) + P21</f>
        <v>27271.16</v>
      </c>
      <c r="S21" s="11">
        <f>S20+0.01</f>
        <v>0.16</v>
      </c>
      <c r="U21" s="59"/>
    </row>
    <row r="22" spans="1:21" ht="17.100000000000001" customHeight="1" x14ac:dyDescent="0.25">
      <c r="A22" s="57" t="s">
        <v>79</v>
      </c>
      <c r="B22" s="26">
        <v>4</v>
      </c>
      <c r="C22" s="26" t="s">
        <v>54</v>
      </c>
      <c r="D22" s="26">
        <f>D21+1</f>
        <v>17</v>
      </c>
      <c r="E22" s="31" t="s">
        <v>78</v>
      </c>
      <c r="F22" s="30"/>
      <c r="G22" s="23">
        <v>2.3235000000000001</v>
      </c>
      <c r="H22" s="51"/>
      <c r="I22" s="37"/>
      <c r="J22" s="44"/>
      <c r="K22" s="18">
        <f>H22-I22</f>
        <v>0</v>
      </c>
      <c r="L22" s="18">
        <f>IF(K22&gt;0,K22*3%,0)</f>
        <v>0</v>
      </c>
      <c r="M22" s="17">
        <v>0</v>
      </c>
      <c r="N22" s="43">
        <f>P$2*G22%</f>
        <v>23235.000000000004</v>
      </c>
      <c r="O22" s="42">
        <v>0</v>
      </c>
      <c r="P22" s="29">
        <f>ROUND(SUM(K22:O22),0) + S22</f>
        <v>23235.17</v>
      </c>
      <c r="Q22" s="28">
        <f>ROUND(P22*6% + P22,0) + S22</f>
        <v>24629.17</v>
      </c>
      <c r="R22" s="27">
        <f>ROUND(P22*3%,0) + P22</f>
        <v>23932.17</v>
      </c>
      <c r="S22" s="11">
        <f>S21+0.01</f>
        <v>0.17</v>
      </c>
    </row>
    <row r="23" spans="1:21" ht="17.100000000000001" customHeight="1" x14ac:dyDescent="0.25">
      <c r="A23" s="57" t="s">
        <v>76</v>
      </c>
      <c r="B23" s="26">
        <v>4</v>
      </c>
      <c r="C23" s="26" t="s">
        <v>52</v>
      </c>
      <c r="D23" s="26">
        <f>D22+1</f>
        <v>18</v>
      </c>
      <c r="E23" s="31" t="s">
        <v>77</v>
      </c>
      <c r="F23" s="26"/>
      <c r="G23" s="23">
        <v>2.6880000000000002</v>
      </c>
      <c r="H23" s="45"/>
      <c r="I23" s="37"/>
      <c r="J23" s="44"/>
      <c r="K23" s="18">
        <f>H23-I23</f>
        <v>0</v>
      </c>
      <c r="L23" s="18">
        <f>IF(K23&gt;0,K23*3%,0)</f>
        <v>0</v>
      </c>
      <c r="M23" s="17">
        <v>0</v>
      </c>
      <c r="N23" s="43">
        <f>P$2*G23%</f>
        <v>26880</v>
      </c>
      <c r="O23" s="42">
        <v>0</v>
      </c>
      <c r="P23" s="29">
        <f>ROUND(SUM(K23:O23),0) + S23</f>
        <v>26880.18</v>
      </c>
      <c r="Q23" s="28">
        <f>ROUND(P23*6% + P23,0) + S23</f>
        <v>28493.18</v>
      </c>
      <c r="R23" s="27">
        <f>ROUND(P23*3%,0) + P23</f>
        <v>27686.18</v>
      </c>
      <c r="S23" s="11">
        <f>S22+0.01</f>
        <v>0.18000000000000002</v>
      </c>
    </row>
    <row r="24" spans="1:21" ht="17.100000000000001" customHeight="1" x14ac:dyDescent="0.25">
      <c r="A24" s="57" t="s">
        <v>76</v>
      </c>
      <c r="B24" s="26">
        <v>5</v>
      </c>
      <c r="C24" s="26" t="s">
        <v>54</v>
      </c>
      <c r="D24" s="26">
        <f>D23+1</f>
        <v>19</v>
      </c>
      <c r="E24" s="31" t="s">
        <v>75</v>
      </c>
      <c r="F24" s="30"/>
      <c r="G24" s="23">
        <v>2.36</v>
      </c>
      <c r="H24" s="45"/>
      <c r="I24" s="37"/>
      <c r="J24" s="44"/>
      <c r="K24" s="18">
        <f>H24-I24</f>
        <v>0</v>
      </c>
      <c r="L24" s="18">
        <f>IF(K24&gt;0,K24*3%,0)</f>
        <v>0</v>
      </c>
      <c r="M24" s="17">
        <v>0</v>
      </c>
      <c r="N24" s="43">
        <f>P$2*G24%</f>
        <v>23600</v>
      </c>
      <c r="O24" s="42">
        <v>0</v>
      </c>
      <c r="P24" s="29">
        <f>ROUND(SUM(K24:O24),0) + S24</f>
        <v>23600.19</v>
      </c>
      <c r="Q24" s="28">
        <f>ROUND(P24*6% + P24,0) + S24</f>
        <v>25016.19</v>
      </c>
      <c r="R24" s="27">
        <f>ROUND(P24*3%,0) + P24</f>
        <v>24308.19</v>
      </c>
      <c r="S24" s="11">
        <f>S23+0.01</f>
        <v>0.19000000000000003</v>
      </c>
    </row>
    <row r="25" spans="1:21" ht="17.100000000000001" customHeight="1" x14ac:dyDescent="0.25">
      <c r="A25" s="57" t="s">
        <v>74</v>
      </c>
      <c r="B25" s="26">
        <v>5</v>
      </c>
      <c r="C25" s="26" t="s">
        <v>52</v>
      </c>
      <c r="D25" s="26">
        <f>D24+1</f>
        <v>20</v>
      </c>
      <c r="E25" s="31" t="s">
        <v>73</v>
      </c>
      <c r="F25" s="26"/>
      <c r="G25" s="23">
        <v>2.7183000000000002</v>
      </c>
      <c r="H25" s="45"/>
      <c r="I25" s="37"/>
      <c r="J25" s="44"/>
      <c r="K25" s="58">
        <f>H25-I25</f>
        <v>0</v>
      </c>
      <c r="L25" s="18">
        <f>IF(K25&gt;0,K25*3%,0)</f>
        <v>0</v>
      </c>
      <c r="M25" s="17">
        <v>0</v>
      </c>
      <c r="N25" s="43">
        <f>P$2*G25%</f>
        <v>27183.000000000004</v>
      </c>
      <c r="O25" s="42">
        <v>0</v>
      </c>
      <c r="P25" s="29">
        <f>ROUND(SUM(K25:O25),0) + S25</f>
        <v>27183.200000000001</v>
      </c>
      <c r="Q25" s="28">
        <f>ROUND(P25*6% + P25,0) + S25</f>
        <v>28814.2</v>
      </c>
      <c r="R25" s="27">
        <f>ROUND(P25*3%,0) + P25</f>
        <v>27998.2</v>
      </c>
      <c r="S25" s="11">
        <f>S24+0.01</f>
        <v>0.20000000000000004</v>
      </c>
    </row>
    <row r="26" spans="1:21" ht="17.100000000000001" customHeight="1" x14ac:dyDescent="0.25">
      <c r="A26" s="57" t="s">
        <v>72</v>
      </c>
      <c r="B26" s="26">
        <v>6</v>
      </c>
      <c r="C26" s="26" t="s">
        <v>54</v>
      </c>
      <c r="D26" s="26">
        <f>D25+1</f>
        <v>21</v>
      </c>
      <c r="E26" s="31" t="s">
        <v>71</v>
      </c>
      <c r="F26" s="30"/>
      <c r="G26" s="23">
        <v>2.3033000000000001</v>
      </c>
      <c r="H26" s="45"/>
      <c r="I26" s="37"/>
      <c r="J26" s="44"/>
      <c r="K26" s="18">
        <f>H26-I26</f>
        <v>0</v>
      </c>
      <c r="L26" s="18">
        <f>IF(K26&gt;0,K26*3%,0)</f>
        <v>0</v>
      </c>
      <c r="M26" s="17">
        <v>0</v>
      </c>
      <c r="N26" s="43">
        <f>P$2*G26%</f>
        <v>23033</v>
      </c>
      <c r="O26" s="42">
        <v>0</v>
      </c>
      <c r="P26" s="29">
        <f>ROUND(SUM(K26:O26),0) + S26</f>
        <v>23033.21</v>
      </c>
      <c r="Q26" s="28">
        <f>ROUND(P26*6% + P26,0) + S26</f>
        <v>24415.21</v>
      </c>
      <c r="R26" s="27">
        <f>ROUND(P26*3%,0) + P26</f>
        <v>23724.21</v>
      </c>
      <c r="S26" s="11">
        <f>S25+0.01</f>
        <v>0.21000000000000005</v>
      </c>
    </row>
    <row r="27" spans="1:21" ht="17.100000000000001" customHeight="1" x14ac:dyDescent="0.25">
      <c r="A27" s="57" t="s">
        <v>70</v>
      </c>
      <c r="B27" s="26">
        <v>6</v>
      </c>
      <c r="C27" s="26" t="s">
        <v>52</v>
      </c>
      <c r="D27" s="26">
        <f>D26+1</f>
        <v>22</v>
      </c>
      <c r="E27" s="31" t="s">
        <v>69</v>
      </c>
      <c r="F27" s="30" t="s">
        <v>68</v>
      </c>
      <c r="G27" s="23">
        <v>2.6360000000000001</v>
      </c>
      <c r="H27" s="45"/>
      <c r="I27" s="37"/>
      <c r="J27" s="44"/>
      <c r="K27" s="18">
        <f>H27-I27</f>
        <v>0</v>
      </c>
      <c r="L27" s="18">
        <f>IF(K27&gt;0,K27*3%,0)</f>
        <v>0</v>
      </c>
      <c r="M27" s="17">
        <v>0</v>
      </c>
      <c r="N27" s="43">
        <f>P$2*G27%</f>
        <v>26360</v>
      </c>
      <c r="O27" s="42">
        <v>0</v>
      </c>
      <c r="P27" s="29">
        <f>ROUND(SUM(K27:O27),0) + S27</f>
        <v>26360.22</v>
      </c>
      <c r="Q27" s="28">
        <f>ROUND(P27*6% + P27,0) + S27</f>
        <v>27942.22</v>
      </c>
      <c r="R27" s="27">
        <f>ROUND(P27*3%,0) + P27</f>
        <v>27151.22</v>
      </c>
      <c r="S27" s="11">
        <f>S26+0.01</f>
        <v>0.22000000000000006</v>
      </c>
    </row>
    <row r="28" spans="1:21" ht="17.100000000000001" customHeight="1" x14ac:dyDescent="0.25">
      <c r="A28" s="57" t="s">
        <v>67</v>
      </c>
      <c r="B28" s="26">
        <v>7</v>
      </c>
      <c r="C28" s="26" t="s">
        <v>54</v>
      </c>
      <c r="D28" s="26">
        <f>D27+1</f>
        <v>23</v>
      </c>
      <c r="E28" s="31" t="s">
        <v>66</v>
      </c>
      <c r="F28" s="30"/>
      <c r="G28" s="23">
        <v>2.3033000000000001</v>
      </c>
      <c r="H28" s="45"/>
      <c r="I28" s="37"/>
      <c r="J28" s="44"/>
      <c r="K28" s="18">
        <f>H28-I28</f>
        <v>0</v>
      </c>
      <c r="L28" s="18">
        <f>IF(K28&gt;0,K28*3%,0)</f>
        <v>0</v>
      </c>
      <c r="M28" s="17">
        <v>0</v>
      </c>
      <c r="N28" s="43">
        <f>P$2*G28%</f>
        <v>23033</v>
      </c>
      <c r="O28" s="42">
        <v>0</v>
      </c>
      <c r="P28" s="29">
        <f>ROUND(SUM(K28:O28),0) + S28</f>
        <v>23033.23</v>
      </c>
      <c r="Q28" s="28">
        <f>ROUND(P28*6% + P28,0) + S28</f>
        <v>24415.23</v>
      </c>
      <c r="R28" s="27">
        <f>ROUND(P28*3%,0) + P28</f>
        <v>23724.23</v>
      </c>
      <c r="S28" s="11">
        <f>S27+0.01</f>
        <v>0.23000000000000007</v>
      </c>
    </row>
    <row r="29" spans="1:21" ht="17.100000000000001" customHeight="1" x14ac:dyDescent="0.25">
      <c r="A29" s="52" t="s">
        <v>48</v>
      </c>
      <c r="B29" s="26">
        <v>7</v>
      </c>
      <c r="C29" s="26" t="s">
        <v>52</v>
      </c>
      <c r="D29" s="26">
        <f>D28+1</f>
        <v>24</v>
      </c>
      <c r="E29" s="31" t="s">
        <v>65</v>
      </c>
      <c r="F29" s="30"/>
      <c r="G29" s="23">
        <v>2.6158999999999999</v>
      </c>
      <c r="H29" s="45"/>
      <c r="I29" s="37"/>
      <c r="J29" s="44"/>
      <c r="K29" s="18">
        <f>H29-I29</f>
        <v>0</v>
      </c>
      <c r="L29" s="18">
        <f>IF(K29&gt;0,K29*3%,0)</f>
        <v>0</v>
      </c>
      <c r="M29" s="17">
        <v>0</v>
      </c>
      <c r="N29" s="43">
        <f>P$2*G29%</f>
        <v>26159</v>
      </c>
      <c r="O29" s="42">
        <v>0</v>
      </c>
      <c r="P29" s="29">
        <f>ROUND(SUM(K29:O29),0) + S29</f>
        <v>26159.24</v>
      </c>
      <c r="Q29" s="28">
        <f>ROUND(P29*6% + P29,0) + S29</f>
        <v>27729.24</v>
      </c>
      <c r="R29" s="27">
        <f>ROUND(P29*3%,0) + P29</f>
        <v>26944.240000000002</v>
      </c>
      <c r="S29" s="11">
        <f>S28+0.01</f>
        <v>0.24000000000000007</v>
      </c>
    </row>
    <row r="30" spans="1:21" ht="17.100000000000001" customHeight="1" x14ac:dyDescent="0.25">
      <c r="A30" s="52" t="s">
        <v>48</v>
      </c>
      <c r="B30" s="26">
        <v>8</v>
      </c>
      <c r="C30" s="26" t="s">
        <v>54</v>
      </c>
      <c r="D30" s="26">
        <f>D29+1</f>
        <v>25</v>
      </c>
      <c r="E30" s="31" t="s">
        <v>64</v>
      </c>
      <c r="F30" s="26"/>
      <c r="G30" s="23">
        <v>2.3536999999999999</v>
      </c>
      <c r="H30" s="45"/>
      <c r="I30" s="37"/>
      <c r="J30" s="44"/>
      <c r="K30" s="18">
        <f>H30-I30</f>
        <v>0</v>
      </c>
      <c r="L30" s="18">
        <f>IF(K30&gt;0,K30*3%,0)</f>
        <v>0</v>
      </c>
      <c r="M30" s="17">
        <v>0</v>
      </c>
      <c r="N30" s="43">
        <f>P$2*G30%</f>
        <v>23537</v>
      </c>
      <c r="O30" s="42">
        <v>0</v>
      </c>
      <c r="P30" s="29">
        <f>ROUND(SUM(K30:O30),0) + S30</f>
        <v>23537.25</v>
      </c>
      <c r="Q30" s="28">
        <f>ROUND(P30*6% + P30,0) + S30</f>
        <v>24949.25</v>
      </c>
      <c r="R30" s="27">
        <f>ROUND(P30*3%,0) + P30</f>
        <v>24243.25</v>
      </c>
      <c r="S30" s="11">
        <f>S29+0.01</f>
        <v>0.25000000000000006</v>
      </c>
    </row>
    <row r="31" spans="1:21" ht="17.100000000000001" customHeight="1" x14ac:dyDescent="0.25">
      <c r="A31" s="52" t="s">
        <v>48</v>
      </c>
      <c r="B31" s="26">
        <v>8</v>
      </c>
      <c r="C31" s="26" t="s">
        <v>52</v>
      </c>
      <c r="D31" s="26">
        <f>D30+1</f>
        <v>26</v>
      </c>
      <c r="E31" s="31" t="s">
        <v>63</v>
      </c>
      <c r="F31" s="26" t="s">
        <v>62</v>
      </c>
      <c r="G31" s="23">
        <v>2.6469</v>
      </c>
      <c r="H31" s="45"/>
      <c r="I31" s="37"/>
      <c r="J31" s="44"/>
      <c r="K31" s="18">
        <f>H31-I31</f>
        <v>0</v>
      </c>
      <c r="L31" s="18">
        <f>IF(K31&gt;0,K31*3%,0)</f>
        <v>0</v>
      </c>
      <c r="M31" s="17">
        <v>0</v>
      </c>
      <c r="N31" s="43">
        <f>P$2*G31%</f>
        <v>26469</v>
      </c>
      <c r="O31" s="42">
        <v>0</v>
      </c>
      <c r="P31" s="29">
        <f>ROUND(SUM(K31:O31),0) + S31</f>
        <v>26469.26</v>
      </c>
      <c r="Q31" s="28">
        <f>ROUND(P31*6% + P31,0) + S31</f>
        <v>28057.26</v>
      </c>
      <c r="R31" s="27">
        <f>ROUND(P31*3%,0) + P31</f>
        <v>27263.26</v>
      </c>
      <c r="S31" s="11">
        <f>S30+0.01</f>
        <v>0.26000000000000006</v>
      </c>
    </row>
    <row r="32" spans="1:21" ht="17.100000000000001" customHeight="1" x14ac:dyDescent="0.25">
      <c r="A32" s="52" t="s">
        <v>48</v>
      </c>
      <c r="B32" s="26">
        <v>9</v>
      </c>
      <c r="C32" s="26" t="s">
        <v>54</v>
      </c>
      <c r="D32" s="26">
        <f>D31+1</f>
        <v>27</v>
      </c>
      <c r="E32" s="31" t="s">
        <v>43</v>
      </c>
      <c r="F32" s="30"/>
      <c r="G32" s="23">
        <v>2.3536999999999999</v>
      </c>
      <c r="H32" s="45"/>
      <c r="I32" s="37"/>
      <c r="J32" s="44"/>
      <c r="K32" s="18">
        <f>H32-I32</f>
        <v>0</v>
      </c>
      <c r="L32" s="18">
        <f>IF(K32&gt;0,K32*3%,0)</f>
        <v>0</v>
      </c>
      <c r="M32" s="17">
        <v>0</v>
      </c>
      <c r="N32" s="43">
        <f>P$2*G32%</f>
        <v>23537</v>
      </c>
      <c r="O32" s="42">
        <v>0</v>
      </c>
      <c r="P32" s="29">
        <f>ROUND(SUM(K32:O32),0) + S32</f>
        <v>23537.27</v>
      </c>
      <c r="Q32" s="28">
        <f>ROUND(P32*6% + P32,0) + S32</f>
        <v>24950.27</v>
      </c>
      <c r="R32" s="27">
        <f>ROUND(P32*3%,0) + P32</f>
        <v>24243.27</v>
      </c>
      <c r="S32" s="11">
        <f>S31+0.01</f>
        <v>0.27000000000000007</v>
      </c>
    </row>
    <row r="33" spans="1:19" ht="17.100000000000001" customHeight="1" x14ac:dyDescent="0.25">
      <c r="A33" s="52" t="s">
        <v>48</v>
      </c>
      <c r="B33" s="26">
        <v>9</v>
      </c>
      <c r="C33" s="26" t="s">
        <v>52</v>
      </c>
      <c r="D33" s="26">
        <f>D32+1</f>
        <v>28</v>
      </c>
      <c r="E33" s="31" t="s">
        <v>61</v>
      </c>
      <c r="F33" s="26"/>
      <c r="G33" s="23">
        <v>2.6663000000000001</v>
      </c>
      <c r="H33" s="45"/>
      <c r="I33" s="37"/>
      <c r="J33" s="44"/>
      <c r="K33" s="18">
        <f>H33-I33</f>
        <v>0</v>
      </c>
      <c r="L33" s="18">
        <f>IF(K33&gt;0,K33*3%,0)</f>
        <v>0</v>
      </c>
      <c r="M33" s="17">
        <v>0</v>
      </c>
      <c r="N33" s="43">
        <f>P$2*G33%</f>
        <v>26663.000000000004</v>
      </c>
      <c r="O33" s="56">
        <v>0</v>
      </c>
      <c r="P33" s="29">
        <f>ROUND(SUM(K33:O33),0) + S33</f>
        <v>26663.279999999999</v>
      </c>
      <c r="Q33" s="28">
        <f>ROUND(P33*6% + P33,0) + S33</f>
        <v>28263.279999999999</v>
      </c>
      <c r="R33" s="27">
        <f>ROUND(P33*3%,0) + P33</f>
        <v>27463.279999999999</v>
      </c>
      <c r="S33" s="11">
        <f>S32+0.01</f>
        <v>0.28000000000000008</v>
      </c>
    </row>
    <row r="34" spans="1:19" ht="17.100000000000001" customHeight="1" x14ac:dyDescent="0.25">
      <c r="A34" s="52" t="s">
        <v>48</v>
      </c>
      <c r="B34" s="26">
        <v>10</v>
      </c>
      <c r="C34" s="26" t="s">
        <v>54</v>
      </c>
      <c r="D34" s="26">
        <f>D33+1</f>
        <v>29</v>
      </c>
      <c r="E34" s="31" t="s">
        <v>60</v>
      </c>
      <c r="F34" s="26" t="s">
        <v>59</v>
      </c>
      <c r="G34" s="23">
        <v>2.4476</v>
      </c>
      <c r="H34" s="45"/>
      <c r="I34" s="37"/>
      <c r="J34" s="44"/>
      <c r="K34" s="18">
        <f>H34-I34</f>
        <v>0</v>
      </c>
      <c r="L34" s="18">
        <f>IF(K34&gt;0,K34*3%,0)</f>
        <v>0</v>
      </c>
      <c r="M34" s="17">
        <v>0</v>
      </c>
      <c r="N34" s="43">
        <f>P$2*G34%</f>
        <v>24476</v>
      </c>
      <c r="O34" s="42">
        <v>0</v>
      </c>
      <c r="P34" s="29">
        <f>ROUND(SUM(K34:O34),0) + S34</f>
        <v>24476.29</v>
      </c>
      <c r="Q34" s="28">
        <f>ROUND(P34*6% + P34,0) + S34</f>
        <v>25945.29</v>
      </c>
      <c r="R34" s="27">
        <f>ROUND(P34*3%,0) + P34</f>
        <v>25210.29</v>
      </c>
      <c r="S34" s="11">
        <f>S33+0.01</f>
        <v>0.29000000000000009</v>
      </c>
    </row>
    <row r="35" spans="1:19" ht="17.100000000000001" customHeight="1" x14ac:dyDescent="0.25">
      <c r="A35" s="52" t="s">
        <v>48</v>
      </c>
      <c r="B35" s="26">
        <v>10</v>
      </c>
      <c r="C35" s="26" t="s">
        <v>52</v>
      </c>
      <c r="D35" s="26">
        <f>D34+1</f>
        <v>30</v>
      </c>
      <c r="E35" s="31" t="s">
        <v>58</v>
      </c>
      <c r="F35" s="30"/>
      <c r="G35" s="23">
        <v>2.7183000000000002</v>
      </c>
      <c r="H35" s="45"/>
      <c r="I35" s="37"/>
      <c r="J35" s="44"/>
      <c r="K35" s="18">
        <f>H35-I35</f>
        <v>0</v>
      </c>
      <c r="L35" s="18">
        <f>IF(K35&gt;0,K35*3%,0)</f>
        <v>0</v>
      </c>
      <c r="M35" s="17">
        <v>0</v>
      </c>
      <c r="N35" s="43">
        <f>P$2*G35%</f>
        <v>27183.000000000004</v>
      </c>
      <c r="O35" s="42">
        <v>0</v>
      </c>
      <c r="P35" s="29">
        <f>ROUND(SUM(K35:O35),0) + S35</f>
        <v>27183.3</v>
      </c>
      <c r="Q35" s="28">
        <f>ROUND(P35*6% + P35,0) + S35</f>
        <v>28814.3</v>
      </c>
      <c r="R35" s="27">
        <f>ROUND(P35*3%,0) + P35</f>
        <v>27998.3</v>
      </c>
      <c r="S35" s="11">
        <f>S34+0.01</f>
        <v>0.3000000000000001</v>
      </c>
    </row>
    <row r="36" spans="1:19" x14ac:dyDescent="0.25">
      <c r="A36" s="52" t="s">
        <v>48</v>
      </c>
      <c r="B36" s="26">
        <v>11</v>
      </c>
      <c r="C36" s="26" t="s">
        <v>54</v>
      </c>
      <c r="D36" s="26">
        <f>D35+1</f>
        <v>31</v>
      </c>
      <c r="E36" s="31" t="s">
        <v>57</v>
      </c>
      <c r="F36" s="26" t="s">
        <v>56</v>
      </c>
      <c r="G36" s="23">
        <v>2.3026</v>
      </c>
      <c r="H36" s="51"/>
      <c r="I36" s="37"/>
      <c r="J36" s="55"/>
      <c r="K36" s="54">
        <f>H36-I36</f>
        <v>0</v>
      </c>
      <c r="L36" s="18">
        <f>IF(K36&gt;0,K36*3%,0)</f>
        <v>0</v>
      </c>
      <c r="M36" s="17">
        <v>0</v>
      </c>
      <c r="N36" s="43">
        <f>P$2*G36%</f>
        <v>23026</v>
      </c>
      <c r="O36" s="53">
        <v>0</v>
      </c>
      <c r="P36" s="29">
        <f>ROUND(SUM(K36:O36),0) + S36</f>
        <v>23026.31</v>
      </c>
      <c r="Q36" s="28">
        <f>ROUND(P36*6% + P36,0) + S36</f>
        <v>24408.31</v>
      </c>
      <c r="R36" s="27">
        <f>ROUND(P36*3%,0) + P36</f>
        <v>23717.31</v>
      </c>
      <c r="S36" s="11">
        <f>S35+0.01</f>
        <v>0.31000000000000011</v>
      </c>
    </row>
    <row r="37" spans="1:19" ht="17.100000000000001" customHeight="1" x14ac:dyDescent="0.25">
      <c r="A37" s="52" t="s">
        <v>48</v>
      </c>
      <c r="B37" s="26">
        <v>11</v>
      </c>
      <c r="C37" s="26" t="s">
        <v>52</v>
      </c>
      <c r="D37" s="26">
        <f>D36+1</f>
        <v>32</v>
      </c>
      <c r="E37" s="31" t="s">
        <v>55</v>
      </c>
      <c r="F37" s="30"/>
      <c r="G37" s="23">
        <v>2.6562000000000001</v>
      </c>
      <c r="H37" s="45"/>
      <c r="I37" s="37"/>
      <c r="J37" s="44"/>
      <c r="K37" s="18">
        <f>H37-I37</f>
        <v>0</v>
      </c>
      <c r="L37" s="18">
        <f>IF(K37&gt;0,K37*3%,0)</f>
        <v>0</v>
      </c>
      <c r="M37" s="17">
        <v>0</v>
      </c>
      <c r="N37" s="43">
        <f>P$2*G37%</f>
        <v>26562.000000000004</v>
      </c>
      <c r="O37" s="42">
        <v>0</v>
      </c>
      <c r="P37" s="29">
        <f>ROUND(SUM(K37:O37),0) + S37</f>
        <v>26562.32</v>
      </c>
      <c r="Q37" s="28">
        <f>ROUND(P37*6% + P37,0) + S37</f>
        <v>28156.32</v>
      </c>
      <c r="R37" s="27">
        <f>ROUND(P37*3%,0) + P37</f>
        <v>27359.32</v>
      </c>
      <c r="S37" s="11">
        <f>S36+0.01</f>
        <v>0.32000000000000012</v>
      </c>
    </row>
    <row r="38" spans="1:19" ht="17.100000000000001" customHeight="1" x14ac:dyDescent="0.25">
      <c r="A38" s="52" t="s">
        <v>48</v>
      </c>
      <c r="B38" s="26">
        <v>12</v>
      </c>
      <c r="C38" s="26" t="s">
        <v>54</v>
      </c>
      <c r="D38" s="26">
        <f>D37+1</f>
        <v>33</v>
      </c>
      <c r="E38" s="31" t="s">
        <v>53</v>
      </c>
      <c r="F38" s="30"/>
      <c r="G38" s="23">
        <v>2.3342999999999998</v>
      </c>
      <c r="H38" s="45"/>
      <c r="I38" s="37"/>
      <c r="J38" s="44"/>
      <c r="K38" s="18">
        <f>H38-I38</f>
        <v>0</v>
      </c>
      <c r="L38" s="18">
        <f>IF(K38&gt;0,K38*3%,0)</f>
        <v>0</v>
      </c>
      <c r="M38" s="17">
        <v>0</v>
      </c>
      <c r="N38" s="43">
        <f>P$2*G38%</f>
        <v>23343</v>
      </c>
      <c r="O38" s="42">
        <v>0</v>
      </c>
      <c r="P38" s="29">
        <f>ROUND(SUM(K38:O38),0) + S38</f>
        <v>23343.33</v>
      </c>
      <c r="Q38" s="28">
        <f>ROUND(P38*6% + P38,0) + S38</f>
        <v>24744.33</v>
      </c>
      <c r="R38" s="27">
        <f>ROUND(P38*3%,0) + P38</f>
        <v>24043.33</v>
      </c>
      <c r="S38" s="11">
        <f>S37+0.01</f>
        <v>0.33000000000000013</v>
      </c>
    </row>
    <row r="39" spans="1:19" ht="17.100000000000001" customHeight="1" x14ac:dyDescent="0.25">
      <c r="A39" s="52" t="s">
        <v>48</v>
      </c>
      <c r="B39" s="26">
        <v>12</v>
      </c>
      <c r="C39" s="26" t="s">
        <v>52</v>
      </c>
      <c r="D39" s="26">
        <f>D38+1</f>
        <v>34</v>
      </c>
      <c r="E39" s="31" t="s">
        <v>51</v>
      </c>
      <c r="F39" s="26"/>
      <c r="G39" s="23">
        <v>2.6259000000000001</v>
      </c>
      <c r="H39" s="45"/>
      <c r="I39" s="37"/>
      <c r="J39" s="44"/>
      <c r="K39" s="18">
        <f>H39-I39</f>
        <v>0</v>
      </c>
      <c r="L39" s="18">
        <f>IF(K39&gt;0,K39*3%,0)</f>
        <v>0</v>
      </c>
      <c r="M39" s="17">
        <v>0</v>
      </c>
      <c r="N39" s="43">
        <f>P$2*G39%</f>
        <v>26259</v>
      </c>
      <c r="O39" s="42">
        <v>0</v>
      </c>
      <c r="P39" s="29">
        <f>ROUND(SUM(K39:O39),0) + S39</f>
        <v>26259.34</v>
      </c>
      <c r="Q39" s="28">
        <f>ROUND(P39*6% + P39,0) + S39</f>
        <v>27835.34</v>
      </c>
      <c r="R39" s="27">
        <f>ROUND(P39*3%,0) + P39</f>
        <v>27047.34</v>
      </c>
      <c r="S39" s="11">
        <f>S38+0.01</f>
        <v>0.34000000000000014</v>
      </c>
    </row>
    <row r="40" spans="1:19" ht="17.100000000000001" customHeight="1" x14ac:dyDescent="0.25">
      <c r="A40" s="52" t="s">
        <v>48</v>
      </c>
      <c r="B40" s="26">
        <v>1</v>
      </c>
      <c r="C40" s="26" t="s">
        <v>5</v>
      </c>
      <c r="D40" s="26">
        <f>D39+1</f>
        <v>35</v>
      </c>
      <c r="E40" s="31" t="s">
        <v>50</v>
      </c>
      <c r="F40" s="30" t="s">
        <v>49</v>
      </c>
      <c r="G40" s="23">
        <v>1.0069999999999999</v>
      </c>
      <c r="H40" s="45"/>
      <c r="I40" s="37"/>
      <c r="J40" s="44"/>
      <c r="K40" s="18">
        <f>H40-I40</f>
        <v>0</v>
      </c>
      <c r="L40" s="18">
        <f>IF(K40&gt;0,K40*3%,0)</f>
        <v>0</v>
      </c>
      <c r="M40" s="17">
        <v>0</v>
      </c>
      <c r="N40" s="43">
        <f>P$2*G40%</f>
        <v>10070</v>
      </c>
      <c r="O40" s="42">
        <v>0</v>
      </c>
      <c r="P40" s="29">
        <f>ROUND(SUM(K40:O40),0) + S40</f>
        <v>10070.35</v>
      </c>
      <c r="Q40" s="28">
        <f>ROUND(P40*6% + P40,0) + S40</f>
        <v>10675.35</v>
      </c>
      <c r="R40" s="27">
        <f>ROUND(P40*3%,0) + P40</f>
        <v>10372.35</v>
      </c>
      <c r="S40" s="11">
        <f>S39+0.01</f>
        <v>0.35000000000000014</v>
      </c>
    </row>
    <row r="41" spans="1:19" ht="17.100000000000001" customHeight="1" x14ac:dyDescent="0.25">
      <c r="A41" s="52" t="s">
        <v>48</v>
      </c>
      <c r="B41" s="26">
        <v>1</v>
      </c>
      <c r="C41" s="26" t="s">
        <v>3</v>
      </c>
      <c r="D41" s="26">
        <f>D40+1</f>
        <v>36</v>
      </c>
      <c r="E41" s="31" t="s">
        <v>47</v>
      </c>
      <c r="F41" s="30"/>
      <c r="G41" s="23">
        <v>0.78120000000000001</v>
      </c>
      <c r="H41" s="51"/>
      <c r="I41" s="37"/>
      <c r="J41" s="44"/>
      <c r="K41" s="18">
        <f>H41-I41</f>
        <v>0</v>
      </c>
      <c r="L41" s="18">
        <f>IF(K41&gt;0,K41*3%,0)</f>
        <v>0</v>
      </c>
      <c r="M41" s="17">
        <v>0</v>
      </c>
      <c r="N41" s="43">
        <f>P$2*G41%</f>
        <v>7812</v>
      </c>
      <c r="O41" s="42">
        <v>0</v>
      </c>
      <c r="P41" s="29">
        <f>ROUND(SUM(K41:O41),0) + S41</f>
        <v>7812.36</v>
      </c>
      <c r="Q41" s="28">
        <f>ROUND(P41*6% + P41,0) + S41</f>
        <v>8281.36</v>
      </c>
      <c r="R41" s="27">
        <f>ROUND(P41*3%,0) + P41</f>
        <v>8046.36</v>
      </c>
      <c r="S41" s="11">
        <f>S40+0.01</f>
        <v>0.36000000000000015</v>
      </c>
    </row>
    <row r="42" spans="1:19" ht="17.100000000000001" customHeight="1" x14ac:dyDescent="0.25">
      <c r="A42" s="50"/>
      <c r="B42" s="47">
        <v>1</v>
      </c>
      <c r="C42" s="47" t="s">
        <v>1</v>
      </c>
      <c r="D42" s="26">
        <f>D41+1</f>
        <v>37</v>
      </c>
      <c r="E42" s="48" t="s">
        <v>47</v>
      </c>
      <c r="F42" s="49"/>
      <c r="G42" s="46">
        <v>1.2153</v>
      </c>
      <c r="H42" s="45"/>
      <c r="I42" s="37"/>
      <c r="J42" s="44"/>
      <c r="K42" s="18">
        <f>H42-I42</f>
        <v>0</v>
      </c>
      <c r="L42" s="18">
        <f>IF(K42&gt;0,K42*3%,0)</f>
        <v>0</v>
      </c>
      <c r="M42" s="17">
        <v>0</v>
      </c>
      <c r="N42" s="43">
        <f>P$2*G42%</f>
        <v>12153</v>
      </c>
      <c r="O42" s="42">
        <v>0</v>
      </c>
      <c r="P42" s="29">
        <f>ROUND(SUM(K42:O42),0) + S42</f>
        <v>12153.37</v>
      </c>
      <c r="Q42" s="28">
        <f>ROUND(P42*6% + P42,0) + S42</f>
        <v>12883.37</v>
      </c>
      <c r="R42" s="27">
        <f>ROUND(P42*3%,0) + P42</f>
        <v>12518.37</v>
      </c>
      <c r="S42" s="11">
        <f>S41+0.01</f>
        <v>0.37000000000000016</v>
      </c>
    </row>
    <row r="43" spans="1:19" ht="17.100000000000001" customHeight="1" x14ac:dyDescent="0.25">
      <c r="B43" s="26">
        <v>2</v>
      </c>
      <c r="C43" s="36" t="s">
        <v>5</v>
      </c>
      <c r="D43" s="26">
        <f>D42+1</f>
        <v>38</v>
      </c>
      <c r="E43" s="48" t="s">
        <v>46</v>
      </c>
      <c r="F43" s="47" t="s">
        <v>45</v>
      </c>
      <c r="G43" s="46">
        <v>0.95489999999999997</v>
      </c>
      <c r="H43" s="45"/>
      <c r="I43" s="37"/>
      <c r="J43" s="44"/>
      <c r="K43" s="18">
        <f>H43-I43</f>
        <v>0</v>
      </c>
      <c r="L43" s="18">
        <f>IF(K43&gt;0,K43*3%,0)</f>
        <v>0</v>
      </c>
      <c r="M43" s="17">
        <v>0</v>
      </c>
      <c r="N43" s="43">
        <f>P$2*G43%</f>
        <v>9549</v>
      </c>
      <c r="O43" s="42">
        <v>0</v>
      </c>
      <c r="P43" s="29">
        <f>ROUND(SUM(K43:O43),0) + S43</f>
        <v>9549.3799999999992</v>
      </c>
      <c r="Q43" s="28">
        <f>ROUND(P43*6% + P43,0) + S43</f>
        <v>10122.379999999999</v>
      </c>
      <c r="R43" s="27">
        <f>ROUND(P43*3%,0) + P43</f>
        <v>9835.3799999999992</v>
      </c>
      <c r="S43" s="11">
        <f>S42+0.01</f>
        <v>0.38000000000000017</v>
      </c>
    </row>
    <row r="44" spans="1:19" ht="17.100000000000001" customHeight="1" x14ac:dyDescent="0.25">
      <c r="B44" s="26">
        <v>2</v>
      </c>
      <c r="C44" s="36" t="s">
        <v>3</v>
      </c>
      <c r="D44" s="26">
        <f>D43+1</f>
        <v>39</v>
      </c>
      <c r="E44" s="48" t="s">
        <v>44</v>
      </c>
      <c r="F44" s="49"/>
      <c r="G44" s="46">
        <v>0.75519999999999998</v>
      </c>
      <c r="H44" s="45"/>
      <c r="I44" s="37"/>
      <c r="J44" s="44"/>
      <c r="K44" s="18">
        <f>H44-I44</f>
        <v>0</v>
      </c>
      <c r="L44" s="18">
        <f>IF(K44&gt;0,K44*3%,0)</f>
        <v>0</v>
      </c>
      <c r="M44" s="17">
        <v>0</v>
      </c>
      <c r="N44" s="43">
        <f>P$2*G44%</f>
        <v>7552</v>
      </c>
      <c r="O44" s="42">
        <v>0</v>
      </c>
      <c r="P44" s="29">
        <f>ROUND(SUM(K44:O44),0) + S44</f>
        <v>7552.39</v>
      </c>
      <c r="Q44" s="28">
        <f>ROUND(P44*6% + P44,0) + S44</f>
        <v>8006.39</v>
      </c>
      <c r="R44" s="27">
        <f>ROUND(P44*3%,0) + P44</f>
        <v>7779.39</v>
      </c>
      <c r="S44" s="11">
        <f>S43+0.01</f>
        <v>0.39000000000000018</v>
      </c>
    </row>
    <row r="45" spans="1:19" ht="17.100000000000001" customHeight="1" x14ac:dyDescent="0.25">
      <c r="B45" s="26">
        <v>2</v>
      </c>
      <c r="C45" s="36" t="s">
        <v>1</v>
      </c>
      <c r="D45" s="26">
        <f>D44+1</f>
        <v>40</v>
      </c>
      <c r="E45" s="48" t="s">
        <v>43</v>
      </c>
      <c r="F45" s="47" t="s">
        <v>42</v>
      </c>
      <c r="G45" s="46">
        <v>1.1545000000000001</v>
      </c>
      <c r="H45" s="45"/>
      <c r="I45" s="37"/>
      <c r="J45" s="44"/>
      <c r="K45" s="18">
        <f>H45-I45</f>
        <v>0</v>
      </c>
      <c r="L45" s="18">
        <f>IF(K45&gt;0,K45*3%,0)</f>
        <v>0</v>
      </c>
      <c r="M45" s="17">
        <v>0</v>
      </c>
      <c r="N45" s="43">
        <f>P$2*G45%</f>
        <v>11545.000000000002</v>
      </c>
      <c r="O45" s="42">
        <v>0</v>
      </c>
      <c r="P45" s="29">
        <f>ROUND(SUM(K45:O45),0) + S45</f>
        <v>11545.4</v>
      </c>
      <c r="Q45" s="28">
        <f>ROUND(P45*6% + P45,0) + S45</f>
        <v>12238.4</v>
      </c>
      <c r="R45" s="27">
        <f>ROUND(P45*3%,0) + P45</f>
        <v>11891.4</v>
      </c>
      <c r="S45" s="11">
        <f>S44+0.01</f>
        <v>0.40000000000000019</v>
      </c>
    </row>
    <row r="46" spans="1:19" ht="17.100000000000001" customHeight="1" x14ac:dyDescent="0.25">
      <c r="B46" s="26">
        <v>3</v>
      </c>
      <c r="C46" s="36" t="s">
        <v>5</v>
      </c>
      <c r="D46" s="26">
        <f>D45+1</f>
        <v>41</v>
      </c>
      <c r="E46" s="48" t="s">
        <v>41</v>
      </c>
      <c r="F46" s="47" t="s">
        <v>40</v>
      </c>
      <c r="G46" s="46">
        <v>0.95489999999999997</v>
      </c>
      <c r="H46" s="45"/>
      <c r="I46" s="37"/>
      <c r="J46" s="44"/>
      <c r="K46" s="18">
        <f>H46-I46</f>
        <v>0</v>
      </c>
      <c r="L46" s="18">
        <f>IF(K46&gt;0,K46*3%,0)</f>
        <v>0</v>
      </c>
      <c r="M46" s="17">
        <v>0</v>
      </c>
      <c r="N46" s="43">
        <f>P$2*G46%</f>
        <v>9549</v>
      </c>
      <c r="O46" s="42">
        <v>0</v>
      </c>
      <c r="P46" s="29">
        <f>ROUND(SUM(K46:O46),0) + S46</f>
        <v>9549.41</v>
      </c>
      <c r="Q46" s="28">
        <f>ROUND(P46*6% + P46,0) + S46</f>
        <v>10122.41</v>
      </c>
      <c r="R46" s="27">
        <f>ROUND(P46*3%,0) + P46</f>
        <v>9835.41</v>
      </c>
      <c r="S46" s="11">
        <f>S45+0.01</f>
        <v>0.4100000000000002</v>
      </c>
    </row>
    <row r="47" spans="1:19" ht="17.100000000000001" customHeight="1" x14ac:dyDescent="0.25">
      <c r="B47" s="26">
        <v>3</v>
      </c>
      <c r="C47" s="36" t="s">
        <v>3</v>
      </c>
      <c r="D47" s="26">
        <f>D46+1</f>
        <v>42</v>
      </c>
      <c r="E47" s="48" t="s">
        <v>9</v>
      </c>
      <c r="F47" s="49"/>
      <c r="G47" s="46">
        <v>0.75519999999999998</v>
      </c>
      <c r="H47" s="45"/>
      <c r="I47" s="37"/>
      <c r="J47" s="44"/>
      <c r="K47" s="18">
        <f>H47-I47</f>
        <v>0</v>
      </c>
      <c r="L47" s="18">
        <f>IF(K47&gt;0,K47*3%,0)</f>
        <v>0</v>
      </c>
      <c r="M47" s="17">
        <v>0</v>
      </c>
      <c r="N47" s="43">
        <f>P$2*G47%</f>
        <v>7552</v>
      </c>
      <c r="O47" s="42">
        <v>0</v>
      </c>
      <c r="P47" s="29">
        <f>ROUND(SUM(K47:O47),0) + S47</f>
        <v>7552.42</v>
      </c>
      <c r="Q47" s="28">
        <f>ROUND(P47*6% + P47,0) + S47</f>
        <v>8006.42</v>
      </c>
      <c r="R47" s="27">
        <f>ROUND(P47*3%,0) + P47</f>
        <v>7779.42</v>
      </c>
      <c r="S47" s="11">
        <f>S46+0.01</f>
        <v>0.42000000000000021</v>
      </c>
    </row>
    <row r="48" spans="1:19" ht="17.100000000000001" customHeight="1" x14ac:dyDescent="0.25">
      <c r="B48" s="26">
        <v>3</v>
      </c>
      <c r="C48" s="36" t="s">
        <v>1</v>
      </c>
      <c r="D48" s="26">
        <f>D47+1</f>
        <v>43</v>
      </c>
      <c r="E48" s="48" t="s">
        <v>39</v>
      </c>
      <c r="F48" s="49"/>
      <c r="G48" s="46">
        <v>1.1545000000000001</v>
      </c>
      <c r="H48" s="45"/>
      <c r="I48" s="37"/>
      <c r="J48" s="44"/>
      <c r="K48" s="18">
        <f>H48-I48</f>
        <v>0</v>
      </c>
      <c r="L48" s="18">
        <f>IF(K48&gt;0,K48*3%,0)</f>
        <v>0</v>
      </c>
      <c r="M48" s="17">
        <v>0</v>
      </c>
      <c r="N48" s="43">
        <f>P$2*G48%</f>
        <v>11545.000000000002</v>
      </c>
      <c r="O48" s="42">
        <v>0</v>
      </c>
      <c r="P48" s="29">
        <f>ROUND(SUM(K48:O48),0) + S48</f>
        <v>11545.43</v>
      </c>
      <c r="Q48" s="28">
        <f>ROUND(P48*6% + P48,0) + S48</f>
        <v>12238.43</v>
      </c>
      <c r="R48" s="27">
        <f>ROUND(P48*3%,0) + P48</f>
        <v>11891.43</v>
      </c>
      <c r="S48" s="11">
        <f>S47+0.01</f>
        <v>0.43000000000000022</v>
      </c>
    </row>
    <row r="49" spans="2:19" ht="17.100000000000001" customHeight="1" x14ac:dyDescent="0.25">
      <c r="B49" s="26">
        <v>4</v>
      </c>
      <c r="C49" s="36" t="s">
        <v>5</v>
      </c>
      <c r="D49" s="26">
        <f>D48+1</f>
        <v>44</v>
      </c>
      <c r="E49" s="48" t="s">
        <v>38</v>
      </c>
      <c r="F49" s="49" t="s">
        <v>37</v>
      </c>
      <c r="G49" s="46">
        <v>0.95489999999999997</v>
      </c>
      <c r="H49" s="45"/>
      <c r="I49" s="37"/>
      <c r="J49" s="44"/>
      <c r="K49" s="18">
        <f>H49-I49</f>
        <v>0</v>
      </c>
      <c r="L49" s="18">
        <f>IF(K49&gt;0,K49*3%,0)</f>
        <v>0</v>
      </c>
      <c r="M49" s="17">
        <v>0</v>
      </c>
      <c r="N49" s="43">
        <f>P$2*G49%</f>
        <v>9549</v>
      </c>
      <c r="O49" s="42">
        <v>0</v>
      </c>
      <c r="P49" s="29">
        <f>ROUND(SUM(K49:O49),0) + S49</f>
        <v>9549.44</v>
      </c>
      <c r="Q49" s="28">
        <f>ROUND(P49*6% + P49,0) + S49</f>
        <v>10122.44</v>
      </c>
      <c r="R49" s="27">
        <f>ROUND(P49*3%,0) + P49</f>
        <v>9835.44</v>
      </c>
      <c r="S49" s="11">
        <f>S48+0.01</f>
        <v>0.44000000000000022</v>
      </c>
    </row>
    <row r="50" spans="2:19" ht="17.100000000000001" customHeight="1" x14ac:dyDescent="0.25">
      <c r="B50" s="26">
        <v>4</v>
      </c>
      <c r="C50" s="36" t="s">
        <v>3</v>
      </c>
      <c r="D50" s="26">
        <f>D49+1</f>
        <v>45</v>
      </c>
      <c r="E50" s="48" t="s">
        <v>36</v>
      </c>
      <c r="F50" s="47"/>
      <c r="G50" s="46">
        <v>0.75519999999999998</v>
      </c>
      <c r="H50" s="45"/>
      <c r="I50" s="37"/>
      <c r="J50" s="44"/>
      <c r="K50" s="18">
        <f>H50-I50</f>
        <v>0</v>
      </c>
      <c r="L50" s="18">
        <f>IF(K50&gt;0,K50*3%,0)</f>
        <v>0</v>
      </c>
      <c r="M50" s="17">
        <v>0</v>
      </c>
      <c r="N50" s="43">
        <f>P$2*G50%</f>
        <v>7552</v>
      </c>
      <c r="O50" s="42">
        <v>0</v>
      </c>
      <c r="P50" s="29">
        <f>ROUND(SUM(K50:O50),0) + S50</f>
        <v>7552.45</v>
      </c>
      <c r="Q50" s="28">
        <f>ROUND(P50*6% + P50,0) + S50</f>
        <v>8006.45</v>
      </c>
      <c r="R50" s="27">
        <f>ROUND(P50*3%,0) + P50</f>
        <v>7779.45</v>
      </c>
      <c r="S50" s="11">
        <f>S49+0.01</f>
        <v>0.45000000000000023</v>
      </c>
    </row>
    <row r="51" spans="2:19" ht="17.100000000000001" customHeight="1" x14ac:dyDescent="0.25">
      <c r="B51" s="26">
        <v>4</v>
      </c>
      <c r="C51" s="36" t="s">
        <v>1</v>
      </c>
      <c r="D51" s="26">
        <f>D50+1</f>
        <v>46</v>
      </c>
      <c r="E51" s="48" t="s">
        <v>35</v>
      </c>
      <c r="F51" s="47" t="s">
        <v>34</v>
      </c>
      <c r="G51" s="46">
        <v>1.1545000000000001</v>
      </c>
      <c r="H51" s="45"/>
      <c r="I51" s="37"/>
      <c r="J51" s="44"/>
      <c r="K51" s="18">
        <f>H51-I51</f>
        <v>0</v>
      </c>
      <c r="L51" s="18">
        <f>IF(K51&gt;0,K51*3%,0)</f>
        <v>0</v>
      </c>
      <c r="M51" s="17">
        <v>0</v>
      </c>
      <c r="N51" s="43">
        <f>P$2*G51%</f>
        <v>11545.000000000002</v>
      </c>
      <c r="O51" s="42">
        <v>0</v>
      </c>
      <c r="P51" s="29">
        <f>ROUND(SUM(K51:O51),0) + S51</f>
        <v>11545.46</v>
      </c>
      <c r="Q51" s="28">
        <f>ROUND(P51*6% + P51,0) + S51</f>
        <v>12238.46</v>
      </c>
      <c r="R51" s="27">
        <f>ROUND(P51*3%,0) + P51</f>
        <v>11891.46</v>
      </c>
      <c r="S51" s="11">
        <f>S50+0.01</f>
        <v>0.46000000000000024</v>
      </c>
    </row>
    <row r="52" spans="2:19" ht="17.100000000000001" customHeight="1" x14ac:dyDescent="0.25">
      <c r="B52" s="26">
        <v>5</v>
      </c>
      <c r="C52" s="36" t="s">
        <v>5</v>
      </c>
      <c r="D52" s="26">
        <f>D51+1</f>
        <v>47</v>
      </c>
      <c r="E52" s="48" t="s">
        <v>33</v>
      </c>
      <c r="F52" s="49" t="s">
        <v>32</v>
      </c>
      <c r="G52" s="46">
        <v>0.95489999999999997</v>
      </c>
      <c r="H52" s="45"/>
      <c r="I52" s="37"/>
      <c r="J52" s="44"/>
      <c r="K52" s="18">
        <f>H52-I52</f>
        <v>0</v>
      </c>
      <c r="L52" s="18">
        <f>IF(K52&gt;0,K52*3%,0)</f>
        <v>0</v>
      </c>
      <c r="M52" s="17">
        <v>0</v>
      </c>
      <c r="N52" s="43">
        <f>P$2*G52%</f>
        <v>9549</v>
      </c>
      <c r="O52" s="42">
        <v>0</v>
      </c>
      <c r="P52" s="29">
        <f>ROUND(SUM(K52:O52),0) + S52</f>
        <v>9549.4699999999993</v>
      </c>
      <c r="Q52" s="28">
        <f>ROUND(P52*6% + P52,0) + S52</f>
        <v>10122.469999999999</v>
      </c>
      <c r="R52" s="27">
        <f>ROUND(P52*3%,0) + P52</f>
        <v>9835.4699999999993</v>
      </c>
      <c r="S52" s="11">
        <f>S51+0.01</f>
        <v>0.47000000000000025</v>
      </c>
    </row>
    <row r="53" spans="2:19" ht="17.100000000000001" customHeight="1" x14ac:dyDescent="0.25">
      <c r="B53" s="26">
        <v>5</v>
      </c>
      <c r="C53" s="36" t="s">
        <v>3</v>
      </c>
      <c r="D53" s="26">
        <f>D52+1</f>
        <v>48</v>
      </c>
      <c r="E53" s="48" t="s">
        <v>11</v>
      </c>
      <c r="F53" s="47" t="s">
        <v>31</v>
      </c>
      <c r="G53" s="46">
        <v>0.75519999999999998</v>
      </c>
      <c r="H53" s="45"/>
      <c r="I53" s="37"/>
      <c r="J53" s="44"/>
      <c r="K53" s="18">
        <f>H53-I53</f>
        <v>0</v>
      </c>
      <c r="L53" s="18">
        <f>IF(K53&gt;0,K53*3%,0)</f>
        <v>0</v>
      </c>
      <c r="M53" s="17">
        <v>0</v>
      </c>
      <c r="N53" s="43">
        <f>P$2*G53%</f>
        <v>7552</v>
      </c>
      <c r="O53" s="42">
        <v>0</v>
      </c>
      <c r="P53" s="29">
        <f>ROUND(SUM(K53:O53),0) + S53</f>
        <v>7552.48</v>
      </c>
      <c r="Q53" s="28">
        <f>ROUND(P53*6% + P53,0) + S53</f>
        <v>8006.48</v>
      </c>
      <c r="R53" s="27">
        <f>ROUND(P53*3%,0) + P53</f>
        <v>7779.48</v>
      </c>
      <c r="S53" s="11">
        <f>S52+0.01</f>
        <v>0.48000000000000026</v>
      </c>
    </row>
    <row r="54" spans="2:19" ht="17.100000000000001" customHeight="1" x14ac:dyDescent="0.25">
      <c r="B54" s="26">
        <v>5</v>
      </c>
      <c r="C54" s="36" t="s">
        <v>1</v>
      </c>
      <c r="D54" s="26">
        <f>D53+1</f>
        <v>49</v>
      </c>
      <c r="E54" s="48" t="s">
        <v>30</v>
      </c>
      <c r="F54" s="47" t="s">
        <v>29</v>
      </c>
      <c r="G54" s="46">
        <v>1.1545000000000001</v>
      </c>
      <c r="H54" s="45"/>
      <c r="I54" s="37"/>
      <c r="J54" s="44"/>
      <c r="K54" s="18">
        <f>H54-I54</f>
        <v>0</v>
      </c>
      <c r="L54" s="18">
        <f>IF(K54&gt;0,K54*3%,0)</f>
        <v>0</v>
      </c>
      <c r="M54" s="17">
        <v>0</v>
      </c>
      <c r="N54" s="43">
        <f>P$2*G54%</f>
        <v>11545.000000000002</v>
      </c>
      <c r="O54" s="42">
        <v>0</v>
      </c>
      <c r="P54" s="29">
        <f>ROUND(SUM(K54:O54),0) + S54</f>
        <v>11545.49</v>
      </c>
      <c r="Q54" s="28">
        <f>ROUND(P54*6% + P54,0) + S54</f>
        <v>12238.49</v>
      </c>
      <c r="R54" s="27">
        <f>ROUND(P54*3%,0) + P54</f>
        <v>11891.49</v>
      </c>
      <c r="S54" s="11">
        <f>S53+0.01</f>
        <v>0.49000000000000027</v>
      </c>
    </row>
    <row r="55" spans="2:19" ht="17.100000000000001" customHeight="1" x14ac:dyDescent="0.25">
      <c r="B55" s="26">
        <v>6</v>
      </c>
      <c r="C55" s="36" t="s">
        <v>5</v>
      </c>
      <c r="D55" s="26">
        <f>D54+1</f>
        <v>50</v>
      </c>
      <c r="E55" s="48" t="s">
        <v>28</v>
      </c>
      <c r="F55" s="47"/>
      <c r="G55" s="46">
        <v>0.95489999999999997</v>
      </c>
      <c r="H55" s="45"/>
      <c r="I55" s="37"/>
      <c r="J55" s="44"/>
      <c r="K55" s="18">
        <f>H55-I55</f>
        <v>0</v>
      </c>
      <c r="L55" s="18">
        <f>IF(K55&gt;0,K55*3%,0)</f>
        <v>0</v>
      </c>
      <c r="M55" s="17">
        <v>0</v>
      </c>
      <c r="N55" s="43">
        <f>P$2*G55%</f>
        <v>9549</v>
      </c>
      <c r="O55" s="42">
        <v>0</v>
      </c>
      <c r="P55" s="29">
        <f>ROUND(SUM(K55:O55),0) + S55</f>
        <v>9549.5</v>
      </c>
      <c r="Q55" s="28">
        <f>ROUND(P55*6% + P55,0) + S55</f>
        <v>10122.5</v>
      </c>
      <c r="R55" s="27">
        <f>ROUND(P55*3%,0) + P55</f>
        <v>9835.5</v>
      </c>
      <c r="S55" s="11">
        <f>S54+0.01</f>
        <v>0.50000000000000022</v>
      </c>
    </row>
    <row r="56" spans="2:19" ht="17.100000000000001" customHeight="1" x14ac:dyDescent="0.25">
      <c r="B56" s="26">
        <v>6</v>
      </c>
      <c r="C56" s="36" t="s">
        <v>3</v>
      </c>
      <c r="D56" s="26">
        <f>D55+1</f>
        <v>51</v>
      </c>
      <c r="E56" s="48" t="s">
        <v>27</v>
      </c>
      <c r="F56" s="47"/>
      <c r="G56" s="46">
        <v>0.75519999999999998</v>
      </c>
      <c r="H56" s="45"/>
      <c r="I56" s="37"/>
      <c r="J56" s="44"/>
      <c r="K56" s="18">
        <f>H56-I56</f>
        <v>0</v>
      </c>
      <c r="L56" s="18">
        <f>IF(K56&gt;0,K56*3%,0)</f>
        <v>0</v>
      </c>
      <c r="M56" s="17">
        <v>0</v>
      </c>
      <c r="N56" s="43">
        <f>P$2*G56%</f>
        <v>7552</v>
      </c>
      <c r="O56" s="42">
        <v>0</v>
      </c>
      <c r="P56" s="29">
        <f>ROUND(SUM(K56:O56),0) + S56</f>
        <v>7552.51</v>
      </c>
      <c r="Q56" s="28">
        <f>ROUND(P56*6% + P56,0) + S56</f>
        <v>8006.51</v>
      </c>
      <c r="R56" s="27">
        <f>ROUND(P56*3%,0) + P56</f>
        <v>7779.51</v>
      </c>
      <c r="S56" s="11">
        <f>S55+0.01</f>
        <v>0.51000000000000023</v>
      </c>
    </row>
    <row r="57" spans="2:19" ht="17.100000000000001" customHeight="1" x14ac:dyDescent="0.25">
      <c r="B57" s="26">
        <v>6</v>
      </c>
      <c r="C57" s="36" t="s">
        <v>1</v>
      </c>
      <c r="D57" s="26">
        <f>D56+1</f>
        <v>52</v>
      </c>
      <c r="E57" s="48" t="s">
        <v>26</v>
      </c>
      <c r="F57" s="49"/>
      <c r="G57" s="46">
        <v>1.1545000000000001</v>
      </c>
      <c r="H57" s="45"/>
      <c r="I57" s="37"/>
      <c r="J57" s="44"/>
      <c r="K57" s="18">
        <f>H57-I57</f>
        <v>0</v>
      </c>
      <c r="L57" s="18">
        <f>IF(K57&gt;0,K57*3%,0)</f>
        <v>0</v>
      </c>
      <c r="M57" s="17">
        <v>0</v>
      </c>
      <c r="N57" s="43">
        <f>P$2*G57%</f>
        <v>11545.000000000002</v>
      </c>
      <c r="O57" s="42">
        <v>0</v>
      </c>
      <c r="P57" s="29">
        <f>ROUND(SUM(K57:O57),0) + S57</f>
        <v>11545.52</v>
      </c>
      <c r="Q57" s="28">
        <f>ROUND(P57*6% + P57,0) + S57</f>
        <v>12238.52</v>
      </c>
      <c r="R57" s="27">
        <f>ROUND(P57*3%,0) + P57</f>
        <v>11891.52</v>
      </c>
      <c r="S57" s="11">
        <f>S56+0.01</f>
        <v>0.52000000000000024</v>
      </c>
    </row>
    <row r="58" spans="2:19" ht="17.100000000000001" customHeight="1" x14ac:dyDescent="0.25">
      <c r="B58" s="26">
        <v>7</v>
      </c>
      <c r="C58" s="36" t="s">
        <v>5</v>
      </c>
      <c r="D58" s="26">
        <f>D57+1</f>
        <v>53</v>
      </c>
      <c r="E58" s="48" t="s">
        <v>25</v>
      </c>
      <c r="F58" s="49"/>
      <c r="G58" s="46">
        <v>0.95489999999999997</v>
      </c>
      <c r="H58" s="45"/>
      <c r="I58" s="37"/>
      <c r="J58" s="44"/>
      <c r="K58" s="18">
        <f>H58-I58</f>
        <v>0</v>
      </c>
      <c r="L58" s="18">
        <f>IF(K58&gt;0,K58*3%,0)</f>
        <v>0</v>
      </c>
      <c r="M58" s="17">
        <v>0</v>
      </c>
      <c r="N58" s="43">
        <f>P$2*G58%</f>
        <v>9549</v>
      </c>
      <c r="O58" s="42">
        <v>0</v>
      </c>
      <c r="P58" s="29">
        <f>ROUND(SUM(K58:O58),0) + S58</f>
        <v>9549.5300000000007</v>
      </c>
      <c r="Q58" s="28">
        <f>ROUND(P58*6% + P58,0) + S58</f>
        <v>10123.530000000001</v>
      </c>
      <c r="R58" s="27">
        <f>ROUND(P58*3%,0) + P58</f>
        <v>9835.5300000000007</v>
      </c>
      <c r="S58" s="11">
        <f>S57+0.01</f>
        <v>0.53000000000000025</v>
      </c>
    </row>
    <row r="59" spans="2:19" ht="17.100000000000001" customHeight="1" x14ac:dyDescent="0.25">
      <c r="B59" s="26">
        <v>7</v>
      </c>
      <c r="C59" s="36" t="s">
        <v>3</v>
      </c>
      <c r="D59" s="26">
        <f>D58+1</f>
        <v>54</v>
      </c>
      <c r="E59" s="48" t="s">
        <v>24</v>
      </c>
      <c r="F59" s="47"/>
      <c r="G59" s="46">
        <v>0.75519999999999998</v>
      </c>
      <c r="H59" s="45"/>
      <c r="I59" s="37"/>
      <c r="J59" s="44"/>
      <c r="K59" s="18">
        <f>H59-I59</f>
        <v>0</v>
      </c>
      <c r="L59" s="18">
        <f>IF(K59&gt;0,K59*3%,0)</f>
        <v>0</v>
      </c>
      <c r="M59" s="17">
        <v>0</v>
      </c>
      <c r="N59" s="43">
        <f>P$2*G59%</f>
        <v>7552</v>
      </c>
      <c r="O59" s="42">
        <v>0</v>
      </c>
      <c r="P59" s="29">
        <f>ROUND(SUM(K59:O59),0) + S59</f>
        <v>7552.54</v>
      </c>
      <c r="Q59" s="28">
        <f>ROUND(P59*6% + P59,0) + S59</f>
        <v>8006.54</v>
      </c>
      <c r="R59" s="27">
        <f>ROUND(P59*3%,0) + P59</f>
        <v>7779.54</v>
      </c>
      <c r="S59" s="11">
        <f>S58+0.01</f>
        <v>0.54000000000000026</v>
      </c>
    </row>
    <row r="60" spans="2:19" ht="17.100000000000001" customHeight="1" x14ac:dyDescent="0.25">
      <c r="B60" s="26">
        <v>7</v>
      </c>
      <c r="C60" s="36" t="s">
        <v>1</v>
      </c>
      <c r="D60" s="26">
        <f>D59+1</f>
        <v>55</v>
      </c>
      <c r="E60" s="48" t="s">
        <v>23</v>
      </c>
      <c r="F60" s="49" t="s">
        <v>22</v>
      </c>
      <c r="G60" s="46">
        <v>1.1545000000000001</v>
      </c>
      <c r="H60" s="45"/>
      <c r="I60" s="37"/>
      <c r="J60" s="44"/>
      <c r="K60" s="18">
        <f>H60-I60</f>
        <v>0</v>
      </c>
      <c r="L60" s="18">
        <f>IF(K60&gt;0,K60*3%,0)</f>
        <v>0</v>
      </c>
      <c r="M60" s="17">
        <v>0</v>
      </c>
      <c r="N60" s="43">
        <f>P$2*G60%</f>
        <v>11545.000000000002</v>
      </c>
      <c r="O60" s="42">
        <v>0</v>
      </c>
      <c r="P60" s="29">
        <f>ROUND(SUM(K60:O60),0) + S60</f>
        <v>11545.55</v>
      </c>
      <c r="Q60" s="28">
        <f>ROUND(P60*6% + P60,0) + S60</f>
        <v>12238.55</v>
      </c>
      <c r="R60" s="27">
        <f>ROUND(P60*3%,0) + P60</f>
        <v>11891.55</v>
      </c>
      <c r="S60" s="11">
        <f>S59+0.01</f>
        <v>0.55000000000000027</v>
      </c>
    </row>
    <row r="61" spans="2:19" ht="17.100000000000001" customHeight="1" x14ac:dyDescent="0.25">
      <c r="B61" s="26">
        <v>8</v>
      </c>
      <c r="C61" s="36" t="s">
        <v>5</v>
      </c>
      <c r="D61" s="26">
        <f>D60+1</f>
        <v>56</v>
      </c>
      <c r="E61" s="48" t="s">
        <v>21</v>
      </c>
      <c r="F61" s="49" t="s">
        <v>20</v>
      </c>
      <c r="G61" s="46">
        <v>0.95489999999999997</v>
      </c>
      <c r="H61" s="45"/>
      <c r="I61" s="37"/>
      <c r="J61" s="44"/>
      <c r="K61" s="18">
        <f>H61-I61</f>
        <v>0</v>
      </c>
      <c r="L61" s="18">
        <f>IF(K61&gt;0,K61*3%,0)</f>
        <v>0</v>
      </c>
      <c r="M61" s="17">
        <v>0</v>
      </c>
      <c r="N61" s="43">
        <f>P$2*G61%</f>
        <v>9549</v>
      </c>
      <c r="O61" s="42"/>
      <c r="P61" s="29">
        <f>ROUND(SUM(K61:O61),0) + S61</f>
        <v>9549.56</v>
      </c>
      <c r="Q61" s="28">
        <f>ROUND(P61*6% + P61,0) + S61</f>
        <v>10123.56</v>
      </c>
      <c r="R61" s="27">
        <f>ROUND(P61*3%,0) + P61</f>
        <v>9835.56</v>
      </c>
      <c r="S61" s="11">
        <f>S60+0.01</f>
        <v>0.56000000000000028</v>
      </c>
    </row>
    <row r="62" spans="2:19" ht="17.100000000000001" customHeight="1" x14ac:dyDescent="0.25">
      <c r="B62" s="26">
        <v>8</v>
      </c>
      <c r="C62" s="36" t="s">
        <v>3</v>
      </c>
      <c r="D62" s="26">
        <f>D61+1</f>
        <v>57</v>
      </c>
      <c r="E62" s="48" t="s">
        <v>19</v>
      </c>
      <c r="F62" s="49" t="s">
        <v>18</v>
      </c>
      <c r="G62" s="46">
        <v>0.75519999999999998</v>
      </c>
      <c r="H62" s="45"/>
      <c r="I62" s="37"/>
      <c r="J62" s="44"/>
      <c r="K62" s="18">
        <f>H62-I62</f>
        <v>0</v>
      </c>
      <c r="L62" s="18">
        <f>IF(K62&gt;0,K62*3%,0)</f>
        <v>0</v>
      </c>
      <c r="M62" s="17">
        <v>0</v>
      </c>
      <c r="N62" s="43">
        <f>P$2*G62%</f>
        <v>7552</v>
      </c>
      <c r="O62" s="42">
        <v>0</v>
      </c>
      <c r="P62" s="29">
        <f>ROUND(SUM(K62:O62),0) + S62</f>
        <v>7552.57</v>
      </c>
      <c r="Q62" s="28">
        <f>ROUND(P62*6% + P62,0) + S62</f>
        <v>8006.57</v>
      </c>
      <c r="R62" s="27">
        <f>ROUND(P62*3%,0) + P62</f>
        <v>7779.57</v>
      </c>
      <c r="S62" s="11">
        <f>S61+0.01</f>
        <v>0.57000000000000028</v>
      </c>
    </row>
    <row r="63" spans="2:19" ht="17.100000000000001" customHeight="1" x14ac:dyDescent="0.25">
      <c r="B63" s="26">
        <v>8</v>
      </c>
      <c r="C63" s="36" t="s">
        <v>1</v>
      </c>
      <c r="D63" s="26">
        <f>D62+1</f>
        <v>58</v>
      </c>
      <c r="E63" s="48" t="s">
        <v>17</v>
      </c>
      <c r="F63" s="49"/>
      <c r="G63" s="46">
        <v>1.1545000000000001</v>
      </c>
      <c r="H63" s="45"/>
      <c r="I63" s="37"/>
      <c r="J63" s="44"/>
      <c r="K63" s="18">
        <f>H63-I63</f>
        <v>0</v>
      </c>
      <c r="L63" s="18">
        <f>IF(K63&gt;0,K63*3%,0)</f>
        <v>0</v>
      </c>
      <c r="M63" s="17">
        <v>0</v>
      </c>
      <c r="N63" s="43">
        <f>P$2*G63%</f>
        <v>11545.000000000002</v>
      </c>
      <c r="O63" s="42">
        <v>0</v>
      </c>
      <c r="P63" s="29">
        <f>ROUND(SUM(K63:O63),0) + S63</f>
        <v>11545.58</v>
      </c>
      <c r="Q63" s="28">
        <f>ROUND(P63*6% + P63,0) + S63</f>
        <v>12238.58</v>
      </c>
      <c r="R63" s="27">
        <f>ROUND(P63*3%,0) + P63</f>
        <v>11891.58</v>
      </c>
      <c r="S63" s="11">
        <f>S62+0.01</f>
        <v>0.58000000000000029</v>
      </c>
    </row>
    <row r="64" spans="2:19" ht="17.100000000000001" customHeight="1" x14ac:dyDescent="0.25">
      <c r="B64" s="26">
        <v>9</v>
      </c>
      <c r="C64" s="36" t="s">
        <v>5</v>
      </c>
      <c r="D64" s="26">
        <f>D63+1</f>
        <v>59</v>
      </c>
      <c r="E64" s="48" t="s">
        <v>16</v>
      </c>
      <c r="F64" s="47" t="s">
        <v>15</v>
      </c>
      <c r="G64" s="46">
        <v>0.95489999999999997</v>
      </c>
      <c r="H64" s="45"/>
      <c r="I64" s="37"/>
      <c r="J64" s="44"/>
      <c r="K64" s="18">
        <f>H64-I64</f>
        <v>0</v>
      </c>
      <c r="L64" s="18">
        <f>IF(K64&gt;0,K64*3%,0)</f>
        <v>0</v>
      </c>
      <c r="M64" s="17">
        <v>0</v>
      </c>
      <c r="N64" s="43">
        <f>P$2*G64%</f>
        <v>9549</v>
      </c>
      <c r="O64" s="42">
        <v>0</v>
      </c>
      <c r="P64" s="29">
        <f>ROUND(SUM(K64:O64),0) + S64</f>
        <v>9549.59</v>
      </c>
      <c r="Q64" s="28">
        <f>ROUND(P64*6% + P64,0) + S64</f>
        <v>10123.59</v>
      </c>
      <c r="R64" s="27">
        <f>ROUND(P64*3%,0) + P64</f>
        <v>9835.59</v>
      </c>
      <c r="S64" s="11">
        <f>S63+0.01</f>
        <v>0.5900000000000003</v>
      </c>
    </row>
    <row r="65" spans="2:19" ht="17.100000000000001" customHeight="1" x14ac:dyDescent="0.25">
      <c r="B65" s="26">
        <v>9</v>
      </c>
      <c r="C65" s="36" t="s">
        <v>3</v>
      </c>
      <c r="D65" s="26">
        <f>D64+1</f>
        <v>60</v>
      </c>
      <c r="E65" s="48" t="s">
        <v>14</v>
      </c>
      <c r="F65" s="49"/>
      <c r="G65" s="46">
        <v>0.75519999999999998</v>
      </c>
      <c r="H65" s="45"/>
      <c r="I65" s="37"/>
      <c r="J65" s="44"/>
      <c r="K65" s="18">
        <f>H65-I65</f>
        <v>0</v>
      </c>
      <c r="L65" s="18">
        <f>IF(K65&gt;0,K65*3%,0)</f>
        <v>0</v>
      </c>
      <c r="M65" s="17">
        <v>0</v>
      </c>
      <c r="N65" s="43">
        <f>P$2*G65%</f>
        <v>7552</v>
      </c>
      <c r="O65" s="42">
        <v>0</v>
      </c>
      <c r="P65" s="29">
        <f>ROUND(SUM(K65:O65),0) + S65</f>
        <v>7552.6</v>
      </c>
      <c r="Q65" s="28">
        <f>ROUND(P65*6% + P65,0) + S65</f>
        <v>8006.6</v>
      </c>
      <c r="R65" s="27">
        <f>ROUND(P65*3%,0) + P65</f>
        <v>7779.6</v>
      </c>
      <c r="S65" s="11">
        <f>S64+0.01</f>
        <v>0.60000000000000031</v>
      </c>
    </row>
    <row r="66" spans="2:19" ht="17.100000000000001" customHeight="1" x14ac:dyDescent="0.25">
      <c r="B66" s="26">
        <v>9</v>
      </c>
      <c r="C66" s="36" t="s">
        <v>1</v>
      </c>
      <c r="D66" s="26">
        <f>D65+1</f>
        <v>61</v>
      </c>
      <c r="E66" s="48" t="s">
        <v>2</v>
      </c>
      <c r="F66" s="47"/>
      <c r="G66" s="46">
        <v>1.1545000000000001</v>
      </c>
      <c r="H66" s="45"/>
      <c r="I66" s="37"/>
      <c r="J66" s="44"/>
      <c r="K66" s="18">
        <f>H66-I66</f>
        <v>0</v>
      </c>
      <c r="L66" s="18">
        <f>IF(K66&gt;0,K66*3%,0)</f>
        <v>0</v>
      </c>
      <c r="M66" s="17">
        <v>0</v>
      </c>
      <c r="N66" s="43">
        <f>P$2*G66%</f>
        <v>11545.000000000002</v>
      </c>
      <c r="O66" s="42">
        <v>0</v>
      </c>
      <c r="P66" s="29">
        <f>ROUND(SUM(K66:O66),0) + S66</f>
        <v>11545.61</v>
      </c>
      <c r="Q66" s="28">
        <f>ROUND(P66*6% + P66,0) + S66</f>
        <v>12238.61</v>
      </c>
      <c r="R66" s="27">
        <f>ROUND(P66*3%,0) + P66</f>
        <v>11891.61</v>
      </c>
      <c r="S66" s="11">
        <f>S65+0.01</f>
        <v>0.61000000000000032</v>
      </c>
    </row>
    <row r="67" spans="2:19" ht="17.100000000000001" customHeight="1" x14ac:dyDescent="0.25">
      <c r="B67" s="26">
        <v>10</v>
      </c>
      <c r="C67" s="36" t="s">
        <v>5</v>
      </c>
      <c r="D67" s="26">
        <f>D66+1</f>
        <v>62</v>
      </c>
      <c r="E67" s="48" t="s">
        <v>13</v>
      </c>
      <c r="F67" s="49" t="s">
        <v>12</v>
      </c>
      <c r="G67" s="46">
        <v>0.95489999999999997</v>
      </c>
      <c r="H67" s="45"/>
      <c r="I67" s="37"/>
      <c r="J67" s="44"/>
      <c r="K67" s="18">
        <f>H67-I67</f>
        <v>0</v>
      </c>
      <c r="L67" s="18">
        <f>IF(K67&gt;0,K67*3%,0)</f>
        <v>0</v>
      </c>
      <c r="M67" s="17">
        <v>0</v>
      </c>
      <c r="N67" s="43">
        <f>P$2*G67%</f>
        <v>9549</v>
      </c>
      <c r="O67" s="42">
        <v>0</v>
      </c>
      <c r="P67" s="29">
        <f>ROUND(SUM(K67:O67),0) + S67</f>
        <v>9549.6200000000008</v>
      </c>
      <c r="Q67" s="28">
        <f>ROUND(P67*6% + P67,0) + S67</f>
        <v>10123.620000000001</v>
      </c>
      <c r="R67" s="27">
        <f>ROUND(P67*3%,0) + P67</f>
        <v>9835.6200000000008</v>
      </c>
      <c r="S67" s="11">
        <f>S66+0.01</f>
        <v>0.62000000000000033</v>
      </c>
    </row>
    <row r="68" spans="2:19" ht="17.100000000000001" customHeight="1" x14ac:dyDescent="0.25">
      <c r="B68" s="26">
        <v>10</v>
      </c>
      <c r="C68" s="36" t="s">
        <v>3</v>
      </c>
      <c r="D68" s="26">
        <f>D67+1</f>
        <v>63</v>
      </c>
      <c r="E68" s="48" t="s">
        <v>11</v>
      </c>
      <c r="F68" s="47" t="s">
        <v>10</v>
      </c>
      <c r="G68" s="46">
        <v>0.75519999999999998</v>
      </c>
      <c r="H68" s="45"/>
      <c r="I68" s="37"/>
      <c r="J68" s="44"/>
      <c r="K68" s="18">
        <f>H68-I68</f>
        <v>0</v>
      </c>
      <c r="L68" s="18">
        <f>IF(K68&gt;0,K68*3%,0)</f>
        <v>0</v>
      </c>
      <c r="M68" s="17">
        <v>0</v>
      </c>
      <c r="N68" s="43">
        <f>P$2*G68%</f>
        <v>7552</v>
      </c>
      <c r="O68" s="42">
        <v>0</v>
      </c>
      <c r="P68" s="29">
        <f>ROUND(SUM(K68:O68),0) + S68</f>
        <v>7552.63</v>
      </c>
      <c r="Q68" s="28">
        <f>ROUND(P68*6% + P68,0) + S68</f>
        <v>8006.63</v>
      </c>
      <c r="R68" s="27">
        <f>ROUND(P68*3%,0) + P68</f>
        <v>7779.63</v>
      </c>
      <c r="S68" s="11">
        <f>S67+0.01</f>
        <v>0.63000000000000034</v>
      </c>
    </row>
    <row r="69" spans="2:19" ht="17.100000000000001" customHeight="1" x14ac:dyDescent="0.25">
      <c r="B69" s="26">
        <v>10</v>
      </c>
      <c r="C69" s="36" t="s">
        <v>1</v>
      </c>
      <c r="D69" s="26">
        <f>D68+1</f>
        <v>64</v>
      </c>
      <c r="E69" s="48" t="s">
        <v>9</v>
      </c>
      <c r="F69" s="47"/>
      <c r="G69" s="46">
        <v>1.1545000000000001</v>
      </c>
      <c r="H69" s="45"/>
      <c r="I69" s="37"/>
      <c r="J69" s="44"/>
      <c r="K69" s="18">
        <f>H69-I69</f>
        <v>0</v>
      </c>
      <c r="L69" s="18">
        <f>IF(K69&gt;0,K69*3%,0)</f>
        <v>0</v>
      </c>
      <c r="M69" s="17">
        <v>0</v>
      </c>
      <c r="N69" s="43">
        <f>P$2*G69%</f>
        <v>11545.000000000002</v>
      </c>
      <c r="O69" s="42">
        <v>0</v>
      </c>
      <c r="P69" s="29">
        <f>ROUND(SUM(K69:O69),0) + S69</f>
        <v>11545.64</v>
      </c>
      <c r="Q69" s="28">
        <f>ROUND(P69*6% + P69,0) + S69</f>
        <v>12238.64</v>
      </c>
      <c r="R69" s="27">
        <f>ROUND(P69*3%,0) + P69</f>
        <v>11891.64</v>
      </c>
      <c r="S69" s="11">
        <f>S68+0.01</f>
        <v>0.64000000000000035</v>
      </c>
    </row>
    <row r="70" spans="2:19" ht="17.100000000000001" customHeight="1" x14ac:dyDescent="0.25">
      <c r="B70" s="26">
        <v>11</v>
      </c>
      <c r="C70" s="36" t="s">
        <v>5</v>
      </c>
      <c r="D70" s="26">
        <f>D69+1</f>
        <v>65</v>
      </c>
      <c r="E70" s="48" t="s">
        <v>8</v>
      </c>
      <c r="F70" s="49"/>
      <c r="G70" s="46">
        <v>0.95489999999999997</v>
      </c>
      <c r="H70" s="45"/>
      <c r="I70" s="37"/>
      <c r="J70" s="44"/>
      <c r="K70" s="18">
        <f>H70-I70</f>
        <v>0</v>
      </c>
      <c r="L70" s="18">
        <f>IF(K70&gt;0,K70*3%,0)</f>
        <v>0</v>
      </c>
      <c r="M70" s="17">
        <v>0</v>
      </c>
      <c r="N70" s="43">
        <f>P$2*G70%</f>
        <v>9549</v>
      </c>
      <c r="O70" s="42">
        <v>0</v>
      </c>
      <c r="P70" s="29">
        <f>ROUND(SUM(K70:O70),0) + S70</f>
        <v>9549.65</v>
      </c>
      <c r="Q70" s="28">
        <f>ROUND(P70*6% + P70,0) + S70</f>
        <v>10123.65</v>
      </c>
      <c r="R70" s="27">
        <f>ROUND(P70*3%,0) + P70</f>
        <v>9835.65</v>
      </c>
      <c r="S70" s="11">
        <f>S69+0.01</f>
        <v>0.65000000000000036</v>
      </c>
    </row>
    <row r="71" spans="2:19" ht="17.100000000000001" customHeight="1" x14ac:dyDescent="0.25">
      <c r="B71" s="26">
        <v>11</v>
      </c>
      <c r="C71" s="36" t="s">
        <v>3</v>
      </c>
      <c r="D71" s="26">
        <f>D70+1</f>
        <v>66</v>
      </c>
      <c r="E71" s="48" t="s">
        <v>7</v>
      </c>
      <c r="F71" s="49"/>
      <c r="G71" s="46">
        <v>0.75519999999999998</v>
      </c>
      <c r="H71" s="45"/>
      <c r="I71" s="37"/>
      <c r="J71" s="44"/>
      <c r="K71" s="18">
        <f>H71-I71</f>
        <v>0</v>
      </c>
      <c r="L71" s="18">
        <f>IF(K71&gt;0,K71*3%,0)</f>
        <v>0</v>
      </c>
      <c r="M71" s="17">
        <v>0</v>
      </c>
      <c r="N71" s="43">
        <f>P$2*G71%</f>
        <v>7552</v>
      </c>
      <c r="O71" s="42">
        <v>0</v>
      </c>
      <c r="P71" s="29">
        <f>ROUND(SUM(K71:O71),0) + S71</f>
        <v>7552.66</v>
      </c>
      <c r="Q71" s="28">
        <f>ROUND(P71*6% + P71,0) + S71</f>
        <v>8006.66</v>
      </c>
      <c r="R71" s="27">
        <f>ROUND(P71*3%,0) + P71</f>
        <v>7779.66</v>
      </c>
      <c r="S71" s="11">
        <f>S70+0.01</f>
        <v>0.66000000000000036</v>
      </c>
    </row>
    <row r="72" spans="2:19" ht="17.100000000000001" customHeight="1" x14ac:dyDescent="0.25">
      <c r="B72" s="26">
        <v>11</v>
      </c>
      <c r="C72" s="36" t="s">
        <v>1</v>
      </c>
      <c r="D72" s="26">
        <f>D71+1</f>
        <v>67</v>
      </c>
      <c r="E72" s="48" t="s">
        <v>6</v>
      </c>
      <c r="F72" s="47"/>
      <c r="G72" s="46">
        <v>1.1545000000000001</v>
      </c>
      <c r="H72" s="45"/>
      <c r="I72" s="37"/>
      <c r="J72" s="44"/>
      <c r="K72" s="18">
        <f>H72-I72</f>
        <v>0</v>
      </c>
      <c r="L72" s="18">
        <f>IF(K72&gt;0,K72*3%,0)</f>
        <v>0</v>
      </c>
      <c r="M72" s="17">
        <v>0</v>
      </c>
      <c r="N72" s="43">
        <f>P$2*G72%</f>
        <v>11545.000000000002</v>
      </c>
      <c r="O72" s="42">
        <v>0</v>
      </c>
      <c r="P72" s="29">
        <f>ROUND(SUM(K72:O72),0) + S72</f>
        <v>11545.67</v>
      </c>
      <c r="Q72" s="28">
        <f>ROUND(P72*6% + P72,0) + S72</f>
        <v>12238.67</v>
      </c>
      <c r="R72" s="27">
        <f>ROUND(P72*3%,0) + P72</f>
        <v>11891.67</v>
      </c>
      <c r="S72" s="11">
        <f>S71+0.01</f>
        <v>0.67000000000000037</v>
      </c>
    </row>
    <row r="73" spans="2:19" ht="17.100000000000001" customHeight="1" x14ac:dyDescent="0.25">
      <c r="B73" s="26">
        <v>12</v>
      </c>
      <c r="C73" s="32" t="s">
        <v>5</v>
      </c>
      <c r="D73" s="26">
        <f>D72+1</f>
        <v>68</v>
      </c>
      <c r="E73" s="41" t="s">
        <v>4</v>
      </c>
      <c r="F73" s="40"/>
      <c r="G73" s="38">
        <v>0.95489999999999997</v>
      </c>
      <c r="H73" s="22"/>
      <c r="I73" s="37"/>
      <c r="J73" s="20"/>
      <c r="K73" s="19">
        <f>H73-I73</f>
        <v>0</v>
      </c>
      <c r="L73" s="18">
        <f>IF(K73&gt;0,K73*3%,0)</f>
        <v>0</v>
      </c>
      <c r="M73" s="17">
        <v>0</v>
      </c>
      <c r="N73" s="16">
        <f>P$2*G73%</f>
        <v>9549</v>
      </c>
      <c r="O73" s="15">
        <v>0</v>
      </c>
      <c r="P73" s="29">
        <f>ROUND(SUM(K73:O73),0) + S73</f>
        <v>9549.68</v>
      </c>
      <c r="Q73" s="28">
        <f>ROUND(P73*6% + P73,0) + S73</f>
        <v>10123.68</v>
      </c>
      <c r="R73" s="27">
        <f>ROUND(P73*3%,0) + P73</f>
        <v>9835.68</v>
      </c>
      <c r="S73" s="11">
        <f>S72+0.01</f>
        <v>0.68000000000000038</v>
      </c>
    </row>
    <row r="74" spans="2:19" ht="17.100000000000001" customHeight="1" x14ac:dyDescent="0.25">
      <c r="B74" s="26">
        <v>12</v>
      </c>
      <c r="C74" s="36" t="s">
        <v>3</v>
      </c>
      <c r="D74" s="26">
        <f>D73+1</f>
        <v>69</v>
      </c>
      <c r="E74" s="31" t="s">
        <v>2</v>
      </c>
      <c r="F74" s="39"/>
      <c r="G74" s="38">
        <v>0.75519999999999998</v>
      </c>
      <c r="H74" s="22"/>
      <c r="I74" s="37"/>
      <c r="J74" s="20"/>
      <c r="K74" s="19">
        <f>H74-I74</f>
        <v>0</v>
      </c>
      <c r="L74" s="18">
        <f>IF(K74&gt;0,K74*3%,0)</f>
        <v>0</v>
      </c>
      <c r="M74" s="17">
        <v>0</v>
      </c>
      <c r="N74" s="16">
        <f>P$2*G74%</f>
        <v>7552</v>
      </c>
      <c r="O74" s="15">
        <v>0</v>
      </c>
      <c r="P74" s="29">
        <f>ROUND(SUM(K74:O74),0) + S74</f>
        <v>7552.69</v>
      </c>
      <c r="Q74" s="28">
        <f>ROUND(P74*6% + P74,0) + S74</f>
        <v>8006.69</v>
      </c>
      <c r="R74" s="27">
        <f>ROUND(P74*3%,0) + P74</f>
        <v>7779.69</v>
      </c>
      <c r="S74" s="11">
        <f>S73+0.01</f>
        <v>0.69000000000000039</v>
      </c>
    </row>
    <row r="75" spans="2:19" ht="16.5" customHeight="1" x14ac:dyDescent="0.25">
      <c r="B75" s="26">
        <v>12</v>
      </c>
      <c r="C75" s="36" t="s">
        <v>1</v>
      </c>
      <c r="D75" s="26">
        <f>D74+1</f>
        <v>70</v>
      </c>
      <c r="E75" s="31" t="s">
        <v>0</v>
      </c>
      <c r="F75" s="39"/>
      <c r="G75" s="38">
        <v>1.1549</v>
      </c>
      <c r="H75" s="22"/>
      <c r="I75" s="37"/>
      <c r="J75" s="20"/>
      <c r="K75" s="19">
        <f>H75-I75</f>
        <v>0</v>
      </c>
      <c r="L75" s="18">
        <f>IF(K75&gt;0,K75*3%,0)</f>
        <v>0</v>
      </c>
      <c r="M75" s="17">
        <v>0</v>
      </c>
      <c r="N75" s="16">
        <f>P$2*G75%</f>
        <v>11549</v>
      </c>
      <c r="O75" s="15">
        <v>0</v>
      </c>
      <c r="P75" s="29">
        <f>ROUND(SUM(K75:O75),0) + S75</f>
        <v>11549.7</v>
      </c>
      <c r="Q75" s="28">
        <f>ROUND(P75*6% + P75,0) + S75</f>
        <v>12243.7</v>
      </c>
      <c r="R75" s="27">
        <f>ROUND(P75*3%,0) + P75</f>
        <v>11895.7</v>
      </c>
      <c r="S75" s="11">
        <f>S74+0.01</f>
        <v>0.7000000000000004</v>
      </c>
    </row>
    <row r="76" spans="2:19" ht="16.5" customHeight="1" x14ac:dyDescent="0.25">
      <c r="B76" s="26"/>
      <c r="C76" s="36"/>
      <c r="D76" s="36"/>
      <c r="E76" s="31"/>
      <c r="F76" s="30"/>
      <c r="G76" s="23"/>
      <c r="H76" s="22">
        <v>0</v>
      </c>
      <c r="I76" s="21"/>
      <c r="J76" s="20"/>
      <c r="K76" s="19"/>
      <c r="L76" s="18"/>
      <c r="M76" s="17"/>
      <c r="N76" s="16"/>
      <c r="O76" s="15"/>
      <c r="P76" s="29"/>
      <c r="Q76" s="28"/>
      <c r="R76" s="27"/>
      <c r="S76" s="11"/>
    </row>
    <row r="77" spans="2:19" ht="16.5" hidden="1" customHeight="1" x14ac:dyDescent="0.25">
      <c r="B77" s="26"/>
      <c r="C77" s="36"/>
      <c r="D77" s="36"/>
      <c r="E77" s="31"/>
      <c r="F77" s="30"/>
      <c r="G77" s="23"/>
      <c r="H77" s="22"/>
      <c r="I77" s="21"/>
      <c r="J77" s="20"/>
      <c r="K77" s="19"/>
      <c r="L77" s="18"/>
      <c r="M77" s="17"/>
      <c r="N77" s="16"/>
      <c r="O77" s="15"/>
      <c r="P77" s="29"/>
      <c r="Q77" s="28"/>
      <c r="R77" s="27"/>
      <c r="S77" s="11"/>
    </row>
    <row r="78" spans="2:19" ht="22.5" hidden="1" customHeight="1" x14ac:dyDescent="0.25">
      <c r="B78" s="26"/>
      <c r="C78" s="36"/>
      <c r="D78" s="36"/>
      <c r="E78" s="35"/>
      <c r="F78" s="30"/>
      <c r="G78" s="23"/>
      <c r="H78" s="22"/>
      <c r="I78" s="21"/>
      <c r="J78" s="20"/>
      <c r="K78" s="19"/>
      <c r="L78" s="18"/>
      <c r="M78" s="17"/>
      <c r="N78" s="16"/>
      <c r="O78" s="15"/>
      <c r="P78" s="29"/>
      <c r="Q78" s="28"/>
      <c r="R78" s="27"/>
      <c r="S78" s="11"/>
    </row>
    <row r="79" spans="2:19" ht="16.5" hidden="1" customHeight="1" x14ac:dyDescent="0.25">
      <c r="B79" s="34"/>
      <c r="C79" s="33"/>
      <c r="D79" s="32"/>
      <c r="E79" s="31"/>
      <c r="F79" s="30"/>
      <c r="G79" s="23"/>
      <c r="H79" s="22"/>
      <c r="I79" s="21"/>
      <c r="J79" s="20"/>
      <c r="K79" s="19"/>
      <c r="L79" s="18"/>
      <c r="M79" s="17"/>
      <c r="N79" s="16"/>
      <c r="O79" s="15"/>
      <c r="P79" s="29"/>
      <c r="Q79" s="28"/>
      <c r="R79" s="27"/>
      <c r="S79" s="11"/>
    </row>
    <row r="80" spans="2:19" ht="17.100000000000001" customHeight="1" thickBot="1" x14ac:dyDescent="0.3">
      <c r="B80" s="26"/>
      <c r="C80" s="26"/>
      <c r="D80" s="26"/>
      <c r="E80" s="25"/>
      <c r="F80" s="24"/>
      <c r="G80" s="23"/>
      <c r="H80" s="22"/>
      <c r="I80" s="21"/>
      <c r="J80" s="20"/>
      <c r="K80" s="19"/>
      <c r="L80" s="18"/>
      <c r="M80" s="17"/>
      <c r="N80" s="16"/>
      <c r="O80" s="15"/>
      <c r="P80" s="14"/>
      <c r="Q80" s="13"/>
      <c r="R80" s="12"/>
      <c r="S80" s="11"/>
    </row>
    <row r="81" spans="2:18" ht="17.100000000000001" customHeight="1" thickBot="1" x14ac:dyDescent="0.3">
      <c r="B81" s="10"/>
      <c r="C81" s="9"/>
      <c r="D81" s="8"/>
      <c r="E81" s="7"/>
      <c r="F81" s="7"/>
      <c r="G81" s="6">
        <f>SUM(G6:G80)</f>
        <v>99.999999999999957</v>
      </c>
      <c r="H81" s="5">
        <f>SUM(H6:H80)</f>
        <v>0</v>
      </c>
      <c r="I81" s="4">
        <f>SUM(I6:I80)</f>
        <v>0</v>
      </c>
      <c r="J81" s="5">
        <f>SUM(J6:J80)</f>
        <v>0</v>
      </c>
      <c r="K81" s="4">
        <f>SUM(K6:K80)</f>
        <v>0</v>
      </c>
      <c r="L81" s="5">
        <f>SUM(L6:L80)</f>
        <v>0</v>
      </c>
      <c r="M81" s="4">
        <f>SUM(M6:M80)</f>
        <v>0</v>
      </c>
      <c r="N81" s="5">
        <f>SUM(N6:N80)</f>
        <v>1000000</v>
      </c>
      <c r="O81" s="4">
        <f>SUM(O6:O80)</f>
        <v>0</v>
      </c>
      <c r="P81" s="3">
        <f>SUM(P6:P80)</f>
        <v>1000024.8500000001</v>
      </c>
      <c r="Q81" s="3">
        <f>SUM(Q6:Q80)</f>
        <v>1060052.8500000001</v>
      </c>
      <c r="R81" s="3">
        <f>SUM(R6:R80)</f>
        <v>1030018.8500000001</v>
      </c>
    </row>
    <row r="82" spans="2:18" ht="12.75" customHeight="1" x14ac:dyDescent="0.25">
      <c r="E82" s="2"/>
      <c r="F82" s="2"/>
    </row>
    <row r="83" spans="2:18" hidden="1" x14ac:dyDescent="0.25"/>
    <row r="84" spans="2:18" ht="9" hidden="1" customHeight="1" x14ac:dyDescent="0.25">
      <c r="E84" s="1" t="str">
        <f>[1]RESUMEN!A14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2:18" ht="12" hidden="1" customHeight="1" x14ac:dyDescent="0.25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2:18" ht="12" hidden="1" customHeight="1" x14ac:dyDescent="0.25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2:18" ht="12" hidden="1" customHeight="1" x14ac:dyDescent="0.25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2:18" ht="12" hidden="1" customHeight="1" x14ac:dyDescent="0.25"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2:18" ht="123" customHeight="1" x14ac:dyDescent="0.25"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</sheetData>
  <mergeCells count="18">
    <mergeCell ref="G1:P1"/>
    <mergeCell ref="L4:L5"/>
    <mergeCell ref="H4:H5"/>
    <mergeCell ref="Q4:Q5"/>
    <mergeCell ref="I4:I5"/>
    <mergeCell ref="K4:K5"/>
    <mergeCell ref="M4:M5"/>
    <mergeCell ref="N4:N5"/>
    <mergeCell ref="O4:O5"/>
    <mergeCell ref="R4:R5"/>
    <mergeCell ref="E84:P89"/>
    <mergeCell ref="F4:F5"/>
    <mergeCell ref="J4:J5"/>
    <mergeCell ref="A4:A5"/>
    <mergeCell ref="B4:B5"/>
    <mergeCell ref="D4:D5"/>
    <mergeCell ref="E4:E5"/>
    <mergeCell ref="G4:G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PRORRATEO</vt:lpstr>
      <vt:lpstr>PRORRATEO!Área_de_impresión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2025-01-16T13:58:19Z</cp:lastPrinted>
  <dcterms:created xsi:type="dcterms:W3CDTF">2025-01-16T13:41:32Z</dcterms:created>
  <dcterms:modified xsi:type="dcterms:W3CDTF">2025-01-16T13:58:43Z</dcterms:modified>
</cp:coreProperties>
</file>