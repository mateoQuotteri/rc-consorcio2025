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istema\Desktop\rc-consorcio2025\BRISAS\"/>
    </mc:Choice>
  </mc:AlternateContent>
  <xr:revisionPtr revIDLastSave="0" documentId="13_ncr:1_{28BBB3E9-D3EE-4538-A5E4-0B757E2CFE19}" xr6:coauthVersionLast="47" xr6:coauthVersionMax="47" xr10:uidLastSave="{00000000-0000-0000-0000-000000000000}"/>
  <bookViews>
    <workbookView xWindow="-108" yWindow="-108" windowWidth="23256" windowHeight="12576" xr2:uid="{7EB84557-67D6-4B01-9FBB-F2CD580353DF}"/>
  </bookViews>
  <sheets>
    <sheet name="Hoja1" sheetId="1" r:id="rId1"/>
  </sheets>
  <definedNames>
    <definedName name="_xlnm.Print_Area" localSheetId="0">Hoja1!$E$2:$I$242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225" i="1" l="1"/>
  <c r="F221" i="1" s="1"/>
  <c r="I221" i="1" l="1"/>
  <c r="F198" i="1"/>
  <c r="I198" i="1" l="1"/>
  <c r="L179" i="1"/>
  <c r="F175" i="1" s="1"/>
  <c r="I175" i="1" l="1"/>
  <c r="F152" i="1"/>
  <c r="I152" i="1" l="1"/>
  <c r="F129" i="1"/>
  <c r="I129" i="1" l="1"/>
  <c r="F106" i="1"/>
  <c r="I106" i="1" l="1"/>
  <c r="F83" i="1"/>
  <c r="I83" i="1" l="1"/>
  <c r="F60" i="1"/>
  <c r="I60" i="1" l="1"/>
  <c r="I37" i="1" l="1"/>
  <c r="F14" i="1"/>
  <c r="I14" i="1" s="1"/>
</calcChain>
</file>

<file path=xl/sharedStrings.xml><?xml version="1.0" encoding="utf-8"?>
<sst xmlns="http://schemas.openxmlformats.org/spreadsheetml/2006/main" count="61" uniqueCount="16">
  <si>
    <t>Mes de Junio del 2025:</t>
  </si>
  <si>
    <t>Mes de Julio del 2025:</t>
  </si>
  <si>
    <t>Mes de Agosto del 2025:</t>
  </si>
  <si>
    <t>Mes de Septiembre del 2025:</t>
  </si>
  <si>
    <t>Mes de Octubre del 2025:</t>
  </si>
  <si>
    <t>Mes de Noviembre del 2025:</t>
  </si>
  <si>
    <t>Mes de Diciembre del 2025:</t>
  </si>
  <si>
    <t>Mes de Enero del 2026:</t>
  </si>
  <si>
    <t>Total de gastos ordinarios</t>
  </si>
  <si>
    <t>Gastos en seguridad</t>
  </si>
  <si>
    <t>Gastos en mantenimiento de alumbrado - limpieza y servicios mensuales</t>
  </si>
  <si>
    <t xml:space="preserve">Gastos en mantenimiento general </t>
  </si>
  <si>
    <t>Otros</t>
  </si>
  <si>
    <t>Mes de Febrero del 2026:</t>
  </si>
  <si>
    <t>Mes de Marzo del 2026:</t>
  </si>
  <si>
    <t>En el presente informe se analizan exclusivamente los gastos ordinarios correspondientes al período, sin considerar erogaciones extraordinarias o de otra índole. El objetivo es brindar una visión clara sobre los costos operativos habituales necesarios para el funcionamiento y mantenimiento del barrio.
Dentro de los gastos relevados, se identifican tres grandes categorías: gastos en seguridad, mantenimiento de servicios mensuales y mantenimiento general.
En primer lugar, los gastos en seguridad comprenden los servicios prestados por GOLD, incluyendo el servicio de seguridad principal, así como también el servicio Polad y los servicios de seguridad asociados al uso del SUM.
Por otro lado, los gastos de mantenimiento de servicios mensuales incluyen aquellas erogaciones recurrentes necesarias para el correcto funcionamiento de la infraestructura y la salubridad del barrio. Dentro de esta categoría se encuentran, entre otras cosas, el abono de mantenimiento de la planta de tratamiento (OMS), los análisis de agua realizados por Induser, los servicios de fumigación y mantenimiento de espacios comunes a cargo de Armella Cristian, la recolección de residuos por parte de Recicla Brown y Covelia S.A., los servicios de contenedores y descarga brindados por Vázquez, el servicio de higiene y seguridad, así como también el alquiler de vehículos eléctricos y volquetes utilizados para tareas operativas.
Finalmente, los gastos de mantenimiento general comprenden intervenciones no necesariamente periódicas, vinculadas a mejoras, reparaciones y adquisición de insumos. En esta categoría se incluyen trabajos de mantenimiento edilicio, compra de materiales, intervenciones eléctricas en luminarias y servicios del barrio, reparaciones en cañerías, instalación de sistemas de seguridad como cercos eléctricos, trabajos de herrería, cierre de espacios comunes, adquisición de artículos de limpieza, cerrajería, insumos técnicos, copias gráficas y otros gastos asociados al mantenimiento integral de las instalaciones.
En conjunto, estos gastos reflejan la estructura operativa necesaria para garantizar el funcionamiento, la seguridad y la calidad de vida dentro del barrio, permitiendo identificar tanto los costos recurrentes como aquellas inversiones destinadas a mejoras y mantenimiento correctivo.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</si>
</sst>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 #,##0.00_-;\-&quot;$&quot;\ * #,##0.00_-;_-&quot;$&quot;\ * &quot;-&quot;??_-;_-@_-"/>
  </numFmts>
  <fonts count="5"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name val="Calibri"/>
      <family val="2"/>
      <scheme val="minor"/>
    </font>
  </fonts>
  <fills count="9">
    <fill>
      <patternFill patternType="none"/>
    </fill>
    <fill>
      <patternFill patternType="gray125"/>
    </fill>
    <fill>
      <patternFill patternType="solid">
        <fgColor theme="4"/>
        <bgColor indexed="64"/>
      </patternFill>
    </fill>
    <fill>
      <patternFill patternType="solid">
        <fgColor theme="5"/>
        <bgColor indexed="64"/>
      </patternFill>
    </fill>
    <fill>
      <patternFill patternType="solid">
        <fgColor theme="0" tint="-0.14999847407452621"/>
        <bgColor indexed="64"/>
      </patternFill>
    </fill>
    <fill>
      <patternFill patternType="solid">
        <fgColor rgb="FFFFFF00"/>
        <bgColor indexed="64"/>
      </patternFill>
    </fill>
    <fill>
      <patternFill patternType="solid">
        <fgColor theme="7" tint="0.39997558519241921"/>
        <bgColor indexed="64"/>
      </patternFill>
    </fill>
    <fill>
      <patternFill patternType="solid">
        <fgColor rgb="FF00FF00"/>
        <bgColor indexed="64"/>
      </patternFill>
    </fill>
    <fill>
      <patternFill patternType="solid">
        <fgColor theme="0"/>
        <bgColor indexed="64"/>
      </patternFill>
    </fill>
  </fills>
  <borders count="1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31">
    <xf numFmtId="0" fontId="0" fillId="0" borderId="0" xfId="0"/>
    <xf numFmtId="44" fontId="0" fillId="0" borderId="0" xfId="0" applyNumberFormat="1"/>
    <xf numFmtId="0" fontId="3" fillId="7" borderId="1" xfId="0" applyFont="1" applyFill="1" applyBorder="1" applyAlignment="1">
      <alignment horizontal="center"/>
    </xf>
    <xf numFmtId="0" fontId="3" fillId="7" borderId="2" xfId="0" applyFont="1" applyFill="1" applyBorder="1" applyAlignment="1">
      <alignment horizontal="center"/>
    </xf>
    <xf numFmtId="0" fontId="3" fillId="7" borderId="3" xfId="0" applyFont="1" applyFill="1" applyBorder="1" applyAlignment="1">
      <alignment horizontal="center"/>
    </xf>
    <xf numFmtId="0" fontId="3" fillId="0" borderId="4" xfId="0" applyFont="1" applyBorder="1" applyAlignment="1">
      <alignment vertical="center"/>
    </xf>
    <xf numFmtId="0" fontId="2" fillId="2" borderId="0" xfId="0" applyFont="1" applyFill="1" applyBorder="1" applyAlignment="1">
      <alignment vertical="center"/>
    </xf>
    <xf numFmtId="0" fontId="2" fillId="3" borderId="0" xfId="0" applyFont="1" applyFill="1" applyBorder="1" applyAlignment="1">
      <alignment wrapText="1"/>
    </xf>
    <xf numFmtId="0" fontId="3" fillId="4" borderId="0" xfId="0" applyFont="1" applyFill="1" applyBorder="1" applyAlignment="1">
      <alignment vertical="center" wrapText="1"/>
    </xf>
    <xf numFmtId="0" fontId="3" fillId="6" borderId="5" xfId="0" applyFont="1" applyFill="1" applyBorder="1" applyAlignment="1">
      <alignment vertical="center"/>
    </xf>
    <xf numFmtId="44" fontId="3" fillId="0" borderId="4" xfId="1" applyFont="1" applyBorder="1"/>
    <xf numFmtId="44" fontId="2" fillId="3" borderId="0" xfId="1" applyFont="1" applyFill="1" applyBorder="1"/>
    <xf numFmtId="44" fontId="3" fillId="4" borderId="0" xfId="1" applyFont="1" applyFill="1" applyBorder="1"/>
    <xf numFmtId="44" fontId="3" fillId="6" borderId="5" xfId="0" applyNumberFormat="1" applyFont="1" applyFill="1" applyBorder="1"/>
    <xf numFmtId="44" fontId="0" fillId="0" borderId="4" xfId="1" applyFont="1" applyBorder="1"/>
    <xf numFmtId="44" fontId="0" fillId="0" borderId="0" xfId="1" applyFont="1" applyBorder="1"/>
    <xf numFmtId="44" fontId="0" fillId="0" borderId="5" xfId="0" applyNumberFormat="1" applyBorder="1"/>
    <xf numFmtId="44" fontId="0" fillId="0" borderId="6" xfId="1" applyFont="1" applyBorder="1"/>
    <xf numFmtId="44" fontId="0" fillId="0" borderId="7" xfId="1" applyFont="1" applyBorder="1"/>
    <xf numFmtId="44" fontId="0" fillId="0" borderId="8" xfId="0" applyNumberFormat="1" applyBorder="1"/>
    <xf numFmtId="44" fontId="2" fillId="2" borderId="0" xfId="1" applyFont="1" applyFill="1" applyBorder="1"/>
    <xf numFmtId="44" fontId="4" fillId="8" borderId="9" xfId="1" applyFont="1" applyFill="1" applyBorder="1"/>
    <xf numFmtId="0" fontId="3" fillId="5" borderId="1" xfId="0" applyFont="1" applyFill="1" applyBorder="1" applyAlignment="1">
      <alignment horizontal="left" vertical="center" wrapText="1"/>
    </xf>
    <xf numFmtId="0" fontId="3" fillId="5" borderId="2" xfId="0" applyFont="1" applyFill="1" applyBorder="1" applyAlignment="1">
      <alignment horizontal="left" vertical="center"/>
    </xf>
    <xf numFmtId="0" fontId="3" fillId="5" borderId="3" xfId="0" applyFont="1" applyFill="1" applyBorder="1" applyAlignment="1">
      <alignment horizontal="left" vertical="center"/>
    </xf>
    <xf numFmtId="0" fontId="3" fillId="5" borderId="4" xfId="0" applyFont="1" applyFill="1" applyBorder="1" applyAlignment="1">
      <alignment horizontal="left" vertical="center"/>
    </xf>
    <xf numFmtId="0" fontId="3" fillId="5" borderId="0" xfId="0" applyFont="1" applyFill="1" applyBorder="1" applyAlignment="1">
      <alignment horizontal="left" vertical="center"/>
    </xf>
    <xf numFmtId="0" fontId="3" fillId="5" borderId="5" xfId="0" applyFont="1" applyFill="1" applyBorder="1" applyAlignment="1">
      <alignment horizontal="left" vertical="center"/>
    </xf>
    <xf numFmtId="0" fontId="3" fillId="5" borderId="6" xfId="0" applyFont="1" applyFill="1" applyBorder="1" applyAlignment="1">
      <alignment horizontal="left" vertical="center"/>
    </xf>
    <xf numFmtId="0" fontId="3" fillId="5" borderId="7" xfId="0" applyFont="1" applyFill="1" applyBorder="1" applyAlignment="1">
      <alignment horizontal="left" vertical="center"/>
    </xf>
    <xf numFmtId="0" fontId="3" fillId="5" borderId="8" xfId="0" applyFont="1" applyFill="1" applyBorder="1" applyAlignment="1">
      <alignment horizontal="left" vertical="center"/>
    </xf>
  </cellXfs>
  <cellStyles count="2">
    <cellStyle name="Moneda" xfId="1" builtinId="4"/>
    <cellStyle name="Normal" xfId="0" builtinId="0"/>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AR"/>
              <a:t>Gastos del mes - Grafico</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AR"/>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AR"/>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Hoja1!$F$13:$I$13</c:f>
              <c:strCache>
                <c:ptCount val="4"/>
                <c:pt idx="0">
                  <c:v>Gastos en seguridad</c:v>
                </c:pt>
                <c:pt idx="1">
                  <c:v>Gastos en mantenimiento de alumbrado - limpieza y servicios mensuales</c:v>
                </c:pt>
                <c:pt idx="2">
                  <c:v>Gastos en mantenimiento general </c:v>
                </c:pt>
                <c:pt idx="3">
                  <c:v>Otros</c:v>
                </c:pt>
              </c:strCache>
            </c:strRef>
          </c:cat>
          <c:val>
            <c:numRef>
              <c:f>Hoja1!$F$14:$I$14</c:f>
              <c:numCache>
                <c:formatCode>_("$"* #,##0.00_);_("$"* \(#,##0.00\);_("$"* "-"??_);_(@_)</c:formatCode>
                <c:ptCount val="4"/>
                <c:pt idx="0">
                  <c:v>44969253.160000004</c:v>
                </c:pt>
                <c:pt idx="1">
                  <c:v>10561534.51</c:v>
                </c:pt>
                <c:pt idx="2">
                  <c:v>1246001.6000000001</c:v>
                </c:pt>
                <c:pt idx="3">
                  <c:v>6234229.549999997</c:v>
                </c:pt>
              </c:numCache>
            </c:numRef>
          </c:val>
          <c:extLst>
            <c:ext xmlns:c16="http://schemas.microsoft.com/office/drawing/2014/chart" uri="{C3380CC4-5D6E-409C-BE32-E72D297353CC}">
              <c16:uniqueId val="{00000000-2F2A-4A9F-9FF3-2B0B8E3C0E1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AR"/>
              <a:t>Gastos del mes - Grafico</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AR"/>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53C-457C-971A-52F659071D4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53C-457C-971A-52F659071D4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53C-457C-971A-52F659071D4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53C-457C-971A-52F659071D49}"/>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AR"/>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Hoja1!$F$59:$I$59</c:f>
              <c:strCache>
                <c:ptCount val="4"/>
                <c:pt idx="0">
                  <c:v>Gastos en seguridad</c:v>
                </c:pt>
                <c:pt idx="1">
                  <c:v>Gastos en mantenimiento de alumbrado - limpieza y servicios mensuales</c:v>
                </c:pt>
                <c:pt idx="2">
                  <c:v>Gastos en mantenimiento general </c:v>
                </c:pt>
                <c:pt idx="3">
                  <c:v>Otros</c:v>
                </c:pt>
              </c:strCache>
            </c:strRef>
          </c:cat>
          <c:val>
            <c:numRef>
              <c:f>Hoja1!$F$60:$I$60</c:f>
              <c:numCache>
                <c:formatCode>_("$"* #,##0.00_);_("$"* \(#,##0.00\);_("$"* "-"??_);_(@_)</c:formatCode>
                <c:ptCount val="4"/>
                <c:pt idx="0">
                  <c:v>45044639.920000002</c:v>
                </c:pt>
                <c:pt idx="1">
                  <c:v>16392017.369999999</c:v>
                </c:pt>
                <c:pt idx="2">
                  <c:v>2904854.65</c:v>
                </c:pt>
                <c:pt idx="3">
                  <c:v>5817228.2899999879</c:v>
                </c:pt>
              </c:numCache>
            </c:numRef>
          </c:val>
          <c:extLst>
            <c:ext xmlns:c16="http://schemas.microsoft.com/office/drawing/2014/chart" uri="{C3380CC4-5D6E-409C-BE32-E72D297353CC}">
              <c16:uniqueId val="{00000008-953C-457C-971A-52F659071D49}"/>
            </c:ext>
          </c:extLst>
        </c:ser>
        <c:dLbls>
          <c:dLblPos val="ctr"/>
          <c:showLegendKey val="0"/>
          <c:showVal val="0"/>
          <c:showCatName val="0"/>
          <c:showSerName val="0"/>
          <c:showPercent val="1"/>
          <c:showBubbleSize val="0"/>
          <c:showLeaderLines val="1"/>
        </c:dLbls>
        <c:firstSliceAng val="0"/>
      </c:pieChart>
      <c:spPr>
        <a:noFill/>
        <a:ln w="25400">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AR"/>
              <a:t>Gastos del mes - Grafico</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AR"/>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D13-4D61-B33F-C607539294B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D13-4D61-B33F-C607539294B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D13-4D61-B33F-C607539294B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D13-4D61-B33F-C607539294B1}"/>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AR"/>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Hoja1!$F$82:$I$82</c:f>
              <c:strCache>
                <c:ptCount val="4"/>
                <c:pt idx="0">
                  <c:v>Gastos en seguridad</c:v>
                </c:pt>
                <c:pt idx="1">
                  <c:v>Gastos en mantenimiento de alumbrado - limpieza y servicios mensuales</c:v>
                </c:pt>
                <c:pt idx="2">
                  <c:v>Gastos en mantenimiento general </c:v>
                </c:pt>
                <c:pt idx="3">
                  <c:v>Otros</c:v>
                </c:pt>
              </c:strCache>
            </c:strRef>
          </c:cat>
          <c:val>
            <c:numRef>
              <c:f>Hoja1!$F$83:$I$83</c:f>
              <c:numCache>
                <c:formatCode>_("$"* #,##0.00_);_("$"* \(#,##0.00\);_("$"* "-"??_);_(@_)</c:formatCode>
                <c:ptCount val="4"/>
                <c:pt idx="0">
                  <c:v>49471091.640000001</c:v>
                </c:pt>
                <c:pt idx="1">
                  <c:v>18032025.630000003</c:v>
                </c:pt>
                <c:pt idx="2">
                  <c:v>3707253.83</c:v>
                </c:pt>
                <c:pt idx="3">
                  <c:v>6785564.0500000026</c:v>
                </c:pt>
              </c:numCache>
            </c:numRef>
          </c:val>
          <c:extLst>
            <c:ext xmlns:c16="http://schemas.microsoft.com/office/drawing/2014/chart" uri="{C3380CC4-5D6E-409C-BE32-E72D297353CC}">
              <c16:uniqueId val="{00000008-3D13-4D61-B33F-C607539294B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AR"/>
              <a:t>Grafico</a:t>
            </a:r>
            <a:r>
              <a:rPr lang="es-AR" baseline="0"/>
              <a:t> gastos del mes</a:t>
            </a:r>
            <a:endParaRPr lang="es-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AR"/>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AR"/>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Hoja1!$F$36:$I$36</c:f>
              <c:strCache>
                <c:ptCount val="4"/>
                <c:pt idx="0">
                  <c:v>Gastos en seguridad</c:v>
                </c:pt>
                <c:pt idx="1">
                  <c:v>Gastos en mantenimiento de alumbrado - limpieza y servicios mensuales</c:v>
                </c:pt>
                <c:pt idx="2">
                  <c:v>Gastos en mantenimiento general </c:v>
                </c:pt>
                <c:pt idx="3">
                  <c:v>Otros</c:v>
                </c:pt>
              </c:strCache>
            </c:strRef>
          </c:cat>
          <c:val>
            <c:numRef>
              <c:f>Hoja1!$F$37:$I$37</c:f>
              <c:numCache>
                <c:formatCode>_("$"* #,##0.00_);_("$"* \(#,##0.00\);_("$"* "-"??_);_(@_)</c:formatCode>
                <c:ptCount val="4"/>
                <c:pt idx="0">
                  <c:v>43411233.600000001</c:v>
                </c:pt>
                <c:pt idx="1">
                  <c:v>13603530.51</c:v>
                </c:pt>
                <c:pt idx="2">
                  <c:v>2843872.75</c:v>
                </c:pt>
                <c:pt idx="3">
                  <c:v>6075216.5499999952</c:v>
                </c:pt>
              </c:numCache>
            </c:numRef>
          </c:val>
          <c:extLst>
            <c:ext xmlns:c16="http://schemas.microsoft.com/office/drawing/2014/chart" uri="{C3380CC4-5D6E-409C-BE32-E72D297353CC}">
              <c16:uniqueId val="{00000000-29D9-4658-A7FE-BBBB4E43001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AR"/>
              <a:t>Gastos del mes - Grafico</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AR"/>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2B6-4470-81A9-67D3ACE17D9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2B6-4470-81A9-67D3ACE17D9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2B6-4470-81A9-67D3ACE17D9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2B6-4470-81A9-67D3ACE17D95}"/>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AR"/>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Hoja1!$F$105:$I$105</c:f>
              <c:strCache>
                <c:ptCount val="4"/>
                <c:pt idx="0">
                  <c:v>Gastos en seguridad</c:v>
                </c:pt>
                <c:pt idx="1">
                  <c:v>Gastos en mantenimiento de alumbrado - limpieza y servicios mensuales</c:v>
                </c:pt>
                <c:pt idx="2">
                  <c:v>Gastos en mantenimiento general </c:v>
                </c:pt>
                <c:pt idx="3">
                  <c:v>Otros</c:v>
                </c:pt>
              </c:strCache>
            </c:strRef>
          </c:cat>
          <c:val>
            <c:numRef>
              <c:f>Hoja1!$F$106:$I$106</c:f>
              <c:numCache>
                <c:formatCode>_("$"* #,##0.00_);_("$"* \(#,##0.00\);_("$"* "-"??_);_(@_)</c:formatCode>
                <c:ptCount val="4"/>
                <c:pt idx="0">
                  <c:v>47984566.18</c:v>
                </c:pt>
                <c:pt idx="1">
                  <c:v>22814884.360000003</c:v>
                </c:pt>
                <c:pt idx="2">
                  <c:v>5709108.2299999995</c:v>
                </c:pt>
                <c:pt idx="3">
                  <c:v>6967879.3000000054</c:v>
                </c:pt>
              </c:numCache>
            </c:numRef>
          </c:val>
          <c:extLst>
            <c:ext xmlns:c16="http://schemas.microsoft.com/office/drawing/2014/chart" uri="{C3380CC4-5D6E-409C-BE32-E72D297353CC}">
              <c16:uniqueId val="{00000008-42B6-4470-81A9-67D3ACE17D9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AR"/>
              <a:t>Gastos del mes - Grafico</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AR"/>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6AD-46BD-AFEF-2D25E302B13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6AD-46BD-AFEF-2D25E302B13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6AD-46BD-AFEF-2D25E302B13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6AD-46BD-AFEF-2D25E302B13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AR"/>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Hoja1!$F$128:$I$128</c:f>
              <c:strCache>
                <c:ptCount val="4"/>
                <c:pt idx="0">
                  <c:v>Gastos en seguridad</c:v>
                </c:pt>
                <c:pt idx="1">
                  <c:v>Gastos en mantenimiento de alumbrado - limpieza y servicios mensuales</c:v>
                </c:pt>
                <c:pt idx="2">
                  <c:v>Gastos en mantenimiento general </c:v>
                </c:pt>
                <c:pt idx="3">
                  <c:v>Otros</c:v>
                </c:pt>
              </c:strCache>
            </c:strRef>
          </c:cat>
          <c:val>
            <c:numRef>
              <c:f>Hoja1!$F$129:$I$129</c:f>
              <c:numCache>
                <c:formatCode>_("$"* #,##0.00_);_("$"* \(#,##0.00\);_("$"* "-"??_);_(@_)</c:formatCode>
                <c:ptCount val="4"/>
                <c:pt idx="0">
                  <c:v>49980438.93</c:v>
                </c:pt>
                <c:pt idx="1">
                  <c:v>17041143.120000001</c:v>
                </c:pt>
                <c:pt idx="2">
                  <c:v>11711220.280000001</c:v>
                </c:pt>
                <c:pt idx="3">
                  <c:v>7978056.9499999993</c:v>
                </c:pt>
              </c:numCache>
            </c:numRef>
          </c:val>
          <c:extLst>
            <c:ext xmlns:c16="http://schemas.microsoft.com/office/drawing/2014/chart" uri="{C3380CC4-5D6E-409C-BE32-E72D297353CC}">
              <c16:uniqueId val="{00000008-C6AD-46BD-AFEF-2D25E302B13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AR"/>
              <a:t>Gastos del mes - Grafico</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AR"/>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9A4-4E07-ACB2-B132DE8BEF5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9A4-4E07-ACB2-B132DE8BEF5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9A4-4E07-ACB2-B132DE8BEF5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9A4-4E07-ACB2-B132DE8BEF55}"/>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AR"/>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Hoja1!$F$151:$I$151</c:f>
              <c:strCache>
                <c:ptCount val="4"/>
                <c:pt idx="0">
                  <c:v>Gastos en seguridad</c:v>
                </c:pt>
                <c:pt idx="1">
                  <c:v>Gastos en mantenimiento de alumbrado - limpieza y servicios mensuales</c:v>
                </c:pt>
                <c:pt idx="2">
                  <c:v>Gastos en mantenimiento general </c:v>
                </c:pt>
                <c:pt idx="3">
                  <c:v>Otros</c:v>
                </c:pt>
              </c:strCache>
            </c:strRef>
          </c:cat>
          <c:val>
            <c:numRef>
              <c:f>Hoja1!$F$152:$I$152</c:f>
              <c:numCache>
                <c:formatCode>_("$"* #,##0.00_);_("$"* \(#,##0.00\);_("$"* "-"??_);_(@_)</c:formatCode>
                <c:ptCount val="4"/>
                <c:pt idx="0">
                  <c:v>48224480.760000005</c:v>
                </c:pt>
                <c:pt idx="1">
                  <c:v>11746002.34</c:v>
                </c:pt>
                <c:pt idx="2">
                  <c:v>13578662.370000001</c:v>
                </c:pt>
                <c:pt idx="3">
                  <c:v>7126818.4499999955</c:v>
                </c:pt>
              </c:numCache>
            </c:numRef>
          </c:val>
          <c:extLst>
            <c:ext xmlns:c16="http://schemas.microsoft.com/office/drawing/2014/chart" uri="{C3380CC4-5D6E-409C-BE32-E72D297353CC}">
              <c16:uniqueId val="{00000008-69A4-4E07-ACB2-B132DE8BEF5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AR"/>
              <a:t>Gastos del mes - Grafico</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AR"/>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748-408D-ACD8-A3EBA0D5240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748-408D-ACD8-A3EBA0D5240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748-408D-ACD8-A3EBA0D5240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748-408D-ACD8-A3EBA0D5240C}"/>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AR"/>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Hoja1!$F$174:$I$174</c:f>
              <c:strCache>
                <c:ptCount val="4"/>
                <c:pt idx="0">
                  <c:v>Gastos en seguridad</c:v>
                </c:pt>
                <c:pt idx="1">
                  <c:v>Gastos en mantenimiento de alumbrado - limpieza y servicios mensuales</c:v>
                </c:pt>
                <c:pt idx="2">
                  <c:v>Gastos en mantenimiento general </c:v>
                </c:pt>
                <c:pt idx="3">
                  <c:v>Otros</c:v>
                </c:pt>
              </c:strCache>
            </c:strRef>
          </c:cat>
          <c:val>
            <c:numRef>
              <c:f>Hoja1!$F$175:$I$175</c:f>
              <c:numCache>
                <c:formatCode>_("$"* #,##0.00_);_("$"* \(#,##0.00\);_("$"* "-"??_);_(@_)</c:formatCode>
                <c:ptCount val="4"/>
                <c:pt idx="0">
                  <c:v>50221389.120000005</c:v>
                </c:pt>
                <c:pt idx="1">
                  <c:v>11850576.77</c:v>
                </c:pt>
                <c:pt idx="2">
                  <c:v>11725179.75</c:v>
                </c:pt>
                <c:pt idx="3">
                  <c:v>10841043.389999997</c:v>
                </c:pt>
              </c:numCache>
            </c:numRef>
          </c:val>
          <c:extLst>
            <c:ext xmlns:c16="http://schemas.microsoft.com/office/drawing/2014/chart" uri="{C3380CC4-5D6E-409C-BE32-E72D297353CC}">
              <c16:uniqueId val="{00000008-D748-408D-ACD8-A3EBA0D5240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AR"/>
              <a:t>Gastos del mes - Grafico</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AR"/>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D44-47FA-8FC8-E483D0DE308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D44-47FA-8FC8-E483D0DE308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D44-47FA-8FC8-E483D0DE308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D44-47FA-8FC8-E483D0DE308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AR"/>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Hoja1!$F$197:$I$197</c:f>
              <c:strCache>
                <c:ptCount val="4"/>
                <c:pt idx="0">
                  <c:v>Gastos en seguridad</c:v>
                </c:pt>
                <c:pt idx="1">
                  <c:v>Gastos en mantenimiento de alumbrado - limpieza y servicios mensuales</c:v>
                </c:pt>
                <c:pt idx="2">
                  <c:v>Gastos en mantenimiento general </c:v>
                </c:pt>
                <c:pt idx="3">
                  <c:v>Otros</c:v>
                </c:pt>
              </c:strCache>
            </c:strRef>
          </c:cat>
          <c:val>
            <c:numRef>
              <c:f>Hoja1!$F$198:$I$198</c:f>
              <c:numCache>
                <c:formatCode>_("$"* #,##0.00_);_("$"* \(#,##0.00\);_("$"* "-"??_);_(@_)</c:formatCode>
                <c:ptCount val="4"/>
                <c:pt idx="0">
                  <c:v>49772051.810000002</c:v>
                </c:pt>
                <c:pt idx="1">
                  <c:v>22145464.649999999</c:v>
                </c:pt>
                <c:pt idx="2">
                  <c:v>13633480.389999999</c:v>
                </c:pt>
                <c:pt idx="3">
                  <c:v>7172516.7700000051</c:v>
                </c:pt>
              </c:numCache>
            </c:numRef>
          </c:val>
          <c:extLst>
            <c:ext xmlns:c16="http://schemas.microsoft.com/office/drawing/2014/chart" uri="{C3380CC4-5D6E-409C-BE32-E72D297353CC}">
              <c16:uniqueId val="{00000008-FD44-47FA-8FC8-E483D0DE308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A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AR"/>
              <a:t>Gastos del mes - Grafico</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AR"/>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190-48B1-8AF3-060A2669EBF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190-48B1-8AF3-060A2669EBF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190-48B1-8AF3-060A2669EBF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190-48B1-8AF3-060A2669EBFE}"/>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AR"/>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Hoja1!$F$220:$I$220</c:f>
              <c:strCache>
                <c:ptCount val="4"/>
                <c:pt idx="0">
                  <c:v>Gastos en seguridad</c:v>
                </c:pt>
                <c:pt idx="1">
                  <c:v>Gastos en mantenimiento de alumbrado - limpieza y servicios mensuales</c:v>
                </c:pt>
                <c:pt idx="2">
                  <c:v>Gastos en mantenimiento general </c:v>
                </c:pt>
                <c:pt idx="3">
                  <c:v>Otros</c:v>
                </c:pt>
              </c:strCache>
            </c:strRef>
          </c:cat>
          <c:val>
            <c:numRef>
              <c:f>Hoja1!$F$221:$I$221</c:f>
              <c:numCache>
                <c:formatCode>_("$"* #,##0.00_);_("$"* \(#,##0.00\);_("$"* "-"??_);_(@_)</c:formatCode>
                <c:ptCount val="4"/>
                <c:pt idx="0">
                  <c:v>47688643.900000006</c:v>
                </c:pt>
                <c:pt idx="1">
                  <c:v>11730396.390000001</c:v>
                </c:pt>
                <c:pt idx="2">
                  <c:v>15842869.469999999</c:v>
                </c:pt>
                <c:pt idx="3">
                  <c:v>13384343.710000008</c:v>
                </c:pt>
              </c:numCache>
            </c:numRef>
          </c:val>
          <c:extLst>
            <c:ext xmlns:c16="http://schemas.microsoft.com/office/drawing/2014/chart" uri="{C3380CC4-5D6E-409C-BE32-E72D297353CC}">
              <c16:uniqueId val="{00000008-E190-48B1-8AF3-060A2669EBF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1493520</xdr:colOff>
      <xdr:row>14</xdr:row>
      <xdr:rowOff>140970</xdr:rowOff>
    </xdr:from>
    <xdr:to>
      <xdr:col>7</xdr:col>
      <xdr:colOff>1120140</xdr:colOff>
      <xdr:row>32</xdr:row>
      <xdr:rowOff>160020</xdr:rowOff>
    </xdr:to>
    <xdr:graphicFrame macro="">
      <xdr:nvGraphicFramePr>
        <xdr:cNvPr id="2" name="Gráfico 1">
          <a:extLst>
            <a:ext uri="{FF2B5EF4-FFF2-40B4-BE49-F238E27FC236}">
              <a16:creationId xmlns:a16="http://schemas.microsoft.com/office/drawing/2014/main" id="{C0E10FF1-E321-D91D-AD54-0FD6249EB3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1493520</xdr:colOff>
      <xdr:row>60</xdr:row>
      <xdr:rowOff>140970</xdr:rowOff>
    </xdr:from>
    <xdr:to>
      <xdr:col>7</xdr:col>
      <xdr:colOff>1120140</xdr:colOff>
      <xdr:row>78</xdr:row>
      <xdr:rowOff>160020</xdr:rowOff>
    </xdr:to>
    <xdr:graphicFrame macro="">
      <xdr:nvGraphicFramePr>
        <xdr:cNvPr id="4" name="Gráfico 3">
          <a:extLst>
            <a:ext uri="{FF2B5EF4-FFF2-40B4-BE49-F238E27FC236}">
              <a16:creationId xmlns:a16="http://schemas.microsoft.com/office/drawing/2014/main" id="{E412603C-3780-4179-B012-7B9787A7F8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1493520</xdr:colOff>
      <xdr:row>83</xdr:row>
      <xdr:rowOff>140970</xdr:rowOff>
    </xdr:from>
    <xdr:to>
      <xdr:col>7</xdr:col>
      <xdr:colOff>1120140</xdr:colOff>
      <xdr:row>101</xdr:row>
      <xdr:rowOff>160020</xdr:rowOff>
    </xdr:to>
    <xdr:graphicFrame macro="">
      <xdr:nvGraphicFramePr>
        <xdr:cNvPr id="6" name="Gráfico 5">
          <a:extLst>
            <a:ext uri="{FF2B5EF4-FFF2-40B4-BE49-F238E27FC236}">
              <a16:creationId xmlns:a16="http://schemas.microsoft.com/office/drawing/2014/main" id="{9A24249C-9CA9-47A2-8D2B-A6F7F433E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1432560</xdr:colOff>
      <xdr:row>38</xdr:row>
      <xdr:rowOff>83820</xdr:rowOff>
    </xdr:from>
    <xdr:to>
      <xdr:col>7</xdr:col>
      <xdr:colOff>1234440</xdr:colOff>
      <xdr:row>56</xdr:row>
      <xdr:rowOff>38100</xdr:rowOff>
    </xdr:to>
    <xdr:graphicFrame macro="">
      <xdr:nvGraphicFramePr>
        <xdr:cNvPr id="7" name="Gráfico 6">
          <a:extLst>
            <a:ext uri="{FF2B5EF4-FFF2-40B4-BE49-F238E27FC236}">
              <a16:creationId xmlns:a16="http://schemas.microsoft.com/office/drawing/2014/main" id="{D4DAAD36-EA0A-AAF0-EEDB-9C57C4AA77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1493520</xdr:colOff>
      <xdr:row>106</xdr:row>
      <xdr:rowOff>140970</xdr:rowOff>
    </xdr:from>
    <xdr:to>
      <xdr:col>7</xdr:col>
      <xdr:colOff>1120140</xdr:colOff>
      <xdr:row>124</xdr:row>
      <xdr:rowOff>160020</xdr:rowOff>
    </xdr:to>
    <xdr:graphicFrame macro="">
      <xdr:nvGraphicFramePr>
        <xdr:cNvPr id="8" name="Gráfico 7">
          <a:extLst>
            <a:ext uri="{FF2B5EF4-FFF2-40B4-BE49-F238E27FC236}">
              <a16:creationId xmlns:a16="http://schemas.microsoft.com/office/drawing/2014/main" id="{D551634E-CC98-444C-A5C4-81F1361B0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1493520</xdr:colOff>
      <xdr:row>129</xdr:row>
      <xdr:rowOff>140970</xdr:rowOff>
    </xdr:from>
    <xdr:to>
      <xdr:col>7</xdr:col>
      <xdr:colOff>1120140</xdr:colOff>
      <xdr:row>147</xdr:row>
      <xdr:rowOff>160020</xdr:rowOff>
    </xdr:to>
    <xdr:graphicFrame macro="">
      <xdr:nvGraphicFramePr>
        <xdr:cNvPr id="9" name="Gráfico 8">
          <a:extLst>
            <a:ext uri="{FF2B5EF4-FFF2-40B4-BE49-F238E27FC236}">
              <a16:creationId xmlns:a16="http://schemas.microsoft.com/office/drawing/2014/main" id="{7986F773-21D1-4708-85C0-13E2195281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1493520</xdr:colOff>
      <xdr:row>152</xdr:row>
      <xdr:rowOff>140970</xdr:rowOff>
    </xdr:from>
    <xdr:to>
      <xdr:col>7</xdr:col>
      <xdr:colOff>1120140</xdr:colOff>
      <xdr:row>170</xdr:row>
      <xdr:rowOff>160020</xdr:rowOff>
    </xdr:to>
    <xdr:graphicFrame macro="">
      <xdr:nvGraphicFramePr>
        <xdr:cNvPr id="10" name="Gráfico 9">
          <a:extLst>
            <a:ext uri="{FF2B5EF4-FFF2-40B4-BE49-F238E27FC236}">
              <a16:creationId xmlns:a16="http://schemas.microsoft.com/office/drawing/2014/main" id="{18C3EAFD-D2E9-4465-BD80-052E3CEDE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1493520</xdr:colOff>
      <xdr:row>175</xdr:row>
      <xdr:rowOff>140970</xdr:rowOff>
    </xdr:from>
    <xdr:to>
      <xdr:col>7</xdr:col>
      <xdr:colOff>1120140</xdr:colOff>
      <xdr:row>193</xdr:row>
      <xdr:rowOff>160020</xdr:rowOff>
    </xdr:to>
    <xdr:graphicFrame macro="">
      <xdr:nvGraphicFramePr>
        <xdr:cNvPr id="11" name="Gráfico 10">
          <a:extLst>
            <a:ext uri="{FF2B5EF4-FFF2-40B4-BE49-F238E27FC236}">
              <a16:creationId xmlns:a16="http://schemas.microsoft.com/office/drawing/2014/main" id="{FAA076C5-79FC-485B-BD09-8FB5D19E3C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1493520</xdr:colOff>
      <xdr:row>198</xdr:row>
      <xdr:rowOff>140970</xdr:rowOff>
    </xdr:from>
    <xdr:to>
      <xdr:col>7</xdr:col>
      <xdr:colOff>1120140</xdr:colOff>
      <xdr:row>216</xdr:row>
      <xdr:rowOff>160020</xdr:rowOff>
    </xdr:to>
    <xdr:graphicFrame macro="">
      <xdr:nvGraphicFramePr>
        <xdr:cNvPr id="12" name="Gráfico 11">
          <a:extLst>
            <a:ext uri="{FF2B5EF4-FFF2-40B4-BE49-F238E27FC236}">
              <a16:creationId xmlns:a16="http://schemas.microsoft.com/office/drawing/2014/main" id="{2385A686-B787-4F0A-9734-54F704CE7A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1493520</xdr:colOff>
      <xdr:row>221</xdr:row>
      <xdr:rowOff>140970</xdr:rowOff>
    </xdr:from>
    <xdr:to>
      <xdr:col>7</xdr:col>
      <xdr:colOff>1120140</xdr:colOff>
      <xdr:row>239</xdr:row>
      <xdr:rowOff>160020</xdr:rowOff>
    </xdr:to>
    <xdr:graphicFrame macro="">
      <xdr:nvGraphicFramePr>
        <xdr:cNvPr id="13" name="Gráfico 12">
          <a:extLst>
            <a:ext uri="{FF2B5EF4-FFF2-40B4-BE49-F238E27FC236}">
              <a16:creationId xmlns:a16="http://schemas.microsoft.com/office/drawing/2014/main" id="{DA6312AF-1DB0-4ED0-AD3E-592BF929F5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585C4-3AA4-4D6C-9935-255EBB187411}">
  <dimension ref="E1:L241"/>
  <sheetViews>
    <sheetView tabSelected="1" topLeftCell="B228" workbookViewId="0">
      <selection activeCell="B219" sqref="A219:XFD219"/>
    </sheetView>
  </sheetViews>
  <sheetFormatPr baseColWidth="10" defaultRowHeight="14.4" x14ac:dyDescent="0.3"/>
  <cols>
    <col min="5" max="5" width="24.109375" customWidth="1"/>
    <col min="6" max="6" width="24.33203125" customWidth="1"/>
    <col min="7" max="7" width="43.21875" customWidth="1"/>
    <col min="8" max="8" width="20.88671875" customWidth="1"/>
    <col min="9" max="9" width="15.77734375" customWidth="1"/>
    <col min="12" max="12" width="12.77734375" bestFit="1" customWidth="1"/>
  </cols>
  <sheetData>
    <row r="1" spans="5:9" ht="15" thickBot="1" x14ac:dyDescent="0.35"/>
    <row r="2" spans="5:9" x14ac:dyDescent="0.3">
      <c r="E2" s="22" t="s">
        <v>15</v>
      </c>
      <c r="F2" s="23"/>
      <c r="G2" s="23"/>
      <c r="H2" s="23"/>
      <c r="I2" s="24"/>
    </row>
    <row r="3" spans="5:9" x14ac:dyDescent="0.3">
      <c r="E3" s="25"/>
      <c r="F3" s="26"/>
      <c r="G3" s="26"/>
      <c r="H3" s="26"/>
      <c r="I3" s="27"/>
    </row>
    <row r="4" spans="5:9" x14ac:dyDescent="0.3">
      <c r="E4" s="25"/>
      <c r="F4" s="26"/>
      <c r="G4" s="26"/>
      <c r="H4" s="26"/>
      <c r="I4" s="27"/>
    </row>
    <row r="5" spans="5:9" x14ac:dyDescent="0.3">
      <c r="E5" s="25"/>
      <c r="F5" s="26"/>
      <c r="G5" s="26"/>
      <c r="H5" s="26"/>
      <c r="I5" s="27"/>
    </row>
    <row r="6" spans="5:9" x14ac:dyDescent="0.3">
      <c r="E6" s="25"/>
      <c r="F6" s="26"/>
      <c r="G6" s="26"/>
      <c r="H6" s="26"/>
      <c r="I6" s="27"/>
    </row>
    <row r="7" spans="5:9" x14ac:dyDescent="0.3">
      <c r="E7" s="25"/>
      <c r="F7" s="26"/>
      <c r="G7" s="26"/>
      <c r="H7" s="26"/>
      <c r="I7" s="27"/>
    </row>
    <row r="8" spans="5:9" ht="35.4" customHeight="1" x14ac:dyDescent="0.3">
      <c r="E8" s="25"/>
      <c r="F8" s="26"/>
      <c r="G8" s="26"/>
      <c r="H8" s="26"/>
      <c r="I8" s="27"/>
    </row>
    <row r="9" spans="5:9" ht="224.4" customHeight="1" thickBot="1" x14ac:dyDescent="0.35">
      <c r="E9" s="28"/>
      <c r="F9" s="29"/>
      <c r="G9" s="29"/>
      <c r="H9" s="29"/>
      <c r="I9" s="30"/>
    </row>
    <row r="11" spans="5:9" ht="15" thickBot="1" x14ac:dyDescent="0.35"/>
    <row r="12" spans="5:9" x14ac:dyDescent="0.3">
      <c r="E12" s="2" t="s">
        <v>0</v>
      </c>
      <c r="F12" s="3"/>
      <c r="G12" s="3"/>
      <c r="H12" s="3"/>
      <c r="I12" s="4"/>
    </row>
    <row r="13" spans="5:9" ht="30" customHeight="1" x14ac:dyDescent="0.3">
      <c r="E13" s="5" t="s">
        <v>8</v>
      </c>
      <c r="F13" s="6" t="s">
        <v>9</v>
      </c>
      <c r="G13" s="7" t="s">
        <v>10</v>
      </c>
      <c r="H13" s="8" t="s">
        <v>11</v>
      </c>
      <c r="I13" s="9" t="s">
        <v>12</v>
      </c>
    </row>
    <row r="14" spans="5:9" ht="13.8" customHeight="1" x14ac:dyDescent="0.3">
      <c r="E14" s="10">
        <v>63011018.82</v>
      </c>
      <c r="F14" s="20">
        <f>37662663.36+2926171.84+4132637.28+82593.56*3</f>
        <v>44969253.160000004</v>
      </c>
      <c r="G14" s="11">
        <v>10561534.51</v>
      </c>
      <c r="H14" s="12">
        <v>1246001.6000000001</v>
      </c>
      <c r="I14" s="13">
        <f>E14-F14-G14-H14</f>
        <v>6234229.549999997</v>
      </c>
    </row>
    <row r="15" spans="5:9" ht="13.8" customHeight="1" x14ac:dyDescent="0.3">
      <c r="E15" s="14"/>
      <c r="F15" s="15"/>
      <c r="G15" s="15"/>
      <c r="H15" s="15"/>
      <c r="I15" s="16"/>
    </row>
    <row r="16" spans="5:9" ht="13.8" customHeight="1" x14ac:dyDescent="0.3">
      <c r="E16" s="14"/>
      <c r="F16" s="15"/>
      <c r="G16" s="15"/>
      <c r="H16" s="15"/>
      <c r="I16" s="16"/>
    </row>
    <row r="17" spans="5:9" ht="13.8" customHeight="1" x14ac:dyDescent="0.3">
      <c r="E17" s="14"/>
      <c r="F17" s="15"/>
      <c r="G17" s="15"/>
      <c r="H17" s="15"/>
      <c r="I17" s="16"/>
    </row>
    <row r="18" spans="5:9" ht="13.8" customHeight="1" x14ac:dyDescent="0.3">
      <c r="E18" s="14"/>
      <c r="F18" s="15"/>
      <c r="G18" s="15"/>
      <c r="H18" s="15"/>
      <c r="I18" s="16"/>
    </row>
    <row r="19" spans="5:9" ht="13.8" customHeight="1" x14ac:dyDescent="0.3">
      <c r="E19" s="14"/>
      <c r="F19" s="15"/>
      <c r="G19" s="15"/>
      <c r="H19" s="15"/>
      <c r="I19" s="16"/>
    </row>
    <row r="20" spans="5:9" ht="13.8" customHeight="1" x14ac:dyDescent="0.3">
      <c r="E20" s="14"/>
      <c r="F20" s="15"/>
      <c r="G20" s="15"/>
      <c r="H20" s="15"/>
      <c r="I20" s="16"/>
    </row>
    <row r="21" spans="5:9" ht="13.8" customHeight="1" x14ac:dyDescent="0.3">
      <c r="E21" s="14"/>
      <c r="F21" s="15"/>
      <c r="G21" s="15"/>
      <c r="H21" s="15"/>
      <c r="I21" s="16"/>
    </row>
    <row r="22" spans="5:9" ht="13.8" customHeight="1" x14ac:dyDescent="0.3">
      <c r="E22" s="14"/>
      <c r="F22" s="15"/>
      <c r="G22" s="15"/>
      <c r="H22" s="15"/>
      <c r="I22" s="16"/>
    </row>
    <row r="23" spans="5:9" ht="13.8" customHeight="1" x14ac:dyDescent="0.3">
      <c r="E23" s="14"/>
      <c r="F23" s="15"/>
      <c r="G23" s="15"/>
      <c r="H23" s="15"/>
      <c r="I23" s="16"/>
    </row>
    <row r="24" spans="5:9" ht="13.8" customHeight="1" x14ac:dyDescent="0.3">
      <c r="E24" s="14"/>
      <c r="F24" s="15"/>
      <c r="G24" s="15"/>
      <c r="H24" s="15"/>
      <c r="I24" s="16"/>
    </row>
    <row r="25" spans="5:9" ht="13.8" customHeight="1" x14ac:dyDescent="0.3">
      <c r="E25" s="14"/>
      <c r="F25" s="15"/>
      <c r="G25" s="15"/>
      <c r="H25" s="15"/>
      <c r="I25" s="16"/>
    </row>
    <row r="26" spans="5:9" ht="13.8" customHeight="1" x14ac:dyDescent="0.3">
      <c r="E26" s="14"/>
      <c r="F26" s="15"/>
      <c r="G26" s="15"/>
      <c r="H26" s="15"/>
      <c r="I26" s="16"/>
    </row>
    <row r="27" spans="5:9" ht="13.8" customHeight="1" x14ac:dyDescent="0.3">
      <c r="E27" s="14"/>
      <c r="F27" s="15"/>
      <c r="G27" s="15"/>
      <c r="H27" s="15"/>
      <c r="I27" s="16"/>
    </row>
    <row r="28" spans="5:9" ht="13.8" customHeight="1" x14ac:dyDescent="0.3">
      <c r="E28" s="14"/>
      <c r="F28" s="15"/>
      <c r="G28" s="15"/>
      <c r="H28" s="15"/>
      <c r="I28" s="16"/>
    </row>
    <row r="29" spans="5:9" ht="13.8" customHeight="1" x14ac:dyDescent="0.3">
      <c r="E29" s="14"/>
      <c r="F29" s="15"/>
      <c r="G29" s="15"/>
      <c r="H29" s="15"/>
      <c r="I29" s="16"/>
    </row>
    <row r="30" spans="5:9" ht="13.8" customHeight="1" x14ac:dyDescent="0.3">
      <c r="E30" s="14"/>
      <c r="F30" s="15"/>
      <c r="G30" s="15"/>
      <c r="H30" s="15"/>
      <c r="I30" s="16"/>
    </row>
    <row r="31" spans="5:9" ht="13.8" customHeight="1" x14ac:dyDescent="0.3">
      <c r="E31" s="14"/>
      <c r="F31" s="15"/>
      <c r="G31" s="15"/>
      <c r="H31" s="15"/>
      <c r="I31" s="16"/>
    </row>
    <row r="32" spans="5:9" ht="13.8" customHeight="1" x14ac:dyDescent="0.3">
      <c r="E32" s="14"/>
      <c r="F32" s="15"/>
      <c r="G32" s="15"/>
      <c r="H32" s="15"/>
      <c r="I32" s="16"/>
    </row>
    <row r="33" spans="5:9" ht="13.8" customHeight="1" x14ac:dyDescent="0.3">
      <c r="E33" s="14"/>
      <c r="F33" s="15"/>
      <c r="G33" s="15"/>
      <c r="H33" s="15"/>
      <c r="I33" s="16"/>
    </row>
    <row r="34" spans="5:9" ht="13.8" customHeight="1" thickBot="1" x14ac:dyDescent="0.35">
      <c r="E34" s="17"/>
      <c r="F34" s="18"/>
      <c r="G34" s="18"/>
      <c r="H34" s="18"/>
      <c r="I34" s="19"/>
    </row>
    <row r="35" spans="5:9" ht="15.6" customHeight="1" x14ac:dyDescent="0.3">
      <c r="E35" s="2" t="s">
        <v>1</v>
      </c>
      <c r="F35" s="3"/>
      <c r="G35" s="3"/>
      <c r="H35" s="3"/>
      <c r="I35" s="4"/>
    </row>
    <row r="36" spans="5:9" ht="28.8" x14ac:dyDescent="0.3">
      <c r="E36" s="5" t="s">
        <v>8</v>
      </c>
      <c r="F36" s="6" t="s">
        <v>9</v>
      </c>
      <c r="G36" s="7" t="s">
        <v>10</v>
      </c>
      <c r="H36" s="8" t="s">
        <v>11</v>
      </c>
      <c r="I36" s="9" t="s">
        <v>12</v>
      </c>
    </row>
    <row r="37" spans="5:9" x14ac:dyDescent="0.3">
      <c r="E37" s="10">
        <v>65933853.409999996</v>
      </c>
      <c r="F37" s="20">
        <v>43411233.600000001</v>
      </c>
      <c r="G37" s="11">
        <v>13603530.51</v>
      </c>
      <c r="H37" s="12">
        <v>2843872.75</v>
      </c>
      <c r="I37" s="13">
        <f>E37-F37-G37-H37</f>
        <v>6075216.5499999952</v>
      </c>
    </row>
    <row r="38" spans="5:9" x14ac:dyDescent="0.3">
      <c r="E38" s="14"/>
      <c r="F38" s="15"/>
      <c r="G38" s="15"/>
      <c r="H38" s="15"/>
      <c r="I38" s="16"/>
    </row>
    <row r="39" spans="5:9" x14ac:dyDescent="0.3">
      <c r="E39" s="14"/>
      <c r="F39" s="15"/>
      <c r="G39" s="15"/>
      <c r="H39" s="15"/>
      <c r="I39" s="16"/>
    </row>
    <row r="40" spans="5:9" x14ac:dyDescent="0.3">
      <c r="E40" s="14"/>
      <c r="F40" s="15"/>
      <c r="G40" s="15"/>
      <c r="H40" s="15"/>
      <c r="I40" s="16"/>
    </row>
    <row r="41" spans="5:9" x14ac:dyDescent="0.3">
      <c r="E41" s="14"/>
      <c r="F41" s="15"/>
      <c r="G41" s="15"/>
      <c r="H41" s="15"/>
      <c r="I41" s="16"/>
    </row>
    <row r="42" spans="5:9" x14ac:dyDescent="0.3">
      <c r="E42" s="14"/>
      <c r="F42" s="15"/>
      <c r="G42" s="15"/>
      <c r="H42" s="15"/>
      <c r="I42" s="16"/>
    </row>
    <row r="43" spans="5:9" x14ac:dyDescent="0.3">
      <c r="E43" s="14"/>
      <c r="F43" s="15"/>
      <c r="G43" s="15"/>
      <c r="H43" s="15"/>
      <c r="I43" s="16"/>
    </row>
    <row r="44" spans="5:9" x14ac:dyDescent="0.3">
      <c r="E44" s="14"/>
      <c r="F44" s="15"/>
      <c r="G44" s="15"/>
      <c r="H44" s="15"/>
      <c r="I44" s="16"/>
    </row>
    <row r="45" spans="5:9" x14ac:dyDescent="0.3">
      <c r="E45" s="14"/>
      <c r="F45" s="15"/>
      <c r="G45" s="15"/>
      <c r="H45" s="15"/>
      <c r="I45" s="16"/>
    </row>
    <row r="46" spans="5:9" x14ac:dyDescent="0.3">
      <c r="E46" s="14"/>
      <c r="F46" s="15"/>
      <c r="G46" s="15"/>
      <c r="H46" s="15"/>
      <c r="I46" s="16"/>
    </row>
    <row r="47" spans="5:9" x14ac:dyDescent="0.3">
      <c r="E47" s="14"/>
      <c r="F47" s="15"/>
      <c r="G47" s="15"/>
      <c r="H47" s="15"/>
      <c r="I47" s="16"/>
    </row>
    <row r="48" spans="5:9" x14ac:dyDescent="0.3">
      <c r="E48" s="14"/>
      <c r="F48" s="15"/>
      <c r="G48" s="15"/>
      <c r="H48" s="15"/>
      <c r="I48" s="16"/>
    </row>
    <row r="49" spans="5:9" x14ac:dyDescent="0.3">
      <c r="E49" s="14"/>
      <c r="F49" s="15"/>
      <c r="G49" s="15"/>
      <c r="H49" s="15"/>
      <c r="I49" s="16"/>
    </row>
    <row r="50" spans="5:9" x14ac:dyDescent="0.3">
      <c r="E50" s="14"/>
      <c r="F50" s="15"/>
      <c r="G50" s="15"/>
      <c r="H50" s="15"/>
      <c r="I50" s="16"/>
    </row>
    <row r="51" spans="5:9" x14ac:dyDescent="0.3">
      <c r="E51" s="14"/>
      <c r="F51" s="15"/>
      <c r="G51" s="15"/>
      <c r="H51" s="15"/>
      <c r="I51" s="16"/>
    </row>
    <row r="52" spans="5:9" x14ac:dyDescent="0.3">
      <c r="E52" s="14"/>
      <c r="F52" s="15"/>
      <c r="G52" s="15"/>
      <c r="H52" s="15"/>
      <c r="I52" s="16"/>
    </row>
    <row r="53" spans="5:9" x14ac:dyDescent="0.3">
      <c r="E53" s="14"/>
      <c r="F53" s="15"/>
      <c r="G53" s="15"/>
      <c r="H53" s="15"/>
      <c r="I53" s="16"/>
    </row>
    <row r="54" spans="5:9" x14ac:dyDescent="0.3">
      <c r="E54" s="14"/>
      <c r="F54" s="15"/>
      <c r="G54" s="15"/>
      <c r="H54" s="15"/>
      <c r="I54" s="16"/>
    </row>
    <row r="55" spans="5:9" x14ac:dyDescent="0.3">
      <c r="E55" s="14"/>
      <c r="F55" s="15"/>
      <c r="G55" s="15"/>
      <c r="H55" s="15"/>
      <c r="I55" s="16"/>
    </row>
    <row r="56" spans="5:9" x14ac:dyDescent="0.3">
      <c r="E56" s="14"/>
      <c r="F56" s="15"/>
      <c r="G56" s="15"/>
      <c r="H56" s="15"/>
      <c r="I56" s="16"/>
    </row>
    <row r="57" spans="5:9" ht="15" thickBot="1" x14ac:dyDescent="0.35">
      <c r="E57" s="17"/>
      <c r="F57" s="18"/>
      <c r="G57" s="18"/>
      <c r="H57" s="18"/>
      <c r="I57" s="19"/>
    </row>
    <row r="58" spans="5:9" x14ac:dyDescent="0.3">
      <c r="E58" s="2" t="s">
        <v>2</v>
      </c>
      <c r="F58" s="3"/>
      <c r="G58" s="3"/>
      <c r="H58" s="3"/>
      <c r="I58" s="4"/>
    </row>
    <row r="59" spans="5:9" ht="28.8" x14ac:dyDescent="0.3">
      <c r="E59" s="5" t="s">
        <v>8</v>
      </c>
      <c r="F59" s="6" t="s">
        <v>9</v>
      </c>
      <c r="G59" s="7" t="s">
        <v>10</v>
      </c>
      <c r="H59" s="8" t="s">
        <v>11</v>
      </c>
      <c r="I59" s="9" t="s">
        <v>12</v>
      </c>
    </row>
    <row r="60" spans="5:9" x14ac:dyDescent="0.3">
      <c r="E60" s="10">
        <v>70158740.229999989</v>
      </c>
      <c r="F60" s="20">
        <f>8259*2+45028121.92</f>
        <v>45044639.920000002</v>
      </c>
      <c r="G60" s="11">
        <v>16392017.369999999</v>
      </c>
      <c r="H60" s="12">
        <v>2904854.65</v>
      </c>
      <c r="I60" s="13">
        <f>E60-F60-G60-H60</f>
        <v>5817228.2899999879</v>
      </c>
    </row>
    <row r="61" spans="5:9" x14ac:dyDescent="0.3">
      <c r="E61" s="14"/>
      <c r="F61" s="15"/>
      <c r="G61" s="15"/>
      <c r="H61" s="15"/>
      <c r="I61" s="16"/>
    </row>
    <row r="62" spans="5:9" x14ac:dyDescent="0.3">
      <c r="E62" s="14"/>
      <c r="F62" s="15"/>
      <c r="G62" s="15"/>
      <c r="H62" s="15"/>
      <c r="I62" s="16"/>
    </row>
    <row r="63" spans="5:9" x14ac:dyDescent="0.3">
      <c r="E63" s="14"/>
      <c r="F63" s="15"/>
      <c r="G63" s="15"/>
      <c r="H63" s="15"/>
      <c r="I63" s="16"/>
    </row>
    <row r="64" spans="5:9" x14ac:dyDescent="0.3">
      <c r="E64" s="14"/>
      <c r="F64" s="15"/>
      <c r="G64" s="15"/>
      <c r="H64" s="15"/>
      <c r="I64" s="16"/>
    </row>
    <row r="65" spans="5:9" x14ac:dyDescent="0.3">
      <c r="E65" s="14"/>
      <c r="F65" s="15"/>
      <c r="G65" s="15"/>
      <c r="H65" s="15"/>
      <c r="I65" s="16"/>
    </row>
    <row r="66" spans="5:9" x14ac:dyDescent="0.3">
      <c r="E66" s="14"/>
      <c r="F66" s="15"/>
      <c r="G66" s="15"/>
      <c r="H66" s="15"/>
      <c r="I66" s="16"/>
    </row>
    <row r="67" spans="5:9" x14ac:dyDescent="0.3">
      <c r="E67" s="14"/>
      <c r="F67" s="15"/>
      <c r="G67" s="15"/>
      <c r="H67" s="15"/>
      <c r="I67" s="16"/>
    </row>
    <row r="68" spans="5:9" x14ac:dyDescent="0.3">
      <c r="E68" s="14"/>
      <c r="F68" s="15"/>
      <c r="G68" s="15"/>
      <c r="H68" s="15"/>
      <c r="I68" s="16"/>
    </row>
    <row r="69" spans="5:9" x14ac:dyDescent="0.3">
      <c r="E69" s="14"/>
      <c r="F69" s="15"/>
      <c r="G69" s="15"/>
      <c r="H69" s="15"/>
      <c r="I69" s="16"/>
    </row>
    <row r="70" spans="5:9" x14ac:dyDescent="0.3">
      <c r="E70" s="14"/>
      <c r="F70" s="15"/>
      <c r="G70" s="15"/>
      <c r="H70" s="15"/>
      <c r="I70" s="16"/>
    </row>
    <row r="71" spans="5:9" x14ac:dyDescent="0.3">
      <c r="E71" s="14"/>
      <c r="F71" s="15"/>
      <c r="G71" s="15"/>
      <c r="H71" s="15"/>
      <c r="I71" s="16"/>
    </row>
    <row r="72" spans="5:9" x14ac:dyDescent="0.3">
      <c r="E72" s="14"/>
      <c r="F72" s="15"/>
      <c r="G72" s="15"/>
      <c r="H72" s="15"/>
      <c r="I72" s="16"/>
    </row>
    <row r="73" spans="5:9" x14ac:dyDescent="0.3">
      <c r="E73" s="14"/>
      <c r="F73" s="15"/>
      <c r="G73" s="15"/>
      <c r="H73" s="15"/>
      <c r="I73" s="16"/>
    </row>
    <row r="74" spans="5:9" x14ac:dyDescent="0.3">
      <c r="E74" s="14"/>
      <c r="F74" s="15"/>
      <c r="G74" s="15"/>
      <c r="H74" s="15"/>
      <c r="I74" s="16"/>
    </row>
    <row r="75" spans="5:9" x14ac:dyDescent="0.3">
      <c r="E75" s="14"/>
      <c r="F75" s="15"/>
      <c r="G75" s="15"/>
      <c r="H75" s="15"/>
      <c r="I75" s="16"/>
    </row>
    <row r="76" spans="5:9" x14ac:dyDescent="0.3">
      <c r="E76" s="14"/>
      <c r="F76" s="15"/>
      <c r="G76" s="15"/>
      <c r="H76" s="15"/>
      <c r="I76" s="16"/>
    </row>
    <row r="77" spans="5:9" x14ac:dyDescent="0.3">
      <c r="E77" s="14"/>
      <c r="F77" s="15"/>
      <c r="G77" s="15"/>
      <c r="H77" s="15"/>
      <c r="I77" s="16"/>
    </row>
    <row r="78" spans="5:9" x14ac:dyDescent="0.3">
      <c r="E78" s="14"/>
      <c r="F78" s="15"/>
      <c r="G78" s="15"/>
      <c r="H78" s="15"/>
      <c r="I78" s="16"/>
    </row>
    <row r="79" spans="5:9" x14ac:dyDescent="0.3">
      <c r="E79" s="14"/>
      <c r="F79" s="15"/>
      <c r="G79" s="15"/>
      <c r="H79" s="15"/>
      <c r="I79" s="16"/>
    </row>
    <row r="80" spans="5:9" ht="15" thickBot="1" x14ac:dyDescent="0.35">
      <c r="E80" s="17"/>
      <c r="F80" s="18"/>
      <c r="G80" s="18"/>
      <c r="H80" s="18"/>
      <c r="I80" s="19"/>
    </row>
    <row r="81" spans="5:9" x14ac:dyDescent="0.3">
      <c r="E81" s="2" t="s">
        <v>3</v>
      </c>
      <c r="F81" s="3"/>
      <c r="G81" s="3"/>
      <c r="H81" s="3"/>
      <c r="I81" s="4"/>
    </row>
    <row r="82" spans="5:9" ht="28.8" x14ac:dyDescent="0.3">
      <c r="E82" s="5" t="s">
        <v>8</v>
      </c>
      <c r="F82" s="6" t="s">
        <v>9</v>
      </c>
      <c r="G82" s="7" t="s">
        <v>10</v>
      </c>
      <c r="H82" s="8" t="s">
        <v>11</v>
      </c>
      <c r="I82" s="9" t="s">
        <v>12</v>
      </c>
    </row>
    <row r="83" spans="5:9" x14ac:dyDescent="0.3">
      <c r="E83" s="10">
        <v>77995935.150000006</v>
      </c>
      <c r="F83" s="20">
        <f>49288753.64+91169*2</f>
        <v>49471091.640000001</v>
      </c>
      <c r="G83" s="11">
        <v>18032025.630000003</v>
      </c>
      <c r="H83" s="12">
        <v>3707253.83</v>
      </c>
      <c r="I83" s="13">
        <f>E83-F83-G83-H83</f>
        <v>6785564.0500000026</v>
      </c>
    </row>
    <row r="84" spans="5:9" x14ac:dyDescent="0.3">
      <c r="E84" s="14"/>
      <c r="F84" s="15"/>
      <c r="G84" s="15"/>
      <c r="H84" s="15"/>
      <c r="I84" s="16"/>
    </row>
    <row r="85" spans="5:9" x14ac:dyDescent="0.3">
      <c r="E85" s="14"/>
      <c r="F85" s="15"/>
      <c r="G85" s="15"/>
      <c r="H85" s="15"/>
      <c r="I85" s="16"/>
    </row>
    <row r="86" spans="5:9" x14ac:dyDescent="0.3">
      <c r="E86" s="14"/>
      <c r="F86" s="15"/>
      <c r="G86" s="15"/>
      <c r="H86" s="15"/>
      <c r="I86" s="16"/>
    </row>
    <row r="87" spans="5:9" x14ac:dyDescent="0.3">
      <c r="E87" s="14"/>
      <c r="F87" s="15"/>
      <c r="G87" s="15"/>
      <c r="H87" s="15"/>
      <c r="I87" s="16"/>
    </row>
    <row r="88" spans="5:9" x14ac:dyDescent="0.3">
      <c r="E88" s="14"/>
      <c r="F88" s="15"/>
      <c r="G88" s="15"/>
      <c r="H88" s="15"/>
      <c r="I88" s="16"/>
    </row>
    <row r="89" spans="5:9" x14ac:dyDescent="0.3">
      <c r="E89" s="14"/>
      <c r="F89" s="15"/>
      <c r="G89" s="15"/>
      <c r="H89" s="15"/>
      <c r="I89" s="16"/>
    </row>
    <row r="90" spans="5:9" x14ac:dyDescent="0.3">
      <c r="E90" s="14"/>
      <c r="F90" s="15"/>
      <c r="G90" s="15"/>
      <c r="H90" s="15"/>
      <c r="I90" s="16"/>
    </row>
    <row r="91" spans="5:9" x14ac:dyDescent="0.3">
      <c r="E91" s="14"/>
      <c r="F91" s="15"/>
      <c r="G91" s="15"/>
      <c r="H91" s="15"/>
      <c r="I91" s="16"/>
    </row>
    <row r="92" spans="5:9" x14ac:dyDescent="0.3">
      <c r="E92" s="14"/>
      <c r="F92" s="15"/>
      <c r="G92" s="15"/>
      <c r="H92" s="15"/>
      <c r="I92" s="16"/>
    </row>
    <row r="93" spans="5:9" x14ac:dyDescent="0.3">
      <c r="E93" s="14"/>
      <c r="F93" s="15"/>
      <c r="G93" s="15"/>
      <c r="H93" s="15"/>
      <c r="I93" s="16"/>
    </row>
    <row r="94" spans="5:9" x14ac:dyDescent="0.3">
      <c r="E94" s="14"/>
      <c r="F94" s="15"/>
      <c r="G94" s="15"/>
      <c r="H94" s="15"/>
      <c r="I94" s="16"/>
    </row>
    <row r="95" spans="5:9" x14ac:dyDescent="0.3">
      <c r="E95" s="14"/>
      <c r="F95" s="15"/>
      <c r="G95" s="15"/>
      <c r="H95" s="15"/>
      <c r="I95" s="16"/>
    </row>
    <row r="96" spans="5:9" x14ac:dyDescent="0.3">
      <c r="E96" s="14"/>
      <c r="F96" s="15"/>
      <c r="G96" s="15"/>
      <c r="H96" s="15"/>
      <c r="I96" s="16"/>
    </row>
    <row r="97" spans="5:9" x14ac:dyDescent="0.3">
      <c r="E97" s="14"/>
      <c r="F97" s="15"/>
      <c r="G97" s="15"/>
      <c r="H97" s="15"/>
      <c r="I97" s="16"/>
    </row>
    <row r="98" spans="5:9" x14ac:dyDescent="0.3">
      <c r="E98" s="14"/>
      <c r="F98" s="15"/>
      <c r="G98" s="15"/>
      <c r="H98" s="15"/>
      <c r="I98" s="16"/>
    </row>
    <row r="99" spans="5:9" x14ac:dyDescent="0.3">
      <c r="E99" s="14"/>
      <c r="F99" s="15"/>
      <c r="G99" s="15"/>
      <c r="H99" s="15"/>
      <c r="I99" s="16"/>
    </row>
    <row r="100" spans="5:9" x14ac:dyDescent="0.3">
      <c r="E100" s="14"/>
      <c r="F100" s="15"/>
      <c r="G100" s="15"/>
      <c r="H100" s="15"/>
      <c r="I100" s="16"/>
    </row>
    <row r="101" spans="5:9" x14ac:dyDescent="0.3">
      <c r="E101" s="14"/>
      <c r="F101" s="15"/>
      <c r="G101" s="15"/>
      <c r="H101" s="15"/>
      <c r="I101" s="16"/>
    </row>
    <row r="102" spans="5:9" x14ac:dyDescent="0.3">
      <c r="E102" s="14"/>
      <c r="F102" s="15"/>
      <c r="G102" s="15"/>
      <c r="H102" s="15"/>
      <c r="I102" s="16"/>
    </row>
    <row r="103" spans="5:9" ht="15" thickBot="1" x14ac:dyDescent="0.35">
      <c r="E103" s="17"/>
      <c r="F103" s="18"/>
      <c r="G103" s="18"/>
      <c r="H103" s="18"/>
      <c r="I103" s="19"/>
    </row>
    <row r="104" spans="5:9" x14ac:dyDescent="0.3">
      <c r="E104" s="2" t="s">
        <v>4</v>
      </c>
      <c r="F104" s="3"/>
      <c r="G104" s="3"/>
      <c r="H104" s="3"/>
      <c r="I104" s="4"/>
    </row>
    <row r="105" spans="5:9" ht="28.8" x14ac:dyDescent="0.3">
      <c r="E105" s="5" t="s">
        <v>8</v>
      </c>
      <c r="F105" s="6" t="s">
        <v>9</v>
      </c>
      <c r="G105" s="7" t="s">
        <v>10</v>
      </c>
      <c r="H105" s="8" t="s">
        <v>11</v>
      </c>
      <c r="I105" s="9" t="s">
        <v>12</v>
      </c>
    </row>
    <row r="106" spans="5:9" x14ac:dyDescent="0.3">
      <c r="E106" s="10">
        <v>83476438.070000008</v>
      </c>
      <c r="F106" s="20">
        <f>47854340.96+52079+78146.22</f>
        <v>47984566.18</v>
      </c>
      <c r="G106" s="11">
        <v>22814884.360000003</v>
      </c>
      <c r="H106" s="12">
        <v>5709108.2299999995</v>
      </c>
      <c r="I106" s="13">
        <f>E106-F106-G106-H106</f>
        <v>6967879.3000000054</v>
      </c>
    </row>
    <row r="107" spans="5:9" x14ac:dyDescent="0.3">
      <c r="E107" s="14"/>
      <c r="F107" s="15"/>
      <c r="G107" s="15"/>
      <c r="H107" s="15"/>
      <c r="I107" s="16"/>
    </row>
    <row r="108" spans="5:9" x14ac:dyDescent="0.3">
      <c r="E108" s="14"/>
      <c r="F108" s="15"/>
      <c r="G108" s="15"/>
      <c r="H108" s="15"/>
      <c r="I108" s="16"/>
    </row>
    <row r="109" spans="5:9" x14ac:dyDescent="0.3">
      <c r="E109" s="14"/>
      <c r="F109" s="15"/>
      <c r="G109" s="15"/>
      <c r="H109" s="15"/>
      <c r="I109" s="16"/>
    </row>
    <row r="110" spans="5:9" x14ac:dyDescent="0.3">
      <c r="E110" s="14"/>
      <c r="F110" s="15"/>
      <c r="G110" s="15"/>
      <c r="H110" s="15"/>
      <c r="I110" s="16"/>
    </row>
    <row r="111" spans="5:9" x14ac:dyDescent="0.3">
      <c r="E111" s="14"/>
      <c r="F111" s="15"/>
      <c r="G111" s="15"/>
      <c r="H111" s="15"/>
      <c r="I111" s="16"/>
    </row>
    <row r="112" spans="5:9" x14ac:dyDescent="0.3">
      <c r="E112" s="14"/>
      <c r="F112" s="15"/>
      <c r="G112" s="15"/>
      <c r="H112" s="15"/>
      <c r="I112" s="16"/>
    </row>
    <row r="113" spans="5:9" x14ac:dyDescent="0.3">
      <c r="E113" s="14"/>
      <c r="F113" s="15"/>
      <c r="G113" s="15"/>
      <c r="H113" s="15"/>
      <c r="I113" s="16"/>
    </row>
    <row r="114" spans="5:9" x14ac:dyDescent="0.3">
      <c r="E114" s="14"/>
      <c r="F114" s="15"/>
      <c r="G114" s="15"/>
      <c r="H114" s="15"/>
      <c r="I114" s="16"/>
    </row>
    <row r="115" spans="5:9" x14ac:dyDescent="0.3">
      <c r="E115" s="14"/>
      <c r="F115" s="15"/>
      <c r="G115" s="15"/>
      <c r="H115" s="15"/>
      <c r="I115" s="16"/>
    </row>
    <row r="116" spans="5:9" x14ac:dyDescent="0.3">
      <c r="E116" s="14"/>
      <c r="F116" s="15"/>
      <c r="G116" s="15"/>
      <c r="H116" s="15"/>
      <c r="I116" s="16"/>
    </row>
    <row r="117" spans="5:9" x14ac:dyDescent="0.3">
      <c r="E117" s="14"/>
      <c r="F117" s="15"/>
      <c r="G117" s="15"/>
      <c r="H117" s="15"/>
      <c r="I117" s="16"/>
    </row>
    <row r="118" spans="5:9" x14ac:dyDescent="0.3">
      <c r="E118" s="14"/>
      <c r="F118" s="15"/>
      <c r="G118" s="15"/>
      <c r="H118" s="15"/>
      <c r="I118" s="16"/>
    </row>
    <row r="119" spans="5:9" x14ac:dyDescent="0.3">
      <c r="E119" s="14"/>
      <c r="F119" s="15"/>
      <c r="G119" s="15"/>
      <c r="H119" s="15"/>
      <c r="I119" s="16"/>
    </row>
    <row r="120" spans="5:9" x14ac:dyDescent="0.3">
      <c r="E120" s="14"/>
      <c r="F120" s="15"/>
      <c r="G120" s="15"/>
      <c r="H120" s="15"/>
      <c r="I120" s="16"/>
    </row>
    <row r="121" spans="5:9" x14ac:dyDescent="0.3">
      <c r="E121" s="14"/>
      <c r="F121" s="15"/>
      <c r="G121" s="15"/>
      <c r="H121" s="15"/>
      <c r="I121" s="16"/>
    </row>
    <row r="122" spans="5:9" x14ac:dyDescent="0.3">
      <c r="E122" s="14"/>
      <c r="F122" s="15"/>
      <c r="G122" s="15"/>
      <c r="H122" s="15"/>
      <c r="I122" s="16"/>
    </row>
    <row r="123" spans="5:9" x14ac:dyDescent="0.3">
      <c r="E123" s="14"/>
      <c r="F123" s="15"/>
      <c r="G123" s="15"/>
      <c r="H123" s="15"/>
      <c r="I123" s="16"/>
    </row>
    <row r="124" spans="5:9" x14ac:dyDescent="0.3">
      <c r="E124" s="14"/>
      <c r="F124" s="15"/>
      <c r="G124" s="15"/>
      <c r="H124" s="15"/>
      <c r="I124" s="16"/>
    </row>
    <row r="125" spans="5:9" x14ac:dyDescent="0.3">
      <c r="E125" s="14"/>
      <c r="F125" s="15"/>
      <c r="G125" s="15"/>
      <c r="H125" s="15"/>
      <c r="I125" s="16"/>
    </row>
    <row r="126" spans="5:9" ht="15" thickBot="1" x14ac:dyDescent="0.35">
      <c r="E126" s="17"/>
      <c r="F126" s="18"/>
      <c r="G126" s="18"/>
      <c r="H126" s="18"/>
      <c r="I126" s="19"/>
    </row>
    <row r="127" spans="5:9" x14ac:dyDescent="0.3">
      <c r="E127" s="2" t="s">
        <v>5</v>
      </c>
      <c r="F127" s="3"/>
      <c r="G127" s="3"/>
      <c r="H127" s="3"/>
      <c r="I127" s="4"/>
    </row>
    <row r="128" spans="5:9" ht="28.8" x14ac:dyDescent="0.3">
      <c r="E128" s="5" t="s">
        <v>8</v>
      </c>
      <c r="F128" s="6" t="s">
        <v>9</v>
      </c>
      <c r="G128" s="7" t="s">
        <v>10</v>
      </c>
      <c r="H128" s="8" t="s">
        <v>11</v>
      </c>
      <c r="I128" s="9" t="s">
        <v>12</v>
      </c>
    </row>
    <row r="129" spans="5:9" x14ac:dyDescent="0.3">
      <c r="E129" s="10">
        <v>86710859.280000001</v>
      </c>
      <c r="F129" s="20">
        <f>49641809.15+78145*2+91169.89*2</f>
        <v>49980438.93</v>
      </c>
      <c r="G129" s="11">
        <v>17041143.120000001</v>
      </c>
      <c r="H129" s="12">
        <v>11711220.280000001</v>
      </c>
      <c r="I129" s="13">
        <f>E129-F129-G129-H129</f>
        <v>7978056.9499999993</v>
      </c>
    </row>
    <row r="130" spans="5:9" x14ac:dyDescent="0.3">
      <c r="E130" s="14"/>
      <c r="F130" s="15"/>
      <c r="G130" s="15"/>
      <c r="H130" s="15"/>
      <c r="I130" s="16"/>
    </row>
    <row r="131" spans="5:9" x14ac:dyDescent="0.3">
      <c r="E131" s="14"/>
      <c r="F131" s="15"/>
      <c r="G131" s="15"/>
      <c r="H131" s="15"/>
      <c r="I131" s="16"/>
    </row>
    <row r="132" spans="5:9" x14ac:dyDescent="0.3">
      <c r="E132" s="14"/>
      <c r="F132" s="15"/>
      <c r="G132" s="15"/>
      <c r="H132" s="15"/>
      <c r="I132" s="16"/>
    </row>
    <row r="133" spans="5:9" x14ac:dyDescent="0.3">
      <c r="E133" s="14"/>
      <c r="F133" s="15"/>
      <c r="G133" s="15"/>
      <c r="H133" s="15"/>
      <c r="I133" s="16"/>
    </row>
    <row r="134" spans="5:9" x14ac:dyDescent="0.3">
      <c r="E134" s="14"/>
      <c r="F134" s="15"/>
      <c r="G134" s="15"/>
      <c r="H134" s="15"/>
      <c r="I134" s="16"/>
    </row>
    <row r="135" spans="5:9" x14ac:dyDescent="0.3">
      <c r="E135" s="14"/>
      <c r="F135" s="15"/>
      <c r="G135" s="15"/>
      <c r="H135" s="15"/>
      <c r="I135" s="16"/>
    </row>
    <row r="136" spans="5:9" x14ac:dyDescent="0.3">
      <c r="E136" s="14"/>
      <c r="F136" s="15"/>
      <c r="G136" s="15"/>
      <c r="H136" s="15"/>
      <c r="I136" s="16"/>
    </row>
    <row r="137" spans="5:9" x14ac:dyDescent="0.3">
      <c r="E137" s="14"/>
      <c r="F137" s="15"/>
      <c r="G137" s="15"/>
      <c r="H137" s="15"/>
      <c r="I137" s="16"/>
    </row>
    <row r="138" spans="5:9" x14ac:dyDescent="0.3">
      <c r="E138" s="14"/>
      <c r="F138" s="15"/>
      <c r="G138" s="15"/>
      <c r="H138" s="15"/>
      <c r="I138" s="16"/>
    </row>
    <row r="139" spans="5:9" x14ac:dyDescent="0.3">
      <c r="E139" s="14"/>
      <c r="F139" s="15"/>
      <c r="G139" s="15"/>
      <c r="H139" s="15"/>
      <c r="I139" s="16"/>
    </row>
    <row r="140" spans="5:9" x14ac:dyDescent="0.3">
      <c r="E140" s="14"/>
      <c r="F140" s="15"/>
      <c r="G140" s="15"/>
      <c r="H140" s="15"/>
      <c r="I140" s="16"/>
    </row>
    <row r="141" spans="5:9" x14ac:dyDescent="0.3">
      <c r="E141" s="14"/>
      <c r="F141" s="15"/>
      <c r="G141" s="15"/>
      <c r="H141" s="15"/>
      <c r="I141" s="16"/>
    </row>
    <row r="142" spans="5:9" x14ac:dyDescent="0.3">
      <c r="E142" s="14"/>
      <c r="F142" s="15"/>
      <c r="G142" s="15"/>
      <c r="H142" s="15"/>
      <c r="I142" s="16"/>
    </row>
    <row r="143" spans="5:9" x14ac:dyDescent="0.3">
      <c r="E143" s="14"/>
      <c r="F143" s="15"/>
      <c r="G143" s="15"/>
      <c r="H143" s="15"/>
      <c r="I143" s="16"/>
    </row>
    <row r="144" spans="5:9" x14ac:dyDescent="0.3">
      <c r="E144" s="14"/>
      <c r="F144" s="15"/>
      <c r="G144" s="15"/>
      <c r="H144" s="15"/>
      <c r="I144" s="16"/>
    </row>
    <row r="145" spans="5:9" x14ac:dyDescent="0.3">
      <c r="E145" s="14"/>
      <c r="F145" s="15"/>
      <c r="G145" s="15"/>
      <c r="H145" s="15"/>
      <c r="I145" s="16"/>
    </row>
    <row r="146" spans="5:9" x14ac:dyDescent="0.3">
      <c r="E146" s="14"/>
      <c r="F146" s="15"/>
      <c r="G146" s="15"/>
      <c r="H146" s="15"/>
      <c r="I146" s="16"/>
    </row>
    <row r="147" spans="5:9" x14ac:dyDescent="0.3">
      <c r="E147" s="14"/>
      <c r="F147" s="15"/>
      <c r="G147" s="15"/>
      <c r="H147" s="15"/>
      <c r="I147" s="16"/>
    </row>
    <row r="148" spans="5:9" x14ac:dyDescent="0.3">
      <c r="E148" s="14"/>
      <c r="F148" s="15"/>
      <c r="G148" s="15"/>
      <c r="H148" s="15"/>
      <c r="I148" s="16"/>
    </row>
    <row r="149" spans="5:9" ht="15" thickBot="1" x14ac:dyDescent="0.35">
      <c r="E149" s="17"/>
      <c r="F149" s="18"/>
      <c r="G149" s="18"/>
      <c r="H149" s="18"/>
      <c r="I149" s="19"/>
    </row>
    <row r="150" spans="5:9" x14ac:dyDescent="0.3">
      <c r="E150" s="2" t="s">
        <v>6</v>
      </c>
      <c r="F150" s="3"/>
      <c r="G150" s="3"/>
      <c r="H150" s="3"/>
      <c r="I150" s="4"/>
    </row>
    <row r="151" spans="5:9" ht="28.8" x14ac:dyDescent="0.3">
      <c r="E151" s="5" t="s">
        <v>8</v>
      </c>
      <c r="F151" s="6" t="s">
        <v>9</v>
      </c>
      <c r="G151" s="7" t="s">
        <v>10</v>
      </c>
      <c r="H151" s="8" t="s">
        <v>11</v>
      </c>
      <c r="I151" s="9" t="s">
        <v>12</v>
      </c>
    </row>
    <row r="152" spans="5:9" x14ac:dyDescent="0.3">
      <c r="E152" s="10">
        <v>80675963.920000002</v>
      </c>
      <c r="F152" s="20">
        <f>91169.89*4+47859801.2</f>
        <v>48224480.760000005</v>
      </c>
      <c r="G152" s="11">
        <v>11746002.34</v>
      </c>
      <c r="H152" s="12">
        <v>13578662.370000001</v>
      </c>
      <c r="I152" s="13">
        <f>E152-F152-G152-H152</f>
        <v>7126818.4499999955</v>
      </c>
    </row>
    <row r="153" spans="5:9" x14ac:dyDescent="0.3">
      <c r="E153" s="14"/>
      <c r="F153" s="15"/>
      <c r="G153" s="15"/>
      <c r="H153" s="15"/>
      <c r="I153" s="16"/>
    </row>
    <row r="154" spans="5:9" x14ac:dyDescent="0.3">
      <c r="E154" s="14"/>
      <c r="F154" s="15"/>
      <c r="G154" s="15"/>
      <c r="H154" s="15"/>
      <c r="I154" s="16"/>
    </row>
    <row r="155" spans="5:9" x14ac:dyDescent="0.3">
      <c r="E155" s="14"/>
      <c r="F155" s="15"/>
      <c r="G155" s="15"/>
      <c r="H155" s="15"/>
      <c r="I155" s="16"/>
    </row>
    <row r="156" spans="5:9" x14ac:dyDescent="0.3">
      <c r="E156" s="14"/>
      <c r="F156" s="15"/>
      <c r="G156" s="15"/>
      <c r="H156" s="15"/>
      <c r="I156" s="16"/>
    </row>
    <row r="157" spans="5:9" x14ac:dyDescent="0.3">
      <c r="E157" s="14"/>
      <c r="F157" s="15"/>
      <c r="G157" s="15"/>
      <c r="H157" s="15"/>
      <c r="I157" s="16"/>
    </row>
    <row r="158" spans="5:9" x14ac:dyDescent="0.3">
      <c r="E158" s="14"/>
      <c r="F158" s="15"/>
      <c r="G158" s="15"/>
      <c r="H158" s="15"/>
      <c r="I158" s="16"/>
    </row>
    <row r="159" spans="5:9" x14ac:dyDescent="0.3">
      <c r="E159" s="14"/>
      <c r="F159" s="15"/>
      <c r="G159" s="15"/>
      <c r="H159" s="15"/>
      <c r="I159" s="16"/>
    </row>
    <row r="160" spans="5:9" x14ac:dyDescent="0.3">
      <c r="E160" s="14"/>
      <c r="F160" s="15"/>
      <c r="G160" s="15"/>
      <c r="H160" s="15"/>
      <c r="I160" s="16"/>
    </row>
    <row r="161" spans="5:12" x14ac:dyDescent="0.3">
      <c r="E161" s="14"/>
      <c r="F161" s="15"/>
      <c r="G161" s="15"/>
      <c r="H161" s="15"/>
      <c r="I161" s="16"/>
    </row>
    <row r="162" spans="5:12" x14ac:dyDescent="0.3">
      <c r="E162" s="14"/>
      <c r="F162" s="15"/>
      <c r="G162" s="15"/>
      <c r="H162" s="15"/>
      <c r="I162" s="16"/>
    </row>
    <row r="163" spans="5:12" x14ac:dyDescent="0.3">
      <c r="E163" s="14"/>
      <c r="F163" s="15"/>
      <c r="G163" s="15"/>
      <c r="H163" s="15"/>
      <c r="I163" s="16"/>
    </row>
    <row r="164" spans="5:12" x14ac:dyDescent="0.3">
      <c r="E164" s="14"/>
      <c r="F164" s="15"/>
      <c r="G164" s="15"/>
      <c r="H164" s="15"/>
      <c r="I164" s="16"/>
    </row>
    <row r="165" spans="5:12" x14ac:dyDescent="0.3">
      <c r="E165" s="14"/>
      <c r="F165" s="15"/>
      <c r="G165" s="15"/>
      <c r="H165" s="15"/>
      <c r="I165" s="16"/>
    </row>
    <row r="166" spans="5:12" x14ac:dyDescent="0.3">
      <c r="E166" s="14"/>
      <c r="F166" s="15"/>
      <c r="G166" s="15"/>
      <c r="H166" s="15"/>
      <c r="I166" s="16"/>
    </row>
    <row r="167" spans="5:12" x14ac:dyDescent="0.3">
      <c r="E167" s="14"/>
      <c r="F167" s="15"/>
      <c r="G167" s="15"/>
      <c r="H167" s="15"/>
      <c r="I167" s="16"/>
    </row>
    <row r="168" spans="5:12" x14ac:dyDescent="0.3">
      <c r="E168" s="14"/>
      <c r="F168" s="15"/>
      <c r="G168" s="15"/>
      <c r="H168" s="15"/>
      <c r="I168" s="16"/>
    </row>
    <row r="169" spans="5:12" x14ac:dyDescent="0.3">
      <c r="E169" s="14"/>
      <c r="F169" s="15"/>
      <c r="G169" s="15"/>
      <c r="H169" s="15"/>
      <c r="I169" s="16"/>
    </row>
    <row r="170" spans="5:12" x14ac:dyDescent="0.3">
      <c r="E170" s="14"/>
      <c r="F170" s="15"/>
      <c r="G170" s="15"/>
      <c r="H170" s="15"/>
      <c r="I170" s="16"/>
    </row>
    <row r="171" spans="5:12" x14ac:dyDescent="0.3">
      <c r="E171" s="14"/>
      <c r="F171" s="15"/>
      <c r="G171" s="15"/>
      <c r="H171" s="15"/>
      <c r="I171" s="16"/>
    </row>
    <row r="172" spans="5:12" ht="15" thickBot="1" x14ac:dyDescent="0.35">
      <c r="E172" s="17"/>
      <c r="F172" s="18"/>
      <c r="G172" s="18"/>
      <c r="H172" s="18"/>
      <c r="I172" s="19"/>
    </row>
    <row r="173" spans="5:12" x14ac:dyDescent="0.3">
      <c r="E173" s="2" t="s">
        <v>7</v>
      </c>
      <c r="F173" s="3"/>
      <c r="G173" s="3"/>
      <c r="H173" s="3"/>
      <c r="I173" s="4"/>
    </row>
    <row r="174" spans="5:12" ht="28.8" x14ac:dyDescent="0.3">
      <c r="E174" s="5" t="s">
        <v>8</v>
      </c>
      <c r="F174" s="6" t="s">
        <v>9</v>
      </c>
      <c r="G174" s="7" t="s">
        <v>10</v>
      </c>
      <c r="H174" s="8" t="s">
        <v>11</v>
      </c>
      <c r="I174" s="9" t="s">
        <v>12</v>
      </c>
      <c r="L174" s="21">
        <v>52097.08</v>
      </c>
    </row>
    <row r="175" spans="5:12" x14ac:dyDescent="0.3">
      <c r="E175" s="10">
        <v>84638189.030000001</v>
      </c>
      <c r="F175" s="20">
        <f>49889270.24+L179</f>
        <v>50221389.120000005</v>
      </c>
      <c r="G175" s="11">
        <v>11850576.77</v>
      </c>
      <c r="H175" s="12">
        <v>11725179.75</v>
      </c>
      <c r="I175" s="13">
        <f>E175-F175-G175-H175</f>
        <v>10841043.389999997</v>
      </c>
      <c r="L175" s="21">
        <v>91169.89</v>
      </c>
    </row>
    <row r="176" spans="5:12" x14ac:dyDescent="0.3">
      <c r="E176" s="14"/>
      <c r="F176" s="15"/>
      <c r="G176" s="15"/>
      <c r="H176" s="15"/>
      <c r="I176" s="16"/>
      <c r="L176" s="21">
        <v>45584.94</v>
      </c>
    </row>
    <row r="177" spans="5:12" x14ac:dyDescent="0.3">
      <c r="E177" s="14"/>
      <c r="F177" s="15"/>
      <c r="G177" s="15"/>
      <c r="H177" s="15"/>
      <c r="I177" s="16"/>
      <c r="L177" s="21">
        <v>52097.08</v>
      </c>
    </row>
    <row r="178" spans="5:12" x14ac:dyDescent="0.3">
      <c r="E178" s="14"/>
      <c r="F178" s="15"/>
      <c r="G178" s="15"/>
      <c r="H178" s="15"/>
      <c r="I178" s="16"/>
      <c r="L178" s="21">
        <v>91169.89</v>
      </c>
    </row>
    <row r="179" spans="5:12" x14ac:dyDescent="0.3">
      <c r="E179" s="14"/>
      <c r="F179" s="15"/>
      <c r="G179" s="15"/>
      <c r="H179" s="15"/>
      <c r="I179" s="16"/>
      <c r="L179" s="1">
        <f>SUM(L174:L178)</f>
        <v>332118.88</v>
      </c>
    </row>
    <row r="180" spans="5:12" x14ac:dyDescent="0.3">
      <c r="E180" s="14"/>
      <c r="F180" s="15"/>
      <c r="G180" s="15"/>
      <c r="H180" s="15"/>
      <c r="I180" s="16"/>
    </row>
    <row r="181" spans="5:12" x14ac:dyDescent="0.3">
      <c r="E181" s="14"/>
      <c r="F181" s="15"/>
      <c r="G181" s="15"/>
      <c r="H181" s="15"/>
      <c r="I181" s="16"/>
    </row>
    <row r="182" spans="5:12" x14ac:dyDescent="0.3">
      <c r="E182" s="14"/>
      <c r="F182" s="15"/>
      <c r="G182" s="15"/>
      <c r="H182" s="15"/>
      <c r="I182" s="16"/>
    </row>
    <row r="183" spans="5:12" x14ac:dyDescent="0.3">
      <c r="E183" s="14"/>
      <c r="F183" s="15"/>
      <c r="G183" s="15"/>
      <c r="H183" s="15"/>
      <c r="I183" s="16"/>
    </row>
    <row r="184" spans="5:12" x14ac:dyDescent="0.3">
      <c r="E184" s="14"/>
      <c r="F184" s="15"/>
      <c r="G184" s="15"/>
      <c r="H184" s="15"/>
      <c r="I184" s="16"/>
    </row>
    <row r="185" spans="5:12" x14ac:dyDescent="0.3">
      <c r="E185" s="14"/>
      <c r="F185" s="15"/>
      <c r="G185" s="15"/>
      <c r="H185" s="15"/>
      <c r="I185" s="16"/>
    </row>
    <row r="186" spans="5:12" x14ac:dyDescent="0.3">
      <c r="E186" s="14"/>
      <c r="F186" s="15"/>
      <c r="G186" s="15"/>
      <c r="H186" s="15"/>
      <c r="I186" s="16"/>
    </row>
    <row r="187" spans="5:12" x14ac:dyDescent="0.3">
      <c r="E187" s="14"/>
      <c r="F187" s="15"/>
      <c r="G187" s="15"/>
      <c r="H187" s="15"/>
      <c r="I187" s="16"/>
    </row>
    <row r="188" spans="5:12" x14ac:dyDescent="0.3">
      <c r="E188" s="14"/>
      <c r="F188" s="15"/>
      <c r="G188" s="15"/>
      <c r="H188" s="15"/>
      <c r="I188" s="16"/>
    </row>
    <row r="189" spans="5:12" x14ac:dyDescent="0.3">
      <c r="E189" s="14"/>
      <c r="F189" s="15"/>
      <c r="G189" s="15"/>
      <c r="H189" s="15"/>
      <c r="I189" s="16"/>
    </row>
    <row r="190" spans="5:12" x14ac:dyDescent="0.3">
      <c r="E190" s="14"/>
      <c r="F190" s="15"/>
      <c r="G190" s="15"/>
      <c r="H190" s="15"/>
      <c r="I190" s="16"/>
    </row>
    <row r="191" spans="5:12" x14ac:dyDescent="0.3">
      <c r="E191" s="14"/>
      <c r="F191" s="15"/>
      <c r="G191" s="15"/>
      <c r="H191" s="15"/>
      <c r="I191" s="16"/>
    </row>
    <row r="192" spans="5:12" x14ac:dyDescent="0.3">
      <c r="E192" s="14"/>
      <c r="F192" s="15"/>
      <c r="G192" s="15"/>
      <c r="H192" s="15"/>
      <c r="I192" s="16"/>
    </row>
    <row r="193" spans="5:9" x14ac:dyDescent="0.3">
      <c r="E193" s="14"/>
      <c r="F193" s="15"/>
      <c r="G193" s="15"/>
      <c r="H193" s="15"/>
      <c r="I193" s="16"/>
    </row>
    <row r="194" spans="5:9" x14ac:dyDescent="0.3">
      <c r="E194" s="14"/>
      <c r="F194" s="15"/>
      <c r="G194" s="15"/>
      <c r="H194" s="15"/>
      <c r="I194" s="16"/>
    </row>
    <row r="195" spans="5:9" ht="15" thickBot="1" x14ac:dyDescent="0.35">
      <c r="E195" s="17"/>
      <c r="F195" s="18"/>
      <c r="G195" s="18"/>
      <c r="H195" s="18"/>
      <c r="I195" s="19"/>
    </row>
    <row r="196" spans="5:9" x14ac:dyDescent="0.3">
      <c r="E196" s="2" t="s">
        <v>13</v>
      </c>
      <c r="F196" s="3"/>
      <c r="G196" s="3"/>
      <c r="H196" s="3"/>
      <c r="I196" s="4"/>
    </row>
    <row r="197" spans="5:9" ht="28.8" x14ac:dyDescent="0.3">
      <c r="E197" s="5" t="s">
        <v>8</v>
      </c>
      <c r="F197" s="6" t="s">
        <v>9</v>
      </c>
      <c r="G197" s="7" t="s">
        <v>10</v>
      </c>
      <c r="H197" s="8" t="s">
        <v>11</v>
      </c>
      <c r="I197" s="9" t="s">
        <v>12</v>
      </c>
    </row>
    <row r="198" spans="5:9" x14ac:dyDescent="0.3">
      <c r="E198" s="10">
        <v>92723513.620000005</v>
      </c>
      <c r="F198" s="20">
        <f>49680881.92+91169.89</f>
        <v>49772051.810000002</v>
      </c>
      <c r="G198" s="11">
        <v>22145464.649999999</v>
      </c>
      <c r="H198" s="12">
        <v>13633480.389999999</v>
      </c>
      <c r="I198" s="13">
        <f>E198-F198-G198-H198</f>
        <v>7172516.7700000051</v>
      </c>
    </row>
    <row r="199" spans="5:9" x14ac:dyDescent="0.3">
      <c r="E199" s="14"/>
      <c r="F199" s="15"/>
      <c r="G199" s="15"/>
      <c r="H199" s="15"/>
      <c r="I199" s="16"/>
    </row>
    <row r="200" spans="5:9" x14ac:dyDescent="0.3">
      <c r="E200" s="14"/>
      <c r="F200" s="15"/>
      <c r="G200" s="15"/>
      <c r="H200" s="15"/>
      <c r="I200" s="16"/>
    </row>
    <row r="201" spans="5:9" x14ac:dyDescent="0.3">
      <c r="E201" s="14"/>
      <c r="F201" s="15"/>
      <c r="G201" s="15"/>
      <c r="H201" s="15"/>
      <c r="I201" s="16"/>
    </row>
    <row r="202" spans="5:9" x14ac:dyDescent="0.3">
      <c r="E202" s="14"/>
      <c r="F202" s="15"/>
      <c r="G202" s="15"/>
      <c r="H202" s="15"/>
      <c r="I202" s="16"/>
    </row>
    <row r="203" spans="5:9" x14ac:dyDescent="0.3">
      <c r="E203" s="14"/>
      <c r="F203" s="15"/>
      <c r="G203" s="15"/>
      <c r="H203" s="15"/>
      <c r="I203" s="16"/>
    </row>
    <row r="204" spans="5:9" x14ac:dyDescent="0.3">
      <c r="E204" s="14"/>
      <c r="F204" s="15"/>
      <c r="G204" s="15"/>
      <c r="H204" s="15"/>
      <c r="I204" s="16"/>
    </row>
    <row r="205" spans="5:9" x14ac:dyDescent="0.3">
      <c r="E205" s="14"/>
      <c r="F205" s="15"/>
      <c r="G205" s="15"/>
      <c r="H205" s="15"/>
      <c r="I205" s="16"/>
    </row>
    <row r="206" spans="5:9" x14ac:dyDescent="0.3">
      <c r="E206" s="14"/>
      <c r="F206" s="15"/>
      <c r="G206" s="15"/>
      <c r="H206" s="15"/>
      <c r="I206" s="16"/>
    </row>
    <row r="207" spans="5:9" x14ac:dyDescent="0.3">
      <c r="E207" s="14"/>
      <c r="F207" s="15"/>
      <c r="G207" s="15"/>
      <c r="H207" s="15"/>
      <c r="I207" s="16"/>
    </row>
    <row r="208" spans="5:9" x14ac:dyDescent="0.3">
      <c r="E208" s="14"/>
      <c r="F208" s="15"/>
      <c r="G208" s="15"/>
      <c r="H208" s="15"/>
      <c r="I208" s="16"/>
    </row>
    <row r="209" spans="5:12" x14ac:dyDescent="0.3">
      <c r="E209" s="14"/>
      <c r="F209" s="15"/>
      <c r="G209" s="15"/>
      <c r="H209" s="15"/>
      <c r="I209" s="16"/>
    </row>
    <row r="210" spans="5:12" x14ac:dyDescent="0.3">
      <c r="E210" s="14"/>
      <c r="F210" s="15"/>
      <c r="G210" s="15"/>
      <c r="H210" s="15"/>
      <c r="I210" s="16"/>
    </row>
    <row r="211" spans="5:12" x14ac:dyDescent="0.3">
      <c r="E211" s="14"/>
      <c r="F211" s="15"/>
      <c r="G211" s="15"/>
      <c r="H211" s="15"/>
      <c r="I211" s="16"/>
    </row>
    <row r="212" spans="5:12" x14ac:dyDescent="0.3">
      <c r="E212" s="14"/>
      <c r="F212" s="15"/>
      <c r="G212" s="15"/>
      <c r="H212" s="15"/>
      <c r="I212" s="16"/>
    </row>
    <row r="213" spans="5:12" x14ac:dyDescent="0.3">
      <c r="E213" s="14"/>
      <c r="F213" s="15"/>
      <c r="G213" s="15"/>
      <c r="H213" s="15"/>
      <c r="I213" s="16"/>
    </row>
    <row r="214" spans="5:12" x14ac:dyDescent="0.3">
      <c r="E214" s="14"/>
      <c r="F214" s="15"/>
      <c r="G214" s="15"/>
      <c r="H214" s="15"/>
      <c r="I214" s="16"/>
    </row>
    <row r="215" spans="5:12" x14ac:dyDescent="0.3">
      <c r="E215" s="14"/>
      <c r="F215" s="15"/>
      <c r="G215" s="15"/>
      <c r="H215" s="15"/>
      <c r="I215" s="16"/>
    </row>
    <row r="216" spans="5:12" x14ac:dyDescent="0.3">
      <c r="E216" s="14"/>
      <c r="F216" s="15"/>
      <c r="G216" s="15"/>
      <c r="H216" s="15"/>
      <c r="I216" s="16"/>
    </row>
    <row r="217" spans="5:12" x14ac:dyDescent="0.3">
      <c r="E217" s="14"/>
      <c r="F217" s="15"/>
      <c r="G217" s="15"/>
      <c r="H217" s="15"/>
      <c r="I217" s="16"/>
    </row>
    <row r="218" spans="5:12" ht="15" thickBot="1" x14ac:dyDescent="0.35">
      <c r="E218" s="17"/>
      <c r="F218" s="18"/>
      <c r="G218" s="18"/>
      <c r="H218" s="18"/>
      <c r="I218" s="19"/>
    </row>
    <row r="219" spans="5:12" x14ac:dyDescent="0.3">
      <c r="E219" s="2" t="s">
        <v>14</v>
      </c>
      <c r="F219" s="3"/>
      <c r="G219" s="3"/>
      <c r="H219" s="3"/>
      <c r="I219" s="4"/>
    </row>
    <row r="220" spans="5:12" ht="28.8" x14ac:dyDescent="0.3">
      <c r="E220" s="5" t="s">
        <v>8</v>
      </c>
      <c r="F220" s="6" t="s">
        <v>9</v>
      </c>
      <c r="G220" s="7" t="s">
        <v>10</v>
      </c>
      <c r="H220" s="8" t="s">
        <v>11</v>
      </c>
      <c r="I220" s="9" t="s">
        <v>12</v>
      </c>
    </row>
    <row r="221" spans="5:12" x14ac:dyDescent="0.3">
      <c r="E221" s="10">
        <v>88646253.470000014</v>
      </c>
      <c r="F221" s="20">
        <f>47373228.88+L225</f>
        <v>47688643.900000006</v>
      </c>
      <c r="G221" s="11">
        <v>11730396.390000001</v>
      </c>
      <c r="H221" s="12">
        <v>15842869.469999999</v>
      </c>
      <c r="I221" s="13">
        <f>E221-F221-G221-H221</f>
        <v>13384343.710000008</v>
      </c>
      <c r="L221" s="21">
        <v>79063</v>
      </c>
    </row>
    <row r="222" spans="5:12" x14ac:dyDescent="0.3">
      <c r="E222" s="14"/>
      <c r="F222" s="15"/>
      <c r="G222" s="15"/>
      <c r="H222" s="15"/>
      <c r="I222" s="16"/>
      <c r="L222" s="21">
        <v>83418.36</v>
      </c>
    </row>
    <row r="223" spans="5:12" x14ac:dyDescent="0.3">
      <c r="E223" s="14"/>
      <c r="F223" s="15"/>
      <c r="G223" s="15"/>
      <c r="H223" s="15"/>
      <c r="I223" s="16"/>
      <c r="L223" s="21">
        <v>55612.24</v>
      </c>
    </row>
    <row r="224" spans="5:12" x14ac:dyDescent="0.3">
      <c r="E224" s="14"/>
      <c r="F224" s="15"/>
      <c r="G224" s="15"/>
      <c r="H224" s="15"/>
      <c r="I224" s="16"/>
      <c r="L224" s="21">
        <v>97321.42</v>
      </c>
    </row>
    <row r="225" spans="5:12" x14ac:dyDescent="0.3">
      <c r="E225" s="14"/>
      <c r="F225" s="15"/>
      <c r="G225" s="15"/>
      <c r="H225" s="15"/>
      <c r="I225" s="16"/>
      <c r="L225" s="1">
        <f>SUM(L221:L224)</f>
        <v>315415.01999999996</v>
      </c>
    </row>
    <row r="226" spans="5:12" x14ac:dyDescent="0.3">
      <c r="E226" s="14"/>
      <c r="F226" s="15"/>
      <c r="G226" s="15"/>
      <c r="H226" s="15"/>
      <c r="I226" s="16"/>
    </row>
    <row r="227" spans="5:12" x14ac:dyDescent="0.3">
      <c r="E227" s="14"/>
      <c r="F227" s="15"/>
      <c r="G227" s="15"/>
      <c r="H227" s="15"/>
      <c r="I227" s="16"/>
    </row>
    <row r="228" spans="5:12" x14ac:dyDescent="0.3">
      <c r="E228" s="14"/>
      <c r="F228" s="15"/>
      <c r="G228" s="15"/>
      <c r="H228" s="15"/>
      <c r="I228" s="16"/>
    </row>
    <row r="229" spans="5:12" x14ac:dyDescent="0.3">
      <c r="E229" s="14"/>
      <c r="F229" s="15"/>
      <c r="G229" s="15"/>
      <c r="H229" s="15"/>
      <c r="I229" s="16"/>
    </row>
    <row r="230" spans="5:12" x14ac:dyDescent="0.3">
      <c r="E230" s="14"/>
      <c r="F230" s="15"/>
      <c r="G230" s="15"/>
      <c r="H230" s="15"/>
      <c r="I230" s="16"/>
    </row>
    <row r="231" spans="5:12" x14ac:dyDescent="0.3">
      <c r="E231" s="14"/>
      <c r="F231" s="15"/>
      <c r="G231" s="15"/>
      <c r="H231" s="15"/>
      <c r="I231" s="16"/>
    </row>
    <row r="232" spans="5:12" x14ac:dyDescent="0.3">
      <c r="E232" s="14"/>
      <c r="F232" s="15"/>
      <c r="G232" s="15"/>
      <c r="H232" s="15"/>
      <c r="I232" s="16"/>
    </row>
    <row r="233" spans="5:12" x14ac:dyDescent="0.3">
      <c r="E233" s="14"/>
      <c r="F233" s="15"/>
      <c r="G233" s="15"/>
      <c r="H233" s="15"/>
      <c r="I233" s="16"/>
    </row>
    <row r="234" spans="5:12" x14ac:dyDescent="0.3">
      <c r="E234" s="14"/>
      <c r="F234" s="15"/>
      <c r="G234" s="15"/>
      <c r="H234" s="15"/>
      <c r="I234" s="16"/>
    </row>
    <row r="235" spans="5:12" x14ac:dyDescent="0.3">
      <c r="E235" s="14"/>
      <c r="F235" s="15"/>
      <c r="G235" s="15"/>
      <c r="H235" s="15"/>
      <c r="I235" s="16"/>
    </row>
    <row r="236" spans="5:12" x14ac:dyDescent="0.3">
      <c r="E236" s="14"/>
      <c r="F236" s="15"/>
      <c r="G236" s="15"/>
      <c r="H236" s="15"/>
      <c r="I236" s="16"/>
    </row>
    <row r="237" spans="5:12" x14ac:dyDescent="0.3">
      <c r="E237" s="14"/>
      <c r="F237" s="15"/>
      <c r="G237" s="15"/>
      <c r="H237" s="15"/>
      <c r="I237" s="16"/>
    </row>
    <row r="238" spans="5:12" x14ac:dyDescent="0.3">
      <c r="E238" s="14"/>
      <c r="F238" s="15"/>
      <c r="G238" s="15"/>
      <c r="H238" s="15"/>
      <c r="I238" s="16"/>
    </row>
    <row r="239" spans="5:12" x14ac:dyDescent="0.3">
      <c r="E239" s="14"/>
      <c r="F239" s="15"/>
      <c r="G239" s="15"/>
      <c r="H239" s="15"/>
      <c r="I239" s="16"/>
    </row>
    <row r="240" spans="5:12" x14ac:dyDescent="0.3">
      <c r="E240" s="14"/>
      <c r="F240" s="15"/>
      <c r="G240" s="15"/>
      <c r="H240" s="15"/>
      <c r="I240" s="16"/>
    </row>
    <row r="241" spans="5:9" ht="15" thickBot="1" x14ac:dyDescent="0.35">
      <c r="E241" s="17"/>
      <c r="F241" s="18"/>
      <c r="G241" s="18"/>
      <c r="H241" s="18"/>
      <c r="I241" s="19"/>
    </row>
  </sheetData>
  <mergeCells count="11">
    <mergeCell ref="E127:I127"/>
    <mergeCell ref="E150:I150"/>
    <mergeCell ref="E173:I173"/>
    <mergeCell ref="E196:I196"/>
    <mergeCell ref="E219:I219"/>
    <mergeCell ref="E2:I9"/>
    <mergeCell ref="E12:I12"/>
    <mergeCell ref="E35:I35"/>
    <mergeCell ref="E58:I58"/>
    <mergeCell ref="E81:I81"/>
    <mergeCell ref="E104:I104"/>
  </mergeCells>
  <pageMargins left="0.23622047244094491" right="0.23622047244094491" top="0.74803149606299213" bottom="0.74803149606299213" header="0.31496062992125984" footer="0.31496062992125984"/>
  <pageSetup paperSize="3" scale="160" orientation="landscape" r:id="rId1"/>
  <rowBreaks count="10" manualBreakCount="10">
    <brk id="10" max="16383" man="1"/>
    <brk id="34" max="16383" man="1"/>
    <brk id="57" max="16383" man="1"/>
    <brk id="80" max="16383" man="1"/>
    <brk id="103" max="16383" man="1"/>
    <brk id="126" max="16383" man="1"/>
    <brk id="149" max="16383" man="1"/>
    <brk id="172" max="16383" man="1"/>
    <brk id="195" max="16383" man="1"/>
    <brk id="218"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Hoja1</vt:lpstr>
      <vt:lpstr>Hoja1!Área_de_impresión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Mateo Quotteri</dc:creator>
  <cp:lastModifiedBy>Mateo Quotteri</cp:lastModifiedBy>
  <cp:lastPrinted>2026-04-13T13:34:18Z</cp:lastPrinted>
  <dcterms:created xsi:type="dcterms:W3CDTF">2026-04-13T12:32:52Z</dcterms:created>
  <dcterms:modified xsi:type="dcterms:W3CDTF">2026-04-13T13:34:47Z</dcterms:modified>
</cp:coreProperties>
</file>