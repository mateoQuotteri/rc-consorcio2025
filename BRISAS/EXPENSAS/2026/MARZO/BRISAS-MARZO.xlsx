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MARZO\"/>
    </mc:Choice>
  </mc:AlternateContent>
  <xr:revisionPtr revIDLastSave="0" documentId="13_ncr:1_{6D487757-95DE-4499-B5E7-98C7BB50BC3A}"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RESUMEN!$A$1:$E$192</definedName>
    <definedName name="_xlnm.Print_Area" localSheetId="3">'SITUACION LOTE 92'!$C$4:$J$24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2" i="1" l="1"/>
  <c r="B150" i="1"/>
  <c r="B160" i="1"/>
  <c r="D94" i="1"/>
  <c r="D122" i="1"/>
  <c r="E42" i="1"/>
  <c r="E86" i="1"/>
  <c r="F44" i="1"/>
  <c r="M50" i="2"/>
  <c r="O57" i="2"/>
  <c r="O56" i="2"/>
  <c r="O43" i="2"/>
  <c r="O64" i="2"/>
  <c r="F76" i="2"/>
  <c r="F142" i="2"/>
  <c r="F112" i="2"/>
  <c r="F53" i="2"/>
  <c r="F84" i="2"/>
  <c r="F108" i="2"/>
  <c r="F110" i="2"/>
  <c r="F45" i="2"/>
  <c r="F61" i="2"/>
  <c r="F43" i="2"/>
  <c r="F157" i="2"/>
  <c r="F153" i="2"/>
  <c r="F81" i="2"/>
  <c r="F13" i="2"/>
  <c r="F134" i="2"/>
  <c r="F74" i="2"/>
  <c r="F138" i="2"/>
  <c r="F27" i="2"/>
  <c r="F34" i="2"/>
  <c r="F10" i="2"/>
  <c r="F106" i="2"/>
  <c r="F40" i="2"/>
  <c r="F93" i="2"/>
  <c r="F109" i="2"/>
  <c r="F111" i="2"/>
  <c r="F85" i="2"/>
  <c r="F80" i="2"/>
  <c r="F52" i="2"/>
  <c r="F9" i="2"/>
  <c r="F67" i="2"/>
  <c r="F120" i="2"/>
  <c r="F26" i="2"/>
  <c r="F44" i="2"/>
  <c r="F96" i="2"/>
  <c r="F107" i="2"/>
  <c r="F92" i="2"/>
  <c r="F132" i="2"/>
  <c r="F6" i="2"/>
  <c r="F150" i="2"/>
  <c r="F113" i="2"/>
  <c r="F16" i="2"/>
  <c r="F127" i="2"/>
  <c r="F103" i="2"/>
  <c r="F79" i="2"/>
  <c r="F42" i="2"/>
  <c r="F14" i="2"/>
  <c r="F149" i="2"/>
  <c r="F62" i="2"/>
  <c r="F57" i="2"/>
  <c r="F140" i="2"/>
  <c r="F139" i="2"/>
  <c r="F8" i="2"/>
  <c r="F55" i="2"/>
  <c r="D60" i="1" l="1"/>
  <c r="E125" i="1" l="1"/>
  <c r="E124" i="1"/>
  <c r="E126" i="1"/>
  <c r="E105" i="1"/>
  <c r="D12" i="6" l="1"/>
  <c r="D21" i="6" s="1"/>
  <c r="D30" i="6" s="1"/>
  <c r="D39" i="6" s="1"/>
  <c r="D48" i="6" s="1"/>
  <c r="D57" i="6" s="1"/>
  <c r="D66" i="6" s="1"/>
  <c r="D75" i="6" s="1"/>
  <c r="D84" i="6" s="1"/>
  <c r="D93" i="6" s="1"/>
  <c r="D102" i="6" s="1"/>
  <c r="D111" i="6" s="1"/>
  <c r="D120" i="6" s="1"/>
  <c r="D129" i="6" s="1"/>
  <c r="D138" i="6" s="1"/>
  <c r="D147" i="6" s="1"/>
  <c r="D156" i="6" s="1"/>
  <c r="D165" i="6" s="1"/>
  <c r="D174" i="6" s="1"/>
  <c r="D182" i="6" s="1"/>
  <c r="D191" i="6" s="1"/>
  <c r="D200" i="6" s="1"/>
  <c r="D210" i="6" s="1"/>
  <c r="D219" i="6" s="1"/>
  <c r="D228" i="6" s="1"/>
  <c r="D237" i="6" s="1"/>
  <c r="D246" i="6" s="1"/>
  <c r="D255" i="6" s="1"/>
  <c r="D264" i="6" s="1"/>
  <c r="D273" i="6" s="1"/>
  <c r="D282" i="6" s="1"/>
  <c r="E62" i="1"/>
  <c r="E36" i="1"/>
  <c r="E46" i="1"/>
  <c r="F24" i="7"/>
  <c r="J7" i="7"/>
  <c r="J9" i="7" s="1"/>
  <c r="G97" i="2"/>
  <c r="J8" i="7"/>
  <c r="G11" i="7"/>
  <c r="D12" i="7"/>
  <c r="G7" i="7"/>
  <c r="G9" i="7" s="1"/>
  <c r="A3" i="2"/>
  <c r="F126" i="2"/>
  <c r="F125" i="2"/>
  <c r="F123" i="2" s="1"/>
  <c r="F32" i="2"/>
  <c r="G12" i="7" l="1"/>
  <c r="F15" i="2" l="1"/>
  <c r="F18" i="2"/>
  <c r="E106" i="1" l="1"/>
  <c r="E92" i="1" l="1"/>
  <c r="E110" i="1"/>
  <c r="B191" i="1"/>
  <c r="B147" i="1" s="1"/>
  <c r="D29" i="1"/>
  <c r="D27" i="1"/>
  <c r="E30" i="1" l="1"/>
  <c r="B179" i="1" l="1"/>
  <c r="E127" i="1"/>
  <c r="P5" i="2" l="1"/>
  <c r="K2" i="2" l="1"/>
  <c r="B169" i="1"/>
  <c r="F131" i="2" l="1"/>
  <c r="F136" i="2"/>
  <c r="F11" i="2"/>
  <c r="F20" i="2"/>
  <c r="F21" i="2"/>
  <c r="F35" i="2"/>
  <c r="F38" i="2"/>
  <c r="F48" i="2"/>
  <c r="F59" i="2"/>
  <c r="F68" i="2"/>
  <c r="F70" i="2"/>
  <c r="F104" i="2"/>
  <c r="F116" i="2"/>
  <c r="F128" i="2"/>
  <c r="G150" i="2" l="1"/>
  <c r="E115" i="1"/>
  <c r="H150" i="2" l="1"/>
  <c r="E122" i="1"/>
  <c r="B149" i="1" l="1"/>
  <c r="E96" i="1" l="1"/>
  <c r="S150" i="2" l="1"/>
  <c r="T150" i="2"/>
  <c r="M150" i="2"/>
  <c r="L150" i="2"/>
  <c r="I150" i="2"/>
  <c r="E131" i="1" l="1"/>
  <c r="B151" i="1" s="1"/>
  <c r="F154" i="2" l="1"/>
  <c r="F152" i="2"/>
  <c r="F151" i="2"/>
  <c r="F37" i="2" s="1"/>
  <c r="F161" i="2" l="1"/>
  <c r="E108"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N61" i="2" s="1"/>
  <c r="G62" i="2"/>
  <c r="H62" i="2" s="1"/>
  <c r="I62" i="2"/>
  <c r="G63" i="2"/>
  <c r="H63" i="2" s="1"/>
  <c r="I63" i="2"/>
  <c r="G64" i="2"/>
  <c r="H64" i="2" s="1"/>
  <c r="I64" i="2"/>
  <c r="I65" i="2"/>
  <c r="G66" i="2"/>
  <c r="H66" i="2" s="1"/>
  <c r="I66" i="2"/>
  <c r="G67" i="2"/>
  <c r="H67" i="2" s="1"/>
  <c r="I67" i="2"/>
  <c r="N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O98" i="2" s="1"/>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O110" i="2" s="1"/>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O120" i="2" s="1"/>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9" i="1"/>
  <c r="B154" i="1" s="1"/>
  <c r="A34" i="1"/>
  <c r="A35" i="1" s="1"/>
  <c r="B136" i="1"/>
  <c r="S38" i="2"/>
  <c r="S147" i="2"/>
  <c r="S148" i="2"/>
  <c r="S149" i="2"/>
  <c r="S151" i="2"/>
  <c r="S152" i="2"/>
  <c r="S153" i="2"/>
  <c r="S154" i="2"/>
  <c r="S155" i="2"/>
  <c r="S156" i="2"/>
  <c r="S157" i="2"/>
  <c r="S158" i="2"/>
  <c r="I158" i="2"/>
  <c r="G158" i="2"/>
  <c r="H158" i="2" s="1"/>
  <c r="B73" i="2"/>
  <c r="D161" i="2"/>
  <c r="B7" i="2"/>
  <c r="N53" i="2" l="1"/>
  <c r="N133" i="2"/>
  <c r="H6" i="2"/>
  <c r="E35" i="1"/>
  <c r="E99" i="1" s="1"/>
  <c r="B134" i="1" s="1"/>
  <c r="B137" i="1" s="1"/>
  <c r="B74" i="2"/>
  <c r="S74" i="2" s="1"/>
  <c r="T73" i="2"/>
  <c r="B8" i="2"/>
  <c r="T7" i="2"/>
  <c r="G18" i="2"/>
  <c r="H18" i="2" s="1"/>
  <c r="G123" i="2"/>
  <c r="H123" i="2" s="1"/>
  <c r="G140" i="2"/>
  <c r="H140" i="2" s="1"/>
  <c r="K161" i="2"/>
  <c r="L161" i="2"/>
  <c r="G153" i="2"/>
  <c r="H153" i="2" s="1"/>
  <c r="G125" i="2"/>
  <c r="H125" i="2" s="1"/>
  <c r="G37" i="2"/>
  <c r="H37" i="2" s="1"/>
  <c r="G157" i="2"/>
  <c r="H157" i="2" s="1"/>
  <c r="G151" i="2"/>
  <c r="H151" i="2" s="1"/>
  <c r="B152" i="1"/>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43"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5"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3" i="1"/>
  <c r="B155" i="1" s="1"/>
  <c r="B171"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<sst xmlns="http://schemas.openxmlformats.org/spreadsheetml/2006/main" count="825" uniqueCount="497">
  <si>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</si>
  <si>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</si>
  <si>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</si>
  <si>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</si>
  <si>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</si>
  <si>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</si>
  <si>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</si>
  <si>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</si>
  <si>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</si>
  <si>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</si>
  <si>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</si>
  <si>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</si>
  <si>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</si>
  <si>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</si>
  <si>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</si>
  <si>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</si>
  <si>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</si>
  <si>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</si>
  <si>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</si>
  <si>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</si>
  <si>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</si>
  <si>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</si>
  <si>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</si>
  <si>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</si>
  <si>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</si>
  <si>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</si>
  <si>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</si>
  <si>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</si>
  <si>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</si>
  <si>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</si>
  <si>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</si>
  <si>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</si>
  <si>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</si>
  <si>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</si>
  <si>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</si>
  <si>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</si>
  <si>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</si>
  <si>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</si>
  <si>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</si>
  <si>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</si>
  <si>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</si>
  <si>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</si>
  <si>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</si>
  <si>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</si>
  <si>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</si>
  <si>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</si>
  <si>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</si>
  <si>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</si>
  <si>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</si>
  <si>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</si>
  <si>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</si>
  <si>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</si>
  <si>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</si>
  <si>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</si>
  <si>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</si>
  <si>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</si>
  <si>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</si>
  <si>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</si>
  <si>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</si>
  <si>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</si>
  <si>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</si>
  <si>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</si>
  <si>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</si>
  <si>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</si>
  <si>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</si>
  <si>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</si>
  <si>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</si>
  <si>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</si>
  <si>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</si>
  <si>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</si>
  <si>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</si>
  <si>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</si>
  <si>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</si>
  <si>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</si>
  <si>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</si>
  <si>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</si>
  <si>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</si>
  <si>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</si>
  <si>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</si>
  <si>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</si>
  <si>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</si>
  <si>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</si>
  <si>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</si>
  <si>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</si>
  <si>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</si>
  <si>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</si>
  <si>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</si>
  <si>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</si>
  <si>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</si>
  <si>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</si>
  <si>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</si>
  <si>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</si>
  <si>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</si>
  <si>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</si>
  <si>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</si>
  <si>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</si>
  <si>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</si>
  <si>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</si>
  <si>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</si>
  <si>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</si>
  <si>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</si>
  <si>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</si>
  <si>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</si>
  <si>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</si>
  <si>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</si>
  <si>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</si>
  <si>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</si>
  <si>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</si>
  <si>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</si>
  <si>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</si>
  <si>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</si>
  <si>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</si>
  <si>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</si>
  <si>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</si>
  <si>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</si>
  <si>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</si>
  <si>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</si>
  <si>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</si>
  <si>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</si>
  <si>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</si>
  <si>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</si>
  <si>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</si>
  <si>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</si>
  <si>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</si>
  <si>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</si>
  <si>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</si>
  <si>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</si>
  <si>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</si>
  <si>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</si>
  <si>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</si>
  <si>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</si>
  <si>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</si>
  <si>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</si>
  <si>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</si>
  <si>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</si>
  <si>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</si>
  <si>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</si>
  <si>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</si>
  <si>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</si>
  <si>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</si>
  <si>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</si>
  <si>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</si>
  <si>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</si>
  <si>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</si>
  <si>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</si>
  <si>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</si>
  <si>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</si>
  <si>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</si>
  <si>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</si>
  <si>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</si>
  <si>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</si>
  <si>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</si>
  <si>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</si>
  <si>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</si>
  <si>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</si>
  <si>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</si>
  <si>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</si>
  <si>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</si>
  <si>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</si>
  <si>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</si>
  <si>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</si>
  <si>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</si>
  <si>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</si>
  <si>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</si>
  <si>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</si>
  <si>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</si>
  <si>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</si>
  <si>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</si>
  <si>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</si>
  <si>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</si>
  <si>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</si>
  <si>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</si>
  <si>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</si>
  <si>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</si>
  <si>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</si>
  <si>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</si>
  <si>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</si>
  <si>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</si>
  <si>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</si>
  <si>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</si>
  <si>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</si>
  <si>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</si>
  <si>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</si>
  <si>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</si>
  <si>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</si>
  <si>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</si>
  <si>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</si>
  <si>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</si>
  <si>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</si>
  <si>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</si>
  <si>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</si>
  <si>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</si>
  <si>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</si>
  <si>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</si>
  <si>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</si>
  <si>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</si>
  <si>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</si>
  <si>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</si>
  <si>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</si>
  <si>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</si>
  <si>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</si>
  <si>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</si>
  <si>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</si>
  <si>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</si>
  <si>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</si>
  <si>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</si>
  <si>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</si>
  <si>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</si>
  <si>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</si>
  <si>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</si>
  <si>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</si>
  <si>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</si>
  <si>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</si>
  <si>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</si>
  <si>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</si>
  <si>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</si>
  <si>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</si>
  <si>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</si>
  <si>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</si>
  <si>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</si>
  <si>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</si>
  <si>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</si>
  <si>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</si>
  <si>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</si>
  <si>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</si>
  <si>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</si>
  <si>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</si>
  <si>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</si>
  <si>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</si>
  <si>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</si>
  <si>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</si>
  <si>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</si>
  <si>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</si>
  <si>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</si>
  <si>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</si>
  <si>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</si>
  <si>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</si>
  <si>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</si>
  <si>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</si>
  <si>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</si>
  <si>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</si>
  <si>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</si>
  <si>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</si>
  <si>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</si>
  <si>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</si>
  <si>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</si>
  <si>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</si>
  <si>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</si>
  <si>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</si>
  <si>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</si>
  <si>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</si>
  <si>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</si>
  <si>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</si>
  <si>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</si>
  <si>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</si>
  <si>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</si>
  <si>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</si>
  <si>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</si>
  <si>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</si>
  <si>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</si>
  <si>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</si>
  <si>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</si>
  <si>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</si>
  <si>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</si>
  <si>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</si>
  <si>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</si>
  <si>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</si>
  <si>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</si>
  <si>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</si>
  <si>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</si>
  <si>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</si>
  <si>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</si>
  <si>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</si>
  <si>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</si>
  <si>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</si>
  <si>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</si>
  <si>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</si>
  <si>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</si>
  <si>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</si>
  <si>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</si>
  <si>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</si>
  <si>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</si>
  <si>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</si>
  <si>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</si>
  <si>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</si>
  <si>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</si>
  <si>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</si>
  <si>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</si>
  <si>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</si>
  <si>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</si>
  <si>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</si>
  <si>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</si>
  <si>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</si>
  <si>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</si>
  <si>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</si>
  <si>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</si>
  <si>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</si>
  <si>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</si>
  <si>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</si>
  <si>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</si>
  <si>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</si>
  <si>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</si>
  <si>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</si>
  <si>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</si>
  <si>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</si>
  <si>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</si>
  <si>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</si>
  <si>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</si>
  <si>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</si>
  <si>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</si>
  <si>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</si>
  <si>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</si>
  <si>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</si>
  <si>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</si>
  <si>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</si>
  <si>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</si>
  <si>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</si>
  <si>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</si>
  <si>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</si>
  <si>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</si>
  <si>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</si>
  <si>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</si>
  <si>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</si>
  <si>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</si>
  <si>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Edesur (Cuit.: 30-65511652-1) - Nuevos medidores - Nro de cliente. 06107197 - Vto. 26/01</t>
  </si>
  <si>
    <t>Edesur (Cuit.: 30-65511652-1) - Nuevos medidores - Nro de cliente. 06107191- Vto. 26/01</t>
  </si>
  <si>
    <t>Edesur (Cuit.: 30-65511652-1) - Nuevos medidores - Nro de cliente. 06106720 - Vto. 26/01</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</si>
  <si>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</si>
  <si>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</si>
  <si>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</si>
  <si>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</si>
  <si>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</si>
  <si>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ADEMAS SACAR A EZEQUIEL DE LA CALLE DE LOS MAILS</t>
  </si>
  <si>
    <t xml:space="preserve">Honorarios Sr. Federico Silvestre - Guardavidas pileta - CUIT: 20407483538 </t>
  </si>
  <si>
    <t>EN D1C,  EN3R0 y Febr3r0 A FLOW LO PUSIMOS EN $0 YA QUE NO SE DEBITO</t>
  </si>
  <si>
    <t>QUERCIA LUCIO - QAM SRL - FLEBO TDR SRL - Grupo Logistico Srl - BinBay</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</si>
  <si>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</si>
  <si>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</si>
  <si>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</si>
  <si>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</si>
  <si>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</si>
  <si>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</si>
  <si>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</si>
  <si>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</si>
  <si>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</si>
  <si>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</si>
  <si>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</si>
  <si>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</si>
  <si>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</si>
  <si>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</si>
  <si>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</si>
  <si>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</si>
  <si>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</si>
  <si>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</si>
  <si>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</si>
  <si>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</si>
  <si>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</si>
  <si>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</si>
  <si>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</si>
  <si>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</si>
  <si>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Gastos particulares / Seguridad de SUM / Multas / Uso de SUM</t>
  </si>
  <si>
    <t>Transfirio $388.000 el 05/03</t>
  </si>
  <si>
    <t>Depisot $720.000 el 04/03</t>
  </si>
  <si>
    <t>Jp Giordano</t>
  </si>
  <si>
    <r>
      <t xml:space="preserve">Transfirio $4.480.152,66 el 04/03  </t>
    </r>
    <r>
      <rPr>
        <b/>
        <u/>
        <sz val="11"/>
        <color theme="1"/>
        <rFont val="Calibri"/>
        <family val="2"/>
        <scheme val="minor"/>
      </rPr>
      <t>¡ESTE MES NO PAGA EL 86!</t>
    </r>
  </si>
  <si>
    <r>
      <t xml:space="preserve">16, 32, 33, 158, 159 y 168 </t>
    </r>
    <r>
      <rPr>
        <b/>
        <i/>
        <u/>
        <sz val="11"/>
        <color theme="1"/>
        <rFont val="Calibri"/>
        <family val="2"/>
        <scheme val="minor"/>
      </rPr>
      <t>¡ESTE MES NO PAGA EL 86!</t>
    </r>
  </si>
  <si>
    <t>Espinola</t>
  </si>
  <si>
    <t>A espionla le pusimos que debia pagar el canon de obra cuando NO le correspondia</t>
  </si>
  <si>
    <t>Sebastian De Lucas</t>
  </si>
  <si>
    <t>Transfririo el 05/03 $720.435</t>
  </si>
  <si>
    <t>PAGOS UNIVERSALES SA/  GLOBAL TT S.A. / GLOBAT / BENAJAL SA / farmacia avenida antartida</t>
  </si>
  <si>
    <t>Deposito $2.757.000 el 06/03</t>
  </si>
  <si>
    <t>Suzel</t>
  </si>
  <si>
    <t>118, 120 y 121</t>
  </si>
  <si>
    <t>Transfirio $2.376.060  el 05/3</t>
  </si>
  <si>
    <t>Deposito $751.500 06/03</t>
  </si>
  <si>
    <t>Deposito $692.000 06/03</t>
  </si>
  <si>
    <t>Deposito $730.000 11/03</t>
  </si>
  <si>
    <t>Deposito $760.000 y $20.000 11/03</t>
  </si>
  <si>
    <t>Deposito $751.000 11/03</t>
  </si>
  <si>
    <t>Transfirio $755.000,00 12/03</t>
  </si>
  <si>
    <t>Deposito 12/03 $1.572.000</t>
  </si>
  <si>
    <t>Deposito 13/03 $751.100</t>
  </si>
  <si>
    <t>Transfirio el 12/03 $712.000</t>
  </si>
  <si>
    <t>Deposito 13/03 $830.000</t>
  </si>
  <si>
    <t>Deposito 13/03 $780.000</t>
  </si>
  <si>
    <t>El lote 88 tiene depósitos de $203.000 y $534.000 y de la transferencia de $38.884,88 - Todo esto el 13/03</t>
  </si>
  <si>
    <t>Deposito $4.560.000 el 13/03</t>
  </si>
  <si>
    <t>Transfirio $728.883 el 16/03</t>
  </si>
  <si>
    <t>Martin Hernan Scalisi</t>
  </si>
  <si>
    <t>Martin Arrieta</t>
  </si>
  <si>
    <t>Deposito $881.000 el 16/03</t>
  </si>
  <si>
    <t>Santangelo</t>
  </si>
  <si>
    <t>Transfirio $726.810 el 18/03</t>
  </si>
  <si>
    <t>Pereyra, Ariel</t>
  </si>
  <si>
    <t>Deposito el 19/03 $960.000</t>
  </si>
  <si>
    <t>Primer Vencimiento:  17/04</t>
  </si>
  <si>
    <t xml:space="preserve">PERÍODO: MARZO </t>
  </si>
  <si>
    <t>Haberes mes de MARZO -  Maximiliano Abbruzzese</t>
  </si>
  <si>
    <t>Deducciones mes de MARZO</t>
  </si>
  <si>
    <t>Redondeo mes de MARZO</t>
  </si>
  <si>
    <t>ARCA - Mes de FEBRERO</t>
  </si>
  <si>
    <t>Sindicatos mes de FEBRERO</t>
  </si>
  <si>
    <t>GOLD (Cuit.: 33-71225773-9) - Fc.0000408 (Servicio de Seguridad FEBRERO 2025)</t>
  </si>
  <si>
    <t>El imperio RYL - Articulos de limpieza - Fc. 0000011986</t>
  </si>
  <si>
    <t>Transf 04/03</t>
  </si>
  <si>
    <t>Saig Juan Salvador - CUIT: 20084255999 - Fc. 0000167 - 50% tramitacion de 5 medidores para los pilares de servicios electricos</t>
  </si>
  <si>
    <t>El pimpollo - CUIT: 30577688164 - Fc. 0000034301 - Cemento loma negra y arena por bolsa</t>
  </si>
  <si>
    <t>SGP - CUIT: 20316550259 - Fc. 000013 - Conexiones electricas en pilares de alimentacion de luces viales suministro genereal del barrio</t>
  </si>
  <si>
    <t>SGP - CUIT: 20316550259 - Fc. 000012 - Reparacion de perdida en cañeria de alta presion de brida nueva y contruccion de base para alojamiento de cano con pico para riego</t>
  </si>
  <si>
    <t>Transf 19/03</t>
  </si>
  <si>
    <t>El imperio RYL - Articulos de limpieza - Fc. 00000111149</t>
  </si>
  <si>
    <t>Transf 16/03</t>
  </si>
  <si>
    <t>Evento 01/02 - UF 79 - De 14 a 20hs</t>
  </si>
  <si>
    <t>Evento 18/02 - UF 28 - De 19 a 23hs</t>
  </si>
  <si>
    <t>Evento 28/02 - UF 62 - De 19 a 02hs</t>
  </si>
  <si>
    <t>Krayacich Matias - CUIT: 20228429725 - Fc. 000001249 - Desinstalacion de motor de porton y reinstalacion de motor de backup con adaptacion a base nueva, cambio de placa y configuracion de placa para tiempo de recorrido</t>
  </si>
  <si>
    <t>Krayacich Matias - CUIT: 20228429725 - Fc. 000001299 - Construccion de cerco electrico con electrificador Intelbras - Restaban abonar $440.000</t>
  </si>
  <si>
    <t>Krayacich Matias - CUIT: 20228429725 - Fc. 000001300 - Configuracion de reloj de control de personal</t>
  </si>
  <si>
    <t>Palubinskas Fernando Nestor - Bidones de Agua cimes de 20lts - Fc. 00001444</t>
  </si>
  <si>
    <t>Electro DRF - Fc. 0000042644 - CUIT: 30716213028 - Luminaria via publica lumax macroled, 200W, base fotocontrol alumbrado publico, fotocontrol alumbrado publico</t>
  </si>
  <si>
    <t xml:space="preserve">Marigo Juan Pablo - CUIT: 20302016306 - Fc. 0000014 - Servicio de Higiene y seguridad </t>
  </si>
  <si>
    <t>Servicio Polad - Mes de FEBRERO - Valor de la hora $6.608,05 (672hs en total)</t>
  </si>
  <si>
    <t>Ramirez Francisco - Fc. 00000566 - Alquiler de volquetes - CUIT: 2040757602</t>
  </si>
  <si>
    <t>Transf 10/03</t>
  </si>
  <si>
    <t>Axin (Cuit.: 30-70858249-9)  - Cuota 52/60</t>
  </si>
  <si>
    <t>Vazquez (Cuit.: 30-55987767-7)  (Prestación servicio de contenedores  + Servicio de descarga) - Fc. 000000235</t>
  </si>
  <si>
    <t>Transf 08/03</t>
  </si>
  <si>
    <t>Armella Cristian - CUIT: 20371419234 - Fc. 00070 - Fumigaciones dias: 05/02 - 12/02 - 19/02 - 28/02</t>
  </si>
  <si>
    <t>Transf 06/03</t>
  </si>
  <si>
    <t>Transf 11/03</t>
  </si>
  <si>
    <t>Ramirez Francisco - Fc. 00000568- Alquiler de volquetes - CUIT: 2040757602</t>
  </si>
  <si>
    <t>SGP - CUIT: 20316550259 - Fc. 000011 - Atencion de emergencia electrica en luces viales, busqueda del problema y correccion</t>
  </si>
  <si>
    <t>SGP - CUIT: 20316550259 - Fc. 00007 - Cambio de luminarias de calle, colocacion de fotocelula con cableado luminaria de calle puesto entrada principal</t>
  </si>
  <si>
    <t>El imperio RYL - Articulos de limpieza - Fc. 0000012597</t>
  </si>
  <si>
    <t>El lote 71 hizo dos depositos : $1.392.000 y $592.000 el dia 30/03</t>
  </si>
  <si>
    <t>El lote 109 deposito : $780.000 el dia 30/03</t>
  </si>
  <si>
    <t>Transfirio $700.000 el dia 30/03</t>
  </si>
  <si>
    <t>Lote 92 transfririo 1.736.196,00 el 31/03 - HABLAR CON RO COMO DIVIDIR ESO, YA QUE PARTE VA PARA SU PLAN DE PAGO Y PARTE PARA SUS EXPENSAS</t>
  </si>
  <si>
    <t>Deposito el 31/03 $1.518.300</t>
  </si>
  <si>
    <t>Transfririo $311.000 y $689.000,17</t>
  </si>
  <si>
    <t>PENDIENTE PARA ABRIL</t>
  </si>
  <si>
    <t>Transfirio $1.250.000 el dia 31/03</t>
  </si>
  <si>
    <t>Debito 02/03</t>
  </si>
  <si>
    <t>Debito 03/03</t>
  </si>
  <si>
    <t>Transf 03/03</t>
  </si>
  <si>
    <t>Bulonera Dimar - CUIT: 30715613707 - Fc. 7615 -  Compra manguera K4 3/4</t>
  </si>
  <si>
    <t>Aberturas Vic - CUIT: 20086266521 - Saldo restante puerta de aluminio blanca - Fc. 1183</t>
  </si>
  <si>
    <t>Vazquez (Cuit.: 30-55987767-7)  (Prestación servicio de contenedores  + Servicio de descarga) - Fc. 000000227</t>
  </si>
  <si>
    <t>Debito 05/03</t>
  </si>
  <si>
    <t>Transf 05/03</t>
  </si>
  <si>
    <t>Grey Brick - Fc. 000000956 - Certificacion de obra pavimento correspondiente a MARZO</t>
  </si>
  <si>
    <t>Armella Cristian - CUIT: 20371419234 - Fc. 00000073- Mantenimiento espacios comunes</t>
  </si>
  <si>
    <t>Servicios arquitectura - Srita. Melanie Burgos Oros - Lotes 45 - 48 - 51 - 56  68 - 86 - 62 - Mes de FEBRERO</t>
  </si>
  <si>
    <t>Servicios arquitectura - Srita. Melanie Burgos Oros - Lote 45 - Mes de Enero</t>
  </si>
  <si>
    <t>Debito 09/03</t>
  </si>
  <si>
    <t>OMS (Cuit.: 30-71568933-9) (Abono mantenimiento planta de tratamiento)</t>
  </si>
  <si>
    <t>Debito 12/03</t>
  </si>
  <si>
    <t>Egresos Judiciales - Al Sr. Suarez Guillermo - Cuota 2 / 2  (Transf 12/03)</t>
  </si>
  <si>
    <t>Debito 16/03</t>
  </si>
  <si>
    <t>Edesur (Cuit.: 30-65511652-1) - Vto 16/03 - Nro de cliente. 05640639</t>
  </si>
  <si>
    <t>Ferreteria Rex - CUIT: 27164125136 - Fc. 00025816 - Tuercas</t>
  </si>
  <si>
    <t>Grafica Tauge - CUIT: 20215943454 - Copias</t>
  </si>
  <si>
    <t>Transf 04/03 - 19/03</t>
  </si>
  <si>
    <t>Max Supreme - Trabajos de herreria - Tachos de basuras y tapas metalicas del barrio solicitadas por Acumar</t>
  </si>
  <si>
    <t>Transf 20/03</t>
  </si>
  <si>
    <t>Gabriel Demetrio -  Fc. 0000101 - CUIT: 20277800323 - Segundo pago cierre cancha de futbol solicitado por Acumar</t>
  </si>
  <si>
    <t>Transf 25/03</t>
  </si>
  <si>
    <t>Transf 27/03</t>
  </si>
  <si>
    <t xml:space="preserve">Alonso Bado - Alquiler de vehiculo electrico - Fc. 000001243 - CUIT: 20138813232 </t>
  </si>
  <si>
    <t>Imagen - Fc. 000042852 - Compra de alambre, ganchos, planchuela, torniquete y tejido romboidal para la cancha</t>
  </si>
  <si>
    <t>Ramirez Francisco - Fc. 00000572  Alquiler de volquetes - CUIT: 2040757602</t>
  </si>
  <si>
    <t>Ramirez Francisco - Fc. 00000564  Alquiler de volquetes - CUIT: 2040757602</t>
  </si>
  <si>
    <t>Transf 30/03</t>
  </si>
  <si>
    <t>SGP - CUIT: 20316550259 - Fc. 000016 - Reparacion de cñaeria, colocacion de dos llaves de paso y construccion de alojamiento para las llaves</t>
  </si>
  <si>
    <t xml:space="preserve">Cerrajeria Vision - CUIT: 23138302539 - Fc. 00008231 - 12 candados Secur de 31MM con emanado por igual -  servicio de cerrajeria </t>
  </si>
  <si>
    <t xml:space="preserve">Honorarios administracion - Mes de Marzo </t>
  </si>
  <si>
    <t xml:space="preserve">Covelia SA - Servicio de recoleccion de residuos domiciliarios correspondientes al mes de FEBRERO  - CUIT: 30707242961 </t>
  </si>
  <si>
    <t>Se debe abono hasta solucionar recoleccion</t>
  </si>
  <si>
    <t xml:space="preserve">Recicla Brown- CUIT: 30-71633401-1 - Servicio de recoleccion de residuos solidos urbanos </t>
  </si>
  <si>
    <t>El pimpollo - CUIT: 30577688164 - Fc. 0000034335 - Cemento loma negra y arena por bolsa</t>
  </si>
  <si>
    <t>ex Ezequiel De la calle - Ahora Patricia Sobol parece ser la nueva dueña - Diego Tufaro</t>
  </si>
  <si>
    <t>Canon de obra mal cobrado lote 146</t>
  </si>
  <si>
    <t>Gustavo Padron - Sr. Contador - Fc. 00000135 - CUIT: 20200271220 - Balance anual</t>
  </si>
  <si>
    <t>Honorarios administracion - Mes de Febrero  - Fc. 00000248</t>
  </si>
  <si>
    <t>Induser - Analisis de agua - Pozo nuevo - Fc. 00003-00003131 - CUIT: 30-70788700-8</t>
  </si>
  <si>
    <t>SUM mal cobrdo L175</t>
  </si>
  <si>
    <t>Deposito 13/03 $846.000</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</si>
  <si>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FEBRERO Y MARZO 2026. PROXIMA EJECUCION.</t>
  </si>
  <si>
    <t>Cuota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</si>
  <si>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Verde: infraccion en ingreso de proveedores.                                                                                                                                                                                                                                                                                                                    Ante cualquier duda o consulta sobre los importes allí detallados, quedamos a disposición.</t>
  </si>
  <si>
    <t>Ingreso que corresponde a CAJA FONDO DE BACHEO</t>
  </si>
  <si>
    <t>CAJA FONDO DE BACHEO</t>
  </si>
  <si>
    <t>Ingreso que corresponde a CAJA FONDO DE BACHEO (50% DE CANON DE OBRA COBRADO EN EXPENSA DEL MES ANTERIOR)</t>
  </si>
  <si>
    <t>Transf 04/03 - 13/03</t>
  </si>
  <si>
    <t>Maire Romer Wilson - CUIT 20949527027 - Fc. 000005 - Mantenimiento colocacion de dos puertas en puesto 1 + Materiales</t>
  </si>
  <si>
    <t>TOTAL AL 03/04/2026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</si>
</sst>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b/>
      <sz val="18"/>
      <color theme="1"/>
      <name val="Calibri"/>
      <family val="2"/>
      <scheme val="minor"/>
    </font>
    <font>
      <b/>
      <u/>
      <sz val="11"/>
      <color theme="1"/>
      <name val="Calibri"/>
      <family val="2"/>
      <scheme val="minor"/>
    </font>
    <font>
      <b/>
      <i/>
      <u/>
      <sz val="11"/>
      <color theme="1"/>
      <name val="Calibri"/>
      <family val="2"/>
      <scheme val="minor"/>
    </font>
  </fonts>
  <fills count="4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rgb="FF00B050"/>
        <bgColor indexed="64"/>
      </patternFill>
    </fill>
    <fill>
      <patternFill patternType="solid">
        <fgColor theme="5" tint="0.59999389629810485"/>
        <bgColor indexed="64"/>
      </patternFill>
    </fill>
    <fill>
      <patternFill patternType="solid">
        <fgColor rgb="FFCCFFCC"/>
        <bgColor indexed="64"/>
      </patternFill>
    </fill>
    <fill>
      <patternFill patternType="solid">
        <fgColor rgb="FF7030A0"/>
        <bgColor indexed="64"/>
      </patternFill>
    </fill>
    <fill>
      <patternFill patternType="solid">
        <fgColor theme="3"/>
        <bgColor indexed="64"/>
      </patternFill>
    </fill>
    <fill>
      <patternFill patternType="solid">
        <fgColor theme="0" tint="-0.499984740745262"/>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52">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0" fontId="13" fillId="2" borderId="3" xfId="0" applyFont="1" applyFill="1" applyBorder="1"/>
    <xf numFmtId="44" fontId="0" fillId="2" borderId="29" xfId="1" applyFont="1" applyFill="1" applyBorder="1"/>
    <xf numFmtId="0" fontId="0" fillId="2" borderId="14" xfId="0" applyFill="1" applyBorder="1"/>
    <xf numFmtId="16" fontId="0" fillId="2" borderId="0" xfId="0" applyNumberFormat="1" applyFill="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6" xfId="0" applyFill="1" applyBorder="1"/>
    <xf numFmtId="0" fontId="0" fillId="27" borderId="0" xfId="0" applyFill="1"/>
    <xf numFmtId="0" fontId="13" fillId="27" borderId="1" xfId="0" applyFont="1" applyFill="1" applyBorder="1"/>
    <xf numFmtId="0" fontId="13" fillId="14"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28" borderId="1" xfId="0" applyFont="1" applyFill="1" applyBorder="1"/>
    <xf numFmtId="0" fontId="0" fillId="20" borderId="14" xfId="0" applyFill="1" applyBorder="1"/>
    <xf numFmtId="0" fontId="0" fillId="20" borderId="16" xfId="0" applyFill="1" applyBorder="1"/>
    <xf numFmtId="0" fontId="0" fillId="20" borderId="0" xfId="0" applyFill="1"/>
    <xf numFmtId="0" fontId="13" fillId="30" borderId="1" xfId="0" applyFont="1" applyFill="1" applyBorder="1"/>
    <xf numFmtId="0" fontId="13" fillId="31" borderId="1" xfId="0" applyFont="1" applyFill="1" applyBorder="1"/>
    <xf numFmtId="0" fontId="4" fillId="13" borderId="12" xfId="0" applyFont="1" applyFill="1" applyBorder="1"/>
    <xf numFmtId="0" fontId="24" fillId="32"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3" borderId="3" xfId="1" applyFont="1" applyFill="1" applyBorder="1"/>
    <xf numFmtId="44" fontId="9" fillId="33" borderId="1" xfId="1" applyFont="1" applyFill="1" applyBorder="1"/>
    <xf numFmtId="0" fontId="0" fillId="0" borderId="0" xfId="0" quotePrefix="1"/>
    <xf numFmtId="0" fontId="2" fillId="34" borderId="9" xfId="0" applyFont="1" applyFill="1" applyBorder="1"/>
    <xf numFmtId="0" fontId="2" fillId="34" borderId="10" xfId="0" applyFont="1" applyFill="1" applyBorder="1"/>
    <xf numFmtId="44" fontId="5" fillId="34"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35" borderId="14" xfId="0" applyFill="1" applyBorder="1"/>
    <xf numFmtId="0" fontId="0" fillId="35" borderId="16" xfId="0" applyFill="1" applyBorder="1"/>
    <xf numFmtId="0" fontId="0" fillId="35" borderId="0" xfId="0" applyFill="1"/>
    <xf numFmtId="0" fontId="0" fillId="36" borderId="14" xfId="0" applyFill="1" applyBorder="1"/>
    <xf numFmtId="0" fontId="0" fillId="36" borderId="16" xfId="0" applyFill="1" applyBorder="1"/>
    <xf numFmtId="0" fontId="0" fillId="36"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0" fillId="38" borderId="14" xfId="0" applyFill="1" applyBorder="1"/>
    <xf numFmtId="0" fontId="0" fillId="38" borderId="12" xfId="0" applyFill="1" applyBorder="1"/>
    <xf numFmtId="0" fontId="0" fillId="38" borderId="16" xfId="0" applyFill="1" applyBorder="1"/>
    <xf numFmtId="0" fontId="0" fillId="38" borderId="0" xfId="0" applyFill="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9" borderId="14" xfId="0" applyFill="1" applyBorder="1"/>
    <xf numFmtId="0" fontId="0" fillId="39" borderId="12" xfId="0" applyFill="1" applyBorder="1"/>
    <xf numFmtId="0" fontId="0" fillId="39" borderId="16" xfId="0" applyFill="1" applyBorder="1"/>
    <xf numFmtId="0" fontId="0" fillId="39" borderId="0" xfId="0" applyFill="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xf>
    <xf numFmtId="6" fontId="0" fillId="2" borderId="0" xfId="0" applyNumberFormat="1" applyFill="1" applyAlignment="1">
      <alignment horizontal="center" vertical="center" wrapText="1"/>
    </xf>
    <xf numFmtId="44" fontId="12" fillId="32" borderId="1" xfId="1" applyFont="1" applyFill="1" applyBorder="1" applyAlignment="1">
      <alignment vertical="center"/>
    </xf>
    <xf numFmtId="8" fontId="18" fillId="2" borderId="3" xfId="1" applyNumberFormat="1" applyFont="1" applyFill="1" applyBorder="1"/>
    <xf numFmtId="165" fontId="13" fillId="17" borderId="3" xfId="1" applyNumberFormat="1" applyFont="1" applyFill="1" applyBorder="1"/>
    <xf numFmtId="165" fontId="18" fillId="31" borderId="3" xfId="1" applyNumberFormat="1" applyFont="1" applyFill="1" applyBorder="1"/>
    <xf numFmtId="165" fontId="13" fillId="41"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0" applyNumberFormat="1" applyFont="1" applyFill="1" applyBorder="1"/>
    <xf numFmtId="44" fontId="4" fillId="2" borderId="6" xfId="1" applyFont="1" applyFill="1" applyBorder="1"/>
    <xf numFmtId="0" fontId="0" fillId="0" borderId="28" xfId="0" applyBorder="1" applyAlignment="1">
      <alignment horizontal="left" vertical="center" wrapText="1"/>
    </xf>
    <xf numFmtId="0" fontId="2" fillId="38" borderId="13" xfId="0" applyFont="1" applyFill="1" applyBorder="1"/>
    <xf numFmtId="44" fontId="2" fillId="38" borderId="13" xfId="1" applyFont="1" applyFill="1" applyBorder="1"/>
    <xf numFmtId="44" fontId="20" fillId="0" borderId="1" xfId="1" applyFont="1" applyBorder="1" applyAlignment="1">
      <alignment wrapText="1"/>
    </xf>
    <xf numFmtId="0" fontId="2" fillId="38" borderId="30" xfId="0" applyFont="1" applyFill="1" applyBorder="1" applyAlignment="1">
      <alignment horizontal="left"/>
    </xf>
    <xf numFmtId="0" fontId="2" fillId="38" borderId="31" xfId="0" applyFont="1" applyFill="1" applyBorder="1" applyAlignment="1">
      <alignment horizontal="left"/>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22" xfId="0" applyFont="1" applyFill="1" applyBorder="1" applyAlignment="1">
      <alignment horizontal="left" vertical="center" wrapText="1"/>
    </xf>
    <xf numFmtId="0" fontId="16" fillId="8" borderId="14"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6" fillId="8" borderId="16" xfId="0" applyFont="1" applyFill="1" applyBorder="1" applyAlignment="1">
      <alignment horizontal="center" vertical="center"/>
    </xf>
    <xf numFmtId="0" fontId="16" fillId="8" borderId="0" xfId="0" applyFont="1" applyFill="1" applyBorder="1" applyAlignment="1">
      <alignment horizontal="center" vertical="center"/>
    </xf>
    <xf numFmtId="0" fontId="16" fillId="8" borderId="17" xfId="0" applyFont="1" applyFill="1" applyBorder="1" applyAlignment="1">
      <alignment horizontal="center" vertical="center"/>
    </xf>
    <xf numFmtId="0" fontId="16" fillId="8" borderId="24"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25" xfId="0" applyFont="1" applyFill="1" applyBorder="1" applyAlignment="1">
      <alignment horizontal="center" vertical="center"/>
    </xf>
    <xf numFmtId="0" fontId="23"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 xfId="1" applyFont="1" applyFill="1" applyBorder="1"/>
    <xf numFmtId="44" fontId="9" fillId="5" borderId="1" xfId="1" applyFont="1" applyFill="1" applyBorder="1"/>
    <xf numFmtId="169" fontId="23" fillId="3" borderId="0" xfId="0" applyNumberFormat="1" applyFont="1" applyFill="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6" fillId="8" borderId="9" xfId="0" applyFont="1" applyFill="1" applyBorder="1" applyAlignment="1">
      <alignment horizontal="left" vertical="center" wrapText="1"/>
    </xf>
    <xf numFmtId="0" fontId="26" fillId="8" borderId="10" xfId="0" applyFont="1" applyFill="1" applyBorder="1" applyAlignment="1">
      <alignment horizontal="left" vertical="center" wrapText="1"/>
    </xf>
    <xf numFmtId="0" fontId="26"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40" borderId="16" xfId="0" applyFont="1" applyFill="1" applyBorder="1" applyAlignment="1">
      <alignment horizontal="center" vertical="center" wrapText="1"/>
    </xf>
    <xf numFmtId="0" fontId="8" fillId="40" borderId="0" xfId="0" applyFont="1" applyFill="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3" fillId="8" borderId="0" xfId="0" applyFont="1" applyFill="1" applyAlignment="1">
      <alignment horizontal="left" vertical="center" wrapText="1"/>
    </xf>
    <xf numFmtId="0" fontId="2" fillId="29" borderId="14" xfId="0" applyFont="1" applyFill="1" applyBorder="1" applyAlignment="1">
      <alignment horizontal="left" vertical="center" wrapText="1"/>
    </xf>
    <xf numFmtId="0" fontId="2" fillId="29" borderId="12" xfId="0" applyFont="1" applyFill="1" applyBorder="1" applyAlignment="1">
      <alignment horizontal="left" vertical="center" wrapText="1"/>
    </xf>
    <xf numFmtId="0" fontId="2" fillId="29" borderId="15" xfId="0" applyFont="1" applyFill="1" applyBorder="1" applyAlignment="1">
      <alignment horizontal="left" vertical="center" wrapText="1"/>
    </xf>
    <xf numFmtId="0" fontId="2" fillId="29" borderId="16" xfId="0" applyFont="1" applyFill="1" applyBorder="1" applyAlignment="1">
      <alignment horizontal="left" vertical="center" wrapText="1"/>
    </xf>
    <xf numFmtId="0" fontId="2" fillId="29" borderId="0" xfId="0" applyFont="1" applyFill="1" applyAlignment="1">
      <alignment horizontal="left" vertical="center" wrapText="1"/>
    </xf>
    <xf numFmtId="0" fontId="2" fillId="29" borderId="17" xfId="0" applyFont="1" applyFill="1" applyBorder="1" applyAlignment="1">
      <alignment horizontal="left" vertical="center" wrapText="1"/>
    </xf>
    <xf numFmtId="0" fontId="2" fillId="29" borderId="24" xfId="0" applyFont="1" applyFill="1" applyBorder="1" applyAlignment="1">
      <alignment horizontal="left" vertical="center" wrapText="1"/>
    </xf>
    <xf numFmtId="0" fontId="2" fillId="29" borderId="8" xfId="0" applyFont="1" applyFill="1" applyBorder="1" applyAlignment="1">
      <alignment horizontal="left" vertical="center" wrapText="1"/>
    </xf>
    <xf numFmtId="0" fontId="2" fillId="29" borderId="25" xfId="0" applyFont="1" applyFill="1" applyBorder="1" applyAlignment="1">
      <alignment horizontal="left"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CCFFCC"/>
      <color rgb="FF1CB0B0"/>
      <color rgb="FF00FF00"/>
      <color rgb="FFFFFF99"/>
      <color rgb="FFFF00FF"/>
      <color rgb="FFFD95DD"/>
      <color rgb="FF666633"/>
      <color rgb="FF336699"/>
      <color rgb="FFCC66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2"/>
  <sheetViews>
    <sheetView tabSelected="1" topLeftCell="A106" zoomScale="95" zoomScaleNormal="95" workbookViewId="0">
      <selection activeCell="B94" sqref="A94:B116"/>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82"/>
      <c r="B1" s="377" t="s">
        <v>156</v>
      </c>
      <c r="C1" s="378"/>
      <c r="D1" s="378"/>
      <c r="E1" s="379"/>
    </row>
    <row r="2" spans="1:5" ht="15.75" thickBot="1" x14ac:dyDescent="0.3">
      <c r="A2" s="383"/>
      <c r="B2" s="377" t="s">
        <v>158</v>
      </c>
      <c r="C2" s="378"/>
      <c r="D2" s="378"/>
      <c r="E2" s="379"/>
    </row>
    <row r="3" spans="1:5" ht="32.25" customHeight="1" thickBot="1" x14ac:dyDescent="0.3">
      <c r="A3" s="383"/>
      <c r="B3" s="374" t="s">
        <v>154</v>
      </c>
      <c r="C3" s="375"/>
      <c r="D3" s="375"/>
      <c r="E3" s="376"/>
    </row>
    <row r="4" spans="1:5" ht="15.75" thickBot="1" x14ac:dyDescent="0.3">
      <c r="A4" s="383"/>
      <c r="B4" s="47" t="s">
        <v>155</v>
      </c>
      <c r="C4" s="46"/>
      <c r="D4" s="46"/>
      <c r="E4" s="46"/>
    </row>
    <row r="5" spans="1:5" ht="17.100000000000001" customHeight="1" thickBot="1" x14ac:dyDescent="0.3">
      <c r="A5" s="383"/>
      <c r="B5" s="50" t="s">
        <v>397</v>
      </c>
      <c r="C5" s="48"/>
      <c r="D5" s="48"/>
      <c r="E5" s="49"/>
    </row>
    <row r="6" spans="1:5" ht="17.100000000000001" customHeight="1" thickBot="1" x14ac:dyDescent="0.3">
      <c r="A6" s="383"/>
      <c r="B6" s="51" t="s">
        <v>285</v>
      </c>
      <c r="C6" s="48"/>
      <c r="D6" s="48"/>
      <c r="E6" s="49"/>
    </row>
    <row r="7" spans="1:5" ht="17.100000000000001" customHeight="1" thickBot="1" x14ac:dyDescent="0.3">
      <c r="A7" s="383"/>
      <c r="B7" s="51" t="s">
        <v>284</v>
      </c>
      <c r="C7" s="48"/>
      <c r="D7" s="48"/>
      <c r="E7" s="49"/>
    </row>
    <row r="8" spans="1:5" ht="15.75" thickBot="1" x14ac:dyDescent="0.3">
      <c r="A8" s="384"/>
      <c r="B8" s="380" t="s">
        <v>157</v>
      </c>
      <c r="C8" s="380"/>
      <c r="D8" s="380"/>
      <c r="E8" s="381"/>
    </row>
    <row r="9" spans="1:5" ht="15.75" thickBot="1" x14ac:dyDescent="0.3"/>
    <row r="10" spans="1:5" ht="14.45" customHeight="1" x14ac:dyDescent="0.25">
      <c r="A10" s="360" t="s">
        <v>396</v>
      </c>
      <c r="B10" s="361"/>
      <c r="C10" s="361"/>
      <c r="D10" s="361"/>
      <c r="E10" s="362"/>
    </row>
    <row r="11" spans="1:5" ht="14.45" customHeight="1" x14ac:dyDescent="0.25">
      <c r="A11" s="363"/>
      <c r="B11" s="364"/>
      <c r="C11" s="364"/>
      <c r="D11" s="364"/>
      <c r="E11" s="365"/>
    </row>
    <row r="12" spans="1:5" ht="14.45" customHeight="1" thickBot="1" x14ac:dyDescent="0.3">
      <c r="A12" s="366"/>
      <c r="B12" s="367"/>
      <c r="C12" s="367"/>
      <c r="D12" s="367"/>
      <c r="E12" s="368"/>
    </row>
    <row r="13" spans="1:5" x14ac:dyDescent="0.25">
      <c r="A13" s="32"/>
      <c r="B13" s="32"/>
      <c r="C13" s="32"/>
      <c r="D13" s="32"/>
      <c r="E13" s="32"/>
    </row>
    <row r="14" spans="1:5" x14ac:dyDescent="0.25">
      <c r="A14" s="32"/>
      <c r="B14" s="32"/>
      <c r="C14" s="32"/>
      <c r="D14" s="32"/>
      <c r="E14" s="32"/>
    </row>
    <row r="15" spans="1:5" ht="15" customHeight="1" x14ac:dyDescent="0.25">
      <c r="A15" s="369" t="s">
        <v>243</v>
      </c>
      <c r="B15" s="369"/>
      <c r="C15" s="369"/>
      <c r="D15" s="369"/>
      <c r="E15" s="369"/>
    </row>
    <row r="16" spans="1:5" ht="15" customHeight="1" x14ac:dyDescent="0.25">
      <c r="A16" s="369"/>
      <c r="B16" s="369"/>
      <c r="C16" s="369"/>
      <c r="D16" s="369"/>
      <c r="E16" s="369"/>
    </row>
    <row r="17" spans="1:8" ht="15" customHeight="1" x14ac:dyDescent="0.25">
      <c r="A17" s="369"/>
      <c r="B17" s="369"/>
      <c r="C17" s="369"/>
      <c r="D17" s="369"/>
      <c r="E17" s="369"/>
    </row>
    <row r="18" spans="1:8" ht="243" customHeight="1" x14ac:dyDescent="0.25">
      <c r="A18" s="369"/>
      <c r="B18" s="369"/>
      <c r="C18" s="369"/>
      <c r="D18" s="369"/>
      <c r="E18" s="369"/>
    </row>
    <row r="19" spans="1:8" ht="14.25" customHeight="1" thickBot="1" x14ac:dyDescent="0.3">
      <c r="A19" s="32"/>
      <c r="B19" s="32"/>
      <c r="C19" s="32"/>
      <c r="D19" s="32"/>
      <c r="E19" s="32"/>
    </row>
    <row r="20" spans="1:8" ht="14.45" hidden="1" customHeight="1" x14ac:dyDescent="0.25">
      <c r="A20" s="99"/>
      <c r="B20" s="32"/>
      <c r="C20" s="32"/>
      <c r="D20" s="32"/>
      <c r="E20" s="32"/>
    </row>
    <row r="21" spans="1:8" ht="15" hidden="1" customHeight="1" thickBot="1" x14ac:dyDescent="0.3">
      <c r="A21" s="32"/>
      <c r="B21" s="32"/>
      <c r="C21" s="32"/>
      <c r="D21" s="32"/>
      <c r="E21" s="32"/>
    </row>
    <row r="22" spans="1:8" x14ac:dyDescent="0.25">
      <c r="A22" s="100" t="s">
        <v>5</v>
      </c>
      <c r="B22" s="101"/>
      <c r="C22" s="102"/>
      <c r="D22" s="103"/>
      <c r="E22" s="104"/>
    </row>
    <row r="23" spans="1:8" x14ac:dyDescent="0.25">
      <c r="A23" s="8" t="s">
        <v>18</v>
      </c>
      <c r="B23" s="8"/>
      <c r="C23" s="8"/>
      <c r="D23" s="8"/>
      <c r="E23" s="8"/>
    </row>
    <row r="24" spans="1:8" ht="18" customHeight="1" x14ac:dyDescent="0.25">
      <c r="A24" s="209" t="s">
        <v>398</v>
      </c>
      <c r="B24" s="180"/>
      <c r="C24" s="24"/>
      <c r="D24" s="344">
        <v>2068594.63</v>
      </c>
      <c r="E24" s="158" t="s">
        <v>473</v>
      </c>
      <c r="G24" s="79"/>
    </row>
    <row r="25" spans="1:8" x14ac:dyDescent="0.25">
      <c r="A25" s="370" t="s">
        <v>399</v>
      </c>
      <c r="B25" s="371"/>
      <c r="C25" s="24"/>
      <c r="D25" s="344">
        <v>-449919.34</v>
      </c>
      <c r="E25" s="24"/>
      <c r="G25" s="4"/>
    </row>
    <row r="26" spans="1:8" ht="19.5" customHeight="1" x14ac:dyDescent="0.25">
      <c r="A26" s="372" t="s">
        <v>400</v>
      </c>
      <c r="B26" s="373"/>
      <c r="C26" s="24"/>
      <c r="D26" s="344">
        <v>0.71</v>
      </c>
      <c r="E26" s="24"/>
      <c r="F26" s="4"/>
      <c r="G26" s="4"/>
    </row>
    <row r="27" spans="1:8" x14ac:dyDescent="0.25">
      <c r="A27" s="105" t="s">
        <v>19</v>
      </c>
      <c r="B27" s="105"/>
      <c r="C27" s="105"/>
      <c r="D27" s="221">
        <f>SUM(D24:D26)</f>
        <v>1618675.9999999998</v>
      </c>
      <c r="E27" s="88"/>
      <c r="F27" s="4"/>
      <c r="G27" s="4"/>
      <c r="H27" s="79"/>
    </row>
    <row r="28" spans="1:8" ht="32.25" customHeight="1" x14ac:dyDescent="0.25">
      <c r="A28" s="357" t="s">
        <v>312</v>
      </c>
      <c r="B28" s="358"/>
      <c r="C28" s="24"/>
      <c r="D28" s="344">
        <v>1520000</v>
      </c>
      <c r="E28" s="24" t="s">
        <v>429</v>
      </c>
      <c r="G28" s="4"/>
    </row>
    <row r="29" spans="1:8" x14ac:dyDescent="0.25">
      <c r="A29" s="105" t="s">
        <v>19</v>
      </c>
      <c r="B29" s="105"/>
      <c r="C29" s="105"/>
      <c r="D29" s="221">
        <f>SUM(D28:D28)</f>
        <v>1520000</v>
      </c>
      <c r="E29" s="25"/>
      <c r="G29" s="4"/>
    </row>
    <row r="30" spans="1:8" ht="18" customHeight="1" thickBot="1" x14ac:dyDescent="0.3">
      <c r="A30" s="106" t="s">
        <v>169</v>
      </c>
      <c r="B30" s="106"/>
      <c r="C30" s="106"/>
      <c r="D30" s="222"/>
      <c r="E30" s="91">
        <f>D27+D29</f>
        <v>3138676</v>
      </c>
      <c r="F30" s="4"/>
    </row>
    <row r="31" spans="1:8" x14ac:dyDescent="0.25">
      <c r="A31" s="8" t="s">
        <v>175</v>
      </c>
      <c r="B31" s="9"/>
      <c r="C31" s="9"/>
      <c r="D31" s="223"/>
      <c r="E31" s="18"/>
    </row>
    <row r="32" spans="1:8" s="10" customFormat="1" ht="15" customHeight="1" x14ac:dyDescent="0.25">
      <c r="A32" s="24" t="s">
        <v>401</v>
      </c>
      <c r="B32" s="24"/>
      <c r="C32" s="107"/>
      <c r="D32" s="345">
        <v>913366.71</v>
      </c>
      <c r="E32" s="84" t="s">
        <v>455</v>
      </c>
      <c r="G32" s="42"/>
    </row>
    <row r="33" spans="1:9" s="10" customFormat="1" ht="15" customHeight="1" x14ac:dyDescent="0.25">
      <c r="A33" s="108" t="s">
        <v>402</v>
      </c>
      <c r="B33" s="24" t="s">
        <v>11</v>
      </c>
      <c r="C33" s="107"/>
      <c r="D33" s="345">
        <v>90065.86</v>
      </c>
      <c r="E33" s="84" t="s">
        <v>457</v>
      </c>
      <c r="G33" s="42"/>
    </row>
    <row r="34" spans="1:9" s="10" customFormat="1" ht="15" customHeight="1" x14ac:dyDescent="0.25">
      <c r="A34" s="108" t="str">
        <f>A33</f>
        <v>Sindicatos mes de FEBRERO</v>
      </c>
      <c r="B34" s="24" t="s">
        <v>20</v>
      </c>
      <c r="C34" s="107"/>
      <c r="D34" s="345">
        <v>170815.14</v>
      </c>
      <c r="E34" s="84" t="str">
        <f>E33</f>
        <v>Debito 12/03</v>
      </c>
      <c r="G34" s="42"/>
    </row>
    <row r="35" spans="1:9" ht="15" customHeight="1" x14ac:dyDescent="0.25">
      <c r="A35" s="108" t="str">
        <f>A34</f>
        <v>Sindicatos mes de FEBRERO</v>
      </c>
      <c r="B35" s="24" t="s">
        <v>10</v>
      </c>
      <c r="C35" s="107"/>
      <c r="D35" s="346">
        <v>10007.32</v>
      </c>
      <c r="E35" s="84" t="str">
        <f>E34</f>
        <v>Debito 12/03</v>
      </c>
      <c r="H35" s="36"/>
    </row>
    <row r="36" spans="1:9" ht="15.75" thickBot="1" x14ac:dyDescent="0.3">
      <c r="A36" s="106" t="s">
        <v>148</v>
      </c>
      <c r="B36" s="106"/>
      <c r="C36" s="106"/>
      <c r="D36" s="224"/>
      <c r="E36" s="90">
        <f>SUM(D32:D35)</f>
        <v>1184255.03</v>
      </c>
    </row>
    <row r="37" spans="1:9" x14ac:dyDescent="0.25">
      <c r="A37" s="8" t="s">
        <v>168</v>
      </c>
      <c r="B37" s="109"/>
      <c r="C37" s="109"/>
      <c r="D37" s="225"/>
      <c r="E37" s="27"/>
    </row>
    <row r="38" spans="1:9" ht="32.1" customHeight="1" x14ac:dyDescent="0.25">
      <c r="A38" s="355" t="s">
        <v>271</v>
      </c>
      <c r="B38" s="356"/>
      <c r="C38" s="24"/>
      <c r="D38" s="226">
        <v>148964</v>
      </c>
      <c r="E38" s="85" t="s">
        <v>444</v>
      </c>
    </row>
    <row r="39" spans="1:9" ht="32.1" customHeight="1" x14ac:dyDescent="0.25">
      <c r="A39" s="355" t="s">
        <v>272</v>
      </c>
      <c r="B39" s="356"/>
      <c r="C39" s="24"/>
      <c r="D39" s="226">
        <v>6160</v>
      </c>
      <c r="E39" s="85" t="s">
        <v>443</v>
      </c>
    </row>
    <row r="40" spans="1:9" ht="32.1" customHeight="1" x14ac:dyDescent="0.25">
      <c r="A40" s="355" t="s">
        <v>315</v>
      </c>
      <c r="B40" s="356"/>
      <c r="C40" s="24"/>
      <c r="D40" s="226">
        <v>26238</v>
      </c>
      <c r="E40" s="85" t="s">
        <v>459</v>
      </c>
    </row>
    <row r="41" spans="1:9" ht="32.1" customHeight="1" x14ac:dyDescent="0.25">
      <c r="A41" s="355" t="s">
        <v>314</v>
      </c>
      <c r="B41" s="356"/>
      <c r="C41" s="24"/>
      <c r="D41" s="226">
        <v>23596</v>
      </c>
      <c r="E41" s="85" t="s">
        <v>449</v>
      </c>
    </row>
    <row r="42" spans="1:9" ht="15" customHeight="1" thickBot="1" x14ac:dyDescent="0.3">
      <c r="A42" s="106" t="s">
        <v>149</v>
      </c>
      <c r="B42" s="110"/>
      <c r="C42" s="110"/>
      <c r="D42" s="227"/>
      <c r="E42" s="54">
        <f>SUM(D38:D41)</f>
        <v>204958</v>
      </c>
    </row>
    <row r="43" spans="1:9" ht="15" customHeight="1" thickBot="1" x14ac:dyDescent="0.3">
      <c r="A43" s="72" t="s">
        <v>176</v>
      </c>
      <c r="B43" s="9"/>
      <c r="C43" s="9"/>
      <c r="D43" s="228"/>
      <c r="E43" s="29"/>
    </row>
    <row r="44" spans="1:9" ht="42.75" customHeight="1" x14ac:dyDescent="0.25">
      <c r="A44" s="355" t="s">
        <v>403</v>
      </c>
      <c r="B44" s="359"/>
      <c r="C44" s="111"/>
      <c r="D44" s="226">
        <v>42932619.280000001</v>
      </c>
      <c r="E44" s="28" t="s">
        <v>405</v>
      </c>
      <c r="F44" s="13">
        <f>D44+D124+D126+D125</f>
        <v>43168971.300000004</v>
      </c>
      <c r="G44" s="13"/>
      <c r="I44" s="40"/>
    </row>
    <row r="45" spans="1:9" ht="41.25" customHeight="1" x14ac:dyDescent="0.25">
      <c r="A45" s="355" t="s">
        <v>422</v>
      </c>
      <c r="B45" s="359"/>
      <c r="C45" s="111"/>
      <c r="D45" s="226">
        <v>4440609.5999999996</v>
      </c>
      <c r="E45" s="31" t="s">
        <v>412</v>
      </c>
      <c r="F45" s="13"/>
    </row>
    <row r="46" spans="1:9" ht="17.45" customHeight="1" x14ac:dyDescent="0.25">
      <c r="A46" s="106" t="s">
        <v>177</v>
      </c>
      <c r="B46" s="45"/>
      <c r="C46" s="45"/>
      <c r="D46" s="45"/>
      <c r="E46" s="55">
        <f>SUM(D44:D45)</f>
        <v>47373228.880000003</v>
      </c>
    </row>
    <row r="47" spans="1:9" ht="17.45" customHeight="1" x14ac:dyDescent="0.25">
      <c r="A47" s="72" t="s">
        <v>178</v>
      </c>
      <c r="B47" s="72"/>
      <c r="C47" s="72" t="s">
        <v>176</v>
      </c>
      <c r="D47" s="72"/>
      <c r="E47" s="72"/>
    </row>
    <row r="48" spans="1:9" ht="35.1" customHeight="1" x14ac:dyDescent="0.25">
      <c r="A48" s="355" t="s">
        <v>456</v>
      </c>
      <c r="B48" s="359"/>
      <c r="C48" s="111"/>
      <c r="D48" s="226">
        <v>1212341.6499999999</v>
      </c>
      <c r="E48" s="31" t="s">
        <v>430</v>
      </c>
    </row>
    <row r="49" spans="1:8" ht="48" customHeight="1" x14ac:dyDescent="0.25">
      <c r="A49" s="355" t="s">
        <v>485</v>
      </c>
      <c r="B49" s="359"/>
      <c r="C49" s="111"/>
      <c r="D49" s="226">
        <v>755384</v>
      </c>
      <c r="E49" s="31" t="s">
        <v>405</v>
      </c>
    </row>
    <row r="50" spans="1:8" ht="49.5" customHeight="1" x14ac:dyDescent="0.25">
      <c r="A50" s="355" t="s">
        <v>428</v>
      </c>
      <c r="B50" s="356"/>
      <c r="C50" s="112"/>
      <c r="D50" s="226">
        <v>480000</v>
      </c>
      <c r="E50" s="31" t="s">
        <v>429</v>
      </c>
      <c r="G50" s="36"/>
    </row>
    <row r="51" spans="1:8" ht="35.1" customHeight="1" x14ac:dyDescent="0.25">
      <c r="A51" s="355" t="s">
        <v>452</v>
      </c>
      <c r="B51" s="356"/>
      <c r="C51" s="112"/>
      <c r="D51" s="226">
        <v>6300000</v>
      </c>
      <c r="E51" s="31" t="s">
        <v>429</v>
      </c>
    </row>
    <row r="52" spans="1:8" ht="60" customHeight="1" x14ac:dyDescent="0.25">
      <c r="A52" s="355" t="s">
        <v>479</v>
      </c>
      <c r="B52" s="356"/>
      <c r="C52" s="112"/>
      <c r="D52" s="226">
        <v>0</v>
      </c>
      <c r="E52" s="31"/>
    </row>
    <row r="53" spans="1:8" ht="60" customHeight="1" x14ac:dyDescent="0.25">
      <c r="A53" s="355" t="s">
        <v>426</v>
      </c>
      <c r="B53" s="356"/>
      <c r="C53" s="112"/>
      <c r="D53" s="226">
        <v>224657.74</v>
      </c>
      <c r="E53" s="31" t="s">
        <v>424</v>
      </c>
    </row>
    <row r="54" spans="1:8" ht="60" customHeight="1" x14ac:dyDescent="0.25">
      <c r="A54" s="355" t="s">
        <v>448</v>
      </c>
      <c r="B54" s="356"/>
      <c r="C54" s="112"/>
      <c r="D54" s="226">
        <v>223833</v>
      </c>
      <c r="E54" s="31" t="s">
        <v>405</v>
      </c>
    </row>
    <row r="55" spans="1:8" ht="44.25" customHeight="1" x14ac:dyDescent="0.25">
      <c r="A55" s="355" t="s">
        <v>421</v>
      </c>
      <c r="B55" s="356"/>
      <c r="C55" s="112"/>
      <c r="D55" s="226">
        <v>943800</v>
      </c>
      <c r="E55" s="31" t="s">
        <v>427</v>
      </c>
    </row>
    <row r="56" spans="1:8" ht="37.5" customHeight="1" x14ac:dyDescent="0.25">
      <c r="A56" s="355" t="s">
        <v>469</v>
      </c>
      <c r="B56" s="356"/>
      <c r="C56" s="112"/>
      <c r="D56" s="226">
        <v>820380</v>
      </c>
      <c r="E56" s="86" t="s">
        <v>468</v>
      </c>
    </row>
    <row r="57" spans="1:8" ht="37.5" customHeight="1" x14ac:dyDescent="0.25">
      <c r="A57" s="355" t="s">
        <v>423</v>
      </c>
      <c r="B57" s="356"/>
      <c r="C57" s="112"/>
      <c r="D57" s="226">
        <v>220000</v>
      </c>
      <c r="E57" s="86" t="s">
        <v>424</v>
      </c>
    </row>
    <row r="58" spans="1:8" ht="37.5" customHeight="1" x14ac:dyDescent="0.25">
      <c r="A58" s="355" t="s">
        <v>431</v>
      </c>
      <c r="B58" s="356"/>
      <c r="C58" s="112"/>
      <c r="D58" s="226">
        <v>330000</v>
      </c>
      <c r="E58" s="86" t="s">
        <v>410</v>
      </c>
    </row>
    <row r="59" spans="1:8" ht="37.5" customHeight="1" x14ac:dyDescent="0.25">
      <c r="A59" s="355" t="s">
        <v>471</v>
      </c>
      <c r="B59" s="356"/>
      <c r="C59" s="112"/>
      <c r="D59" s="226">
        <v>110000</v>
      </c>
      <c r="E59" s="86" t="s">
        <v>473</v>
      </c>
    </row>
    <row r="60" spans="1:8" ht="37.5" customHeight="1" x14ac:dyDescent="0.25">
      <c r="A60" s="355" t="s">
        <v>472</v>
      </c>
      <c r="B60" s="356"/>
      <c r="C60" s="112"/>
      <c r="D60" s="226">
        <f>D59</f>
        <v>110000</v>
      </c>
      <c r="E60" s="86" t="s">
        <v>473</v>
      </c>
    </row>
    <row r="61" spans="1:8" ht="48" customHeight="1" x14ac:dyDescent="0.25">
      <c r="A61" s="355" t="s">
        <v>477</v>
      </c>
      <c r="B61" s="356"/>
      <c r="C61" s="24"/>
      <c r="D61" s="226" t="s">
        <v>478</v>
      </c>
      <c r="E61" s="86"/>
      <c r="G61" s="96"/>
      <c r="H61" s="96"/>
    </row>
    <row r="62" spans="1:8" ht="15.75" thickBot="1" x14ac:dyDescent="0.3">
      <c r="A62" s="106" t="s">
        <v>179</v>
      </c>
      <c r="B62" s="45"/>
      <c r="C62" s="45"/>
      <c r="D62" s="45"/>
      <c r="E62" s="147">
        <f>SUM(D48:D61)</f>
        <v>11730396.390000001</v>
      </c>
    </row>
    <row r="63" spans="1:8" ht="15.75" thickBot="1" x14ac:dyDescent="0.3">
      <c r="A63" s="8" t="s">
        <v>180</v>
      </c>
      <c r="B63" s="113"/>
      <c r="C63" s="9"/>
      <c r="D63" s="229"/>
      <c r="E63" s="29"/>
    </row>
    <row r="64" spans="1:8" ht="35.1" customHeight="1" x14ac:dyDescent="0.25">
      <c r="A64" s="357" t="s">
        <v>495</v>
      </c>
      <c r="B64" s="358"/>
      <c r="C64" s="24"/>
      <c r="D64" s="148">
        <v>520000</v>
      </c>
      <c r="E64" s="352" t="s">
        <v>494</v>
      </c>
    </row>
    <row r="65" spans="1:6" ht="33" customHeight="1" x14ac:dyDescent="0.25">
      <c r="A65" s="355" t="s">
        <v>470</v>
      </c>
      <c r="B65" s="356"/>
      <c r="C65" s="108"/>
      <c r="D65" s="148">
        <v>558280</v>
      </c>
      <c r="E65" s="155" t="s">
        <v>468</v>
      </c>
    </row>
    <row r="66" spans="1:6" ht="63.75" customHeight="1" x14ac:dyDescent="0.25">
      <c r="A66" s="355" t="s">
        <v>408</v>
      </c>
      <c r="B66" s="356"/>
      <c r="C66" s="24"/>
      <c r="D66" s="148">
        <v>360000</v>
      </c>
      <c r="E66" s="87" t="s">
        <v>465</v>
      </c>
    </row>
    <row r="67" spans="1:6" ht="63.75" customHeight="1" x14ac:dyDescent="0.25">
      <c r="A67" s="355" t="s">
        <v>433</v>
      </c>
      <c r="B67" s="356"/>
      <c r="C67" s="24"/>
      <c r="D67" s="148">
        <v>350000</v>
      </c>
      <c r="E67" s="87" t="s">
        <v>410</v>
      </c>
    </row>
    <row r="68" spans="1:6" ht="63.75" customHeight="1" x14ac:dyDescent="0.25">
      <c r="A68" s="355" t="s">
        <v>432</v>
      </c>
      <c r="B68" s="356"/>
      <c r="C68" s="24"/>
      <c r="D68" s="148">
        <v>250000</v>
      </c>
      <c r="E68" s="87" t="s">
        <v>410</v>
      </c>
    </row>
    <row r="69" spans="1:6" ht="63.75" customHeight="1" x14ac:dyDescent="0.25">
      <c r="A69" s="355" t="s">
        <v>409</v>
      </c>
      <c r="B69" s="356"/>
      <c r="C69" s="24"/>
      <c r="D69" s="148">
        <v>850000</v>
      </c>
      <c r="E69" s="87" t="s">
        <v>465</v>
      </c>
    </row>
    <row r="70" spans="1:6" ht="64.5" customHeight="1" x14ac:dyDescent="0.25">
      <c r="A70" s="355" t="s">
        <v>474</v>
      </c>
      <c r="B70" s="356"/>
      <c r="C70" s="108"/>
      <c r="D70" s="148">
        <v>380000</v>
      </c>
      <c r="E70" s="31" t="s">
        <v>473</v>
      </c>
      <c r="F70" s="96"/>
    </row>
    <row r="71" spans="1:6" ht="64.5" customHeight="1" x14ac:dyDescent="0.25">
      <c r="A71" s="355" t="s">
        <v>417</v>
      </c>
      <c r="B71" s="356"/>
      <c r="C71" s="108"/>
      <c r="D71" s="148">
        <v>440000</v>
      </c>
      <c r="E71" s="31" t="s">
        <v>405</v>
      </c>
      <c r="F71" s="96"/>
    </row>
    <row r="72" spans="1:6" ht="64.5" customHeight="1" x14ac:dyDescent="0.25">
      <c r="A72" s="355" t="s">
        <v>418</v>
      </c>
      <c r="B72" s="356"/>
      <c r="C72" s="108"/>
      <c r="D72" s="148">
        <v>70000</v>
      </c>
      <c r="E72" s="31" t="s">
        <v>405</v>
      </c>
      <c r="F72" s="96"/>
    </row>
    <row r="73" spans="1:6" ht="60.6" customHeight="1" x14ac:dyDescent="0.25">
      <c r="A73" s="355" t="s">
        <v>416</v>
      </c>
      <c r="B73" s="356"/>
      <c r="C73" s="108"/>
      <c r="D73" s="148">
        <v>250000</v>
      </c>
      <c r="E73" s="31" t="s">
        <v>405</v>
      </c>
    </row>
    <row r="74" spans="1:6" ht="42" customHeight="1" x14ac:dyDescent="0.25">
      <c r="A74" s="355" t="s">
        <v>464</v>
      </c>
      <c r="B74" s="356"/>
      <c r="C74" s="108"/>
      <c r="D74" s="148">
        <v>5138870</v>
      </c>
      <c r="E74" s="155" t="s">
        <v>463</v>
      </c>
      <c r="F74" s="96"/>
    </row>
    <row r="75" spans="1:6" ht="42" customHeight="1" x14ac:dyDescent="0.25">
      <c r="A75" s="355" t="s">
        <v>466</v>
      </c>
      <c r="B75" s="356"/>
      <c r="C75" s="108"/>
      <c r="D75" s="148">
        <v>2445000</v>
      </c>
      <c r="E75" s="155" t="s">
        <v>465</v>
      </c>
      <c r="F75" s="96"/>
    </row>
    <row r="76" spans="1:6" ht="31.35" customHeight="1" x14ac:dyDescent="0.25">
      <c r="A76" s="337" t="s">
        <v>404</v>
      </c>
      <c r="B76" s="336"/>
      <c r="C76" s="108"/>
      <c r="D76" s="148">
        <v>208900</v>
      </c>
      <c r="E76" s="155" t="s">
        <v>405</v>
      </c>
    </row>
    <row r="77" spans="1:6" ht="31.35" customHeight="1" x14ac:dyDescent="0.25">
      <c r="A77" s="337" t="s">
        <v>411</v>
      </c>
      <c r="B77" s="336"/>
      <c r="C77" s="108"/>
      <c r="D77" s="148">
        <v>317600</v>
      </c>
      <c r="E77" s="155" t="s">
        <v>405</v>
      </c>
    </row>
    <row r="78" spans="1:6" ht="31.35" customHeight="1" x14ac:dyDescent="0.25">
      <c r="A78" s="337" t="s">
        <v>434</v>
      </c>
      <c r="B78" s="336"/>
      <c r="C78" s="108"/>
      <c r="D78" s="148">
        <v>119000</v>
      </c>
      <c r="E78" s="155" t="s">
        <v>468</v>
      </c>
    </row>
    <row r="79" spans="1:6" ht="36.75" customHeight="1" x14ac:dyDescent="0.25">
      <c r="A79" s="355" t="s">
        <v>406</v>
      </c>
      <c r="B79" s="356"/>
      <c r="C79" s="108"/>
      <c r="D79" s="148">
        <v>1800000</v>
      </c>
      <c r="E79" s="95" t="s">
        <v>467</v>
      </c>
    </row>
    <row r="80" spans="1:6" ht="55.7" customHeight="1" x14ac:dyDescent="0.25">
      <c r="A80" s="355" t="s">
        <v>420</v>
      </c>
      <c r="B80" s="356"/>
      <c r="C80" s="108"/>
      <c r="D80" s="148">
        <v>292953.59999999998</v>
      </c>
      <c r="E80" s="155" t="s">
        <v>412</v>
      </c>
      <c r="F80" s="96"/>
    </row>
    <row r="81" spans="1:5" ht="40.15" customHeight="1" x14ac:dyDescent="0.25">
      <c r="A81" s="355" t="s">
        <v>475</v>
      </c>
      <c r="B81" s="356"/>
      <c r="C81" s="108"/>
      <c r="D81" s="148">
        <v>306600</v>
      </c>
      <c r="E81" s="155" t="s">
        <v>473</v>
      </c>
    </row>
    <row r="82" spans="1:5" ht="45" customHeight="1" x14ac:dyDescent="0.25">
      <c r="A82" s="355" t="s">
        <v>446</v>
      </c>
      <c r="B82" s="356"/>
      <c r="C82" s="108"/>
      <c r="D82" s="148">
        <v>318165.87</v>
      </c>
      <c r="E82" s="95" t="s">
        <v>405</v>
      </c>
    </row>
    <row r="83" spans="1:5" ht="45" customHeight="1" x14ac:dyDescent="0.25">
      <c r="A83" s="335" t="s">
        <v>462</v>
      </c>
      <c r="B83" s="336"/>
      <c r="C83" s="108"/>
      <c r="D83" s="148">
        <v>10500</v>
      </c>
      <c r="E83" s="95" t="s">
        <v>412</v>
      </c>
    </row>
    <row r="84" spans="1:5" ht="35.1" customHeight="1" x14ac:dyDescent="0.25">
      <c r="A84" s="355" t="s">
        <v>447</v>
      </c>
      <c r="B84" s="356"/>
      <c r="C84" s="108"/>
      <c r="D84" s="148">
        <v>454000</v>
      </c>
      <c r="E84" s="87" t="s">
        <v>405</v>
      </c>
    </row>
    <row r="85" spans="1:5" ht="35.1" customHeight="1" x14ac:dyDescent="0.25">
      <c r="A85" s="355" t="s">
        <v>419</v>
      </c>
      <c r="B85" s="356"/>
      <c r="C85" s="108"/>
      <c r="D85" s="148">
        <v>403000</v>
      </c>
      <c r="E85" s="87" t="s">
        <v>405</v>
      </c>
    </row>
    <row r="86" spans="1:5" ht="15.75" thickBot="1" x14ac:dyDescent="0.3">
      <c r="A86" s="114" t="s">
        <v>181</v>
      </c>
      <c r="B86" s="114"/>
      <c r="C86" s="114"/>
      <c r="D86" s="230"/>
      <c r="E86" s="90">
        <f>SUM(D64:D85)</f>
        <v>15842869.469999999</v>
      </c>
    </row>
    <row r="87" spans="1:5" x14ac:dyDescent="0.25">
      <c r="A87" s="8" t="s">
        <v>12</v>
      </c>
      <c r="B87" s="8"/>
      <c r="C87" s="8"/>
      <c r="D87" s="231"/>
      <c r="E87" s="26"/>
    </row>
    <row r="88" spans="1:5" ht="23.45" customHeight="1" x14ac:dyDescent="0.25">
      <c r="A88" s="355" t="s">
        <v>484</v>
      </c>
      <c r="B88" s="356"/>
      <c r="C88" s="24"/>
      <c r="D88" s="347">
        <v>2800000</v>
      </c>
      <c r="E88" s="95" t="s">
        <v>445</v>
      </c>
    </row>
    <row r="89" spans="1:5" ht="23.45" customHeight="1" x14ac:dyDescent="0.25">
      <c r="A89" s="355" t="s">
        <v>476</v>
      </c>
      <c r="B89" s="356"/>
      <c r="C89" s="24"/>
      <c r="D89" s="347">
        <v>2800000</v>
      </c>
      <c r="E89" s="95" t="s">
        <v>473</v>
      </c>
    </row>
    <row r="90" spans="1:5" ht="44.45" customHeight="1" x14ac:dyDescent="0.25">
      <c r="A90" s="355" t="s">
        <v>483</v>
      </c>
      <c r="B90" s="356"/>
      <c r="C90" s="24"/>
      <c r="D90" s="347">
        <v>150000</v>
      </c>
      <c r="E90" s="95" t="s">
        <v>468</v>
      </c>
    </row>
    <row r="91" spans="1:5" ht="50.25" customHeight="1" x14ac:dyDescent="0.25">
      <c r="A91" s="355" t="s">
        <v>333</v>
      </c>
      <c r="B91" s="356"/>
      <c r="C91" s="24"/>
      <c r="D91" s="347">
        <v>1900000</v>
      </c>
      <c r="E91" s="95" t="s">
        <v>450</v>
      </c>
    </row>
    <row r="92" spans="1:5" ht="15.75" thickBot="1" x14ac:dyDescent="0.3">
      <c r="A92" s="106" t="s">
        <v>150</v>
      </c>
      <c r="B92" s="106"/>
      <c r="C92" s="106"/>
      <c r="D92" s="224"/>
      <c r="E92" s="91">
        <f>SUM(D88:D91)</f>
        <v>7650000</v>
      </c>
    </row>
    <row r="93" spans="1:5" ht="15.75" thickBot="1" x14ac:dyDescent="0.3">
      <c r="A93" s="8" t="s">
        <v>7</v>
      </c>
      <c r="B93" s="113"/>
      <c r="C93" s="9"/>
      <c r="D93" s="229"/>
      <c r="E93" s="29"/>
    </row>
    <row r="94" spans="1:5" x14ac:dyDescent="0.25">
      <c r="A94" s="24" t="s">
        <v>22</v>
      </c>
      <c r="B94" s="24"/>
      <c r="C94" s="24"/>
      <c r="D94" s="226">
        <f>44+1464325.7</f>
        <v>1464369.7</v>
      </c>
      <c r="E94" s="31"/>
    </row>
    <row r="95" spans="1:5" x14ac:dyDescent="0.25">
      <c r="A95" s="24" t="s">
        <v>23</v>
      </c>
      <c r="B95" s="24"/>
      <c r="C95" s="24"/>
      <c r="D95" s="226">
        <v>57500</v>
      </c>
      <c r="E95" s="30"/>
    </row>
    <row r="96" spans="1:5" x14ac:dyDescent="0.25">
      <c r="A96" s="115" t="s">
        <v>151</v>
      </c>
      <c r="B96" s="115"/>
      <c r="C96" s="115"/>
      <c r="D96" s="232"/>
      <c r="E96" s="94">
        <f>SUM(D94:D95)</f>
        <v>1521869.7</v>
      </c>
    </row>
    <row r="97" spans="1:7" x14ac:dyDescent="0.25">
      <c r="A97" s="24"/>
      <c r="B97" s="24"/>
      <c r="C97" s="24"/>
      <c r="D97" s="24"/>
      <c r="E97" s="57"/>
    </row>
    <row r="98" spans="1:7" x14ac:dyDescent="0.25">
      <c r="A98" s="24"/>
      <c r="B98" s="24"/>
      <c r="C98" s="24"/>
      <c r="D98" s="24"/>
      <c r="E98" s="57"/>
      <c r="F98" s="13"/>
      <c r="G98" s="41"/>
    </row>
    <row r="99" spans="1:7" ht="15.75" thickBot="1" x14ac:dyDescent="0.3">
      <c r="A99" s="116" t="s">
        <v>8</v>
      </c>
      <c r="B99" s="117"/>
      <c r="C99" s="56"/>
      <c r="D99" s="56"/>
      <c r="E99" s="153">
        <f>(SUM(E30:E97))</f>
        <v>88646253.470000014</v>
      </c>
      <c r="F99" s="40"/>
    </row>
    <row r="100" spans="1:7" x14ac:dyDescent="0.25">
      <c r="A100" s="32"/>
      <c r="B100" s="32"/>
      <c r="C100" s="32"/>
      <c r="D100" s="32"/>
      <c r="E100" s="32"/>
    </row>
    <row r="101" spans="1:7" x14ac:dyDescent="0.25">
      <c r="A101" s="32"/>
      <c r="B101" s="32"/>
      <c r="C101" s="32"/>
      <c r="D101" s="32"/>
      <c r="E101" s="32"/>
    </row>
    <row r="102" spans="1:7" x14ac:dyDescent="0.25">
      <c r="A102" s="118" t="s">
        <v>9</v>
      </c>
      <c r="B102" s="44"/>
      <c r="C102" s="44"/>
      <c r="D102" s="44"/>
      <c r="E102" s="44"/>
    </row>
    <row r="103" spans="1:7" ht="31.5" customHeight="1" x14ac:dyDescent="0.25">
      <c r="A103" s="355" t="s">
        <v>460</v>
      </c>
      <c r="B103" s="356"/>
      <c r="C103" s="24"/>
      <c r="D103" s="226">
        <v>134094.32999999999</v>
      </c>
      <c r="E103" s="24" t="s">
        <v>273</v>
      </c>
    </row>
    <row r="104" spans="1:7" ht="31.5" customHeight="1" x14ac:dyDescent="0.25">
      <c r="A104" s="355" t="s">
        <v>324</v>
      </c>
      <c r="B104" s="356"/>
      <c r="C104" s="24"/>
      <c r="D104" s="226">
        <v>68125.69</v>
      </c>
      <c r="E104" s="210" t="s">
        <v>412</v>
      </c>
    </row>
    <row r="105" spans="1:7" ht="31.5" customHeight="1" x14ac:dyDescent="0.25">
      <c r="A105" s="355" t="s">
        <v>325</v>
      </c>
      <c r="B105" s="356"/>
      <c r="C105" s="24"/>
      <c r="D105" s="226">
        <v>68125.69</v>
      </c>
      <c r="E105" s="210" t="str">
        <f>E104</f>
        <v>Transf 16/03</v>
      </c>
    </row>
    <row r="106" spans="1:7" ht="31.5" customHeight="1" x14ac:dyDescent="0.25">
      <c r="A106" s="355" t="s">
        <v>326</v>
      </c>
      <c r="B106" s="356"/>
      <c r="C106" s="24"/>
      <c r="D106" s="226">
        <v>68606.210000000006</v>
      </c>
      <c r="E106" s="210" t="str">
        <f>E104</f>
        <v>Transf 16/03</v>
      </c>
    </row>
    <row r="107" spans="1:7" ht="30" customHeight="1" x14ac:dyDescent="0.25">
      <c r="A107" s="357" t="s">
        <v>425</v>
      </c>
      <c r="B107" s="358"/>
      <c r="C107" s="24"/>
      <c r="D107" s="226">
        <v>1114493.6200000001</v>
      </c>
      <c r="E107" s="87" t="s">
        <v>424</v>
      </c>
    </row>
    <row r="108" spans="1:7" ht="38.25" customHeight="1" x14ac:dyDescent="0.25">
      <c r="A108" s="357" t="s">
        <v>191</v>
      </c>
      <c r="B108" s="358"/>
      <c r="C108" s="24"/>
      <c r="D108" s="226">
        <v>8169.48</v>
      </c>
      <c r="E108" s="24" t="str">
        <f>E103</f>
        <v>Debito autom.</v>
      </c>
    </row>
    <row r="109" spans="1:7" ht="33.75" customHeight="1" x14ac:dyDescent="0.25">
      <c r="A109" s="357" t="s">
        <v>303</v>
      </c>
      <c r="B109" s="358"/>
      <c r="C109" s="24"/>
      <c r="D109" s="226">
        <v>6237.04</v>
      </c>
      <c r="E109" s="24" t="s">
        <v>273</v>
      </c>
      <c r="G109" t="s">
        <v>334</v>
      </c>
    </row>
    <row r="110" spans="1:7" x14ac:dyDescent="0.25">
      <c r="A110" s="118" t="s">
        <v>4</v>
      </c>
      <c r="B110" s="44"/>
      <c r="C110" s="44"/>
      <c r="D110" s="44"/>
      <c r="E110" s="92">
        <f>SUM(D103:D109)</f>
        <v>1467852.06</v>
      </c>
    </row>
    <row r="111" spans="1:7" ht="15.75" thickBot="1" x14ac:dyDescent="0.3">
      <c r="A111" s="32"/>
      <c r="B111" s="32"/>
      <c r="C111" s="32"/>
      <c r="D111" s="32"/>
      <c r="E111" s="32"/>
    </row>
    <row r="112" spans="1:7" x14ac:dyDescent="0.25">
      <c r="A112" s="119" t="s">
        <v>21</v>
      </c>
      <c r="B112" s="120"/>
      <c r="C112" s="121"/>
      <c r="D112" s="260"/>
      <c r="E112" s="52"/>
    </row>
    <row r="113" spans="1:7" ht="45" customHeight="1" x14ac:dyDescent="0.25">
      <c r="A113" s="357" t="s">
        <v>451</v>
      </c>
      <c r="B113" s="358"/>
      <c r="C113" s="24"/>
      <c r="D113" s="348">
        <v>5816279.9100000001</v>
      </c>
      <c r="E113" s="86" t="s">
        <v>429</v>
      </c>
    </row>
    <row r="114" spans="1:7" ht="43.5" customHeight="1" thickBot="1" x14ac:dyDescent="0.3">
      <c r="A114" s="357"/>
      <c r="B114" s="358"/>
      <c r="C114" s="24"/>
      <c r="D114" s="148"/>
      <c r="E114" s="86"/>
    </row>
    <row r="115" spans="1:7" ht="15.75" thickBot="1" x14ac:dyDescent="0.3">
      <c r="A115" s="122" t="s">
        <v>4</v>
      </c>
      <c r="B115" s="123"/>
      <c r="C115" s="123"/>
      <c r="D115" s="124"/>
      <c r="E115" s="93">
        <f>SUM(D113:D114)</f>
        <v>5816279.9100000001</v>
      </c>
    </row>
    <row r="116" spans="1:7" ht="15" customHeight="1" x14ac:dyDescent="0.25">
      <c r="A116" s="32"/>
      <c r="B116" s="32"/>
      <c r="C116" s="32"/>
      <c r="D116" s="32"/>
      <c r="E116" s="32"/>
    </row>
    <row r="117" spans="1:7" ht="15.75" hidden="1" thickBot="1" x14ac:dyDescent="0.3">
      <c r="A117" s="32"/>
      <c r="B117" s="32"/>
      <c r="C117" s="32"/>
      <c r="D117" s="32"/>
      <c r="E117" s="32"/>
    </row>
    <row r="118" spans="1:7" ht="15.75" thickBot="1" x14ac:dyDescent="0.3">
      <c r="A118" s="32"/>
      <c r="B118" s="32"/>
      <c r="C118" s="32"/>
      <c r="D118" s="32"/>
      <c r="E118" s="32"/>
    </row>
    <row r="119" spans="1:7" ht="15.75" thickBot="1" x14ac:dyDescent="0.3">
      <c r="A119" s="122" t="s">
        <v>13</v>
      </c>
      <c r="B119" s="125"/>
      <c r="C119" s="126"/>
      <c r="D119" s="126"/>
      <c r="E119" s="127">
        <f>E115</f>
        <v>5816279.9100000001</v>
      </c>
    </row>
    <row r="120" spans="1:7" ht="15.75" thickBot="1" x14ac:dyDescent="0.3">
      <c r="A120" s="32"/>
      <c r="B120" s="32"/>
      <c r="C120" s="32"/>
      <c r="D120" s="32"/>
      <c r="E120" s="32"/>
    </row>
    <row r="121" spans="1:7" x14ac:dyDescent="0.25">
      <c r="A121" s="128" t="s">
        <v>189</v>
      </c>
      <c r="B121" s="129"/>
      <c r="C121" s="130"/>
      <c r="D121" s="58"/>
      <c r="E121" s="59"/>
    </row>
    <row r="122" spans="1:7" ht="30" customHeight="1" x14ac:dyDescent="0.25">
      <c r="A122" s="392" t="s">
        <v>453</v>
      </c>
      <c r="B122" s="392"/>
      <c r="C122" s="24"/>
      <c r="D122" s="226">
        <f>2112165-1520000</f>
        <v>592165</v>
      </c>
      <c r="E122" s="28" t="str">
        <f>E28</f>
        <v>Transf 06/03</v>
      </c>
      <c r="F122" s="13"/>
      <c r="G122" s="13"/>
    </row>
    <row r="123" spans="1:7" ht="30" customHeight="1" x14ac:dyDescent="0.25">
      <c r="A123" s="392" t="s">
        <v>454</v>
      </c>
      <c r="B123" s="392"/>
      <c r="C123" s="24"/>
      <c r="D123" s="226">
        <v>79063</v>
      </c>
      <c r="E123" s="28" t="s">
        <v>427</v>
      </c>
    </row>
    <row r="124" spans="1:7" ht="30" customHeight="1" x14ac:dyDescent="0.25">
      <c r="A124" s="355" t="s">
        <v>413</v>
      </c>
      <c r="B124" s="356"/>
      <c r="C124" s="24"/>
      <c r="D124" s="226">
        <v>83418.36</v>
      </c>
      <c r="E124" s="28" t="str">
        <f>E44</f>
        <v>Transf 04/03</v>
      </c>
    </row>
    <row r="125" spans="1:7" ht="30" customHeight="1" x14ac:dyDescent="0.25">
      <c r="A125" s="355" t="s">
        <v>414</v>
      </c>
      <c r="B125" s="356"/>
      <c r="C125" s="24"/>
      <c r="D125" s="226">
        <v>55612.24</v>
      </c>
      <c r="E125" s="28" t="str">
        <f>E44</f>
        <v>Transf 04/03</v>
      </c>
    </row>
    <row r="126" spans="1:7" ht="30" customHeight="1" x14ac:dyDescent="0.25">
      <c r="A126" s="355" t="s">
        <v>415</v>
      </c>
      <c r="B126" s="356"/>
      <c r="C126" s="108"/>
      <c r="D126" s="226">
        <v>97321.42</v>
      </c>
      <c r="E126" s="28" t="str">
        <f>E44</f>
        <v>Transf 04/03</v>
      </c>
      <c r="G126" s="36"/>
    </row>
    <row r="127" spans="1:7" x14ac:dyDescent="0.25">
      <c r="A127" s="233" t="s">
        <v>4</v>
      </c>
      <c r="B127" s="234"/>
      <c r="C127" s="234"/>
      <c r="D127" s="145"/>
      <c r="E127" s="235">
        <f>SUM(D122:D126)</f>
        <v>907580.02</v>
      </c>
    </row>
    <row r="128" spans="1:7" x14ac:dyDescent="0.25">
      <c r="A128" s="32"/>
      <c r="B128" s="32"/>
      <c r="C128" s="32"/>
      <c r="D128" s="32"/>
      <c r="E128" s="32"/>
    </row>
    <row r="129" spans="1:5" x14ac:dyDescent="0.25">
      <c r="A129" s="32"/>
      <c r="B129" s="32"/>
      <c r="C129" s="32"/>
      <c r="D129" s="32"/>
      <c r="E129" s="32"/>
    </row>
    <row r="130" spans="1:5" ht="15.75" thickBot="1" x14ac:dyDescent="0.3">
      <c r="A130" s="32"/>
      <c r="B130" s="32"/>
      <c r="C130" s="32"/>
      <c r="D130" s="32"/>
      <c r="E130" s="32"/>
    </row>
    <row r="131" spans="1:5" ht="17.25" customHeight="1" thickBot="1" x14ac:dyDescent="0.3">
      <c r="A131" s="236" t="s">
        <v>190</v>
      </c>
      <c r="B131" s="237"/>
      <c r="C131" s="238"/>
      <c r="D131" s="238"/>
      <c r="E131" s="239">
        <f>E127</f>
        <v>907580.02</v>
      </c>
    </row>
    <row r="132" spans="1:5" x14ac:dyDescent="0.25">
      <c r="A132" s="32"/>
      <c r="B132" s="32"/>
      <c r="C132" s="32"/>
      <c r="D132" s="32"/>
      <c r="E132" s="32"/>
    </row>
    <row r="133" spans="1:5" ht="15.75" thickBot="1" x14ac:dyDescent="0.3">
      <c r="A133" s="32"/>
      <c r="B133" s="32"/>
      <c r="C133" s="32"/>
      <c r="D133" s="32"/>
      <c r="E133" s="32"/>
    </row>
    <row r="134" spans="1:5" ht="15.75" thickBot="1" x14ac:dyDescent="0.3">
      <c r="A134" s="240" t="s">
        <v>182</v>
      </c>
      <c r="B134" s="241">
        <f>E99</f>
        <v>88646253.470000014</v>
      </c>
      <c r="C134" s="32"/>
      <c r="D134" s="32"/>
      <c r="E134" s="32"/>
    </row>
    <row r="135" spans="1:5" ht="15.75" thickBot="1" x14ac:dyDescent="0.3">
      <c r="A135" s="240" t="s">
        <v>21</v>
      </c>
      <c r="B135" s="241">
        <f>E119</f>
        <v>5816279.9100000001</v>
      </c>
      <c r="C135" s="32"/>
      <c r="D135" s="32"/>
      <c r="E135" s="32"/>
    </row>
    <row r="136" spans="1:5" ht="15.75" thickBot="1" x14ac:dyDescent="0.3">
      <c r="A136" s="242" t="s">
        <v>152</v>
      </c>
      <c r="B136" s="243">
        <f>E110</f>
        <v>1467852.06</v>
      </c>
      <c r="C136" s="32"/>
      <c r="D136" s="32"/>
      <c r="E136" s="32"/>
    </row>
    <row r="137" spans="1:5" ht="34.5" customHeight="1" thickBot="1" x14ac:dyDescent="0.3">
      <c r="A137" s="244" t="s">
        <v>229</v>
      </c>
      <c r="B137" s="243">
        <f>B136+B134</f>
        <v>90114105.530000016</v>
      </c>
      <c r="C137" s="32"/>
      <c r="D137" s="32"/>
      <c r="E137" s="32"/>
    </row>
    <row r="138" spans="1:5" ht="34.5" customHeight="1" x14ac:dyDescent="0.25">
      <c r="A138" s="385" t="s">
        <v>488</v>
      </c>
      <c r="B138" s="386"/>
      <c r="C138" s="32"/>
      <c r="D138" s="32"/>
      <c r="E138" s="32"/>
    </row>
    <row r="139" spans="1:5" ht="34.5" customHeight="1" x14ac:dyDescent="0.25">
      <c r="A139" s="387"/>
      <c r="B139" s="388"/>
      <c r="C139" s="32"/>
      <c r="D139" s="32"/>
      <c r="E139" s="32"/>
    </row>
    <row r="140" spans="1:5" ht="54.75" customHeight="1" thickBot="1" x14ac:dyDescent="0.3">
      <c r="A140" s="389"/>
      <c r="B140" s="390"/>
      <c r="C140" s="32"/>
      <c r="D140" s="32"/>
      <c r="E140" s="32"/>
    </row>
    <row r="141" spans="1:5" x14ac:dyDescent="0.25">
      <c r="A141" s="140" t="s">
        <v>237</v>
      </c>
      <c r="B141" s="131"/>
      <c r="C141" s="5"/>
    </row>
    <row r="142" spans="1:5" s="162" customFormat="1" x14ac:dyDescent="0.25">
      <c r="A142" s="159" t="s">
        <v>232</v>
      </c>
      <c r="B142" s="160">
        <v>93052212.045899957</v>
      </c>
      <c r="C142" s="161"/>
      <c r="E142" s="163"/>
    </row>
    <row r="143" spans="1:5" s="162" customFormat="1" x14ac:dyDescent="0.25">
      <c r="A143" s="164" t="s">
        <v>233</v>
      </c>
      <c r="B143" s="165">
        <f>PRORRATEO!F161</f>
        <v>128229882.10999998</v>
      </c>
      <c r="C143" s="166"/>
    </row>
    <row r="144" spans="1:5" s="162" customFormat="1" x14ac:dyDescent="0.25">
      <c r="A144" s="164" t="s">
        <v>489</v>
      </c>
      <c r="B144" s="165">
        <v>0</v>
      </c>
      <c r="C144" s="166"/>
      <c r="D144" s="163"/>
      <c r="E144" s="163"/>
    </row>
    <row r="145" spans="1:6" s="162" customFormat="1" x14ac:dyDescent="0.25">
      <c r="A145" s="164" t="s">
        <v>482</v>
      </c>
      <c r="B145" s="168">
        <v>-246252</v>
      </c>
      <c r="C145" s="166"/>
      <c r="D145" s="163"/>
    </row>
    <row r="146" spans="1:6" s="162" customFormat="1" x14ac:dyDescent="0.25">
      <c r="A146" s="164" t="s">
        <v>486</v>
      </c>
      <c r="B146" s="168">
        <v>-165386</v>
      </c>
      <c r="C146" s="166"/>
      <c r="D146" s="163"/>
    </row>
    <row r="147" spans="1:6" s="162" customFormat="1" ht="36.75" customHeight="1" x14ac:dyDescent="0.25">
      <c r="A147" s="7" t="s">
        <v>242</v>
      </c>
      <c r="B147" s="167">
        <f>B191</f>
        <v>0</v>
      </c>
      <c r="C147" s="166"/>
      <c r="D147" s="163"/>
    </row>
    <row r="148" spans="1:6" s="162" customFormat="1" ht="36.75" customHeight="1" x14ac:dyDescent="0.25">
      <c r="A148" s="261" t="s">
        <v>458</v>
      </c>
      <c r="B148" s="339">
        <v>-7500000</v>
      </c>
      <c r="C148" s="166"/>
      <c r="D148" s="163"/>
    </row>
    <row r="149" spans="1:6" s="162" customFormat="1" ht="16.5" customHeight="1" x14ac:dyDescent="0.25">
      <c r="A149" s="143" t="s">
        <v>297</v>
      </c>
      <c r="B149" s="168">
        <f>-B167</f>
        <v>-346907</v>
      </c>
      <c r="C149" s="166"/>
      <c r="D149" s="163"/>
    </row>
    <row r="150" spans="1:6" s="162" customFormat="1" ht="28.15" customHeight="1" x14ac:dyDescent="0.25">
      <c r="A150" s="7" t="s">
        <v>491</v>
      </c>
      <c r="B150" s="168">
        <f>-B160</f>
        <v>-1734819.405975705</v>
      </c>
      <c r="C150" s="166"/>
      <c r="D150" s="163"/>
    </row>
    <row r="151" spans="1:6" s="162" customFormat="1" ht="18" customHeight="1" x14ac:dyDescent="0.25">
      <c r="A151" s="34" t="s">
        <v>188</v>
      </c>
      <c r="B151" s="168">
        <f>-E131</f>
        <v>-907580.02</v>
      </c>
      <c r="C151" s="166"/>
      <c r="F151" s="169"/>
    </row>
    <row r="152" spans="1:6" s="162" customFormat="1" ht="18" customHeight="1" x14ac:dyDescent="0.25">
      <c r="A152" s="7" t="s">
        <v>153</v>
      </c>
      <c r="B152" s="168">
        <f>-E110</f>
        <v>-1467852.06</v>
      </c>
      <c r="C152" s="166"/>
      <c r="D152" s="169"/>
    </row>
    <row r="153" spans="1:6" s="162" customFormat="1" ht="18" customHeight="1" x14ac:dyDescent="0.25">
      <c r="A153" s="7" t="s">
        <v>14</v>
      </c>
      <c r="B153" s="168">
        <f>-E99</f>
        <v>-88646253.470000014</v>
      </c>
      <c r="C153" s="166"/>
      <c r="D153" s="170"/>
      <c r="E153" s="170"/>
      <c r="F153" s="278"/>
    </row>
    <row r="154" spans="1:6" s="162" customFormat="1" ht="18" customHeight="1" x14ac:dyDescent="0.25">
      <c r="A154" s="7" t="s">
        <v>260</v>
      </c>
      <c r="B154" s="168">
        <f>-E119</f>
        <v>-5816279.9100000001</v>
      </c>
      <c r="C154" s="166"/>
      <c r="E154" s="170"/>
      <c r="F154" s="278"/>
    </row>
    <row r="155" spans="1:6" x14ac:dyDescent="0.25">
      <c r="A155" s="141" t="s">
        <v>4</v>
      </c>
      <c r="B155" s="39">
        <f>SUM(B142:B154)</f>
        <v>114450764.28992422</v>
      </c>
      <c r="C155" s="6"/>
      <c r="D155" s="13"/>
      <c r="E155" s="40"/>
      <c r="F155" s="40"/>
    </row>
    <row r="156" spans="1:6" x14ac:dyDescent="0.25">
      <c r="A156" s="142"/>
      <c r="B156" s="11"/>
      <c r="C156" s="6"/>
      <c r="D156" s="13"/>
      <c r="E156" s="37"/>
      <c r="F156" s="83"/>
    </row>
    <row r="157" spans="1:6" ht="15.75" thickBot="1" x14ac:dyDescent="0.3">
      <c r="A157" s="142"/>
      <c r="B157" s="11"/>
      <c r="C157" s="6"/>
      <c r="D157" s="13"/>
      <c r="E157" s="37"/>
      <c r="F157" s="83"/>
    </row>
    <row r="158" spans="1:6" x14ac:dyDescent="0.25">
      <c r="A158" s="353" t="s">
        <v>492</v>
      </c>
      <c r="B158" s="354"/>
      <c r="C158" s="6"/>
      <c r="D158" s="13"/>
      <c r="E158" s="37"/>
      <c r="F158" s="83"/>
    </row>
    <row r="159" spans="1:6" x14ac:dyDescent="0.25">
      <c r="A159" s="136" t="s">
        <v>296</v>
      </c>
      <c r="B159" s="137">
        <v>0</v>
      </c>
      <c r="C159" s="6"/>
      <c r="D159" s="13"/>
      <c r="E159" s="37"/>
      <c r="F159" s="83"/>
    </row>
    <row r="160" spans="1:6" ht="87.75" customHeight="1" x14ac:dyDescent="0.25">
      <c r="A160" s="349" t="s">
        <v>493</v>
      </c>
      <c r="B160" s="215">
        <f>3469638.81195141/2</f>
        <v>1734819.405975705</v>
      </c>
      <c r="C160" s="6"/>
      <c r="D160" s="13"/>
      <c r="E160" s="37"/>
      <c r="F160" s="83"/>
    </row>
    <row r="161" spans="1:7" ht="15.75" thickBot="1" x14ac:dyDescent="0.3">
      <c r="A161" s="136"/>
      <c r="B161" s="137"/>
      <c r="C161" s="6"/>
      <c r="D161" s="13"/>
      <c r="E161" s="37"/>
      <c r="F161" s="83"/>
    </row>
    <row r="162" spans="1:7" ht="15.75" thickBot="1" x14ac:dyDescent="0.3">
      <c r="A162" s="350" t="s">
        <v>4</v>
      </c>
      <c r="B162" s="351">
        <f>SUM(B159:B161)</f>
        <v>1734819.405975705</v>
      </c>
      <c r="C162" s="6"/>
      <c r="D162" s="13"/>
      <c r="E162" s="37"/>
      <c r="F162" s="83"/>
    </row>
    <row r="163" spans="1:7" x14ac:dyDescent="0.25">
      <c r="A163" s="142"/>
      <c r="B163" s="11"/>
      <c r="C163" s="6"/>
      <c r="D163" s="13"/>
      <c r="E163" s="37"/>
      <c r="F163" s="83"/>
    </row>
    <row r="164" spans="1:7" ht="15.75" thickBot="1" x14ac:dyDescent="0.3">
      <c r="A164" s="142"/>
      <c r="B164" s="11"/>
      <c r="C164" s="6"/>
      <c r="D164" s="13"/>
      <c r="E164" s="37"/>
      <c r="F164" s="83"/>
    </row>
    <row r="165" spans="1:7" x14ac:dyDescent="0.25">
      <c r="A165" s="393" t="s">
        <v>295</v>
      </c>
      <c r="B165" s="394"/>
      <c r="C165" s="6"/>
      <c r="D165" s="13"/>
      <c r="E165" s="37"/>
      <c r="F165" s="83"/>
      <c r="G165" s="279"/>
    </row>
    <row r="166" spans="1:7" x14ac:dyDescent="0.25">
      <c r="A166" s="136" t="s">
        <v>296</v>
      </c>
      <c r="B166" s="137">
        <v>2392559.5940999999</v>
      </c>
      <c r="C166" s="6"/>
      <c r="D166" s="13"/>
      <c r="E166" s="37"/>
      <c r="F166" s="83"/>
    </row>
    <row r="167" spans="1:7" x14ac:dyDescent="0.25">
      <c r="A167" s="136" t="s">
        <v>297</v>
      </c>
      <c r="B167" s="215">
        <v>346907</v>
      </c>
      <c r="C167" s="6"/>
      <c r="D167" s="13"/>
      <c r="E167" s="37"/>
      <c r="F167" s="83"/>
    </row>
    <row r="168" spans="1:7" ht="15.75" thickBot="1" x14ac:dyDescent="0.3">
      <c r="A168" s="136"/>
      <c r="B168" s="137"/>
      <c r="C168" s="6"/>
      <c r="D168" s="13"/>
      <c r="E168" s="37"/>
      <c r="F168" s="83"/>
    </row>
    <row r="169" spans="1:7" ht="15.75" thickBot="1" x14ac:dyDescent="0.3">
      <c r="A169" s="138" t="s">
        <v>4</v>
      </c>
      <c r="B169" s="139">
        <f>SUM(B166:B168)</f>
        <v>2739466.5940999999</v>
      </c>
      <c r="C169" s="6"/>
      <c r="D169" s="13"/>
      <c r="E169" s="37"/>
      <c r="F169" s="83"/>
    </row>
    <row r="170" spans="1:7" ht="15.75" thickBot="1" x14ac:dyDescent="0.3">
      <c r="A170" s="134"/>
      <c r="B170" s="135"/>
      <c r="C170" s="6"/>
      <c r="D170" s="13"/>
      <c r="E170" s="37"/>
      <c r="F170" s="83"/>
    </row>
    <row r="171" spans="1:7" ht="33" customHeight="1" thickBot="1" x14ac:dyDescent="0.3">
      <c r="A171" s="152" t="s">
        <v>309</v>
      </c>
      <c r="B171" s="151">
        <f>B169+B155+B162</f>
        <v>118925050.28999992</v>
      </c>
      <c r="C171" s="6"/>
      <c r="D171" s="13"/>
      <c r="E171" s="37"/>
      <c r="F171" s="83"/>
    </row>
    <row r="172" spans="1:7" x14ac:dyDescent="0.25">
      <c r="B172" s="11"/>
      <c r="C172" s="6"/>
      <c r="D172" s="13"/>
      <c r="E172" s="37"/>
      <c r="F172" s="83"/>
    </row>
    <row r="173" spans="1:7" x14ac:dyDescent="0.25">
      <c r="A173" s="77" t="s">
        <v>236</v>
      </c>
      <c r="B173" s="78"/>
      <c r="C173" s="6"/>
      <c r="D173" s="13"/>
      <c r="E173" s="37"/>
      <c r="F173" s="38"/>
    </row>
    <row r="174" spans="1:7" ht="22.5" customHeight="1" x14ac:dyDescent="0.25">
      <c r="A174" s="98" t="s">
        <v>296</v>
      </c>
      <c r="B174" s="144">
        <v>353909</v>
      </c>
      <c r="C174" s="6"/>
      <c r="D174" s="13"/>
      <c r="E174" s="37"/>
      <c r="F174" s="38"/>
    </row>
    <row r="175" spans="1:7" ht="54" customHeight="1" x14ac:dyDescent="0.25">
      <c r="A175" s="98" t="s">
        <v>407</v>
      </c>
      <c r="B175" s="226">
        <v>-29000</v>
      </c>
      <c r="C175" s="6"/>
      <c r="D175" s="13"/>
      <c r="E175" s="37"/>
      <c r="F175" s="38"/>
    </row>
    <row r="176" spans="1:7" ht="54" customHeight="1" x14ac:dyDescent="0.25">
      <c r="A176" s="98" t="s">
        <v>480</v>
      </c>
      <c r="B176" s="226">
        <v>-8500</v>
      </c>
      <c r="C176" s="6"/>
      <c r="D176" s="13"/>
      <c r="E176" s="37"/>
      <c r="F176" s="38"/>
    </row>
    <row r="177" spans="1:15" ht="38.1" customHeight="1" x14ac:dyDescent="0.25">
      <c r="A177" s="98" t="s">
        <v>461</v>
      </c>
      <c r="B177" s="226">
        <v>-2000</v>
      </c>
      <c r="C177" s="6"/>
      <c r="D177" s="13"/>
      <c r="E177" s="37"/>
      <c r="F177" s="38"/>
    </row>
    <row r="178" spans="1:15" ht="22.5" customHeight="1" x14ac:dyDescent="0.25">
      <c r="A178" s="98" t="s">
        <v>316</v>
      </c>
      <c r="B178" s="226"/>
      <c r="C178" s="6"/>
      <c r="D178" s="13"/>
      <c r="E178" s="37"/>
      <c r="F178" s="38"/>
    </row>
    <row r="179" spans="1:15" x14ac:dyDescent="0.25">
      <c r="A179" s="77" t="s">
        <v>4</v>
      </c>
      <c r="B179" s="78">
        <f>SUM(B173:B178)</f>
        <v>314409</v>
      </c>
      <c r="C179" s="6"/>
      <c r="D179" s="13"/>
      <c r="E179" s="37"/>
      <c r="F179" s="38"/>
    </row>
    <row r="180" spans="1:15" ht="15.75" thickBot="1" x14ac:dyDescent="0.3">
      <c r="B180" s="11"/>
      <c r="C180" s="6"/>
      <c r="D180" s="13"/>
      <c r="E180" s="37"/>
      <c r="F180" s="38"/>
    </row>
    <row r="181" spans="1:15" x14ac:dyDescent="0.25">
      <c r="A181" s="132" t="s">
        <v>230</v>
      </c>
      <c r="B181" s="73"/>
      <c r="C181" s="6"/>
      <c r="D181" s="82"/>
      <c r="E181" s="149"/>
      <c r="F181" s="150"/>
      <c r="G181" s="36"/>
      <c r="H181" s="36"/>
      <c r="I181" s="36"/>
      <c r="J181" s="36"/>
      <c r="K181" s="36"/>
      <c r="L181" s="36"/>
      <c r="M181" s="36"/>
      <c r="N181" s="36"/>
      <c r="O181" s="36"/>
    </row>
    <row r="182" spans="1:15" x14ac:dyDescent="0.25">
      <c r="A182" s="75" t="s">
        <v>235</v>
      </c>
      <c r="B182" s="76">
        <v>30000000</v>
      </c>
      <c r="C182" s="6"/>
      <c r="D182" s="82"/>
      <c r="E182" s="149"/>
      <c r="F182" s="150"/>
      <c r="G182" s="36"/>
      <c r="H182" s="36"/>
      <c r="I182" s="36"/>
      <c r="J182" s="36"/>
      <c r="K182" s="36"/>
      <c r="L182" s="36"/>
      <c r="M182" s="36"/>
      <c r="N182" s="36"/>
      <c r="O182" s="36"/>
    </row>
    <row r="183" spans="1:15" ht="15.75" thickBot="1" x14ac:dyDescent="0.3">
      <c r="A183" s="133" t="s">
        <v>496</v>
      </c>
      <c r="B183" s="220">
        <v>39918433.68</v>
      </c>
      <c r="C183" s="6"/>
      <c r="D183" s="82"/>
      <c r="E183" s="149"/>
      <c r="F183" s="150"/>
      <c r="G183" s="36"/>
      <c r="H183" s="36"/>
      <c r="I183" s="36"/>
      <c r="J183" s="36"/>
      <c r="K183" s="36"/>
      <c r="L183" s="36"/>
      <c r="M183" s="36"/>
      <c r="N183" s="36"/>
      <c r="O183" s="36"/>
    </row>
    <row r="184" spans="1:15" x14ac:dyDescent="0.25">
      <c r="B184" s="11"/>
      <c r="C184" s="6"/>
      <c r="D184" s="82"/>
      <c r="E184" s="149"/>
      <c r="F184" s="150"/>
      <c r="G184" s="36"/>
      <c r="H184" s="36"/>
      <c r="I184" s="36"/>
      <c r="J184" s="36"/>
      <c r="K184" s="36"/>
      <c r="L184" s="36"/>
      <c r="M184" s="36"/>
      <c r="N184" s="36"/>
      <c r="O184" s="36"/>
    </row>
    <row r="185" spans="1:15" x14ac:dyDescent="0.25">
      <c r="B185" s="11"/>
      <c r="C185" s="6"/>
      <c r="D185" s="13"/>
      <c r="E185" s="37"/>
      <c r="F185" s="38"/>
    </row>
    <row r="186" spans="1:15" x14ac:dyDescent="0.25">
      <c r="B186" s="11"/>
      <c r="C186" s="6"/>
      <c r="D186" s="13"/>
      <c r="E186" s="37"/>
      <c r="F186" s="38"/>
    </row>
    <row r="187" spans="1:15" x14ac:dyDescent="0.25">
      <c r="A187" s="391" t="s">
        <v>17</v>
      </c>
      <c r="B187" s="391"/>
      <c r="C187" s="391"/>
    </row>
    <row r="188" spans="1:15" x14ac:dyDescent="0.25">
      <c r="A188" s="391"/>
      <c r="B188" s="391"/>
      <c r="C188" s="391"/>
    </row>
    <row r="189" spans="1:15" ht="33.75" customHeight="1" x14ac:dyDescent="0.25">
      <c r="A189" s="71"/>
      <c r="B189" s="43"/>
      <c r="C189" s="70"/>
    </row>
    <row r="190" spans="1:15" ht="33.75" customHeight="1" x14ac:dyDescent="0.25">
      <c r="A190" s="71"/>
      <c r="B190" s="43"/>
      <c r="C190" s="70"/>
    </row>
    <row r="191" spans="1:15" x14ac:dyDescent="0.25">
      <c r="A191" s="14" t="s">
        <v>4</v>
      </c>
      <c r="B191" s="33">
        <f>SUM(B189:B190)</f>
        <v>0</v>
      </c>
      <c r="C191" s="15"/>
    </row>
    <row r="192" spans="1:15" x14ac:dyDescent="0.25">
      <c r="M192" s="3"/>
    </row>
  </sheetData>
  <mergeCells count="70">
    <mergeCell ref="A90:B90"/>
    <mergeCell ref="A89:B89"/>
    <mergeCell ref="A54:B54"/>
    <mergeCell ref="A60:B60"/>
    <mergeCell ref="A124:B124"/>
    <mergeCell ref="A70:B70"/>
    <mergeCell ref="A66:B66"/>
    <mergeCell ref="A68:B68"/>
    <mergeCell ref="A67:B67"/>
    <mergeCell ref="A69:B69"/>
    <mergeCell ref="A65:B65"/>
    <mergeCell ref="A91:B91"/>
    <mergeCell ref="A104:B104"/>
    <mergeCell ref="A105:B105"/>
    <mergeCell ref="A125:B125"/>
    <mergeCell ref="A71:B71"/>
    <mergeCell ref="A72:B72"/>
    <mergeCell ref="A123:B123"/>
    <mergeCell ref="A106:B106"/>
    <mergeCell ref="A84:B84"/>
    <mergeCell ref="A82:B82"/>
    <mergeCell ref="A73:B73"/>
    <mergeCell ref="A81:B81"/>
    <mergeCell ref="A80:B80"/>
    <mergeCell ref="A75:B75"/>
    <mergeCell ref="A74:B74"/>
    <mergeCell ref="A79:B79"/>
    <mergeCell ref="A187:C188"/>
    <mergeCell ref="A122:B122"/>
    <mergeCell ref="A114:B114"/>
    <mergeCell ref="A113:B113"/>
    <mergeCell ref="A165:B165"/>
    <mergeCell ref="A126:B126"/>
    <mergeCell ref="B3:E3"/>
    <mergeCell ref="B1:E1"/>
    <mergeCell ref="B2:E2"/>
    <mergeCell ref="B8:E8"/>
    <mergeCell ref="A1:A8"/>
    <mergeCell ref="A10:E12"/>
    <mergeCell ref="A61:B61"/>
    <mergeCell ref="A15:E18"/>
    <mergeCell ref="A52:B52"/>
    <mergeCell ref="A44:B44"/>
    <mergeCell ref="A51:B51"/>
    <mergeCell ref="A50:B50"/>
    <mergeCell ref="A28:B28"/>
    <mergeCell ref="A48:B48"/>
    <mergeCell ref="A38:B38"/>
    <mergeCell ref="A41:B41"/>
    <mergeCell ref="A45:B45"/>
    <mergeCell ref="A40:B40"/>
    <mergeCell ref="A25:B25"/>
    <mergeCell ref="A26:B26"/>
    <mergeCell ref="A57:B57"/>
    <mergeCell ref="A158:B158"/>
    <mergeCell ref="A39:B39"/>
    <mergeCell ref="A64:B64"/>
    <mergeCell ref="A59:B59"/>
    <mergeCell ref="A55:B55"/>
    <mergeCell ref="A53:B53"/>
    <mergeCell ref="A56:B56"/>
    <mergeCell ref="A58:B58"/>
    <mergeCell ref="A49:B49"/>
    <mergeCell ref="A138:B140"/>
    <mergeCell ref="A85:B85"/>
    <mergeCell ref="A88:B88"/>
    <mergeCell ref="A108:B108"/>
    <mergeCell ref="A109:B109"/>
    <mergeCell ref="A107:B107"/>
    <mergeCell ref="A103:B103"/>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87" zoomScale="80" zoomScaleNormal="80" workbookViewId="0">
      <selection activeCell="O98" sqref="O98"/>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82.45" customHeight="1" x14ac:dyDescent="0.25">
      <c r="A1" s="2"/>
      <c r="B1" s="2"/>
      <c r="C1" s="403" t="s">
        <v>490</v>
      </c>
      <c r="D1" s="404"/>
      <c r="E1" s="404"/>
      <c r="F1" s="404"/>
      <c r="G1" s="404"/>
      <c r="H1" s="404"/>
      <c r="I1" s="404"/>
      <c r="J1" s="404"/>
      <c r="K1" s="404"/>
      <c r="L1" s="404"/>
      <c r="M1" s="154"/>
      <c r="N1" s="405" t="s">
        <v>317</v>
      </c>
      <c r="O1" s="405"/>
      <c r="P1" s="400">
        <v>30000000</v>
      </c>
      <c r="Q1" s="400"/>
      <c r="R1" s="182"/>
      <c r="S1" s="4"/>
      <c r="T1" s="2"/>
      <c r="V1" t="s">
        <v>238</v>
      </c>
      <c r="W1">
        <v>80675963.920000002</v>
      </c>
    </row>
    <row r="2" spans="1:24" ht="30" customHeight="1" thickBot="1" x14ac:dyDescent="0.3">
      <c r="A2" s="2"/>
      <c r="B2" s="2"/>
      <c r="C2" s="402" t="s">
        <v>228</v>
      </c>
      <c r="D2" s="402"/>
      <c r="E2" s="402"/>
      <c r="F2" s="154"/>
      <c r="G2" s="399">
        <f>X2</f>
        <v>27518571.293111999</v>
      </c>
      <c r="H2" s="399"/>
      <c r="I2" s="154" t="s">
        <v>277</v>
      </c>
      <c r="J2" s="154"/>
      <c r="K2" s="399">
        <f>W1</f>
        <v>80675963.920000002</v>
      </c>
      <c r="L2" s="399"/>
      <c r="M2" s="263"/>
      <c r="N2" s="264" t="s">
        <v>263</v>
      </c>
      <c r="O2" s="263"/>
      <c r="P2" s="401">
        <v>0</v>
      </c>
      <c r="Q2" s="401"/>
      <c r="R2" s="183"/>
      <c r="T2" s="2"/>
      <c r="U2" t="s">
        <v>231</v>
      </c>
      <c r="X2" s="40">
        <f>((K2+P2)*D145)+((K2+P2)*D146)</f>
        <v>27518571.293111999</v>
      </c>
    </row>
    <row r="3" spans="1:24" ht="76.7" customHeight="1" thickBot="1" x14ac:dyDescent="0.3">
      <c r="A3" s="410"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17/04, deberá abonar el importe indicado en la columna de color naranja. En caso de abonar con posterioridad a dicha fecha, deberá abonar el monto indicado en la columna de color celeste.</v>
      </c>
      <c r="B3" s="411"/>
      <c r="C3" s="411"/>
      <c r="D3" s="411"/>
      <c r="E3" s="411"/>
      <c r="F3" s="411"/>
      <c r="G3" s="411"/>
      <c r="H3" s="411"/>
      <c r="I3" s="411"/>
      <c r="J3" s="411"/>
      <c r="K3" s="411"/>
      <c r="L3" s="411"/>
      <c r="M3" s="411"/>
      <c r="N3" s="411"/>
      <c r="O3" s="411"/>
      <c r="P3" s="411"/>
      <c r="Q3" s="411"/>
      <c r="R3" s="411"/>
      <c r="S3" s="411"/>
      <c r="T3" s="412"/>
      <c r="X3" s="40"/>
    </row>
    <row r="4" spans="1:24" ht="43.5" customHeight="1" x14ac:dyDescent="0.25">
      <c r="A4" s="413" t="s">
        <v>0</v>
      </c>
      <c r="B4" s="415" t="s">
        <v>1</v>
      </c>
      <c r="C4" s="415" t="s">
        <v>2</v>
      </c>
      <c r="D4" s="415" t="s">
        <v>6</v>
      </c>
      <c r="E4" s="395" t="s">
        <v>183</v>
      </c>
      <c r="F4" s="415" t="s">
        <v>3</v>
      </c>
      <c r="G4" s="417" t="s">
        <v>16</v>
      </c>
      <c r="H4" s="395" t="s">
        <v>234</v>
      </c>
      <c r="I4" s="395" t="s">
        <v>15</v>
      </c>
      <c r="J4" s="395"/>
      <c r="K4" s="395" t="s">
        <v>184</v>
      </c>
      <c r="L4" s="395" t="s">
        <v>147</v>
      </c>
      <c r="M4" s="395" t="s">
        <v>186</v>
      </c>
      <c r="N4" s="395" t="s">
        <v>185</v>
      </c>
      <c r="O4" s="395" t="s">
        <v>360</v>
      </c>
      <c r="P4" s="406" t="s">
        <v>331</v>
      </c>
      <c r="Q4" s="407"/>
      <c r="R4" s="406" t="s">
        <v>322</v>
      </c>
      <c r="S4" s="407"/>
      <c r="T4" s="395" t="s">
        <v>261</v>
      </c>
      <c r="U4" s="13"/>
    </row>
    <row r="5" spans="1:24" ht="25.5" customHeight="1" thickBot="1" x14ac:dyDescent="0.3">
      <c r="A5" s="414"/>
      <c r="B5" s="416"/>
      <c r="C5" s="416"/>
      <c r="D5" s="416"/>
      <c r="E5" s="396"/>
      <c r="F5" s="416"/>
      <c r="G5" s="418"/>
      <c r="H5" s="396"/>
      <c r="I5" s="396"/>
      <c r="J5" s="396"/>
      <c r="K5" s="396"/>
      <c r="L5" s="396"/>
      <c r="M5" s="396"/>
      <c r="N5" s="396"/>
      <c r="O5" s="396"/>
      <c r="P5" s="408" t="str">
        <f>RESUMEN!A10</f>
        <v>Primer Vencimiento:  17/04</v>
      </c>
      <c r="Q5" s="409"/>
      <c r="R5" s="408"/>
      <c r="S5" s="409"/>
      <c r="T5" s="396"/>
    </row>
    <row r="6" spans="1:24" ht="26.45" customHeight="1" x14ac:dyDescent="0.25">
      <c r="A6" s="202"/>
      <c r="B6" s="214">
        <v>1</v>
      </c>
      <c r="C6" s="214" t="s">
        <v>24</v>
      </c>
      <c r="D6" s="203">
        <v>4.5999999999999999E-3</v>
      </c>
      <c r="E6" s="211">
        <v>1518529.01</v>
      </c>
      <c r="F6" s="340">
        <f>E6</f>
        <v>1518529.01</v>
      </c>
      <c r="G6" s="204">
        <f t="shared" ref="G6:G69" si="0">E6-F6</f>
        <v>0</v>
      </c>
      <c r="H6" s="205">
        <f>IF(G6&gt;0,G6*3.087%,0)</f>
        <v>0</v>
      </c>
      <c r="I6" s="206">
        <f>K$2*D6</f>
        <v>371109.43403200002</v>
      </c>
      <c r="J6" s="206">
        <f t="shared" ref="J6:J37" si="1">P$2*D6</f>
        <v>0</v>
      </c>
      <c r="K6" s="206">
        <f>G$2*0.675675676%</f>
        <v>185936.29261027643</v>
      </c>
      <c r="L6" s="206">
        <f>P$1*0.675675676%</f>
        <v>202702.7028</v>
      </c>
      <c r="M6" s="207">
        <f>G$1*D6</f>
        <v>0</v>
      </c>
      <c r="N6" s="207">
        <v>0</v>
      </c>
      <c r="O6" s="207">
        <v>0</v>
      </c>
      <c r="P6" s="397">
        <f t="shared" ref="P6:P37" si="2">ROUND(SUM(G6:O6),0) + S6</f>
        <v>759748.01</v>
      </c>
      <c r="Q6" s="397"/>
      <c r="R6" s="265">
        <f t="shared" ref="R6:R37" si="3">ROUND(P6+P6*3.033%,0) + S6</f>
        <v>782791.01</v>
      </c>
      <c r="S6" s="13">
        <f t="shared" ref="S6:S37" si="4">ROUND(0.001+B6/100,2)</f>
        <v>0.01</v>
      </c>
      <c r="T6" s="208">
        <f t="shared" ref="T6:T37" si="5">B6</f>
        <v>1</v>
      </c>
      <c r="U6" t="s">
        <v>217</v>
      </c>
    </row>
    <row r="7" spans="1:24" ht="24.6" customHeight="1" x14ac:dyDescent="0.25">
      <c r="A7" s="16"/>
      <c r="B7" s="16">
        <f>B6+1</f>
        <v>2</v>
      </c>
      <c r="C7" s="16" t="s">
        <v>25</v>
      </c>
      <c r="D7" s="80">
        <v>4.5999999999999999E-3</v>
      </c>
      <c r="E7" s="212">
        <v>1542558.02</v>
      </c>
      <c r="F7" s="97"/>
      <c r="G7" s="61">
        <f t="shared" si="0"/>
        <v>1542558.02</v>
      </c>
      <c r="H7" s="21">
        <f>IF(G7&gt;0,G7*3.087%,0)</f>
        <v>47618.766077400003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207">
        <v>0</v>
      </c>
      <c r="P7" s="398">
        <f t="shared" si="2"/>
        <v>2349925.02</v>
      </c>
      <c r="Q7" s="398"/>
      <c r="R7" s="265">
        <f t="shared" si="3"/>
        <v>2421198.02</v>
      </c>
      <c r="S7" s="13">
        <f t="shared" si="4"/>
        <v>0.02</v>
      </c>
      <c r="T7" s="1">
        <f t="shared" si="5"/>
        <v>2</v>
      </c>
    </row>
    <row r="8" spans="1:24" ht="24.6" customHeight="1" x14ac:dyDescent="0.25">
      <c r="A8" s="16"/>
      <c r="B8" s="16">
        <f t="shared" ref="B8:B37" si="10">B7+1</f>
        <v>3</v>
      </c>
      <c r="C8" s="16" t="s">
        <v>26</v>
      </c>
      <c r="D8" s="80">
        <v>4.5999999999999999E-3</v>
      </c>
      <c r="E8" s="212">
        <v>736705.03</v>
      </c>
      <c r="F8" s="213">
        <f>E8</f>
        <v>736705.03</v>
      </c>
      <c r="G8" s="61">
        <f t="shared" si="0"/>
        <v>0</v>
      </c>
      <c r="H8" s="21">
        <f t="shared" ref="H8:H71" si="11">IF(G8&gt;0,G8*3.087%,0)</f>
        <v>0</v>
      </c>
      <c r="I8" s="22">
        <f t="shared" si="6"/>
        <v>371109.43403200002</v>
      </c>
      <c r="J8" s="22">
        <f t="shared" si="1"/>
        <v>0</v>
      </c>
      <c r="K8" s="22">
        <f t="shared" si="7"/>
        <v>185936.29261027643</v>
      </c>
      <c r="L8" s="22">
        <f t="shared" si="8"/>
        <v>202702.7028</v>
      </c>
      <c r="M8" s="74">
        <f t="shared" si="9"/>
        <v>0</v>
      </c>
      <c r="N8" s="74">
        <v>0</v>
      </c>
      <c r="O8" s="207">
        <v>0</v>
      </c>
      <c r="P8" s="398">
        <f t="shared" si="2"/>
        <v>759748.03</v>
      </c>
      <c r="Q8" s="398"/>
      <c r="R8" s="265">
        <f t="shared" si="3"/>
        <v>782791.03</v>
      </c>
      <c r="S8" s="13">
        <f t="shared" si="4"/>
        <v>0.03</v>
      </c>
      <c r="T8" s="1">
        <f t="shared" si="5"/>
        <v>3</v>
      </c>
      <c r="V8" t="s">
        <v>202</v>
      </c>
    </row>
    <row r="9" spans="1:24" ht="24.6" customHeight="1" x14ac:dyDescent="0.25">
      <c r="A9" s="16"/>
      <c r="B9" s="16">
        <f t="shared" si="10"/>
        <v>4</v>
      </c>
      <c r="C9" s="16" t="s">
        <v>167</v>
      </c>
      <c r="D9" s="80">
        <v>4.7000000000000002E-3</v>
      </c>
      <c r="E9" s="212">
        <v>3222835.04</v>
      </c>
      <c r="F9" s="213">
        <f>E9</f>
        <v>3222835.04</v>
      </c>
      <c r="G9" s="61">
        <f t="shared" si="0"/>
        <v>0</v>
      </c>
      <c r="H9" s="21">
        <f t="shared" si="11"/>
        <v>0</v>
      </c>
      <c r="I9" s="22">
        <f t="shared" si="6"/>
        <v>379177.030424</v>
      </c>
      <c r="J9" s="22">
        <f t="shared" si="1"/>
        <v>0</v>
      </c>
      <c r="K9" s="22">
        <f t="shared" si="7"/>
        <v>185936.29261027643</v>
      </c>
      <c r="L9" s="22">
        <f t="shared" si="8"/>
        <v>202702.7028</v>
      </c>
      <c r="M9" s="74">
        <f t="shared" si="9"/>
        <v>0</v>
      </c>
      <c r="N9" s="74">
        <v>0</v>
      </c>
      <c r="O9" s="207">
        <v>0</v>
      </c>
      <c r="P9" s="398">
        <f t="shared" si="2"/>
        <v>767816.04</v>
      </c>
      <c r="Q9" s="398"/>
      <c r="R9" s="265">
        <f t="shared" si="3"/>
        <v>791104.04</v>
      </c>
      <c r="S9" s="13">
        <f t="shared" si="4"/>
        <v>0.04</v>
      </c>
      <c r="T9" s="1">
        <f t="shared" si="5"/>
        <v>4</v>
      </c>
      <c r="U9" s="134"/>
      <c r="V9" t="s">
        <v>306</v>
      </c>
    </row>
    <row r="10" spans="1:24" ht="24.6" customHeight="1" x14ac:dyDescent="0.25">
      <c r="A10" s="16"/>
      <c r="B10" s="16">
        <f t="shared" si="10"/>
        <v>5</v>
      </c>
      <c r="C10" s="16" t="s">
        <v>27</v>
      </c>
      <c r="D10" s="80">
        <v>4.7000000000000002E-3</v>
      </c>
      <c r="E10" s="212">
        <v>744528.05</v>
      </c>
      <c r="F10" s="213">
        <f>E10</f>
        <v>744528.05</v>
      </c>
      <c r="G10" s="61">
        <f t="shared" si="0"/>
        <v>0</v>
      </c>
      <c r="H10" s="21">
        <f t="shared" si="11"/>
        <v>0</v>
      </c>
      <c r="I10" s="22">
        <f t="shared" si="6"/>
        <v>379177.030424</v>
      </c>
      <c r="J10" s="22">
        <f t="shared" si="1"/>
        <v>0</v>
      </c>
      <c r="K10" s="22">
        <f t="shared" si="7"/>
        <v>185936.29261027643</v>
      </c>
      <c r="L10" s="22">
        <f t="shared" si="8"/>
        <v>202702.7028</v>
      </c>
      <c r="M10" s="74">
        <f t="shared" si="9"/>
        <v>0</v>
      </c>
      <c r="N10" s="74">
        <v>0</v>
      </c>
      <c r="O10" s="207">
        <v>0</v>
      </c>
      <c r="P10" s="398">
        <f t="shared" si="2"/>
        <v>767816.05</v>
      </c>
      <c r="Q10" s="398"/>
      <c r="R10" s="265">
        <f t="shared" si="3"/>
        <v>791104.05</v>
      </c>
      <c r="S10" s="13">
        <f t="shared" si="4"/>
        <v>0.05</v>
      </c>
      <c r="T10" s="1">
        <f t="shared" si="5"/>
        <v>5</v>
      </c>
      <c r="U10" s="134"/>
    </row>
    <row r="11" spans="1:24" ht="24.6" customHeight="1" x14ac:dyDescent="0.25">
      <c r="A11" s="16"/>
      <c r="B11" s="16">
        <f t="shared" si="10"/>
        <v>6</v>
      </c>
      <c r="C11" s="16" t="s">
        <v>28</v>
      </c>
      <c r="D11" s="80">
        <v>4.4999999999999997E-3</v>
      </c>
      <c r="E11" s="212">
        <v>751681.06</v>
      </c>
      <c r="F11" s="97">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207">
        <v>0</v>
      </c>
      <c r="P11" s="398">
        <f t="shared" si="2"/>
        <v>751681.06</v>
      </c>
      <c r="Q11" s="398"/>
      <c r="R11" s="265">
        <f t="shared" si="3"/>
        <v>774480.06</v>
      </c>
      <c r="S11" s="13">
        <f t="shared" si="4"/>
        <v>0.06</v>
      </c>
      <c r="T11" s="1">
        <f t="shared" si="5"/>
        <v>6</v>
      </c>
      <c r="U11" t="s">
        <v>195</v>
      </c>
    </row>
    <row r="12" spans="1:24" ht="24.6" customHeight="1" x14ac:dyDescent="0.25">
      <c r="A12" s="16"/>
      <c r="B12" s="16">
        <f t="shared" si="10"/>
        <v>7</v>
      </c>
      <c r="C12" s="16" t="s">
        <v>29</v>
      </c>
      <c r="D12" s="80">
        <v>4.3E-3</v>
      </c>
      <c r="E12" s="212">
        <v>766874.07</v>
      </c>
      <c r="F12" s="97">
        <v>750000.07</v>
      </c>
      <c r="G12" s="61">
        <f t="shared" si="0"/>
        <v>16874</v>
      </c>
      <c r="H12" s="21">
        <f t="shared" si="11"/>
        <v>520.90038000000004</v>
      </c>
      <c r="I12" s="22">
        <f t="shared" si="6"/>
        <v>346906.64485600003</v>
      </c>
      <c r="J12" s="22">
        <f t="shared" si="1"/>
        <v>0</v>
      </c>
      <c r="K12" s="22">
        <f t="shared" si="7"/>
        <v>185936.29261027643</v>
      </c>
      <c r="L12" s="22">
        <f t="shared" si="8"/>
        <v>202702.7028</v>
      </c>
      <c r="M12" s="74">
        <f t="shared" si="9"/>
        <v>0</v>
      </c>
      <c r="N12" s="74">
        <v>0</v>
      </c>
      <c r="O12" s="207">
        <v>0</v>
      </c>
      <c r="P12" s="398">
        <f t="shared" si="2"/>
        <v>752941.07</v>
      </c>
      <c r="Q12" s="398"/>
      <c r="R12" s="265">
        <f t="shared" si="3"/>
        <v>775778.07</v>
      </c>
      <c r="S12" s="13">
        <f t="shared" si="4"/>
        <v>7.0000000000000007E-2</v>
      </c>
      <c r="T12" s="1">
        <f t="shared" si="5"/>
        <v>7</v>
      </c>
      <c r="U12" t="s">
        <v>250</v>
      </c>
    </row>
    <row r="13" spans="1:24" ht="24.6" customHeight="1" x14ac:dyDescent="0.25">
      <c r="A13" s="176"/>
      <c r="B13" s="16">
        <f t="shared" si="10"/>
        <v>8</v>
      </c>
      <c r="C13" s="16" t="s">
        <v>30</v>
      </c>
      <c r="D13" s="80">
        <v>4.7000000000000002E-3</v>
      </c>
      <c r="E13" s="212">
        <v>744514.08</v>
      </c>
      <c r="F13" s="213">
        <f>E13</f>
        <v>744514.08</v>
      </c>
      <c r="G13" s="61">
        <f t="shared" si="0"/>
        <v>0</v>
      </c>
      <c r="H13" s="21">
        <f t="shared" si="11"/>
        <v>0</v>
      </c>
      <c r="I13" s="22">
        <f t="shared" si="6"/>
        <v>379177.030424</v>
      </c>
      <c r="J13" s="22">
        <f t="shared" si="1"/>
        <v>0</v>
      </c>
      <c r="K13" s="22">
        <f t="shared" si="7"/>
        <v>185936.29261027643</v>
      </c>
      <c r="L13" s="22">
        <f t="shared" si="8"/>
        <v>202702.7028</v>
      </c>
      <c r="M13" s="74">
        <f t="shared" si="9"/>
        <v>0</v>
      </c>
      <c r="N13" s="74">
        <v>0</v>
      </c>
      <c r="O13" s="207">
        <v>0</v>
      </c>
      <c r="P13" s="398">
        <f t="shared" si="2"/>
        <v>767816.08</v>
      </c>
      <c r="Q13" s="398"/>
      <c r="R13" s="265">
        <f t="shared" si="3"/>
        <v>791104.08</v>
      </c>
      <c r="S13" s="13">
        <f t="shared" si="4"/>
        <v>0.08</v>
      </c>
      <c r="T13" s="1">
        <f t="shared" si="5"/>
        <v>8</v>
      </c>
      <c r="U13" t="s">
        <v>281</v>
      </c>
    </row>
    <row r="14" spans="1:24" ht="24.6" customHeight="1" x14ac:dyDescent="0.25">
      <c r="A14" s="16"/>
      <c r="B14" s="16">
        <f t="shared" si="10"/>
        <v>9</v>
      </c>
      <c r="C14" s="16" t="s">
        <v>31</v>
      </c>
      <c r="D14" s="80">
        <v>4.7000000000000002E-3</v>
      </c>
      <c r="E14" s="212">
        <v>3585790.09</v>
      </c>
      <c r="F14" s="97">
        <f>300000+2000000</f>
        <v>2300000</v>
      </c>
      <c r="G14" s="61">
        <f t="shared" si="0"/>
        <v>1285790.0899999999</v>
      </c>
      <c r="H14" s="21">
        <f t="shared" si="11"/>
        <v>39692.340078299996</v>
      </c>
      <c r="I14" s="22">
        <f t="shared" si="6"/>
        <v>379177.030424</v>
      </c>
      <c r="J14" s="22">
        <f t="shared" si="1"/>
        <v>0</v>
      </c>
      <c r="K14" s="22">
        <f t="shared" si="7"/>
        <v>185936.29261027643</v>
      </c>
      <c r="L14" s="22">
        <f t="shared" si="8"/>
        <v>202702.7028</v>
      </c>
      <c r="M14" s="74">
        <v>0</v>
      </c>
      <c r="N14" s="74">
        <v>0</v>
      </c>
      <c r="O14" s="207">
        <v>0</v>
      </c>
      <c r="P14" s="398">
        <f t="shared" si="2"/>
        <v>2093298.09</v>
      </c>
      <c r="Q14" s="398"/>
      <c r="R14" s="265">
        <f t="shared" si="3"/>
        <v>2156788.09</v>
      </c>
      <c r="S14" s="13">
        <f t="shared" si="4"/>
        <v>0.09</v>
      </c>
      <c r="T14" s="1">
        <f t="shared" si="5"/>
        <v>9</v>
      </c>
    </row>
    <row r="15" spans="1:24" ht="24.6" customHeight="1" x14ac:dyDescent="0.25">
      <c r="A15" s="173"/>
      <c r="B15" s="16">
        <f t="shared" si="10"/>
        <v>10</v>
      </c>
      <c r="C15" s="16" t="s">
        <v>32</v>
      </c>
      <c r="D15" s="80">
        <v>4.7000000000000002E-3</v>
      </c>
      <c r="E15" s="212">
        <v>767816.1</v>
      </c>
      <c r="F15" s="213">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207">
        <v>0</v>
      </c>
      <c r="P15" s="398">
        <f t="shared" si="2"/>
        <v>767816.1</v>
      </c>
      <c r="Q15" s="398"/>
      <c r="R15" s="265">
        <f t="shared" si="3"/>
        <v>791104.1</v>
      </c>
      <c r="S15" s="13">
        <f t="shared" si="4"/>
        <v>0.1</v>
      </c>
      <c r="T15" s="1">
        <f t="shared" si="5"/>
        <v>10</v>
      </c>
      <c r="U15" t="s">
        <v>241</v>
      </c>
    </row>
    <row r="16" spans="1:24" ht="24.6" customHeight="1" x14ac:dyDescent="0.25">
      <c r="A16" s="16"/>
      <c r="B16" s="16">
        <f t="shared" si="10"/>
        <v>11</v>
      </c>
      <c r="C16" s="16" t="s">
        <v>33</v>
      </c>
      <c r="D16" s="80">
        <v>4.7000000000000002E-3</v>
      </c>
      <c r="E16" s="212">
        <v>744528.11</v>
      </c>
      <c r="F16" s="213">
        <f>E16</f>
        <v>744528.11</v>
      </c>
      <c r="G16" s="62">
        <f t="shared" si="0"/>
        <v>0</v>
      </c>
      <c r="H16" s="81">
        <f t="shared" si="11"/>
        <v>0</v>
      </c>
      <c r="I16" s="74">
        <f t="shared" si="6"/>
        <v>379177.030424</v>
      </c>
      <c r="J16" s="74">
        <f t="shared" si="1"/>
        <v>0</v>
      </c>
      <c r="K16" s="74">
        <f t="shared" si="7"/>
        <v>185936.29261027643</v>
      </c>
      <c r="L16" s="74">
        <f t="shared" si="8"/>
        <v>202702.7028</v>
      </c>
      <c r="M16" s="74">
        <v>0</v>
      </c>
      <c r="N16" s="74">
        <v>0</v>
      </c>
      <c r="O16" s="207">
        <v>0</v>
      </c>
      <c r="P16" s="398">
        <f t="shared" si="2"/>
        <v>767816.11</v>
      </c>
      <c r="Q16" s="398"/>
      <c r="R16" s="265">
        <f t="shared" si="3"/>
        <v>791104.11</v>
      </c>
      <c r="S16" s="82">
        <f t="shared" si="4"/>
        <v>0.11</v>
      </c>
      <c r="T16" s="60">
        <f t="shared" si="5"/>
        <v>11</v>
      </c>
      <c r="U16" t="s">
        <v>265</v>
      </c>
    </row>
    <row r="17" spans="1:22" ht="24.6" customHeight="1" x14ac:dyDescent="0.25">
      <c r="A17" s="16"/>
      <c r="B17" s="16">
        <f t="shared" si="10"/>
        <v>12</v>
      </c>
      <c r="C17" s="16" t="s">
        <v>34</v>
      </c>
      <c r="D17" s="80">
        <v>4.3E-3</v>
      </c>
      <c r="E17" s="212">
        <v>4554371.12</v>
      </c>
      <c r="F17" s="97">
        <v>1250000</v>
      </c>
      <c r="G17" s="62">
        <f t="shared" si="0"/>
        <v>3304371.12</v>
      </c>
      <c r="H17" s="81">
        <f t="shared" si="11"/>
        <v>102005.9364744</v>
      </c>
      <c r="I17" s="74">
        <f t="shared" si="6"/>
        <v>346906.64485600003</v>
      </c>
      <c r="J17" s="74">
        <f t="shared" si="1"/>
        <v>0</v>
      </c>
      <c r="K17" s="74">
        <f t="shared" si="7"/>
        <v>185936.29261027643</v>
      </c>
      <c r="L17" s="74">
        <f t="shared" si="8"/>
        <v>202702.7028</v>
      </c>
      <c r="M17" s="74">
        <v>0</v>
      </c>
      <c r="N17" s="74">
        <v>0</v>
      </c>
      <c r="O17" s="207">
        <v>0</v>
      </c>
      <c r="P17" s="398">
        <f t="shared" si="2"/>
        <v>4141923.12</v>
      </c>
      <c r="Q17" s="398"/>
      <c r="R17" s="265">
        <f t="shared" si="3"/>
        <v>4267548.12</v>
      </c>
      <c r="S17" s="82">
        <f t="shared" si="4"/>
        <v>0.12</v>
      </c>
      <c r="T17" s="60">
        <f t="shared" si="5"/>
        <v>12</v>
      </c>
      <c r="U17" t="s">
        <v>258</v>
      </c>
    </row>
    <row r="18" spans="1:22" ht="24.6" customHeight="1" x14ac:dyDescent="0.25">
      <c r="A18" s="249"/>
      <c r="B18" s="16">
        <f t="shared" si="10"/>
        <v>13</v>
      </c>
      <c r="C18" s="16" t="s">
        <v>170</v>
      </c>
      <c r="D18" s="80">
        <v>4.5999999999999999E-3</v>
      </c>
      <c r="E18" s="212">
        <v>850918.13</v>
      </c>
      <c r="F18" s="213">
        <f>E18</f>
        <v>850918.13</v>
      </c>
      <c r="G18" s="61">
        <f t="shared" si="0"/>
        <v>0</v>
      </c>
      <c r="H18" s="21">
        <f t="shared" si="11"/>
        <v>0</v>
      </c>
      <c r="I18" s="22">
        <f t="shared" si="6"/>
        <v>371109.43403200002</v>
      </c>
      <c r="J18" s="22">
        <f t="shared" si="1"/>
        <v>0</v>
      </c>
      <c r="K18" s="22">
        <f t="shared" si="7"/>
        <v>185936.29261027643</v>
      </c>
      <c r="L18" s="22">
        <f t="shared" si="8"/>
        <v>202702.7028</v>
      </c>
      <c r="M18" s="74">
        <v>0</v>
      </c>
      <c r="N18" s="74"/>
      <c r="O18" s="207">
        <v>0</v>
      </c>
      <c r="P18" s="398">
        <f t="shared" si="2"/>
        <v>759748.13</v>
      </c>
      <c r="Q18" s="398"/>
      <c r="R18" s="265">
        <f t="shared" si="3"/>
        <v>782791.13</v>
      </c>
      <c r="S18" s="13">
        <f t="shared" si="4"/>
        <v>0.13</v>
      </c>
      <c r="T18" s="1">
        <f t="shared" si="5"/>
        <v>13</v>
      </c>
    </row>
    <row r="19" spans="1:22" ht="24.6" customHeight="1" x14ac:dyDescent="0.25">
      <c r="A19" s="16"/>
      <c r="B19" s="16">
        <f t="shared" si="10"/>
        <v>14</v>
      </c>
      <c r="C19" s="16" t="s">
        <v>35</v>
      </c>
      <c r="D19" s="80">
        <v>4.7000000000000002E-3</v>
      </c>
      <c r="E19" s="212">
        <v>720435.14</v>
      </c>
      <c r="F19" s="97">
        <v>720435</v>
      </c>
      <c r="G19" s="61">
        <f t="shared" si="0"/>
        <v>0.14000000001396984</v>
      </c>
      <c r="H19" s="21">
        <f t="shared" si="11"/>
        <v>4.3218000004312494E-3</v>
      </c>
      <c r="I19" s="22">
        <f t="shared" si="6"/>
        <v>379177.030424</v>
      </c>
      <c r="J19" s="22">
        <f t="shared" si="1"/>
        <v>0</v>
      </c>
      <c r="K19" s="22">
        <f t="shared" si="7"/>
        <v>185936.29261027643</v>
      </c>
      <c r="L19" s="22">
        <f t="shared" si="8"/>
        <v>202702.7028</v>
      </c>
      <c r="M19" s="74">
        <v>0</v>
      </c>
      <c r="N19" s="74">
        <v>0</v>
      </c>
      <c r="O19" s="207">
        <v>0</v>
      </c>
      <c r="P19" s="398">
        <f t="shared" si="2"/>
        <v>767816.14</v>
      </c>
      <c r="Q19" s="398"/>
      <c r="R19" s="265">
        <f t="shared" si="3"/>
        <v>791104.14</v>
      </c>
      <c r="S19" s="13">
        <f t="shared" si="4"/>
        <v>0.14000000000000001</v>
      </c>
      <c r="T19" s="1">
        <f t="shared" si="5"/>
        <v>14</v>
      </c>
      <c r="U19" t="s">
        <v>370</v>
      </c>
    </row>
    <row r="20" spans="1:22" ht="24.6" customHeight="1" x14ac:dyDescent="0.25">
      <c r="A20" s="16"/>
      <c r="B20" s="16">
        <f t="shared" si="10"/>
        <v>15</v>
      </c>
      <c r="C20" s="16" t="s">
        <v>292</v>
      </c>
      <c r="D20" s="80">
        <v>4.4000000000000003E-3</v>
      </c>
      <c r="E20" s="212">
        <v>766167.15</v>
      </c>
      <c r="F20" s="97">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207">
        <v>0</v>
      </c>
      <c r="P20" s="398">
        <f t="shared" si="2"/>
        <v>743613.15</v>
      </c>
      <c r="Q20" s="398"/>
      <c r="R20" s="265">
        <f t="shared" si="3"/>
        <v>766167.15</v>
      </c>
      <c r="S20" s="82">
        <f t="shared" si="4"/>
        <v>0.15</v>
      </c>
      <c r="T20" s="60">
        <f t="shared" si="5"/>
        <v>15</v>
      </c>
      <c r="U20" t="s">
        <v>293</v>
      </c>
    </row>
    <row r="21" spans="1:22" ht="24.6" customHeight="1" x14ac:dyDescent="0.25">
      <c r="A21" s="16"/>
      <c r="B21" s="16">
        <f t="shared" si="10"/>
        <v>16</v>
      </c>
      <c r="C21" s="16" t="s">
        <v>171</v>
      </c>
      <c r="D21" s="80">
        <v>4.5999999999999999E-3</v>
      </c>
      <c r="E21" s="212">
        <v>759748.16</v>
      </c>
      <c r="F21" s="97">
        <f t="shared" si="12"/>
        <v>759748.16</v>
      </c>
      <c r="G21" s="61">
        <f t="shared" si="0"/>
        <v>0</v>
      </c>
      <c r="H21" s="21">
        <f t="shared" si="11"/>
        <v>0</v>
      </c>
      <c r="I21" s="22">
        <f t="shared" si="6"/>
        <v>371109.43403200002</v>
      </c>
      <c r="J21" s="22">
        <f t="shared" si="1"/>
        <v>0</v>
      </c>
      <c r="K21" s="22">
        <f t="shared" si="7"/>
        <v>185936.29261027643</v>
      </c>
      <c r="L21" s="22">
        <f t="shared" si="8"/>
        <v>202702.7028</v>
      </c>
      <c r="M21" s="74">
        <v>0</v>
      </c>
      <c r="N21" s="74"/>
      <c r="O21" s="207">
        <v>0</v>
      </c>
      <c r="P21" s="398">
        <f t="shared" si="2"/>
        <v>759748.16</v>
      </c>
      <c r="Q21" s="398"/>
      <c r="R21" s="265">
        <f t="shared" si="3"/>
        <v>782791.16</v>
      </c>
      <c r="S21" s="13">
        <f t="shared" si="4"/>
        <v>0.16</v>
      </c>
      <c r="T21" s="1">
        <f t="shared" si="5"/>
        <v>16</v>
      </c>
    </row>
    <row r="22" spans="1:22" ht="24.6" customHeight="1" x14ac:dyDescent="0.25">
      <c r="A22" s="16"/>
      <c r="B22" s="16">
        <f t="shared" si="10"/>
        <v>17</v>
      </c>
      <c r="C22" s="16" t="s">
        <v>36</v>
      </c>
      <c r="D22" s="80">
        <v>4.5999999999999999E-3</v>
      </c>
      <c r="E22" s="212">
        <v>2350329.17</v>
      </c>
      <c r="F22" s="97"/>
      <c r="G22" s="61">
        <f t="shared" si="0"/>
        <v>2350329.17</v>
      </c>
      <c r="H22" s="21">
        <f t="shared" si="11"/>
        <v>72554.661477900008</v>
      </c>
      <c r="I22" s="22">
        <f t="shared" si="6"/>
        <v>371109.43403200002</v>
      </c>
      <c r="J22" s="22">
        <f t="shared" si="1"/>
        <v>0</v>
      </c>
      <c r="K22" s="22">
        <f t="shared" si="7"/>
        <v>185936.29261027643</v>
      </c>
      <c r="L22" s="22">
        <f t="shared" si="8"/>
        <v>202702.7028</v>
      </c>
      <c r="M22" s="74">
        <v>0</v>
      </c>
      <c r="N22" s="74">
        <v>0</v>
      </c>
      <c r="O22" s="207">
        <v>0</v>
      </c>
      <c r="P22" s="398">
        <f t="shared" si="2"/>
        <v>3182632.17</v>
      </c>
      <c r="Q22" s="398"/>
      <c r="R22" s="265">
        <f t="shared" si="3"/>
        <v>3279161.17</v>
      </c>
      <c r="S22" s="13">
        <f t="shared" si="4"/>
        <v>0.17</v>
      </c>
      <c r="T22" s="1">
        <f t="shared" si="5"/>
        <v>17</v>
      </c>
      <c r="U22" t="s">
        <v>211</v>
      </c>
    </row>
    <row r="23" spans="1:22" ht="24.6" customHeight="1" x14ac:dyDescent="0.25">
      <c r="A23" s="16"/>
      <c r="B23" s="16">
        <f t="shared" si="10"/>
        <v>18</v>
      </c>
      <c r="C23" s="16" t="s">
        <v>37</v>
      </c>
      <c r="D23" s="80">
        <v>4.5999999999999999E-3</v>
      </c>
      <c r="E23" s="212">
        <v>736705.18</v>
      </c>
      <c r="F23" s="97">
        <v>759049.18</v>
      </c>
      <c r="G23" s="61">
        <f t="shared" si="0"/>
        <v>-22344</v>
      </c>
      <c r="H23" s="21">
        <f t="shared" si="11"/>
        <v>0</v>
      </c>
      <c r="I23" s="22">
        <f t="shared" si="6"/>
        <v>371109.43403200002</v>
      </c>
      <c r="J23" s="22">
        <f t="shared" si="1"/>
        <v>0</v>
      </c>
      <c r="K23" s="22">
        <f t="shared" si="7"/>
        <v>185936.29261027643</v>
      </c>
      <c r="L23" s="22">
        <f t="shared" si="8"/>
        <v>202702.7028</v>
      </c>
      <c r="M23" s="74">
        <v>0</v>
      </c>
      <c r="N23" s="74">
        <v>0</v>
      </c>
      <c r="O23" s="207">
        <v>0</v>
      </c>
      <c r="P23" s="398">
        <f t="shared" si="2"/>
        <v>737404.18</v>
      </c>
      <c r="Q23" s="398"/>
      <c r="R23" s="265">
        <f t="shared" si="3"/>
        <v>759770.18</v>
      </c>
      <c r="S23" s="13">
        <f t="shared" si="4"/>
        <v>0.18</v>
      </c>
      <c r="T23" s="1">
        <f t="shared" si="5"/>
        <v>18</v>
      </c>
      <c r="U23" t="s">
        <v>299</v>
      </c>
    </row>
    <row r="24" spans="1:22" ht="24.6" customHeight="1" x14ac:dyDescent="0.25">
      <c r="A24" s="16"/>
      <c r="B24" s="16">
        <f t="shared" si="10"/>
        <v>19</v>
      </c>
      <c r="C24" s="16" t="s">
        <v>38</v>
      </c>
      <c r="D24" s="80">
        <v>4.7000000000000002E-3</v>
      </c>
      <c r="E24" s="212">
        <v>744528.19</v>
      </c>
      <c r="F24" s="97">
        <v>767110.19</v>
      </c>
      <c r="G24" s="61">
        <f t="shared" si="0"/>
        <v>-22582</v>
      </c>
      <c r="H24" s="21">
        <f t="shared" si="11"/>
        <v>0</v>
      </c>
      <c r="I24" s="22">
        <f t="shared" si="6"/>
        <v>379177.030424</v>
      </c>
      <c r="J24" s="22">
        <f t="shared" si="1"/>
        <v>0</v>
      </c>
      <c r="K24" s="22">
        <f t="shared" si="7"/>
        <v>185936.29261027643</v>
      </c>
      <c r="L24" s="22">
        <f t="shared" si="8"/>
        <v>202702.7028</v>
      </c>
      <c r="M24" s="74">
        <v>0</v>
      </c>
      <c r="N24" s="74">
        <v>0</v>
      </c>
      <c r="O24" s="207">
        <v>0</v>
      </c>
      <c r="P24" s="398">
        <f t="shared" si="2"/>
        <v>745234.19</v>
      </c>
      <c r="Q24" s="398"/>
      <c r="R24" s="265">
        <f t="shared" si="3"/>
        <v>767837.19</v>
      </c>
      <c r="S24" s="13">
        <f t="shared" si="4"/>
        <v>0.19</v>
      </c>
      <c r="T24" s="1">
        <f t="shared" si="5"/>
        <v>19</v>
      </c>
    </row>
    <row r="25" spans="1:22" ht="24.6" customHeight="1" x14ac:dyDescent="0.25">
      <c r="A25" s="16"/>
      <c r="B25" s="16">
        <f t="shared" si="10"/>
        <v>20</v>
      </c>
      <c r="C25" s="16" t="s">
        <v>39</v>
      </c>
      <c r="D25" s="80">
        <v>4.7000000000000002E-3</v>
      </c>
      <c r="E25" s="212">
        <v>744528.2</v>
      </c>
      <c r="F25" s="97">
        <v>767110.2</v>
      </c>
      <c r="G25" s="61">
        <f t="shared" si="0"/>
        <v>-22582</v>
      </c>
      <c r="H25" s="21">
        <f t="shared" si="11"/>
        <v>0</v>
      </c>
      <c r="I25" s="22">
        <f t="shared" si="6"/>
        <v>379177.030424</v>
      </c>
      <c r="J25" s="22">
        <f t="shared" si="1"/>
        <v>0</v>
      </c>
      <c r="K25" s="22">
        <f t="shared" si="7"/>
        <v>185936.29261027643</v>
      </c>
      <c r="L25" s="22">
        <f t="shared" si="8"/>
        <v>202702.7028</v>
      </c>
      <c r="M25" s="74">
        <v>0</v>
      </c>
      <c r="N25" s="74">
        <v>0</v>
      </c>
      <c r="O25" s="207">
        <v>0</v>
      </c>
      <c r="P25" s="398">
        <f t="shared" si="2"/>
        <v>745234.2</v>
      </c>
      <c r="Q25" s="398"/>
      <c r="R25" s="265">
        <f t="shared" si="3"/>
        <v>767837.2</v>
      </c>
      <c r="S25" s="13">
        <f t="shared" si="4"/>
        <v>0.2</v>
      </c>
      <c r="T25" s="1">
        <f t="shared" si="5"/>
        <v>20</v>
      </c>
    </row>
    <row r="26" spans="1:22" ht="24.6" customHeight="1" x14ac:dyDescent="0.25">
      <c r="A26" s="16"/>
      <c r="B26" s="16">
        <f t="shared" si="10"/>
        <v>21</v>
      </c>
      <c r="C26" s="16" t="s">
        <v>40</v>
      </c>
      <c r="D26" s="80">
        <v>4.7000000000000002E-3</v>
      </c>
      <c r="E26" s="212">
        <v>1559335.21</v>
      </c>
      <c r="F26" s="213">
        <f>E26</f>
        <v>1559335.21</v>
      </c>
      <c r="G26" s="61">
        <f t="shared" si="0"/>
        <v>0</v>
      </c>
      <c r="H26" s="21">
        <f t="shared" si="11"/>
        <v>0</v>
      </c>
      <c r="I26" s="22">
        <f t="shared" si="6"/>
        <v>379177.030424</v>
      </c>
      <c r="J26" s="22">
        <f t="shared" si="1"/>
        <v>0</v>
      </c>
      <c r="K26" s="22">
        <f t="shared" si="7"/>
        <v>185936.29261027643</v>
      </c>
      <c r="L26" s="22">
        <f t="shared" si="8"/>
        <v>202702.7028</v>
      </c>
      <c r="M26" s="74">
        <v>0</v>
      </c>
      <c r="N26" s="74">
        <v>0</v>
      </c>
      <c r="O26" s="207">
        <v>0</v>
      </c>
      <c r="P26" s="398">
        <f t="shared" si="2"/>
        <v>767816.21</v>
      </c>
      <c r="Q26" s="398"/>
      <c r="R26" s="265">
        <f t="shared" si="3"/>
        <v>791104.21</v>
      </c>
      <c r="S26" s="13">
        <f t="shared" si="4"/>
        <v>0.21</v>
      </c>
      <c r="T26" s="1">
        <f t="shared" si="5"/>
        <v>21</v>
      </c>
      <c r="U26" t="s">
        <v>203</v>
      </c>
      <c r="V26" t="s">
        <v>203</v>
      </c>
    </row>
    <row r="27" spans="1:22" ht="24.6" customHeight="1" x14ac:dyDescent="0.25">
      <c r="A27" s="16"/>
      <c r="B27" s="16">
        <f t="shared" si="10"/>
        <v>22</v>
      </c>
      <c r="C27" s="16" t="s">
        <v>41</v>
      </c>
      <c r="D27" s="80">
        <v>4.7000000000000002E-3</v>
      </c>
      <c r="E27" s="212">
        <v>744528.22</v>
      </c>
      <c r="F27" s="213">
        <f>E27</f>
        <v>744528.22</v>
      </c>
      <c r="G27" s="61">
        <f t="shared" si="0"/>
        <v>0</v>
      </c>
      <c r="H27" s="21">
        <f t="shared" si="11"/>
        <v>0</v>
      </c>
      <c r="I27" s="22">
        <f t="shared" si="6"/>
        <v>379177.030424</v>
      </c>
      <c r="J27" s="22">
        <f t="shared" si="1"/>
        <v>0</v>
      </c>
      <c r="K27" s="22">
        <f t="shared" si="7"/>
        <v>185936.29261027643</v>
      </c>
      <c r="L27" s="22">
        <f t="shared" si="8"/>
        <v>202702.7028</v>
      </c>
      <c r="M27" s="74">
        <v>0</v>
      </c>
      <c r="N27" s="74">
        <v>0</v>
      </c>
      <c r="O27" s="207">
        <v>0</v>
      </c>
      <c r="P27" s="398">
        <f t="shared" si="2"/>
        <v>767816.22</v>
      </c>
      <c r="Q27" s="398"/>
      <c r="R27" s="265">
        <f t="shared" si="3"/>
        <v>791104.22</v>
      </c>
      <c r="S27" s="13">
        <f t="shared" si="4"/>
        <v>0.22</v>
      </c>
      <c r="T27" s="1">
        <f t="shared" si="5"/>
        <v>22</v>
      </c>
      <c r="U27" t="s">
        <v>289</v>
      </c>
    </row>
    <row r="28" spans="1:22" ht="24.6" customHeight="1" x14ac:dyDescent="0.25">
      <c r="A28" s="175"/>
      <c r="B28" s="16">
        <f t="shared" si="10"/>
        <v>23</v>
      </c>
      <c r="C28" s="16" t="s">
        <v>42</v>
      </c>
      <c r="D28" s="80">
        <v>4.7000000000000002E-3</v>
      </c>
      <c r="E28" s="212">
        <v>767815.23</v>
      </c>
      <c r="F28" s="97">
        <v>791105</v>
      </c>
      <c r="G28" s="61">
        <f t="shared" si="0"/>
        <v>-23289.770000000019</v>
      </c>
      <c r="H28" s="21">
        <f t="shared" si="11"/>
        <v>0</v>
      </c>
      <c r="I28" s="22">
        <f t="shared" si="6"/>
        <v>379177.030424</v>
      </c>
      <c r="J28" s="22">
        <f t="shared" si="1"/>
        <v>0</v>
      </c>
      <c r="K28" s="22">
        <f t="shared" si="7"/>
        <v>185936.29261027643</v>
      </c>
      <c r="L28" s="22">
        <f t="shared" si="8"/>
        <v>202702.7028</v>
      </c>
      <c r="M28" s="74">
        <v>0</v>
      </c>
      <c r="N28" s="74">
        <v>0</v>
      </c>
      <c r="O28" s="207">
        <v>0</v>
      </c>
      <c r="P28" s="398">
        <f t="shared" si="2"/>
        <v>744526.23</v>
      </c>
      <c r="Q28" s="398"/>
      <c r="R28" s="265">
        <f t="shared" si="3"/>
        <v>767108.23</v>
      </c>
      <c r="S28" s="13">
        <f t="shared" si="4"/>
        <v>0.23</v>
      </c>
      <c r="T28" s="1">
        <f t="shared" si="5"/>
        <v>23</v>
      </c>
      <c r="U28" t="s">
        <v>286</v>
      </c>
    </row>
    <row r="29" spans="1:22" ht="24.6" customHeight="1" x14ac:dyDescent="0.25">
      <c r="A29" s="16"/>
      <c r="B29" s="16">
        <f t="shared" si="10"/>
        <v>24</v>
      </c>
      <c r="C29" s="16" t="s">
        <v>43</v>
      </c>
      <c r="D29" s="80">
        <v>4.7000000000000002E-3</v>
      </c>
      <c r="E29" s="212">
        <v>744528.24</v>
      </c>
      <c r="F29" s="213">
        <v>767110.24</v>
      </c>
      <c r="G29" s="61">
        <f t="shared" si="0"/>
        <v>-22582</v>
      </c>
      <c r="H29" s="21">
        <f t="shared" si="11"/>
        <v>0</v>
      </c>
      <c r="I29" s="22">
        <f t="shared" si="6"/>
        <v>379177.030424</v>
      </c>
      <c r="J29" s="22">
        <f t="shared" si="1"/>
        <v>0</v>
      </c>
      <c r="K29" s="22">
        <f t="shared" si="7"/>
        <v>185936.29261027643</v>
      </c>
      <c r="L29" s="22">
        <f t="shared" si="8"/>
        <v>202702.7028</v>
      </c>
      <c r="M29" s="74">
        <v>0</v>
      </c>
      <c r="N29" s="74">
        <v>0</v>
      </c>
      <c r="O29" s="207">
        <v>0</v>
      </c>
      <c r="P29" s="398">
        <f t="shared" si="2"/>
        <v>745234.24</v>
      </c>
      <c r="Q29" s="398"/>
      <c r="R29" s="265">
        <f t="shared" si="3"/>
        <v>767837.24</v>
      </c>
      <c r="S29" s="13">
        <f t="shared" si="4"/>
        <v>0.24</v>
      </c>
      <c r="T29" s="1">
        <f t="shared" si="5"/>
        <v>24</v>
      </c>
      <c r="U29" t="s">
        <v>327</v>
      </c>
    </row>
    <row r="30" spans="1:22" ht="24.6" customHeight="1" x14ac:dyDescent="0.25">
      <c r="A30" s="16"/>
      <c r="B30" s="16">
        <f t="shared" si="10"/>
        <v>25</v>
      </c>
      <c r="C30" s="16" t="s">
        <v>44</v>
      </c>
      <c r="D30" s="80">
        <v>4.7999999999999996E-3</v>
      </c>
      <c r="E30" s="212">
        <v>775884.25</v>
      </c>
      <c r="F30" s="213">
        <v>799471.25</v>
      </c>
      <c r="G30" s="61">
        <f t="shared" si="0"/>
        <v>-23587</v>
      </c>
      <c r="H30" s="21">
        <f t="shared" si="11"/>
        <v>0</v>
      </c>
      <c r="I30" s="22">
        <f t="shared" si="6"/>
        <v>387244.62681599997</v>
      </c>
      <c r="J30" s="22">
        <f t="shared" si="1"/>
        <v>0</v>
      </c>
      <c r="K30" s="22">
        <f t="shared" si="7"/>
        <v>185936.29261027643</v>
      </c>
      <c r="L30" s="22">
        <f t="shared" si="8"/>
        <v>202702.7028</v>
      </c>
      <c r="M30" s="74">
        <v>0</v>
      </c>
      <c r="N30" s="74">
        <v>0</v>
      </c>
      <c r="O30" s="207">
        <v>0</v>
      </c>
      <c r="P30" s="398">
        <f t="shared" si="2"/>
        <v>752297.25</v>
      </c>
      <c r="Q30" s="398"/>
      <c r="R30" s="265">
        <f t="shared" si="3"/>
        <v>775114.25</v>
      </c>
      <c r="S30" s="13">
        <f t="shared" si="4"/>
        <v>0.25</v>
      </c>
      <c r="T30" s="1">
        <f t="shared" si="5"/>
        <v>25</v>
      </c>
      <c r="V30" t="s">
        <v>269</v>
      </c>
    </row>
    <row r="31" spans="1:22" ht="24.6" customHeight="1" x14ac:dyDescent="0.25">
      <c r="A31" s="174"/>
      <c r="B31" s="16">
        <f t="shared" si="10"/>
        <v>26</v>
      </c>
      <c r="C31" s="16" t="s">
        <v>45</v>
      </c>
      <c r="D31" s="80">
        <v>4.7999999999999996E-3</v>
      </c>
      <c r="E31" s="212">
        <v>752356.26</v>
      </c>
      <c r="F31" s="97">
        <v>775175.26</v>
      </c>
      <c r="G31" s="62">
        <f t="shared" si="0"/>
        <v>-22819</v>
      </c>
      <c r="H31" s="81">
        <f t="shared" si="11"/>
        <v>0</v>
      </c>
      <c r="I31" s="74">
        <f t="shared" si="6"/>
        <v>387244.62681599997</v>
      </c>
      <c r="J31" s="74">
        <f t="shared" si="1"/>
        <v>0</v>
      </c>
      <c r="K31" s="74">
        <f t="shared" si="7"/>
        <v>185936.29261027643</v>
      </c>
      <c r="L31" s="74">
        <f t="shared" si="8"/>
        <v>202702.7028</v>
      </c>
      <c r="M31" s="74">
        <v>0</v>
      </c>
      <c r="N31" s="74">
        <v>0</v>
      </c>
      <c r="O31" s="207">
        <v>0</v>
      </c>
      <c r="P31" s="398">
        <f t="shared" si="2"/>
        <v>753065.26</v>
      </c>
      <c r="Q31" s="398"/>
      <c r="R31" s="265">
        <f t="shared" si="3"/>
        <v>775906.26</v>
      </c>
      <c r="S31" s="82">
        <f t="shared" si="4"/>
        <v>0.26</v>
      </c>
      <c r="T31" s="60">
        <f t="shared" si="5"/>
        <v>26</v>
      </c>
      <c r="V31" t="s">
        <v>198</v>
      </c>
    </row>
    <row r="32" spans="1:22" ht="24.6" customHeight="1" x14ac:dyDescent="0.25">
      <c r="A32" s="16"/>
      <c r="B32" s="16">
        <f t="shared" si="10"/>
        <v>27</v>
      </c>
      <c r="C32" s="16" t="s">
        <v>46</v>
      </c>
      <c r="D32" s="80">
        <v>4.7999999999999996E-3</v>
      </c>
      <c r="E32" s="212">
        <v>775884.27</v>
      </c>
      <c r="F32" s="213">
        <f>E32</f>
        <v>775884.27</v>
      </c>
      <c r="G32" s="61">
        <f t="shared" si="0"/>
        <v>0</v>
      </c>
      <c r="H32" s="21">
        <f t="shared" si="11"/>
        <v>0</v>
      </c>
      <c r="I32" s="22">
        <f t="shared" si="6"/>
        <v>387244.62681599997</v>
      </c>
      <c r="J32" s="22">
        <f t="shared" si="1"/>
        <v>0</v>
      </c>
      <c r="K32" s="22">
        <f t="shared" si="7"/>
        <v>185936.29261027643</v>
      </c>
      <c r="L32" s="22">
        <f t="shared" si="8"/>
        <v>202702.7028</v>
      </c>
      <c r="M32" s="74">
        <v>0</v>
      </c>
      <c r="N32" s="74">
        <v>0</v>
      </c>
      <c r="O32" s="207">
        <v>0</v>
      </c>
      <c r="P32" s="398">
        <f t="shared" si="2"/>
        <v>775884.27</v>
      </c>
      <c r="Q32" s="398"/>
      <c r="R32" s="265">
        <f t="shared" si="3"/>
        <v>799417.27</v>
      </c>
      <c r="S32" s="13">
        <f t="shared" si="4"/>
        <v>0.27</v>
      </c>
      <c r="T32" s="1">
        <f t="shared" si="5"/>
        <v>27</v>
      </c>
    </row>
    <row r="33" spans="1:21" ht="24.6" customHeight="1" x14ac:dyDescent="0.25">
      <c r="A33" s="179"/>
      <c r="B33" s="16">
        <f t="shared" si="10"/>
        <v>28</v>
      </c>
      <c r="C33" s="16" t="s">
        <v>47</v>
      </c>
      <c r="D33" s="80">
        <v>4.4999999999999997E-3</v>
      </c>
      <c r="E33" s="212">
        <v>951816.28</v>
      </c>
      <c r="F33" s="97">
        <v>960000</v>
      </c>
      <c r="G33" s="61">
        <f t="shared" si="0"/>
        <v>-8183.7199999999721</v>
      </c>
      <c r="H33" s="21">
        <f t="shared" si="11"/>
        <v>0</v>
      </c>
      <c r="I33" s="22">
        <f t="shared" si="6"/>
        <v>363041.83763999998</v>
      </c>
      <c r="J33" s="22">
        <f t="shared" si="1"/>
        <v>0</v>
      </c>
      <c r="K33" s="22">
        <f t="shared" si="7"/>
        <v>185936.29261027643</v>
      </c>
      <c r="L33" s="22">
        <f t="shared" si="8"/>
        <v>202702.7028</v>
      </c>
      <c r="M33" s="74">
        <v>0</v>
      </c>
      <c r="N33" s="74">
        <v>0</v>
      </c>
      <c r="O33" s="343">
        <v>55612.24</v>
      </c>
      <c r="P33" s="398">
        <f t="shared" si="2"/>
        <v>799109.28</v>
      </c>
      <c r="Q33" s="398"/>
      <c r="R33" s="265">
        <f t="shared" si="3"/>
        <v>823346.28</v>
      </c>
      <c r="S33" s="13">
        <f t="shared" si="4"/>
        <v>0.28000000000000003</v>
      </c>
      <c r="T33" s="1">
        <f t="shared" si="5"/>
        <v>28</v>
      </c>
      <c r="U33" t="s">
        <v>298</v>
      </c>
    </row>
    <row r="34" spans="1:21" ht="24.6" customHeight="1" x14ac:dyDescent="0.25">
      <c r="A34" s="16"/>
      <c r="B34" s="16">
        <f t="shared" si="10"/>
        <v>29</v>
      </c>
      <c r="C34" s="16" t="s">
        <v>48</v>
      </c>
      <c r="D34" s="80">
        <v>4.7999999999999996E-3</v>
      </c>
      <c r="E34" s="212">
        <v>752351.29</v>
      </c>
      <c r="F34" s="213">
        <f>E34</f>
        <v>752351.29</v>
      </c>
      <c r="G34" s="61">
        <f t="shared" si="0"/>
        <v>0</v>
      </c>
      <c r="H34" s="21">
        <f t="shared" si="11"/>
        <v>0</v>
      </c>
      <c r="I34" s="22">
        <f t="shared" si="6"/>
        <v>387244.62681599997</v>
      </c>
      <c r="J34" s="22">
        <f t="shared" si="1"/>
        <v>0</v>
      </c>
      <c r="K34" s="22">
        <f t="shared" si="7"/>
        <v>185936.29261027643</v>
      </c>
      <c r="L34" s="22">
        <f t="shared" si="8"/>
        <v>202702.7028</v>
      </c>
      <c r="M34" s="74">
        <v>0</v>
      </c>
      <c r="N34" s="74">
        <v>0</v>
      </c>
      <c r="O34" s="207">
        <v>0</v>
      </c>
      <c r="P34" s="398">
        <f t="shared" si="2"/>
        <v>775884.29</v>
      </c>
      <c r="Q34" s="398"/>
      <c r="R34" s="265">
        <f t="shared" si="3"/>
        <v>799417.29</v>
      </c>
      <c r="S34" s="13">
        <f t="shared" si="4"/>
        <v>0.28999999999999998</v>
      </c>
      <c r="T34" s="1">
        <f t="shared" si="5"/>
        <v>29</v>
      </c>
      <c r="U34" t="s">
        <v>207</v>
      </c>
    </row>
    <row r="35" spans="1:21" ht="24.6" customHeight="1" x14ac:dyDescent="0.25">
      <c r="A35" s="16"/>
      <c r="B35" s="16">
        <f t="shared" si="10"/>
        <v>30</v>
      </c>
      <c r="C35" s="16" t="s">
        <v>49</v>
      </c>
      <c r="D35" s="80">
        <v>4.4999999999999997E-3</v>
      </c>
      <c r="E35" s="212">
        <v>751681.3</v>
      </c>
      <c r="F35" s="97">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207">
        <v>0</v>
      </c>
      <c r="P35" s="398">
        <f t="shared" si="2"/>
        <v>751681.3</v>
      </c>
      <c r="Q35" s="398"/>
      <c r="R35" s="265">
        <f t="shared" si="3"/>
        <v>774480.3</v>
      </c>
      <c r="S35" s="13">
        <f t="shared" si="4"/>
        <v>0.3</v>
      </c>
      <c r="T35" s="1">
        <f t="shared" si="5"/>
        <v>30</v>
      </c>
      <c r="U35" t="s">
        <v>253</v>
      </c>
    </row>
    <row r="36" spans="1:21" ht="24.6" customHeight="1" x14ac:dyDescent="0.25">
      <c r="A36" s="16"/>
      <c r="B36" s="16">
        <f t="shared" si="10"/>
        <v>31</v>
      </c>
      <c r="C36" s="16" t="s">
        <v>50</v>
      </c>
      <c r="D36" s="80">
        <v>4.4999999999999997E-3</v>
      </c>
      <c r="E36" s="212">
        <v>2643433.31</v>
      </c>
      <c r="F36" s="97"/>
      <c r="G36" s="61">
        <f t="shared" si="0"/>
        <v>2643433.31</v>
      </c>
      <c r="H36" s="21">
        <f t="shared" si="11"/>
        <v>81602.786279700013</v>
      </c>
      <c r="I36" s="22">
        <f t="shared" si="6"/>
        <v>363041.83763999998</v>
      </c>
      <c r="J36" s="22">
        <f t="shared" si="1"/>
        <v>0</v>
      </c>
      <c r="K36" s="22">
        <f t="shared" si="7"/>
        <v>185936.29261027643</v>
      </c>
      <c r="L36" s="22">
        <f t="shared" si="8"/>
        <v>202702.7028</v>
      </c>
      <c r="M36" s="74">
        <v>0</v>
      </c>
      <c r="N36" s="74">
        <v>0</v>
      </c>
      <c r="O36" s="207">
        <v>0</v>
      </c>
      <c r="P36" s="398">
        <f t="shared" si="2"/>
        <v>3476717.31</v>
      </c>
      <c r="Q36" s="398"/>
      <c r="R36" s="265">
        <f t="shared" si="3"/>
        <v>3582166.31</v>
      </c>
      <c r="S36" s="13">
        <f t="shared" si="4"/>
        <v>0.31</v>
      </c>
      <c r="T36" s="1">
        <f t="shared" si="5"/>
        <v>31</v>
      </c>
      <c r="U36" s="65" t="s">
        <v>264</v>
      </c>
    </row>
    <row r="37" spans="1:21" ht="24.6" customHeight="1" x14ac:dyDescent="0.25">
      <c r="A37" s="16"/>
      <c r="B37" s="16">
        <f t="shared" si="10"/>
        <v>32</v>
      </c>
      <c r="C37" s="16" t="s">
        <v>51</v>
      </c>
      <c r="D37" s="80">
        <v>4.4999999999999997E-3</v>
      </c>
      <c r="E37" s="212">
        <v>573720.31999999995</v>
      </c>
      <c r="F37" s="218">
        <f>4480152.66-F21-F38-F151-F152-F154</f>
        <v>705609.32</v>
      </c>
      <c r="G37" s="62">
        <f t="shared" si="0"/>
        <v>-131889</v>
      </c>
      <c r="H37" s="81">
        <f t="shared" si="11"/>
        <v>0</v>
      </c>
      <c r="I37" s="74">
        <f t="shared" si="6"/>
        <v>363041.83763999998</v>
      </c>
      <c r="J37" s="74">
        <f t="shared" si="1"/>
        <v>0</v>
      </c>
      <c r="K37" s="74">
        <f t="shared" si="7"/>
        <v>185936.29261027643</v>
      </c>
      <c r="L37" s="74">
        <f t="shared" si="8"/>
        <v>202702.7028</v>
      </c>
      <c r="M37" s="74">
        <v>0</v>
      </c>
      <c r="N37" s="74">
        <v>0</v>
      </c>
      <c r="O37" s="207">
        <v>0</v>
      </c>
      <c r="P37" s="398">
        <f t="shared" si="2"/>
        <v>619792.31999999995</v>
      </c>
      <c r="Q37" s="398"/>
      <c r="R37" s="265">
        <f t="shared" si="3"/>
        <v>638591.31999999995</v>
      </c>
      <c r="S37" s="82">
        <f t="shared" si="4"/>
        <v>0.32</v>
      </c>
      <c r="T37" s="60">
        <f t="shared" si="5"/>
        <v>32</v>
      </c>
    </row>
    <row r="38" spans="1:21" ht="24.6" customHeight="1" x14ac:dyDescent="0.25">
      <c r="A38" s="16"/>
      <c r="B38" s="16">
        <v>33</v>
      </c>
      <c r="C38" s="16" t="s">
        <v>52</v>
      </c>
      <c r="D38" s="80">
        <v>4.4999999999999997E-3</v>
      </c>
      <c r="E38" s="212">
        <v>751681.33</v>
      </c>
      <c r="F38" s="97">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207">
        <v>0</v>
      </c>
      <c r="P38" s="398">
        <f t="shared" ref="P38:P69" si="14">ROUND(SUM(G38:O38),0) + S38</f>
        <v>751681.33</v>
      </c>
      <c r="Q38" s="398"/>
      <c r="R38" s="265">
        <f t="shared" ref="R38:R69" si="15">ROUND(P38+P38*3.033%,0) + S38</f>
        <v>774480.33</v>
      </c>
      <c r="S38" s="13">
        <f t="shared" ref="S38:S69" si="16">ROUND(0.001+B38/100,2)</f>
        <v>0.33</v>
      </c>
      <c r="T38" s="1">
        <f t="shared" ref="T38:T69" si="17">B38</f>
        <v>33</v>
      </c>
    </row>
    <row r="39" spans="1:21" ht="24.6" customHeight="1" x14ac:dyDescent="0.25">
      <c r="A39" s="16"/>
      <c r="B39" s="16">
        <v>34</v>
      </c>
      <c r="C39" s="16" t="s">
        <v>50</v>
      </c>
      <c r="D39" s="80">
        <v>4.4999999999999997E-3</v>
      </c>
      <c r="E39" s="212">
        <v>2473411.34</v>
      </c>
      <c r="F39" s="97"/>
      <c r="G39" s="61">
        <f t="shared" si="0"/>
        <v>2473411.34</v>
      </c>
      <c r="H39" s="21">
        <f t="shared" si="11"/>
        <v>76354.208065800005</v>
      </c>
      <c r="I39" s="22">
        <f t="shared" ref="I39:I102" si="18">K$2*D39</f>
        <v>363041.83763999998</v>
      </c>
      <c r="J39" s="22">
        <f t="shared" si="13"/>
        <v>0</v>
      </c>
      <c r="K39" s="22">
        <f t="shared" si="7"/>
        <v>185936.29261027643</v>
      </c>
      <c r="L39" s="22">
        <f t="shared" si="8"/>
        <v>202702.7028</v>
      </c>
      <c r="M39" s="74">
        <v>0</v>
      </c>
      <c r="N39" s="74">
        <v>0</v>
      </c>
      <c r="O39" s="207">
        <v>0</v>
      </c>
      <c r="P39" s="398">
        <f t="shared" si="14"/>
        <v>3301446.34</v>
      </c>
      <c r="Q39" s="398"/>
      <c r="R39" s="265">
        <f t="shared" si="15"/>
        <v>3401579.34</v>
      </c>
      <c r="S39" s="13">
        <f t="shared" si="16"/>
        <v>0.34</v>
      </c>
      <c r="T39" s="1">
        <f t="shared" si="17"/>
        <v>34</v>
      </c>
      <c r="U39" s="65" t="s">
        <v>264</v>
      </c>
    </row>
    <row r="40" spans="1:21" ht="22.35" customHeight="1" x14ac:dyDescent="0.25">
      <c r="A40" s="16">
        <v>1</v>
      </c>
      <c r="B40" s="16">
        <v>35</v>
      </c>
      <c r="C40" s="16" t="s">
        <v>53</v>
      </c>
      <c r="D40" s="80">
        <v>4.5999999999999999E-3</v>
      </c>
      <c r="E40" s="212">
        <v>736704.35</v>
      </c>
      <c r="F40" s="213">
        <f>E40</f>
        <v>736704.35</v>
      </c>
      <c r="G40" s="61">
        <f t="shared" si="0"/>
        <v>0</v>
      </c>
      <c r="H40" s="21">
        <f t="shared" si="11"/>
        <v>0</v>
      </c>
      <c r="I40" s="22">
        <f t="shared" si="18"/>
        <v>371109.43403200002</v>
      </c>
      <c r="J40" s="22">
        <f t="shared" si="13"/>
        <v>0</v>
      </c>
      <c r="K40" s="22">
        <f t="shared" si="7"/>
        <v>185936.29261027643</v>
      </c>
      <c r="L40" s="22">
        <f t="shared" si="8"/>
        <v>202702.7028</v>
      </c>
      <c r="M40" s="74">
        <v>0</v>
      </c>
      <c r="N40" s="74">
        <v>0</v>
      </c>
      <c r="O40" s="207">
        <v>0</v>
      </c>
      <c r="P40" s="398">
        <f t="shared" si="14"/>
        <v>759748.35</v>
      </c>
      <c r="Q40" s="398"/>
      <c r="R40" s="265">
        <f t="shared" si="15"/>
        <v>782792.35</v>
      </c>
      <c r="S40" s="13">
        <f t="shared" si="16"/>
        <v>0.35</v>
      </c>
      <c r="T40" s="1">
        <f t="shared" si="17"/>
        <v>35</v>
      </c>
      <c r="U40" t="s">
        <v>222</v>
      </c>
    </row>
    <row r="41" spans="1:21" ht="24.95" customHeight="1" x14ac:dyDescent="0.25">
      <c r="A41" s="16">
        <v>2</v>
      </c>
      <c r="B41" s="16">
        <v>36</v>
      </c>
      <c r="C41" s="16" t="s">
        <v>54</v>
      </c>
      <c r="D41" s="80">
        <v>4.5999999999999999E-3</v>
      </c>
      <c r="E41" s="212">
        <v>748020.36</v>
      </c>
      <c r="F41" s="97"/>
      <c r="G41" s="62">
        <f t="shared" si="0"/>
        <v>748020.36</v>
      </c>
      <c r="H41" s="81">
        <f t="shared" si="11"/>
        <v>23091.3885132</v>
      </c>
      <c r="I41" s="74">
        <f t="shared" si="18"/>
        <v>371109.43403200002</v>
      </c>
      <c r="J41" s="74">
        <f t="shared" si="13"/>
        <v>0</v>
      </c>
      <c r="K41" s="74">
        <f t="shared" si="7"/>
        <v>185936.29261027643</v>
      </c>
      <c r="L41" s="74">
        <f t="shared" si="8"/>
        <v>202702.7028</v>
      </c>
      <c r="M41" s="74">
        <v>0</v>
      </c>
      <c r="N41" s="74">
        <v>0</v>
      </c>
      <c r="O41" s="207">
        <v>0</v>
      </c>
      <c r="P41" s="398">
        <f t="shared" si="14"/>
        <v>1530860.36</v>
      </c>
      <c r="Q41" s="398"/>
      <c r="R41" s="265">
        <f t="shared" si="15"/>
        <v>1577291.36</v>
      </c>
      <c r="S41" s="82">
        <f t="shared" si="16"/>
        <v>0.36</v>
      </c>
      <c r="T41" s="60">
        <f t="shared" si="17"/>
        <v>36</v>
      </c>
      <c r="U41" s="13"/>
    </row>
    <row r="42" spans="1:21" ht="24.95" customHeight="1" x14ac:dyDescent="0.25">
      <c r="A42" s="16">
        <v>3</v>
      </c>
      <c r="B42" s="16">
        <v>37</v>
      </c>
      <c r="C42" s="16" t="s">
        <v>55</v>
      </c>
      <c r="D42" s="80">
        <v>4.4999999999999997E-3</v>
      </c>
      <c r="E42" s="212">
        <v>1526106.37</v>
      </c>
      <c r="F42" s="213">
        <f>E42</f>
        <v>1526106.37</v>
      </c>
      <c r="G42" s="62">
        <f t="shared" si="0"/>
        <v>0</v>
      </c>
      <c r="H42" s="81">
        <f t="shared" si="11"/>
        <v>0</v>
      </c>
      <c r="I42" s="74">
        <f t="shared" si="18"/>
        <v>363041.83763999998</v>
      </c>
      <c r="J42" s="74">
        <f t="shared" si="13"/>
        <v>0</v>
      </c>
      <c r="K42" s="74">
        <f t="shared" si="7"/>
        <v>185936.29261027643</v>
      </c>
      <c r="L42" s="74">
        <f t="shared" si="8"/>
        <v>202702.7028</v>
      </c>
      <c r="M42" s="74">
        <v>0</v>
      </c>
      <c r="N42" s="74">
        <v>0</v>
      </c>
      <c r="O42" s="207">
        <v>0</v>
      </c>
      <c r="P42" s="398">
        <f t="shared" si="14"/>
        <v>751681.37</v>
      </c>
      <c r="Q42" s="398"/>
      <c r="R42" s="265">
        <f t="shared" si="15"/>
        <v>774480.37</v>
      </c>
      <c r="S42" s="82">
        <f t="shared" si="16"/>
        <v>0.37</v>
      </c>
      <c r="T42" s="60">
        <f t="shared" si="17"/>
        <v>37</v>
      </c>
      <c r="U42" s="13"/>
    </row>
    <row r="43" spans="1:21" ht="24.95" customHeight="1" x14ac:dyDescent="0.25">
      <c r="A43" s="179">
        <v>4</v>
      </c>
      <c r="B43" s="16">
        <v>38</v>
      </c>
      <c r="C43" s="16" t="s">
        <v>56</v>
      </c>
      <c r="D43" s="80">
        <v>4.4999999999999997E-3</v>
      </c>
      <c r="E43" s="212">
        <v>751681.38</v>
      </c>
      <c r="F43" s="97">
        <f>363042.38+411438.38</f>
        <v>774480.76</v>
      </c>
      <c r="G43" s="61">
        <f t="shared" si="0"/>
        <v>-22799.380000000005</v>
      </c>
      <c r="H43" s="21">
        <f t="shared" si="11"/>
        <v>0</v>
      </c>
      <c r="I43" s="22">
        <f t="shared" si="18"/>
        <v>363041.83763999998</v>
      </c>
      <c r="J43" s="22">
        <f t="shared" si="13"/>
        <v>0</v>
      </c>
      <c r="K43" s="22">
        <f t="shared" si="7"/>
        <v>185936.29261027643</v>
      </c>
      <c r="L43" s="22">
        <f t="shared" si="8"/>
        <v>202702.7028</v>
      </c>
      <c r="M43" s="74">
        <v>0</v>
      </c>
      <c r="N43" s="74">
        <v>0</v>
      </c>
      <c r="O43" s="341">
        <f>1780*100</f>
        <v>178000</v>
      </c>
      <c r="P43" s="398">
        <f t="shared" si="14"/>
        <v>906881.38</v>
      </c>
      <c r="Q43" s="398"/>
      <c r="R43" s="265">
        <f t="shared" si="15"/>
        <v>934387.38</v>
      </c>
      <c r="S43" s="13">
        <f t="shared" si="16"/>
        <v>0.38</v>
      </c>
      <c r="T43" s="1">
        <f t="shared" si="17"/>
        <v>38</v>
      </c>
      <c r="U43" t="s">
        <v>240</v>
      </c>
    </row>
    <row r="44" spans="1:21" ht="24.95" customHeight="1" x14ac:dyDescent="0.25">
      <c r="A44" s="16">
        <v>5</v>
      </c>
      <c r="B44" s="16">
        <v>39</v>
      </c>
      <c r="C44" s="16" t="s">
        <v>244</v>
      </c>
      <c r="D44" s="80">
        <v>4.4999999999999997E-3</v>
      </c>
      <c r="E44" s="212">
        <v>872758.39</v>
      </c>
      <c r="F44" s="213">
        <f>E44</f>
        <v>872758.39</v>
      </c>
      <c r="G44" s="61">
        <f t="shared" si="0"/>
        <v>0</v>
      </c>
      <c r="H44" s="21">
        <f t="shared" si="11"/>
        <v>0</v>
      </c>
      <c r="I44" s="22">
        <f t="shared" si="18"/>
        <v>363041.83763999998</v>
      </c>
      <c r="J44" s="22">
        <f t="shared" si="13"/>
        <v>0</v>
      </c>
      <c r="K44" s="22">
        <f t="shared" si="7"/>
        <v>185936.29261027643</v>
      </c>
      <c r="L44" s="22">
        <f t="shared" si="8"/>
        <v>202702.7028</v>
      </c>
      <c r="M44" s="74">
        <v>0</v>
      </c>
      <c r="N44" s="74">
        <v>0</v>
      </c>
      <c r="O44" s="207">
        <v>0</v>
      </c>
      <c r="P44" s="398">
        <f t="shared" si="14"/>
        <v>751681.39</v>
      </c>
      <c r="Q44" s="398"/>
      <c r="R44" s="265">
        <f t="shared" si="15"/>
        <v>774480.39</v>
      </c>
      <c r="S44" s="13">
        <f t="shared" si="16"/>
        <v>0.39</v>
      </c>
      <c r="T44" s="1">
        <f t="shared" si="17"/>
        <v>39</v>
      </c>
      <c r="U44" t="s">
        <v>225</v>
      </c>
    </row>
    <row r="45" spans="1:21" ht="24.95" customHeight="1" x14ac:dyDescent="0.25">
      <c r="A45" s="16">
        <v>6</v>
      </c>
      <c r="B45" s="16">
        <v>40</v>
      </c>
      <c r="C45" s="16" t="s">
        <v>57</v>
      </c>
      <c r="D45" s="80">
        <v>4.4999999999999997E-3</v>
      </c>
      <c r="E45" s="212">
        <v>728593.4</v>
      </c>
      <c r="F45" s="213">
        <f>E45</f>
        <v>728593.4</v>
      </c>
      <c r="G45" s="61">
        <f t="shared" si="0"/>
        <v>0</v>
      </c>
      <c r="H45" s="21">
        <f t="shared" si="11"/>
        <v>0</v>
      </c>
      <c r="I45" s="22">
        <f t="shared" si="18"/>
        <v>363041.83763999998</v>
      </c>
      <c r="J45" s="22">
        <f t="shared" si="13"/>
        <v>0</v>
      </c>
      <c r="K45" s="22">
        <f t="shared" si="7"/>
        <v>185936.29261027643</v>
      </c>
      <c r="L45" s="22">
        <f t="shared" si="8"/>
        <v>202702.7028</v>
      </c>
      <c r="M45" s="74">
        <v>0</v>
      </c>
      <c r="N45" s="74">
        <v>0</v>
      </c>
      <c r="O45" s="207">
        <v>0</v>
      </c>
      <c r="P45" s="398">
        <f t="shared" si="14"/>
        <v>751681.4</v>
      </c>
      <c r="Q45" s="398"/>
      <c r="R45" s="265">
        <f t="shared" si="15"/>
        <v>774480.4</v>
      </c>
      <c r="S45" s="13">
        <f t="shared" si="16"/>
        <v>0.4</v>
      </c>
      <c r="T45" s="1">
        <f t="shared" si="17"/>
        <v>40</v>
      </c>
    </row>
    <row r="46" spans="1:21" ht="24.95" customHeight="1" x14ac:dyDescent="0.25">
      <c r="A46" s="16">
        <v>7</v>
      </c>
      <c r="B46" s="16">
        <v>41</v>
      </c>
      <c r="C46" s="16" t="s">
        <v>58</v>
      </c>
      <c r="D46" s="80">
        <v>4.4999999999999997E-3</v>
      </c>
      <c r="E46" s="212">
        <v>728882.41</v>
      </c>
      <c r="F46" s="97">
        <v>750989.41</v>
      </c>
      <c r="G46" s="61">
        <f t="shared" si="0"/>
        <v>-22107</v>
      </c>
      <c r="H46" s="21">
        <f t="shared" si="11"/>
        <v>0</v>
      </c>
      <c r="I46" s="22">
        <f t="shared" si="18"/>
        <v>363041.83763999998</v>
      </c>
      <c r="J46" s="22">
        <f t="shared" si="13"/>
        <v>0</v>
      </c>
      <c r="K46" s="22">
        <f t="shared" si="7"/>
        <v>185936.29261027643</v>
      </c>
      <c r="L46" s="22">
        <f t="shared" si="8"/>
        <v>202702.7028</v>
      </c>
      <c r="M46" s="74">
        <v>0</v>
      </c>
      <c r="N46" s="74">
        <v>0</v>
      </c>
      <c r="O46" s="207">
        <v>0</v>
      </c>
      <c r="P46" s="398">
        <f t="shared" si="14"/>
        <v>729574.41</v>
      </c>
      <c r="Q46" s="398"/>
      <c r="R46" s="265">
        <f t="shared" si="15"/>
        <v>751702.41</v>
      </c>
      <c r="S46" s="13">
        <f t="shared" si="16"/>
        <v>0.41</v>
      </c>
      <c r="T46" s="1">
        <f t="shared" si="17"/>
        <v>41</v>
      </c>
      <c r="U46" s="65" t="s">
        <v>218</v>
      </c>
    </row>
    <row r="47" spans="1:21" ht="24.95" customHeight="1" x14ac:dyDescent="0.25">
      <c r="A47" s="179">
        <v>8</v>
      </c>
      <c r="B47" s="16">
        <v>42</v>
      </c>
      <c r="C47" s="16" t="s">
        <v>59</v>
      </c>
      <c r="D47" s="80">
        <v>4.4999999999999997E-3</v>
      </c>
      <c r="E47" s="212">
        <v>728882.42</v>
      </c>
      <c r="F47" s="97">
        <v>728883</v>
      </c>
      <c r="G47" s="61">
        <f t="shared" si="0"/>
        <v>-0.57999999995809048</v>
      </c>
      <c r="H47" s="21">
        <f t="shared" si="11"/>
        <v>0</v>
      </c>
      <c r="I47" s="22">
        <f t="shared" si="18"/>
        <v>363041.83763999998</v>
      </c>
      <c r="J47" s="22">
        <f t="shared" si="13"/>
        <v>0</v>
      </c>
      <c r="K47" s="22">
        <f t="shared" si="7"/>
        <v>185936.29261027643</v>
      </c>
      <c r="L47" s="22">
        <f t="shared" si="8"/>
        <v>202702.7028</v>
      </c>
      <c r="M47" s="74">
        <v>0</v>
      </c>
      <c r="N47" s="74">
        <v>0</v>
      </c>
      <c r="O47" s="207">
        <v>0</v>
      </c>
      <c r="P47" s="398">
        <f t="shared" si="14"/>
        <v>751680.42</v>
      </c>
      <c r="Q47" s="398"/>
      <c r="R47" s="265">
        <f t="shared" si="15"/>
        <v>774479.42</v>
      </c>
      <c r="S47" s="13">
        <f t="shared" si="16"/>
        <v>0.42</v>
      </c>
      <c r="T47" s="1">
        <f t="shared" si="17"/>
        <v>42</v>
      </c>
      <c r="U47" t="s">
        <v>282</v>
      </c>
    </row>
    <row r="48" spans="1:21" ht="24.95" customHeight="1" x14ac:dyDescent="0.25">
      <c r="A48" s="16">
        <v>1</v>
      </c>
      <c r="B48" s="16">
        <v>43</v>
      </c>
      <c r="C48" s="16" t="s">
        <v>60</v>
      </c>
      <c r="D48" s="80">
        <v>3.5999999999999999E-3</v>
      </c>
      <c r="E48" s="212">
        <v>679072.43</v>
      </c>
      <c r="F48" s="97">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207">
        <v>0</v>
      </c>
      <c r="P48" s="398">
        <f t="shared" si="14"/>
        <v>679072.43</v>
      </c>
      <c r="Q48" s="398"/>
      <c r="R48" s="265">
        <f t="shared" si="15"/>
        <v>699669.43</v>
      </c>
      <c r="S48" s="13">
        <f t="shared" si="16"/>
        <v>0.43</v>
      </c>
      <c r="T48" s="1">
        <f t="shared" si="17"/>
        <v>43</v>
      </c>
    </row>
    <row r="49" spans="1:21" ht="24.95" customHeight="1" x14ac:dyDescent="0.25">
      <c r="A49" s="16">
        <v>1</v>
      </c>
      <c r="B49" s="16">
        <v>44</v>
      </c>
      <c r="C49" s="16" t="s">
        <v>61</v>
      </c>
      <c r="D49" s="80">
        <v>4.1000000000000003E-3</v>
      </c>
      <c r="E49" s="212">
        <v>895905.44</v>
      </c>
      <c r="F49" s="97">
        <v>1000000</v>
      </c>
      <c r="G49" s="61">
        <f t="shared" si="0"/>
        <v>-104094.56000000006</v>
      </c>
      <c r="H49" s="21">
        <f t="shared" si="11"/>
        <v>0</v>
      </c>
      <c r="I49" s="22">
        <f t="shared" si="18"/>
        <v>330771.45207200001</v>
      </c>
      <c r="J49" s="22">
        <f t="shared" si="13"/>
        <v>0</v>
      </c>
      <c r="K49" s="22">
        <f t="shared" si="7"/>
        <v>185936.29261027643</v>
      </c>
      <c r="L49" s="22">
        <f t="shared" si="8"/>
        <v>202702.7028</v>
      </c>
      <c r="M49" s="74">
        <v>0</v>
      </c>
      <c r="N49" s="74">
        <v>0</v>
      </c>
      <c r="O49" s="207">
        <v>0</v>
      </c>
      <c r="P49" s="398">
        <f t="shared" si="14"/>
        <v>615316.43999999994</v>
      </c>
      <c r="Q49" s="398"/>
      <c r="R49" s="265">
        <f t="shared" si="15"/>
        <v>633979.43999999994</v>
      </c>
      <c r="S49" s="13">
        <f t="shared" si="16"/>
        <v>0.44</v>
      </c>
      <c r="T49" s="1">
        <f t="shared" si="17"/>
        <v>44</v>
      </c>
      <c r="U49" t="s">
        <v>304</v>
      </c>
    </row>
    <row r="50" spans="1:21" ht="24.95" customHeight="1" x14ac:dyDescent="0.25">
      <c r="A50" s="16">
        <v>2</v>
      </c>
      <c r="B50" s="16">
        <v>45</v>
      </c>
      <c r="C50" s="16" t="s">
        <v>62</v>
      </c>
      <c r="D50" s="80">
        <v>4.8999999999999998E-3</v>
      </c>
      <c r="E50" s="212">
        <v>1987415.45</v>
      </c>
      <c r="F50" s="97">
        <v>1600000.45</v>
      </c>
      <c r="G50" s="61">
        <f t="shared" si="0"/>
        <v>387415</v>
      </c>
      <c r="H50" s="21">
        <f t="shared" si="11"/>
        <v>11959.501050000001</v>
      </c>
      <c r="I50" s="22">
        <f t="shared" si="18"/>
        <v>395312.22320800001</v>
      </c>
      <c r="J50" s="22">
        <f t="shared" si="13"/>
        <v>0</v>
      </c>
      <c r="K50" s="22">
        <f t="shared" si="7"/>
        <v>185936.29261027643</v>
      </c>
      <c r="L50" s="22">
        <f t="shared" si="8"/>
        <v>202702.7028</v>
      </c>
      <c r="M50" s="74">
        <f>158125+79063</f>
        <v>237188</v>
      </c>
      <c r="N50" s="74">
        <f>I50</f>
        <v>395312.22320800001</v>
      </c>
      <c r="O50" s="207">
        <v>0</v>
      </c>
      <c r="P50" s="398">
        <f t="shared" si="14"/>
        <v>1815826.45</v>
      </c>
      <c r="Q50" s="398"/>
      <c r="R50" s="265">
        <f t="shared" si="15"/>
        <v>1870900.45</v>
      </c>
      <c r="S50" s="13">
        <f t="shared" si="16"/>
        <v>0.45</v>
      </c>
      <c r="T50" s="1">
        <f t="shared" si="17"/>
        <v>45</v>
      </c>
    </row>
    <row r="51" spans="1:21" ht="24.95" customHeight="1" x14ac:dyDescent="0.25">
      <c r="A51" s="16">
        <v>2</v>
      </c>
      <c r="B51" s="16">
        <v>46</v>
      </c>
      <c r="C51" s="16" t="s">
        <v>63</v>
      </c>
      <c r="D51" s="80">
        <v>3.8999999999999998E-3</v>
      </c>
      <c r="E51" s="212">
        <v>1451367.46</v>
      </c>
      <c r="F51" s="97">
        <v>725690.46</v>
      </c>
      <c r="G51" s="61">
        <f t="shared" si="0"/>
        <v>725677</v>
      </c>
      <c r="H51" s="21">
        <f t="shared" si="11"/>
        <v>22401.648990000002</v>
      </c>
      <c r="I51" s="22">
        <f t="shared" si="18"/>
        <v>314636.259288</v>
      </c>
      <c r="J51" s="22">
        <f t="shared" si="13"/>
        <v>0</v>
      </c>
      <c r="K51" s="22">
        <f t="shared" si="7"/>
        <v>185936.29261027643</v>
      </c>
      <c r="L51" s="22">
        <f t="shared" si="8"/>
        <v>202702.7028</v>
      </c>
      <c r="M51" s="74">
        <v>0</v>
      </c>
      <c r="N51" s="74">
        <v>0</v>
      </c>
      <c r="O51" s="207">
        <v>0</v>
      </c>
      <c r="P51" s="398">
        <f t="shared" si="14"/>
        <v>1451354.46</v>
      </c>
      <c r="Q51" s="398"/>
      <c r="R51" s="265">
        <f t="shared" si="15"/>
        <v>1495374.46</v>
      </c>
      <c r="S51" s="13">
        <f t="shared" si="16"/>
        <v>0.46</v>
      </c>
      <c r="T51" s="1">
        <f t="shared" si="17"/>
        <v>46</v>
      </c>
      <c r="U51" t="s">
        <v>192</v>
      </c>
    </row>
    <row r="52" spans="1:21" ht="24.95" customHeight="1" x14ac:dyDescent="0.25">
      <c r="A52" s="16">
        <v>3</v>
      </c>
      <c r="B52" s="16">
        <v>47</v>
      </c>
      <c r="C52" s="16" t="s">
        <v>64</v>
      </c>
      <c r="D52" s="80">
        <v>4.4999999999999997E-3</v>
      </c>
      <c r="E52" s="212">
        <v>3158183.47</v>
      </c>
      <c r="F52" s="213">
        <f>E52</f>
        <v>3158183.47</v>
      </c>
      <c r="G52" s="61">
        <f t="shared" si="0"/>
        <v>0</v>
      </c>
      <c r="H52" s="21">
        <f t="shared" si="11"/>
        <v>0</v>
      </c>
      <c r="I52" s="22">
        <f t="shared" si="18"/>
        <v>363041.83763999998</v>
      </c>
      <c r="J52" s="22">
        <f t="shared" si="13"/>
        <v>0</v>
      </c>
      <c r="K52" s="22">
        <f t="shared" si="7"/>
        <v>185936.29261027643</v>
      </c>
      <c r="L52" s="22">
        <f t="shared" si="8"/>
        <v>202702.7028</v>
      </c>
      <c r="M52" s="74">
        <v>0</v>
      </c>
      <c r="N52" s="74">
        <v>0</v>
      </c>
      <c r="O52" s="207">
        <v>0</v>
      </c>
      <c r="P52" s="398">
        <f t="shared" si="14"/>
        <v>751681.47</v>
      </c>
      <c r="Q52" s="398"/>
      <c r="R52" s="265">
        <f t="shared" si="15"/>
        <v>774480.47</v>
      </c>
      <c r="S52" s="13">
        <f t="shared" si="16"/>
        <v>0.47</v>
      </c>
      <c r="T52" s="1">
        <f t="shared" si="17"/>
        <v>47</v>
      </c>
      <c r="U52" t="s">
        <v>307</v>
      </c>
    </row>
    <row r="53" spans="1:21" ht="24.95" customHeight="1" x14ac:dyDescent="0.25">
      <c r="A53" s="16">
        <v>3</v>
      </c>
      <c r="B53" s="16">
        <v>48</v>
      </c>
      <c r="C53" s="16" t="s">
        <v>187</v>
      </c>
      <c r="D53" s="80">
        <v>4.4999999999999997E-3</v>
      </c>
      <c r="E53" s="212">
        <v>1159986.48</v>
      </c>
      <c r="F53" s="213">
        <f>E53</f>
        <v>1159986.48</v>
      </c>
      <c r="G53" s="61">
        <f t="shared" si="0"/>
        <v>0</v>
      </c>
      <c r="H53" s="21">
        <f t="shared" si="11"/>
        <v>0</v>
      </c>
      <c r="I53" s="22">
        <f t="shared" si="18"/>
        <v>363041.83763999998</v>
      </c>
      <c r="J53" s="22">
        <f t="shared" si="13"/>
        <v>0</v>
      </c>
      <c r="K53" s="22">
        <f t="shared" si="7"/>
        <v>185936.29261027643</v>
      </c>
      <c r="L53" s="22">
        <f t="shared" si="8"/>
        <v>202702.7028</v>
      </c>
      <c r="M53" s="74">
        <v>72609</v>
      </c>
      <c r="N53" s="74">
        <f>(I53)</f>
        <v>363041.83763999998</v>
      </c>
      <c r="O53" s="207">
        <v>0</v>
      </c>
      <c r="P53" s="398">
        <f t="shared" si="14"/>
        <v>1187332.48</v>
      </c>
      <c r="Q53" s="398"/>
      <c r="R53" s="265">
        <f t="shared" si="15"/>
        <v>1223344.48</v>
      </c>
      <c r="S53" s="13">
        <f t="shared" si="16"/>
        <v>0.48</v>
      </c>
      <c r="T53" s="1">
        <f t="shared" si="17"/>
        <v>48</v>
      </c>
      <c r="U53" s="12"/>
    </row>
    <row r="54" spans="1:21" ht="24.95" customHeight="1" x14ac:dyDescent="0.25">
      <c r="A54" s="16">
        <v>4</v>
      </c>
      <c r="B54" s="16">
        <v>49</v>
      </c>
      <c r="C54" s="16" t="s">
        <v>65</v>
      </c>
      <c r="D54" s="80">
        <v>4.4999999999999997E-3</v>
      </c>
      <c r="E54" s="212">
        <v>728882.49</v>
      </c>
      <c r="F54" s="97">
        <v>750989.49</v>
      </c>
      <c r="G54" s="61">
        <f t="shared" si="0"/>
        <v>-22107</v>
      </c>
      <c r="H54" s="21">
        <f t="shared" si="11"/>
        <v>0</v>
      </c>
      <c r="I54" s="22">
        <f t="shared" si="18"/>
        <v>363041.83763999998</v>
      </c>
      <c r="J54" s="22">
        <f t="shared" si="13"/>
        <v>0</v>
      </c>
      <c r="K54" s="22">
        <f t="shared" si="7"/>
        <v>185936.29261027643</v>
      </c>
      <c r="L54" s="22">
        <f t="shared" si="8"/>
        <v>202702.7028</v>
      </c>
      <c r="M54" s="74">
        <v>0</v>
      </c>
      <c r="N54" s="74">
        <v>0</v>
      </c>
      <c r="O54" s="207">
        <v>0</v>
      </c>
      <c r="P54" s="398">
        <f t="shared" si="14"/>
        <v>729574.49</v>
      </c>
      <c r="Q54" s="398"/>
      <c r="R54" s="265">
        <f t="shared" si="15"/>
        <v>751702.49</v>
      </c>
      <c r="S54" s="13">
        <f t="shared" si="16"/>
        <v>0.49</v>
      </c>
      <c r="T54" s="1">
        <f t="shared" si="17"/>
        <v>49</v>
      </c>
      <c r="U54" t="s">
        <v>208</v>
      </c>
    </row>
    <row r="55" spans="1:21" ht="24.95" customHeight="1" x14ac:dyDescent="0.25">
      <c r="A55" s="16">
        <v>4</v>
      </c>
      <c r="B55" s="16">
        <v>50</v>
      </c>
      <c r="C55" s="16" t="s">
        <v>66</v>
      </c>
      <c r="D55" s="80">
        <v>4.4999999999999997E-3</v>
      </c>
      <c r="E55" s="212">
        <v>728882.5</v>
      </c>
      <c r="F55" s="213">
        <f>E55</f>
        <v>728882.5</v>
      </c>
      <c r="G55" s="61">
        <f t="shared" si="0"/>
        <v>0</v>
      </c>
      <c r="H55" s="21">
        <f t="shared" si="11"/>
        <v>0</v>
      </c>
      <c r="I55" s="22">
        <f t="shared" si="18"/>
        <v>363041.83763999998</v>
      </c>
      <c r="J55" s="22">
        <f t="shared" si="13"/>
        <v>0</v>
      </c>
      <c r="K55" s="22">
        <f t="shared" si="7"/>
        <v>185936.29261027643</v>
      </c>
      <c r="L55" s="22">
        <f t="shared" si="8"/>
        <v>202702.7028</v>
      </c>
      <c r="M55" s="74">
        <v>0</v>
      </c>
      <c r="N55" s="74">
        <v>0</v>
      </c>
      <c r="O55" s="207">
        <v>0</v>
      </c>
      <c r="P55" s="398">
        <f t="shared" si="14"/>
        <v>751681.5</v>
      </c>
      <c r="Q55" s="398"/>
      <c r="R55" s="265">
        <f t="shared" si="15"/>
        <v>774480.5</v>
      </c>
      <c r="S55" s="13">
        <f t="shared" si="16"/>
        <v>0.5</v>
      </c>
      <c r="T55" s="1">
        <f t="shared" si="17"/>
        <v>50</v>
      </c>
      <c r="U55" t="s">
        <v>310</v>
      </c>
    </row>
    <row r="56" spans="1:21" ht="24.95" customHeight="1" x14ac:dyDescent="0.25">
      <c r="A56" s="16">
        <v>5</v>
      </c>
      <c r="B56" s="16">
        <v>51</v>
      </c>
      <c r="C56" s="16" t="s">
        <v>67</v>
      </c>
      <c r="D56" s="80">
        <v>4.4999999999999997E-3</v>
      </c>
      <c r="E56" s="212">
        <v>2245180.5099999998</v>
      </c>
      <c r="F56" s="97"/>
      <c r="G56" s="61">
        <f t="shared" si="0"/>
        <v>2245180.5099999998</v>
      </c>
      <c r="H56" s="21">
        <f t="shared" si="11"/>
        <v>69308.722343699992</v>
      </c>
      <c r="I56" s="22">
        <f t="shared" si="18"/>
        <v>363041.83763999998</v>
      </c>
      <c r="J56" s="22">
        <f t="shared" si="13"/>
        <v>0</v>
      </c>
      <c r="K56" s="22">
        <f t="shared" si="7"/>
        <v>185936.29261027643</v>
      </c>
      <c r="L56" s="22">
        <f t="shared" si="8"/>
        <v>202702.7028</v>
      </c>
      <c r="M56" s="74">
        <v>72609</v>
      </c>
      <c r="N56" s="74">
        <f>(I56)</f>
        <v>363041.83763999998</v>
      </c>
      <c r="O56" s="342">
        <f>1780*400</f>
        <v>712000</v>
      </c>
      <c r="P56" s="398">
        <f t="shared" si="14"/>
        <v>4213821.51</v>
      </c>
      <c r="Q56" s="398"/>
      <c r="R56" s="265">
        <f t="shared" si="15"/>
        <v>4341627.51</v>
      </c>
      <c r="S56" s="13">
        <f t="shared" si="16"/>
        <v>0.51</v>
      </c>
      <c r="T56" s="1">
        <f t="shared" si="17"/>
        <v>51</v>
      </c>
      <c r="U56" t="s">
        <v>252</v>
      </c>
    </row>
    <row r="57" spans="1:21" ht="24.95" customHeight="1" x14ac:dyDescent="0.25">
      <c r="A57" s="16">
        <v>5</v>
      </c>
      <c r="B57" s="16">
        <v>52</v>
      </c>
      <c r="C57" s="16" t="s">
        <v>68</v>
      </c>
      <c r="D57" s="80">
        <v>4.5999999999999999E-3</v>
      </c>
      <c r="E57" s="212">
        <v>712950.52</v>
      </c>
      <c r="F57" s="213">
        <f>E57</f>
        <v>712950.52</v>
      </c>
      <c r="G57" s="62">
        <f t="shared" si="0"/>
        <v>0</v>
      </c>
      <c r="H57" s="21">
        <f t="shared" si="11"/>
        <v>0</v>
      </c>
      <c r="I57" s="22">
        <f t="shared" si="18"/>
        <v>371109.43403200002</v>
      </c>
      <c r="J57" s="22">
        <f t="shared" si="13"/>
        <v>0</v>
      </c>
      <c r="K57" s="22">
        <f t="shared" si="7"/>
        <v>185936.29261027643</v>
      </c>
      <c r="L57" s="22">
        <f t="shared" si="8"/>
        <v>202702.7028</v>
      </c>
      <c r="M57" s="74">
        <v>0</v>
      </c>
      <c r="N57" s="74">
        <v>0</v>
      </c>
      <c r="O57" s="342">
        <f>1780*100</f>
        <v>178000</v>
      </c>
      <c r="P57" s="398">
        <f t="shared" si="14"/>
        <v>937748.52</v>
      </c>
      <c r="Q57" s="398"/>
      <c r="R57" s="265">
        <f t="shared" si="15"/>
        <v>966190.52</v>
      </c>
      <c r="S57" s="13">
        <f t="shared" si="16"/>
        <v>0.52</v>
      </c>
      <c r="T57" s="1">
        <f t="shared" si="17"/>
        <v>52</v>
      </c>
      <c r="U57" t="s">
        <v>481</v>
      </c>
    </row>
    <row r="58" spans="1:21" ht="24.95" customHeight="1" x14ac:dyDescent="0.25">
      <c r="A58" s="174">
        <v>6</v>
      </c>
      <c r="B58" s="16">
        <v>53</v>
      </c>
      <c r="C58" s="16" t="s">
        <v>69</v>
      </c>
      <c r="D58" s="80">
        <v>4.4999999999999997E-3</v>
      </c>
      <c r="E58" s="212">
        <v>3399941.53</v>
      </c>
      <c r="F58" s="97">
        <v>2757000</v>
      </c>
      <c r="G58" s="61">
        <f t="shared" si="0"/>
        <v>642941.5299999998</v>
      </c>
      <c r="H58" s="21">
        <f t="shared" si="11"/>
        <v>19847.605031099996</v>
      </c>
      <c r="I58" s="22">
        <f t="shared" si="18"/>
        <v>363041.83763999998</v>
      </c>
      <c r="J58" s="22">
        <f t="shared" si="13"/>
        <v>0</v>
      </c>
      <c r="K58" s="22">
        <f t="shared" si="7"/>
        <v>185936.29261027643</v>
      </c>
      <c r="L58" s="22">
        <f t="shared" si="8"/>
        <v>202702.7028</v>
      </c>
      <c r="M58" s="74">
        <v>0</v>
      </c>
      <c r="N58" s="74">
        <v>0</v>
      </c>
      <c r="O58" s="207">
        <v>0</v>
      </c>
      <c r="P58" s="398">
        <f t="shared" si="14"/>
        <v>1414470.53</v>
      </c>
      <c r="Q58" s="398"/>
      <c r="R58" s="265">
        <f t="shared" si="15"/>
        <v>1457371.53</v>
      </c>
      <c r="S58" s="13">
        <f t="shared" si="16"/>
        <v>0.53</v>
      </c>
      <c r="T58" s="1">
        <f t="shared" si="17"/>
        <v>53</v>
      </c>
    </row>
    <row r="59" spans="1:21" ht="24.95" customHeight="1" x14ac:dyDescent="0.25">
      <c r="A59" s="16">
        <v>6</v>
      </c>
      <c r="B59" s="16">
        <v>54</v>
      </c>
      <c r="C59" s="16" t="s">
        <v>70</v>
      </c>
      <c r="D59" s="80">
        <v>4.4999999999999997E-3</v>
      </c>
      <c r="E59" s="212">
        <v>751681.54</v>
      </c>
      <c r="F59" s="97">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207">
        <v>0</v>
      </c>
      <c r="P59" s="398">
        <f t="shared" si="14"/>
        <v>751681.54</v>
      </c>
      <c r="Q59" s="398"/>
      <c r="R59" s="265">
        <f t="shared" si="15"/>
        <v>774480.54</v>
      </c>
      <c r="S59" s="13">
        <f t="shared" si="16"/>
        <v>0.54</v>
      </c>
      <c r="T59" s="1">
        <f t="shared" si="17"/>
        <v>54</v>
      </c>
      <c r="U59" t="s">
        <v>206</v>
      </c>
    </row>
    <row r="60" spans="1:21" ht="24.95" customHeight="1" x14ac:dyDescent="0.25">
      <c r="A60" s="16">
        <v>7</v>
      </c>
      <c r="B60" s="16">
        <v>55</v>
      </c>
      <c r="C60" s="16" t="s">
        <v>71</v>
      </c>
      <c r="D60" s="80">
        <v>4.4999999999999997E-3</v>
      </c>
      <c r="E60" s="212">
        <v>728882.55</v>
      </c>
      <c r="F60" s="213">
        <v>750990.55</v>
      </c>
      <c r="G60" s="61">
        <f t="shared" si="0"/>
        <v>-22108</v>
      </c>
      <c r="H60" s="21">
        <f t="shared" si="11"/>
        <v>0</v>
      </c>
      <c r="I60" s="22">
        <f t="shared" si="18"/>
        <v>363041.83763999998</v>
      </c>
      <c r="J60" s="22">
        <f t="shared" si="13"/>
        <v>0</v>
      </c>
      <c r="K60" s="22">
        <f t="shared" si="7"/>
        <v>185936.29261027643</v>
      </c>
      <c r="L60" s="22">
        <f t="shared" si="8"/>
        <v>202702.7028</v>
      </c>
      <c r="M60" s="74">
        <v>0</v>
      </c>
      <c r="N60" s="74">
        <v>0</v>
      </c>
      <c r="O60" s="207">
        <v>0</v>
      </c>
      <c r="P60" s="398">
        <f t="shared" si="14"/>
        <v>729573.55</v>
      </c>
      <c r="Q60" s="398"/>
      <c r="R60" s="265">
        <f t="shared" si="15"/>
        <v>751702.55</v>
      </c>
      <c r="S60" s="13">
        <f t="shared" si="16"/>
        <v>0.55000000000000004</v>
      </c>
      <c r="T60" s="1">
        <f t="shared" si="17"/>
        <v>55</v>
      </c>
      <c r="U60" t="s">
        <v>266</v>
      </c>
    </row>
    <row r="61" spans="1:21" ht="24.95" customHeight="1" x14ac:dyDescent="0.25">
      <c r="A61" s="16">
        <v>7</v>
      </c>
      <c r="B61" s="16">
        <v>56</v>
      </c>
      <c r="C61" s="16" t="s">
        <v>72</v>
      </c>
      <c r="D61" s="80">
        <v>4.4999999999999997E-3</v>
      </c>
      <c r="E61" s="212">
        <v>1225512.56</v>
      </c>
      <c r="F61" s="213">
        <f>E61</f>
        <v>1225512.56</v>
      </c>
      <c r="G61" s="61">
        <f t="shared" si="0"/>
        <v>0</v>
      </c>
      <c r="H61" s="21">
        <f t="shared" si="11"/>
        <v>0</v>
      </c>
      <c r="I61" s="22">
        <f t="shared" si="18"/>
        <v>363041.83763999998</v>
      </c>
      <c r="J61" s="22">
        <f t="shared" si="13"/>
        <v>0</v>
      </c>
      <c r="K61" s="22">
        <f t="shared" si="7"/>
        <v>185936.29261027643</v>
      </c>
      <c r="L61" s="22">
        <f t="shared" si="8"/>
        <v>202702.7028</v>
      </c>
      <c r="M61" s="74">
        <v>72609</v>
      </c>
      <c r="N61" s="74">
        <f>(I61)</f>
        <v>363041.83763999998</v>
      </c>
      <c r="O61" s="207">
        <v>0</v>
      </c>
      <c r="P61" s="398">
        <f t="shared" si="14"/>
        <v>1187332.56</v>
      </c>
      <c r="Q61" s="398"/>
      <c r="R61" s="265">
        <f t="shared" si="15"/>
        <v>1223344.56</v>
      </c>
      <c r="S61" s="13">
        <f t="shared" si="16"/>
        <v>0.56000000000000005</v>
      </c>
      <c r="T61" s="1">
        <f t="shared" si="17"/>
        <v>56</v>
      </c>
      <c r="U61" t="s">
        <v>196</v>
      </c>
    </row>
    <row r="62" spans="1:21" ht="24.95" customHeight="1" x14ac:dyDescent="0.25">
      <c r="A62" s="16">
        <v>8</v>
      </c>
      <c r="B62" s="16">
        <v>57</v>
      </c>
      <c r="C62" s="16" t="s">
        <v>73</v>
      </c>
      <c r="D62" s="80">
        <v>4.4999999999999997E-3</v>
      </c>
      <c r="E62" s="212">
        <v>1526567.57</v>
      </c>
      <c r="F62" s="213">
        <f>E62</f>
        <v>1526567.57</v>
      </c>
      <c r="G62" s="61">
        <f t="shared" si="0"/>
        <v>0</v>
      </c>
      <c r="H62" s="21">
        <f t="shared" si="11"/>
        <v>0</v>
      </c>
      <c r="I62" s="22">
        <f t="shared" si="18"/>
        <v>363041.83763999998</v>
      </c>
      <c r="J62" s="22">
        <f t="shared" si="13"/>
        <v>0</v>
      </c>
      <c r="K62" s="22">
        <f t="shared" si="7"/>
        <v>185936.29261027643</v>
      </c>
      <c r="L62" s="22">
        <f t="shared" si="8"/>
        <v>202702.7028</v>
      </c>
      <c r="M62" s="74">
        <v>0</v>
      </c>
      <c r="N62" s="74">
        <v>0</v>
      </c>
      <c r="O62" s="207">
        <v>0</v>
      </c>
      <c r="P62" s="398">
        <f t="shared" si="14"/>
        <v>751681.57</v>
      </c>
      <c r="Q62" s="398"/>
      <c r="R62" s="265">
        <f t="shared" si="15"/>
        <v>774480.57</v>
      </c>
      <c r="S62" s="13">
        <f t="shared" si="16"/>
        <v>0.56999999999999995</v>
      </c>
      <c r="T62" s="1">
        <f t="shared" si="17"/>
        <v>57</v>
      </c>
    </row>
    <row r="63" spans="1:21" ht="24.95" customHeight="1" x14ac:dyDescent="0.25">
      <c r="A63" s="16">
        <v>8</v>
      </c>
      <c r="B63" s="16">
        <v>58</v>
      </c>
      <c r="C63" s="16" t="s">
        <v>43</v>
      </c>
      <c r="D63" s="80">
        <v>4.4999999999999997E-3</v>
      </c>
      <c r="E63" s="212">
        <v>728882.58</v>
      </c>
      <c r="F63" s="213">
        <v>750990.58</v>
      </c>
      <c r="G63" s="61">
        <f t="shared" si="0"/>
        <v>-22108</v>
      </c>
      <c r="H63" s="21">
        <f t="shared" si="11"/>
        <v>0</v>
      </c>
      <c r="I63" s="22">
        <f t="shared" si="18"/>
        <v>363041.83763999998</v>
      </c>
      <c r="J63" s="22">
        <f t="shared" si="13"/>
        <v>0</v>
      </c>
      <c r="K63" s="22">
        <f t="shared" si="7"/>
        <v>185936.29261027643</v>
      </c>
      <c r="L63" s="22">
        <f t="shared" si="8"/>
        <v>202702.7028</v>
      </c>
      <c r="M63" s="74">
        <v>0</v>
      </c>
      <c r="N63" s="74">
        <v>0</v>
      </c>
      <c r="O63" s="207">
        <v>0</v>
      </c>
      <c r="P63" s="398">
        <f t="shared" si="14"/>
        <v>729573.58</v>
      </c>
      <c r="Q63" s="398"/>
      <c r="R63" s="265">
        <f t="shared" si="15"/>
        <v>751702.58</v>
      </c>
      <c r="S63" s="13">
        <f t="shared" si="16"/>
        <v>0.57999999999999996</v>
      </c>
      <c r="T63" s="1">
        <f t="shared" si="17"/>
        <v>58</v>
      </c>
    </row>
    <row r="64" spans="1:21" ht="24.95" customHeight="1" x14ac:dyDescent="0.25">
      <c r="A64" s="248">
        <v>9</v>
      </c>
      <c r="B64" s="16">
        <v>59</v>
      </c>
      <c r="C64" s="16" t="s">
        <v>74</v>
      </c>
      <c r="D64" s="80">
        <v>4.1000000000000003E-3</v>
      </c>
      <c r="E64" s="212">
        <v>691468.59</v>
      </c>
      <c r="F64" s="97">
        <v>692000</v>
      </c>
      <c r="G64" s="61">
        <f t="shared" si="0"/>
        <v>-531.4100000000326</v>
      </c>
      <c r="H64" s="21">
        <f t="shared" si="11"/>
        <v>0</v>
      </c>
      <c r="I64" s="22">
        <f t="shared" si="18"/>
        <v>330771.45207200001</v>
      </c>
      <c r="J64" s="22">
        <f t="shared" si="13"/>
        <v>0</v>
      </c>
      <c r="K64" s="22">
        <f t="shared" si="7"/>
        <v>185936.29261027643</v>
      </c>
      <c r="L64" s="22">
        <f t="shared" si="8"/>
        <v>202702.7028</v>
      </c>
      <c r="M64" s="74">
        <v>0</v>
      </c>
      <c r="N64" s="74">
        <v>0</v>
      </c>
      <c r="O64" s="341">
        <f>1780*100</f>
        <v>178000</v>
      </c>
      <c r="P64" s="398">
        <f t="shared" si="14"/>
        <v>896879.59</v>
      </c>
      <c r="Q64" s="398"/>
      <c r="R64" s="265">
        <f t="shared" si="15"/>
        <v>924082.59</v>
      </c>
      <c r="S64" s="13">
        <f t="shared" si="16"/>
        <v>0.59</v>
      </c>
      <c r="T64" s="1">
        <f t="shared" si="17"/>
        <v>59</v>
      </c>
      <c r="U64" t="s">
        <v>267</v>
      </c>
    </row>
    <row r="65" spans="1:21" ht="24.95" customHeight="1" x14ac:dyDescent="0.25">
      <c r="A65" s="177">
        <v>9</v>
      </c>
      <c r="B65" s="16">
        <v>60</v>
      </c>
      <c r="C65" s="16" t="s">
        <v>75</v>
      </c>
      <c r="D65" s="80">
        <v>4.4999999999999997E-3</v>
      </c>
      <c r="E65" s="212">
        <v>750827.6</v>
      </c>
      <c r="F65" s="97">
        <v>751000</v>
      </c>
      <c r="G65" s="61">
        <f>E65-F65</f>
        <v>-172.40000000002328</v>
      </c>
      <c r="H65" s="21">
        <f t="shared" si="11"/>
        <v>0</v>
      </c>
      <c r="I65" s="22">
        <f t="shared" si="18"/>
        <v>363041.83763999998</v>
      </c>
      <c r="J65" s="22">
        <f t="shared" si="13"/>
        <v>0</v>
      </c>
      <c r="K65" s="22">
        <f t="shared" si="7"/>
        <v>185936.29261027643</v>
      </c>
      <c r="L65" s="22">
        <f t="shared" si="8"/>
        <v>202702.7028</v>
      </c>
      <c r="M65" s="74">
        <v>0</v>
      </c>
      <c r="N65" s="74">
        <v>0</v>
      </c>
      <c r="O65" s="207">
        <v>0</v>
      </c>
      <c r="P65" s="398">
        <f t="shared" si="14"/>
        <v>751508.6</v>
      </c>
      <c r="Q65" s="398"/>
      <c r="R65" s="265">
        <f t="shared" si="15"/>
        <v>774302.6</v>
      </c>
      <c r="S65" s="13">
        <f t="shared" si="16"/>
        <v>0.6</v>
      </c>
      <c r="T65" s="1">
        <f t="shared" si="17"/>
        <v>60</v>
      </c>
      <c r="U65" t="s">
        <v>215</v>
      </c>
    </row>
    <row r="66" spans="1:21" ht="24.95" customHeight="1" x14ac:dyDescent="0.25">
      <c r="A66" s="179">
        <v>10</v>
      </c>
      <c r="B66" s="16">
        <v>61</v>
      </c>
      <c r="C66" s="16" t="s">
        <v>76</v>
      </c>
      <c r="D66" s="80">
        <v>4.4999999999999997E-3</v>
      </c>
      <c r="E66" s="212">
        <v>751038.61</v>
      </c>
      <c r="F66" s="97">
        <v>751100</v>
      </c>
      <c r="G66" s="61">
        <f t="shared" si="0"/>
        <v>-61.39000000001397</v>
      </c>
      <c r="H66" s="21">
        <f t="shared" si="11"/>
        <v>0</v>
      </c>
      <c r="I66" s="22">
        <f t="shared" si="18"/>
        <v>363041.83763999998</v>
      </c>
      <c r="J66" s="22">
        <f t="shared" si="13"/>
        <v>0</v>
      </c>
      <c r="K66" s="22">
        <f t="shared" si="7"/>
        <v>185936.29261027643</v>
      </c>
      <c r="L66" s="22">
        <f t="shared" si="8"/>
        <v>202702.7028</v>
      </c>
      <c r="M66" s="74">
        <v>0</v>
      </c>
      <c r="N66" s="74">
        <v>0</v>
      </c>
      <c r="O66" s="207">
        <v>0</v>
      </c>
      <c r="P66" s="398">
        <f t="shared" si="14"/>
        <v>751619.61</v>
      </c>
      <c r="Q66" s="398"/>
      <c r="R66" s="265">
        <f t="shared" si="15"/>
        <v>774416.61</v>
      </c>
      <c r="S66" s="13">
        <f t="shared" si="16"/>
        <v>0.61</v>
      </c>
      <c r="T66" s="1">
        <f t="shared" si="17"/>
        <v>61</v>
      </c>
      <c r="U66" s="65" t="s">
        <v>214</v>
      </c>
    </row>
    <row r="67" spans="1:21" ht="24.95" customHeight="1" x14ac:dyDescent="0.25">
      <c r="A67" s="16">
        <v>10</v>
      </c>
      <c r="B67" s="16">
        <v>62</v>
      </c>
      <c r="C67" s="16" t="s">
        <v>77</v>
      </c>
      <c r="D67" s="80">
        <v>4.1000000000000003E-3</v>
      </c>
      <c r="E67" s="212">
        <v>921295.62</v>
      </c>
      <c r="F67" s="97">
        <f>949238.62</f>
        <v>949238.62</v>
      </c>
      <c r="G67" s="61">
        <f t="shared" si="0"/>
        <v>-27943</v>
      </c>
      <c r="H67" s="21">
        <f t="shared" si="11"/>
        <v>0</v>
      </c>
      <c r="I67" s="22">
        <f t="shared" si="18"/>
        <v>330771.45207200001</v>
      </c>
      <c r="J67" s="22">
        <f t="shared" si="13"/>
        <v>0</v>
      </c>
      <c r="K67" s="22">
        <f t="shared" si="7"/>
        <v>185936.29261027643</v>
      </c>
      <c r="L67" s="22">
        <f t="shared" si="8"/>
        <v>202702.7028</v>
      </c>
      <c r="M67" s="74">
        <v>66155</v>
      </c>
      <c r="N67" s="74">
        <f>I67</f>
        <v>330771.45207200001</v>
      </c>
      <c r="O67" s="343">
        <v>97321.42</v>
      </c>
      <c r="P67" s="398">
        <f t="shared" si="14"/>
        <v>1185715.6200000001</v>
      </c>
      <c r="Q67" s="398"/>
      <c r="R67" s="265">
        <f t="shared" si="15"/>
        <v>1221678.6200000001</v>
      </c>
      <c r="S67" s="13">
        <f t="shared" si="16"/>
        <v>0.62</v>
      </c>
      <c r="T67" s="1">
        <f t="shared" si="17"/>
        <v>62</v>
      </c>
    </row>
    <row r="68" spans="1:21" ht="24.95" customHeight="1" x14ac:dyDescent="0.25">
      <c r="A68" s="16">
        <v>11</v>
      </c>
      <c r="B68" s="16">
        <v>63</v>
      </c>
      <c r="C68" s="16" t="s">
        <v>78</v>
      </c>
      <c r="D68" s="80">
        <v>4.4999999999999997E-3</v>
      </c>
      <c r="E68" s="212">
        <v>751681.63</v>
      </c>
      <c r="F68" s="97">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207">
        <v>0</v>
      </c>
      <c r="P68" s="398">
        <f t="shared" si="14"/>
        <v>751681.63</v>
      </c>
      <c r="Q68" s="398"/>
      <c r="R68" s="265">
        <f t="shared" si="15"/>
        <v>774480.63</v>
      </c>
      <c r="S68" s="13">
        <f t="shared" si="16"/>
        <v>0.63</v>
      </c>
      <c r="T68" s="1">
        <f t="shared" si="17"/>
        <v>63</v>
      </c>
      <c r="U68" t="s">
        <v>199</v>
      </c>
    </row>
    <row r="69" spans="1:21" ht="24.95" customHeight="1" x14ac:dyDescent="0.25">
      <c r="A69" s="16">
        <v>11</v>
      </c>
      <c r="B69" s="16">
        <v>64</v>
      </c>
      <c r="C69" s="16" t="s">
        <v>79</v>
      </c>
      <c r="D69" s="80">
        <v>4.4999999999999997E-3</v>
      </c>
      <c r="E69" s="212">
        <v>706943.64</v>
      </c>
      <c r="F69" s="97"/>
      <c r="G69" s="61">
        <f t="shared" si="0"/>
        <v>706943.64</v>
      </c>
      <c r="H69" s="21">
        <f t="shared" si="11"/>
        <v>21823.350166800003</v>
      </c>
      <c r="I69" s="22">
        <f t="shared" si="18"/>
        <v>363041.83763999998</v>
      </c>
      <c r="J69" s="22">
        <f t="shared" si="13"/>
        <v>0</v>
      </c>
      <c r="K69" s="22">
        <f t="shared" si="7"/>
        <v>185936.29261027643</v>
      </c>
      <c r="L69" s="22">
        <f t="shared" si="8"/>
        <v>202702.7028</v>
      </c>
      <c r="M69" s="74">
        <v>0</v>
      </c>
      <c r="N69" s="74">
        <v>0</v>
      </c>
      <c r="O69" s="207">
        <v>0</v>
      </c>
      <c r="P69" s="398">
        <f t="shared" si="14"/>
        <v>1480448.64</v>
      </c>
      <c r="Q69" s="398"/>
      <c r="R69" s="265">
        <f t="shared" si="15"/>
        <v>1525351.64</v>
      </c>
      <c r="S69" s="13">
        <f t="shared" si="16"/>
        <v>0.64</v>
      </c>
      <c r="T69" s="1">
        <f t="shared" si="17"/>
        <v>64</v>
      </c>
      <c r="U69" t="s">
        <v>227</v>
      </c>
    </row>
    <row r="70" spans="1:21" ht="24.95" customHeight="1" x14ac:dyDescent="0.25">
      <c r="A70" s="16">
        <v>12</v>
      </c>
      <c r="B70" s="16">
        <v>65</v>
      </c>
      <c r="C70" s="16" t="s">
        <v>80</v>
      </c>
      <c r="D70" s="80">
        <v>4.4999999999999997E-3</v>
      </c>
      <c r="E70" s="212">
        <v>751681.65</v>
      </c>
      <c r="F70" s="97">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207">
        <v>0</v>
      </c>
      <c r="P70" s="398">
        <f t="shared" ref="P70:P101" si="22">ROUND(SUM(G70:O70),0) + S70</f>
        <v>751681.65</v>
      </c>
      <c r="Q70" s="398"/>
      <c r="R70" s="265">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80">
        <v>4.4999999999999997E-3</v>
      </c>
      <c r="E71" s="212">
        <v>728882.66</v>
      </c>
      <c r="F71" s="97">
        <v>750990.66</v>
      </c>
      <c r="G71" s="61">
        <f t="shared" si="20"/>
        <v>-22108</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207">
        <v>0</v>
      </c>
      <c r="P71" s="398">
        <f t="shared" si="22"/>
        <v>729573.66</v>
      </c>
      <c r="Q71" s="398"/>
      <c r="R71" s="265">
        <f t="shared" si="23"/>
        <v>751702.66</v>
      </c>
      <c r="S71" s="13">
        <f t="shared" si="24"/>
        <v>0.66</v>
      </c>
      <c r="T71" s="1">
        <f t="shared" si="25"/>
        <v>66</v>
      </c>
      <c r="U71" t="s">
        <v>254</v>
      </c>
    </row>
    <row r="72" spans="1:21" ht="24.95" customHeight="1" x14ac:dyDescent="0.25">
      <c r="A72" s="16">
        <v>1</v>
      </c>
      <c r="B72" s="16">
        <v>67</v>
      </c>
      <c r="C72" s="16" t="s">
        <v>82</v>
      </c>
      <c r="D72" s="80">
        <v>4.4999999999999997E-3</v>
      </c>
      <c r="E72" s="212">
        <v>1564323.67</v>
      </c>
      <c r="F72" s="97">
        <v>1518300</v>
      </c>
      <c r="G72" s="61">
        <f t="shared" si="20"/>
        <v>46023.669999999925</v>
      </c>
      <c r="H72" s="21">
        <f t="shared" ref="H72:H135" si="28">IF(G72&gt;0,G72*3.087%,0)</f>
        <v>1420.7506928999978</v>
      </c>
      <c r="I72" s="22">
        <f t="shared" si="18"/>
        <v>363041.83763999998</v>
      </c>
      <c r="J72" s="22">
        <f t="shared" si="21"/>
        <v>0</v>
      </c>
      <c r="K72" s="22">
        <f t="shared" si="26"/>
        <v>185936.29261027643</v>
      </c>
      <c r="L72" s="22">
        <f t="shared" si="27"/>
        <v>202702.7028</v>
      </c>
      <c r="M72" s="74">
        <v>0</v>
      </c>
      <c r="N72" s="74">
        <v>0</v>
      </c>
      <c r="O72" s="207">
        <v>0</v>
      </c>
      <c r="P72" s="398">
        <f t="shared" si="22"/>
        <v>799125.67</v>
      </c>
      <c r="Q72" s="398"/>
      <c r="R72" s="265">
        <f t="shared" si="23"/>
        <v>823363.67</v>
      </c>
      <c r="S72" s="13">
        <f t="shared" si="24"/>
        <v>0.67</v>
      </c>
      <c r="T72" s="1">
        <f t="shared" si="25"/>
        <v>67</v>
      </c>
      <c r="U72" t="s">
        <v>270</v>
      </c>
    </row>
    <row r="73" spans="1:21" ht="24.95" customHeight="1" x14ac:dyDescent="0.25">
      <c r="A73" s="179"/>
      <c r="B73" s="16">
        <f>B72+1</f>
        <v>68</v>
      </c>
      <c r="C73" s="16" t="s">
        <v>86</v>
      </c>
      <c r="D73" s="80">
        <v>4.4999999999999997E-3</v>
      </c>
      <c r="E73" s="212">
        <v>4559265.68</v>
      </c>
      <c r="F73" s="97">
        <v>4560000</v>
      </c>
      <c r="G73" s="61">
        <f t="shared" si="20"/>
        <v>-734.32000000029802</v>
      </c>
      <c r="H73" s="21">
        <f t="shared" si="28"/>
        <v>0</v>
      </c>
      <c r="I73" s="22">
        <f t="shared" si="18"/>
        <v>363041.83763999998</v>
      </c>
      <c r="J73" s="22">
        <f t="shared" si="21"/>
        <v>0</v>
      </c>
      <c r="K73" s="22">
        <f t="shared" si="26"/>
        <v>185936.29261027643</v>
      </c>
      <c r="L73" s="22">
        <f t="shared" si="27"/>
        <v>202702.7028</v>
      </c>
      <c r="M73" s="74">
        <v>72609</v>
      </c>
      <c r="N73" s="74">
        <f>I73</f>
        <v>363041.83763999998</v>
      </c>
      <c r="O73" s="207">
        <v>0</v>
      </c>
      <c r="P73" s="398">
        <f t="shared" si="22"/>
        <v>1186597.68</v>
      </c>
      <c r="Q73" s="398"/>
      <c r="R73" s="265">
        <f t="shared" si="23"/>
        <v>1222587.68</v>
      </c>
      <c r="S73" s="13">
        <f t="shared" si="24"/>
        <v>0.68</v>
      </c>
      <c r="T73" s="1">
        <f t="shared" si="25"/>
        <v>68</v>
      </c>
    </row>
    <row r="74" spans="1:21" ht="24.95" customHeight="1" x14ac:dyDescent="0.25">
      <c r="A74" s="179"/>
      <c r="B74" s="16">
        <f t="shared" ref="B74:B137" si="29">B73+1</f>
        <v>69</v>
      </c>
      <c r="C74" s="16" t="s">
        <v>87</v>
      </c>
      <c r="D74" s="80">
        <v>3.5999999999999999E-3</v>
      </c>
      <c r="E74" s="212">
        <v>658475.68999999994</v>
      </c>
      <c r="F74" s="213">
        <f>E74</f>
        <v>658475.68999999994</v>
      </c>
      <c r="G74" s="61">
        <f t="shared" si="20"/>
        <v>0</v>
      </c>
      <c r="H74" s="21">
        <f t="shared" si="28"/>
        <v>0</v>
      </c>
      <c r="I74" s="22">
        <f t="shared" si="18"/>
        <v>290433.47011200001</v>
      </c>
      <c r="J74" s="22">
        <f t="shared" si="21"/>
        <v>0</v>
      </c>
      <c r="K74" s="22">
        <f t="shared" si="26"/>
        <v>185936.29261027643</v>
      </c>
      <c r="L74" s="22">
        <f t="shared" si="27"/>
        <v>202702.7028</v>
      </c>
      <c r="M74" s="74">
        <v>0</v>
      </c>
      <c r="N74" s="74">
        <v>0</v>
      </c>
      <c r="O74" s="207">
        <v>0</v>
      </c>
      <c r="P74" s="398">
        <f t="shared" si="22"/>
        <v>679072.69</v>
      </c>
      <c r="Q74" s="398"/>
      <c r="R74" s="265">
        <f t="shared" si="23"/>
        <v>699669.69</v>
      </c>
      <c r="S74" s="13">
        <f t="shared" si="24"/>
        <v>0.69</v>
      </c>
      <c r="T74" s="1">
        <f t="shared" si="25"/>
        <v>69</v>
      </c>
      <c r="U74" t="s">
        <v>212</v>
      </c>
    </row>
    <row r="75" spans="1:21" ht="24.95" customHeight="1" x14ac:dyDescent="0.25">
      <c r="A75" s="16"/>
      <c r="B75" s="16">
        <f t="shared" si="29"/>
        <v>70</v>
      </c>
      <c r="C75" s="16" t="s">
        <v>88</v>
      </c>
      <c r="D75" s="80">
        <v>4.4000000000000003E-3</v>
      </c>
      <c r="E75" s="212">
        <v>1372860.7</v>
      </c>
      <c r="F75" s="97"/>
      <c r="G75" s="61">
        <f t="shared" si="20"/>
        <v>1372860.7</v>
      </c>
      <c r="H75" s="21">
        <f t="shared" si="28"/>
        <v>42380.209809</v>
      </c>
      <c r="I75" s="22">
        <f t="shared" si="18"/>
        <v>354974.24124800001</v>
      </c>
      <c r="J75" s="22">
        <f t="shared" si="21"/>
        <v>0</v>
      </c>
      <c r="K75" s="22">
        <f t="shared" si="26"/>
        <v>185936.29261027643</v>
      </c>
      <c r="L75" s="22">
        <f t="shared" si="27"/>
        <v>202702.7028</v>
      </c>
      <c r="M75" s="74">
        <v>0</v>
      </c>
      <c r="N75" s="74">
        <v>0</v>
      </c>
      <c r="O75" s="207">
        <v>0</v>
      </c>
      <c r="P75" s="398">
        <f t="shared" si="22"/>
        <v>2158854.7000000002</v>
      </c>
      <c r="Q75" s="398"/>
      <c r="R75" s="265">
        <f t="shared" si="23"/>
        <v>2224333.7000000002</v>
      </c>
      <c r="S75" s="13">
        <f t="shared" si="24"/>
        <v>0.7</v>
      </c>
      <c r="T75" s="1">
        <f t="shared" si="25"/>
        <v>70</v>
      </c>
      <c r="U75" t="s">
        <v>257</v>
      </c>
    </row>
    <row r="76" spans="1:21" ht="24.95" customHeight="1" x14ac:dyDescent="0.25">
      <c r="A76" s="16"/>
      <c r="B76" s="16">
        <f t="shared" si="29"/>
        <v>71</v>
      </c>
      <c r="C76" s="16" t="s">
        <v>89</v>
      </c>
      <c r="D76" s="80">
        <v>4.0000000000000001E-3</v>
      </c>
      <c r="E76" s="212">
        <v>4028209.71</v>
      </c>
      <c r="F76" s="97">
        <f>1392000+592000+60000</f>
        <v>2044000</v>
      </c>
      <c r="G76" s="61">
        <f t="shared" si="20"/>
        <v>1984209.71</v>
      </c>
      <c r="H76" s="21">
        <f t="shared" si="28"/>
        <v>61252.553747700003</v>
      </c>
      <c r="I76" s="22">
        <f t="shared" si="18"/>
        <v>322703.85568000004</v>
      </c>
      <c r="J76" s="22">
        <f t="shared" si="21"/>
        <v>0</v>
      </c>
      <c r="K76" s="22">
        <f t="shared" si="26"/>
        <v>185936.29261027643</v>
      </c>
      <c r="L76" s="22">
        <f t="shared" si="27"/>
        <v>202702.7028</v>
      </c>
      <c r="M76" s="74">
        <v>0</v>
      </c>
      <c r="N76" s="74">
        <v>0</v>
      </c>
      <c r="O76" s="207">
        <v>0</v>
      </c>
      <c r="P76" s="398">
        <f t="shared" si="22"/>
        <v>2756805.71</v>
      </c>
      <c r="Q76" s="398"/>
      <c r="R76" s="265">
        <f t="shared" si="23"/>
        <v>2840420.71</v>
      </c>
      <c r="S76" s="13">
        <f t="shared" si="24"/>
        <v>0.71</v>
      </c>
      <c r="T76" s="1">
        <f t="shared" si="25"/>
        <v>71</v>
      </c>
      <c r="U76" t="s">
        <v>311</v>
      </c>
    </row>
    <row r="77" spans="1:21" ht="24.95" customHeight="1" x14ac:dyDescent="0.25">
      <c r="A77" s="248"/>
      <c r="B77" s="16">
        <f t="shared" si="29"/>
        <v>72</v>
      </c>
      <c r="C77" s="16" t="s">
        <v>90</v>
      </c>
      <c r="D77" s="80">
        <v>4.0000000000000001E-3</v>
      </c>
      <c r="E77" s="212">
        <v>690051.72</v>
      </c>
      <c r="F77" s="97">
        <v>720000</v>
      </c>
      <c r="G77" s="61">
        <f t="shared" si="20"/>
        <v>-29948.280000000028</v>
      </c>
      <c r="H77" s="21">
        <f t="shared" si="28"/>
        <v>0</v>
      </c>
      <c r="I77" s="22">
        <f t="shared" si="18"/>
        <v>322703.85568000004</v>
      </c>
      <c r="J77" s="22">
        <f t="shared" si="21"/>
        <v>0</v>
      </c>
      <c r="K77" s="22">
        <f t="shared" si="26"/>
        <v>185936.29261027643</v>
      </c>
      <c r="L77" s="22">
        <f t="shared" si="27"/>
        <v>202702.7028</v>
      </c>
      <c r="M77" s="74">
        <v>0</v>
      </c>
      <c r="N77" s="74">
        <v>0</v>
      </c>
      <c r="O77" s="207">
        <v>0</v>
      </c>
      <c r="P77" s="398">
        <f t="shared" si="22"/>
        <v>681395.72</v>
      </c>
      <c r="Q77" s="398"/>
      <c r="R77" s="265">
        <f t="shared" si="23"/>
        <v>702062.72</v>
      </c>
      <c r="S77" s="13">
        <f t="shared" si="24"/>
        <v>0.72</v>
      </c>
      <c r="T77" s="1">
        <f t="shared" si="25"/>
        <v>72</v>
      </c>
      <c r="U77" t="s">
        <v>197</v>
      </c>
    </row>
    <row r="78" spans="1:21" ht="24.95" customHeight="1" x14ac:dyDescent="0.25">
      <c r="A78" s="259"/>
      <c r="B78" s="16">
        <f t="shared" si="29"/>
        <v>73</v>
      </c>
      <c r="C78" s="16" t="s">
        <v>91</v>
      </c>
      <c r="D78" s="80">
        <v>4.0000000000000001E-3</v>
      </c>
      <c r="E78" s="212">
        <v>711343.73</v>
      </c>
      <c r="F78" s="213">
        <v>712000</v>
      </c>
      <c r="G78" s="61">
        <f t="shared" si="20"/>
        <v>-656.27000000001863</v>
      </c>
      <c r="H78" s="21">
        <f t="shared" si="28"/>
        <v>0</v>
      </c>
      <c r="I78" s="22">
        <f t="shared" si="18"/>
        <v>322703.85568000004</v>
      </c>
      <c r="J78" s="22">
        <f t="shared" si="21"/>
        <v>0</v>
      </c>
      <c r="K78" s="22">
        <f t="shared" si="26"/>
        <v>185936.29261027643</v>
      </c>
      <c r="L78" s="22">
        <f t="shared" si="27"/>
        <v>202702.7028</v>
      </c>
      <c r="M78" s="74">
        <v>0</v>
      </c>
      <c r="N78" s="74">
        <v>0</v>
      </c>
      <c r="O78" s="207">
        <v>0</v>
      </c>
      <c r="P78" s="398">
        <f t="shared" si="22"/>
        <v>710687.73</v>
      </c>
      <c r="Q78" s="398"/>
      <c r="R78" s="265">
        <f t="shared" si="23"/>
        <v>732243.73</v>
      </c>
      <c r="S78" s="13">
        <f t="shared" si="24"/>
        <v>0.73</v>
      </c>
      <c r="T78" s="1">
        <f t="shared" si="25"/>
        <v>73</v>
      </c>
    </row>
    <row r="79" spans="1:21" ht="24.95" customHeight="1" x14ac:dyDescent="0.25">
      <c r="A79" s="16"/>
      <c r="B79" s="16">
        <f t="shared" si="29"/>
        <v>74</v>
      </c>
      <c r="C79" s="16" t="s">
        <v>92</v>
      </c>
      <c r="D79" s="80">
        <v>4.4000000000000003E-3</v>
      </c>
      <c r="E79" s="212">
        <v>743613.74</v>
      </c>
      <c r="F79" s="213">
        <f>E79</f>
        <v>743613.74</v>
      </c>
      <c r="G79" s="61">
        <f t="shared" si="20"/>
        <v>0</v>
      </c>
      <c r="H79" s="21">
        <f t="shared" si="28"/>
        <v>0</v>
      </c>
      <c r="I79" s="22">
        <f t="shared" si="18"/>
        <v>354974.24124800001</v>
      </c>
      <c r="J79" s="22">
        <f t="shared" si="21"/>
        <v>0</v>
      </c>
      <c r="K79" s="22">
        <f t="shared" si="26"/>
        <v>185936.29261027643</v>
      </c>
      <c r="L79" s="22">
        <f t="shared" si="27"/>
        <v>202702.7028</v>
      </c>
      <c r="M79" s="74">
        <v>0</v>
      </c>
      <c r="N79" s="74">
        <v>0</v>
      </c>
      <c r="O79" s="207">
        <v>0</v>
      </c>
      <c r="P79" s="398">
        <f t="shared" si="22"/>
        <v>743613.74</v>
      </c>
      <c r="Q79" s="398"/>
      <c r="R79" s="265">
        <f t="shared" si="23"/>
        <v>766168.74</v>
      </c>
      <c r="S79" s="13">
        <f t="shared" si="24"/>
        <v>0.74</v>
      </c>
      <c r="T79" s="1">
        <f t="shared" si="25"/>
        <v>74</v>
      </c>
    </row>
    <row r="80" spans="1:21" ht="24.95" customHeight="1" x14ac:dyDescent="0.25">
      <c r="A80" s="16"/>
      <c r="B80" s="16">
        <f t="shared" si="29"/>
        <v>75</v>
      </c>
      <c r="C80" s="16" t="s">
        <v>245</v>
      </c>
      <c r="D80" s="80">
        <v>4.1000000000000003E-3</v>
      </c>
      <c r="E80" s="212">
        <v>884796.75</v>
      </c>
      <c r="F80" s="97">
        <f>165386+719410.75</f>
        <v>884796.75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07">
        <v>0</v>
      </c>
      <c r="P80" s="398">
        <f t="shared" si="22"/>
        <v>719410.75</v>
      </c>
      <c r="Q80" s="398"/>
      <c r="R80" s="265">
        <f t="shared" si="23"/>
        <v>741230.75</v>
      </c>
      <c r="S80" s="13">
        <f t="shared" si="24"/>
        <v>0.75</v>
      </c>
      <c r="T80" s="1">
        <f t="shared" si="25"/>
        <v>75</v>
      </c>
      <c r="U80" t="s">
        <v>210</v>
      </c>
    </row>
    <row r="81" spans="1:25" ht="24.95" customHeight="1" x14ac:dyDescent="0.25">
      <c r="A81" s="16"/>
      <c r="B81" s="16">
        <f t="shared" si="29"/>
        <v>76</v>
      </c>
      <c r="C81" s="16" t="s">
        <v>84</v>
      </c>
      <c r="D81" s="80">
        <v>4.4999999999999997E-3</v>
      </c>
      <c r="E81" s="212">
        <v>751681.76</v>
      </c>
      <c r="F81" s="213">
        <f>E81</f>
        <v>751681.76</v>
      </c>
      <c r="G81" s="61">
        <f t="shared" si="20"/>
        <v>0</v>
      </c>
      <c r="H81" s="21">
        <f t="shared" si="28"/>
        <v>0</v>
      </c>
      <c r="I81" s="22">
        <f t="shared" si="18"/>
        <v>363041.83763999998</v>
      </c>
      <c r="J81" s="22">
        <f t="shared" si="21"/>
        <v>0</v>
      </c>
      <c r="K81" s="22">
        <f t="shared" si="26"/>
        <v>185936.29261027643</v>
      </c>
      <c r="L81" s="22">
        <f t="shared" si="27"/>
        <v>202702.7028</v>
      </c>
      <c r="M81" s="74">
        <v>0</v>
      </c>
      <c r="N81" s="74">
        <v>0</v>
      </c>
      <c r="O81" s="207">
        <v>0</v>
      </c>
      <c r="P81" s="398">
        <f t="shared" si="22"/>
        <v>751681.76</v>
      </c>
      <c r="Q81" s="398"/>
      <c r="R81" s="265">
        <f t="shared" si="23"/>
        <v>774480.76</v>
      </c>
      <c r="S81" s="13">
        <f t="shared" si="24"/>
        <v>0.76</v>
      </c>
      <c r="T81" s="1">
        <f t="shared" si="25"/>
        <v>76</v>
      </c>
    </row>
    <row r="82" spans="1:25" ht="24.95" customHeight="1" x14ac:dyDescent="0.25">
      <c r="A82" s="16"/>
      <c r="B82" s="16">
        <f t="shared" si="29"/>
        <v>77</v>
      </c>
      <c r="C82" s="16" t="s">
        <v>93</v>
      </c>
      <c r="D82" s="80">
        <v>6.1000000000000004E-3</v>
      </c>
      <c r="E82" s="212">
        <v>854048.77</v>
      </c>
      <c r="F82" s="97">
        <v>879952.77</v>
      </c>
      <c r="G82" s="61">
        <f t="shared" si="20"/>
        <v>-25904</v>
      </c>
      <c r="H82" s="21">
        <f t="shared" si="28"/>
        <v>0</v>
      </c>
      <c r="I82" s="22">
        <f t="shared" si="18"/>
        <v>492123.37991200003</v>
      </c>
      <c r="J82" s="22">
        <f t="shared" si="21"/>
        <v>0</v>
      </c>
      <c r="K82" s="22">
        <f t="shared" si="26"/>
        <v>185936.29261027643</v>
      </c>
      <c r="L82" s="22">
        <f t="shared" si="27"/>
        <v>202702.7028</v>
      </c>
      <c r="M82" s="74">
        <v>0</v>
      </c>
      <c r="N82" s="74">
        <v>0</v>
      </c>
      <c r="O82" s="207">
        <v>0</v>
      </c>
      <c r="P82" s="398">
        <f t="shared" si="22"/>
        <v>854858.77</v>
      </c>
      <c r="Q82" s="398"/>
      <c r="R82" s="265">
        <f t="shared" si="23"/>
        <v>880787.77</v>
      </c>
      <c r="S82" s="13">
        <f t="shared" si="24"/>
        <v>0.77</v>
      </c>
      <c r="T82" s="1">
        <f t="shared" si="25"/>
        <v>77</v>
      </c>
      <c r="U82" t="s">
        <v>268</v>
      </c>
    </row>
    <row r="83" spans="1:25" ht="24.95" customHeight="1" x14ac:dyDescent="0.25">
      <c r="A83" s="178"/>
      <c r="B83" s="16">
        <f t="shared" si="29"/>
        <v>78</v>
      </c>
      <c r="C83" s="16" t="s">
        <v>94</v>
      </c>
      <c r="D83" s="80">
        <v>4.7999999999999996E-3</v>
      </c>
      <c r="E83" s="212">
        <v>751480.78</v>
      </c>
      <c r="F83" s="97">
        <v>751500</v>
      </c>
      <c r="G83" s="61">
        <f t="shared" si="20"/>
        <v>-19.21999999997206</v>
      </c>
      <c r="H83" s="21">
        <f t="shared" si="28"/>
        <v>0</v>
      </c>
      <c r="I83" s="22">
        <f t="shared" si="18"/>
        <v>387244.62681599997</v>
      </c>
      <c r="J83" s="22">
        <f t="shared" si="21"/>
        <v>0</v>
      </c>
      <c r="K83" s="22">
        <f t="shared" si="26"/>
        <v>185936.29261027643</v>
      </c>
      <c r="L83" s="22">
        <f t="shared" si="27"/>
        <v>202702.7028</v>
      </c>
      <c r="M83" s="74">
        <v>0</v>
      </c>
      <c r="N83" s="74">
        <v>0</v>
      </c>
      <c r="O83" s="207">
        <v>0</v>
      </c>
      <c r="P83" s="398">
        <f t="shared" si="22"/>
        <v>775864.78</v>
      </c>
      <c r="Q83" s="398"/>
      <c r="R83" s="265">
        <f t="shared" si="23"/>
        <v>799397.78</v>
      </c>
      <c r="S83" s="13">
        <f t="shared" si="24"/>
        <v>0.78</v>
      </c>
      <c r="T83" s="1">
        <f t="shared" si="25"/>
        <v>78</v>
      </c>
      <c r="U83" t="s">
        <v>246</v>
      </c>
    </row>
    <row r="84" spans="1:25" ht="24.95" customHeight="1" x14ac:dyDescent="0.25">
      <c r="A84" s="16"/>
      <c r="B84" s="16">
        <f t="shared" si="29"/>
        <v>79</v>
      </c>
      <c r="C84" s="16" t="s">
        <v>95</v>
      </c>
      <c r="D84" s="80">
        <v>4.4999999999999997E-3</v>
      </c>
      <c r="E84" s="212">
        <v>1089017.79</v>
      </c>
      <c r="F84" s="97">
        <f>280000.79+606000.79</f>
        <v>886001.58000000007</v>
      </c>
      <c r="G84" s="62">
        <f t="shared" si="20"/>
        <v>203016.20999999996</v>
      </c>
      <c r="H84" s="81">
        <f t="shared" si="28"/>
        <v>6267.1104026999992</v>
      </c>
      <c r="I84" s="74">
        <f t="shared" si="18"/>
        <v>363041.83763999998</v>
      </c>
      <c r="J84" s="74">
        <f t="shared" si="21"/>
        <v>0</v>
      </c>
      <c r="K84" s="74">
        <f t="shared" si="26"/>
        <v>185936.29261027643</v>
      </c>
      <c r="L84" s="74">
        <f t="shared" si="27"/>
        <v>202702.7028</v>
      </c>
      <c r="M84" s="74">
        <v>0</v>
      </c>
      <c r="N84" s="74">
        <v>0</v>
      </c>
      <c r="O84" s="343">
        <v>83418.36</v>
      </c>
      <c r="P84" s="398">
        <f t="shared" si="22"/>
        <v>1044383.79</v>
      </c>
      <c r="Q84" s="398"/>
      <c r="R84" s="265">
        <f t="shared" si="23"/>
        <v>1076060.79</v>
      </c>
      <c r="S84" s="82">
        <f t="shared" si="24"/>
        <v>0.79</v>
      </c>
      <c r="T84" s="60">
        <f t="shared" si="25"/>
        <v>79</v>
      </c>
      <c r="U84" s="36" t="s">
        <v>320</v>
      </c>
      <c r="Y84" t="s">
        <v>248</v>
      </c>
    </row>
    <row r="85" spans="1:25" ht="24.95" customHeight="1" x14ac:dyDescent="0.25">
      <c r="A85" s="258"/>
      <c r="B85" s="16">
        <f t="shared" si="29"/>
        <v>80</v>
      </c>
      <c r="C85" s="16" t="s">
        <v>96</v>
      </c>
      <c r="D85" s="80">
        <v>4.4999999999999997E-3</v>
      </c>
      <c r="E85" s="212">
        <v>728063.8</v>
      </c>
      <c r="F85" s="213">
        <f>E85</f>
        <v>728063.8</v>
      </c>
      <c r="G85" s="61">
        <f t="shared" si="20"/>
        <v>0</v>
      </c>
      <c r="H85" s="21">
        <f t="shared" si="28"/>
        <v>0</v>
      </c>
      <c r="I85" s="22">
        <f t="shared" si="18"/>
        <v>363041.83763999998</v>
      </c>
      <c r="J85" s="22">
        <f t="shared" si="21"/>
        <v>0</v>
      </c>
      <c r="K85" s="22">
        <f t="shared" si="26"/>
        <v>185936.29261027643</v>
      </c>
      <c r="L85" s="22">
        <f t="shared" si="27"/>
        <v>202702.7028</v>
      </c>
      <c r="M85" s="74">
        <v>0</v>
      </c>
      <c r="N85" s="74">
        <v>0</v>
      </c>
      <c r="O85" s="207">
        <v>0</v>
      </c>
      <c r="P85" s="398">
        <f t="shared" si="22"/>
        <v>751681.8</v>
      </c>
      <c r="Q85" s="398"/>
      <c r="R85" s="265">
        <f t="shared" si="23"/>
        <v>774480.8</v>
      </c>
      <c r="S85" s="13">
        <f t="shared" si="24"/>
        <v>0.8</v>
      </c>
      <c r="T85" s="1">
        <f t="shared" si="25"/>
        <v>80</v>
      </c>
      <c r="U85" t="s">
        <v>290</v>
      </c>
    </row>
    <row r="86" spans="1:25" ht="24.95" customHeight="1" x14ac:dyDescent="0.25">
      <c r="A86" s="16"/>
      <c r="B86" s="16">
        <f t="shared" si="29"/>
        <v>81</v>
      </c>
      <c r="C86" s="16" t="s">
        <v>97</v>
      </c>
      <c r="D86" s="80">
        <v>4.4999999999999997E-3</v>
      </c>
      <c r="E86" s="212">
        <v>751681.81</v>
      </c>
      <c r="F86" s="213"/>
      <c r="G86" s="61">
        <f t="shared" si="20"/>
        <v>751681.81</v>
      </c>
      <c r="H86" s="21">
        <f t="shared" si="28"/>
        <v>23204.417474700003</v>
      </c>
      <c r="I86" s="22">
        <f t="shared" si="18"/>
        <v>363041.83763999998</v>
      </c>
      <c r="J86" s="22">
        <f t="shared" si="21"/>
        <v>0</v>
      </c>
      <c r="K86" s="22">
        <f t="shared" si="26"/>
        <v>185936.29261027643</v>
      </c>
      <c r="L86" s="22">
        <f t="shared" si="27"/>
        <v>202702.7028</v>
      </c>
      <c r="M86" s="74">
        <v>0</v>
      </c>
      <c r="N86" s="74">
        <v>0</v>
      </c>
      <c r="O86" s="207">
        <v>0</v>
      </c>
      <c r="P86" s="398">
        <f t="shared" si="22"/>
        <v>1526567.81</v>
      </c>
      <c r="Q86" s="398"/>
      <c r="R86" s="265">
        <f t="shared" si="23"/>
        <v>1572869.81</v>
      </c>
      <c r="S86" s="13">
        <f t="shared" si="24"/>
        <v>0.81</v>
      </c>
      <c r="T86" s="1">
        <f t="shared" si="25"/>
        <v>81</v>
      </c>
      <c r="U86" t="s">
        <v>239</v>
      </c>
    </row>
    <row r="87" spans="1:25" ht="24.95" customHeight="1" x14ac:dyDescent="0.25">
      <c r="A87" s="16"/>
      <c r="B87" s="16">
        <f t="shared" si="29"/>
        <v>82</v>
      </c>
      <c r="C87" s="16" t="s">
        <v>98</v>
      </c>
      <c r="D87" s="80">
        <v>4.1999999999999997E-3</v>
      </c>
      <c r="E87" s="212">
        <v>682667.82</v>
      </c>
      <c r="F87" s="97"/>
      <c r="G87" s="61">
        <f t="shared" si="20"/>
        <v>682667.82</v>
      </c>
      <c r="H87" s="21">
        <f t="shared" si="28"/>
        <v>21073.955603399998</v>
      </c>
      <c r="I87" s="22">
        <f t="shared" si="18"/>
        <v>338839.04846399999</v>
      </c>
      <c r="J87" s="22">
        <f t="shared" si="21"/>
        <v>0</v>
      </c>
      <c r="K87" s="22">
        <f t="shared" si="26"/>
        <v>185936.29261027643</v>
      </c>
      <c r="L87" s="22">
        <f t="shared" si="27"/>
        <v>202702.7028</v>
      </c>
      <c r="M87" s="74">
        <v>0</v>
      </c>
      <c r="N87" s="74">
        <v>0</v>
      </c>
      <c r="O87" s="207">
        <v>0</v>
      </c>
      <c r="P87" s="398">
        <f t="shared" si="22"/>
        <v>1431220.82</v>
      </c>
      <c r="Q87" s="398"/>
      <c r="R87" s="265">
        <f t="shared" si="23"/>
        <v>1474630.82</v>
      </c>
      <c r="S87" s="13">
        <f t="shared" si="24"/>
        <v>0.82</v>
      </c>
      <c r="T87" s="1">
        <f t="shared" si="25"/>
        <v>82</v>
      </c>
      <c r="U87" t="s">
        <v>276</v>
      </c>
      <c r="W87" s="16"/>
    </row>
    <row r="88" spans="1:25" ht="24.95" customHeight="1" x14ac:dyDescent="0.25">
      <c r="A88" s="16"/>
      <c r="B88" s="16">
        <f t="shared" si="29"/>
        <v>83</v>
      </c>
      <c r="C88" s="16" t="s">
        <v>99</v>
      </c>
      <c r="D88" s="80">
        <v>4.7999999999999996E-3</v>
      </c>
      <c r="E88" s="212">
        <v>752351.83</v>
      </c>
      <c r="F88" s="97">
        <v>775171.83</v>
      </c>
      <c r="G88" s="61">
        <f t="shared" si="20"/>
        <v>-22820</v>
      </c>
      <c r="H88" s="21">
        <f t="shared" si="28"/>
        <v>0</v>
      </c>
      <c r="I88" s="22">
        <f t="shared" si="18"/>
        <v>387244.62681599997</v>
      </c>
      <c r="J88" s="22">
        <f t="shared" si="21"/>
        <v>0</v>
      </c>
      <c r="K88" s="22">
        <f t="shared" si="26"/>
        <v>185936.29261027643</v>
      </c>
      <c r="L88" s="22">
        <f t="shared" si="27"/>
        <v>202702.7028</v>
      </c>
      <c r="M88" s="74">
        <v>0</v>
      </c>
      <c r="N88" s="74">
        <v>0</v>
      </c>
      <c r="O88" s="207">
        <v>0</v>
      </c>
      <c r="P88" s="398">
        <f t="shared" si="22"/>
        <v>753064.83</v>
      </c>
      <c r="Q88" s="398"/>
      <c r="R88" s="265">
        <f t="shared" si="23"/>
        <v>775905.83</v>
      </c>
      <c r="S88" s="13">
        <f t="shared" si="24"/>
        <v>0.83</v>
      </c>
      <c r="T88" s="1">
        <f t="shared" si="25"/>
        <v>83</v>
      </c>
    </row>
    <row r="89" spans="1:25" ht="24.95" customHeight="1" x14ac:dyDescent="0.25">
      <c r="A89" s="16"/>
      <c r="B89" s="16">
        <f t="shared" si="29"/>
        <v>84</v>
      </c>
      <c r="C89" s="16" t="s">
        <v>99</v>
      </c>
      <c r="D89" s="80">
        <v>4.7999999999999996E-3</v>
      </c>
      <c r="E89" s="212">
        <v>752351.84</v>
      </c>
      <c r="F89" s="97">
        <v>775171.84</v>
      </c>
      <c r="G89" s="61">
        <f t="shared" si="20"/>
        <v>-22820</v>
      </c>
      <c r="H89" s="21">
        <f t="shared" si="28"/>
        <v>0</v>
      </c>
      <c r="I89" s="22">
        <f t="shared" si="18"/>
        <v>387244.62681599997</v>
      </c>
      <c r="J89" s="22">
        <f t="shared" si="21"/>
        <v>0</v>
      </c>
      <c r="K89" s="22">
        <f t="shared" si="26"/>
        <v>185936.29261027643</v>
      </c>
      <c r="L89" s="22">
        <f t="shared" si="27"/>
        <v>202702.7028</v>
      </c>
      <c r="M89" s="74">
        <v>0</v>
      </c>
      <c r="N89" s="74">
        <v>0</v>
      </c>
      <c r="O89" s="207">
        <v>0</v>
      </c>
      <c r="P89" s="398">
        <f t="shared" si="22"/>
        <v>753064.84</v>
      </c>
      <c r="Q89" s="398"/>
      <c r="R89" s="265">
        <f t="shared" si="23"/>
        <v>775905.84</v>
      </c>
      <c r="S89" s="13">
        <f t="shared" si="24"/>
        <v>0.84</v>
      </c>
      <c r="T89" s="1">
        <f t="shared" si="25"/>
        <v>84</v>
      </c>
    </row>
    <row r="90" spans="1:25" ht="24.95" customHeight="1" x14ac:dyDescent="0.25">
      <c r="A90" s="16"/>
      <c r="B90" s="16">
        <f t="shared" si="29"/>
        <v>85</v>
      </c>
      <c r="C90" s="16" t="s">
        <v>100</v>
      </c>
      <c r="D90" s="80">
        <v>4.7999999999999996E-3</v>
      </c>
      <c r="E90" s="212">
        <v>775884.85</v>
      </c>
      <c r="F90" s="97">
        <v>799417.85</v>
      </c>
      <c r="G90" s="61">
        <f t="shared" si="20"/>
        <v>-23533</v>
      </c>
      <c r="H90" s="21">
        <f t="shared" si="28"/>
        <v>0</v>
      </c>
      <c r="I90" s="22">
        <f t="shared" si="18"/>
        <v>387244.62681599997</v>
      </c>
      <c r="J90" s="22">
        <f t="shared" si="21"/>
        <v>0</v>
      </c>
      <c r="K90" s="22">
        <f t="shared" si="26"/>
        <v>185936.29261027643</v>
      </c>
      <c r="L90" s="22">
        <f t="shared" si="27"/>
        <v>202702.7028</v>
      </c>
      <c r="M90" s="74">
        <v>0</v>
      </c>
      <c r="N90" s="74">
        <v>0</v>
      </c>
      <c r="O90" s="207">
        <v>0</v>
      </c>
      <c r="P90" s="398">
        <f t="shared" si="22"/>
        <v>752351.85</v>
      </c>
      <c r="Q90" s="398"/>
      <c r="R90" s="265">
        <f t="shared" si="23"/>
        <v>775171.85</v>
      </c>
      <c r="S90" s="13">
        <f t="shared" si="24"/>
        <v>0.85</v>
      </c>
      <c r="T90" s="1">
        <f t="shared" si="25"/>
        <v>85</v>
      </c>
      <c r="U90" t="s">
        <v>226</v>
      </c>
    </row>
    <row r="91" spans="1:25" ht="24.95" customHeight="1" x14ac:dyDescent="0.25">
      <c r="A91" s="16"/>
      <c r="B91" s="16">
        <f t="shared" si="29"/>
        <v>86</v>
      </c>
      <c r="C91" s="16" t="s">
        <v>172</v>
      </c>
      <c r="D91" s="80">
        <v>4.7999999999999996E-3</v>
      </c>
      <c r="E91" s="212">
        <v>1240577.8600000001</v>
      </c>
      <c r="F91" s="97">
        <v>1278205.8600000001</v>
      </c>
      <c r="G91" s="61">
        <f t="shared" si="20"/>
        <v>-37628</v>
      </c>
      <c r="H91" s="21">
        <f t="shared" si="28"/>
        <v>0</v>
      </c>
      <c r="I91" s="22">
        <f t="shared" si="18"/>
        <v>387244.62681599997</v>
      </c>
      <c r="J91" s="22">
        <f t="shared" si="21"/>
        <v>0</v>
      </c>
      <c r="K91" s="22">
        <f t="shared" si="26"/>
        <v>185936.29261027643</v>
      </c>
      <c r="L91" s="22">
        <f t="shared" si="27"/>
        <v>202702.7028</v>
      </c>
      <c r="M91" s="74">
        <v>77449</v>
      </c>
      <c r="N91" s="74">
        <f>I91</f>
        <v>387244.62681599997</v>
      </c>
      <c r="O91" s="207">
        <v>0</v>
      </c>
      <c r="P91" s="398">
        <f t="shared" si="22"/>
        <v>1202949.8600000001</v>
      </c>
      <c r="Q91" s="398"/>
      <c r="R91" s="265">
        <f t="shared" si="23"/>
        <v>1239435.8600000001</v>
      </c>
      <c r="S91" s="13">
        <f t="shared" si="24"/>
        <v>0.86</v>
      </c>
      <c r="T91" s="1">
        <f t="shared" si="25"/>
        <v>86</v>
      </c>
      <c r="U91" t="s">
        <v>389</v>
      </c>
    </row>
    <row r="92" spans="1:25" ht="24.95" customHeight="1" x14ac:dyDescent="0.25">
      <c r="A92" s="16"/>
      <c r="B92" s="16">
        <f t="shared" si="29"/>
        <v>87</v>
      </c>
      <c r="C92" s="16" t="s">
        <v>101</v>
      </c>
      <c r="D92" s="80">
        <v>4.7999999999999996E-3</v>
      </c>
      <c r="E92" s="212">
        <v>752351.87</v>
      </c>
      <c r="F92" s="213">
        <f>E92</f>
        <v>752351.87</v>
      </c>
      <c r="G92" s="61">
        <f t="shared" si="20"/>
        <v>0</v>
      </c>
      <c r="H92" s="21">
        <f t="shared" si="28"/>
        <v>0</v>
      </c>
      <c r="I92" s="22">
        <f t="shared" si="18"/>
        <v>387244.62681599997</v>
      </c>
      <c r="J92" s="22">
        <f t="shared" si="21"/>
        <v>0</v>
      </c>
      <c r="K92" s="22">
        <f t="shared" si="26"/>
        <v>185936.29261027643</v>
      </c>
      <c r="L92" s="22">
        <f t="shared" si="27"/>
        <v>202702.7028</v>
      </c>
      <c r="M92" s="74">
        <v>0</v>
      </c>
      <c r="N92" s="74">
        <v>0</v>
      </c>
      <c r="O92" s="207">
        <v>0</v>
      </c>
      <c r="P92" s="398">
        <f t="shared" si="22"/>
        <v>775884.87</v>
      </c>
      <c r="Q92" s="398"/>
      <c r="R92" s="265">
        <f t="shared" si="23"/>
        <v>799417.87</v>
      </c>
      <c r="S92" s="13">
        <f t="shared" si="24"/>
        <v>0.87</v>
      </c>
      <c r="T92" s="1">
        <f t="shared" si="25"/>
        <v>87</v>
      </c>
    </row>
    <row r="93" spans="1:25" ht="24.95" customHeight="1" x14ac:dyDescent="0.25">
      <c r="A93" s="157"/>
      <c r="B93" s="157">
        <f t="shared" si="29"/>
        <v>88</v>
      </c>
      <c r="C93" s="157" t="s">
        <v>102</v>
      </c>
      <c r="D93" s="80">
        <v>4.7999999999999996E-3</v>
      </c>
      <c r="E93" s="212">
        <v>775884.88</v>
      </c>
      <c r="F93" s="213">
        <f>38884.88+534000+203000</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207">
        <v>0</v>
      </c>
      <c r="P93" s="398">
        <f t="shared" si="22"/>
        <v>775884.88</v>
      </c>
      <c r="Q93" s="398"/>
      <c r="R93" s="265">
        <f t="shared" si="23"/>
        <v>799417.88</v>
      </c>
      <c r="S93" s="13">
        <f t="shared" si="24"/>
        <v>0.88</v>
      </c>
      <c r="T93" s="1">
        <f t="shared" si="25"/>
        <v>88</v>
      </c>
    </row>
    <row r="94" spans="1:25" ht="24.95" customHeight="1" x14ac:dyDescent="0.25">
      <c r="A94" s="16"/>
      <c r="B94" s="16">
        <f t="shared" si="29"/>
        <v>89</v>
      </c>
      <c r="C94" s="16" t="s">
        <v>224</v>
      </c>
      <c r="D94" s="80">
        <v>4.7999999999999996E-3</v>
      </c>
      <c r="E94" s="212">
        <v>752351.89</v>
      </c>
      <c r="F94" s="213"/>
      <c r="G94" s="62">
        <f t="shared" si="20"/>
        <v>752351.89</v>
      </c>
      <c r="H94" s="81">
        <f t="shared" si="28"/>
        <v>23225.102844300003</v>
      </c>
      <c r="I94" s="74">
        <f t="shared" si="18"/>
        <v>387244.62681599997</v>
      </c>
      <c r="J94" s="74">
        <f t="shared" si="21"/>
        <v>0</v>
      </c>
      <c r="K94" s="74">
        <f t="shared" si="26"/>
        <v>185936.29261027643</v>
      </c>
      <c r="L94" s="74">
        <f t="shared" si="27"/>
        <v>202702.7028</v>
      </c>
      <c r="M94" s="74">
        <v>0</v>
      </c>
      <c r="N94" s="74">
        <v>0</v>
      </c>
      <c r="O94" s="207">
        <v>0</v>
      </c>
      <c r="P94" s="398">
        <f t="shared" si="22"/>
        <v>1551461.89</v>
      </c>
      <c r="Q94" s="398"/>
      <c r="R94" s="265">
        <f t="shared" si="23"/>
        <v>1598518.89</v>
      </c>
      <c r="S94" s="82">
        <f t="shared" si="24"/>
        <v>0.89</v>
      </c>
      <c r="T94" s="60">
        <f t="shared" si="25"/>
        <v>89</v>
      </c>
      <c r="U94" t="s">
        <v>288</v>
      </c>
    </row>
    <row r="95" spans="1:25" ht="24.95" customHeight="1" x14ac:dyDescent="0.25">
      <c r="A95" s="16"/>
      <c r="B95" s="16">
        <f t="shared" si="29"/>
        <v>90</v>
      </c>
      <c r="C95" s="16" t="s">
        <v>103</v>
      </c>
      <c r="D95" s="80">
        <v>4.7999999999999996E-3</v>
      </c>
      <c r="E95" s="212">
        <v>766439.9</v>
      </c>
      <c r="F95" s="97">
        <v>680000.9</v>
      </c>
      <c r="G95" s="61">
        <f t="shared" si="20"/>
        <v>86439</v>
      </c>
      <c r="H95" s="21">
        <f t="shared" si="28"/>
        <v>2668.3719300000002</v>
      </c>
      <c r="I95" s="22">
        <f t="shared" si="18"/>
        <v>387244.62681599997</v>
      </c>
      <c r="J95" s="22">
        <f t="shared" si="21"/>
        <v>0</v>
      </c>
      <c r="K95" s="22">
        <f t="shared" si="26"/>
        <v>185936.29261027643</v>
      </c>
      <c r="L95" s="22">
        <f t="shared" si="27"/>
        <v>202702.7028</v>
      </c>
      <c r="M95" s="74">
        <v>0</v>
      </c>
      <c r="N95" s="74">
        <v>0</v>
      </c>
      <c r="O95" s="207">
        <v>0</v>
      </c>
      <c r="P95" s="398">
        <f t="shared" si="22"/>
        <v>864991.9</v>
      </c>
      <c r="Q95" s="398"/>
      <c r="R95" s="265">
        <f t="shared" si="23"/>
        <v>891227.9</v>
      </c>
      <c r="S95" s="13">
        <f t="shared" si="24"/>
        <v>0.9</v>
      </c>
      <c r="T95" s="1">
        <f t="shared" si="25"/>
        <v>90</v>
      </c>
      <c r="U95" t="s">
        <v>249</v>
      </c>
    </row>
    <row r="96" spans="1:25" ht="24.95" customHeight="1" x14ac:dyDescent="0.25">
      <c r="A96" s="16"/>
      <c r="B96" s="16">
        <f t="shared" si="29"/>
        <v>91</v>
      </c>
      <c r="C96" s="16" t="s">
        <v>104</v>
      </c>
      <c r="D96" s="80">
        <v>4.7999999999999996E-3</v>
      </c>
      <c r="E96" s="212">
        <v>752351.91</v>
      </c>
      <c r="F96" s="213">
        <f>E96</f>
        <v>752351.91</v>
      </c>
      <c r="G96" s="61">
        <f t="shared" si="20"/>
        <v>0</v>
      </c>
      <c r="H96" s="21">
        <f t="shared" si="28"/>
        <v>0</v>
      </c>
      <c r="I96" s="22">
        <f t="shared" si="18"/>
        <v>387244.62681599997</v>
      </c>
      <c r="J96" s="22">
        <f t="shared" si="21"/>
        <v>0</v>
      </c>
      <c r="K96" s="22">
        <f t="shared" si="26"/>
        <v>185936.29261027643</v>
      </c>
      <c r="L96" s="22">
        <f t="shared" si="27"/>
        <v>202702.7028</v>
      </c>
      <c r="M96" s="74">
        <v>0</v>
      </c>
      <c r="N96" s="74">
        <v>0</v>
      </c>
      <c r="O96" s="207">
        <v>0</v>
      </c>
      <c r="P96" s="398">
        <f t="shared" si="22"/>
        <v>775884.91</v>
      </c>
      <c r="Q96" s="398"/>
      <c r="R96" s="265">
        <f t="shared" si="23"/>
        <v>799417.91</v>
      </c>
      <c r="S96" s="13">
        <f t="shared" si="24"/>
        <v>0.91</v>
      </c>
      <c r="T96" s="1">
        <f t="shared" si="25"/>
        <v>91</v>
      </c>
      <c r="U96" t="s">
        <v>200</v>
      </c>
    </row>
    <row r="97" spans="1:22" ht="24.95" customHeight="1" x14ac:dyDescent="0.25">
      <c r="A97" s="16"/>
      <c r="B97" s="171">
        <f t="shared" si="29"/>
        <v>92</v>
      </c>
      <c r="C97" s="171" t="s">
        <v>330</v>
      </c>
      <c r="D97" s="172">
        <v>4.7999999999999996E-3</v>
      </c>
      <c r="E97" s="212">
        <v>1840080.92</v>
      </c>
      <c r="F97" s="97">
        <v>1736196</v>
      </c>
      <c r="G97" s="61">
        <f t="shared" si="20"/>
        <v>103884.91999999993</v>
      </c>
      <c r="H97" s="81">
        <f t="shared" si="28"/>
        <v>3206.9274803999979</v>
      </c>
      <c r="I97" s="74">
        <f t="shared" si="18"/>
        <v>387244.62681599997</v>
      </c>
      <c r="J97" s="74">
        <f t="shared" si="21"/>
        <v>0</v>
      </c>
      <c r="K97" s="74">
        <f t="shared" si="26"/>
        <v>185936.29261027643</v>
      </c>
      <c r="L97" s="74">
        <f t="shared" si="27"/>
        <v>202702.7028</v>
      </c>
      <c r="M97" s="74">
        <v>0</v>
      </c>
      <c r="N97" s="74">
        <v>0</v>
      </c>
      <c r="O97" s="207">
        <v>0</v>
      </c>
      <c r="P97" s="398">
        <f t="shared" si="22"/>
        <v>882975.92</v>
      </c>
      <c r="Q97" s="398"/>
      <c r="R97" s="265">
        <f t="shared" si="23"/>
        <v>909757.92</v>
      </c>
      <c r="S97" s="82">
        <f t="shared" si="24"/>
        <v>0.92</v>
      </c>
      <c r="T97" s="60">
        <f t="shared" si="25"/>
        <v>92</v>
      </c>
      <c r="U97" t="s">
        <v>321</v>
      </c>
    </row>
    <row r="98" spans="1:22" ht="24.95" customHeight="1" x14ac:dyDescent="0.25">
      <c r="A98" s="16"/>
      <c r="B98" s="16">
        <f t="shared" si="29"/>
        <v>93</v>
      </c>
      <c r="C98" s="53" t="s">
        <v>173</v>
      </c>
      <c r="D98" s="80">
        <v>4.5999999999999999E-3</v>
      </c>
      <c r="E98" s="212">
        <v>238871.93</v>
      </c>
      <c r="F98" s="97">
        <v>455000</v>
      </c>
      <c r="G98" s="61">
        <f>E98-F98</f>
        <v>-216128.07</v>
      </c>
      <c r="H98" s="21">
        <f t="shared" si="28"/>
        <v>0</v>
      </c>
      <c r="I98" s="22">
        <f t="shared" si="18"/>
        <v>371109.43403200002</v>
      </c>
      <c r="J98" s="22">
        <f t="shared" si="21"/>
        <v>0</v>
      </c>
      <c r="K98" s="22">
        <f t="shared" si="26"/>
        <v>185936.29261027643</v>
      </c>
      <c r="L98" s="22">
        <f t="shared" si="27"/>
        <v>202702.7028</v>
      </c>
      <c r="M98" s="74">
        <v>0</v>
      </c>
      <c r="N98" s="74">
        <v>0</v>
      </c>
      <c r="O98" s="219">
        <f>I98/2</f>
        <v>185554.71701600001</v>
      </c>
      <c r="P98" s="398">
        <f t="shared" si="22"/>
        <v>729175.93</v>
      </c>
      <c r="Q98" s="398"/>
      <c r="R98" s="265">
        <f t="shared" si="23"/>
        <v>751292.93</v>
      </c>
      <c r="S98" s="13">
        <f t="shared" si="24"/>
        <v>0.93</v>
      </c>
      <c r="T98" s="1">
        <f t="shared" si="25"/>
        <v>93</v>
      </c>
      <c r="U98" t="s">
        <v>308</v>
      </c>
    </row>
    <row r="99" spans="1:22" ht="24.95" customHeight="1" x14ac:dyDescent="0.25">
      <c r="A99" s="16"/>
      <c r="B99" s="16">
        <f t="shared" si="29"/>
        <v>94</v>
      </c>
      <c r="C99" s="16" t="s">
        <v>174</v>
      </c>
      <c r="D99" s="80">
        <v>4.7999999999999996E-3</v>
      </c>
      <c r="E99" s="212">
        <v>775884.94</v>
      </c>
      <c r="F99" s="97">
        <v>799418.94</v>
      </c>
      <c r="G99" s="61">
        <f t="shared" si="20"/>
        <v>-23534</v>
      </c>
      <c r="H99" s="21">
        <f t="shared" si="28"/>
        <v>0</v>
      </c>
      <c r="I99" s="22">
        <f t="shared" si="18"/>
        <v>387244.62681599997</v>
      </c>
      <c r="J99" s="22">
        <f t="shared" si="21"/>
        <v>0</v>
      </c>
      <c r="K99" s="22">
        <f t="shared" si="26"/>
        <v>185936.29261027643</v>
      </c>
      <c r="L99" s="22">
        <f t="shared" si="27"/>
        <v>202702.7028</v>
      </c>
      <c r="M99" s="74">
        <v>0</v>
      </c>
      <c r="N99" s="74">
        <v>0</v>
      </c>
      <c r="O99" s="207">
        <v>0</v>
      </c>
      <c r="P99" s="398">
        <f t="shared" si="22"/>
        <v>752350.94</v>
      </c>
      <c r="Q99" s="398"/>
      <c r="R99" s="265">
        <f t="shared" si="23"/>
        <v>775170.94</v>
      </c>
      <c r="S99" s="13">
        <f t="shared" si="24"/>
        <v>0.94</v>
      </c>
      <c r="T99" s="1">
        <f t="shared" si="25"/>
        <v>94</v>
      </c>
      <c r="U99" t="s">
        <v>193</v>
      </c>
    </row>
    <row r="100" spans="1:22" ht="24.95" customHeight="1" x14ac:dyDescent="0.25">
      <c r="A100" s="16"/>
      <c r="B100" s="16">
        <f t="shared" si="29"/>
        <v>95</v>
      </c>
      <c r="C100" s="16" t="s">
        <v>105</v>
      </c>
      <c r="D100" s="80">
        <v>4.7999999999999996E-3</v>
      </c>
      <c r="E100" s="212">
        <v>4171890.95</v>
      </c>
      <c r="F100" s="97">
        <v>700000</v>
      </c>
      <c r="G100" s="61">
        <f t="shared" si="20"/>
        <v>3471890.95</v>
      </c>
      <c r="H100" s="21">
        <f t="shared" si="28"/>
        <v>107177.27362650001</v>
      </c>
      <c r="I100" s="22">
        <f t="shared" si="18"/>
        <v>387244.62681599997</v>
      </c>
      <c r="J100" s="22">
        <f t="shared" si="21"/>
        <v>0</v>
      </c>
      <c r="K100" s="22">
        <f t="shared" si="26"/>
        <v>185936.29261027643</v>
      </c>
      <c r="L100" s="22">
        <f t="shared" si="27"/>
        <v>202702.7028</v>
      </c>
      <c r="M100" s="74">
        <v>0</v>
      </c>
      <c r="N100" s="74">
        <v>0</v>
      </c>
      <c r="O100" s="207">
        <v>0</v>
      </c>
      <c r="P100" s="398">
        <f t="shared" si="22"/>
        <v>4354952.95</v>
      </c>
      <c r="Q100" s="398"/>
      <c r="R100" s="265">
        <f t="shared" si="23"/>
        <v>4487039.95</v>
      </c>
      <c r="S100" s="13">
        <f t="shared" si="24"/>
        <v>0.95</v>
      </c>
      <c r="T100" s="1">
        <f t="shared" si="25"/>
        <v>95</v>
      </c>
    </row>
    <row r="101" spans="1:22" ht="24.95" customHeight="1" x14ac:dyDescent="0.25">
      <c r="A101" s="179"/>
      <c r="B101" s="16">
        <f t="shared" si="29"/>
        <v>96</v>
      </c>
      <c r="C101" s="16" t="s">
        <v>106</v>
      </c>
      <c r="D101" s="80">
        <v>4.7999999999999996E-3</v>
      </c>
      <c r="E101" s="212">
        <v>752388.96</v>
      </c>
      <c r="F101" s="97">
        <v>780000</v>
      </c>
      <c r="G101" s="61">
        <f t="shared" si="20"/>
        <v>-27611.040000000037</v>
      </c>
      <c r="H101" s="21">
        <f t="shared" si="28"/>
        <v>0</v>
      </c>
      <c r="I101" s="22">
        <f t="shared" si="18"/>
        <v>387244.62681599997</v>
      </c>
      <c r="J101" s="22">
        <f t="shared" si="21"/>
        <v>0</v>
      </c>
      <c r="K101" s="22">
        <f t="shared" si="26"/>
        <v>185936.29261027643</v>
      </c>
      <c r="L101" s="22">
        <f t="shared" si="27"/>
        <v>202702.7028</v>
      </c>
      <c r="M101" s="74">
        <v>0</v>
      </c>
      <c r="N101" s="74">
        <v>0</v>
      </c>
      <c r="O101" s="207">
        <v>0</v>
      </c>
      <c r="P101" s="398">
        <f t="shared" si="22"/>
        <v>748273.96</v>
      </c>
      <c r="Q101" s="398"/>
      <c r="R101" s="265">
        <f t="shared" si="23"/>
        <v>770969.96</v>
      </c>
      <c r="S101" s="13">
        <f t="shared" si="24"/>
        <v>0.96</v>
      </c>
      <c r="T101" s="1">
        <f t="shared" si="25"/>
        <v>96</v>
      </c>
      <c r="U101" t="s">
        <v>205</v>
      </c>
    </row>
    <row r="102" spans="1:22" ht="24.95" customHeight="1" x14ac:dyDescent="0.25">
      <c r="A102" s="16"/>
      <c r="B102" s="16">
        <f t="shared" si="29"/>
        <v>97</v>
      </c>
      <c r="C102" s="16" t="s">
        <v>107</v>
      </c>
      <c r="D102" s="80">
        <v>4.7999999999999996E-3</v>
      </c>
      <c r="E102" s="212">
        <v>752269.97</v>
      </c>
      <c r="F102" s="97">
        <v>755000</v>
      </c>
      <c r="G102" s="61">
        <f t="shared" si="20"/>
        <v>-2730.0300000000279</v>
      </c>
      <c r="H102" s="21">
        <f t="shared" si="28"/>
        <v>0</v>
      </c>
      <c r="I102" s="22">
        <f t="shared" si="18"/>
        <v>387244.62681599997</v>
      </c>
      <c r="J102" s="22">
        <f t="shared" ref="J102:J133" si="30">P$2*D102</f>
        <v>0</v>
      </c>
      <c r="K102" s="22">
        <f t="shared" si="26"/>
        <v>185936.29261027643</v>
      </c>
      <c r="L102" s="22">
        <f t="shared" si="27"/>
        <v>202702.7028</v>
      </c>
      <c r="M102" s="74">
        <v>0</v>
      </c>
      <c r="N102" s="74">
        <v>0</v>
      </c>
      <c r="O102" s="207">
        <v>0</v>
      </c>
      <c r="P102" s="398">
        <f t="shared" ref="P102:P133" si="31">ROUND(SUM(G102:O102),0) + S102</f>
        <v>773154.97</v>
      </c>
      <c r="Q102" s="398"/>
      <c r="R102" s="265">
        <f t="shared" ref="R102:R133" si="32">ROUND(P102+P102*3.033%,0) + S102</f>
        <v>796605.97</v>
      </c>
      <c r="S102" s="13">
        <f t="shared" ref="S102:S133" si="33">ROUND(0.001+B102/100,2)</f>
        <v>0.97</v>
      </c>
      <c r="T102" s="1">
        <f t="shared" ref="T102:T133" si="34">B102</f>
        <v>97</v>
      </c>
      <c r="U102" t="s">
        <v>220</v>
      </c>
    </row>
    <row r="103" spans="1:22" ht="24.95" customHeight="1" x14ac:dyDescent="0.25">
      <c r="A103" s="16"/>
      <c r="B103" s="16">
        <f t="shared" si="29"/>
        <v>98</v>
      </c>
      <c r="C103" s="16" t="s">
        <v>108</v>
      </c>
      <c r="D103" s="80">
        <v>4.7999999999999996E-3</v>
      </c>
      <c r="E103" s="212">
        <v>752350.98</v>
      </c>
      <c r="F103" s="213">
        <f>E103</f>
        <v>752350.98</v>
      </c>
      <c r="G103" s="61">
        <f t="shared" si="20"/>
        <v>0</v>
      </c>
      <c r="H103" s="21">
        <f t="shared" si="28"/>
        <v>0</v>
      </c>
      <c r="I103" s="22">
        <f t="shared" ref="I103:I158" si="35">K$2*D103</f>
        <v>387244.62681599997</v>
      </c>
      <c r="J103" s="22">
        <f t="shared" si="30"/>
        <v>0</v>
      </c>
      <c r="K103" s="22">
        <f t="shared" si="26"/>
        <v>185936.29261027643</v>
      </c>
      <c r="L103" s="22">
        <f t="shared" si="27"/>
        <v>202702.7028</v>
      </c>
      <c r="M103" s="74">
        <v>0</v>
      </c>
      <c r="N103" s="74">
        <v>0</v>
      </c>
      <c r="O103" s="207">
        <v>0</v>
      </c>
      <c r="P103" s="398">
        <f t="shared" si="31"/>
        <v>775884.98</v>
      </c>
      <c r="Q103" s="398"/>
      <c r="R103" s="265">
        <f t="shared" si="32"/>
        <v>799418.98</v>
      </c>
      <c r="S103" s="13">
        <f t="shared" si="33"/>
        <v>0.98</v>
      </c>
      <c r="T103" s="1">
        <f t="shared" si="34"/>
        <v>98</v>
      </c>
    </row>
    <row r="104" spans="1:22" ht="24.95" customHeight="1" x14ac:dyDescent="0.25">
      <c r="A104" s="16"/>
      <c r="B104" s="16">
        <f t="shared" si="29"/>
        <v>99</v>
      </c>
      <c r="C104" s="16" t="s">
        <v>109</v>
      </c>
      <c r="D104" s="80">
        <v>4.7999999999999996E-3</v>
      </c>
      <c r="E104" s="212">
        <v>799418.99</v>
      </c>
      <c r="F104" s="97">
        <f>E104</f>
        <v>799418.99</v>
      </c>
      <c r="G104" s="61">
        <f t="shared" si="20"/>
        <v>0</v>
      </c>
      <c r="H104" s="21">
        <f t="shared" si="28"/>
        <v>0</v>
      </c>
      <c r="I104" s="22">
        <f t="shared" si="35"/>
        <v>387244.62681599997</v>
      </c>
      <c r="J104" s="22">
        <f t="shared" si="30"/>
        <v>0</v>
      </c>
      <c r="K104" s="22">
        <f t="shared" si="26"/>
        <v>185936.29261027643</v>
      </c>
      <c r="L104" s="22">
        <f t="shared" si="27"/>
        <v>202702.7028</v>
      </c>
      <c r="M104" s="74">
        <v>0</v>
      </c>
      <c r="N104" s="74">
        <v>0</v>
      </c>
      <c r="O104" s="207">
        <v>0</v>
      </c>
      <c r="P104" s="398">
        <f t="shared" si="31"/>
        <v>775884.99</v>
      </c>
      <c r="Q104" s="398"/>
      <c r="R104" s="265">
        <f t="shared" si="32"/>
        <v>799418.99</v>
      </c>
      <c r="S104" s="13">
        <f t="shared" si="33"/>
        <v>0.99</v>
      </c>
      <c r="T104" s="1">
        <f t="shared" si="34"/>
        <v>99</v>
      </c>
      <c r="U104" s="10" t="s">
        <v>219</v>
      </c>
    </row>
    <row r="105" spans="1:22" ht="24.95" customHeight="1" x14ac:dyDescent="0.25">
      <c r="A105" s="16"/>
      <c r="B105" s="16">
        <f t="shared" si="29"/>
        <v>100</v>
      </c>
      <c r="C105" s="16" t="s">
        <v>110</v>
      </c>
      <c r="D105" s="80">
        <v>4.7999999999999996E-3</v>
      </c>
      <c r="E105" s="212">
        <v>752351</v>
      </c>
      <c r="F105" s="97"/>
      <c r="G105" s="61">
        <f t="shared" si="20"/>
        <v>752351</v>
      </c>
      <c r="H105" s="21">
        <f t="shared" si="28"/>
        <v>23225.075370000002</v>
      </c>
      <c r="I105" s="22">
        <f t="shared" si="35"/>
        <v>387244.62681599997</v>
      </c>
      <c r="J105" s="22">
        <f t="shared" si="30"/>
        <v>0</v>
      </c>
      <c r="K105" s="22">
        <f t="shared" si="26"/>
        <v>185936.29261027643</v>
      </c>
      <c r="L105" s="22">
        <f t="shared" si="27"/>
        <v>202702.7028</v>
      </c>
      <c r="M105" s="74">
        <v>0</v>
      </c>
      <c r="N105" s="74">
        <v>0</v>
      </c>
      <c r="O105" s="207">
        <v>0</v>
      </c>
      <c r="P105" s="398">
        <f t="shared" si="31"/>
        <v>1551461</v>
      </c>
      <c r="Q105" s="398"/>
      <c r="R105" s="265">
        <f t="shared" si="32"/>
        <v>1598518</v>
      </c>
      <c r="S105" s="13">
        <f t="shared" si="33"/>
        <v>1</v>
      </c>
      <c r="T105" s="1">
        <f t="shared" si="34"/>
        <v>100</v>
      </c>
    </row>
    <row r="106" spans="1:22" ht="24.95" customHeight="1" x14ac:dyDescent="0.25">
      <c r="A106" s="171"/>
      <c r="B106" s="16">
        <f t="shared" si="29"/>
        <v>101</v>
      </c>
      <c r="C106" s="16" t="s">
        <v>111</v>
      </c>
      <c r="D106" s="80">
        <v>4.7999999999999996E-3</v>
      </c>
      <c r="E106" s="212">
        <v>752351.01</v>
      </c>
      <c r="F106" s="213">
        <f>E106</f>
        <v>752351.01</v>
      </c>
      <c r="G106" s="61">
        <f t="shared" si="20"/>
        <v>0</v>
      </c>
      <c r="H106" s="21">
        <f t="shared" si="28"/>
        <v>0</v>
      </c>
      <c r="I106" s="22">
        <f t="shared" si="35"/>
        <v>387244.62681599997</v>
      </c>
      <c r="J106" s="22">
        <f t="shared" si="30"/>
        <v>0</v>
      </c>
      <c r="K106" s="22">
        <f t="shared" si="26"/>
        <v>185936.29261027643</v>
      </c>
      <c r="L106" s="22">
        <f t="shared" si="27"/>
        <v>202702.7028</v>
      </c>
      <c r="M106" s="74">
        <v>0</v>
      </c>
      <c r="N106" s="74">
        <v>0</v>
      </c>
      <c r="O106" s="207">
        <v>0</v>
      </c>
      <c r="P106" s="398">
        <f t="shared" si="31"/>
        <v>775885.01</v>
      </c>
      <c r="Q106" s="398"/>
      <c r="R106" s="265">
        <f t="shared" si="32"/>
        <v>799419.01</v>
      </c>
      <c r="S106" s="13">
        <f t="shared" si="33"/>
        <v>1.01</v>
      </c>
      <c r="T106" s="1">
        <f t="shared" si="34"/>
        <v>101</v>
      </c>
    </row>
    <row r="107" spans="1:22" ht="24.95" customHeight="1" x14ac:dyDescent="0.25">
      <c r="A107" s="249"/>
      <c r="B107" s="16">
        <f t="shared" si="29"/>
        <v>102</v>
      </c>
      <c r="C107" s="16" t="s">
        <v>112</v>
      </c>
      <c r="D107" s="80">
        <v>4.7999999999999996E-3</v>
      </c>
      <c r="E107" s="212">
        <v>775118.02</v>
      </c>
      <c r="F107" s="97">
        <f>760000+20000</f>
        <v>780000</v>
      </c>
      <c r="G107" s="61">
        <f t="shared" si="20"/>
        <v>-4881.9799999999814</v>
      </c>
      <c r="H107" s="21">
        <f t="shared" si="28"/>
        <v>0</v>
      </c>
      <c r="I107" s="22">
        <f t="shared" si="35"/>
        <v>387244.62681599997</v>
      </c>
      <c r="J107" s="22">
        <f t="shared" si="30"/>
        <v>0</v>
      </c>
      <c r="K107" s="22">
        <f t="shared" si="26"/>
        <v>185936.29261027643</v>
      </c>
      <c r="L107" s="22">
        <f t="shared" si="27"/>
        <v>202702.7028</v>
      </c>
      <c r="M107" s="74">
        <v>0</v>
      </c>
      <c r="N107" s="74">
        <v>0</v>
      </c>
      <c r="O107" s="207">
        <v>0</v>
      </c>
      <c r="P107" s="398">
        <f t="shared" si="31"/>
        <v>771003.02</v>
      </c>
      <c r="Q107" s="398"/>
      <c r="R107" s="265">
        <f t="shared" si="32"/>
        <v>794389.02</v>
      </c>
      <c r="S107" s="13">
        <f t="shared" si="33"/>
        <v>1.02</v>
      </c>
      <c r="T107" s="1">
        <f t="shared" si="34"/>
        <v>102</v>
      </c>
      <c r="U107" t="s">
        <v>278</v>
      </c>
    </row>
    <row r="108" spans="1:22" ht="24.95" customHeight="1" x14ac:dyDescent="0.25">
      <c r="A108" s="16"/>
      <c r="B108" s="16">
        <f t="shared" si="29"/>
        <v>103</v>
      </c>
      <c r="C108" s="16" t="s">
        <v>113</v>
      </c>
      <c r="D108" s="80">
        <v>4.7999999999999996E-3</v>
      </c>
      <c r="E108" s="212">
        <v>750176.03</v>
      </c>
      <c r="F108" s="213">
        <f>E108</f>
        <v>750176.03</v>
      </c>
      <c r="G108" s="61">
        <f t="shared" si="20"/>
        <v>0</v>
      </c>
      <c r="H108" s="21">
        <f t="shared" si="28"/>
        <v>0</v>
      </c>
      <c r="I108" s="22">
        <f t="shared" si="35"/>
        <v>387244.62681599997</v>
      </c>
      <c r="J108" s="22">
        <f t="shared" si="30"/>
        <v>0</v>
      </c>
      <c r="K108" s="22">
        <f t="shared" si="26"/>
        <v>185936.29261027643</v>
      </c>
      <c r="L108" s="22">
        <f t="shared" si="27"/>
        <v>202702.7028</v>
      </c>
      <c r="M108" s="74">
        <v>0</v>
      </c>
      <c r="N108" s="74">
        <v>0</v>
      </c>
      <c r="O108" s="207">
        <v>0</v>
      </c>
      <c r="P108" s="398">
        <f t="shared" si="31"/>
        <v>775885.03</v>
      </c>
      <c r="Q108" s="398"/>
      <c r="R108" s="265">
        <f t="shared" si="32"/>
        <v>799419.03</v>
      </c>
      <c r="S108" s="13">
        <f t="shared" si="33"/>
        <v>1.03</v>
      </c>
      <c r="T108" s="1">
        <f t="shared" si="34"/>
        <v>103</v>
      </c>
    </row>
    <row r="109" spans="1:22" ht="24.95" customHeight="1" x14ac:dyDescent="0.25">
      <c r="A109" s="249"/>
      <c r="B109" s="16">
        <f t="shared" si="29"/>
        <v>104</v>
      </c>
      <c r="C109" s="16" t="s">
        <v>114</v>
      </c>
      <c r="D109" s="80">
        <v>4.7000000000000002E-3</v>
      </c>
      <c r="E109" s="212">
        <v>767817.04</v>
      </c>
      <c r="F109" s="213">
        <f>683531.04+152575</f>
        <v>836106.04</v>
      </c>
      <c r="G109" s="61">
        <f t="shared" si="20"/>
        <v>-68289</v>
      </c>
      <c r="H109" s="21">
        <f t="shared" si="28"/>
        <v>0</v>
      </c>
      <c r="I109" s="22">
        <f t="shared" si="35"/>
        <v>379177.030424</v>
      </c>
      <c r="J109" s="22">
        <f t="shared" si="30"/>
        <v>0</v>
      </c>
      <c r="K109" s="22">
        <f t="shared" si="26"/>
        <v>185936.29261027643</v>
      </c>
      <c r="L109" s="22">
        <f t="shared" si="27"/>
        <v>202702.7028</v>
      </c>
      <c r="M109" s="74">
        <v>0</v>
      </c>
      <c r="N109" s="74">
        <v>0</v>
      </c>
      <c r="O109" s="207">
        <v>0</v>
      </c>
      <c r="P109" s="398">
        <f t="shared" si="31"/>
        <v>699528.04</v>
      </c>
      <c r="Q109" s="398"/>
      <c r="R109" s="265">
        <f t="shared" si="32"/>
        <v>720746.04</v>
      </c>
      <c r="S109" s="13">
        <f t="shared" si="33"/>
        <v>1.04</v>
      </c>
      <c r="T109" s="1">
        <f t="shared" si="34"/>
        <v>104</v>
      </c>
      <c r="U109" t="s">
        <v>335</v>
      </c>
    </row>
    <row r="110" spans="1:22" ht="24.95" customHeight="1" x14ac:dyDescent="0.25">
      <c r="A110" s="179"/>
      <c r="B110" s="16">
        <f t="shared" si="29"/>
        <v>105</v>
      </c>
      <c r="C110" s="16" t="s">
        <v>115</v>
      </c>
      <c r="D110" s="80">
        <v>4.1999999999999997E-3</v>
      </c>
      <c r="E110" s="212">
        <v>726810.05</v>
      </c>
      <c r="F110" s="213">
        <f>E110</f>
        <v>726810.05</v>
      </c>
      <c r="G110" s="62">
        <f t="shared" si="20"/>
        <v>0</v>
      </c>
      <c r="H110" s="81">
        <f t="shared" si="28"/>
        <v>0</v>
      </c>
      <c r="I110" s="74">
        <f t="shared" si="35"/>
        <v>338839.04846399999</v>
      </c>
      <c r="J110" s="74">
        <f t="shared" si="30"/>
        <v>0</v>
      </c>
      <c r="K110" s="74">
        <f t="shared" si="26"/>
        <v>185936.29261027643</v>
      </c>
      <c r="L110" s="74">
        <f t="shared" si="27"/>
        <v>202702.7028</v>
      </c>
      <c r="M110" s="74">
        <v>0</v>
      </c>
      <c r="N110" s="74">
        <v>0</v>
      </c>
      <c r="O110" s="219">
        <f>I110/2</f>
        <v>169419.524232</v>
      </c>
      <c r="P110" s="398">
        <f t="shared" si="31"/>
        <v>896899.05</v>
      </c>
      <c r="Q110" s="398"/>
      <c r="R110" s="265">
        <f t="shared" si="32"/>
        <v>924103.05</v>
      </c>
      <c r="S110" s="82">
        <f t="shared" si="33"/>
        <v>1.05</v>
      </c>
      <c r="T110" s="60">
        <f t="shared" si="34"/>
        <v>105</v>
      </c>
      <c r="U110" s="156" t="s">
        <v>313</v>
      </c>
      <c r="V110" s="36"/>
    </row>
    <row r="111" spans="1:22" ht="24.95" customHeight="1" x14ac:dyDescent="0.25">
      <c r="A111" s="254"/>
      <c r="B111" s="16">
        <f t="shared" si="29"/>
        <v>106</v>
      </c>
      <c r="C111" s="16" t="s">
        <v>394</v>
      </c>
      <c r="D111" s="80">
        <v>4.4000000000000003E-3</v>
      </c>
      <c r="E111" s="212">
        <v>1769526.06</v>
      </c>
      <c r="F111" s="97">
        <f>1381526+388000</f>
        <v>1769526</v>
      </c>
      <c r="G111" s="62">
        <f t="shared" si="20"/>
        <v>6.0000000055879354E-2</v>
      </c>
      <c r="H111" s="81">
        <f t="shared" si="28"/>
        <v>1.8522000017249958E-3</v>
      </c>
      <c r="I111" s="74">
        <f t="shared" si="35"/>
        <v>354974.24124800001</v>
      </c>
      <c r="J111" s="74">
        <f t="shared" si="30"/>
        <v>0</v>
      </c>
      <c r="K111" s="74">
        <f t="shared" si="26"/>
        <v>185936.29261027643</v>
      </c>
      <c r="L111" s="74">
        <f t="shared" si="27"/>
        <v>202702.7028</v>
      </c>
      <c r="M111" s="74">
        <v>70995</v>
      </c>
      <c r="N111" s="74">
        <f>(I111+K111)/2</f>
        <v>270455.26692913822</v>
      </c>
      <c r="O111" s="207">
        <v>0</v>
      </c>
      <c r="P111" s="398">
        <f t="shared" si="31"/>
        <v>1085065.06</v>
      </c>
      <c r="Q111" s="398"/>
      <c r="R111" s="265">
        <f t="shared" si="32"/>
        <v>1117976.06</v>
      </c>
      <c r="S111" s="82">
        <f t="shared" si="33"/>
        <v>1.06</v>
      </c>
      <c r="T111" s="60">
        <f t="shared" si="34"/>
        <v>106</v>
      </c>
      <c r="U111" t="s">
        <v>328</v>
      </c>
    </row>
    <row r="112" spans="1:22" ht="24.95" customHeight="1" x14ac:dyDescent="0.25">
      <c r="A112" s="16"/>
      <c r="B112" s="16">
        <f t="shared" si="29"/>
        <v>107</v>
      </c>
      <c r="C112" s="16" t="s">
        <v>116</v>
      </c>
      <c r="D112" s="80">
        <v>4.4000000000000003E-3</v>
      </c>
      <c r="E112" s="212">
        <v>790126.07</v>
      </c>
      <c r="F112" s="213">
        <f>E112</f>
        <v>790126.07</v>
      </c>
      <c r="G112" s="61">
        <f t="shared" si="20"/>
        <v>0</v>
      </c>
      <c r="H112" s="21">
        <f t="shared" si="28"/>
        <v>0</v>
      </c>
      <c r="I112" s="22">
        <f t="shared" si="35"/>
        <v>354974.24124800001</v>
      </c>
      <c r="J112" s="22">
        <f t="shared" si="30"/>
        <v>0</v>
      </c>
      <c r="K112" s="22">
        <f t="shared" si="26"/>
        <v>185936.29261027643</v>
      </c>
      <c r="L112" s="22">
        <f t="shared" si="27"/>
        <v>202702.7028</v>
      </c>
      <c r="M112" s="74">
        <v>0</v>
      </c>
      <c r="N112" s="74">
        <v>0</v>
      </c>
      <c r="O112" s="207">
        <v>0</v>
      </c>
      <c r="P112" s="398">
        <f t="shared" si="31"/>
        <v>743614.07</v>
      </c>
      <c r="Q112" s="398"/>
      <c r="R112" s="265">
        <f t="shared" si="32"/>
        <v>766169.07</v>
      </c>
      <c r="S112" s="13">
        <f t="shared" si="33"/>
        <v>1.07</v>
      </c>
      <c r="T112" s="1">
        <f t="shared" si="34"/>
        <v>107</v>
      </c>
      <c r="U112" t="s">
        <v>251</v>
      </c>
    </row>
    <row r="113" spans="1:25" ht="24.95" customHeight="1" x14ac:dyDescent="0.25">
      <c r="A113" s="16"/>
      <c r="B113" s="16">
        <f t="shared" si="29"/>
        <v>108</v>
      </c>
      <c r="C113" s="16" t="s">
        <v>117</v>
      </c>
      <c r="D113" s="80">
        <v>4.4000000000000003E-3</v>
      </c>
      <c r="E113" s="212">
        <v>721059.08</v>
      </c>
      <c r="F113" s="213">
        <f>E113</f>
        <v>721059.08</v>
      </c>
      <c r="G113" s="61">
        <f t="shared" si="20"/>
        <v>0</v>
      </c>
      <c r="H113" s="21">
        <f t="shared" si="28"/>
        <v>0</v>
      </c>
      <c r="I113" s="22">
        <f t="shared" si="35"/>
        <v>354974.24124800001</v>
      </c>
      <c r="J113" s="22">
        <f t="shared" si="30"/>
        <v>0</v>
      </c>
      <c r="K113" s="22">
        <f t="shared" si="26"/>
        <v>185936.29261027643</v>
      </c>
      <c r="L113" s="22">
        <f t="shared" si="27"/>
        <v>202702.7028</v>
      </c>
      <c r="M113" s="74">
        <v>0</v>
      </c>
      <c r="N113" s="74">
        <v>0</v>
      </c>
      <c r="O113" s="207">
        <v>0</v>
      </c>
      <c r="P113" s="398">
        <f t="shared" si="31"/>
        <v>743614.08</v>
      </c>
      <c r="Q113" s="398"/>
      <c r="R113" s="265">
        <f t="shared" si="32"/>
        <v>766169.08</v>
      </c>
      <c r="S113" s="13">
        <f t="shared" si="33"/>
        <v>1.08</v>
      </c>
      <c r="T113" s="1">
        <f t="shared" si="34"/>
        <v>108</v>
      </c>
    </row>
    <row r="114" spans="1:25" ht="24.95" customHeight="1" x14ac:dyDescent="0.25">
      <c r="A114" s="179"/>
      <c r="B114" s="16">
        <f t="shared" si="29"/>
        <v>109</v>
      </c>
      <c r="C114" s="16" t="s">
        <v>118</v>
      </c>
      <c r="D114" s="80">
        <v>4.4999999999999997E-3</v>
      </c>
      <c r="E114" s="212">
        <v>1511441.09</v>
      </c>
      <c r="F114" s="97">
        <v>780000</v>
      </c>
      <c r="G114" s="61">
        <f t="shared" si="20"/>
        <v>731441.09000000008</v>
      </c>
      <c r="H114" s="21">
        <f t="shared" si="28"/>
        <v>22579.586448300004</v>
      </c>
      <c r="I114" s="22">
        <f t="shared" si="35"/>
        <v>363041.83763999998</v>
      </c>
      <c r="J114" s="22">
        <f t="shared" si="30"/>
        <v>0</v>
      </c>
      <c r="K114" s="22">
        <f t="shared" si="26"/>
        <v>185936.29261027643</v>
      </c>
      <c r="L114" s="22">
        <f t="shared" si="27"/>
        <v>202702.7028</v>
      </c>
      <c r="M114" s="74">
        <v>0</v>
      </c>
      <c r="N114" s="74">
        <v>0</v>
      </c>
      <c r="O114" s="207">
        <v>0</v>
      </c>
      <c r="P114" s="398">
        <f t="shared" si="31"/>
        <v>1505703.09</v>
      </c>
      <c r="Q114" s="398"/>
      <c r="R114" s="265">
        <f t="shared" si="32"/>
        <v>1551372.09</v>
      </c>
      <c r="S114" s="13">
        <f t="shared" si="33"/>
        <v>1.0900000000000001</v>
      </c>
      <c r="T114" s="1">
        <f t="shared" si="34"/>
        <v>109</v>
      </c>
      <c r="U114" t="s">
        <v>247</v>
      </c>
    </row>
    <row r="115" spans="1:25" ht="24.95" customHeight="1" x14ac:dyDescent="0.25">
      <c r="A115" s="16"/>
      <c r="B115" s="16">
        <f t="shared" si="29"/>
        <v>110</v>
      </c>
      <c r="C115" s="16" t="s">
        <v>119</v>
      </c>
      <c r="D115" s="80">
        <v>4.5999999999999999E-3</v>
      </c>
      <c r="E115" s="212">
        <v>1524957.1</v>
      </c>
      <c r="F115" s="97">
        <v>1572000</v>
      </c>
      <c r="G115" s="61">
        <f t="shared" si="20"/>
        <v>-47042.899999999907</v>
      </c>
      <c r="H115" s="21">
        <f t="shared" si="28"/>
        <v>0</v>
      </c>
      <c r="I115" s="22">
        <f t="shared" si="35"/>
        <v>371109.43403200002</v>
      </c>
      <c r="J115" s="22">
        <f t="shared" si="30"/>
        <v>0</v>
      </c>
      <c r="K115" s="22">
        <f t="shared" si="26"/>
        <v>185936.29261027643</v>
      </c>
      <c r="L115" s="22">
        <f t="shared" si="27"/>
        <v>202702.7028</v>
      </c>
      <c r="M115" s="74">
        <v>0</v>
      </c>
      <c r="N115" s="74">
        <v>0</v>
      </c>
      <c r="O115" s="207">
        <v>0</v>
      </c>
      <c r="P115" s="398">
        <f t="shared" si="31"/>
        <v>712707.1</v>
      </c>
      <c r="Q115" s="398"/>
      <c r="R115" s="265">
        <f t="shared" si="32"/>
        <v>734325.1</v>
      </c>
      <c r="S115" s="13">
        <f t="shared" si="33"/>
        <v>1.1000000000000001</v>
      </c>
      <c r="T115" s="1">
        <f t="shared" si="34"/>
        <v>110</v>
      </c>
      <c r="U115" t="s">
        <v>255</v>
      </c>
      <c r="Y115" s="41"/>
    </row>
    <row r="116" spans="1:25" ht="24.95" customHeight="1" x14ac:dyDescent="0.25">
      <c r="A116" s="16"/>
      <c r="B116" s="16">
        <f t="shared" si="29"/>
        <v>111</v>
      </c>
      <c r="C116" s="16" t="s">
        <v>120</v>
      </c>
      <c r="D116" s="80">
        <v>4.4999999999999997E-3</v>
      </c>
      <c r="E116" s="212">
        <v>751682.11</v>
      </c>
      <c r="F116" s="97">
        <f>E116</f>
        <v>751682.11</v>
      </c>
      <c r="G116" s="61">
        <f t="shared" si="20"/>
        <v>0</v>
      </c>
      <c r="H116" s="21">
        <f t="shared" si="28"/>
        <v>0</v>
      </c>
      <c r="I116" s="22">
        <f t="shared" si="35"/>
        <v>363041.83763999998</v>
      </c>
      <c r="J116" s="22">
        <f t="shared" si="30"/>
        <v>0</v>
      </c>
      <c r="K116" s="22">
        <f t="shared" si="26"/>
        <v>185936.29261027643</v>
      </c>
      <c r="L116" s="22">
        <f t="shared" si="27"/>
        <v>202702.7028</v>
      </c>
      <c r="M116" s="74">
        <v>0</v>
      </c>
      <c r="N116" s="74">
        <v>0</v>
      </c>
      <c r="O116" s="207">
        <v>0</v>
      </c>
      <c r="P116" s="398">
        <f t="shared" si="31"/>
        <v>751682.11</v>
      </c>
      <c r="Q116" s="398"/>
      <c r="R116" s="265">
        <f t="shared" si="32"/>
        <v>774482.11</v>
      </c>
      <c r="S116" s="13">
        <f t="shared" si="33"/>
        <v>1.1100000000000001</v>
      </c>
      <c r="T116" s="1">
        <f t="shared" si="34"/>
        <v>111</v>
      </c>
    </row>
    <row r="117" spans="1:25" ht="24.95" customHeight="1" x14ac:dyDescent="0.25">
      <c r="A117" s="179"/>
      <c r="B117" s="16">
        <f t="shared" si="29"/>
        <v>112</v>
      </c>
      <c r="C117" s="16" t="s">
        <v>121</v>
      </c>
      <c r="D117" s="80">
        <v>4.4999999999999997E-3</v>
      </c>
      <c r="E117" s="212">
        <v>725114.12</v>
      </c>
      <c r="F117" s="97">
        <v>730000</v>
      </c>
      <c r="G117" s="61">
        <f t="shared" si="20"/>
        <v>-4885.8800000000047</v>
      </c>
      <c r="H117" s="21">
        <f t="shared" si="28"/>
        <v>0</v>
      </c>
      <c r="I117" s="22">
        <f t="shared" si="35"/>
        <v>363041.83763999998</v>
      </c>
      <c r="J117" s="22">
        <f t="shared" si="30"/>
        <v>0</v>
      </c>
      <c r="K117" s="22">
        <f t="shared" si="26"/>
        <v>185936.29261027643</v>
      </c>
      <c r="L117" s="22">
        <f t="shared" si="27"/>
        <v>202702.7028</v>
      </c>
      <c r="M117" s="74">
        <v>0</v>
      </c>
      <c r="N117" s="74">
        <v>0</v>
      </c>
      <c r="O117" s="207">
        <v>0</v>
      </c>
      <c r="P117" s="398">
        <f t="shared" si="31"/>
        <v>746796.12</v>
      </c>
      <c r="Q117" s="398"/>
      <c r="R117" s="265">
        <f t="shared" si="32"/>
        <v>769447.12</v>
      </c>
      <c r="S117" s="13">
        <f t="shared" si="33"/>
        <v>1.1200000000000001</v>
      </c>
      <c r="T117" s="1">
        <f t="shared" si="34"/>
        <v>112</v>
      </c>
      <c r="U117" t="s">
        <v>204</v>
      </c>
    </row>
    <row r="118" spans="1:25" ht="24.95" customHeight="1" x14ac:dyDescent="0.25">
      <c r="A118" s="16"/>
      <c r="B118" s="16">
        <f t="shared" si="29"/>
        <v>113</v>
      </c>
      <c r="C118" s="16" t="s">
        <v>122</v>
      </c>
      <c r="D118" s="80">
        <v>4.7000000000000002E-3</v>
      </c>
      <c r="E118" s="212">
        <v>744528.13</v>
      </c>
      <c r="F118" s="97"/>
      <c r="G118" s="61">
        <f t="shared" si="20"/>
        <v>744528.13</v>
      </c>
      <c r="H118" s="21">
        <f t="shared" si="28"/>
        <v>22983.583373100002</v>
      </c>
      <c r="I118" s="22">
        <f t="shared" si="35"/>
        <v>379177.030424</v>
      </c>
      <c r="J118" s="22">
        <f t="shared" si="30"/>
        <v>0</v>
      </c>
      <c r="K118" s="22">
        <f t="shared" si="26"/>
        <v>185936.29261027643</v>
      </c>
      <c r="L118" s="22">
        <f t="shared" si="27"/>
        <v>202702.7028</v>
      </c>
      <c r="M118" s="74">
        <v>0</v>
      </c>
      <c r="N118" s="74">
        <v>0</v>
      </c>
      <c r="O118" s="207">
        <v>0</v>
      </c>
      <c r="P118" s="398">
        <f t="shared" si="31"/>
        <v>1535329.13</v>
      </c>
      <c r="Q118" s="398"/>
      <c r="R118" s="265">
        <f t="shared" si="32"/>
        <v>1581897.13</v>
      </c>
      <c r="S118" s="13">
        <f t="shared" si="33"/>
        <v>1.1299999999999999</v>
      </c>
      <c r="T118" s="1">
        <f t="shared" si="34"/>
        <v>113</v>
      </c>
    </row>
    <row r="119" spans="1:25" ht="24.95" customHeight="1" x14ac:dyDescent="0.25">
      <c r="A119" s="16"/>
      <c r="B119" s="16">
        <f t="shared" si="29"/>
        <v>114</v>
      </c>
      <c r="C119" s="16" t="s">
        <v>123</v>
      </c>
      <c r="D119" s="80">
        <v>4.4999999999999997E-3</v>
      </c>
      <c r="E119" s="212">
        <v>728882.14</v>
      </c>
      <c r="F119" s="97">
        <v>750990.14</v>
      </c>
      <c r="G119" s="61">
        <f t="shared" si="20"/>
        <v>-22108</v>
      </c>
      <c r="H119" s="21">
        <f t="shared" si="28"/>
        <v>0</v>
      </c>
      <c r="I119" s="22">
        <f t="shared" si="35"/>
        <v>363041.83763999998</v>
      </c>
      <c r="J119" s="22">
        <f t="shared" si="30"/>
        <v>0</v>
      </c>
      <c r="K119" s="22">
        <f t="shared" si="26"/>
        <v>185936.29261027643</v>
      </c>
      <c r="L119" s="22">
        <f t="shared" si="27"/>
        <v>202702.7028</v>
      </c>
      <c r="M119" s="74">
        <v>0</v>
      </c>
      <c r="N119" s="74">
        <v>0</v>
      </c>
      <c r="O119" s="207">
        <v>0</v>
      </c>
      <c r="P119" s="398">
        <f t="shared" si="31"/>
        <v>729574.14</v>
      </c>
      <c r="Q119" s="398"/>
      <c r="R119" s="265">
        <f t="shared" si="32"/>
        <v>751703.14</v>
      </c>
      <c r="S119" s="13">
        <f t="shared" si="33"/>
        <v>1.1399999999999999</v>
      </c>
      <c r="T119" s="1">
        <f t="shared" si="34"/>
        <v>114</v>
      </c>
    </row>
    <row r="120" spans="1:25" ht="24.95" customHeight="1" x14ac:dyDescent="0.25">
      <c r="A120" s="16"/>
      <c r="B120" s="16">
        <f t="shared" si="29"/>
        <v>115</v>
      </c>
      <c r="C120" s="16" t="s">
        <v>124</v>
      </c>
      <c r="D120" s="80">
        <v>6.4000000000000003E-3</v>
      </c>
      <c r="E120" s="212">
        <v>849222.15</v>
      </c>
      <c r="F120" s="97">
        <f>849222.15</f>
        <v>849222.15</v>
      </c>
      <c r="G120" s="61">
        <f t="shared" si="20"/>
        <v>0</v>
      </c>
      <c r="H120" s="21">
        <f t="shared" si="28"/>
        <v>0</v>
      </c>
      <c r="I120" s="22">
        <f t="shared" si="35"/>
        <v>516326.16908800002</v>
      </c>
      <c r="J120" s="22">
        <f t="shared" si="30"/>
        <v>0</v>
      </c>
      <c r="K120" s="22">
        <f t="shared" si="26"/>
        <v>185936.29261027643</v>
      </c>
      <c r="L120" s="22">
        <f t="shared" si="27"/>
        <v>202702.7028</v>
      </c>
      <c r="M120" s="74">
        <v>0</v>
      </c>
      <c r="N120" s="74">
        <v>0</v>
      </c>
      <c r="O120" s="219">
        <f>I120/2</f>
        <v>258163.08454400001</v>
      </c>
      <c r="P120" s="398">
        <f t="shared" si="31"/>
        <v>1163129.1499999999</v>
      </c>
      <c r="Q120" s="398"/>
      <c r="R120" s="265">
        <f t="shared" si="32"/>
        <v>1198408.1499999999</v>
      </c>
      <c r="S120" s="13">
        <f t="shared" si="33"/>
        <v>1.1499999999999999</v>
      </c>
      <c r="T120" s="1">
        <f t="shared" si="34"/>
        <v>115</v>
      </c>
      <c r="U120" t="s">
        <v>305</v>
      </c>
    </row>
    <row r="121" spans="1:25" ht="24.95" customHeight="1" x14ac:dyDescent="0.25">
      <c r="A121" s="16"/>
      <c r="B121" s="16">
        <f t="shared" si="29"/>
        <v>116</v>
      </c>
      <c r="C121" s="16" t="s">
        <v>125</v>
      </c>
      <c r="D121" s="80">
        <v>5.7999999999999996E-3</v>
      </c>
      <c r="E121" s="212">
        <v>803799.16</v>
      </c>
      <c r="F121" s="97">
        <v>828179.16</v>
      </c>
      <c r="G121" s="61">
        <f t="shared" si="20"/>
        <v>-24380</v>
      </c>
      <c r="H121" s="21">
        <f t="shared" si="28"/>
        <v>0</v>
      </c>
      <c r="I121" s="22">
        <f t="shared" si="35"/>
        <v>467920.59073599998</v>
      </c>
      <c r="J121" s="22">
        <f t="shared" si="30"/>
        <v>0</v>
      </c>
      <c r="K121" s="22">
        <f t="shared" si="26"/>
        <v>185936.29261027643</v>
      </c>
      <c r="L121" s="22">
        <f t="shared" si="27"/>
        <v>202702.7028</v>
      </c>
      <c r="M121" s="74">
        <v>0</v>
      </c>
      <c r="N121" s="74">
        <v>0</v>
      </c>
      <c r="O121" s="207">
        <v>0</v>
      </c>
      <c r="P121" s="398">
        <f t="shared" si="31"/>
        <v>832181.16</v>
      </c>
      <c r="Q121" s="398"/>
      <c r="R121" s="265">
        <f t="shared" si="32"/>
        <v>857422.16</v>
      </c>
      <c r="S121" s="13">
        <f t="shared" si="33"/>
        <v>1.1599999999999999</v>
      </c>
      <c r="T121" s="1">
        <f t="shared" si="34"/>
        <v>116</v>
      </c>
    </row>
    <row r="122" spans="1:25" ht="24.95" customHeight="1" x14ac:dyDescent="0.25">
      <c r="A122" s="16"/>
      <c r="B122" s="16">
        <f t="shared" si="29"/>
        <v>117</v>
      </c>
      <c r="C122" s="16" t="s">
        <v>126</v>
      </c>
      <c r="D122" s="80">
        <v>6.1000000000000004E-3</v>
      </c>
      <c r="E122" s="212">
        <v>854048.17</v>
      </c>
      <c r="F122" s="97">
        <v>879972.17</v>
      </c>
      <c r="G122" s="61">
        <f t="shared" si="20"/>
        <v>-25924</v>
      </c>
      <c r="H122" s="21">
        <f t="shared" si="28"/>
        <v>0</v>
      </c>
      <c r="I122" s="22">
        <f t="shared" si="35"/>
        <v>492123.37991200003</v>
      </c>
      <c r="J122" s="22">
        <f t="shared" si="30"/>
        <v>0</v>
      </c>
      <c r="K122" s="22">
        <f t="shared" si="26"/>
        <v>185936.29261027643</v>
      </c>
      <c r="L122" s="22">
        <f t="shared" si="27"/>
        <v>202702.7028</v>
      </c>
      <c r="M122" s="74">
        <v>0</v>
      </c>
      <c r="N122" s="74">
        <v>0</v>
      </c>
      <c r="O122" s="207">
        <v>0</v>
      </c>
      <c r="P122" s="398">
        <f t="shared" si="31"/>
        <v>854839.17</v>
      </c>
      <c r="Q122" s="398"/>
      <c r="R122" s="265">
        <f t="shared" si="32"/>
        <v>880767.17</v>
      </c>
      <c r="S122" s="13">
        <f t="shared" si="33"/>
        <v>1.17</v>
      </c>
      <c r="T122" s="1">
        <f t="shared" si="34"/>
        <v>117</v>
      </c>
      <c r="U122" t="s">
        <v>279</v>
      </c>
    </row>
    <row r="123" spans="1:25" ht="24.95" customHeight="1" x14ac:dyDescent="0.25">
      <c r="A123" s="16"/>
      <c r="B123" s="16">
        <f t="shared" si="29"/>
        <v>118</v>
      </c>
      <c r="C123" s="16" t="s">
        <v>127</v>
      </c>
      <c r="D123" s="80">
        <v>5.7999999999999996E-3</v>
      </c>
      <c r="E123" s="212">
        <v>856559.18</v>
      </c>
      <c r="F123" s="213">
        <f>2376060-2-F125-F126</f>
        <v>856559.59000000008</v>
      </c>
      <c r="G123" s="61">
        <f t="shared" si="20"/>
        <v>-0.41000000003259629</v>
      </c>
      <c r="H123" s="21">
        <f t="shared" si="28"/>
        <v>0</v>
      </c>
      <c r="I123" s="22">
        <f t="shared" si="35"/>
        <v>467920.59073599998</v>
      </c>
      <c r="J123" s="22">
        <f t="shared" si="30"/>
        <v>0</v>
      </c>
      <c r="K123" s="22">
        <f t="shared" si="26"/>
        <v>185936.29261027643</v>
      </c>
      <c r="L123" s="22">
        <f t="shared" si="27"/>
        <v>202702.7028</v>
      </c>
      <c r="M123" s="74">
        <v>0</v>
      </c>
      <c r="N123" s="74">
        <v>0</v>
      </c>
      <c r="O123" s="207">
        <v>0</v>
      </c>
      <c r="P123" s="398">
        <f t="shared" si="31"/>
        <v>856560.18</v>
      </c>
      <c r="Q123" s="398"/>
      <c r="R123" s="265">
        <f t="shared" si="32"/>
        <v>882541.18</v>
      </c>
      <c r="S123" s="13">
        <f t="shared" si="33"/>
        <v>1.18</v>
      </c>
      <c r="T123" s="1">
        <f t="shared" si="34"/>
        <v>118</v>
      </c>
      <c r="U123" t="s">
        <v>301</v>
      </c>
    </row>
    <row r="124" spans="1:25" ht="24.95" customHeight="1" x14ac:dyDescent="0.25">
      <c r="A124" s="179"/>
      <c r="B124" s="16">
        <f t="shared" si="29"/>
        <v>119</v>
      </c>
      <c r="C124" s="16" t="s">
        <v>128</v>
      </c>
      <c r="D124" s="80">
        <v>5.4000000000000003E-3</v>
      </c>
      <c r="E124" s="212">
        <v>827956.19</v>
      </c>
      <c r="F124" s="97">
        <v>830000</v>
      </c>
      <c r="G124" s="61">
        <f t="shared" si="20"/>
        <v>-2043.8100000000559</v>
      </c>
      <c r="H124" s="21">
        <f t="shared" si="28"/>
        <v>0</v>
      </c>
      <c r="I124" s="22">
        <f t="shared" si="35"/>
        <v>435650.20516800001</v>
      </c>
      <c r="J124" s="22">
        <f t="shared" si="30"/>
        <v>0</v>
      </c>
      <c r="K124" s="22">
        <f t="shared" si="26"/>
        <v>185936.29261027643</v>
      </c>
      <c r="L124" s="22">
        <f t="shared" si="27"/>
        <v>202702.7028</v>
      </c>
      <c r="M124" s="74">
        <v>0</v>
      </c>
      <c r="N124" s="74">
        <v>0</v>
      </c>
      <c r="O124" s="207">
        <v>0</v>
      </c>
      <c r="P124" s="398">
        <f t="shared" si="31"/>
        <v>822246.19</v>
      </c>
      <c r="Q124" s="398"/>
      <c r="R124" s="265">
        <f t="shared" si="32"/>
        <v>847186.19</v>
      </c>
      <c r="S124" s="13">
        <f t="shared" si="33"/>
        <v>1.19</v>
      </c>
      <c r="T124" s="1">
        <f t="shared" si="34"/>
        <v>119</v>
      </c>
      <c r="U124" t="s">
        <v>209</v>
      </c>
    </row>
    <row r="125" spans="1:25" ht="24.6" customHeight="1" x14ac:dyDescent="0.25">
      <c r="A125" s="16"/>
      <c r="B125" s="16">
        <f t="shared" si="29"/>
        <v>120</v>
      </c>
      <c r="C125" s="16" t="s">
        <v>127</v>
      </c>
      <c r="D125" s="80">
        <v>4.5999999999999999E-3</v>
      </c>
      <c r="E125" s="212">
        <v>759749.2</v>
      </c>
      <c r="F125" s="213">
        <f>E125</f>
        <v>759749.2</v>
      </c>
      <c r="G125" s="61">
        <f t="shared" si="20"/>
        <v>0</v>
      </c>
      <c r="H125" s="21">
        <f t="shared" si="28"/>
        <v>0</v>
      </c>
      <c r="I125" s="22">
        <f t="shared" si="35"/>
        <v>371109.43403200002</v>
      </c>
      <c r="J125" s="22">
        <f t="shared" si="30"/>
        <v>0</v>
      </c>
      <c r="K125" s="22">
        <f t="shared" si="26"/>
        <v>185936.29261027643</v>
      </c>
      <c r="L125" s="22">
        <f t="shared" si="27"/>
        <v>202702.7028</v>
      </c>
      <c r="M125" s="74">
        <v>0</v>
      </c>
      <c r="N125" s="74">
        <v>0</v>
      </c>
      <c r="O125" s="207">
        <v>0</v>
      </c>
      <c r="P125" s="398">
        <f t="shared" si="31"/>
        <v>759749.2</v>
      </c>
      <c r="Q125" s="398"/>
      <c r="R125" s="265">
        <f t="shared" si="32"/>
        <v>782793.2</v>
      </c>
      <c r="S125" s="13">
        <f t="shared" si="33"/>
        <v>1.2</v>
      </c>
      <c r="T125" s="1">
        <f t="shared" si="34"/>
        <v>120</v>
      </c>
      <c r="U125" t="s">
        <v>302</v>
      </c>
    </row>
    <row r="126" spans="1:25" ht="24.95" customHeight="1" x14ac:dyDescent="0.25">
      <c r="A126" s="16"/>
      <c r="B126" s="16">
        <f t="shared" si="29"/>
        <v>121</v>
      </c>
      <c r="C126" s="16" t="s">
        <v>127</v>
      </c>
      <c r="D126" s="80">
        <v>4.5999999999999999E-3</v>
      </c>
      <c r="E126" s="212">
        <v>759749.21</v>
      </c>
      <c r="F126" s="213">
        <f>E126</f>
        <v>759749.21</v>
      </c>
      <c r="G126" s="61">
        <f t="shared" si="20"/>
        <v>0</v>
      </c>
      <c r="H126" s="21">
        <f t="shared" si="28"/>
        <v>0</v>
      </c>
      <c r="I126" s="22">
        <f t="shared" si="35"/>
        <v>371109.43403200002</v>
      </c>
      <c r="J126" s="22">
        <f t="shared" si="30"/>
        <v>0</v>
      </c>
      <c r="K126" s="22">
        <f t="shared" si="26"/>
        <v>185936.29261027643</v>
      </c>
      <c r="L126" s="22">
        <f t="shared" si="27"/>
        <v>202702.7028</v>
      </c>
      <c r="M126" s="74">
        <v>0</v>
      </c>
      <c r="N126" s="74">
        <v>0</v>
      </c>
      <c r="O126" s="207">
        <v>0</v>
      </c>
      <c r="P126" s="398">
        <f t="shared" si="31"/>
        <v>759749.21</v>
      </c>
      <c r="Q126" s="398"/>
      <c r="R126" s="265">
        <f t="shared" si="32"/>
        <v>782793.21</v>
      </c>
      <c r="S126" s="13">
        <f t="shared" si="33"/>
        <v>1.21</v>
      </c>
      <c r="T126" s="1">
        <f t="shared" si="34"/>
        <v>121</v>
      </c>
      <c r="U126" t="s">
        <v>302</v>
      </c>
    </row>
    <row r="127" spans="1:25" ht="24.95" customHeight="1" x14ac:dyDescent="0.25">
      <c r="A127" s="16"/>
      <c r="B127" s="16">
        <f t="shared" si="29"/>
        <v>122</v>
      </c>
      <c r="C127" s="16" t="s">
        <v>129</v>
      </c>
      <c r="D127" s="80">
        <v>4.5999999999999999E-3</v>
      </c>
      <c r="E127" s="212">
        <v>736705.22</v>
      </c>
      <c r="F127" s="213">
        <f>E127</f>
        <v>736705.22</v>
      </c>
      <c r="G127" s="61">
        <f t="shared" si="20"/>
        <v>0</v>
      </c>
      <c r="H127" s="21">
        <f t="shared" si="28"/>
        <v>0</v>
      </c>
      <c r="I127" s="22">
        <f t="shared" si="35"/>
        <v>371109.43403200002</v>
      </c>
      <c r="J127" s="22">
        <f t="shared" si="30"/>
        <v>0</v>
      </c>
      <c r="K127" s="22">
        <f t="shared" si="26"/>
        <v>185936.29261027643</v>
      </c>
      <c r="L127" s="22">
        <f t="shared" si="27"/>
        <v>202702.7028</v>
      </c>
      <c r="M127" s="74">
        <v>0</v>
      </c>
      <c r="N127" s="74">
        <v>0</v>
      </c>
      <c r="O127" s="207">
        <v>0</v>
      </c>
      <c r="P127" s="398">
        <f t="shared" si="31"/>
        <v>759749.22</v>
      </c>
      <c r="Q127" s="398"/>
      <c r="R127" s="265">
        <f t="shared" si="32"/>
        <v>782793.22</v>
      </c>
      <c r="S127" s="13">
        <f t="shared" si="33"/>
        <v>1.22</v>
      </c>
      <c r="T127" s="1">
        <f t="shared" si="34"/>
        <v>122</v>
      </c>
    </row>
    <row r="128" spans="1:25" ht="24.95" customHeight="1" x14ac:dyDescent="0.25">
      <c r="A128" s="16"/>
      <c r="B128" s="16">
        <f t="shared" si="29"/>
        <v>123</v>
      </c>
      <c r="C128" s="16" t="s">
        <v>130</v>
      </c>
      <c r="D128" s="80">
        <v>4.5999999999999999E-3</v>
      </c>
      <c r="E128" s="212">
        <v>782793.23</v>
      </c>
      <c r="F128" s="97">
        <f t="shared" ref="F128" si="36">E128</f>
        <v>782793.23</v>
      </c>
      <c r="G128" s="61">
        <f t="shared" si="20"/>
        <v>0</v>
      </c>
      <c r="H128" s="21">
        <f t="shared" si="28"/>
        <v>0</v>
      </c>
      <c r="I128" s="22">
        <f t="shared" si="35"/>
        <v>371109.43403200002</v>
      </c>
      <c r="J128" s="22">
        <f t="shared" si="30"/>
        <v>0</v>
      </c>
      <c r="K128" s="22">
        <f t="shared" si="26"/>
        <v>185936.29261027643</v>
      </c>
      <c r="L128" s="22">
        <f t="shared" si="27"/>
        <v>202702.7028</v>
      </c>
      <c r="M128" s="74">
        <v>0</v>
      </c>
      <c r="N128" s="74">
        <v>0</v>
      </c>
      <c r="O128" s="207">
        <v>0</v>
      </c>
      <c r="P128" s="398">
        <f t="shared" si="31"/>
        <v>759749.23</v>
      </c>
      <c r="Q128" s="398"/>
      <c r="R128" s="265">
        <f t="shared" si="32"/>
        <v>782793.23</v>
      </c>
      <c r="S128" s="13">
        <f t="shared" si="33"/>
        <v>1.23</v>
      </c>
      <c r="T128" s="1">
        <f t="shared" si="34"/>
        <v>123</v>
      </c>
      <c r="U128" t="s">
        <v>280</v>
      </c>
    </row>
    <row r="129" spans="1:21" ht="24.95" customHeight="1" x14ac:dyDescent="0.25">
      <c r="A129" s="16"/>
      <c r="B129" s="16">
        <f t="shared" si="29"/>
        <v>124</v>
      </c>
      <c r="C129" s="16" t="s">
        <v>131</v>
      </c>
      <c r="D129" s="80">
        <v>4.5999999999999999E-3</v>
      </c>
      <c r="E129" s="212">
        <v>736705.24</v>
      </c>
      <c r="F129" s="97">
        <v>759051.24</v>
      </c>
      <c r="G129" s="61">
        <f t="shared" si="20"/>
        <v>-22346</v>
      </c>
      <c r="H129" s="21">
        <f t="shared" si="28"/>
        <v>0</v>
      </c>
      <c r="I129" s="22">
        <f t="shared" si="35"/>
        <v>371109.43403200002</v>
      </c>
      <c r="J129" s="22">
        <f t="shared" si="30"/>
        <v>0</v>
      </c>
      <c r="K129" s="22">
        <f t="shared" si="26"/>
        <v>185936.29261027643</v>
      </c>
      <c r="L129" s="22">
        <f t="shared" si="27"/>
        <v>202702.7028</v>
      </c>
      <c r="M129" s="74">
        <v>0</v>
      </c>
      <c r="N129" s="74">
        <v>0</v>
      </c>
      <c r="O129" s="207">
        <v>0</v>
      </c>
      <c r="P129" s="398">
        <f t="shared" si="31"/>
        <v>737403.24</v>
      </c>
      <c r="Q129" s="398"/>
      <c r="R129" s="265">
        <f t="shared" si="32"/>
        <v>759770.24</v>
      </c>
      <c r="S129" s="13">
        <f t="shared" si="33"/>
        <v>1.24</v>
      </c>
      <c r="T129" s="1">
        <f t="shared" si="34"/>
        <v>124</v>
      </c>
    </row>
    <row r="130" spans="1:21" ht="24.95" customHeight="1" x14ac:dyDescent="0.25">
      <c r="A130" s="16"/>
      <c r="B130" s="16">
        <f t="shared" si="29"/>
        <v>125</v>
      </c>
      <c r="C130" s="16" t="s">
        <v>132</v>
      </c>
      <c r="D130" s="80">
        <v>4.5999999999999999E-3</v>
      </c>
      <c r="E130" s="212">
        <v>759749.25</v>
      </c>
      <c r="F130" s="97">
        <v>782793.25</v>
      </c>
      <c r="G130" s="61">
        <f t="shared" si="20"/>
        <v>-23044</v>
      </c>
      <c r="H130" s="21">
        <f t="shared" si="28"/>
        <v>0</v>
      </c>
      <c r="I130" s="22">
        <f t="shared" si="35"/>
        <v>371109.43403200002</v>
      </c>
      <c r="J130" s="22">
        <f t="shared" si="30"/>
        <v>0</v>
      </c>
      <c r="K130" s="22">
        <f t="shared" si="26"/>
        <v>185936.29261027643</v>
      </c>
      <c r="L130" s="22">
        <f t="shared" si="27"/>
        <v>202702.7028</v>
      </c>
      <c r="M130" s="74">
        <v>0</v>
      </c>
      <c r="N130" s="74">
        <v>0</v>
      </c>
      <c r="O130" s="207">
        <v>0</v>
      </c>
      <c r="P130" s="398">
        <f t="shared" si="31"/>
        <v>736705.25</v>
      </c>
      <c r="Q130" s="398"/>
      <c r="R130" s="265">
        <f t="shared" si="32"/>
        <v>759051.25</v>
      </c>
      <c r="S130" s="13">
        <f t="shared" si="33"/>
        <v>1.25</v>
      </c>
      <c r="T130" s="1">
        <f t="shared" si="34"/>
        <v>125</v>
      </c>
      <c r="U130" t="s">
        <v>259</v>
      </c>
    </row>
    <row r="131" spans="1:21" ht="24.95" customHeight="1" x14ac:dyDescent="0.25">
      <c r="A131" s="16"/>
      <c r="B131" s="16">
        <f t="shared" si="29"/>
        <v>126</v>
      </c>
      <c r="C131" s="16" t="s">
        <v>133</v>
      </c>
      <c r="D131" s="80">
        <v>4.5999999999999999E-3</v>
      </c>
      <c r="E131" s="212">
        <v>759749.26</v>
      </c>
      <c r="F131" s="97">
        <f>E131</f>
        <v>759749.26</v>
      </c>
      <c r="G131" s="61">
        <f t="shared" si="20"/>
        <v>0</v>
      </c>
      <c r="H131" s="21">
        <f t="shared" si="28"/>
        <v>0</v>
      </c>
      <c r="I131" s="22">
        <f t="shared" si="35"/>
        <v>371109.43403200002</v>
      </c>
      <c r="J131" s="22">
        <f t="shared" si="30"/>
        <v>0</v>
      </c>
      <c r="K131" s="22">
        <f t="shared" si="26"/>
        <v>185936.29261027643</v>
      </c>
      <c r="L131" s="22">
        <f t="shared" si="27"/>
        <v>202702.7028</v>
      </c>
      <c r="M131" s="74">
        <v>0</v>
      </c>
      <c r="N131" s="74">
        <v>0</v>
      </c>
      <c r="O131" s="207">
        <v>0</v>
      </c>
      <c r="P131" s="398">
        <f t="shared" si="31"/>
        <v>759749.26</v>
      </c>
      <c r="Q131" s="398"/>
      <c r="R131" s="265">
        <f t="shared" si="32"/>
        <v>782793.26</v>
      </c>
      <c r="S131" s="13">
        <f t="shared" si="33"/>
        <v>1.26</v>
      </c>
      <c r="T131" s="1">
        <f t="shared" si="34"/>
        <v>126</v>
      </c>
    </row>
    <row r="132" spans="1:21" ht="24.95" customHeight="1" x14ac:dyDescent="0.25">
      <c r="A132" s="16"/>
      <c r="B132" s="16">
        <f t="shared" si="29"/>
        <v>127</v>
      </c>
      <c r="C132" s="16" t="s">
        <v>134</v>
      </c>
      <c r="D132" s="80">
        <v>5.5999999999999999E-3</v>
      </c>
      <c r="E132" s="212">
        <v>1680082.27</v>
      </c>
      <c r="F132" s="213">
        <f>E132</f>
        <v>1680082.27</v>
      </c>
      <c r="G132" s="61">
        <f t="shared" si="20"/>
        <v>0</v>
      </c>
      <c r="H132" s="21">
        <f t="shared" si="28"/>
        <v>0</v>
      </c>
      <c r="I132" s="22">
        <f t="shared" si="35"/>
        <v>451785.39795200003</v>
      </c>
      <c r="J132" s="22">
        <f t="shared" si="30"/>
        <v>0</v>
      </c>
      <c r="K132" s="22">
        <f t="shared" si="26"/>
        <v>185936.29261027643</v>
      </c>
      <c r="L132" s="22">
        <f t="shared" si="27"/>
        <v>202702.7028</v>
      </c>
      <c r="M132" s="74">
        <v>0</v>
      </c>
      <c r="N132" s="74">
        <v>0</v>
      </c>
      <c r="O132" s="207">
        <v>0</v>
      </c>
      <c r="P132" s="398">
        <f t="shared" si="31"/>
        <v>840425.27</v>
      </c>
      <c r="Q132" s="398"/>
      <c r="R132" s="265">
        <f t="shared" si="32"/>
        <v>865916.27</v>
      </c>
      <c r="S132" s="13">
        <f t="shared" si="33"/>
        <v>1.27</v>
      </c>
      <c r="T132" s="1">
        <f t="shared" si="34"/>
        <v>127</v>
      </c>
      <c r="U132" t="s">
        <v>216</v>
      </c>
    </row>
    <row r="133" spans="1:21" ht="24.95" customHeight="1" x14ac:dyDescent="0.25">
      <c r="A133" s="16"/>
      <c r="B133" s="16">
        <f t="shared" si="29"/>
        <v>128</v>
      </c>
      <c r="C133" s="16" t="s">
        <v>135</v>
      </c>
      <c r="D133" s="80">
        <v>6.1000000000000004E-3</v>
      </c>
      <c r="E133" s="212">
        <v>9465986.2799999993</v>
      </c>
      <c r="F133" s="97">
        <v>880762.28</v>
      </c>
      <c r="G133" s="62">
        <f t="shared" si="20"/>
        <v>8585224</v>
      </c>
      <c r="H133" s="81">
        <f t="shared" si="28"/>
        <v>265025.86488000001</v>
      </c>
      <c r="I133" s="74">
        <f t="shared" si="35"/>
        <v>492123.37991200003</v>
      </c>
      <c r="J133" s="74">
        <f t="shared" si="30"/>
        <v>0</v>
      </c>
      <c r="K133" s="74">
        <f t="shared" si="26"/>
        <v>185936.29261027643</v>
      </c>
      <c r="L133" s="74">
        <f t="shared" si="27"/>
        <v>202702.7028</v>
      </c>
      <c r="M133" s="74">
        <v>0</v>
      </c>
      <c r="N133" s="74">
        <f>(I133+K133)/2</f>
        <v>339029.8362611382</v>
      </c>
      <c r="O133" s="207">
        <v>0</v>
      </c>
      <c r="P133" s="398">
        <f t="shared" si="31"/>
        <v>10070043.279999999</v>
      </c>
      <c r="Q133" s="398"/>
      <c r="R133" s="265">
        <f t="shared" si="32"/>
        <v>10375469.279999999</v>
      </c>
      <c r="S133" s="82">
        <f t="shared" si="33"/>
        <v>1.28</v>
      </c>
      <c r="T133" s="60">
        <f t="shared" si="34"/>
        <v>128</v>
      </c>
    </row>
    <row r="134" spans="1:21" ht="24.95" customHeight="1" x14ac:dyDescent="0.25">
      <c r="A134" s="16"/>
      <c r="B134" s="16">
        <f>B133+1</f>
        <v>129</v>
      </c>
      <c r="C134" s="16" t="s">
        <v>136</v>
      </c>
      <c r="D134" s="80">
        <v>6.1000000000000004E-3</v>
      </c>
      <c r="E134" s="212">
        <v>854048.29</v>
      </c>
      <c r="F134" s="213">
        <f>E134</f>
        <v>854048.29</v>
      </c>
      <c r="G134" s="61">
        <f t="shared" si="20"/>
        <v>0</v>
      </c>
      <c r="H134" s="21">
        <f t="shared" si="28"/>
        <v>0</v>
      </c>
      <c r="I134" s="22">
        <f t="shared" si="35"/>
        <v>492123.37991200003</v>
      </c>
      <c r="J134" s="22">
        <f t="shared" ref="J134:J144" si="37">P$2*D134</f>
        <v>0</v>
      </c>
      <c r="K134" s="22">
        <f t="shared" si="26"/>
        <v>185936.29261027643</v>
      </c>
      <c r="L134" s="22">
        <f t="shared" si="27"/>
        <v>202702.7028</v>
      </c>
      <c r="M134" s="74">
        <v>0</v>
      </c>
      <c r="N134" s="74">
        <v>0</v>
      </c>
      <c r="O134" s="207">
        <v>0</v>
      </c>
      <c r="P134" s="398">
        <f t="shared" ref="P134:P165" si="38">ROUND(SUM(G134:O134),0) + S134</f>
        <v>880763.29</v>
      </c>
      <c r="Q134" s="398"/>
      <c r="R134" s="265">
        <f t="shared" ref="R134:R165" si="39">ROUND(P134+P134*3.033%,0) + S134</f>
        <v>907478.29</v>
      </c>
      <c r="S134" s="13">
        <f t="shared" ref="S134:S158" si="40">ROUND(0.001+B134/100,2)</f>
        <v>1.29</v>
      </c>
      <c r="T134" s="1">
        <f t="shared" ref="T134:T158" si="41">B134</f>
        <v>129</v>
      </c>
      <c r="U134" t="s">
        <v>194</v>
      </c>
    </row>
    <row r="135" spans="1:21" ht="24.95" customHeight="1" x14ac:dyDescent="0.25">
      <c r="A135" s="259"/>
      <c r="B135" s="16">
        <f t="shared" si="29"/>
        <v>130</v>
      </c>
      <c r="C135" s="16" t="s">
        <v>137</v>
      </c>
      <c r="D135" s="80">
        <v>5.7000000000000002E-3</v>
      </c>
      <c r="E135" s="212">
        <v>847809.3</v>
      </c>
      <c r="F135" s="97">
        <v>846000</v>
      </c>
      <c r="G135" s="61">
        <f t="shared" si="20"/>
        <v>1809.3000000000466</v>
      </c>
      <c r="H135" s="21">
        <f t="shared" si="28"/>
        <v>55.853091000001442</v>
      </c>
      <c r="I135" s="22">
        <f t="shared" si="35"/>
        <v>459852.99434400001</v>
      </c>
      <c r="J135" s="22">
        <f t="shared" si="37"/>
        <v>0</v>
      </c>
      <c r="K135" s="22">
        <f t="shared" ref="K135:K144" si="42">G$2*0.675675676%</f>
        <v>185936.29261027643</v>
      </c>
      <c r="L135" s="22">
        <f t="shared" ref="L135:L143" si="43">P$1*0.675675676%</f>
        <v>202702.7028</v>
      </c>
      <c r="M135" s="74">
        <v>0</v>
      </c>
      <c r="N135" s="74">
        <v>0</v>
      </c>
      <c r="O135" s="207">
        <v>0</v>
      </c>
      <c r="P135" s="398">
        <f t="shared" si="38"/>
        <v>850358.3</v>
      </c>
      <c r="Q135" s="398"/>
      <c r="R135" s="265">
        <f t="shared" si="39"/>
        <v>876151.3</v>
      </c>
      <c r="S135" s="13">
        <f t="shared" si="40"/>
        <v>1.3</v>
      </c>
      <c r="T135" s="1">
        <f t="shared" si="41"/>
        <v>130</v>
      </c>
      <c r="U135" t="s">
        <v>213</v>
      </c>
    </row>
    <row r="136" spans="1:21" ht="24.95" customHeight="1" x14ac:dyDescent="0.25">
      <c r="A136" s="16"/>
      <c r="B136" s="16">
        <f t="shared" si="29"/>
        <v>131</v>
      </c>
      <c r="C136" s="16" t="s">
        <v>138</v>
      </c>
      <c r="D136" s="80">
        <v>6.1000000000000004E-3</v>
      </c>
      <c r="E136" s="212">
        <v>880763.31</v>
      </c>
      <c r="F136" s="97">
        <f>E136</f>
        <v>880763.31</v>
      </c>
      <c r="G136" s="61">
        <f t="shared" si="20"/>
        <v>0</v>
      </c>
      <c r="H136" s="21">
        <f t="shared" ref="H136:H158" si="44">IF(G136&gt;0,G136*3.087%,0)</f>
        <v>0</v>
      </c>
      <c r="I136" s="22">
        <f t="shared" si="35"/>
        <v>492123.37991200003</v>
      </c>
      <c r="J136" s="22">
        <f t="shared" si="37"/>
        <v>0</v>
      </c>
      <c r="K136" s="22">
        <f t="shared" si="42"/>
        <v>185936.29261027643</v>
      </c>
      <c r="L136" s="22">
        <f t="shared" si="43"/>
        <v>202702.7028</v>
      </c>
      <c r="M136" s="74">
        <v>0</v>
      </c>
      <c r="N136" s="74">
        <v>0</v>
      </c>
      <c r="O136" s="207">
        <v>0</v>
      </c>
      <c r="P136" s="398">
        <f t="shared" si="38"/>
        <v>880763.31</v>
      </c>
      <c r="Q136" s="398"/>
      <c r="R136" s="265">
        <f t="shared" si="39"/>
        <v>907478.31</v>
      </c>
      <c r="S136" s="13">
        <f t="shared" si="40"/>
        <v>1.31</v>
      </c>
      <c r="T136" s="1">
        <f t="shared" si="41"/>
        <v>131</v>
      </c>
      <c r="U136" t="s">
        <v>294</v>
      </c>
    </row>
    <row r="137" spans="1:21" ht="24.95" customHeight="1" x14ac:dyDescent="0.25">
      <c r="A137" s="16"/>
      <c r="B137" s="16">
        <f t="shared" si="29"/>
        <v>132</v>
      </c>
      <c r="C137" s="16" t="s">
        <v>139</v>
      </c>
      <c r="D137" s="80">
        <v>6.0000000000000001E-3</v>
      </c>
      <c r="E137" s="212">
        <v>846226.32</v>
      </c>
      <c r="F137" s="97">
        <v>871893.32</v>
      </c>
      <c r="G137" s="61">
        <f t="shared" si="20"/>
        <v>-25667</v>
      </c>
      <c r="H137" s="21">
        <f t="shared" si="44"/>
        <v>0</v>
      </c>
      <c r="I137" s="22">
        <f t="shared" si="35"/>
        <v>484055.78352</v>
      </c>
      <c r="J137" s="22">
        <f t="shared" si="37"/>
        <v>0</v>
      </c>
      <c r="K137" s="22">
        <f t="shared" si="42"/>
        <v>185936.29261027643</v>
      </c>
      <c r="L137" s="22">
        <f t="shared" si="43"/>
        <v>202702.7028</v>
      </c>
      <c r="M137" s="74">
        <v>0</v>
      </c>
      <c r="N137" s="74">
        <v>0</v>
      </c>
      <c r="O137" s="207">
        <v>0</v>
      </c>
      <c r="P137" s="398">
        <f t="shared" si="38"/>
        <v>847029.32</v>
      </c>
      <c r="Q137" s="398"/>
      <c r="R137" s="265">
        <f t="shared" si="39"/>
        <v>872721.32</v>
      </c>
      <c r="S137" s="13">
        <f t="shared" si="40"/>
        <v>1.32</v>
      </c>
      <c r="T137" s="1">
        <f t="shared" si="41"/>
        <v>132</v>
      </c>
      <c r="U137" t="s">
        <v>256</v>
      </c>
    </row>
    <row r="138" spans="1:21" ht="24.95" customHeight="1" x14ac:dyDescent="0.25">
      <c r="A138" s="16"/>
      <c r="B138" s="16">
        <f t="shared" ref="B138:B146" si="45">B137+1</f>
        <v>133</v>
      </c>
      <c r="C138" s="16" t="s">
        <v>140</v>
      </c>
      <c r="D138" s="80">
        <v>6.4000000000000003E-3</v>
      </c>
      <c r="E138" s="212">
        <v>904966.33</v>
      </c>
      <c r="F138" s="213">
        <f>E138</f>
        <v>904966.33</v>
      </c>
      <c r="G138" s="61">
        <f t="shared" si="20"/>
        <v>0</v>
      </c>
      <c r="H138" s="21">
        <f t="shared" si="44"/>
        <v>0</v>
      </c>
      <c r="I138" s="22">
        <f t="shared" si="35"/>
        <v>516326.16908800002</v>
      </c>
      <c r="J138" s="22">
        <f t="shared" si="37"/>
        <v>0</v>
      </c>
      <c r="K138" s="22">
        <f t="shared" si="42"/>
        <v>185936.29261027643</v>
      </c>
      <c r="L138" s="22">
        <f t="shared" si="43"/>
        <v>202702.7028</v>
      </c>
      <c r="M138" s="74">
        <v>0</v>
      </c>
      <c r="N138" s="74">
        <v>0</v>
      </c>
      <c r="O138" s="207">
        <v>0</v>
      </c>
      <c r="P138" s="398">
        <f t="shared" si="38"/>
        <v>904966.33</v>
      </c>
      <c r="Q138" s="398"/>
      <c r="R138" s="265">
        <f t="shared" si="39"/>
        <v>932415.33</v>
      </c>
      <c r="S138" s="13">
        <f t="shared" si="40"/>
        <v>1.33</v>
      </c>
      <c r="T138" s="1">
        <f t="shared" si="41"/>
        <v>133</v>
      </c>
      <c r="U138" t="s">
        <v>221</v>
      </c>
    </row>
    <row r="139" spans="1:21" ht="24.95" customHeight="1" x14ac:dyDescent="0.25">
      <c r="A139" s="16"/>
      <c r="B139" s="16">
        <f t="shared" si="45"/>
        <v>134</v>
      </c>
      <c r="C139" s="16" t="s">
        <v>141</v>
      </c>
      <c r="D139" s="80">
        <v>5.3E-3</v>
      </c>
      <c r="E139" s="212">
        <v>791466.34</v>
      </c>
      <c r="F139" s="213">
        <f>E139</f>
        <v>791466.34</v>
      </c>
      <c r="G139" s="61">
        <f t="shared" si="20"/>
        <v>0</v>
      </c>
      <c r="H139" s="21">
        <f t="shared" si="44"/>
        <v>0</v>
      </c>
      <c r="I139" s="22">
        <f t="shared" si="35"/>
        <v>427582.60877600004</v>
      </c>
      <c r="J139" s="22">
        <f t="shared" si="37"/>
        <v>0</v>
      </c>
      <c r="K139" s="22">
        <f t="shared" si="42"/>
        <v>185936.29261027643</v>
      </c>
      <c r="L139" s="22">
        <f t="shared" si="43"/>
        <v>202702.7028</v>
      </c>
      <c r="M139" s="74">
        <v>0</v>
      </c>
      <c r="N139" s="74">
        <v>0</v>
      </c>
      <c r="O139" s="207">
        <v>0</v>
      </c>
      <c r="P139" s="398">
        <f t="shared" si="38"/>
        <v>816223.34</v>
      </c>
      <c r="Q139" s="398"/>
      <c r="R139" s="265">
        <f t="shared" si="39"/>
        <v>840980.34</v>
      </c>
      <c r="S139" s="13">
        <f t="shared" si="40"/>
        <v>1.34</v>
      </c>
      <c r="T139" s="1">
        <f t="shared" si="41"/>
        <v>134</v>
      </c>
      <c r="U139" t="s">
        <v>201</v>
      </c>
    </row>
    <row r="140" spans="1:21" ht="24.95" customHeight="1" x14ac:dyDescent="0.25">
      <c r="A140" s="16"/>
      <c r="B140" s="16">
        <f t="shared" si="45"/>
        <v>135</v>
      </c>
      <c r="C140" s="16" t="s">
        <v>141</v>
      </c>
      <c r="D140" s="80">
        <v>6.1000000000000004E-3</v>
      </c>
      <c r="E140" s="212">
        <v>854048.35</v>
      </c>
      <c r="F140" s="213">
        <f>E140</f>
        <v>854048.35</v>
      </c>
      <c r="G140" s="61">
        <f t="shared" si="20"/>
        <v>0</v>
      </c>
      <c r="H140" s="21">
        <f t="shared" si="44"/>
        <v>0</v>
      </c>
      <c r="I140" s="22">
        <f t="shared" si="35"/>
        <v>492123.37991200003</v>
      </c>
      <c r="J140" s="22">
        <f t="shared" si="37"/>
        <v>0</v>
      </c>
      <c r="K140" s="22">
        <f t="shared" si="42"/>
        <v>185936.29261027643</v>
      </c>
      <c r="L140" s="22">
        <f t="shared" si="43"/>
        <v>202702.7028</v>
      </c>
      <c r="M140" s="74">
        <v>0</v>
      </c>
      <c r="N140" s="74">
        <v>0</v>
      </c>
      <c r="O140" s="207">
        <v>0</v>
      </c>
      <c r="P140" s="398">
        <f t="shared" si="38"/>
        <v>880763.35</v>
      </c>
      <c r="Q140" s="398"/>
      <c r="R140" s="265">
        <f t="shared" si="39"/>
        <v>907478.35</v>
      </c>
      <c r="S140" s="13">
        <f t="shared" si="40"/>
        <v>1.35</v>
      </c>
      <c r="T140" s="1">
        <f t="shared" si="41"/>
        <v>135</v>
      </c>
      <c r="U140" s="63" t="s">
        <v>201</v>
      </c>
    </row>
    <row r="141" spans="1:21" ht="24.95" customHeight="1" x14ac:dyDescent="0.25">
      <c r="A141" s="16"/>
      <c r="B141" s="16">
        <f t="shared" si="45"/>
        <v>136</v>
      </c>
      <c r="C141" s="16" t="s">
        <v>142</v>
      </c>
      <c r="D141" s="80">
        <v>6.1999999999999998E-3</v>
      </c>
      <c r="E141" s="212">
        <v>3751757.36</v>
      </c>
      <c r="F141" s="97"/>
      <c r="G141" s="61">
        <f t="shared" si="20"/>
        <v>3751757.36</v>
      </c>
      <c r="H141" s="21">
        <f t="shared" si="44"/>
        <v>115816.7497032</v>
      </c>
      <c r="I141" s="22">
        <f t="shared" si="35"/>
        <v>500190.97630400001</v>
      </c>
      <c r="J141" s="22">
        <f t="shared" si="37"/>
        <v>0</v>
      </c>
      <c r="K141" s="22">
        <f t="shared" si="42"/>
        <v>185936.29261027643</v>
      </c>
      <c r="L141" s="22">
        <f t="shared" si="43"/>
        <v>202702.7028</v>
      </c>
      <c r="M141" s="74">
        <v>0</v>
      </c>
      <c r="N141" s="74">
        <v>0</v>
      </c>
      <c r="O141" s="207">
        <v>0</v>
      </c>
      <c r="P141" s="398">
        <f t="shared" si="38"/>
        <v>4756405.3600000003</v>
      </c>
      <c r="Q141" s="398"/>
      <c r="R141" s="265">
        <f t="shared" si="39"/>
        <v>4900668.3600000003</v>
      </c>
      <c r="S141" s="13">
        <f t="shared" si="40"/>
        <v>1.36</v>
      </c>
      <c r="T141" s="1">
        <f t="shared" si="41"/>
        <v>136</v>
      </c>
      <c r="U141" t="s">
        <v>274</v>
      </c>
    </row>
    <row r="142" spans="1:21" ht="24.95" customHeight="1" x14ac:dyDescent="0.25">
      <c r="A142" s="16"/>
      <c r="B142" s="16">
        <f t="shared" si="45"/>
        <v>137</v>
      </c>
      <c r="C142" s="16" t="s">
        <v>143</v>
      </c>
      <c r="D142" s="80">
        <v>5.4000000000000003E-3</v>
      </c>
      <c r="E142" s="212">
        <v>823532.27</v>
      </c>
      <c r="F142" s="213">
        <f>E142</f>
        <v>823532.27</v>
      </c>
      <c r="G142" s="61">
        <f t="shared" si="20"/>
        <v>0</v>
      </c>
      <c r="H142" s="21">
        <f t="shared" si="44"/>
        <v>0</v>
      </c>
      <c r="I142" s="22">
        <f t="shared" si="35"/>
        <v>435650.20516800001</v>
      </c>
      <c r="J142" s="22">
        <f t="shared" si="37"/>
        <v>0</v>
      </c>
      <c r="K142" s="22">
        <f t="shared" si="42"/>
        <v>185936.29261027643</v>
      </c>
      <c r="L142" s="22">
        <f t="shared" si="43"/>
        <v>202702.7028</v>
      </c>
      <c r="M142" s="74">
        <v>0</v>
      </c>
      <c r="N142" s="74">
        <v>0</v>
      </c>
      <c r="O142" s="207">
        <v>0</v>
      </c>
      <c r="P142" s="398">
        <f t="shared" si="38"/>
        <v>824290.37</v>
      </c>
      <c r="Q142" s="398"/>
      <c r="R142" s="265">
        <f t="shared" si="39"/>
        <v>849292.37</v>
      </c>
      <c r="S142" s="13">
        <f t="shared" si="40"/>
        <v>1.37</v>
      </c>
      <c r="T142" s="1">
        <f t="shared" si="41"/>
        <v>137</v>
      </c>
    </row>
    <row r="143" spans="1:21" ht="24.95" customHeight="1" x14ac:dyDescent="0.25">
      <c r="A143" s="16"/>
      <c r="B143" s="16">
        <f t="shared" si="45"/>
        <v>138</v>
      </c>
      <c r="C143" s="16" t="s">
        <v>144</v>
      </c>
      <c r="D143" s="80">
        <v>6.4999999999999997E-3</v>
      </c>
      <c r="E143" s="212">
        <v>885340.38</v>
      </c>
      <c r="F143" s="97">
        <v>912194.38</v>
      </c>
      <c r="G143" s="61">
        <f t="shared" si="20"/>
        <v>-26854</v>
      </c>
      <c r="H143" s="21">
        <f t="shared" si="44"/>
        <v>0</v>
      </c>
      <c r="I143" s="22">
        <f t="shared" si="35"/>
        <v>524393.76547999994</v>
      </c>
      <c r="J143" s="22">
        <f t="shared" si="37"/>
        <v>0</v>
      </c>
      <c r="K143" s="22">
        <f t="shared" si="42"/>
        <v>185936.29261027643</v>
      </c>
      <c r="L143" s="22">
        <f t="shared" si="43"/>
        <v>202702.7028</v>
      </c>
      <c r="M143" s="74">
        <v>0</v>
      </c>
      <c r="N143" s="74">
        <v>0</v>
      </c>
      <c r="O143" s="207">
        <v>0</v>
      </c>
      <c r="P143" s="398">
        <f t="shared" si="38"/>
        <v>886180.38</v>
      </c>
      <c r="Q143" s="398"/>
      <c r="R143" s="265">
        <f t="shared" si="39"/>
        <v>913059.38</v>
      </c>
      <c r="S143" s="13">
        <f t="shared" si="40"/>
        <v>1.38</v>
      </c>
      <c r="T143" s="1">
        <f t="shared" si="41"/>
        <v>138</v>
      </c>
      <c r="U143" t="s">
        <v>283</v>
      </c>
    </row>
    <row r="144" spans="1:21" ht="24.95" customHeight="1" x14ac:dyDescent="0.25">
      <c r="A144" s="179"/>
      <c r="B144" s="16">
        <f t="shared" si="45"/>
        <v>139</v>
      </c>
      <c r="C144" s="16" t="s">
        <v>145</v>
      </c>
      <c r="D144" s="80">
        <v>6.1000000000000004E-3</v>
      </c>
      <c r="E144" s="212">
        <v>880691.39</v>
      </c>
      <c r="F144" s="97">
        <v>881000</v>
      </c>
      <c r="G144" s="61">
        <f t="shared" si="20"/>
        <v>-308.60999999998603</v>
      </c>
      <c r="H144" s="21">
        <f t="shared" si="44"/>
        <v>0</v>
      </c>
      <c r="I144" s="22">
        <f t="shared" si="35"/>
        <v>492123.37991200003</v>
      </c>
      <c r="J144" s="22">
        <f t="shared" si="37"/>
        <v>0</v>
      </c>
      <c r="K144" s="22">
        <f t="shared" si="42"/>
        <v>185936.29261027643</v>
      </c>
      <c r="L144" s="22">
        <f>P$1*0.675675676%</f>
        <v>202702.7028</v>
      </c>
      <c r="M144" s="74">
        <v>0</v>
      </c>
      <c r="N144" s="74">
        <v>0</v>
      </c>
      <c r="O144" s="207">
        <v>0</v>
      </c>
      <c r="P144" s="398">
        <f t="shared" si="38"/>
        <v>880455.39</v>
      </c>
      <c r="Q144" s="398"/>
      <c r="R144" s="265">
        <f t="shared" si="39"/>
        <v>907161.39</v>
      </c>
      <c r="S144" s="13">
        <f t="shared" si="40"/>
        <v>1.39</v>
      </c>
      <c r="T144" s="1">
        <f t="shared" si="41"/>
        <v>139</v>
      </c>
      <c r="U144" t="s">
        <v>275</v>
      </c>
    </row>
    <row r="145" spans="1:22" ht="24.95" customHeight="1" x14ac:dyDescent="0.25">
      <c r="A145" s="16"/>
      <c r="B145" s="16">
        <f t="shared" si="45"/>
        <v>140</v>
      </c>
      <c r="C145" s="16" t="s">
        <v>146</v>
      </c>
      <c r="D145" s="80">
        <v>0.18509999999999999</v>
      </c>
      <c r="E145" s="97"/>
      <c r="F145" s="97"/>
      <c r="G145" s="61"/>
      <c r="H145" s="21"/>
      <c r="I145" s="22"/>
      <c r="J145" s="22"/>
      <c r="K145" s="22"/>
      <c r="L145" s="22"/>
      <c r="M145" s="74"/>
      <c r="N145" s="74"/>
      <c r="O145" s="207">
        <v>0</v>
      </c>
      <c r="P145" s="398"/>
      <c r="Q145" s="398"/>
      <c r="R145" s="266"/>
      <c r="S145" s="13">
        <f t="shared" si="40"/>
        <v>1.4</v>
      </c>
      <c r="T145" s="1">
        <f t="shared" si="41"/>
        <v>140</v>
      </c>
    </row>
    <row r="146" spans="1:22" ht="24.95" customHeight="1" x14ac:dyDescent="0.25">
      <c r="A146" s="16"/>
      <c r="B146" s="16">
        <f t="shared" si="45"/>
        <v>141</v>
      </c>
      <c r="C146" s="16" t="s">
        <v>146</v>
      </c>
      <c r="D146" s="80">
        <v>0.156</v>
      </c>
      <c r="E146" s="97"/>
      <c r="F146" s="97"/>
      <c r="G146" s="61"/>
      <c r="H146" s="21"/>
      <c r="I146" s="22"/>
      <c r="J146" s="22"/>
      <c r="K146" s="22"/>
      <c r="L146" s="22"/>
      <c r="M146" s="74"/>
      <c r="N146" s="74"/>
      <c r="O146" s="207">
        <v>0</v>
      </c>
      <c r="P146" s="398"/>
      <c r="Q146" s="398"/>
      <c r="R146" s="266"/>
      <c r="S146" s="13">
        <f t="shared" si="40"/>
        <v>1.41</v>
      </c>
      <c r="T146" s="1">
        <f t="shared" si="41"/>
        <v>141</v>
      </c>
    </row>
    <row r="147" spans="1:22" ht="24.95" customHeight="1" x14ac:dyDescent="0.25">
      <c r="A147" s="16"/>
      <c r="B147" s="16"/>
      <c r="C147" s="16"/>
      <c r="D147" s="80"/>
      <c r="E147" s="97"/>
      <c r="F147" s="97"/>
      <c r="G147" s="61"/>
      <c r="H147" s="21"/>
      <c r="I147" s="22"/>
      <c r="J147" s="22"/>
      <c r="K147" s="22"/>
      <c r="L147" s="22"/>
      <c r="M147" s="74"/>
      <c r="N147" s="74"/>
      <c r="O147" s="207">
        <v>0</v>
      </c>
      <c r="P147" s="398"/>
      <c r="Q147" s="398"/>
      <c r="R147" s="266"/>
      <c r="S147" s="13">
        <f t="shared" si="40"/>
        <v>0</v>
      </c>
      <c r="T147" s="1">
        <f t="shared" si="41"/>
        <v>0</v>
      </c>
    </row>
    <row r="148" spans="1:22" ht="24.95" customHeight="1" x14ac:dyDescent="0.25">
      <c r="A148" s="16"/>
      <c r="B148" s="16"/>
      <c r="C148" s="16"/>
      <c r="D148" s="80"/>
      <c r="E148" s="97"/>
      <c r="F148" s="97"/>
      <c r="G148" s="61"/>
      <c r="H148" s="21"/>
      <c r="I148" s="22"/>
      <c r="J148" s="22"/>
      <c r="K148" s="22"/>
      <c r="L148" s="22"/>
      <c r="M148" s="74"/>
      <c r="N148" s="74"/>
      <c r="O148" s="207">
        <v>0</v>
      </c>
      <c r="P148" s="398"/>
      <c r="Q148" s="398"/>
      <c r="R148" s="266"/>
      <c r="S148" s="13">
        <f t="shared" si="40"/>
        <v>0</v>
      </c>
      <c r="T148" s="1">
        <f t="shared" si="41"/>
        <v>0</v>
      </c>
    </row>
    <row r="149" spans="1:22" ht="24.95" customHeight="1" x14ac:dyDescent="0.25">
      <c r="A149" s="16"/>
      <c r="B149" s="16">
        <v>146</v>
      </c>
      <c r="C149" s="16" t="s">
        <v>83</v>
      </c>
      <c r="D149" s="80">
        <v>3.8E-3</v>
      </c>
      <c r="E149" s="213">
        <v>882923.46</v>
      </c>
      <c r="F149" s="213">
        <f>636671.46+246252</f>
        <v>882923.46</v>
      </c>
      <c r="G149" s="61">
        <f t="shared" si="20"/>
        <v>0</v>
      </c>
      <c r="H149" s="21">
        <f t="shared" si="44"/>
        <v>0</v>
      </c>
      <c r="I149" s="22">
        <f t="shared" si="35"/>
        <v>306568.66289600002</v>
      </c>
      <c r="J149" s="22">
        <f t="shared" ref="J149:J158" si="46">P$2*D149</f>
        <v>0</v>
      </c>
      <c r="K149" s="22">
        <f t="shared" ref="K149:K158" si="47">G$2*0.675675676%</f>
        <v>185936.29261027643</v>
      </c>
      <c r="L149" s="22">
        <f>P$1*0.675675676%</f>
        <v>202702.7028</v>
      </c>
      <c r="M149" s="74">
        <v>0</v>
      </c>
      <c r="N149" s="74">
        <v>0</v>
      </c>
      <c r="O149" s="207">
        <v>0</v>
      </c>
      <c r="P149" s="398">
        <f t="shared" ref="P149:P158" si="48">ROUND(SUM(G149:O149),0) + S149</f>
        <v>695209.46</v>
      </c>
      <c r="Q149" s="398"/>
      <c r="R149" s="265">
        <f t="shared" ref="R149:R158" si="49">ROUND(P149+P149*3.033%,0) + S149</f>
        <v>716296.46</v>
      </c>
      <c r="S149" s="13">
        <f t="shared" si="40"/>
        <v>1.46</v>
      </c>
      <c r="T149" s="1">
        <f t="shared" si="41"/>
        <v>146</v>
      </c>
    </row>
    <row r="150" spans="1:22" ht="24.95" customHeight="1" x14ac:dyDescent="0.25">
      <c r="A150" s="16"/>
      <c r="B150" s="16">
        <v>155</v>
      </c>
      <c r="C150" s="16" t="s">
        <v>291</v>
      </c>
      <c r="D150" s="80">
        <v>4.2300000000000003E-3</v>
      </c>
      <c r="E150" s="213">
        <v>707760.55</v>
      </c>
      <c r="F150" s="213">
        <f>E150</f>
        <v>707760.55</v>
      </c>
      <c r="G150" s="61">
        <f t="shared" si="20"/>
        <v>0</v>
      </c>
      <c r="H150" s="21">
        <f t="shared" si="44"/>
        <v>0</v>
      </c>
      <c r="I150" s="22">
        <f t="shared" si="35"/>
        <v>341259.32738160004</v>
      </c>
      <c r="J150" s="22"/>
      <c r="K150" s="22">
        <f t="shared" si="47"/>
        <v>185936.29261027643</v>
      </c>
      <c r="L150" s="22">
        <f>P$1*0.675675676%</f>
        <v>202702.7028</v>
      </c>
      <c r="M150" s="22">
        <f t="shared" ref="M150:M158" si="50">G$1*D150</f>
        <v>0</v>
      </c>
      <c r="N150" s="74">
        <v>0</v>
      </c>
      <c r="O150" s="207">
        <v>0</v>
      </c>
      <c r="P150" s="398">
        <f t="shared" si="48"/>
        <v>729899.55</v>
      </c>
      <c r="Q150" s="398"/>
      <c r="R150" s="265">
        <f t="shared" si="49"/>
        <v>752038.55</v>
      </c>
      <c r="S150" s="13">
        <f t="shared" si="40"/>
        <v>1.55</v>
      </c>
      <c r="T150" s="1">
        <f t="shared" si="41"/>
        <v>155</v>
      </c>
      <c r="U150" t="s">
        <v>300</v>
      </c>
    </row>
    <row r="151" spans="1:22" ht="24.95" customHeight="1" x14ac:dyDescent="0.25">
      <c r="A151" s="16"/>
      <c r="B151" s="16">
        <v>158</v>
      </c>
      <c r="C151" s="16" t="s">
        <v>52</v>
      </c>
      <c r="D151" s="80">
        <v>4.5999999999999999E-3</v>
      </c>
      <c r="E151" s="213">
        <v>759749.58</v>
      </c>
      <c r="F151" s="97">
        <f t="shared" ref="F151:F154" si="51">E151</f>
        <v>759749.58</v>
      </c>
      <c r="G151" s="61">
        <f t="shared" si="20"/>
        <v>0</v>
      </c>
      <c r="H151" s="21">
        <f t="shared" si="44"/>
        <v>0</v>
      </c>
      <c r="I151" s="22">
        <f t="shared" si="35"/>
        <v>371109.43403200002</v>
      </c>
      <c r="J151" s="22">
        <f t="shared" si="46"/>
        <v>0</v>
      </c>
      <c r="K151" s="22">
        <f t="shared" si="47"/>
        <v>185936.29261027643</v>
      </c>
      <c r="L151" s="22">
        <f t="shared" ref="L151:L158" si="52">P$1*0.675675676%</f>
        <v>202702.7028</v>
      </c>
      <c r="M151" s="22">
        <f t="shared" si="50"/>
        <v>0</v>
      </c>
      <c r="N151" s="74">
        <v>0</v>
      </c>
      <c r="O151" s="207">
        <v>0</v>
      </c>
      <c r="P151" s="398">
        <f t="shared" si="48"/>
        <v>759749.58</v>
      </c>
      <c r="Q151" s="398"/>
      <c r="R151" s="265">
        <f t="shared" si="49"/>
        <v>782794.58</v>
      </c>
      <c r="S151" s="13">
        <f t="shared" si="40"/>
        <v>1.58</v>
      </c>
      <c r="T151" s="1">
        <f t="shared" si="41"/>
        <v>158</v>
      </c>
    </row>
    <row r="152" spans="1:22" ht="24.95" customHeight="1" x14ac:dyDescent="0.25">
      <c r="A152" s="16"/>
      <c r="B152" s="16">
        <v>159</v>
      </c>
      <c r="C152" s="16" t="s">
        <v>52</v>
      </c>
      <c r="D152" s="80">
        <v>4.5999999999999999E-3</v>
      </c>
      <c r="E152" s="213">
        <v>759749.59</v>
      </c>
      <c r="F152" s="97">
        <f t="shared" si="51"/>
        <v>759749.59</v>
      </c>
      <c r="G152" s="61">
        <f t="shared" si="20"/>
        <v>0</v>
      </c>
      <c r="H152" s="21">
        <f t="shared" si="44"/>
        <v>0</v>
      </c>
      <c r="I152" s="22">
        <f t="shared" si="35"/>
        <v>371109.43403200002</v>
      </c>
      <c r="J152" s="22">
        <f t="shared" si="46"/>
        <v>0</v>
      </c>
      <c r="K152" s="22">
        <f t="shared" si="47"/>
        <v>185936.29261027643</v>
      </c>
      <c r="L152" s="22">
        <f t="shared" si="52"/>
        <v>202702.7028</v>
      </c>
      <c r="M152" s="22">
        <f t="shared" si="50"/>
        <v>0</v>
      </c>
      <c r="N152" s="22">
        <v>0</v>
      </c>
      <c r="O152" s="207">
        <v>0</v>
      </c>
      <c r="P152" s="398">
        <f t="shared" si="48"/>
        <v>759749.59</v>
      </c>
      <c r="Q152" s="398"/>
      <c r="R152" s="265">
        <f t="shared" si="49"/>
        <v>782794.59</v>
      </c>
      <c r="S152" s="13">
        <f t="shared" si="40"/>
        <v>1.59</v>
      </c>
      <c r="T152" s="1">
        <f t="shared" si="41"/>
        <v>159</v>
      </c>
    </row>
    <row r="153" spans="1:22" ht="24.95" customHeight="1" x14ac:dyDescent="0.25">
      <c r="A153" s="16"/>
      <c r="B153" s="16">
        <v>163</v>
      </c>
      <c r="C153" s="16" t="s">
        <v>84</v>
      </c>
      <c r="D153" s="80">
        <v>4.5999999999999999E-3</v>
      </c>
      <c r="E153" s="213">
        <v>759750.63</v>
      </c>
      <c r="F153" s="213">
        <f>E153</f>
        <v>759750.63</v>
      </c>
      <c r="G153" s="61">
        <f t="shared" si="20"/>
        <v>0</v>
      </c>
      <c r="H153" s="21">
        <f t="shared" si="44"/>
        <v>0</v>
      </c>
      <c r="I153" s="22">
        <f t="shared" si="35"/>
        <v>371109.43403200002</v>
      </c>
      <c r="J153" s="22">
        <f t="shared" si="46"/>
        <v>0</v>
      </c>
      <c r="K153" s="22">
        <f t="shared" si="47"/>
        <v>185936.29261027643</v>
      </c>
      <c r="L153" s="22">
        <f t="shared" si="52"/>
        <v>202702.7028</v>
      </c>
      <c r="M153" s="22">
        <f t="shared" si="50"/>
        <v>0</v>
      </c>
      <c r="N153" s="22">
        <v>0</v>
      </c>
      <c r="O153" s="207">
        <v>0</v>
      </c>
      <c r="P153" s="398">
        <f t="shared" si="48"/>
        <v>759749.63</v>
      </c>
      <c r="Q153" s="398"/>
      <c r="R153" s="265">
        <f t="shared" si="49"/>
        <v>782794.63</v>
      </c>
      <c r="S153" s="13">
        <f t="shared" si="40"/>
        <v>1.63</v>
      </c>
      <c r="T153" s="1">
        <f t="shared" si="41"/>
        <v>163</v>
      </c>
    </row>
    <row r="154" spans="1:22" ht="24.95" customHeight="1" x14ac:dyDescent="0.25">
      <c r="A154" s="16"/>
      <c r="B154" s="16">
        <v>168</v>
      </c>
      <c r="C154" s="16" t="s">
        <v>52</v>
      </c>
      <c r="D154" s="80">
        <v>4.4000000000000003E-3</v>
      </c>
      <c r="E154" s="213">
        <v>743614.68</v>
      </c>
      <c r="F154" s="97">
        <f t="shared" si="51"/>
        <v>743614.68</v>
      </c>
      <c r="G154" s="61">
        <f t="shared" si="20"/>
        <v>0</v>
      </c>
      <c r="H154" s="21">
        <f t="shared" si="44"/>
        <v>0</v>
      </c>
      <c r="I154" s="22">
        <f t="shared" si="35"/>
        <v>354974.24124800001</v>
      </c>
      <c r="J154" s="22">
        <f t="shared" si="46"/>
        <v>0</v>
      </c>
      <c r="K154" s="22">
        <f t="shared" si="47"/>
        <v>185936.29261027643</v>
      </c>
      <c r="L154" s="22">
        <f t="shared" si="52"/>
        <v>202702.7028</v>
      </c>
      <c r="M154" s="22">
        <f t="shared" si="50"/>
        <v>0</v>
      </c>
      <c r="N154" s="22">
        <v>0</v>
      </c>
      <c r="O154" s="207">
        <v>0</v>
      </c>
      <c r="P154" s="398">
        <f t="shared" si="48"/>
        <v>743614.68</v>
      </c>
      <c r="Q154" s="398"/>
      <c r="R154" s="265">
        <f t="shared" si="49"/>
        <v>766170.68</v>
      </c>
      <c r="S154" s="13">
        <f t="shared" si="40"/>
        <v>1.68</v>
      </c>
      <c r="T154" s="1">
        <f t="shared" si="41"/>
        <v>168</v>
      </c>
    </row>
    <row r="155" spans="1:22" ht="24.95" customHeight="1" x14ac:dyDescent="0.25">
      <c r="A155" s="16"/>
      <c r="B155" s="16">
        <v>173</v>
      </c>
      <c r="C155" s="16" t="s">
        <v>85</v>
      </c>
      <c r="D155" s="80">
        <v>4.5999999999999999E-3</v>
      </c>
      <c r="E155" s="213">
        <v>736704.73</v>
      </c>
      <c r="F155" s="97">
        <v>759050.73</v>
      </c>
      <c r="G155" s="61">
        <f t="shared" si="20"/>
        <v>-22346</v>
      </c>
      <c r="H155" s="21">
        <f t="shared" si="44"/>
        <v>0</v>
      </c>
      <c r="I155" s="22">
        <f t="shared" si="35"/>
        <v>371109.43403200002</v>
      </c>
      <c r="J155" s="22">
        <f t="shared" si="46"/>
        <v>0</v>
      </c>
      <c r="K155" s="22">
        <f t="shared" si="47"/>
        <v>185936.29261027643</v>
      </c>
      <c r="L155" s="22">
        <f t="shared" si="52"/>
        <v>202702.7028</v>
      </c>
      <c r="M155" s="22">
        <f t="shared" si="50"/>
        <v>0</v>
      </c>
      <c r="N155" s="22">
        <v>0</v>
      </c>
      <c r="O155" s="207">
        <v>0</v>
      </c>
      <c r="P155" s="398">
        <f t="shared" si="48"/>
        <v>737403.73</v>
      </c>
      <c r="Q155" s="398"/>
      <c r="R155" s="265">
        <f t="shared" si="49"/>
        <v>759770.73</v>
      </c>
      <c r="S155" s="13">
        <f t="shared" si="40"/>
        <v>1.73</v>
      </c>
      <c r="T155" s="1">
        <f t="shared" si="41"/>
        <v>173</v>
      </c>
      <c r="V155" t="s">
        <v>223</v>
      </c>
    </row>
    <row r="156" spans="1:22" ht="24.95" customHeight="1" x14ac:dyDescent="0.25">
      <c r="A156" s="16"/>
      <c r="B156" s="16">
        <v>175</v>
      </c>
      <c r="C156" s="16" t="s">
        <v>85</v>
      </c>
      <c r="D156" s="80">
        <v>4.5999999999999999E-3</v>
      </c>
      <c r="E156" s="213">
        <v>736704.75</v>
      </c>
      <c r="F156" s="97">
        <v>759050.75</v>
      </c>
      <c r="G156" s="61">
        <f t="shared" si="20"/>
        <v>-22346</v>
      </c>
      <c r="H156" s="21">
        <f t="shared" si="44"/>
        <v>0</v>
      </c>
      <c r="I156" s="22">
        <f t="shared" si="35"/>
        <v>371109.43403200002</v>
      </c>
      <c r="J156" s="22">
        <f t="shared" si="46"/>
        <v>0</v>
      </c>
      <c r="K156" s="22">
        <f t="shared" si="47"/>
        <v>185936.29261027643</v>
      </c>
      <c r="L156" s="22">
        <f t="shared" si="52"/>
        <v>202702.7028</v>
      </c>
      <c r="M156" s="22">
        <f t="shared" si="50"/>
        <v>0</v>
      </c>
      <c r="N156" s="22">
        <v>0</v>
      </c>
      <c r="O156" s="207">
        <v>0</v>
      </c>
      <c r="P156" s="398">
        <f t="shared" si="48"/>
        <v>737403.75</v>
      </c>
      <c r="Q156" s="398"/>
      <c r="R156" s="265">
        <f t="shared" si="49"/>
        <v>759770.75</v>
      </c>
      <c r="S156" s="13">
        <f t="shared" si="40"/>
        <v>1.75</v>
      </c>
      <c r="T156" s="1">
        <f t="shared" si="41"/>
        <v>175</v>
      </c>
      <c r="V156" t="s">
        <v>223</v>
      </c>
    </row>
    <row r="157" spans="1:22" ht="24.95" customHeight="1" x14ac:dyDescent="0.25">
      <c r="A157" s="16"/>
      <c r="B157" s="16">
        <v>176</v>
      </c>
      <c r="C157" s="16" t="s">
        <v>84</v>
      </c>
      <c r="D157" s="80">
        <v>4.5999999999999999E-3</v>
      </c>
      <c r="E157" s="213">
        <v>759750.76</v>
      </c>
      <c r="F157" s="213">
        <f>E157</f>
        <v>759750.76</v>
      </c>
      <c r="G157" s="61">
        <f t="shared" si="20"/>
        <v>0</v>
      </c>
      <c r="H157" s="21">
        <f t="shared" si="44"/>
        <v>0</v>
      </c>
      <c r="I157" s="22">
        <f t="shared" si="35"/>
        <v>371109.43403200002</v>
      </c>
      <c r="J157" s="22">
        <f t="shared" si="46"/>
        <v>0</v>
      </c>
      <c r="K157" s="22">
        <f t="shared" si="47"/>
        <v>185936.29261027643</v>
      </c>
      <c r="L157" s="22">
        <f t="shared" si="52"/>
        <v>202702.7028</v>
      </c>
      <c r="M157" s="22">
        <f t="shared" si="50"/>
        <v>0</v>
      </c>
      <c r="N157" s="22">
        <v>0</v>
      </c>
      <c r="O157" s="207">
        <v>0</v>
      </c>
      <c r="P157" s="398">
        <f t="shared" si="48"/>
        <v>759749.76</v>
      </c>
      <c r="Q157" s="398"/>
      <c r="R157" s="265">
        <f t="shared" si="49"/>
        <v>782794.76</v>
      </c>
      <c r="S157" s="13">
        <f t="shared" si="40"/>
        <v>1.76</v>
      </c>
      <c r="T157" s="1">
        <f t="shared" si="41"/>
        <v>176</v>
      </c>
    </row>
    <row r="158" spans="1:22" ht="24.95" customHeight="1" x14ac:dyDescent="0.25">
      <c r="A158" s="16"/>
      <c r="B158" s="16">
        <v>204</v>
      </c>
      <c r="C158" s="16" t="s">
        <v>42</v>
      </c>
      <c r="D158" s="80">
        <v>4.8999999999999998E-3</v>
      </c>
      <c r="E158" s="213">
        <v>783953.04</v>
      </c>
      <c r="F158" s="213">
        <v>807732</v>
      </c>
      <c r="G158" s="61">
        <f t="shared" si="20"/>
        <v>-23778.959999999963</v>
      </c>
      <c r="H158" s="21">
        <f t="shared" si="44"/>
        <v>0</v>
      </c>
      <c r="I158" s="22">
        <f t="shared" si="35"/>
        <v>395312.22320800001</v>
      </c>
      <c r="J158" s="22">
        <f t="shared" si="46"/>
        <v>0</v>
      </c>
      <c r="K158" s="22">
        <f t="shared" si="47"/>
        <v>185936.29261027643</v>
      </c>
      <c r="L158" s="22">
        <f t="shared" si="52"/>
        <v>202702.7028</v>
      </c>
      <c r="M158" s="22">
        <f t="shared" si="50"/>
        <v>0</v>
      </c>
      <c r="N158" s="22">
        <v>0</v>
      </c>
      <c r="O158" s="207">
        <v>0</v>
      </c>
      <c r="P158" s="398">
        <f t="shared" si="48"/>
        <v>760174.04</v>
      </c>
      <c r="Q158" s="398"/>
      <c r="R158" s="265">
        <f t="shared" si="49"/>
        <v>783232.04</v>
      </c>
      <c r="S158" s="13">
        <f t="shared" si="40"/>
        <v>2.04</v>
      </c>
      <c r="T158" s="1">
        <f t="shared" si="41"/>
        <v>204</v>
      </c>
      <c r="U158" t="s">
        <v>287</v>
      </c>
    </row>
    <row r="159" spans="1:22" ht="24.95" customHeight="1" x14ac:dyDescent="0.25">
      <c r="A159" s="17"/>
      <c r="B159" s="16"/>
      <c r="C159" s="16"/>
      <c r="D159" s="19"/>
      <c r="E159" s="20"/>
      <c r="F159" s="35"/>
      <c r="G159" s="21"/>
      <c r="H159" s="21"/>
      <c r="I159" s="22"/>
      <c r="J159" s="22"/>
      <c r="K159" s="22"/>
      <c r="L159" s="22"/>
      <c r="M159" s="22"/>
      <c r="N159" s="22"/>
      <c r="O159" s="74"/>
      <c r="P159" s="423"/>
      <c r="Q159" s="423"/>
      <c r="R159" s="181"/>
      <c r="S159" s="13"/>
      <c r="T159" s="1"/>
    </row>
    <row r="160" spans="1:22" ht="24.95" customHeight="1" thickBot="1" x14ac:dyDescent="0.3">
      <c r="A160" s="17"/>
      <c r="B160" s="186"/>
      <c r="C160" s="186"/>
      <c r="D160" s="187"/>
      <c r="E160" s="188"/>
      <c r="F160" s="189"/>
      <c r="G160" s="190"/>
      <c r="H160" s="190"/>
      <c r="I160" s="191"/>
      <c r="J160" s="192"/>
      <c r="K160" s="192"/>
      <c r="L160" s="192"/>
      <c r="M160" s="192"/>
      <c r="N160" s="192"/>
      <c r="O160" s="262"/>
      <c r="P160" s="424"/>
      <c r="Q160" s="424"/>
      <c r="R160" s="184"/>
      <c r="S160" s="13"/>
      <c r="T160" s="193"/>
    </row>
    <row r="161" spans="1:20" ht="24.95" customHeight="1" thickBot="1" x14ac:dyDescent="0.3">
      <c r="A161" s="23"/>
      <c r="B161" s="194"/>
      <c r="C161" s="194"/>
      <c r="D161" s="195">
        <f t="shared" ref="D161:O161" si="53">SUM(D6:D160)</f>
        <v>1.0449300000000001</v>
      </c>
      <c r="E161" s="196">
        <f t="shared" si="53"/>
        <v>169958652.97000003</v>
      </c>
      <c r="F161" s="197">
        <f>SUM(F6:F160)</f>
        <v>128229882.10999998</v>
      </c>
      <c r="G161" s="198">
        <f t="shared" si="53"/>
        <v>41728770.859999992</v>
      </c>
      <c r="H161" s="199"/>
      <c r="I161" s="199">
        <f t="shared" si="53"/>
        <v>56782163.685813546</v>
      </c>
      <c r="J161" s="199">
        <f t="shared" si="53"/>
        <v>0</v>
      </c>
      <c r="K161" s="200">
        <f t="shared" si="53"/>
        <v>27704507.598931193</v>
      </c>
      <c r="L161" s="201">
        <f t="shared" si="53"/>
        <v>30202702.717199888</v>
      </c>
      <c r="M161" s="200">
        <f t="shared" si="53"/>
        <v>742223</v>
      </c>
      <c r="N161" s="280">
        <f t="shared" si="53"/>
        <v>3174980.7558462769</v>
      </c>
      <c r="O161" s="200">
        <f t="shared" si="53"/>
        <v>2095489.3457919999</v>
      </c>
      <c r="P161" s="421">
        <f>SUM(P6:P160)</f>
        <v>163761294.07000002</v>
      </c>
      <c r="Q161" s="422"/>
      <c r="R161" s="185">
        <f>SUM(R6:R160)</f>
        <v>168728290.07000002</v>
      </c>
      <c r="S161" s="421"/>
      <c r="T161" s="422"/>
    </row>
    <row r="162" spans="1:20" ht="15" customHeight="1" x14ac:dyDescent="0.25">
      <c r="B162" s="419" t="s">
        <v>323</v>
      </c>
      <c r="C162" s="419"/>
      <c r="D162" s="419"/>
      <c r="E162" s="419"/>
      <c r="F162" s="419"/>
      <c r="G162" s="419"/>
      <c r="H162" s="419"/>
      <c r="I162" s="419"/>
      <c r="J162" s="419"/>
      <c r="K162" s="419"/>
      <c r="L162" s="419"/>
      <c r="M162" s="419"/>
      <c r="N162" s="419"/>
      <c r="O162" s="419"/>
      <c r="P162" s="419"/>
      <c r="Q162" s="419"/>
      <c r="R162" s="419"/>
      <c r="S162" s="419"/>
      <c r="T162" s="419"/>
    </row>
    <row r="163" spans="1:20" ht="49.7" customHeight="1" x14ac:dyDescent="0.25">
      <c r="B163" s="420"/>
      <c r="C163" s="420"/>
      <c r="D163" s="420"/>
      <c r="E163" s="420"/>
      <c r="F163" s="420"/>
      <c r="G163" s="420"/>
      <c r="H163" s="420"/>
      <c r="I163" s="420"/>
      <c r="J163" s="420"/>
      <c r="K163" s="420"/>
      <c r="L163" s="420"/>
      <c r="M163" s="420"/>
      <c r="N163" s="420"/>
      <c r="O163" s="420"/>
      <c r="P163" s="420"/>
      <c r="Q163" s="420"/>
      <c r="R163" s="420"/>
      <c r="S163" s="420"/>
      <c r="T163" s="420"/>
    </row>
    <row r="164" spans="1:20" ht="13.7" hidden="1" customHeight="1" x14ac:dyDescent="0.25">
      <c r="B164" s="420" t="s">
        <v>262</v>
      </c>
      <c r="C164" s="420"/>
      <c r="D164" s="420"/>
      <c r="E164" s="420"/>
      <c r="F164" s="420"/>
      <c r="G164" s="420"/>
      <c r="H164" s="420"/>
      <c r="I164" s="420"/>
      <c r="J164" s="420"/>
      <c r="K164" s="420"/>
      <c r="L164" s="420"/>
      <c r="M164" s="420"/>
      <c r="N164" s="420"/>
      <c r="O164" s="420"/>
      <c r="P164" s="420"/>
      <c r="Q164" s="420"/>
      <c r="R164" s="420"/>
      <c r="S164" s="420"/>
      <c r="T164" s="420"/>
    </row>
    <row r="165" spans="1:20" ht="15" hidden="1" customHeight="1" x14ac:dyDescent="0.25">
      <c r="B165" s="420"/>
      <c r="C165" s="420"/>
      <c r="D165" s="420"/>
      <c r="E165" s="420"/>
      <c r="F165" s="420"/>
      <c r="G165" s="420"/>
      <c r="H165" s="420"/>
      <c r="I165" s="420"/>
      <c r="J165" s="420"/>
      <c r="K165" s="420"/>
      <c r="L165" s="420"/>
      <c r="M165" s="420"/>
      <c r="N165" s="420"/>
      <c r="O165" s="420"/>
      <c r="P165" s="420"/>
      <c r="Q165" s="420"/>
      <c r="R165" s="420"/>
      <c r="S165" s="420"/>
      <c r="T165" s="420"/>
    </row>
    <row r="166" spans="1:20" ht="3.6" customHeight="1" x14ac:dyDescent="0.25">
      <c r="B166" s="420"/>
      <c r="C166" s="420"/>
      <c r="D166" s="420"/>
      <c r="E166" s="420"/>
      <c r="F166" s="420"/>
      <c r="G166" s="420"/>
      <c r="H166" s="420"/>
      <c r="I166" s="420"/>
      <c r="J166" s="420"/>
      <c r="K166" s="420"/>
      <c r="L166" s="420"/>
      <c r="M166" s="420"/>
      <c r="N166" s="420"/>
      <c r="O166" s="420"/>
      <c r="P166" s="420"/>
      <c r="Q166" s="420"/>
      <c r="R166" s="420"/>
      <c r="S166" s="420"/>
      <c r="T166" s="420"/>
    </row>
    <row r="167" spans="1:20" ht="128.25" customHeight="1" x14ac:dyDescent="0.25">
      <c r="B167" s="420"/>
      <c r="C167" s="420"/>
      <c r="D167" s="420"/>
      <c r="E167" s="420"/>
      <c r="F167" s="420"/>
      <c r="G167" s="420"/>
      <c r="H167" s="420"/>
      <c r="I167" s="420"/>
      <c r="J167" s="420"/>
      <c r="K167" s="420"/>
      <c r="L167" s="420"/>
      <c r="M167" s="420"/>
      <c r="N167" s="420"/>
      <c r="O167" s="420"/>
      <c r="P167" s="420"/>
      <c r="Q167" s="420"/>
      <c r="R167" s="420"/>
      <c r="S167" s="420"/>
      <c r="T167" s="420"/>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N296"/>
  <sheetViews>
    <sheetView topLeftCell="A217" zoomScale="110" zoomScaleNormal="110" workbookViewId="0">
      <selection activeCell="K283" sqref="K283:M287"/>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2" spans="3:14" ht="15.75" thickBot="1" x14ac:dyDescent="0.3"/>
    <row r="3" spans="3:14" x14ac:dyDescent="0.25">
      <c r="C3" s="216" t="s">
        <v>159</v>
      </c>
      <c r="D3" s="64">
        <v>1</v>
      </c>
      <c r="E3" s="64"/>
      <c r="F3" s="64"/>
      <c r="G3" s="64"/>
      <c r="H3" s="64"/>
      <c r="I3" s="64"/>
      <c r="J3" s="66"/>
      <c r="K3" s="438" t="s">
        <v>329</v>
      </c>
      <c r="L3" s="439"/>
      <c r="M3" s="439"/>
      <c r="N3" s="439"/>
    </row>
    <row r="4" spans="3:14" x14ac:dyDescent="0.25">
      <c r="C4" s="146" t="s">
        <v>160</v>
      </c>
      <c r="D4" s="36"/>
      <c r="E4" s="217">
        <v>45945</v>
      </c>
      <c r="F4" s="36"/>
      <c r="G4" s="36" t="s">
        <v>165</v>
      </c>
      <c r="H4" s="89" t="s">
        <v>318</v>
      </c>
      <c r="I4" s="67"/>
      <c r="J4" s="68"/>
      <c r="K4" s="438"/>
      <c r="L4" s="439"/>
      <c r="M4" s="439"/>
      <c r="N4" s="439"/>
    </row>
    <row r="5" spans="3:14" x14ac:dyDescent="0.25">
      <c r="C5" s="146" t="s">
        <v>161</v>
      </c>
      <c r="D5" s="36" t="s">
        <v>162</v>
      </c>
      <c r="E5" s="36" t="s">
        <v>163</v>
      </c>
      <c r="F5" s="36"/>
      <c r="G5" s="36" t="s">
        <v>166</v>
      </c>
      <c r="H5" s="67">
        <v>136</v>
      </c>
      <c r="I5" s="67"/>
      <c r="J5" s="68"/>
      <c r="K5" s="438"/>
      <c r="L5" s="439"/>
      <c r="M5" s="439"/>
      <c r="N5" s="439"/>
    </row>
    <row r="6" spans="3:14" ht="15.75" thickBot="1" x14ac:dyDescent="0.3">
      <c r="C6" s="146" t="s">
        <v>164</v>
      </c>
      <c r="D6" s="36"/>
      <c r="E6" s="36"/>
      <c r="F6" s="36"/>
      <c r="G6" s="36"/>
      <c r="H6" s="36"/>
      <c r="I6" s="36"/>
      <c r="J6" s="69"/>
      <c r="K6" s="438"/>
      <c r="L6" s="439"/>
      <c r="M6" s="439"/>
      <c r="N6" s="439"/>
    </row>
    <row r="7" spans="3:14" x14ac:dyDescent="0.25">
      <c r="C7" s="427" t="s">
        <v>319</v>
      </c>
      <c r="D7" s="428"/>
      <c r="E7" s="428"/>
      <c r="F7" s="428"/>
      <c r="G7" s="428"/>
      <c r="H7" s="428"/>
      <c r="I7" s="428"/>
      <c r="J7" s="429"/>
      <c r="K7" s="440" t="s">
        <v>332</v>
      </c>
      <c r="L7" s="441"/>
      <c r="M7" s="441"/>
      <c r="N7" s="441"/>
    </row>
    <row r="8" spans="3:14" x14ac:dyDescent="0.25">
      <c r="C8" s="430"/>
      <c r="D8" s="431"/>
      <c r="E8" s="431"/>
      <c r="F8" s="431"/>
      <c r="G8" s="431"/>
      <c r="H8" s="431"/>
      <c r="I8" s="431"/>
      <c r="J8" s="432"/>
      <c r="K8" s="440"/>
      <c r="L8" s="441"/>
      <c r="M8" s="441"/>
      <c r="N8" s="441"/>
    </row>
    <row r="9" spans="3:14" ht="15.75" thickBot="1" x14ac:dyDescent="0.3">
      <c r="C9" s="433"/>
      <c r="D9" s="434"/>
      <c r="E9" s="434"/>
      <c r="F9" s="434"/>
      <c r="G9" s="434"/>
      <c r="H9" s="434"/>
      <c r="I9" s="434"/>
      <c r="J9" s="435"/>
      <c r="K9" s="440"/>
      <c r="L9" s="441"/>
      <c r="M9" s="441"/>
      <c r="N9" s="441"/>
    </row>
    <row r="11" spans="3:14" ht="15.75" thickBot="1" x14ac:dyDescent="0.3"/>
    <row r="12" spans="3:14" x14ac:dyDescent="0.25">
      <c r="C12" s="250" t="s">
        <v>159</v>
      </c>
      <c r="D12" s="251">
        <f>D3+1</f>
        <v>2</v>
      </c>
      <c r="E12" s="64"/>
      <c r="F12" s="64"/>
      <c r="G12" s="64"/>
      <c r="H12" s="64"/>
      <c r="I12" s="64"/>
      <c r="J12" s="66"/>
    </row>
    <row r="13" spans="3:14" x14ac:dyDescent="0.25">
      <c r="C13" s="252" t="s">
        <v>160</v>
      </c>
      <c r="D13" s="253"/>
      <c r="E13" s="217">
        <v>45945</v>
      </c>
      <c r="F13" s="36"/>
      <c r="G13" s="36" t="s">
        <v>165</v>
      </c>
      <c r="H13" s="89"/>
      <c r="I13" s="67"/>
      <c r="J13" s="68"/>
      <c r="K13" s="334"/>
      <c r="L13" s="334"/>
    </row>
    <row r="14" spans="3:14" x14ac:dyDescent="0.25">
      <c r="C14" s="252" t="s">
        <v>161</v>
      </c>
      <c r="D14" s="253" t="s">
        <v>162</v>
      </c>
      <c r="E14" s="36" t="s">
        <v>163</v>
      </c>
      <c r="F14" s="36"/>
      <c r="G14" s="36" t="s">
        <v>166</v>
      </c>
      <c r="H14" s="67">
        <v>106</v>
      </c>
      <c r="I14" s="67"/>
      <c r="J14" s="68"/>
      <c r="K14" s="334"/>
      <c r="L14" s="334"/>
    </row>
    <row r="15" spans="3:14" ht="15.75" thickBot="1" x14ac:dyDescent="0.3">
      <c r="C15" s="252" t="s">
        <v>164</v>
      </c>
      <c r="D15" s="253"/>
      <c r="E15" s="36"/>
      <c r="F15" s="36"/>
      <c r="G15" s="36"/>
      <c r="H15" s="36"/>
      <c r="I15" s="36"/>
      <c r="J15" s="69"/>
      <c r="K15" s="334"/>
      <c r="L15" s="334"/>
    </row>
    <row r="16" spans="3:14" x14ac:dyDescent="0.25">
      <c r="C16" s="427" t="s">
        <v>361</v>
      </c>
      <c r="D16" s="428"/>
      <c r="E16" s="428"/>
      <c r="F16" s="428"/>
      <c r="G16" s="428"/>
      <c r="H16" s="428"/>
      <c r="I16" s="428"/>
      <c r="J16" s="429"/>
      <c r="K16" s="334"/>
      <c r="L16" s="334"/>
    </row>
    <row r="17" spans="3:12" x14ac:dyDescent="0.25">
      <c r="C17" s="430"/>
      <c r="D17" s="431"/>
      <c r="E17" s="431"/>
      <c r="F17" s="431"/>
      <c r="G17" s="431"/>
      <c r="H17" s="431"/>
      <c r="I17" s="431"/>
      <c r="J17" s="432"/>
      <c r="K17" s="334"/>
      <c r="L17" s="334"/>
    </row>
    <row r="18" spans="3:12" ht="15.75" thickBot="1" x14ac:dyDescent="0.3">
      <c r="C18" s="433"/>
      <c r="D18" s="434"/>
      <c r="E18" s="434"/>
      <c r="F18" s="434"/>
      <c r="G18" s="434"/>
      <c r="H18" s="434"/>
      <c r="I18" s="434"/>
      <c r="J18" s="435"/>
    </row>
    <row r="20" spans="3:12" ht="15.75" thickBot="1" x14ac:dyDescent="0.3"/>
    <row r="21" spans="3:12" x14ac:dyDescent="0.25">
      <c r="C21" s="245" t="s">
        <v>159</v>
      </c>
      <c r="D21" s="64">
        <f>D12+1</f>
        <v>3</v>
      </c>
      <c r="E21" s="64"/>
      <c r="F21" s="64"/>
      <c r="G21" s="64"/>
      <c r="H21" s="64"/>
      <c r="I21" s="64"/>
      <c r="J21" s="66"/>
      <c r="K21" s="334"/>
      <c r="L21" s="334"/>
    </row>
    <row r="22" spans="3:12" x14ac:dyDescent="0.25">
      <c r="C22" s="246" t="s">
        <v>160</v>
      </c>
      <c r="D22" s="247"/>
      <c r="E22" s="217">
        <v>45945</v>
      </c>
      <c r="F22" s="36"/>
      <c r="G22" s="36" t="s">
        <v>165</v>
      </c>
      <c r="H22" s="89"/>
      <c r="I22" s="67"/>
      <c r="J22" s="68"/>
      <c r="K22" s="334"/>
      <c r="L22" s="334"/>
    </row>
    <row r="23" spans="3:12" x14ac:dyDescent="0.25">
      <c r="C23" s="246" t="s">
        <v>161</v>
      </c>
      <c r="D23" s="247" t="s">
        <v>162</v>
      </c>
      <c r="E23" s="36" t="s">
        <v>163</v>
      </c>
      <c r="F23" s="36"/>
      <c r="G23" s="36" t="s">
        <v>166</v>
      </c>
      <c r="H23" s="67">
        <v>72</v>
      </c>
      <c r="I23" s="67"/>
      <c r="J23" s="68"/>
      <c r="K23" s="334"/>
      <c r="L23" s="334"/>
    </row>
    <row r="24" spans="3:12" ht="15.75" thickBot="1" x14ac:dyDescent="0.3">
      <c r="C24" s="246" t="s">
        <v>164</v>
      </c>
      <c r="D24" s="247"/>
      <c r="E24" s="36"/>
      <c r="F24" s="36"/>
      <c r="G24" s="36"/>
      <c r="H24" s="36"/>
      <c r="I24" s="36"/>
      <c r="J24" s="69"/>
      <c r="K24" s="334"/>
      <c r="L24" s="334"/>
    </row>
    <row r="25" spans="3:12" x14ac:dyDescent="0.25">
      <c r="C25" s="427" t="s">
        <v>362</v>
      </c>
      <c r="D25" s="428"/>
      <c r="E25" s="428"/>
      <c r="F25" s="428"/>
      <c r="G25" s="428"/>
      <c r="H25" s="428"/>
      <c r="I25" s="428"/>
      <c r="J25" s="429"/>
      <c r="K25" s="334"/>
      <c r="L25" s="334"/>
    </row>
    <row r="26" spans="3:12" x14ac:dyDescent="0.25">
      <c r="C26" s="430"/>
      <c r="D26" s="431"/>
      <c r="E26" s="431"/>
      <c r="F26" s="431"/>
      <c r="G26" s="431"/>
      <c r="H26" s="431"/>
      <c r="I26" s="431"/>
      <c r="J26" s="432"/>
      <c r="K26" s="334"/>
      <c r="L26" s="334"/>
    </row>
    <row r="27" spans="3:12" ht="15.75" thickBot="1" x14ac:dyDescent="0.3">
      <c r="C27" s="433"/>
      <c r="D27" s="434"/>
      <c r="E27" s="434"/>
      <c r="F27" s="434"/>
      <c r="G27" s="434"/>
      <c r="H27" s="434"/>
      <c r="I27" s="434"/>
      <c r="J27" s="435"/>
    </row>
    <row r="29" spans="3:12" ht="15.75" thickBot="1" x14ac:dyDescent="0.3"/>
    <row r="30" spans="3:12" x14ac:dyDescent="0.25">
      <c r="C30" s="255" t="s">
        <v>159</v>
      </c>
      <c r="D30" s="64">
        <f>D21+1</f>
        <v>4</v>
      </c>
      <c r="E30" s="64"/>
      <c r="F30" s="64"/>
      <c r="G30" s="64"/>
      <c r="H30" s="64"/>
      <c r="I30" s="64"/>
      <c r="J30" s="66"/>
    </row>
    <row r="31" spans="3:12" x14ac:dyDescent="0.25">
      <c r="C31" s="256" t="s">
        <v>160</v>
      </c>
      <c r="D31" s="257"/>
      <c r="E31" s="217">
        <v>45945</v>
      </c>
      <c r="F31" s="36"/>
      <c r="G31" s="36" t="s">
        <v>165</v>
      </c>
      <c r="H31" s="89" t="s">
        <v>363</v>
      </c>
      <c r="I31" s="67"/>
      <c r="J31" s="68"/>
      <c r="K31" s="334"/>
      <c r="L31" s="334"/>
    </row>
    <row r="32" spans="3:12" x14ac:dyDescent="0.25">
      <c r="C32" s="256" t="s">
        <v>161</v>
      </c>
      <c r="D32" s="257" t="s">
        <v>162</v>
      </c>
      <c r="E32" s="36" t="s">
        <v>163</v>
      </c>
      <c r="F32" s="36"/>
      <c r="G32" s="36" t="s">
        <v>166</v>
      </c>
      <c r="H32" s="425" t="s">
        <v>365</v>
      </c>
      <c r="I32" s="425"/>
      <c r="J32" s="426"/>
      <c r="K32" s="334"/>
      <c r="L32" s="334"/>
    </row>
    <row r="33" spans="3:12" ht="15.75" thickBot="1" x14ac:dyDescent="0.3">
      <c r="C33" s="256" t="s">
        <v>164</v>
      </c>
      <c r="D33" s="257"/>
      <c r="E33" s="36"/>
      <c r="F33" s="36"/>
      <c r="G33" s="36"/>
      <c r="H33" s="36"/>
      <c r="I33" s="36"/>
      <c r="J33" s="69"/>
      <c r="K33" s="334"/>
      <c r="L33" s="334"/>
    </row>
    <row r="34" spans="3:12" x14ac:dyDescent="0.25">
      <c r="C34" s="427" t="s">
        <v>364</v>
      </c>
      <c r="D34" s="428"/>
      <c r="E34" s="428"/>
      <c r="F34" s="428"/>
      <c r="G34" s="428"/>
      <c r="H34" s="428"/>
      <c r="I34" s="428"/>
      <c r="J34" s="429"/>
      <c r="K34" s="334"/>
      <c r="L34" s="334"/>
    </row>
    <row r="35" spans="3:12" x14ac:dyDescent="0.25">
      <c r="C35" s="430"/>
      <c r="D35" s="431"/>
      <c r="E35" s="431"/>
      <c r="F35" s="431"/>
      <c r="G35" s="431"/>
      <c r="H35" s="431"/>
      <c r="I35" s="431"/>
      <c r="J35" s="432"/>
      <c r="K35" s="334"/>
      <c r="L35" s="334"/>
    </row>
    <row r="36" spans="3:12" ht="15.75" thickBot="1" x14ac:dyDescent="0.3">
      <c r="C36" s="433"/>
      <c r="D36" s="434"/>
      <c r="E36" s="434"/>
      <c r="F36" s="434"/>
      <c r="G36" s="434"/>
      <c r="H36" s="434"/>
      <c r="I36" s="434"/>
      <c r="J36" s="435"/>
      <c r="K36" s="334"/>
      <c r="L36" s="334"/>
    </row>
    <row r="38" spans="3:12" ht="15.75" thickBot="1" x14ac:dyDescent="0.3"/>
    <row r="39" spans="3:12" x14ac:dyDescent="0.25">
      <c r="C39" s="281" t="s">
        <v>159</v>
      </c>
      <c r="D39" s="64">
        <f>D30+1</f>
        <v>5</v>
      </c>
      <c r="E39" s="64"/>
      <c r="F39" s="64"/>
      <c r="G39" s="64"/>
      <c r="H39" s="64"/>
      <c r="I39" s="64"/>
      <c r="J39" s="66"/>
      <c r="K39" s="334"/>
      <c r="L39" s="334"/>
    </row>
    <row r="40" spans="3:12" x14ac:dyDescent="0.25">
      <c r="C40" s="282" t="s">
        <v>160</v>
      </c>
      <c r="D40" s="283"/>
      <c r="E40" s="217">
        <v>45945</v>
      </c>
      <c r="F40" s="36"/>
      <c r="G40" s="36" t="s">
        <v>165</v>
      </c>
      <c r="H40" s="89" t="s">
        <v>366</v>
      </c>
      <c r="I40" s="67"/>
      <c r="J40" s="68"/>
      <c r="K40" s="334"/>
      <c r="L40" s="334"/>
    </row>
    <row r="41" spans="3:12" x14ac:dyDescent="0.25">
      <c r="C41" s="282" t="s">
        <v>161</v>
      </c>
      <c r="D41" s="283" t="s">
        <v>162</v>
      </c>
      <c r="E41" s="36" t="s">
        <v>163</v>
      </c>
      <c r="F41" s="36"/>
      <c r="G41" s="36" t="s">
        <v>166</v>
      </c>
      <c r="H41" s="425">
        <v>146</v>
      </c>
      <c r="I41" s="425"/>
      <c r="J41" s="426"/>
      <c r="K41" s="334"/>
      <c r="L41" s="334"/>
    </row>
    <row r="42" spans="3:12" ht="15.75" thickBot="1" x14ac:dyDescent="0.3">
      <c r="C42" s="282" t="s">
        <v>164</v>
      </c>
      <c r="D42" s="283"/>
      <c r="E42" s="36"/>
      <c r="F42" s="36"/>
      <c r="G42" s="36"/>
      <c r="H42" s="36"/>
      <c r="I42" s="36"/>
      <c r="J42" s="69"/>
      <c r="K42" s="334"/>
      <c r="L42" s="334"/>
    </row>
    <row r="43" spans="3:12" x14ac:dyDescent="0.25">
      <c r="C43" s="427" t="s">
        <v>367</v>
      </c>
      <c r="D43" s="428"/>
      <c r="E43" s="428"/>
      <c r="F43" s="428"/>
      <c r="G43" s="428"/>
      <c r="H43" s="428"/>
      <c r="I43" s="428"/>
      <c r="J43" s="429"/>
      <c r="K43" s="334"/>
      <c r="L43" s="334"/>
    </row>
    <row r="44" spans="3:12" x14ac:dyDescent="0.25">
      <c r="C44" s="430"/>
      <c r="D44" s="431"/>
      <c r="E44" s="431"/>
      <c r="F44" s="431"/>
      <c r="G44" s="431"/>
      <c r="H44" s="431"/>
      <c r="I44" s="431"/>
      <c r="J44" s="432"/>
      <c r="K44" s="334"/>
      <c r="L44" s="334"/>
    </row>
    <row r="45" spans="3:12" ht="15.75" thickBot="1" x14ac:dyDescent="0.3">
      <c r="C45" s="433"/>
      <c r="D45" s="434"/>
      <c r="E45" s="434"/>
      <c r="F45" s="434"/>
      <c r="G45" s="434"/>
      <c r="H45" s="434"/>
      <c r="I45" s="434"/>
      <c r="J45" s="435"/>
    </row>
    <row r="47" spans="3:12" ht="15.75" thickBot="1" x14ac:dyDescent="0.3"/>
    <row r="48" spans="3:12" x14ac:dyDescent="0.25">
      <c r="C48" s="284" t="s">
        <v>159</v>
      </c>
      <c r="D48" s="64">
        <f>D39+1</f>
        <v>6</v>
      </c>
      <c r="E48" s="64"/>
      <c r="F48" s="64"/>
      <c r="G48" s="64"/>
      <c r="H48" s="64"/>
      <c r="I48" s="64"/>
      <c r="J48" s="66"/>
    </row>
    <row r="49" spans="3:12" x14ac:dyDescent="0.25">
      <c r="C49" s="285" t="s">
        <v>160</v>
      </c>
      <c r="D49" s="286"/>
      <c r="E49" s="217">
        <v>45945</v>
      </c>
      <c r="F49" s="36"/>
      <c r="G49" s="36" t="s">
        <v>165</v>
      </c>
      <c r="H49" s="89" t="s">
        <v>368</v>
      </c>
      <c r="I49" s="67"/>
      <c r="J49" s="68"/>
      <c r="K49" s="334"/>
      <c r="L49" s="334"/>
    </row>
    <row r="50" spans="3:12" x14ac:dyDescent="0.25">
      <c r="C50" s="285" t="s">
        <v>161</v>
      </c>
      <c r="D50" s="286" t="s">
        <v>162</v>
      </c>
      <c r="E50" s="36" t="s">
        <v>163</v>
      </c>
      <c r="F50" s="36"/>
      <c r="G50" s="36" t="s">
        <v>166</v>
      </c>
      <c r="H50" s="425">
        <v>14</v>
      </c>
      <c r="I50" s="425"/>
      <c r="J50" s="426"/>
      <c r="K50" s="334"/>
      <c r="L50" s="334"/>
    </row>
    <row r="51" spans="3:12" ht="15.75" thickBot="1" x14ac:dyDescent="0.3">
      <c r="C51" s="285" t="s">
        <v>164</v>
      </c>
      <c r="D51" s="286"/>
      <c r="E51" s="36"/>
      <c r="F51" s="36"/>
      <c r="G51" s="36"/>
      <c r="H51" s="36"/>
      <c r="I51" s="36"/>
      <c r="J51" s="69"/>
      <c r="K51" s="334"/>
      <c r="L51" s="334"/>
    </row>
    <row r="52" spans="3:12" x14ac:dyDescent="0.25">
      <c r="C52" s="427" t="s">
        <v>369</v>
      </c>
      <c r="D52" s="428"/>
      <c r="E52" s="428"/>
      <c r="F52" s="428"/>
      <c r="G52" s="428"/>
      <c r="H52" s="428"/>
      <c r="I52" s="428"/>
      <c r="J52" s="429"/>
      <c r="K52" s="334"/>
      <c r="L52" s="334"/>
    </row>
    <row r="53" spans="3:12" x14ac:dyDescent="0.25">
      <c r="C53" s="430"/>
      <c r="D53" s="431"/>
      <c r="E53" s="431"/>
      <c r="F53" s="431"/>
      <c r="G53" s="431"/>
      <c r="H53" s="431"/>
      <c r="I53" s="431"/>
      <c r="J53" s="432"/>
      <c r="K53" s="334"/>
      <c r="L53" s="334"/>
    </row>
    <row r="54" spans="3:12" ht="15.75" thickBot="1" x14ac:dyDescent="0.3">
      <c r="C54" s="433"/>
      <c r="D54" s="434"/>
      <c r="E54" s="434"/>
      <c r="F54" s="434"/>
      <c r="G54" s="434"/>
      <c r="H54" s="434"/>
      <c r="I54" s="434"/>
      <c r="J54" s="435"/>
    </row>
    <row r="56" spans="3:12" ht="15.75" thickBot="1" x14ac:dyDescent="0.3"/>
    <row r="57" spans="3:12" x14ac:dyDescent="0.25">
      <c r="C57" s="287" t="s">
        <v>159</v>
      </c>
      <c r="D57" s="288">
        <f>D48+1</f>
        <v>7</v>
      </c>
      <c r="E57" s="64"/>
      <c r="F57" s="64"/>
      <c r="G57" s="64"/>
      <c r="H57" s="64"/>
      <c r="I57" s="64"/>
      <c r="J57" s="66"/>
    </row>
    <row r="58" spans="3:12" x14ac:dyDescent="0.25">
      <c r="C58" s="289" t="s">
        <v>160</v>
      </c>
      <c r="D58" s="290"/>
      <c r="E58" s="217">
        <v>45945</v>
      </c>
      <c r="F58" s="36"/>
      <c r="G58" s="36" t="s">
        <v>165</v>
      </c>
      <c r="H58" s="89"/>
      <c r="I58" s="67"/>
      <c r="J58" s="68"/>
      <c r="K58" s="334"/>
      <c r="L58" s="334"/>
    </row>
    <row r="59" spans="3:12" x14ac:dyDescent="0.25">
      <c r="C59" s="289" t="s">
        <v>161</v>
      </c>
      <c r="D59" s="290" t="s">
        <v>162</v>
      </c>
      <c r="E59" s="36" t="s">
        <v>163</v>
      </c>
      <c r="F59" s="36"/>
      <c r="G59" s="36" t="s">
        <v>166</v>
      </c>
      <c r="H59" s="425">
        <v>53</v>
      </c>
      <c r="I59" s="425"/>
      <c r="J59" s="426"/>
      <c r="K59" s="334"/>
      <c r="L59" s="334"/>
    </row>
    <row r="60" spans="3:12" ht="15.75" thickBot="1" x14ac:dyDescent="0.3">
      <c r="C60" s="289" t="s">
        <v>164</v>
      </c>
      <c r="D60" s="290"/>
      <c r="E60" s="36"/>
      <c r="F60" s="36"/>
      <c r="G60" s="36"/>
      <c r="H60" s="36"/>
      <c r="I60" s="36"/>
      <c r="J60" s="69"/>
      <c r="K60" s="334"/>
      <c r="L60" s="334"/>
    </row>
    <row r="61" spans="3:12" x14ac:dyDescent="0.25">
      <c r="C61" s="427" t="s">
        <v>371</v>
      </c>
      <c r="D61" s="428"/>
      <c r="E61" s="428"/>
      <c r="F61" s="428"/>
      <c r="G61" s="428"/>
      <c r="H61" s="428"/>
      <c r="I61" s="428"/>
      <c r="J61" s="429"/>
      <c r="K61" s="334"/>
      <c r="L61" s="334"/>
    </row>
    <row r="62" spans="3:12" x14ac:dyDescent="0.25">
      <c r="C62" s="430"/>
      <c r="D62" s="431"/>
      <c r="E62" s="431"/>
      <c r="F62" s="431"/>
      <c r="G62" s="431"/>
      <c r="H62" s="431"/>
      <c r="I62" s="431"/>
      <c r="J62" s="432"/>
      <c r="K62" s="334"/>
      <c r="L62" s="334"/>
    </row>
    <row r="63" spans="3:12" ht="15.75" thickBot="1" x14ac:dyDescent="0.3">
      <c r="C63" s="433"/>
      <c r="D63" s="434"/>
      <c r="E63" s="434"/>
      <c r="F63" s="434"/>
      <c r="G63" s="434"/>
      <c r="H63" s="434"/>
      <c r="I63" s="434"/>
      <c r="J63" s="435"/>
    </row>
    <row r="65" spans="3:12" ht="15.75" thickBot="1" x14ac:dyDescent="0.3"/>
    <row r="66" spans="3:12" x14ac:dyDescent="0.25">
      <c r="C66" s="291" t="s">
        <v>159</v>
      </c>
      <c r="D66" s="292">
        <f>D57+1</f>
        <v>8</v>
      </c>
      <c r="E66" s="64"/>
      <c r="F66" s="64"/>
      <c r="G66" s="64"/>
      <c r="H66" s="64"/>
      <c r="I66" s="64"/>
      <c r="J66" s="66"/>
      <c r="K66" s="334"/>
      <c r="L66" s="334"/>
    </row>
    <row r="67" spans="3:12" x14ac:dyDescent="0.25">
      <c r="C67" s="293" t="s">
        <v>160</v>
      </c>
      <c r="D67" s="294"/>
      <c r="E67" s="217">
        <v>45945</v>
      </c>
      <c r="F67" s="36"/>
      <c r="G67" s="36" t="s">
        <v>165</v>
      </c>
      <c r="H67" s="89" t="s">
        <v>372</v>
      </c>
      <c r="I67" s="67"/>
      <c r="J67" s="68"/>
      <c r="K67" s="334"/>
      <c r="L67" s="334"/>
    </row>
    <row r="68" spans="3:12" x14ac:dyDescent="0.25">
      <c r="C68" s="293" t="s">
        <v>161</v>
      </c>
      <c r="D68" s="294" t="s">
        <v>162</v>
      </c>
      <c r="E68" s="36" t="s">
        <v>163</v>
      </c>
      <c r="F68" s="36"/>
      <c r="G68" s="36" t="s">
        <v>166</v>
      </c>
      <c r="H68" s="425" t="s">
        <v>373</v>
      </c>
      <c r="I68" s="425"/>
      <c r="J68" s="426"/>
      <c r="K68" s="334"/>
      <c r="L68" s="334"/>
    </row>
    <row r="69" spans="3:12" ht="15.75" thickBot="1" x14ac:dyDescent="0.3">
      <c r="C69" s="293" t="s">
        <v>164</v>
      </c>
      <c r="D69" s="294"/>
      <c r="E69" s="36"/>
      <c r="F69" s="36"/>
      <c r="G69" s="36"/>
      <c r="H69" s="36"/>
      <c r="I69" s="36"/>
      <c r="J69" s="69"/>
      <c r="K69" s="334"/>
      <c r="L69" s="334"/>
    </row>
    <row r="70" spans="3:12" x14ac:dyDescent="0.25">
      <c r="C70" s="427" t="s">
        <v>374</v>
      </c>
      <c r="D70" s="428"/>
      <c r="E70" s="428"/>
      <c r="F70" s="428"/>
      <c r="G70" s="428"/>
      <c r="H70" s="428"/>
      <c r="I70" s="428"/>
      <c r="J70" s="429"/>
      <c r="K70" s="334"/>
      <c r="L70" s="334"/>
    </row>
    <row r="71" spans="3:12" x14ac:dyDescent="0.25">
      <c r="C71" s="430"/>
      <c r="D71" s="431"/>
      <c r="E71" s="431"/>
      <c r="F71" s="431"/>
      <c r="G71" s="431"/>
      <c r="H71" s="431"/>
      <c r="I71" s="431"/>
      <c r="J71" s="432"/>
      <c r="K71" s="334"/>
      <c r="L71" s="334"/>
    </row>
    <row r="72" spans="3:12" ht="15.75" thickBot="1" x14ac:dyDescent="0.3">
      <c r="C72" s="433"/>
      <c r="D72" s="434"/>
      <c r="E72" s="434"/>
      <c r="F72" s="434"/>
      <c r="G72" s="434"/>
      <c r="H72" s="434"/>
      <c r="I72" s="434"/>
      <c r="J72" s="435"/>
    </row>
    <row r="74" spans="3:12" ht="15.75" thickBot="1" x14ac:dyDescent="0.3"/>
    <row r="75" spans="3:12" x14ac:dyDescent="0.25">
      <c r="C75" s="295" t="s">
        <v>159</v>
      </c>
      <c r="D75" s="296">
        <f>D66+1</f>
        <v>9</v>
      </c>
      <c r="E75" s="64"/>
      <c r="F75" s="64"/>
      <c r="G75" s="64"/>
      <c r="H75" s="64"/>
      <c r="I75" s="64"/>
      <c r="J75" s="66"/>
    </row>
    <row r="76" spans="3:12" x14ac:dyDescent="0.25">
      <c r="C76" s="297" t="s">
        <v>160</v>
      </c>
      <c r="D76" s="298"/>
      <c r="E76" s="217">
        <v>45945</v>
      </c>
      <c r="F76" s="36"/>
      <c r="G76" s="36" t="s">
        <v>165</v>
      </c>
      <c r="H76" s="89"/>
      <c r="I76" s="67"/>
      <c r="J76" s="68"/>
      <c r="K76" s="334"/>
      <c r="L76" s="334"/>
    </row>
    <row r="77" spans="3:12" x14ac:dyDescent="0.25">
      <c r="C77" s="297" t="s">
        <v>161</v>
      </c>
      <c r="D77" s="298" t="s">
        <v>162</v>
      </c>
      <c r="E77" s="36" t="s">
        <v>163</v>
      </c>
      <c r="F77" s="36"/>
      <c r="G77" s="36" t="s">
        <v>166</v>
      </c>
      <c r="H77" s="425">
        <v>78</v>
      </c>
      <c r="I77" s="425"/>
      <c r="J77" s="426"/>
      <c r="K77" s="334"/>
      <c r="L77" s="334"/>
    </row>
    <row r="78" spans="3:12" ht="15.75" thickBot="1" x14ac:dyDescent="0.3">
      <c r="C78" s="297" t="s">
        <v>164</v>
      </c>
      <c r="D78" s="298"/>
      <c r="E78" s="36"/>
      <c r="F78" s="36"/>
      <c r="G78" s="36"/>
      <c r="H78" s="36"/>
      <c r="I78" s="36"/>
      <c r="J78" s="69"/>
      <c r="K78" s="334"/>
      <c r="L78" s="334"/>
    </row>
    <row r="79" spans="3:12" x14ac:dyDescent="0.25">
      <c r="C79" s="427" t="s">
        <v>375</v>
      </c>
      <c r="D79" s="428"/>
      <c r="E79" s="428"/>
      <c r="F79" s="428"/>
      <c r="G79" s="428"/>
      <c r="H79" s="428"/>
      <c r="I79" s="428"/>
      <c r="J79" s="429"/>
      <c r="K79" s="334"/>
      <c r="L79" s="334"/>
    </row>
    <row r="80" spans="3:12" x14ac:dyDescent="0.25">
      <c r="C80" s="430"/>
      <c r="D80" s="431"/>
      <c r="E80" s="431"/>
      <c r="F80" s="431"/>
      <c r="G80" s="431"/>
      <c r="H80" s="431"/>
      <c r="I80" s="431"/>
      <c r="J80" s="432"/>
    </row>
    <row r="81" spans="3:12" ht="15.75" thickBot="1" x14ac:dyDescent="0.3">
      <c r="C81" s="433"/>
      <c r="D81" s="434"/>
      <c r="E81" s="434"/>
      <c r="F81" s="434"/>
      <c r="G81" s="434"/>
      <c r="H81" s="434"/>
      <c r="I81" s="434"/>
      <c r="J81" s="435"/>
    </row>
    <row r="83" spans="3:12" ht="15.75" thickBot="1" x14ac:dyDescent="0.3"/>
    <row r="84" spans="3:12" x14ac:dyDescent="0.25">
      <c r="C84" s="299" t="s">
        <v>159</v>
      </c>
      <c r="D84" s="300">
        <f>D75+1</f>
        <v>10</v>
      </c>
      <c r="E84" s="64"/>
      <c r="F84" s="64"/>
      <c r="G84" s="64"/>
      <c r="H84" s="64"/>
      <c r="I84" s="64"/>
      <c r="J84" s="66"/>
      <c r="K84" s="334"/>
      <c r="L84" s="334"/>
    </row>
    <row r="85" spans="3:12" x14ac:dyDescent="0.25">
      <c r="C85" s="301" t="s">
        <v>160</v>
      </c>
      <c r="D85" s="302"/>
      <c r="E85" s="217">
        <v>45945</v>
      </c>
      <c r="F85" s="36"/>
      <c r="G85" s="36" t="s">
        <v>165</v>
      </c>
      <c r="H85" s="89"/>
      <c r="I85" s="67"/>
      <c r="J85" s="68"/>
      <c r="K85" s="334"/>
      <c r="L85" s="334"/>
    </row>
    <row r="86" spans="3:12" x14ac:dyDescent="0.25">
      <c r="C86" s="301" t="s">
        <v>161</v>
      </c>
      <c r="D86" s="302" t="s">
        <v>162</v>
      </c>
      <c r="E86" s="36" t="s">
        <v>163</v>
      </c>
      <c r="F86" s="36"/>
      <c r="G86" s="36" t="s">
        <v>166</v>
      </c>
      <c r="H86" s="425">
        <v>59</v>
      </c>
      <c r="I86" s="425"/>
      <c r="J86" s="426"/>
      <c r="K86" s="334"/>
      <c r="L86" s="334"/>
    </row>
    <row r="87" spans="3:12" ht="15.75" thickBot="1" x14ac:dyDescent="0.3">
      <c r="C87" s="301" t="s">
        <v>164</v>
      </c>
      <c r="D87" s="302"/>
      <c r="E87" s="36"/>
      <c r="F87" s="36"/>
      <c r="G87" s="36"/>
      <c r="H87" s="36"/>
      <c r="I87" s="36"/>
      <c r="J87" s="69"/>
      <c r="K87" s="334"/>
      <c r="L87" s="334"/>
    </row>
    <row r="88" spans="3:12" x14ac:dyDescent="0.25">
      <c r="C88" s="427" t="s">
        <v>376</v>
      </c>
      <c r="D88" s="428"/>
      <c r="E88" s="428"/>
      <c r="F88" s="428"/>
      <c r="G88" s="428"/>
      <c r="H88" s="428"/>
      <c r="I88" s="428"/>
      <c r="J88" s="429"/>
      <c r="K88" s="334"/>
      <c r="L88" s="334"/>
    </row>
    <row r="89" spans="3:12" x14ac:dyDescent="0.25">
      <c r="C89" s="430"/>
      <c r="D89" s="431"/>
      <c r="E89" s="431"/>
      <c r="F89" s="431"/>
      <c r="G89" s="431"/>
      <c r="H89" s="431"/>
      <c r="I89" s="431"/>
      <c r="J89" s="432"/>
      <c r="K89" s="334"/>
      <c r="L89" s="334"/>
    </row>
    <row r="90" spans="3:12" ht="15.75" thickBot="1" x14ac:dyDescent="0.3">
      <c r="C90" s="433"/>
      <c r="D90" s="434"/>
      <c r="E90" s="434"/>
      <c r="F90" s="434"/>
      <c r="G90" s="434"/>
      <c r="H90" s="434"/>
      <c r="I90" s="434"/>
      <c r="J90" s="435"/>
    </row>
    <row r="92" spans="3:12" ht="15.75" thickBot="1" x14ac:dyDescent="0.3"/>
    <row r="93" spans="3:12" x14ac:dyDescent="0.25">
      <c r="C93" s="303" t="s">
        <v>159</v>
      </c>
      <c r="D93" s="304">
        <f>D84+1</f>
        <v>11</v>
      </c>
      <c r="E93" s="64"/>
      <c r="F93" s="64"/>
      <c r="G93" s="64"/>
      <c r="H93" s="64"/>
      <c r="I93" s="64"/>
      <c r="J93" s="66"/>
    </row>
    <row r="94" spans="3:12" x14ac:dyDescent="0.25">
      <c r="C94" s="305" t="s">
        <v>160</v>
      </c>
      <c r="D94" s="306"/>
      <c r="E94" s="217">
        <v>45945</v>
      </c>
      <c r="F94" s="36"/>
      <c r="G94" s="36" t="s">
        <v>165</v>
      </c>
      <c r="H94" s="89"/>
      <c r="I94" s="67"/>
      <c r="J94" s="68"/>
      <c r="K94" s="334"/>
      <c r="L94" s="334"/>
    </row>
    <row r="95" spans="3:12" x14ac:dyDescent="0.25">
      <c r="C95" s="305" t="s">
        <v>161</v>
      </c>
      <c r="D95" s="306" t="s">
        <v>162</v>
      </c>
      <c r="E95" s="36" t="s">
        <v>163</v>
      </c>
      <c r="F95" s="36"/>
      <c r="G95" s="36" t="s">
        <v>166</v>
      </c>
      <c r="H95" s="425">
        <v>112</v>
      </c>
      <c r="I95" s="425"/>
      <c r="J95" s="426"/>
      <c r="K95" s="334"/>
      <c r="L95" s="334"/>
    </row>
    <row r="96" spans="3:12" ht="15.75" thickBot="1" x14ac:dyDescent="0.3">
      <c r="C96" s="305" t="s">
        <v>164</v>
      </c>
      <c r="D96" s="306"/>
      <c r="E96" s="36"/>
      <c r="F96" s="36"/>
      <c r="G96" s="36"/>
      <c r="H96" s="36"/>
      <c r="I96" s="36"/>
      <c r="J96" s="69"/>
      <c r="K96" s="334"/>
      <c r="L96" s="334"/>
    </row>
    <row r="97" spans="3:12" x14ac:dyDescent="0.25">
      <c r="C97" s="427" t="s">
        <v>377</v>
      </c>
      <c r="D97" s="428"/>
      <c r="E97" s="428"/>
      <c r="F97" s="428"/>
      <c r="G97" s="428"/>
      <c r="H97" s="428"/>
      <c r="I97" s="428"/>
      <c r="J97" s="429"/>
      <c r="K97" s="334"/>
      <c r="L97" s="334"/>
    </row>
    <row r="98" spans="3:12" x14ac:dyDescent="0.25">
      <c r="C98" s="430"/>
      <c r="D98" s="431"/>
      <c r="E98" s="431"/>
      <c r="F98" s="431"/>
      <c r="G98" s="431"/>
      <c r="H98" s="431"/>
      <c r="I98" s="431"/>
      <c r="J98" s="432"/>
      <c r="K98" s="334"/>
      <c r="L98" s="334"/>
    </row>
    <row r="99" spans="3:12" ht="15.75" thickBot="1" x14ac:dyDescent="0.3">
      <c r="C99" s="433"/>
      <c r="D99" s="434"/>
      <c r="E99" s="434"/>
      <c r="F99" s="434"/>
      <c r="G99" s="434"/>
      <c r="H99" s="434"/>
      <c r="I99" s="434"/>
      <c r="J99" s="435"/>
      <c r="K99" s="334"/>
      <c r="L99" s="334"/>
    </row>
    <row r="101" spans="3:12" ht="15.75" thickBot="1" x14ac:dyDescent="0.3"/>
    <row r="102" spans="3:12" x14ac:dyDescent="0.25">
      <c r="C102" s="307" t="s">
        <v>159</v>
      </c>
      <c r="D102" s="308">
        <f>D93+1</f>
        <v>12</v>
      </c>
      <c r="E102" s="64"/>
      <c r="F102" s="64"/>
      <c r="G102" s="64"/>
      <c r="H102" s="64"/>
      <c r="I102" s="64"/>
      <c r="J102" s="66"/>
    </row>
    <row r="103" spans="3:12" x14ac:dyDescent="0.25">
      <c r="C103" s="309" t="s">
        <v>160</v>
      </c>
      <c r="D103" s="310"/>
      <c r="E103" s="217">
        <v>45945</v>
      </c>
      <c r="F103" s="36"/>
      <c r="G103" s="36" t="s">
        <v>165</v>
      </c>
      <c r="H103" s="89"/>
      <c r="I103" s="67"/>
      <c r="J103" s="68"/>
      <c r="K103" s="334"/>
      <c r="L103" s="334"/>
    </row>
    <row r="104" spans="3:12" x14ac:dyDescent="0.25">
      <c r="C104" s="309" t="s">
        <v>161</v>
      </c>
      <c r="D104" s="310" t="s">
        <v>162</v>
      </c>
      <c r="E104" s="36" t="s">
        <v>163</v>
      </c>
      <c r="F104" s="36"/>
      <c r="G104" s="36" t="s">
        <v>166</v>
      </c>
      <c r="H104" s="425">
        <v>102</v>
      </c>
      <c r="I104" s="425"/>
      <c r="J104" s="426"/>
      <c r="K104" s="334"/>
      <c r="L104" s="334"/>
    </row>
    <row r="105" spans="3:12" ht="15.75" thickBot="1" x14ac:dyDescent="0.3">
      <c r="C105" s="309" t="s">
        <v>164</v>
      </c>
      <c r="D105" s="310"/>
      <c r="E105" s="36"/>
      <c r="F105" s="36"/>
      <c r="G105" s="36"/>
      <c r="H105" s="36"/>
      <c r="I105" s="36"/>
      <c r="J105" s="69"/>
      <c r="K105" s="334"/>
      <c r="L105" s="334"/>
    </row>
    <row r="106" spans="3:12" x14ac:dyDescent="0.25">
      <c r="C106" s="427" t="s">
        <v>378</v>
      </c>
      <c r="D106" s="428"/>
      <c r="E106" s="428"/>
      <c r="F106" s="428"/>
      <c r="G106" s="428"/>
      <c r="H106" s="428"/>
      <c r="I106" s="428"/>
      <c r="J106" s="429"/>
      <c r="K106" s="334"/>
      <c r="L106" s="334"/>
    </row>
    <row r="107" spans="3:12" x14ac:dyDescent="0.25">
      <c r="C107" s="430"/>
      <c r="D107" s="431"/>
      <c r="E107" s="431"/>
      <c r="F107" s="431"/>
      <c r="G107" s="431"/>
      <c r="H107" s="431"/>
      <c r="I107" s="431"/>
      <c r="J107" s="432"/>
      <c r="K107" s="334"/>
      <c r="L107" s="334"/>
    </row>
    <row r="108" spans="3:12" ht="15.75" thickBot="1" x14ac:dyDescent="0.3">
      <c r="C108" s="433"/>
      <c r="D108" s="434"/>
      <c r="E108" s="434"/>
      <c r="F108" s="434"/>
      <c r="G108" s="434"/>
      <c r="H108" s="434"/>
      <c r="I108" s="434"/>
      <c r="J108" s="435"/>
      <c r="K108" s="334"/>
      <c r="L108" s="334"/>
    </row>
    <row r="110" spans="3:12" ht="15.75" thickBot="1" x14ac:dyDescent="0.3"/>
    <row r="111" spans="3:12" x14ac:dyDescent="0.25">
      <c r="C111" s="311" t="s">
        <v>159</v>
      </c>
      <c r="D111" s="312">
        <f>D102+1</f>
        <v>13</v>
      </c>
      <c r="E111" s="64"/>
      <c r="F111" s="64"/>
      <c r="G111" s="64"/>
      <c r="H111" s="64"/>
      <c r="I111" s="64"/>
      <c r="J111" s="66"/>
    </row>
    <row r="112" spans="3:12" x14ac:dyDescent="0.25">
      <c r="C112" s="313" t="s">
        <v>160</v>
      </c>
      <c r="D112" s="314"/>
      <c r="E112" s="217">
        <v>45945</v>
      </c>
      <c r="F112" s="36"/>
      <c r="G112" s="36" t="s">
        <v>165</v>
      </c>
      <c r="H112" s="89"/>
      <c r="I112" s="67"/>
      <c r="J112" s="68"/>
      <c r="K112" s="334"/>
      <c r="L112" s="334"/>
    </row>
    <row r="113" spans="3:12" x14ac:dyDescent="0.25">
      <c r="C113" s="313" t="s">
        <v>161</v>
      </c>
      <c r="D113" s="314" t="s">
        <v>162</v>
      </c>
      <c r="E113" s="36" t="s">
        <v>163</v>
      </c>
      <c r="F113" s="36"/>
      <c r="G113" s="36" t="s">
        <v>166</v>
      </c>
      <c r="H113" s="425">
        <v>60</v>
      </c>
      <c r="I113" s="425"/>
      <c r="J113" s="426"/>
      <c r="K113" s="334"/>
      <c r="L113" s="334"/>
    </row>
    <row r="114" spans="3:12" ht="15.75" thickBot="1" x14ac:dyDescent="0.3">
      <c r="C114" s="313" t="s">
        <v>164</v>
      </c>
      <c r="D114" s="314"/>
      <c r="E114" s="36"/>
      <c r="F114" s="36"/>
      <c r="G114" s="36"/>
      <c r="H114" s="36"/>
      <c r="I114" s="36"/>
      <c r="J114" s="69"/>
      <c r="K114" s="334"/>
      <c r="L114" s="334"/>
    </row>
    <row r="115" spans="3:12" x14ac:dyDescent="0.25">
      <c r="C115" s="427" t="s">
        <v>379</v>
      </c>
      <c r="D115" s="428"/>
      <c r="E115" s="428"/>
      <c r="F115" s="428"/>
      <c r="G115" s="428"/>
      <c r="H115" s="428"/>
      <c r="I115" s="428"/>
      <c r="J115" s="429"/>
      <c r="K115" s="334"/>
      <c r="L115" s="334"/>
    </row>
    <row r="116" spans="3:12" x14ac:dyDescent="0.25">
      <c r="C116" s="430"/>
      <c r="D116" s="431"/>
      <c r="E116" s="431"/>
      <c r="F116" s="431"/>
      <c r="G116" s="431"/>
      <c r="H116" s="431"/>
      <c r="I116" s="431"/>
      <c r="J116" s="432"/>
      <c r="K116" s="334"/>
      <c r="L116" s="334"/>
    </row>
    <row r="117" spans="3:12" ht="15.75" thickBot="1" x14ac:dyDescent="0.3">
      <c r="C117" s="433"/>
      <c r="D117" s="434"/>
      <c r="E117" s="434"/>
      <c r="F117" s="434"/>
      <c r="G117" s="434"/>
      <c r="H117" s="434"/>
      <c r="I117" s="434"/>
      <c r="J117" s="435"/>
    </row>
    <row r="119" spans="3:12" ht="15.75" thickBot="1" x14ac:dyDescent="0.3"/>
    <row r="120" spans="3:12" x14ac:dyDescent="0.25">
      <c r="C120" s="315" t="s">
        <v>159</v>
      </c>
      <c r="D120" s="316">
        <f>D111+1</f>
        <v>14</v>
      </c>
      <c r="E120" s="64"/>
      <c r="F120" s="64"/>
      <c r="G120" s="64"/>
      <c r="H120" s="64"/>
      <c r="I120" s="64"/>
      <c r="J120" s="66"/>
    </row>
    <row r="121" spans="3:12" x14ac:dyDescent="0.25">
      <c r="C121" s="317" t="s">
        <v>160</v>
      </c>
      <c r="D121" s="318"/>
      <c r="E121" s="217">
        <v>45945</v>
      </c>
      <c r="F121" s="36"/>
      <c r="G121" s="36" t="s">
        <v>165</v>
      </c>
      <c r="H121" s="89"/>
      <c r="I121" s="67"/>
      <c r="J121" s="68"/>
      <c r="K121" s="334"/>
      <c r="L121" s="334"/>
    </row>
    <row r="122" spans="3:12" x14ac:dyDescent="0.25">
      <c r="C122" s="317" t="s">
        <v>161</v>
      </c>
      <c r="D122" s="318" t="s">
        <v>162</v>
      </c>
      <c r="E122" s="36" t="s">
        <v>163</v>
      </c>
      <c r="F122" s="36"/>
      <c r="G122" s="36" t="s">
        <v>166</v>
      </c>
      <c r="H122" s="425">
        <v>97</v>
      </c>
      <c r="I122" s="425"/>
      <c r="J122" s="426"/>
      <c r="K122" s="334"/>
      <c r="L122" s="334"/>
    </row>
    <row r="123" spans="3:12" ht="15.75" thickBot="1" x14ac:dyDescent="0.3">
      <c r="C123" s="317" t="s">
        <v>164</v>
      </c>
      <c r="D123" s="318"/>
      <c r="E123" s="36"/>
      <c r="F123" s="36"/>
      <c r="G123" s="36"/>
      <c r="H123" s="36"/>
      <c r="I123" s="36"/>
      <c r="J123" s="69"/>
      <c r="K123" s="334"/>
      <c r="L123" s="334"/>
    </row>
    <row r="124" spans="3:12" x14ac:dyDescent="0.25">
      <c r="C124" s="427" t="s">
        <v>380</v>
      </c>
      <c r="D124" s="428"/>
      <c r="E124" s="428"/>
      <c r="F124" s="428"/>
      <c r="G124" s="428"/>
      <c r="H124" s="428"/>
      <c r="I124" s="428"/>
      <c r="J124" s="429"/>
      <c r="K124" s="334"/>
      <c r="L124" s="334"/>
    </row>
    <row r="125" spans="3:12" x14ac:dyDescent="0.25">
      <c r="C125" s="430"/>
      <c r="D125" s="431"/>
      <c r="E125" s="431"/>
      <c r="F125" s="431"/>
      <c r="G125" s="431"/>
      <c r="H125" s="431"/>
      <c r="I125" s="431"/>
      <c r="J125" s="432"/>
      <c r="K125" s="334"/>
      <c r="L125" s="334"/>
    </row>
    <row r="126" spans="3:12" ht="15.75" thickBot="1" x14ac:dyDescent="0.3">
      <c r="C126" s="433"/>
      <c r="D126" s="434"/>
      <c r="E126" s="434"/>
      <c r="F126" s="434"/>
      <c r="G126" s="434"/>
      <c r="H126" s="434"/>
      <c r="I126" s="434"/>
      <c r="J126" s="435"/>
    </row>
    <row r="128" spans="3:12" ht="15.75" thickBot="1" x14ac:dyDescent="0.3"/>
    <row r="129" spans="3:12" x14ac:dyDescent="0.25">
      <c r="C129" s="319" t="s">
        <v>159</v>
      </c>
      <c r="D129" s="320">
        <f>D120+1</f>
        <v>15</v>
      </c>
      <c r="E129" s="64"/>
      <c r="F129" s="64"/>
      <c r="G129" s="64"/>
      <c r="H129" s="64"/>
      <c r="I129" s="64"/>
      <c r="J129" s="66"/>
    </row>
    <row r="130" spans="3:12" x14ac:dyDescent="0.25">
      <c r="C130" s="321" t="s">
        <v>160</v>
      </c>
      <c r="D130" s="322"/>
      <c r="E130" s="217">
        <v>45945</v>
      </c>
      <c r="F130" s="36"/>
      <c r="G130" s="36" t="s">
        <v>165</v>
      </c>
      <c r="H130" s="89"/>
      <c r="I130" s="67"/>
      <c r="J130" s="68"/>
      <c r="K130" s="334"/>
      <c r="L130" s="334"/>
    </row>
    <row r="131" spans="3:12" x14ac:dyDescent="0.25">
      <c r="C131" s="321" t="s">
        <v>161</v>
      </c>
      <c r="D131" s="322" t="s">
        <v>162</v>
      </c>
      <c r="E131" s="36" t="s">
        <v>163</v>
      </c>
      <c r="F131" s="36"/>
      <c r="G131" s="36" t="s">
        <v>166</v>
      </c>
      <c r="H131" s="425">
        <v>110</v>
      </c>
      <c r="I131" s="425"/>
      <c r="J131" s="426"/>
      <c r="K131" s="334"/>
      <c r="L131" s="334"/>
    </row>
    <row r="132" spans="3:12" ht="15.75" thickBot="1" x14ac:dyDescent="0.3">
      <c r="C132" s="321" t="s">
        <v>164</v>
      </c>
      <c r="D132" s="322"/>
      <c r="E132" s="36"/>
      <c r="F132" s="36"/>
      <c r="G132" s="36"/>
      <c r="H132" s="36"/>
      <c r="I132" s="36"/>
      <c r="J132" s="69"/>
      <c r="K132" s="334"/>
      <c r="L132" s="334"/>
    </row>
    <row r="133" spans="3:12" x14ac:dyDescent="0.25">
      <c r="C133" s="427" t="s">
        <v>381</v>
      </c>
      <c r="D133" s="428"/>
      <c r="E133" s="428"/>
      <c r="F133" s="428"/>
      <c r="G133" s="428"/>
      <c r="H133" s="428"/>
      <c r="I133" s="428"/>
      <c r="J133" s="429"/>
      <c r="K133" s="334"/>
      <c r="L133" s="334"/>
    </row>
    <row r="134" spans="3:12" x14ac:dyDescent="0.25">
      <c r="C134" s="430"/>
      <c r="D134" s="431"/>
      <c r="E134" s="431"/>
      <c r="F134" s="431"/>
      <c r="G134" s="431"/>
      <c r="H134" s="431"/>
      <c r="I134" s="431"/>
      <c r="J134" s="432"/>
      <c r="K134" s="334"/>
      <c r="L134" s="334"/>
    </row>
    <row r="135" spans="3:12" ht="15.75" thickBot="1" x14ac:dyDescent="0.3">
      <c r="C135" s="433"/>
      <c r="D135" s="434"/>
      <c r="E135" s="434"/>
      <c r="F135" s="434"/>
      <c r="G135" s="434"/>
      <c r="H135" s="434"/>
      <c r="I135" s="434"/>
      <c r="J135" s="435"/>
      <c r="K135" s="334"/>
      <c r="L135" s="334"/>
    </row>
    <row r="137" spans="3:12" ht="15.75" thickBot="1" x14ac:dyDescent="0.3"/>
    <row r="138" spans="3:12" x14ac:dyDescent="0.25">
      <c r="C138" s="323" t="s">
        <v>159</v>
      </c>
      <c r="D138" s="324">
        <f>D129+1</f>
        <v>16</v>
      </c>
      <c r="E138" s="64"/>
      <c r="F138" s="64"/>
      <c r="G138" s="64"/>
      <c r="H138" s="64"/>
      <c r="I138" s="64"/>
      <c r="J138" s="66"/>
      <c r="K138" s="334"/>
      <c r="L138" s="334"/>
    </row>
    <row r="139" spans="3:12" x14ac:dyDescent="0.25">
      <c r="C139" s="325" t="s">
        <v>160</v>
      </c>
      <c r="D139" s="326"/>
      <c r="E139" s="217">
        <v>45945</v>
      </c>
      <c r="F139" s="36"/>
      <c r="G139" s="36" t="s">
        <v>165</v>
      </c>
      <c r="H139" s="89"/>
      <c r="I139" s="67"/>
      <c r="J139" s="68"/>
      <c r="K139" s="334"/>
      <c r="L139" s="334"/>
    </row>
    <row r="140" spans="3:12" x14ac:dyDescent="0.25">
      <c r="C140" s="325" t="s">
        <v>161</v>
      </c>
      <c r="D140" s="326" t="s">
        <v>162</v>
      </c>
      <c r="E140" s="36" t="s">
        <v>163</v>
      </c>
      <c r="F140" s="36"/>
      <c r="G140" s="36" t="s">
        <v>166</v>
      </c>
      <c r="H140" s="425">
        <v>61</v>
      </c>
      <c r="I140" s="425"/>
      <c r="J140" s="426"/>
      <c r="K140" s="334"/>
      <c r="L140" s="334"/>
    </row>
    <row r="141" spans="3:12" ht="15.75" thickBot="1" x14ac:dyDescent="0.3">
      <c r="C141" s="325" t="s">
        <v>164</v>
      </c>
      <c r="D141" s="326"/>
      <c r="E141" s="36"/>
      <c r="F141" s="36"/>
      <c r="G141" s="36"/>
      <c r="H141" s="36"/>
      <c r="I141" s="36"/>
      <c r="J141" s="69"/>
      <c r="K141" s="334"/>
      <c r="L141" s="334"/>
    </row>
    <row r="142" spans="3:12" x14ac:dyDescent="0.25">
      <c r="C142" s="427" t="s">
        <v>382</v>
      </c>
      <c r="D142" s="428"/>
      <c r="E142" s="428"/>
      <c r="F142" s="428"/>
      <c r="G142" s="428"/>
      <c r="H142" s="428"/>
      <c r="I142" s="428"/>
      <c r="J142" s="429"/>
      <c r="K142" s="334"/>
      <c r="L142" s="334"/>
    </row>
    <row r="143" spans="3:12" x14ac:dyDescent="0.25">
      <c r="C143" s="430"/>
      <c r="D143" s="431"/>
      <c r="E143" s="431"/>
      <c r="F143" s="431"/>
      <c r="G143" s="431"/>
      <c r="H143" s="431"/>
      <c r="I143" s="431"/>
      <c r="J143" s="432"/>
      <c r="K143" s="334"/>
      <c r="L143" s="334"/>
    </row>
    <row r="144" spans="3:12" ht="15.75" thickBot="1" x14ac:dyDescent="0.3">
      <c r="C144" s="433"/>
      <c r="D144" s="434"/>
      <c r="E144" s="434"/>
      <c r="F144" s="434"/>
      <c r="G144" s="434"/>
      <c r="H144" s="434"/>
      <c r="I144" s="434"/>
      <c r="J144" s="435"/>
      <c r="K144" s="334"/>
      <c r="L144" s="334"/>
    </row>
    <row r="145" spans="3:12" x14ac:dyDescent="0.25">
      <c r="K145" s="334"/>
      <c r="L145" s="334"/>
    </row>
    <row r="146" spans="3:12" ht="15.75" thickBot="1" x14ac:dyDescent="0.3"/>
    <row r="147" spans="3:12" x14ac:dyDescent="0.25">
      <c r="C147" s="327" t="s">
        <v>159</v>
      </c>
      <c r="D147" s="328">
        <f>D138+1</f>
        <v>17</v>
      </c>
      <c r="E147" s="64"/>
      <c r="F147" s="64"/>
      <c r="G147" s="64"/>
      <c r="H147" s="64"/>
      <c r="I147" s="64"/>
      <c r="J147" s="66"/>
    </row>
    <row r="148" spans="3:12" x14ac:dyDescent="0.25">
      <c r="C148" s="329" t="s">
        <v>160</v>
      </c>
      <c r="D148" s="330"/>
      <c r="E148" s="217">
        <v>45945</v>
      </c>
      <c r="F148" s="36"/>
      <c r="G148" s="36" t="s">
        <v>165</v>
      </c>
      <c r="H148" s="89"/>
      <c r="I148" s="67"/>
      <c r="J148" s="68"/>
    </row>
    <row r="149" spans="3:12" x14ac:dyDescent="0.25">
      <c r="C149" s="329" t="s">
        <v>161</v>
      </c>
      <c r="D149" s="330" t="s">
        <v>162</v>
      </c>
      <c r="E149" s="36" t="s">
        <v>163</v>
      </c>
      <c r="F149" s="36"/>
      <c r="G149" s="36" t="s">
        <v>166</v>
      </c>
      <c r="H149" s="425">
        <v>73</v>
      </c>
      <c r="I149" s="425"/>
      <c r="J149" s="426"/>
      <c r="K149" s="334"/>
      <c r="L149" s="334"/>
    </row>
    <row r="150" spans="3:12" ht="15.75" thickBot="1" x14ac:dyDescent="0.3">
      <c r="C150" s="329" t="s">
        <v>164</v>
      </c>
      <c r="D150" s="330"/>
      <c r="E150" s="36"/>
      <c r="F150" s="36"/>
      <c r="G150" s="36"/>
      <c r="H150" s="36"/>
      <c r="I150" s="36"/>
      <c r="J150" s="69"/>
      <c r="K150" s="334"/>
      <c r="L150" s="334"/>
    </row>
    <row r="151" spans="3:12" x14ac:dyDescent="0.25">
      <c r="C151" s="427" t="s">
        <v>383</v>
      </c>
      <c r="D151" s="428"/>
      <c r="E151" s="428"/>
      <c r="F151" s="428"/>
      <c r="G151" s="428"/>
      <c r="H151" s="428"/>
      <c r="I151" s="428"/>
      <c r="J151" s="429"/>
      <c r="K151" s="334"/>
      <c r="L151" s="334"/>
    </row>
    <row r="152" spans="3:12" x14ac:dyDescent="0.25">
      <c r="C152" s="430"/>
      <c r="D152" s="431"/>
      <c r="E152" s="431"/>
      <c r="F152" s="431"/>
      <c r="G152" s="431"/>
      <c r="H152" s="431"/>
      <c r="I152" s="431"/>
      <c r="J152" s="432"/>
    </row>
    <row r="153" spans="3:12" ht="15.75" thickBot="1" x14ac:dyDescent="0.3">
      <c r="C153" s="433"/>
      <c r="D153" s="434"/>
      <c r="E153" s="434"/>
      <c r="F153" s="434"/>
      <c r="G153" s="434"/>
      <c r="H153" s="434"/>
      <c r="I153" s="434"/>
      <c r="J153" s="435"/>
    </row>
    <row r="155" spans="3:12" ht="15.75" thickBot="1" x14ac:dyDescent="0.3"/>
    <row r="156" spans="3:12" x14ac:dyDescent="0.25">
      <c r="C156" s="331" t="s">
        <v>159</v>
      </c>
      <c r="D156" s="332">
        <f>D147+1</f>
        <v>18</v>
      </c>
      <c r="E156" s="64"/>
      <c r="F156" s="64"/>
      <c r="G156" s="64"/>
      <c r="H156" s="64"/>
      <c r="I156" s="64"/>
      <c r="J156" s="66"/>
    </row>
    <row r="157" spans="3:12" x14ac:dyDescent="0.25">
      <c r="C157" s="333" t="s">
        <v>160</v>
      </c>
      <c r="D157" s="334"/>
      <c r="E157" s="217">
        <v>45945</v>
      </c>
      <c r="F157" s="36"/>
      <c r="G157" s="36" t="s">
        <v>165</v>
      </c>
      <c r="H157" s="89"/>
      <c r="I157" s="67"/>
      <c r="J157" s="68"/>
    </row>
    <row r="158" spans="3:12" x14ac:dyDescent="0.25">
      <c r="C158" s="333" t="s">
        <v>161</v>
      </c>
      <c r="D158" s="334" t="s">
        <v>162</v>
      </c>
      <c r="E158" s="36" t="s">
        <v>163</v>
      </c>
      <c r="F158" s="36"/>
      <c r="G158" s="36" t="s">
        <v>166</v>
      </c>
      <c r="H158" s="425">
        <v>119</v>
      </c>
      <c r="I158" s="425"/>
      <c r="J158" s="426"/>
      <c r="K158" s="334"/>
    </row>
    <row r="159" spans="3:12" ht="15.75" thickBot="1" x14ac:dyDescent="0.3">
      <c r="C159" s="333" t="s">
        <v>164</v>
      </c>
      <c r="D159" s="334"/>
      <c r="E159" s="36"/>
      <c r="F159" s="36"/>
      <c r="G159" s="36"/>
      <c r="H159" s="36"/>
      <c r="I159" s="36"/>
      <c r="J159" s="69"/>
      <c r="K159" s="334"/>
    </row>
    <row r="160" spans="3:12" x14ac:dyDescent="0.25">
      <c r="C160" s="427" t="s">
        <v>384</v>
      </c>
      <c r="D160" s="428"/>
      <c r="E160" s="428"/>
      <c r="F160" s="428"/>
      <c r="G160" s="428"/>
      <c r="H160" s="428"/>
      <c r="I160" s="428"/>
      <c r="J160" s="429"/>
    </row>
    <row r="161" spans="3:12" x14ac:dyDescent="0.25">
      <c r="C161" s="430"/>
      <c r="D161" s="431"/>
      <c r="E161" s="431"/>
      <c r="F161" s="431"/>
      <c r="G161" s="431"/>
      <c r="H161" s="431"/>
      <c r="I161" s="431"/>
      <c r="J161" s="432"/>
    </row>
    <row r="162" spans="3:12" ht="15.75" thickBot="1" x14ac:dyDescent="0.3">
      <c r="C162" s="433"/>
      <c r="D162" s="434"/>
      <c r="E162" s="434"/>
      <c r="F162" s="434"/>
      <c r="G162" s="434"/>
      <c r="H162" s="434"/>
      <c r="I162" s="434"/>
      <c r="J162" s="435"/>
    </row>
    <row r="164" spans="3:12" ht="15.75" thickBot="1" x14ac:dyDescent="0.3"/>
    <row r="165" spans="3:12" x14ac:dyDescent="0.25">
      <c r="C165" s="331" t="s">
        <v>159</v>
      </c>
      <c r="D165" s="332">
        <f>D156+1</f>
        <v>19</v>
      </c>
      <c r="E165" s="64"/>
      <c r="F165" s="64"/>
      <c r="G165" s="64"/>
      <c r="H165" s="64"/>
      <c r="I165" s="64"/>
      <c r="J165" s="66"/>
    </row>
    <row r="166" spans="3:12" x14ac:dyDescent="0.25">
      <c r="C166" s="333" t="s">
        <v>160</v>
      </c>
      <c r="D166" s="334"/>
      <c r="E166" s="217">
        <v>45945</v>
      </c>
      <c r="F166" s="36"/>
      <c r="G166" s="36" t="s">
        <v>165</v>
      </c>
      <c r="H166" s="89"/>
      <c r="I166" s="67"/>
      <c r="J166" s="68"/>
      <c r="K166" s="334"/>
      <c r="L166" s="334"/>
    </row>
    <row r="167" spans="3:12" x14ac:dyDescent="0.25">
      <c r="C167" s="333" t="s">
        <v>161</v>
      </c>
      <c r="D167" s="334" t="s">
        <v>162</v>
      </c>
      <c r="E167" s="36" t="s">
        <v>163</v>
      </c>
      <c r="F167" s="36"/>
      <c r="G167" s="36" t="s">
        <v>166</v>
      </c>
      <c r="H167" s="425">
        <v>96</v>
      </c>
      <c r="I167" s="425"/>
      <c r="J167" s="426"/>
      <c r="K167" s="334"/>
      <c r="L167" s="334"/>
    </row>
    <row r="168" spans="3:12" ht="15.75" thickBot="1" x14ac:dyDescent="0.3">
      <c r="C168" s="333" t="s">
        <v>164</v>
      </c>
      <c r="D168" s="334"/>
      <c r="E168" s="36"/>
      <c r="F168" s="36"/>
      <c r="G168" s="36"/>
      <c r="H168" s="36"/>
      <c r="I168" s="36"/>
      <c r="J168" s="69"/>
      <c r="K168" s="334"/>
      <c r="L168" s="334"/>
    </row>
    <row r="169" spans="3:12" x14ac:dyDescent="0.25">
      <c r="C169" s="427" t="s">
        <v>385</v>
      </c>
      <c r="D169" s="428"/>
      <c r="E169" s="428"/>
      <c r="F169" s="428"/>
      <c r="G169" s="428"/>
      <c r="H169" s="428"/>
      <c r="I169" s="428"/>
      <c r="J169" s="429"/>
      <c r="K169" s="334"/>
      <c r="L169" s="334"/>
    </row>
    <row r="170" spans="3:12" x14ac:dyDescent="0.25">
      <c r="C170" s="430"/>
      <c r="D170" s="431"/>
      <c r="E170" s="431"/>
      <c r="F170" s="431"/>
      <c r="G170" s="431"/>
      <c r="H170" s="431"/>
      <c r="I170" s="431"/>
      <c r="J170" s="432"/>
      <c r="K170" s="334"/>
      <c r="L170" s="334"/>
    </row>
    <row r="171" spans="3:12" ht="15.75" thickBot="1" x14ac:dyDescent="0.3">
      <c r="C171" s="433"/>
      <c r="D171" s="434"/>
      <c r="E171" s="434"/>
      <c r="F171" s="434"/>
      <c r="G171" s="434"/>
      <c r="H171" s="434"/>
      <c r="I171" s="434"/>
      <c r="J171" s="435"/>
    </row>
    <row r="173" spans="3:12" ht="15.75" thickBot="1" x14ac:dyDescent="0.3"/>
    <row r="174" spans="3:12" x14ac:dyDescent="0.25">
      <c r="C174" s="331" t="s">
        <v>159</v>
      </c>
      <c r="D174" s="332">
        <f>D165+1</f>
        <v>20</v>
      </c>
      <c r="E174" s="64"/>
      <c r="F174" s="64"/>
      <c r="G174" s="64"/>
      <c r="H174" s="64"/>
      <c r="I174" s="64"/>
      <c r="J174" s="66"/>
    </row>
    <row r="175" spans="3:12" x14ac:dyDescent="0.25">
      <c r="C175" s="333" t="s">
        <v>160</v>
      </c>
      <c r="D175" s="334"/>
      <c r="E175" s="217">
        <v>45945</v>
      </c>
      <c r="F175" s="36"/>
      <c r="G175" s="36" t="s">
        <v>165</v>
      </c>
      <c r="H175" s="89"/>
      <c r="I175" s="67"/>
      <c r="J175" s="68"/>
      <c r="K175" s="334"/>
      <c r="L175" s="334"/>
    </row>
    <row r="176" spans="3:12" x14ac:dyDescent="0.25">
      <c r="C176" s="333" t="s">
        <v>161</v>
      </c>
      <c r="D176" s="334" t="s">
        <v>162</v>
      </c>
      <c r="E176" s="36" t="s">
        <v>163</v>
      </c>
      <c r="F176" s="36"/>
      <c r="G176" s="36" t="s">
        <v>166</v>
      </c>
      <c r="H176" s="425">
        <v>130</v>
      </c>
      <c r="I176" s="425"/>
      <c r="J176" s="426"/>
      <c r="K176" s="334"/>
      <c r="L176" s="334"/>
    </row>
    <row r="177" spans="3:12" ht="15.75" thickBot="1" x14ac:dyDescent="0.3">
      <c r="C177" s="333" t="s">
        <v>164</v>
      </c>
      <c r="D177" s="334"/>
      <c r="E177" s="36"/>
      <c r="F177" s="36"/>
      <c r="G177" s="36"/>
      <c r="H177" s="36"/>
      <c r="I177" s="36"/>
      <c r="J177" s="69"/>
      <c r="K177" s="334"/>
      <c r="L177" s="334"/>
    </row>
    <row r="178" spans="3:12" x14ac:dyDescent="0.25">
      <c r="C178" s="427" t="s">
        <v>487</v>
      </c>
      <c r="D178" s="428"/>
      <c r="E178" s="428"/>
      <c r="F178" s="428"/>
      <c r="G178" s="428"/>
      <c r="H178" s="428"/>
      <c r="I178" s="428"/>
      <c r="J178" s="429"/>
      <c r="K178" s="334"/>
      <c r="L178" s="334"/>
    </row>
    <row r="179" spans="3:12" x14ac:dyDescent="0.25">
      <c r="C179" s="430"/>
      <c r="D179" s="431"/>
      <c r="E179" s="431"/>
      <c r="F179" s="431"/>
      <c r="G179" s="431"/>
      <c r="H179" s="431"/>
      <c r="I179" s="431"/>
      <c r="J179" s="432"/>
      <c r="K179" s="334"/>
      <c r="L179" s="334"/>
    </row>
    <row r="180" spans="3:12" ht="15.75" thickBot="1" x14ac:dyDescent="0.3">
      <c r="C180" s="433"/>
      <c r="D180" s="434"/>
      <c r="E180" s="434"/>
      <c r="F180" s="434"/>
      <c r="G180" s="434"/>
      <c r="H180" s="434"/>
      <c r="I180" s="434"/>
      <c r="J180" s="435"/>
    </row>
    <row r="181" spans="3:12" ht="15.75" thickBot="1" x14ac:dyDescent="0.3"/>
    <row r="182" spans="3:12" x14ac:dyDescent="0.25">
      <c r="C182" s="331" t="s">
        <v>159</v>
      </c>
      <c r="D182" s="332">
        <f>D174+1</f>
        <v>21</v>
      </c>
      <c r="E182" s="64"/>
      <c r="F182" s="64"/>
      <c r="G182" s="64"/>
      <c r="H182" s="64"/>
      <c r="I182" s="64"/>
      <c r="J182" s="66"/>
    </row>
    <row r="183" spans="3:12" x14ac:dyDescent="0.25">
      <c r="C183" s="333" t="s">
        <v>160</v>
      </c>
      <c r="D183" s="334"/>
      <c r="E183" s="217">
        <v>45945</v>
      </c>
      <c r="F183" s="36"/>
      <c r="G183" s="36" t="s">
        <v>165</v>
      </c>
      <c r="H183" s="89"/>
      <c r="I183" s="67"/>
      <c r="J183" s="68"/>
      <c r="K183" s="334"/>
      <c r="L183" s="334"/>
    </row>
    <row r="184" spans="3:12" x14ac:dyDescent="0.25">
      <c r="C184" s="333" t="s">
        <v>161</v>
      </c>
      <c r="D184" s="334" t="s">
        <v>162</v>
      </c>
      <c r="E184" s="36" t="s">
        <v>163</v>
      </c>
      <c r="F184" s="36"/>
      <c r="G184" s="36" t="s">
        <v>166</v>
      </c>
      <c r="H184" s="425">
        <v>88</v>
      </c>
      <c r="I184" s="425"/>
      <c r="J184" s="426"/>
      <c r="K184" s="334"/>
      <c r="L184" s="334"/>
    </row>
    <row r="185" spans="3:12" ht="15.75" thickBot="1" x14ac:dyDescent="0.3">
      <c r="C185" s="333" t="s">
        <v>164</v>
      </c>
      <c r="D185" s="334"/>
      <c r="E185" s="36"/>
      <c r="F185" s="36"/>
      <c r="G185" s="36"/>
      <c r="H185" s="36"/>
      <c r="I185" s="36"/>
      <c r="J185" s="69"/>
      <c r="K185" s="334"/>
      <c r="L185" s="334"/>
    </row>
    <row r="186" spans="3:12" x14ac:dyDescent="0.25">
      <c r="C186" s="427" t="s">
        <v>386</v>
      </c>
      <c r="D186" s="428"/>
      <c r="E186" s="428"/>
      <c r="F186" s="428"/>
      <c r="G186" s="428"/>
      <c r="H186" s="428"/>
      <c r="I186" s="428"/>
      <c r="J186" s="429"/>
      <c r="K186" s="334"/>
      <c r="L186" s="334"/>
    </row>
    <row r="187" spans="3:12" x14ac:dyDescent="0.25">
      <c r="C187" s="430"/>
      <c r="D187" s="431"/>
      <c r="E187" s="431"/>
      <c r="F187" s="431"/>
      <c r="G187" s="431"/>
      <c r="H187" s="431"/>
      <c r="I187" s="431"/>
      <c r="J187" s="432"/>
      <c r="K187" s="334"/>
      <c r="L187" s="334"/>
    </row>
    <row r="188" spans="3:12" ht="15.75" thickBot="1" x14ac:dyDescent="0.3">
      <c r="C188" s="433"/>
      <c r="D188" s="434"/>
      <c r="E188" s="434"/>
      <c r="F188" s="434"/>
      <c r="G188" s="434"/>
      <c r="H188" s="434"/>
      <c r="I188" s="434"/>
      <c r="J188" s="435"/>
      <c r="K188" s="334"/>
      <c r="L188" s="334"/>
    </row>
    <row r="190" spans="3:12" ht="15.75" thickBot="1" x14ac:dyDescent="0.3"/>
    <row r="191" spans="3:12" x14ac:dyDescent="0.25">
      <c r="C191" s="331" t="s">
        <v>159</v>
      </c>
      <c r="D191" s="332">
        <f>D182+1</f>
        <v>22</v>
      </c>
      <c r="E191" s="64"/>
      <c r="F191" s="64"/>
      <c r="G191" s="64"/>
      <c r="H191" s="64"/>
      <c r="I191" s="64"/>
      <c r="J191" s="66"/>
      <c r="K191" s="334"/>
      <c r="L191" s="334"/>
    </row>
    <row r="192" spans="3:12" x14ac:dyDescent="0.25">
      <c r="C192" s="333" t="s">
        <v>160</v>
      </c>
      <c r="D192" s="334"/>
      <c r="E192" s="217">
        <v>45945</v>
      </c>
      <c r="F192" s="36"/>
      <c r="G192" s="36" t="s">
        <v>165</v>
      </c>
      <c r="H192" s="89"/>
      <c r="I192" s="67"/>
      <c r="J192" s="68"/>
      <c r="K192" s="334"/>
      <c r="L192" s="334"/>
    </row>
    <row r="193" spans="3:13" x14ac:dyDescent="0.25">
      <c r="C193" s="333" t="s">
        <v>161</v>
      </c>
      <c r="D193" s="334" t="s">
        <v>162</v>
      </c>
      <c r="E193" s="36" t="s">
        <v>163</v>
      </c>
      <c r="F193" s="36"/>
      <c r="G193" s="36" t="s">
        <v>166</v>
      </c>
      <c r="H193" s="425">
        <v>68</v>
      </c>
      <c r="I193" s="425"/>
      <c r="J193" s="426"/>
      <c r="K193" s="334"/>
      <c r="L193" s="334"/>
    </row>
    <row r="194" spans="3:13" ht="15.75" thickBot="1" x14ac:dyDescent="0.3">
      <c r="C194" s="333" t="s">
        <v>164</v>
      </c>
      <c r="D194" s="334"/>
      <c r="E194" s="36"/>
      <c r="F194" s="36"/>
      <c r="G194" s="36"/>
      <c r="H194" s="36"/>
      <c r="I194" s="36"/>
      <c r="J194" s="69"/>
      <c r="K194" s="334"/>
      <c r="L194" s="334"/>
    </row>
    <row r="195" spans="3:13" x14ac:dyDescent="0.25">
      <c r="C195" s="427" t="s">
        <v>387</v>
      </c>
      <c r="D195" s="428"/>
      <c r="E195" s="428"/>
      <c r="F195" s="428"/>
      <c r="G195" s="428"/>
      <c r="H195" s="428"/>
      <c r="I195" s="428"/>
      <c r="J195" s="429"/>
      <c r="K195" s="334"/>
      <c r="L195" s="334"/>
    </row>
    <row r="196" spans="3:13" x14ac:dyDescent="0.25">
      <c r="C196" s="430"/>
      <c r="D196" s="431"/>
      <c r="E196" s="431"/>
      <c r="F196" s="431"/>
      <c r="G196" s="431"/>
      <c r="H196" s="431"/>
      <c r="I196" s="431"/>
      <c r="J196" s="432"/>
      <c r="K196" s="334"/>
      <c r="L196" s="334"/>
    </row>
    <row r="197" spans="3:13" ht="15.75" thickBot="1" x14ac:dyDescent="0.3">
      <c r="C197" s="433"/>
      <c r="D197" s="434"/>
      <c r="E197" s="434"/>
      <c r="F197" s="434"/>
      <c r="G197" s="434"/>
      <c r="H197" s="434"/>
      <c r="I197" s="434"/>
      <c r="J197" s="435"/>
    </row>
    <row r="199" spans="3:13" ht="15.75" thickBot="1" x14ac:dyDescent="0.3"/>
    <row r="200" spans="3:13" x14ac:dyDescent="0.25">
      <c r="C200" s="331" t="s">
        <v>159</v>
      </c>
      <c r="D200" s="332">
        <f>D191+1</f>
        <v>23</v>
      </c>
      <c r="E200" s="64"/>
      <c r="F200" s="64"/>
      <c r="G200" s="64"/>
      <c r="H200" s="64"/>
      <c r="I200" s="64"/>
      <c r="J200" s="66"/>
    </row>
    <row r="201" spans="3:13" x14ac:dyDescent="0.25">
      <c r="C201" s="333" t="s">
        <v>160</v>
      </c>
      <c r="D201" s="334"/>
      <c r="E201" s="217">
        <v>45945</v>
      </c>
      <c r="F201" s="36"/>
      <c r="G201" s="36" t="s">
        <v>165</v>
      </c>
      <c r="H201" s="89"/>
      <c r="I201" s="67"/>
      <c r="J201" s="68"/>
      <c r="K201" s="334"/>
      <c r="L201" s="334"/>
      <c r="M201" s="4"/>
    </row>
    <row r="202" spans="3:13" x14ac:dyDescent="0.25">
      <c r="C202" s="333" t="s">
        <v>161</v>
      </c>
      <c r="D202" s="334" t="s">
        <v>162</v>
      </c>
      <c r="E202" s="36" t="s">
        <v>163</v>
      </c>
      <c r="F202" s="36"/>
      <c r="G202" s="36" t="s">
        <v>166</v>
      </c>
      <c r="H202" s="425">
        <v>42</v>
      </c>
      <c r="I202" s="425"/>
      <c r="J202" s="426"/>
      <c r="K202" s="334"/>
      <c r="L202" s="334"/>
    </row>
    <row r="203" spans="3:13" ht="15.75" thickBot="1" x14ac:dyDescent="0.3">
      <c r="C203" s="333" t="s">
        <v>164</v>
      </c>
      <c r="D203" s="334"/>
      <c r="E203" s="36"/>
      <c r="F203" s="36"/>
      <c r="G203" s="36"/>
      <c r="H203" s="36"/>
      <c r="I203" s="36"/>
      <c r="J203" s="69"/>
      <c r="K203" s="334"/>
      <c r="L203" s="334"/>
    </row>
    <row r="204" spans="3:13" x14ac:dyDescent="0.25">
      <c r="C204" s="427" t="s">
        <v>388</v>
      </c>
      <c r="D204" s="428"/>
      <c r="E204" s="428"/>
      <c r="F204" s="428"/>
      <c r="G204" s="428"/>
      <c r="H204" s="428"/>
      <c r="I204" s="428"/>
      <c r="J204" s="429"/>
      <c r="K204" s="334"/>
      <c r="L204" s="334"/>
    </row>
    <row r="205" spans="3:13" x14ac:dyDescent="0.25">
      <c r="C205" s="430"/>
      <c r="D205" s="431"/>
      <c r="E205" s="431"/>
      <c r="F205" s="431"/>
      <c r="G205" s="431"/>
      <c r="H205" s="431"/>
      <c r="I205" s="431"/>
      <c r="J205" s="432"/>
    </row>
    <row r="206" spans="3:13" ht="15.75" thickBot="1" x14ac:dyDescent="0.3">
      <c r="C206" s="433"/>
      <c r="D206" s="434"/>
      <c r="E206" s="434"/>
      <c r="F206" s="434"/>
      <c r="G206" s="434"/>
      <c r="H206" s="434"/>
      <c r="I206" s="434"/>
      <c r="J206" s="435"/>
    </row>
    <row r="209" spans="3:13" ht="15.75" thickBot="1" x14ac:dyDescent="0.3"/>
    <row r="210" spans="3:13" x14ac:dyDescent="0.25">
      <c r="C210" s="331" t="s">
        <v>159</v>
      </c>
      <c r="D210" s="332">
        <f>D200+1</f>
        <v>24</v>
      </c>
      <c r="E210" s="64"/>
      <c r="F210" s="64"/>
      <c r="G210" s="64"/>
      <c r="H210" s="64"/>
      <c r="I210" s="64"/>
      <c r="J210" s="66"/>
    </row>
    <row r="211" spans="3:13" x14ac:dyDescent="0.25">
      <c r="C211" s="333" t="s">
        <v>160</v>
      </c>
      <c r="D211" s="334"/>
      <c r="E211" s="217">
        <v>45945</v>
      </c>
      <c r="F211" s="36"/>
      <c r="G211" s="36" t="s">
        <v>165</v>
      </c>
      <c r="H211" s="89" t="s">
        <v>390</v>
      </c>
      <c r="I211" s="67"/>
      <c r="J211" s="68"/>
      <c r="K211" s="334"/>
      <c r="L211" s="334"/>
    </row>
    <row r="212" spans="3:13" x14ac:dyDescent="0.25">
      <c r="C212" s="333" t="s">
        <v>161</v>
      </c>
      <c r="D212" s="334" t="s">
        <v>162</v>
      </c>
      <c r="E212" s="36" t="s">
        <v>163</v>
      </c>
      <c r="F212" s="36"/>
      <c r="G212" s="36" t="s">
        <v>166</v>
      </c>
      <c r="H212" s="425">
        <v>139</v>
      </c>
      <c r="I212" s="425"/>
      <c r="J212" s="426"/>
      <c r="K212" s="334"/>
      <c r="L212" s="334"/>
    </row>
    <row r="213" spans="3:13" ht="15.75" thickBot="1" x14ac:dyDescent="0.3">
      <c r="C213" s="333" t="s">
        <v>164</v>
      </c>
      <c r="D213" s="334"/>
      <c r="E213" s="36"/>
      <c r="F213" s="36"/>
      <c r="G213" s="36"/>
      <c r="H213" s="36"/>
      <c r="I213" s="36"/>
      <c r="J213" s="69"/>
      <c r="K213" s="334"/>
      <c r="L213" s="334"/>
    </row>
    <row r="214" spans="3:13" x14ac:dyDescent="0.25">
      <c r="C214" s="427" t="s">
        <v>391</v>
      </c>
      <c r="D214" s="428"/>
      <c r="E214" s="428"/>
      <c r="F214" s="428"/>
      <c r="G214" s="428"/>
      <c r="H214" s="428"/>
      <c r="I214" s="428"/>
      <c r="J214" s="429"/>
      <c r="K214" s="334"/>
      <c r="L214" s="334"/>
    </row>
    <row r="215" spans="3:13" x14ac:dyDescent="0.25">
      <c r="C215" s="430"/>
      <c r="D215" s="431"/>
      <c r="E215" s="431"/>
      <c r="F215" s="431"/>
      <c r="G215" s="431"/>
      <c r="H215" s="431"/>
      <c r="I215" s="431"/>
      <c r="J215" s="432"/>
      <c r="K215" s="334"/>
      <c r="L215" s="334"/>
    </row>
    <row r="216" spans="3:13" ht="15.75" thickBot="1" x14ac:dyDescent="0.3">
      <c r="C216" s="433"/>
      <c r="D216" s="434"/>
      <c r="E216" s="434"/>
      <c r="F216" s="434"/>
      <c r="G216" s="434"/>
      <c r="H216" s="434"/>
      <c r="I216" s="434"/>
      <c r="J216" s="435"/>
      <c r="K216" s="334"/>
      <c r="L216" s="334"/>
    </row>
    <row r="218" spans="3:13" ht="15.75" thickBot="1" x14ac:dyDescent="0.3"/>
    <row r="219" spans="3:13" x14ac:dyDescent="0.25">
      <c r="C219" s="331" t="s">
        <v>159</v>
      </c>
      <c r="D219" s="332">
        <f>D210+1</f>
        <v>25</v>
      </c>
      <c r="E219" s="64"/>
      <c r="F219" s="64"/>
      <c r="G219" s="64"/>
      <c r="H219" s="64"/>
      <c r="I219" s="64"/>
      <c r="J219" s="66"/>
    </row>
    <row r="220" spans="3:13" x14ac:dyDescent="0.25">
      <c r="C220" s="333" t="s">
        <v>160</v>
      </c>
      <c r="D220" s="334"/>
      <c r="E220" s="217">
        <v>45945</v>
      </c>
      <c r="F220" s="36"/>
      <c r="G220" s="36" t="s">
        <v>165</v>
      </c>
      <c r="H220" s="89" t="s">
        <v>392</v>
      </c>
      <c r="I220" s="67"/>
      <c r="J220" s="68"/>
      <c r="K220" s="334"/>
      <c r="L220" s="334"/>
      <c r="M220" s="334"/>
    </row>
    <row r="221" spans="3:13" x14ac:dyDescent="0.25">
      <c r="C221" s="333" t="s">
        <v>161</v>
      </c>
      <c r="D221" s="334" t="s">
        <v>162</v>
      </c>
      <c r="E221" s="36" t="s">
        <v>163</v>
      </c>
      <c r="F221" s="36"/>
      <c r="G221" s="36" t="s">
        <v>166</v>
      </c>
      <c r="H221" s="425">
        <v>105</v>
      </c>
      <c r="I221" s="425"/>
      <c r="J221" s="426"/>
      <c r="K221" s="334"/>
      <c r="L221" s="334"/>
      <c r="M221" s="334"/>
    </row>
    <row r="222" spans="3:13" ht="15.75" thickBot="1" x14ac:dyDescent="0.3">
      <c r="C222" s="333" t="s">
        <v>164</v>
      </c>
      <c r="D222" s="334"/>
      <c r="E222" s="36"/>
      <c r="F222" s="36"/>
      <c r="G222" s="36"/>
      <c r="H222" s="36"/>
      <c r="I222" s="36"/>
      <c r="J222" s="69"/>
      <c r="K222" s="334"/>
      <c r="L222" s="334"/>
      <c r="M222" s="334"/>
    </row>
    <row r="223" spans="3:13" x14ac:dyDescent="0.25">
      <c r="C223" s="427" t="s">
        <v>393</v>
      </c>
      <c r="D223" s="428"/>
      <c r="E223" s="428"/>
      <c r="F223" s="428"/>
      <c r="G223" s="428"/>
      <c r="H223" s="428"/>
      <c r="I223" s="428"/>
      <c r="J223" s="429"/>
      <c r="K223" s="334"/>
      <c r="L223" s="334"/>
      <c r="M223" s="334"/>
    </row>
    <row r="224" spans="3:13" x14ac:dyDescent="0.25">
      <c r="C224" s="430"/>
      <c r="D224" s="431"/>
      <c r="E224" s="431"/>
      <c r="F224" s="431"/>
      <c r="G224" s="431"/>
      <c r="H224" s="431"/>
      <c r="I224" s="431"/>
      <c r="J224" s="432"/>
      <c r="K224" s="334"/>
      <c r="L224" s="334"/>
      <c r="M224" s="334"/>
    </row>
    <row r="225" spans="3:12" ht="15.75" thickBot="1" x14ac:dyDescent="0.3">
      <c r="C225" s="433"/>
      <c r="D225" s="434"/>
      <c r="E225" s="434"/>
      <c r="F225" s="434"/>
      <c r="G225" s="434"/>
      <c r="H225" s="434"/>
      <c r="I225" s="434"/>
      <c r="J225" s="435"/>
    </row>
    <row r="227" spans="3:12" ht="15.75" thickBot="1" x14ac:dyDescent="0.3"/>
    <row r="228" spans="3:12" x14ac:dyDescent="0.25">
      <c r="C228" s="331" t="s">
        <v>159</v>
      </c>
      <c r="D228" s="332">
        <f>D219+1</f>
        <v>26</v>
      </c>
      <c r="E228" s="64"/>
      <c r="F228" s="64"/>
      <c r="G228" s="64"/>
      <c r="H228" s="64"/>
      <c r="I228" s="64"/>
      <c r="J228" s="66"/>
    </row>
    <row r="229" spans="3:12" x14ac:dyDescent="0.25">
      <c r="C229" s="333" t="s">
        <v>160</v>
      </c>
      <c r="D229" s="334"/>
      <c r="E229" s="217">
        <v>45945</v>
      </c>
      <c r="F229" s="36"/>
      <c r="G229" s="36" t="s">
        <v>165</v>
      </c>
      <c r="H229" s="89"/>
      <c r="I229" s="67"/>
      <c r="J229" s="68"/>
    </row>
    <row r="230" spans="3:12" x14ac:dyDescent="0.25">
      <c r="C230" s="333" t="s">
        <v>161</v>
      </c>
      <c r="D230" s="334" t="s">
        <v>162</v>
      </c>
      <c r="E230" s="36" t="s">
        <v>163</v>
      </c>
      <c r="F230" s="36"/>
      <c r="G230" s="36" t="s">
        <v>166</v>
      </c>
      <c r="H230" s="425">
        <v>28</v>
      </c>
      <c r="I230" s="425"/>
      <c r="J230" s="426"/>
      <c r="K230" s="334"/>
      <c r="L230" s="334"/>
    </row>
    <row r="231" spans="3:12" ht="15.75" thickBot="1" x14ac:dyDescent="0.3">
      <c r="C231" s="333" t="s">
        <v>164</v>
      </c>
      <c r="D231" s="334"/>
      <c r="E231" s="36"/>
      <c r="F231" s="36"/>
      <c r="G231" s="36"/>
      <c r="H231" s="36"/>
      <c r="I231" s="36"/>
      <c r="J231" s="69"/>
      <c r="K231" s="334"/>
      <c r="L231" s="334"/>
    </row>
    <row r="232" spans="3:12" x14ac:dyDescent="0.25">
      <c r="C232" s="427" t="s">
        <v>395</v>
      </c>
      <c r="D232" s="428"/>
      <c r="E232" s="428"/>
      <c r="F232" s="428"/>
      <c r="G232" s="428"/>
      <c r="H232" s="428"/>
      <c r="I232" s="428"/>
      <c r="J232" s="429"/>
      <c r="K232" s="334"/>
      <c r="L232" s="334"/>
    </row>
    <row r="233" spans="3:12" x14ac:dyDescent="0.25">
      <c r="C233" s="430"/>
      <c r="D233" s="431"/>
      <c r="E233" s="431"/>
      <c r="F233" s="431"/>
      <c r="G233" s="431"/>
      <c r="H233" s="431"/>
      <c r="I233" s="431"/>
      <c r="J233" s="432"/>
    </row>
    <row r="234" spans="3:12" ht="15.75" thickBot="1" x14ac:dyDescent="0.3">
      <c r="C234" s="433"/>
      <c r="D234" s="434"/>
      <c r="E234" s="434"/>
      <c r="F234" s="434"/>
      <c r="G234" s="434"/>
      <c r="H234" s="434"/>
      <c r="I234" s="434"/>
      <c r="J234" s="435"/>
    </row>
    <row r="236" spans="3:12" ht="15.75" thickBot="1" x14ac:dyDescent="0.3"/>
    <row r="237" spans="3:12" x14ac:dyDescent="0.25">
      <c r="C237" s="331" t="s">
        <v>159</v>
      </c>
      <c r="D237" s="332">
        <f>D228+1</f>
        <v>27</v>
      </c>
      <c r="E237" s="64"/>
      <c r="F237" s="64"/>
      <c r="G237" s="64"/>
      <c r="H237" s="64"/>
      <c r="I237" s="64"/>
      <c r="J237" s="66"/>
      <c r="K237" s="334"/>
      <c r="L237" s="334"/>
    </row>
    <row r="238" spans="3:12" x14ac:dyDescent="0.25">
      <c r="C238" s="333" t="s">
        <v>160</v>
      </c>
      <c r="D238" s="334"/>
      <c r="E238" s="217">
        <v>45945</v>
      </c>
      <c r="F238" s="36"/>
      <c r="G238" s="36" t="s">
        <v>165</v>
      </c>
      <c r="H238" s="89"/>
      <c r="I238" s="67"/>
      <c r="J238" s="68"/>
      <c r="K238" s="334"/>
      <c r="L238" s="334"/>
    </row>
    <row r="239" spans="3:12" x14ac:dyDescent="0.25">
      <c r="C239" s="333" t="s">
        <v>161</v>
      </c>
      <c r="D239" s="334" t="s">
        <v>162</v>
      </c>
      <c r="E239" s="36" t="s">
        <v>163</v>
      </c>
      <c r="F239" s="36"/>
      <c r="G239" s="36" t="s">
        <v>166</v>
      </c>
      <c r="H239" s="425">
        <v>71</v>
      </c>
      <c r="I239" s="425"/>
      <c r="J239" s="426"/>
      <c r="K239" s="334"/>
      <c r="L239" s="334"/>
    </row>
    <row r="240" spans="3:12" ht="15.75" thickBot="1" x14ac:dyDescent="0.3">
      <c r="C240" s="333" t="s">
        <v>164</v>
      </c>
      <c r="D240" s="334"/>
      <c r="E240" s="36"/>
      <c r="F240" s="36"/>
      <c r="G240" s="36"/>
      <c r="H240" s="36"/>
      <c r="I240" s="36"/>
      <c r="J240" s="69"/>
      <c r="K240" s="334"/>
      <c r="L240" s="334"/>
    </row>
    <row r="241" spans="3:12" x14ac:dyDescent="0.25">
      <c r="C241" s="427" t="s">
        <v>435</v>
      </c>
      <c r="D241" s="428"/>
      <c r="E241" s="428"/>
      <c r="F241" s="428"/>
      <c r="G241" s="428"/>
      <c r="H241" s="428"/>
      <c r="I241" s="428"/>
      <c r="J241" s="429"/>
      <c r="K241" s="334"/>
      <c r="L241" s="334"/>
    </row>
    <row r="242" spans="3:12" x14ac:dyDescent="0.25">
      <c r="C242" s="430"/>
      <c r="D242" s="431"/>
      <c r="E242" s="431"/>
      <c r="F242" s="431"/>
      <c r="G242" s="431"/>
      <c r="H242" s="431"/>
      <c r="I242" s="431"/>
      <c r="J242" s="432"/>
      <c r="K242" s="334"/>
      <c r="L242" s="334"/>
    </row>
    <row r="243" spans="3:12" ht="15.75" thickBot="1" x14ac:dyDescent="0.3">
      <c r="C243" s="433"/>
      <c r="D243" s="434"/>
      <c r="E243" s="434"/>
      <c r="F243" s="434"/>
      <c r="G243" s="434"/>
      <c r="H243" s="434"/>
      <c r="I243" s="434"/>
      <c r="J243" s="435"/>
      <c r="K243" s="334"/>
      <c r="L243" s="334"/>
    </row>
    <row r="244" spans="3:12" x14ac:dyDescent="0.25">
      <c r="K244" s="334"/>
      <c r="L244" s="334"/>
    </row>
    <row r="245" spans="3:12" ht="15.75" thickBot="1" x14ac:dyDescent="0.3"/>
    <row r="246" spans="3:12" x14ac:dyDescent="0.25">
      <c r="C246" s="331" t="s">
        <v>159</v>
      </c>
      <c r="D246" s="332">
        <f>D237+1</f>
        <v>28</v>
      </c>
      <c r="E246" s="64"/>
      <c r="F246" s="64"/>
      <c r="G246" s="64"/>
      <c r="H246" s="64"/>
      <c r="I246" s="64"/>
      <c r="J246" s="66"/>
    </row>
    <row r="247" spans="3:12" x14ac:dyDescent="0.25">
      <c r="C247" s="333" t="s">
        <v>160</v>
      </c>
      <c r="D247" s="334"/>
      <c r="E247" s="217">
        <v>45945</v>
      </c>
      <c r="F247" s="36"/>
      <c r="G247" s="36" t="s">
        <v>165</v>
      </c>
      <c r="H247" s="89"/>
      <c r="I247" s="67"/>
      <c r="J247" s="68"/>
      <c r="K247" s="334"/>
      <c r="L247" s="334"/>
    </row>
    <row r="248" spans="3:12" x14ac:dyDescent="0.25">
      <c r="C248" s="333" t="s">
        <v>161</v>
      </c>
      <c r="D248" s="334" t="s">
        <v>162</v>
      </c>
      <c r="E248" s="36" t="s">
        <v>163</v>
      </c>
      <c r="F248" s="36"/>
      <c r="G248" s="36" t="s">
        <v>166</v>
      </c>
      <c r="H248" s="425">
        <v>109</v>
      </c>
      <c r="I248" s="425"/>
      <c r="J248" s="426"/>
      <c r="K248" s="334"/>
      <c r="L248" s="334"/>
    </row>
    <row r="249" spans="3:12" ht="15.75" thickBot="1" x14ac:dyDescent="0.3">
      <c r="C249" s="333" t="s">
        <v>164</v>
      </c>
      <c r="D249" s="334"/>
      <c r="E249" s="36"/>
      <c r="F249" s="36"/>
      <c r="G249" s="36"/>
      <c r="H249" s="36"/>
      <c r="I249" s="36"/>
      <c r="J249" s="69"/>
      <c r="K249" s="334"/>
      <c r="L249" s="334"/>
    </row>
    <row r="250" spans="3:12" x14ac:dyDescent="0.25">
      <c r="C250" s="427" t="s">
        <v>436</v>
      </c>
      <c r="D250" s="428"/>
      <c r="E250" s="428"/>
      <c r="F250" s="428"/>
      <c r="G250" s="428"/>
      <c r="H250" s="428"/>
      <c r="I250" s="428"/>
      <c r="J250" s="429"/>
      <c r="K250" s="334"/>
      <c r="L250" s="334"/>
    </row>
    <row r="251" spans="3:12" x14ac:dyDescent="0.25">
      <c r="C251" s="430"/>
      <c r="D251" s="431"/>
      <c r="E251" s="431"/>
      <c r="F251" s="431"/>
      <c r="G251" s="431"/>
      <c r="H251" s="431"/>
      <c r="I251" s="431"/>
      <c r="J251" s="432"/>
    </row>
    <row r="252" spans="3:12" ht="15.75" thickBot="1" x14ac:dyDescent="0.3">
      <c r="C252" s="433"/>
      <c r="D252" s="434"/>
      <c r="E252" s="434"/>
      <c r="F252" s="434"/>
      <c r="G252" s="434"/>
      <c r="H252" s="434"/>
      <c r="I252" s="434"/>
      <c r="J252" s="435"/>
    </row>
    <row r="254" spans="3:12" ht="15.75" thickBot="1" x14ac:dyDescent="0.3"/>
    <row r="255" spans="3:12" x14ac:dyDescent="0.25">
      <c r="C255" s="331" t="s">
        <v>159</v>
      </c>
      <c r="D255" s="332">
        <f>D246+1</f>
        <v>29</v>
      </c>
      <c r="E255" s="64"/>
      <c r="F255" s="64"/>
      <c r="G255" s="64"/>
      <c r="H255" s="64"/>
      <c r="I255" s="64"/>
      <c r="J255" s="66"/>
    </row>
    <row r="256" spans="3:12" x14ac:dyDescent="0.25">
      <c r="C256" s="333" t="s">
        <v>160</v>
      </c>
      <c r="D256" s="334"/>
      <c r="E256" s="217">
        <v>45945</v>
      </c>
      <c r="F256" s="36"/>
      <c r="G256" s="36" t="s">
        <v>165</v>
      </c>
      <c r="H256" s="89"/>
      <c r="I256" s="67"/>
      <c r="J256" s="68"/>
    </row>
    <row r="257" spans="3:10" x14ac:dyDescent="0.25">
      <c r="C257" s="333" t="s">
        <v>161</v>
      </c>
      <c r="D257" s="334" t="s">
        <v>162</v>
      </c>
      <c r="E257" s="36" t="s">
        <v>163</v>
      </c>
      <c r="F257" s="36"/>
      <c r="G257" s="36" t="s">
        <v>166</v>
      </c>
      <c r="H257" s="425">
        <v>95</v>
      </c>
      <c r="I257" s="425"/>
      <c r="J257" s="426"/>
    </row>
    <row r="258" spans="3:10" ht="15.75" thickBot="1" x14ac:dyDescent="0.3">
      <c r="C258" s="333" t="s">
        <v>164</v>
      </c>
      <c r="D258" s="334"/>
      <c r="E258" s="36"/>
      <c r="F258" s="36"/>
      <c r="G258" s="36"/>
      <c r="H258" s="36"/>
      <c r="I258" s="36"/>
      <c r="J258" s="69"/>
    </row>
    <row r="259" spans="3:10" x14ac:dyDescent="0.25">
      <c r="C259" s="427" t="s">
        <v>437</v>
      </c>
      <c r="D259" s="428"/>
      <c r="E259" s="428"/>
      <c r="F259" s="428"/>
      <c r="G259" s="428"/>
      <c r="H259" s="428"/>
      <c r="I259" s="428"/>
      <c r="J259" s="429"/>
    </row>
    <row r="260" spans="3:10" x14ac:dyDescent="0.25">
      <c r="C260" s="430"/>
      <c r="D260" s="431"/>
      <c r="E260" s="431"/>
      <c r="F260" s="431"/>
      <c r="G260" s="431"/>
      <c r="H260" s="431"/>
      <c r="I260" s="431"/>
      <c r="J260" s="432"/>
    </row>
    <row r="261" spans="3:10" ht="15.75" thickBot="1" x14ac:dyDescent="0.3">
      <c r="C261" s="433"/>
      <c r="D261" s="434"/>
      <c r="E261" s="434"/>
      <c r="F261" s="434"/>
      <c r="G261" s="434"/>
      <c r="H261" s="434"/>
      <c r="I261" s="434"/>
      <c r="J261" s="435"/>
    </row>
    <row r="263" spans="3:10" ht="15.75" thickBot="1" x14ac:dyDescent="0.3"/>
    <row r="264" spans="3:10" x14ac:dyDescent="0.25">
      <c r="C264" s="331" t="s">
        <v>159</v>
      </c>
      <c r="D264" s="332">
        <f>D255+1</f>
        <v>30</v>
      </c>
      <c r="E264" s="64"/>
      <c r="F264" s="64"/>
      <c r="G264" s="64"/>
      <c r="H264" s="64"/>
      <c r="I264" s="64"/>
      <c r="J264" s="66"/>
    </row>
    <row r="265" spans="3:10" x14ac:dyDescent="0.25">
      <c r="C265" s="333" t="s">
        <v>160</v>
      </c>
      <c r="D265" s="334"/>
      <c r="E265" s="217">
        <v>45945</v>
      </c>
      <c r="F265" s="36"/>
      <c r="G265" s="36" t="s">
        <v>165</v>
      </c>
      <c r="H265" s="89"/>
      <c r="I265" s="67"/>
      <c r="J265" s="68"/>
    </row>
    <row r="266" spans="3:10" x14ac:dyDescent="0.25">
      <c r="C266" s="333" t="s">
        <v>161</v>
      </c>
      <c r="D266" s="334" t="s">
        <v>162</v>
      </c>
      <c r="E266" s="36" t="s">
        <v>163</v>
      </c>
      <c r="F266" s="36"/>
      <c r="G266" s="36" t="s">
        <v>166</v>
      </c>
      <c r="H266" s="425">
        <v>102</v>
      </c>
      <c r="I266" s="425"/>
      <c r="J266" s="426"/>
    </row>
    <row r="267" spans="3:10" ht="15.75" thickBot="1" x14ac:dyDescent="0.3">
      <c r="C267" s="333" t="s">
        <v>164</v>
      </c>
      <c r="D267" s="334"/>
      <c r="E267" s="36"/>
      <c r="F267" s="36"/>
      <c r="G267" s="36"/>
      <c r="H267" s="36"/>
      <c r="I267" s="36"/>
      <c r="J267" s="69"/>
    </row>
    <row r="268" spans="3:10" x14ac:dyDescent="0.25">
      <c r="C268" s="427" t="s">
        <v>438</v>
      </c>
      <c r="D268" s="428"/>
      <c r="E268" s="428"/>
      <c r="F268" s="428"/>
      <c r="G268" s="428"/>
      <c r="H268" s="428"/>
      <c r="I268" s="428"/>
      <c r="J268" s="429"/>
    </row>
    <row r="269" spans="3:10" x14ac:dyDescent="0.25">
      <c r="C269" s="430"/>
      <c r="D269" s="431"/>
      <c r="E269" s="431"/>
      <c r="F269" s="431"/>
      <c r="G269" s="431"/>
      <c r="H269" s="431"/>
      <c r="I269" s="431"/>
      <c r="J269" s="432"/>
    </row>
    <row r="270" spans="3:10" ht="15.75" thickBot="1" x14ac:dyDescent="0.3">
      <c r="C270" s="433"/>
      <c r="D270" s="434"/>
      <c r="E270" s="434"/>
      <c r="F270" s="434"/>
      <c r="G270" s="434"/>
      <c r="H270" s="434"/>
      <c r="I270" s="434"/>
      <c r="J270" s="435"/>
    </row>
    <row r="272" spans="3:10" ht="15.75" thickBot="1" x14ac:dyDescent="0.3"/>
    <row r="273" spans="3:13" x14ac:dyDescent="0.25">
      <c r="C273" s="331" t="s">
        <v>159</v>
      </c>
      <c r="D273" s="332">
        <f>D264+1</f>
        <v>31</v>
      </c>
      <c r="E273" s="64"/>
      <c r="F273" s="64"/>
      <c r="G273" s="64"/>
      <c r="H273" s="64"/>
      <c r="I273" s="64"/>
      <c r="J273" s="66"/>
    </row>
    <row r="274" spans="3:13" x14ac:dyDescent="0.25">
      <c r="C274" s="333" t="s">
        <v>160</v>
      </c>
      <c r="D274" s="334"/>
      <c r="E274" s="217">
        <v>45945</v>
      </c>
      <c r="F274" s="36"/>
      <c r="G274" s="36" t="s">
        <v>165</v>
      </c>
      <c r="H274" s="89"/>
      <c r="I274" s="67"/>
      <c r="J274" s="68"/>
    </row>
    <row r="275" spans="3:13" x14ac:dyDescent="0.25">
      <c r="C275" s="333" t="s">
        <v>161</v>
      </c>
      <c r="D275" s="334" t="s">
        <v>162</v>
      </c>
      <c r="E275" s="36" t="s">
        <v>163</v>
      </c>
      <c r="F275" s="36"/>
      <c r="G275" s="36" t="s">
        <v>166</v>
      </c>
      <c r="H275" s="425">
        <v>67</v>
      </c>
      <c r="I275" s="425"/>
      <c r="J275" s="426"/>
      <c r="K275" s="334"/>
      <c r="L275" s="334"/>
    </row>
    <row r="276" spans="3:13" ht="15.75" thickBot="1" x14ac:dyDescent="0.3">
      <c r="C276" s="333" t="s">
        <v>164</v>
      </c>
      <c r="D276" s="334"/>
      <c r="E276" s="36"/>
      <c r="F276" s="36"/>
      <c r="G276" s="36"/>
      <c r="H276" s="36"/>
      <c r="I276" s="36"/>
      <c r="J276" s="69"/>
      <c r="K276" s="334"/>
      <c r="L276" s="334"/>
    </row>
    <row r="277" spans="3:13" x14ac:dyDescent="0.25">
      <c r="C277" s="427" t="s">
        <v>439</v>
      </c>
      <c r="D277" s="428"/>
      <c r="E277" s="428"/>
      <c r="F277" s="428"/>
      <c r="G277" s="428"/>
      <c r="H277" s="428"/>
      <c r="I277" s="428"/>
      <c r="J277" s="429"/>
      <c r="K277" s="334"/>
      <c r="L277" s="334"/>
    </row>
    <row r="278" spans="3:13" x14ac:dyDescent="0.25">
      <c r="C278" s="430"/>
      <c r="D278" s="431"/>
      <c r="E278" s="431"/>
      <c r="F278" s="431"/>
      <c r="G278" s="431"/>
      <c r="H278" s="431"/>
      <c r="I278" s="431"/>
      <c r="J278" s="432"/>
      <c r="K278" s="334"/>
      <c r="L278" s="334"/>
    </row>
    <row r="279" spans="3:13" ht="15.75" thickBot="1" x14ac:dyDescent="0.3">
      <c r="C279" s="433"/>
      <c r="D279" s="434"/>
      <c r="E279" s="434"/>
      <c r="F279" s="434"/>
      <c r="G279" s="434"/>
      <c r="H279" s="434"/>
      <c r="I279" s="434"/>
      <c r="J279" s="435"/>
    </row>
    <row r="280" spans="3:13" ht="16.899999999999999" customHeight="1" x14ac:dyDescent="0.25"/>
    <row r="281" spans="3:13" ht="16.899999999999999" customHeight="1" thickBot="1" x14ac:dyDescent="0.3"/>
    <row r="282" spans="3:13" ht="16.899999999999999" customHeight="1" x14ac:dyDescent="0.25">
      <c r="C282" s="331" t="s">
        <v>159</v>
      </c>
      <c r="D282" s="332">
        <f>D273+1</f>
        <v>32</v>
      </c>
      <c r="E282" s="64"/>
      <c r="F282" s="64"/>
      <c r="G282" s="64"/>
      <c r="H282" s="64"/>
      <c r="I282" s="64"/>
      <c r="J282" s="66"/>
    </row>
    <row r="283" spans="3:13" ht="16.899999999999999" customHeight="1" x14ac:dyDescent="0.25">
      <c r="C283" s="333" t="s">
        <v>160</v>
      </c>
      <c r="D283" s="334"/>
      <c r="E283" s="217">
        <v>45945</v>
      </c>
      <c r="F283" s="36"/>
      <c r="G283" s="36" t="s">
        <v>165</v>
      </c>
      <c r="H283" s="89"/>
      <c r="I283" s="67"/>
      <c r="J283" s="68"/>
      <c r="K283" s="334"/>
      <c r="L283" s="334"/>
      <c r="M283" s="334"/>
    </row>
    <row r="284" spans="3:13" ht="16.899999999999999" customHeight="1" x14ac:dyDescent="0.25">
      <c r="C284" s="333" t="s">
        <v>161</v>
      </c>
      <c r="D284" s="334" t="s">
        <v>162</v>
      </c>
      <c r="E284" s="36" t="s">
        <v>163</v>
      </c>
      <c r="F284" s="36"/>
      <c r="G284" s="36" t="s">
        <v>166</v>
      </c>
      <c r="H284" s="425">
        <v>12</v>
      </c>
      <c r="I284" s="425"/>
      <c r="J284" s="426"/>
      <c r="K284" s="334"/>
      <c r="L284" s="334"/>
      <c r="M284" s="334"/>
    </row>
    <row r="285" spans="3:13" ht="16.899999999999999" customHeight="1" thickBot="1" x14ac:dyDescent="0.3">
      <c r="C285" s="333" t="s">
        <v>164</v>
      </c>
      <c r="D285" s="334"/>
      <c r="E285" s="36"/>
      <c r="F285" s="36"/>
      <c r="G285" s="36"/>
      <c r="H285" s="36"/>
      <c r="I285" s="36"/>
      <c r="J285" s="69"/>
      <c r="K285" s="334"/>
      <c r="L285" s="334"/>
      <c r="M285" s="334"/>
    </row>
    <row r="286" spans="3:13" ht="16.899999999999999" customHeight="1" x14ac:dyDescent="0.25">
      <c r="C286" s="427" t="s">
        <v>442</v>
      </c>
      <c r="D286" s="428"/>
      <c r="E286" s="428"/>
      <c r="F286" s="428"/>
      <c r="G286" s="428"/>
      <c r="H286" s="428"/>
      <c r="I286" s="428"/>
      <c r="J286" s="429"/>
      <c r="K286" s="334"/>
      <c r="L286" s="334"/>
      <c r="M286" s="334"/>
    </row>
    <row r="287" spans="3:13" ht="16.899999999999999" customHeight="1" x14ac:dyDescent="0.25">
      <c r="C287" s="430"/>
      <c r="D287" s="431"/>
      <c r="E287" s="431"/>
      <c r="F287" s="431"/>
      <c r="G287" s="431"/>
      <c r="H287" s="431"/>
      <c r="I287" s="431"/>
      <c r="J287" s="432"/>
      <c r="K287" s="334"/>
      <c r="L287" s="334"/>
      <c r="M287" s="334"/>
    </row>
    <row r="288" spans="3:13" ht="15.75" thickBot="1" x14ac:dyDescent="0.3">
      <c r="C288" s="433"/>
      <c r="D288" s="434"/>
      <c r="E288" s="434"/>
      <c r="F288" s="434"/>
      <c r="G288" s="434"/>
      <c r="H288" s="434"/>
      <c r="I288" s="434"/>
      <c r="J288" s="435"/>
    </row>
    <row r="289" spans="3:13" x14ac:dyDescent="0.25">
      <c r="C289" s="338"/>
      <c r="D289" s="338"/>
      <c r="E289" s="338"/>
      <c r="F289" s="338"/>
      <c r="G289" s="338"/>
      <c r="H289" s="338"/>
      <c r="I289" s="338"/>
      <c r="J289" s="338"/>
    </row>
    <row r="290" spans="3:13" x14ac:dyDescent="0.25">
      <c r="K290" s="436" t="s">
        <v>441</v>
      </c>
      <c r="L290" s="437"/>
      <c r="M290" s="437"/>
    </row>
    <row r="291" spans="3:13" x14ac:dyDescent="0.25">
      <c r="C291" s="333" t="s">
        <v>160</v>
      </c>
      <c r="D291" s="334"/>
      <c r="E291" s="217">
        <v>45945</v>
      </c>
      <c r="F291" s="36"/>
      <c r="G291" s="36" t="s">
        <v>165</v>
      </c>
      <c r="H291" s="89"/>
      <c r="I291" s="67"/>
      <c r="J291" s="68"/>
      <c r="K291" s="436"/>
      <c r="L291" s="437"/>
      <c r="M291" s="437"/>
    </row>
    <row r="292" spans="3:13" x14ac:dyDescent="0.25">
      <c r="C292" s="333" t="s">
        <v>161</v>
      </c>
      <c r="D292" s="334" t="s">
        <v>162</v>
      </c>
      <c r="E292" s="36" t="s">
        <v>163</v>
      </c>
      <c r="F292" s="36"/>
      <c r="G292" s="36" t="s">
        <v>166</v>
      </c>
      <c r="H292" s="425">
        <v>17</v>
      </c>
      <c r="I292" s="425"/>
      <c r="J292" s="426"/>
      <c r="K292" s="436"/>
      <c r="L292" s="437"/>
      <c r="M292" s="437"/>
    </row>
    <row r="293" spans="3:13" ht="15.75" thickBot="1" x14ac:dyDescent="0.3">
      <c r="C293" s="333" t="s">
        <v>164</v>
      </c>
      <c r="D293" s="334"/>
      <c r="E293" s="36"/>
      <c r="F293" s="36"/>
      <c r="G293" s="36"/>
      <c r="H293" s="36"/>
      <c r="I293" s="36"/>
      <c r="J293" s="69"/>
      <c r="K293" s="436"/>
      <c r="L293" s="437"/>
      <c r="M293" s="437"/>
    </row>
    <row r="294" spans="3:13" x14ac:dyDescent="0.25">
      <c r="C294" s="427" t="s">
        <v>440</v>
      </c>
      <c r="D294" s="428"/>
      <c r="E294" s="428"/>
      <c r="F294" s="428"/>
      <c r="G294" s="428"/>
      <c r="H294" s="428"/>
      <c r="I294" s="428"/>
      <c r="J294" s="429"/>
      <c r="K294" s="436"/>
      <c r="L294" s="437"/>
      <c r="M294" s="437"/>
    </row>
    <row r="295" spans="3:13" x14ac:dyDescent="0.25">
      <c r="C295" s="430"/>
      <c r="D295" s="431"/>
      <c r="E295" s="431"/>
      <c r="F295" s="431"/>
      <c r="G295" s="431"/>
      <c r="H295" s="431"/>
      <c r="I295" s="431"/>
      <c r="J295" s="432"/>
      <c r="K295" s="436"/>
      <c r="L295" s="437"/>
      <c r="M295" s="437"/>
    </row>
    <row r="296" spans="3:13" ht="15.75" thickBot="1" x14ac:dyDescent="0.3">
      <c r="C296" s="433"/>
      <c r="D296" s="434"/>
      <c r="E296" s="434"/>
      <c r="F296" s="434"/>
      <c r="G296" s="434"/>
      <c r="H296" s="434"/>
      <c r="I296" s="434"/>
      <c r="J296" s="435"/>
    </row>
  </sheetData>
  <mergeCells count="66">
    <mergeCell ref="H266:J266"/>
    <mergeCell ref="C268:J270"/>
    <mergeCell ref="H239:J239"/>
    <mergeCell ref="C241:J243"/>
    <mergeCell ref="C142:J144"/>
    <mergeCell ref="H149:J149"/>
    <mergeCell ref="C151:J153"/>
    <mergeCell ref="H158:J158"/>
    <mergeCell ref="C160:J162"/>
    <mergeCell ref="H167:J167"/>
    <mergeCell ref="C169:J171"/>
    <mergeCell ref="H176:J176"/>
    <mergeCell ref="C178:J180"/>
    <mergeCell ref="H248:J248"/>
    <mergeCell ref="C250:J252"/>
    <mergeCell ref="H257:J257"/>
    <mergeCell ref="H122:J122"/>
    <mergeCell ref="C124:J126"/>
    <mergeCell ref="H131:J131"/>
    <mergeCell ref="C133:J135"/>
    <mergeCell ref="H140:J140"/>
    <mergeCell ref="C115:J117"/>
    <mergeCell ref="H95:J95"/>
    <mergeCell ref="C97:J99"/>
    <mergeCell ref="H104:J104"/>
    <mergeCell ref="C106:J108"/>
    <mergeCell ref="H113:J113"/>
    <mergeCell ref="C88:J90"/>
    <mergeCell ref="H68:J68"/>
    <mergeCell ref="C70:J72"/>
    <mergeCell ref="H77:J77"/>
    <mergeCell ref="C79:J81"/>
    <mergeCell ref="H86:J86"/>
    <mergeCell ref="H59:J59"/>
    <mergeCell ref="C61:J63"/>
    <mergeCell ref="C52:J54"/>
    <mergeCell ref="K3:N6"/>
    <mergeCell ref="C7:J9"/>
    <mergeCell ref="C16:J18"/>
    <mergeCell ref="C25:J27"/>
    <mergeCell ref="H50:J50"/>
    <mergeCell ref="C34:J36"/>
    <mergeCell ref="K7:N9"/>
    <mergeCell ref="H41:J41"/>
    <mergeCell ref="C43:J45"/>
    <mergeCell ref="H32:J32"/>
    <mergeCell ref="C259:J261"/>
    <mergeCell ref="H184:J184"/>
    <mergeCell ref="C186:J188"/>
    <mergeCell ref="H230:J230"/>
    <mergeCell ref="C232:J234"/>
    <mergeCell ref="H193:J193"/>
    <mergeCell ref="C195:J197"/>
    <mergeCell ref="H221:J221"/>
    <mergeCell ref="C223:J225"/>
    <mergeCell ref="H212:J212"/>
    <mergeCell ref="C214:J216"/>
    <mergeCell ref="H202:J202"/>
    <mergeCell ref="C204:J206"/>
    <mergeCell ref="H275:J275"/>
    <mergeCell ref="C277:J279"/>
    <mergeCell ref="H292:J292"/>
    <mergeCell ref="C294:J296"/>
    <mergeCell ref="K290:M295"/>
    <mergeCell ref="H284:J284"/>
    <mergeCell ref="C286:J288"/>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5546875" defaultRowHeight="15" x14ac:dyDescent="0.25"/>
  <cols>
    <col min="4" max="4" width="15.42578125" bestFit="1" customWidth="1"/>
    <col min="6" max="6" width="15.140625" customWidth="1"/>
    <col min="7" max="7" width="14.42578125" bestFit="1" customWidth="1"/>
    <col min="10" max="10" width="14.42578125" bestFit="1" customWidth="1"/>
  </cols>
  <sheetData>
    <row r="4" spans="3:10" x14ac:dyDescent="0.25">
      <c r="C4" t="s">
        <v>336</v>
      </c>
    </row>
    <row r="6" spans="3:10" x14ac:dyDescent="0.25">
      <c r="C6" s="134" t="s">
        <v>337</v>
      </c>
      <c r="F6" s="134" t="s">
        <v>342</v>
      </c>
      <c r="I6" t="s">
        <v>347</v>
      </c>
    </row>
    <row r="7" spans="3:10" x14ac:dyDescent="0.25">
      <c r="C7" t="s">
        <v>338</v>
      </c>
      <c r="D7" s="11">
        <v>2700000</v>
      </c>
      <c r="F7" t="s">
        <v>338</v>
      </c>
      <c r="G7" s="13">
        <f>D11</f>
        <v>969506.92</v>
      </c>
      <c r="I7" t="s">
        <v>338</v>
      </c>
      <c r="J7" s="13">
        <f>G13</f>
        <v>1829165.92</v>
      </c>
    </row>
    <row r="8" spans="3:10" x14ac:dyDescent="0.25">
      <c r="C8" t="s">
        <v>339</v>
      </c>
      <c r="D8" s="11">
        <v>2700000</v>
      </c>
      <c r="F8" t="s">
        <v>339</v>
      </c>
      <c r="G8" s="11">
        <v>0</v>
      </c>
      <c r="I8" t="s">
        <v>339</v>
      </c>
      <c r="J8" s="13">
        <f>D11</f>
        <v>969506.92</v>
      </c>
    </row>
    <row r="9" spans="3:10" x14ac:dyDescent="0.25">
      <c r="C9" t="s">
        <v>340</v>
      </c>
      <c r="D9" s="11">
        <v>0</v>
      </c>
      <c r="F9" t="s">
        <v>340</v>
      </c>
      <c r="G9" s="13">
        <f>G7</f>
        <v>969506.92</v>
      </c>
      <c r="I9" t="s">
        <v>340</v>
      </c>
      <c r="J9" s="13">
        <f>J7-J8</f>
        <v>859658.99999999988</v>
      </c>
    </row>
    <row r="10" spans="3:10" x14ac:dyDescent="0.25">
      <c r="C10" t="s">
        <v>343</v>
      </c>
      <c r="D10" s="11"/>
      <c r="F10" t="s">
        <v>343</v>
      </c>
      <c r="G10" s="11">
        <v>29928.678620400002</v>
      </c>
      <c r="I10" t="s">
        <v>343</v>
      </c>
      <c r="J10" s="11">
        <v>26537.673329999998</v>
      </c>
    </row>
    <row r="11" spans="3:10" ht="43.7" customHeight="1" x14ac:dyDescent="0.25">
      <c r="C11" s="10" t="s">
        <v>341</v>
      </c>
      <c r="D11" s="11">
        <v>969506.92</v>
      </c>
      <c r="F11" s="10" t="s">
        <v>344</v>
      </c>
      <c r="G11" s="11">
        <f>387244.626816+185936.292610276+202702.7028</f>
        <v>775883.62222627597</v>
      </c>
      <c r="I11" s="10" t="s">
        <v>353</v>
      </c>
      <c r="J11" s="10" t="s">
        <v>350</v>
      </c>
    </row>
    <row r="12" spans="3:10" x14ac:dyDescent="0.25">
      <c r="C12" t="s">
        <v>345</v>
      </c>
      <c r="D12" s="13">
        <f>D11</f>
        <v>969506.92</v>
      </c>
      <c r="F12" t="s">
        <v>348</v>
      </c>
      <c r="G12" s="13">
        <f>G11+G10+G9</f>
        <v>1775319.220846676</v>
      </c>
      <c r="I12" t="s">
        <v>345</v>
      </c>
      <c r="J12" s="267" t="s">
        <v>351</v>
      </c>
    </row>
    <row r="13" spans="3:10" x14ac:dyDescent="0.25">
      <c r="F13" t="s">
        <v>349</v>
      </c>
      <c r="G13" s="11">
        <v>1829165.92</v>
      </c>
    </row>
    <row r="14" spans="3:10" x14ac:dyDescent="0.25">
      <c r="G14" s="11"/>
    </row>
    <row r="15" spans="3:10" x14ac:dyDescent="0.25">
      <c r="F15" s="442" t="s">
        <v>346</v>
      </c>
      <c r="G15" s="442"/>
      <c r="I15" s="442" t="s">
        <v>352</v>
      </c>
      <c r="J15" s="442"/>
    </row>
    <row r="16" spans="3:10" x14ac:dyDescent="0.25">
      <c r="F16" s="442"/>
      <c r="G16" s="442"/>
      <c r="I16" s="442"/>
      <c r="J16" s="442"/>
    </row>
    <row r="17" spans="3:10" ht="37.700000000000003" customHeight="1" x14ac:dyDescent="0.25">
      <c r="F17" s="442"/>
      <c r="G17" s="442"/>
      <c r="I17" s="442"/>
      <c r="J17" s="442"/>
    </row>
    <row r="18" spans="3:10" ht="15.75" thickBot="1" x14ac:dyDescent="0.3"/>
    <row r="19" spans="3:10" x14ac:dyDescent="0.25">
      <c r="C19" s="271" t="s">
        <v>357</v>
      </c>
      <c r="D19" s="272"/>
      <c r="E19" s="272"/>
      <c r="F19" s="273"/>
      <c r="G19" s="443" t="s">
        <v>359</v>
      </c>
      <c r="H19" s="444"/>
      <c r="I19" s="444"/>
      <c r="J19" s="445"/>
    </row>
    <row r="20" spans="3:10" x14ac:dyDescent="0.25">
      <c r="C20" s="274" t="s">
        <v>354</v>
      </c>
      <c r="F20" s="275">
        <v>859658.99999999988</v>
      </c>
      <c r="G20" s="446"/>
      <c r="H20" s="447"/>
      <c r="I20" s="447"/>
      <c r="J20" s="448"/>
    </row>
    <row r="21" spans="3:10" x14ac:dyDescent="0.25">
      <c r="C21" s="274" t="s">
        <v>355</v>
      </c>
      <c r="F21" s="275">
        <v>26537.673329999998</v>
      </c>
      <c r="G21" s="446"/>
      <c r="H21" s="447"/>
      <c r="I21" s="447"/>
      <c r="J21" s="448"/>
    </row>
    <row r="22" spans="3:10" x14ac:dyDescent="0.25">
      <c r="C22" s="274" t="s">
        <v>356</v>
      </c>
      <c r="F22" s="276">
        <v>850000</v>
      </c>
      <c r="G22" s="446"/>
      <c r="H22" s="447"/>
      <c r="I22" s="447"/>
      <c r="J22" s="448"/>
    </row>
    <row r="23" spans="3:10" ht="15.75" thickBot="1" x14ac:dyDescent="0.3">
      <c r="C23" s="274"/>
      <c r="F23" s="277"/>
      <c r="G23" s="446"/>
      <c r="H23" s="447"/>
      <c r="I23" s="447"/>
      <c r="J23" s="448"/>
    </row>
    <row r="24" spans="3:10" ht="15.75" thickBot="1" x14ac:dyDescent="0.3">
      <c r="C24" s="268" t="s">
        <v>358</v>
      </c>
      <c r="D24" s="269"/>
      <c r="E24" s="269"/>
      <c r="F24" s="270">
        <f>SUM(F20:F23)</f>
        <v>1736196.6733299999</v>
      </c>
      <c r="G24" s="449"/>
      <c r="H24" s="450"/>
      <c r="I24" s="450"/>
      <c r="J24" s="451"/>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2026-04-04T13:52:17Z</cp:lastPrinted>
  <dcterms:created xsi:type="dcterms:W3CDTF">2023-09-17T12:29:07Z</dcterms:created>
  <dcterms:modified xsi:type="dcterms:W3CDTF">2026-04-04T13:52:28Z</dcterms:modified>
</cp:coreProperties>
</file>