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BRISAS\EXPENSAS\2026\SEPTIEMBRE\"/>
    </mc:Choice>
  </mc:AlternateContent>
  <xr:revisionPtr revIDLastSave="0" documentId="13_ncr:1_{493A2C54-BAF4-4002-9795-A2B74C22D2E0}" xr6:coauthVersionLast="47" xr6:coauthVersionMax="47" xr10:uidLastSave="{00000000-0000-0000-0000-000000000000}"/>
  <bookViews>
    <workbookView xWindow="-120" yWindow="-120" windowWidth="20730" windowHeight="11040" tabRatio="850" activeTab="1" xr2:uid="{00000000-000D-0000-FFFF-FFFF00000000}"/>
  </bookViews>
  <sheets>
    <sheet name="RESUMEN" sheetId="1" r:id="rId1"/>
    <sheet name="PRORRATEO" sheetId="2" r:id="rId2"/>
    <sheet name="anotaciones" sheetId="6" r:id="rId3"/>
    <sheet name="EDESURES PAGOS" sheetId="7" r:id="rId4"/>
  </sheets>
  <definedNames>
    <definedName name="_xlnm.Print_Area" localSheetId="1">PRORRATEO!$B$1:$T$167</definedName>
    <definedName name="_xlnm.Print_Area" localSheetId="0">RESUMEN!$A$1:$E$226</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50" i="2" l="1"/>
  <c r="N110" i="2"/>
  <c r="N111" i="2"/>
  <c r="N91" i="2"/>
  <c r="N73" i="2"/>
  <c r="N53" i="2"/>
  <c r="F68" i="2"/>
  <c r="F19" i="2"/>
  <c r="O50" i="2"/>
  <c r="O83" i="2"/>
  <c r="O82" i="2"/>
  <c r="O16" i="2" l="1"/>
  <c r="O65" i="2"/>
  <c r="D109" i="1" l="1"/>
  <c r="E42" i="1"/>
  <c r="E36" i="1"/>
  <c r="E67" i="1"/>
  <c r="F149" i="1"/>
  <c r="E104" i="1"/>
  <c r="E107" i="1"/>
  <c r="D148" i="1"/>
  <c r="E152" i="1" s="1"/>
  <c r="E137" i="1"/>
  <c r="B189" i="1"/>
  <c r="B218" i="1" l="1"/>
  <c r="B171" i="1"/>
  <c r="F128" i="2"/>
  <c r="F74" i="2"/>
  <c r="F45" i="2"/>
  <c r="F104" i="2"/>
  <c r="F53" i="2"/>
  <c r="B210" i="1" l="1"/>
  <c r="F102" i="2"/>
  <c r="F109" i="2"/>
  <c r="F137" i="2"/>
  <c r="F64" i="2"/>
  <c r="F108" i="2"/>
  <c r="F115" i="2"/>
  <c r="F34" i="2"/>
  <c r="F15" i="2"/>
  <c r="F106" i="2"/>
  <c r="F13" i="2"/>
  <c r="F12" i="2"/>
  <c r="F97" i="2"/>
  <c r="F80" i="2"/>
  <c r="F30" i="2"/>
  <c r="F143" i="2"/>
  <c r="F63" i="2"/>
  <c r="F27" i="2"/>
  <c r="F123" i="2"/>
  <c r="F83" i="2"/>
  <c r="F37" i="2"/>
  <c r="F87" i="2"/>
  <c r="F35" i="2"/>
  <c r="F91" i="2"/>
  <c r="F22" i="2"/>
  <c r="F77" i="2"/>
  <c r="F134" i="1" l="1"/>
  <c r="E46" i="1"/>
  <c r="E141" i="1"/>
  <c r="E149" i="1"/>
  <c r="E150" i="1" s="1"/>
  <c r="E151" i="1" s="1"/>
  <c r="F118" i="1" l="1"/>
  <c r="F119" i="1" s="1"/>
  <c r="F120" i="1" s="1"/>
  <c r="F121" i="1" s="1"/>
  <c r="F122" i="1" s="1"/>
  <c r="F123" i="1" s="1"/>
  <c r="F124" i="1" s="1"/>
  <c r="F125" i="1" s="1"/>
  <c r="F127" i="1" s="1"/>
  <c r="F129" i="1" s="1"/>
  <c r="F130" i="1" s="1"/>
  <c r="F78" i="2" l="1"/>
  <c r="F119" i="2"/>
  <c r="F67" i="2"/>
  <c r="F11" i="2"/>
  <c r="A171" i="1" l="1"/>
  <c r="G28" i="1"/>
  <c r="F44" i="1" l="1"/>
  <c r="F86" i="2"/>
  <c r="F26" i="2"/>
  <c r="F113" i="2" l="1"/>
  <c r="E132" i="1" l="1"/>
  <c r="E133" i="1" s="1"/>
  <c r="F61" i="2"/>
  <c r="F153" i="2"/>
  <c r="F157" i="2"/>
  <c r="F138" i="2"/>
  <c r="F69" i="2"/>
  <c r="F32" i="2"/>
  <c r="F62" i="2"/>
  <c r="F23" i="2"/>
  <c r="E134" i="1" l="1"/>
  <c r="B191" i="1"/>
  <c r="F127" i="2"/>
  <c r="F79" i="2"/>
  <c r="F130" i="2"/>
  <c r="F141" i="2"/>
  <c r="F105" i="2"/>
  <c r="F71" i="2"/>
  <c r="F133" i="2"/>
  <c r="F6" i="2"/>
  <c r="G6" i="2" s="1"/>
  <c r="H6" i="2" s="1"/>
  <c r="F10" i="2"/>
  <c r="F18" i="2"/>
  <c r="F21" i="2"/>
  <c r="F25" i="2"/>
  <c r="F38" i="2"/>
  <c r="F40" i="2"/>
  <c r="F47" i="2"/>
  <c r="F48" i="2"/>
  <c r="F54" i="2"/>
  <c r="F57" i="2"/>
  <c r="F70" i="2"/>
  <c r="F81" i="2"/>
  <c r="F90" i="2"/>
  <c r="F92" i="2"/>
  <c r="F96" i="2"/>
  <c r="F99" i="2"/>
  <c r="F103" i="2"/>
  <c r="F112" i="2"/>
  <c r="F116" i="2"/>
  <c r="F120" i="2"/>
  <c r="F122" i="2"/>
  <c r="F125" i="2"/>
  <c r="F126" i="2"/>
  <c r="F131" i="2"/>
  <c r="F132" i="2"/>
  <c r="F134" i="2"/>
  <c r="F136" i="2"/>
  <c r="F142" i="2"/>
  <c r="J6" i="2"/>
  <c r="L6" i="2"/>
  <c r="S6" i="2"/>
  <c r="T6" i="2"/>
  <c r="G7" i="2"/>
  <c r="J7" i="2"/>
  <c r="L7" i="2"/>
  <c r="H7" i="2" l="1"/>
  <c r="D27" i="1" l="1"/>
  <c r="F149" i="2" l="1"/>
  <c r="F150" i="2" l="1"/>
  <c r="B179" i="1" l="1"/>
  <c r="E120" i="1" l="1"/>
  <c r="E121" i="1" s="1"/>
  <c r="G97" i="2" l="1"/>
  <c r="A3" i="2"/>
  <c r="B225" i="1" l="1"/>
  <c r="B172" i="1" s="1"/>
  <c r="D29" i="1"/>
  <c r="E30" i="1" s="1"/>
  <c r="P5" i="2" l="1"/>
  <c r="K2" i="2" l="1"/>
  <c r="B199" i="1"/>
  <c r="I6" i="2" l="1"/>
  <c r="I7" i="2"/>
  <c r="G150" i="2"/>
  <c r="H150" i="2" l="1"/>
  <c r="E148" i="1"/>
  <c r="B173" i="1" l="1"/>
  <c r="E111" i="1" l="1"/>
  <c r="S150" i="2" l="1"/>
  <c r="T150" i="2"/>
  <c r="L150" i="2"/>
  <c r="I150" i="2"/>
  <c r="E156" i="1" l="1"/>
  <c r="B180" i="1" s="1"/>
  <c r="F154" i="2" l="1"/>
  <c r="F152" i="2"/>
  <c r="F151" i="2"/>
  <c r="F161" i="2" l="1"/>
  <c r="X2" i="2" l="1"/>
  <c r="G2" i="2" s="1"/>
  <c r="K150" i="2" l="1"/>
  <c r="P150" i="2" s="1"/>
  <c r="R150" i="2" s="1"/>
  <c r="K6" i="2"/>
  <c r="P6" i="2" s="1"/>
  <c r="R6" i="2" s="1"/>
  <c r="K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147" i="2"/>
  <c r="T148" i="2"/>
  <c r="T149" i="2"/>
  <c r="T151" i="2"/>
  <c r="T152" i="2"/>
  <c r="T153" i="2"/>
  <c r="T154" i="2"/>
  <c r="T155" i="2"/>
  <c r="T156" i="2"/>
  <c r="T157" i="2"/>
  <c r="T158" i="2"/>
  <c r="G98" i="2" l="1"/>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9" i="2"/>
  <c r="J151" i="2"/>
  <c r="J152" i="2"/>
  <c r="J153" i="2"/>
  <c r="J154" i="2"/>
  <c r="J155" i="2"/>
  <c r="J156" i="2"/>
  <c r="J157" i="2"/>
  <c r="J158" i="2"/>
  <c r="L151" i="2"/>
  <c r="L152" i="2"/>
  <c r="L153" i="2"/>
  <c r="L154" i="2"/>
  <c r="L155" i="2"/>
  <c r="L156" i="2"/>
  <c r="L157" i="2"/>
  <c r="L158" i="2"/>
  <c r="L149" i="2"/>
  <c r="L144"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K151" i="2" l="1"/>
  <c r="K152" i="2"/>
  <c r="K153" i="2"/>
  <c r="K154" i="2"/>
  <c r="K155" i="2"/>
  <c r="K156" i="2"/>
  <c r="K157" i="2"/>
  <c r="K158" i="2"/>
  <c r="K149"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G69" i="2"/>
  <c r="H69" i="2" s="1"/>
  <c r="H97" i="2"/>
  <c r="G44" i="2"/>
  <c r="H44" i="2" s="1"/>
  <c r="G94" i="2"/>
  <c r="H94" i="2" s="1"/>
  <c r="G138" i="2"/>
  <c r="H138" i="2" s="1"/>
  <c r="G111" i="2"/>
  <c r="H111" i="2" s="1"/>
  <c r="G142" i="2"/>
  <c r="H142" i="2" s="1"/>
  <c r="G65" i="2"/>
  <c r="H65" i="2" s="1"/>
  <c r="G101" i="2"/>
  <c r="H101" i="2" s="1"/>
  <c r="G23" i="2"/>
  <c r="H23" i="2" s="1"/>
  <c r="G8" i="2"/>
  <c r="H8" i="2" s="1"/>
  <c r="I8" i="2"/>
  <c r="G9" i="2"/>
  <c r="H9" i="2" s="1"/>
  <c r="I9" i="2"/>
  <c r="G10" i="2"/>
  <c r="H10" i="2" s="1"/>
  <c r="I10" i="2"/>
  <c r="G11" i="2"/>
  <c r="H11" i="2" s="1"/>
  <c r="I11" i="2"/>
  <c r="G12" i="2"/>
  <c r="H12" i="2" s="1"/>
  <c r="I12" i="2"/>
  <c r="G13" i="2"/>
  <c r="H13" i="2" s="1"/>
  <c r="I13" i="2"/>
  <c r="G14" i="2"/>
  <c r="H14" i="2" s="1"/>
  <c r="I14" i="2"/>
  <c r="G15" i="2"/>
  <c r="H15" i="2" s="1"/>
  <c r="I15" i="2"/>
  <c r="G16" i="2"/>
  <c r="H16" i="2" s="1"/>
  <c r="I16" i="2"/>
  <c r="G17" i="2"/>
  <c r="H17" i="2" s="1"/>
  <c r="I17" i="2"/>
  <c r="I18" i="2"/>
  <c r="G19" i="2"/>
  <c r="H19" i="2" s="1"/>
  <c r="I19" i="2"/>
  <c r="G20" i="2"/>
  <c r="H20" i="2" s="1"/>
  <c r="I20" i="2"/>
  <c r="G21" i="2"/>
  <c r="H21" i="2" s="1"/>
  <c r="I21" i="2"/>
  <c r="G22" i="2"/>
  <c r="H22" i="2" s="1"/>
  <c r="I22" i="2"/>
  <c r="I23" i="2"/>
  <c r="G24" i="2"/>
  <c r="H24" i="2" s="1"/>
  <c r="I24" i="2"/>
  <c r="G25" i="2"/>
  <c r="H25" i="2" s="1"/>
  <c r="I25" i="2"/>
  <c r="G26" i="2"/>
  <c r="H26" i="2" s="1"/>
  <c r="I26" i="2"/>
  <c r="G27" i="2"/>
  <c r="H27" i="2" s="1"/>
  <c r="I27" i="2"/>
  <c r="G28" i="2"/>
  <c r="H28" i="2" s="1"/>
  <c r="I28" i="2"/>
  <c r="G29" i="2"/>
  <c r="H29" i="2" s="1"/>
  <c r="I29" i="2"/>
  <c r="G30" i="2"/>
  <c r="H30" i="2" s="1"/>
  <c r="I30" i="2"/>
  <c r="G31" i="2"/>
  <c r="H31" i="2" s="1"/>
  <c r="I31" i="2"/>
  <c r="G32" i="2"/>
  <c r="H32" i="2" s="1"/>
  <c r="I32" i="2"/>
  <c r="G33" i="2"/>
  <c r="H33" i="2" s="1"/>
  <c r="I33" i="2"/>
  <c r="G34" i="2"/>
  <c r="H34" i="2" s="1"/>
  <c r="I34" i="2"/>
  <c r="G35" i="2"/>
  <c r="H35" i="2" s="1"/>
  <c r="I35" i="2"/>
  <c r="G36" i="2"/>
  <c r="H36" i="2" s="1"/>
  <c r="I36" i="2"/>
  <c r="I37" i="2"/>
  <c r="G38" i="2"/>
  <c r="H38" i="2" s="1"/>
  <c r="I38" i="2"/>
  <c r="G39" i="2"/>
  <c r="H39" i="2" s="1"/>
  <c r="I39" i="2"/>
  <c r="G40" i="2"/>
  <c r="H40" i="2" s="1"/>
  <c r="I40" i="2"/>
  <c r="G41" i="2"/>
  <c r="H41" i="2" s="1"/>
  <c r="I41" i="2"/>
  <c r="G42" i="2"/>
  <c r="H42" i="2" s="1"/>
  <c r="I42" i="2"/>
  <c r="G43" i="2"/>
  <c r="H43" i="2" s="1"/>
  <c r="I43" i="2"/>
  <c r="I44" i="2"/>
  <c r="G45" i="2"/>
  <c r="H45" i="2" s="1"/>
  <c r="I45" i="2"/>
  <c r="G46" i="2"/>
  <c r="H46" i="2" s="1"/>
  <c r="I46" i="2"/>
  <c r="G47" i="2"/>
  <c r="H47" i="2" s="1"/>
  <c r="I47" i="2"/>
  <c r="G48" i="2"/>
  <c r="H48" i="2" s="1"/>
  <c r="I48" i="2"/>
  <c r="G49" i="2"/>
  <c r="H49" i="2" s="1"/>
  <c r="I49" i="2"/>
  <c r="G50" i="2"/>
  <c r="H50" i="2" s="1"/>
  <c r="I50" i="2"/>
  <c r="G51" i="2"/>
  <c r="H51" i="2" s="1"/>
  <c r="I51" i="2"/>
  <c r="G52" i="2"/>
  <c r="H52" i="2" s="1"/>
  <c r="I52" i="2"/>
  <c r="G53" i="2"/>
  <c r="H53" i="2" s="1"/>
  <c r="I53" i="2"/>
  <c r="G54" i="2"/>
  <c r="I54" i="2"/>
  <c r="G55" i="2"/>
  <c r="H55" i="2" s="1"/>
  <c r="I55" i="2"/>
  <c r="G56" i="2"/>
  <c r="H56" i="2" s="1"/>
  <c r="I56" i="2"/>
  <c r="G57" i="2"/>
  <c r="H57" i="2" s="1"/>
  <c r="I57" i="2"/>
  <c r="G58" i="2"/>
  <c r="H58" i="2" s="1"/>
  <c r="I58" i="2"/>
  <c r="G59" i="2"/>
  <c r="H59" i="2" s="1"/>
  <c r="I59" i="2"/>
  <c r="G60" i="2"/>
  <c r="H60" i="2" s="1"/>
  <c r="I60" i="2"/>
  <c r="G61" i="2"/>
  <c r="H61" i="2" s="1"/>
  <c r="I61" i="2"/>
  <c r="G62" i="2"/>
  <c r="H62" i="2" s="1"/>
  <c r="I62" i="2"/>
  <c r="G63" i="2"/>
  <c r="H63" i="2" s="1"/>
  <c r="I63" i="2"/>
  <c r="G64" i="2"/>
  <c r="H64" i="2" s="1"/>
  <c r="I64" i="2"/>
  <c r="I65" i="2"/>
  <c r="G66" i="2"/>
  <c r="H66" i="2" s="1"/>
  <c r="I66" i="2"/>
  <c r="G67" i="2"/>
  <c r="H67" i="2" s="1"/>
  <c r="I67" i="2"/>
  <c r="G68" i="2"/>
  <c r="H68" i="2" s="1"/>
  <c r="I68" i="2"/>
  <c r="I69" i="2"/>
  <c r="G70" i="2"/>
  <c r="H70" i="2" s="1"/>
  <c r="I70" i="2"/>
  <c r="G71" i="2"/>
  <c r="H71" i="2" s="1"/>
  <c r="I71" i="2"/>
  <c r="G72" i="2"/>
  <c r="H72" i="2" s="1"/>
  <c r="I72" i="2"/>
  <c r="G73" i="2"/>
  <c r="H73" i="2" s="1"/>
  <c r="I73" i="2"/>
  <c r="G74" i="2"/>
  <c r="H74" i="2" s="1"/>
  <c r="I74" i="2"/>
  <c r="G75" i="2"/>
  <c r="H75" i="2" s="1"/>
  <c r="I75" i="2"/>
  <c r="G76" i="2"/>
  <c r="H76" i="2" s="1"/>
  <c r="I76" i="2"/>
  <c r="G77" i="2"/>
  <c r="H77" i="2" s="1"/>
  <c r="I77" i="2"/>
  <c r="G78" i="2"/>
  <c r="H78" i="2" s="1"/>
  <c r="I78" i="2"/>
  <c r="G79" i="2"/>
  <c r="H79" i="2" s="1"/>
  <c r="I79" i="2"/>
  <c r="G80" i="2"/>
  <c r="H80" i="2" s="1"/>
  <c r="I80" i="2"/>
  <c r="G81" i="2"/>
  <c r="H81" i="2" s="1"/>
  <c r="I81" i="2"/>
  <c r="G82" i="2"/>
  <c r="H82" i="2" s="1"/>
  <c r="I82" i="2"/>
  <c r="G83" i="2"/>
  <c r="H83" i="2" s="1"/>
  <c r="I83" i="2"/>
  <c r="G84" i="2"/>
  <c r="H84" i="2" s="1"/>
  <c r="I84" i="2"/>
  <c r="G85" i="2"/>
  <c r="H85" i="2" s="1"/>
  <c r="I85" i="2"/>
  <c r="G86" i="2"/>
  <c r="H86" i="2" s="1"/>
  <c r="I86" i="2"/>
  <c r="G87" i="2"/>
  <c r="H87" i="2" s="1"/>
  <c r="I87" i="2"/>
  <c r="G88" i="2"/>
  <c r="H88" i="2" s="1"/>
  <c r="I88" i="2"/>
  <c r="G89" i="2"/>
  <c r="H89" i="2" s="1"/>
  <c r="I89" i="2"/>
  <c r="G90" i="2"/>
  <c r="H90" i="2" s="1"/>
  <c r="I90" i="2"/>
  <c r="G91" i="2"/>
  <c r="H91" i="2" s="1"/>
  <c r="I91" i="2"/>
  <c r="G92" i="2"/>
  <c r="H92" i="2" s="1"/>
  <c r="I92" i="2"/>
  <c r="G93" i="2"/>
  <c r="H93" i="2" s="1"/>
  <c r="I93" i="2"/>
  <c r="I94" i="2"/>
  <c r="G95" i="2"/>
  <c r="H95" i="2" s="1"/>
  <c r="I95" i="2"/>
  <c r="G96" i="2"/>
  <c r="H96" i="2" s="1"/>
  <c r="I96" i="2"/>
  <c r="I97" i="2"/>
  <c r="H98" i="2"/>
  <c r="I98" i="2"/>
  <c r="G99" i="2"/>
  <c r="H99" i="2" s="1"/>
  <c r="I99" i="2"/>
  <c r="G100" i="2"/>
  <c r="H100" i="2" s="1"/>
  <c r="I100" i="2"/>
  <c r="I101" i="2"/>
  <c r="G102" i="2"/>
  <c r="H102" i="2" s="1"/>
  <c r="I102" i="2"/>
  <c r="G103" i="2"/>
  <c r="H103" i="2" s="1"/>
  <c r="I103" i="2"/>
  <c r="G104" i="2"/>
  <c r="H104" i="2" s="1"/>
  <c r="I104" i="2"/>
  <c r="G105" i="2"/>
  <c r="H105" i="2" s="1"/>
  <c r="I105" i="2"/>
  <c r="G106" i="2"/>
  <c r="H106" i="2" s="1"/>
  <c r="I106" i="2"/>
  <c r="G107" i="2"/>
  <c r="H107" i="2" s="1"/>
  <c r="I107" i="2"/>
  <c r="G108" i="2"/>
  <c r="H108" i="2" s="1"/>
  <c r="I108" i="2"/>
  <c r="G109" i="2"/>
  <c r="H109" i="2" s="1"/>
  <c r="I109" i="2"/>
  <c r="G110" i="2"/>
  <c r="H110" i="2" s="1"/>
  <c r="I110" i="2"/>
  <c r="I111" i="2"/>
  <c r="G112" i="2"/>
  <c r="H112" i="2" s="1"/>
  <c r="I112" i="2"/>
  <c r="G113" i="2"/>
  <c r="H113" i="2" s="1"/>
  <c r="I113" i="2"/>
  <c r="G114" i="2"/>
  <c r="H114" i="2" s="1"/>
  <c r="I114" i="2"/>
  <c r="G115" i="2"/>
  <c r="H115" i="2" s="1"/>
  <c r="I115" i="2"/>
  <c r="G116" i="2"/>
  <c r="H116" i="2" s="1"/>
  <c r="I116" i="2"/>
  <c r="G117" i="2"/>
  <c r="H117" i="2" s="1"/>
  <c r="I117" i="2"/>
  <c r="G118" i="2"/>
  <c r="H118" i="2" s="1"/>
  <c r="I118" i="2"/>
  <c r="G119" i="2"/>
  <c r="H119" i="2" s="1"/>
  <c r="I119" i="2"/>
  <c r="G120" i="2"/>
  <c r="H120" i="2" s="1"/>
  <c r="I120" i="2"/>
  <c r="G121" i="2"/>
  <c r="H121" i="2" s="1"/>
  <c r="I121" i="2"/>
  <c r="G122" i="2"/>
  <c r="H122" i="2" s="1"/>
  <c r="I122" i="2"/>
  <c r="I123" i="2"/>
  <c r="G124" i="2"/>
  <c r="H124" i="2" s="1"/>
  <c r="I124" i="2"/>
  <c r="I125" i="2"/>
  <c r="G126" i="2"/>
  <c r="H126" i="2" s="1"/>
  <c r="I126" i="2"/>
  <c r="G127" i="2"/>
  <c r="H127" i="2" s="1"/>
  <c r="I127" i="2"/>
  <c r="G128" i="2"/>
  <c r="H128" i="2" s="1"/>
  <c r="I128" i="2"/>
  <c r="G129" i="2"/>
  <c r="H129" i="2" s="1"/>
  <c r="I129" i="2"/>
  <c r="G130" i="2"/>
  <c r="H130" i="2" s="1"/>
  <c r="I130" i="2"/>
  <c r="G131" i="2"/>
  <c r="H131" i="2" s="1"/>
  <c r="I131" i="2"/>
  <c r="G132" i="2"/>
  <c r="H132" i="2" s="1"/>
  <c r="I132" i="2"/>
  <c r="G133" i="2"/>
  <c r="H133" i="2" s="1"/>
  <c r="I133" i="2"/>
  <c r="G134" i="2"/>
  <c r="H134" i="2" s="1"/>
  <c r="I134" i="2"/>
  <c r="G135" i="2"/>
  <c r="H135" i="2" s="1"/>
  <c r="I135" i="2"/>
  <c r="G136" i="2"/>
  <c r="H136" i="2" s="1"/>
  <c r="I136" i="2"/>
  <c r="G137" i="2"/>
  <c r="H137" i="2" s="1"/>
  <c r="I137" i="2"/>
  <c r="I138" i="2"/>
  <c r="I139" i="2"/>
  <c r="G139" i="2"/>
  <c r="H139" i="2" s="1"/>
  <c r="I140" i="2"/>
  <c r="G141" i="2"/>
  <c r="H141" i="2" s="1"/>
  <c r="I141" i="2"/>
  <c r="I142" i="2"/>
  <c r="G143" i="2"/>
  <c r="H143" i="2" s="1"/>
  <c r="I143" i="2"/>
  <c r="G144" i="2"/>
  <c r="H144" i="2" s="1"/>
  <c r="I144" i="2"/>
  <c r="G149" i="2"/>
  <c r="H149" i="2" s="1"/>
  <c r="I149" i="2"/>
  <c r="I151" i="2"/>
  <c r="G152" i="2"/>
  <c r="H152" i="2" s="1"/>
  <c r="I152" i="2"/>
  <c r="I153" i="2"/>
  <c r="G154" i="2"/>
  <c r="H154" i="2" s="1"/>
  <c r="I154" i="2"/>
  <c r="G155" i="2"/>
  <c r="H155" i="2" s="1"/>
  <c r="I155" i="2"/>
  <c r="G156" i="2"/>
  <c r="H156" i="2" s="1"/>
  <c r="I156" i="2"/>
  <c r="I157" i="2"/>
  <c r="E34" i="1"/>
  <c r="E145" i="1"/>
  <c r="B183" i="1" s="1"/>
  <c r="A34" i="1"/>
  <c r="A35" i="1" s="1"/>
  <c r="B161" i="1"/>
  <c r="S38" i="2"/>
  <c r="S147" i="2"/>
  <c r="S148" i="2"/>
  <c r="S149" i="2"/>
  <c r="S151" i="2"/>
  <c r="S152" i="2"/>
  <c r="S153" i="2"/>
  <c r="S154" i="2"/>
  <c r="S155" i="2"/>
  <c r="S156" i="2"/>
  <c r="S157" i="2"/>
  <c r="S158" i="2"/>
  <c r="I158" i="2"/>
  <c r="G158" i="2"/>
  <c r="H158" i="2" s="1"/>
  <c r="B73" i="2"/>
  <c r="D161" i="2"/>
  <c r="B7" i="2"/>
  <c r="S7" i="2" l="1"/>
  <c r="P7" i="2" s="1"/>
  <c r="R7" i="2" s="1"/>
  <c r="T7" i="2"/>
  <c r="E35" i="1"/>
  <c r="E114" i="1" s="1"/>
  <c r="B159" i="1" s="1"/>
  <c r="B74" i="2"/>
  <c r="S74" i="2" s="1"/>
  <c r="T73" i="2"/>
  <c r="B8" i="2"/>
  <c r="G18" i="2"/>
  <c r="H18" i="2" s="1"/>
  <c r="G123" i="2"/>
  <c r="H123" i="2" s="1"/>
  <c r="G140" i="2"/>
  <c r="H140" i="2" s="1"/>
  <c r="K161" i="2"/>
  <c r="L161" i="2"/>
  <c r="G153" i="2"/>
  <c r="H153" i="2" s="1"/>
  <c r="G125" i="2"/>
  <c r="H125" i="2" s="1"/>
  <c r="G37" i="2"/>
  <c r="H37" i="2" s="1"/>
  <c r="G157" i="2"/>
  <c r="H157" i="2" s="1"/>
  <c r="G151" i="2"/>
  <c r="H151" i="2" s="1"/>
  <c r="B181" i="1"/>
  <c r="S73" i="2"/>
  <c r="B162" i="1" l="1"/>
  <c r="B9" i="2"/>
  <c r="T8" i="2"/>
  <c r="S8" i="2"/>
  <c r="B75" i="2"/>
  <c r="T74" i="2"/>
  <c r="N161" i="2"/>
  <c r="B76" i="2" l="1"/>
  <c r="T75" i="2"/>
  <c r="S75" i="2"/>
  <c r="B10" i="2"/>
  <c r="T9" i="2"/>
  <c r="S9" i="2"/>
  <c r="M161" i="2"/>
  <c r="B11" i="2" l="1"/>
  <c r="T10" i="2"/>
  <c r="S10" i="2"/>
  <c r="B77" i="2"/>
  <c r="T76" i="2"/>
  <c r="S76" i="2"/>
  <c r="P149" i="2"/>
  <c r="R149" i="2" s="1"/>
  <c r="P152" i="2"/>
  <c r="R152" i="2" s="1"/>
  <c r="P151" i="2"/>
  <c r="R151" i="2" s="1"/>
  <c r="P153" i="2"/>
  <c r="R153" i="2" s="1"/>
  <c r="P154" i="2"/>
  <c r="R154" i="2" s="1"/>
  <c r="P155" i="2"/>
  <c r="R155" i="2" s="1"/>
  <c r="P157" i="2"/>
  <c r="R157" i="2" s="1"/>
  <c r="P156" i="2"/>
  <c r="R156" i="2" s="1"/>
  <c r="P158" i="2"/>
  <c r="R158" i="2" s="1"/>
  <c r="B78" i="2" l="1"/>
  <c r="T77" i="2"/>
  <c r="S77" i="2"/>
  <c r="P77" i="2" s="1"/>
  <c r="R77" i="2" s="1"/>
  <c r="B12" i="2"/>
  <c r="T11" i="2"/>
  <c r="S11" i="2"/>
  <c r="P11" i="2" s="1"/>
  <c r="R11" i="2" s="1"/>
  <c r="P8" i="2"/>
  <c r="R8" i="2" s="1"/>
  <c r="P38" i="2"/>
  <c r="R38" i="2" s="1"/>
  <c r="P75" i="2"/>
  <c r="R75" i="2" s="1"/>
  <c r="P10" i="2"/>
  <c r="R10" i="2" s="1"/>
  <c r="P73" i="2"/>
  <c r="R73" i="2" s="1"/>
  <c r="P9" i="2"/>
  <c r="R9" i="2" s="1"/>
  <c r="P76" i="2"/>
  <c r="R76" i="2" s="1"/>
  <c r="P74" i="2"/>
  <c r="R74" i="2" s="1"/>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B13" i="2" l="1"/>
  <c r="T12" i="2"/>
  <c r="S12" i="2"/>
  <c r="P12" i="2" s="1"/>
  <c r="R12" i="2" s="1"/>
  <c r="B79" i="2"/>
  <c r="T78" i="2"/>
  <c r="S78" i="2"/>
  <c r="P78" i="2" s="1"/>
  <c r="R78" i="2" s="1"/>
  <c r="P49" i="2"/>
  <c r="R49" i="2" s="1"/>
  <c r="B80" i="2" l="1"/>
  <c r="T79" i="2"/>
  <c r="S79" i="2"/>
  <c r="P79" i="2" s="1"/>
  <c r="R79" i="2" s="1"/>
  <c r="B14" i="2"/>
  <c r="T13" i="2"/>
  <c r="S13" i="2"/>
  <c r="P13" i="2" s="1"/>
  <c r="R13" i="2" s="1"/>
  <c r="B168" i="1"/>
  <c r="E161" i="2"/>
  <c r="B15" i="2" l="1"/>
  <c r="T14" i="2"/>
  <c r="S14" i="2"/>
  <c r="P14" i="2" s="1"/>
  <c r="R14" i="2" s="1"/>
  <c r="B81" i="2"/>
  <c r="T80" i="2"/>
  <c r="S80" i="2"/>
  <c r="P80" i="2" s="1"/>
  <c r="R80" i="2" s="1"/>
  <c r="P48" i="2"/>
  <c r="R48" i="2" s="1"/>
  <c r="P43" i="2"/>
  <c r="R43" i="2" s="1"/>
  <c r="P60" i="2"/>
  <c r="R60" i="2" s="1"/>
  <c r="P56" i="2"/>
  <c r="R56" i="2" s="1"/>
  <c r="P51" i="2"/>
  <c r="R51" i="2" s="1"/>
  <c r="P46" i="2"/>
  <c r="R46" i="2" s="1"/>
  <c r="P42" i="2"/>
  <c r="R42" i="2" s="1"/>
  <c r="P40" i="2"/>
  <c r="R40" i="2" s="1"/>
  <c r="P47" i="2"/>
  <c r="R47" i="2" s="1"/>
  <c r="P39" i="2"/>
  <c r="R39" i="2" s="1"/>
  <c r="P72" i="2"/>
  <c r="R72" i="2" s="1"/>
  <c r="P63" i="2"/>
  <c r="R63" i="2" s="1"/>
  <c r="P50" i="2"/>
  <c r="R50" i="2" s="1"/>
  <c r="P45" i="2"/>
  <c r="R45" i="2" s="1"/>
  <c r="P41" i="2"/>
  <c r="R41" i="2" s="1"/>
  <c r="B160" i="1"/>
  <c r="B163" i="1" s="1"/>
  <c r="G161" i="2"/>
  <c r="P68" i="2"/>
  <c r="R68" i="2" s="1"/>
  <c r="P69" i="2"/>
  <c r="R69" i="2" s="1"/>
  <c r="P71" i="2"/>
  <c r="R71" i="2" s="1"/>
  <c r="P70" i="2"/>
  <c r="R70" i="2" s="1"/>
  <c r="P55" i="2"/>
  <c r="R55" i="2" s="1"/>
  <c r="P66" i="2"/>
  <c r="R66" i="2" s="1"/>
  <c r="P62" i="2"/>
  <c r="R62" i="2" s="1"/>
  <c r="P58" i="2"/>
  <c r="R58" i="2" s="1"/>
  <c r="P54" i="2"/>
  <c r="R54" i="2" s="1"/>
  <c r="P59" i="2"/>
  <c r="R59" i="2" s="1"/>
  <c r="P65" i="2"/>
  <c r="R65" i="2" s="1"/>
  <c r="P61" i="2"/>
  <c r="R61" i="2" s="1"/>
  <c r="P57" i="2"/>
  <c r="R57" i="2" s="1"/>
  <c r="P53" i="2"/>
  <c r="R53" i="2" s="1"/>
  <c r="P67" i="2"/>
  <c r="R67" i="2" s="1"/>
  <c r="P64" i="2"/>
  <c r="R64" i="2" s="1"/>
  <c r="P52" i="2"/>
  <c r="R52" i="2" s="1"/>
  <c r="I161" i="2"/>
  <c r="B82" i="2" l="1"/>
  <c r="T81" i="2"/>
  <c r="S81" i="2"/>
  <c r="P81" i="2" s="1"/>
  <c r="R81" i="2" s="1"/>
  <c r="B16" i="2"/>
  <c r="T15" i="2"/>
  <c r="S15" i="2"/>
  <c r="P15" i="2" s="1"/>
  <c r="R15" i="2" s="1"/>
  <c r="B182" i="1"/>
  <c r="J161" i="2"/>
  <c r="B184" i="1" l="1"/>
  <c r="B201" i="1" s="1"/>
  <c r="B17" i="2"/>
  <c r="T16" i="2"/>
  <c r="S16" i="2"/>
  <c r="P16" i="2" s="1"/>
  <c r="R16" i="2" s="1"/>
  <c r="B83" i="2"/>
  <c r="T82" i="2"/>
  <c r="S82" i="2"/>
  <c r="P82" i="2" s="1"/>
  <c r="R82" i="2" s="1"/>
  <c r="B84" i="2" l="1"/>
  <c r="T83" i="2"/>
  <c r="S83" i="2"/>
  <c r="P83" i="2" s="1"/>
  <c r="R83" i="2" s="1"/>
  <c r="B18" i="2"/>
  <c r="T17" i="2"/>
  <c r="S17" i="2"/>
  <c r="P17" i="2" s="1"/>
  <c r="R17" i="2" s="1"/>
  <c r="B19" i="2" l="1"/>
  <c r="T18" i="2"/>
  <c r="S18" i="2"/>
  <c r="P18" i="2" s="1"/>
  <c r="R18" i="2" s="1"/>
  <c r="B85" i="2"/>
  <c r="T84" i="2"/>
  <c r="S84" i="2"/>
  <c r="P84" i="2" s="1"/>
  <c r="R84" i="2" s="1"/>
  <c r="B20" i="2" l="1"/>
  <c r="T19" i="2"/>
  <c r="S19" i="2"/>
  <c r="P19" i="2" s="1"/>
  <c r="R19" i="2" s="1"/>
  <c r="B86" i="2"/>
  <c r="T85" i="2"/>
  <c r="S85" i="2"/>
  <c r="P85" i="2" s="1"/>
  <c r="R85" i="2" s="1"/>
  <c r="B87" i="2" l="1"/>
  <c r="T86" i="2"/>
  <c r="S86" i="2"/>
  <c r="P86" i="2" s="1"/>
  <c r="R86" i="2" s="1"/>
  <c r="B21" i="2"/>
  <c r="T20" i="2"/>
  <c r="S20" i="2"/>
  <c r="P20" i="2" s="1"/>
  <c r="R20" i="2" s="1"/>
  <c r="B22" i="2" l="1"/>
  <c r="T21" i="2"/>
  <c r="S21" i="2"/>
  <c r="P21" i="2" s="1"/>
  <c r="R21" i="2" s="1"/>
  <c r="B88" i="2"/>
  <c r="T87" i="2"/>
  <c r="S87" i="2"/>
  <c r="P87" i="2" s="1"/>
  <c r="R87" i="2" s="1"/>
  <c r="B89" i="2" l="1"/>
  <c r="T88" i="2"/>
  <c r="S88" i="2"/>
  <c r="P88" i="2" s="1"/>
  <c r="R88" i="2" s="1"/>
  <c r="B23" i="2"/>
  <c r="T22" i="2"/>
  <c r="S22" i="2"/>
  <c r="P22" i="2" s="1"/>
  <c r="R22" i="2" s="1"/>
  <c r="B24" i="2" l="1"/>
  <c r="T23" i="2"/>
  <c r="S23" i="2"/>
  <c r="P23" i="2" s="1"/>
  <c r="R23" i="2" s="1"/>
  <c r="B90" i="2"/>
  <c r="T89" i="2"/>
  <c r="S89" i="2"/>
  <c r="P89" i="2" s="1"/>
  <c r="R89" i="2" s="1"/>
  <c r="B91" i="2" l="1"/>
  <c r="T90" i="2"/>
  <c r="S90" i="2"/>
  <c r="P90" i="2" s="1"/>
  <c r="R90" i="2" s="1"/>
  <c r="B25" i="2"/>
  <c r="T24" i="2"/>
  <c r="S24" i="2"/>
  <c r="P24" i="2" s="1"/>
  <c r="R24" i="2" s="1"/>
  <c r="B26" i="2" l="1"/>
  <c r="T25" i="2"/>
  <c r="S25" i="2"/>
  <c r="P25" i="2" s="1"/>
  <c r="R25" i="2" s="1"/>
  <c r="B92" i="2"/>
  <c r="T91" i="2"/>
  <c r="S91" i="2"/>
  <c r="P91" i="2" s="1"/>
  <c r="R91" i="2" s="1"/>
  <c r="B27" i="2" l="1"/>
  <c r="T26" i="2"/>
  <c r="S26" i="2"/>
  <c r="P26" i="2" s="1"/>
  <c r="R26" i="2" s="1"/>
  <c r="B93" i="2"/>
  <c r="T92" i="2"/>
  <c r="S92" i="2"/>
  <c r="P92" i="2" s="1"/>
  <c r="R92" i="2" s="1"/>
  <c r="B94" i="2" l="1"/>
  <c r="T93" i="2"/>
  <c r="S93" i="2"/>
  <c r="P93" i="2" s="1"/>
  <c r="R93" i="2" s="1"/>
  <c r="B28" i="2"/>
  <c r="T27" i="2"/>
  <c r="S27" i="2"/>
  <c r="P27" i="2" s="1"/>
  <c r="R27" i="2" s="1"/>
  <c r="B29" i="2" l="1"/>
  <c r="T28" i="2"/>
  <c r="S28" i="2"/>
  <c r="P28" i="2" s="1"/>
  <c r="R28" i="2" s="1"/>
  <c r="B95" i="2"/>
  <c r="T94" i="2"/>
  <c r="S94" i="2"/>
  <c r="P94" i="2" s="1"/>
  <c r="R94" i="2" s="1"/>
  <c r="B96" i="2" l="1"/>
  <c r="T95" i="2"/>
  <c r="S95" i="2"/>
  <c r="P95" i="2" s="1"/>
  <c r="R95" i="2" s="1"/>
  <c r="B30" i="2"/>
  <c r="T29" i="2"/>
  <c r="S29" i="2"/>
  <c r="P29" i="2" s="1"/>
  <c r="R29" i="2" s="1"/>
  <c r="B31" i="2" l="1"/>
  <c r="T30" i="2"/>
  <c r="S30" i="2"/>
  <c r="P30" i="2" s="1"/>
  <c r="R30" i="2" s="1"/>
  <c r="B97" i="2"/>
  <c r="T96" i="2"/>
  <c r="S96" i="2"/>
  <c r="P96" i="2" s="1"/>
  <c r="R96" i="2" s="1"/>
  <c r="B98" i="2" l="1"/>
  <c r="T97" i="2"/>
  <c r="S97" i="2"/>
  <c r="P97" i="2" s="1"/>
  <c r="R97" i="2" s="1"/>
  <c r="B32" i="2"/>
  <c r="T31" i="2"/>
  <c r="S31" i="2"/>
  <c r="P31" i="2" s="1"/>
  <c r="R31" i="2" s="1"/>
  <c r="B33" i="2" l="1"/>
  <c r="T32" i="2"/>
  <c r="S32" i="2"/>
  <c r="P32" i="2" s="1"/>
  <c r="R32" i="2" s="1"/>
  <c r="B99" i="2"/>
  <c r="T98" i="2"/>
  <c r="S98" i="2"/>
  <c r="P98" i="2" s="1"/>
  <c r="R98" i="2" s="1"/>
  <c r="B100" i="2" l="1"/>
  <c r="T99" i="2"/>
  <c r="S99" i="2"/>
  <c r="P99" i="2" s="1"/>
  <c r="R99" i="2" s="1"/>
  <c r="B34" i="2"/>
  <c r="T33" i="2"/>
  <c r="S33" i="2"/>
  <c r="P33" i="2" s="1"/>
  <c r="R33" i="2" s="1"/>
  <c r="B35" i="2" l="1"/>
  <c r="T34" i="2"/>
  <c r="S34" i="2"/>
  <c r="P34" i="2" s="1"/>
  <c r="R34" i="2" s="1"/>
  <c r="B101" i="2"/>
  <c r="T100" i="2"/>
  <c r="S100" i="2"/>
  <c r="P100" i="2" s="1"/>
  <c r="R100" i="2" s="1"/>
  <c r="B102" i="2" l="1"/>
  <c r="T101" i="2"/>
  <c r="S101" i="2"/>
  <c r="P101" i="2" s="1"/>
  <c r="R101" i="2" s="1"/>
  <c r="B36" i="2"/>
  <c r="T35" i="2"/>
  <c r="S35" i="2"/>
  <c r="P35" i="2" s="1"/>
  <c r="R35" i="2" s="1"/>
  <c r="B37" i="2" l="1"/>
  <c r="T36" i="2"/>
  <c r="S36" i="2"/>
  <c r="P36" i="2" s="1"/>
  <c r="R36" i="2" s="1"/>
  <c r="B103" i="2"/>
  <c r="T102" i="2"/>
  <c r="S102" i="2"/>
  <c r="P102" i="2" s="1"/>
  <c r="R102" i="2" s="1"/>
  <c r="B104" i="2" l="1"/>
  <c r="T103" i="2"/>
  <c r="S103" i="2"/>
  <c r="P103" i="2" s="1"/>
  <c r="R103" i="2" s="1"/>
  <c r="S37" i="2"/>
  <c r="P37" i="2" s="1"/>
  <c r="R37" i="2" s="1"/>
  <c r="T37" i="2"/>
  <c r="B105" i="2" l="1"/>
  <c r="T104" i="2"/>
  <c r="S104" i="2"/>
  <c r="P104" i="2" s="1"/>
  <c r="R104" i="2" s="1"/>
  <c r="B106" i="2" l="1"/>
  <c r="T105" i="2"/>
  <c r="S105" i="2"/>
  <c r="P105" i="2" s="1"/>
  <c r="R105" i="2" s="1"/>
  <c r="B107" i="2" l="1"/>
  <c r="T106" i="2"/>
  <c r="S106" i="2"/>
  <c r="P106" i="2" s="1"/>
  <c r="R106" i="2" s="1"/>
  <c r="B108" i="2" l="1"/>
  <c r="T107" i="2"/>
  <c r="S107" i="2"/>
  <c r="P107" i="2" s="1"/>
  <c r="R107" i="2" s="1"/>
  <c r="B109" i="2" l="1"/>
  <c r="T108" i="2"/>
  <c r="S108" i="2"/>
  <c r="P108" i="2" s="1"/>
  <c r="R108" i="2" s="1"/>
  <c r="B110" i="2" l="1"/>
  <c r="T109" i="2"/>
  <c r="S109" i="2"/>
  <c r="P109" i="2" s="1"/>
  <c r="R109" i="2" s="1"/>
  <c r="B111" i="2" l="1"/>
  <c r="T110" i="2"/>
  <c r="S110" i="2"/>
  <c r="P110" i="2" s="1"/>
  <c r="R110" i="2" s="1"/>
  <c r="B112" i="2" l="1"/>
  <c r="T111" i="2"/>
  <c r="S111" i="2"/>
  <c r="P111" i="2" s="1"/>
  <c r="R111" i="2" s="1"/>
  <c r="B113" i="2" l="1"/>
  <c r="T112" i="2"/>
  <c r="S112" i="2"/>
  <c r="P112" i="2" s="1"/>
  <c r="R112" i="2" s="1"/>
  <c r="B114" i="2" l="1"/>
  <c r="T113" i="2"/>
  <c r="S113" i="2"/>
  <c r="P113" i="2" s="1"/>
  <c r="R113" i="2" s="1"/>
  <c r="B115" i="2" l="1"/>
  <c r="T114" i="2"/>
  <c r="S114" i="2"/>
  <c r="P114" i="2" s="1"/>
  <c r="R114" i="2" s="1"/>
  <c r="B116" i="2" l="1"/>
  <c r="T115" i="2"/>
  <c r="S115" i="2"/>
  <c r="P115" i="2" s="1"/>
  <c r="R115" i="2" s="1"/>
  <c r="B117" i="2" l="1"/>
  <c r="T116" i="2"/>
  <c r="S116" i="2"/>
  <c r="P116" i="2" s="1"/>
  <c r="R116" i="2" s="1"/>
  <c r="B118" i="2" l="1"/>
  <c r="T117" i="2"/>
  <c r="S117" i="2"/>
  <c r="P117" i="2" s="1"/>
  <c r="R117" i="2" s="1"/>
  <c r="B119" i="2" l="1"/>
  <c r="T118" i="2"/>
  <c r="S118" i="2"/>
  <c r="P118" i="2" s="1"/>
  <c r="R118" i="2" s="1"/>
  <c r="B120" i="2" l="1"/>
  <c r="T119" i="2"/>
  <c r="S119" i="2"/>
  <c r="P119" i="2" s="1"/>
  <c r="R119" i="2" s="1"/>
  <c r="B121" i="2" l="1"/>
  <c r="T120" i="2"/>
  <c r="S120" i="2"/>
  <c r="P120" i="2" s="1"/>
  <c r="R120" i="2" s="1"/>
  <c r="B122" i="2" l="1"/>
  <c r="T121" i="2"/>
  <c r="S121" i="2"/>
  <c r="P121" i="2" s="1"/>
  <c r="R121" i="2" s="1"/>
  <c r="B123" i="2" l="1"/>
  <c r="T122" i="2"/>
  <c r="S122" i="2"/>
  <c r="P122" i="2" s="1"/>
  <c r="R122" i="2" s="1"/>
  <c r="B124" i="2" l="1"/>
  <c r="T123" i="2"/>
  <c r="S123" i="2"/>
  <c r="P123" i="2" s="1"/>
  <c r="R123" i="2" s="1"/>
  <c r="B125" i="2" l="1"/>
  <c r="T124" i="2"/>
  <c r="S124" i="2"/>
  <c r="P124" i="2" s="1"/>
  <c r="R124" i="2" s="1"/>
  <c r="B126" i="2" l="1"/>
  <c r="T125" i="2"/>
  <c r="S125" i="2"/>
  <c r="P125" i="2" s="1"/>
  <c r="R125" i="2" s="1"/>
  <c r="B127" i="2" l="1"/>
  <c r="T126" i="2"/>
  <c r="S126" i="2"/>
  <c r="P126" i="2" s="1"/>
  <c r="R126" i="2" s="1"/>
  <c r="B128" i="2" l="1"/>
  <c r="T127" i="2"/>
  <c r="S127" i="2"/>
  <c r="P127" i="2" s="1"/>
  <c r="R127" i="2" s="1"/>
  <c r="B129" i="2" l="1"/>
  <c r="T128" i="2"/>
  <c r="S128" i="2"/>
  <c r="P128" i="2" s="1"/>
  <c r="R128" i="2" s="1"/>
  <c r="B130" i="2" l="1"/>
  <c r="T129" i="2"/>
  <c r="S129" i="2"/>
  <c r="P129" i="2" s="1"/>
  <c r="R129" i="2" s="1"/>
  <c r="B131" i="2" l="1"/>
  <c r="T130" i="2"/>
  <c r="S130" i="2"/>
  <c r="P130" i="2" s="1"/>
  <c r="R130" i="2" s="1"/>
  <c r="B132" i="2" l="1"/>
  <c r="T131" i="2"/>
  <c r="S131" i="2"/>
  <c r="P131" i="2" s="1"/>
  <c r="R131" i="2" s="1"/>
  <c r="B133" i="2" l="1"/>
  <c r="T132" i="2"/>
  <c r="S132" i="2"/>
  <c r="P132" i="2" s="1"/>
  <c r="R132" i="2" s="1"/>
  <c r="B134" i="2" l="1"/>
  <c r="T133" i="2"/>
  <c r="S133" i="2"/>
  <c r="P133" i="2" s="1"/>
  <c r="R133" i="2" s="1"/>
  <c r="B135" i="2" l="1"/>
  <c r="T134" i="2"/>
  <c r="S134" i="2"/>
  <c r="P134" i="2" s="1"/>
  <c r="R134" i="2" s="1"/>
  <c r="B136" i="2" l="1"/>
  <c r="T135" i="2"/>
  <c r="S135" i="2"/>
  <c r="P135" i="2" s="1"/>
  <c r="R135" i="2" s="1"/>
  <c r="B137" i="2" l="1"/>
  <c r="T136" i="2"/>
  <c r="S136" i="2"/>
  <c r="P136" i="2" s="1"/>
  <c r="R136" i="2" s="1"/>
  <c r="B138" i="2" l="1"/>
  <c r="T137" i="2"/>
  <c r="S137" i="2"/>
  <c r="P137" i="2" s="1"/>
  <c r="R137" i="2" s="1"/>
  <c r="B139" i="2" l="1"/>
  <c r="T138" i="2"/>
  <c r="S138" i="2"/>
  <c r="P138" i="2" s="1"/>
  <c r="R138" i="2" s="1"/>
  <c r="B140" i="2" l="1"/>
  <c r="T139" i="2"/>
  <c r="S139" i="2"/>
  <c r="P139" i="2" s="1"/>
  <c r="R139" i="2" s="1"/>
  <c r="B141" i="2" l="1"/>
  <c r="T140" i="2"/>
  <c r="S140" i="2"/>
  <c r="P140" i="2" s="1"/>
  <c r="R140" i="2" s="1"/>
  <c r="B142" i="2" l="1"/>
  <c r="T141" i="2"/>
  <c r="S141" i="2"/>
  <c r="P141" i="2" s="1"/>
  <c r="R141" i="2" s="1"/>
  <c r="B143" i="2" l="1"/>
  <c r="T142" i="2"/>
  <c r="S142" i="2"/>
  <c r="P142" i="2" s="1"/>
  <c r="R142" i="2" s="1"/>
  <c r="B144" i="2" l="1"/>
  <c r="T143" i="2"/>
  <c r="S143" i="2"/>
  <c r="P143" i="2" s="1"/>
  <c r="R143" i="2" s="1"/>
  <c r="B145" i="2" l="1"/>
  <c r="T144" i="2"/>
  <c r="S144" i="2"/>
  <c r="P144" i="2" s="1"/>
  <c r="R144" i="2" s="1"/>
  <c r="B146" i="2" l="1"/>
  <c r="T145" i="2"/>
  <c r="S145" i="2"/>
  <c r="S146" i="2" l="1"/>
  <c r="T146" i="2"/>
  <c r="P44" i="2"/>
  <c r="R44" i="2" s="1"/>
  <c r="O161" i="2"/>
  <c r="R161" i="2" l="1"/>
  <c r="P161" i="2"/>
</calcChain>
</file>

<file path=xl/sharedStrings.xml><?xml version="1.0" encoding="utf-8"?>
<sst xmlns="http://schemas.openxmlformats.org/spreadsheetml/2006/main" count="561" uniqueCount="470">
  <si>
    <t>Dpto.</t>
  </si>
  <si>
    <t>UF</t>
  </si>
  <si>
    <t>Propietario</t>
  </si>
  <si>
    <t xml:space="preserve">Ingreso </t>
  </si>
  <si>
    <t>TOTAL</t>
  </si>
  <si>
    <t>GASTOS ORDINARIOS UNIDADES FUNCIONALES:</t>
  </si>
  <si>
    <t xml:space="preserve"> (%)</t>
  </si>
  <si>
    <t>GASTOS BANCARIOS</t>
  </si>
  <si>
    <t xml:space="preserve">TOTAL ORDINARIOS </t>
  </si>
  <si>
    <t>ABONOS Y SERVICIOS</t>
  </si>
  <si>
    <t>Seracarh</t>
  </si>
  <si>
    <t>Fatheryh</t>
  </si>
  <si>
    <t>HONORARIOS</t>
  </si>
  <si>
    <t xml:space="preserve">TOTAL EXTRAORDINARIOS </t>
  </si>
  <si>
    <t>Egresos Ordinarios</t>
  </si>
  <si>
    <t>Expensas ord.</t>
  </si>
  <si>
    <t>Deuda o Saldo a favor</t>
  </si>
  <si>
    <t>DEPOSITOS NO IDENTIFICADOS</t>
  </si>
  <si>
    <t>HABERES ENCARGADOS</t>
  </si>
  <si>
    <t>Neto</t>
  </si>
  <si>
    <t>Suther</t>
  </si>
  <si>
    <t>GASTOS EXTRAORDINARIOS:</t>
  </si>
  <si>
    <t>Gastos banacarios</t>
  </si>
  <si>
    <t>Mantenimiento de cuenta</t>
  </si>
  <si>
    <t>Lettieri, Miguel Angel</t>
  </si>
  <si>
    <t>Basile, Santiago</t>
  </si>
  <si>
    <t>Garcia, Stella Maris</t>
  </si>
  <si>
    <t>Tamburrino, Javier</t>
  </si>
  <si>
    <t>Marquez, Florencia</t>
  </si>
  <si>
    <t>Olmedo, Alberto</t>
  </si>
  <si>
    <t>Troppelli, R. / Segura, J.</t>
  </si>
  <si>
    <t>Ferraris, Sergio</t>
  </si>
  <si>
    <t>Schunk, Andrea</t>
  </si>
  <si>
    <t>Arrom, Tamara</t>
  </si>
  <si>
    <t>ADVC SRL.</t>
  </si>
  <si>
    <t>De Lucas, S.</t>
  </si>
  <si>
    <t>Zacharias, Valeria</t>
  </si>
  <si>
    <t>De Nardi, Mario</t>
  </si>
  <si>
    <t>Oniszczuk, Sebastian</t>
  </si>
  <si>
    <t>Gomez, Jose Luis</t>
  </si>
  <si>
    <t>Carcioni, Jose</t>
  </si>
  <si>
    <t>Oniszczuk, Esteban</t>
  </si>
  <si>
    <t>Dominguez, Javier</t>
  </si>
  <si>
    <t>Calviño, Eduardo</t>
  </si>
  <si>
    <t>Cejas, Nicolas</t>
  </si>
  <si>
    <t>De Nardi, Karina</t>
  </si>
  <si>
    <t>Montero, Pablo</t>
  </si>
  <si>
    <t>Gariotto, Salvador</t>
  </si>
  <si>
    <t>Aducci, Marcelo</t>
  </si>
  <si>
    <t>Petrucchi, Hernan</t>
  </si>
  <si>
    <t>Rosi, Martin</t>
  </si>
  <si>
    <t>Bernardez, M. / Giordano, J.</t>
  </si>
  <si>
    <t>Giordano, Juan Pablo</t>
  </si>
  <si>
    <t>Di Biase, Diego</t>
  </si>
  <si>
    <t>Acosta, Claudio</t>
  </si>
  <si>
    <t>Caiz, Ariel</t>
  </si>
  <si>
    <t>Tortorisi, Antonio</t>
  </si>
  <si>
    <t>Olivero, Marcelo</t>
  </si>
  <si>
    <t>Papa, V. / Sotelo, E.</t>
  </si>
  <si>
    <t>Lopez Zevallo, Martin</t>
  </si>
  <si>
    <t>Gaspari, Federico</t>
  </si>
  <si>
    <t>Gutierrez, Maria Soledad</t>
  </si>
  <si>
    <t>Giallonardo, Ariel</t>
  </si>
  <si>
    <t>Orso, Graciela</t>
  </si>
  <si>
    <t>Topino, Maximiliano</t>
  </si>
  <si>
    <t>Pucci, C. / Celeiro, N.</t>
  </si>
  <si>
    <t>Varoli, Elina</t>
  </si>
  <si>
    <t>Picciuolo, Nicolas</t>
  </si>
  <si>
    <t>de la Calle, Miguel Angel</t>
  </si>
  <si>
    <t>Carrasco, Mariela</t>
  </si>
  <si>
    <t>Ruiz, Sebastian</t>
  </si>
  <si>
    <t>Itoiz, Juan Pablo</t>
  </si>
  <si>
    <t>Carderi, Damian</t>
  </si>
  <si>
    <t>Didio Bonasera, Gaston</t>
  </si>
  <si>
    <t>Korin, Alejandro</t>
  </si>
  <si>
    <t>Desantis, Julieta</t>
  </si>
  <si>
    <t>Dimunzio Ayaso, Ivana</t>
  </si>
  <si>
    <t>Kanhan, Carlos</t>
  </si>
  <si>
    <t>Rudi, Marcela</t>
  </si>
  <si>
    <t>Molina, Leonardo</t>
  </si>
  <si>
    <t>Sallaberry, Pablo</t>
  </si>
  <si>
    <t>Varela, E. / De Caria, S.</t>
  </si>
  <si>
    <t>Carnevale, Yesica</t>
  </si>
  <si>
    <t>Espinola, Leandro</t>
  </si>
  <si>
    <t>Hecimovic, Mariano</t>
  </si>
  <si>
    <t>Moraschi, Luis</t>
  </si>
  <si>
    <t>Agüero, Paula</t>
  </si>
  <si>
    <t>Fayanas, Santiago</t>
  </si>
  <si>
    <t>Amenta, Cristian</t>
  </si>
  <si>
    <t>Mon, Fernando</t>
  </si>
  <si>
    <t>Strianese, Marcos</t>
  </si>
  <si>
    <t>Toniutti, Silvana</t>
  </si>
  <si>
    <t>Morante, Julian</t>
  </si>
  <si>
    <t>Pantografos Master SRL.</t>
  </si>
  <si>
    <t>Gimenez, Martin</t>
  </si>
  <si>
    <t>Soto Hinojosa, Porfirio</t>
  </si>
  <si>
    <t>Mozzi, German</t>
  </si>
  <si>
    <t>De Nardi, Maria Rosa</t>
  </si>
  <si>
    <t>Castro, Alejandra</t>
  </si>
  <si>
    <t>Tapia, Sergio</t>
  </si>
  <si>
    <t>Albornoz, M. / Rodriguez, G.</t>
  </si>
  <si>
    <t>Repetto, Mariano</t>
  </si>
  <si>
    <t>Escudero, Ignacio</t>
  </si>
  <si>
    <t>Shunk, Dora</t>
  </si>
  <si>
    <t>Gutierrez, Nicolas</t>
  </si>
  <si>
    <t>Manzo, Dominguez</t>
  </si>
  <si>
    <t>Perri, Antonio</t>
  </si>
  <si>
    <t>Rosemberg, Alejandro</t>
  </si>
  <si>
    <t>Antunez, Mariano</t>
  </si>
  <si>
    <t>Ricciardo, M. / Leibson, G.</t>
  </si>
  <si>
    <t>Rodriguez, Cristian</t>
  </si>
  <si>
    <t>de Llano, Carolina</t>
  </si>
  <si>
    <t>Dombrosqui, Hector</t>
  </si>
  <si>
    <t>Vicini, Laura</t>
  </si>
  <si>
    <t>Perfumo, Daniel</t>
  </si>
  <si>
    <t>Santangelo, Hernan</t>
  </si>
  <si>
    <t>Maurino, Jorge Manuel</t>
  </si>
  <si>
    <t>Notarfrancesco, Gerado</t>
  </si>
  <si>
    <t>Blazquez, Sebastian</t>
  </si>
  <si>
    <t>Tosi, Gaston</t>
  </si>
  <si>
    <t>Santoro, Carlos</t>
  </si>
  <si>
    <t>Santangelo, Juan Ignacio</t>
  </si>
  <si>
    <t>Ojeda, Favio</t>
  </si>
  <si>
    <t>Grossi, Cristian</t>
  </si>
  <si>
    <t>Pells Richard, Nicolas</t>
  </si>
  <si>
    <t>Artigue, Rolando</t>
  </si>
  <si>
    <t>Broglio, M. / Albretch, A.</t>
  </si>
  <si>
    <t>Valiña, Suzel</t>
  </si>
  <si>
    <t>Campello, G. / Indarte, M.</t>
  </si>
  <si>
    <t>Dinardo, Pablo</t>
  </si>
  <si>
    <t>Giordano, P. / Tosi, G.</t>
  </si>
  <si>
    <t>Celano, Martina</t>
  </si>
  <si>
    <t>Cabral, D. / Blanco, J.</t>
  </si>
  <si>
    <t>Rito, Nicolas</t>
  </si>
  <si>
    <t>Lettieri, Fernando</t>
  </si>
  <si>
    <t>De Lourdes Lopez, Sandra</t>
  </si>
  <si>
    <t>Papa, O. / Biondi, B.</t>
  </si>
  <si>
    <t>Bidart, L. / Reggi, V.</t>
  </si>
  <si>
    <t>De Nardi, Yanina</t>
  </si>
  <si>
    <t>Romero, Pablo</t>
  </si>
  <si>
    <t>Arrom, Jonatan</t>
  </si>
  <si>
    <t>Lopez Osornio, Alejandro</t>
  </si>
  <si>
    <t>Carreras, Pablo</t>
  </si>
  <si>
    <t>Hernandez, Diego</t>
  </si>
  <si>
    <t>Arrieta, Martin</t>
  </si>
  <si>
    <t>Urbanfid</t>
  </si>
  <si>
    <t>Fondo de reserva</t>
  </si>
  <si>
    <t>TOTAL  SEGUROS</t>
  </si>
  <si>
    <t>TOTAL APORTES Y CONTRIBUCIONES</t>
  </si>
  <si>
    <t>TOTAL HONORARIOS</t>
  </si>
  <si>
    <t>TOTAL  GASTOS BANCARIOS</t>
  </si>
  <si>
    <t>SUMA DE GASTOS - ABONOS DE SERVICIOS</t>
  </si>
  <si>
    <t>Egresos abonos y servicios</t>
  </si>
  <si>
    <t>Titular: CONSORCIO DE PROPIETARIOS LAS BRISAS - ADROGUE - Santander Río - Cuenta Corriente Nº 221-007370/9</t>
  </si>
  <si>
    <t>CBU.: 0720221820000000737090 * ALIAS: MARTES.POLO.IDEAL</t>
  </si>
  <si>
    <t xml:space="preserve">MAIL: brisasdeadroguerc@gmail.com
</t>
  </si>
  <si>
    <t>CONSORCIO DE PROPIETARIOS LAS BRISAS - ADROGUE</t>
  </si>
  <si>
    <t>CELULAR:  +54 9 11 2640-1829</t>
  </si>
  <si>
    <t>FECHA DE LA ANOTACION:</t>
  </si>
  <si>
    <t>QUEJA VIA:</t>
  </si>
  <si>
    <t>WHATSAPP</t>
  </si>
  <si>
    <t>MAIL</t>
  </si>
  <si>
    <t>MOTIVO DE LA QUEJA:</t>
  </si>
  <si>
    <t>NOMBRE:</t>
  </si>
  <si>
    <t>LOTE:</t>
  </si>
  <si>
    <t>Reyes, Damian</t>
  </si>
  <si>
    <t>SEGUROS</t>
  </si>
  <si>
    <t>TOTAL SUELDOS</t>
  </si>
  <si>
    <t xml:space="preserve">Huenchupan, Alejandro </t>
  </si>
  <si>
    <t xml:space="preserve">Giordano, Juan Pablo </t>
  </si>
  <si>
    <t xml:space="preserve">Bernardez, Diego </t>
  </si>
  <si>
    <t xml:space="preserve">Arderiu, Marcelo </t>
  </si>
  <si>
    <t>Loray, Ana Laura</t>
  </si>
  <si>
    <t>CARGAS SOCIALES - APORTES Y CONTRIBUCIONES</t>
  </si>
  <si>
    <t>SEGURIDAD</t>
  </si>
  <si>
    <t>TOTAL GASTOS SEGURIDAD</t>
  </si>
  <si>
    <t>LIMPIEZA - MANTENIMIENTO DE ALUMBRADO</t>
  </si>
  <si>
    <t>TOTAL GASTOS LIMPIEZA Y MANTENIMIENTO DE ALUMBRADO</t>
  </si>
  <si>
    <t>GASTOS DE MANTENIMIENTO GENERAL</t>
  </si>
  <si>
    <t>TOTAL  GASTOS DE MANTENIMIENTO GENERAL</t>
  </si>
  <si>
    <t>GASTOS ORDINARIOS:</t>
  </si>
  <si>
    <t xml:space="preserve">Saldo  </t>
  </si>
  <si>
    <t>Compensacion expensas lote 140/141</t>
  </si>
  <si>
    <t>Canon de obra</t>
  </si>
  <si>
    <t>Gastos exclusivos de lotes (honorarios arquitecturas, intimaciones, etc)</t>
  </si>
  <si>
    <t xml:space="preserve">Pucheta, Cristian Oscar </t>
  </si>
  <si>
    <t>Egresos particulares</t>
  </si>
  <si>
    <t>GASTOS PARTICULARES:</t>
  </si>
  <si>
    <t xml:space="preserve">TOTAL PARTICULARES </t>
  </si>
  <si>
    <t>Telecom (Cuit.: 30-63945373-8) - (Abono celular Intendencia)</t>
  </si>
  <si>
    <t>HUANG (CHINO)</t>
  </si>
  <si>
    <t>Imsael Matta</t>
  </si>
  <si>
    <t>Noemi</t>
  </si>
  <si>
    <t>Fattorini sergio</t>
  </si>
  <si>
    <t>ROSSI PATRICIA</t>
  </si>
  <si>
    <t>RECAUDACIONES Y PAGOS SA</t>
  </si>
  <si>
    <t>Luis Grecco Y Karina</t>
  </si>
  <si>
    <t>Flores javier roberto</t>
  </si>
  <si>
    <t>Nicolas Esteban Gutierrez</t>
  </si>
  <si>
    <t>Avicola lanus a nombre de Tamara en el mail</t>
  </si>
  <si>
    <t>avicola lanus a nombre de tamara en el mail</t>
  </si>
  <si>
    <t>Suavenol</t>
  </si>
  <si>
    <t>Santangelo - Deposita</t>
  </si>
  <si>
    <t>Deposita - Andrea Iglesias</t>
  </si>
  <si>
    <t>LBEG SERO SRL</t>
  </si>
  <si>
    <t>IGLE SA</t>
  </si>
  <si>
    <t>Pablo huerta</t>
  </si>
  <si>
    <t>Maria Ines Indarte</t>
  </si>
  <si>
    <t>Fernando Rivero</t>
  </si>
  <si>
    <t>Deposita MECANICA VANDEN BOSCH &lt;mecanicavandenbosch@gmail.com&gt;</t>
  </si>
  <si>
    <t xml:space="preserve">Lucila Martinez Rey </t>
  </si>
  <si>
    <t>Viviana Papa &lt;vivibpapa@gmail.com&gt;</t>
  </si>
  <si>
    <t>polypeirano@yahoo.com</t>
  </si>
  <si>
    <t>Deposita, Julieta De Santis &lt;julietadesan@gmail.com&gt;</t>
  </si>
  <si>
    <t>Patricia Sobol &lt;patriciasobol@hotmail.com&gt; - tambien tiene lote 1</t>
  </si>
  <si>
    <t>Patricia Sobol &lt;patriciasobol@hotmail.com&gt; - - tambien tiene lote 127</t>
  </si>
  <si>
    <t>vivibpapa@gmail.com - Viviana papa</t>
  </si>
  <si>
    <t xml:space="preserve">
Gaston Leibson &lt;gastonleibson@hotmail.com&gt;</t>
  </si>
  <si>
    <t>mercedes arias &lt;mercedesarias2005@hotmail.com&gt;</t>
  </si>
  <si>
    <t>Velazco Velasco Gisela</t>
  </si>
  <si>
    <t>Grey Brick SA</t>
  </si>
  <si>
    <t>Calabro, Evangelina</t>
  </si>
  <si>
    <t>Lorena Mazzeo</t>
  </si>
  <si>
    <t>Guillermo rodriguez</t>
  </si>
  <si>
    <t>Maria Laura Lopez</t>
  </si>
  <si>
    <t>Compensacion expensas lote 140 - 141:</t>
  </si>
  <si>
    <t>TOTAL GASTOS ORDINARIOS + ABONOS Y SERVICIOS</t>
  </si>
  <si>
    <t>FONDO SUPER AHORRO PLUS</t>
  </si>
  <si>
    <t>COMPENSACION EXP. LOTE 140/141</t>
  </si>
  <si>
    <t>Saldo anterior total</t>
  </si>
  <si>
    <t>Ingreso total</t>
  </si>
  <si>
    <t>Interes</t>
  </si>
  <si>
    <t>CAJA EFECTIVO</t>
  </si>
  <si>
    <t>RESUMEN CAJA GENERAL</t>
  </si>
  <si>
    <t xml:space="preserve"> </t>
  </si>
  <si>
    <t>Santiago Roman Ramirez</t>
  </si>
  <si>
    <t>Maria Ximena Vizzini / P Sur Srl</t>
  </si>
  <si>
    <t>Ariel Sposito</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</si>
  <si>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AGRADECEMOS MUCHÍSIMO SU COLABORACIÓN PARA SEGUIR MANTENIENDO EL ORDEN. MUCHAS GRACIAS.</t>
  </si>
  <si>
    <t>Balghera, Lucas</t>
  </si>
  <si>
    <t>Fernando Rivero y Mónica Cádiz</t>
  </si>
  <si>
    <t>Potes Paula Vanesa</t>
  </si>
  <si>
    <t>Teresa Angelica Agustin - Emiliano Piergiovanni</t>
  </si>
  <si>
    <t>Gergoff Ninoff Milagros Florencia / Diego soto / Profirio Soto</t>
  </si>
  <si>
    <t xml:space="preserve"> de nardi paula andrea</t>
  </si>
  <si>
    <t>Cristian Colson</t>
  </si>
  <si>
    <t>Noelia Franccini</t>
  </si>
  <si>
    <t>CAROLINA GIACCHETTI carolinagiacchetti@hotmail.com / Maria alejandra Ceballos</t>
  </si>
  <si>
    <t>ConstruHap - Veronica Laura Maggiot</t>
  </si>
  <si>
    <t>Sergio Decaira / De caira</t>
  </si>
  <si>
    <t>maria jose de la nativ penaloza gonzalez</t>
  </si>
  <si>
    <t>Deposita, tambien paga el lote 18 - Santiago Jorge Claps</t>
  </si>
  <si>
    <t>Horacio oscar brescia - Estefania Tortorisi</t>
  </si>
  <si>
    <t>Gustavo Kearney &lt;gkearney@batt.com.ar&gt; - maranata perfumeria</t>
  </si>
  <si>
    <t>Daniela Cabral</t>
  </si>
  <si>
    <t>Egresos extraordinarios</t>
  </si>
  <si>
    <t>LOTE</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</si>
  <si>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 QUIENES, EN LA COLUMNA “DEUDA O SALDO A FAVOR”, LES FIGURE UN MONTO NEGATIVO, SIGNIFICA QUE, AL MOMENTO DEL CIERRE DE LAS EXPENSAS, POSEEN DINERO A SU FAVOR. ESTE SALDO SERÁ IMPUTADO EN LAS PRÓXIMAS LIQUIDACIONES, REDUCIENDO EL IMPORTE A ABONAR RESPECTO DE LO QUE CORRESPONDERÍA PAGAR EN CASO DE NO CONTAR CON ESTE CRÉDITO. AGRADECEMOS MUCHÍSIMO SU COLABORACIÓN PARA SEGUIR MANTENIENDO EL ORDEN. MUCHAS GRACIAS.</t>
  </si>
  <si>
    <t>Extraordinarios:</t>
  </si>
  <si>
    <t>ventas@quimicaros.com.ar</t>
  </si>
  <si>
    <t xml:space="preserve"> maranata perfumeria</t>
  </si>
  <si>
    <t xml:space="preserve"> De mela Innovaciones SRL tiene el 24 y 58</t>
  </si>
  <si>
    <t xml:space="preserve">Analía Celeste Cáceres </t>
  </si>
  <si>
    <t>Diego Damino</t>
  </si>
  <si>
    <t>Agustina Palermo</t>
  </si>
  <si>
    <t>Gonzalo Raul Fernandez - ivanalagolosinerasrl@gmail.com</t>
  </si>
  <si>
    <t>Federacion patronal -  Poliza nro. 1-2195343-0 - Riesgo integral de barrios privados</t>
  </si>
  <si>
    <t>Federacion patronal -  Poliza nro. 1-77459-6 - Seguro de vida obligatorio Sr. Maximiliano Abbruzzese</t>
  </si>
  <si>
    <t>Debito autom.</t>
  </si>
  <si>
    <t>Cafrathela SA - Carolina Carena</t>
  </si>
  <si>
    <t>Cecilia Labala</t>
  </si>
  <si>
    <t>Montenievas SRL</t>
  </si>
  <si>
    <t>Ordinarios:</t>
  </si>
  <si>
    <t>Deposita siempre - Viviana Lusero</t>
  </si>
  <si>
    <t>albrech adrian -  Belén Brog</t>
  </si>
  <si>
    <t>Tosi german lucas o nitapaula0684@gmail.com / Ana Paula</t>
  </si>
  <si>
    <t>Romina Troppelli - Deposita o  si tansfiere informa por mail  desde rominita09@hotmail.com</t>
  </si>
  <si>
    <t xml:space="preserve">Maria Eugenia Bachratz - Martin francisco Lopez zavallo
</t>
  </si>
  <si>
    <t>Diego Humberto Hernandez</t>
  </si>
  <si>
    <t>CUIT: 30-71618269-6</t>
  </si>
  <si>
    <t>ADMINISTRADORA: CAROLINA CANCIANI MP:1148</t>
  </si>
  <si>
    <t xml:space="preserve"> JAVIER ALBERTO ANDRES - TAMBIEN TIENE EL LOTE 204</t>
  </si>
  <si>
    <t xml:space="preserve"> JAVIER ALBERTO ANDRES - TAMBIEN TIENE EL LOTE 23</t>
  </si>
  <si>
    <t>Vivienda Everhouse</t>
  </si>
  <si>
    <t>Nicolas / Cecilia Andrea</t>
  </si>
  <si>
    <t>ad RUIZ DIAZ - Maria agustina Falcone - Barbero Francisco</t>
  </si>
  <si>
    <t>Cejas, Mariana/Petenello, Manuel</t>
  </si>
  <si>
    <t>Liliana Miravalle/Gustavo Di Biase</t>
  </si>
  <si>
    <t>Adminar SA y Lobison - Collectic Service - Liliana Andrea Miravalle y Gustavo Aníbal Di Biase</t>
  </si>
  <si>
    <t>Valeria Reggi</t>
  </si>
  <si>
    <t>CAJA DEL SUM</t>
  </si>
  <si>
    <t>Saldo inicial</t>
  </si>
  <si>
    <t>Ingreso que corresponde a CAJA SUM</t>
  </si>
  <si>
    <t>Deposita - pamela - manda por whatsapp</t>
  </si>
  <si>
    <t>Deposita, tambien paga el lote 132 - Santiago Jorge Claps</t>
  </si>
  <si>
    <t>Rodolfo manuel Petenello</t>
  </si>
  <si>
    <t>Recaudaciones y pagos -  Suzel Valiña &lt;valisule@gmail.com&gt; - Paga 118 , 120 y 121 - Pagos Rep. SA / AGIL PAGOS / Agro Fuel S.A</t>
  </si>
  <si>
    <t>Recaudaciones y pagos -  Suzel Valiña &lt;valisule@gmail.com&gt; - Paga 118 , 120 y 121 - Pagos Rep. SA / AGIL PAGOS  / Agro Fuel S.A</t>
  </si>
  <si>
    <t>Sandirs SRL - SANDIS SRL</t>
  </si>
  <si>
    <t>Centurion Sergio Cesar - Florencia Volonte en el mail o pells nicolas - Gaston Adrian Bruzzisi</t>
  </si>
  <si>
    <t>Ad Premed SRL - Tambien tiene lote 47</t>
  </si>
  <si>
    <t>Ad Premed SRL - Tambien tiene lote 4</t>
  </si>
  <si>
    <t>Laprida SRL</t>
  </si>
  <si>
    <t>Andrea Juarez Cecilia - Juan Isidoro Manuel Onorato</t>
  </si>
  <si>
    <t xml:space="preserve">Allianz (Cuit.: 30--50003721-7) - Seguro Técnico - Póliza N° 240210705270; </t>
  </si>
  <si>
    <t>Ingreso</t>
  </si>
  <si>
    <t>Fondo de reserva (30 Millones):</t>
  </si>
  <si>
    <t>Diego Soto y Hernan Soto - Petrona Garcia Rocha</t>
  </si>
  <si>
    <t xml:space="preserve">Ines / Jorge o Ayestaran Melanie que es la inquilina </t>
  </si>
  <si>
    <t>Total a abonar en segundo VTO</t>
  </si>
  <si>
    <t>QUIENES EN LA COLUMNA DENOMINADA "DEUDA O SALDO A FAVOR" OBSERVEN UN NÚMERO NEGATIVO, SIGNIFICA QUE EN EXPENSAS ANTERIORES ABONARON DE MÁS Y CUENTAN CON DINERO A FAVOR. EL MONTO A ABONAR FIGURA EN LA COLUMNA DENOMINADA "Total antes del primer...". RESPETEN ESE MONTO SI ABONAN ANTES O EN LA FECHA DEL PRIMER VENCIMIENTO, DE HACERLO POSTERIOR A ESA FECHA SE DEBE ABONAR EL MONTO QUE FIGURA EN LA COLUMNA LLAMADA "Total a abonar en segundo VTO"</t>
  </si>
  <si>
    <t>De mela Innovaciones -Tambien tiene el 58</t>
  </si>
  <si>
    <t>ADRIAN CLAUDIO GIARMAN / JOSEFINA GIORDANI / Milagros Anahi Sanchez / Leonardo Alexis Fama / Maria Antonella Rodriguez / Raul Alejandro Davalos/ Agustina navarro / PERRUGORIA LUCIANO</t>
  </si>
  <si>
    <t xml:space="preserve">Fino, Claudia </t>
  </si>
  <si>
    <t xml:space="preserve">Total a abonar antes del </t>
  </si>
  <si>
    <t>EN D1C,  EN3R0 y Febr3r0 A FLOW LO PUSIMOS EN $0 YA QUE NO SE DEBITO</t>
  </si>
  <si>
    <t>Gastos particulares / Seguridad de SUM / Multas / Uso de SUM</t>
  </si>
  <si>
    <t>PAGOS UNIVERSALES SA/  GLOBAL TT S.A. / GLOBAT / BENAJAL SA / farmacia avenida antartida</t>
  </si>
  <si>
    <t>Martin Hernan Scalisi</t>
  </si>
  <si>
    <t>Pereyra, Ariel</t>
  </si>
  <si>
    <t>ex Ezequiel De la calle - Ahora Patricia Sobol parece ser la nueva dueña - Diego Tufaro</t>
  </si>
  <si>
    <t>Ingreso que corresponde a CAJA FONDO DE BACHEO</t>
  </si>
  <si>
    <t>CAJA FONDO DE BACHEO</t>
  </si>
  <si>
    <t>Ingreso que corresponde a CAJA FONDO DE BACHEO (50% DE CANON DE OBRA COBRADO EN EXPENSA DEL MES ANTERIOR)</t>
  </si>
  <si>
    <t>ANOTACION NRO:</t>
  </si>
  <si>
    <t>Total contemplando caja SUM + Caja de Bacheo + Caja Ordinaria / Extraordinaria</t>
  </si>
  <si>
    <t>Rodriguez, Mario Javier</t>
  </si>
  <si>
    <t>QUERCIA LUCIO - QAM SRL - FLEBO TDR SRL - Grupo Logistico Srl - BinBay - La bella vida SRL</t>
  </si>
  <si>
    <t>Baquiano Malvinas SRL - Alejandro Miguel Batista</t>
  </si>
  <si>
    <t>Saldo Inicial del mes:</t>
  </si>
  <si>
    <t xml:space="preserve">Sum mal cobrado </t>
  </si>
  <si>
    <t>TOTAL DE EGRESOS DEL MES.</t>
  </si>
  <si>
    <t>TOTAL AL 01/08/2026</t>
  </si>
  <si>
    <t>Ganancias</t>
  </si>
  <si>
    <t>En la columna denominada “Gastos Particulares” podrán visualizar distintas casillas asociadas a cada unidad funcional. Los colores tienen el siguiente significado:
Gris: corresponde al uso del SUM por parte de la unidad funcional.
Rojo: corresponde a una multa relacionada con la mascota de la unidad funcional.                                                                                                                                                                                                 Marron: No presentacion de certificados.
Naranja: corresponde a una multa por estacionamiento indebido.                                                                                                                                                                                                                                             Azul: ruidos molestos.
Amarillo: arquitectura.
Negro: corresponde a multas por exceso de velocidad o por circular sin la protección correspondiente (por ejemplo, moto sin casco).
Verde: infraccion en ingreso de proveedores.                                                                                                                                                                                                                                                                                      Rosa: uso de espacios comunes indebido.                                                                                                                                                                                                                                                                                                                                                 Ante cualquier duda o consulta sobre los importes allí detallados, quedamos a disposición.</t>
  </si>
  <si>
    <t>Flow (Cuit: 30-63945373-8) - (Servicio de WIFI)</t>
  </si>
  <si>
    <t xml:space="preserve">Edesur (Cuit.: 30-65511652-1) -  Nro de cliente. 06107197 </t>
  </si>
  <si>
    <t>Edesur (Cuit.: 30-65511652-1) - Nro de cliente. 06107191</t>
  </si>
  <si>
    <t xml:space="preserve">Edesur (Cuit.: 30-65511652-1) - Nro de cliente. 06106720 </t>
  </si>
  <si>
    <t>Edesur (Cuit.: 30-65511652-1) - Nro de cliente. 06173661</t>
  </si>
  <si>
    <t>Edesur (Cuit.: 30-65511652-1) - Nro de cliente. 05640639</t>
  </si>
  <si>
    <t>Edesur (Cuit.: 30-65511652-1) - Nro de cliente. 06175642</t>
  </si>
  <si>
    <t>Edesur (Cuit.: 30-65511652-1) - Nro de cliente. 06174924</t>
  </si>
  <si>
    <t>Edesur (Cuit.: 30-65511652-1) - Nro de cliente. 06174929</t>
  </si>
  <si>
    <t>Edesur (Cuit.: 30-65511652-1) - Nro de cliente. 06174927</t>
  </si>
  <si>
    <t>Medizin Servicios - ProlijoLimp SA - COBRO EXPRESS BUENOS AIRES SA - Patricio Jose Delarrechea Muñoz - Pozzi</t>
  </si>
  <si>
    <t>Ingresos no identificados del mes</t>
  </si>
  <si>
    <t>Edesur (Cuit.: 30-65511652-1) - Nro de cliente. 0617284</t>
  </si>
  <si>
    <t>Primer Vencimiento:  16/10</t>
  </si>
  <si>
    <t xml:space="preserve">PERÍODO: SEPTIEMBRE </t>
  </si>
  <si>
    <t>Haberes mes de SEPTIEMBRE -  Maximiliano Abbruzzese</t>
  </si>
  <si>
    <t>Deducciones mes de SEPTIEMBRE</t>
  </si>
  <si>
    <t>Redondeo mes de SEPTIEMBRE</t>
  </si>
  <si>
    <t>ARCA - Mes de SEPTIEMBRE</t>
  </si>
  <si>
    <t>Sindicatos mes de SEPTIEMBRE</t>
  </si>
  <si>
    <t>Recicla Brown- CUIT: 30-71633401-1 - Servicio de recoleccion de residuos solidos urbanos SEPTIEMBRE</t>
  </si>
  <si>
    <t>Covelia SA - Recoleccion de ramas SEPTIEMBRE</t>
  </si>
  <si>
    <t>Honorarios administracion - Se adeuda mes de SEPTIEMBRE</t>
  </si>
  <si>
    <t>Grey Brick - Fc. 000000964 - Certificacion de pavimento correspondiente a AGOSTO</t>
  </si>
  <si>
    <t>Viviana papa pago de edesur: $154.772,08 el 16/09</t>
  </si>
  <si>
    <t>Transf 18/09</t>
  </si>
  <si>
    <t>Kromacolor - Fc. 00025303 - Foresta advance satinado oncoloro 4lts</t>
  </si>
  <si>
    <t>Transf 16/09</t>
  </si>
  <si>
    <t>Grey Brick - Fc. 000000967 - Bolson 1m3 arena y cemento en bolsa x 25kg</t>
  </si>
  <si>
    <t>Transf 11/09</t>
  </si>
  <si>
    <t>Edesur (Cuit.: 30-65511652-1)- Nro de cliente. 805172333</t>
  </si>
  <si>
    <t>Transf 14/09</t>
  </si>
  <si>
    <t>Bueno Silvina maillen - CUIT: 27348427100 - Fc. 00000009 - Servicios -  Descripcion de trabajos adjuntados en el Drive del mes</t>
  </si>
  <si>
    <t>Transf 15/09</t>
  </si>
  <si>
    <t>Teich Ezequiel - CUIT: 20384695494 - Fc. 0000006  - Tapas camaras</t>
  </si>
  <si>
    <t>Bueno Silvina maillen - CUIT: 27348427100 - Fc. 00000006 - Servicios -  Descripcion de trabajos adjuntados en el Drive del mes</t>
  </si>
  <si>
    <t>Galvan Zaffalon - CUIT: 27450656793 - Fc. 000052 - Por asistencia de guardia para regulacion de variador y calibracion de tablero de bomba pozo</t>
  </si>
  <si>
    <t>Servicio OMS - CUIT: 30715689339 - Fc. 003475 - Reparacion bomba motoarg DRT 2200</t>
  </si>
  <si>
    <t>Transf 07/09</t>
  </si>
  <si>
    <t>Servicio Polad - Mes de SEPTIEMBRE - Valor de la hora $7.703,9 + 10% aplicado por el ministerio de seguridad (744hs en total)</t>
  </si>
  <si>
    <t>Ramirez Francisco - Fc. 00000635 - Alquiler de volquetes - CUIT: 2040757602</t>
  </si>
  <si>
    <t>Debito 07/09</t>
  </si>
  <si>
    <t>Krayacich Matias - CUIT: 20228429725 - Fc. 000001425 - Mano de obra cerco electrico 2 sectores (Instalacion 400mts total)</t>
  </si>
  <si>
    <t>Transf 03/09</t>
  </si>
  <si>
    <t>Honorarios arquitectura - Srta. Burgos Oros Johanna Melanie - Fc. 00000107</t>
  </si>
  <si>
    <t>Servicios arquitectura - Srita. Melanie Burgos Oros - Lotes 48 - 68 - 86 - 155 - 105 - 106</t>
  </si>
  <si>
    <t>Tarazona Galvis Jose - CUIT: 20959176575 - Fc. 00000119 - Mano de obra de retiro de consertina de 400 metros e instalacion de cerco electrico</t>
  </si>
  <si>
    <t>Ramirez Francisco - Fc. 00000633- Alquiler de volquetes - CUIT: 2040757602</t>
  </si>
  <si>
    <t>Armella Cristian - CUIT: 20371419234 - Fc. 000000112 - Matenimiento espacios comunes</t>
  </si>
  <si>
    <t>Tovar Diego - CUIT: 20232051060 - Fc. 0000287 - Reparacion porton corredizo cableado botonera placa de comando y finales de carrera</t>
  </si>
  <si>
    <t>Palubinskas Fernando Nestor - Bidones de Agua cimes de 20lts - Fc. 00001516</t>
  </si>
  <si>
    <t>Axin (Cuit.: 30-70858249-9)  - Cuota 58/60 - Fc. 0000017656</t>
  </si>
  <si>
    <t>Axin (Cuit.: 30-70858249-9)  - Fc. 0000017656 - Plector facial PROFACE - Cuota 4/24</t>
  </si>
  <si>
    <t>Axin (Cuit.: 30-70858249-9)  - Fc. 0000017656 -   Instalacion proface Cuota 4/36</t>
  </si>
  <si>
    <t>Plegados del Sur - CUIT: 30718707583 -  Fc. 0000011 - Tapas camaras</t>
  </si>
  <si>
    <t>Covelia SA - Servicio de recoleccion de residuos domiciliarios correspondientes al mes de SEPTIEMBRE  - CUIT: 30707242961 - Fc. 000565</t>
  </si>
  <si>
    <t>Acudir - Fc. 00020028 - CUIT: 30708060980 - Servicios de emergencia obligatorio</t>
  </si>
  <si>
    <t>El imperio RYL - Fc. 0000016710 - Compra de articulos de limpieza</t>
  </si>
  <si>
    <t xml:space="preserve">Geo Fundaciones - CUIT: 30716712644 - Fc. 00000225 - Estudio de suelos </t>
  </si>
  <si>
    <t>Transf 09/09</t>
  </si>
  <si>
    <t>Transf 08/09</t>
  </si>
  <si>
    <t>Kromacolor - Fc. 000255174 - Foresta advance satinado oncoloro 4lts</t>
  </si>
  <si>
    <t xml:space="preserve">Ricardo Ospital - CUIT: 30541222800 - Fc. 0000065981 - Compra de solera, montante, tarugo, tornilos, masilla x15kg </t>
  </si>
  <si>
    <t>SGP - CUIT: 20316550259 - Fc. 000076 - Renovacion de tablero de luminarias de calle, reemplazo de componentes y cambio de gabinete - Reforma en tablero del SUM para que las luminarias se puedan encender sin necesidad de mianipular el tablero principal + Armado de tablero con 10 teclas para iluminacion</t>
  </si>
  <si>
    <t>ProemSud SRL - CUIT: 30708747331 - Fc. 00005662 - Mercaderias : compra panes de pasto</t>
  </si>
  <si>
    <t>CeoPint - Presupuesto nro. 0000200 - Compra de pinceles, rodillos, aguarras, lija al agua, esmalte sintetico, pintura, etc</t>
  </si>
  <si>
    <t>Debito 04/09</t>
  </si>
  <si>
    <t>Bueno Silvina maillen - CUIT: 27348427100 - Fc. 00000005 - Servicios -  Descripcion de trabajos adjuntados en el Drive del mes</t>
  </si>
  <si>
    <t>Transf 04/09</t>
  </si>
  <si>
    <t>GOLD (Cuit.: 33-71225773-9) - Fc.0000415 - (Servicio de Seguridad SEPTIEMBRE)</t>
  </si>
  <si>
    <t>Evento 10/08/2026 – 19:00 hs – UF 116</t>
  </si>
  <si>
    <t>Evento 23/08/2026 – 11:00 hs – UF 75</t>
  </si>
  <si>
    <t>Evento 29/08/2026 – 11:00 hs – UF 101</t>
  </si>
  <si>
    <t>Servicio OMS - CUIT: 30715689339 - Fc. 003441 - Cambio de filtro soplador Repicky R1000</t>
  </si>
  <si>
    <t xml:space="preserve">Servicio OMS - CUIT: 30715689339 - Fc. 003436 - (Abono mantenimiento planta de tratamiento) </t>
  </si>
  <si>
    <t>Axin (Cuit.: 30-70858249-9)  - Fc. 0000017656 - Instalacion de 2 lectores de tarjetas - Cuota 4/24</t>
  </si>
  <si>
    <t>RUMBO - CUIT: 23181438134 - Fc. 000034728 - Compra de cinta, perforadora, etc</t>
  </si>
  <si>
    <t>Debito 14/09</t>
  </si>
  <si>
    <t>Vazquez (Cuit.: 30-55987767-7)  (Prestación servicio de contenedores  + Servicio de descarga)  - Fc. 000000255</t>
  </si>
  <si>
    <t>Marigo Juan Pablo - CUIT: 20302016306 - Servicio de Higiene y seguridad - Fc. 0000000026</t>
  </si>
  <si>
    <t>Debito 15/09</t>
  </si>
  <si>
    <t>Terranova  Desarrolladora - Modificacion de pilares primera etapa solicitud de medidores - correspondientes a espacios comunes</t>
  </si>
  <si>
    <t>Bivertec SRL - CUIT: 30718548868 - Fc. 00050465 - 10 X Lija redonda cerámica mallada con velcro 125, sin empaste 100 -  Lijas redondas de cerámica mallada con velcro de 125 mm x 1 80 granos – pack de 10 + ENVIO</t>
  </si>
  <si>
    <t>Transf 17/09</t>
  </si>
  <si>
    <t>Debito 17/09</t>
  </si>
  <si>
    <t>Plegados del Sur - CUIT: 30718707583 -  Fc. 0000012 - Fabricación y pintura de cerco perimetral metálico: 11 columnas de 6,00 m — Perfil C negro 120x50x2 mm. 17 columnas de 7,00 m — Perfil C negro 120x50x2 mm. Travesaños horizontales de vinculación — Perfil C negro 80x40x1,6 mm. Empotramiento de columnas a 1,00 m bajo terreno, preparadas para llenado de hormigón. Pintura: antióxido + esmalte sintético (color a definir por el cliente). Inversión U$S 21.582,40 TIPO DE CAMBIO PROMEDIO COMPRA Y VENTA BANCO NACION AL MOMENTO DE LA OPERACION. Forma de pago 50% — Anticipo con aceptación (U$S 10791,20) 25% — A los 20 días según avance de obra (U$S 5.395,67) 25% — Contra finalización de obra (U$S 5.395,67) Plazo de ejecución 60 días corridos desde la recepción del anticipo y habilitación de acceso a obra. Condiciones Trabajos de lunes a viernes en horario diurno. El comitente garantizará acceso a obra y punto de energía eléctrica. Modificaciones al alcance serán presupuestadas como adicional. Plazos sujetos a condiciones climáticas, acceso y cumplimiento de pagos.</t>
  </si>
  <si>
    <t>GMD  - Mano de obra trabajo que se esta realizando sobre la calle Bradley</t>
  </si>
  <si>
    <t>TRANSPORTE Y FLETES - Presupuesto nro. 19 -  Flete para buscar el caucho de la cancha de futbol</t>
  </si>
  <si>
    <t>Ramirez Francisco - Fc. 00000638- Alquiler de volquetes - CUIT: 2040757602 - Corte de cañas trabajo calle Bradley y extraccion de arboles y podas en altura</t>
  </si>
  <si>
    <t>Armella Cristian - CUIT: 20371419234 - Fc. 000000116 - Extracciones y podas en altura Calle Bradley</t>
  </si>
  <si>
    <t>SGP - CUIT: 20316550259 - Fc. 000081 - Cambio llave de paso entrada principal casa 111 con adaptación de cañería para llave de bronce. 
Cambio de temporizador para la bomba de filtrado piscina - Desinstalación de 13 reflectores reja del fondo -  Se desinstaló completo todo el cableado.</t>
  </si>
  <si>
    <t>Transf 21/09</t>
  </si>
  <si>
    <t>Todo Seguridad Adrogue - CUIT: 20337421637 - Fc. 0000000449 - Cinta, Balon, Plug, etc</t>
  </si>
  <si>
    <t>Todo Seguridad Adrogue - CUIT: 20337421637 - Fc. 0000000452 - Cinta, Balon, Plug, etc</t>
  </si>
  <si>
    <t>Debito 22/09</t>
  </si>
  <si>
    <t>Sodimac - CUIT: 30655725829 - Compra pastina, ceramica - Arreglo SUM</t>
  </si>
  <si>
    <t>Transf 24/09</t>
  </si>
  <si>
    <t>Quintana Diego Martin - CUIT: 23238152119 - Fc.0000142 - Cambio polea plastica - 3 juegos de cable y mano de obra Gimnasio</t>
  </si>
  <si>
    <t>Servicio OMS - CUIT: 30715689339 - Fc. 003489 - Analisis de efluentes liquidos con cadena de custodia</t>
  </si>
  <si>
    <t>Servicio OMS - CUIT: 30715689339 - Fc. 003361 - Anticipo 50% - Retiro y limpieza co camion atmosferico</t>
  </si>
  <si>
    <t>Electro DRF - Fc. 0000048837 - CUIT: 30716213028 -   Cable taller, tubo rigido, grampas, tarugos y union para tubo</t>
  </si>
  <si>
    <t>Ramirez Francisco - Fc. 00000640- Alquiler de volquetes - CUIT: 2040757602 - - Corte de cañas trabajo calle Bradley y extraccion de arboles y podas en altura</t>
  </si>
  <si>
    <t>Bueno Silvina maillen - CUIT: 27348427100 - Fc. 00000010 - Servicios -  Descripcion de trabajos adjuntados en el Drive del mes</t>
  </si>
  <si>
    <t>Transf 25/09</t>
  </si>
  <si>
    <t>Debito 24/09</t>
  </si>
  <si>
    <t>Deposito ya identificado Mes anterior</t>
  </si>
  <si>
    <t>Punitorios mal cobrados</t>
  </si>
  <si>
    <t>Transf  28/09</t>
  </si>
  <si>
    <t>SGP - CUIT: 20316550259 - Fc. 000083 - Se realizaron trabajos de cambio de altura de termotanques Zoom, adaptación de cañería en termofusión y cambio de 4 llaves de paso. Reparación de llave de paso y conexión del lote 34. Amurado y reconexión de farola caída del lote 54. Reparación de cañería de alta presión con pozo y colocación de brida nueva. Reacondicionamiento de llave de paso principal del Zoom. Reemplazo de llave de paso de la rotonda 136. Pase de agua soterrado de asfalto y amurado de caño en rotonda del lote 45. Reemplazo de reflector del lote 146.</t>
  </si>
  <si>
    <t>El imperio RYL - Fc. 0000017351 - Compra de articulos de limpieza</t>
  </si>
  <si>
    <t>Transf 28/09</t>
  </si>
  <si>
    <t>PAYMENTS GROUP SA - Micaela agustina echeverria</t>
  </si>
  <si>
    <t>Deposito 14/09</t>
  </si>
  <si>
    <t>Ferreteria Rex  - CUIT: 27164125136 - 24/09 - Lijas</t>
  </si>
  <si>
    <t>Compra de cintas  - 09/09</t>
  </si>
  <si>
    <t>Transf 29/08</t>
  </si>
  <si>
    <t>Krayacich Matias - CUIT: 20228429725 - Fc. 000001447 - Se realizó el análisis de la topología de nodos de fibra óptica y la resolución del conflicto de IP duplicada en un nodo, junto con el borrado y re-agregado de 43 cámaras distribuidas en 4 monitores de dos puestos de vigilancia. Además, se actualizó el firmware de 2 dispositivos NVR, se configuró la actualización automática de fecha y hora en todos los DVR/NVR, se reemplazó una cámara analógica por una IP en el Puesto 2 y se reordenaron los puntos de conectividad en el armario bajo escritorio del Puesto 1 (utilizando materiales provistos por el cliente).</t>
  </si>
  <si>
    <t>Tarazona Galvis Jose - CUIT: 2095917657 - Fc. 00000120 - Relevamiento y puesta en valor del sistema de videovigilancia de Brisas de Adrogué. Total: 24 cámaras reparadas, incluyendo reemplazo de 6 cámaras quemadas, reemplazo de 7 cámaras con lente quemado por dentro, cambio de 4 fuentes de alimentación y reparación de 7 cámaras por distintas fallas, incluyendo cambio de cajas estancas deterioradas/inundadas, cambio de video balun, plug de tensión y fichas de alimentación de 220V para las fuentes de las cámaras. El material de reparación fue provisto por Brisas de Adrogué.</t>
  </si>
  <si>
    <t xml:space="preserve">Alonso Bado - Alquiler de vehiculo electrico - Fc. - CUIT: 20138813232 </t>
  </si>
  <si>
    <t>Todo Seguridad Adrogue - CUIT: 20337421637 - Fc. 0000000453 - Cinta, Balon, Plug, Fuente12V, etc</t>
  </si>
  <si>
    <t>Debito 28/09</t>
  </si>
  <si>
    <t>Retiro a caja efectivo</t>
  </si>
  <si>
    <t>Retiro bancario - 28/09</t>
  </si>
  <si>
    <t xml:space="preserve">Ramirez Francisco - Fc. 00000643- Alquiler de volquetes - CUIT: 2040757602 </t>
  </si>
  <si>
    <t>Transf 30/09</t>
  </si>
  <si>
    <t>Rescate 04/09</t>
  </si>
  <si>
    <t>Egreso 11/09 a FCI</t>
  </si>
  <si>
    <t>Ingreso 11/09</t>
  </si>
  <si>
    <t>Egreso 22/09 a FCI</t>
  </si>
  <si>
    <t>Ingreso 22/09</t>
  </si>
  <si>
    <t>Edesur (Cuit.: 30-65511652-1) - Nro de cliente. 06107205</t>
  </si>
  <si>
    <t>Transf 01/09</t>
  </si>
  <si>
    <t>Debito 02/09</t>
  </si>
  <si>
    <t>Mula mal cobrada</t>
  </si>
  <si>
    <t>Deposito el 01/10 $151.500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</si>
</sst>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_-[$$-2C0A]\ * #,##0.0_-;\-[$$-2C0A]\ * #,##0.0_-;_-[$$-2C0A]\ * &quot;-&quot;??_-;_-@_-"/>
    <numFmt numFmtId="170" formatCode="#,##0.00_ ;[Red]\-#,##0.00\ "/>
    <numFmt numFmtId="171" formatCode="_-&quot;$&quot;\ * #,##0.00_-;\-&quot;$&quot;\ * #,##0.00_-;_-&quot;$&quot;\ * &quot;-&quot;?_-;_-@_-"/>
    <numFmt numFmtId="172" formatCode="&quot;$&quot;\ #,##0.0;[Red]\-&quot;$&quot;\ #,##0.0"/>
    <numFmt numFmtId="173" formatCode="_-[$$-409]* #,##0.00_ ;_-[$$-409]* \-#,##0.00\ ;_-[$$-409]* &quot;-&quot;??_ ;_-@_ "/>
    <numFmt numFmtId="174" formatCode="_-* #,##0.00\ _€_-;\-* #,##0.00\ _€_-;_-* &quot;-&quot;??\ _€_-;_-@_-"/>
  </numFmts>
  <fonts count="27"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i/>
      <sz val="11"/>
      <name val="Calibri"/>
      <family val="2"/>
      <scheme val="minor"/>
    </font>
    <font>
      <sz val="8"/>
      <name val="Calibri"/>
      <family val="2"/>
      <scheme val="minor"/>
    </font>
    <font>
      <b/>
      <i/>
      <u/>
      <sz val="10"/>
      <name val="Calibri"/>
      <family val="2"/>
      <scheme val="minor"/>
    </font>
    <font>
      <sz val="10"/>
      <name val="Calibri"/>
      <family val="2"/>
      <scheme val="minor"/>
    </font>
    <font>
      <u/>
      <sz val="11"/>
      <color theme="10"/>
      <name val="Calibri"/>
      <family val="2"/>
      <scheme val="minor"/>
    </font>
    <font>
      <b/>
      <u/>
      <sz val="11"/>
      <name val="Calibri"/>
      <family val="2"/>
      <scheme val="minor"/>
    </font>
    <font>
      <b/>
      <sz val="12"/>
      <name val="Calibri"/>
      <family val="2"/>
      <scheme val="minor"/>
    </font>
    <font>
      <b/>
      <sz val="10"/>
      <color theme="0"/>
      <name val="Calibri"/>
      <family val="2"/>
      <scheme val="minor"/>
    </font>
    <font>
      <b/>
      <sz val="16"/>
      <name val="Calibri"/>
      <family val="2"/>
      <scheme val="minor"/>
    </font>
    <font>
      <b/>
      <sz val="16"/>
      <color theme="1"/>
      <name val="Calibri"/>
      <family val="2"/>
      <scheme val="minor"/>
    </font>
    <font>
      <b/>
      <sz val="11"/>
      <color rgb="FFFF0000"/>
      <name val="Calibri"/>
      <family val="2"/>
      <scheme val="minor"/>
    </font>
  </fonts>
  <fills count="3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8"/>
        <bgColor indexed="64"/>
      </patternFill>
    </fill>
    <fill>
      <patternFill patternType="solid">
        <fgColor theme="6" tint="-0.249977111117893"/>
        <bgColor indexed="64"/>
      </patternFill>
    </fill>
    <fill>
      <patternFill patternType="solid">
        <fgColor theme="9"/>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rgb="FFFFFF99"/>
        <bgColor indexed="64"/>
      </patternFill>
    </fill>
    <fill>
      <patternFill patternType="solid">
        <fgColor theme="9" tint="0.39997558519241921"/>
        <bgColor indexed="64"/>
      </patternFill>
    </fill>
    <fill>
      <patternFill patternType="solid">
        <fgColor rgb="FFFF00FF"/>
        <bgColor indexed="64"/>
      </patternFill>
    </fill>
    <fill>
      <patternFill patternType="solid">
        <fgColor theme="2" tint="-0.499984740745262"/>
        <bgColor indexed="64"/>
      </patternFill>
    </fill>
    <fill>
      <patternFill patternType="solid">
        <fgColor rgb="FFFD95DD"/>
        <bgColor indexed="64"/>
      </patternFill>
    </fill>
    <fill>
      <patternFill patternType="solid">
        <fgColor theme="7"/>
        <bgColor indexed="64"/>
      </patternFill>
    </fill>
    <fill>
      <patternFill patternType="solid">
        <fgColor rgb="FF336699"/>
        <bgColor indexed="64"/>
      </patternFill>
    </fill>
    <fill>
      <patternFill patternType="solid">
        <fgColor theme="6"/>
        <bgColor indexed="64"/>
      </patternFill>
    </fill>
    <fill>
      <patternFill patternType="solid">
        <fgColor theme="5"/>
        <bgColor indexed="64"/>
      </patternFill>
    </fill>
    <fill>
      <patternFill patternType="solid">
        <fgColor rgb="FF00FF00"/>
        <bgColor indexed="64"/>
      </patternFill>
    </fill>
    <fill>
      <patternFill patternType="solid">
        <fgColor rgb="FF666633"/>
        <bgColor indexed="64"/>
      </patternFill>
    </fill>
    <fill>
      <patternFill patternType="solid">
        <fgColor rgb="FF92D050"/>
        <bgColor indexed="64"/>
      </patternFill>
    </fill>
    <fill>
      <patternFill patternType="solid">
        <fgColor rgb="FF00B0F0"/>
        <bgColor indexed="64"/>
      </patternFill>
    </fill>
    <fill>
      <patternFill patternType="solid">
        <fgColor rgb="FFCCFFCC"/>
        <bgColor indexed="64"/>
      </patternFill>
    </fill>
    <fill>
      <patternFill patternType="solid">
        <fgColor theme="3"/>
        <bgColor indexed="64"/>
      </patternFill>
    </fill>
    <fill>
      <patternFill patternType="solid">
        <fgColor theme="5" tint="0.39997558519241921"/>
        <bgColor indexed="64"/>
      </patternFill>
    </fill>
    <fill>
      <patternFill patternType="solid">
        <fgColor rgb="FFFF0000"/>
        <bgColor indexed="64"/>
      </patternFill>
    </fill>
    <fill>
      <patternFill patternType="solid">
        <fgColor rgb="FF0070C0"/>
        <bgColor indexed="64"/>
      </patternFill>
    </fill>
    <fill>
      <patternFill patternType="solid">
        <fgColor theme="6" tint="0.39997558519241921"/>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5">
    <xf numFmtId="0" fontId="0" fillId="0" borderId="0"/>
    <xf numFmtId="44" fontId="1" fillId="0" borderId="0" applyFont="0" applyFill="0" applyBorder="0" applyAlignment="0" applyProtection="0"/>
    <xf numFmtId="164" fontId="1" fillId="0" borderId="0" applyFont="0" applyFill="0" applyBorder="0" applyAlignment="0" applyProtection="0"/>
    <xf numFmtId="0" fontId="20" fillId="0" borderId="0" applyNumberFormat="0" applyFill="0" applyBorder="0" applyAlignment="0" applyProtection="0"/>
    <xf numFmtId="43" fontId="1" fillId="0" borderId="0" applyFont="0" applyFill="0" applyBorder="0" applyAlignment="0" applyProtection="0"/>
  </cellStyleXfs>
  <cellXfs count="382">
    <xf numFmtId="0" fontId="0" fillId="0" borderId="0" xfId="0"/>
    <xf numFmtId="0" fontId="0" fillId="3" borderId="0" xfId="0" applyFill="1"/>
    <xf numFmtId="0" fontId="0" fillId="0" borderId="5" xfId="0" applyBorder="1"/>
    <xf numFmtId="8" fontId="0" fillId="0" borderId="0" xfId="0" applyNumberFormat="1"/>
    <xf numFmtId="164" fontId="3" fillId="0" borderId="0" xfId="0" applyNumberFormat="1" applyFont="1"/>
    <xf numFmtId="4" fontId="5" fillId="0" borderId="0" xfId="0" applyNumberFormat="1" applyFont="1"/>
    <xf numFmtId="0" fontId="5" fillId="0" borderId="1" xfId="0" applyFont="1" applyBorder="1" applyAlignment="1">
      <alignment vertical="center" wrapText="1"/>
    </xf>
    <xf numFmtId="0" fontId="10" fillId="4" borderId="1" xfId="0" applyFont="1" applyFill="1" applyBorder="1"/>
    <xf numFmtId="0" fontId="6" fillId="4" borderId="1" xfId="0" applyFont="1" applyFill="1" applyBorder="1"/>
    <xf numFmtId="0" fontId="0" fillId="0" borderId="0" xfId="0" applyAlignment="1">
      <alignment wrapText="1"/>
    </xf>
    <xf numFmtId="44" fontId="0" fillId="0" borderId="0" xfId="1" applyFont="1"/>
    <xf numFmtId="0" fontId="7" fillId="2" borderId="0" xfId="0" applyFont="1" applyFill="1"/>
    <xf numFmtId="44" fontId="0" fillId="0" borderId="0" xfId="0" applyNumberFormat="1"/>
    <xf numFmtId="0" fontId="8" fillId="6" borderId="0" xfId="0" applyFont="1" applyFill="1"/>
    <xf numFmtId="44" fontId="8" fillId="6" borderId="0" xfId="1" applyFont="1" applyFill="1"/>
    <xf numFmtId="0" fontId="13" fillId="2" borderId="1" xfId="0" applyFont="1" applyFill="1" applyBorder="1"/>
    <xf numFmtId="0" fontId="13" fillId="0" borderId="1" xfId="0" applyFont="1" applyBorder="1"/>
    <xf numFmtId="44" fontId="9" fillId="4" borderId="1" xfId="1" applyFont="1" applyFill="1" applyBorder="1"/>
    <xf numFmtId="0" fontId="13" fillId="9" borderId="20" xfId="0" applyFont="1" applyFill="1" applyBorder="1"/>
    <xf numFmtId="0" fontId="4" fillId="0" borderId="1" xfId="0" applyFont="1" applyBorder="1"/>
    <xf numFmtId="0" fontId="4" fillId="10" borderId="1" xfId="0" applyFont="1" applyFill="1" applyBorder="1"/>
    <xf numFmtId="44" fontId="18" fillId="4" borderId="3" xfId="1" applyFont="1" applyFill="1" applyBorder="1"/>
    <xf numFmtId="44" fontId="19" fillId="4" borderId="3" xfId="1" applyFont="1" applyFill="1" applyBorder="1"/>
    <xf numFmtId="0" fontId="19" fillId="0" borderId="1" xfId="1" applyNumberFormat="1" applyFont="1" applyBorder="1" applyAlignment="1">
      <alignment horizontal="left"/>
    </xf>
    <xf numFmtId="44" fontId="9" fillId="4" borderId="13" xfId="1" applyFont="1" applyFill="1" applyBorder="1"/>
    <xf numFmtId="44" fontId="19" fillId="2" borderId="1" xfId="1" applyFont="1" applyFill="1" applyBorder="1"/>
    <xf numFmtId="44" fontId="19" fillId="2" borderId="3" xfId="1" applyFont="1" applyFill="1" applyBorder="1"/>
    <xf numFmtId="0" fontId="4" fillId="0" borderId="0" xfId="0" applyFont="1"/>
    <xf numFmtId="44" fontId="8" fillId="6" borderId="0" xfId="0" applyNumberFormat="1" applyFont="1" applyFill="1"/>
    <xf numFmtId="0" fontId="5" fillId="0" borderId="1" xfId="0" applyFont="1" applyBorder="1" applyAlignment="1">
      <alignment horizontal="left" vertical="center" wrapText="1"/>
    </xf>
    <xf numFmtId="0" fontId="0" fillId="2" borderId="0" xfId="0" applyFill="1"/>
    <xf numFmtId="166" fontId="0" fillId="0" borderId="0" xfId="0" applyNumberFormat="1"/>
    <xf numFmtId="167" fontId="0" fillId="0" borderId="0" xfId="0" applyNumberFormat="1"/>
    <xf numFmtId="44" fontId="6" fillId="7" borderId="1" xfId="1" applyFont="1" applyFill="1" applyBorder="1"/>
    <xf numFmtId="43" fontId="0" fillId="0" borderId="0" xfId="0" applyNumberFormat="1"/>
    <xf numFmtId="165" fontId="0" fillId="0" borderId="0" xfId="0" applyNumberFormat="1"/>
    <xf numFmtId="44" fontId="4" fillId="0" borderId="1" xfId="1" applyFont="1" applyBorder="1"/>
    <xf numFmtId="0" fontId="4" fillId="11" borderId="1" xfId="0" applyFont="1" applyFill="1" applyBorder="1"/>
    <xf numFmtId="0" fontId="10" fillId="12" borderId="1" xfId="0" applyFont="1" applyFill="1" applyBorder="1"/>
    <xf numFmtId="0" fontId="4" fillId="13" borderId="15" xfId="0" applyFont="1" applyFill="1" applyBorder="1"/>
    <xf numFmtId="44" fontId="6" fillId="12" borderId="20" xfId="1" applyFont="1" applyFill="1" applyBorder="1"/>
    <xf numFmtId="165" fontId="6" fillId="12" borderId="2" xfId="1" applyNumberFormat="1" applyFont="1" applyFill="1" applyBorder="1"/>
    <xf numFmtId="0" fontId="6" fillId="5" borderId="8" xfId="0" applyFont="1" applyFill="1" applyBorder="1"/>
    <xf numFmtId="0" fontId="19" fillId="0" borderId="1" xfId="0" applyFont="1" applyBorder="1"/>
    <xf numFmtId="0" fontId="4" fillId="14" borderId="12" xfId="0" applyFont="1" applyFill="1" applyBorder="1"/>
    <xf numFmtId="0" fontId="4" fillId="14" borderId="15" xfId="0" applyFont="1" applyFill="1" applyBorder="1"/>
    <xf numFmtId="165" fontId="17" fillId="2" borderId="1" xfId="0" applyNumberFormat="1" applyFont="1" applyFill="1" applyBorder="1"/>
    <xf numFmtId="0" fontId="7" fillId="0" borderId="0" xfId="0" applyFont="1"/>
    <xf numFmtId="0" fontId="0" fillId="2" borderId="12" xfId="0" applyFill="1" applyBorder="1"/>
    <xf numFmtId="0" fontId="20" fillId="0" borderId="0" xfId="3"/>
    <xf numFmtId="0" fontId="0" fillId="2" borderId="17" xfId="0" applyFill="1" applyBorder="1" applyAlignment="1">
      <alignment horizontal="center"/>
    </xf>
    <xf numFmtId="0" fontId="0" fillId="2" borderId="17" xfId="0" applyFill="1" applyBorder="1"/>
    <xf numFmtId="44" fontId="0" fillId="0" borderId="0" xfId="1" applyFont="1" applyBorder="1"/>
    <xf numFmtId="0" fontId="0" fillId="0" borderId="1" xfId="0" applyBorder="1" applyAlignment="1">
      <alignment horizontal="left" vertical="center" wrapText="1"/>
    </xf>
    <xf numFmtId="0" fontId="21" fillId="4" borderId="1" xfId="0" applyFont="1" applyFill="1" applyBorder="1"/>
    <xf numFmtId="44" fontId="2" fillId="15" borderId="15" xfId="1" applyFont="1" applyFill="1" applyBorder="1"/>
    <xf numFmtId="165" fontId="13" fillId="2" borderId="1" xfId="1" applyNumberFormat="1" applyFont="1" applyFill="1" applyBorder="1"/>
    <xf numFmtId="0" fontId="2" fillId="0" borderId="1" xfId="0" applyFont="1" applyBorder="1"/>
    <xf numFmtId="44" fontId="2" fillId="0" borderId="1" xfId="1" applyFont="1" applyBorder="1"/>
    <xf numFmtId="0" fontId="2" fillId="16" borderId="1" xfId="0" applyFont="1" applyFill="1" applyBorder="1"/>
    <xf numFmtId="44" fontId="2" fillId="16" borderId="1" xfId="1" applyFont="1" applyFill="1" applyBorder="1"/>
    <xf numFmtId="170" fontId="0" fillId="0" borderId="0" xfId="0" applyNumberFormat="1"/>
    <xf numFmtId="44" fontId="0" fillId="2" borderId="0" xfId="0" applyNumberFormat="1" applyFill="1"/>
    <xf numFmtId="171" fontId="0" fillId="0" borderId="0" xfId="0" applyNumberFormat="1"/>
    <xf numFmtId="44" fontId="19" fillId="2" borderId="1" xfId="1" applyFont="1" applyFill="1" applyBorder="1" applyAlignment="1">
      <alignment wrapText="1"/>
    </xf>
    <xf numFmtId="0" fontId="19" fillId="2" borderId="1" xfId="1" applyNumberFormat="1" applyFont="1" applyFill="1" applyBorder="1" applyAlignment="1"/>
    <xf numFmtId="44" fontId="19" fillId="0" borderId="1" xfId="1" applyFont="1" applyBorder="1" applyAlignment="1"/>
    <xf numFmtId="44" fontId="19" fillId="0" borderId="3" xfId="1" applyFont="1" applyBorder="1" applyAlignment="1"/>
    <xf numFmtId="0" fontId="6" fillId="10" borderId="1" xfId="0" applyFont="1" applyFill="1" applyBorder="1"/>
    <xf numFmtId="166" fontId="6" fillId="12" borderId="20" xfId="1" applyNumberFormat="1" applyFont="1" applyFill="1" applyBorder="1"/>
    <xf numFmtId="172" fontId="6" fillId="12" borderId="20" xfId="1" applyNumberFormat="1" applyFont="1" applyFill="1" applyBorder="1"/>
    <xf numFmtId="166" fontId="6" fillId="11" borderId="1" xfId="1" applyNumberFormat="1" applyFont="1" applyFill="1" applyBorder="1"/>
    <xf numFmtId="166" fontId="6" fillId="12" borderId="19" xfId="1" applyNumberFormat="1" applyFont="1" applyFill="1" applyBorder="1"/>
    <xf numFmtId="44" fontId="19" fillId="2" borderId="3" xfId="1" applyFont="1" applyFill="1" applyBorder="1" applyAlignment="1"/>
    <xf numFmtId="168" fontId="0" fillId="0" borderId="0" xfId="0" applyNumberFormat="1"/>
    <xf numFmtId="43" fontId="17" fillId="2" borderId="1" xfId="1" applyNumberFormat="1" applyFont="1" applyFill="1" applyBorder="1"/>
    <xf numFmtId="0" fontId="0" fillId="2" borderId="1" xfId="0" applyFill="1" applyBorder="1" applyAlignment="1">
      <alignment horizontal="left" vertical="center" wrapText="1"/>
    </xf>
    <xf numFmtId="0" fontId="6" fillId="0" borderId="0" xfId="0" applyFont="1"/>
    <xf numFmtId="0" fontId="6" fillId="5" borderId="14" xfId="0" applyFont="1" applyFill="1" applyBorder="1"/>
    <xf numFmtId="0" fontId="6" fillId="5" borderId="12" xfId="0" applyFont="1" applyFill="1" applyBorder="1"/>
    <xf numFmtId="10" fontId="6" fillId="5" borderId="12" xfId="0" applyNumberFormat="1" applyFont="1" applyFill="1" applyBorder="1"/>
    <xf numFmtId="0" fontId="4" fillId="5" borderId="12" xfId="0" applyFont="1" applyFill="1" applyBorder="1"/>
    <xf numFmtId="0" fontId="4" fillId="5" borderId="15" xfId="0" applyFont="1" applyFill="1" applyBorder="1"/>
    <xf numFmtId="0" fontId="16" fillId="10" borderId="1" xfId="0" applyFont="1" applyFill="1" applyBorder="1"/>
    <xf numFmtId="0" fontId="6" fillId="12" borderId="1" xfId="0" applyFont="1" applyFill="1" applyBorder="1"/>
    <xf numFmtId="0" fontId="4" fillId="0" borderId="1" xfId="0" applyFont="1" applyBorder="1" applyAlignment="1">
      <alignment vertical="center" wrapText="1"/>
    </xf>
    <xf numFmtId="0" fontId="4" fillId="2" borderId="1" xfId="0" applyFont="1" applyFill="1" applyBorder="1"/>
    <xf numFmtId="0" fontId="4" fillId="4" borderId="1" xfId="0" applyFont="1" applyFill="1" applyBorder="1"/>
    <xf numFmtId="0" fontId="4" fillId="12" borderId="1" xfId="0" applyFont="1" applyFill="1" applyBorder="1"/>
    <xf numFmtId="0" fontId="4" fillId="0" borderId="7" xfId="0" applyFont="1" applyBorder="1" applyAlignment="1">
      <alignment wrapText="1"/>
    </xf>
    <xf numFmtId="16" fontId="19" fillId="0" borderId="1" xfId="0" applyNumberFormat="1" applyFont="1" applyBorder="1"/>
    <xf numFmtId="0" fontId="6" fillId="4" borderId="1" xfId="0" applyFont="1" applyFill="1" applyBorder="1" applyAlignment="1">
      <alignment wrapText="1"/>
    </xf>
    <xf numFmtId="0" fontId="6" fillId="12" borderId="3" xfId="0" applyFont="1" applyFill="1" applyBorder="1"/>
    <xf numFmtId="0" fontId="6" fillId="12" borderId="4" xfId="0" applyFont="1" applyFill="1" applyBorder="1"/>
    <xf numFmtId="0" fontId="6" fillId="5" borderId="24" xfId="0" applyFont="1" applyFill="1" applyBorder="1"/>
    <xf numFmtId="10" fontId="6" fillId="5" borderId="8" xfId="0" applyNumberFormat="1" applyFont="1" applyFill="1" applyBorder="1"/>
    <xf numFmtId="0" fontId="6" fillId="11" borderId="1" xfId="0" applyFont="1" applyFill="1" applyBorder="1"/>
    <xf numFmtId="0" fontId="6" fillId="13" borderId="14" xfId="0" applyFont="1" applyFill="1" applyBorder="1"/>
    <xf numFmtId="0" fontId="6" fillId="13" borderId="12" xfId="0" applyFont="1" applyFill="1" applyBorder="1"/>
    <xf numFmtId="10" fontId="6" fillId="13" borderId="12" xfId="0" applyNumberFormat="1" applyFont="1" applyFill="1" applyBorder="1"/>
    <xf numFmtId="0" fontId="6" fillId="13" borderId="9" xfId="0" applyFont="1" applyFill="1" applyBorder="1"/>
    <xf numFmtId="0" fontId="6" fillId="13" borderId="26" xfId="0" applyFont="1" applyFill="1" applyBorder="1"/>
    <xf numFmtId="0" fontId="6" fillId="13" borderId="23" xfId="0" applyFont="1" applyFill="1" applyBorder="1"/>
    <xf numFmtId="165" fontId="6" fillId="13" borderId="27" xfId="0" applyNumberFormat="1" applyFont="1" applyFill="1" applyBorder="1"/>
    <xf numFmtId="0" fontId="6" fillId="14" borderId="14" xfId="0" applyFont="1" applyFill="1" applyBorder="1"/>
    <xf numFmtId="0" fontId="6" fillId="14" borderId="12" xfId="0" applyFont="1" applyFill="1" applyBorder="1"/>
    <xf numFmtId="10" fontId="6" fillId="14" borderId="12" xfId="0" applyNumberFormat="1" applyFont="1" applyFill="1" applyBorder="1"/>
    <xf numFmtId="44" fontId="5" fillId="6" borderId="3" xfId="1" applyFont="1" applyFill="1" applyBorder="1"/>
    <xf numFmtId="0" fontId="8" fillId="15" borderId="14" xfId="0" applyFont="1" applyFill="1" applyBorder="1"/>
    <xf numFmtId="0" fontId="8" fillId="15" borderId="24" xfId="0" applyFont="1" applyFill="1" applyBorder="1"/>
    <xf numFmtId="0" fontId="2" fillId="0" borderId="0" xfId="0" applyFont="1"/>
    <xf numFmtId="44" fontId="2" fillId="0" borderId="0" xfId="1" applyFont="1"/>
    <xf numFmtId="0" fontId="0" fillId="0" borderId="28" xfId="0" applyBorder="1"/>
    <xf numFmtId="44" fontId="0" fillId="0" borderId="29" xfId="1" applyFont="1" applyBorder="1"/>
    <xf numFmtId="0" fontId="2" fillId="17" borderId="13" xfId="0" applyFont="1" applyFill="1" applyBorder="1"/>
    <xf numFmtId="44" fontId="2" fillId="17" borderId="13" xfId="1" applyFont="1" applyFill="1" applyBorder="1"/>
    <xf numFmtId="0" fontId="23" fillId="6" borderId="0" xfId="0" applyFont="1" applyFill="1"/>
    <xf numFmtId="0" fontId="5" fillId="7" borderId="1" xfId="0" applyFont="1" applyFill="1" applyBorder="1"/>
    <xf numFmtId="0" fontId="3" fillId="0" borderId="0" xfId="0" applyFont="1"/>
    <xf numFmtId="0" fontId="5" fillId="0" borderId="1" xfId="0" applyFont="1" applyBorder="1" applyAlignment="1">
      <alignment horizontal="left" vertical="center"/>
    </xf>
    <xf numFmtId="44" fontId="0" fillId="2" borderId="1" xfId="1" applyFont="1" applyFill="1" applyBorder="1"/>
    <xf numFmtId="44" fontId="4" fillId="14" borderId="1" xfId="1" applyFont="1" applyFill="1" applyBorder="1"/>
    <xf numFmtId="166" fontId="6" fillId="12" borderId="2" xfId="1" applyNumberFormat="1" applyFont="1" applyFill="1" applyBorder="1"/>
    <xf numFmtId="166" fontId="0" fillId="2" borderId="0" xfId="0" applyNumberFormat="1" applyFill="1"/>
    <xf numFmtId="167" fontId="0" fillId="2" borderId="0" xfId="0" applyNumberFormat="1" applyFill="1"/>
    <xf numFmtId="44" fontId="2" fillId="18" borderId="13" xfId="1" applyFont="1" applyFill="1" applyBorder="1"/>
    <xf numFmtId="0" fontId="6" fillId="18" borderId="13" xfId="0" applyFont="1" applyFill="1" applyBorder="1" applyAlignment="1">
      <alignment horizontal="left" vertical="center" wrapText="1"/>
    </xf>
    <xf numFmtId="166" fontId="6" fillId="5" borderId="25" xfId="0" applyNumberFormat="1" applyFont="1" applyFill="1" applyBorder="1"/>
    <xf numFmtId="169" fontId="22" fillId="3" borderId="0" xfId="0" applyNumberFormat="1" applyFont="1" applyFill="1"/>
    <xf numFmtId="44" fontId="19" fillId="2" borderId="3" xfId="1" applyFont="1" applyFill="1" applyBorder="1" applyAlignment="1">
      <alignment wrapText="1"/>
    </xf>
    <xf numFmtId="8" fontId="0" fillId="2" borderId="0" xfId="0" applyNumberFormat="1" applyFill="1"/>
    <xf numFmtId="0" fontId="9" fillId="2" borderId="0" xfId="0" applyFont="1" applyFill="1" applyAlignment="1">
      <alignment vertical="center"/>
    </xf>
    <xf numFmtId="44" fontId="6" fillId="2" borderId="1" xfId="1" applyFont="1" applyFill="1" applyBorder="1" applyAlignment="1">
      <alignment vertical="center"/>
    </xf>
    <xf numFmtId="4" fontId="0" fillId="0" borderId="0" xfId="0" applyNumberFormat="1" applyAlignment="1">
      <alignment vertical="center"/>
    </xf>
    <xf numFmtId="0" fontId="0" fillId="0" borderId="0" xfId="0" applyAlignment="1">
      <alignment vertical="center"/>
    </xf>
    <xf numFmtId="44" fontId="0" fillId="0" borderId="0" xfId="0" applyNumberFormat="1" applyAlignment="1">
      <alignment vertical="center"/>
    </xf>
    <xf numFmtId="0" fontId="5" fillId="0" borderId="1" xfId="0" applyFont="1" applyBorder="1" applyAlignment="1">
      <alignment vertical="center"/>
    </xf>
    <xf numFmtId="44" fontId="3" fillId="2" borderId="1" xfId="1" applyFont="1" applyFill="1" applyBorder="1" applyAlignment="1">
      <alignment vertical="center"/>
    </xf>
    <xf numFmtId="164" fontId="3" fillId="0" borderId="0" xfId="0" applyNumberFormat="1" applyFont="1" applyAlignment="1">
      <alignment vertical="center"/>
    </xf>
    <xf numFmtId="44" fontId="12" fillId="2" borderId="1" xfId="1" applyFont="1" applyFill="1" applyBorder="1" applyAlignment="1">
      <alignment vertical="center"/>
    </xf>
    <xf numFmtId="44" fontId="0" fillId="0" borderId="0" xfId="1" applyFont="1" applyAlignment="1">
      <alignment vertical="center"/>
    </xf>
    <xf numFmtId="43" fontId="0" fillId="0" borderId="0" xfId="0" applyNumberFormat="1" applyAlignment="1">
      <alignment vertical="center"/>
    </xf>
    <xf numFmtId="0" fontId="13" fillId="21" borderId="1" xfId="0" applyFont="1" applyFill="1" applyBorder="1"/>
    <xf numFmtId="0" fontId="13" fillId="20" borderId="1" xfId="0" applyFont="1" applyFill="1" applyBorder="1"/>
    <xf numFmtId="0" fontId="13" fillId="22" borderId="1" xfId="0" applyFont="1" applyFill="1" applyBorder="1"/>
    <xf numFmtId="0" fontId="13" fillId="19" borderId="1" xfId="0" applyFont="1" applyFill="1" applyBorder="1"/>
    <xf numFmtId="0" fontId="13" fillId="9" borderId="1" xfId="0" applyFont="1" applyFill="1" applyBorder="1"/>
    <xf numFmtId="0" fontId="13" fillId="8" borderId="1" xfId="0" applyFont="1" applyFill="1" applyBorder="1"/>
    <xf numFmtId="169" fontId="22" fillId="3" borderId="0" xfId="1" applyNumberFormat="1" applyFont="1" applyFill="1" applyAlignment="1">
      <alignment horizontal="center"/>
    </xf>
    <xf numFmtId="169" fontId="22" fillId="3" borderId="0" xfId="1" applyNumberFormat="1" applyFont="1" applyFill="1" applyBorder="1" applyAlignment="1">
      <alignment horizontal="center" vertical="center"/>
    </xf>
    <xf numFmtId="44" fontId="17" fillId="0" borderId="2" xfId="1" applyFont="1" applyBorder="1"/>
    <xf numFmtId="0" fontId="4" fillId="0" borderId="2" xfId="0" applyFont="1" applyBorder="1"/>
    <xf numFmtId="0" fontId="13" fillId="23" borderId="3" xfId="0" applyFont="1" applyFill="1" applyBorder="1"/>
    <xf numFmtId="0" fontId="4" fillId="0" borderId="1" xfId="0" applyFont="1" applyBorder="1" applyAlignment="1">
      <alignment vertical="center"/>
    </xf>
    <xf numFmtId="8" fontId="17" fillId="2" borderId="3" xfId="4" applyNumberFormat="1" applyFont="1" applyFill="1" applyBorder="1"/>
    <xf numFmtId="8" fontId="17" fillId="2" borderId="1" xfId="4" applyNumberFormat="1" applyFont="1" applyFill="1" applyBorder="1"/>
    <xf numFmtId="8" fontId="17" fillId="2" borderId="1" xfId="1" applyNumberFormat="1" applyFont="1" applyFill="1" applyBorder="1"/>
    <xf numFmtId="44" fontId="0" fillId="2" borderId="29" xfId="1" applyFont="1" applyFill="1" applyBorder="1"/>
    <xf numFmtId="44" fontId="17" fillId="2" borderId="1" xfId="1" applyFont="1" applyFill="1" applyBorder="1"/>
    <xf numFmtId="8" fontId="16" fillId="10" borderId="1" xfId="0" applyNumberFormat="1" applyFont="1" applyFill="1" applyBorder="1"/>
    <xf numFmtId="8" fontId="6" fillId="12" borderId="6" xfId="0" applyNumberFormat="1" applyFont="1" applyFill="1" applyBorder="1"/>
    <xf numFmtId="44" fontId="6" fillId="4" borderId="1" xfId="1" applyFont="1" applyFill="1" applyBorder="1"/>
    <xf numFmtId="44" fontId="6" fillId="12" borderId="6" xfId="1" applyFont="1" applyFill="1" applyBorder="1"/>
    <xf numFmtId="44" fontId="4" fillId="4" borderId="1" xfId="1" applyFont="1" applyFill="1" applyBorder="1"/>
    <xf numFmtId="44" fontId="4" fillId="2" borderId="1" xfId="1" applyFont="1" applyFill="1" applyBorder="1"/>
    <xf numFmtId="44" fontId="4" fillId="12" borderId="6" xfId="1" applyFont="1" applyFill="1" applyBorder="1"/>
    <xf numFmtId="44" fontId="6" fillId="4" borderId="6" xfId="1" applyFont="1" applyFill="1" applyBorder="1"/>
    <xf numFmtId="8" fontId="6" fillId="4" borderId="6" xfId="0" applyNumberFormat="1" applyFont="1" applyFill="1" applyBorder="1"/>
    <xf numFmtId="8" fontId="6" fillId="12" borderId="21" xfId="0" applyNumberFormat="1" applyFont="1" applyFill="1" applyBorder="1"/>
    <xf numFmtId="8" fontId="10" fillId="4" borderId="1" xfId="0" applyNumberFormat="1" applyFont="1" applyFill="1" applyBorder="1"/>
    <xf numFmtId="8" fontId="6" fillId="12" borderId="5" xfId="0" applyNumberFormat="1" applyFont="1" applyFill="1" applyBorder="1"/>
    <xf numFmtId="0" fontId="6" fillId="14" borderId="1" xfId="0" applyFont="1" applyFill="1" applyBorder="1"/>
    <xf numFmtId="0" fontId="4" fillId="14" borderId="1" xfId="0" applyFont="1" applyFill="1" applyBorder="1"/>
    <xf numFmtId="44" fontId="6" fillId="14" borderId="1" xfId="1" applyFont="1" applyFill="1" applyBorder="1"/>
    <xf numFmtId="0" fontId="6" fillId="14" borderId="9" xfId="0" applyFont="1" applyFill="1" applyBorder="1" applyAlignment="1">
      <alignment vertical="center"/>
    </xf>
    <xf numFmtId="0" fontId="6" fillId="14" borderId="26" xfId="0" applyFont="1" applyFill="1" applyBorder="1"/>
    <xf numFmtId="0" fontId="6" fillId="14" borderId="23" xfId="0" applyFont="1" applyFill="1" applyBorder="1"/>
    <xf numFmtId="44" fontId="6" fillId="14" borderId="27" xfId="0" applyNumberFormat="1" applyFont="1" applyFill="1" applyBorder="1" applyAlignment="1">
      <alignment vertical="center"/>
    </xf>
    <xf numFmtId="0" fontId="9" fillId="7" borderId="9" xfId="0" applyFont="1" applyFill="1" applyBorder="1"/>
    <xf numFmtId="44" fontId="9" fillId="7" borderId="11" xfId="0" applyNumberFormat="1" applyFont="1" applyFill="1" applyBorder="1"/>
    <xf numFmtId="0" fontId="9" fillId="7" borderId="24" xfId="0" applyFont="1" applyFill="1" applyBorder="1"/>
    <xf numFmtId="44" fontId="9" fillId="7" borderId="25" xfId="0" applyNumberFormat="1" applyFont="1" applyFill="1" applyBorder="1"/>
    <xf numFmtId="0" fontId="9" fillId="7" borderId="24" xfId="0" applyFont="1" applyFill="1" applyBorder="1" applyAlignment="1">
      <alignment horizontal="left" vertical="center" wrapText="1"/>
    </xf>
    <xf numFmtId="0" fontId="13" fillId="24" borderId="1" xfId="0" applyFont="1" applyFill="1" applyBorder="1"/>
    <xf numFmtId="0" fontId="13" fillId="14" borderId="1" xfId="0" applyFont="1" applyFill="1" applyBorder="1"/>
    <xf numFmtId="0" fontId="13" fillId="25" borderId="1" xfId="0" applyFont="1" applyFill="1" applyBorder="1"/>
    <xf numFmtId="0" fontId="13" fillId="27" borderId="1" xfId="0" applyFont="1" applyFill="1" applyBorder="1"/>
    <xf numFmtId="0" fontId="13" fillId="28" borderId="1" xfId="0" applyFont="1" applyFill="1" applyBorder="1"/>
    <xf numFmtId="0" fontId="4" fillId="13" borderId="12" xfId="0" applyFont="1" applyFill="1" applyBorder="1"/>
    <xf numFmtId="169" fontId="22" fillId="3" borderId="0" xfId="0" applyNumberFormat="1" applyFont="1" applyFill="1" applyAlignment="1">
      <alignment horizontal="center"/>
    </xf>
    <xf numFmtId="169" fontId="22" fillId="3" borderId="0" xfId="0" applyNumberFormat="1" applyFont="1" applyFill="1" applyAlignment="1">
      <alignment horizontal="left"/>
    </xf>
    <xf numFmtId="44" fontId="9" fillId="29" borderId="3" xfId="1" applyFont="1" applyFill="1" applyBorder="1"/>
    <xf numFmtId="44" fontId="9" fillId="29" borderId="1" xfId="1" applyFont="1" applyFill="1" applyBorder="1"/>
    <xf numFmtId="173" fontId="0" fillId="0" borderId="0" xfId="0" applyNumberFormat="1" applyAlignment="1">
      <alignment vertical="center"/>
    </xf>
    <xf numFmtId="174" fontId="0" fillId="0" borderId="0" xfId="0" applyNumberFormat="1"/>
    <xf numFmtId="0" fontId="0" fillId="0" borderId="28" xfId="0" applyBorder="1" applyAlignment="1">
      <alignment horizontal="left" vertical="center" wrapText="1"/>
    </xf>
    <xf numFmtId="0" fontId="2" fillId="30" borderId="13" xfId="0" applyFont="1" applyFill="1" applyBorder="1"/>
    <xf numFmtId="44" fontId="2" fillId="30" borderId="13" xfId="1" applyFont="1" applyFill="1" applyBorder="1"/>
    <xf numFmtId="16" fontId="0" fillId="2" borderId="12" xfId="0" applyNumberFormat="1" applyFill="1" applyBorder="1"/>
    <xf numFmtId="0" fontId="20" fillId="2" borderId="12" xfId="3" applyFill="1" applyBorder="1" applyAlignment="1">
      <alignment horizontal="center"/>
    </xf>
    <xf numFmtId="0" fontId="0" fillId="2" borderId="12" xfId="0" applyFill="1" applyBorder="1" applyAlignment="1">
      <alignment horizontal="center"/>
    </xf>
    <xf numFmtId="0" fontId="0" fillId="2" borderId="15" xfId="0" applyFill="1" applyBorder="1" applyAlignment="1">
      <alignment horizontal="center"/>
    </xf>
    <xf numFmtId="0" fontId="0" fillId="2" borderId="0" xfId="0" applyFill="1" applyAlignment="1">
      <alignment horizontal="center"/>
    </xf>
    <xf numFmtId="16" fontId="0" fillId="2" borderId="0" xfId="0" applyNumberFormat="1" applyFill="1"/>
    <xf numFmtId="0" fontId="20" fillId="2" borderId="0" xfId="3" applyFill="1" applyBorder="1" applyAlignment="1">
      <alignment horizontal="center"/>
    </xf>
    <xf numFmtId="0" fontId="13" fillId="31" borderId="1" xfId="0" applyFont="1" applyFill="1" applyBorder="1"/>
    <xf numFmtId="0" fontId="13" fillId="32" borderId="1" xfId="0" applyFont="1" applyFill="1" applyBorder="1"/>
    <xf numFmtId="0" fontId="13" fillId="26" borderId="1" xfId="0" applyFont="1" applyFill="1" applyBorder="1"/>
    <xf numFmtId="0" fontId="13" fillId="29" borderId="1" xfId="0" applyFont="1" applyFill="1" applyBorder="1"/>
    <xf numFmtId="0" fontId="13" fillId="33" borderId="1" xfId="0" applyFont="1" applyFill="1" applyBorder="1"/>
    <xf numFmtId="0" fontId="19" fillId="0" borderId="3" xfId="0" applyFont="1" applyBorder="1"/>
    <xf numFmtId="44" fontId="8" fillId="15" borderId="25" xfId="1" applyFont="1" applyFill="1" applyBorder="1"/>
    <xf numFmtId="165" fontId="17" fillId="2" borderId="3" xfId="0" applyNumberFormat="1" applyFont="1" applyFill="1" applyBorder="1"/>
    <xf numFmtId="170" fontId="4" fillId="0" borderId="0" xfId="0" applyNumberFormat="1" applyFont="1"/>
    <xf numFmtId="8" fontId="4" fillId="0" borderId="0" xfId="0" applyNumberFormat="1" applyFont="1"/>
    <xf numFmtId="0" fontId="4" fillId="0" borderId="0" xfId="0" applyFont="1" applyAlignment="1">
      <alignment wrapText="1"/>
    </xf>
    <xf numFmtId="43" fontId="4" fillId="0" borderId="0" xfId="0" applyNumberFormat="1" applyFont="1" applyAlignment="1">
      <alignment wrapText="1"/>
    </xf>
    <xf numFmtId="44" fontId="4" fillId="0" borderId="0" xfId="0" applyNumberFormat="1" applyFont="1"/>
    <xf numFmtId="168" fontId="4" fillId="0" borderId="0" xfId="0" applyNumberFormat="1" applyFont="1"/>
    <xf numFmtId="165" fontId="4" fillId="0" borderId="0" xfId="0" applyNumberFormat="1" applyFont="1"/>
    <xf numFmtId="43" fontId="4" fillId="0" borderId="0" xfId="0" applyNumberFormat="1" applyFont="1"/>
    <xf numFmtId="0" fontId="4" fillId="2" borderId="0" xfId="0" applyFont="1" applyFill="1"/>
    <xf numFmtId="0" fontId="13" fillId="18" borderId="1" xfId="0" applyFont="1" applyFill="1" applyBorder="1"/>
    <xf numFmtId="12" fontId="19" fillId="2" borderId="3" xfId="1" applyNumberFormat="1" applyFont="1" applyFill="1" applyBorder="1"/>
    <xf numFmtId="8" fontId="4" fillId="0" borderId="1" xfId="0" applyNumberFormat="1" applyFont="1" applyBorder="1" applyAlignment="1">
      <alignment vertical="center" wrapText="1"/>
    </xf>
    <xf numFmtId="8" fontId="4" fillId="2" borderId="1" xfId="0" applyNumberFormat="1" applyFont="1" applyFill="1" applyBorder="1" applyAlignment="1">
      <alignment vertical="center"/>
    </xf>
    <xf numFmtId="44" fontId="26" fillId="0" borderId="1" xfId="1" applyFont="1" applyBorder="1"/>
    <xf numFmtId="0" fontId="9" fillId="7" borderId="9" xfId="0" applyFont="1" applyFill="1" applyBorder="1" applyAlignment="1">
      <alignment vertical="center"/>
    </xf>
    <xf numFmtId="0" fontId="17" fillId="2" borderId="1" xfId="0" applyFont="1" applyFill="1" applyBorder="1"/>
    <xf numFmtId="0" fontId="17" fillId="2" borderId="3" xfId="0" applyFont="1" applyFill="1" applyBorder="1"/>
    <xf numFmtId="0" fontId="17" fillId="2" borderId="3" xfId="0" applyFont="1" applyFill="1" applyBorder="1" applyAlignment="1">
      <alignment horizontal="center"/>
    </xf>
    <xf numFmtId="0" fontId="17" fillId="2" borderId="1" xfId="0" applyFont="1" applyFill="1" applyBorder="1" applyAlignment="1">
      <alignment horizontal="center"/>
    </xf>
    <xf numFmtId="0" fontId="0" fillId="24" borderId="14" xfId="0" applyFill="1" applyBorder="1"/>
    <xf numFmtId="0" fontId="0" fillId="24" borderId="12" xfId="0" applyFill="1" applyBorder="1"/>
    <xf numFmtId="0" fontId="0" fillId="24" borderId="16" xfId="0" applyFill="1" applyBorder="1"/>
    <xf numFmtId="0" fontId="0" fillId="24" borderId="0" xfId="0" applyFill="1"/>
    <xf numFmtId="0" fontId="17" fillId="8" borderId="1" xfId="0" applyFont="1" applyFill="1" applyBorder="1"/>
    <xf numFmtId="0" fontId="4" fillId="2" borderId="7" xfId="0" applyFont="1" applyFill="1" applyBorder="1" applyAlignment="1">
      <alignment vertical="center" wrapText="1"/>
    </xf>
    <xf numFmtId="0" fontId="17" fillId="2" borderId="1" xfId="0" applyFont="1" applyFill="1" applyBorder="1" applyAlignment="1">
      <alignment wrapText="1"/>
    </xf>
    <xf numFmtId="0" fontId="13" fillId="34" borderId="1" xfId="0" applyFont="1" applyFill="1" applyBorder="1"/>
    <xf numFmtId="0" fontId="13" fillId="12" borderId="1" xfId="0" applyFont="1" applyFill="1" applyBorder="1"/>
    <xf numFmtId="44" fontId="19" fillId="2" borderId="1" xfId="1" applyFont="1" applyFill="1" applyBorder="1" applyAlignment="1">
      <alignment vertical="center"/>
    </xf>
    <xf numFmtId="0" fontId="4" fillId="0" borderId="0" xfId="0" applyFont="1" applyAlignment="1">
      <alignment vertical="center"/>
    </xf>
    <xf numFmtId="44" fontId="4" fillId="0" borderId="0" xfId="0" applyNumberFormat="1" applyFont="1" applyAlignment="1">
      <alignment vertical="center"/>
    </xf>
    <xf numFmtId="44" fontId="4" fillId="0" borderId="0" xfId="1" applyFont="1" applyAlignment="1">
      <alignment vertical="center"/>
    </xf>
    <xf numFmtId="43" fontId="4" fillId="0" borderId="0" xfId="0" applyNumberFormat="1" applyFont="1" applyAlignment="1">
      <alignment vertical="center"/>
    </xf>
    <xf numFmtId="0" fontId="0" fillId="8" borderId="14" xfId="0" applyFill="1" applyBorder="1"/>
    <xf numFmtId="0" fontId="0" fillId="8" borderId="12" xfId="0" applyFill="1" applyBorder="1"/>
    <xf numFmtId="0" fontId="0" fillId="8" borderId="16" xfId="0" applyFill="1" applyBorder="1"/>
    <xf numFmtId="0" fontId="0" fillId="8" borderId="0" xfId="0" applyFill="1"/>
    <xf numFmtId="0" fontId="6" fillId="13" borderId="24" xfId="0" applyFont="1" applyFill="1" applyBorder="1"/>
    <xf numFmtId="0" fontId="4" fillId="13" borderId="8" xfId="0" applyFont="1" applyFill="1" applyBorder="1"/>
    <xf numFmtId="44" fontId="4" fillId="13" borderId="8" xfId="1" applyFont="1" applyFill="1" applyBorder="1"/>
    <xf numFmtId="165" fontId="6" fillId="13" borderId="25" xfId="1" applyNumberFormat="1" applyFont="1" applyFill="1" applyBorder="1"/>
    <xf numFmtId="44" fontId="7" fillId="35" borderId="1" xfId="1" applyFont="1" applyFill="1" applyBorder="1"/>
    <xf numFmtId="44" fontId="7" fillId="35" borderId="29" xfId="1" applyFont="1" applyFill="1" applyBorder="1"/>
    <xf numFmtId="0" fontId="4" fillId="2" borderId="7" xfId="0" applyFont="1" applyFill="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44" fontId="17" fillId="0" borderId="1" xfId="1" applyFont="1" applyBorder="1" applyAlignment="1">
      <alignment horizontal="center"/>
    </xf>
    <xf numFmtId="44" fontId="17" fillId="0" borderId="2" xfId="1" applyFont="1" applyBorder="1" applyAlignment="1">
      <alignment horizontal="center"/>
    </xf>
    <xf numFmtId="0" fontId="0" fillId="2" borderId="0" xfId="0" applyFill="1" applyAlignment="1">
      <alignment horizontal="center"/>
    </xf>
    <xf numFmtId="0" fontId="0" fillId="2" borderId="17" xfId="0" applyFill="1" applyBorder="1" applyAlignment="1">
      <alignment horizontal="center"/>
    </xf>
    <xf numFmtId="44" fontId="6" fillId="0" borderId="1" xfId="1" applyFont="1" applyBorder="1"/>
    <xf numFmtId="0" fontId="6" fillId="3" borderId="13" xfId="0" applyFont="1" applyFill="1" applyBorder="1" applyAlignment="1">
      <alignment horizontal="left"/>
    </xf>
    <xf numFmtId="0" fontId="6" fillId="3" borderId="13" xfId="0" applyFont="1" applyFill="1" applyBorder="1"/>
    <xf numFmtId="0" fontId="6" fillId="3" borderId="9" xfId="0" applyFont="1" applyFill="1" applyBorder="1"/>
    <xf numFmtId="0" fontId="6" fillId="3" borderId="10" xfId="0" applyFont="1" applyFill="1" applyBorder="1" applyAlignment="1">
      <alignment wrapText="1"/>
    </xf>
    <xf numFmtId="0" fontId="6" fillId="3" borderId="11" xfId="0" applyFont="1" applyFill="1" applyBorder="1" applyAlignment="1">
      <alignment wrapText="1"/>
    </xf>
    <xf numFmtId="0" fontId="6" fillId="3" borderId="10" xfId="0" applyFont="1" applyFill="1" applyBorder="1"/>
    <xf numFmtId="8" fontId="4" fillId="2" borderId="1" xfId="0" applyNumberFormat="1" applyFont="1" applyFill="1" applyBorder="1"/>
    <xf numFmtId="44" fontId="4" fillId="2" borderId="1" xfId="1" applyFont="1" applyFill="1" applyBorder="1" applyAlignment="1">
      <alignment wrapText="1"/>
    </xf>
    <xf numFmtId="44" fontId="4" fillId="2" borderId="1" xfId="1" applyFont="1" applyFill="1" applyBorder="1" applyAlignment="1"/>
    <xf numFmtId="168" fontId="4" fillId="2" borderId="1" xfId="1" applyNumberFormat="1" applyFont="1" applyFill="1" applyBorder="1"/>
    <xf numFmtId="168" fontId="4" fillId="2" borderId="1" xfId="0" applyNumberFormat="1" applyFont="1" applyFill="1" applyBorder="1" applyAlignment="1">
      <alignment horizontal="left" vertical="center"/>
    </xf>
    <xf numFmtId="44" fontId="4" fillId="2" borderId="6" xfId="1" applyFont="1" applyFill="1" applyBorder="1"/>
    <xf numFmtId="44" fontId="17" fillId="2" borderId="3" xfId="1" applyFont="1" applyFill="1" applyBorder="1"/>
    <xf numFmtId="165" fontId="17" fillId="2" borderId="3" xfId="1" applyNumberFormat="1" applyFont="1" applyFill="1" applyBorder="1"/>
    <xf numFmtId="0" fontId="4" fillId="0" borderId="3" xfId="0" applyFont="1" applyBorder="1"/>
    <xf numFmtId="165" fontId="17" fillId="2" borderId="1" xfId="1" applyNumberFormat="1" applyFont="1" applyFill="1" applyBorder="1"/>
    <xf numFmtId="165" fontId="17" fillId="16" borderId="3" xfId="1" applyNumberFormat="1" applyFont="1" applyFill="1" applyBorder="1"/>
    <xf numFmtId="44" fontId="4" fillId="2" borderId="0" xfId="0" applyNumberFormat="1" applyFont="1" applyFill="1"/>
    <xf numFmtId="165" fontId="17" fillId="0" borderId="1" xfId="0" applyNumberFormat="1" applyFont="1" applyBorder="1"/>
    <xf numFmtId="165" fontId="17" fillId="0" borderId="1" xfId="1" applyNumberFormat="1" applyFont="1" applyBorder="1"/>
    <xf numFmtId="0" fontId="17" fillId="0" borderId="2" xfId="0" applyFont="1" applyBorder="1"/>
    <xf numFmtId="0" fontId="17" fillId="0" borderId="2" xfId="0" applyFont="1" applyBorder="1" applyAlignment="1">
      <alignment horizontal="center"/>
    </xf>
    <xf numFmtId="165" fontId="17" fillId="0" borderId="2" xfId="0" applyNumberFormat="1" applyFont="1" applyBorder="1"/>
    <xf numFmtId="165" fontId="17" fillId="0" borderId="2" xfId="1" applyNumberFormat="1" applyFont="1" applyBorder="1"/>
    <xf numFmtId="165" fontId="17" fillId="2" borderId="2" xfId="1" applyNumberFormat="1" applyFont="1" applyFill="1" applyBorder="1"/>
    <xf numFmtId="0" fontId="17" fillId="4" borderId="13" xfId="0" applyFont="1" applyFill="1" applyBorder="1"/>
    <xf numFmtId="1" fontId="17" fillId="4" borderId="13" xfId="0" applyNumberFormat="1" applyFont="1" applyFill="1" applyBorder="1" applyAlignment="1">
      <alignment horizontal="center"/>
    </xf>
    <xf numFmtId="44" fontId="17" fillId="4" borderId="9" xfId="0" applyNumberFormat="1" applyFont="1" applyFill="1" applyBorder="1"/>
    <xf numFmtId="165" fontId="17" fillId="4" borderId="23" xfId="0" applyNumberFormat="1" applyFont="1" applyFill="1" applyBorder="1"/>
    <xf numFmtId="165" fontId="17" fillId="4" borderId="11" xfId="0" applyNumberFormat="1" applyFont="1" applyFill="1" applyBorder="1"/>
    <xf numFmtId="165" fontId="17" fillId="4" borderId="13" xfId="0" applyNumberFormat="1" applyFont="1" applyFill="1" applyBorder="1"/>
    <xf numFmtId="44" fontId="17" fillId="4" borderId="13" xfId="0" applyNumberFormat="1" applyFont="1" applyFill="1" applyBorder="1"/>
    <xf numFmtId="165" fontId="17" fillId="4" borderId="13" xfId="0" applyNumberFormat="1" applyFont="1" applyFill="1" applyBorder="1" applyAlignment="1">
      <alignment horizontal="left"/>
    </xf>
    <xf numFmtId="166" fontId="17" fillId="4" borderId="13" xfId="0" applyNumberFormat="1" applyFont="1" applyFill="1" applyBorder="1"/>
    <xf numFmtId="44" fontId="17" fillId="4" borderId="13" xfId="0" applyNumberFormat="1" applyFont="1" applyFill="1" applyBorder="1" applyAlignment="1">
      <alignment horizontal="center"/>
    </xf>
    <xf numFmtId="165" fontId="17" fillId="33" borderId="3" xfId="1" applyNumberFormat="1" applyFont="1" applyFill="1" applyBorder="1"/>
    <xf numFmtId="165" fontId="17" fillId="5" borderId="3" xfId="1" applyNumberFormat="1" applyFont="1" applyFill="1" applyBorder="1"/>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22" xfId="0" applyFont="1" applyFill="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8" fillId="6" borderId="0" xfId="0" applyFont="1" applyFill="1" applyAlignment="1">
      <alignment horizontal="center" vertical="center"/>
    </xf>
    <xf numFmtId="0" fontId="4" fillId="0" borderId="1" xfId="0" applyFont="1" applyBorder="1" applyAlignment="1">
      <alignment horizontal="left" vertical="center" wrapText="1"/>
    </xf>
    <xf numFmtId="0" fontId="2" fillId="17" borderId="30" xfId="0" applyFont="1" applyFill="1" applyBorder="1" applyAlignment="1">
      <alignment horizontal="left"/>
    </xf>
    <xf numFmtId="0" fontId="2" fillId="17" borderId="31" xfId="0" applyFont="1" applyFill="1" applyBorder="1" applyAlignment="1">
      <alignment horizontal="left"/>
    </xf>
    <xf numFmtId="0" fontId="2" fillId="30" borderId="30" xfId="0" applyFont="1" applyFill="1" applyBorder="1" applyAlignment="1">
      <alignment horizontal="left"/>
    </xf>
    <xf numFmtId="0" fontId="2" fillId="30" borderId="31" xfId="0" applyFont="1" applyFill="1" applyBorder="1" applyAlignment="1">
      <alignment horizontal="left"/>
    </xf>
    <xf numFmtId="0" fontId="22" fillId="7" borderId="0" xfId="0" applyFont="1" applyFill="1" applyAlignment="1">
      <alignment horizontal="left" vertical="center" wrapText="1"/>
    </xf>
    <xf numFmtId="0" fontId="4" fillId="0" borderId="6" xfId="0" applyFont="1" applyBorder="1"/>
    <xf numFmtId="0" fontId="4" fillId="0" borderId="7" xfId="0" applyFont="1" applyBorder="1"/>
    <xf numFmtId="0" fontId="4" fillId="0" borderId="6" xfId="0" applyFont="1" applyBorder="1" applyAlignment="1">
      <alignment vertical="center"/>
    </xf>
    <xf numFmtId="0" fontId="4" fillId="0" borderId="7" xfId="0" applyFont="1" applyBorder="1" applyAlignment="1">
      <alignment vertical="center"/>
    </xf>
    <xf numFmtId="0" fontId="9" fillId="3" borderId="9" xfId="0" applyFont="1" applyFill="1" applyBorder="1" applyAlignment="1">
      <alignment horizontal="left"/>
    </xf>
    <xf numFmtId="0" fontId="9" fillId="3" borderId="10" xfId="0" applyFont="1" applyFill="1" applyBorder="1" applyAlignment="1">
      <alignment horizontal="left"/>
    </xf>
    <xf numFmtId="0" fontId="9" fillId="3" borderId="11" xfId="0" applyFont="1" applyFill="1" applyBorder="1" applyAlignment="1">
      <alignment horizontal="left"/>
    </xf>
    <xf numFmtId="0" fontId="6" fillId="3" borderId="10" xfId="0" applyFont="1" applyFill="1" applyBorder="1" applyAlignment="1">
      <alignment horizontal="left"/>
    </xf>
    <xf numFmtId="0" fontId="6" fillId="3" borderId="11" xfId="0" applyFont="1" applyFill="1" applyBorder="1" applyAlignment="1">
      <alignment horizontal="left"/>
    </xf>
    <xf numFmtId="0" fontId="6" fillId="3" borderId="18" xfId="0" applyFont="1" applyFill="1" applyBorder="1" applyAlignment="1">
      <alignment horizontal="center"/>
    </xf>
    <xf numFmtId="0" fontId="6" fillId="3" borderId="19" xfId="0" applyFont="1" applyFill="1" applyBorder="1" applyAlignment="1">
      <alignment horizontal="center"/>
    </xf>
    <xf numFmtId="0" fontId="6" fillId="3" borderId="20" xfId="0" applyFont="1" applyFill="1" applyBorder="1" applyAlignment="1">
      <alignment horizontal="center"/>
    </xf>
    <xf numFmtId="0" fontId="24" fillId="8" borderId="14" xfId="0" applyFont="1" applyFill="1" applyBorder="1" applyAlignment="1">
      <alignment horizontal="center" vertical="center"/>
    </xf>
    <xf numFmtId="0" fontId="24" fillId="8" borderId="12" xfId="0" applyFont="1" applyFill="1" applyBorder="1" applyAlignment="1">
      <alignment horizontal="center" vertical="center"/>
    </xf>
    <xf numFmtId="0" fontId="24" fillId="8" borderId="15" xfId="0" applyFont="1" applyFill="1" applyBorder="1" applyAlignment="1">
      <alignment horizontal="center" vertical="center"/>
    </xf>
    <xf numFmtId="0" fontId="24" fillId="8" borderId="16" xfId="0" applyFont="1" applyFill="1" applyBorder="1" applyAlignment="1">
      <alignment horizontal="center" vertical="center"/>
    </xf>
    <xf numFmtId="0" fontId="24" fillId="8" borderId="0" xfId="0" applyFont="1" applyFill="1" applyAlignment="1">
      <alignment horizontal="center" vertical="center"/>
    </xf>
    <xf numFmtId="0" fontId="24" fillId="8" borderId="17" xfId="0" applyFont="1" applyFill="1" applyBorder="1" applyAlignment="1">
      <alignment horizontal="center" vertical="center"/>
    </xf>
    <xf numFmtId="0" fontId="24" fillId="8" borderId="24" xfId="0" applyFont="1" applyFill="1" applyBorder="1" applyAlignment="1">
      <alignment horizontal="center" vertical="center"/>
    </xf>
    <xf numFmtId="0" fontId="24" fillId="8" borderId="8" xfId="0" applyFont="1" applyFill="1" applyBorder="1" applyAlignment="1">
      <alignment horizontal="center" vertical="center"/>
    </xf>
    <xf numFmtId="0" fontId="24" fillId="8" borderId="25" xfId="0" applyFont="1" applyFill="1" applyBorder="1" applyAlignment="1">
      <alignment horizontal="center" vertical="center"/>
    </xf>
    <xf numFmtId="0" fontId="9" fillId="3" borderId="9" xfId="0" applyFont="1" applyFill="1" applyBorder="1" applyAlignment="1">
      <alignment horizontal="left" vertical="center" wrapText="1"/>
    </xf>
    <xf numFmtId="0" fontId="9" fillId="3" borderId="10" xfId="0" applyFont="1" applyFill="1" applyBorder="1" applyAlignment="1">
      <alignment horizontal="left" vertical="center" wrapText="1"/>
    </xf>
    <xf numFmtId="0" fontId="9" fillId="3" borderId="11" xfId="0" applyFont="1" applyFill="1" applyBorder="1" applyAlignment="1">
      <alignment horizontal="left" vertical="center" wrapText="1"/>
    </xf>
    <xf numFmtId="44" fontId="9" fillId="5" borderId="1" xfId="1" applyFont="1" applyFill="1" applyBorder="1"/>
    <xf numFmtId="0" fontId="22" fillId="8" borderId="12" xfId="0" applyFont="1" applyFill="1" applyBorder="1" applyAlignment="1">
      <alignment horizontal="left" vertical="center" wrapText="1"/>
    </xf>
    <xf numFmtId="0" fontId="22" fillId="8" borderId="0" xfId="0" applyFont="1" applyFill="1" applyAlignment="1">
      <alignment horizontal="left" vertical="center" wrapText="1"/>
    </xf>
    <xf numFmtId="0" fontId="15" fillId="8" borderId="0" xfId="0" applyFont="1" applyFill="1" applyAlignment="1">
      <alignment horizontal="left" vertical="center" wrapText="1"/>
    </xf>
    <xf numFmtId="44" fontId="17" fillId="4" borderId="9" xfId="0" applyNumberFormat="1" applyFont="1" applyFill="1" applyBorder="1" applyAlignment="1">
      <alignment horizontal="center"/>
    </xf>
    <xf numFmtId="44" fontId="17" fillId="4" borderId="11" xfId="0" applyNumberFormat="1" applyFont="1" applyFill="1" applyBorder="1" applyAlignment="1">
      <alignment horizontal="center"/>
    </xf>
    <xf numFmtId="44" fontId="17" fillId="0" borderId="1" xfId="1" applyFont="1" applyBorder="1" applyAlignment="1">
      <alignment horizontal="center"/>
    </xf>
    <xf numFmtId="44" fontId="17" fillId="0" borderId="2" xfId="1" applyFont="1" applyBorder="1" applyAlignment="1">
      <alignment horizontal="center"/>
    </xf>
    <xf numFmtId="169" fontId="22" fillId="3" borderId="0" xfId="0" applyNumberFormat="1" applyFont="1" applyFill="1" applyAlignment="1">
      <alignment horizontal="center"/>
    </xf>
    <xf numFmtId="0" fontId="11" fillId="3" borderId="18" xfId="0" applyFont="1" applyFill="1" applyBorder="1" applyAlignment="1">
      <alignment horizontal="center" vertical="center" wrapText="1"/>
    </xf>
    <xf numFmtId="0" fontId="11" fillId="3" borderId="20" xfId="0" applyFont="1" applyFill="1" applyBorder="1" applyAlignment="1">
      <alignment horizontal="center" vertical="center" wrapText="1"/>
    </xf>
    <xf numFmtId="169" fontId="22" fillId="3" borderId="0" xfId="1" applyNumberFormat="1" applyFont="1" applyFill="1" applyAlignment="1">
      <alignment horizontal="center"/>
    </xf>
    <xf numFmtId="169" fontId="22" fillId="3" borderId="0" xfId="1" applyNumberFormat="1" applyFont="1" applyFill="1" applyBorder="1" applyAlignment="1">
      <alignment horizontal="center" vertical="center"/>
    </xf>
    <xf numFmtId="44" fontId="15" fillId="3" borderId="0" xfId="1" applyFont="1" applyFill="1" applyBorder="1" applyAlignment="1">
      <alignment horizontal="left"/>
    </xf>
    <xf numFmtId="0" fontId="15" fillId="3" borderId="0" xfId="0" applyFont="1" applyFill="1" applyAlignment="1">
      <alignment horizontal="left" vertical="center" wrapText="1"/>
    </xf>
    <xf numFmtId="0" fontId="15" fillId="3" borderId="0" xfId="0" applyFont="1" applyFill="1" applyAlignment="1">
      <alignment horizontal="left" vertical="center"/>
    </xf>
    <xf numFmtId="169" fontId="22" fillId="3" borderId="0" xfId="0" applyNumberFormat="1" applyFont="1" applyFill="1" applyAlignment="1">
      <alignment horizontal="left" wrapText="1"/>
    </xf>
    <xf numFmtId="0" fontId="14" fillId="3" borderId="14"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4" fillId="3" borderId="24" xfId="0" applyFont="1" applyFill="1" applyBorder="1" applyAlignment="1">
      <alignment horizontal="center" vertical="center" wrapText="1"/>
    </xf>
    <xf numFmtId="0" fontId="14" fillId="3" borderId="25" xfId="0" applyFont="1" applyFill="1" applyBorder="1" applyAlignment="1">
      <alignment horizontal="center" vertical="center" wrapText="1"/>
    </xf>
    <xf numFmtId="0" fontId="25" fillId="8" borderId="9" xfId="0" applyFont="1" applyFill="1" applyBorder="1" applyAlignment="1">
      <alignment horizontal="left" vertical="center" wrapText="1"/>
    </xf>
    <xf numFmtId="0" fontId="25" fillId="8" borderId="10" xfId="0" applyFont="1" applyFill="1" applyBorder="1" applyAlignment="1">
      <alignment horizontal="left" vertical="center" wrapText="1"/>
    </xf>
    <xf numFmtId="0" fontId="25" fillId="8" borderId="11" xfId="0" applyFont="1" applyFill="1" applyBorder="1" applyAlignment="1">
      <alignment horizontal="left" vertical="center" wrapText="1"/>
    </xf>
    <xf numFmtId="0" fontId="11" fillId="3" borderId="14" xfId="0" applyFont="1" applyFill="1" applyBorder="1" applyAlignment="1">
      <alignment horizontal="center" vertical="center"/>
    </xf>
    <xf numFmtId="0" fontId="11" fillId="3" borderId="24"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0" xfId="0" applyFont="1" applyFill="1" applyBorder="1" applyAlignment="1">
      <alignment horizontal="center" vertical="center"/>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44" fontId="9" fillId="5" borderId="32" xfId="1" applyFont="1" applyFill="1" applyBorder="1"/>
    <xf numFmtId="44" fontId="9" fillId="5" borderId="33" xfId="1" applyFont="1" applyFill="1" applyBorder="1"/>
    <xf numFmtId="44" fontId="9" fillId="5" borderId="6" xfId="1" applyFont="1" applyFill="1" applyBorder="1"/>
    <xf numFmtId="44" fontId="9" fillId="5" borderId="7" xfId="1" applyFont="1" applyFill="1" applyBorder="1"/>
    <xf numFmtId="0" fontId="0" fillId="2" borderId="0" xfId="0" applyFill="1" applyAlignment="1">
      <alignment horizontal="center"/>
    </xf>
    <xf numFmtId="0" fontId="0" fillId="2" borderId="17" xfId="0" applyFill="1" applyBorder="1" applyAlignment="1">
      <alignment horizontal="center"/>
    </xf>
    <xf numFmtId="6" fontId="0" fillId="2" borderId="14" xfId="0" applyNumberFormat="1" applyFill="1" applyBorder="1" applyAlignment="1">
      <alignment horizontal="center" vertical="center" wrapText="1"/>
    </xf>
    <xf numFmtId="6" fontId="0" fillId="2" borderId="12" xfId="0" applyNumberFormat="1" applyFill="1" applyBorder="1" applyAlignment="1">
      <alignment horizontal="center" vertical="center" wrapText="1"/>
    </xf>
    <xf numFmtId="6" fontId="0" fillId="2" borderId="15" xfId="0" applyNumberFormat="1" applyFill="1" applyBorder="1" applyAlignment="1">
      <alignment horizontal="center" vertical="center" wrapText="1"/>
    </xf>
    <xf numFmtId="6" fontId="0" fillId="2" borderId="16"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7" xfId="0" applyNumberFormat="1" applyFill="1" applyBorder="1" applyAlignment="1">
      <alignment horizontal="center" vertical="center" wrapText="1"/>
    </xf>
    <xf numFmtId="6" fontId="0" fillId="2" borderId="24" xfId="0" applyNumberFormat="1" applyFill="1" applyBorder="1" applyAlignment="1">
      <alignment horizontal="center" vertical="center" wrapText="1"/>
    </xf>
    <xf numFmtId="6" fontId="0" fillId="2" borderId="8" xfId="0" applyNumberFormat="1" applyFill="1" applyBorder="1" applyAlignment="1">
      <alignment horizontal="center" vertical="center" wrapText="1"/>
    </xf>
    <xf numFmtId="6" fontId="0" fillId="2" borderId="25" xfId="0" applyNumberFormat="1" applyFill="1" applyBorder="1" applyAlignment="1">
      <alignment horizontal="center" vertical="center" wrapText="1"/>
    </xf>
  </cellXfs>
  <cellStyles count="5">
    <cellStyle name="Hipervínculo" xfId="3" builtinId="8"/>
    <cellStyle name="Millares" xfId="4" builtinId="3"/>
    <cellStyle name="Moneda" xfId="1" builtinId="4"/>
    <cellStyle name="Moneda 2" xfId="2" xr:uid="{00000000-0005-0000-0000-000002000000}"/>
    <cellStyle name="Normal" xfId="0" builtinId="0"/>
  </cellStyles>
  <dxfs count="0"/>
  <tableStyles count="0" defaultTableStyle="TableStyleMedium2" defaultPivotStyle="PivotStyleLight16"/>
  <colors>
    <mruColors>
      <color rgb="FFFF00FF"/>
      <color rgb="FFCC6600"/>
      <color rgb="FFFD95DD"/>
      <color rgb="FF00FF00"/>
      <color rgb="FF666633"/>
      <color rgb="FFFFFF99"/>
      <color rgb="FF1CB0B0"/>
      <color rgb="FF336699"/>
      <color rgb="FFCCFFC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104274</xdr:colOff>
      <xdr:row>0</xdr:row>
      <xdr:rowOff>176560</xdr:rowOff>
    </xdr:from>
    <xdr:to>
      <xdr:col>0</xdr:col>
      <xdr:colOff>2358189</xdr:colOff>
      <xdr:row>6</xdr:row>
      <xdr:rowOff>152400</xdr:rowOff>
    </xdr:to>
    <xdr:pic>
      <xdr:nvPicPr>
        <xdr:cNvPr id="3" name="Imagen 2">
          <a:extLst>
            <a:ext uri="{FF2B5EF4-FFF2-40B4-BE49-F238E27FC236}">
              <a16:creationId xmlns:a16="http://schemas.microsoft.com/office/drawing/2014/main" id="{FD4A77F7-E957-124C-39EA-42673E273F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274" y="176560"/>
          <a:ext cx="2253915" cy="138754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ventas@quimicaros.com.ar" TargetMode="External"/><Relationship Id="rId2" Type="http://schemas.openxmlformats.org/officeDocument/2006/relationships/hyperlink" Target="mailto:vivibpapa@gmail.com%20-%20Viviana%20papa" TargetMode="External"/><Relationship Id="rId1" Type="http://schemas.openxmlformats.org/officeDocument/2006/relationships/hyperlink" Target="mailto:polypeirano@yahoo.com" TargetMode="External"/><Relationship Id="rId5" Type="http://schemas.openxmlformats.org/officeDocument/2006/relationships/printerSettings" Target="../printerSettings/printerSettings2.bin"/><Relationship Id="rId4" Type="http://schemas.openxmlformats.org/officeDocument/2006/relationships/hyperlink" Target="mailto:ventas@quimicaros.com.a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26"/>
  <sheetViews>
    <sheetView topLeftCell="A148" zoomScaleNormal="100" workbookViewId="0">
      <selection activeCell="B163" sqref="B163"/>
    </sheetView>
  </sheetViews>
  <sheetFormatPr baseColWidth="10" defaultColWidth="10.85546875" defaultRowHeight="15" x14ac:dyDescent="0.25"/>
  <cols>
    <col min="1" max="1" width="37.5703125" customWidth="1"/>
    <col min="2" max="2" width="24.5703125" customWidth="1"/>
    <col min="3" max="3" width="15.85546875" hidden="1" customWidth="1"/>
    <col min="4" max="4" width="21.42578125" customWidth="1"/>
    <col min="5" max="5" width="16.85546875" customWidth="1"/>
    <col min="6" max="6" width="16.42578125" bestFit="1" customWidth="1"/>
    <col min="7" max="8" width="15.42578125" bestFit="1" customWidth="1"/>
    <col min="9" max="9" width="14.140625" bestFit="1" customWidth="1"/>
    <col min="11" max="11" width="18" customWidth="1"/>
    <col min="12" max="12" width="18.42578125" customWidth="1"/>
  </cols>
  <sheetData>
    <row r="1" spans="1:5" ht="15.75" thickBot="1" x14ac:dyDescent="0.3">
      <c r="A1" s="322"/>
      <c r="B1" s="317" t="s">
        <v>155</v>
      </c>
      <c r="C1" s="318"/>
      <c r="D1" s="318"/>
      <c r="E1" s="319"/>
    </row>
    <row r="2" spans="1:5" ht="15.75" thickBot="1" x14ac:dyDescent="0.3">
      <c r="A2" s="323"/>
      <c r="B2" s="317" t="s">
        <v>157</v>
      </c>
      <c r="C2" s="318"/>
      <c r="D2" s="318"/>
      <c r="E2" s="319"/>
    </row>
    <row r="3" spans="1:5" ht="32.25" customHeight="1" thickBot="1" x14ac:dyDescent="0.3">
      <c r="A3" s="323"/>
      <c r="B3" s="334" t="s">
        <v>153</v>
      </c>
      <c r="C3" s="335"/>
      <c r="D3" s="335"/>
      <c r="E3" s="336"/>
    </row>
    <row r="4" spans="1:5" ht="15.75" thickBot="1" x14ac:dyDescent="0.3">
      <c r="A4" s="323"/>
      <c r="B4" s="264" t="s">
        <v>154</v>
      </c>
      <c r="C4" s="265"/>
      <c r="D4" s="265"/>
      <c r="E4" s="265"/>
    </row>
    <row r="5" spans="1:5" ht="17.100000000000001" customHeight="1" thickBot="1" x14ac:dyDescent="0.3">
      <c r="A5" s="323"/>
      <c r="B5" s="266" t="s">
        <v>349</v>
      </c>
      <c r="C5" s="267"/>
      <c r="D5" s="267"/>
      <c r="E5" s="268"/>
    </row>
    <row r="6" spans="1:5" ht="17.100000000000001" customHeight="1" thickBot="1" x14ac:dyDescent="0.3">
      <c r="A6" s="323"/>
      <c r="B6" s="269" t="s">
        <v>280</v>
      </c>
      <c r="C6" s="267"/>
      <c r="D6" s="267"/>
      <c r="E6" s="268"/>
    </row>
    <row r="7" spans="1:5" ht="17.100000000000001" customHeight="1" thickBot="1" x14ac:dyDescent="0.3">
      <c r="A7" s="323"/>
      <c r="B7" s="269" t="s">
        <v>279</v>
      </c>
      <c r="C7" s="267"/>
      <c r="D7" s="267"/>
      <c r="E7" s="268"/>
    </row>
    <row r="8" spans="1:5" ht="15.75" thickBot="1" x14ac:dyDescent="0.3">
      <c r="A8" s="324"/>
      <c r="B8" s="320" t="s">
        <v>156</v>
      </c>
      <c r="C8" s="320"/>
      <c r="D8" s="320"/>
      <c r="E8" s="321"/>
    </row>
    <row r="9" spans="1:5" ht="15.75" thickBot="1" x14ac:dyDescent="0.3">
      <c r="A9" s="27"/>
      <c r="B9" s="27"/>
      <c r="C9" s="27"/>
      <c r="D9" s="27"/>
      <c r="E9" s="27"/>
    </row>
    <row r="10" spans="1:5" ht="14.45" customHeight="1" x14ac:dyDescent="0.25">
      <c r="A10" s="325" t="s">
        <v>348</v>
      </c>
      <c r="B10" s="326"/>
      <c r="C10" s="326"/>
      <c r="D10" s="326"/>
      <c r="E10" s="327"/>
    </row>
    <row r="11" spans="1:5" ht="14.45" customHeight="1" x14ac:dyDescent="0.25">
      <c r="A11" s="328"/>
      <c r="B11" s="329"/>
      <c r="C11" s="329"/>
      <c r="D11" s="329"/>
      <c r="E11" s="330"/>
    </row>
    <row r="12" spans="1:5" ht="14.45" customHeight="1" thickBot="1" x14ac:dyDescent="0.3">
      <c r="A12" s="331"/>
      <c r="B12" s="332"/>
      <c r="C12" s="332"/>
      <c r="D12" s="332"/>
      <c r="E12" s="333"/>
    </row>
    <row r="13" spans="1:5" x14ac:dyDescent="0.25">
      <c r="A13" s="27"/>
      <c r="B13" s="27"/>
      <c r="C13" s="27"/>
      <c r="D13" s="27"/>
      <c r="E13" s="27"/>
    </row>
    <row r="14" spans="1:5" x14ac:dyDescent="0.25">
      <c r="A14" s="27"/>
      <c r="B14" s="27"/>
      <c r="C14" s="27"/>
      <c r="D14" s="27"/>
      <c r="E14" s="27"/>
    </row>
    <row r="15" spans="1:5" ht="15" customHeight="1" x14ac:dyDescent="0.25">
      <c r="A15" s="312" t="s">
        <v>238</v>
      </c>
      <c r="B15" s="312"/>
      <c r="C15" s="312"/>
      <c r="D15" s="312"/>
      <c r="E15" s="312"/>
    </row>
    <row r="16" spans="1:5" ht="15" customHeight="1" x14ac:dyDescent="0.25">
      <c r="A16" s="312"/>
      <c r="B16" s="312"/>
      <c r="C16" s="312"/>
      <c r="D16" s="312"/>
      <c r="E16" s="312"/>
    </row>
    <row r="17" spans="1:8" ht="15" customHeight="1" x14ac:dyDescent="0.25">
      <c r="A17" s="312"/>
      <c r="B17" s="312"/>
      <c r="C17" s="312"/>
      <c r="D17" s="312"/>
      <c r="E17" s="312"/>
    </row>
    <row r="18" spans="1:8" ht="243" customHeight="1" x14ac:dyDescent="0.25">
      <c r="A18" s="312"/>
      <c r="B18" s="312"/>
      <c r="C18" s="312"/>
      <c r="D18" s="312"/>
      <c r="E18" s="312"/>
    </row>
    <row r="19" spans="1:8" ht="14.25" customHeight="1" thickBot="1" x14ac:dyDescent="0.3">
      <c r="A19" s="27"/>
      <c r="B19" s="27"/>
      <c r="C19" s="27"/>
      <c r="D19" s="27"/>
      <c r="E19" s="27"/>
    </row>
    <row r="20" spans="1:8" ht="14.45" hidden="1" customHeight="1" x14ac:dyDescent="0.25">
      <c r="A20" s="77"/>
      <c r="B20" s="27"/>
      <c r="C20" s="27"/>
      <c r="D20" s="27"/>
      <c r="E20" s="27"/>
    </row>
    <row r="21" spans="1:8" ht="15" hidden="1" customHeight="1" thickBot="1" x14ac:dyDescent="0.3">
      <c r="A21" s="27"/>
      <c r="B21" s="27"/>
      <c r="C21" s="27"/>
      <c r="D21" s="27"/>
      <c r="E21" s="27"/>
    </row>
    <row r="22" spans="1:8" x14ac:dyDescent="0.25">
      <c r="A22" s="78" t="s">
        <v>5</v>
      </c>
      <c r="B22" s="79"/>
      <c r="C22" s="80"/>
      <c r="D22" s="81"/>
      <c r="E22" s="82"/>
      <c r="F22" s="27"/>
      <c r="G22" s="27"/>
    </row>
    <row r="23" spans="1:8" x14ac:dyDescent="0.25">
      <c r="A23" s="7" t="s">
        <v>18</v>
      </c>
      <c r="B23" s="7"/>
      <c r="C23" s="7"/>
      <c r="D23" s="7"/>
      <c r="E23" s="7"/>
      <c r="F23" s="27"/>
      <c r="G23" s="27"/>
    </row>
    <row r="24" spans="1:8" ht="15.75" customHeight="1" x14ac:dyDescent="0.25">
      <c r="A24" s="153" t="s">
        <v>350</v>
      </c>
      <c r="B24" s="258"/>
      <c r="C24" s="19"/>
      <c r="D24" s="225">
        <v>2306396.09</v>
      </c>
      <c r="E24" s="224"/>
      <c r="F24" s="27"/>
      <c r="G24" s="213"/>
    </row>
    <row r="25" spans="1:8" x14ac:dyDescent="0.25">
      <c r="A25" s="313" t="s">
        <v>351</v>
      </c>
      <c r="B25" s="314"/>
      <c r="C25" s="19"/>
      <c r="D25" s="225">
        <v>-501641.09</v>
      </c>
      <c r="E25" s="19"/>
      <c r="F25" s="27"/>
      <c r="G25" s="214"/>
    </row>
    <row r="26" spans="1:8" ht="19.5" customHeight="1" x14ac:dyDescent="0.25">
      <c r="A26" s="315" t="s">
        <v>352</v>
      </c>
      <c r="B26" s="316"/>
      <c r="C26" s="19"/>
      <c r="D26" s="225">
        <v>0</v>
      </c>
      <c r="E26" s="19"/>
      <c r="F26" s="214"/>
      <c r="G26" s="214"/>
    </row>
    <row r="27" spans="1:8" x14ac:dyDescent="0.25">
      <c r="A27" s="83" t="s">
        <v>19</v>
      </c>
      <c r="B27" s="83"/>
      <c r="C27" s="83"/>
      <c r="D27" s="159">
        <f>SUM(D24:D26)</f>
        <v>1804754.9999999998</v>
      </c>
      <c r="E27" s="68"/>
      <c r="F27" s="214"/>
      <c r="G27" s="214"/>
      <c r="H27" s="61"/>
    </row>
    <row r="28" spans="1:8" ht="32.25" customHeight="1" x14ac:dyDescent="0.25">
      <c r="A28" s="301" t="s">
        <v>379</v>
      </c>
      <c r="B28" s="302"/>
      <c r="C28" s="19"/>
      <c r="D28" s="270">
        <v>2450000</v>
      </c>
      <c r="E28" s="19" t="s">
        <v>378</v>
      </c>
      <c r="F28" s="27"/>
      <c r="G28" s="214">
        <f>D28+D148</f>
        <v>2974450</v>
      </c>
    </row>
    <row r="29" spans="1:8" x14ac:dyDescent="0.25">
      <c r="A29" s="83" t="s">
        <v>19</v>
      </c>
      <c r="B29" s="83"/>
      <c r="C29" s="83"/>
      <c r="D29" s="159">
        <f>SUM(D28:D28)</f>
        <v>2450000</v>
      </c>
      <c r="E29" s="20"/>
      <c r="F29" s="27"/>
      <c r="G29" s="214"/>
    </row>
    <row r="30" spans="1:8" ht="18" customHeight="1" thickBot="1" x14ac:dyDescent="0.3">
      <c r="A30" s="84" t="s">
        <v>167</v>
      </c>
      <c r="B30" s="84"/>
      <c r="C30" s="84"/>
      <c r="D30" s="160"/>
      <c r="E30" s="70">
        <f>D27+D29</f>
        <v>4254755</v>
      </c>
      <c r="F30" s="214"/>
      <c r="G30" s="27"/>
    </row>
    <row r="31" spans="1:8" x14ac:dyDescent="0.25">
      <c r="A31" s="7" t="s">
        <v>173</v>
      </c>
      <c r="B31" s="8"/>
      <c r="C31" s="8"/>
      <c r="D31" s="161"/>
      <c r="E31" s="17"/>
      <c r="F31" s="27"/>
      <c r="G31" s="27"/>
    </row>
    <row r="32" spans="1:8" s="9" customFormat="1" ht="15" customHeight="1" x14ac:dyDescent="0.25">
      <c r="A32" s="19" t="s">
        <v>353</v>
      </c>
      <c r="B32" s="19"/>
      <c r="C32" s="85"/>
      <c r="D32" s="271">
        <v>1060897.26</v>
      </c>
      <c r="E32" s="65" t="s">
        <v>376</v>
      </c>
      <c r="F32" s="215"/>
      <c r="G32" s="216"/>
    </row>
    <row r="33" spans="1:9" s="9" customFormat="1" ht="15" customHeight="1" x14ac:dyDescent="0.25">
      <c r="A33" s="86" t="s">
        <v>354</v>
      </c>
      <c r="B33" s="19" t="s">
        <v>11</v>
      </c>
      <c r="C33" s="85"/>
      <c r="D33" s="271">
        <v>104559.59</v>
      </c>
      <c r="E33" s="64" t="s">
        <v>412</v>
      </c>
      <c r="F33" s="215"/>
      <c r="G33" s="216"/>
    </row>
    <row r="34" spans="1:9" s="9" customFormat="1" ht="15" customHeight="1" x14ac:dyDescent="0.25">
      <c r="A34" s="86" t="str">
        <f>A33</f>
        <v>Sindicatos mes de SEPTIEMBRE</v>
      </c>
      <c r="B34" s="19" t="s">
        <v>20</v>
      </c>
      <c r="C34" s="85"/>
      <c r="D34" s="271">
        <v>201360.52</v>
      </c>
      <c r="E34" s="64" t="str">
        <f>E33</f>
        <v>Debito 14/09</v>
      </c>
      <c r="F34" s="215"/>
      <c r="G34" s="216"/>
    </row>
    <row r="35" spans="1:9" ht="15" customHeight="1" x14ac:dyDescent="0.25">
      <c r="A35" s="86" t="str">
        <f>A34</f>
        <v>Sindicatos mes de SEPTIEMBRE</v>
      </c>
      <c r="B35" s="19" t="s">
        <v>10</v>
      </c>
      <c r="C35" s="85"/>
      <c r="D35" s="272">
        <v>11617.3</v>
      </c>
      <c r="E35" s="64" t="str">
        <f>E34</f>
        <v>Debito 14/09</v>
      </c>
      <c r="F35" s="27"/>
      <c r="G35" s="27"/>
      <c r="H35" s="30"/>
    </row>
    <row r="36" spans="1:9" ht="15.75" thickBot="1" x14ac:dyDescent="0.3">
      <c r="A36" s="84" t="s">
        <v>147</v>
      </c>
      <c r="B36" s="84"/>
      <c r="C36" s="84"/>
      <c r="D36" s="162"/>
      <c r="E36" s="69">
        <f>SUM(D32:D35)</f>
        <v>1378434.6700000002</v>
      </c>
      <c r="F36" s="27"/>
      <c r="G36" s="27"/>
    </row>
    <row r="37" spans="1:9" x14ac:dyDescent="0.25">
      <c r="A37" s="7" t="s">
        <v>166</v>
      </c>
      <c r="B37" s="87"/>
      <c r="C37" s="87"/>
      <c r="D37" s="163"/>
      <c r="E37" s="22"/>
      <c r="F37" s="27"/>
      <c r="G37" s="27"/>
    </row>
    <row r="38" spans="1:9" ht="32.1" customHeight="1" x14ac:dyDescent="0.25">
      <c r="A38" s="301" t="s">
        <v>266</v>
      </c>
      <c r="B38" s="302"/>
      <c r="C38" s="19"/>
      <c r="D38" s="164">
        <v>198615</v>
      </c>
      <c r="E38" s="65" t="s">
        <v>467</v>
      </c>
      <c r="F38" s="27"/>
      <c r="G38" s="27"/>
    </row>
    <row r="39" spans="1:9" ht="32.1" customHeight="1" x14ac:dyDescent="0.25">
      <c r="A39" s="301" t="s">
        <v>267</v>
      </c>
      <c r="B39" s="302"/>
      <c r="C39" s="19"/>
      <c r="D39" s="164">
        <v>0</v>
      </c>
      <c r="E39" s="65"/>
      <c r="F39" s="27"/>
      <c r="G39" s="27"/>
    </row>
    <row r="40" spans="1:9" ht="32.1" customHeight="1" x14ac:dyDescent="0.25">
      <c r="A40" s="301" t="s">
        <v>304</v>
      </c>
      <c r="B40" s="302"/>
      <c r="C40" s="237"/>
      <c r="D40" s="164">
        <v>26214.080000000002</v>
      </c>
      <c r="E40" s="65" t="s">
        <v>401</v>
      </c>
      <c r="F40" s="27"/>
      <c r="G40" s="27"/>
    </row>
    <row r="41" spans="1:9" ht="32.1" customHeight="1" x14ac:dyDescent="0.25">
      <c r="A41" s="301" t="s">
        <v>304</v>
      </c>
      <c r="B41" s="302"/>
      <c r="C41" s="19"/>
      <c r="D41" s="164">
        <v>23573.47</v>
      </c>
      <c r="E41" s="65" t="s">
        <v>415</v>
      </c>
      <c r="F41" s="27"/>
      <c r="G41" s="27"/>
    </row>
    <row r="42" spans="1:9" ht="15" customHeight="1" thickBot="1" x14ac:dyDescent="0.3">
      <c r="A42" s="84" t="s">
        <v>148</v>
      </c>
      <c r="B42" s="88"/>
      <c r="C42" s="88"/>
      <c r="D42" s="165"/>
      <c r="E42" s="40">
        <f>SUM(D38:D41)</f>
        <v>248402.55000000002</v>
      </c>
      <c r="F42" s="27"/>
      <c r="G42" s="27"/>
    </row>
    <row r="43" spans="1:9" ht="15" customHeight="1" thickBot="1" x14ac:dyDescent="0.3">
      <c r="A43" s="54" t="s">
        <v>174</v>
      </c>
      <c r="B43" s="8"/>
      <c r="C43" s="8"/>
      <c r="D43" s="166"/>
      <c r="E43" s="24"/>
      <c r="F43" s="27"/>
      <c r="G43" s="27"/>
    </row>
    <row r="44" spans="1:9" ht="42.75" customHeight="1" x14ac:dyDescent="0.25">
      <c r="A44" s="301" t="s">
        <v>404</v>
      </c>
      <c r="B44" s="303"/>
      <c r="C44" s="89"/>
      <c r="D44" s="164">
        <v>52575768.960000001</v>
      </c>
      <c r="E44" s="65" t="s">
        <v>373</v>
      </c>
      <c r="F44" s="217">
        <f>D44</f>
        <v>52575768.960000001</v>
      </c>
      <c r="G44" s="217"/>
      <c r="I44" s="34"/>
    </row>
    <row r="45" spans="1:9" ht="41.25" customHeight="1" x14ac:dyDescent="0.25">
      <c r="A45" s="301" t="s">
        <v>374</v>
      </c>
      <c r="B45" s="303"/>
      <c r="C45" s="89"/>
      <c r="D45" s="164">
        <v>6304871.7599999998</v>
      </c>
      <c r="E45" s="26" t="s">
        <v>373</v>
      </c>
      <c r="F45" s="217"/>
      <c r="G45" s="27"/>
    </row>
    <row r="46" spans="1:9" ht="17.45" customHeight="1" x14ac:dyDescent="0.25">
      <c r="A46" s="84" t="s">
        <v>175</v>
      </c>
      <c r="B46" s="38"/>
      <c r="C46" s="38"/>
      <c r="D46" s="38"/>
      <c r="E46" s="41">
        <f>SUM(D44:D45)</f>
        <v>58880640.719999999</v>
      </c>
      <c r="F46" s="27"/>
      <c r="G46" s="27"/>
    </row>
    <row r="47" spans="1:9" ht="17.45" customHeight="1" x14ac:dyDescent="0.25">
      <c r="A47" s="54" t="s">
        <v>176</v>
      </c>
      <c r="B47" s="54"/>
      <c r="C47" s="54" t="s">
        <v>174</v>
      </c>
      <c r="D47" s="54"/>
      <c r="E47" s="54"/>
      <c r="F47" s="27"/>
      <c r="G47" s="27"/>
    </row>
    <row r="48" spans="1:9" ht="40.5" customHeight="1" x14ac:dyDescent="0.25">
      <c r="A48" s="301" t="s">
        <v>409</v>
      </c>
      <c r="B48" s="303"/>
      <c r="C48" s="89"/>
      <c r="D48" s="164">
        <v>1472058.6</v>
      </c>
      <c r="E48" s="26" t="s">
        <v>373</v>
      </c>
      <c r="F48" s="27"/>
      <c r="G48" s="27"/>
    </row>
    <row r="49" spans="1:7" ht="51.75" customHeight="1" x14ac:dyDescent="0.25">
      <c r="A49" s="301" t="s">
        <v>372</v>
      </c>
      <c r="B49" s="303"/>
      <c r="C49" s="89"/>
      <c r="D49" s="164">
        <v>890281.7</v>
      </c>
      <c r="E49" s="26" t="s">
        <v>364</v>
      </c>
      <c r="F49" s="27"/>
      <c r="G49" s="27"/>
    </row>
    <row r="50" spans="1:7" ht="51.75" customHeight="1" x14ac:dyDescent="0.25">
      <c r="A50" s="301" t="s">
        <v>408</v>
      </c>
      <c r="B50" s="303"/>
      <c r="C50" s="89"/>
      <c r="D50" s="164">
        <v>145751.48000000001</v>
      </c>
      <c r="E50" s="26" t="s">
        <v>373</v>
      </c>
      <c r="F50" s="27"/>
      <c r="G50" s="27"/>
    </row>
    <row r="51" spans="1:7" ht="51.75" customHeight="1" x14ac:dyDescent="0.25">
      <c r="A51" s="301" t="s">
        <v>433</v>
      </c>
      <c r="B51" s="303"/>
      <c r="C51" s="89"/>
      <c r="D51" s="164">
        <v>913550</v>
      </c>
      <c r="E51" s="26" t="s">
        <v>431</v>
      </c>
      <c r="F51" s="27"/>
      <c r="G51" s="27"/>
    </row>
    <row r="52" spans="1:7" ht="51.75" customHeight="1" x14ac:dyDescent="0.25">
      <c r="A52" s="301" t="s">
        <v>434</v>
      </c>
      <c r="B52" s="303"/>
      <c r="C52" s="89"/>
      <c r="D52" s="164">
        <v>756250</v>
      </c>
      <c r="E52" s="26" t="s">
        <v>431</v>
      </c>
      <c r="F52" s="27"/>
      <c r="G52" s="27"/>
    </row>
    <row r="53" spans="1:7" ht="37.5" customHeight="1" x14ac:dyDescent="0.25">
      <c r="A53" s="301" t="s">
        <v>383</v>
      </c>
      <c r="B53" s="302"/>
      <c r="C53" s="90"/>
      <c r="D53" s="164">
        <v>7500000</v>
      </c>
      <c r="E53" s="223" t="s">
        <v>378</v>
      </c>
      <c r="F53" s="27"/>
      <c r="G53" s="27"/>
    </row>
    <row r="54" spans="1:7" ht="37.5" customHeight="1" x14ac:dyDescent="0.25">
      <c r="A54" s="301" t="s">
        <v>424</v>
      </c>
      <c r="B54" s="302"/>
      <c r="C54" s="90"/>
      <c r="D54" s="164">
        <v>700000</v>
      </c>
      <c r="E54" s="223" t="s">
        <v>360</v>
      </c>
      <c r="F54" s="27"/>
      <c r="G54" s="27"/>
    </row>
    <row r="55" spans="1:7" ht="39" customHeight="1" x14ac:dyDescent="0.25">
      <c r="A55" s="301" t="s">
        <v>355</v>
      </c>
      <c r="B55" s="302"/>
      <c r="C55" s="90"/>
      <c r="D55" s="164">
        <v>228690</v>
      </c>
      <c r="E55" s="66" t="s">
        <v>373</v>
      </c>
      <c r="F55" s="27"/>
      <c r="G55" s="27"/>
    </row>
    <row r="56" spans="1:7" ht="48" customHeight="1" x14ac:dyDescent="0.25">
      <c r="A56" s="301" t="s">
        <v>413</v>
      </c>
      <c r="B56" s="302"/>
      <c r="C56" s="90"/>
      <c r="D56" s="164">
        <v>325668</v>
      </c>
      <c r="E56" s="66" t="s">
        <v>366</v>
      </c>
      <c r="F56" s="27"/>
      <c r="G56" s="27"/>
    </row>
    <row r="57" spans="1:7" ht="44.25" customHeight="1" x14ac:dyDescent="0.25">
      <c r="A57" s="301" t="s">
        <v>414</v>
      </c>
      <c r="B57" s="302"/>
      <c r="C57" s="90"/>
      <c r="D57" s="164">
        <v>943800</v>
      </c>
      <c r="E57" s="26" t="s">
        <v>362</v>
      </c>
      <c r="F57" s="27"/>
      <c r="G57" s="27"/>
    </row>
    <row r="58" spans="1:7" ht="37.5" customHeight="1" x14ac:dyDescent="0.25">
      <c r="A58" s="301" t="s">
        <v>453</v>
      </c>
      <c r="B58" s="302"/>
      <c r="C58" s="90"/>
      <c r="D58" s="164">
        <v>0</v>
      </c>
      <c r="E58" s="223"/>
      <c r="F58" s="27"/>
      <c r="G58" s="27"/>
    </row>
    <row r="59" spans="1:7" ht="37.5" customHeight="1" x14ac:dyDescent="0.25">
      <c r="A59" s="301" t="s">
        <v>375</v>
      </c>
      <c r="B59" s="302"/>
      <c r="C59" s="90"/>
      <c r="D59" s="164">
        <v>120000</v>
      </c>
      <c r="E59" s="66" t="s">
        <v>373</v>
      </c>
      <c r="F59" s="27"/>
      <c r="G59" s="27"/>
    </row>
    <row r="60" spans="1:7" ht="37.5" customHeight="1" x14ac:dyDescent="0.25">
      <c r="A60" s="301" t="s">
        <v>382</v>
      </c>
      <c r="B60" s="302"/>
      <c r="C60" s="90"/>
      <c r="D60" s="164">
        <v>360000</v>
      </c>
      <c r="E60" s="223" t="s">
        <v>378</v>
      </c>
      <c r="F60" s="27"/>
      <c r="G60" s="27"/>
    </row>
    <row r="61" spans="1:7" ht="60.75" customHeight="1" x14ac:dyDescent="0.25">
      <c r="A61" s="301" t="s">
        <v>423</v>
      </c>
      <c r="B61" s="302"/>
      <c r="C61" s="90"/>
      <c r="D61" s="164">
        <v>480000</v>
      </c>
      <c r="E61" s="223" t="s">
        <v>360</v>
      </c>
      <c r="F61" s="27"/>
      <c r="G61" s="27"/>
    </row>
    <row r="62" spans="1:7" ht="60.75" customHeight="1" x14ac:dyDescent="0.25">
      <c r="A62" s="301" t="s">
        <v>436</v>
      </c>
      <c r="B62" s="302"/>
      <c r="C62" s="90"/>
      <c r="D62" s="164">
        <v>480000</v>
      </c>
      <c r="E62" s="223" t="s">
        <v>431</v>
      </c>
      <c r="F62" s="27"/>
      <c r="G62" s="27"/>
    </row>
    <row r="63" spans="1:7" ht="60.75" customHeight="1" x14ac:dyDescent="0.25">
      <c r="A63" s="301" t="s">
        <v>458</v>
      </c>
      <c r="B63" s="302"/>
      <c r="C63" s="90"/>
      <c r="D63" s="164">
        <v>360000</v>
      </c>
      <c r="E63" s="223" t="s">
        <v>459</v>
      </c>
      <c r="F63" s="27"/>
      <c r="G63" s="27"/>
    </row>
    <row r="64" spans="1:7" ht="39.75" customHeight="1" x14ac:dyDescent="0.25">
      <c r="A64" s="301" t="s">
        <v>391</v>
      </c>
      <c r="B64" s="302"/>
      <c r="C64" s="90"/>
      <c r="D64" s="164">
        <v>150000</v>
      </c>
      <c r="E64" s="223" t="s">
        <v>373</v>
      </c>
      <c r="F64" s="27"/>
      <c r="G64" s="27"/>
    </row>
    <row r="65" spans="1:8" ht="25.5" customHeight="1" x14ac:dyDescent="0.25">
      <c r="A65" s="301" t="s">
        <v>356</v>
      </c>
      <c r="B65" s="302"/>
      <c r="C65" s="90"/>
      <c r="D65" s="164">
        <v>1600000</v>
      </c>
      <c r="E65" s="66" t="s">
        <v>364</v>
      </c>
      <c r="F65" s="27"/>
      <c r="G65" s="27"/>
    </row>
    <row r="66" spans="1:8" ht="51" customHeight="1" x14ac:dyDescent="0.25">
      <c r="A66" s="301" t="s">
        <v>390</v>
      </c>
      <c r="B66" s="302"/>
      <c r="C66" s="19"/>
      <c r="D66" s="164">
        <v>2877995</v>
      </c>
      <c r="E66" s="223" t="s">
        <v>373</v>
      </c>
      <c r="F66" s="27"/>
      <c r="G66" s="218"/>
      <c r="H66" s="74"/>
    </row>
    <row r="67" spans="1:8" ht="15.75" thickBot="1" x14ac:dyDescent="0.3">
      <c r="A67" s="84" t="s">
        <v>177</v>
      </c>
      <c r="B67" s="38"/>
      <c r="C67" s="38"/>
      <c r="D67" s="38"/>
      <c r="E67" s="122">
        <f>SUM(D48:D66)</f>
        <v>20304044.780000001</v>
      </c>
      <c r="F67" s="27"/>
      <c r="G67" s="27"/>
    </row>
    <row r="68" spans="1:8" ht="15.75" thickBot="1" x14ac:dyDescent="0.3">
      <c r="A68" s="7" t="s">
        <v>178</v>
      </c>
      <c r="B68" s="91"/>
      <c r="C68" s="8"/>
      <c r="D68" s="167"/>
      <c r="E68" s="24"/>
      <c r="F68" s="27"/>
      <c r="G68" s="27"/>
    </row>
    <row r="69" spans="1:8" ht="53.25" customHeight="1" x14ac:dyDescent="0.25">
      <c r="A69" s="301" t="s">
        <v>377</v>
      </c>
      <c r="B69" s="303"/>
      <c r="C69" s="302"/>
      <c r="D69" s="273">
        <v>1798000</v>
      </c>
      <c r="E69" s="223" t="s">
        <v>378</v>
      </c>
      <c r="F69" s="27"/>
      <c r="G69" s="27"/>
    </row>
    <row r="70" spans="1:8" ht="166.5" customHeight="1" x14ac:dyDescent="0.25">
      <c r="A70" s="301" t="s">
        <v>451</v>
      </c>
      <c r="B70" s="303"/>
      <c r="C70" s="256"/>
      <c r="D70" s="273">
        <v>1900000</v>
      </c>
      <c r="E70" s="223" t="s">
        <v>450</v>
      </c>
      <c r="F70" s="27"/>
      <c r="G70" s="27"/>
    </row>
    <row r="71" spans="1:8" ht="149.25" customHeight="1" x14ac:dyDescent="0.25">
      <c r="A71" s="301" t="s">
        <v>452</v>
      </c>
      <c r="B71" s="303"/>
      <c r="C71" s="256"/>
      <c r="D71" s="273">
        <v>2000000</v>
      </c>
      <c r="E71" s="223" t="s">
        <v>450</v>
      </c>
      <c r="F71" s="27"/>
      <c r="G71" s="27"/>
    </row>
    <row r="72" spans="1:8" ht="60.75" customHeight="1" x14ac:dyDescent="0.25">
      <c r="A72" s="301" t="s">
        <v>381</v>
      </c>
      <c r="B72" s="303"/>
      <c r="C72" s="302"/>
      <c r="D72" s="273">
        <v>1922000</v>
      </c>
      <c r="E72" s="223" t="s">
        <v>378</v>
      </c>
      <c r="F72" s="27"/>
      <c r="G72" s="27"/>
    </row>
    <row r="73" spans="1:8" ht="91.15" customHeight="1" x14ac:dyDescent="0.25">
      <c r="A73" s="301" t="s">
        <v>398</v>
      </c>
      <c r="B73" s="303"/>
      <c r="C73" s="302"/>
      <c r="D73" s="273">
        <v>1000000</v>
      </c>
      <c r="E73" s="223" t="s">
        <v>378</v>
      </c>
      <c r="F73" s="27"/>
      <c r="G73" s="27"/>
    </row>
    <row r="74" spans="1:8" ht="154.5" customHeight="1" x14ac:dyDescent="0.25">
      <c r="A74" s="301" t="s">
        <v>443</v>
      </c>
      <c r="B74" s="303"/>
      <c r="C74" s="302"/>
      <c r="D74" s="273">
        <v>2690000</v>
      </c>
      <c r="E74" s="223" t="s">
        <v>442</v>
      </c>
      <c r="F74" s="27"/>
      <c r="G74" s="27"/>
    </row>
    <row r="75" spans="1:8" ht="111.75" customHeight="1" x14ac:dyDescent="0.25">
      <c r="A75" s="301" t="s">
        <v>425</v>
      </c>
      <c r="B75" s="302"/>
      <c r="C75" s="19"/>
      <c r="D75" s="273">
        <v>820000</v>
      </c>
      <c r="E75" s="67" t="s">
        <v>426</v>
      </c>
      <c r="F75" s="27"/>
      <c r="G75" s="27"/>
    </row>
    <row r="76" spans="1:8" ht="35.25" customHeight="1" x14ac:dyDescent="0.25">
      <c r="A76" s="301" t="s">
        <v>422</v>
      </c>
      <c r="B76" s="302"/>
      <c r="C76" s="86"/>
      <c r="D76" s="273">
        <v>130000</v>
      </c>
      <c r="E76" s="129" t="s">
        <v>373</v>
      </c>
      <c r="F76" s="218"/>
      <c r="G76" s="27"/>
    </row>
    <row r="77" spans="1:8" ht="55.5" customHeight="1" x14ac:dyDescent="0.25">
      <c r="A77" s="301" t="s">
        <v>371</v>
      </c>
      <c r="B77" s="302"/>
      <c r="C77" s="86"/>
      <c r="D77" s="273">
        <v>350000</v>
      </c>
      <c r="E77" s="129" t="s">
        <v>364</v>
      </c>
      <c r="F77" s="27"/>
      <c r="G77" s="27"/>
    </row>
    <row r="78" spans="1:8" ht="51" customHeight="1" x14ac:dyDescent="0.25">
      <c r="A78" s="301" t="s">
        <v>399</v>
      </c>
      <c r="B78" s="302"/>
      <c r="C78" s="86"/>
      <c r="D78" s="273">
        <v>36500</v>
      </c>
      <c r="E78" s="129" t="s">
        <v>378</v>
      </c>
      <c r="F78" s="218"/>
      <c r="G78" s="27"/>
    </row>
    <row r="79" spans="1:8" ht="40.9" customHeight="1" x14ac:dyDescent="0.25">
      <c r="A79" s="301" t="s">
        <v>400</v>
      </c>
      <c r="B79" s="302"/>
      <c r="C79" s="86"/>
      <c r="D79" s="273">
        <v>363675.38</v>
      </c>
      <c r="E79" s="129" t="s">
        <v>378</v>
      </c>
      <c r="F79" s="218"/>
      <c r="G79" s="27"/>
    </row>
    <row r="80" spans="1:8" ht="40.9" customHeight="1" x14ac:dyDescent="0.25">
      <c r="A80" s="301" t="s">
        <v>384</v>
      </c>
      <c r="B80" s="302"/>
      <c r="C80" s="86"/>
      <c r="D80" s="273">
        <v>365000</v>
      </c>
      <c r="E80" s="129" t="s">
        <v>378</v>
      </c>
      <c r="F80" s="218"/>
      <c r="G80" s="27"/>
    </row>
    <row r="81" spans="1:7" ht="82.5" customHeight="1" x14ac:dyDescent="0.25">
      <c r="A81" s="301" t="s">
        <v>417</v>
      </c>
      <c r="B81" s="302"/>
      <c r="C81" s="86"/>
      <c r="D81" s="273">
        <v>34010</v>
      </c>
      <c r="E81" s="73" t="s">
        <v>376</v>
      </c>
      <c r="F81" s="27"/>
      <c r="G81" s="27"/>
    </row>
    <row r="82" spans="1:7" ht="55.5" customHeight="1" x14ac:dyDescent="0.25">
      <c r="A82" s="301" t="s">
        <v>393</v>
      </c>
      <c r="B82" s="302"/>
      <c r="C82" s="86"/>
      <c r="D82" s="273">
        <v>363000</v>
      </c>
      <c r="E82" s="129" t="s">
        <v>394</v>
      </c>
      <c r="F82" s="27"/>
      <c r="G82" s="27"/>
    </row>
    <row r="83" spans="1:7" ht="55.5" customHeight="1" x14ac:dyDescent="0.25">
      <c r="A83" s="301" t="s">
        <v>427</v>
      </c>
      <c r="B83" s="302"/>
      <c r="C83" s="86"/>
      <c r="D83" s="273">
        <v>132000</v>
      </c>
      <c r="E83" s="129" t="s">
        <v>426</v>
      </c>
      <c r="F83" s="27"/>
      <c r="G83" s="27"/>
    </row>
    <row r="84" spans="1:7" ht="55.5" customHeight="1" x14ac:dyDescent="0.25">
      <c r="A84" s="301" t="s">
        <v>454</v>
      </c>
      <c r="B84" s="302"/>
      <c r="C84" s="86"/>
      <c r="D84" s="273">
        <v>268760</v>
      </c>
      <c r="E84" s="129" t="s">
        <v>438</v>
      </c>
      <c r="F84" s="27"/>
      <c r="G84" s="27"/>
    </row>
    <row r="85" spans="1:7" ht="55.5" customHeight="1" x14ac:dyDescent="0.25">
      <c r="A85" s="301" t="s">
        <v>428</v>
      </c>
      <c r="B85" s="302"/>
      <c r="C85" s="86"/>
      <c r="D85" s="273">
        <v>242600</v>
      </c>
      <c r="E85" s="129" t="s">
        <v>426</v>
      </c>
      <c r="F85" s="27"/>
      <c r="G85" s="27"/>
    </row>
    <row r="86" spans="1:7" ht="55.5" customHeight="1" x14ac:dyDescent="0.25">
      <c r="A86" s="301" t="s">
        <v>435</v>
      </c>
      <c r="B86" s="302"/>
      <c r="C86" s="86"/>
      <c r="D86" s="273">
        <v>386381.46</v>
      </c>
      <c r="E86" s="129" t="s">
        <v>431</v>
      </c>
      <c r="F86" s="27"/>
      <c r="G86" s="27"/>
    </row>
    <row r="87" spans="1:7" ht="36" customHeight="1" x14ac:dyDescent="0.25">
      <c r="A87" s="301" t="s">
        <v>369</v>
      </c>
      <c r="B87" s="302"/>
      <c r="C87" s="86"/>
      <c r="D87" s="273">
        <v>1200000</v>
      </c>
      <c r="E87" s="129" t="s">
        <v>366</v>
      </c>
      <c r="F87" s="27"/>
      <c r="G87" s="27"/>
    </row>
    <row r="88" spans="1:7" ht="31.15" customHeight="1" x14ac:dyDescent="0.25">
      <c r="A88" s="301" t="s">
        <v>389</v>
      </c>
      <c r="B88" s="302"/>
      <c r="C88" s="86"/>
      <c r="D88" s="273">
        <v>607420</v>
      </c>
      <c r="E88" s="129" t="s">
        <v>373</v>
      </c>
      <c r="F88" s="27"/>
      <c r="G88" s="27"/>
    </row>
    <row r="89" spans="1:7" ht="271.5" customHeight="1" x14ac:dyDescent="0.25">
      <c r="A89" s="301" t="s">
        <v>420</v>
      </c>
      <c r="B89" s="302"/>
      <c r="C89" s="86"/>
      <c r="D89" s="273">
        <v>8120483.25</v>
      </c>
      <c r="E89" s="129" t="s">
        <v>360</v>
      </c>
      <c r="F89" s="27"/>
      <c r="G89" s="27"/>
    </row>
    <row r="90" spans="1:7" ht="38.25" customHeight="1" x14ac:dyDescent="0.25">
      <c r="A90" s="301" t="s">
        <v>421</v>
      </c>
      <c r="B90" s="302"/>
      <c r="C90" s="86"/>
      <c r="D90" s="273">
        <v>1000000</v>
      </c>
      <c r="E90" s="129" t="s">
        <v>360</v>
      </c>
      <c r="F90" s="27"/>
      <c r="G90" s="27"/>
    </row>
    <row r="91" spans="1:7" ht="41.45" customHeight="1" x14ac:dyDescent="0.25">
      <c r="A91" s="301" t="s">
        <v>432</v>
      </c>
      <c r="B91" s="302"/>
      <c r="C91" s="86"/>
      <c r="D91" s="273">
        <v>303000</v>
      </c>
      <c r="E91" s="73" t="s">
        <v>431</v>
      </c>
      <c r="F91" s="27"/>
      <c r="G91" s="27"/>
    </row>
    <row r="92" spans="1:7" ht="35.1" customHeight="1" x14ac:dyDescent="0.25">
      <c r="A92" s="301" t="s">
        <v>392</v>
      </c>
      <c r="B92" s="302"/>
      <c r="C92" s="86"/>
      <c r="D92" s="273">
        <v>253700</v>
      </c>
      <c r="E92" s="73" t="s">
        <v>373</v>
      </c>
      <c r="F92" s="27"/>
      <c r="G92" s="27"/>
    </row>
    <row r="93" spans="1:7" ht="35.1" customHeight="1" x14ac:dyDescent="0.25">
      <c r="A93" s="301" t="s">
        <v>444</v>
      </c>
      <c r="B93" s="302"/>
      <c r="C93" s="86"/>
      <c r="D93" s="273">
        <v>112400</v>
      </c>
      <c r="E93" s="73" t="s">
        <v>445</v>
      </c>
      <c r="F93" s="27"/>
      <c r="G93" s="27"/>
    </row>
    <row r="94" spans="1:7" ht="35.1" customHeight="1" x14ac:dyDescent="0.25">
      <c r="A94" s="301" t="s">
        <v>416</v>
      </c>
      <c r="B94" s="302"/>
      <c r="C94" s="86"/>
      <c r="D94" s="273">
        <v>1500000</v>
      </c>
      <c r="E94" s="129" t="s">
        <v>368</v>
      </c>
      <c r="F94" s="27"/>
      <c r="G94" s="27"/>
    </row>
    <row r="95" spans="1:7" ht="35.1" customHeight="1" x14ac:dyDescent="0.25">
      <c r="A95" s="301" t="s">
        <v>370</v>
      </c>
      <c r="B95" s="302"/>
      <c r="C95" s="86"/>
      <c r="D95" s="273">
        <v>2100000</v>
      </c>
      <c r="E95" s="129" t="s">
        <v>364</v>
      </c>
      <c r="F95" s="27"/>
      <c r="G95" s="27"/>
    </row>
    <row r="96" spans="1:7" ht="35.1" customHeight="1" x14ac:dyDescent="0.25">
      <c r="A96" s="301" t="s">
        <v>367</v>
      </c>
      <c r="B96" s="302"/>
      <c r="C96" s="86"/>
      <c r="D96" s="273">
        <v>1500000</v>
      </c>
      <c r="E96" s="129" t="s">
        <v>368</v>
      </c>
      <c r="F96" s="27"/>
      <c r="G96" s="27"/>
    </row>
    <row r="97" spans="1:7" ht="35.1" customHeight="1" x14ac:dyDescent="0.25">
      <c r="A97" s="301" t="s">
        <v>402</v>
      </c>
      <c r="B97" s="302"/>
      <c r="C97" s="86"/>
      <c r="D97" s="273">
        <v>1500000</v>
      </c>
      <c r="E97" s="129" t="s">
        <v>403</v>
      </c>
      <c r="F97" s="27"/>
      <c r="G97" s="27"/>
    </row>
    <row r="98" spans="1:7" ht="35.1" customHeight="1" x14ac:dyDescent="0.25">
      <c r="A98" s="301" t="s">
        <v>437</v>
      </c>
      <c r="B98" s="302"/>
      <c r="C98" s="86"/>
      <c r="D98" s="273">
        <v>2550000</v>
      </c>
      <c r="E98" s="129" t="s">
        <v>431</v>
      </c>
      <c r="F98" s="27"/>
      <c r="G98" s="27"/>
    </row>
    <row r="99" spans="1:7" ht="35.1" customHeight="1" x14ac:dyDescent="0.25">
      <c r="A99" s="301" t="s">
        <v>363</v>
      </c>
      <c r="B99" s="302"/>
      <c r="C99" s="86"/>
      <c r="D99" s="273">
        <v>134310</v>
      </c>
      <c r="E99" s="129" t="s">
        <v>362</v>
      </c>
      <c r="F99" s="27"/>
      <c r="G99" s="27"/>
    </row>
    <row r="100" spans="1:7" ht="41.45" customHeight="1" x14ac:dyDescent="0.25">
      <c r="A100" s="301" t="s">
        <v>361</v>
      </c>
      <c r="B100" s="302"/>
      <c r="C100" s="86"/>
      <c r="D100" s="273">
        <v>132173.57999999999</v>
      </c>
      <c r="E100" s="73" t="s">
        <v>418</v>
      </c>
      <c r="F100" s="27"/>
      <c r="G100" s="27"/>
    </row>
    <row r="101" spans="1:7" ht="41.45" customHeight="1" x14ac:dyDescent="0.25">
      <c r="A101" s="301" t="s">
        <v>396</v>
      </c>
      <c r="B101" s="302"/>
      <c r="C101" s="86"/>
      <c r="D101" s="273">
        <v>80361.81</v>
      </c>
      <c r="E101" s="73" t="s">
        <v>395</v>
      </c>
      <c r="F101" s="27"/>
      <c r="G101" s="27"/>
    </row>
    <row r="102" spans="1:7" ht="55.9" customHeight="1" x14ac:dyDescent="0.25">
      <c r="A102" s="301" t="s">
        <v>411</v>
      </c>
      <c r="B102" s="302"/>
      <c r="C102" s="86"/>
      <c r="D102" s="273">
        <v>43590.79</v>
      </c>
      <c r="E102" s="73" t="s">
        <v>394</v>
      </c>
      <c r="F102" s="27"/>
      <c r="G102" s="27"/>
    </row>
    <row r="103" spans="1:7" ht="35.1" customHeight="1" x14ac:dyDescent="0.25">
      <c r="A103" s="301" t="s">
        <v>385</v>
      </c>
      <c r="B103" s="302"/>
      <c r="C103" s="86"/>
      <c r="D103" s="273">
        <v>322000</v>
      </c>
      <c r="E103" s="129" t="s">
        <v>378</v>
      </c>
      <c r="F103" s="27"/>
      <c r="G103" s="27"/>
    </row>
    <row r="104" spans="1:7" ht="15.75" thickBot="1" x14ac:dyDescent="0.3">
      <c r="A104" s="92" t="s">
        <v>179</v>
      </c>
      <c r="B104" s="92"/>
      <c r="C104" s="92"/>
      <c r="D104" s="168"/>
      <c r="E104" s="69">
        <f>SUM(D69:D103)</f>
        <v>36261366.270000003</v>
      </c>
      <c r="F104" s="27"/>
      <c r="G104" s="27"/>
    </row>
    <row r="105" spans="1:7" x14ac:dyDescent="0.25">
      <c r="A105" s="7" t="s">
        <v>12</v>
      </c>
      <c r="B105" s="7"/>
      <c r="C105" s="7"/>
      <c r="D105" s="169"/>
      <c r="E105" s="21"/>
      <c r="F105" s="27"/>
      <c r="G105" s="27"/>
    </row>
    <row r="106" spans="1:7" ht="23.45" customHeight="1" x14ac:dyDescent="0.25">
      <c r="A106" s="301" t="s">
        <v>357</v>
      </c>
      <c r="B106" s="302"/>
      <c r="C106" s="19"/>
      <c r="D106" s="274">
        <v>3218160</v>
      </c>
      <c r="E106" s="73" t="s">
        <v>466</v>
      </c>
      <c r="F106" s="27"/>
      <c r="G106" s="27"/>
    </row>
    <row r="107" spans="1:7" ht="15.75" thickBot="1" x14ac:dyDescent="0.3">
      <c r="A107" s="84" t="s">
        <v>149</v>
      </c>
      <c r="B107" s="84"/>
      <c r="C107" s="84"/>
      <c r="D107" s="162"/>
      <c r="E107" s="70">
        <f>SUM(D106:D106)</f>
        <v>3218160</v>
      </c>
      <c r="F107" s="27"/>
      <c r="G107" s="27"/>
    </row>
    <row r="108" spans="1:7" ht="15.75" thickBot="1" x14ac:dyDescent="0.3">
      <c r="A108" s="7" t="s">
        <v>7</v>
      </c>
      <c r="B108" s="91"/>
      <c r="C108" s="8"/>
      <c r="D108" s="167"/>
      <c r="E108" s="24"/>
      <c r="F108" s="27"/>
      <c r="G108" s="27"/>
    </row>
    <row r="109" spans="1:7" x14ac:dyDescent="0.25">
      <c r="A109" s="19" t="s">
        <v>22</v>
      </c>
      <c r="B109" s="19"/>
      <c r="C109" s="19"/>
      <c r="D109" s="164">
        <f>2380341-1161</f>
        <v>2379180</v>
      </c>
      <c r="E109" s="26"/>
      <c r="F109" s="27"/>
      <c r="G109" s="27"/>
    </row>
    <row r="110" spans="1:7" x14ac:dyDescent="0.25">
      <c r="A110" s="19" t="s">
        <v>23</v>
      </c>
      <c r="B110" s="19"/>
      <c r="C110" s="19"/>
      <c r="D110" s="164">
        <v>69000</v>
      </c>
      <c r="E110" s="25"/>
      <c r="F110" s="27"/>
      <c r="G110" s="27"/>
    </row>
    <row r="111" spans="1:7" x14ac:dyDescent="0.25">
      <c r="A111" s="93" t="s">
        <v>150</v>
      </c>
      <c r="B111" s="93"/>
      <c r="C111" s="93"/>
      <c r="D111" s="170"/>
      <c r="E111" s="72">
        <f>SUM(D109:D110)</f>
        <v>2448180</v>
      </c>
      <c r="F111" s="27"/>
      <c r="G111" s="27"/>
    </row>
    <row r="112" spans="1:7" x14ac:dyDescent="0.25">
      <c r="A112" s="19"/>
      <c r="B112" s="19"/>
      <c r="C112" s="19"/>
      <c r="D112" s="19"/>
      <c r="E112" s="43"/>
      <c r="F112" s="27"/>
      <c r="G112" s="27"/>
    </row>
    <row r="113" spans="1:7" x14ac:dyDescent="0.25">
      <c r="A113" s="19"/>
      <c r="B113" s="19"/>
      <c r="C113" s="19"/>
      <c r="D113" s="19"/>
      <c r="E113" s="43"/>
      <c r="F113" s="217"/>
      <c r="G113" s="219"/>
    </row>
    <row r="114" spans="1:7" ht="15.75" thickBot="1" x14ac:dyDescent="0.3">
      <c r="A114" s="94" t="s">
        <v>8</v>
      </c>
      <c r="B114" s="95"/>
      <c r="C114" s="42"/>
      <c r="D114" s="42"/>
      <c r="E114" s="127">
        <f>(SUM(E30:E112))</f>
        <v>126993983.99000001</v>
      </c>
      <c r="F114" s="220"/>
      <c r="G114" s="27"/>
    </row>
    <row r="115" spans="1:7" x14ac:dyDescent="0.25">
      <c r="A115" s="27"/>
      <c r="B115" s="27"/>
      <c r="C115" s="27"/>
      <c r="D115" s="27"/>
      <c r="E115" s="27"/>
      <c r="F115" s="27"/>
      <c r="G115" s="27"/>
    </row>
    <row r="116" spans="1:7" x14ac:dyDescent="0.25">
      <c r="A116" s="27"/>
      <c r="B116" s="27"/>
      <c r="C116" s="27"/>
      <c r="D116" s="27"/>
      <c r="E116" s="27"/>
      <c r="F116" s="27"/>
      <c r="G116" s="27"/>
    </row>
    <row r="117" spans="1:7" x14ac:dyDescent="0.25">
      <c r="A117" s="96" t="s">
        <v>9</v>
      </c>
      <c r="B117" s="37"/>
      <c r="C117" s="37"/>
      <c r="D117" s="37"/>
      <c r="E117" s="37"/>
      <c r="F117" s="27"/>
      <c r="G117" s="27"/>
    </row>
    <row r="118" spans="1:7" ht="31.5" customHeight="1" x14ac:dyDescent="0.25">
      <c r="A118" s="301" t="s">
        <v>365</v>
      </c>
      <c r="B118" s="302"/>
      <c r="C118" s="19"/>
      <c r="D118" s="164">
        <v>2574957.5</v>
      </c>
      <c r="E118" s="43" t="s">
        <v>366</v>
      </c>
      <c r="F118" s="27">
        <f>1</f>
        <v>1</v>
      </c>
      <c r="G118" s="27"/>
    </row>
    <row r="119" spans="1:7" ht="31.5" customHeight="1" x14ac:dyDescent="0.25">
      <c r="A119" s="301" t="s">
        <v>336</v>
      </c>
      <c r="B119" s="302"/>
      <c r="C119" s="19"/>
      <c r="D119" s="164">
        <v>83694.649999999994</v>
      </c>
      <c r="E119" s="210" t="s">
        <v>429</v>
      </c>
      <c r="F119" s="27">
        <f>F118+1</f>
        <v>2</v>
      </c>
      <c r="G119" s="27"/>
    </row>
    <row r="120" spans="1:7" ht="31.5" customHeight="1" x14ac:dyDescent="0.25">
      <c r="A120" s="301" t="s">
        <v>337</v>
      </c>
      <c r="B120" s="302"/>
      <c r="C120" s="19"/>
      <c r="D120" s="164">
        <v>83694.649999999994</v>
      </c>
      <c r="E120" s="210" t="str">
        <f>E119</f>
        <v>Debito 22/09</v>
      </c>
      <c r="F120" s="27">
        <f t="shared" ref="F120:F130" si="0">F119+1</f>
        <v>3</v>
      </c>
      <c r="G120" s="27"/>
    </row>
    <row r="121" spans="1:7" ht="31.5" customHeight="1" x14ac:dyDescent="0.25">
      <c r="A121" s="301" t="s">
        <v>338</v>
      </c>
      <c r="B121" s="302"/>
      <c r="C121" s="19"/>
      <c r="D121" s="164">
        <v>76773.23</v>
      </c>
      <c r="E121" s="210" t="str">
        <f>E120</f>
        <v>Debito 22/09</v>
      </c>
      <c r="F121" s="27">
        <f t="shared" si="0"/>
        <v>4</v>
      </c>
      <c r="G121" s="27"/>
    </row>
    <row r="122" spans="1:7" ht="31.5" customHeight="1" x14ac:dyDescent="0.25">
      <c r="A122" s="301" t="s">
        <v>347</v>
      </c>
      <c r="B122" s="302"/>
      <c r="C122" s="19"/>
      <c r="D122" s="164">
        <v>82044.789999999994</v>
      </c>
      <c r="E122" s="210" t="s">
        <v>364</v>
      </c>
      <c r="F122" s="27">
        <f t="shared" si="0"/>
        <v>5</v>
      </c>
      <c r="G122" s="27"/>
    </row>
    <row r="123" spans="1:7" ht="31.5" customHeight="1" x14ac:dyDescent="0.25">
      <c r="A123" s="301" t="s">
        <v>339</v>
      </c>
      <c r="B123" s="302"/>
      <c r="C123" s="19"/>
      <c r="D123" s="164">
        <v>512864.3</v>
      </c>
      <c r="E123" s="210" t="s">
        <v>364</v>
      </c>
      <c r="F123" s="27">
        <f t="shared" si="0"/>
        <v>6</v>
      </c>
      <c r="G123" s="27"/>
    </row>
    <row r="124" spans="1:7" ht="31.5" customHeight="1" x14ac:dyDescent="0.25">
      <c r="A124" s="301" t="s">
        <v>340</v>
      </c>
      <c r="B124" s="302"/>
      <c r="C124" s="19"/>
      <c r="D124" s="164">
        <v>1267805.3700000001</v>
      </c>
      <c r="E124" s="210" t="s">
        <v>419</v>
      </c>
      <c r="F124" s="27">
        <f t="shared" si="0"/>
        <v>7</v>
      </c>
      <c r="G124" s="27"/>
    </row>
    <row r="125" spans="1:7" ht="31.5" customHeight="1" x14ac:dyDescent="0.25">
      <c r="A125" s="301" t="s">
        <v>341</v>
      </c>
      <c r="B125" s="302"/>
      <c r="C125" s="19"/>
      <c r="D125" s="164">
        <v>184910.38</v>
      </c>
      <c r="E125" s="210" t="s">
        <v>373</v>
      </c>
      <c r="F125" s="27">
        <f t="shared" si="0"/>
        <v>8</v>
      </c>
      <c r="G125" s="27"/>
    </row>
    <row r="126" spans="1:7" ht="31.5" customHeight="1" x14ac:dyDescent="0.25">
      <c r="A126" s="301" t="s">
        <v>341</v>
      </c>
      <c r="B126" s="302"/>
      <c r="C126" s="19"/>
      <c r="D126" s="164">
        <v>227417.49</v>
      </c>
      <c r="E126" s="210" t="s">
        <v>429</v>
      </c>
      <c r="F126" s="27"/>
      <c r="G126" s="27"/>
    </row>
    <row r="127" spans="1:7" ht="31.5" customHeight="1" x14ac:dyDescent="0.25">
      <c r="A127" s="301" t="s">
        <v>465</v>
      </c>
      <c r="B127" s="302"/>
      <c r="C127" s="19"/>
      <c r="D127" s="164">
        <v>180329.69</v>
      </c>
      <c r="E127" s="210" t="s">
        <v>439</v>
      </c>
      <c r="F127" s="27">
        <f>F125+1</f>
        <v>9</v>
      </c>
      <c r="G127" s="27"/>
    </row>
    <row r="128" spans="1:7" ht="31.5" customHeight="1" x14ac:dyDescent="0.25">
      <c r="A128" s="301" t="s">
        <v>342</v>
      </c>
      <c r="B128" s="302"/>
      <c r="C128" s="237"/>
      <c r="D128" s="164">
        <v>282953.93</v>
      </c>
      <c r="E128" s="210" t="s">
        <v>455</v>
      </c>
      <c r="F128" s="27"/>
      <c r="G128" s="27"/>
    </row>
    <row r="129" spans="1:7" ht="31.5" customHeight="1" x14ac:dyDescent="0.25">
      <c r="A129" s="301" t="s">
        <v>343</v>
      </c>
      <c r="B129" s="302"/>
      <c r="C129" s="19"/>
      <c r="D129" s="164">
        <v>285600.08</v>
      </c>
      <c r="E129" s="210" t="s">
        <v>429</v>
      </c>
      <c r="F129" s="27">
        <f>F127+1</f>
        <v>10</v>
      </c>
      <c r="G129" s="27"/>
    </row>
    <row r="130" spans="1:7" ht="31.5" customHeight="1" x14ac:dyDescent="0.25">
      <c r="A130" s="301" t="s">
        <v>344</v>
      </c>
      <c r="B130" s="302"/>
      <c r="C130" s="19"/>
      <c r="D130" s="164">
        <v>285600.08</v>
      </c>
      <c r="E130" s="210" t="s">
        <v>429</v>
      </c>
      <c r="F130" s="27">
        <f t="shared" si="0"/>
        <v>11</v>
      </c>
      <c r="G130" s="27"/>
    </row>
    <row r="131" spans="1:7" ht="30" customHeight="1" x14ac:dyDescent="0.25">
      <c r="A131" s="304" t="s">
        <v>386</v>
      </c>
      <c r="B131" s="305"/>
      <c r="C131" s="19"/>
      <c r="D131" s="164">
        <v>1314489</v>
      </c>
      <c r="E131" s="73" t="s">
        <v>373</v>
      </c>
      <c r="F131" s="27"/>
      <c r="G131" s="27"/>
    </row>
    <row r="132" spans="1:7" ht="39.75" customHeight="1" x14ac:dyDescent="0.25">
      <c r="A132" s="304" t="s">
        <v>388</v>
      </c>
      <c r="B132" s="305"/>
      <c r="C132" s="19"/>
      <c r="D132" s="164">
        <v>465749</v>
      </c>
      <c r="E132" s="73" t="str">
        <f>E131</f>
        <v>Transf 07/09</v>
      </c>
      <c r="F132" s="27"/>
      <c r="G132" s="27"/>
    </row>
    <row r="133" spans="1:7" ht="31.9" customHeight="1" x14ac:dyDescent="0.25">
      <c r="A133" s="304" t="s">
        <v>387</v>
      </c>
      <c r="B133" s="305"/>
      <c r="C133" s="19"/>
      <c r="D133" s="164">
        <v>126745</v>
      </c>
      <c r="E133" s="73" t="str">
        <f>E132</f>
        <v>Transf 07/09</v>
      </c>
      <c r="F133" s="27"/>
      <c r="G133" s="27"/>
    </row>
    <row r="134" spans="1:7" ht="31.9" customHeight="1" x14ac:dyDescent="0.25">
      <c r="A134" s="304" t="s">
        <v>410</v>
      </c>
      <c r="B134" s="305"/>
      <c r="C134" s="19"/>
      <c r="D134" s="164">
        <v>94353</v>
      </c>
      <c r="E134" s="73" t="str">
        <f>E133</f>
        <v>Transf 07/09</v>
      </c>
      <c r="F134" s="217">
        <f>SUM(D131:D134)</f>
        <v>2001336</v>
      </c>
      <c r="G134" s="27"/>
    </row>
    <row r="135" spans="1:7" ht="38.25" customHeight="1" x14ac:dyDescent="0.25">
      <c r="A135" s="304" t="s">
        <v>189</v>
      </c>
      <c r="B135" s="305"/>
      <c r="C135" s="19"/>
      <c r="D135" s="164">
        <v>31266.93</v>
      </c>
      <c r="E135" s="43" t="s">
        <v>268</v>
      </c>
      <c r="F135" s="27"/>
      <c r="G135" s="27"/>
    </row>
    <row r="136" spans="1:7" ht="33.75" customHeight="1" x14ac:dyDescent="0.25">
      <c r="A136" s="304" t="s">
        <v>335</v>
      </c>
      <c r="B136" s="305"/>
      <c r="C136" s="19"/>
      <c r="D136" s="164">
        <v>9137.2099999999991</v>
      </c>
      <c r="E136" s="43" t="s">
        <v>268</v>
      </c>
      <c r="F136" s="27"/>
      <c r="G136" s="27" t="s">
        <v>315</v>
      </c>
    </row>
    <row r="137" spans="1:7" x14ac:dyDescent="0.25">
      <c r="A137" s="96" t="s">
        <v>4</v>
      </c>
      <c r="B137" s="37"/>
      <c r="C137" s="37"/>
      <c r="D137" s="37"/>
      <c r="E137" s="71">
        <f>SUM(D118:D136)</f>
        <v>8170386.2800000003</v>
      </c>
      <c r="F137" s="27"/>
      <c r="G137" s="27"/>
    </row>
    <row r="138" spans="1:7" ht="15.75" thickBot="1" x14ac:dyDescent="0.3">
      <c r="A138" s="27"/>
      <c r="B138" s="27"/>
      <c r="C138" s="27"/>
      <c r="D138" s="27"/>
      <c r="E138" s="27"/>
      <c r="F138" s="27"/>
      <c r="G138" s="27"/>
    </row>
    <row r="139" spans="1:7" x14ac:dyDescent="0.25">
      <c r="A139" s="97" t="s">
        <v>21</v>
      </c>
      <c r="B139" s="98"/>
      <c r="C139" s="99"/>
      <c r="D139" s="188"/>
      <c r="E139" s="39"/>
      <c r="F139" s="27"/>
      <c r="G139" s="27"/>
    </row>
    <row r="140" spans="1:7" ht="45" customHeight="1" x14ac:dyDescent="0.25">
      <c r="A140" s="304" t="s">
        <v>358</v>
      </c>
      <c r="B140" s="305"/>
      <c r="C140" s="19"/>
      <c r="D140" s="275">
        <v>9914839.9499999993</v>
      </c>
      <c r="E140" s="67" t="s">
        <v>373</v>
      </c>
      <c r="F140" s="27"/>
      <c r="G140" s="27"/>
    </row>
    <row r="141" spans="1:7" ht="15.75" thickBot="1" x14ac:dyDescent="0.3">
      <c r="A141" s="250" t="s">
        <v>4</v>
      </c>
      <c r="B141" s="251"/>
      <c r="C141" s="251"/>
      <c r="D141" s="252"/>
      <c r="E141" s="253">
        <f>SUM(D140:D140)</f>
        <v>9914839.9499999993</v>
      </c>
      <c r="F141" s="27"/>
      <c r="G141" s="27"/>
    </row>
    <row r="142" spans="1:7" ht="15" customHeight="1" x14ac:dyDescent="0.25">
      <c r="A142" s="27"/>
      <c r="B142" s="27"/>
      <c r="C142" s="27"/>
      <c r="D142" s="27"/>
      <c r="E142" s="27"/>
      <c r="F142" s="27"/>
      <c r="G142" s="27"/>
    </row>
    <row r="143" spans="1:7" ht="15.75" hidden="1" thickBot="1" x14ac:dyDescent="0.3">
      <c r="A143" s="27"/>
      <c r="B143" s="27"/>
      <c r="C143" s="27"/>
      <c r="D143" s="27"/>
      <c r="E143" s="27"/>
      <c r="F143" s="27"/>
      <c r="G143" s="27"/>
    </row>
    <row r="144" spans="1:7" ht="15.75" thickBot="1" x14ac:dyDescent="0.3">
      <c r="A144" s="27"/>
      <c r="B144" s="27"/>
      <c r="C144" s="27"/>
      <c r="D144" s="27"/>
      <c r="E144" s="27"/>
      <c r="F144" s="27"/>
      <c r="G144" s="27"/>
    </row>
    <row r="145" spans="1:7" ht="15.75" thickBot="1" x14ac:dyDescent="0.3">
      <c r="A145" s="100" t="s">
        <v>13</v>
      </c>
      <c r="B145" s="101"/>
      <c r="C145" s="102"/>
      <c r="D145" s="102"/>
      <c r="E145" s="103">
        <f>E141</f>
        <v>9914839.9499999993</v>
      </c>
      <c r="F145" s="27"/>
      <c r="G145" s="27"/>
    </row>
    <row r="146" spans="1:7" ht="15.75" thickBot="1" x14ac:dyDescent="0.3">
      <c r="A146" s="27"/>
      <c r="B146" s="27"/>
      <c r="C146" s="27"/>
      <c r="D146" s="27"/>
      <c r="E146" s="27"/>
      <c r="F146" s="27"/>
      <c r="G146" s="27"/>
    </row>
    <row r="147" spans="1:7" x14ac:dyDescent="0.25">
      <c r="A147" s="104" t="s">
        <v>187</v>
      </c>
      <c r="B147" s="105"/>
      <c r="C147" s="106"/>
      <c r="D147" s="44"/>
      <c r="E147" s="45"/>
      <c r="F147" s="27"/>
      <c r="G147" s="27"/>
    </row>
    <row r="148" spans="1:7" ht="45" customHeight="1" x14ac:dyDescent="0.25">
      <c r="A148" s="307" t="s">
        <v>380</v>
      </c>
      <c r="B148" s="307"/>
      <c r="C148" s="19"/>
      <c r="D148" s="164">
        <f>2974450-2450000</f>
        <v>524450</v>
      </c>
      <c r="E148" s="23" t="str">
        <f>E28</f>
        <v>Transf 03/09</v>
      </c>
      <c r="F148" s="217"/>
      <c r="G148" s="217"/>
    </row>
    <row r="149" spans="1:7" ht="20.100000000000001" customHeight="1" x14ac:dyDescent="0.25">
      <c r="A149" s="257" t="s">
        <v>407</v>
      </c>
      <c r="B149" s="258"/>
      <c r="C149" s="19"/>
      <c r="D149" s="164">
        <v>122554.24000000001</v>
      </c>
      <c r="E149" s="23" t="str">
        <f>E44</f>
        <v>Transf 07/09</v>
      </c>
      <c r="F149" s="217">
        <f>D149+D150+D151+D44</f>
        <v>52897473.840000004</v>
      </c>
      <c r="G149" s="217"/>
    </row>
    <row r="150" spans="1:7" ht="20.100000000000001" customHeight="1" x14ac:dyDescent="0.25">
      <c r="A150" s="257" t="s">
        <v>406</v>
      </c>
      <c r="B150" s="258"/>
      <c r="C150" s="19"/>
      <c r="D150" s="164">
        <v>91915.68</v>
      </c>
      <c r="E150" s="23" t="str">
        <f>E149</f>
        <v>Transf 07/09</v>
      </c>
      <c r="F150" s="217"/>
      <c r="G150" s="217"/>
    </row>
    <row r="151" spans="1:7" ht="20.100000000000001" customHeight="1" x14ac:dyDescent="0.25">
      <c r="A151" s="301" t="s">
        <v>405</v>
      </c>
      <c r="B151" s="302"/>
      <c r="C151" s="86"/>
      <c r="D151" s="164">
        <v>107234.96</v>
      </c>
      <c r="E151" s="23" t="str">
        <f>E150</f>
        <v>Transf 07/09</v>
      </c>
      <c r="F151" s="27"/>
      <c r="G151" s="221"/>
    </row>
    <row r="152" spans="1:7" x14ac:dyDescent="0.25">
      <c r="A152" s="171" t="s">
        <v>4</v>
      </c>
      <c r="B152" s="172"/>
      <c r="C152" s="172"/>
      <c r="D152" s="121"/>
      <c r="E152" s="173">
        <f>SUM(D148:D151)</f>
        <v>846154.87999999989</v>
      </c>
    </row>
    <row r="153" spans="1:7" x14ac:dyDescent="0.25">
      <c r="A153" s="27"/>
      <c r="B153" s="27"/>
      <c r="C153" s="27"/>
      <c r="D153" s="27"/>
      <c r="E153" s="27"/>
    </row>
    <row r="154" spans="1:7" x14ac:dyDescent="0.25">
      <c r="A154" s="27"/>
      <c r="B154" s="27"/>
      <c r="C154" s="27"/>
      <c r="D154" s="27"/>
      <c r="E154" s="27"/>
    </row>
    <row r="155" spans="1:7" ht="15.75" thickBot="1" x14ac:dyDescent="0.3">
      <c r="A155" s="27"/>
      <c r="B155" s="27"/>
      <c r="C155" s="27"/>
      <c r="D155" s="27"/>
      <c r="E155" s="27"/>
    </row>
    <row r="156" spans="1:7" ht="17.25" customHeight="1" thickBot="1" x14ac:dyDescent="0.3">
      <c r="A156" s="174" t="s">
        <v>188</v>
      </c>
      <c r="B156" s="175"/>
      <c r="C156" s="176"/>
      <c r="D156" s="176"/>
      <c r="E156" s="177">
        <f>E152</f>
        <v>846154.87999999989</v>
      </c>
    </row>
    <row r="157" spans="1:7" x14ac:dyDescent="0.25">
      <c r="A157" s="27"/>
      <c r="B157" s="27"/>
      <c r="C157" s="27"/>
      <c r="D157" s="27"/>
      <c r="E157" s="27"/>
    </row>
    <row r="158" spans="1:7" ht="15.75" thickBot="1" x14ac:dyDescent="0.3">
      <c r="A158" s="27"/>
      <c r="B158" s="27"/>
      <c r="C158" s="27"/>
      <c r="D158" s="27"/>
      <c r="E158" s="27"/>
    </row>
    <row r="159" spans="1:7" ht="15.75" thickBot="1" x14ac:dyDescent="0.3">
      <c r="A159" s="178" t="s">
        <v>180</v>
      </c>
      <c r="B159" s="179">
        <f>E114</f>
        <v>126993983.99000001</v>
      </c>
      <c r="C159" s="27"/>
      <c r="D159" s="27"/>
      <c r="E159" s="27"/>
    </row>
    <row r="160" spans="1:7" ht="15.75" thickBot="1" x14ac:dyDescent="0.3">
      <c r="A160" s="178" t="s">
        <v>21</v>
      </c>
      <c r="B160" s="179">
        <f>E145</f>
        <v>9914839.9499999993</v>
      </c>
      <c r="C160" s="27"/>
      <c r="D160" s="27"/>
      <c r="E160" s="27"/>
    </row>
    <row r="161" spans="1:5" ht="15.75" thickBot="1" x14ac:dyDescent="0.3">
      <c r="A161" s="180" t="s">
        <v>151</v>
      </c>
      <c r="B161" s="181">
        <f>E137</f>
        <v>8170386.2800000003</v>
      </c>
      <c r="C161" s="27"/>
      <c r="D161" s="27"/>
      <c r="E161" s="27"/>
    </row>
    <row r="162" spans="1:5" ht="34.5" customHeight="1" thickBot="1" x14ac:dyDescent="0.3">
      <c r="A162" s="182" t="s">
        <v>226</v>
      </c>
      <c r="B162" s="181">
        <f>B161+B159</f>
        <v>135164370.27000001</v>
      </c>
      <c r="C162" s="27"/>
      <c r="D162" s="27"/>
      <c r="E162" s="27"/>
    </row>
    <row r="163" spans="1:5" ht="24" customHeight="1" thickBot="1" x14ac:dyDescent="0.3">
      <c r="A163" s="227" t="s">
        <v>331</v>
      </c>
      <c r="B163" s="181">
        <f>SUM(B159:B161)</f>
        <v>145079210.22</v>
      </c>
      <c r="C163" s="27"/>
      <c r="D163" s="27"/>
      <c r="E163" s="27"/>
    </row>
    <row r="164" spans="1:5" ht="27" customHeight="1" x14ac:dyDescent="0.25">
      <c r="C164" s="27"/>
      <c r="D164" s="27"/>
      <c r="E164" s="27"/>
    </row>
    <row r="165" spans="1:5" ht="54.75" hidden="1" customHeight="1" thickBot="1" x14ac:dyDescent="0.3">
      <c r="C165" s="27"/>
      <c r="D165" s="27"/>
      <c r="E165" s="27"/>
    </row>
    <row r="166" spans="1:5" x14ac:dyDescent="0.25">
      <c r="A166" s="116" t="s">
        <v>233</v>
      </c>
      <c r="B166" s="107"/>
      <c r="C166" s="4"/>
      <c r="D166" s="27"/>
    </row>
    <row r="167" spans="1:5" s="134" customFormat="1" x14ac:dyDescent="0.25">
      <c r="A167" s="131" t="s">
        <v>229</v>
      </c>
      <c r="B167" s="132">
        <v>13313069.679999981</v>
      </c>
      <c r="C167" s="133"/>
      <c r="D167" s="242"/>
      <c r="E167" s="135"/>
    </row>
    <row r="168" spans="1:5" s="134" customFormat="1" x14ac:dyDescent="0.25">
      <c r="A168" s="136" t="s">
        <v>230</v>
      </c>
      <c r="B168" s="137">
        <f>PRORRATEO!F161</f>
        <v>115832595.79999998</v>
      </c>
      <c r="C168" s="138"/>
      <c r="D168" s="242"/>
    </row>
    <row r="169" spans="1:5" s="134" customFormat="1" ht="18" customHeight="1" x14ac:dyDescent="0.25">
      <c r="A169" s="6" t="s">
        <v>461</v>
      </c>
      <c r="B169" s="139">
        <v>-25000000</v>
      </c>
      <c r="C169" s="138"/>
      <c r="D169" s="243"/>
    </row>
    <row r="170" spans="1:5" s="134" customFormat="1" ht="18" customHeight="1" x14ac:dyDescent="0.25">
      <c r="A170" s="6" t="s">
        <v>463</v>
      </c>
      <c r="B170" s="139">
        <v>-20000000</v>
      </c>
      <c r="C170" s="138"/>
      <c r="D170" s="243"/>
    </row>
    <row r="171" spans="1:5" s="134" customFormat="1" ht="18" customHeight="1" x14ac:dyDescent="0.25">
      <c r="A171" s="6" t="str">
        <f>A214</f>
        <v>Rescate 04/09</v>
      </c>
      <c r="B171" s="241">
        <f>-B214</f>
        <v>60044572.539999999</v>
      </c>
      <c r="C171" s="138"/>
      <c r="D171" s="243"/>
    </row>
    <row r="172" spans="1:5" s="134" customFormat="1" ht="23.25" customHeight="1" x14ac:dyDescent="0.25">
      <c r="A172" s="6" t="s">
        <v>346</v>
      </c>
      <c r="B172" s="241">
        <f>B225</f>
        <v>751000</v>
      </c>
      <c r="C172" s="138"/>
      <c r="D172" s="243"/>
    </row>
    <row r="173" spans="1:5" s="134" customFormat="1" ht="16.5" customHeight="1" x14ac:dyDescent="0.25">
      <c r="A173" s="119" t="s">
        <v>292</v>
      </c>
      <c r="B173" s="139">
        <f>-B196</f>
        <v>-592968.33481199993</v>
      </c>
      <c r="C173" s="138"/>
      <c r="D173" s="243"/>
    </row>
    <row r="174" spans="1:5" s="134" customFormat="1" ht="16.5" customHeight="1" x14ac:dyDescent="0.25">
      <c r="A174" s="119" t="s">
        <v>440</v>
      </c>
      <c r="B174" s="139">
        <v>-763100</v>
      </c>
      <c r="C174" s="138"/>
      <c r="D174" s="243"/>
    </row>
    <row r="175" spans="1:5" s="134" customFormat="1" ht="16.5" customHeight="1" x14ac:dyDescent="0.25">
      <c r="A175" s="119" t="s">
        <v>441</v>
      </c>
      <c r="B175" s="139">
        <v>0</v>
      </c>
      <c r="C175" s="138"/>
      <c r="D175" s="243"/>
    </row>
    <row r="176" spans="1:5" s="134" customFormat="1" ht="16.5" customHeight="1" x14ac:dyDescent="0.25">
      <c r="A176" s="119" t="s">
        <v>468</v>
      </c>
      <c r="B176" s="139">
        <v>-223630</v>
      </c>
      <c r="C176" s="138"/>
      <c r="D176" s="243"/>
    </row>
    <row r="177" spans="1:6" s="134" customFormat="1" ht="16.5" customHeight="1" x14ac:dyDescent="0.25">
      <c r="A177" s="119" t="s">
        <v>468</v>
      </c>
      <c r="B177" s="139">
        <v>-204700</v>
      </c>
      <c r="C177" s="138"/>
      <c r="D177" s="243"/>
    </row>
    <row r="178" spans="1:6" s="134" customFormat="1" ht="16.5" customHeight="1" x14ac:dyDescent="0.25">
      <c r="A178" s="119" t="s">
        <v>456</v>
      </c>
      <c r="B178" s="139">
        <v>-300000</v>
      </c>
      <c r="C178" s="138"/>
      <c r="D178" s="243"/>
    </row>
    <row r="179" spans="1:6" s="134" customFormat="1" ht="28.15" customHeight="1" x14ac:dyDescent="0.25">
      <c r="A179" s="6" t="s">
        <v>321</v>
      </c>
      <c r="B179" s="139">
        <f>-B189</f>
        <v>-904780.93536280002</v>
      </c>
      <c r="C179" s="138"/>
      <c r="D179" s="243"/>
    </row>
    <row r="180" spans="1:6" s="134" customFormat="1" ht="18" customHeight="1" x14ac:dyDescent="0.25">
      <c r="A180" s="29" t="s">
        <v>186</v>
      </c>
      <c r="B180" s="139">
        <f>-E156</f>
        <v>-846154.87999999989</v>
      </c>
      <c r="C180" s="138"/>
      <c r="D180" s="242"/>
      <c r="F180" s="140"/>
    </row>
    <row r="181" spans="1:6" s="134" customFormat="1" ht="18" customHeight="1" x14ac:dyDescent="0.25">
      <c r="A181" s="6" t="s">
        <v>152</v>
      </c>
      <c r="B181" s="139">
        <f>-E137</f>
        <v>-8170386.2800000003</v>
      </c>
      <c r="C181" s="138"/>
      <c r="D181" s="244"/>
    </row>
    <row r="182" spans="1:6" s="134" customFormat="1" ht="18" customHeight="1" x14ac:dyDescent="0.25">
      <c r="A182" s="6" t="s">
        <v>14</v>
      </c>
      <c r="B182" s="139">
        <f>-E114</f>
        <v>-126993983.99000001</v>
      </c>
      <c r="C182" s="138"/>
      <c r="D182" s="245"/>
      <c r="E182" s="141"/>
      <c r="F182" s="193"/>
    </row>
    <row r="183" spans="1:6" s="134" customFormat="1" ht="18" customHeight="1" x14ac:dyDescent="0.25">
      <c r="A183" s="6" t="s">
        <v>255</v>
      </c>
      <c r="B183" s="139">
        <f>-E145</f>
        <v>-9914839.9499999993</v>
      </c>
      <c r="C183" s="138"/>
      <c r="D183" s="242"/>
      <c r="E183" s="141"/>
      <c r="F183" s="193"/>
    </row>
    <row r="184" spans="1:6" x14ac:dyDescent="0.25">
      <c r="A184" s="117" t="s">
        <v>4</v>
      </c>
      <c r="B184" s="33">
        <f>SUM(B167:B183)</f>
        <v>-3973306.3501748256</v>
      </c>
      <c r="C184" s="5"/>
      <c r="D184" s="217"/>
      <c r="E184" s="34"/>
      <c r="F184" s="34"/>
    </row>
    <row r="185" spans="1:6" x14ac:dyDescent="0.25">
      <c r="A185" s="118"/>
      <c r="B185" s="10"/>
      <c r="C185" s="5"/>
      <c r="D185" s="217"/>
      <c r="E185" s="31"/>
      <c r="F185" s="63"/>
    </row>
    <row r="186" spans="1:6" ht="15.75" thickBot="1" x14ac:dyDescent="0.3">
      <c r="A186" s="118"/>
      <c r="B186" s="10"/>
      <c r="C186" s="5"/>
      <c r="D186" s="217"/>
      <c r="E186" s="31"/>
      <c r="F186" s="63"/>
    </row>
    <row r="187" spans="1:6" x14ac:dyDescent="0.25">
      <c r="A187" s="310" t="s">
        <v>322</v>
      </c>
      <c r="B187" s="311"/>
      <c r="C187" s="5"/>
      <c r="D187" s="217"/>
      <c r="E187" s="31"/>
      <c r="F187" s="63"/>
    </row>
    <row r="188" spans="1:6" x14ac:dyDescent="0.25">
      <c r="A188" s="112" t="s">
        <v>291</v>
      </c>
      <c r="B188" s="113">
        <v>7512960.9199999999</v>
      </c>
      <c r="C188" s="5"/>
      <c r="D188" s="217"/>
      <c r="E188" s="31"/>
      <c r="F188" s="63"/>
    </row>
    <row r="189" spans="1:6" ht="66.75" customHeight="1" x14ac:dyDescent="0.25">
      <c r="A189" s="195" t="s">
        <v>323</v>
      </c>
      <c r="B189" s="157">
        <f>1809561.8707256/2</f>
        <v>904780.93536280002</v>
      </c>
      <c r="C189" s="5"/>
      <c r="D189" s="12"/>
      <c r="E189" s="31"/>
      <c r="F189" s="63"/>
    </row>
    <row r="190" spans="1:6" ht="15.75" thickBot="1" x14ac:dyDescent="0.3">
      <c r="A190" s="112"/>
      <c r="B190" s="113"/>
      <c r="C190" s="5"/>
      <c r="D190" s="12"/>
      <c r="E190" s="31"/>
      <c r="F190" s="63"/>
    </row>
    <row r="191" spans="1:6" ht="15.75" thickBot="1" x14ac:dyDescent="0.3">
      <c r="A191" s="196" t="s">
        <v>4</v>
      </c>
      <c r="B191" s="197">
        <f>SUM(B188:B190)</f>
        <v>8417741.855362799</v>
      </c>
      <c r="C191" s="5"/>
      <c r="D191" s="12"/>
      <c r="E191" s="31"/>
      <c r="F191" s="63"/>
    </row>
    <row r="192" spans="1:6" x14ac:dyDescent="0.25">
      <c r="A192" s="118"/>
      <c r="B192" s="10"/>
      <c r="C192" s="5"/>
      <c r="D192" s="12"/>
      <c r="E192" s="31"/>
      <c r="F192" s="63"/>
    </row>
    <row r="193" spans="1:7" ht="15.75" thickBot="1" x14ac:dyDescent="0.3">
      <c r="A193" s="118"/>
      <c r="B193" s="10"/>
      <c r="C193" s="5"/>
      <c r="D193" s="12"/>
      <c r="E193" s="31"/>
      <c r="F193" s="63"/>
    </row>
    <row r="194" spans="1:7" x14ac:dyDescent="0.25">
      <c r="A194" s="308" t="s">
        <v>290</v>
      </c>
      <c r="B194" s="309"/>
      <c r="C194" s="5"/>
      <c r="D194" s="12"/>
      <c r="E194" s="31"/>
      <c r="F194" s="63"/>
      <c r="G194" s="194"/>
    </row>
    <row r="195" spans="1:7" x14ac:dyDescent="0.25">
      <c r="A195" s="112" t="s">
        <v>291</v>
      </c>
      <c r="B195" s="113">
        <v>4607864.5312480005</v>
      </c>
      <c r="C195" s="5"/>
      <c r="D195" s="12"/>
      <c r="E195" s="31"/>
      <c r="F195" s="63"/>
    </row>
    <row r="196" spans="1:7" x14ac:dyDescent="0.25">
      <c r="A196" s="112" t="s">
        <v>292</v>
      </c>
      <c r="B196" s="157">
        <v>592968.33481199993</v>
      </c>
      <c r="C196" s="5"/>
      <c r="D196" s="12"/>
      <c r="E196" s="31"/>
      <c r="F196" s="63"/>
    </row>
    <row r="197" spans="1:7" ht="42.75" customHeight="1" x14ac:dyDescent="0.25">
      <c r="A197" s="195" t="s">
        <v>430</v>
      </c>
      <c r="B197" s="255">
        <v>-91394.2</v>
      </c>
      <c r="C197" s="5"/>
      <c r="D197" s="12"/>
      <c r="E197" s="31"/>
      <c r="F197" s="63"/>
    </row>
    <row r="198" spans="1:7" ht="15.75" thickBot="1" x14ac:dyDescent="0.3">
      <c r="A198" s="112" t="s">
        <v>330</v>
      </c>
      <c r="B198" s="113">
        <v>0</v>
      </c>
      <c r="C198" s="5"/>
      <c r="D198" s="12"/>
      <c r="E198" s="31"/>
      <c r="F198" s="63"/>
    </row>
    <row r="199" spans="1:7" ht="15.75" thickBot="1" x14ac:dyDescent="0.3">
      <c r="A199" s="114" t="s">
        <v>4</v>
      </c>
      <c r="B199" s="115">
        <f>SUM(B195:B198)</f>
        <v>5109438.6660599997</v>
      </c>
      <c r="C199" s="5"/>
      <c r="D199" s="12"/>
      <c r="E199" s="31"/>
      <c r="F199" s="63"/>
    </row>
    <row r="200" spans="1:7" ht="15.75" thickBot="1" x14ac:dyDescent="0.3">
      <c r="A200" s="110"/>
      <c r="B200" s="111"/>
      <c r="C200" s="5"/>
      <c r="D200" s="12"/>
      <c r="E200" s="31"/>
      <c r="F200" s="63"/>
    </row>
    <row r="201" spans="1:7" ht="42.75" customHeight="1" thickBot="1" x14ac:dyDescent="0.3">
      <c r="A201" s="126" t="s">
        <v>325</v>
      </c>
      <c r="B201" s="125">
        <f>B199+B184+B191</f>
        <v>9553874.171247974</v>
      </c>
      <c r="C201" s="5"/>
      <c r="D201" s="12"/>
      <c r="E201" s="31"/>
      <c r="F201" s="63"/>
      <c r="G201" s="32"/>
    </row>
    <row r="202" spans="1:7" x14ac:dyDescent="0.25">
      <c r="B202" s="10"/>
      <c r="C202" s="5"/>
      <c r="D202" s="12"/>
      <c r="E202" s="31"/>
      <c r="F202" s="63"/>
    </row>
    <row r="203" spans="1:7" x14ac:dyDescent="0.25">
      <c r="A203" s="59" t="s">
        <v>232</v>
      </c>
      <c r="B203" s="60"/>
      <c r="C203" s="5"/>
      <c r="D203" s="12"/>
      <c r="E203" s="31"/>
      <c r="F203" s="32"/>
    </row>
    <row r="204" spans="1:7" ht="22.5" customHeight="1" x14ac:dyDescent="0.25">
      <c r="A204" s="76" t="s">
        <v>291</v>
      </c>
      <c r="B204" s="120">
        <v>-115227.5</v>
      </c>
      <c r="C204" s="5"/>
      <c r="D204" s="12"/>
      <c r="E204" s="31"/>
      <c r="F204" s="32"/>
    </row>
    <row r="205" spans="1:7" ht="22.5" customHeight="1" x14ac:dyDescent="0.25">
      <c r="A205" s="76" t="s">
        <v>457</v>
      </c>
      <c r="B205" s="120">
        <v>300000</v>
      </c>
      <c r="C205" s="5"/>
      <c r="D205" s="12"/>
      <c r="E205" s="31"/>
      <c r="F205" s="32"/>
    </row>
    <row r="206" spans="1:7" ht="76.150000000000006" customHeight="1" x14ac:dyDescent="0.25">
      <c r="A206" s="76" t="s">
        <v>397</v>
      </c>
      <c r="B206" s="254">
        <v>-140427.84</v>
      </c>
      <c r="C206" s="5"/>
      <c r="D206" s="12"/>
      <c r="E206" s="31"/>
      <c r="F206" s="32"/>
    </row>
    <row r="207" spans="1:7" ht="29.25" customHeight="1" x14ac:dyDescent="0.25">
      <c r="A207" s="76" t="s">
        <v>449</v>
      </c>
      <c r="B207" s="254">
        <v>-7000</v>
      </c>
      <c r="C207" s="5"/>
      <c r="D207" s="12"/>
      <c r="E207" s="31"/>
      <c r="F207" s="32"/>
    </row>
    <row r="208" spans="1:7" ht="35.25" customHeight="1" x14ac:dyDescent="0.25">
      <c r="A208" s="76" t="s">
        <v>448</v>
      </c>
      <c r="B208" s="254">
        <v>-34500</v>
      </c>
      <c r="C208" s="5"/>
      <c r="D208" s="12"/>
      <c r="E208" s="31"/>
      <c r="F208" s="32"/>
    </row>
    <row r="209" spans="1:15" ht="22.5" customHeight="1" x14ac:dyDescent="0.25">
      <c r="A209" s="76" t="s">
        <v>305</v>
      </c>
      <c r="B209" s="164"/>
      <c r="C209" s="5"/>
      <c r="D209" s="12"/>
      <c r="E209" s="31"/>
      <c r="F209" s="32"/>
    </row>
    <row r="210" spans="1:15" x14ac:dyDescent="0.25">
      <c r="A210" s="59" t="s">
        <v>4</v>
      </c>
      <c r="B210" s="60">
        <f>SUM(B203:B209)</f>
        <v>2844.6600000000035</v>
      </c>
      <c r="C210" s="5"/>
      <c r="D210" s="12"/>
      <c r="E210" s="31"/>
      <c r="F210" s="32"/>
    </row>
    <row r="211" spans="1:15" ht="15.75" thickBot="1" x14ac:dyDescent="0.3">
      <c r="B211" s="10"/>
      <c r="C211" s="5"/>
      <c r="D211" s="12"/>
      <c r="E211" s="31"/>
      <c r="F211" s="32"/>
    </row>
    <row r="212" spans="1:15" x14ac:dyDescent="0.25">
      <c r="A212" s="108" t="s">
        <v>227</v>
      </c>
      <c r="B212" s="55"/>
      <c r="C212" s="5"/>
      <c r="D212" s="62"/>
      <c r="E212" s="123"/>
      <c r="F212" s="124"/>
      <c r="G212" s="30"/>
      <c r="H212" s="30"/>
      <c r="I212" s="30"/>
      <c r="J212" s="30"/>
      <c r="K212" s="30"/>
      <c r="L212" s="30"/>
      <c r="M212" s="30"/>
      <c r="N212" s="30"/>
      <c r="O212" s="30"/>
    </row>
    <row r="213" spans="1:15" x14ac:dyDescent="0.25">
      <c r="A213" s="57" t="s">
        <v>329</v>
      </c>
      <c r="B213" s="58">
        <v>118020953.45999999</v>
      </c>
      <c r="C213" s="5"/>
      <c r="D213" s="62"/>
      <c r="E213" s="123"/>
      <c r="F213" s="124"/>
      <c r="G213" s="30"/>
      <c r="H213" s="30"/>
      <c r="I213" s="30"/>
      <c r="J213" s="30"/>
      <c r="K213" s="30"/>
      <c r="L213" s="30"/>
      <c r="M213" s="30"/>
      <c r="N213" s="30"/>
      <c r="O213" s="30"/>
    </row>
    <row r="214" spans="1:15" x14ac:dyDescent="0.25">
      <c r="A214" s="57" t="s">
        <v>460</v>
      </c>
      <c r="B214" s="226">
        <v>-60044572.539999999</v>
      </c>
      <c r="C214" s="5"/>
      <c r="D214" s="62"/>
      <c r="E214" s="123"/>
      <c r="F214" s="124"/>
      <c r="G214" s="30"/>
      <c r="H214" s="30"/>
      <c r="I214" s="30"/>
      <c r="J214" s="30"/>
      <c r="K214" s="30"/>
      <c r="L214" s="30"/>
      <c r="M214" s="30"/>
      <c r="N214" s="30"/>
      <c r="O214" s="30"/>
    </row>
    <row r="215" spans="1:15" x14ac:dyDescent="0.25">
      <c r="A215" s="57" t="s">
        <v>462</v>
      </c>
      <c r="B215" s="263">
        <v>25000000</v>
      </c>
      <c r="C215" s="5"/>
      <c r="D215" s="62"/>
      <c r="E215" s="123"/>
      <c r="F215" s="124"/>
      <c r="G215" s="30"/>
      <c r="H215" s="30"/>
      <c r="I215" s="30"/>
      <c r="J215" s="30"/>
      <c r="K215" s="30"/>
      <c r="L215" s="30"/>
      <c r="M215" s="30"/>
      <c r="N215" s="30"/>
      <c r="O215" s="30"/>
    </row>
    <row r="216" spans="1:15" x14ac:dyDescent="0.25">
      <c r="A216" s="57" t="s">
        <v>464</v>
      </c>
      <c r="B216" s="263">
        <v>20000000</v>
      </c>
      <c r="C216" s="5"/>
      <c r="D216" s="62"/>
      <c r="E216" s="123"/>
      <c r="F216" s="124"/>
      <c r="G216" s="30"/>
      <c r="H216" s="30"/>
      <c r="I216" s="30"/>
      <c r="J216" s="30"/>
      <c r="K216" s="30"/>
      <c r="L216" s="30"/>
      <c r="M216" s="30"/>
      <c r="N216" s="30"/>
      <c r="O216" s="30"/>
    </row>
    <row r="217" spans="1:15" x14ac:dyDescent="0.25">
      <c r="A217" s="57" t="s">
        <v>333</v>
      </c>
      <c r="B217" s="58">
        <v>1315308.48</v>
      </c>
      <c r="C217" s="5"/>
      <c r="D217" s="62"/>
      <c r="E217" s="123"/>
      <c r="F217" s="124"/>
      <c r="G217" s="30"/>
      <c r="H217" s="30"/>
      <c r="I217" s="30"/>
      <c r="J217" s="30"/>
      <c r="K217" s="30"/>
      <c r="L217" s="30"/>
      <c r="M217" s="30"/>
      <c r="N217" s="30"/>
      <c r="O217" s="30"/>
    </row>
    <row r="218" spans="1:15" ht="15.75" thickBot="1" x14ac:dyDescent="0.3">
      <c r="A218" s="109" t="s">
        <v>332</v>
      </c>
      <c r="B218" s="211">
        <f>SUM(B213:B217)</f>
        <v>104291689.39999999</v>
      </c>
      <c r="C218" s="5"/>
      <c r="D218" s="62"/>
      <c r="E218" s="123"/>
      <c r="F218" s="124"/>
      <c r="G218" s="30"/>
      <c r="H218" s="30"/>
      <c r="I218" s="30"/>
      <c r="J218" s="30"/>
      <c r="K218" s="30"/>
      <c r="L218" s="30"/>
      <c r="M218" s="30"/>
      <c r="N218" s="30"/>
      <c r="O218" s="30"/>
    </row>
    <row r="219" spans="1:15" x14ac:dyDescent="0.25">
      <c r="B219" s="10"/>
      <c r="C219" s="5"/>
      <c r="D219" s="62"/>
      <c r="E219" s="123"/>
      <c r="F219" s="124"/>
      <c r="G219" s="30"/>
      <c r="H219" s="30"/>
      <c r="I219" s="30"/>
      <c r="J219" s="30"/>
      <c r="K219" s="30"/>
      <c r="L219" s="30"/>
      <c r="M219" s="30"/>
      <c r="N219" s="30"/>
      <c r="O219" s="30"/>
    </row>
    <row r="220" spans="1:15" x14ac:dyDescent="0.25">
      <c r="B220" s="10"/>
      <c r="C220" s="5"/>
      <c r="D220" s="12"/>
      <c r="E220" s="31"/>
      <c r="F220" s="32"/>
    </row>
    <row r="221" spans="1:15" x14ac:dyDescent="0.25">
      <c r="B221" s="10"/>
      <c r="C221" s="5"/>
      <c r="D221" s="12"/>
      <c r="E221" s="31"/>
      <c r="F221" s="32"/>
    </row>
    <row r="222" spans="1:15" x14ac:dyDescent="0.25">
      <c r="A222" s="306" t="s">
        <v>17</v>
      </c>
      <c r="B222" s="306"/>
      <c r="C222" s="306"/>
    </row>
    <row r="223" spans="1:15" x14ac:dyDescent="0.25">
      <c r="A223" s="306"/>
      <c r="B223" s="306"/>
      <c r="C223" s="306"/>
    </row>
    <row r="224" spans="1:15" ht="42" customHeight="1" x14ac:dyDescent="0.25">
      <c r="A224" s="53" t="s">
        <v>447</v>
      </c>
      <c r="B224" s="36">
        <v>751000</v>
      </c>
      <c r="C224" s="52"/>
    </row>
    <row r="225" spans="1:13" x14ac:dyDescent="0.25">
      <c r="A225" s="13" t="s">
        <v>4</v>
      </c>
      <c r="B225" s="28">
        <f>SUM(B224:B224)</f>
        <v>751000</v>
      </c>
      <c r="C225" s="14"/>
    </row>
    <row r="226" spans="1:13" x14ac:dyDescent="0.25">
      <c r="M226" s="2"/>
    </row>
  </sheetData>
  <mergeCells count="96">
    <mergeCell ref="A80:B80"/>
    <mergeCell ref="A69:C69"/>
    <mergeCell ref="A73:C73"/>
    <mergeCell ref="A66:B66"/>
    <mergeCell ref="A61:B61"/>
    <mergeCell ref="A64:B64"/>
    <mergeCell ref="A54:B54"/>
    <mergeCell ref="A53:B53"/>
    <mergeCell ref="A90:B90"/>
    <mergeCell ref="A75:B75"/>
    <mergeCell ref="A65:B65"/>
    <mergeCell ref="A76:B76"/>
    <mergeCell ref="A77:B77"/>
    <mergeCell ref="A74:C74"/>
    <mergeCell ref="A89:B89"/>
    <mergeCell ref="A84:B84"/>
    <mergeCell ref="A63:B63"/>
    <mergeCell ref="A62:B62"/>
    <mergeCell ref="A81:B81"/>
    <mergeCell ref="A79:B79"/>
    <mergeCell ref="B1:E1"/>
    <mergeCell ref="B2:E2"/>
    <mergeCell ref="B8:E8"/>
    <mergeCell ref="A1:A8"/>
    <mergeCell ref="A10:E12"/>
    <mergeCell ref="B3:E3"/>
    <mergeCell ref="A15:E18"/>
    <mergeCell ref="A44:B44"/>
    <mergeCell ref="A25:B25"/>
    <mergeCell ref="A26:B26"/>
    <mergeCell ref="A28:B28"/>
    <mergeCell ref="A40:B40"/>
    <mergeCell ref="A48:B48"/>
    <mergeCell ref="A38:B38"/>
    <mergeCell ref="A59:B59"/>
    <mergeCell ref="A60:B60"/>
    <mergeCell ref="A55:B55"/>
    <mergeCell ref="A57:B57"/>
    <mergeCell ref="A56:B56"/>
    <mergeCell ref="A58:B58"/>
    <mergeCell ref="A45:B45"/>
    <mergeCell ref="A49:B49"/>
    <mergeCell ref="A50:B50"/>
    <mergeCell ref="A41:B41"/>
    <mergeCell ref="A39:B39"/>
    <mergeCell ref="A51:B51"/>
    <mergeCell ref="A52:B52"/>
    <mergeCell ref="A222:C223"/>
    <mergeCell ref="A148:B148"/>
    <mergeCell ref="A194:B194"/>
    <mergeCell ref="A151:B151"/>
    <mergeCell ref="A187:B187"/>
    <mergeCell ref="A103:B103"/>
    <mergeCell ref="A133:B133"/>
    <mergeCell ref="A132:B132"/>
    <mergeCell ref="A131:B131"/>
    <mergeCell ref="A122:B122"/>
    <mergeCell ref="A123:B123"/>
    <mergeCell ref="A124:B124"/>
    <mergeCell ref="A106:B106"/>
    <mergeCell ref="A127:B127"/>
    <mergeCell ref="A129:B129"/>
    <mergeCell ref="A126:B126"/>
    <mergeCell ref="A128:B128"/>
    <mergeCell ref="A71:B71"/>
    <mergeCell ref="A70:B70"/>
    <mergeCell ref="A140:B140"/>
    <mergeCell ref="A136:B136"/>
    <mergeCell ref="A88:B88"/>
    <mergeCell ref="A102:B102"/>
    <mergeCell ref="A101:B101"/>
    <mergeCell ref="A130:B130"/>
    <mergeCell ref="A119:B119"/>
    <mergeCell ref="A120:B120"/>
    <mergeCell ref="A121:B121"/>
    <mergeCell ref="A118:B118"/>
    <mergeCell ref="A125:B125"/>
    <mergeCell ref="A135:B135"/>
    <mergeCell ref="A134:B134"/>
    <mergeCell ref="A95:B95"/>
    <mergeCell ref="A94:B94"/>
    <mergeCell ref="A99:B99"/>
    <mergeCell ref="A96:B96"/>
    <mergeCell ref="A100:B100"/>
    <mergeCell ref="A72:C72"/>
    <mergeCell ref="A78:B78"/>
    <mergeCell ref="A98:B98"/>
    <mergeCell ref="A93:B93"/>
    <mergeCell ref="A97:B97"/>
    <mergeCell ref="A92:B92"/>
    <mergeCell ref="A91:B91"/>
    <mergeCell ref="A86:B86"/>
    <mergeCell ref="A85:B85"/>
    <mergeCell ref="A87:B87"/>
    <mergeCell ref="A82:B82"/>
    <mergeCell ref="A83:B83"/>
  </mergeCells>
  <pageMargins left="0.23622047244094491" right="0.23622047244094491" top="0.74803149606299213" bottom="0.74803149606299213" header="0.31496062992125984" footer="0.31496062992125984"/>
  <pageSetup paperSize="3" scale="11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67"/>
  <sheetViews>
    <sheetView tabSelected="1" topLeftCell="B54" zoomScale="80" zoomScaleNormal="80" workbookViewId="0">
      <selection activeCell="H54" sqref="H54"/>
    </sheetView>
  </sheetViews>
  <sheetFormatPr baseColWidth="10" defaultColWidth="10.85546875" defaultRowHeight="15" x14ac:dyDescent="0.25"/>
  <cols>
    <col min="1" max="1" width="4.42578125" hidden="1" customWidth="1"/>
    <col min="2" max="2" width="4.42578125" customWidth="1"/>
    <col min="3" max="3" width="25.5703125" customWidth="1"/>
    <col min="4" max="4" width="8.140625" customWidth="1"/>
    <col min="5" max="5" width="15.140625" customWidth="1"/>
    <col min="6" max="6" width="14.5703125" customWidth="1"/>
    <col min="7" max="7" width="11.85546875" customWidth="1"/>
    <col min="8" max="8" width="9.5703125" customWidth="1"/>
    <col min="9" max="9" width="13.42578125" customWidth="1"/>
    <col min="10" max="10" width="6" hidden="1" customWidth="1"/>
    <col min="11" max="11" width="14.5703125" customWidth="1"/>
    <col min="12" max="12" width="14.42578125" customWidth="1"/>
    <col min="13" max="13" width="19" customWidth="1"/>
    <col min="14" max="15" width="13.85546875" customWidth="1"/>
    <col min="16" max="16" width="14.5703125" customWidth="1"/>
    <col min="17" max="17" width="10" customWidth="1"/>
    <col min="18" max="18" width="23.42578125" customWidth="1"/>
    <col min="19" max="19" width="7.140625" hidden="1" customWidth="1"/>
    <col min="20" max="20" width="10.42578125" customWidth="1"/>
    <col min="21" max="21" width="13" bestFit="1" customWidth="1"/>
    <col min="24" max="24" width="16" bestFit="1" customWidth="1"/>
    <col min="25" max="25" width="11.85546875" bestFit="1" customWidth="1"/>
  </cols>
  <sheetData>
    <row r="1" spans="1:24" ht="251.25" customHeight="1" x14ac:dyDescent="0.25">
      <c r="A1" s="1"/>
      <c r="B1" s="1"/>
      <c r="C1" s="351" t="s">
        <v>334</v>
      </c>
      <c r="D1" s="352"/>
      <c r="E1" s="352"/>
      <c r="F1" s="352"/>
      <c r="G1" s="352"/>
      <c r="H1" s="352"/>
      <c r="I1" s="352"/>
      <c r="J1" s="352"/>
      <c r="K1" s="352"/>
      <c r="L1" s="352"/>
      <c r="M1" s="128"/>
      <c r="N1" s="353" t="s">
        <v>306</v>
      </c>
      <c r="O1" s="353"/>
      <c r="P1" s="348">
        <v>30000000</v>
      </c>
      <c r="Q1" s="348"/>
      <c r="R1" s="148"/>
      <c r="S1" s="3"/>
      <c r="T1" s="1"/>
      <c r="V1" t="s">
        <v>234</v>
      </c>
      <c r="W1">
        <v>80675963.920000002</v>
      </c>
    </row>
    <row r="2" spans="1:24" ht="34.5" customHeight="1" thickBot="1" x14ac:dyDescent="0.3">
      <c r="A2" s="1"/>
      <c r="B2" s="1"/>
      <c r="C2" s="350" t="s">
        <v>225</v>
      </c>
      <c r="D2" s="350"/>
      <c r="E2" s="350"/>
      <c r="F2" s="128"/>
      <c r="G2" s="345">
        <f>X2</f>
        <v>27518571.293111999</v>
      </c>
      <c r="H2" s="345"/>
      <c r="I2" s="128" t="s">
        <v>272</v>
      </c>
      <c r="J2" s="128"/>
      <c r="K2" s="345">
        <f>W1</f>
        <v>80675963.920000002</v>
      </c>
      <c r="L2" s="345"/>
      <c r="M2" s="189"/>
      <c r="N2" s="190" t="s">
        <v>258</v>
      </c>
      <c r="O2" s="189"/>
      <c r="P2" s="349">
        <v>0</v>
      </c>
      <c r="Q2" s="349"/>
      <c r="R2" s="149"/>
      <c r="T2" s="1"/>
      <c r="U2" t="s">
        <v>228</v>
      </c>
      <c r="X2" s="34">
        <f>((K2+P2)*D145)+((K2+P2)*D146)</f>
        <v>27518571.293111999</v>
      </c>
    </row>
    <row r="3" spans="1:24" ht="91.9" customHeight="1" thickBot="1" x14ac:dyDescent="0.3">
      <c r="A3" s="358" t="str">
        <f>"ATENCIÓN: Si usted abona antes del " &amp; TEXT(RESUMEN!A10,"dd/mm/yyyy") &amp; ", deberá abonar el importe indicado en la columna de color naranja. En caso de abonar con posterioridad a dicha fecha, deberá abonar el monto indicado en la columna de color celeste."</f>
        <v>ATENCIÓN: Si usted abona antes del Primer Vencimiento:  16/10, deberá abonar el importe indicado en la columna de color naranja. En caso de abonar con posterioridad a dicha fecha, deberá abonar el monto indicado en la columna de color celeste.</v>
      </c>
      <c r="B3" s="359"/>
      <c r="C3" s="359"/>
      <c r="D3" s="359"/>
      <c r="E3" s="359"/>
      <c r="F3" s="359"/>
      <c r="G3" s="359"/>
      <c r="H3" s="359"/>
      <c r="I3" s="359"/>
      <c r="J3" s="359"/>
      <c r="K3" s="359"/>
      <c r="L3" s="359"/>
      <c r="M3" s="359"/>
      <c r="N3" s="359"/>
      <c r="O3" s="359"/>
      <c r="P3" s="359"/>
      <c r="Q3" s="359"/>
      <c r="R3" s="359"/>
      <c r="S3" s="359"/>
      <c r="T3" s="360"/>
      <c r="X3" s="34"/>
    </row>
    <row r="4" spans="1:24" ht="43.5" customHeight="1" x14ac:dyDescent="0.25">
      <c r="A4" s="361" t="s">
        <v>0</v>
      </c>
      <c r="B4" s="363" t="s">
        <v>1</v>
      </c>
      <c r="C4" s="363" t="s">
        <v>2</v>
      </c>
      <c r="D4" s="363" t="s">
        <v>6</v>
      </c>
      <c r="E4" s="346" t="s">
        <v>181</v>
      </c>
      <c r="F4" s="363" t="s">
        <v>3</v>
      </c>
      <c r="G4" s="365" t="s">
        <v>16</v>
      </c>
      <c r="H4" s="346" t="s">
        <v>231</v>
      </c>
      <c r="I4" s="346" t="s">
        <v>15</v>
      </c>
      <c r="J4" s="346"/>
      <c r="K4" s="346" t="s">
        <v>182</v>
      </c>
      <c r="L4" s="346" t="s">
        <v>146</v>
      </c>
      <c r="M4" s="346" t="s">
        <v>184</v>
      </c>
      <c r="N4" s="346" t="s">
        <v>183</v>
      </c>
      <c r="O4" s="346" t="s">
        <v>316</v>
      </c>
      <c r="P4" s="354" t="s">
        <v>314</v>
      </c>
      <c r="Q4" s="355"/>
      <c r="R4" s="354" t="s">
        <v>309</v>
      </c>
      <c r="S4" s="355"/>
      <c r="T4" s="346" t="s">
        <v>256</v>
      </c>
      <c r="U4" s="12"/>
    </row>
    <row r="5" spans="1:24" ht="25.5" customHeight="1" thickBot="1" x14ac:dyDescent="0.3">
      <c r="A5" s="362"/>
      <c r="B5" s="364"/>
      <c r="C5" s="364"/>
      <c r="D5" s="364"/>
      <c r="E5" s="347"/>
      <c r="F5" s="364"/>
      <c r="G5" s="366"/>
      <c r="H5" s="347"/>
      <c r="I5" s="347"/>
      <c r="J5" s="347"/>
      <c r="K5" s="347"/>
      <c r="L5" s="347"/>
      <c r="M5" s="347"/>
      <c r="N5" s="347"/>
      <c r="O5" s="347"/>
      <c r="P5" s="356" t="str">
        <f>RESUMEN!A10</f>
        <v>Primer Vencimiento:  16/10</v>
      </c>
      <c r="Q5" s="357"/>
      <c r="R5" s="356"/>
      <c r="S5" s="357"/>
      <c r="T5" s="347"/>
    </row>
    <row r="6" spans="1:24" ht="26.45" customHeight="1" x14ac:dyDescent="0.25">
      <c r="A6" s="152"/>
      <c r="B6" s="229">
        <v>1</v>
      </c>
      <c r="C6" s="229" t="s">
        <v>24</v>
      </c>
      <c r="D6" s="230">
        <v>4.5999999999999999E-3</v>
      </c>
      <c r="E6" s="154">
        <v>759748.01</v>
      </c>
      <c r="F6" s="276">
        <f>E6</f>
        <v>759748.01</v>
      </c>
      <c r="G6" s="212">
        <f t="shared" ref="G6:G69" si="0">E6-F6</f>
        <v>0</v>
      </c>
      <c r="H6" s="212">
        <f>IF(G6&gt;0,G6*3.087%,0)</f>
        <v>0</v>
      </c>
      <c r="I6" s="277">
        <f>K$2*D6</f>
        <v>371109.43403200002</v>
      </c>
      <c r="J6" s="277">
        <f t="shared" ref="J6:J37" si="1">P$2*D6</f>
        <v>0</v>
      </c>
      <c r="K6" s="277">
        <f>G$2*0.675675676%</f>
        <v>185936.29261027643</v>
      </c>
      <c r="L6" s="277">
        <f>P$1*0.675675676%</f>
        <v>202702.7028</v>
      </c>
      <c r="M6" s="277">
        <v>0</v>
      </c>
      <c r="N6" s="277">
        <v>0</v>
      </c>
      <c r="O6" s="277">
        <v>0</v>
      </c>
      <c r="P6" s="367">
        <f t="shared" ref="P6:P37" si="2">ROUND(SUM(G6:O6),0) + S6</f>
        <v>759748.01</v>
      </c>
      <c r="Q6" s="368"/>
      <c r="R6" s="191">
        <f t="shared" ref="R6:R37" si="3">ROUND(P6+P6*3.033%,0) + S6</f>
        <v>782791.01</v>
      </c>
      <c r="S6" s="217">
        <f t="shared" ref="S6:S37" si="4">ROUND(0.001+B6/100,2)</f>
        <v>0.01</v>
      </c>
      <c r="T6" s="278">
        <f t="shared" ref="T6:T37" si="5">B6</f>
        <v>1</v>
      </c>
      <c r="U6" t="s">
        <v>215</v>
      </c>
    </row>
    <row r="7" spans="1:24" ht="24.6" customHeight="1" x14ac:dyDescent="0.25">
      <c r="A7" s="15"/>
      <c r="B7" s="228">
        <f>B6+1</f>
        <v>2</v>
      </c>
      <c r="C7" s="228" t="s">
        <v>25</v>
      </c>
      <c r="D7" s="231">
        <v>4.5999999999999999E-3</v>
      </c>
      <c r="E7" s="155">
        <v>4530979.0199999996</v>
      </c>
      <c r="F7" s="158">
        <v>0</v>
      </c>
      <c r="G7" s="46">
        <f t="shared" si="0"/>
        <v>4530979.0199999996</v>
      </c>
      <c r="H7" s="46">
        <f>IF(G7&gt;0,G7*3.087%,0)</f>
        <v>139871.32234739998</v>
      </c>
      <c r="I7" s="279">
        <f t="shared" ref="I7:I38" si="6">K$2*D7</f>
        <v>371109.43403200002</v>
      </c>
      <c r="J7" s="279">
        <f t="shared" si="1"/>
        <v>0</v>
      </c>
      <c r="K7" s="279">
        <f t="shared" ref="K7:K70" si="7">G$2*0.675675676%</f>
        <v>185936.29261027643</v>
      </c>
      <c r="L7" s="279">
        <f t="shared" ref="L7:L70" si="8">P$1*0.675675676%</f>
        <v>202702.7028</v>
      </c>
      <c r="M7" s="277">
        <v>0</v>
      </c>
      <c r="N7" s="277">
        <v>0</v>
      </c>
      <c r="O7" s="277">
        <v>0</v>
      </c>
      <c r="P7" s="369">
        <f t="shared" si="2"/>
        <v>5430599.0199999996</v>
      </c>
      <c r="Q7" s="370"/>
      <c r="R7" s="191">
        <f t="shared" si="3"/>
        <v>5595309.0199999996</v>
      </c>
      <c r="S7" s="217">
        <f t="shared" si="4"/>
        <v>0.02</v>
      </c>
      <c r="T7" s="19">
        <f t="shared" si="5"/>
        <v>2</v>
      </c>
    </row>
    <row r="8" spans="1:24" ht="24.6" customHeight="1" x14ac:dyDescent="0.25">
      <c r="A8" s="15"/>
      <c r="B8" s="228">
        <f t="shared" ref="B8:B37" si="9">B7+1</f>
        <v>3</v>
      </c>
      <c r="C8" s="228" t="s">
        <v>26</v>
      </c>
      <c r="D8" s="231">
        <v>4.5999999999999999E-3</v>
      </c>
      <c r="E8" s="155">
        <v>737341.03</v>
      </c>
      <c r="F8" s="158">
        <v>759705.03</v>
      </c>
      <c r="G8" s="46">
        <f t="shared" si="0"/>
        <v>-22364</v>
      </c>
      <c r="H8" s="46">
        <f t="shared" ref="H8:H71" si="10">IF(G8&gt;0,G8*3.087%,0)</f>
        <v>0</v>
      </c>
      <c r="I8" s="279">
        <f t="shared" si="6"/>
        <v>371109.43403200002</v>
      </c>
      <c r="J8" s="279">
        <f t="shared" si="1"/>
        <v>0</v>
      </c>
      <c r="K8" s="279">
        <f t="shared" si="7"/>
        <v>185936.29261027643</v>
      </c>
      <c r="L8" s="279">
        <f t="shared" si="8"/>
        <v>202702.7028</v>
      </c>
      <c r="M8" s="277">
        <v>0</v>
      </c>
      <c r="N8" s="277">
        <v>0</v>
      </c>
      <c r="O8" s="277">
        <v>0</v>
      </c>
      <c r="P8" s="337">
        <f t="shared" si="2"/>
        <v>737384.03</v>
      </c>
      <c r="Q8" s="337"/>
      <c r="R8" s="191">
        <f t="shared" si="3"/>
        <v>759749.03</v>
      </c>
      <c r="S8" s="217">
        <f t="shared" si="4"/>
        <v>0.03</v>
      </c>
      <c r="T8" s="19">
        <f t="shared" si="5"/>
        <v>3</v>
      </c>
      <c r="V8" t="s">
        <v>200</v>
      </c>
    </row>
    <row r="9" spans="1:24" ht="24.6" customHeight="1" x14ac:dyDescent="0.25">
      <c r="A9" s="147"/>
      <c r="B9" s="228">
        <f t="shared" si="9"/>
        <v>4</v>
      </c>
      <c r="C9" s="228" t="s">
        <v>165</v>
      </c>
      <c r="D9" s="231">
        <v>4.7000000000000002E-3</v>
      </c>
      <c r="E9" s="155">
        <v>301514.03999999998</v>
      </c>
      <c r="F9" s="158"/>
      <c r="G9" s="46">
        <f t="shared" si="0"/>
        <v>301514.03999999998</v>
      </c>
      <c r="H9" s="46">
        <f t="shared" si="10"/>
        <v>9307.7384148000001</v>
      </c>
      <c r="I9" s="279">
        <f t="shared" si="6"/>
        <v>379177.030424</v>
      </c>
      <c r="J9" s="279">
        <f t="shared" si="1"/>
        <v>0</v>
      </c>
      <c r="K9" s="279">
        <f t="shared" si="7"/>
        <v>185936.29261027643</v>
      </c>
      <c r="L9" s="279">
        <f t="shared" si="8"/>
        <v>202702.7028</v>
      </c>
      <c r="M9" s="277">
        <v>0</v>
      </c>
      <c r="N9" s="277">
        <v>0</v>
      </c>
      <c r="O9" s="277">
        <v>0</v>
      </c>
      <c r="P9" s="337">
        <f t="shared" si="2"/>
        <v>1078638.04</v>
      </c>
      <c r="Q9" s="337"/>
      <c r="R9" s="191">
        <f t="shared" si="3"/>
        <v>1111353.04</v>
      </c>
      <c r="S9" s="217">
        <f t="shared" si="4"/>
        <v>0.04</v>
      </c>
      <c r="T9" s="19">
        <f t="shared" si="5"/>
        <v>4</v>
      </c>
      <c r="U9" s="110"/>
      <c r="V9" t="s">
        <v>300</v>
      </c>
    </row>
    <row r="10" spans="1:24" ht="24.6" customHeight="1" x14ac:dyDescent="0.25">
      <c r="A10" s="15"/>
      <c r="B10" s="228">
        <f t="shared" si="9"/>
        <v>5</v>
      </c>
      <c r="C10" s="228" t="s">
        <v>27</v>
      </c>
      <c r="D10" s="231">
        <v>4.7000000000000002E-3</v>
      </c>
      <c r="E10" s="155">
        <v>767816.05</v>
      </c>
      <c r="F10" s="158">
        <f>E10</f>
        <v>767816.05</v>
      </c>
      <c r="G10" s="46">
        <f t="shared" si="0"/>
        <v>0</v>
      </c>
      <c r="H10" s="46">
        <f t="shared" si="10"/>
        <v>0</v>
      </c>
      <c r="I10" s="279">
        <f t="shared" si="6"/>
        <v>379177.030424</v>
      </c>
      <c r="J10" s="279">
        <f t="shared" si="1"/>
        <v>0</v>
      </c>
      <c r="K10" s="279">
        <f t="shared" si="7"/>
        <v>185936.29261027643</v>
      </c>
      <c r="L10" s="279">
        <f t="shared" si="8"/>
        <v>202702.7028</v>
      </c>
      <c r="M10" s="277">
        <v>0</v>
      </c>
      <c r="N10" s="277">
        <v>0</v>
      </c>
      <c r="O10" s="277">
        <v>0</v>
      </c>
      <c r="P10" s="337">
        <f t="shared" si="2"/>
        <v>767816.05</v>
      </c>
      <c r="Q10" s="337"/>
      <c r="R10" s="191">
        <f t="shared" si="3"/>
        <v>791104.05</v>
      </c>
      <c r="S10" s="217">
        <f t="shared" si="4"/>
        <v>0.05</v>
      </c>
      <c r="T10" s="19">
        <f t="shared" si="5"/>
        <v>5</v>
      </c>
      <c r="U10" s="110"/>
    </row>
    <row r="11" spans="1:24" ht="24.6" customHeight="1" x14ac:dyDescent="0.25">
      <c r="A11" s="15"/>
      <c r="B11" s="228">
        <f t="shared" si="9"/>
        <v>6</v>
      </c>
      <c r="C11" s="228" t="s">
        <v>28</v>
      </c>
      <c r="D11" s="231">
        <v>4.4999999999999997E-3</v>
      </c>
      <c r="E11" s="155">
        <v>751681.06</v>
      </c>
      <c r="F11" s="156">
        <f>E11</f>
        <v>751681.06</v>
      </c>
      <c r="G11" s="46">
        <f t="shared" si="0"/>
        <v>0</v>
      </c>
      <c r="H11" s="46">
        <f t="shared" si="10"/>
        <v>0</v>
      </c>
      <c r="I11" s="279">
        <f t="shared" si="6"/>
        <v>363041.83763999998</v>
      </c>
      <c r="J11" s="279">
        <f t="shared" si="1"/>
        <v>0</v>
      </c>
      <c r="K11" s="279">
        <f t="shared" si="7"/>
        <v>185936.29261027643</v>
      </c>
      <c r="L11" s="279">
        <f t="shared" si="8"/>
        <v>202702.7028</v>
      </c>
      <c r="M11" s="277">
        <v>0</v>
      </c>
      <c r="N11" s="277">
        <v>0</v>
      </c>
      <c r="O11" s="277">
        <v>0</v>
      </c>
      <c r="P11" s="337">
        <f t="shared" si="2"/>
        <v>751681.06</v>
      </c>
      <c r="Q11" s="337"/>
      <c r="R11" s="191">
        <f t="shared" si="3"/>
        <v>774480.06</v>
      </c>
      <c r="S11" s="217">
        <f t="shared" si="4"/>
        <v>0.06</v>
      </c>
      <c r="T11" s="19">
        <f t="shared" si="5"/>
        <v>6</v>
      </c>
      <c r="U11" t="s">
        <v>193</v>
      </c>
    </row>
    <row r="12" spans="1:24" ht="24.6" customHeight="1" x14ac:dyDescent="0.25">
      <c r="A12" s="147"/>
      <c r="B12" s="228">
        <f t="shared" si="9"/>
        <v>7</v>
      </c>
      <c r="C12" s="228" t="s">
        <v>29</v>
      </c>
      <c r="D12" s="231">
        <v>4.3E-3</v>
      </c>
      <c r="E12" s="155">
        <v>630339.06999999995</v>
      </c>
      <c r="F12" s="156">
        <f>E12</f>
        <v>630339.06999999995</v>
      </c>
      <c r="G12" s="46">
        <f t="shared" si="0"/>
        <v>0</v>
      </c>
      <c r="H12" s="46">
        <f t="shared" si="10"/>
        <v>0</v>
      </c>
      <c r="I12" s="279">
        <f t="shared" si="6"/>
        <v>346906.64485600003</v>
      </c>
      <c r="J12" s="279">
        <f t="shared" si="1"/>
        <v>0</v>
      </c>
      <c r="K12" s="279">
        <f t="shared" si="7"/>
        <v>185936.29261027643</v>
      </c>
      <c r="L12" s="279">
        <f t="shared" si="8"/>
        <v>202702.7028</v>
      </c>
      <c r="M12" s="277">
        <v>0</v>
      </c>
      <c r="N12" s="277">
        <v>0</v>
      </c>
      <c r="O12" s="277">
        <v>0</v>
      </c>
      <c r="P12" s="337">
        <f t="shared" si="2"/>
        <v>735546.07</v>
      </c>
      <c r="Q12" s="337"/>
      <c r="R12" s="191">
        <f t="shared" si="3"/>
        <v>757855.07</v>
      </c>
      <c r="S12" s="217">
        <f t="shared" si="4"/>
        <v>7.0000000000000007E-2</v>
      </c>
      <c r="T12" s="19">
        <f t="shared" si="5"/>
        <v>7</v>
      </c>
      <c r="U12" t="s">
        <v>245</v>
      </c>
    </row>
    <row r="13" spans="1:24" ht="24.6" customHeight="1" x14ac:dyDescent="0.25">
      <c r="A13" s="147"/>
      <c r="B13" s="228">
        <f t="shared" si="9"/>
        <v>8</v>
      </c>
      <c r="C13" s="228" t="s">
        <v>30</v>
      </c>
      <c r="D13" s="231">
        <v>4.7000000000000002E-3</v>
      </c>
      <c r="E13" s="155">
        <v>1554421.08</v>
      </c>
      <c r="F13" s="158">
        <f>763100+770000+21321</f>
        <v>1554421</v>
      </c>
      <c r="G13" s="46">
        <f t="shared" si="0"/>
        <v>8.0000000074505806E-2</v>
      </c>
      <c r="H13" s="46">
        <f t="shared" si="10"/>
        <v>2.4696000022999941E-3</v>
      </c>
      <c r="I13" s="279">
        <f t="shared" si="6"/>
        <v>379177.030424</v>
      </c>
      <c r="J13" s="279">
        <f t="shared" si="1"/>
        <v>0</v>
      </c>
      <c r="K13" s="279">
        <f t="shared" si="7"/>
        <v>185936.29261027643</v>
      </c>
      <c r="L13" s="279">
        <f t="shared" si="8"/>
        <v>202702.7028</v>
      </c>
      <c r="M13" s="277">
        <v>0</v>
      </c>
      <c r="N13" s="277">
        <v>0</v>
      </c>
      <c r="O13" s="277">
        <v>0</v>
      </c>
      <c r="P13" s="337">
        <f t="shared" si="2"/>
        <v>767816.08</v>
      </c>
      <c r="Q13" s="337"/>
      <c r="R13" s="191">
        <f t="shared" si="3"/>
        <v>791104.08</v>
      </c>
      <c r="S13" s="217">
        <f t="shared" si="4"/>
        <v>0.08</v>
      </c>
      <c r="T13" s="19">
        <f t="shared" si="5"/>
        <v>8</v>
      </c>
      <c r="U13" t="s">
        <v>276</v>
      </c>
    </row>
    <row r="14" spans="1:24" ht="24.6" customHeight="1" x14ac:dyDescent="0.25">
      <c r="A14" s="15"/>
      <c r="B14" s="228">
        <f t="shared" si="9"/>
        <v>9</v>
      </c>
      <c r="C14" s="228" t="s">
        <v>31</v>
      </c>
      <c r="D14" s="231">
        <v>4.7000000000000002E-3</v>
      </c>
      <c r="E14" s="155">
        <v>790606.09</v>
      </c>
      <c r="F14" s="158">
        <v>790000</v>
      </c>
      <c r="G14" s="46">
        <f t="shared" si="0"/>
        <v>606.0899999999674</v>
      </c>
      <c r="H14" s="46">
        <f t="shared" si="10"/>
        <v>18.709998299998993</v>
      </c>
      <c r="I14" s="279">
        <f t="shared" si="6"/>
        <v>379177.030424</v>
      </c>
      <c r="J14" s="279">
        <f t="shared" si="1"/>
        <v>0</v>
      </c>
      <c r="K14" s="279">
        <f t="shared" si="7"/>
        <v>185936.29261027643</v>
      </c>
      <c r="L14" s="279">
        <f t="shared" si="8"/>
        <v>202702.7028</v>
      </c>
      <c r="M14" s="277">
        <v>0</v>
      </c>
      <c r="N14" s="277">
        <v>0</v>
      </c>
      <c r="O14" s="277">
        <v>0</v>
      </c>
      <c r="P14" s="337">
        <f t="shared" si="2"/>
        <v>768441.09</v>
      </c>
      <c r="Q14" s="337"/>
      <c r="R14" s="191">
        <f t="shared" si="3"/>
        <v>791748.09</v>
      </c>
      <c r="S14" s="217">
        <f t="shared" si="4"/>
        <v>0.09</v>
      </c>
      <c r="T14" s="19">
        <f t="shared" si="5"/>
        <v>9</v>
      </c>
    </row>
    <row r="15" spans="1:24" ht="24.6" customHeight="1" x14ac:dyDescent="0.25">
      <c r="A15" s="143"/>
      <c r="B15" s="228">
        <f t="shared" si="9"/>
        <v>10</v>
      </c>
      <c r="C15" s="228" t="s">
        <v>32</v>
      </c>
      <c r="D15" s="231">
        <v>4.7000000000000002E-3</v>
      </c>
      <c r="E15" s="155">
        <v>792551.1</v>
      </c>
      <c r="F15" s="156">
        <f>E15</f>
        <v>792551.1</v>
      </c>
      <c r="G15" s="46">
        <f t="shared" si="0"/>
        <v>0</v>
      </c>
      <c r="H15" s="46">
        <f t="shared" si="10"/>
        <v>0</v>
      </c>
      <c r="I15" s="279">
        <f t="shared" si="6"/>
        <v>379177.030424</v>
      </c>
      <c r="J15" s="279">
        <f t="shared" si="1"/>
        <v>0</v>
      </c>
      <c r="K15" s="279">
        <f t="shared" si="7"/>
        <v>185936.29261027643</v>
      </c>
      <c r="L15" s="279">
        <f t="shared" si="8"/>
        <v>202702.7028</v>
      </c>
      <c r="M15" s="277">
        <v>0</v>
      </c>
      <c r="N15" s="277">
        <v>0</v>
      </c>
      <c r="O15" s="277">
        <v>0</v>
      </c>
      <c r="P15" s="337">
        <f t="shared" si="2"/>
        <v>767816.1</v>
      </c>
      <c r="Q15" s="337"/>
      <c r="R15" s="191">
        <f t="shared" si="3"/>
        <v>791104.1</v>
      </c>
      <c r="S15" s="217">
        <f t="shared" si="4"/>
        <v>0.1</v>
      </c>
      <c r="T15" s="19">
        <f t="shared" si="5"/>
        <v>10</v>
      </c>
      <c r="U15" t="s">
        <v>237</v>
      </c>
    </row>
    <row r="16" spans="1:24" ht="24.6" customHeight="1" x14ac:dyDescent="0.25">
      <c r="A16" s="15"/>
      <c r="B16" s="228">
        <f t="shared" si="9"/>
        <v>11</v>
      </c>
      <c r="C16" s="228" t="s">
        <v>33</v>
      </c>
      <c r="D16" s="231">
        <v>4.7000000000000002E-3</v>
      </c>
      <c r="E16" s="155">
        <v>745214.11</v>
      </c>
      <c r="F16" s="158">
        <v>767816.11</v>
      </c>
      <c r="G16" s="46">
        <f t="shared" si="0"/>
        <v>-22602</v>
      </c>
      <c r="H16" s="46">
        <f t="shared" si="10"/>
        <v>0</v>
      </c>
      <c r="I16" s="279">
        <f t="shared" si="6"/>
        <v>379177.030424</v>
      </c>
      <c r="J16" s="279">
        <f t="shared" si="1"/>
        <v>0</v>
      </c>
      <c r="K16" s="279">
        <f t="shared" si="7"/>
        <v>185936.29261027643</v>
      </c>
      <c r="L16" s="279">
        <f t="shared" si="8"/>
        <v>202702.7028</v>
      </c>
      <c r="M16" s="277">
        <v>0</v>
      </c>
      <c r="N16" s="277">
        <v>0</v>
      </c>
      <c r="O16" s="280">
        <f>I16/2</f>
        <v>189588.515212</v>
      </c>
      <c r="P16" s="337">
        <f t="shared" si="2"/>
        <v>934803.11</v>
      </c>
      <c r="Q16" s="337"/>
      <c r="R16" s="191">
        <f t="shared" si="3"/>
        <v>963156.11</v>
      </c>
      <c r="S16" s="281">
        <f t="shared" si="4"/>
        <v>0.11</v>
      </c>
      <c r="T16" s="86">
        <f t="shared" si="5"/>
        <v>11</v>
      </c>
      <c r="U16" t="s">
        <v>260</v>
      </c>
    </row>
    <row r="17" spans="1:22" ht="24.6" customHeight="1" x14ac:dyDescent="0.25">
      <c r="A17" s="15"/>
      <c r="B17" s="228">
        <f t="shared" si="9"/>
        <v>12</v>
      </c>
      <c r="C17" s="228" t="s">
        <v>34</v>
      </c>
      <c r="D17" s="231">
        <v>4.3E-3</v>
      </c>
      <c r="E17" s="155">
        <v>5441367.1200000001</v>
      </c>
      <c r="F17" s="158"/>
      <c r="G17" s="46">
        <f t="shared" si="0"/>
        <v>5441367.1200000001</v>
      </c>
      <c r="H17" s="46">
        <f t="shared" si="10"/>
        <v>167975.00299440001</v>
      </c>
      <c r="I17" s="279">
        <f t="shared" si="6"/>
        <v>346906.64485600003</v>
      </c>
      <c r="J17" s="279">
        <f t="shared" si="1"/>
        <v>0</v>
      </c>
      <c r="K17" s="279">
        <f t="shared" si="7"/>
        <v>185936.29261027643</v>
      </c>
      <c r="L17" s="279">
        <f t="shared" si="8"/>
        <v>202702.7028</v>
      </c>
      <c r="M17" s="277">
        <v>0</v>
      </c>
      <c r="N17" s="277">
        <v>0</v>
      </c>
      <c r="O17" s="277">
        <v>0</v>
      </c>
      <c r="P17" s="337">
        <f t="shared" si="2"/>
        <v>6344888.1200000001</v>
      </c>
      <c r="Q17" s="337"/>
      <c r="R17" s="191">
        <f t="shared" si="3"/>
        <v>6537329.1200000001</v>
      </c>
      <c r="S17" s="281">
        <f t="shared" si="4"/>
        <v>0.12</v>
      </c>
      <c r="T17" s="86">
        <f t="shared" si="5"/>
        <v>12</v>
      </c>
      <c r="U17" t="s">
        <v>253</v>
      </c>
    </row>
    <row r="18" spans="1:22" ht="24.6" customHeight="1" x14ac:dyDescent="0.25">
      <c r="A18" s="184"/>
      <c r="B18" s="228">
        <f t="shared" si="9"/>
        <v>13</v>
      </c>
      <c r="C18" s="228" t="s">
        <v>168</v>
      </c>
      <c r="D18" s="231">
        <v>4.5999999999999999E-3</v>
      </c>
      <c r="E18" s="155">
        <v>759748.13</v>
      </c>
      <c r="F18" s="158">
        <f>E18</f>
        <v>759748.13</v>
      </c>
      <c r="G18" s="46">
        <f t="shared" si="0"/>
        <v>0</v>
      </c>
      <c r="H18" s="46">
        <f t="shared" si="10"/>
        <v>0</v>
      </c>
      <c r="I18" s="279">
        <f t="shared" si="6"/>
        <v>371109.43403200002</v>
      </c>
      <c r="J18" s="279">
        <f t="shared" si="1"/>
        <v>0</v>
      </c>
      <c r="K18" s="279">
        <f t="shared" si="7"/>
        <v>185936.29261027643</v>
      </c>
      <c r="L18" s="279">
        <f t="shared" si="8"/>
        <v>202702.7028</v>
      </c>
      <c r="M18" s="277">
        <v>0</v>
      </c>
      <c r="N18" s="277">
        <v>0</v>
      </c>
      <c r="O18" s="277">
        <v>0</v>
      </c>
      <c r="P18" s="337">
        <f t="shared" si="2"/>
        <v>759748.13</v>
      </c>
      <c r="Q18" s="337"/>
      <c r="R18" s="191">
        <f t="shared" si="3"/>
        <v>782791.13</v>
      </c>
      <c r="S18" s="217">
        <f t="shared" si="4"/>
        <v>0.13</v>
      </c>
      <c r="T18" s="19">
        <f t="shared" si="5"/>
        <v>13</v>
      </c>
    </row>
    <row r="19" spans="1:22" ht="24.6" customHeight="1" x14ac:dyDescent="0.25">
      <c r="A19" s="147"/>
      <c r="B19" s="228">
        <f t="shared" si="9"/>
        <v>14</v>
      </c>
      <c r="C19" s="228" t="s">
        <v>35</v>
      </c>
      <c r="D19" s="231">
        <v>4.7000000000000002E-3</v>
      </c>
      <c r="E19" s="155">
        <v>998630.14</v>
      </c>
      <c r="F19" s="156">
        <f>223630+775000</f>
        <v>998630</v>
      </c>
      <c r="G19" s="46">
        <f t="shared" si="0"/>
        <v>0.14000000001396984</v>
      </c>
      <c r="H19" s="46">
        <f t="shared" si="10"/>
        <v>4.3218000004312494E-3</v>
      </c>
      <c r="I19" s="279">
        <f t="shared" si="6"/>
        <v>379177.030424</v>
      </c>
      <c r="J19" s="279">
        <f t="shared" si="1"/>
        <v>0</v>
      </c>
      <c r="K19" s="279">
        <f t="shared" si="7"/>
        <v>185936.29261027643</v>
      </c>
      <c r="L19" s="279">
        <f t="shared" si="8"/>
        <v>202702.7028</v>
      </c>
      <c r="M19" s="277">
        <v>0</v>
      </c>
      <c r="N19" s="277">
        <v>0</v>
      </c>
      <c r="O19" s="277">
        <v>0</v>
      </c>
      <c r="P19" s="337">
        <f t="shared" si="2"/>
        <v>767816.14</v>
      </c>
      <c r="Q19" s="337"/>
      <c r="R19" s="191">
        <f t="shared" si="3"/>
        <v>791104.14</v>
      </c>
      <c r="S19" s="217">
        <f t="shared" si="4"/>
        <v>0.14000000000000001</v>
      </c>
      <c r="T19" s="19">
        <f t="shared" si="5"/>
        <v>14</v>
      </c>
      <c r="U19" t="s">
        <v>317</v>
      </c>
    </row>
    <row r="20" spans="1:22" ht="24.6" customHeight="1" x14ac:dyDescent="0.25">
      <c r="A20" s="15"/>
      <c r="B20" s="228">
        <f t="shared" si="9"/>
        <v>15</v>
      </c>
      <c r="C20" s="228" t="s">
        <v>287</v>
      </c>
      <c r="D20" s="231">
        <v>4.4000000000000003E-3</v>
      </c>
      <c r="E20" s="155">
        <v>766167.15</v>
      </c>
      <c r="F20" s="158">
        <v>743613.15</v>
      </c>
      <c r="G20" s="46">
        <f t="shared" si="0"/>
        <v>22554</v>
      </c>
      <c r="H20" s="46">
        <f t="shared" si="10"/>
        <v>696.24198000000001</v>
      </c>
      <c r="I20" s="279">
        <f t="shared" si="6"/>
        <v>354974.24124800001</v>
      </c>
      <c r="J20" s="279">
        <f t="shared" si="1"/>
        <v>0</v>
      </c>
      <c r="K20" s="279">
        <f t="shared" si="7"/>
        <v>185936.29261027643</v>
      </c>
      <c r="L20" s="279">
        <f t="shared" si="8"/>
        <v>202702.7028</v>
      </c>
      <c r="M20" s="277">
        <v>0</v>
      </c>
      <c r="N20" s="277">
        <v>0</v>
      </c>
      <c r="O20" s="277">
        <v>0</v>
      </c>
      <c r="P20" s="337">
        <f t="shared" si="2"/>
        <v>766863.15</v>
      </c>
      <c r="Q20" s="337"/>
      <c r="R20" s="191">
        <f t="shared" si="3"/>
        <v>790122.15</v>
      </c>
      <c r="S20" s="281">
        <f t="shared" si="4"/>
        <v>0.15</v>
      </c>
      <c r="T20" s="86">
        <f t="shared" si="5"/>
        <v>15</v>
      </c>
      <c r="U20" t="s">
        <v>288</v>
      </c>
    </row>
    <row r="21" spans="1:22" ht="24.6" customHeight="1" x14ac:dyDescent="0.25">
      <c r="A21" s="15"/>
      <c r="B21" s="228">
        <f t="shared" si="9"/>
        <v>16</v>
      </c>
      <c r="C21" s="228" t="s">
        <v>169</v>
      </c>
      <c r="D21" s="231">
        <v>4.5999999999999999E-3</v>
      </c>
      <c r="E21" s="155">
        <v>759748.16</v>
      </c>
      <c r="F21" s="158">
        <f t="shared" ref="F21" si="11">E21</f>
        <v>759748.16</v>
      </c>
      <c r="G21" s="46">
        <f t="shared" si="0"/>
        <v>0</v>
      </c>
      <c r="H21" s="46">
        <f t="shared" si="10"/>
        <v>0</v>
      </c>
      <c r="I21" s="279">
        <f t="shared" si="6"/>
        <v>371109.43403200002</v>
      </c>
      <c r="J21" s="279">
        <f t="shared" si="1"/>
        <v>0</v>
      </c>
      <c r="K21" s="279">
        <f t="shared" si="7"/>
        <v>185936.29261027643</v>
      </c>
      <c r="L21" s="279">
        <f t="shared" si="8"/>
        <v>202702.7028</v>
      </c>
      <c r="M21" s="277">
        <v>0</v>
      </c>
      <c r="N21" s="277">
        <v>0</v>
      </c>
      <c r="O21" s="277">
        <v>0</v>
      </c>
      <c r="P21" s="337">
        <f t="shared" si="2"/>
        <v>759748.16</v>
      </c>
      <c r="Q21" s="337"/>
      <c r="R21" s="191">
        <f t="shared" si="3"/>
        <v>782791.16</v>
      </c>
      <c r="S21" s="217">
        <f t="shared" si="4"/>
        <v>0.16</v>
      </c>
      <c r="T21" s="19">
        <f t="shared" si="5"/>
        <v>16</v>
      </c>
    </row>
    <row r="22" spans="1:22" ht="24.6" customHeight="1" x14ac:dyDescent="0.25">
      <c r="A22" s="207"/>
      <c r="B22" s="228">
        <f t="shared" si="9"/>
        <v>17</v>
      </c>
      <c r="C22" s="228" t="s">
        <v>36</v>
      </c>
      <c r="D22" s="231">
        <v>4.5999999999999999E-3</v>
      </c>
      <c r="E22" s="155">
        <v>639446.17000000004</v>
      </c>
      <c r="F22" s="158">
        <f>750000</f>
        <v>750000</v>
      </c>
      <c r="G22" s="46">
        <f t="shared" si="0"/>
        <v>-110553.82999999996</v>
      </c>
      <c r="H22" s="46">
        <f t="shared" si="10"/>
        <v>0</v>
      </c>
      <c r="I22" s="279">
        <f t="shared" si="6"/>
        <v>371109.43403200002</v>
      </c>
      <c r="J22" s="279">
        <f t="shared" si="1"/>
        <v>0</v>
      </c>
      <c r="K22" s="279">
        <f t="shared" si="7"/>
        <v>185936.29261027643</v>
      </c>
      <c r="L22" s="279">
        <f t="shared" si="8"/>
        <v>202702.7028</v>
      </c>
      <c r="M22" s="277">
        <v>0</v>
      </c>
      <c r="N22" s="277">
        <v>0</v>
      </c>
      <c r="O22" s="277">
        <v>0</v>
      </c>
      <c r="P22" s="337">
        <f t="shared" si="2"/>
        <v>649195.17000000004</v>
      </c>
      <c r="Q22" s="337"/>
      <c r="R22" s="191">
        <f t="shared" si="3"/>
        <v>668885.17000000004</v>
      </c>
      <c r="S22" s="217">
        <f t="shared" si="4"/>
        <v>0.17</v>
      </c>
      <c r="T22" s="19">
        <f t="shared" si="5"/>
        <v>17</v>
      </c>
      <c r="U22" t="s">
        <v>209</v>
      </c>
    </row>
    <row r="23" spans="1:22" ht="24.6" customHeight="1" x14ac:dyDescent="0.25">
      <c r="A23" s="15"/>
      <c r="B23" s="228">
        <f t="shared" si="9"/>
        <v>18</v>
      </c>
      <c r="C23" s="228" t="s">
        <v>37</v>
      </c>
      <c r="D23" s="231">
        <v>4.5999999999999999E-3</v>
      </c>
      <c r="E23" s="155">
        <v>782781.18</v>
      </c>
      <c r="F23" s="156">
        <f>E23</f>
        <v>782781.18</v>
      </c>
      <c r="G23" s="46">
        <f t="shared" si="0"/>
        <v>0</v>
      </c>
      <c r="H23" s="46">
        <f t="shared" si="10"/>
        <v>0</v>
      </c>
      <c r="I23" s="279">
        <f t="shared" si="6"/>
        <v>371109.43403200002</v>
      </c>
      <c r="J23" s="279">
        <f t="shared" si="1"/>
        <v>0</v>
      </c>
      <c r="K23" s="279">
        <f t="shared" si="7"/>
        <v>185936.29261027643</v>
      </c>
      <c r="L23" s="279">
        <f t="shared" si="8"/>
        <v>202702.7028</v>
      </c>
      <c r="M23" s="277">
        <v>0</v>
      </c>
      <c r="N23" s="277">
        <v>0</v>
      </c>
      <c r="O23" s="277">
        <v>0</v>
      </c>
      <c r="P23" s="337">
        <f t="shared" si="2"/>
        <v>759748.18</v>
      </c>
      <c r="Q23" s="337"/>
      <c r="R23" s="191">
        <f t="shared" si="3"/>
        <v>782791.18</v>
      </c>
      <c r="S23" s="217">
        <f t="shared" si="4"/>
        <v>0.18</v>
      </c>
      <c r="T23" s="19">
        <f t="shared" si="5"/>
        <v>18</v>
      </c>
      <c r="U23" t="s">
        <v>294</v>
      </c>
    </row>
    <row r="24" spans="1:22" ht="24.6" customHeight="1" x14ac:dyDescent="0.25">
      <c r="A24" s="15"/>
      <c r="B24" s="228">
        <f t="shared" si="9"/>
        <v>19</v>
      </c>
      <c r="C24" s="228" t="s">
        <v>38</v>
      </c>
      <c r="D24" s="231">
        <v>4.7000000000000002E-3</v>
      </c>
      <c r="E24" s="155">
        <v>744528.19</v>
      </c>
      <c r="F24" s="156">
        <v>767110.19</v>
      </c>
      <c r="G24" s="46">
        <f t="shared" si="0"/>
        <v>-22582</v>
      </c>
      <c r="H24" s="46">
        <f t="shared" si="10"/>
        <v>0</v>
      </c>
      <c r="I24" s="279">
        <f t="shared" si="6"/>
        <v>379177.030424</v>
      </c>
      <c r="J24" s="279">
        <f t="shared" si="1"/>
        <v>0</v>
      </c>
      <c r="K24" s="279">
        <f t="shared" si="7"/>
        <v>185936.29261027643</v>
      </c>
      <c r="L24" s="279">
        <f t="shared" si="8"/>
        <v>202702.7028</v>
      </c>
      <c r="M24" s="277">
        <v>0</v>
      </c>
      <c r="N24" s="277">
        <v>0</v>
      </c>
      <c r="O24" s="277">
        <v>0</v>
      </c>
      <c r="P24" s="337">
        <f t="shared" si="2"/>
        <v>745234.19</v>
      </c>
      <c r="Q24" s="337"/>
      <c r="R24" s="191">
        <f t="shared" si="3"/>
        <v>767837.19</v>
      </c>
      <c r="S24" s="217">
        <f t="shared" si="4"/>
        <v>0.19</v>
      </c>
      <c r="T24" s="19">
        <f t="shared" si="5"/>
        <v>19</v>
      </c>
    </row>
    <row r="25" spans="1:22" ht="24.6" customHeight="1" x14ac:dyDescent="0.25">
      <c r="A25" s="15"/>
      <c r="B25" s="228">
        <f t="shared" si="9"/>
        <v>20</v>
      </c>
      <c r="C25" s="228" t="s">
        <v>39</v>
      </c>
      <c r="D25" s="231">
        <v>4.7000000000000002E-3</v>
      </c>
      <c r="E25" s="155">
        <v>767816.2</v>
      </c>
      <c r="F25" s="158">
        <f>E25</f>
        <v>767816.2</v>
      </c>
      <c r="G25" s="46">
        <f t="shared" si="0"/>
        <v>0</v>
      </c>
      <c r="H25" s="46">
        <f t="shared" si="10"/>
        <v>0</v>
      </c>
      <c r="I25" s="279">
        <f t="shared" si="6"/>
        <v>379177.030424</v>
      </c>
      <c r="J25" s="279">
        <f t="shared" si="1"/>
        <v>0</v>
      </c>
      <c r="K25" s="279">
        <f t="shared" si="7"/>
        <v>185936.29261027643</v>
      </c>
      <c r="L25" s="279">
        <f t="shared" si="8"/>
        <v>202702.7028</v>
      </c>
      <c r="M25" s="277">
        <v>0</v>
      </c>
      <c r="N25" s="277">
        <v>0</v>
      </c>
      <c r="O25" s="277">
        <v>0</v>
      </c>
      <c r="P25" s="337">
        <f t="shared" si="2"/>
        <v>767816.2</v>
      </c>
      <c r="Q25" s="337"/>
      <c r="R25" s="191">
        <f t="shared" si="3"/>
        <v>791104.2</v>
      </c>
      <c r="S25" s="217">
        <f t="shared" si="4"/>
        <v>0.2</v>
      </c>
      <c r="T25" s="19">
        <f t="shared" si="5"/>
        <v>20</v>
      </c>
    </row>
    <row r="26" spans="1:22" ht="24.6" customHeight="1" x14ac:dyDescent="0.25">
      <c r="A26" s="15"/>
      <c r="B26" s="228">
        <f t="shared" si="9"/>
        <v>21</v>
      </c>
      <c r="C26" s="228" t="s">
        <v>40</v>
      </c>
      <c r="D26" s="231">
        <v>4.7000000000000002E-3</v>
      </c>
      <c r="E26" s="155">
        <v>767816.21</v>
      </c>
      <c r="F26" s="156">
        <f>E26</f>
        <v>767816.21</v>
      </c>
      <c r="G26" s="46">
        <f t="shared" si="0"/>
        <v>0</v>
      </c>
      <c r="H26" s="46">
        <f t="shared" si="10"/>
        <v>0</v>
      </c>
      <c r="I26" s="279">
        <f t="shared" si="6"/>
        <v>379177.030424</v>
      </c>
      <c r="J26" s="279">
        <f t="shared" si="1"/>
        <v>0</v>
      </c>
      <c r="K26" s="279">
        <f t="shared" si="7"/>
        <v>185936.29261027643</v>
      </c>
      <c r="L26" s="279">
        <f t="shared" si="8"/>
        <v>202702.7028</v>
      </c>
      <c r="M26" s="277">
        <v>0</v>
      </c>
      <c r="N26" s="277">
        <v>0</v>
      </c>
      <c r="O26" s="277">
        <v>0</v>
      </c>
      <c r="P26" s="337">
        <f t="shared" si="2"/>
        <v>767816.21</v>
      </c>
      <c r="Q26" s="337"/>
      <c r="R26" s="191">
        <f t="shared" si="3"/>
        <v>791104.21</v>
      </c>
      <c r="S26" s="217">
        <f t="shared" si="4"/>
        <v>0.21</v>
      </c>
      <c r="T26" s="19">
        <f t="shared" si="5"/>
        <v>21</v>
      </c>
      <c r="U26" t="s">
        <v>201</v>
      </c>
      <c r="V26" t="s">
        <v>201</v>
      </c>
    </row>
    <row r="27" spans="1:22" ht="24.6" customHeight="1" x14ac:dyDescent="0.25">
      <c r="A27" s="15"/>
      <c r="B27" s="228">
        <f t="shared" si="9"/>
        <v>22</v>
      </c>
      <c r="C27" s="228" t="s">
        <v>41</v>
      </c>
      <c r="D27" s="231">
        <v>4.7000000000000002E-3</v>
      </c>
      <c r="E27" s="155">
        <v>767816.22</v>
      </c>
      <c r="F27" s="156">
        <f>E27</f>
        <v>767816.22</v>
      </c>
      <c r="G27" s="46">
        <f t="shared" si="0"/>
        <v>0</v>
      </c>
      <c r="H27" s="46">
        <f t="shared" si="10"/>
        <v>0</v>
      </c>
      <c r="I27" s="279">
        <f t="shared" si="6"/>
        <v>379177.030424</v>
      </c>
      <c r="J27" s="279">
        <f t="shared" si="1"/>
        <v>0</v>
      </c>
      <c r="K27" s="279">
        <f t="shared" si="7"/>
        <v>185936.29261027643</v>
      </c>
      <c r="L27" s="279">
        <f t="shared" si="8"/>
        <v>202702.7028</v>
      </c>
      <c r="M27" s="277">
        <v>0</v>
      </c>
      <c r="N27" s="277">
        <v>0</v>
      </c>
      <c r="O27" s="277">
        <v>0</v>
      </c>
      <c r="P27" s="337">
        <f t="shared" si="2"/>
        <v>767816.22</v>
      </c>
      <c r="Q27" s="337"/>
      <c r="R27" s="191">
        <f t="shared" si="3"/>
        <v>791104.22</v>
      </c>
      <c r="S27" s="217">
        <f t="shared" si="4"/>
        <v>0.22</v>
      </c>
      <c r="T27" s="19">
        <f t="shared" si="5"/>
        <v>22</v>
      </c>
      <c r="U27" t="s">
        <v>284</v>
      </c>
    </row>
    <row r="28" spans="1:22" ht="24.6" customHeight="1" x14ac:dyDescent="0.25">
      <c r="A28" s="145"/>
      <c r="B28" s="228">
        <f t="shared" si="9"/>
        <v>23</v>
      </c>
      <c r="C28" s="228" t="s">
        <v>42</v>
      </c>
      <c r="D28" s="231">
        <v>4.7000000000000002E-3</v>
      </c>
      <c r="E28" s="155">
        <v>745212.23</v>
      </c>
      <c r="F28" s="158">
        <v>767815</v>
      </c>
      <c r="G28" s="46">
        <f t="shared" si="0"/>
        <v>-22602.770000000019</v>
      </c>
      <c r="H28" s="46">
        <f t="shared" si="10"/>
        <v>0</v>
      </c>
      <c r="I28" s="279">
        <f t="shared" si="6"/>
        <v>379177.030424</v>
      </c>
      <c r="J28" s="279">
        <f t="shared" si="1"/>
        <v>0</v>
      </c>
      <c r="K28" s="279">
        <f t="shared" si="7"/>
        <v>185936.29261027643</v>
      </c>
      <c r="L28" s="279">
        <f t="shared" si="8"/>
        <v>202702.7028</v>
      </c>
      <c r="M28" s="277">
        <v>0</v>
      </c>
      <c r="N28" s="277">
        <v>0</v>
      </c>
      <c r="O28" s="277">
        <v>0</v>
      </c>
      <c r="P28" s="337">
        <f t="shared" si="2"/>
        <v>745213.23</v>
      </c>
      <c r="Q28" s="337"/>
      <c r="R28" s="191">
        <f t="shared" si="3"/>
        <v>767816.23</v>
      </c>
      <c r="S28" s="217">
        <f t="shared" si="4"/>
        <v>0.23</v>
      </c>
      <c r="T28" s="19">
        <f t="shared" si="5"/>
        <v>23</v>
      </c>
      <c r="U28" t="s">
        <v>281</v>
      </c>
    </row>
    <row r="29" spans="1:22" ht="24.6" customHeight="1" x14ac:dyDescent="0.25">
      <c r="A29" s="15"/>
      <c r="B29" s="228">
        <f t="shared" si="9"/>
        <v>24</v>
      </c>
      <c r="C29" s="228" t="s">
        <v>43</v>
      </c>
      <c r="D29" s="231">
        <v>4.7000000000000002E-3</v>
      </c>
      <c r="E29" s="155">
        <v>1536034.24</v>
      </c>
      <c r="F29" s="158">
        <v>1582622.24</v>
      </c>
      <c r="G29" s="46">
        <f t="shared" si="0"/>
        <v>-46588</v>
      </c>
      <c r="H29" s="46">
        <f t="shared" si="10"/>
        <v>0</v>
      </c>
      <c r="I29" s="279">
        <f t="shared" si="6"/>
        <v>379177.030424</v>
      </c>
      <c r="J29" s="279">
        <f t="shared" si="1"/>
        <v>0</v>
      </c>
      <c r="K29" s="279">
        <f t="shared" si="7"/>
        <v>185936.29261027643</v>
      </c>
      <c r="L29" s="279">
        <f t="shared" si="8"/>
        <v>202702.7028</v>
      </c>
      <c r="M29" s="277">
        <v>0</v>
      </c>
      <c r="N29" s="277">
        <v>0</v>
      </c>
      <c r="O29" s="277">
        <v>0</v>
      </c>
      <c r="P29" s="337">
        <f t="shared" si="2"/>
        <v>721228.24</v>
      </c>
      <c r="Q29" s="337"/>
      <c r="R29" s="191">
        <f t="shared" si="3"/>
        <v>743103.24</v>
      </c>
      <c r="S29" s="217">
        <f t="shared" si="4"/>
        <v>0.24</v>
      </c>
      <c r="T29" s="19">
        <f t="shared" si="5"/>
        <v>24</v>
      </c>
      <c r="U29" t="s">
        <v>311</v>
      </c>
    </row>
    <row r="30" spans="1:22" ht="24.6" customHeight="1" x14ac:dyDescent="0.25">
      <c r="A30" s="15"/>
      <c r="B30" s="228">
        <f t="shared" si="9"/>
        <v>25</v>
      </c>
      <c r="C30" s="228" t="s">
        <v>44</v>
      </c>
      <c r="D30" s="231">
        <v>4.7999999999999996E-3</v>
      </c>
      <c r="E30" s="155">
        <v>800143.25</v>
      </c>
      <c r="F30" s="156">
        <f>E30</f>
        <v>800143.25</v>
      </c>
      <c r="G30" s="46">
        <f t="shared" si="0"/>
        <v>0</v>
      </c>
      <c r="H30" s="46">
        <f t="shared" si="10"/>
        <v>0</v>
      </c>
      <c r="I30" s="279">
        <f t="shared" si="6"/>
        <v>387244.62681599997</v>
      </c>
      <c r="J30" s="279">
        <f t="shared" si="1"/>
        <v>0</v>
      </c>
      <c r="K30" s="279">
        <f t="shared" si="7"/>
        <v>185936.29261027643</v>
      </c>
      <c r="L30" s="279">
        <f t="shared" si="8"/>
        <v>202702.7028</v>
      </c>
      <c r="M30" s="277">
        <v>0</v>
      </c>
      <c r="N30" s="277">
        <v>0</v>
      </c>
      <c r="O30" s="277">
        <v>0</v>
      </c>
      <c r="P30" s="337">
        <f t="shared" si="2"/>
        <v>775884.25</v>
      </c>
      <c r="Q30" s="337"/>
      <c r="R30" s="191">
        <f t="shared" si="3"/>
        <v>799417.25</v>
      </c>
      <c r="S30" s="217">
        <f t="shared" si="4"/>
        <v>0.25</v>
      </c>
      <c r="T30" s="19">
        <f t="shared" si="5"/>
        <v>25</v>
      </c>
      <c r="V30" t="s">
        <v>264</v>
      </c>
    </row>
    <row r="31" spans="1:22" ht="24.6" customHeight="1" x14ac:dyDescent="0.25">
      <c r="A31" s="144"/>
      <c r="B31" s="228">
        <f t="shared" si="9"/>
        <v>26</v>
      </c>
      <c r="C31" s="228" t="s">
        <v>45</v>
      </c>
      <c r="D31" s="231">
        <v>4.7999999999999996E-3</v>
      </c>
      <c r="E31" s="155">
        <v>776620.26</v>
      </c>
      <c r="F31" s="158">
        <v>776620.26</v>
      </c>
      <c r="G31" s="46">
        <f t="shared" si="0"/>
        <v>0</v>
      </c>
      <c r="H31" s="46">
        <f t="shared" si="10"/>
        <v>0</v>
      </c>
      <c r="I31" s="279">
        <f t="shared" si="6"/>
        <v>387244.62681599997</v>
      </c>
      <c r="J31" s="279">
        <f t="shared" si="1"/>
        <v>0</v>
      </c>
      <c r="K31" s="279">
        <f t="shared" si="7"/>
        <v>185936.29261027643</v>
      </c>
      <c r="L31" s="279">
        <f t="shared" si="8"/>
        <v>202702.7028</v>
      </c>
      <c r="M31" s="277">
        <v>0</v>
      </c>
      <c r="N31" s="277">
        <v>0</v>
      </c>
      <c r="O31" s="277">
        <v>0</v>
      </c>
      <c r="P31" s="337">
        <f t="shared" si="2"/>
        <v>775884.26</v>
      </c>
      <c r="Q31" s="337"/>
      <c r="R31" s="191">
        <f t="shared" si="3"/>
        <v>799417.26</v>
      </c>
      <c r="S31" s="281">
        <f t="shared" si="4"/>
        <v>0.26</v>
      </c>
      <c r="T31" s="86">
        <f t="shared" si="5"/>
        <v>26</v>
      </c>
      <c r="V31" t="s">
        <v>196</v>
      </c>
    </row>
    <row r="32" spans="1:22" ht="24.6" customHeight="1" x14ac:dyDescent="0.25">
      <c r="A32" s="15"/>
      <c r="B32" s="228">
        <f t="shared" si="9"/>
        <v>27</v>
      </c>
      <c r="C32" s="228" t="s">
        <v>46</v>
      </c>
      <c r="D32" s="231">
        <v>4.7999999999999996E-3</v>
      </c>
      <c r="E32" s="155">
        <v>775884.27</v>
      </c>
      <c r="F32" s="156">
        <f>E32</f>
        <v>775884.27</v>
      </c>
      <c r="G32" s="46">
        <f t="shared" si="0"/>
        <v>0</v>
      </c>
      <c r="H32" s="46">
        <f t="shared" si="10"/>
        <v>0</v>
      </c>
      <c r="I32" s="279">
        <f t="shared" si="6"/>
        <v>387244.62681599997</v>
      </c>
      <c r="J32" s="279">
        <f t="shared" si="1"/>
        <v>0</v>
      </c>
      <c r="K32" s="279">
        <f t="shared" si="7"/>
        <v>185936.29261027643</v>
      </c>
      <c r="L32" s="279">
        <f t="shared" si="8"/>
        <v>202702.7028</v>
      </c>
      <c r="M32" s="277">
        <v>0</v>
      </c>
      <c r="N32" s="277">
        <v>0</v>
      </c>
      <c r="O32" s="277">
        <v>0</v>
      </c>
      <c r="P32" s="337">
        <f t="shared" si="2"/>
        <v>775884.27</v>
      </c>
      <c r="Q32" s="337"/>
      <c r="R32" s="191">
        <f t="shared" si="3"/>
        <v>799417.27</v>
      </c>
      <c r="S32" s="217">
        <f t="shared" si="4"/>
        <v>0.27</v>
      </c>
      <c r="T32" s="19">
        <f t="shared" si="5"/>
        <v>27</v>
      </c>
    </row>
    <row r="33" spans="1:21" ht="24.6" customHeight="1" x14ac:dyDescent="0.25">
      <c r="A33" s="147"/>
      <c r="B33" s="228">
        <f t="shared" si="9"/>
        <v>28</v>
      </c>
      <c r="C33" s="228" t="s">
        <v>47</v>
      </c>
      <c r="D33" s="231">
        <v>4.4999999999999997E-3</v>
      </c>
      <c r="E33" s="155">
        <v>721963.28</v>
      </c>
      <c r="F33" s="158">
        <v>900000</v>
      </c>
      <c r="G33" s="46">
        <f t="shared" si="0"/>
        <v>-178036.71999999997</v>
      </c>
      <c r="H33" s="46">
        <f t="shared" si="10"/>
        <v>0</v>
      </c>
      <c r="I33" s="279">
        <f t="shared" si="6"/>
        <v>363041.83763999998</v>
      </c>
      <c r="J33" s="279">
        <f t="shared" si="1"/>
        <v>0</v>
      </c>
      <c r="K33" s="279">
        <f t="shared" si="7"/>
        <v>185936.29261027643</v>
      </c>
      <c r="L33" s="279">
        <f t="shared" si="8"/>
        <v>202702.7028</v>
      </c>
      <c r="M33" s="277">
        <v>0</v>
      </c>
      <c r="N33" s="277">
        <v>0</v>
      </c>
      <c r="O33" s="277">
        <v>0</v>
      </c>
      <c r="P33" s="337">
        <f t="shared" si="2"/>
        <v>573644.28</v>
      </c>
      <c r="Q33" s="337"/>
      <c r="R33" s="191">
        <f t="shared" si="3"/>
        <v>591043.28</v>
      </c>
      <c r="S33" s="217">
        <f t="shared" si="4"/>
        <v>0.28000000000000003</v>
      </c>
      <c r="T33" s="19">
        <f t="shared" si="5"/>
        <v>28</v>
      </c>
      <c r="U33" t="s">
        <v>293</v>
      </c>
    </row>
    <row r="34" spans="1:21" ht="24.6" customHeight="1" x14ac:dyDescent="0.25">
      <c r="A34" s="15"/>
      <c r="B34" s="228">
        <f t="shared" si="9"/>
        <v>29</v>
      </c>
      <c r="C34" s="228" t="s">
        <v>48</v>
      </c>
      <c r="D34" s="231">
        <v>4.7999999999999996E-3</v>
      </c>
      <c r="E34" s="155">
        <v>775884.29</v>
      </c>
      <c r="F34" s="156">
        <f>E34</f>
        <v>775884.29</v>
      </c>
      <c r="G34" s="46">
        <f t="shared" si="0"/>
        <v>0</v>
      </c>
      <c r="H34" s="46">
        <f t="shared" si="10"/>
        <v>0</v>
      </c>
      <c r="I34" s="279">
        <f t="shared" si="6"/>
        <v>387244.62681599997</v>
      </c>
      <c r="J34" s="279">
        <f t="shared" si="1"/>
        <v>0</v>
      </c>
      <c r="K34" s="279">
        <f t="shared" si="7"/>
        <v>185936.29261027643</v>
      </c>
      <c r="L34" s="279">
        <f t="shared" si="8"/>
        <v>202702.7028</v>
      </c>
      <c r="M34" s="277">
        <v>0</v>
      </c>
      <c r="N34" s="277">
        <v>0</v>
      </c>
      <c r="O34" s="277">
        <v>0</v>
      </c>
      <c r="P34" s="337">
        <f t="shared" si="2"/>
        <v>775884.29</v>
      </c>
      <c r="Q34" s="337"/>
      <c r="R34" s="191">
        <f t="shared" si="3"/>
        <v>799417.29</v>
      </c>
      <c r="S34" s="217">
        <f t="shared" si="4"/>
        <v>0.28999999999999998</v>
      </c>
      <c r="T34" s="19">
        <f t="shared" si="5"/>
        <v>29</v>
      </c>
      <c r="U34" t="s">
        <v>205</v>
      </c>
    </row>
    <row r="35" spans="1:21" ht="24.6" customHeight="1" x14ac:dyDescent="0.25">
      <c r="A35" s="15"/>
      <c r="B35" s="228">
        <f t="shared" si="9"/>
        <v>30</v>
      </c>
      <c r="C35" s="228" t="s">
        <v>49</v>
      </c>
      <c r="D35" s="231">
        <v>4.4999999999999997E-3</v>
      </c>
      <c r="E35" s="155">
        <v>729553.3</v>
      </c>
      <c r="F35" s="156">
        <f>E35</f>
        <v>729553.3</v>
      </c>
      <c r="G35" s="46">
        <f t="shared" si="0"/>
        <v>0</v>
      </c>
      <c r="H35" s="46">
        <f t="shared" si="10"/>
        <v>0</v>
      </c>
      <c r="I35" s="279">
        <f t="shared" si="6"/>
        <v>363041.83763999998</v>
      </c>
      <c r="J35" s="279">
        <f t="shared" si="1"/>
        <v>0</v>
      </c>
      <c r="K35" s="279">
        <f t="shared" si="7"/>
        <v>185936.29261027643</v>
      </c>
      <c r="L35" s="279">
        <f t="shared" si="8"/>
        <v>202702.7028</v>
      </c>
      <c r="M35" s="277">
        <v>0</v>
      </c>
      <c r="N35" s="277">
        <v>0</v>
      </c>
      <c r="O35" s="277">
        <v>0</v>
      </c>
      <c r="P35" s="337">
        <f t="shared" si="2"/>
        <v>751681.3</v>
      </c>
      <c r="Q35" s="337"/>
      <c r="R35" s="191">
        <f t="shared" si="3"/>
        <v>774480.3</v>
      </c>
      <c r="S35" s="217">
        <f t="shared" si="4"/>
        <v>0.3</v>
      </c>
      <c r="T35" s="19">
        <f t="shared" si="5"/>
        <v>30</v>
      </c>
      <c r="U35" t="s">
        <v>248</v>
      </c>
    </row>
    <row r="36" spans="1:21" ht="24.6" customHeight="1" x14ac:dyDescent="0.25">
      <c r="A36" s="183"/>
      <c r="B36" s="228">
        <f t="shared" si="9"/>
        <v>31</v>
      </c>
      <c r="C36" s="228" t="s">
        <v>50</v>
      </c>
      <c r="D36" s="231">
        <v>4.4999999999999997E-3</v>
      </c>
      <c r="E36" s="155">
        <v>3229348.31</v>
      </c>
      <c r="F36" s="158"/>
      <c r="G36" s="46">
        <f t="shared" si="0"/>
        <v>3229348.31</v>
      </c>
      <c r="H36" s="46">
        <f t="shared" si="10"/>
        <v>99689.982329700011</v>
      </c>
      <c r="I36" s="279">
        <f t="shared" si="6"/>
        <v>363041.83763999998</v>
      </c>
      <c r="J36" s="279">
        <f t="shared" si="1"/>
        <v>0</v>
      </c>
      <c r="K36" s="279">
        <f t="shared" si="7"/>
        <v>185936.29261027643</v>
      </c>
      <c r="L36" s="279">
        <f t="shared" si="8"/>
        <v>202702.7028</v>
      </c>
      <c r="M36" s="277">
        <v>0</v>
      </c>
      <c r="N36" s="277">
        <v>0</v>
      </c>
      <c r="O36" s="277">
        <v>0</v>
      </c>
      <c r="P36" s="337">
        <f t="shared" si="2"/>
        <v>4080719.31</v>
      </c>
      <c r="Q36" s="337"/>
      <c r="R36" s="191">
        <f t="shared" si="3"/>
        <v>4204488.3099999996</v>
      </c>
      <c r="S36" s="217">
        <f t="shared" si="4"/>
        <v>0.31</v>
      </c>
      <c r="T36" s="19">
        <f t="shared" si="5"/>
        <v>31</v>
      </c>
      <c r="U36" s="49" t="s">
        <v>259</v>
      </c>
    </row>
    <row r="37" spans="1:21" ht="24.6" customHeight="1" x14ac:dyDescent="0.25">
      <c r="A37" s="144"/>
      <c r="B37" s="228">
        <f t="shared" si="9"/>
        <v>32</v>
      </c>
      <c r="C37" s="228" t="s">
        <v>51</v>
      </c>
      <c r="D37" s="231">
        <v>4.4999999999999997E-3</v>
      </c>
      <c r="E37" s="155">
        <v>618433.31999999995</v>
      </c>
      <c r="F37" s="158">
        <f>4526221.65-F21-F38-F151-F152-F154</f>
        <v>751678.31000000017</v>
      </c>
      <c r="G37" s="46">
        <f t="shared" si="0"/>
        <v>-133244.99000000022</v>
      </c>
      <c r="H37" s="46">
        <f t="shared" si="10"/>
        <v>0</v>
      </c>
      <c r="I37" s="279">
        <f t="shared" si="6"/>
        <v>363041.83763999998</v>
      </c>
      <c r="J37" s="279">
        <f t="shared" si="1"/>
        <v>0</v>
      </c>
      <c r="K37" s="279">
        <f t="shared" si="7"/>
        <v>185936.29261027643</v>
      </c>
      <c r="L37" s="279">
        <f t="shared" si="8"/>
        <v>202702.7028</v>
      </c>
      <c r="M37" s="277">
        <v>0</v>
      </c>
      <c r="N37" s="277">
        <v>0</v>
      </c>
      <c r="O37" s="277">
        <v>0</v>
      </c>
      <c r="P37" s="337">
        <f t="shared" si="2"/>
        <v>618436.31999999995</v>
      </c>
      <c r="Q37" s="337"/>
      <c r="R37" s="191">
        <f t="shared" si="3"/>
        <v>637193.31999999995</v>
      </c>
      <c r="S37" s="281">
        <f t="shared" si="4"/>
        <v>0.32</v>
      </c>
      <c r="T37" s="86">
        <f t="shared" si="5"/>
        <v>32</v>
      </c>
    </row>
    <row r="38" spans="1:21" ht="24.6" customHeight="1" x14ac:dyDescent="0.25">
      <c r="A38" s="15"/>
      <c r="B38" s="228">
        <v>33</v>
      </c>
      <c r="C38" s="228" t="s">
        <v>52</v>
      </c>
      <c r="D38" s="231">
        <v>4.4999999999999997E-3</v>
      </c>
      <c r="E38" s="155">
        <v>751681.33</v>
      </c>
      <c r="F38" s="158">
        <f>E38</f>
        <v>751681.33</v>
      </c>
      <c r="G38" s="46">
        <f t="shared" si="0"/>
        <v>0</v>
      </c>
      <c r="H38" s="46">
        <f t="shared" si="10"/>
        <v>0</v>
      </c>
      <c r="I38" s="279">
        <f t="shared" si="6"/>
        <v>363041.83763999998</v>
      </c>
      <c r="J38" s="279">
        <f t="shared" ref="J38:J69" si="12">P$2*D38</f>
        <v>0</v>
      </c>
      <c r="K38" s="279">
        <f t="shared" si="7"/>
        <v>185936.29261027643</v>
      </c>
      <c r="L38" s="279">
        <f t="shared" si="8"/>
        <v>202702.7028</v>
      </c>
      <c r="M38" s="277">
        <v>0</v>
      </c>
      <c r="N38" s="277">
        <v>0</v>
      </c>
      <c r="O38" s="277">
        <v>0</v>
      </c>
      <c r="P38" s="337">
        <f t="shared" ref="P38:P69" si="13">ROUND(SUM(G38:O38),0) + S38</f>
        <v>751681.33</v>
      </c>
      <c r="Q38" s="337"/>
      <c r="R38" s="191">
        <f t="shared" ref="R38:R69" si="14">ROUND(P38+P38*3.033%,0) + S38</f>
        <v>774480.33</v>
      </c>
      <c r="S38" s="217">
        <f t="shared" ref="S38:S69" si="15">ROUND(0.001+B38/100,2)</f>
        <v>0.33</v>
      </c>
      <c r="T38" s="19">
        <f t="shared" ref="T38:T69" si="16">B38</f>
        <v>33</v>
      </c>
    </row>
    <row r="39" spans="1:21" ht="24.6" customHeight="1" x14ac:dyDescent="0.25">
      <c r="A39" s="184"/>
      <c r="B39" s="228">
        <v>34</v>
      </c>
      <c r="C39" s="228" t="s">
        <v>50</v>
      </c>
      <c r="D39" s="231">
        <v>4.4999999999999997E-3</v>
      </c>
      <c r="E39" s="155">
        <v>3275699.34</v>
      </c>
      <c r="F39" s="158">
        <v>0</v>
      </c>
      <c r="G39" s="46">
        <f t="shared" si="0"/>
        <v>3275699.34</v>
      </c>
      <c r="H39" s="46">
        <f t="shared" si="10"/>
        <v>101120.8386258</v>
      </c>
      <c r="I39" s="279">
        <f t="shared" ref="I39:I102" si="17">K$2*D39</f>
        <v>363041.83763999998</v>
      </c>
      <c r="J39" s="279">
        <f t="shared" si="12"/>
        <v>0</v>
      </c>
      <c r="K39" s="279">
        <f t="shared" si="7"/>
        <v>185936.29261027643</v>
      </c>
      <c r="L39" s="279">
        <f t="shared" si="8"/>
        <v>202702.7028</v>
      </c>
      <c r="M39" s="277">
        <v>0</v>
      </c>
      <c r="N39" s="277">
        <v>0</v>
      </c>
      <c r="O39" s="277">
        <v>0</v>
      </c>
      <c r="P39" s="337">
        <f t="shared" si="13"/>
        <v>4128501.34</v>
      </c>
      <c r="Q39" s="337"/>
      <c r="R39" s="191">
        <f t="shared" si="14"/>
        <v>4253719.34</v>
      </c>
      <c r="S39" s="217">
        <f t="shared" si="15"/>
        <v>0.34</v>
      </c>
      <c r="T39" s="19">
        <f t="shared" si="16"/>
        <v>34</v>
      </c>
      <c r="U39" s="49" t="s">
        <v>259</v>
      </c>
    </row>
    <row r="40" spans="1:21" ht="22.5" customHeight="1" x14ac:dyDescent="0.25">
      <c r="A40" s="15">
        <v>1</v>
      </c>
      <c r="B40" s="228">
        <v>35</v>
      </c>
      <c r="C40" s="228" t="s">
        <v>53</v>
      </c>
      <c r="D40" s="231">
        <v>4.5999999999999999E-3</v>
      </c>
      <c r="E40" s="155">
        <v>759748.35</v>
      </c>
      <c r="F40" s="158">
        <f>E40</f>
        <v>759748.35</v>
      </c>
      <c r="G40" s="46">
        <f t="shared" si="0"/>
        <v>0</v>
      </c>
      <c r="H40" s="46">
        <f t="shared" si="10"/>
        <v>0</v>
      </c>
      <c r="I40" s="279">
        <f t="shared" si="17"/>
        <v>371109.43403200002</v>
      </c>
      <c r="J40" s="279">
        <f t="shared" si="12"/>
        <v>0</v>
      </c>
      <c r="K40" s="279">
        <f t="shared" si="7"/>
        <v>185936.29261027643</v>
      </c>
      <c r="L40" s="279">
        <f t="shared" si="8"/>
        <v>202702.7028</v>
      </c>
      <c r="M40" s="277">
        <v>0</v>
      </c>
      <c r="N40" s="277">
        <v>0</v>
      </c>
      <c r="O40" s="277">
        <v>0</v>
      </c>
      <c r="P40" s="337">
        <f t="shared" si="13"/>
        <v>759748.35</v>
      </c>
      <c r="Q40" s="337"/>
      <c r="R40" s="191">
        <f t="shared" si="14"/>
        <v>782792.35</v>
      </c>
      <c r="S40" s="217">
        <f t="shared" si="15"/>
        <v>0.35</v>
      </c>
      <c r="T40" s="19">
        <f t="shared" si="16"/>
        <v>35</v>
      </c>
      <c r="U40" t="s">
        <v>219</v>
      </c>
    </row>
    <row r="41" spans="1:21" ht="24.95" customHeight="1" x14ac:dyDescent="0.25">
      <c r="A41" s="183">
        <v>2</v>
      </c>
      <c r="B41" s="228">
        <v>36</v>
      </c>
      <c r="C41" s="228" t="s">
        <v>54</v>
      </c>
      <c r="D41" s="231">
        <v>4.5999999999999999E-3</v>
      </c>
      <c r="E41" s="155">
        <v>730329.36</v>
      </c>
      <c r="F41" s="158">
        <v>758000</v>
      </c>
      <c r="G41" s="46">
        <f t="shared" si="0"/>
        <v>-27670.640000000014</v>
      </c>
      <c r="H41" s="46">
        <f t="shared" si="10"/>
        <v>0</v>
      </c>
      <c r="I41" s="279">
        <f t="shared" si="17"/>
        <v>371109.43403200002</v>
      </c>
      <c r="J41" s="279">
        <f t="shared" si="12"/>
        <v>0</v>
      </c>
      <c r="K41" s="279">
        <f t="shared" si="7"/>
        <v>185936.29261027643</v>
      </c>
      <c r="L41" s="279">
        <f t="shared" si="8"/>
        <v>202702.7028</v>
      </c>
      <c r="M41" s="277">
        <v>0</v>
      </c>
      <c r="N41" s="277">
        <v>0</v>
      </c>
      <c r="O41" s="277">
        <v>0</v>
      </c>
      <c r="P41" s="337">
        <f t="shared" si="13"/>
        <v>732078.36</v>
      </c>
      <c r="Q41" s="337"/>
      <c r="R41" s="191">
        <f t="shared" si="14"/>
        <v>754282.36</v>
      </c>
      <c r="S41" s="281">
        <f t="shared" si="15"/>
        <v>0.36</v>
      </c>
      <c r="T41" s="86">
        <f t="shared" si="16"/>
        <v>36</v>
      </c>
      <c r="U41" s="12"/>
    </row>
    <row r="42" spans="1:21" ht="24.95" customHeight="1" x14ac:dyDescent="0.25">
      <c r="A42" s="15">
        <v>3</v>
      </c>
      <c r="B42" s="228">
        <v>37</v>
      </c>
      <c r="C42" s="228" t="s">
        <v>55</v>
      </c>
      <c r="D42" s="231">
        <v>4.4999999999999997E-3</v>
      </c>
      <c r="E42" s="155">
        <v>774480.37</v>
      </c>
      <c r="F42" s="156">
        <v>751681.37</v>
      </c>
      <c r="G42" s="46">
        <f t="shared" si="0"/>
        <v>22799</v>
      </c>
      <c r="H42" s="46">
        <f t="shared" si="10"/>
        <v>703.80513000000008</v>
      </c>
      <c r="I42" s="279">
        <f t="shared" si="17"/>
        <v>363041.83763999998</v>
      </c>
      <c r="J42" s="279">
        <f t="shared" si="12"/>
        <v>0</v>
      </c>
      <c r="K42" s="279">
        <f t="shared" si="7"/>
        <v>185936.29261027643</v>
      </c>
      <c r="L42" s="279">
        <f t="shared" si="8"/>
        <v>202702.7028</v>
      </c>
      <c r="M42" s="277">
        <v>0</v>
      </c>
      <c r="N42" s="277">
        <v>0</v>
      </c>
      <c r="O42" s="277">
        <v>0</v>
      </c>
      <c r="P42" s="337">
        <f t="shared" si="13"/>
        <v>775184.37</v>
      </c>
      <c r="Q42" s="337"/>
      <c r="R42" s="191">
        <f t="shared" si="14"/>
        <v>798696.37</v>
      </c>
      <c r="S42" s="281">
        <f t="shared" si="15"/>
        <v>0.37</v>
      </c>
      <c r="T42" s="86">
        <f t="shared" si="16"/>
        <v>37</v>
      </c>
      <c r="U42" s="12"/>
    </row>
    <row r="43" spans="1:21" ht="24.95" customHeight="1" x14ac:dyDescent="0.25">
      <c r="A43" s="147">
        <v>4</v>
      </c>
      <c r="B43" s="228">
        <v>38</v>
      </c>
      <c r="C43" s="228" t="s">
        <v>56</v>
      </c>
      <c r="D43" s="231">
        <v>4.4999999999999997E-3</v>
      </c>
      <c r="E43" s="155">
        <v>728882.38</v>
      </c>
      <c r="F43" s="156"/>
      <c r="G43" s="46">
        <f t="shared" si="0"/>
        <v>728882.38</v>
      </c>
      <c r="H43" s="46">
        <f t="shared" si="10"/>
        <v>22500.599070600001</v>
      </c>
      <c r="I43" s="279">
        <f t="shared" si="17"/>
        <v>363041.83763999998</v>
      </c>
      <c r="J43" s="279">
        <f t="shared" si="12"/>
        <v>0</v>
      </c>
      <c r="K43" s="279">
        <f t="shared" si="7"/>
        <v>185936.29261027643</v>
      </c>
      <c r="L43" s="279">
        <f t="shared" si="8"/>
        <v>202702.7028</v>
      </c>
      <c r="M43" s="277">
        <v>0</v>
      </c>
      <c r="N43" s="277">
        <v>0</v>
      </c>
      <c r="O43" s="277">
        <v>0</v>
      </c>
      <c r="P43" s="337">
        <f t="shared" si="13"/>
        <v>1503064.38</v>
      </c>
      <c r="Q43" s="337"/>
      <c r="R43" s="191">
        <f t="shared" si="14"/>
        <v>1548652.38</v>
      </c>
      <c r="S43" s="217">
        <f t="shared" si="15"/>
        <v>0.38</v>
      </c>
      <c r="T43" s="19">
        <f t="shared" si="16"/>
        <v>38</v>
      </c>
      <c r="U43" t="s">
        <v>236</v>
      </c>
    </row>
    <row r="44" spans="1:21" ht="24.95" customHeight="1" x14ac:dyDescent="0.25">
      <c r="A44" s="239">
        <v>5</v>
      </c>
      <c r="B44" s="228">
        <v>39</v>
      </c>
      <c r="C44" s="228" t="s">
        <v>239</v>
      </c>
      <c r="D44" s="231">
        <v>4.4999999999999997E-3</v>
      </c>
      <c r="E44" s="155">
        <v>723224.39</v>
      </c>
      <c r="F44" s="158">
        <v>723300</v>
      </c>
      <c r="G44" s="46">
        <f t="shared" si="0"/>
        <v>-75.60999999998603</v>
      </c>
      <c r="H44" s="46">
        <f t="shared" si="10"/>
        <v>0</v>
      </c>
      <c r="I44" s="279">
        <f t="shared" si="17"/>
        <v>363041.83763999998</v>
      </c>
      <c r="J44" s="279">
        <f t="shared" si="12"/>
        <v>0</v>
      </c>
      <c r="K44" s="279">
        <f t="shared" si="7"/>
        <v>185936.29261027643</v>
      </c>
      <c r="L44" s="279">
        <f t="shared" si="8"/>
        <v>202702.7028</v>
      </c>
      <c r="M44" s="277">
        <v>0</v>
      </c>
      <c r="N44" s="277">
        <v>0</v>
      </c>
      <c r="O44" s="277">
        <v>0</v>
      </c>
      <c r="P44" s="337">
        <f t="shared" si="13"/>
        <v>751605.39</v>
      </c>
      <c r="Q44" s="337"/>
      <c r="R44" s="191">
        <f t="shared" si="14"/>
        <v>774402.39</v>
      </c>
      <c r="S44" s="217">
        <f t="shared" si="15"/>
        <v>0.39</v>
      </c>
      <c r="T44" s="19">
        <f t="shared" si="16"/>
        <v>39</v>
      </c>
      <c r="U44" t="s">
        <v>222</v>
      </c>
    </row>
    <row r="45" spans="1:21" ht="24.95" customHeight="1" x14ac:dyDescent="0.25">
      <c r="A45" s="15">
        <v>6</v>
      </c>
      <c r="B45" s="228">
        <v>40</v>
      </c>
      <c r="C45" s="228" t="s">
        <v>57</v>
      </c>
      <c r="D45" s="231">
        <v>4.4999999999999997E-3</v>
      </c>
      <c r="E45" s="155">
        <v>774480.4</v>
      </c>
      <c r="F45" s="156">
        <f>E45</f>
        <v>774480.4</v>
      </c>
      <c r="G45" s="46">
        <f t="shared" si="0"/>
        <v>0</v>
      </c>
      <c r="H45" s="46">
        <f t="shared" si="10"/>
        <v>0</v>
      </c>
      <c r="I45" s="279">
        <f t="shared" si="17"/>
        <v>363041.83763999998</v>
      </c>
      <c r="J45" s="279">
        <f t="shared" si="12"/>
        <v>0</v>
      </c>
      <c r="K45" s="279">
        <f t="shared" si="7"/>
        <v>185936.29261027643</v>
      </c>
      <c r="L45" s="279">
        <f t="shared" si="8"/>
        <v>202702.7028</v>
      </c>
      <c r="M45" s="277">
        <v>0</v>
      </c>
      <c r="N45" s="277">
        <v>0</v>
      </c>
      <c r="O45" s="277">
        <v>0</v>
      </c>
      <c r="P45" s="337">
        <f t="shared" si="13"/>
        <v>751681.4</v>
      </c>
      <c r="Q45" s="337"/>
      <c r="R45" s="191">
        <f t="shared" si="14"/>
        <v>774480.4</v>
      </c>
      <c r="S45" s="217">
        <f t="shared" si="15"/>
        <v>0.4</v>
      </c>
      <c r="T45" s="19">
        <f t="shared" si="16"/>
        <v>40</v>
      </c>
    </row>
    <row r="46" spans="1:21" ht="24.95" customHeight="1" x14ac:dyDescent="0.25">
      <c r="A46" s="15">
        <v>7</v>
      </c>
      <c r="B46" s="228">
        <v>41</v>
      </c>
      <c r="C46" s="228" t="s">
        <v>58</v>
      </c>
      <c r="D46" s="231">
        <v>4.4999999999999997E-3</v>
      </c>
      <c r="E46" s="155">
        <v>751681.41</v>
      </c>
      <c r="F46" s="156">
        <v>752000</v>
      </c>
      <c r="G46" s="46">
        <f t="shared" si="0"/>
        <v>-318.5899999999674</v>
      </c>
      <c r="H46" s="46">
        <f t="shared" si="10"/>
        <v>0</v>
      </c>
      <c r="I46" s="279">
        <f t="shared" si="17"/>
        <v>363041.83763999998</v>
      </c>
      <c r="J46" s="279">
        <f t="shared" si="12"/>
        <v>0</v>
      </c>
      <c r="K46" s="279">
        <f t="shared" si="7"/>
        <v>185936.29261027643</v>
      </c>
      <c r="L46" s="279">
        <f t="shared" si="8"/>
        <v>202702.7028</v>
      </c>
      <c r="M46" s="277">
        <v>0</v>
      </c>
      <c r="N46" s="277">
        <v>0</v>
      </c>
      <c r="O46" s="277">
        <v>0</v>
      </c>
      <c r="P46" s="337">
        <f t="shared" si="13"/>
        <v>751362.41</v>
      </c>
      <c r="Q46" s="337"/>
      <c r="R46" s="191">
        <f t="shared" si="14"/>
        <v>774151.41</v>
      </c>
      <c r="S46" s="217">
        <f t="shared" si="15"/>
        <v>0.41</v>
      </c>
      <c r="T46" s="19">
        <f t="shared" si="16"/>
        <v>41</v>
      </c>
      <c r="U46" s="49" t="s">
        <v>216</v>
      </c>
    </row>
    <row r="47" spans="1:21" ht="24.95" customHeight="1" x14ac:dyDescent="0.25">
      <c r="A47" s="147">
        <v>8</v>
      </c>
      <c r="B47" s="228">
        <v>42</v>
      </c>
      <c r="C47" s="228" t="s">
        <v>59</v>
      </c>
      <c r="D47" s="231">
        <v>4.4999999999999997E-3</v>
      </c>
      <c r="E47" s="155">
        <v>751681.42</v>
      </c>
      <c r="F47" s="158">
        <f>E47</f>
        <v>751681.42</v>
      </c>
      <c r="G47" s="46">
        <f t="shared" si="0"/>
        <v>0</v>
      </c>
      <c r="H47" s="46">
        <f t="shared" si="10"/>
        <v>0</v>
      </c>
      <c r="I47" s="279">
        <f t="shared" si="17"/>
        <v>363041.83763999998</v>
      </c>
      <c r="J47" s="279">
        <f t="shared" si="12"/>
        <v>0</v>
      </c>
      <c r="K47" s="279">
        <f t="shared" si="7"/>
        <v>185936.29261027643</v>
      </c>
      <c r="L47" s="279">
        <f t="shared" si="8"/>
        <v>202702.7028</v>
      </c>
      <c r="M47" s="277">
        <v>0</v>
      </c>
      <c r="N47" s="277">
        <v>0</v>
      </c>
      <c r="O47" s="277">
        <v>0</v>
      </c>
      <c r="P47" s="337">
        <f t="shared" si="13"/>
        <v>751681.42</v>
      </c>
      <c r="Q47" s="337"/>
      <c r="R47" s="191">
        <f t="shared" si="14"/>
        <v>774480.42</v>
      </c>
      <c r="S47" s="217">
        <f t="shared" si="15"/>
        <v>0.42</v>
      </c>
      <c r="T47" s="19">
        <f t="shared" si="16"/>
        <v>42</v>
      </c>
      <c r="U47" t="s">
        <v>277</v>
      </c>
    </row>
    <row r="48" spans="1:21" ht="24.95" customHeight="1" x14ac:dyDescent="0.25">
      <c r="A48" s="15">
        <v>1</v>
      </c>
      <c r="B48" s="228">
        <v>43</v>
      </c>
      <c r="C48" s="228" t="s">
        <v>60</v>
      </c>
      <c r="D48" s="231">
        <v>3.5999999999999999E-3</v>
      </c>
      <c r="E48" s="155">
        <v>679072.43</v>
      </c>
      <c r="F48" s="158">
        <f>E48</f>
        <v>679072.43</v>
      </c>
      <c r="G48" s="46">
        <f t="shared" si="0"/>
        <v>0</v>
      </c>
      <c r="H48" s="46">
        <f t="shared" si="10"/>
        <v>0</v>
      </c>
      <c r="I48" s="279">
        <f t="shared" si="17"/>
        <v>290433.47011200001</v>
      </c>
      <c r="J48" s="279">
        <f t="shared" si="12"/>
        <v>0</v>
      </c>
      <c r="K48" s="279">
        <f t="shared" si="7"/>
        <v>185936.29261027643</v>
      </c>
      <c r="L48" s="279">
        <f t="shared" si="8"/>
        <v>202702.7028</v>
      </c>
      <c r="M48" s="277">
        <v>0</v>
      </c>
      <c r="N48" s="277">
        <v>0</v>
      </c>
      <c r="O48" s="277">
        <v>0</v>
      </c>
      <c r="P48" s="337">
        <f t="shared" si="13"/>
        <v>679072.43</v>
      </c>
      <c r="Q48" s="337"/>
      <c r="R48" s="191">
        <f t="shared" si="14"/>
        <v>699669.43</v>
      </c>
      <c r="S48" s="217">
        <f t="shared" si="15"/>
        <v>0.43</v>
      </c>
      <c r="T48" s="19">
        <f t="shared" si="16"/>
        <v>43</v>
      </c>
    </row>
    <row r="49" spans="1:21" ht="24.95" customHeight="1" x14ac:dyDescent="0.25">
      <c r="A49" s="15">
        <v>1</v>
      </c>
      <c r="B49" s="228">
        <v>44</v>
      </c>
      <c r="C49" s="228" t="s">
        <v>61</v>
      </c>
      <c r="D49" s="231">
        <v>4.1000000000000003E-3</v>
      </c>
      <c r="E49" s="155">
        <v>-187628.56</v>
      </c>
      <c r="F49" s="158"/>
      <c r="G49" s="46">
        <f t="shared" si="0"/>
        <v>-187628.56</v>
      </c>
      <c r="H49" s="46">
        <f t="shared" si="10"/>
        <v>0</v>
      </c>
      <c r="I49" s="279">
        <f t="shared" si="17"/>
        <v>330771.45207200001</v>
      </c>
      <c r="J49" s="279">
        <f t="shared" si="12"/>
        <v>0</v>
      </c>
      <c r="K49" s="279">
        <f t="shared" si="7"/>
        <v>185936.29261027643</v>
      </c>
      <c r="L49" s="279">
        <f t="shared" si="8"/>
        <v>202702.7028</v>
      </c>
      <c r="M49" s="277">
        <v>0</v>
      </c>
      <c r="N49" s="277">
        <v>0</v>
      </c>
      <c r="O49" s="277">
        <v>0</v>
      </c>
      <c r="P49" s="337">
        <f t="shared" si="13"/>
        <v>531782.43999999994</v>
      </c>
      <c r="Q49" s="337"/>
      <c r="R49" s="191">
        <f t="shared" si="14"/>
        <v>547911.43999999994</v>
      </c>
      <c r="S49" s="217">
        <f t="shared" si="15"/>
        <v>0.44</v>
      </c>
      <c r="T49" s="19">
        <f t="shared" si="16"/>
        <v>44</v>
      </c>
      <c r="U49" t="s">
        <v>298</v>
      </c>
    </row>
    <row r="50" spans="1:21" ht="24.95" customHeight="1" x14ac:dyDescent="0.25">
      <c r="A50" s="15">
        <v>2</v>
      </c>
      <c r="B50" s="228">
        <v>45</v>
      </c>
      <c r="C50" s="228" t="s">
        <v>62</v>
      </c>
      <c r="D50" s="231">
        <v>4.8999999999999998E-3</v>
      </c>
      <c r="E50" s="155">
        <v>1664732.45</v>
      </c>
      <c r="F50" s="158">
        <v>1000000.45</v>
      </c>
      <c r="G50" s="46">
        <f t="shared" si="0"/>
        <v>664732</v>
      </c>
      <c r="H50" s="46">
        <f t="shared" si="10"/>
        <v>20520.276840000002</v>
      </c>
      <c r="I50" s="279">
        <f t="shared" si="17"/>
        <v>395312.22320800001</v>
      </c>
      <c r="J50" s="279">
        <f t="shared" si="12"/>
        <v>0</v>
      </c>
      <c r="K50" s="279">
        <f t="shared" si="7"/>
        <v>185936.29261027643</v>
      </c>
      <c r="L50" s="279">
        <f t="shared" si="8"/>
        <v>202702.7028</v>
      </c>
      <c r="M50" s="277">
        <v>0</v>
      </c>
      <c r="N50" s="277">
        <v>0</v>
      </c>
      <c r="O50" s="300">
        <f>O82</f>
        <v>225800</v>
      </c>
      <c r="P50" s="337">
        <f t="shared" si="13"/>
        <v>1695003.45</v>
      </c>
      <c r="Q50" s="337"/>
      <c r="R50" s="191">
        <f t="shared" si="14"/>
        <v>1746413.45</v>
      </c>
      <c r="S50" s="217">
        <f t="shared" si="15"/>
        <v>0.45</v>
      </c>
      <c r="T50" s="19">
        <f t="shared" si="16"/>
        <v>45</v>
      </c>
    </row>
    <row r="51" spans="1:21" ht="24.95" customHeight="1" x14ac:dyDescent="0.25">
      <c r="A51" s="15">
        <v>2</v>
      </c>
      <c r="B51" s="228">
        <v>46</v>
      </c>
      <c r="C51" s="228" t="s">
        <v>63</v>
      </c>
      <c r="D51" s="231">
        <v>3.8999999999999998E-3</v>
      </c>
      <c r="E51" s="155">
        <v>1451354.46</v>
      </c>
      <c r="F51" s="158">
        <v>725677.46</v>
      </c>
      <c r="G51" s="46">
        <f t="shared" si="0"/>
        <v>725677</v>
      </c>
      <c r="H51" s="46">
        <f t="shared" si="10"/>
        <v>22401.648990000002</v>
      </c>
      <c r="I51" s="279">
        <f t="shared" si="17"/>
        <v>314636.259288</v>
      </c>
      <c r="J51" s="279">
        <f t="shared" si="12"/>
        <v>0</v>
      </c>
      <c r="K51" s="279">
        <f t="shared" si="7"/>
        <v>185936.29261027643</v>
      </c>
      <c r="L51" s="279">
        <f t="shared" si="8"/>
        <v>202702.7028</v>
      </c>
      <c r="M51" s="277">
        <v>0</v>
      </c>
      <c r="N51" s="277">
        <v>0</v>
      </c>
      <c r="O51" s="277">
        <v>0</v>
      </c>
      <c r="P51" s="337">
        <f t="shared" si="13"/>
        <v>1451354.46</v>
      </c>
      <c r="Q51" s="337"/>
      <c r="R51" s="191">
        <f t="shared" si="14"/>
        <v>1495374.46</v>
      </c>
      <c r="S51" s="217">
        <f t="shared" si="15"/>
        <v>0.46</v>
      </c>
      <c r="T51" s="19">
        <f t="shared" si="16"/>
        <v>46</v>
      </c>
      <c r="U51" t="s">
        <v>190</v>
      </c>
    </row>
    <row r="52" spans="1:21" ht="24.95" customHeight="1" x14ac:dyDescent="0.25">
      <c r="A52" s="15">
        <v>3</v>
      </c>
      <c r="B52" s="228">
        <v>47</v>
      </c>
      <c r="C52" s="228" t="s">
        <v>64</v>
      </c>
      <c r="D52" s="231">
        <v>4.4999999999999997E-3</v>
      </c>
      <c r="E52" s="155">
        <v>751681.47</v>
      </c>
      <c r="F52" s="158"/>
      <c r="G52" s="46">
        <f t="shared" si="0"/>
        <v>751681.47</v>
      </c>
      <c r="H52" s="46">
        <f t="shared" si="10"/>
        <v>23204.406978899999</v>
      </c>
      <c r="I52" s="279">
        <f t="shared" si="17"/>
        <v>363041.83763999998</v>
      </c>
      <c r="J52" s="279">
        <f t="shared" si="12"/>
        <v>0</v>
      </c>
      <c r="K52" s="279">
        <f t="shared" si="7"/>
        <v>185936.29261027643</v>
      </c>
      <c r="L52" s="279">
        <f t="shared" si="8"/>
        <v>202702.7028</v>
      </c>
      <c r="M52" s="277">
        <v>0</v>
      </c>
      <c r="N52" s="277">
        <v>0</v>
      </c>
      <c r="O52" s="277">
        <v>0</v>
      </c>
      <c r="P52" s="337">
        <f t="shared" si="13"/>
        <v>1526567.47</v>
      </c>
      <c r="Q52" s="337"/>
      <c r="R52" s="191">
        <f t="shared" si="14"/>
        <v>1572868.47</v>
      </c>
      <c r="S52" s="217">
        <f t="shared" si="15"/>
        <v>0.47</v>
      </c>
      <c r="T52" s="19">
        <f t="shared" si="16"/>
        <v>47</v>
      </c>
      <c r="U52" t="s">
        <v>301</v>
      </c>
    </row>
    <row r="53" spans="1:21" ht="24.95" customHeight="1" x14ac:dyDescent="0.25">
      <c r="A53" s="15">
        <v>3</v>
      </c>
      <c r="B53" s="228">
        <v>48</v>
      </c>
      <c r="C53" s="228" t="s">
        <v>185</v>
      </c>
      <c r="D53" s="231">
        <v>4.4999999999999997E-3</v>
      </c>
      <c r="E53" s="155">
        <v>1223344.48</v>
      </c>
      <c r="F53" s="156">
        <f>E53</f>
        <v>1223344.48</v>
      </c>
      <c r="G53" s="46">
        <f t="shared" si="0"/>
        <v>0</v>
      </c>
      <c r="H53" s="46">
        <f t="shared" si="10"/>
        <v>0</v>
      </c>
      <c r="I53" s="279">
        <f t="shared" si="17"/>
        <v>363041.83763999998</v>
      </c>
      <c r="J53" s="279">
        <f t="shared" si="12"/>
        <v>0</v>
      </c>
      <c r="K53" s="279">
        <f t="shared" si="7"/>
        <v>185936.29261027643</v>
      </c>
      <c r="L53" s="279">
        <f t="shared" si="8"/>
        <v>202702.7028</v>
      </c>
      <c r="M53" s="277">
        <v>72609</v>
      </c>
      <c r="N53" s="56">
        <f>(I53)</f>
        <v>363041.83763999998</v>
      </c>
      <c r="O53" s="277">
        <v>0</v>
      </c>
      <c r="P53" s="337">
        <f t="shared" si="13"/>
        <v>1187332.48</v>
      </c>
      <c r="Q53" s="337"/>
      <c r="R53" s="191">
        <f t="shared" si="14"/>
        <v>1223344.48</v>
      </c>
      <c r="S53" s="217">
        <f t="shared" si="15"/>
        <v>0.48</v>
      </c>
      <c r="T53" s="19">
        <f t="shared" si="16"/>
        <v>48</v>
      </c>
      <c r="U53" s="11"/>
    </row>
    <row r="54" spans="1:21" ht="24.95" customHeight="1" x14ac:dyDescent="0.25">
      <c r="A54" s="15">
        <v>4</v>
      </c>
      <c r="B54" s="228">
        <v>49</v>
      </c>
      <c r="C54" s="228" t="s">
        <v>65</v>
      </c>
      <c r="D54" s="231">
        <v>4.4999999999999997E-3</v>
      </c>
      <c r="E54" s="155">
        <v>751681.49</v>
      </c>
      <c r="F54" s="158">
        <f>E54</f>
        <v>751681.49</v>
      </c>
      <c r="G54" s="46">
        <f t="shared" si="0"/>
        <v>0</v>
      </c>
      <c r="H54" s="46">
        <v>0</v>
      </c>
      <c r="I54" s="279">
        <f t="shared" si="17"/>
        <v>363041.83763999998</v>
      </c>
      <c r="J54" s="279">
        <f t="shared" si="12"/>
        <v>0</v>
      </c>
      <c r="K54" s="279">
        <f t="shared" si="7"/>
        <v>185936.29261027643</v>
      </c>
      <c r="L54" s="279">
        <f t="shared" si="8"/>
        <v>202702.7028</v>
      </c>
      <c r="M54" s="277">
        <v>0</v>
      </c>
      <c r="N54" s="277">
        <v>0</v>
      </c>
      <c r="O54" s="277">
        <v>0</v>
      </c>
      <c r="P54" s="337">
        <f t="shared" si="13"/>
        <v>751681.49</v>
      </c>
      <c r="Q54" s="337"/>
      <c r="R54" s="191">
        <f t="shared" si="14"/>
        <v>774480.49</v>
      </c>
      <c r="S54" s="217">
        <f t="shared" si="15"/>
        <v>0.49</v>
      </c>
      <c r="T54" s="19">
        <f t="shared" si="16"/>
        <v>49</v>
      </c>
      <c r="U54" t="s">
        <v>206</v>
      </c>
    </row>
    <row r="55" spans="1:21" ht="24.95" customHeight="1" x14ac:dyDescent="0.25">
      <c r="A55" s="15">
        <v>4</v>
      </c>
      <c r="B55" s="228">
        <v>50</v>
      </c>
      <c r="C55" s="228" t="s">
        <v>66</v>
      </c>
      <c r="D55" s="231">
        <v>4.4999999999999997E-3</v>
      </c>
      <c r="E55" s="155">
        <v>728882.5</v>
      </c>
      <c r="F55" s="156">
        <v>728882.5</v>
      </c>
      <c r="G55" s="46">
        <f t="shared" si="0"/>
        <v>0</v>
      </c>
      <c r="H55" s="46">
        <f t="shared" si="10"/>
        <v>0</v>
      </c>
      <c r="I55" s="279">
        <f t="shared" si="17"/>
        <v>363041.83763999998</v>
      </c>
      <c r="J55" s="279">
        <f t="shared" si="12"/>
        <v>0</v>
      </c>
      <c r="K55" s="279">
        <f t="shared" si="7"/>
        <v>185936.29261027643</v>
      </c>
      <c r="L55" s="279">
        <f t="shared" si="8"/>
        <v>202702.7028</v>
      </c>
      <c r="M55" s="277">
        <v>0</v>
      </c>
      <c r="N55" s="277">
        <v>0</v>
      </c>
      <c r="O55" s="277">
        <v>0</v>
      </c>
      <c r="P55" s="337">
        <f t="shared" si="13"/>
        <v>751681.5</v>
      </c>
      <c r="Q55" s="337"/>
      <c r="R55" s="191">
        <f t="shared" si="14"/>
        <v>774480.5</v>
      </c>
      <c r="S55" s="217">
        <f t="shared" si="15"/>
        <v>0.5</v>
      </c>
      <c r="T55" s="19">
        <f t="shared" si="16"/>
        <v>50</v>
      </c>
      <c r="U55" t="s">
        <v>345</v>
      </c>
    </row>
    <row r="56" spans="1:21" ht="24.95" customHeight="1" x14ac:dyDescent="0.25">
      <c r="A56" s="15">
        <v>5</v>
      </c>
      <c r="B56" s="228">
        <v>51</v>
      </c>
      <c r="C56" s="228" t="s">
        <v>67</v>
      </c>
      <c r="D56" s="231">
        <v>4.4999999999999997E-3</v>
      </c>
      <c r="E56" s="155">
        <v>1526567.51</v>
      </c>
      <c r="F56" s="156">
        <v>774480.51</v>
      </c>
      <c r="G56" s="46">
        <f>E56-F56</f>
        <v>752087</v>
      </c>
      <c r="H56" s="46">
        <f t="shared" si="10"/>
        <v>23216.92569</v>
      </c>
      <c r="I56" s="279">
        <f t="shared" si="17"/>
        <v>363041.83763999998</v>
      </c>
      <c r="J56" s="279">
        <f t="shared" si="12"/>
        <v>0</v>
      </c>
      <c r="K56" s="279">
        <f t="shared" si="7"/>
        <v>185936.29261027643</v>
      </c>
      <c r="L56" s="279">
        <f t="shared" si="8"/>
        <v>202702.7028</v>
      </c>
      <c r="M56" s="277">
        <v>0</v>
      </c>
      <c r="N56" s="277">
        <v>0</v>
      </c>
      <c r="O56" s="277">
        <v>0</v>
      </c>
      <c r="P56" s="337">
        <f t="shared" si="13"/>
        <v>1526985.51</v>
      </c>
      <c r="Q56" s="337"/>
      <c r="R56" s="191">
        <f t="shared" si="14"/>
        <v>1573299.51</v>
      </c>
      <c r="S56" s="217">
        <f t="shared" si="15"/>
        <v>0.51</v>
      </c>
      <c r="T56" s="19">
        <f t="shared" si="16"/>
        <v>51</v>
      </c>
      <c r="U56" t="s">
        <v>247</v>
      </c>
    </row>
    <row r="57" spans="1:21" ht="24.95" customHeight="1" x14ac:dyDescent="0.25">
      <c r="A57" s="15">
        <v>5</v>
      </c>
      <c r="B57" s="228">
        <v>52</v>
      </c>
      <c r="C57" s="228" t="s">
        <v>68</v>
      </c>
      <c r="D57" s="231">
        <v>4.5999999999999999E-3</v>
      </c>
      <c r="E57" s="155">
        <v>759748.52</v>
      </c>
      <c r="F57" s="158">
        <f>E57</f>
        <v>759748.52</v>
      </c>
      <c r="G57" s="46">
        <f t="shared" si="0"/>
        <v>0</v>
      </c>
      <c r="H57" s="46">
        <f t="shared" si="10"/>
        <v>0</v>
      </c>
      <c r="I57" s="279">
        <f t="shared" si="17"/>
        <v>371109.43403200002</v>
      </c>
      <c r="J57" s="279">
        <f t="shared" si="12"/>
        <v>0</v>
      </c>
      <c r="K57" s="279">
        <f t="shared" si="7"/>
        <v>185936.29261027643</v>
      </c>
      <c r="L57" s="279">
        <f t="shared" si="8"/>
        <v>202702.7028</v>
      </c>
      <c r="M57" s="277">
        <v>0</v>
      </c>
      <c r="N57" s="277">
        <v>0</v>
      </c>
      <c r="O57" s="277">
        <v>0</v>
      </c>
      <c r="P57" s="337">
        <f t="shared" si="13"/>
        <v>759748.52</v>
      </c>
      <c r="Q57" s="337"/>
      <c r="R57" s="191">
        <f t="shared" si="14"/>
        <v>782792.52</v>
      </c>
      <c r="S57" s="217">
        <f t="shared" si="15"/>
        <v>0.52</v>
      </c>
      <c r="T57" s="19">
        <f t="shared" si="16"/>
        <v>52</v>
      </c>
      <c r="U57" t="s">
        <v>320</v>
      </c>
    </row>
    <row r="58" spans="1:21" ht="24.95" customHeight="1" x14ac:dyDescent="0.25">
      <c r="A58" s="144">
        <v>6</v>
      </c>
      <c r="B58" s="228">
        <v>53</v>
      </c>
      <c r="C58" s="228" t="s">
        <v>69</v>
      </c>
      <c r="D58" s="231">
        <v>4.4999999999999997E-3</v>
      </c>
      <c r="E58" s="155">
        <v>3392804.53</v>
      </c>
      <c r="F58" s="158"/>
      <c r="G58" s="46">
        <f t="shared" si="0"/>
        <v>3392804.53</v>
      </c>
      <c r="H58" s="46">
        <f t="shared" si="10"/>
        <v>104735.8758411</v>
      </c>
      <c r="I58" s="279">
        <f t="shared" si="17"/>
        <v>363041.83763999998</v>
      </c>
      <c r="J58" s="279">
        <f t="shared" si="12"/>
        <v>0</v>
      </c>
      <c r="K58" s="279">
        <f t="shared" si="7"/>
        <v>185936.29261027643</v>
      </c>
      <c r="L58" s="279">
        <f t="shared" si="8"/>
        <v>202702.7028</v>
      </c>
      <c r="M58" s="277">
        <v>0</v>
      </c>
      <c r="N58" s="277">
        <v>0</v>
      </c>
      <c r="O58" s="277">
        <v>0</v>
      </c>
      <c r="P58" s="337">
        <f t="shared" si="13"/>
        <v>4249221.53</v>
      </c>
      <c r="Q58" s="337"/>
      <c r="R58" s="191">
        <f t="shared" si="14"/>
        <v>4378100.53</v>
      </c>
      <c r="S58" s="217">
        <f t="shared" si="15"/>
        <v>0.53</v>
      </c>
      <c r="T58" s="19">
        <f t="shared" si="16"/>
        <v>53</v>
      </c>
    </row>
    <row r="59" spans="1:21" ht="24.95" customHeight="1" x14ac:dyDescent="0.25">
      <c r="A59" s="15">
        <v>6</v>
      </c>
      <c r="B59" s="228">
        <v>54</v>
      </c>
      <c r="C59" s="228" t="s">
        <v>70</v>
      </c>
      <c r="D59" s="231">
        <v>4.4999999999999997E-3</v>
      </c>
      <c r="E59" s="155">
        <v>985389.54</v>
      </c>
      <c r="F59" s="156">
        <v>956381.54</v>
      </c>
      <c r="G59" s="46">
        <f t="shared" si="0"/>
        <v>29008</v>
      </c>
      <c r="H59" s="46">
        <f t="shared" si="10"/>
        <v>895.47696000000008</v>
      </c>
      <c r="I59" s="279">
        <f t="shared" si="17"/>
        <v>363041.83763999998</v>
      </c>
      <c r="J59" s="279">
        <f t="shared" si="12"/>
        <v>0</v>
      </c>
      <c r="K59" s="279">
        <f t="shared" si="7"/>
        <v>185936.29261027643</v>
      </c>
      <c r="L59" s="279">
        <f t="shared" si="8"/>
        <v>202702.7028</v>
      </c>
      <c r="M59" s="277">
        <v>0</v>
      </c>
      <c r="N59" s="277">
        <v>0</v>
      </c>
      <c r="O59" s="277">
        <v>0</v>
      </c>
      <c r="P59" s="337">
        <f t="shared" si="13"/>
        <v>781584.54</v>
      </c>
      <c r="Q59" s="337"/>
      <c r="R59" s="191">
        <f t="shared" si="14"/>
        <v>805290.54</v>
      </c>
      <c r="S59" s="217">
        <f t="shared" si="15"/>
        <v>0.54</v>
      </c>
      <c r="T59" s="19">
        <f t="shared" si="16"/>
        <v>54</v>
      </c>
      <c r="U59" t="s">
        <v>204</v>
      </c>
    </row>
    <row r="60" spans="1:21" ht="24.95" customHeight="1" x14ac:dyDescent="0.25">
      <c r="A60" s="15">
        <v>7</v>
      </c>
      <c r="B60" s="228">
        <v>55</v>
      </c>
      <c r="C60" s="228" t="s">
        <v>71</v>
      </c>
      <c r="D60" s="231">
        <v>4.4999999999999997E-3</v>
      </c>
      <c r="E60" s="155">
        <v>699553.55</v>
      </c>
      <c r="F60" s="158">
        <v>720771.55</v>
      </c>
      <c r="G60" s="46">
        <f t="shared" si="0"/>
        <v>-21218</v>
      </c>
      <c r="H60" s="46">
        <f t="shared" si="10"/>
        <v>0</v>
      </c>
      <c r="I60" s="279">
        <f t="shared" si="17"/>
        <v>363041.83763999998</v>
      </c>
      <c r="J60" s="279">
        <f t="shared" si="12"/>
        <v>0</v>
      </c>
      <c r="K60" s="279">
        <f t="shared" si="7"/>
        <v>185936.29261027643</v>
      </c>
      <c r="L60" s="279">
        <f t="shared" si="8"/>
        <v>202702.7028</v>
      </c>
      <c r="M60" s="277">
        <v>0</v>
      </c>
      <c r="N60" s="277">
        <v>0</v>
      </c>
      <c r="O60" s="277">
        <v>0</v>
      </c>
      <c r="P60" s="337">
        <f t="shared" si="13"/>
        <v>730463.55</v>
      </c>
      <c r="Q60" s="337"/>
      <c r="R60" s="191">
        <f t="shared" si="14"/>
        <v>752619.55</v>
      </c>
      <c r="S60" s="217">
        <f t="shared" si="15"/>
        <v>0.55000000000000004</v>
      </c>
      <c r="T60" s="19">
        <f t="shared" si="16"/>
        <v>55</v>
      </c>
      <c r="U60" t="s">
        <v>261</v>
      </c>
    </row>
    <row r="61" spans="1:21" ht="24.95" customHeight="1" x14ac:dyDescent="0.25">
      <c r="A61" s="15">
        <v>7</v>
      </c>
      <c r="B61" s="228">
        <v>56</v>
      </c>
      <c r="C61" s="228" t="s">
        <v>72</v>
      </c>
      <c r="D61" s="231">
        <v>4.4999999999999997E-3</v>
      </c>
      <c r="E61" s="155">
        <v>774480.56</v>
      </c>
      <c r="F61" s="156">
        <f>E61</f>
        <v>774480.56</v>
      </c>
      <c r="G61" s="46">
        <f t="shared" si="0"/>
        <v>0</v>
      </c>
      <c r="H61" s="46">
        <f t="shared" si="10"/>
        <v>0</v>
      </c>
      <c r="I61" s="279">
        <f t="shared" si="17"/>
        <v>363041.83763999998</v>
      </c>
      <c r="J61" s="279">
        <f t="shared" si="12"/>
        <v>0</v>
      </c>
      <c r="K61" s="279">
        <f t="shared" si="7"/>
        <v>185936.29261027643</v>
      </c>
      <c r="L61" s="279">
        <f t="shared" si="8"/>
        <v>202702.7028</v>
      </c>
      <c r="M61" s="277">
        <v>0</v>
      </c>
      <c r="N61" s="277">
        <v>0</v>
      </c>
      <c r="O61" s="277">
        <v>0</v>
      </c>
      <c r="P61" s="337">
        <f t="shared" si="13"/>
        <v>751681.56</v>
      </c>
      <c r="Q61" s="337"/>
      <c r="R61" s="191">
        <f t="shared" si="14"/>
        <v>774480.56</v>
      </c>
      <c r="S61" s="217">
        <f t="shared" si="15"/>
        <v>0.56000000000000005</v>
      </c>
      <c r="T61" s="19">
        <f t="shared" si="16"/>
        <v>56</v>
      </c>
      <c r="U61" t="s">
        <v>194</v>
      </c>
    </row>
    <row r="62" spans="1:21" ht="24.95" customHeight="1" x14ac:dyDescent="0.25">
      <c r="A62" s="15">
        <v>8</v>
      </c>
      <c r="B62" s="228">
        <v>57</v>
      </c>
      <c r="C62" s="228" t="s">
        <v>73</v>
      </c>
      <c r="D62" s="231">
        <v>4.4999999999999997E-3</v>
      </c>
      <c r="E62" s="155">
        <v>751681.57</v>
      </c>
      <c r="F62" s="156">
        <f>E62</f>
        <v>751681.57</v>
      </c>
      <c r="G62" s="46">
        <f t="shared" si="0"/>
        <v>0</v>
      </c>
      <c r="H62" s="46">
        <f t="shared" si="10"/>
        <v>0</v>
      </c>
      <c r="I62" s="279">
        <f t="shared" si="17"/>
        <v>363041.83763999998</v>
      </c>
      <c r="J62" s="279">
        <f t="shared" si="12"/>
        <v>0</v>
      </c>
      <c r="K62" s="279">
        <f t="shared" si="7"/>
        <v>185936.29261027643</v>
      </c>
      <c r="L62" s="279">
        <f t="shared" si="8"/>
        <v>202702.7028</v>
      </c>
      <c r="M62" s="277">
        <v>0</v>
      </c>
      <c r="N62" s="277">
        <v>0</v>
      </c>
      <c r="O62" s="277">
        <v>0</v>
      </c>
      <c r="P62" s="337">
        <f t="shared" si="13"/>
        <v>751681.57</v>
      </c>
      <c r="Q62" s="337"/>
      <c r="R62" s="191">
        <f t="shared" si="14"/>
        <v>774480.57</v>
      </c>
      <c r="S62" s="217">
        <f t="shared" si="15"/>
        <v>0.56999999999999995</v>
      </c>
      <c r="T62" s="19">
        <f t="shared" si="16"/>
        <v>57</v>
      </c>
    </row>
    <row r="63" spans="1:21" ht="24.95" customHeight="1" x14ac:dyDescent="0.25">
      <c r="A63" s="15">
        <v>8</v>
      </c>
      <c r="B63" s="228">
        <v>58</v>
      </c>
      <c r="C63" s="228" t="s">
        <v>43</v>
      </c>
      <c r="D63" s="231">
        <v>4.4999999999999997E-3</v>
      </c>
      <c r="E63" s="155">
        <v>1503756.58</v>
      </c>
      <c r="F63" s="158">
        <f>1549366.58</f>
        <v>1549366.58</v>
      </c>
      <c r="G63" s="46">
        <f t="shared" si="0"/>
        <v>-45610</v>
      </c>
      <c r="H63" s="46">
        <f t="shared" si="10"/>
        <v>0</v>
      </c>
      <c r="I63" s="279">
        <f t="shared" si="17"/>
        <v>363041.83763999998</v>
      </c>
      <c r="J63" s="279">
        <f t="shared" si="12"/>
        <v>0</v>
      </c>
      <c r="K63" s="279">
        <f t="shared" si="7"/>
        <v>185936.29261027643</v>
      </c>
      <c r="L63" s="279">
        <f t="shared" si="8"/>
        <v>202702.7028</v>
      </c>
      <c r="M63" s="277">
        <v>0</v>
      </c>
      <c r="N63" s="277">
        <v>0</v>
      </c>
      <c r="O63" s="277">
        <v>0</v>
      </c>
      <c r="P63" s="337">
        <f t="shared" si="13"/>
        <v>706071.58</v>
      </c>
      <c r="Q63" s="337"/>
      <c r="R63" s="191">
        <f t="shared" si="14"/>
        <v>727487.58</v>
      </c>
      <c r="S63" s="217">
        <f t="shared" si="15"/>
        <v>0.57999999999999996</v>
      </c>
      <c r="T63" s="19">
        <f t="shared" si="16"/>
        <v>58</v>
      </c>
    </row>
    <row r="64" spans="1:21" ht="25.15" customHeight="1" x14ac:dyDescent="0.25">
      <c r="A64" s="147">
        <v>9</v>
      </c>
      <c r="B64" s="228">
        <v>59</v>
      </c>
      <c r="C64" s="228" t="s">
        <v>74</v>
      </c>
      <c r="D64" s="231">
        <v>4.1000000000000003E-3</v>
      </c>
      <c r="E64" s="155">
        <v>739410.59</v>
      </c>
      <c r="F64" s="156">
        <f>686000+74000</f>
        <v>760000</v>
      </c>
      <c r="G64" s="46">
        <f t="shared" si="0"/>
        <v>-20589.410000000033</v>
      </c>
      <c r="H64" s="46">
        <f t="shared" si="10"/>
        <v>0</v>
      </c>
      <c r="I64" s="279">
        <f t="shared" si="17"/>
        <v>330771.45207200001</v>
      </c>
      <c r="J64" s="279">
        <f t="shared" si="12"/>
        <v>0</v>
      </c>
      <c r="K64" s="279">
        <f t="shared" si="7"/>
        <v>185936.29261027643</v>
      </c>
      <c r="L64" s="279">
        <f t="shared" si="8"/>
        <v>202702.7028</v>
      </c>
      <c r="M64" s="277">
        <v>0</v>
      </c>
      <c r="N64" s="277">
        <v>0</v>
      </c>
      <c r="O64" s="277">
        <v>0</v>
      </c>
      <c r="P64" s="337">
        <f t="shared" si="13"/>
        <v>698821.59</v>
      </c>
      <c r="Q64" s="337"/>
      <c r="R64" s="191">
        <f t="shared" si="14"/>
        <v>720017.59</v>
      </c>
      <c r="S64" s="217">
        <f t="shared" si="15"/>
        <v>0.59</v>
      </c>
      <c r="T64" s="19">
        <f t="shared" si="16"/>
        <v>59</v>
      </c>
      <c r="U64" t="s">
        <v>262</v>
      </c>
    </row>
    <row r="65" spans="1:21" ht="24.95" customHeight="1" x14ac:dyDescent="0.25">
      <c r="A65" s="209">
        <v>9</v>
      </c>
      <c r="B65" s="228">
        <v>60</v>
      </c>
      <c r="C65" s="228" t="s">
        <v>75</v>
      </c>
      <c r="D65" s="231">
        <v>4.4999999999999997E-3</v>
      </c>
      <c r="E65" s="155">
        <v>728413.6</v>
      </c>
      <c r="F65" s="158"/>
      <c r="G65" s="46">
        <f>E65-F65</f>
        <v>728413.6</v>
      </c>
      <c r="H65" s="46">
        <f t="shared" si="10"/>
        <v>22486.127832000002</v>
      </c>
      <c r="I65" s="279">
        <f t="shared" si="17"/>
        <v>363041.83763999998</v>
      </c>
      <c r="J65" s="279">
        <f t="shared" si="12"/>
        <v>0</v>
      </c>
      <c r="K65" s="279">
        <f t="shared" si="7"/>
        <v>185936.29261027643</v>
      </c>
      <c r="L65" s="279">
        <f t="shared" si="8"/>
        <v>202702.7028</v>
      </c>
      <c r="M65" s="277">
        <v>0</v>
      </c>
      <c r="N65" s="277">
        <v>0</v>
      </c>
      <c r="O65" s="280">
        <f>I65/2</f>
        <v>181520.91881999999</v>
      </c>
      <c r="P65" s="337">
        <f t="shared" si="13"/>
        <v>1684101.6</v>
      </c>
      <c r="Q65" s="337"/>
      <c r="R65" s="191">
        <f t="shared" si="14"/>
        <v>1735180.6</v>
      </c>
      <c r="S65" s="217">
        <f t="shared" si="15"/>
        <v>0.6</v>
      </c>
      <c r="T65" s="19">
        <f t="shared" si="16"/>
        <v>60</v>
      </c>
      <c r="U65" t="s">
        <v>213</v>
      </c>
    </row>
    <row r="66" spans="1:21" ht="24.95" customHeight="1" x14ac:dyDescent="0.25">
      <c r="A66" s="147">
        <v>10</v>
      </c>
      <c r="B66" s="228">
        <v>61</v>
      </c>
      <c r="C66" s="228" t="s">
        <v>76</v>
      </c>
      <c r="D66" s="231">
        <v>4.4999999999999997E-3</v>
      </c>
      <c r="E66" s="155">
        <v>751706.61</v>
      </c>
      <c r="F66" s="158">
        <v>752000</v>
      </c>
      <c r="G66" s="46">
        <f t="shared" si="0"/>
        <v>-293.39000000001397</v>
      </c>
      <c r="H66" s="46">
        <f t="shared" si="10"/>
        <v>0</v>
      </c>
      <c r="I66" s="279">
        <f t="shared" si="17"/>
        <v>363041.83763999998</v>
      </c>
      <c r="J66" s="279">
        <f t="shared" si="12"/>
        <v>0</v>
      </c>
      <c r="K66" s="279">
        <f t="shared" si="7"/>
        <v>185936.29261027643</v>
      </c>
      <c r="L66" s="279">
        <f t="shared" si="8"/>
        <v>202702.7028</v>
      </c>
      <c r="M66" s="277">
        <v>0</v>
      </c>
      <c r="N66" s="277">
        <v>0</v>
      </c>
      <c r="O66" s="277">
        <v>0</v>
      </c>
      <c r="P66" s="337">
        <f t="shared" si="13"/>
        <v>751387.61</v>
      </c>
      <c r="Q66" s="337"/>
      <c r="R66" s="191">
        <f t="shared" si="14"/>
        <v>774177.61</v>
      </c>
      <c r="S66" s="217">
        <f t="shared" si="15"/>
        <v>0.61</v>
      </c>
      <c r="T66" s="19">
        <f t="shared" si="16"/>
        <v>61</v>
      </c>
      <c r="U66" s="49" t="s">
        <v>212</v>
      </c>
    </row>
    <row r="67" spans="1:21" ht="24.95" customHeight="1" x14ac:dyDescent="0.25">
      <c r="A67" s="15">
        <v>10</v>
      </c>
      <c r="B67" s="228">
        <v>62</v>
      </c>
      <c r="C67" s="228" t="s">
        <v>77</v>
      </c>
      <c r="D67" s="231">
        <v>4.1000000000000003E-3</v>
      </c>
      <c r="E67" s="155">
        <v>719410.62</v>
      </c>
      <c r="F67" s="156">
        <f>E67</f>
        <v>719410.62</v>
      </c>
      <c r="G67" s="46">
        <f t="shared" si="0"/>
        <v>0</v>
      </c>
      <c r="H67" s="46">
        <f t="shared" si="10"/>
        <v>0</v>
      </c>
      <c r="I67" s="279">
        <f t="shared" si="17"/>
        <v>330771.45207200001</v>
      </c>
      <c r="J67" s="279">
        <f t="shared" si="12"/>
        <v>0</v>
      </c>
      <c r="K67" s="279">
        <f t="shared" si="7"/>
        <v>185936.29261027643</v>
      </c>
      <c r="L67" s="279">
        <f t="shared" si="8"/>
        <v>202702.7028</v>
      </c>
      <c r="M67" s="277">
        <v>0</v>
      </c>
      <c r="N67" s="277">
        <v>0</v>
      </c>
      <c r="O67" s="277">
        <v>0</v>
      </c>
      <c r="P67" s="337">
        <f t="shared" si="13"/>
        <v>719410.62</v>
      </c>
      <c r="Q67" s="337"/>
      <c r="R67" s="191">
        <f t="shared" si="14"/>
        <v>741230.62</v>
      </c>
      <c r="S67" s="217">
        <f t="shared" si="15"/>
        <v>0.62</v>
      </c>
      <c r="T67" s="19">
        <f t="shared" si="16"/>
        <v>62</v>
      </c>
    </row>
    <row r="68" spans="1:21" ht="24.95" customHeight="1" x14ac:dyDescent="0.25">
      <c r="A68" s="15">
        <v>11</v>
      </c>
      <c r="B68" s="228">
        <v>63</v>
      </c>
      <c r="C68" s="228" t="s">
        <v>78</v>
      </c>
      <c r="D68" s="231">
        <v>4.4999999999999997E-3</v>
      </c>
      <c r="E68" s="155">
        <v>956381.63</v>
      </c>
      <c r="F68" s="156">
        <f>204700+751681.63</f>
        <v>956381.63</v>
      </c>
      <c r="G68" s="46">
        <f>E68-F68</f>
        <v>0</v>
      </c>
      <c r="H68" s="46">
        <f t="shared" si="10"/>
        <v>0</v>
      </c>
      <c r="I68" s="279">
        <f t="shared" si="17"/>
        <v>363041.83763999998</v>
      </c>
      <c r="J68" s="279">
        <f t="shared" si="12"/>
        <v>0</v>
      </c>
      <c r="K68" s="279">
        <f t="shared" si="7"/>
        <v>185936.29261027643</v>
      </c>
      <c r="L68" s="279">
        <f t="shared" si="8"/>
        <v>202702.7028</v>
      </c>
      <c r="M68" s="277">
        <v>0</v>
      </c>
      <c r="N68" s="277">
        <v>0</v>
      </c>
      <c r="O68" s="277">
        <v>0</v>
      </c>
      <c r="P68" s="337">
        <f t="shared" si="13"/>
        <v>751681.63</v>
      </c>
      <c r="Q68" s="337"/>
      <c r="R68" s="191">
        <f t="shared" si="14"/>
        <v>774480.63</v>
      </c>
      <c r="S68" s="217">
        <f t="shared" si="15"/>
        <v>0.63</v>
      </c>
      <c r="T68" s="19">
        <f t="shared" si="16"/>
        <v>63</v>
      </c>
      <c r="U68" t="s">
        <v>197</v>
      </c>
    </row>
    <row r="69" spans="1:21" ht="24.95" customHeight="1" x14ac:dyDescent="0.25">
      <c r="A69" s="15">
        <v>11</v>
      </c>
      <c r="B69" s="228">
        <v>64</v>
      </c>
      <c r="C69" s="228" t="s">
        <v>79</v>
      </c>
      <c r="D69" s="231">
        <v>4.4999999999999997E-3</v>
      </c>
      <c r="E69" s="155">
        <v>751681.64</v>
      </c>
      <c r="F69" s="156">
        <f>E69</f>
        <v>751681.64</v>
      </c>
      <c r="G69" s="46">
        <f t="shared" si="0"/>
        <v>0</v>
      </c>
      <c r="H69" s="46">
        <f t="shared" si="10"/>
        <v>0</v>
      </c>
      <c r="I69" s="279">
        <f t="shared" si="17"/>
        <v>363041.83763999998</v>
      </c>
      <c r="J69" s="279">
        <f t="shared" si="12"/>
        <v>0</v>
      </c>
      <c r="K69" s="279">
        <f t="shared" si="7"/>
        <v>185936.29261027643</v>
      </c>
      <c r="L69" s="279">
        <f t="shared" si="8"/>
        <v>202702.7028</v>
      </c>
      <c r="M69" s="277">
        <v>0</v>
      </c>
      <c r="N69" s="277">
        <v>0</v>
      </c>
      <c r="O69" s="277">
        <v>0</v>
      </c>
      <c r="P69" s="337">
        <f t="shared" si="13"/>
        <v>751681.64</v>
      </c>
      <c r="Q69" s="337"/>
      <c r="R69" s="191">
        <f t="shared" si="14"/>
        <v>774480.64</v>
      </c>
      <c r="S69" s="217">
        <f t="shared" si="15"/>
        <v>0.64</v>
      </c>
      <c r="T69" s="19">
        <f t="shared" si="16"/>
        <v>64</v>
      </c>
      <c r="U69" t="s">
        <v>224</v>
      </c>
    </row>
    <row r="70" spans="1:21" ht="24.95" customHeight="1" x14ac:dyDescent="0.25">
      <c r="A70" s="15">
        <v>12</v>
      </c>
      <c r="B70" s="228">
        <v>65</v>
      </c>
      <c r="C70" s="228" t="s">
        <v>80</v>
      </c>
      <c r="D70" s="231">
        <v>4.4999999999999997E-3</v>
      </c>
      <c r="E70" s="155">
        <v>751681.65</v>
      </c>
      <c r="F70" s="158">
        <f t="shared" ref="F70" si="18">E70</f>
        <v>751681.65</v>
      </c>
      <c r="G70" s="46">
        <f t="shared" ref="G70:G158" si="19">E70-F70</f>
        <v>0</v>
      </c>
      <c r="H70" s="46">
        <f t="shared" si="10"/>
        <v>0</v>
      </c>
      <c r="I70" s="279">
        <f t="shared" si="17"/>
        <v>363041.83763999998</v>
      </c>
      <c r="J70" s="279">
        <f t="shared" ref="J70:J101" si="20">P$2*D70</f>
        <v>0</v>
      </c>
      <c r="K70" s="279">
        <f t="shared" si="7"/>
        <v>185936.29261027643</v>
      </c>
      <c r="L70" s="279">
        <f t="shared" si="8"/>
        <v>202702.7028</v>
      </c>
      <c r="M70" s="277">
        <v>0</v>
      </c>
      <c r="N70" s="277">
        <v>0</v>
      </c>
      <c r="O70" s="277">
        <v>0</v>
      </c>
      <c r="P70" s="337">
        <f t="shared" ref="P70:P101" si="21">ROUND(SUM(G70:O70),0) + S70</f>
        <v>751681.65</v>
      </c>
      <c r="Q70" s="337"/>
      <c r="R70" s="191">
        <f t="shared" ref="R70:R101" si="22">ROUND(P70+P70*3.033%,0) + S70</f>
        <v>774480.65</v>
      </c>
      <c r="S70" s="217">
        <f t="shared" ref="S70:S101" si="23">ROUND(0.001+B70/100,2)</f>
        <v>0.65</v>
      </c>
      <c r="T70" s="19">
        <f t="shared" ref="T70:T101" si="24">B70</f>
        <v>65</v>
      </c>
    </row>
    <row r="71" spans="1:21" ht="24.95" customHeight="1" x14ac:dyDescent="0.25">
      <c r="A71" s="15">
        <v>12</v>
      </c>
      <c r="B71" s="228">
        <v>66</v>
      </c>
      <c r="C71" s="228" t="s">
        <v>81</v>
      </c>
      <c r="D71" s="231">
        <v>4.4999999999999997E-3</v>
      </c>
      <c r="E71" s="155">
        <v>751681.66</v>
      </c>
      <c r="F71" s="156">
        <f>E71</f>
        <v>751681.66</v>
      </c>
      <c r="G71" s="46">
        <f t="shared" si="19"/>
        <v>0</v>
      </c>
      <c r="H71" s="46">
        <f t="shared" si="10"/>
        <v>0</v>
      </c>
      <c r="I71" s="279">
        <f t="shared" si="17"/>
        <v>363041.83763999998</v>
      </c>
      <c r="J71" s="279">
        <f t="shared" si="20"/>
        <v>0</v>
      </c>
      <c r="K71" s="279">
        <f t="shared" ref="K71:K134" si="25">G$2*0.675675676%</f>
        <v>185936.29261027643</v>
      </c>
      <c r="L71" s="279">
        <f t="shared" ref="L71:L134" si="26">P$1*0.675675676%</f>
        <v>202702.7028</v>
      </c>
      <c r="M71" s="277">
        <v>0</v>
      </c>
      <c r="N71" s="277">
        <v>0</v>
      </c>
      <c r="O71" s="277">
        <v>0</v>
      </c>
      <c r="P71" s="337">
        <f t="shared" si="21"/>
        <v>751681.66</v>
      </c>
      <c r="Q71" s="337"/>
      <c r="R71" s="191">
        <f t="shared" si="22"/>
        <v>774480.66</v>
      </c>
      <c r="S71" s="217">
        <f t="shared" si="23"/>
        <v>0.66</v>
      </c>
      <c r="T71" s="19">
        <f t="shared" si="24"/>
        <v>66</v>
      </c>
      <c r="U71" t="s">
        <v>249</v>
      </c>
    </row>
    <row r="72" spans="1:21" ht="24.95" customHeight="1" x14ac:dyDescent="0.25">
      <c r="A72" s="147">
        <v>1</v>
      </c>
      <c r="B72" s="228">
        <v>67</v>
      </c>
      <c r="C72" s="228" t="s">
        <v>82</v>
      </c>
      <c r="D72" s="231">
        <v>4.4999999999999997E-3</v>
      </c>
      <c r="E72" s="155">
        <v>1604286.67</v>
      </c>
      <c r="F72" s="158"/>
      <c r="G72" s="46">
        <f t="shared" si="19"/>
        <v>1604286.67</v>
      </c>
      <c r="H72" s="46">
        <f t="shared" ref="H72:H135" si="27">IF(G72&gt;0,G72*3.087%,0)</f>
        <v>49524.3295029</v>
      </c>
      <c r="I72" s="279">
        <f t="shared" si="17"/>
        <v>363041.83763999998</v>
      </c>
      <c r="J72" s="279">
        <f t="shared" si="20"/>
        <v>0</v>
      </c>
      <c r="K72" s="279">
        <f t="shared" si="25"/>
        <v>185936.29261027643</v>
      </c>
      <c r="L72" s="279">
        <f t="shared" si="26"/>
        <v>202702.7028</v>
      </c>
      <c r="M72" s="277">
        <v>0</v>
      </c>
      <c r="N72" s="277">
        <v>0</v>
      </c>
      <c r="O72" s="277">
        <v>0</v>
      </c>
      <c r="P72" s="337">
        <f t="shared" si="21"/>
        <v>2405492.67</v>
      </c>
      <c r="Q72" s="337"/>
      <c r="R72" s="191">
        <f t="shared" si="22"/>
        <v>2478451.67</v>
      </c>
      <c r="S72" s="217">
        <f t="shared" si="23"/>
        <v>0.67</v>
      </c>
      <c r="T72" s="19">
        <f t="shared" si="24"/>
        <v>67</v>
      </c>
      <c r="U72" t="s">
        <v>265</v>
      </c>
    </row>
    <row r="73" spans="1:21" ht="24.95" customHeight="1" x14ac:dyDescent="0.25">
      <c r="A73" s="147"/>
      <c r="B73" s="228">
        <f>B72+1</f>
        <v>68</v>
      </c>
      <c r="C73" s="228" t="s">
        <v>86</v>
      </c>
      <c r="D73" s="231">
        <v>4.4999999999999997E-3</v>
      </c>
      <c r="E73" s="155">
        <v>6314666.6799999997</v>
      </c>
      <c r="F73" s="158"/>
      <c r="G73" s="46">
        <f t="shared" si="19"/>
        <v>6314666.6799999997</v>
      </c>
      <c r="H73" s="46">
        <f t="shared" si="27"/>
        <v>194933.7604116</v>
      </c>
      <c r="I73" s="279">
        <f t="shared" si="17"/>
        <v>363041.83763999998</v>
      </c>
      <c r="J73" s="279">
        <f t="shared" si="20"/>
        <v>0</v>
      </c>
      <c r="K73" s="279">
        <f t="shared" si="25"/>
        <v>185936.29261027643</v>
      </c>
      <c r="L73" s="279">
        <f t="shared" si="26"/>
        <v>202702.7028</v>
      </c>
      <c r="M73" s="277">
        <v>72609</v>
      </c>
      <c r="N73" s="56">
        <f>(I73)</f>
        <v>363041.83763999998</v>
      </c>
      <c r="O73" s="277">
        <v>0</v>
      </c>
      <c r="P73" s="337">
        <f t="shared" si="21"/>
        <v>7696932.6799999997</v>
      </c>
      <c r="Q73" s="337"/>
      <c r="R73" s="191">
        <f t="shared" si="22"/>
        <v>7930381.6799999997</v>
      </c>
      <c r="S73" s="217">
        <f t="shared" si="23"/>
        <v>0.68</v>
      </c>
      <c r="T73" s="19">
        <f t="shared" si="24"/>
        <v>68</v>
      </c>
    </row>
    <row r="74" spans="1:21" ht="24.95" customHeight="1" x14ac:dyDescent="0.25">
      <c r="A74" s="147"/>
      <c r="B74" s="228">
        <f t="shared" ref="B74:B137" si="28">B73+1</f>
        <v>69</v>
      </c>
      <c r="C74" s="228" t="s">
        <v>87</v>
      </c>
      <c r="D74" s="231">
        <v>3.5999999999999999E-3</v>
      </c>
      <c r="E74" s="155">
        <v>699669.69</v>
      </c>
      <c r="F74" s="156">
        <f>E74</f>
        <v>699669.69</v>
      </c>
      <c r="G74" s="46">
        <f t="shared" si="19"/>
        <v>0</v>
      </c>
      <c r="H74" s="46">
        <f t="shared" si="27"/>
        <v>0</v>
      </c>
      <c r="I74" s="279">
        <f t="shared" si="17"/>
        <v>290433.47011200001</v>
      </c>
      <c r="J74" s="279">
        <f t="shared" si="20"/>
        <v>0</v>
      </c>
      <c r="K74" s="279">
        <f t="shared" si="25"/>
        <v>185936.29261027643</v>
      </c>
      <c r="L74" s="279">
        <f t="shared" si="26"/>
        <v>202702.7028</v>
      </c>
      <c r="M74" s="277">
        <v>0</v>
      </c>
      <c r="N74" s="277">
        <v>0</v>
      </c>
      <c r="O74" s="277">
        <v>0</v>
      </c>
      <c r="P74" s="337">
        <f t="shared" si="21"/>
        <v>679072.69</v>
      </c>
      <c r="Q74" s="337"/>
      <c r="R74" s="191">
        <f t="shared" si="22"/>
        <v>699669.69</v>
      </c>
      <c r="S74" s="217">
        <f t="shared" si="23"/>
        <v>0.69</v>
      </c>
      <c r="T74" s="19">
        <f t="shared" si="24"/>
        <v>69</v>
      </c>
      <c r="U74" t="s">
        <v>210</v>
      </c>
    </row>
    <row r="75" spans="1:21" ht="24.95" customHeight="1" x14ac:dyDescent="0.25">
      <c r="A75" s="147"/>
      <c r="B75" s="228">
        <f t="shared" si="28"/>
        <v>70</v>
      </c>
      <c r="C75" s="228" t="s">
        <v>88</v>
      </c>
      <c r="D75" s="231">
        <v>4.4000000000000003E-3</v>
      </c>
      <c r="E75" s="155">
        <v>2557803.7000000002</v>
      </c>
      <c r="F75" s="158">
        <v>1550000</v>
      </c>
      <c r="G75" s="46">
        <f t="shared" si="19"/>
        <v>1007803.7000000002</v>
      </c>
      <c r="H75" s="46">
        <f t="shared" si="27"/>
        <v>31110.900219000006</v>
      </c>
      <c r="I75" s="279">
        <f t="shared" si="17"/>
        <v>354974.24124800001</v>
      </c>
      <c r="J75" s="279">
        <f t="shared" si="20"/>
        <v>0</v>
      </c>
      <c r="K75" s="279">
        <f t="shared" si="25"/>
        <v>185936.29261027643</v>
      </c>
      <c r="L75" s="279">
        <f t="shared" si="26"/>
        <v>202702.7028</v>
      </c>
      <c r="M75" s="277">
        <v>0</v>
      </c>
      <c r="N75" s="277">
        <v>0</v>
      </c>
      <c r="O75" s="277">
        <v>0</v>
      </c>
      <c r="P75" s="337">
        <f t="shared" si="21"/>
        <v>1782528.7</v>
      </c>
      <c r="Q75" s="337"/>
      <c r="R75" s="191">
        <f t="shared" si="22"/>
        <v>1836593.7</v>
      </c>
      <c r="S75" s="217">
        <f t="shared" si="23"/>
        <v>0.7</v>
      </c>
      <c r="T75" s="19">
        <f t="shared" si="24"/>
        <v>70</v>
      </c>
      <c r="U75" t="s">
        <v>252</v>
      </c>
    </row>
    <row r="76" spans="1:21" ht="24.95" customHeight="1" x14ac:dyDescent="0.25">
      <c r="A76" s="147"/>
      <c r="B76" s="228">
        <f t="shared" si="28"/>
        <v>71</v>
      </c>
      <c r="C76" s="228" t="s">
        <v>89</v>
      </c>
      <c r="D76" s="231">
        <v>4.0000000000000001E-3</v>
      </c>
      <c r="E76" s="155">
        <v>2225884.71</v>
      </c>
      <c r="F76" s="158">
        <v>1000000</v>
      </c>
      <c r="G76" s="46">
        <f t="shared" si="19"/>
        <v>1225884.71</v>
      </c>
      <c r="H76" s="46">
        <f t="shared" si="27"/>
        <v>37843.060997699999</v>
      </c>
      <c r="I76" s="279">
        <f t="shared" si="17"/>
        <v>322703.85568000004</v>
      </c>
      <c r="J76" s="279">
        <f t="shared" si="20"/>
        <v>0</v>
      </c>
      <c r="K76" s="279">
        <f t="shared" si="25"/>
        <v>185936.29261027643</v>
      </c>
      <c r="L76" s="279">
        <f t="shared" si="26"/>
        <v>202702.7028</v>
      </c>
      <c r="M76" s="277">
        <v>0</v>
      </c>
      <c r="N76" s="277">
        <v>0</v>
      </c>
      <c r="O76" s="277">
        <v>0</v>
      </c>
      <c r="P76" s="337">
        <f t="shared" si="21"/>
        <v>1975071.71</v>
      </c>
      <c r="Q76" s="337"/>
      <c r="R76" s="191">
        <f t="shared" si="22"/>
        <v>2034976.71</v>
      </c>
      <c r="S76" s="217">
        <f t="shared" si="23"/>
        <v>0.71</v>
      </c>
      <c r="T76" s="19">
        <f t="shared" si="24"/>
        <v>71</v>
      </c>
      <c r="U76" t="s">
        <v>303</v>
      </c>
    </row>
    <row r="77" spans="1:21" ht="24.95" customHeight="1" x14ac:dyDescent="0.25">
      <c r="A77" s="205"/>
      <c r="B77" s="228">
        <f t="shared" si="28"/>
        <v>72</v>
      </c>
      <c r="C77" s="228" t="s">
        <v>90</v>
      </c>
      <c r="D77" s="231">
        <v>4.0000000000000001E-3</v>
      </c>
      <c r="E77" s="155">
        <v>711343.72</v>
      </c>
      <c r="F77" s="156">
        <f>600000+111344</f>
        <v>711344</v>
      </c>
      <c r="G77" s="46">
        <f t="shared" si="19"/>
        <v>-0.28000000002793968</v>
      </c>
      <c r="H77" s="46">
        <f t="shared" si="27"/>
        <v>0</v>
      </c>
      <c r="I77" s="279">
        <f t="shared" si="17"/>
        <v>322703.85568000004</v>
      </c>
      <c r="J77" s="279">
        <f t="shared" si="20"/>
        <v>0</v>
      </c>
      <c r="K77" s="279">
        <f t="shared" si="25"/>
        <v>185936.29261027643</v>
      </c>
      <c r="L77" s="279">
        <f t="shared" si="26"/>
        <v>202702.7028</v>
      </c>
      <c r="M77" s="277">
        <v>0</v>
      </c>
      <c r="N77" s="277">
        <v>0</v>
      </c>
      <c r="O77" s="277">
        <v>0</v>
      </c>
      <c r="P77" s="337">
        <f t="shared" si="21"/>
        <v>711343.72</v>
      </c>
      <c r="Q77" s="337"/>
      <c r="R77" s="191">
        <f t="shared" si="22"/>
        <v>732919.72</v>
      </c>
      <c r="S77" s="217">
        <f t="shared" si="23"/>
        <v>0.72</v>
      </c>
      <c r="T77" s="19">
        <f t="shared" si="24"/>
        <v>72</v>
      </c>
      <c r="U77" t="s">
        <v>195</v>
      </c>
    </row>
    <row r="78" spans="1:21" ht="24.95" customHeight="1" x14ac:dyDescent="0.25">
      <c r="A78" s="187"/>
      <c r="B78" s="228">
        <f t="shared" si="28"/>
        <v>73</v>
      </c>
      <c r="C78" s="228" t="s">
        <v>91</v>
      </c>
      <c r="D78" s="231">
        <v>4.0000000000000001E-3</v>
      </c>
      <c r="E78" s="155">
        <v>711343.73</v>
      </c>
      <c r="F78" s="156">
        <f>E78</f>
        <v>711343.73</v>
      </c>
      <c r="G78" s="46">
        <f t="shared" si="19"/>
        <v>0</v>
      </c>
      <c r="H78" s="46">
        <f t="shared" si="27"/>
        <v>0</v>
      </c>
      <c r="I78" s="279">
        <f t="shared" si="17"/>
        <v>322703.85568000004</v>
      </c>
      <c r="J78" s="279">
        <f t="shared" si="20"/>
        <v>0</v>
      </c>
      <c r="K78" s="279">
        <f t="shared" si="25"/>
        <v>185936.29261027643</v>
      </c>
      <c r="L78" s="279">
        <f t="shared" si="26"/>
        <v>202702.7028</v>
      </c>
      <c r="M78" s="277">
        <v>0</v>
      </c>
      <c r="N78" s="277">
        <v>0</v>
      </c>
      <c r="O78" s="277">
        <v>0</v>
      </c>
      <c r="P78" s="337">
        <f t="shared" si="21"/>
        <v>711343.73</v>
      </c>
      <c r="Q78" s="337"/>
      <c r="R78" s="191">
        <f t="shared" si="22"/>
        <v>732919.73</v>
      </c>
      <c r="S78" s="217">
        <f t="shared" si="23"/>
        <v>0.73</v>
      </c>
      <c r="T78" s="19">
        <f t="shared" si="24"/>
        <v>73</v>
      </c>
    </row>
    <row r="79" spans="1:21" ht="24.95" customHeight="1" x14ac:dyDescent="0.25">
      <c r="A79" s="15"/>
      <c r="B79" s="228">
        <f t="shared" si="28"/>
        <v>74</v>
      </c>
      <c r="C79" s="228" t="s">
        <v>92</v>
      </c>
      <c r="D79" s="231">
        <v>4.4000000000000003E-3</v>
      </c>
      <c r="E79" s="155">
        <v>743613.74</v>
      </c>
      <c r="F79" s="156">
        <f>E79</f>
        <v>743613.74</v>
      </c>
      <c r="G79" s="46">
        <f t="shared" si="19"/>
        <v>0</v>
      </c>
      <c r="H79" s="46">
        <f t="shared" si="27"/>
        <v>0</v>
      </c>
      <c r="I79" s="279">
        <f t="shared" si="17"/>
        <v>354974.24124800001</v>
      </c>
      <c r="J79" s="279">
        <f t="shared" si="20"/>
        <v>0</v>
      </c>
      <c r="K79" s="279">
        <f t="shared" si="25"/>
        <v>185936.29261027643</v>
      </c>
      <c r="L79" s="279">
        <f t="shared" si="26"/>
        <v>202702.7028</v>
      </c>
      <c r="M79" s="277">
        <v>0</v>
      </c>
      <c r="N79" s="277">
        <v>0</v>
      </c>
      <c r="O79" s="277">
        <v>0</v>
      </c>
      <c r="P79" s="337">
        <f t="shared" si="21"/>
        <v>743613.74</v>
      </c>
      <c r="Q79" s="337"/>
      <c r="R79" s="191">
        <f t="shared" si="22"/>
        <v>766168.74</v>
      </c>
      <c r="S79" s="217">
        <f t="shared" si="23"/>
        <v>0.74</v>
      </c>
      <c r="T79" s="19">
        <f t="shared" si="24"/>
        <v>74</v>
      </c>
    </row>
    <row r="80" spans="1:21" ht="24.95" customHeight="1" x14ac:dyDescent="0.25">
      <c r="A80" s="15"/>
      <c r="B80" s="228">
        <f t="shared" si="28"/>
        <v>75</v>
      </c>
      <c r="C80" s="228" t="s">
        <v>240</v>
      </c>
      <c r="D80" s="231">
        <v>4.1000000000000003E-3</v>
      </c>
      <c r="E80" s="155">
        <v>884796.75</v>
      </c>
      <c r="F80" s="156">
        <f>E80</f>
        <v>884796.75</v>
      </c>
      <c r="G80" s="46">
        <f t="shared" si="19"/>
        <v>0</v>
      </c>
      <c r="H80" s="46">
        <f t="shared" si="27"/>
        <v>0</v>
      </c>
      <c r="I80" s="279">
        <f t="shared" si="17"/>
        <v>330771.45207200001</v>
      </c>
      <c r="J80" s="279">
        <f t="shared" si="20"/>
        <v>0</v>
      </c>
      <c r="K80" s="279">
        <f t="shared" si="25"/>
        <v>185936.29261027643</v>
      </c>
      <c r="L80" s="279">
        <f t="shared" si="26"/>
        <v>202702.7028</v>
      </c>
      <c r="M80" s="277">
        <v>0</v>
      </c>
      <c r="N80" s="277">
        <v>0</v>
      </c>
      <c r="O80" s="280">
        <v>91915.68</v>
      </c>
      <c r="P80" s="337">
        <f t="shared" si="21"/>
        <v>811326.75</v>
      </c>
      <c r="Q80" s="337"/>
      <c r="R80" s="191">
        <f t="shared" si="22"/>
        <v>835934.75</v>
      </c>
      <c r="S80" s="217">
        <f t="shared" si="23"/>
        <v>0.75</v>
      </c>
      <c r="T80" s="19">
        <f t="shared" si="24"/>
        <v>75</v>
      </c>
      <c r="U80" t="s">
        <v>208</v>
      </c>
    </row>
    <row r="81" spans="1:25" ht="24.95" customHeight="1" x14ac:dyDescent="0.25">
      <c r="A81" s="15"/>
      <c r="B81" s="228">
        <f t="shared" si="28"/>
        <v>76</v>
      </c>
      <c r="C81" s="228" t="s">
        <v>84</v>
      </c>
      <c r="D81" s="231">
        <v>4.4999999999999997E-3</v>
      </c>
      <c r="E81" s="155">
        <v>751681.76</v>
      </c>
      <c r="F81" s="158">
        <f>E81</f>
        <v>751681.76</v>
      </c>
      <c r="G81" s="46">
        <f t="shared" si="19"/>
        <v>0</v>
      </c>
      <c r="H81" s="46">
        <f t="shared" si="27"/>
        <v>0</v>
      </c>
      <c r="I81" s="279">
        <f t="shared" si="17"/>
        <v>363041.83763999998</v>
      </c>
      <c r="J81" s="279">
        <f t="shared" si="20"/>
        <v>0</v>
      </c>
      <c r="K81" s="279">
        <f t="shared" si="25"/>
        <v>185936.29261027643</v>
      </c>
      <c r="L81" s="279">
        <f t="shared" si="26"/>
        <v>202702.7028</v>
      </c>
      <c r="M81" s="277">
        <v>0</v>
      </c>
      <c r="N81" s="277">
        <v>0</v>
      </c>
      <c r="O81" s="277">
        <v>0</v>
      </c>
      <c r="P81" s="337">
        <f t="shared" si="21"/>
        <v>751681.76</v>
      </c>
      <c r="Q81" s="337"/>
      <c r="R81" s="191">
        <f t="shared" si="22"/>
        <v>774480.76</v>
      </c>
      <c r="S81" s="217">
        <f t="shared" si="23"/>
        <v>0.76</v>
      </c>
      <c r="T81" s="19">
        <f t="shared" si="24"/>
        <v>76</v>
      </c>
    </row>
    <row r="82" spans="1:25" ht="24.95" customHeight="1" x14ac:dyDescent="0.25">
      <c r="A82" s="222"/>
      <c r="B82" s="228">
        <f t="shared" si="28"/>
        <v>77</v>
      </c>
      <c r="C82" s="228" t="s">
        <v>93</v>
      </c>
      <c r="D82" s="231">
        <v>6.1000000000000004E-3</v>
      </c>
      <c r="E82" s="155">
        <v>880762.77</v>
      </c>
      <c r="F82" s="156">
        <v>882000</v>
      </c>
      <c r="G82" s="46">
        <f t="shared" si="19"/>
        <v>-1237.2299999999814</v>
      </c>
      <c r="H82" s="46">
        <f t="shared" si="27"/>
        <v>0</v>
      </c>
      <c r="I82" s="279">
        <f t="shared" si="17"/>
        <v>492123.37991200003</v>
      </c>
      <c r="J82" s="279">
        <f t="shared" si="20"/>
        <v>0</v>
      </c>
      <c r="K82" s="279">
        <f t="shared" si="25"/>
        <v>185936.29261027643</v>
      </c>
      <c r="L82" s="279">
        <f t="shared" si="26"/>
        <v>202702.7028</v>
      </c>
      <c r="M82" s="277">
        <v>0</v>
      </c>
      <c r="N82" s="277">
        <v>0</v>
      </c>
      <c r="O82" s="299">
        <f>2258*100</f>
        <v>225800</v>
      </c>
      <c r="P82" s="337">
        <f t="shared" si="21"/>
        <v>1105325.77</v>
      </c>
      <c r="Q82" s="337"/>
      <c r="R82" s="191">
        <f t="shared" si="22"/>
        <v>1138850.77</v>
      </c>
      <c r="S82" s="217">
        <f t="shared" si="23"/>
        <v>0.77</v>
      </c>
      <c r="T82" s="19">
        <f t="shared" si="24"/>
        <v>77</v>
      </c>
      <c r="U82" t="s">
        <v>263</v>
      </c>
    </row>
    <row r="83" spans="1:25" ht="24.95" customHeight="1" x14ac:dyDescent="0.25">
      <c r="A83" s="146"/>
      <c r="B83" s="228">
        <f t="shared" si="28"/>
        <v>78</v>
      </c>
      <c r="C83" s="228" t="s">
        <v>94</v>
      </c>
      <c r="D83" s="231">
        <v>4.7999999999999996E-3</v>
      </c>
      <c r="E83" s="155">
        <v>752817.78</v>
      </c>
      <c r="F83" s="158">
        <f>775000+1000</f>
        <v>776000</v>
      </c>
      <c r="G83" s="46">
        <f t="shared" si="19"/>
        <v>-23182.219999999972</v>
      </c>
      <c r="H83" s="46">
        <f t="shared" si="27"/>
        <v>0</v>
      </c>
      <c r="I83" s="279">
        <f t="shared" si="17"/>
        <v>387244.62681599997</v>
      </c>
      <c r="J83" s="279">
        <f t="shared" si="20"/>
        <v>0</v>
      </c>
      <c r="K83" s="279">
        <f t="shared" si="25"/>
        <v>185936.29261027643</v>
      </c>
      <c r="L83" s="279">
        <f t="shared" si="26"/>
        <v>202702.7028</v>
      </c>
      <c r="M83" s="277">
        <v>0</v>
      </c>
      <c r="N83" s="277">
        <v>0</v>
      </c>
      <c r="O83" s="299">
        <f>2258*100</f>
        <v>225800</v>
      </c>
      <c r="P83" s="337">
        <f t="shared" si="21"/>
        <v>978501.78</v>
      </c>
      <c r="Q83" s="337"/>
      <c r="R83" s="191">
        <f t="shared" si="22"/>
        <v>1008180.78</v>
      </c>
      <c r="S83" s="217">
        <f t="shared" si="23"/>
        <v>0.78</v>
      </c>
      <c r="T83" s="19">
        <f t="shared" si="24"/>
        <v>78</v>
      </c>
      <c r="U83" t="s">
        <v>241</v>
      </c>
    </row>
    <row r="84" spans="1:25" ht="24.95" customHeight="1" x14ac:dyDescent="0.25">
      <c r="A84" s="15"/>
      <c r="B84" s="228">
        <f t="shared" si="28"/>
        <v>79</v>
      </c>
      <c r="C84" s="228" t="s">
        <v>95</v>
      </c>
      <c r="D84" s="231">
        <v>4.4999999999999997E-3</v>
      </c>
      <c r="E84" s="155">
        <v>1525838.79</v>
      </c>
      <c r="F84" s="158">
        <v>775000.79</v>
      </c>
      <c r="G84" s="46">
        <f t="shared" si="19"/>
        <v>750838</v>
      </c>
      <c r="H84" s="46">
        <f t="shared" si="27"/>
        <v>23178.369060000001</v>
      </c>
      <c r="I84" s="279">
        <f t="shared" si="17"/>
        <v>363041.83763999998</v>
      </c>
      <c r="J84" s="279">
        <f t="shared" si="20"/>
        <v>0</v>
      </c>
      <c r="K84" s="279">
        <f t="shared" si="25"/>
        <v>185936.29261027643</v>
      </c>
      <c r="L84" s="279">
        <f t="shared" si="26"/>
        <v>202702.7028</v>
      </c>
      <c r="M84" s="277">
        <v>0</v>
      </c>
      <c r="N84" s="277">
        <v>0</v>
      </c>
      <c r="O84" s="277">
        <v>0</v>
      </c>
      <c r="P84" s="337">
        <f t="shared" si="21"/>
        <v>1525697.79</v>
      </c>
      <c r="Q84" s="337"/>
      <c r="R84" s="191">
        <f t="shared" si="22"/>
        <v>1571972.79</v>
      </c>
      <c r="S84" s="281">
        <f t="shared" si="23"/>
        <v>0.79</v>
      </c>
      <c r="T84" s="86">
        <f t="shared" si="24"/>
        <v>79</v>
      </c>
      <c r="U84" s="30" t="s">
        <v>307</v>
      </c>
      <c r="Y84" t="s">
        <v>243</v>
      </c>
    </row>
    <row r="85" spans="1:25" ht="24.95" customHeight="1" x14ac:dyDescent="0.25">
      <c r="A85" s="186"/>
      <c r="B85" s="228">
        <f t="shared" si="28"/>
        <v>80</v>
      </c>
      <c r="C85" s="228" t="s">
        <v>96</v>
      </c>
      <c r="D85" s="231">
        <v>4.4999999999999997E-3</v>
      </c>
      <c r="E85" s="155">
        <v>751681.8</v>
      </c>
      <c r="F85" s="158">
        <v>774480.8</v>
      </c>
      <c r="G85" s="46">
        <f t="shared" si="19"/>
        <v>-22799</v>
      </c>
      <c r="H85" s="46">
        <f t="shared" si="27"/>
        <v>0</v>
      </c>
      <c r="I85" s="279">
        <f t="shared" si="17"/>
        <v>363041.83763999998</v>
      </c>
      <c r="J85" s="279">
        <f t="shared" si="20"/>
        <v>0</v>
      </c>
      <c r="K85" s="279">
        <f t="shared" si="25"/>
        <v>185936.29261027643</v>
      </c>
      <c r="L85" s="279">
        <f t="shared" si="26"/>
        <v>202702.7028</v>
      </c>
      <c r="M85" s="277">
        <v>0</v>
      </c>
      <c r="N85" s="277">
        <v>0</v>
      </c>
      <c r="O85" s="277">
        <v>0</v>
      </c>
      <c r="P85" s="337">
        <f t="shared" si="21"/>
        <v>728882.8</v>
      </c>
      <c r="Q85" s="337"/>
      <c r="R85" s="191">
        <f t="shared" si="22"/>
        <v>750990.8</v>
      </c>
      <c r="S85" s="217">
        <f t="shared" si="23"/>
        <v>0.8</v>
      </c>
      <c r="T85" s="19">
        <f t="shared" si="24"/>
        <v>80</v>
      </c>
      <c r="U85" t="s">
        <v>285</v>
      </c>
    </row>
    <row r="86" spans="1:25" ht="24.95" customHeight="1" x14ac:dyDescent="0.25">
      <c r="A86" s="15"/>
      <c r="B86" s="228">
        <f t="shared" si="28"/>
        <v>81</v>
      </c>
      <c r="C86" s="228" t="s">
        <v>97</v>
      </c>
      <c r="D86" s="231">
        <v>4.4999999999999997E-3</v>
      </c>
      <c r="E86" s="155">
        <v>774480.81</v>
      </c>
      <c r="F86" s="156">
        <f>E86</f>
        <v>774480.81</v>
      </c>
      <c r="G86" s="46">
        <f t="shared" si="19"/>
        <v>0</v>
      </c>
      <c r="H86" s="46">
        <f t="shared" si="27"/>
        <v>0</v>
      </c>
      <c r="I86" s="279">
        <f t="shared" si="17"/>
        <v>363041.83763999998</v>
      </c>
      <c r="J86" s="279">
        <f t="shared" si="20"/>
        <v>0</v>
      </c>
      <c r="K86" s="279">
        <f t="shared" si="25"/>
        <v>185936.29261027643</v>
      </c>
      <c r="L86" s="279">
        <f t="shared" si="26"/>
        <v>202702.7028</v>
      </c>
      <c r="M86" s="277">
        <v>0</v>
      </c>
      <c r="N86" s="277">
        <v>0</v>
      </c>
      <c r="O86" s="277">
        <v>0</v>
      </c>
      <c r="P86" s="337">
        <f t="shared" si="21"/>
        <v>751681.81</v>
      </c>
      <c r="Q86" s="337"/>
      <c r="R86" s="191">
        <f t="shared" si="22"/>
        <v>774480.81</v>
      </c>
      <c r="S86" s="217">
        <f t="shared" si="23"/>
        <v>0.81</v>
      </c>
      <c r="T86" s="19">
        <f t="shared" si="24"/>
        <v>81</v>
      </c>
      <c r="U86" t="s">
        <v>235</v>
      </c>
    </row>
    <row r="87" spans="1:25" ht="24.95" customHeight="1" x14ac:dyDescent="0.25">
      <c r="A87" s="15"/>
      <c r="B87" s="228">
        <f t="shared" si="28"/>
        <v>82</v>
      </c>
      <c r="C87" s="228" t="s">
        <v>98</v>
      </c>
      <c r="D87" s="231">
        <v>4.1999999999999997E-3</v>
      </c>
      <c r="E87" s="155">
        <v>678132.82</v>
      </c>
      <c r="F87" s="158">
        <f>698701.82</f>
        <v>698701.82</v>
      </c>
      <c r="G87" s="46">
        <f t="shared" si="19"/>
        <v>-20569</v>
      </c>
      <c r="H87" s="46">
        <f t="shared" si="27"/>
        <v>0</v>
      </c>
      <c r="I87" s="279">
        <f t="shared" si="17"/>
        <v>338839.04846399999</v>
      </c>
      <c r="J87" s="279">
        <f t="shared" si="20"/>
        <v>0</v>
      </c>
      <c r="K87" s="279">
        <f t="shared" si="25"/>
        <v>185936.29261027643</v>
      </c>
      <c r="L87" s="279">
        <f t="shared" si="26"/>
        <v>202702.7028</v>
      </c>
      <c r="M87" s="277">
        <v>0</v>
      </c>
      <c r="N87" s="277">
        <v>0</v>
      </c>
      <c r="O87" s="277">
        <v>0</v>
      </c>
      <c r="P87" s="337">
        <f t="shared" si="21"/>
        <v>706909.82</v>
      </c>
      <c r="Q87" s="337"/>
      <c r="R87" s="191">
        <f t="shared" si="22"/>
        <v>728350.82</v>
      </c>
      <c r="S87" s="217">
        <f t="shared" si="23"/>
        <v>0.82</v>
      </c>
      <c r="T87" s="19">
        <f t="shared" si="24"/>
        <v>82</v>
      </c>
      <c r="U87" t="s">
        <v>271</v>
      </c>
      <c r="W87" s="15"/>
    </row>
    <row r="88" spans="1:25" ht="24.95" customHeight="1" x14ac:dyDescent="0.25">
      <c r="A88" s="15"/>
      <c r="B88" s="228">
        <f t="shared" si="28"/>
        <v>83</v>
      </c>
      <c r="C88" s="228" t="s">
        <v>99</v>
      </c>
      <c r="D88" s="231">
        <v>4.7999999999999996E-3</v>
      </c>
      <c r="E88" s="155">
        <v>775884.83</v>
      </c>
      <c r="F88" s="158">
        <v>799417.83</v>
      </c>
      <c r="G88" s="46">
        <f t="shared" si="19"/>
        <v>-23533</v>
      </c>
      <c r="H88" s="46">
        <f t="shared" si="27"/>
        <v>0</v>
      </c>
      <c r="I88" s="279">
        <f t="shared" si="17"/>
        <v>387244.62681599997</v>
      </c>
      <c r="J88" s="279">
        <f t="shared" si="20"/>
        <v>0</v>
      </c>
      <c r="K88" s="279">
        <f t="shared" si="25"/>
        <v>185936.29261027643</v>
      </c>
      <c r="L88" s="279">
        <f t="shared" si="26"/>
        <v>202702.7028</v>
      </c>
      <c r="M88" s="277">
        <v>0</v>
      </c>
      <c r="N88" s="277">
        <v>0</v>
      </c>
      <c r="O88" s="277">
        <v>0</v>
      </c>
      <c r="P88" s="337">
        <f t="shared" si="21"/>
        <v>752351.83</v>
      </c>
      <c r="Q88" s="337"/>
      <c r="R88" s="191">
        <f t="shared" si="22"/>
        <v>775171.83</v>
      </c>
      <c r="S88" s="217">
        <f t="shared" si="23"/>
        <v>0.83</v>
      </c>
      <c r="T88" s="19">
        <f t="shared" si="24"/>
        <v>83</v>
      </c>
    </row>
    <row r="89" spans="1:25" ht="24.95" customHeight="1" x14ac:dyDescent="0.25">
      <c r="A89" s="15"/>
      <c r="B89" s="228">
        <f t="shared" si="28"/>
        <v>84</v>
      </c>
      <c r="C89" s="228" t="s">
        <v>99</v>
      </c>
      <c r="D89" s="231">
        <v>4.7999999999999996E-3</v>
      </c>
      <c r="E89" s="155">
        <v>775884.84</v>
      </c>
      <c r="F89" s="158">
        <v>799417.84</v>
      </c>
      <c r="G89" s="46">
        <f t="shared" si="19"/>
        <v>-23533</v>
      </c>
      <c r="H89" s="46">
        <f t="shared" si="27"/>
        <v>0</v>
      </c>
      <c r="I89" s="279">
        <f t="shared" si="17"/>
        <v>387244.62681599997</v>
      </c>
      <c r="J89" s="279">
        <f t="shared" si="20"/>
        <v>0</v>
      </c>
      <c r="K89" s="279">
        <f t="shared" si="25"/>
        <v>185936.29261027643</v>
      </c>
      <c r="L89" s="279">
        <f t="shared" si="26"/>
        <v>202702.7028</v>
      </c>
      <c r="M89" s="277">
        <v>0</v>
      </c>
      <c r="N89" s="277">
        <v>0</v>
      </c>
      <c r="O89" s="277">
        <v>0</v>
      </c>
      <c r="P89" s="337">
        <f t="shared" si="21"/>
        <v>752351.84</v>
      </c>
      <c r="Q89" s="337"/>
      <c r="R89" s="191">
        <f t="shared" si="22"/>
        <v>775171.84</v>
      </c>
      <c r="S89" s="217">
        <f t="shared" si="23"/>
        <v>0.84</v>
      </c>
      <c r="T89" s="19">
        <f t="shared" si="24"/>
        <v>84</v>
      </c>
    </row>
    <row r="90" spans="1:25" ht="24.95" customHeight="1" x14ac:dyDescent="0.25">
      <c r="A90" s="15"/>
      <c r="B90" s="228">
        <f t="shared" si="28"/>
        <v>85</v>
      </c>
      <c r="C90" s="228" t="s">
        <v>100</v>
      </c>
      <c r="D90" s="231">
        <v>4.7999999999999996E-3</v>
      </c>
      <c r="E90" s="155">
        <v>775884.85</v>
      </c>
      <c r="F90" s="158">
        <f>E90</f>
        <v>775884.85</v>
      </c>
      <c r="G90" s="46">
        <f t="shared" si="19"/>
        <v>0</v>
      </c>
      <c r="H90" s="46">
        <f t="shared" si="27"/>
        <v>0</v>
      </c>
      <c r="I90" s="279">
        <f t="shared" si="17"/>
        <v>387244.62681599997</v>
      </c>
      <c r="J90" s="279">
        <f t="shared" si="20"/>
        <v>0</v>
      </c>
      <c r="K90" s="279">
        <f t="shared" si="25"/>
        <v>185936.29261027643</v>
      </c>
      <c r="L90" s="279">
        <f t="shared" si="26"/>
        <v>202702.7028</v>
      </c>
      <c r="M90" s="277">
        <v>0</v>
      </c>
      <c r="N90" s="277">
        <v>0</v>
      </c>
      <c r="O90" s="277">
        <v>0</v>
      </c>
      <c r="P90" s="337">
        <f t="shared" si="21"/>
        <v>775884.85</v>
      </c>
      <c r="Q90" s="337"/>
      <c r="R90" s="191">
        <f t="shared" si="22"/>
        <v>799417.85</v>
      </c>
      <c r="S90" s="217">
        <f t="shared" si="23"/>
        <v>0.85</v>
      </c>
      <c r="T90" s="19">
        <f t="shared" si="24"/>
        <v>85</v>
      </c>
      <c r="U90" t="s">
        <v>223</v>
      </c>
    </row>
    <row r="91" spans="1:25" ht="24.95" customHeight="1" x14ac:dyDescent="0.25">
      <c r="A91" s="147"/>
      <c r="B91" s="228">
        <f t="shared" si="28"/>
        <v>86</v>
      </c>
      <c r="C91" s="228" t="s">
        <v>170</v>
      </c>
      <c r="D91" s="231">
        <v>4.7999999999999996E-3</v>
      </c>
      <c r="E91" s="155">
        <v>1595430.86</v>
      </c>
      <c r="F91" s="158">
        <f>245430+600000+750000</f>
        <v>1595430</v>
      </c>
      <c r="G91" s="46">
        <f t="shared" si="19"/>
        <v>0.86000000010244548</v>
      </c>
      <c r="H91" s="46">
        <f t="shared" si="27"/>
        <v>2.6548200003162492E-2</v>
      </c>
      <c r="I91" s="279">
        <f t="shared" si="17"/>
        <v>387244.62681599997</v>
      </c>
      <c r="J91" s="279">
        <f t="shared" si="20"/>
        <v>0</v>
      </c>
      <c r="K91" s="279">
        <f t="shared" si="25"/>
        <v>185936.29261027643</v>
      </c>
      <c r="L91" s="279">
        <f t="shared" si="26"/>
        <v>202702.7028</v>
      </c>
      <c r="M91" s="277">
        <v>77449</v>
      </c>
      <c r="N91" s="56">
        <f>(I91)</f>
        <v>387244.62681599997</v>
      </c>
      <c r="O91" s="277">
        <v>0</v>
      </c>
      <c r="P91" s="337">
        <f t="shared" si="21"/>
        <v>1240578.8600000001</v>
      </c>
      <c r="Q91" s="337"/>
      <c r="R91" s="191">
        <f t="shared" si="22"/>
        <v>1278206.8600000001</v>
      </c>
      <c r="S91" s="217">
        <f t="shared" si="23"/>
        <v>0.86</v>
      </c>
      <c r="T91" s="19">
        <f t="shared" si="24"/>
        <v>86</v>
      </c>
      <c r="U91" t="s">
        <v>318</v>
      </c>
    </row>
    <row r="92" spans="1:25" ht="24.95" customHeight="1" x14ac:dyDescent="0.25">
      <c r="A92" s="15"/>
      <c r="B92" s="228">
        <f t="shared" si="28"/>
        <v>87</v>
      </c>
      <c r="C92" s="228" t="s">
        <v>101</v>
      </c>
      <c r="D92" s="231">
        <v>4.7999999999999996E-3</v>
      </c>
      <c r="E92" s="155">
        <v>775884.87</v>
      </c>
      <c r="F92" s="158">
        <f>E92</f>
        <v>775884.87</v>
      </c>
      <c r="G92" s="46">
        <f t="shared" si="19"/>
        <v>0</v>
      </c>
      <c r="H92" s="46">
        <f t="shared" si="27"/>
        <v>0</v>
      </c>
      <c r="I92" s="279">
        <f t="shared" si="17"/>
        <v>387244.62681599997</v>
      </c>
      <c r="J92" s="279">
        <f t="shared" si="20"/>
        <v>0</v>
      </c>
      <c r="K92" s="279">
        <f t="shared" si="25"/>
        <v>185936.29261027643</v>
      </c>
      <c r="L92" s="279">
        <f t="shared" si="26"/>
        <v>202702.7028</v>
      </c>
      <c r="M92" s="277">
        <v>0</v>
      </c>
      <c r="N92" s="277">
        <v>0</v>
      </c>
      <c r="O92" s="277">
        <v>0</v>
      </c>
      <c r="P92" s="337">
        <f t="shared" si="21"/>
        <v>775884.87</v>
      </c>
      <c r="Q92" s="337"/>
      <c r="R92" s="191">
        <f t="shared" si="22"/>
        <v>799417.87</v>
      </c>
      <c r="S92" s="217">
        <f t="shared" si="23"/>
        <v>0.87</v>
      </c>
      <c r="T92" s="19">
        <f t="shared" si="24"/>
        <v>87</v>
      </c>
    </row>
    <row r="93" spans="1:25" ht="24.95" customHeight="1" x14ac:dyDescent="0.25">
      <c r="A93" s="236"/>
      <c r="B93" s="228">
        <f t="shared" si="28"/>
        <v>88</v>
      </c>
      <c r="C93" s="228" t="s">
        <v>102</v>
      </c>
      <c r="D93" s="231">
        <v>4.7999999999999996E-3</v>
      </c>
      <c r="E93" s="155">
        <v>773539.88</v>
      </c>
      <c r="F93" s="156">
        <v>774000</v>
      </c>
      <c r="G93" s="46">
        <f t="shared" si="19"/>
        <v>-460.11999999999534</v>
      </c>
      <c r="H93" s="46">
        <f t="shared" si="27"/>
        <v>0</v>
      </c>
      <c r="I93" s="279">
        <f t="shared" si="17"/>
        <v>387244.62681599997</v>
      </c>
      <c r="J93" s="279">
        <f t="shared" si="20"/>
        <v>0</v>
      </c>
      <c r="K93" s="279">
        <f t="shared" si="25"/>
        <v>185936.29261027643</v>
      </c>
      <c r="L93" s="279">
        <f t="shared" si="26"/>
        <v>202702.7028</v>
      </c>
      <c r="M93" s="277">
        <v>0</v>
      </c>
      <c r="N93" s="277">
        <v>0</v>
      </c>
      <c r="O93" s="277">
        <v>0</v>
      </c>
      <c r="P93" s="337">
        <f t="shared" si="21"/>
        <v>775424.88</v>
      </c>
      <c r="Q93" s="337"/>
      <c r="R93" s="191">
        <f t="shared" si="22"/>
        <v>798944.88</v>
      </c>
      <c r="S93" s="217">
        <f t="shared" si="23"/>
        <v>0.88</v>
      </c>
      <c r="T93" s="19">
        <f t="shared" si="24"/>
        <v>88</v>
      </c>
    </row>
    <row r="94" spans="1:25" ht="24.95" customHeight="1" x14ac:dyDescent="0.25">
      <c r="A94" s="15"/>
      <c r="B94" s="228">
        <f t="shared" si="28"/>
        <v>89</v>
      </c>
      <c r="C94" s="228" t="s">
        <v>221</v>
      </c>
      <c r="D94" s="231">
        <v>4.7999999999999996E-3</v>
      </c>
      <c r="E94" s="155">
        <v>980584.89</v>
      </c>
      <c r="F94" s="156"/>
      <c r="G94" s="46">
        <f t="shared" si="19"/>
        <v>980584.89</v>
      </c>
      <c r="H94" s="46">
        <f t="shared" si="27"/>
        <v>30270.655554300003</v>
      </c>
      <c r="I94" s="279">
        <f t="shared" si="17"/>
        <v>387244.62681599997</v>
      </c>
      <c r="J94" s="279">
        <f t="shared" si="20"/>
        <v>0</v>
      </c>
      <c r="K94" s="279">
        <f t="shared" si="25"/>
        <v>185936.29261027643</v>
      </c>
      <c r="L94" s="279">
        <f t="shared" si="26"/>
        <v>202702.7028</v>
      </c>
      <c r="M94" s="277">
        <v>0</v>
      </c>
      <c r="N94" s="277">
        <v>0</v>
      </c>
      <c r="O94" s="277">
        <v>0</v>
      </c>
      <c r="P94" s="337">
        <f t="shared" si="21"/>
        <v>1786739.89</v>
      </c>
      <c r="Q94" s="337"/>
      <c r="R94" s="191">
        <f t="shared" si="22"/>
        <v>1840932.89</v>
      </c>
      <c r="S94" s="281">
        <f t="shared" si="23"/>
        <v>0.89</v>
      </c>
      <c r="T94" s="86">
        <f t="shared" si="24"/>
        <v>89</v>
      </c>
      <c r="U94" t="s">
        <v>283</v>
      </c>
    </row>
    <row r="95" spans="1:25" ht="24.95" customHeight="1" x14ac:dyDescent="0.25">
      <c r="A95" s="184"/>
      <c r="B95" s="228">
        <f t="shared" si="28"/>
        <v>90</v>
      </c>
      <c r="C95" s="228" t="s">
        <v>103</v>
      </c>
      <c r="D95" s="231">
        <v>4.7999999999999996E-3</v>
      </c>
      <c r="E95" s="155">
        <v>2112321.9</v>
      </c>
      <c r="F95" s="158">
        <v>1500000.9</v>
      </c>
      <c r="G95" s="46">
        <f t="shared" si="19"/>
        <v>612321</v>
      </c>
      <c r="H95" s="46">
        <f t="shared" si="27"/>
        <v>18902.349270000002</v>
      </c>
      <c r="I95" s="279">
        <f t="shared" si="17"/>
        <v>387244.62681599997</v>
      </c>
      <c r="J95" s="279">
        <f t="shared" si="20"/>
        <v>0</v>
      </c>
      <c r="K95" s="279">
        <f t="shared" si="25"/>
        <v>185936.29261027643</v>
      </c>
      <c r="L95" s="279">
        <f t="shared" si="26"/>
        <v>202702.7028</v>
      </c>
      <c r="M95" s="277">
        <v>0</v>
      </c>
      <c r="N95" s="277">
        <v>0</v>
      </c>
      <c r="O95" s="277">
        <v>0</v>
      </c>
      <c r="P95" s="337">
        <f t="shared" si="21"/>
        <v>1407107.9</v>
      </c>
      <c r="Q95" s="337"/>
      <c r="R95" s="191">
        <f t="shared" si="22"/>
        <v>1449785.9</v>
      </c>
      <c r="S95" s="217">
        <f t="shared" si="23"/>
        <v>0.9</v>
      </c>
      <c r="T95" s="19">
        <f t="shared" si="24"/>
        <v>90</v>
      </c>
      <c r="U95" t="s">
        <v>244</v>
      </c>
    </row>
    <row r="96" spans="1:25" ht="24.95" customHeight="1" x14ac:dyDescent="0.25">
      <c r="A96" s="15"/>
      <c r="B96" s="228">
        <f t="shared" si="28"/>
        <v>91</v>
      </c>
      <c r="C96" s="228" t="s">
        <v>104</v>
      </c>
      <c r="D96" s="231">
        <v>4.7999999999999996E-3</v>
      </c>
      <c r="E96" s="155">
        <v>775884.91</v>
      </c>
      <c r="F96" s="158">
        <f>E96</f>
        <v>775884.91</v>
      </c>
      <c r="G96" s="46">
        <f t="shared" si="19"/>
        <v>0</v>
      </c>
      <c r="H96" s="46">
        <f t="shared" si="27"/>
        <v>0</v>
      </c>
      <c r="I96" s="279">
        <f t="shared" si="17"/>
        <v>387244.62681599997</v>
      </c>
      <c r="J96" s="279">
        <f t="shared" si="20"/>
        <v>0</v>
      </c>
      <c r="K96" s="279">
        <f t="shared" si="25"/>
        <v>185936.29261027643</v>
      </c>
      <c r="L96" s="279">
        <f t="shared" si="26"/>
        <v>202702.7028</v>
      </c>
      <c r="M96" s="277">
        <v>0</v>
      </c>
      <c r="N96" s="277">
        <v>0</v>
      </c>
      <c r="O96" s="277">
        <v>0</v>
      </c>
      <c r="P96" s="337">
        <f t="shared" si="21"/>
        <v>775884.91</v>
      </c>
      <c r="Q96" s="337"/>
      <c r="R96" s="191">
        <f t="shared" si="22"/>
        <v>799417.91</v>
      </c>
      <c r="S96" s="217">
        <f t="shared" si="23"/>
        <v>0.91</v>
      </c>
      <c r="T96" s="19">
        <f t="shared" si="24"/>
        <v>91</v>
      </c>
      <c r="U96" t="s">
        <v>198</v>
      </c>
    </row>
    <row r="97" spans="1:22" ht="24.95" customHeight="1" x14ac:dyDescent="0.25">
      <c r="A97" s="15"/>
      <c r="B97" s="228">
        <f t="shared" si="28"/>
        <v>92</v>
      </c>
      <c r="C97" s="228" t="s">
        <v>313</v>
      </c>
      <c r="D97" s="231">
        <v>4.7999999999999996E-3</v>
      </c>
      <c r="E97" s="155">
        <v>775884.92</v>
      </c>
      <c r="F97" s="156">
        <f>E97</f>
        <v>775884.92</v>
      </c>
      <c r="G97" s="46">
        <f t="shared" si="19"/>
        <v>0</v>
      </c>
      <c r="H97" s="46">
        <f t="shared" si="27"/>
        <v>0</v>
      </c>
      <c r="I97" s="279">
        <f t="shared" si="17"/>
        <v>387244.62681599997</v>
      </c>
      <c r="J97" s="279">
        <f t="shared" si="20"/>
        <v>0</v>
      </c>
      <c r="K97" s="279">
        <f t="shared" si="25"/>
        <v>185936.29261027643</v>
      </c>
      <c r="L97" s="279">
        <f t="shared" si="26"/>
        <v>202702.7028</v>
      </c>
      <c r="M97" s="277">
        <v>0</v>
      </c>
      <c r="N97" s="277">
        <v>0</v>
      </c>
      <c r="O97" s="277">
        <v>0</v>
      </c>
      <c r="P97" s="337">
        <f t="shared" si="21"/>
        <v>775884.92</v>
      </c>
      <c r="Q97" s="337"/>
      <c r="R97" s="191">
        <f t="shared" si="22"/>
        <v>799418.92</v>
      </c>
      <c r="S97" s="281">
        <f t="shared" si="23"/>
        <v>0.92</v>
      </c>
      <c r="T97" s="86">
        <f t="shared" si="24"/>
        <v>92</v>
      </c>
      <c r="U97" t="s">
        <v>308</v>
      </c>
    </row>
    <row r="98" spans="1:22" ht="24.95" customHeight="1" x14ac:dyDescent="0.25">
      <c r="A98" s="15"/>
      <c r="B98" s="228">
        <f t="shared" si="28"/>
        <v>93</v>
      </c>
      <c r="C98" s="238" t="s">
        <v>171</v>
      </c>
      <c r="D98" s="231">
        <v>4.5999999999999999E-3</v>
      </c>
      <c r="E98" s="155">
        <v>1541440.93</v>
      </c>
      <c r="F98" s="158">
        <v>800000</v>
      </c>
      <c r="G98" s="46">
        <f>E98-F98</f>
        <v>741440.92999999993</v>
      </c>
      <c r="H98" s="46">
        <f t="shared" si="27"/>
        <v>22888.281509099997</v>
      </c>
      <c r="I98" s="279">
        <f t="shared" si="17"/>
        <v>371109.43403200002</v>
      </c>
      <c r="J98" s="279">
        <f t="shared" si="20"/>
        <v>0</v>
      </c>
      <c r="K98" s="279">
        <f t="shared" si="25"/>
        <v>185936.29261027643</v>
      </c>
      <c r="L98" s="279">
        <f t="shared" si="26"/>
        <v>202702.7028</v>
      </c>
      <c r="M98" s="277">
        <v>0</v>
      </c>
      <c r="N98" s="277">
        <v>0</v>
      </c>
      <c r="O98" s="277">
        <v>0</v>
      </c>
      <c r="P98" s="337">
        <f t="shared" si="21"/>
        <v>1524078.93</v>
      </c>
      <c r="Q98" s="337"/>
      <c r="R98" s="191">
        <f t="shared" si="22"/>
        <v>1570304.93</v>
      </c>
      <c r="S98" s="217">
        <f t="shared" si="23"/>
        <v>0.93</v>
      </c>
      <c r="T98" s="19">
        <f t="shared" si="24"/>
        <v>93</v>
      </c>
      <c r="U98" t="s">
        <v>302</v>
      </c>
    </row>
    <row r="99" spans="1:22" ht="24.95" customHeight="1" x14ac:dyDescent="0.25">
      <c r="A99" s="15"/>
      <c r="B99" s="228">
        <f t="shared" si="28"/>
        <v>94</v>
      </c>
      <c r="C99" s="228" t="s">
        <v>172</v>
      </c>
      <c r="D99" s="231">
        <v>4.7999999999999996E-3</v>
      </c>
      <c r="E99" s="155">
        <v>775884.94</v>
      </c>
      <c r="F99" s="158">
        <f>E99</f>
        <v>775884.94</v>
      </c>
      <c r="G99" s="46">
        <f t="shared" si="19"/>
        <v>0</v>
      </c>
      <c r="H99" s="46">
        <f t="shared" si="27"/>
        <v>0</v>
      </c>
      <c r="I99" s="279">
        <f t="shared" si="17"/>
        <v>387244.62681599997</v>
      </c>
      <c r="J99" s="279">
        <f t="shared" si="20"/>
        <v>0</v>
      </c>
      <c r="K99" s="279">
        <f t="shared" si="25"/>
        <v>185936.29261027643</v>
      </c>
      <c r="L99" s="279">
        <f t="shared" si="26"/>
        <v>202702.7028</v>
      </c>
      <c r="M99" s="277">
        <v>0</v>
      </c>
      <c r="N99" s="277">
        <v>0</v>
      </c>
      <c r="O99" s="277">
        <v>0</v>
      </c>
      <c r="P99" s="337">
        <f t="shared" si="21"/>
        <v>775884.94</v>
      </c>
      <c r="Q99" s="337"/>
      <c r="R99" s="191">
        <f t="shared" si="22"/>
        <v>799418.94</v>
      </c>
      <c r="S99" s="217">
        <f t="shared" si="23"/>
        <v>0.94</v>
      </c>
      <c r="T99" s="19">
        <f t="shared" si="24"/>
        <v>94</v>
      </c>
      <c r="U99" t="s">
        <v>191</v>
      </c>
    </row>
    <row r="100" spans="1:22" ht="24.95" customHeight="1" x14ac:dyDescent="0.25">
      <c r="A100" s="15"/>
      <c r="B100" s="228">
        <f t="shared" si="28"/>
        <v>95</v>
      </c>
      <c r="C100" s="228" t="s">
        <v>105</v>
      </c>
      <c r="D100" s="231">
        <v>4.7999999999999996E-3</v>
      </c>
      <c r="E100" s="155">
        <v>6406293.9500000002</v>
      </c>
      <c r="F100" s="158"/>
      <c r="G100" s="46">
        <f t="shared" si="19"/>
        <v>6406293.9500000002</v>
      </c>
      <c r="H100" s="46">
        <f t="shared" si="27"/>
        <v>197762.29423650002</v>
      </c>
      <c r="I100" s="279">
        <f t="shared" si="17"/>
        <v>387244.62681599997</v>
      </c>
      <c r="J100" s="279">
        <f t="shared" si="20"/>
        <v>0</v>
      </c>
      <c r="K100" s="279">
        <f t="shared" si="25"/>
        <v>185936.29261027643</v>
      </c>
      <c r="L100" s="279">
        <f t="shared" si="26"/>
        <v>202702.7028</v>
      </c>
      <c r="M100" s="277">
        <v>0</v>
      </c>
      <c r="N100" s="277">
        <v>0</v>
      </c>
      <c r="O100" s="277">
        <v>0</v>
      </c>
      <c r="P100" s="337">
        <f t="shared" si="21"/>
        <v>7379940.9500000002</v>
      </c>
      <c r="Q100" s="337"/>
      <c r="R100" s="191">
        <f t="shared" si="22"/>
        <v>7603775.9500000002</v>
      </c>
      <c r="S100" s="217">
        <f t="shared" si="23"/>
        <v>0.95</v>
      </c>
      <c r="T100" s="19">
        <f t="shared" si="24"/>
        <v>95</v>
      </c>
    </row>
    <row r="101" spans="1:22" ht="24.95" customHeight="1" x14ac:dyDescent="0.25">
      <c r="A101" s="146"/>
      <c r="B101" s="228">
        <f t="shared" si="28"/>
        <v>96</v>
      </c>
      <c r="C101" s="228" t="s">
        <v>106</v>
      </c>
      <c r="D101" s="231">
        <v>4.7999999999999996E-3</v>
      </c>
      <c r="E101" s="155">
        <v>727698.96</v>
      </c>
      <c r="F101" s="158">
        <v>800000</v>
      </c>
      <c r="G101" s="46">
        <f t="shared" si="19"/>
        <v>-72301.040000000037</v>
      </c>
      <c r="H101" s="46">
        <f t="shared" si="27"/>
        <v>0</v>
      </c>
      <c r="I101" s="279">
        <f t="shared" si="17"/>
        <v>387244.62681599997</v>
      </c>
      <c r="J101" s="279">
        <f t="shared" si="20"/>
        <v>0</v>
      </c>
      <c r="K101" s="279">
        <f t="shared" si="25"/>
        <v>185936.29261027643</v>
      </c>
      <c r="L101" s="279">
        <f t="shared" si="26"/>
        <v>202702.7028</v>
      </c>
      <c r="M101" s="277">
        <v>0</v>
      </c>
      <c r="N101" s="277">
        <v>0</v>
      </c>
      <c r="O101" s="277">
        <v>0</v>
      </c>
      <c r="P101" s="337">
        <f t="shared" si="21"/>
        <v>703583.96</v>
      </c>
      <c r="Q101" s="337"/>
      <c r="R101" s="191">
        <f t="shared" si="22"/>
        <v>724924.96</v>
      </c>
      <c r="S101" s="217">
        <f t="shared" si="23"/>
        <v>0.96</v>
      </c>
      <c r="T101" s="19">
        <f t="shared" si="24"/>
        <v>96</v>
      </c>
      <c r="U101" t="s">
        <v>203</v>
      </c>
    </row>
    <row r="102" spans="1:22" ht="24.95" customHeight="1" x14ac:dyDescent="0.25">
      <c r="A102" s="142"/>
      <c r="B102" s="228">
        <f t="shared" si="28"/>
        <v>97</v>
      </c>
      <c r="C102" s="228" t="s">
        <v>107</v>
      </c>
      <c r="D102" s="231">
        <v>4.7999999999999996E-3</v>
      </c>
      <c r="E102" s="155">
        <v>1575720.97</v>
      </c>
      <c r="F102" s="156">
        <f>825000+799419</f>
        <v>1624419</v>
      </c>
      <c r="G102" s="46">
        <f t="shared" si="19"/>
        <v>-48698.030000000028</v>
      </c>
      <c r="H102" s="46">
        <f t="shared" si="27"/>
        <v>0</v>
      </c>
      <c r="I102" s="279">
        <f t="shared" si="17"/>
        <v>387244.62681599997</v>
      </c>
      <c r="J102" s="279">
        <f t="shared" ref="J102:J133" si="29">P$2*D102</f>
        <v>0</v>
      </c>
      <c r="K102" s="279">
        <f t="shared" si="25"/>
        <v>185936.29261027643</v>
      </c>
      <c r="L102" s="279">
        <f t="shared" si="26"/>
        <v>202702.7028</v>
      </c>
      <c r="M102" s="277">
        <v>0</v>
      </c>
      <c r="N102" s="277">
        <v>0</v>
      </c>
      <c r="O102" s="277">
        <v>0</v>
      </c>
      <c r="P102" s="337">
        <f t="shared" ref="P102:P133" si="30">ROUND(SUM(G102:O102),0) + S102</f>
        <v>727186.97</v>
      </c>
      <c r="Q102" s="337"/>
      <c r="R102" s="191">
        <f t="shared" ref="R102:R133" si="31">ROUND(P102+P102*3.033%,0) + S102</f>
        <v>749243.97</v>
      </c>
      <c r="S102" s="217">
        <f t="shared" ref="S102:S133" si="32">ROUND(0.001+B102/100,2)</f>
        <v>0.97</v>
      </c>
      <c r="T102" s="19">
        <f t="shared" ref="T102:T133" si="33">B102</f>
        <v>97</v>
      </c>
      <c r="U102" t="s">
        <v>446</v>
      </c>
    </row>
    <row r="103" spans="1:22" ht="24.95" customHeight="1" x14ac:dyDescent="0.25">
      <c r="A103" s="15"/>
      <c r="B103" s="228">
        <f t="shared" si="28"/>
        <v>98</v>
      </c>
      <c r="C103" s="228" t="s">
        <v>108</v>
      </c>
      <c r="D103" s="231">
        <v>4.7999999999999996E-3</v>
      </c>
      <c r="E103" s="155">
        <v>775884.98</v>
      </c>
      <c r="F103" s="158">
        <f>E103</f>
        <v>775884.98</v>
      </c>
      <c r="G103" s="46">
        <f t="shared" si="19"/>
        <v>0</v>
      </c>
      <c r="H103" s="46">
        <f t="shared" si="27"/>
        <v>0</v>
      </c>
      <c r="I103" s="279">
        <f t="shared" ref="I103:I158" si="34">K$2*D103</f>
        <v>387244.62681599997</v>
      </c>
      <c r="J103" s="279">
        <f t="shared" si="29"/>
        <v>0</v>
      </c>
      <c r="K103" s="279">
        <f t="shared" si="25"/>
        <v>185936.29261027643</v>
      </c>
      <c r="L103" s="279">
        <f t="shared" si="26"/>
        <v>202702.7028</v>
      </c>
      <c r="M103" s="277">
        <v>0</v>
      </c>
      <c r="N103" s="277">
        <v>0</v>
      </c>
      <c r="O103" s="277">
        <v>0</v>
      </c>
      <c r="P103" s="337">
        <f t="shared" si="30"/>
        <v>775884.98</v>
      </c>
      <c r="Q103" s="337"/>
      <c r="R103" s="191">
        <f t="shared" si="31"/>
        <v>799418.98</v>
      </c>
      <c r="S103" s="217">
        <f t="shared" si="32"/>
        <v>0.98</v>
      </c>
      <c r="T103" s="19">
        <f t="shared" si="33"/>
        <v>98</v>
      </c>
    </row>
    <row r="104" spans="1:22" ht="24.95" customHeight="1" x14ac:dyDescent="0.25">
      <c r="A104" s="15"/>
      <c r="B104" s="228">
        <f t="shared" si="28"/>
        <v>99</v>
      </c>
      <c r="C104" s="228" t="s">
        <v>109</v>
      </c>
      <c r="D104" s="231">
        <v>4.7999999999999996E-3</v>
      </c>
      <c r="E104" s="155">
        <v>799418.99</v>
      </c>
      <c r="F104" s="156">
        <f>E104</f>
        <v>799418.99</v>
      </c>
      <c r="G104" s="46">
        <f t="shared" si="19"/>
        <v>0</v>
      </c>
      <c r="H104" s="46">
        <f t="shared" si="27"/>
        <v>0</v>
      </c>
      <c r="I104" s="279">
        <f t="shared" si="34"/>
        <v>387244.62681599997</v>
      </c>
      <c r="J104" s="279">
        <f t="shared" si="29"/>
        <v>0</v>
      </c>
      <c r="K104" s="279">
        <f t="shared" si="25"/>
        <v>185936.29261027643</v>
      </c>
      <c r="L104" s="279">
        <f t="shared" si="26"/>
        <v>202702.7028</v>
      </c>
      <c r="M104" s="277">
        <v>0</v>
      </c>
      <c r="N104" s="277">
        <v>0</v>
      </c>
      <c r="O104" s="277">
        <v>0</v>
      </c>
      <c r="P104" s="337">
        <f t="shared" si="30"/>
        <v>775884.99</v>
      </c>
      <c r="Q104" s="337"/>
      <c r="R104" s="191">
        <f t="shared" si="31"/>
        <v>799418.99</v>
      </c>
      <c r="S104" s="217">
        <f t="shared" si="32"/>
        <v>0.99</v>
      </c>
      <c r="T104" s="19">
        <f t="shared" si="33"/>
        <v>99</v>
      </c>
      <c r="U104" s="9" t="s">
        <v>217</v>
      </c>
    </row>
    <row r="105" spans="1:22" ht="24.95" customHeight="1" x14ac:dyDescent="0.25">
      <c r="A105" s="15"/>
      <c r="B105" s="228">
        <f t="shared" si="28"/>
        <v>100</v>
      </c>
      <c r="C105" s="228" t="s">
        <v>110</v>
      </c>
      <c r="D105" s="231">
        <v>4.7999999999999996E-3</v>
      </c>
      <c r="E105" s="155">
        <v>775885</v>
      </c>
      <c r="F105" s="156">
        <f>E105</f>
        <v>775885</v>
      </c>
      <c r="G105" s="46">
        <f t="shared" si="19"/>
        <v>0</v>
      </c>
      <c r="H105" s="46">
        <f t="shared" si="27"/>
        <v>0</v>
      </c>
      <c r="I105" s="279">
        <f t="shared" si="34"/>
        <v>387244.62681599997</v>
      </c>
      <c r="J105" s="279">
        <f t="shared" si="29"/>
        <v>0</v>
      </c>
      <c r="K105" s="279">
        <f t="shared" si="25"/>
        <v>185936.29261027643</v>
      </c>
      <c r="L105" s="279">
        <f t="shared" si="26"/>
        <v>202702.7028</v>
      </c>
      <c r="M105" s="277">
        <v>0</v>
      </c>
      <c r="N105" s="277">
        <v>0</v>
      </c>
      <c r="O105" s="277">
        <v>0</v>
      </c>
      <c r="P105" s="337">
        <f t="shared" si="30"/>
        <v>775885</v>
      </c>
      <c r="Q105" s="337"/>
      <c r="R105" s="191">
        <f t="shared" si="31"/>
        <v>799419</v>
      </c>
      <c r="S105" s="217">
        <f t="shared" si="32"/>
        <v>1</v>
      </c>
      <c r="T105" s="19">
        <f t="shared" si="33"/>
        <v>100</v>
      </c>
    </row>
    <row r="106" spans="1:22" ht="24.95" customHeight="1" x14ac:dyDescent="0.25">
      <c r="A106" s="142"/>
      <c r="B106" s="228">
        <f t="shared" si="28"/>
        <v>101</v>
      </c>
      <c r="C106" s="228" t="s">
        <v>111</v>
      </c>
      <c r="D106" s="231">
        <v>4.7999999999999996E-3</v>
      </c>
      <c r="E106" s="155">
        <v>945973.01</v>
      </c>
      <c r="F106" s="156">
        <f>E106</f>
        <v>945973.01</v>
      </c>
      <c r="G106" s="46">
        <f t="shared" si="19"/>
        <v>0</v>
      </c>
      <c r="H106" s="46">
        <f t="shared" si="27"/>
        <v>0</v>
      </c>
      <c r="I106" s="279">
        <f t="shared" si="34"/>
        <v>387244.62681599997</v>
      </c>
      <c r="J106" s="279">
        <f t="shared" si="29"/>
        <v>0</v>
      </c>
      <c r="K106" s="279">
        <f t="shared" si="25"/>
        <v>185936.29261027643</v>
      </c>
      <c r="L106" s="279">
        <f t="shared" si="26"/>
        <v>202702.7028</v>
      </c>
      <c r="M106" s="277">
        <v>0</v>
      </c>
      <c r="N106" s="277">
        <v>0</v>
      </c>
      <c r="O106" s="280">
        <v>122554.24000000001</v>
      </c>
      <c r="P106" s="337">
        <f t="shared" si="30"/>
        <v>898439.01</v>
      </c>
      <c r="Q106" s="337"/>
      <c r="R106" s="191">
        <f t="shared" si="31"/>
        <v>925690.01</v>
      </c>
      <c r="S106" s="217">
        <f t="shared" si="32"/>
        <v>1.01</v>
      </c>
      <c r="T106" s="19">
        <f t="shared" si="33"/>
        <v>101</v>
      </c>
    </row>
    <row r="107" spans="1:22" ht="24.95" customHeight="1" x14ac:dyDescent="0.25">
      <c r="A107" s="184"/>
      <c r="B107" s="228">
        <f t="shared" si="28"/>
        <v>102</v>
      </c>
      <c r="C107" s="228" t="s">
        <v>112</v>
      </c>
      <c r="D107" s="231">
        <v>4.7999999999999996E-3</v>
      </c>
      <c r="E107" s="155">
        <v>760428.02</v>
      </c>
      <c r="F107" s="158">
        <v>760000</v>
      </c>
      <c r="G107" s="46">
        <f t="shared" si="19"/>
        <v>428.02000000001863</v>
      </c>
      <c r="H107" s="46">
        <f t="shared" si="27"/>
        <v>13.212977400000575</v>
      </c>
      <c r="I107" s="279">
        <f t="shared" si="34"/>
        <v>387244.62681599997</v>
      </c>
      <c r="J107" s="279">
        <f t="shared" si="29"/>
        <v>0</v>
      </c>
      <c r="K107" s="279">
        <f t="shared" si="25"/>
        <v>185936.29261027643</v>
      </c>
      <c r="L107" s="279">
        <f t="shared" si="26"/>
        <v>202702.7028</v>
      </c>
      <c r="M107" s="277">
        <v>0</v>
      </c>
      <c r="N107" s="277">
        <v>0</v>
      </c>
      <c r="O107" s="277">
        <v>0</v>
      </c>
      <c r="P107" s="337">
        <f t="shared" si="30"/>
        <v>776326.02</v>
      </c>
      <c r="Q107" s="337"/>
      <c r="R107" s="191">
        <f t="shared" si="31"/>
        <v>799873.02</v>
      </c>
      <c r="S107" s="217">
        <f t="shared" si="32"/>
        <v>1.02</v>
      </c>
      <c r="T107" s="19">
        <f t="shared" si="33"/>
        <v>102</v>
      </c>
      <c r="U107" t="s">
        <v>273</v>
      </c>
    </row>
    <row r="108" spans="1:22" ht="24.95" customHeight="1" x14ac:dyDescent="0.25">
      <c r="A108" s="15"/>
      <c r="B108" s="228">
        <f t="shared" si="28"/>
        <v>103</v>
      </c>
      <c r="C108" s="228" t="s">
        <v>113</v>
      </c>
      <c r="D108" s="231">
        <v>4.7999999999999996E-3</v>
      </c>
      <c r="E108" s="155">
        <v>698653.03</v>
      </c>
      <c r="F108" s="156">
        <f>E108</f>
        <v>698653.03</v>
      </c>
      <c r="G108" s="46">
        <f t="shared" si="19"/>
        <v>0</v>
      </c>
      <c r="H108" s="46">
        <f t="shared" si="27"/>
        <v>0</v>
      </c>
      <c r="I108" s="279">
        <f t="shared" si="34"/>
        <v>387244.62681599997</v>
      </c>
      <c r="J108" s="279">
        <f t="shared" si="29"/>
        <v>0</v>
      </c>
      <c r="K108" s="279">
        <f t="shared" si="25"/>
        <v>185936.29261027643</v>
      </c>
      <c r="L108" s="279">
        <f t="shared" si="26"/>
        <v>202702.7028</v>
      </c>
      <c r="M108" s="277">
        <v>0</v>
      </c>
      <c r="N108" s="277">
        <v>0</v>
      </c>
      <c r="O108" s="277">
        <v>0</v>
      </c>
      <c r="P108" s="337">
        <f t="shared" si="30"/>
        <v>775885.03</v>
      </c>
      <c r="Q108" s="337"/>
      <c r="R108" s="191">
        <f t="shared" si="31"/>
        <v>799419.03</v>
      </c>
      <c r="S108" s="217">
        <f t="shared" si="32"/>
        <v>1.03</v>
      </c>
      <c r="T108" s="19">
        <f t="shared" si="33"/>
        <v>103</v>
      </c>
    </row>
    <row r="109" spans="1:22" ht="24.95" customHeight="1" x14ac:dyDescent="0.25">
      <c r="A109" s="184"/>
      <c r="B109" s="228">
        <f t="shared" si="28"/>
        <v>104</v>
      </c>
      <c r="C109" s="228" t="s">
        <v>114</v>
      </c>
      <c r="D109" s="231">
        <v>4.7000000000000002E-3</v>
      </c>
      <c r="E109" s="155">
        <v>1606633.04</v>
      </c>
      <c r="F109" s="158">
        <f>843533.04+763100.04</f>
        <v>1606633.08</v>
      </c>
      <c r="G109" s="46">
        <f t="shared" si="19"/>
        <v>-4.0000000037252903E-2</v>
      </c>
      <c r="H109" s="46">
        <f t="shared" si="27"/>
        <v>0</v>
      </c>
      <c r="I109" s="279">
        <f t="shared" si="34"/>
        <v>379177.030424</v>
      </c>
      <c r="J109" s="279">
        <f t="shared" si="29"/>
        <v>0</v>
      </c>
      <c r="K109" s="279">
        <f t="shared" si="25"/>
        <v>185936.29261027643</v>
      </c>
      <c r="L109" s="279">
        <f t="shared" si="26"/>
        <v>202702.7028</v>
      </c>
      <c r="M109" s="277">
        <v>0</v>
      </c>
      <c r="N109" s="277">
        <v>0</v>
      </c>
      <c r="O109" s="277">
        <v>0</v>
      </c>
      <c r="P109" s="337">
        <f t="shared" si="30"/>
        <v>767817.04</v>
      </c>
      <c r="Q109" s="337"/>
      <c r="R109" s="191">
        <f t="shared" si="31"/>
        <v>791106.04</v>
      </c>
      <c r="S109" s="217">
        <f t="shared" si="32"/>
        <v>1.04</v>
      </c>
      <c r="T109" s="19">
        <f t="shared" si="33"/>
        <v>104</v>
      </c>
      <c r="U109" t="s">
        <v>327</v>
      </c>
    </row>
    <row r="110" spans="1:22" ht="24.95" customHeight="1" x14ac:dyDescent="0.25">
      <c r="A110" s="240"/>
      <c r="B110" s="228">
        <f t="shared" si="28"/>
        <v>105</v>
      </c>
      <c r="C110" s="228" t="s">
        <v>115</v>
      </c>
      <c r="D110" s="231">
        <v>4.1999999999999997E-3</v>
      </c>
      <c r="E110" s="155">
        <v>727479.05</v>
      </c>
      <c r="F110" s="156">
        <v>727479</v>
      </c>
      <c r="G110" s="46">
        <f t="shared" si="19"/>
        <v>5.0000000046566129E-2</v>
      </c>
      <c r="H110" s="46">
        <f t="shared" si="27"/>
        <v>1.5435000014374966E-3</v>
      </c>
      <c r="I110" s="279">
        <f t="shared" si="34"/>
        <v>338839.04846399999</v>
      </c>
      <c r="J110" s="279">
        <f t="shared" si="29"/>
        <v>0</v>
      </c>
      <c r="K110" s="279">
        <f t="shared" si="25"/>
        <v>185936.29261027643</v>
      </c>
      <c r="L110" s="279">
        <f t="shared" si="26"/>
        <v>202702.7028</v>
      </c>
      <c r="M110" s="277">
        <v>135536</v>
      </c>
      <c r="N110" s="56">
        <f>(I110)</f>
        <v>338839.04846399999</v>
      </c>
      <c r="O110" s="277">
        <v>0</v>
      </c>
      <c r="P110" s="337">
        <f t="shared" si="30"/>
        <v>1201854.05</v>
      </c>
      <c r="Q110" s="337"/>
      <c r="R110" s="191">
        <f t="shared" si="31"/>
        <v>1238307.05</v>
      </c>
      <c r="S110" s="281">
        <f t="shared" si="32"/>
        <v>1.05</v>
      </c>
      <c r="T110" s="86">
        <f t="shared" si="33"/>
        <v>105</v>
      </c>
      <c r="U110" s="130" t="s">
        <v>328</v>
      </c>
      <c r="V110" s="30"/>
    </row>
    <row r="111" spans="1:22" ht="24.95" customHeight="1" x14ac:dyDescent="0.25">
      <c r="A111" s="185"/>
      <c r="B111" s="228">
        <f t="shared" si="28"/>
        <v>106</v>
      </c>
      <c r="C111" s="228" t="s">
        <v>319</v>
      </c>
      <c r="D111" s="231">
        <v>4.4000000000000003E-3</v>
      </c>
      <c r="E111" s="155">
        <v>4899457.0599999996</v>
      </c>
      <c r="F111" s="156"/>
      <c r="G111" s="46">
        <f t="shared" si="19"/>
        <v>4899457.0599999996</v>
      </c>
      <c r="H111" s="46">
        <f t="shared" si="27"/>
        <v>151246.23944219999</v>
      </c>
      <c r="I111" s="279">
        <f t="shared" si="34"/>
        <v>354974.24124800001</v>
      </c>
      <c r="J111" s="279">
        <f t="shared" si="29"/>
        <v>0</v>
      </c>
      <c r="K111" s="279">
        <f t="shared" si="25"/>
        <v>185936.29261027643</v>
      </c>
      <c r="L111" s="279">
        <f t="shared" si="26"/>
        <v>202702.7028</v>
      </c>
      <c r="M111" s="277">
        <v>70995</v>
      </c>
      <c r="N111" s="56">
        <f>(I111)</f>
        <v>354974.24124800001</v>
      </c>
      <c r="O111" s="277">
        <v>0</v>
      </c>
      <c r="P111" s="337">
        <f t="shared" si="30"/>
        <v>6220287.0599999996</v>
      </c>
      <c r="Q111" s="337"/>
      <c r="R111" s="191">
        <f t="shared" si="31"/>
        <v>6408949.0599999996</v>
      </c>
      <c r="S111" s="281">
        <f t="shared" si="32"/>
        <v>1.06</v>
      </c>
      <c r="T111" s="86">
        <f t="shared" si="33"/>
        <v>106</v>
      </c>
      <c r="U111" t="s">
        <v>312</v>
      </c>
    </row>
    <row r="112" spans="1:22" ht="24.95" customHeight="1" x14ac:dyDescent="0.25">
      <c r="A112" s="15"/>
      <c r="B112" s="228">
        <f t="shared" si="28"/>
        <v>107</v>
      </c>
      <c r="C112" s="228" t="s">
        <v>116</v>
      </c>
      <c r="D112" s="231">
        <v>4.4000000000000003E-3</v>
      </c>
      <c r="E112" s="155">
        <v>743614.07</v>
      </c>
      <c r="F112" s="158">
        <f>E112</f>
        <v>743614.07</v>
      </c>
      <c r="G112" s="46">
        <f t="shared" si="19"/>
        <v>0</v>
      </c>
      <c r="H112" s="46">
        <f t="shared" si="27"/>
        <v>0</v>
      </c>
      <c r="I112" s="279">
        <f t="shared" si="34"/>
        <v>354974.24124800001</v>
      </c>
      <c r="J112" s="279">
        <f t="shared" si="29"/>
        <v>0</v>
      </c>
      <c r="K112" s="279">
        <f t="shared" si="25"/>
        <v>185936.29261027643</v>
      </c>
      <c r="L112" s="279">
        <f t="shared" si="26"/>
        <v>202702.7028</v>
      </c>
      <c r="M112" s="277">
        <v>0</v>
      </c>
      <c r="N112" s="277">
        <v>0</v>
      </c>
      <c r="O112" s="277">
        <v>0</v>
      </c>
      <c r="P112" s="337">
        <f t="shared" si="30"/>
        <v>743614.07</v>
      </c>
      <c r="Q112" s="337"/>
      <c r="R112" s="191">
        <f t="shared" si="31"/>
        <v>766169.07</v>
      </c>
      <c r="S112" s="217">
        <f t="shared" si="32"/>
        <v>1.07</v>
      </c>
      <c r="T112" s="19">
        <f t="shared" si="33"/>
        <v>107</v>
      </c>
      <c r="U112" t="s">
        <v>246</v>
      </c>
    </row>
    <row r="113" spans="1:25" ht="24.95" customHeight="1" x14ac:dyDescent="0.25">
      <c r="A113" s="15"/>
      <c r="B113" s="228">
        <f t="shared" si="28"/>
        <v>108</v>
      </c>
      <c r="C113" s="228" t="s">
        <v>117</v>
      </c>
      <c r="D113" s="231">
        <v>4.4000000000000003E-3</v>
      </c>
      <c r="E113" s="155">
        <v>743614.08</v>
      </c>
      <c r="F113" s="156">
        <f>E113</f>
        <v>743614.08</v>
      </c>
      <c r="G113" s="46">
        <f t="shared" si="19"/>
        <v>0</v>
      </c>
      <c r="H113" s="46">
        <f t="shared" si="27"/>
        <v>0</v>
      </c>
      <c r="I113" s="279">
        <f t="shared" si="34"/>
        <v>354974.24124800001</v>
      </c>
      <c r="J113" s="279">
        <f t="shared" si="29"/>
        <v>0</v>
      </c>
      <c r="K113" s="279">
        <f t="shared" si="25"/>
        <v>185936.29261027643</v>
      </c>
      <c r="L113" s="279">
        <f t="shared" si="26"/>
        <v>202702.7028</v>
      </c>
      <c r="M113" s="277">
        <v>0</v>
      </c>
      <c r="N113" s="277">
        <v>0</v>
      </c>
      <c r="O113" s="277">
        <v>0</v>
      </c>
      <c r="P113" s="337">
        <f t="shared" si="30"/>
        <v>743614.08</v>
      </c>
      <c r="Q113" s="337"/>
      <c r="R113" s="191">
        <f t="shared" si="31"/>
        <v>766169.08</v>
      </c>
      <c r="S113" s="217">
        <f t="shared" si="32"/>
        <v>1.08</v>
      </c>
      <c r="T113" s="19">
        <f t="shared" si="33"/>
        <v>108</v>
      </c>
    </row>
    <row r="114" spans="1:25" ht="24.95" customHeight="1" x14ac:dyDescent="0.25">
      <c r="A114" s="208"/>
      <c r="B114" s="228">
        <f t="shared" si="28"/>
        <v>109</v>
      </c>
      <c r="C114" s="228" t="s">
        <v>118</v>
      </c>
      <c r="D114" s="231">
        <v>4.4999999999999997E-3</v>
      </c>
      <c r="E114" s="155">
        <v>2266556.09</v>
      </c>
      <c r="F114" s="158">
        <v>1430000</v>
      </c>
      <c r="G114" s="46">
        <f t="shared" si="19"/>
        <v>836556.08999999985</v>
      </c>
      <c r="H114" s="46">
        <f t="shared" si="27"/>
        <v>25824.486498299997</v>
      </c>
      <c r="I114" s="279">
        <f t="shared" si="34"/>
        <v>363041.83763999998</v>
      </c>
      <c r="J114" s="279">
        <f t="shared" si="29"/>
        <v>0</v>
      </c>
      <c r="K114" s="279">
        <f t="shared" si="25"/>
        <v>185936.29261027643</v>
      </c>
      <c r="L114" s="279">
        <f t="shared" si="26"/>
        <v>202702.7028</v>
      </c>
      <c r="M114" s="277">
        <v>0</v>
      </c>
      <c r="N114" s="277">
        <v>0</v>
      </c>
      <c r="O114" s="277">
        <v>0</v>
      </c>
      <c r="P114" s="337">
        <f t="shared" si="30"/>
        <v>1614062.09</v>
      </c>
      <c r="Q114" s="337"/>
      <c r="R114" s="191">
        <f t="shared" si="31"/>
        <v>1663018.09</v>
      </c>
      <c r="S114" s="217">
        <f t="shared" si="32"/>
        <v>1.0900000000000001</v>
      </c>
      <c r="T114" s="19">
        <f t="shared" si="33"/>
        <v>109</v>
      </c>
      <c r="U114" t="s">
        <v>242</v>
      </c>
    </row>
    <row r="115" spans="1:25" ht="24.95" customHeight="1" x14ac:dyDescent="0.25">
      <c r="A115" s="184"/>
      <c r="B115" s="228">
        <f t="shared" si="28"/>
        <v>110</v>
      </c>
      <c r="C115" s="228" t="s">
        <v>119</v>
      </c>
      <c r="D115" s="231">
        <v>4.5999999999999999E-3</v>
      </c>
      <c r="E115" s="155">
        <v>759750.1</v>
      </c>
      <c r="F115" s="156">
        <f>E115</f>
        <v>759750.1</v>
      </c>
      <c r="G115" s="46">
        <f t="shared" si="19"/>
        <v>0</v>
      </c>
      <c r="H115" s="46">
        <f t="shared" si="27"/>
        <v>0</v>
      </c>
      <c r="I115" s="279">
        <f t="shared" si="34"/>
        <v>371109.43403200002</v>
      </c>
      <c r="J115" s="279">
        <f t="shared" si="29"/>
        <v>0</v>
      </c>
      <c r="K115" s="279">
        <f t="shared" si="25"/>
        <v>185936.29261027643</v>
      </c>
      <c r="L115" s="279">
        <f t="shared" si="26"/>
        <v>202702.7028</v>
      </c>
      <c r="M115" s="277">
        <v>0</v>
      </c>
      <c r="N115" s="277">
        <v>0</v>
      </c>
      <c r="O115" s="277">
        <v>0</v>
      </c>
      <c r="P115" s="337">
        <f t="shared" si="30"/>
        <v>759749.1</v>
      </c>
      <c r="Q115" s="337"/>
      <c r="R115" s="191">
        <f t="shared" si="31"/>
        <v>782793.1</v>
      </c>
      <c r="S115" s="217">
        <f t="shared" si="32"/>
        <v>1.1000000000000001</v>
      </c>
      <c r="T115" s="19">
        <f t="shared" si="33"/>
        <v>110</v>
      </c>
      <c r="U115" t="s">
        <v>250</v>
      </c>
      <c r="Y115" s="35"/>
    </row>
    <row r="116" spans="1:25" ht="24.95" customHeight="1" x14ac:dyDescent="0.25">
      <c r="A116" s="15"/>
      <c r="B116" s="228">
        <f t="shared" si="28"/>
        <v>111</v>
      </c>
      <c r="C116" s="228" t="s">
        <v>120</v>
      </c>
      <c r="D116" s="231">
        <v>4.4999999999999997E-3</v>
      </c>
      <c r="E116" s="155">
        <v>751682.11</v>
      </c>
      <c r="F116" s="158">
        <f>E116</f>
        <v>751682.11</v>
      </c>
      <c r="G116" s="46">
        <f t="shared" si="19"/>
        <v>0</v>
      </c>
      <c r="H116" s="46">
        <f t="shared" si="27"/>
        <v>0</v>
      </c>
      <c r="I116" s="279">
        <f t="shared" si="34"/>
        <v>363041.83763999998</v>
      </c>
      <c r="J116" s="279">
        <f t="shared" si="29"/>
        <v>0</v>
      </c>
      <c r="K116" s="279">
        <f t="shared" si="25"/>
        <v>185936.29261027643</v>
      </c>
      <c r="L116" s="279">
        <f t="shared" si="26"/>
        <v>202702.7028</v>
      </c>
      <c r="M116" s="277">
        <v>0</v>
      </c>
      <c r="N116" s="277">
        <v>0</v>
      </c>
      <c r="O116" s="277">
        <v>0</v>
      </c>
      <c r="P116" s="337">
        <f t="shared" si="30"/>
        <v>751682.11</v>
      </c>
      <c r="Q116" s="337"/>
      <c r="R116" s="191">
        <f t="shared" si="31"/>
        <v>774482.11</v>
      </c>
      <c r="S116" s="217">
        <f t="shared" si="32"/>
        <v>1.1100000000000001</v>
      </c>
      <c r="T116" s="19">
        <f t="shared" si="33"/>
        <v>111</v>
      </c>
    </row>
    <row r="117" spans="1:25" ht="24.95" customHeight="1" x14ac:dyDescent="0.25">
      <c r="A117" s="206"/>
      <c r="B117" s="228">
        <f t="shared" si="28"/>
        <v>112</v>
      </c>
      <c r="C117" s="228" t="s">
        <v>121</v>
      </c>
      <c r="D117" s="231">
        <v>4.4999999999999997E-3</v>
      </c>
      <c r="E117" s="155">
        <v>1500004.12</v>
      </c>
      <c r="F117" s="158">
        <v>800000</v>
      </c>
      <c r="G117" s="46">
        <f t="shared" si="19"/>
        <v>700004.12000000011</v>
      </c>
      <c r="H117" s="46">
        <f t="shared" si="27"/>
        <v>21609.127184400004</v>
      </c>
      <c r="I117" s="279">
        <f t="shared" si="34"/>
        <v>363041.83763999998</v>
      </c>
      <c r="J117" s="279">
        <f t="shared" si="29"/>
        <v>0</v>
      </c>
      <c r="K117" s="279">
        <f t="shared" si="25"/>
        <v>185936.29261027643</v>
      </c>
      <c r="L117" s="279">
        <f t="shared" si="26"/>
        <v>202702.7028</v>
      </c>
      <c r="M117" s="277">
        <v>0</v>
      </c>
      <c r="N117" s="277">
        <v>0</v>
      </c>
      <c r="O117" s="277">
        <v>0</v>
      </c>
      <c r="P117" s="337">
        <f t="shared" si="30"/>
        <v>1473295.12</v>
      </c>
      <c r="Q117" s="337"/>
      <c r="R117" s="191">
        <f t="shared" si="31"/>
        <v>1517981.12</v>
      </c>
      <c r="S117" s="217">
        <f t="shared" si="32"/>
        <v>1.1200000000000001</v>
      </c>
      <c r="T117" s="19">
        <f t="shared" si="33"/>
        <v>112</v>
      </c>
      <c r="U117" t="s">
        <v>202</v>
      </c>
    </row>
    <row r="118" spans="1:25" ht="24.95" customHeight="1" x14ac:dyDescent="0.25">
      <c r="A118" s="15"/>
      <c r="B118" s="228">
        <f t="shared" si="28"/>
        <v>113</v>
      </c>
      <c r="C118" s="228" t="s">
        <v>122</v>
      </c>
      <c r="D118" s="231">
        <v>4.7000000000000002E-3</v>
      </c>
      <c r="E118" s="155">
        <v>745214.13</v>
      </c>
      <c r="F118" s="158">
        <v>767816.13</v>
      </c>
      <c r="G118" s="46">
        <f t="shared" si="19"/>
        <v>-22602</v>
      </c>
      <c r="H118" s="46">
        <f t="shared" si="27"/>
        <v>0</v>
      </c>
      <c r="I118" s="279">
        <f t="shared" si="34"/>
        <v>379177.030424</v>
      </c>
      <c r="J118" s="279">
        <f t="shared" si="29"/>
        <v>0</v>
      </c>
      <c r="K118" s="279">
        <f t="shared" si="25"/>
        <v>185936.29261027643</v>
      </c>
      <c r="L118" s="279">
        <f t="shared" si="26"/>
        <v>202702.7028</v>
      </c>
      <c r="M118" s="277">
        <v>0</v>
      </c>
      <c r="N118" s="277">
        <v>0</v>
      </c>
      <c r="O118" s="277">
        <v>0</v>
      </c>
      <c r="P118" s="337">
        <f t="shared" si="30"/>
        <v>745215.13</v>
      </c>
      <c r="Q118" s="337"/>
      <c r="R118" s="191">
        <f t="shared" si="31"/>
        <v>767819.13</v>
      </c>
      <c r="S118" s="217">
        <f t="shared" si="32"/>
        <v>1.1299999999999999</v>
      </c>
      <c r="T118" s="19">
        <f t="shared" si="33"/>
        <v>113</v>
      </c>
    </row>
    <row r="119" spans="1:25" ht="24.95" customHeight="1" x14ac:dyDescent="0.25">
      <c r="A119" s="15"/>
      <c r="B119" s="228">
        <f t="shared" si="28"/>
        <v>114</v>
      </c>
      <c r="C119" s="228" t="s">
        <v>123</v>
      </c>
      <c r="D119" s="231">
        <v>4.4999999999999997E-3</v>
      </c>
      <c r="E119" s="155">
        <v>751682.14</v>
      </c>
      <c r="F119" s="156">
        <f>E119</f>
        <v>751682.14</v>
      </c>
      <c r="G119" s="46">
        <f t="shared" si="19"/>
        <v>0</v>
      </c>
      <c r="H119" s="46">
        <f t="shared" si="27"/>
        <v>0</v>
      </c>
      <c r="I119" s="279">
        <f t="shared" si="34"/>
        <v>363041.83763999998</v>
      </c>
      <c r="J119" s="279">
        <f t="shared" si="29"/>
        <v>0</v>
      </c>
      <c r="K119" s="279">
        <f t="shared" si="25"/>
        <v>185936.29261027643</v>
      </c>
      <c r="L119" s="279">
        <f t="shared" si="26"/>
        <v>202702.7028</v>
      </c>
      <c r="M119" s="277">
        <v>0</v>
      </c>
      <c r="N119" s="277">
        <v>0</v>
      </c>
      <c r="O119" s="277">
        <v>0</v>
      </c>
      <c r="P119" s="337">
        <f t="shared" si="30"/>
        <v>751682.14</v>
      </c>
      <c r="Q119" s="337"/>
      <c r="R119" s="191">
        <f t="shared" si="31"/>
        <v>774482.14</v>
      </c>
      <c r="S119" s="217">
        <f t="shared" si="32"/>
        <v>1.1399999999999999</v>
      </c>
      <c r="T119" s="19">
        <f t="shared" si="33"/>
        <v>114</v>
      </c>
    </row>
    <row r="120" spans="1:25" ht="24.95" customHeight="1" x14ac:dyDescent="0.25">
      <c r="A120" s="15"/>
      <c r="B120" s="228">
        <f t="shared" si="28"/>
        <v>115</v>
      </c>
      <c r="C120" s="228" t="s">
        <v>124</v>
      </c>
      <c r="D120" s="231">
        <v>6.4000000000000003E-3</v>
      </c>
      <c r="E120" s="155">
        <v>904966.15</v>
      </c>
      <c r="F120" s="158">
        <f>E120</f>
        <v>904966.15</v>
      </c>
      <c r="G120" s="46">
        <f t="shared" si="19"/>
        <v>0</v>
      </c>
      <c r="H120" s="46">
        <f t="shared" si="27"/>
        <v>0</v>
      </c>
      <c r="I120" s="279">
        <f t="shared" si="34"/>
        <v>516326.16908800002</v>
      </c>
      <c r="J120" s="279">
        <f t="shared" si="29"/>
        <v>0</v>
      </c>
      <c r="K120" s="279">
        <f t="shared" si="25"/>
        <v>185936.29261027643</v>
      </c>
      <c r="L120" s="279">
        <f t="shared" si="26"/>
        <v>202702.7028</v>
      </c>
      <c r="M120" s="277">
        <v>0</v>
      </c>
      <c r="N120" s="277">
        <v>0</v>
      </c>
      <c r="O120" s="277">
        <v>0</v>
      </c>
      <c r="P120" s="337">
        <f t="shared" si="30"/>
        <v>904966.15</v>
      </c>
      <c r="Q120" s="337"/>
      <c r="R120" s="191">
        <f t="shared" si="31"/>
        <v>932415.15</v>
      </c>
      <c r="S120" s="217">
        <f t="shared" si="32"/>
        <v>1.1499999999999999</v>
      </c>
      <c r="T120" s="19">
        <f t="shared" si="33"/>
        <v>115</v>
      </c>
      <c r="U120" t="s">
        <v>299</v>
      </c>
    </row>
    <row r="121" spans="1:25" ht="24.95" customHeight="1" x14ac:dyDescent="0.25">
      <c r="A121" s="15"/>
      <c r="B121" s="228">
        <f t="shared" si="28"/>
        <v>116</v>
      </c>
      <c r="C121" s="228" t="s">
        <v>125</v>
      </c>
      <c r="D121" s="231">
        <v>5.7999999999999996E-3</v>
      </c>
      <c r="E121" s="155">
        <v>1065305.1599999999</v>
      </c>
      <c r="F121" s="158">
        <v>1097617.1599999999</v>
      </c>
      <c r="G121" s="46">
        <f t="shared" si="19"/>
        <v>-32312</v>
      </c>
      <c r="H121" s="46">
        <f t="shared" si="27"/>
        <v>0</v>
      </c>
      <c r="I121" s="279">
        <f t="shared" si="34"/>
        <v>467920.59073599998</v>
      </c>
      <c r="J121" s="279">
        <f t="shared" si="29"/>
        <v>0</v>
      </c>
      <c r="K121" s="279">
        <f t="shared" si="25"/>
        <v>185936.29261027643</v>
      </c>
      <c r="L121" s="279">
        <f t="shared" si="26"/>
        <v>202702.7028</v>
      </c>
      <c r="M121" s="277">
        <v>0</v>
      </c>
      <c r="N121" s="277">
        <v>0</v>
      </c>
      <c r="O121" s="280">
        <v>107234.96</v>
      </c>
      <c r="P121" s="337">
        <f t="shared" si="30"/>
        <v>931484.16000000003</v>
      </c>
      <c r="Q121" s="337"/>
      <c r="R121" s="191">
        <f t="shared" si="31"/>
        <v>959737.16</v>
      </c>
      <c r="S121" s="217">
        <f t="shared" si="32"/>
        <v>1.1599999999999999</v>
      </c>
      <c r="T121" s="19">
        <f t="shared" si="33"/>
        <v>116</v>
      </c>
    </row>
    <row r="122" spans="1:25" ht="24.95" customHeight="1" x14ac:dyDescent="0.25">
      <c r="A122" s="15"/>
      <c r="B122" s="228">
        <f t="shared" si="28"/>
        <v>117</v>
      </c>
      <c r="C122" s="228" t="s">
        <v>126</v>
      </c>
      <c r="D122" s="231">
        <v>6.1000000000000004E-3</v>
      </c>
      <c r="E122" s="155">
        <v>880763.17</v>
      </c>
      <c r="F122" s="158">
        <f>E122</f>
        <v>880763.17</v>
      </c>
      <c r="G122" s="46">
        <f t="shared" si="19"/>
        <v>0</v>
      </c>
      <c r="H122" s="46">
        <f t="shared" si="27"/>
        <v>0</v>
      </c>
      <c r="I122" s="279">
        <f t="shared" si="34"/>
        <v>492123.37991200003</v>
      </c>
      <c r="J122" s="279">
        <f t="shared" si="29"/>
        <v>0</v>
      </c>
      <c r="K122" s="279">
        <f t="shared" si="25"/>
        <v>185936.29261027643</v>
      </c>
      <c r="L122" s="279">
        <f t="shared" si="26"/>
        <v>202702.7028</v>
      </c>
      <c r="M122" s="277">
        <v>0</v>
      </c>
      <c r="N122" s="277">
        <v>0</v>
      </c>
      <c r="O122" s="277">
        <v>0</v>
      </c>
      <c r="P122" s="337">
        <f t="shared" si="30"/>
        <v>880763.17</v>
      </c>
      <c r="Q122" s="337"/>
      <c r="R122" s="191">
        <f t="shared" si="31"/>
        <v>907478.17</v>
      </c>
      <c r="S122" s="217">
        <f t="shared" si="32"/>
        <v>1.17</v>
      </c>
      <c r="T122" s="19">
        <f t="shared" si="33"/>
        <v>117</v>
      </c>
      <c r="U122" t="s">
        <v>274</v>
      </c>
    </row>
    <row r="123" spans="1:25" ht="24.95" customHeight="1" x14ac:dyDescent="0.25">
      <c r="A123" s="206"/>
      <c r="B123" s="228">
        <f t="shared" si="28"/>
        <v>118</v>
      </c>
      <c r="C123" s="228" t="s">
        <v>127</v>
      </c>
      <c r="D123" s="231">
        <v>5.7999999999999996E-3</v>
      </c>
      <c r="E123" s="155">
        <v>856558.18</v>
      </c>
      <c r="F123" s="158">
        <f>2376058-F125-F126</f>
        <v>856559.59000000008</v>
      </c>
      <c r="G123" s="46">
        <f t="shared" si="19"/>
        <v>-1.4100000000325963</v>
      </c>
      <c r="H123" s="46">
        <f t="shared" si="27"/>
        <v>0</v>
      </c>
      <c r="I123" s="279">
        <f t="shared" si="34"/>
        <v>467920.59073599998</v>
      </c>
      <c r="J123" s="279">
        <f t="shared" si="29"/>
        <v>0</v>
      </c>
      <c r="K123" s="279">
        <f t="shared" si="25"/>
        <v>185936.29261027643</v>
      </c>
      <c r="L123" s="279">
        <f t="shared" si="26"/>
        <v>202702.7028</v>
      </c>
      <c r="M123" s="277">
        <v>0</v>
      </c>
      <c r="N123" s="277">
        <v>0</v>
      </c>
      <c r="O123" s="277">
        <v>0</v>
      </c>
      <c r="P123" s="337">
        <f t="shared" si="30"/>
        <v>856559.18</v>
      </c>
      <c r="Q123" s="337"/>
      <c r="R123" s="191">
        <f t="shared" si="31"/>
        <v>882540.18</v>
      </c>
      <c r="S123" s="217">
        <f t="shared" si="32"/>
        <v>1.18</v>
      </c>
      <c r="T123" s="19">
        <f t="shared" si="33"/>
        <v>118</v>
      </c>
      <c r="U123" t="s">
        <v>296</v>
      </c>
    </row>
    <row r="124" spans="1:25" ht="24.95" customHeight="1" x14ac:dyDescent="0.25">
      <c r="A124" s="147"/>
      <c r="B124" s="228">
        <f t="shared" si="28"/>
        <v>119</v>
      </c>
      <c r="C124" s="228" t="s">
        <v>128</v>
      </c>
      <c r="D124" s="231">
        <v>5.4000000000000003E-3</v>
      </c>
      <c r="E124" s="155">
        <v>824289.19</v>
      </c>
      <c r="F124" s="158">
        <v>824000</v>
      </c>
      <c r="G124" s="46">
        <f t="shared" si="19"/>
        <v>289.18999999994412</v>
      </c>
      <c r="H124" s="46">
        <f t="shared" si="27"/>
        <v>8.927295299998276</v>
      </c>
      <c r="I124" s="279">
        <f t="shared" si="34"/>
        <v>435650.20516800001</v>
      </c>
      <c r="J124" s="279">
        <f t="shared" si="29"/>
        <v>0</v>
      </c>
      <c r="K124" s="279">
        <f t="shared" si="25"/>
        <v>185936.29261027643</v>
      </c>
      <c r="L124" s="279">
        <f t="shared" si="26"/>
        <v>202702.7028</v>
      </c>
      <c r="M124" s="277">
        <v>0</v>
      </c>
      <c r="N124" s="277">
        <v>0</v>
      </c>
      <c r="O124" s="277">
        <v>0</v>
      </c>
      <c r="P124" s="337">
        <f t="shared" si="30"/>
        <v>824588.19</v>
      </c>
      <c r="Q124" s="337"/>
      <c r="R124" s="191">
        <f t="shared" si="31"/>
        <v>849599.19</v>
      </c>
      <c r="S124" s="217">
        <f t="shared" si="32"/>
        <v>1.19</v>
      </c>
      <c r="T124" s="19">
        <f t="shared" si="33"/>
        <v>119</v>
      </c>
      <c r="U124" t="s">
        <v>207</v>
      </c>
    </row>
    <row r="125" spans="1:25" ht="24.6" customHeight="1" x14ac:dyDescent="0.25">
      <c r="A125" s="15"/>
      <c r="B125" s="228">
        <f t="shared" si="28"/>
        <v>120</v>
      </c>
      <c r="C125" s="228" t="s">
        <v>127</v>
      </c>
      <c r="D125" s="231">
        <v>4.5999999999999999E-3</v>
      </c>
      <c r="E125" s="155">
        <v>759749.2</v>
      </c>
      <c r="F125" s="158">
        <f>E125</f>
        <v>759749.2</v>
      </c>
      <c r="G125" s="46">
        <f t="shared" si="19"/>
        <v>0</v>
      </c>
      <c r="H125" s="46">
        <f t="shared" si="27"/>
        <v>0</v>
      </c>
      <c r="I125" s="279">
        <f t="shared" si="34"/>
        <v>371109.43403200002</v>
      </c>
      <c r="J125" s="279">
        <f t="shared" si="29"/>
        <v>0</v>
      </c>
      <c r="K125" s="279">
        <f t="shared" si="25"/>
        <v>185936.29261027643</v>
      </c>
      <c r="L125" s="279">
        <f t="shared" si="26"/>
        <v>202702.7028</v>
      </c>
      <c r="M125" s="277">
        <v>0</v>
      </c>
      <c r="N125" s="277">
        <v>0</v>
      </c>
      <c r="O125" s="277">
        <v>0</v>
      </c>
      <c r="P125" s="337">
        <f t="shared" si="30"/>
        <v>759749.2</v>
      </c>
      <c r="Q125" s="337"/>
      <c r="R125" s="191">
        <f t="shared" si="31"/>
        <v>782793.2</v>
      </c>
      <c r="S125" s="217">
        <f t="shared" si="32"/>
        <v>1.2</v>
      </c>
      <c r="T125" s="19">
        <f t="shared" si="33"/>
        <v>120</v>
      </c>
      <c r="U125" t="s">
        <v>297</v>
      </c>
    </row>
    <row r="126" spans="1:25" ht="24.95" customHeight="1" x14ac:dyDescent="0.25">
      <c r="A126" s="15"/>
      <c r="B126" s="228">
        <f t="shared" si="28"/>
        <v>121</v>
      </c>
      <c r="C126" s="228" t="s">
        <v>127</v>
      </c>
      <c r="D126" s="231">
        <v>4.5999999999999999E-3</v>
      </c>
      <c r="E126" s="155">
        <v>759749.21</v>
      </c>
      <c r="F126" s="158">
        <f>E126</f>
        <v>759749.21</v>
      </c>
      <c r="G126" s="46">
        <f t="shared" si="19"/>
        <v>0</v>
      </c>
      <c r="H126" s="46">
        <f t="shared" si="27"/>
        <v>0</v>
      </c>
      <c r="I126" s="279">
        <f t="shared" si="34"/>
        <v>371109.43403200002</v>
      </c>
      <c r="J126" s="279">
        <f t="shared" si="29"/>
        <v>0</v>
      </c>
      <c r="K126" s="279">
        <f t="shared" si="25"/>
        <v>185936.29261027643</v>
      </c>
      <c r="L126" s="279">
        <f t="shared" si="26"/>
        <v>202702.7028</v>
      </c>
      <c r="M126" s="277">
        <v>0</v>
      </c>
      <c r="N126" s="277">
        <v>0</v>
      </c>
      <c r="O126" s="277">
        <v>0</v>
      </c>
      <c r="P126" s="337">
        <f t="shared" si="30"/>
        <v>759749.21</v>
      </c>
      <c r="Q126" s="337"/>
      <c r="R126" s="191">
        <f t="shared" si="31"/>
        <v>782793.21</v>
      </c>
      <c r="S126" s="217">
        <f t="shared" si="32"/>
        <v>1.21</v>
      </c>
      <c r="T126" s="19">
        <f t="shared" si="33"/>
        <v>121</v>
      </c>
      <c r="U126" t="s">
        <v>297</v>
      </c>
    </row>
    <row r="127" spans="1:25" ht="24.95" customHeight="1" x14ac:dyDescent="0.25">
      <c r="A127" s="15"/>
      <c r="B127" s="228">
        <f t="shared" si="28"/>
        <v>122</v>
      </c>
      <c r="C127" s="228" t="s">
        <v>129</v>
      </c>
      <c r="D127" s="231">
        <v>4.5999999999999999E-3</v>
      </c>
      <c r="E127" s="155">
        <v>759749.22</v>
      </c>
      <c r="F127" s="156">
        <f>E127</f>
        <v>759749.22</v>
      </c>
      <c r="G127" s="46">
        <f t="shared" si="19"/>
        <v>0</v>
      </c>
      <c r="H127" s="46">
        <f t="shared" si="27"/>
        <v>0</v>
      </c>
      <c r="I127" s="279">
        <f t="shared" si="34"/>
        <v>371109.43403200002</v>
      </c>
      <c r="J127" s="279">
        <f t="shared" si="29"/>
        <v>0</v>
      </c>
      <c r="K127" s="279">
        <f t="shared" si="25"/>
        <v>185936.29261027643</v>
      </c>
      <c r="L127" s="279">
        <f t="shared" si="26"/>
        <v>202702.7028</v>
      </c>
      <c r="M127" s="277">
        <v>0</v>
      </c>
      <c r="N127" s="277">
        <v>0</v>
      </c>
      <c r="O127" s="277">
        <v>0</v>
      </c>
      <c r="P127" s="337">
        <f t="shared" si="30"/>
        <v>759749.22</v>
      </c>
      <c r="Q127" s="337"/>
      <c r="R127" s="191">
        <f t="shared" si="31"/>
        <v>782793.22</v>
      </c>
      <c r="S127" s="217">
        <f t="shared" si="32"/>
        <v>1.22</v>
      </c>
      <c r="T127" s="19">
        <f t="shared" si="33"/>
        <v>122</v>
      </c>
    </row>
    <row r="128" spans="1:25" ht="24.95" customHeight="1" x14ac:dyDescent="0.25">
      <c r="A128" s="15"/>
      <c r="B128" s="228">
        <f t="shared" si="28"/>
        <v>123</v>
      </c>
      <c r="C128" s="228" t="s">
        <v>130</v>
      </c>
      <c r="D128" s="231">
        <v>4.5999999999999999E-3</v>
      </c>
      <c r="E128" s="155">
        <v>782793.23</v>
      </c>
      <c r="F128" s="156">
        <f>E128</f>
        <v>782793.23</v>
      </c>
      <c r="G128" s="46">
        <f t="shared" si="19"/>
        <v>0</v>
      </c>
      <c r="H128" s="46">
        <f t="shared" si="27"/>
        <v>0</v>
      </c>
      <c r="I128" s="279">
        <f t="shared" si="34"/>
        <v>371109.43403200002</v>
      </c>
      <c r="J128" s="279">
        <f t="shared" si="29"/>
        <v>0</v>
      </c>
      <c r="K128" s="279">
        <f t="shared" si="25"/>
        <v>185936.29261027643</v>
      </c>
      <c r="L128" s="279">
        <f t="shared" si="26"/>
        <v>202702.7028</v>
      </c>
      <c r="M128" s="277">
        <v>0</v>
      </c>
      <c r="N128" s="277">
        <v>0</v>
      </c>
      <c r="O128" s="277">
        <v>0</v>
      </c>
      <c r="P128" s="337">
        <f t="shared" si="30"/>
        <v>759749.23</v>
      </c>
      <c r="Q128" s="337"/>
      <c r="R128" s="191">
        <f t="shared" si="31"/>
        <v>782793.23</v>
      </c>
      <c r="S128" s="217">
        <f t="shared" si="32"/>
        <v>1.23</v>
      </c>
      <c r="T128" s="19">
        <f t="shared" si="33"/>
        <v>123</v>
      </c>
      <c r="U128" t="s">
        <v>275</v>
      </c>
    </row>
    <row r="129" spans="1:21" ht="24.95" customHeight="1" x14ac:dyDescent="0.25">
      <c r="A129" s="15"/>
      <c r="B129" s="228">
        <f t="shared" si="28"/>
        <v>124</v>
      </c>
      <c r="C129" s="228" t="s">
        <v>131</v>
      </c>
      <c r="D129" s="231">
        <v>4.5999999999999999E-3</v>
      </c>
      <c r="E129" s="155">
        <v>737383.24</v>
      </c>
      <c r="F129" s="158">
        <v>759749.24</v>
      </c>
      <c r="G129" s="46">
        <f t="shared" si="19"/>
        <v>-22366</v>
      </c>
      <c r="H129" s="46">
        <f t="shared" si="27"/>
        <v>0</v>
      </c>
      <c r="I129" s="279">
        <f t="shared" si="34"/>
        <v>371109.43403200002</v>
      </c>
      <c r="J129" s="279">
        <f t="shared" si="29"/>
        <v>0</v>
      </c>
      <c r="K129" s="279">
        <f t="shared" si="25"/>
        <v>185936.29261027643</v>
      </c>
      <c r="L129" s="279">
        <f t="shared" si="26"/>
        <v>202702.7028</v>
      </c>
      <c r="M129" s="277">
        <v>0</v>
      </c>
      <c r="N129" s="277">
        <v>0</v>
      </c>
      <c r="O129" s="277">
        <v>0</v>
      </c>
      <c r="P129" s="337">
        <f t="shared" si="30"/>
        <v>737383.24</v>
      </c>
      <c r="Q129" s="337"/>
      <c r="R129" s="191">
        <f t="shared" si="31"/>
        <v>759749.24</v>
      </c>
      <c r="S129" s="217">
        <f t="shared" si="32"/>
        <v>1.24</v>
      </c>
      <c r="T129" s="19">
        <f t="shared" si="33"/>
        <v>124</v>
      </c>
    </row>
    <row r="130" spans="1:21" ht="24.95" customHeight="1" x14ac:dyDescent="0.25">
      <c r="A130" s="15"/>
      <c r="B130" s="228">
        <f t="shared" si="28"/>
        <v>125</v>
      </c>
      <c r="C130" s="228" t="s">
        <v>132</v>
      </c>
      <c r="D130" s="231">
        <v>4.5999999999999999E-3</v>
      </c>
      <c r="E130" s="155">
        <v>759749.25</v>
      </c>
      <c r="F130" s="156">
        <f>E130</f>
        <v>759749.25</v>
      </c>
      <c r="G130" s="46">
        <f t="shared" si="19"/>
        <v>0</v>
      </c>
      <c r="H130" s="46">
        <f t="shared" si="27"/>
        <v>0</v>
      </c>
      <c r="I130" s="279">
        <f t="shared" si="34"/>
        <v>371109.43403200002</v>
      </c>
      <c r="J130" s="279">
        <f t="shared" si="29"/>
        <v>0</v>
      </c>
      <c r="K130" s="279">
        <f t="shared" si="25"/>
        <v>185936.29261027643</v>
      </c>
      <c r="L130" s="279">
        <f t="shared" si="26"/>
        <v>202702.7028</v>
      </c>
      <c r="M130" s="277">
        <v>0</v>
      </c>
      <c r="N130" s="277">
        <v>0</v>
      </c>
      <c r="O130" s="277">
        <v>0</v>
      </c>
      <c r="P130" s="337">
        <f t="shared" si="30"/>
        <v>759749.25</v>
      </c>
      <c r="Q130" s="337"/>
      <c r="R130" s="191">
        <f t="shared" si="31"/>
        <v>782793.25</v>
      </c>
      <c r="S130" s="217">
        <f t="shared" si="32"/>
        <v>1.25</v>
      </c>
      <c r="T130" s="19">
        <f t="shared" si="33"/>
        <v>125</v>
      </c>
      <c r="U130" t="s">
        <v>254</v>
      </c>
    </row>
    <row r="131" spans="1:21" ht="24.95" customHeight="1" x14ac:dyDescent="0.25">
      <c r="A131" s="15"/>
      <c r="B131" s="228">
        <f t="shared" si="28"/>
        <v>126</v>
      </c>
      <c r="C131" s="228" t="s">
        <v>133</v>
      </c>
      <c r="D131" s="231">
        <v>4.5999999999999999E-3</v>
      </c>
      <c r="E131" s="155">
        <v>759749.26</v>
      </c>
      <c r="F131" s="158">
        <f>E131</f>
        <v>759749.26</v>
      </c>
      <c r="G131" s="46">
        <f t="shared" si="19"/>
        <v>0</v>
      </c>
      <c r="H131" s="46">
        <f t="shared" si="27"/>
        <v>0</v>
      </c>
      <c r="I131" s="279">
        <f t="shared" si="34"/>
        <v>371109.43403200002</v>
      </c>
      <c r="J131" s="279">
        <f t="shared" si="29"/>
        <v>0</v>
      </c>
      <c r="K131" s="279">
        <f t="shared" si="25"/>
        <v>185936.29261027643</v>
      </c>
      <c r="L131" s="279">
        <f t="shared" si="26"/>
        <v>202702.7028</v>
      </c>
      <c r="M131" s="277">
        <v>0</v>
      </c>
      <c r="N131" s="277">
        <v>0</v>
      </c>
      <c r="O131" s="277">
        <v>0</v>
      </c>
      <c r="P131" s="337">
        <f t="shared" si="30"/>
        <v>759749.26</v>
      </c>
      <c r="Q131" s="337"/>
      <c r="R131" s="191">
        <f t="shared" si="31"/>
        <v>782793.26</v>
      </c>
      <c r="S131" s="217">
        <f t="shared" si="32"/>
        <v>1.26</v>
      </c>
      <c r="T131" s="19">
        <f t="shared" si="33"/>
        <v>126</v>
      </c>
    </row>
    <row r="132" spans="1:21" ht="24.95" customHeight="1" x14ac:dyDescent="0.25">
      <c r="A132" s="15"/>
      <c r="B132" s="228">
        <f t="shared" si="28"/>
        <v>127</v>
      </c>
      <c r="C132" s="228" t="s">
        <v>134</v>
      </c>
      <c r="D132" s="231">
        <v>5.5999999999999999E-3</v>
      </c>
      <c r="E132" s="155">
        <v>840425.27</v>
      </c>
      <c r="F132" s="158">
        <f>E132</f>
        <v>840425.27</v>
      </c>
      <c r="G132" s="46">
        <f t="shared" si="19"/>
        <v>0</v>
      </c>
      <c r="H132" s="46">
        <f t="shared" si="27"/>
        <v>0</v>
      </c>
      <c r="I132" s="279">
        <f t="shared" si="34"/>
        <v>451785.39795200003</v>
      </c>
      <c r="J132" s="279">
        <f t="shared" si="29"/>
        <v>0</v>
      </c>
      <c r="K132" s="279">
        <f t="shared" si="25"/>
        <v>185936.29261027643</v>
      </c>
      <c r="L132" s="279">
        <f t="shared" si="26"/>
        <v>202702.7028</v>
      </c>
      <c r="M132" s="277">
        <v>0</v>
      </c>
      <c r="N132" s="277">
        <v>0</v>
      </c>
      <c r="O132" s="277">
        <v>0</v>
      </c>
      <c r="P132" s="337">
        <f t="shared" si="30"/>
        <v>840425.27</v>
      </c>
      <c r="Q132" s="337"/>
      <c r="R132" s="191">
        <f t="shared" si="31"/>
        <v>865916.27</v>
      </c>
      <c r="S132" s="217">
        <f t="shared" si="32"/>
        <v>1.27</v>
      </c>
      <c r="T132" s="19">
        <f t="shared" si="33"/>
        <v>127</v>
      </c>
      <c r="U132" t="s">
        <v>214</v>
      </c>
    </row>
    <row r="133" spans="1:21" ht="24.95" customHeight="1" x14ac:dyDescent="0.25">
      <c r="A133" s="15"/>
      <c r="B133" s="228">
        <f t="shared" si="28"/>
        <v>128</v>
      </c>
      <c r="C133" s="228" t="s">
        <v>326</v>
      </c>
      <c r="D133" s="231">
        <v>6.1000000000000004E-3</v>
      </c>
      <c r="E133" s="155">
        <v>880763.28</v>
      </c>
      <c r="F133" s="156">
        <f>E133</f>
        <v>880763.28</v>
      </c>
      <c r="G133" s="46">
        <f t="shared" si="19"/>
        <v>0</v>
      </c>
      <c r="H133" s="46">
        <f t="shared" si="27"/>
        <v>0</v>
      </c>
      <c r="I133" s="279">
        <f t="shared" si="34"/>
        <v>492123.37991200003</v>
      </c>
      <c r="J133" s="279">
        <f t="shared" si="29"/>
        <v>0</v>
      </c>
      <c r="K133" s="279">
        <f t="shared" si="25"/>
        <v>185936.29261027643</v>
      </c>
      <c r="L133" s="279">
        <f t="shared" si="26"/>
        <v>202702.7028</v>
      </c>
      <c r="M133" s="277">
        <v>0</v>
      </c>
      <c r="N133" s="277">
        <v>0</v>
      </c>
      <c r="O133" s="277">
        <v>0</v>
      </c>
      <c r="P133" s="337">
        <f t="shared" si="30"/>
        <v>880763.28</v>
      </c>
      <c r="Q133" s="337"/>
      <c r="R133" s="191">
        <f t="shared" si="31"/>
        <v>907478.28</v>
      </c>
      <c r="S133" s="281">
        <f t="shared" si="32"/>
        <v>1.28</v>
      </c>
      <c r="T133" s="86">
        <f t="shared" si="33"/>
        <v>128</v>
      </c>
    </row>
    <row r="134" spans="1:21" ht="24.95" customHeight="1" x14ac:dyDescent="0.25">
      <c r="A134" s="15"/>
      <c r="B134" s="228">
        <f>B133+1</f>
        <v>129</v>
      </c>
      <c r="C134" s="228" t="s">
        <v>135</v>
      </c>
      <c r="D134" s="231">
        <v>6.1000000000000004E-3</v>
      </c>
      <c r="E134" s="155">
        <v>880763.29</v>
      </c>
      <c r="F134" s="158">
        <f>E134</f>
        <v>880763.29</v>
      </c>
      <c r="G134" s="46">
        <f t="shared" si="19"/>
        <v>0</v>
      </c>
      <c r="H134" s="46">
        <f t="shared" si="27"/>
        <v>0</v>
      </c>
      <c r="I134" s="279">
        <f t="shared" si="34"/>
        <v>492123.37991200003</v>
      </c>
      <c r="J134" s="279">
        <f t="shared" ref="J134:J144" si="35">P$2*D134</f>
        <v>0</v>
      </c>
      <c r="K134" s="279">
        <f t="shared" si="25"/>
        <v>185936.29261027643</v>
      </c>
      <c r="L134" s="279">
        <f t="shared" si="26"/>
        <v>202702.7028</v>
      </c>
      <c r="M134" s="277">
        <v>0</v>
      </c>
      <c r="N134" s="277">
        <v>0</v>
      </c>
      <c r="O134" s="277">
        <v>0</v>
      </c>
      <c r="P134" s="337">
        <f t="shared" ref="P134:P144" si="36">ROUND(SUM(G134:O134),0) + S134</f>
        <v>880763.29</v>
      </c>
      <c r="Q134" s="337"/>
      <c r="R134" s="191">
        <f t="shared" ref="R134:R144" si="37">ROUND(P134+P134*3.033%,0) + S134</f>
        <v>907478.29</v>
      </c>
      <c r="S134" s="217">
        <f t="shared" ref="S134:S158" si="38">ROUND(0.001+B134/100,2)</f>
        <v>1.29</v>
      </c>
      <c r="T134" s="19">
        <f t="shared" ref="T134:T158" si="39">B134</f>
        <v>129</v>
      </c>
      <c r="U134" t="s">
        <v>192</v>
      </c>
    </row>
    <row r="135" spans="1:21" ht="24.95" customHeight="1" x14ac:dyDescent="0.25">
      <c r="A135" s="209"/>
      <c r="B135" s="228">
        <f t="shared" si="28"/>
        <v>130</v>
      </c>
      <c r="C135" s="228" t="s">
        <v>136</v>
      </c>
      <c r="D135" s="231">
        <v>5.7000000000000002E-3</v>
      </c>
      <c r="E135" s="155">
        <v>846823.3</v>
      </c>
      <c r="F135" s="158">
        <v>847000</v>
      </c>
      <c r="G135" s="46">
        <f t="shared" si="19"/>
        <v>-176.69999999995343</v>
      </c>
      <c r="H135" s="46">
        <f t="shared" si="27"/>
        <v>0</v>
      </c>
      <c r="I135" s="279">
        <f t="shared" si="34"/>
        <v>459852.99434400001</v>
      </c>
      <c r="J135" s="279">
        <f t="shared" si="35"/>
        <v>0</v>
      </c>
      <c r="K135" s="279">
        <f t="shared" ref="K135:K144" si="40">G$2*0.675675676%</f>
        <v>185936.29261027643</v>
      </c>
      <c r="L135" s="279">
        <f t="shared" ref="L135:L143" si="41">P$1*0.675675676%</f>
        <v>202702.7028</v>
      </c>
      <c r="M135" s="277">
        <v>0</v>
      </c>
      <c r="N135" s="277">
        <v>0</v>
      </c>
      <c r="O135" s="277">
        <v>0</v>
      </c>
      <c r="P135" s="337">
        <f t="shared" si="36"/>
        <v>848316.3</v>
      </c>
      <c r="Q135" s="337"/>
      <c r="R135" s="191">
        <f t="shared" si="37"/>
        <v>874047.3</v>
      </c>
      <c r="S135" s="217">
        <f t="shared" si="38"/>
        <v>1.3</v>
      </c>
      <c r="T135" s="19">
        <f t="shared" si="39"/>
        <v>130</v>
      </c>
      <c r="U135" t="s">
        <v>211</v>
      </c>
    </row>
    <row r="136" spans="1:21" ht="24.95" customHeight="1" x14ac:dyDescent="0.25">
      <c r="A136" s="15"/>
      <c r="B136" s="228">
        <f t="shared" si="28"/>
        <v>131</v>
      </c>
      <c r="C136" s="228" t="s">
        <v>137</v>
      </c>
      <c r="D136" s="231">
        <v>6.1000000000000004E-3</v>
      </c>
      <c r="E136" s="155">
        <v>880763.31</v>
      </c>
      <c r="F136" s="158">
        <f>E136</f>
        <v>880763.31</v>
      </c>
      <c r="G136" s="46">
        <f t="shared" si="19"/>
        <v>0</v>
      </c>
      <c r="H136" s="46">
        <f t="shared" ref="H136:H158" si="42">IF(G136&gt;0,G136*3.087%,0)</f>
        <v>0</v>
      </c>
      <c r="I136" s="279">
        <f t="shared" si="34"/>
        <v>492123.37991200003</v>
      </c>
      <c r="J136" s="279">
        <f t="shared" si="35"/>
        <v>0</v>
      </c>
      <c r="K136" s="279">
        <f t="shared" si="40"/>
        <v>185936.29261027643</v>
      </c>
      <c r="L136" s="279">
        <f t="shared" si="41"/>
        <v>202702.7028</v>
      </c>
      <c r="M136" s="277">
        <v>0</v>
      </c>
      <c r="N136" s="277">
        <v>0</v>
      </c>
      <c r="O136" s="277">
        <v>0</v>
      </c>
      <c r="P136" s="337">
        <f t="shared" si="36"/>
        <v>880763.31</v>
      </c>
      <c r="Q136" s="337"/>
      <c r="R136" s="191">
        <f t="shared" si="37"/>
        <v>907478.31</v>
      </c>
      <c r="S136" s="217">
        <f t="shared" si="38"/>
        <v>1.31</v>
      </c>
      <c r="T136" s="19">
        <f t="shared" si="39"/>
        <v>131</v>
      </c>
      <c r="U136" t="s">
        <v>289</v>
      </c>
    </row>
    <row r="137" spans="1:21" ht="24.95" customHeight="1" x14ac:dyDescent="0.25">
      <c r="A137" s="145"/>
      <c r="B137" s="228">
        <f t="shared" si="28"/>
        <v>132</v>
      </c>
      <c r="C137" s="228" t="s">
        <v>138</v>
      </c>
      <c r="D137" s="231">
        <v>6.0000000000000001E-3</v>
      </c>
      <c r="E137" s="155">
        <v>899166.32</v>
      </c>
      <c r="F137" s="156">
        <f>E137</f>
        <v>899166.32</v>
      </c>
      <c r="G137" s="46">
        <f t="shared" si="19"/>
        <v>0</v>
      </c>
      <c r="H137" s="46">
        <f t="shared" si="42"/>
        <v>0</v>
      </c>
      <c r="I137" s="279">
        <f t="shared" si="34"/>
        <v>484055.78352</v>
      </c>
      <c r="J137" s="279">
        <f t="shared" si="35"/>
        <v>0</v>
      </c>
      <c r="K137" s="279">
        <f t="shared" si="40"/>
        <v>185936.29261027643</v>
      </c>
      <c r="L137" s="279">
        <f t="shared" si="41"/>
        <v>202702.7028</v>
      </c>
      <c r="M137" s="277">
        <v>0</v>
      </c>
      <c r="N137" s="277">
        <v>0</v>
      </c>
      <c r="O137" s="277">
        <v>0</v>
      </c>
      <c r="P137" s="337">
        <f t="shared" si="36"/>
        <v>872696.31999999995</v>
      </c>
      <c r="Q137" s="337"/>
      <c r="R137" s="191">
        <f t="shared" si="37"/>
        <v>899166.32</v>
      </c>
      <c r="S137" s="217">
        <f t="shared" si="38"/>
        <v>1.32</v>
      </c>
      <c r="T137" s="19">
        <f t="shared" si="39"/>
        <v>132</v>
      </c>
      <c r="U137" t="s">
        <v>251</v>
      </c>
    </row>
    <row r="138" spans="1:21" ht="24.95" customHeight="1" x14ac:dyDescent="0.25">
      <c r="A138" s="15"/>
      <c r="B138" s="228">
        <f t="shared" ref="B138:B146" si="43">B137+1</f>
        <v>133</v>
      </c>
      <c r="C138" s="228" t="s">
        <v>139</v>
      </c>
      <c r="D138" s="231">
        <v>6.4000000000000003E-3</v>
      </c>
      <c r="E138" s="155">
        <v>904966.33</v>
      </c>
      <c r="F138" s="156">
        <f>E138</f>
        <v>904966.33</v>
      </c>
      <c r="G138" s="46">
        <f t="shared" si="19"/>
        <v>0</v>
      </c>
      <c r="H138" s="46">
        <f t="shared" si="42"/>
        <v>0</v>
      </c>
      <c r="I138" s="279">
        <f t="shared" si="34"/>
        <v>516326.16908800002</v>
      </c>
      <c r="J138" s="279">
        <f t="shared" si="35"/>
        <v>0</v>
      </c>
      <c r="K138" s="279">
        <f t="shared" si="40"/>
        <v>185936.29261027643</v>
      </c>
      <c r="L138" s="279">
        <f t="shared" si="41"/>
        <v>202702.7028</v>
      </c>
      <c r="M138" s="277">
        <v>0</v>
      </c>
      <c r="N138" s="277">
        <v>0</v>
      </c>
      <c r="O138" s="277">
        <v>0</v>
      </c>
      <c r="P138" s="337">
        <f t="shared" si="36"/>
        <v>904966.33</v>
      </c>
      <c r="Q138" s="337"/>
      <c r="R138" s="191">
        <f t="shared" si="37"/>
        <v>932415.33</v>
      </c>
      <c r="S138" s="217">
        <f t="shared" si="38"/>
        <v>1.33</v>
      </c>
      <c r="T138" s="19">
        <f t="shared" si="39"/>
        <v>133</v>
      </c>
      <c r="U138" t="s">
        <v>218</v>
      </c>
    </row>
    <row r="139" spans="1:21" ht="24.95" customHeight="1" x14ac:dyDescent="0.25">
      <c r="A139" s="15"/>
      <c r="B139" s="228">
        <f t="shared" si="43"/>
        <v>134</v>
      </c>
      <c r="C139" s="228" t="s">
        <v>140</v>
      </c>
      <c r="D139" s="231">
        <v>5.3E-3</v>
      </c>
      <c r="E139" s="155">
        <v>792194.34</v>
      </c>
      <c r="F139" s="158">
        <v>816223.34</v>
      </c>
      <c r="G139" s="46">
        <f t="shared" si="19"/>
        <v>-24029</v>
      </c>
      <c r="H139" s="46">
        <f t="shared" si="42"/>
        <v>0</v>
      </c>
      <c r="I139" s="279">
        <f t="shared" si="34"/>
        <v>427582.60877600004</v>
      </c>
      <c r="J139" s="279">
        <f t="shared" si="35"/>
        <v>0</v>
      </c>
      <c r="K139" s="279">
        <f t="shared" si="40"/>
        <v>185936.29261027643</v>
      </c>
      <c r="L139" s="279">
        <f t="shared" si="41"/>
        <v>202702.7028</v>
      </c>
      <c r="M139" s="277">
        <v>0</v>
      </c>
      <c r="N139" s="277">
        <v>0</v>
      </c>
      <c r="O139" s="277">
        <v>0</v>
      </c>
      <c r="P139" s="337">
        <f t="shared" si="36"/>
        <v>792194.34</v>
      </c>
      <c r="Q139" s="337"/>
      <c r="R139" s="191">
        <f t="shared" si="37"/>
        <v>816223.34</v>
      </c>
      <c r="S139" s="217">
        <f t="shared" si="38"/>
        <v>1.34</v>
      </c>
      <c r="T139" s="19">
        <f t="shared" si="39"/>
        <v>134</v>
      </c>
      <c r="U139" t="s">
        <v>199</v>
      </c>
    </row>
    <row r="140" spans="1:21" ht="24.95" customHeight="1" x14ac:dyDescent="0.25">
      <c r="A140" s="15"/>
      <c r="B140" s="228">
        <f t="shared" si="43"/>
        <v>135</v>
      </c>
      <c r="C140" s="228" t="s">
        <v>140</v>
      </c>
      <c r="D140" s="231">
        <v>6.1000000000000004E-3</v>
      </c>
      <c r="E140" s="155">
        <v>854835.35</v>
      </c>
      <c r="F140" s="158">
        <v>880764.35</v>
      </c>
      <c r="G140" s="46">
        <f t="shared" si="19"/>
        <v>-25929</v>
      </c>
      <c r="H140" s="46">
        <f t="shared" si="42"/>
        <v>0</v>
      </c>
      <c r="I140" s="279">
        <f t="shared" si="34"/>
        <v>492123.37991200003</v>
      </c>
      <c r="J140" s="279">
        <f t="shared" si="35"/>
        <v>0</v>
      </c>
      <c r="K140" s="279">
        <f t="shared" si="40"/>
        <v>185936.29261027643</v>
      </c>
      <c r="L140" s="279">
        <f t="shared" si="41"/>
        <v>202702.7028</v>
      </c>
      <c r="M140" s="277">
        <v>0</v>
      </c>
      <c r="N140" s="277">
        <v>0</v>
      </c>
      <c r="O140" s="277">
        <v>0</v>
      </c>
      <c r="P140" s="337">
        <f t="shared" si="36"/>
        <v>854834.35</v>
      </c>
      <c r="Q140" s="337"/>
      <c r="R140" s="191">
        <f t="shared" si="37"/>
        <v>880762.35</v>
      </c>
      <c r="S140" s="217">
        <f t="shared" si="38"/>
        <v>1.35</v>
      </c>
      <c r="T140" s="19">
        <f t="shared" si="39"/>
        <v>135</v>
      </c>
      <c r="U140" s="47" t="s">
        <v>199</v>
      </c>
    </row>
    <row r="141" spans="1:21" ht="24.95" customHeight="1" x14ac:dyDescent="0.25">
      <c r="A141" s="15"/>
      <c r="B141" s="228">
        <f t="shared" si="43"/>
        <v>136</v>
      </c>
      <c r="C141" s="228" t="s">
        <v>141</v>
      </c>
      <c r="D141" s="231">
        <v>6.1999999999999998E-3</v>
      </c>
      <c r="E141" s="155">
        <v>888831.36</v>
      </c>
      <c r="F141" s="156">
        <f>E141</f>
        <v>888831.36</v>
      </c>
      <c r="G141" s="46">
        <f t="shared" si="19"/>
        <v>0</v>
      </c>
      <c r="H141" s="46">
        <f t="shared" si="42"/>
        <v>0</v>
      </c>
      <c r="I141" s="279">
        <f t="shared" si="34"/>
        <v>500190.97630400001</v>
      </c>
      <c r="J141" s="279">
        <f t="shared" si="35"/>
        <v>0</v>
      </c>
      <c r="K141" s="279">
        <f t="shared" si="40"/>
        <v>185936.29261027643</v>
      </c>
      <c r="L141" s="279">
        <f t="shared" si="41"/>
        <v>202702.7028</v>
      </c>
      <c r="M141" s="277">
        <v>0</v>
      </c>
      <c r="N141" s="277">
        <v>0</v>
      </c>
      <c r="O141" s="277">
        <v>0</v>
      </c>
      <c r="P141" s="337">
        <f t="shared" si="36"/>
        <v>888831.36</v>
      </c>
      <c r="Q141" s="337"/>
      <c r="R141" s="191">
        <f t="shared" si="37"/>
        <v>915791.35999999999</v>
      </c>
      <c r="S141" s="217">
        <f t="shared" si="38"/>
        <v>1.36</v>
      </c>
      <c r="T141" s="19">
        <f t="shared" si="39"/>
        <v>136</v>
      </c>
      <c r="U141" t="s">
        <v>269</v>
      </c>
    </row>
    <row r="142" spans="1:21" ht="24.95" customHeight="1" x14ac:dyDescent="0.25">
      <c r="A142" s="15"/>
      <c r="B142" s="228">
        <f t="shared" si="43"/>
        <v>137</v>
      </c>
      <c r="C142" s="228" t="s">
        <v>142</v>
      </c>
      <c r="D142" s="231">
        <v>5.4000000000000003E-3</v>
      </c>
      <c r="E142" s="155">
        <v>824290.37</v>
      </c>
      <c r="F142" s="158">
        <f>E142</f>
        <v>824290.37</v>
      </c>
      <c r="G142" s="46">
        <f t="shared" si="19"/>
        <v>0</v>
      </c>
      <c r="H142" s="46">
        <f t="shared" si="42"/>
        <v>0</v>
      </c>
      <c r="I142" s="279">
        <f t="shared" si="34"/>
        <v>435650.20516800001</v>
      </c>
      <c r="J142" s="279">
        <f t="shared" si="35"/>
        <v>0</v>
      </c>
      <c r="K142" s="279">
        <f t="shared" si="40"/>
        <v>185936.29261027643</v>
      </c>
      <c r="L142" s="279">
        <f t="shared" si="41"/>
        <v>202702.7028</v>
      </c>
      <c r="M142" s="277">
        <v>0</v>
      </c>
      <c r="N142" s="277">
        <v>0</v>
      </c>
      <c r="O142" s="277">
        <v>0</v>
      </c>
      <c r="P142" s="337">
        <f t="shared" si="36"/>
        <v>824290.37</v>
      </c>
      <c r="Q142" s="337"/>
      <c r="R142" s="191">
        <f t="shared" si="37"/>
        <v>849292.37</v>
      </c>
      <c r="S142" s="217">
        <f t="shared" si="38"/>
        <v>1.37</v>
      </c>
      <c r="T142" s="19">
        <f t="shared" si="39"/>
        <v>137</v>
      </c>
    </row>
    <row r="143" spans="1:21" ht="24.95" customHeight="1" x14ac:dyDescent="0.25">
      <c r="A143" s="15"/>
      <c r="B143" s="228">
        <f t="shared" si="43"/>
        <v>138</v>
      </c>
      <c r="C143" s="228" t="s">
        <v>143</v>
      </c>
      <c r="D143" s="231">
        <v>6.4999999999999997E-3</v>
      </c>
      <c r="E143" s="155">
        <v>886367.38</v>
      </c>
      <c r="F143" s="158">
        <f>912000+10000</f>
        <v>922000</v>
      </c>
      <c r="G143" s="46">
        <f t="shared" si="19"/>
        <v>-35632.619999999995</v>
      </c>
      <c r="H143" s="46">
        <f t="shared" si="42"/>
        <v>0</v>
      </c>
      <c r="I143" s="279">
        <f t="shared" si="34"/>
        <v>524393.76547999994</v>
      </c>
      <c r="J143" s="279">
        <f t="shared" si="35"/>
        <v>0</v>
      </c>
      <c r="K143" s="279">
        <f t="shared" si="40"/>
        <v>185936.29261027643</v>
      </c>
      <c r="L143" s="279">
        <f t="shared" si="41"/>
        <v>202702.7028</v>
      </c>
      <c r="M143" s="277">
        <v>0</v>
      </c>
      <c r="N143" s="277">
        <v>0</v>
      </c>
      <c r="O143" s="277">
        <v>0</v>
      </c>
      <c r="P143" s="337">
        <f t="shared" si="36"/>
        <v>877401.38</v>
      </c>
      <c r="Q143" s="337"/>
      <c r="R143" s="191">
        <f t="shared" si="37"/>
        <v>904014.38</v>
      </c>
      <c r="S143" s="217">
        <f t="shared" si="38"/>
        <v>1.38</v>
      </c>
      <c r="T143" s="19">
        <f t="shared" si="39"/>
        <v>138</v>
      </c>
      <c r="U143" t="s">
        <v>278</v>
      </c>
    </row>
    <row r="144" spans="1:21" ht="24.95" customHeight="1" x14ac:dyDescent="0.25">
      <c r="A144" s="15"/>
      <c r="B144" s="228">
        <f t="shared" si="43"/>
        <v>139</v>
      </c>
      <c r="C144" s="228" t="s">
        <v>144</v>
      </c>
      <c r="D144" s="231">
        <v>6.1000000000000004E-3</v>
      </c>
      <c r="E144" s="155">
        <v>3141735.39</v>
      </c>
      <c r="F144" s="158">
        <v>3237100</v>
      </c>
      <c r="G144" s="46">
        <f t="shared" si="19"/>
        <v>-95364.60999999987</v>
      </c>
      <c r="H144" s="46">
        <f t="shared" si="42"/>
        <v>0</v>
      </c>
      <c r="I144" s="279">
        <f t="shared" si="34"/>
        <v>492123.37991200003</v>
      </c>
      <c r="J144" s="279">
        <f t="shared" si="35"/>
        <v>0</v>
      </c>
      <c r="K144" s="279">
        <f t="shared" si="40"/>
        <v>185936.29261027643</v>
      </c>
      <c r="L144" s="279">
        <f>P$1*0.675675676%</f>
        <v>202702.7028</v>
      </c>
      <c r="M144" s="277">
        <v>0</v>
      </c>
      <c r="N144" s="277">
        <v>0</v>
      </c>
      <c r="O144" s="277">
        <v>0</v>
      </c>
      <c r="P144" s="337">
        <f t="shared" si="36"/>
        <v>785399.39</v>
      </c>
      <c r="Q144" s="337"/>
      <c r="R144" s="191">
        <f t="shared" si="37"/>
        <v>809222.39</v>
      </c>
      <c r="S144" s="217">
        <f t="shared" si="38"/>
        <v>1.39</v>
      </c>
      <c r="T144" s="19">
        <f t="shared" si="39"/>
        <v>139</v>
      </c>
      <c r="U144" t="s">
        <v>270</v>
      </c>
    </row>
    <row r="145" spans="1:22" ht="24.95" customHeight="1" x14ac:dyDescent="0.25">
      <c r="A145" s="15"/>
      <c r="B145" s="228">
        <f t="shared" si="43"/>
        <v>140</v>
      </c>
      <c r="C145" s="228" t="s">
        <v>145</v>
      </c>
      <c r="D145" s="231">
        <v>0.18509999999999999</v>
      </c>
      <c r="E145" s="75"/>
      <c r="F145" s="158"/>
      <c r="G145" s="46"/>
      <c r="H145" s="46"/>
      <c r="I145" s="279"/>
      <c r="J145" s="279"/>
      <c r="K145" s="279"/>
      <c r="L145" s="279"/>
      <c r="M145" s="277">
        <v>0</v>
      </c>
      <c r="N145" s="277">
        <v>0</v>
      </c>
      <c r="O145" s="277">
        <v>0</v>
      </c>
      <c r="P145" s="337"/>
      <c r="Q145" s="337"/>
      <c r="R145" s="192"/>
      <c r="S145" s="217">
        <f t="shared" si="38"/>
        <v>1.4</v>
      </c>
      <c r="T145" s="19">
        <f t="shared" si="39"/>
        <v>140</v>
      </c>
    </row>
    <row r="146" spans="1:22" ht="24.95" customHeight="1" x14ac:dyDescent="0.25">
      <c r="A146" s="15"/>
      <c r="B146" s="228">
        <f t="shared" si="43"/>
        <v>141</v>
      </c>
      <c r="C146" s="228" t="s">
        <v>145</v>
      </c>
      <c r="D146" s="231">
        <v>0.156</v>
      </c>
      <c r="E146" s="75"/>
      <c r="F146" s="158"/>
      <c r="G146" s="46"/>
      <c r="H146" s="46"/>
      <c r="I146" s="279"/>
      <c r="J146" s="279"/>
      <c r="K146" s="279"/>
      <c r="L146" s="279"/>
      <c r="M146" s="277">
        <v>0</v>
      </c>
      <c r="N146" s="277">
        <v>0</v>
      </c>
      <c r="O146" s="277">
        <v>0</v>
      </c>
      <c r="P146" s="337"/>
      <c r="Q146" s="337"/>
      <c r="R146" s="192"/>
      <c r="S146" s="217">
        <f t="shared" si="38"/>
        <v>1.41</v>
      </c>
      <c r="T146" s="19">
        <f t="shared" si="39"/>
        <v>141</v>
      </c>
    </row>
    <row r="147" spans="1:22" ht="24.95" customHeight="1" x14ac:dyDescent="0.25">
      <c r="A147" s="15"/>
      <c r="B147" s="228"/>
      <c r="C147" s="228"/>
      <c r="D147" s="231"/>
      <c r="E147" s="75"/>
      <c r="F147" s="158"/>
      <c r="G147" s="46"/>
      <c r="H147" s="46"/>
      <c r="I147" s="279"/>
      <c r="J147" s="279"/>
      <c r="K147" s="279"/>
      <c r="L147" s="279"/>
      <c r="M147" s="277">
        <v>0</v>
      </c>
      <c r="N147" s="277">
        <v>0</v>
      </c>
      <c r="O147" s="277">
        <v>0</v>
      </c>
      <c r="P147" s="337"/>
      <c r="Q147" s="337"/>
      <c r="R147" s="192"/>
      <c r="S147" s="217">
        <f t="shared" si="38"/>
        <v>0</v>
      </c>
      <c r="T147" s="19">
        <f t="shared" si="39"/>
        <v>0</v>
      </c>
    </row>
    <row r="148" spans="1:22" ht="24.95" customHeight="1" x14ac:dyDescent="0.25">
      <c r="A148" s="15"/>
      <c r="B148" s="228"/>
      <c r="C148" s="228"/>
      <c r="D148" s="231"/>
      <c r="E148" s="75"/>
      <c r="F148" s="158"/>
      <c r="G148" s="46"/>
      <c r="H148" s="46"/>
      <c r="I148" s="279"/>
      <c r="J148" s="279"/>
      <c r="K148" s="279"/>
      <c r="L148" s="279"/>
      <c r="M148" s="277">
        <v>0</v>
      </c>
      <c r="N148" s="277">
        <v>0</v>
      </c>
      <c r="O148" s="277">
        <v>0</v>
      </c>
      <c r="P148" s="337"/>
      <c r="Q148" s="337"/>
      <c r="R148" s="192"/>
      <c r="S148" s="217">
        <f t="shared" si="38"/>
        <v>0</v>
      </c>
      <c r="T148" s="19">
        <f t="shared" si="39"/>
        <v>0</v>
      </c>
    </row>
    <row r="149" spans="1:22" ht="24.95" customHeight="1" x14ac:dyDescent="0.25">
      <c r="A149" s="15"/>
      <c r="B149" s="228">
        <v>146</v>
      </c>
      <c r="C149" s="228" t="s">
        <v>83</v>
      </c>
      <c r="D149" s="231">
        <v>3.8E-3</v>
      </c>
      <c r="E149" s="156">
        <v>695209.46</v>
      </c>
      <c r="F149" s="158">
        <f>E149</f>
        <v>695209.46</v>
      </c>
      <c r="G149" s="46">
        <f t="shared" si="19"/>
        <v>0</v>
      </c>
      <c r="H149" s="46">
        <f t="shared" si="42"/>
        <v>0</v>
      </c>
      <c r="I149" s="279">
        <f t="shared" si="34"/>
        <v>306568.66289600002</v>
      </c>
      <c r="J149" s="279">
        <f t="shared" ref="J149:J158" si="44">P$2*D149</f>
        <v>0</v>
      </c>
      <c r="K149" s="279">
        <f t="shared" ref="K149:K158" si="45">G$2*0.675675676%</f>
        <v>185936.29261027643</v>
      </c>
      <c r="L149" s="279">
        <f>P$1*0.675675676%</f>
        <v>202702.7028</v>
      </c>
      <c r="M149" s="277">
        <v>0</v>
      </c>
      <c r="N149" s="277">
        <v>0</v>
      </c>
      <c r="O149" s="277">
        <v>0</v>
      </c>
      <c r="P149" s="337">
        <f t="shared" ref="P149:P158" si="46">ROUND(SUM(G149:O149),0) + S149</f>
        <v>695209.46</v>
      </c>
      <c r="Q149" s="337"/>
      <c r="R149" s="191">
        <f t="shared" ref="R149:R158" si="47">ROUND(P149+P149*3.033%,0) + S149</f>
        <v>716296.46</v>
      </c>
      <c r="S149" s="217">
        <f t="shared" si="38"/>
        <v>1.46</v>
      </c>
      <c r="T149" s="19">
        <f t="shared" si="39"/>
        <v>146</v>
      </c>
    </row>
    <row r="150" spans="1:22" ht="24.95" customHeight="1" x14ac:dyDescent="0.25">
      <c r="A150" s="15"/>
      <c r="B150" s="228">
        <v>155</v>
      </c>
      <c r="C150" s="228" t="s">
        <v>286</v>
      </c>
      <c r="D150" s="231">
        <v>4.2300000000000003E-3</v>
      </c>
      <c r="E150" s="156">
        <v>1139411.55</v>
      </c>
      <c r="F150" s="158">
        <f>E150</f>
        <v>1139411.55</v>
      </c>
      <c r="G150" s="46">
        <f t="shared" si="19"/>
        <v>0</v>
      </c>
      <c r="H150" s="46">
        <f t="shared" si="42"/>
        <v>0</v>
      </c>
      <c r="I150" s="279">
        <f t="shared" si="34"/>
        <v>341259.32738160004</v>
      </c>
      <c r="J150" s="279"/>
      <c r="K150" s="279">
        <f t="shared" si="45"/>
        <v>185936.29261027643</v>
      </c>
      <c r="L150" s="279">
        <f>P$1*0.675675676%</f>
        <v>202702.7028</v>
      </c>
      <c r="M150" s="277">
        <v>68252</v>
      </c>
      <c r="N150" s="56">
        <f>(I150)</f>
        <v>341259.32738160004</v>
      </c>
      <c r="O150" s="277">
        <v>0</v>
      </c>
      <c r="P150" s="337">
        <f t="shared" si="46"/>
        <v>1139411.55</v>
      </c>
      <c r="Q150" s="337"/>
      <c r="R150" s="191">
        <f t="shared" si="47"/>
        <v>1173971.55</v>
      </c>
      <c r="S150" s="217">
        <f t="shared" si="38"/>
        <v>1.55</v>
      </c>
      <c r="T150" s="19">
        <f t="shared" si="39"/>
        <v>155</v>
      </c>
      <c r="U150" t="s">
        <v>295</v>
      </c>
    </row>
    <row r="151" spans="1:22" ht="24.95" customHeight="1" x14ac:dyDescent="0.25">
      <c r="A151" s="15"/>
      <c r="B151" s="228">
        <v>158</v>
      </c>
      <c r="C151" s="228" t="s">
        <v>52</v>
      </c>
      <c r="D151" s="231">
        <v>4.5999999999999999E-3</v>
      </c>
      <c r="E151" s="156">
        <v>759749.58</v>
      </c>
      <c r="F151" s="158">
        <f t="shared" ref="F151:F154" si="48">E151</f>
        <v>759749.58</v>
      </c>
      <c r="G151" s="46">
        <f t="shared" si="19"/>
        <v>0</v>
      </c>
      <c r="H151" s="46">
        <f t="shared" si="42"/>
        <v>0</v>
      </c>
      <c r="I151" s="279">
        <f t="shared" si="34"/>
        <v>371109.43403200002</v>
      </c>
      <c r="J151" s="279">
        <f t="shared" si="44"/>
        <v>0</v>
      </c>
      <c r="K151" s="279">
        <f t="shared" si="45"/>
        <v>185936.29261027643</v>
      </c>
      <c r="L151" s="279">
        <f t="shared" ref="L151:L158" si="49">P$1*0.675675676%</f>
        <v>202702.7028</v>
      </c>
      <c r="M151" s="277">
        <v>0</v>
      </c>
      <c r="N151" s="277">
        <v>0</v>
      </c>
      <c r="O151" s="277">
        <v>0</v>
      </c>
      <c r="P151" s="337">
        <f t="shared" si="46"/>
        <v>759749.58</v>
      </c>
      <c r="Q151" s="337"/>
      <c r="R151" s="191">
        <f t="shared" si="47"/>
        <v>782794.58</v>
      </c>
      <c r="S151" s="217">
        <f t="shared" si="38"/>
        <v>1.58</v>
      </c>
      <c r="T151" s="19">
        <f t="shared" si="39"/>
        <v>158</v>
      </c>
    </row>
    <row r="152" spans="1:22" ht="24.95" customHeight="1" x14ac:dyDescent="0.25">
      <c r="A152" s="15"/>
      <c r="B152" s="228">
        <v>159</v>
      </c>
      <c r="C152" s="228" t="s">
        <v>52</v>
      </c>
      <c r="D152" s="231">
        <v>4.5999999999999999E-3</v>
      </c>
      <c r="E152" s="156">
        <v>759749.59</v>
      </c>
      <c r="F152" s="158">
        <f t="shared" si="48"/>
        <v>759749.59</v>
      </c>
      <c r="G152" s="46">
        <f t="shared" si="19"/>
        <v>0</v>
      </c>
      <c r="H152" s="46">
        <f t="shared" si="42"/>
        <v>0</v>
      </c>
      <c r="I152" s="279">
        <f t="shared" si="34"/>
        <v>371109.43403200002</v>
      </c>
      <c r="J152" s="279">
        <f t="shared" si="44"/>
        <v>0</v>
      </c>
      <c r="K152" s="279">
        <f t="shared" si="45"/>
        <v>185936.29261027643</v>
      </c>
      <c r="L152" s="279">
        <f t="shared" si="49"/>
        <v>202702.7028</v>
      </c>
      <c r="M152" s="277">
        <v>0</v>
      </c>
      <c r="N152" s="277">
        <v>0</v>
      </c>
      <c r="O152" s="277">
        <v>0</v>
      </c>
      <c r="P152" s="337">
        <f t="shared" si="46"/>
        <v>759749.59</v>
      </c>
      <c r="Q152" s="337"/>
      <c r="R152" s="191">
        <f t="shared" si="47"/>
        <v>782794.59</v>
      </c>
      <c r="S152" s="217">
        <f t="shared" si="38"/>
        <v>1.59</v>
      </c>
      <c r="T152" s="19">
        <f t="shared" si="39"/>
        <v>159</v>
      </c>
    </row>
    <row r="153" spans="1:22" ht="24.95" customHeight="1" x14ac:dyDescent="0.25">
      <c r="A153" s="15"/>
      <c r="B153" s="228">
        <v>163</v>
      </c>
      <c r="C153" s="228" t="s">
        <v>84</v>
      </c>
      <c r="D153" s="231">
        <v>4.5999999999999999E-3</v>
      </c>
      <c r="E153" s="156">
        <v>759749.63</v>
      </c>
      <c r="F153" s="156">
        <f>E153</f>
        <v>759749.63</v>
      </c>
      <c r="G153" s="46">
        <f t="shared" si="19"/>
        <v>0</v>
      </c>
      <c r="H153" s="46">
        <f t="shared" si="42"/>
        <v>0</v>
      </c>
      <c r="I153" s="279">
        <f t="shared" si="34"/>
        <v>371109.43403200002</v>
      </c>
      <c r="J153" s="279">
        <f t="shared" si="44"/>
        <v>0</v>
      </c>
      <c r="K153" s="279">
        <f t="shared" si="45"/>
        <v>185936.29261027643</v>
      </c>
      <c r="L153" s="279">
        <f t="shared" si="49"/>
        <v>202702.7028</v>
      </c>
      <c r="M153" s="277">
        <v>0</v>
      </c>
      <c r="N153" s="277">
        <v>0</v>
      </c>
      <c r="O153" s="277">
        <v>0</v>
      </c>
      <c r="P153" s="337">
        <f t="shared" si="46"/>
        <v>759749.63</v>
      </c>
      <c r="Q153" s="337"/>
      <c r="R153" s="191">
        <f t="shared" si="47"/>
        <v>782794.63</v>
      </c>
      <c r="S153" s="217">
        <f t="shared" si="38"/>
        <v>1.63</v>
      </c>
      <c r="T153" s="19">
        <f t="shared" si="39"/>
        <v>163</v>
      </c>
    </row>
    <row r="154" spans="1:22" ht="24.95" customHeight="1" x14ac:dyDescent="0.25">
      <c r="A154" s="15"/>
      <c r="B154" s="228">
        <v>168</v>
      </c>
      <c r="C154" s="228" t="s">
        <v>52</v>
      </c>
      <c r="D154" s="231">
        <v>4.4000000000000003E-3</v>
      </c>
      <c r="E154" s="156">
        <v>743614.68</v>
      </c>
      <c r="F154" s="158">
        <f t="shared" si="48"/>
        <v>743614.68</v>
      </c>
      <c r="G154" s="46">
        <f t="shared" si="19"/>
        <v>0</v>
      </c>
      <c r="H154" s="46">
        <f t="shared" si="42"/>
        <v>0</v>
      </c>
      <c r="I154" s="279">
        <f t="shared" si="34"/>
        <v>354974.24124800001</v>
      </c>
      <c r="J154" s="279">
        <f t="shared" si="44"/>
        <v>0</v>
      </c>
      <c r="K154" s="279">
        <f t="shared" si="45"/>
        <v>185936.29261027643</v>
      </c>
      <c r="L154" s="279">
        <f t="shared" si="49"/>
        <v>202702.7028</v>
      </c>
      <c r="M154" s="277">
        <v>0</v>
      </c>
      <c r="N154" s="277">
        <v>0</v>
      </c>
      <c r="O154" s="277">
        <v>0</v>
      </c>
      <c r="P154" s="337">
        <f t="shared" si="46"/>
        <v>743614.68</v>
      </c>
      <c r="Q154" s="337"/>
      <c r="R154" s="191">
        <f t="shared" si="47"/>
        <v>766170.68</v>
      </c>
      <c r="S154" s="217">
        <f t="shared" si="38"/>
        <v>1.68</v>
      </c>
      <c r="T154" s="19">
        <f t="shared" si="39"/>
        <v>168</v>
      </c>
    </row>
    <row r="155" spans="1:22" ht="24.95" customHeight="1" x14ac:dyDescent="0.25">
      <c r="A155" s="15"/>
      <c r="B155" s="228">
        <v>173</v>
      </c>
      <c r="C155" s="228" t="s">
        <v>85</v>
      </c>
      <c r="D155" s="231">
        <v>4.5999999999999999E-3</v>
      </c>
      <c r="E155" s="156">
        <v>759750.73</v>
      </c>
      <c r="F155" s="158">
        <v>759749.73</v>
      </c>
      <c r="G155" s="46">
        <f t="shared" si="19"/>
        <v>1</v>
      </c>
      <c r="H155" s="46">
        <f t="shared" si="42"/>
        <v>3.0870000000000002E-2</v>
      </c>
      <c r="I155" s="279">
        <f t="shared" si="34"/>
        <v>371109.43403200002</v>
      </c>
      <c r="J155" s="279">
        <f t="shared" si="44"/>
        <v>0</v>
      </c>
      <c r="K155" s="279">
        <f t="shared" si="45"/>
        <v>185936.29261027643</v>
      </c>
      <c r="L155" s="279">
        <f t="shared" si="49"/>
        <v>202702.7028</v>
      </c>
      <c r="M155" s="277">
        <v>0</v>
      </c>
      <c r="N155" s="277">
        <v>0</v>
      </c>
      <c r="O155" s="277">
        <v>0</v>
      </c>
      <c r="P155" s="337">
        <f t="shared" si="46"/>
        <v>759750.73</v>
      </c>
      <c r="Q155" s="337"/>
      <c r="R155" s="191">
        <f t="shared" si="47"/>
        <v>782795.73</v>
      </c>
      <c r="S155" s="217">
        <f t="shared" si="38"/>
        <v>1.73</v>
      </c>
      <c r="T155" s="19">
        <f t="shared" si="39"/>
        <v>173</v>
      </c>
      <c r="V155" t="s">
        <v>220</v>
      </c>
    </row>
    <row r="156" spans="1:22" ht="24.95" customHeight="1" x14ac:dyDescent="0.25">
      <c r="A156" s="15"/>
      <c r="B156" s="228">
        <v>175</v>
      </c>
      <c r="C156" s="228" t="s">
        <v>85</v>
      </c>
      <c r="D156" s="231">
        <v>4.5999999999999999E-3</v>
      </c>
      <c r="E156" s="156">
        <v>759750.75</v>
      </c>
      <c r="F156" s="158">
        <v>759749.75</v>
      </c>
      <c r="G156" s="46">
        <f t="shared" si="19"/>
        <v>1</v>
      </c>
      <c r="H156" s="46">
        <f t="shared" si="42"/>
        <v>3.0870000000000002E-2</v>
      </c>
      <c r="I156" s="279">
        <f t="shared" si="34"/>
        <v>371109.43403200002</v>
      </c>
      <c r="J156" s="279">
        <f t="shared" si="44"/>
        <v>0</v>
      </c>
      <c r="K156" s="279">
        <f t="shared" si="45"/>
        <v>185936.29261027643</v>
      </c>
      <c r="L156" s="279">
        <f t="shared" si="49"/>
        <v>202702.7028</v>
      </c>
      <c r="M156" s="277">
        <v>0</v>
      </c>
      <c r="N156" s="277">
        <v>0</v>
      </c>
      <c r="O156" s="277">
        <v>0</v>
      </c>
      <c r="P156" s="337">
        <f t="shared" si="46"/>
        <v>759750.75</v>
      </c>
      <c r="Q156" s="337"/>
      <c r="R156" s="191">
        <f t="shared" si="47"/>
        <v>782795.75</v>
      </c>
      <c r="S156" s="217">
        <f t="shared" si="38"/>
        <v>1.75</v>
      </c>
      <c r="T156" s="19">
        <f t="shared" si="39"/>
        <v>175</v>
      </c>
      <c r="V156" t="s">
        <v>220</v>
      </c>
    </row>
    <row r="157" spans="1:22" ht="24.95" customHeight="1" x14ac:dyDescent="0.25">
      <c r="A157" s="15"/>
      <c r="B157" s="228">
        <v>176</v>
      </c>
      <c r="C157" s="228" t="s">
        <v>84</v>
      </c>
      <c r="D157" s="231">
        <v>4.5999999999999999E-3</v>
      </c>
      <c r="E157" s="156">
        <v>759749.76</v>
      </c>
      <c r="F157" s="156">
        <f>E157</f>
        <v>759749.76</v>
      </c>
      <c r="G157" s="46">
        <f t="shared" si="19"/>
        <v>0</v>
      </c>
      <c r="H157" s="46">
        <f t="shared" si="42"/>
        <v>0</v>
      </c>
      <c r="I157" s="279">
        <f t="shared" si="34"/>
        <v>371109.43403200002</v>
      </c>
      <c r="J157" s="279">
        <f t="shared" si="44"/>
        <v>0</v>
      </c>
      <c r="K157" s="279">
        <f t="shared" si="45"/>
        <v>185936.29261027643</v>
      </c>
      <c r="L157" s="279">
        <f t="shared" si="49"/>
        <v>202702.7028</v>
      </c>
      <c r="M157" s="277">
        <v>0</v>
      </c>
      <c r="N157" s="277">
        <v>0</v>
      </c>
      <c r="O157" s="277">
        <v>0</v>
      </c>
      <c r="P157" s="337">
        <f t="shared" si="46"/>
        <v>759749.76</v>
      </c>
      <c r="Q157" s="337"/>
      <c r="R157" s="191">
        <f t="shared" si="47"/>
        <v>782794.76</v>
      </c>
      <c r="S157" s="217">
        <f t="shared" si="38"/>
        <v>1.76</v>
      </c>
      <c r="T157" s="19">
        <f t="shared" si="39"/>
        <v>176</v>
      </c>
    </row>
    <row r="158" spans="1:22" ht="24.95" customHeight="1" x14ac:dyDescent="0.25">
      <c r="A158" s="15"/>
      <c r="B158" s="228">
        <v>204</v>
      </c>
      <c r="C158" s="228" t="s">
        <v>42</v>
      </c>
      <c r="D158" s="231">
        <v>4.8999999999999998E-3</v>
      </c>
      <c r="E158" s="156">
        <v>760883.04</v>
      </c>
      <c r="F158" s="158">
        <v>783963</v>
      </c>
      <c r="G158" s="46">
        <f t="shared" si="19"/>
        <v>-23079.959999999963</v>
      </c>
      <c r="H158" s="46">
        <f t="shared" si="42"/>
        <v>0</v>
      </c>
      <c r="I158" s="279">
        <f t="shared" si="34"/>
        <v>395312.22320800001</v>
      </c>
      <c r="J158" s="279">
        <f t="shared" si="44"/>
        <v>0</v>
      </c>
      <c r="K158" s="279">
        <f t="shared" si="45"/>
        <v>185936.29261027643</v>
      </c>
      <c r="L158" s="279">
        <f t="shared" si="49"/>
        <v>202702.7028</v>
      </c>
      <c r="M158" s="277">
        <v>0</v>
      </c>
      <c r="N158" s="277">
        <v>0</v>
      </c>
      <c r="O158" s="277">
        <v>0</v>
      </c>
      <c r="P158" s="337">
        <f t="shared" si="46"/>
        <v>760873.04</v>
      </c>
      <c r="Q158" s="337"/>
      <c r="R158" s="191">
        <f t="shared" si="47"/>
        <v>783952.04</v>
      </c>
      <c r="S158" s="217">
        <f t="shared" si="38"/>
        <v>2.04</v>
      </c>
      <c r="T158" s="19">
        <f t="shared" si="39"/>
        <v>204</v>
      </c>
      <c r="U158" t="s">
        <v>282</v>
      </c>
    </row>
    <row r="159" spans="1:22" ht="24.95" customHeight="1" x14ac:dyDescent="0.25">
      <c r="A159" s="16"/>
      <c r="B159" s="228"/>
      <c r="C159" s="228"/>
      <c r="D159" s="231"/>
      <c r="E159" s="158"/>
      <c r="F159" s="158"/>
      <c r="G159" s="282"/>
      <c r="H159" s="282"/>
      <c r="I159" s="283"/>
      <c r="J159" s="283"/>
      <c r="K159" s="283"/>
      <c r="L159" s="283"/>
      <c r="M159" s="283"/>
      <c r="N159" s="277">
        <v>0</v>
      </c>
      <c r="O159" s="279"/>
      <c r="P159" s="343"/>
      <c r="Q159" s="343"/>
      <c r="R159" s="259"/>
      <c r="S159" s="217"/>
      <c r="T159" s="19"/>
    </row>
    <row r="160" spans="1:22" ht="24.95" customHeight="1" thickBot="1" x14ac:dyDescent="0.3">
      <c r="A160" s="16"/>
      <c r="B160" s="284"/>
      <c r="C160" s="284"/>
      <c r="D160" s="285"/>
      <c r="E160" s="150"/>
      <c r="F160" s="151"/>
      <c r="G160" s="286"/>
      <c r="H160" s="286"/>
      <c r="I160" s="150"/>
      <c r="J160" s="287"/>
      <c r="K160" s="287"/>
      <c r="L160" s="287"/>
      <c r="M160" s="287"/>
      <c r="N160" s="287"/>
      <c r="O160" s="288"/>
      <c r="P160" s="344"/>
      <c r="Q160" s="344"/>
      <c r="R160" s="260"/>
      <c r="S160" s="217"/>
      <c r="T160" s="151"/>
    </row>
    <row r="161" spans="1:20" ht="24.95" customHeight="1" thickBot="1" x14ac:dyDescent="0.3">
      <c r="A161" s="18"/>
      <c r="B161" s="289"/>
      <c r="C161" s="289"/>
      <c r="D161" s="290">
        <f t="shared" ref="D161:O161" si="50">SUM(D6:D160)</f>
        <v>1.0449300000000001</v>
      </c>
      <c r="E161" s="291">
        <f t="shared" si="50"/>
        <v>165131822.06999999</v>
      </c>
      <c r="F161" s="292">
        <f>SUM(F6:F160)</f>
        <v>115832595.79999998</v>
      </c>
      <c r="G161" s="293">
        <f t="shared" si="50"/>
        <v>49299226.270000003</v>
      </c>
      <c r="H161" s="294"/>
      <c r="I161" s="294">
        <f t="shared" si="50"/>
        <v>56782163.685813546</v>
      </c>
      <c r="J161" s="294">
        <f t="shared" si="50"/>
        <v>0</v>
      </c>
      <c r="K161" s="295">
        <f t="shared" si="50"/>
        <v>27704507.598931193</v>
      </c>
      <c r="L161" s="296">
        <f t="shared" si="50"/>
        <v>30202702.717199888</v>
      </c>
      <c r="M161" s="295">
        <f t="shared" si="50"/>
        <v>497450</v>
      </c>
      <c r="N161" s="297">
        <f t="shared" si="50"/>
        <v>2148400.9191895998</v>
      </c>
      <c r="O161" s="295">
        <f t="shared" si="50"/>
        <v>1370214.314032</v>
      </c>
      <c r="P161" s="341">
        <f>SUM(P6:P160)</f>
        <v>169569238.07000002</v>
      </c>
      <c r="Q161" s="342"/>
      <c r="R161" s="298">
        <f>SUM(R6:R160)</f>
        <v>174712392.07000002</v>
      </c>
      <c r="S161" s="341"/>
      <c r="T161" s="342"/>
    </row>
    <row r="162" spans="1:20" ht="15" customHeight="1" x14ac:dyDescent="0.25">
      <c r="B162" s="338" t="s">
        <v>310</v>
      </c>
      <c r="C162" s="338"/>
      <c r="D162" s="338"/>
      <c r="E162" s="338"/>
      <c r="F162" s="338"/>
      <c r="G162" s="338"/>
      <c r="H162" s="338"/>
      <c r="I162" s="338"/>
      <c r="J162" s="338"/>
      <c r="K162" s="338"/>
      <c r="L162" s="338"/>
      <c r="M162" s="338"/>
      <c r="N162" s="338"/>
      <c r="O162" s="338"/>
      <c r="P162" s="338"/>
      <c r="Q162" s="338"/>
      <c r="R162" s="338"/>
      <c r="S162" s="338"/>
      <c r="T162" s="338"/>
    </row>
    <row r="163" spans="1:20" ht="49.7" customHeight="1" x14ac:dyDescent="0.25">
      <c r="B163" s="339"/>
      <c r="C163" s="339"/>
      <c r="D163" s="339"/>
      <c r="E163" s="339"/>
      <c r="F163" s="339"/>
      <c r="G163" s="339"/>
      <c r="H163" s="339"/>
      <c r="I163" s="339"/>
      <c r="J163" s="339"/>
      <c r="K163" s="339"/>
      <c r="L163" s="339"/>
      <c r="M163" s="339"/>
      <c r="N163" s="339"/>
      <c r="O163" s="339"/>
      <c r="P163" s="339"/>
      <c r="Q163" s="339"/>
      <c r="R163" s="339"/>
      <c r="S163" s="339"/>
      <c r="T163" s="339"/>
    </row>
    <row r="164" spans="1:20" ht="13.7" hidden="1" customHeight="1" x14ac:dyDescent="0.25">
      <c r="B164" s="340" t="s">
        <v>257</v>
      </c>
      <c r="C164" s="340"/>
      <c r="D164" s="340"/>
      <c r="E164" s="340"/>
      <c r="F164" s="340"/>
      <c r="G164" s="340"/>
      <c r="H164" s="340"/>
      <c r="I164" s="340"/>
      <c r="J164" s="340"/>
      <c r="K164" s="340"/>
      <c r="L164" s="340"/>
      <c r="M164" s="340"/>
      <c r="N164" s="340"/>
      <c r="O164" s="340"/>
      <c r="P164" s="340"/>
      <c r="Q164" s="340"/>
      <c r="R164" s="340"/>
      <c r="S164" s="340"/>
      <c r="T164" s="340"/>
    </row>
    <row r="165" spans="1:20" ht="15" hidden="1" customHeight="1" x14ac:dyDescent="0.25">
      <c r="B165" s="340"/>
      <c r="C165" s="340"/>
      <c r="D165" s="340"/>
      <c r="E165" s="340"/>
      <c r="F165" s="340"/>
      <c r="G165" s="340"/>
      <c r="H165" s="340"/>
      <c r="I165" s="340"/>
      <c r="J165" s="340"/>
      <c r="K165" s="340"/>
      <c r="L165" s="340"/>
      <c r="M165" s="340"/>
      <c r="N165" s="340"/>
      <c r="O165" s="340"/>
      <c r="P165" s="340"/>
      <c r="Q165" s="340"/>
      <c r="R165" s="340"/>
      <c r="S165" s="340"/>
      <c r="T165" s="340"/>
    </row>
    <row r="166" spans="1:20" ht="3.6" customHeight="1" x14ac:dyDescent="0.25">
      <c r="B166" s="340"/>
      <c r="C166" s="340"/>
      <c r="D166" s="340"/>
      <c r="E166" s="340"/>
      <c r="F166" s="340"/>
      <c r="G166" s="340"/>
      <c r="H166" s="340"/>
      <c r="I166" s="340"/>
      <c r="J166" s="340"/>
      <c r="K166" s="340"/>
      <c r="L166" s="340"/>
      <c r="M166" s="340"/>
      <c r="N166" s="340"/>
      <c r="O166" s="340"/>
      <c r="P166" s="340"/>
      <c r="Q166" s="340"/>
      <c r="R166" s="340"/>
      <c r="S166" s="340"/>
      <c r="T166" s="340"/>
    </row>
    <row r="167" spans="1:20" ht="128.25" customHeight="1" x14ac:dyDescent="0.25">
      <c r="B167" s="340"/>
      <c r="C167" s="340"/>
      <c r="D167" s="340"/>
      <c r="E167" s="340"/>
      <c r="F167" s="340"/>
      <c r="G167" s="340"/>
      <c r="H167" s="340"/>
      <c r="I167" s="340"/>
      <c r="J167" s="340"/>
      <c r="K167" s="340"/>
      <c r="L167" s="340"/>
      <c r="M167" s="340"/>
      <c r="N167" s="340"/>
      <c r="O167" s="340"/>
      <c r="P167" s="340"/>
      <c r="Q167" s="340"/>
      <c r="R167" s="340"/>
      <c r="S167" s="340"/>
      <c r="T167" s="340"/>
    </row>
  </sheetData>
  <mergeCells count="186">
    <mergeCell ref="I4:I5"/>
    <mergeCell ref="J4:J5"/>
    <mergeCell ref="P6:Q6"/>
    <mergeCell ref="P7:Q7"/>
    <mergeCell ref="P8:Q8"/>
    <mergeCell ref="P9:Q9"/>
    <mergeCell ref="P10:Q10"/>
    <mergeCell ref="P26:Q26"/>
    <mergeCell ref="P21:Q21"/>
    <mergeCell ref="P16:Q16"/>
    <mergeCell ref="P17:Q17"/>
    <mergeCell ref="P18:Q18"/>
    <mergeCell ref="P19:Q19"/>
    <mergeCell ref="P20:Q20"/>
    <mergeCell ref="P11:Q11"/>
    <mergeCell ref="P12:Q12"/>
    <mergeCell ref="P13:Q13"/>
    <mergeCell ref="P14:Q14"/>
    <mergeCell ref="P15:Q15"/>
    <mergeCell ref="L4:L5"/>
    <mergeCell ref="P22:Q22"/>
    <mergeCell ref="P23:Q23"/>
    <mergeCell ref="P24:Q24"/>
    <mergeCell ref="P25:Q25"/>
    <mergeCell ref="K2:L2"/>
    <mergeCell ref="M4:M5"/>
    <mergeCell ref="P1:Q1"/>
    <mergeCell ref="P2:Q2"/>
    <mergeCell ref="G2:H2"/>
    <mergeCell ref="N4:N5"/>
    <mergeCell ref="O4:O5"/>
    <mergeCell ref="C2:E2"/>
    <mergeCell ref="C1:L1"/>
    <mergeCell ref="N1:O1"/>
    <mergeCell ref="P4:Q4"/>
    <mergeCell ref="P5:Q5"/>
    <mergeCell ref="A3:T3"/>
    <mergeCell ref="R4:S5"/>
    <mergeCell ref="T4:T5"/>
    <mergeCell ref="A4:A5"/>
    <mergeCell ref="B4:B5"/>
    <mergeCell ref="C4:C5"/>
    <mergeCell ref="D4:D5"/>
    <mergeCell ref="K4:K5"/>
    <mergeCell ref="H4:H5"/>
    <mergeCell ref="E4:E5"/>
    <mergeCell ref="F4:F5"/>
    <mergeCell ref="G4:G5"/>
    <mergeCell ref="P27:Q27"/>
    <mergeCell ref="P28:Q28"/>
    <mergeCell ref="P29:Q29"/>
    <mergeCell ref="P30:Q30"/>
    <mergeCell ref="P46:Q46"/>
    <mergeCell ref="P47:Q47"/>
    <mergeCell ref="P48:Q48"/>
    <mergeCell ref="P49:Q49"/>
    <mergeCell ref="P50:Q50"/>
    <mergeCell ref="P41:Q41"/>
    <mergeCell ref="P42:Q42"/>
    <mergeCell ref="P43:Q43"/>
    <mergeCell ref="P44:Q44"/>
    <mergeCell ref="P45:Q45"/>
    <mergeCell ref="P36:Q36"/>
    <mergeCell ref="P37:Q37"/>
    <mergeCell ref="P38:Q38"/>
    <mergeCell ref="P39:Q39"/>
    <mergeCell ref="P40:Q40"/>
    <mergeCell ref="P31:Q31"/>
    <mergeCell ref="P32:Q32"/>
    <mergeCell ref="P33:Q33"/>
    <mergeCell ref="P34:Q34"/>
    <mergeCell ref="P35:Q35"/>
    <mergeCell ref="P56:Q56"/>
    <mergeCell ref="P57:Q57"/>
    <mergeCell ref="P58:Q58"/>
    <mergeCell ref="P59:Q59"/>
    <mergeCell ref="P60:Q60"/>
    <mergeCell ref="P51:Q51"/>
    <mergeCell ref="P52:Q52"/>
    <mergeCell ref="P53:Q53"/>
    <mergeCell ref="P54:Q54"/>
    <mergeCell ref="P55:Q55"/>
    <mergeCell ref="P66:Q66"/>
    <mergeCell ref="P67:Q67"/>
    <mergeCell ref="P68:Q68"/>
    <mergeCell ref="P69:Q69"/>
    <mergeCell ref="P70:Q70"/>
    <mergeCell ref="P61:Q61"/>
    <mergeCell ref="P62:Q62"/>
    <mergeCell ref="P63:Q63"/>
    <mergeCell ref="P64:Q64"/>
    <mergeCell ref="P65:Q65"/>
    <mergeCell ref="P76:Q76"/>
    <mergeCell ref="P77:Q77"/>
    <mergeCell ref="P78:Q78"/>
    <mergeCell ref="P79:Q79"/>
    <mergeCell ref="P80:Q80"/>
    <mergeCell ref="P71:Q71"/>
    <mergeCell ref="P72:Q72"/>
    <mergeCell ref="P73:Q73"/>
    <mergeCell ref="P74:Q74"/>
    <mergeCell ref="P75:Q75"/>
    <mergeCell ref="P86:Q86"/>
    <mergeCell ref="P87:Q87"/>
    <mergeCell ref="P88:Q88"/>
    <mergeCell ref="P89:Q89"/>
    <mergeCell ref="P90:Q90"/>
    <mergeCell ref="P81:Q81"/>
    <mergeCell ref="P82:Q82"/>
    <mergeCell ref="P83:Q83"/>
    <mergeCell ref="P84:Q84"/>
    <mergeCell ref="P85:Q85"/>
    <mergeCell ref="P96:Q96"/>
    <mergeCell ref="P97:Q97"/>
    <mergeCell ref="P98:Q98"/>
    <mergeCell ref="P99:Q99"/>
    <mergeCell ref="P100:Q100"/>
    <mergeCell ref="P91:Q91"/>
    <mergeCell ref="P92:Q92"/>
    <mergeCell ref="P93:Q93"/>
    <mergeCell ref="P94:Q94"/>
    <mergeCell ref="P95:Q95"/>
    <mergeCell ref="P106:Q106"/>
    <mergeCell ref="P107:Q107"/>
    <mergeCell ref="P108:Q108"/>
    <mergeCell ref="P109:Q109"/>
    <mergeCell ref="P110:Q110"/>
    <mergeCell ref="P101:Q101"/>
    <mergeCell ref="P102:Q102"/>
    <mergeCell ref="P103:Q103"/>
    <mergeCell ref="P104:Q104"/>
    <mergeCell ref="P105:Q105"/>
    <mergeCell ref="P116:Q116"/>
    <mergeCell ref="P117:Q117"/>
    <mergeCell ref="P118:Q118"/>
    <mergeCell ref="P119:Q119"/>
    <mergeCell ref="P120:Q120"/>
    <mergeCell ref="P111:Q111"/>
    <mergeCell ref="P112:Q112"/>
    <mergeCell ref="P113:Q113"/>
    <mergeCell ref="P114:Q114"/>
    <mergeCell ref="P115:Q115"/>
    <mergeCell ref="P126:Q126"/>
    <mergeCell ref="P127:Q127"/>
    <mergeCell ref="P128:Q128"/>
    <mergeCell ref="P129:Q129"/>
    <mergeCell ref="P130:Q130"/>
    <mergeCell ref="P121:Q121"/>
    <mergeCell ref="P122:Q122"/>
    <mergeCell ref="P123:Q123"/>
    <mergeCell ref="P124:Q124"/>
    <mergeCell ref="P125:Q125"/>
    <mergeCell ref="P136:Q136"/>
    <mergeCell ref="P137:Q137"/>
    <mergeCell ref="P138:Q138"/>
    <mergeCell ref="P139:Q139"/>
    <mergeCell ref="P140:Q140"/>
    <mergeCell ref="P131:Q131"/>
    <mergeCell ref="P132:Q132"/>
    <mergeCell ref="P133:Q133"/>
    <mergeCell ref="P134:Q134"/>
    <mergeCell ref="P135:Q135"/>
    <mergeCell ref="B162:T163"/>
    <mergeCell ref="B164:T167"/>
    <mergeCell ref="P157:Q157"/>
    <mergeCell ref="P158:Q158"/>
    <mergeCell ref="P161:Q161"/>
    <mergeCell ref="P159:Q159"/>
    <mergeCell ref="P160:Q160"/>
    <mergeCell ref="P152:Q152"/>
    <mergeCell ref="P153:Q153"/>
    <mergeCell ref="P154:Q154"/>
    <mergeCell ref="P155:Q155"/>
    <mergeCell ref="P156:Q156"/>
    <mergeCell ref="S161:T161"/>
    <mergeCell ref="P146:Q146"/>
    <mergeCell ref="P147:Q147"/>
    <mergeCell ref="P148:Q148"/>
    <mergeCell ref="P149:Q149"/>
    <mergeCell ref="P151:Q151"/>
    <mergeCell ref="P141:Q141"/>
    <mergeCell ref="P142:Q142"/>
    <mergeCell ref="P143:Q143"/>
    <mergeCell ref="P144:Q144"/>
    <mergeCell ref="P145:Q145"/>
    <mergeCell ref="P150:Q150"/>
  </mergeCells>
  <hyperlinks>
    <hyperlink ref="U66" r:id="rId1" xr:uid="{60CCA824-04D7-4098-BB5B-CC4EC0E5DE92}"/>
    <hyperlink ref="U46" r:id="rId2" xr:uid="{FB3F0167-0D80-4D0E-9747-86680AF517F7}"/>
    <hyperlink ref="U36" r:id="rId3" xr:uid="{DC64E9EF-0CAF-49C3-B4C2-A955ADDB9423}"/>
    <hyperlink ref="U39" r:id="rId4" xr:uid="{74F85CC2-F097-4DDA-B018-43C3E1E7AED4}"/>
  </hyperlinks>
  <pageMargins left="0.23622047244094491" right="0.23622047244094491" top="0.74803149606299213" bottom="0.74803149606299213" header="0.31496062992125984" footer="0.31496062992125984"/>
  <pageSetup paperSize="3" scale="80"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69DBA-AA88-413A-80A7-A9BAAE7F2C32}">
  <dimension ref="C1:L9"/>
  <sheetViews>
    <sheetView zoomScale="110" zoomScaleNormal="110" workbookViewId="0">
      <selection activeCell="H9" sqref="H9"/>
    </sheetView>
  </sheetViews>
  <sheetFormatPr baseColWidth="10" defaultColWidth="10.85546875" defaultRowHeight="15" x14ac:dyDescent="0.25"/>
  <cols>
    <col min="8" max="8" width="10.85546875" customWidth="1"/>
    <col min="10" max="10" width="24.42578125" customWidth="1"/>
    <col min="11" max="11" width="11.42578125" bestFit="1" customWidth="1"/>
    <col min="13" max="13" width="11.5703125" bestFit="1" customWidth="1"/>
    <col min="14" max="14" width="13" bestFit="1" customWidth="1"/>
  </cols>
  <sheetData>
    <row r="1" spans="3:12" ht="15.75" thickBot="1" x14ac:dyDescent="0.3"/>
    <row r="2" spans="3:12" x14ac:dyDescent="0.25">
      <c r="C2" s="232" t="s">
        <v>158</v>
      </c>
      <c r="D2" s="233"/>
      <c r="E2" s="198"/>
      <c r="F2" s="48"/>
      <c r="G2" s="48" t="s">
        <v>163</v>
      </c>
      <c r="H2" s="199"/>
      <c r="I2" s="200"/>
      <c r="J2" s="201"/>
      <c r="K2" s="30"/>
      <c r="L2" s="30"/>
    </row>
    <row r="3" spans="3:12" x14ac:dyDescent="0.25">
      <c r="C3" s="234"/>
      <c r="D3" s="235"/>
      <c r="E3" s="203"/>
      <c r="F3" s="30"/>
      <c r="G3" s="30" t="s">
        <v>324</v>
      </c>
      <c r="H3" s="204"/>
      <c r="I3" s="202">
        <v>1</v>
      </c>
      <c r="J3" s="50"/>
      <c r="K3" s="30"/>
      <c r="L3" s="30"/>
    </row>
    <row r="4" spans="3:12" x14ac:dyDescent="0.25">
      <c r="C4" s="234" t="s">
        <v>159</v>
      </c>
      <c r="D4" s="235" t="s">
        <v>160</v>
      </c>
      <c r="E4" s="30" t="s">
        <v>161</v>
      </c>
      <c r="F4" s="30"/>
      <c r="G4" s="30" t="s">
        <v>164</v>
      </c>
      <c r="H4" s="371">
        <v>70</v>
      </c>
      <c r="I4" s="371"/>
      <c r="J4" s="372"/>
      <c r="K4" s="30"/>
      <c r="L4" s="30"/>
    </row>
    <row r="5" spans="3:12" ht="15.75" thickBot="1" x14ac:dyDescent="0.3">
      <c r="C5" s="234" t="s">
        <v>162</v>
      </c>
      <c r="D5" s="235"/>
      <c r="E5" s="30"/>
      <c r="F5" s="30"/>
      <c r="G5" s="30"/>
      <c r="H5" s="30"/>
      <c r="I5" s="30"/>
      <c r="J5" s="51"/>
      <c r="K5" s="30"/>
      <c r="L5" s="30"/>
    </row>
    <row r="6" spans="3:12" x14ac:dyDescent="0.25">
      <c r="C6" s="373" t="s">
        <v>469</v>
      </c>
      <c r="D6" s="374"/>
      <c r="E6" s="374"/>
      <c r="F6" s="374"/>
      <c r="G6" s="374"/>
      <c r="H6" s="374"/>
      <c r="I6" s="374"/>
      <c r="J6" s="375"/>
      <c r="K6" s="30"/>
      <c r="L6" s="30"/>
    </row>
    <row r="7" spans="3:12" x14ac:dyDescent="0.25">
      <c r="C7" s="376"/>
      <c r="D7" s="377"/>
      <c r="E7" s="377"/>
      <c r="F7" s="377"/>
      <c r="G7" s="377"/>
      <c r="H7" s="377"/>
      <c r="I7" s="377"/>
      <c r="J7" s="378"/>
      <c r="K7" s="30"/>
      <c r="L7" s="30"/>
    </row>
    <row r="8" spans="3:12" ht="15.75" thickBot="1" x14ac:dyDescent="0.3">
      <c r="C8" s="379"/>
      <c r="D8" s="380"/>
      <c r="E8" s="380"/>
      <c r="F8" s="380"/>
      <c r="G8" s="380"/>
      <c r="H8" s="380"/>
      <c r="I8" s="380"/>
      <c r="J8" s="381"/>
      <c r="K8" s="30"/>
      <c r="L8" s="30"/>
    </row>
    <row r="9" spans="3:12" x14ac:dyDescent="0.25">
      <c r="K9" s="30"/>
      <c r="L9" s="30"/>
    </row>
  </sheetData>
  <mergeCells count="2">
    <mergeCell ref="H4:J4"/>
    <mergeCell ref="C6:J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76588-60F4-453B-B8A0-4196617C3C92}">
  <dimension ref="C1:J8"/>
  <sheetViews>
    <sheetView workbookViewId="0">
      <selection activeCell="H4" sqref="H4:J4"/>
    </sheetView>
  </sheetViews>
  <sheetFormatPr baseColWidth="10" defaultRowHeight="15" x14ac:dyDescent="0.25"/>
  <sheetData>
    <row r="1" spans="3:10" ht="15.75" thickBot="1" x14ac:dyDescent="0.3"/>
    <row r="2" spans="3:10" x14ac:dyDescent="0.25">
      <c r="C2" s="246" t="s">
        <v>158</v>
      </c>
      <c r="D2" s="247"/>
      <c r="E2" s="198"/>
      <c r="F2" s="48"/>
      <c r="G2" s="48" t="s">
        <v>163</v>
      </c>
      <c r="H2" s="199"/>
      <c r="I2" s="200"/>
      <c r="J2" s="201"/>
    </row>
    <row r="3" spans="3:10" x14ac:dyDescent="0.25">
      <c r="C3" s="248"/>
      <c r="D3" s="249"/>
      <c r="E3" s="203"/>
      <c r="F3" s="30"/>
      <c r="G3" s="30" t="s">
        <v>324</v>
      </c>
      <c r="H3" s="204"/>
      <c r="I3" s="261"/>
      <c r="J3" s="262"/>
    </row>
    <row r="4" spans="3:10" x14ac:dyDescent="0.25">
      <c r="C4" s="248" t="s">
        <v>159</v>
      </c>
      <c r="D4" s="249" t="s">
        <v>160</v>
      </c>
      <c r="E4" s="30" t="s">
        <v>161</v>
      </c>
      <c r="F4" s="30"/>
      <c r="G4" s="30" t="s">
        <v>164</v>
      </c>
      <c r="H4" s="371">
        <v>41</v>
      </c>
      <c r="I4" s="371"/>
      <c r="J4" s="372"/>
    </row>
    <row r="5" spans="3:10" ht="15.75" thickBot="1" x14ac:dyDescent="0.3">
      <c r="C5" s="248" t="s">
        <v>162</v>
      </c>
      <c r="D5" s="249"/>
      <c r="E5" s="30"/>
      <c r="F5" s="30"/>
      <c r="G5" s="30"/>
      <c r="H5" s="30"/>
      <c r="I5" s="30"/>
      <c r="J5" s="51"/>
    </row>
    <row r="6" spans="3:10" x14ac:dyDescent="0.25">
      <c r="C6" s="373" t="s">
        <v>359</v>
      </c>
      <c r="D6" s="374"/>
      <c r="E6" s="374"/>
      <c r="F6" s="374"/>
      <c r="G6" s="374"/>
      <c r="H6" s="374"/>
      <c r="I6" s="374"/>
      <c r="J6" s="375"/>
    </row>
    <row r="7" spans="3:10" x14ac:dyDescent="0.25">
      <c r="C7" s="376"/>
      <c r="D7" s="377"/>
      <c r="E7" s="377"/>
      <c r="F7" s="377"/>
      <c r="G7" s="377"/>
      <c r="H7" s="377"/>
      <c r="I7" s="377"/>
      <c r="J7" s="378"/>
    </row>
    <row r="8" spans="3:10" ht="15.75" thickBot="1" x14ac:dyDescent="0.3">
      <c r="C8" s="379"/>
      <c r="D8" s="380"/>
      <c r="E8" s="380"/>
      <c r="F8" s="380"/>
      <c r="G8" s="380"/>
      <c r="H8" s="380"/>
      <c r="I8" s="380"/>
      <c r="J8" s="381"/>
    </row>
  </sheetData>
  <mergeCells count="2">
    <mergeCell ref="H4:J4"/>
    <mergeCell ref="C6:J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anotaciones</vt:lpstr>
      <vt:lpstr>EDESURES PAGOS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2026-10-01T22:58:33Z</cp:lastPrinted>
  <dcterms:created xsi:type="dcterms:W3CDTF">2023-09-17T12:29:07Z</dcterms:created>
  <dcterms:modified xsi:type="dcterms:W3CDTF">2026-10-08T15:08:12Z</dcterms:modified>
</cp:coreProperties>
</file>