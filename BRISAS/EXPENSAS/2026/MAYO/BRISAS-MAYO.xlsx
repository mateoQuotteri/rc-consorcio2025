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BRISAS\EXPENSAS\2026\MAYO\"/>
    </mc:Choice>
  </mc:AlternateContent>
  <xr:revisionPtr revIDLastSave="0" documentId="13_ncr:1_{660658B0-174D-471D-B6B3-7C529A2C11F8}" xr6:coauthVersionLast="47" xr6:coauthVersionMax="47" xr10:uidLastSave="{00000000-0000-0000-0000-000000000000}"/>
  <bookViews>
    <workbookView xWindow="-120" yWindow="-120" windowWidth="20730" windowHeight="11040" tabRatio="850" xr2:uid="{00000000-000D-0000-FFFF-FFFF00000000}"/>
  </bookViews>
  <sheets>
    <sheet name="RESUMEN" sheetId="1" r:id="rId1"/>
    <sheet name="PRORRATEO" sheetId="2" r:id="rId2"/>
    <sheet name="anotaciones" sheetId="6" r:id="rId3"/>
  </sheets>
  <definedNames>
    <definedName name="_xlnm.Print_Area" localSheetId="1">PRORRATEO!$B$1:$T$167</definedName>
    <definedName name="_xlnm.Print_Area" localSheetId="0">RESUMEN!$A$1:$E$191</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82" i="1" l="1"/>
  <c r="F23" i="2" l="1"/>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4" i="2"/>
  <c r="M55" i="2"/>
  <c r="M56" i="2"/>
  <c r="M57" i="2"/>
  <c r="M58" i="2"/>
  <c r="M59" i="2"/>
  <c r="M60" i="2"/>
  <c r="M62" i="2"/>
  <c r="M63" i="2"/>
  <c r="M64" i="2"/>
  <c r="M65" i="2"/>
  <c r="M66" i="2"/>
  <c r="M67" i="2"/>
  <c r="M68" i="2"/>
  <c r="M69" i="2"/>
  <c r="M70" i="2"/>
  <c r="M71" i="2"/>
  <c r="M72" i="2"/>
  <c r="M74" i="2"/>
  <c r="M75" i="2"/>
  <c r="M76" i="2"/>
  <c r="M77" i="2"/>
  <c r="M78" i="2"/>
  <c r="M79" i="2"/>
  <c r="M80" i="2"/>
  <c r="M81" i="2"/>
  <c r="M82" i="2"/>
  <c r="M83" i="2"/>
  <c r="M84" i="2"/>
  <c r="M85" i="2"/>
  <c r="M86" i="2"/>
  <c r="M87" i="2"/>
  <c r="M88" i="2"/>
  <c r="M89" i="2"/>
  <c r="M90" i="2"/>
  <c r="M92" i="2"/>
  <c r="M93" i="2"/>
  <c r="M94" i="2"/>
  <c r="M96" i="2"/>
  <c r="M97" i="2"/>
  <c r="M98" i="2"/>
  <c r="M99" i="2"/>
  <c r="M100" i="2"/>
  <c r="M101" i="2"/>
  <c r="M102" i="2"/>
  <c r="M103" i="2"/>
  <c r="M104" i="2"/>
  <c r="M105" i="2"/>
  <c r="M106" i="2"/>
  <c r="M107" i="2"/>
  <c r="M108" i="2"/>
  <c r="M109" i="2"/>
  <c r="M110"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1" i="2"/>
  <c r="M152" i="2"/>
  <c r="M153" i="2"/>
  <c r="M154" i="2"/>
  <c r="M155" i="2"/>
  <c r="M156" i="2"/>
  <c r="M157" i="2"/>
  <c r="M158" i="2"/>
  <c r="D86" i="1"/>
  <c r="B158" i="1"/>
  <c r="B160" i="1"/>
  <c r="F53" i="2"/>
  <c r="F95" i="2"/>
  <c r="F97" i="2"/>
  <c r="F91" i="2"/>
  <c r="F22" i="2"/>
  <c r="F50" i="2"/>
  <c r="F137" i="2"/>
  <c r="F111" i="2"/>
  <c r="F14" i="2"/>
  <c r="F86" i="2"/>
  <c r="F93" i="2"/>
  <c r="F94" i="2"/>
  <c r="F44" i="2"/>
  <c r="F49" i="2"/>
  <c r="F64" i="2"/>
  <c r="F113" i="2"/>
  <c r="F110" i="2"/>
  <c r="F127" i="2"/>
  <c r="F79" i="2"/>
  <c r="F130" i="2"/>
  <c r="F19" i="2"/>
  <c r="F141" i="2"/>
  <c r="F105" i="2"/>
  <c r="F71" i="2"/>
  <c r="F67" i="2"/>
  <c r="F133" i="2"/>
  <c r="B181" i="1"/>
  <c r="F6" i="2"/>
  <c r="F10" i="2"/>
  <c r="F11" i="2"/>
  <c r="F15" i="2"/>
  <c r="F18" i="2"/>
  <c r="F20" i="2"/>
  <c r="F21" i="2"/>
  <c r="F25" i="2"/>
  <c r="F26" i="2"/>
  <c r="F28" i="2"/>
  <c r="F30" i="2"/>
  <c r="F31" i="2"/>
  <c r="F38" i="2"/>
  <c r="F40" i="2"/>
  <c r="F47" i="2"/>
  <c r="F48" i="2"/>
  <c r="F54" i="2"/>
  <c r="F57" i="2"/>
  <c r="F59" i="2"/>
  <c r="F68" i="2"/>
  <c r="F70" i="2"/>
  <c r="F74" i="2"/>
  <c r="F80" i="2"/>
  <c r="F81" i="2"/>
  <c r="F85" i="2"/>
  <c r="F90" i="2"/>
  <c r="F92" i="2"/>
  <c r="F96" i="2"/>
  <c r="F99" i="2"/>
  <c r="F103" i="2"/>
  <c r="F104" i="2"/>
  <c r="F112" i="2"/>
  <c r="F116" i="2"/>
  <c r="F119" i="2"/>
  <c r="F120" i="2"/>
  <c r="F122" i="2"/>
  <c r="F125" i="2"/>
  <c r="F123" i="2" s="1"/>
  <c r="F126" i="2"/>
  <c r="F128" i="2"/>
  <c r="F131" i="2"/>
  <c r="F132" i="2"/>
  <c r="F134" i="2"/>
  <c r="F136" i="2"/>
  <c r="F138" i="2"/>
  <c r="F142" i="2"/>
  <c r="G6" i="2"/>
  <c r="H6" i="2"/>
  <c r="J6" i="2"/>
  <c r="L6" i="2"/>
  <c r="M6" i="2"/>
  <c r="S6" i="2"/>
  <c r="T6" i="2"/>
  <c r="G7" i="2"/>
  <c r="J7" i="2"/>
  <c r="L7" i="2"/>
  <c r="H7" i="2" l="1"/>
  <c r="E84" i="1" l="1"/>
  <c r="E113" i="1"/>
  <c r="I291" i="6"/>
  <c r="D120" i="1"/>
  <c r="G28" i="1" s="1"/>
  <c r="I282" i="6"/>
  <c r="I273" i="6"/>
  <c r="I264" i="6"/>
  <c r="I255" i="6"/>
  <c r="I246" i="6"/>
  <c r="I237" i="6"/>
  <c r="I228" i="6"/>
  <c r="I219" i="6"/>
  <c r="I210" i="6"/>
  <c r="I201" i="6"/>
  <c r="I192" i="6"/>
  <c r="I183" i="6"/>
  <c r="I174" i="6"/>
  <c r="I165" i="6"/>
  <c r="I156" i="6"/>
  <c r="I147" i="6"/>
  <c r="I138" i="6"/>
  <c r="I129" i="6"/>
  <c r="I120" i="6"/>
  <c r="I111" i="6"/>
  <c r="I102" i="6"/>
  <c r="I21" i="6"/>
  <c r="I30" i="6" s="1"/>
  <c r="I39" i="6" s="1"/>
  <c r="I48" i="6" s="1"/>
  <c r="I57" i="6" s="1"/>
  <c r="I66" i="6" s="1"/>
  <c r="I75" i="6" s="1"/>
  <c r="I84" i="6" s="1"/>
  <c r="I93" i="6" s="1"/>
  <c r="I12" i="6"/>
  <c r="D27" i="1"/>
  <c r="E36" i="1"/>
  <c r="E42" i="1"/>
  <c r="E80" i="1" l="1"/>
  <c r="F149" i="2" l="1"/>
  <c r="F158" i="2"/>
  <c r="B175" i="1" l="1"/>
  <c r="F44" i="1" l="1"/>
  <c r="E124" i="1" l="1"/>
  <c r="D97" i="1" l="1"/>
  <c r="E105" i="1" s="1"/>
  <c r="F157" i="2" l="1"/>
  <c r="F153" i="2"/>
  <c r="F150" i="2"/>
  <c r="B148" i="1" l="1"/>
  <c r="E122" i="1" l="1"/>
  <c r="E121" i="1"/>
  <c r="E97" i="1"/>
  <c r="E64" i="1" l="1"/>
  <c r="E46" i="1"/>
  <c r="G97" i="2"/>
  <c r="A3" i="2"/>
  <c r="E98" i="1" l="1"/>
  <c r="B190" i="1" l="1"/>
  <c r="B142" i="1" s="1"/>
  <c r="D29" i="1"/>
  <c r="E30" i="1" l="1"/>
  <c r="P5" i="2" l="1"/>
  <c r="K2" i="2" l="1"/>
  <c r="B167" i="1"/>
  <c r="I6" i="2" l="1"/>
  <c r="I7" i="2"/>
  <c r="G150" i="2"/>
  <c r="H150" i="2" l="1"/>
  <c r="E120" i="1"/>
  <c r="B147" i="1" l="1"/>
  <c r="E88" i="1" l="1"/>
  <c r="S150" i="2" l="1"/>
  <c r="T150" i="2"/>
  <c r="L150" i="2"/>
  <c r="I150" i="2"/>
  <c r="N150" i="2" s="1"/>
  <c r="E128" i="1" l="1"/>
  <c r="B149" i="1" s="1"/>
  <c r="F154" i="2" l="1"/>
  <c r="F152" i="2"/>
  <c r="F151" i="2"/>
  <c r="F37" i="2" s="1"/>
  <c r="F161" i="2" l="1"/>
  <c r="E103" i="1"/>
  <c r="X2" i="2" l="1"/>
  <c r="G2" i="2" s="1"/>
  <c r="K150" i="2" l="1"/>
  <c r="P150" i="2" s="1"/>
  <c r="R150" i="2" s="1"/>
  <c r="K6" i="2"/>
  <c r="P6" i="2" s="1"/>
  <c r="R6" i="2" s="1"/>
  <c r="K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O12" i="2" s="1"/>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N53" i="2" s="1"/>
  <c r="G54" i="2"/>
  <c r="H54" i="2" s="1"/>
  <c r="I54" i="2"/>
  <c r="G55" i="2"/>
  <c r="H55" i="2" s="1"/>
  <c r="I55" i="2"/>
  <c r="G56" i="2"/>
  <c r="H56" i="2" s="1"/>
  <c r="I56" i="2"/>
  <c r="G57" i="2"/>
  <c r="H57" i="2" s="1"/>
  <c r="I57" i="2"/>
  <c r="G58" i="2"/>
  <c r="H58" i="2" s="1"/>
  <c r="I58" i="2"/>
  <c r="G59" i="2"/>
  <c r="H59" i="2" s="1"/>
  <c r="I59" i="2"/>
  <c r="G60" i="2"/>
  <c r="H60" i="2" s="1"/>
  <c r="I60" i="2"/>
  <c r="G61" i="2"/>
  <c r="H61" i="2" s="1"/>
  <c r="I61" i="2"/>
  <c r="N61" i="2" s="1"/>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N73" i="2" s="1"/>
  <c r="G74" i="2"/>
  <c r="H74" i="2" s="1"/>
  <c r="I74" i="2"/>
  <c r="G75" i="2"/>
  <c r="H75" i="2" s="1"/>
  <c r="I75" i="2"/>
  <c r="G76" i="2"/>
  <c r="H76" i="2" s="1"/>
  <c r="I76" i="2"/>
  <c r="G77" i="2"/>
  <c r="H77" i="2" s="1"/>
  <c r="I77" i="2"/>
  <c r="G78" i="2"/>
  <c r="H78" i="2" s="1"/>
  <c r="I78" i="2"/>
  <c r="G79" i="2"/>
  <c r="H79" i="2" s="1"/>
  <c r="I79" i="2"/>
  <c r="G80" i="2"/>
  <c r="H80" i="2" s="1"/>
  <c r="I80" i="2"/>
  <c r="G81" i="2"/>
  <c r="H81" i="2" s="1"/>
  <c r="I81" i="2"/>
  <c r="O81" i="2" s="1"/>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N91" i="2" s="1"/>
  <c r="G92" i="2"/>
  <c r="H92" i="2" s="1"/>
  <c r="I92" i="2"/>
  <c r="G93" i="2"/>
  <c r="H93" i="2" s="1"/>
  <c r="I93" i="2"/>
  <c r="I94" i="2"/>
  <c r="G95" i="2"/>
  <c r="H95" i="2" s="1"/>
  <c r="I95" i="2"/>
  <c r="N95" i="2" s="1"/>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N111" i="2" s="1"/>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17" i="1"/>
  <c r="B152" i="1" s="1"/>
  <c r="A34" i="1"/>
  <c r="A35" i="1" s="1"/>
  <c r="B133" i="1"/>
  <c r="S38" i="2"/>
  <c r="S147" i="2"/>
  <c r="S148" i="2"/>
  <c r="S149" i="2"/>
  <c r="S151" i="2"/>
  <c r="S152" i="2"/>
  <c r="S153" i="2"/>
  <c r="S154" i="2"/>
  <c r="S155" i="2"/>
  <c r="S156" i="2"/>
  <c r="S157" i="2"/>
  <c r="S158" i="2"/>
  <c r="I158" i="2"/>
  <c r="G158" i="2"/>
  <c r="H158" i="2" s="1"/>
  <c r="B73" i="2"/>
  <c r="D161" i="2"/>
  <c r="B7" i="2"/>
  <c r="S7" i="2" l="1"/>
  <c r="P7" i="2" s="1"/>
  <c r="R7" i="2" s="1"/>
  <c r="T7" i="2"/>
  <c r="E35" i="1"/>
  <c r="E91" i="1" s="1"/>
  <c r="B131" i="1" s="1"/>
  <c r="B134" i="1" s="1"/>
  <c r="B74" i="2"/>
  <c r="S74" i="2" s="1"/>
  <c r="T73" i="2"/>
  <c r="B8" i="2"/>
  <c r="G18" i="2"/>
  <c r="H18" i="2" s="1"/>
  <c r="G123" i="2"/>
  <c r="H123" i="2" s="1"/>
  <c r="G140" i="2"/>
  <c r="H140" i="2" s="1"/>
  <c r="K161" i="2"/>
  <c r="L161" i="2"/>
  <c r="G153" i="2"/>
  <c r="H153" i="2" s="1"/>
  <c r="G125" i="2"/>
  <c r="H125" i="2" s="1"/>
  <c r="G37" i="2"/>
  <c r="H37" i="2" s="1"/>
  <c r="G157" i="2"/>
  <c r="H157" i="2" s="1"/>
  <c r="G151" i="2"/>
  <c r="H151" i="2" s="1"/>
  <c r="B150" i="1"/>
  <c r="S73" i="2"/>
  <c r="B9" i="2" l="1"/>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40"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32" i="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51" i="1"/>
  <c r="B153" i="1" s="1"/>
  <c r="B169"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<sst xmlns="http://schemas.openxmlformats.org/spreadsheetml/2006/main" count="786" uniqueCount="463">
  <si>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</si>
  <si>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</si>
  <si>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</si>
  <si>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</si>
  <si>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</si>
  <si>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</si>
  <si>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</si>
  <si>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</si>
  <si>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</si>
  <si>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</si>
  <si>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</si>
  <si>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</si>
  <si>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</si>
  <si>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</si>
  <si>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</si>
  <si>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</si>
  <si>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</si>
  <si>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</si>
  <si>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</si>
  <si>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</si>
  <si>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</si>
  <si>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</si>
  <si>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</si>
  <si>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</si>
  <si>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</si>
  <si>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</si>
  <si>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</si>
  <si>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</si>
  <si>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</si>
  <si>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</si>
  <si>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</si>
  <si>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</si>
  <si>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</si>
  <si>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</si>
  <si>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</si>
  <si>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</si>
  <si>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</si>
  <si>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</si>
  <si>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</si>
  <si>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</si>
  <si>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</si>
  <si>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</si>
  <si>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</si>
  <si>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</si>
  <si>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</si>
  <si>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</si>
  <si>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</si>
  <si>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</si>
  <si>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</si>
  <si>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</si>
  <si>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</si>
  <si>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</si>
  <si>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</si>
  <si>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</si>
  <si>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</si>
  <si>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</si>
  <si>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</si>
  <si>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</si>
  <si>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</si>
  <si>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</si>
  <si>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</si>
  <si>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</si>
  <si>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</si>
  <si>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</si>
  <si>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</si>
  <si>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</si>
  <si>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</si>
  <si>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</si>
  <si>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</si>
  <si>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</si>
  <si>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</si>
  <si>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</si>
  <si>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</si>
  <si>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</si>
  <si>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</si>
  <si>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</si>
  <si>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</si>
  <si>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</si>
  <si>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</si>
  <si>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</si>
  <si>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</si>
  <si>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</si>
  <si>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</si>
  <si>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</si>
  <si>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</si>
  <si>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</si>
  <si>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</si>
  <si>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</si>
  <si>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</si>
  <si>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</si>
  <si>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</si>
  <si>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</si>
  <si>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</si>
  <si>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</si>
  <si>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</si>
  <si>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</si>
  <si>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</si>
  <si>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</si>
  <si>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</si>
  <si>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</si>
  <si>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</si>
  <si>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</si>
  <si>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</si>
  <si>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</si>
  <si>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</si>
  <si>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</si>
  <si>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</si>
  <si>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</si>
  <si>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</si>
  <si>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</si>
  <si>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</si>
  <si>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</si>
  <si>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</si>
  <si>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</si>
  <si>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</si>
  <si>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</si>
  <si>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</si>
  <si>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</si>
  <si>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</si>
  <si>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</si>
  <si>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</si>
  <si>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</si>
  <si>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</si>
  <si>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</si>
  <si>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</si>
  <si>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</si>
  <si>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</si>
  <si>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</si>
  <si>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</si>
  <si>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</si>
  <si>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</si>
  <si>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</si>
  <si>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</si>
  <si>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</si>
  <si>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</si>
  <si>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</si>
  <si>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</si>
  <si>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</si>
  <si>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</si>
  <si>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</si>
  <si>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</si>
  <si>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</si>
  <si>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</si>
  <si>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</si>
  <si>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</si>
  <si>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</si>
  <si>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</si>
  <si>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</si>
  <si>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</si>
  <si>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</si>
  <si>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</si>
  <si>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</si>
  <si>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</si>
  <si>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</si>
  <si>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</si>
  <si>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</si>
  <si>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</si>
  <si>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</si>
  <si>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</si>
  <si>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</si>
  <si>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</si>
  <si>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</si>
  <si>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</si>
  <si>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</si>
  <si>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</si>
  <si>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</si>
  <si>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</si>
  <si>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</si>
  <si>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</si>
  <si>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</si>
  <si>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</si>
  <si>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</si>
  <si>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</si>
  <si>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</si>
  <si>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</si>
  <si>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</si>
  <si>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</si>
  <si>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</si>
  <si>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</si>
  <si>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</si>
  <si>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</si>
  <si>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</si>
  <si>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</si>
  <si>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</si>
  <si>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</si>
  <si>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</si>
  <si>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</si>
  <si>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</si>
  <si>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</si>
  <si>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</si>
  <si>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</si>
  <si>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</si>
  <si>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</si>
  <si>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</si>
  <si>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</si>
  <si>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</si>
  <si>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</si>
  <si>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</si>
  <si>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</si>
  <si>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</si>
  <si>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</si>
  <si>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</si>
  <si>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</si>
  <si>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</si>
  <si>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</si>
  <si>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</si>
  <si>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</si>
  <si>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</si>
  <si>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</si>
  <si>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</si>
  <si>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</si>
  <si>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</si>
  <si>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</si>
  <si>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</si>
  <si>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</si>
  <si>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</si>
  <si>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</si>
  <si>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</si>
  <si>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</si>
  <si>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</si>
  <si>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</si>
  <si>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</si>
  <si>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</si>
  <si>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</si>
  <si>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</si>
  <si>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</si>
  <si>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</si>
  <si>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</si>
  <si>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</si>
  <si>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</si>
  <si>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</si>
  <si>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</si>
  <si>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</si>
  <si>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</si>
  <si>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</si>
  <si>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</si>
  <si>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</si>
  <si>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</si>
  <si>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</si>
  <si>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</si>
  <si>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</si>
  <si>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</si>
  <si>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</si>
  <si>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</si>
  <si>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</si>
  <si>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</si>
  <si>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</si>
  <si>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</si>
  <si>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</si>
  <si>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</si>
  <si>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</si>
  <si>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</si>
  <si>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</si>
  <si>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</si>
  <si>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</si>
  <si>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</si>
  <si>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</si>
  <si>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</si>
  <si>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</si>
  <si>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</si>
  <si>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</si>
  <si>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</si>
  <si>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</si>
  <si>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</si>
  <si>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</si>
  <si>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</si>
  <si>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</si>
  <si>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</si>
  <si>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</si>
  <si>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</si>
  <si>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</si>
  <si>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</si>
  <si>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</si>
  <si>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</si>
  <si>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</si>
  <si>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</si>
  <si>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</si>
  <si>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</si>
  <si>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</si>
  <si>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</si>
  <si>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</si>
  <si>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</si>
  <si>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</si>
  <si>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</si>
  <si>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</si>
  <si>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</si>
  <si>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</si>
  <si>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</si>
  <si>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</si>
  <si>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</si>
  <si>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</si>
  <si>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</si>
  <si>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</si>
  <si>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</si>
  <si>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</si>
  <si>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</si>
  <si>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</si>
  <si>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</si>
  <si>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</si>
  <si>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</si>
  <si>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</si>
  <si>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</si>
  <si>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</si>
  <si>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</si>
  <si>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</si>
  <si>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</si>
  <si>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Medizin Servicios - ProlijoLimp SA - COBRO EXPRESS BUENOS AIRES SA - Patricio Jose Delarrechea Muñoz</t>
  </si>
  <si>
    <t>Andrea Juarez Cecilia - Juan Isidoro Manuel Onorato</t>
  </si>
  <si>
    <t>Baquiano Malvinas SRL</t>
  </si>
  <si>
    <t xml:space="preserve">Allianz (Cuit.: 30--50003721-7) - Seguro Técnico - Póliza N° 240210705270; </t>
  </si>
  <si>
    <t>Allianz (Cuit.: 30--50003721-7) - Seguro Técnico - Póliza N° 240210705270;</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</si>
  <si>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</si>
  <si>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</si>
  <si>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</si>
  <si>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</si>
  <si>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</si>
  <si>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</si>
  <si>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</si>
  <si>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</si>
  <si>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</si>
  <si>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</si>
  <si>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</si>
  <si>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</si>
  <si>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</si>
  <si>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</si>
  <si>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</si>
  <si>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Edesur (Cuit.: 30-65511652-1) - Vto 16/03 - Nro de cliente. 05640639</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</si>
  <si>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</si>
  <si>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</si>
  <si>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</si>
  <si>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</si>
  <si>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</si>
  <si>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 xml:space="preserve">Honorarios administracion - Mes de ABRIL </t>
  </si>
  <si>
    <t>OMS (Cuit.: 30-71568933-9) - (Abono mantenimiento planta de tratamiento)</t>
  </si>
  <si>
    <t>Transf 13/04</t>
  </si>
  <si>
    <t>Palubinskas Fernando Nestor - Bidones de Agua cimes de 20lts - Fc. 00001463</t>
  </si>
  <si>
    <t>Honorarios arquitectura - Srta. Burgos Oros Johanna Melanie - Fc. 00000101</t>
  </si>
  <si>
    <t>Total contemplando caja SUM + Caja de Bacheo + Caja Ordinaria / Extraordinaria</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</si>
  <si>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Azul: ruidos molestos.
Amarillo: arquitectura.
Negro: corresponde a multas por exceso de velocidad o por circular sin la protección correspondiente (por ejemplo, moto sin casco).
Verde: infraccion en ingreso de proveedores.                                                                                                                                                                                                                                                                                                                                                              Ante cualquier duda o consulta sobre los importes allí detallados, quedamos a disposición.</t>
  </si>
  <si>
    <t>Transfririo $690.000 EL 06/05</t>
  </si>
  <si>
    <t>Deposito $799.000 EL 06/05</t>
  </si>
  <si>
    <t>Deposito $775.884,83 el 06/05 - Transfirio con ,83 centavos cuando tenia que transferir con ,82!</t>
  </si>
  <si>
    <t>IMPORTANTE: Transfirio con ,83 centavos cuando tenia que transferir con ,82!</t>
  </si>
  <si>
    <t>Transfirio $775.252 el 07/05</t>
  </si>
  <si>
    <t>Deposito $752.000 el 08/05</t>
  </si>
  <si>
    <t>Deposito $760.000 el 08/05</t>
  </si>
  <si>
    <t>IMPORTANTE: error de centavos, transfirio con ,71 cuando era con ,14</t>
  </si>
  <si>
    <t>86 y 17</t>
  </si>
  <si>
    <t>Transfirio $600.000 que son $300.000 para el 17 y $300.000 para el 86 el 08/05</t>
  </si>
  <si>
    <t>Transfirio$ 905.000 para aplicar al lote 86 $ 452.500 y al lote 17 $ 452.500  el 09/05</t>
  </si>
  <si>
    <t xml:space="preserve">Deposito el 07/05 $730.000 </t>
  </si>
  <si>
    <t xml:space="preserve">Deposito el 09/05 $825.000 </t>
  </si>
  <si>
    <t>Deposito 11/05 $790.000</t>
  </si>
  <si>
    <t>Transfirio $4.526.181,66</t>
  </si>
  <si>
    <t xml:space="preserve">Deposito $167.000 el 06/05 y transfirio $548.589,71 el 06/05 - Luego transfirio el 11/05 $161.194 </t>
  </si>
  <si>
    <t>Deposito 12/05 $848.000</t>
  </si>
  <si>
    <t>Transfirio $700.726 el 11/05 y $97.321 el 13/05</t>
  </si>
  <si>
    <t>Deposito 13/05 $770.000</t>
  </si>
  <si>
    <t>Transfirio $2.377.000 el 12/05</t>
  </si>
  <si>
    <t>Deposito $780.000 el 14/05</t>
  </si>
  <si>
    <t>El pago no identificado del mes pasado es del lote 44</t>
  </si>
  <si>
    <t>El lote 77 deposito $876.000 el 14/05</t>
  </si>
  <si>
    <t>Transfirio $1.572.900 el 15/05</t>
  </si>
  <si>
    <t>Deposito $712.000 el 14/05</t>
  </si>
  <si>
    <t>Deposito $752.000 el 15/05</t>
  </si>
  <si>
    <t>Transfirio el 15/05 $600.000 y $151.681,39</t>
  </si>
  <si>
    <t>Rodriguez, Mario Javier</t>
  </si>
  <si>
    <t>Transfirio $800.000 para aplicar al lote 86 $400.000 y al lote 17 $400.000  el 20/05</t>
  </si>
  <si>
    <t>Transfirio $650.000 22/05</t>
  </si>
  <si>
    <t>Deposito $751.700 el 22/05</t>
  </si>
  <si>
    <t>Transfirio $1.500.000 el 27/05 y $2.000.000 el 18/05</t>
  </si>
  <si>
    <t>Transfirio $1.625.885 el 28/05</t>
  </si>
  <si>
    <t>Deposito $900.000 el 29/05</t>
  </si>
  <si>
    <t>Coop SAPA LTDA - CUIT: 30718240308 - Fc. 000002 - Tributos y flete</t>
  </si>
  <si>
    <t>Transf 29/05</t>
  </si>
  <si>
    <t>SGP - CUIT: 20316550259 - Fc. 000045 - Cambio de disyuntor tetrapolar en SUM - Cambio de timer de la bomba de la piscina con material y mano de obra</t>
  </si>
  <si>
    <t>GMD - Modificacion sobre cesto de basura</t>
  </si>
  <si>
    <t>Kormat - CUIT: 30710312741 - Fc. 00000116 - Llave de paso esf. E/R S/TL 25x3/4</t>
  </si>
  <si>
    <t xml:space="preserve">GMD - Cambio de rodillos superiores x4 - Reparacion de guia inferior - Soldadura en porton y planchuelas - Ajuste de columnas y soldadura de puente de agarre </t>
  </si>
  <si>
    <t>Transf 26/05</t>
  </si>
  <si>
    <t>Transf 27/05</t>
  </si>
  <si>
    <t>Telas plasticas miliavaca - CUIT: 307708608951 - Fc. 000060825 - Confeccion de 27 proctectores de columnas</t>
  </si>
  <si>
    <t>Transf 22/05</t>
  </si>
  <si>
    <t>Primer Vencimiento:  18/06</t>
  </si>
  <si>
    <t xml:space="preserve">PERÍODO: MAYO </t>
  </si>
  <si>
    <t>Haberes mes de MAYO -  Maximiliano Abbruzzese</t>
  </si>
  <si>
    <t>Deducciones mes de MAYO</t>
  </si>
  <si>
    <t>Redondeo mes de MAYO</t>
  </si>
  <si>
    <t>Grey Brick - Fc. 000000956 - Certificacion de obra pavimento correspondiente a MAYO</t>
  </si>
  <si>
    <t>ARCA - Mes de ABRIL</t>
  </si>
  <si>
    <t>Sindicatos mes de ABRIL</t>
  </si>
  <si>
    <t>GOLD (Cuit.: 33-71225773-9) - Fc.0000408 (Servicio de Seguridad ABRIL 2025)</t>
  </si>
  <si>
    <t>Recicla Brown- CUIT: 30-71633401-1 - Servicio de recoleccion de residuos solidos urbanos ABRIL</t>
  </si>
  <si>
    <t>Disblock Sur SRL - CUIT: 30716018071 - Fc. 000005 - Esmalte sintetico negro, verde ingles, viruta medianta, lijas, mini rodillos, aguarras y pinceles</t>
  </si>
  <si>
    <t>Transf 20/05</t>
  </si>
  <si>
    <t>Proemsud SRL  - CUIT:30708747331 - Fc. 0005480 - Leylandii x30lts, jazmin de leche, fertilizante blaukorn</t>
  </si>
  <si>
    <t>OMS (Cuit.: 30-71568933-9) - Reparacion de bomba dosificadora acquatron F1-MA, con numero de seria 312721</t>
  </si>
  <si>
    <t>Transf 21/05</t>
  </si>
  <si>
    <t>Ramirez Francisco - Fc. 00000595 - Alquiler de volquetes - CUIT: 2040757602</t>
  </si>
  <si>
    <t>Electro DRF - Fc. 0000045898 - CUIT: 30716213028 - Compra de inter termica - Disyuntor bipolar, Caja Q Energy, caja estanca</t>
  </si>
  <si>
    <t>ER Construcciones - CUIT: 30718664590 -  Ejeucion canaleta lateral hormigon (Cancha de futbol)</t>
  </si>
  <si>
    <t>ER Construcciones -  CUIT: 30718664590 - Cuota 1/3 muro perimetral</t>
  </si>
  <si>
    <t>Vazquez (Cuit.: 30-55987767-7)  (Prestación servicio de contenedores  + Servicio de descarga) - Fc. 000000244</t>
  </si>
  <si>
    <t>Menendez Alejandro - CUIT: 23127971639 - Fc. 0000257 - Tubo 40MM x 4MT NJC</t>
  </si>
  <si>
    <t xml:space="preserve">Alonso Bado - Alquiler de vehiculo electrico - Fc. 000001287 - CUIT: 20138813232 </t>
  </si>
  <si>
    <t>El imperio RYL - Articulos de limpieza - Fc. 0000014171</t>
  </si>
  <si>
    <t>Axin (Cuit.: 30-70858249-9)  - Cuota 54/60 - Fc. 000015642</t>
  </si>
  <si>
    <t>Servicio Polad - Mes de ABRIL - Valor de la hora $7.199,9 (720hs en total)</t>
  </si>
  <si>
    <t>Axin (Cuit.: 30-70858249-9)  - Fc. 000016177 - Provision e instalacion de 2 lectores de tarjeta + 100 tarjetas y varios pto VAR 0030 - Anticipo</t>
  </si>
  <si>
    <t>Axin (Cuit.: 30-70858249-9)  - Fc. 000016176 - Provision e instalacion de lector proface Pto VAR 00030 - Anticipo</t>
  </si>
  <si>
    <t>Axin (Cuit.: 30-70858249-9)  - Fc. 000016175 - provision e instalacion de 4 barreras BR 20003 Pto VAR 0030 - Anticipo</t>
  </si>
  <si>
    <t>Transf 18/05</t>
  </si>
  <si>
    <t>Transf 19/05</t>
  </si>
  <si>
    <t>Covelia SA - Recoleccion de ramas Mayo</t>
  </si>
  <si>
    <t>Covelia SA - Recoleccion de ramas Abril</t>
  </si>
  <si>
    <t>Ramirez Francisco - Fc. 00000592- Alquiler de volquetes - CUIT: 2040757602</t>
  </si>
  <si>
    <t>Ramirez Francisco - Fc. 00000590  Alquiler de volquetes - CUIT: 2040757602</t>
  </si>
  <si>
    <t>Transf 04/05</t>
  </si>
  <si>
    <t>Evento 04/04 - De 19hs a 02hs UF 63</t>
  </si>
  <si>
    <t>Evento 18/04 - De 19 a 02hs UF 16</t>
  </si>
  <si>
    <t>Ramirez Francisco - Fc. 00000586- Alquiler de volquetes - CUIT: 2040757602</t>
  </si>
  <si>
    <t>Transf 05/05</t>
  </si>
  <si>
    <t>Armella Cristian - CUIT: 20371419234 - Fc. 00000091 - Mantenimiento de espacios comunes</t>
  </si>
  <si>
    <t>IPTH Propiedad intelectual - CUIT: 27297901120 - Fc. 000002 - Servicios juridicos - Convenio</t>
  </si>
  <si>
    <t>Transf 06/05</t>
  </si>
  <si>
    <t>Armella Cristian - CUIT: 20371419234 - Fc. 00000087- Fumigacion dias: 10/04 - 18/04 - 25/04 - 28/04</t>
  </si>
  <si>
    <t>Transf 07/05</t>
  </si>
  <si>
    <t>Covelia SA - Servicio de recoleccion de residuos domiciliarios correspondientes al mes de ABRIL  - CUIT: 30707242961 - Fc. 000425</t>
  </si>
  <si>
    <t>Transf 08/05</t>
  </si>
  <si>
    <t>SGP - CUIT: 20316550259 - Fc. 000037 - Adelanto por trabajo de zanjeo para colocacion de tendido electrico y camaras</t>
  </si>
  <si>
    <t>Transf 12/05</t>
  </si>
  <si>
    <t>Ramirez Francisco - Fc. 00000587- Alquiler de volquetes - CUIT: 2040757602</t>
  </si>
  <si>
    <t>GMD - Carrito para transportar mangueras y tapa de camara</t>
  </si>
  <si>
    <t>Transfirio $775.000 el 30/05</t>
  </si>
  <si>
    <t>Debito 05/05</t>
  </si>
  <si>
    <t>Servicios arquitectura - Srita. Melanie Burgos Oros - Lotes 45 - 48  - 56  - 68 - 86 - 106 - 90 - 155 - Mes de ABRIL</t>
  </si>
  <si>
    <t>Debito 06/05</t>
  </si>
  <si>
    <t>Ferreteria Rex - Compra de pasantes</t>
  </si>
  <si>
    <t>Debito 12/05</t>
  </si>
  <si>
    <t>Debito 15/05</t>
  </si>
  <si>
    <t xml:space="preserve">Edesur (Cuit.: 30-65511652-1) - Nuevos medidores - Nro de cliente. 06107197 </t>
  </si>
  <si>
    <t>Edesur (Cuit.: 30-65511652-1) - Nuevos medidores - Nro de cliente. 06107191</t>
  </si>
  <si>
    <t xml:space="preserve">Edesur (Cuit.: 30-65511652-1) - Nuevos medidores - Nro de cliente. 06106720 </t>
  </si>
  <si>
    <t>Honorarios administracion - Mes de MAYO</t>
  </si>
  <si>
    <t xml:space="preserve">Marigo Juan Pablo - CUIT: 20302016306 - Servicio de Higiene y seguridad </t>
  </si>
  <si>
    <t>Rescate 04/05</t>
  </si>
  <si>
    <t>Saldo Inicial</t>
  </si>
  <si>
    <t>Ingreso de caja ordinaria 22/05</t>
  </si>
  <si>
    <t>Intereses del periodo</t>
  </si>
  <si>
    <t>Ingreso correspondiente a rescate de fondo de inversion 04/05</t>
  </si>
  <si>
    <t>Egreso a fondo de inversion - 22/05</t>
  </si>
  <si>
    <t>16 32 33 158 159 168.</t>
  </si>
  <si>
    <t>118 120 y 121</t>
  </si>
  <si>
    <t>Punitorios mal cobrados L44</t>
  </si>
  <si>
    <t>Transferencia ya identificada mes anterior</t>
  </si>
  <si>
    <t>El lote 139 deposito $880.800 el 14/05</t>
  </si>
  <si>
    <t>QUERCIA LUCIO - QAM SRL - FLEBO TDR SRL - Grupo Logistico Srl - BinBay - La bella vida SRL</t>
  </si>
  <si>
    <t>Transfirio $500.000 para aplicar al lote 86 $250.000 y al lote 17 $250.000  el 16/05</t>
  </si>
  <si>
    <t>Cuota -  Plan de pago L92 - Cuota 3/3</t>
  </si>
  <si>
    <t>LA UNIDAD FUNCIONAL 92 ACORDO UN PLAN DE PAGO CON LA ADMINISTRACION - EN EL MES DE MAYO DEL 2026 FINALIZO EL MISMO</t>
  </si>
  <si>
    <t>Sum mal cobrado L18</t>
  </si>
  <si>
    <t>ER Construcciones -  CUIT: 30718664590 - Adelanto muro medianero 3mts (El total del muro consta de 28mts)</t>
  </si>
  <si>
    <t>TOTAL AL 29/05/2026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</si>
</sst>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i/>
      <u/>
      <sz val="14"/>
      <color theme="1"/>
      <name val="Calibri"/>
      <family val="2"/>
      <scheme val="minor"/>
    </font>
    <font>
      <sz val="12"/>
      <color rgb="FF222222"/>
      <name val="Arial"/>
      <family val="2"/>
    </font>
    <font>
      <b/>
      <sz val="16"/>
      <color theme="1"/>
      <name val="Calibri"/>
      <family val="2"/>
      <scheme val="minor"/>
    </font>
  </fonts>
  <fills count="3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rgb="FF7030A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2"/>
        <bgColor indexed="64"/>
      </patternFill>
    </fill>
    <fill>
      <patternFill patternType="solid">
        <fgColor rgb="FFFF0000"/>
        <bgColor indexed="64"/>
      </patternFill>
    </fill>
    <fill>
      <patternFill patternType="solid">
        <fgColor rgb="FF1CB0B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445">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7" fillId="0" borderId="1" xfId="1" applyFont="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17" fillId="2" borderId="1" xfId="0" applyFont="1" applyFill="1" applyBorder="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19"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17" borderId="1" xfId="0" applyFont="1" applyFill="1" applyBorder="1"/>
    <xf numFmtId="0" fontId="13" fillId="9" borderId="1" xfId="0" applyFont="1" applyFill="1" applyBorder="1"/>
    <xf numFmtId="0" fontId="13" fillId="8" borderId="1" xfId="0" applyFont="1" applyFill="1" applyBorder="1"/>
    <xf numFmtId="44" fontId="17" fillId="0" borderId="1" xfId="1" applyFont="1" applyBorder="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7"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3" borderId="3" xfId="0" applyFont="1" applyFill="1" applyBorder="1"/>
    <xf numFmtId="0" fontId="13" fillId="2" borderId="3" xfId="0" applyFont="1" applyFill="1" applyBorder="1" applyAlignment="1">
      <alignment horizontal="center"/>
    </xf>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0" fontId="13" fillId="2" borderId="3" xfId="0"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5" fontId="13" fillId="2" borderId="2" xfId="1" applyNumberFormat="1"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166" fontId="13" fillId="4" borderId="13" xfId="0" applyNumberFormat="1" applyFont="1" applyFill="1" applyBorder="1"/>
    <xf numFmtId="0" fontId="0" fillId="14" borderId="14" xfId="0" applyFill="1" applyBorder="1"/>
    <xf numFmtId="0" fontId="0" fillId="14" borderId="12" xfId="0" applyFill="1" applyBorder="1"/>
    <xf numFmtId="0" fontId="0" fillId="14" borderId="16" xfId="0" applyFill="1" applyBorder="1"/>
    <xf numFmtId="0" fontId="4" fillId="2" borderId="6" xfId="0" applyFont="1" applyFill="1" applyBorder="1" applyAlignment="1">
      <alignment horizontal="left" vertical="center"/>
    </xf>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0" fillId="14" borderId="0" xfId="0" applyFill="1"/>
    <xf numFmtId="0" fontId="13" fillId="31" borderId="1" xfId="0" applyFont="1" applyFill="1" applyBorder="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3" fillId="32" borderId="1" xfId="0" applyFont="1" applyFill="1" applyBorder="1"/>
    <xf numFmtId="0" fontId="13" fillId="33" borderId="1" xfId="0" applyFont="1" applyFill="1" applyBorder="1"/>
    <xf numFmtId="8" fontId="4" fillId="0" borderId="1" xfId="0" applyNumberFormat="1" applyFont="1" applyBorder="1" applyAlignment="1">
      <alignment wrapText="1"/>
    </xf>
    <xf numFmtId="44" fontId="7" fillId="2" borderId="1" xfId="1" applyFont="1" applyFill="1" applyBorder="1"/>
    <xf numFmtId="44" fontId="17" fillId="2" borderId="3" xfId="1" applyFont="1" applyFill="1" applyBorder="1"/>
    <xf numFmtId="0" fontId="0" fillId="21" borderId="14" xfId="0" applyFill="1" applyBorder="1"/>
    <xf numFmtId="0" fontId="0" fillId="21" borderId="12" xfId="0" applyFill="1" applyBorder="1"/>
    <xf numFmtId="0" fontId="0" fillId="21" borderId="16" xfId="0" applyFill="1" applyBorder="1"/>
    <xf numFmtId="0" fontId="0" fillId="21" borderId="0" xfId="0" applyFill="1"/>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0" fontId="13" fillId="34" borderId="1" xfId="0" applyFont="1" applyFill="1" applyBorder="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0" fontId="13" fillId="26" borderId="1" xfId="0" applyFont="1" applyFill="1" applyBorder="1"/>
    <xf numFmtId="0" fontId="0" fillId="23" borderId="14" xfId="0" applyFill="1" applyBorder="1"/>
    <xf numFmtId="0" fontId="0" fillId="23" borderId="12" xfId="0" applyFill="1" applyBorder="1"/>
    <xf numFmtId="0" fontId="0" fillId="23" borderId="16" xfId="0" applyFill="1" applyBorder="1"/>
    <xf numFmtId="0" fontId="0" fillId="23" borderId="0" xfId="0" applyFill="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0" fontId="13" fillId="29" borderId="1" xfId="0" applyFont="1" applyFill="1" applyBorder="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0" fontId="13" fillId="36" borderId="1" xfId="0" applyFont="1" applyFill="1" applyBorder="1"/>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0" fontId="13" fillId="37" borderId="1" xfId="0" applyFont="1" applyFill="1" applyBorder="1"/>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0" fontId="19" fillId="0" borderId="3" xfId="0" applyFont="1" applyBorder="1"/>
    <xf numFmtId="44" fontId="19" fillId="2" borderId="0" xfId="1" applyFont="1" applyFill="1" applyBorder="1" applyAlignment="1"/>
    <xf numFmtId="44" fontId="8" fillId="15" borderId="25" xfId="1" applyNumberFormat="1" applyFont="1" applyFill="1" applyBorder="1"/>
    <xf numFmtId="44" fontId="1" fillId="0" borderId="1" xfId="1" applyFont="1" applyBorder="1"/>
    <xf numFmtId="44" fontId="7" fillId="0" borderId="1" xfId="1" applyFont="1" applyBorder="1"/>
    <xf numFmtId="0" fontId="0" fillId="8" borderId="0" xfId="0" applyFill="1"/>
    <xf numFmtId="0" fontId="26" fillId="8" borderId="0" xfId="0" applyFont="1" applyFill="1"/>
    <xf numFmtId="0" fontId="7" fillId="8" borderId="0" xfId="0" applyFont="1" applyFill="1"/>
    <xf numFmtId="4" fontId="0" fillId="8" borderId="0" xfId="0" applyNumberFormat="1" applyFill="1"/>
    <xf numFmtId="165" fontId="17" fillId="2" borderId="3" xfId="0" applyNumberFormat="1" applyFont="1" applyFill="1" applyBorder="1"/>
    <xf numFmtId="165" fontId="13" fillId="2" borderId="3" xfId="0" applyNumberFormat="1" applyFont="1" applyFill="1" applyBorder="1"/>
    <xf numFmtId="0" fontId="13" fillId="2" borderId="1" xfId="0" applyFont="1" applyFill="1" applyBorder="1" applyAlignment="1">
      <alignment wrapText="1"/>
    </xf>
    <xf numFmtId="0" fontId="4" fillId="2" borderId="7" xfId="0" applyFont="1" applyFill="1" applyBorder="1" applyAlignment="1">
      <alignment horizontal="left" vertical="center" wrapText="1"/>
    </xf>
    <xf numFmtId="0" fontId="4" fillId="0" borderId="7" xfId="0" applyFont="1" applyBorder="1" applyAlignment="1">
      <alignment horizontal="left" vertical="center" wrapText="1"/>
    </xf>
    <xf numFmtId="8" fontId="4" fillId="2" borderId="1" xfId="0" applyNumberFormat="1" applyFont="1" applyFill="1" applyBorder="1"/>
    <xf numFmtId="170" fontId="4" fillId="0" borderId="0" xfId="0" applyNumberFormat="1" applyFont="1"/>
    <xf numFmtId="8" fontId="4" fillId="0" borderId="0" xfId="0" applyNumberFormat="1" applyFont="1"/>
    <xf numFmtId="44" fontId="4" fillId="2" borderId="1" xfId="1" applyFont="1" applyFill="1" applyBorder="1" applyAlignment="1">
      <alignment wrapText="1"/>
    </xf>
    <xf numFmtId="0" fontId="4" fillId="0" borderId="0" xfId="0" applyFont="1" applyAlignment="1">
      <alignment wrapText="1"/>
    </xf>
    <xf numFmtId="43" fontId="4" fillId="0" borderId="0" xfId="0" applyNumberFormat="1" applyFont="1" applyAlignment="1">
      <alignment wrapText="1"/>
    </xf>
    <xf numFmtId="44" fontId="4" fillId="2" borderId="1" xfId="1" applyFont="1" applyFill="1" applyBorder="1" applyAlignment="1"/>
    <xf numFmtId="44" fontId="4" fillId="0" borderId="0" xfId="0" applyNumberFormat="1" applyFont="1"/>
    <xf numFmtId="168" fontId="4" fillId="0" borderId="0" xfId="0" applyNumberFormat="1" applyFont="1"/>
    <xf numFmtId="168" fontId="4" fillId="2" borderId="1" xfId="1" applyNumberFormat="1" applyFont="1" applyFill="1" applyBorder="1"/>
    <xf numFmtId="168" fontId="4" fillId="2" borderId="1" xfId="0" applyNumberFormat="1" applyFont="1" applyFill="1" applyBorder="1" applyAlignment="1">
      <alignment horizontal="left" vertical="center"/>
    </xf>
    <xf numFmtId="165" fontId="4" fillId="0" borderId="0" xfId="0" applyNumberFormat="1" applyFont="1"/>
    <xf numFmtId="43" fontId="4" fillId="0" borderId="0" xfId="0" applyNumberFormat="1" applyFont="1"/>
    <xf numFmtId="44" fontId="4" fillId="2" borderId="6" xfId="1" applyFont="1" applyFill="1" applyBorder="1"/>
    <xf numFmtId="0" fontId="4" fillId="2" borderId="0" xfId="0" applyFont="1" applyFill="1"/>
    <xf numFmtId="165" fontId="13" fillId="16" borderId="3" xfId="1" applyNumberFormat="1" applyFont="1" applyFill="1" applyBorder="1"/>
    <xf numFmtId="44" fontId="19" fillId="16" borderId="1" xfId="1"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22" fillId="7" borderId="0" xfId="0" applyFont="1" applyFill="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9" fillId="21" borderId="14" xfId="0" quotePrefix="1" applyFont="1" applyFill="1" applyBorder="1" applyAlignment="1">
      <alignment horizontal="left" vertical="center" wrapText="1"/>
    </xf>
    <xf numFmtId="0" fontId="9" fillId="21" borderId="15" xfId="0" applyFont="1" applyFill="1" applyBorder="1" applyAlignment="1">
      <alignment horizontal="left" vertical="center" wrapText="1"/>
    </xf>
    <xf numFmtId="0" fontId="9" fillId="21" borderId="16" xfId="0" applyFont="1" applyFill="1" applyBorder="1" applyAlignment="1">
      <alignment horizontal="left" vertical="center" wrapText="1"/>
    </xf>
    <xf numFmtId="0" fontId="9" fillId="21" borderId="17" xfId="0" applyFont="1" applyFill="1" applyBorder="1" applyAlignment="1">
      <alignment horizontal="left" vertical="center" wrapText="1"/>
    </xf>
    <xf numFmtId="0" fontId="9" fillId="21" borderId="24" xfId="0" applyFont="1" applyFill="1" applyBorder="1" applyAlignment="1">
      <alignment horizontal="left" vertical="center" wrapText="1"/>
    </xf>
    <xf numFmtId="0" fontId="9" fillId="21" borderId="25" xfId="0" applyFont="1" applyFill="1" applyBorder="1" applyAlignment="1">
      <alignment horizontal="left" vertical="center" wrapText="1"/>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44" fontId="9" fillId="5" borderId="1" xfId="1" applyFont="1" applyFill="1" applyBorder="1"/>
    <xf numFmtId="169" fontId="22" fillId="3" borderId="0" xfId="0" applyNumberFormat="1" applyFont="1" applyFill="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7" fillId="8" borderId="9" xfId="0" applyFont="1" applyFill="1" applyBorder="1" applyAlignment="1">
      <alignment horizontal="left" vertical="center" wrapText="1"/>
    </xf>
    <xf numFmtId="0" fontId="27" fillId="8" borderId="10" xfId="0" applyFont="1" applyFill="1" applyBorder="1" applyAlignment="1">
      <alignment horizontal="left" vertical="center" wrapText="1"/>
    </xf>
    <xf numFmtId="0" fontId="27"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0" fontId="25" fillId="8" borderId="16" xfId="0" applyFont="1" applyFill="1" applyBorder="1" applyAlignment="1">
      <alignment horizontal="left" vertical="center" wrapText="1"/>
    </xf>
    <xf numFmtId="0" fontId="25" fillId="8" borderId="0" xfId="0" applyFont="1" applyFill="1" applyAlignment="1">
      <alignment horizontal="left" vertical="center" wrapText="1"/>
    </xf>
    <xf numFmtId="0" fontId="2" fillId="8" borderId="16" xfId="0" applyFont="1" applyFill="1" applyBorder="1" applyAlignment="1">
      <alignment horizontal="left" vertical="center" wrapText="1"/>
    </xf>
    <xf numFmtId="0" fontId="2" fillId="8" borderId="0" xfId="0" applyFont="1" applyFill="1" applyAlignment="1">
      <alignment horizontal="left"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00FF"/>
      <color rgb="FF666633"/>
      <color rgb="FF1CB0B0"/>
      <color rgb="FF336699"/>
      <color rgb="FF00FF00"/>
      <color rgb="FFFD95DD"/>
      <color rgb="FFFFFF99"/>
      <color rgb="FFCC6600"/>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1"/>
  <sheetViews>
    <sheetView tabSelected="1" topLeftCell="A128" zoomScale="80" zoomScaleNormal="80" workbookViewId="0">
      <selection activeCell="D132" sqref="D132"/>
    </sheetView>
  </sheetViews>
  <sheetFormatPr baseColWidth="10" defaultColWidth="10.85546875" defaultRowHeight="15" x14ac:dyDescent="0.25"/>
  <cols>
    <col min="1" max="1" width="37.5703125" customWidth="1"/>
    <col min="2" max="2" width="24.5703125" customWidth="1"/>
    <col min="3" max="3" width="15.85546875" hidden="1" customWidth="1"/>
    <col min="4" max="4" width="21.42578125" customWidth="1"/>
    <col min="5" max="5" width="16.85546875" customWidth="1"/>
    <col min="6" max="6" width="16.42578125" bestFit="1" customWidth="1"/>
    <col min="7" max="8" width="15.42578125" bestFit="1" customWidth="1"/>
    <col min="9" max="9" width="14.140625" bestFit="1" customWidth="1"/>
    <col min="11" max="11" width="18" customWidth="1"/>
    <col min="12" max="12" width="18.42578125" customWidth="1"/>
  </cols>
  <sheetData>
    <row r="1" spans="1:5" ht="15.75" thickBot="1" x14ac:dyDescent="0.3">
      <c r="A1" s="366"/>
      <c r="B1" s="361" t="s">
        <v>155</v>
      </c>
      <c r="C1" s="362"/>
      <c r="D1" s="362"/>
      <c r="E1" s="363"/>
    </row>
    <row r="2" spans="1:5" ht="15.75" thickBot="1" x14ac:dyDescent="0.3">
      <c r="A2" s="367"/>
      <c r="B2" s="361" t="s">
        <v>157</v>
      </c>
      <c r="C2" s="362"/>
      <c r="D2" s="362"/>
      <c r="E2" s="363"/>
    </row>
    <row r="3" spans="1:5" ht="32.25" customHeight="1" thickBot="1" x14ac:dyDescent="0.3">
      <c r="A3" s="367"/>
      <c r="B3" s="358" t="s">
        <v>153</v>
      </c>
      <c r="C3" s="359"/>
      <c r="D3" s="359"/>
      <c r="E3" s="360"/>
    </row>
    <row r="4" spans="1:5" ht="15.75" thickBot="1" x14ac:dyDescent="0.3">
      <c r="A4" s="367"/>
      <c r="B4" s="45" t="s">
        <v>154</v>
      </c>
      <c r="C4" s="44"/>
      <c r="D4" s="44"/>
      <c r="E4" s="44"/>
    </row>
    <row r="5" spans="1:5" ht="17.100000000000001" customHeight="1" thickBot="1" x14ac:dyDescent="0.3">
      <c r="A5" s="367"/>
      <c r="B5" s="48" t="s">
        <v>384</v>
      </c>
      <c r="C5" s="46"/>
      <c r="D5" s="46"/>
      <c r="E5" s="47"/>
    </row>
    <row r="6" spans="1:5" ht="17.100000000000001" customHeight="1" thickBot="1" x14ac:dyDescent="0.3">
      <c r="A6" s="367"/>
      <c r="B6" s="49" t="s">
        <v>282</v>
      </c>
      <c r="C6" s="46"/>
      <c r="D6" s="46"/>
      <c r="E6" s="47"/>
    </row>
    <row r="7" spans="1:5" ht="17.100000000000001" customHeight="1" thickBot="1" x14ac:dyDescent="0.3">
      <c r="A7" s="367"/>
      <c r="B7" s="49" t="s">
        <v>281</v>
      </c>
      <c r="C7" s="46"/>
      <c r="D7" s="46"/>
      <c r="E7" s="47"/>
    </row>
    <row r="8" spans="1:5" ht="15.75" thickBot="1" x14ac:dyDescent="0.3">
      <c r="A8" s="368"/>
      <c r="B8" s="364" t="s">
        <v>156</v>
      </c>
      <c r="C8" s="364"/>
      <c r="D8" s="364"/>
      <c r="E8" s="365"/>
    </row>
    <row r="9" spans="1:5" ht="15.75" thickBot="1" x14ac:dyDescent="0.3">
      <c r="A9" s="32"/>
      <c r="B9" s="32"/>
      <c r="C9" s="32"/>
      <c r="D9" s="32"/>
      <c r="E9" s="32"/>
    </row>
    <row r="10" spans="1:5" ht="14.45" customHeight="1" x14ac:dyDescent="0.25">
      <c r="A10" s="369" t="s">
        <v>383</v>
      </c>
      <c r="B10" s="370"/>
      <c r="C10" s="370"/>
      <c r="D10" s="370"/>
      <c r="E10" s="371"/>
    </row>
    <row r="11" spans="1:5" ht="14.45" customHeight="1" x14ac:dyDescent="0.25">
      <c r="A11" s="372"/>
      <c r="B11" s="373"/>
      <c r="C11" s="373"/>
      <c r="D11" s="373"/>
      <c r="E11" s="374"/>
    </row>
    <row r="12" spans="1:5" ht="14.45" customHeight="1" thickBot="1" x14ac:dyDescent="0.3">
      <c r="A12" s="375"/>
      <c r="B12" s="376"/>
      <c r="C12" s="376"/>
      <c r="D12" s="376"/>
      <c r="E12" s="377"/>
    </row>
    <row r="13" spans="1:5" x14ac:dyDescent="0.25">
      <c r="A13" s="32"/>
      <c r="B13" s="32"/>
      <c r="C13" s="32"/>
      <c r="D13" s="32"/>
      <c r="E13" s="32"/>
    </row>
    <row r="14" spans="1:5" x14ac:dyDescent="0.25">
      <c r="A14" s="32"/>
      <c r="B14" s="32"/>
      <c r="C14" s="32"/>
      <c r="D14" s="32"/>
      <c r="E14" s="32"/>
    </row>
    <row r="15" spans="1:5" ht="15" customHeight="1" x14ac:dyDescent="0.25">
      <c r="A15" s="378" t="s">
        <v>240</v>
      </c>
      <c r="B15" s="378"/>
      <c r="C15" s="378"/>
      <c r="D15" s="378"/>
      <c r="E15" s="378"/>
    </row>
    <row r="16" spans="1:5" ht="15" customHeight="1" x14ac:dyDescent="0.25">
      <c r="A16" s="378"/>
      <c r="B16" s="378"/>
      <c r="C16" s="378"/>
      <c r="D16" s="378"/>
      <c r="E16" s="378"/>
    </row>
    <row r="17" spans="1:8" ht="15" customHeight="1" x14ac:dyDescent="0.25">
      <c r="A17" s="378"/>
      <c r="B17" s="378"/>
      <c r="C17" s="378"/>
      <c r="D17" s="378"/>
      <c r="E17" s="378"/>
    </row>
    <row r="18" spans="1:8" ht="243" customHeight="1" x14ac:dyDescent="0.25">
      <c r="A18" s="378"/>
      <c r="B18" s="378"/>
      <c r="C18" s="378"/>
      <c r="D18" s="378"/>
      <c r="E18" s="378"/>
    </row>
    <row r="19" spans="1:8" ht="14.25" customHeight="1" thickBot="1" x14ac:dyDescent="0.3">
      <c r="A19" s="32"/>
      <c r="B19" s="32"/>
      <c r="C19" s="32"/>
      <c r="D19" s="32"/>
      <c r="E19" s="32"/>
    </row>
    <row r="20" spans="1:8" ht="14.45" hidden="1" customHeight="1" x14ac:dyDescent="0.25">
      <c r="A20" s="92"/>
      <c r="B20" s="32"/>
      <c r="C20" s="32"/>
      <c r="D20" s="32"/>
      <c r="E20" s="32"/>
    </row>
    <row r="21" spans="1:8" ht="15" hidden="1" customHeight="1" thickBot="1" x14ac:dyDescent="0.3">
      <c r="A21" s="32"/>
      <c r="B21" s="32"/>
      <c r="C21" s="32"/>
      <c r="D21" s="32"/>
      <c r="E21" s="32"/>
    </row>
    <row r="22" spans="1:8" x14ac:dyDescent="0.25">
      <c r="A22" s="93" t="s">
        <v>5</v>
      </c>
      <c r="B22" s="94"/>
      <c r="C22" s="95"/>
      <c r="D22" s="96"/>
      <c r="E22" s="97"/>
      <c r="F22" s="32"/>
      <c r="G22" s="32"/>
    </row>
    <row r="23" spans="1:8" x14ac:dyDescent="0.25">
      <c r="A23" s="8" t="s">
        <v>18</v>
      </c>
      <c r="B23" s="8"/>
      <c r="C23" s="8"/>
      <c r="D23" s="8"/>
      <c r="E23" s="8"/>
      <c r="F23" s="32"/>
      <c r="G23" s="32"/>
    </row>
    <row r="24" spans="1:8" ht="36.75" customHeight="1" x14ac:dyDescent="0.25">
      <c r="A24" s="193" t="s">
        <v>385</v>
      </c>
      <c r="B24" s="337"/>
      <c r="C24" s="24"/>
      <c r="D24" s="338">
        <v>2127059.89</v>
      </c>
      <c r="E24" s="264" t="s">
        <v>374</v>
      </c>
      <c r="F24" s="32"/>
      <c r="G24" s="339"/>
    </row>
    <row r="25" spans="1:8" x14ac:dyDescent="0.25">
      <c r="A25" s="379" t="s">
        <v>386</v>
      </c>
      <c r="B25" s="380"/>
      <c r="C25" s="24"/>
      <c r="D25" s="338">
        <v>-462635.54</v>
      </c>
      <c r="E25" s="24"/>
      <c r="F25" s="32"/>
      <c r="G25" s="340"/>
    </row>
    <row r="26" spans="1:8" ht="19.5" customHeight="1" x14ac:dyDescent="0.25">
      <c r="A26" s="381" t="s">
        <v>387</v>
      </c>
      <c r="B26" s="382"/>
      <c r="C26" s="24"/>
      <c r="D26" s="338">
        <v>0.65</v>
      </c>
      <c r="E26" s="24"/>
      <c r="F26" s="340"/>
      <c r="G26" s="340"/>
    </row>
    <row r="27" spans="1:8" x14ac:dyDescent="0.25">
      <c r="A27" s="98" t="s">
        <v>19</v>
      </c>
      <c r="B27" s="98"/>
      <c r="C27" s="98"/>
      <c r="D27" s="200">
        <f>SUM(D24:D26)</f>
        <v>1664425</v>
      </c>
      <c r="E27" s="82"/>
      <c r="F27" s="340"/>
      <c r="G27" s="340"/>
      <c r="H27" s="73"/>
    </row>
    <row r="28" spans="1:8" ht="32.25" customHeight="1" x14ac:dyDescent="0.25">
      <c r="A28" s="355" t="s">
        <v>336</v>
      </c>
      <c r="B28" s="356"/>
      <c r="C28" s="24"/>
      <c r="D28" s="338">
        <v>1520000</v>
      </c>
      <c r="E28" s="24" t="s">
        <v>424</v>
      </c>
      <c r="F28" s="32"/>
      <c r="G28" s="340">
        <f>D28+D120</f>
        <v>2111035</v>
      </c>
    </row>
    <row r="29" spans="1:8" x14ac:dyDescent="0.25">
      <c r="A29" s="98" t="s">
        <v>19</v>
      </c>
      <c r="B29" s="98"/>
      <c r="C29" s="98"/>
      <c r="D29" s="200">
        <f>SUM(D28:D28)</f>
        <v>1520000</v>
      </c>
      <c r="E29" s="25"/>
      <c r="F29" s="32"/>
      <c r="G29" s="340"/>
    </row>
    <row r="30" spans="1:8" ht="18" customHeight="1" thickBot="1" x14ac:dyDescent="0.3">
      <c r="A30" s="99" t="s">
        <v>167</v>
      </c>
      <c r="B30" s="99"/>
      <c r="C30" s="99"/>
      <c r="D30" s="201"/>
      <c r="E30" s="84">
        <f>D27+D29</f>
        <v>3184425</v>
      </c>
      <c r="F30" s="340"/>
      <c r="G30" s="32"/>
    </row>
    <row r="31" spans="1:8" x14ac:dyDescent="0.25">
      <c r="A31" s="8" t="s">
        <v>173</v>
      </c>
      <c r="B31" s="9"/>
      <c r="C31" s="9"/>
      <c r="D31" s="202"/>
      <c r="E31" s="18"/>
      <c r="F31" s="32"/>
      <c r="G31" s="32"/>
    </row>
    <row r="32" spans="1:8" s="10" customFormat="1" ht="15" customHeight="1" x14ac:dyDescent="0.25">
      <c r="A32" s="24" t="s">
        <v>389</v>
      </c>
      <c r="B32" s="24"/>
      <c r="C32" s="100"/>
      <c r="D32" s="341">
        <v>965802.33</v>
      </c>
      <c r="E32" s="79" t="s">
        <v>436</v>
      </c>
      <c r="F32" s="342"/>
      <c r="G32" s="343"/>
    </row>
    <row r="33" spans="1:9" s="10" customFormat="1" ht="15" customHeight="1" x14ac:dyDescent="0.25">
      <c r="A33" s="101" t="s">
        <v>390</v>
      </c>
      <c r="B33" s="24" t="s">
        <v>11</v>
      </c>
      <c r="C33" s="100"/>
      <c r="D33" s="341">
        <v>95211.53</v>
      </c>
      <c r="E33" s="78" t="s">
        <v>438</v>
      </c>
      <c r="F33" s="342"/>
      <c r="G33" s="343"/>
    </row>
    <row r="34" spans="1:9" s="10" customFormat="1" ht="15" customHeight="1" x14ac:dyDescent="0.25">
      <c r="A34" s="101" t="str">
        <f>A33</f>
        <v>Sindicatos mes de ABRIL</v>
      </c>
      <c r="B34" s="24" t="s">
        <v>20</v>
      </c>
      <c r="C34" s="100"/>
      <c r="D34" s="341">
        <v>180761.77</v>
      </c>
      <c r="E34" s="78" t="str">
        <f>E33</f>
        <v>Debito 12/05</v>
      </c>
      <c r="F34" s="342"/>
      <c r="G34" s="343"/>
    </row>
    <row r="35" spans="1:9" ht="15" customHeight="1" x14ac:dyDescent="0.25">
      <c r="A35" s="101" t="str">
        <f>A34</f>
        <v>Sindicatos mes de ABRIL</v>
      </c>
      <c r="B35" s="24" t="s">
        <v>10</v>
      </c>
      <c r="C35" s="100"/>
      <c r="D35" s="344">
        <v>10579.06</v>
      </c>
      <c r="E35" s="78" t="str">
        <f>E34</f>
        <v>Debito 12/05</v>
      </c>
      <c r="F35" s="32"/>
      <c r="G35" s="32"/>
      <c r="H35" s="35"/>
    </row>
    <row r="36" spans="1:9" ht="15.75" thickBot="1" x14ac:dyDescent="0.3">
      <c r="A36" s="99" t="s">
        <v>147</v>
      </c>
      <c r="B36" s="99"/>
      <c r="C36" s="99"/>
      <c r="D36" s="203"/>
      <c r="E36" s="83">
        <f>SUM(D32:D35)</f>
        <v>1252354.69</v>
      </c>
      <c r="F36" s="32"/>
      <c r="G36" s="32"/>
    </row>
    <row r="37" spans="1:9" x14ac:dyDescent="0.25">
      <c r="A37" s="8" t="s">
        <v>166</v>
      </c>
      <c r="B37" s="102"/>
      <c r="C37" s="102"/>
      <c r="D37" s="204"/>
      <c r="E37" s="27"/>
      <c r="F37" s="32"/>
      <c r="G37" s="32"/>
    </row>
    <row r="38" spans="1:9" ht="32.1" customHeight="1" x14ac:dyDescent="0.25">
      <c r="A38" s="355" t="s">
        <v>268</v>
      </c>
      <c r="B38" s="356"/>
      <c r="C38" s="24"/>
      <c r="D38" s="205">
        <v>148964</v>
      </c>
      <c r="E38" s="79" t="s">
        <v>434</v>
      </c>
      <c r="F38" s="32"/>
      <c r="G38" s="32"/>
    </row>
    <row r="39" spans="1:9" ht="32.1" customHeight="1" x14ac:dyDescent="0.25">
      <c r="A39" s="355" t="s">
        <v>269</v>
      </c>
      <c r="B39" s="356"/>
      <c r="C39" s="24"/>
      <c r="D39" s="205">
        <v>0</v>
      </c>
      <c r="E39" s="79"/>
      <c r="F39" s="32"/>
      <c r="G39" s="32"/>
    </row>
    <row r="40" spans="1:9" ht="32.1" customHeight="1" x14ac:dyDescent="0.25">
      <c r="A40" s="355" t="s">
        <v>310</v>
      </c>
      <c r="B40" s="356"/>
      <c r="C40" s="24"/>
      <c r="D40" s="205">
        <v>26214.080000000002</v>
      </c>
      <c r="E40" s="79" t="s">
        <v>436</v>
      </c>
      <c r="F40" s="32"/>
      <c r="G40" s="32"/>
    </row>
    <row r="41" spans="1:9" ht="32.1" customHeight="1" x14ac:dyDescent="0.25">
      <c r="A41" s="355" t="s">
        <v>309</v>
      </c>
      <c r="B41" s="356"/>
      <c r="C41" s="24"/>
      <c r="D41" s="205">
        <v>23573.47</v>
      </c>
      <c r="E41" s="79" t="s">
        <v>439</v>
      </c>
      <c r="F41" s="32"/>
      <c r="G41" s="32"/>
    </row>
    <row r="42" spans="1:9" ht="15" customHeight="1" thickBot="1" x14ac:dyDescent="0.3">
      <c r="A42" s="99" t="s">
        <v>148</v>
      </c>
      <c r="B42" s="103"/>
      <c r="C42" s="103"/>
      <c r="D42" s="206"/>
      <c r="E42" s="51">
        <f>SUM(D38:D41)</f>
        <v>198751.55000000002</v>
      </c>
      <c r="F42" s="32"/>
      <c r="G42" s="32"/>
    </row>
    <row r="43" spans="1:9" ht="15" customHeight="1" thickBot="1" x14ac:dyDescent="0.3">
      <c r="A43" s="66" t="s">
        <v>174</v>
      </c>
      <c r="B43" s="9"/>
      <c r="C43" s="9"/>
      <c r="D43" s="207"/>
      <c r="E43" s="29"/>
      <c r="F43" s="32"/>
      <c r="G43" s="32"/>
    </row>
    <row r="44" spans="1:9" ht="42.75" customHeight="1" x14ac:dyDescent="0.25">
      <c r="A44" s="355" t="s">
        <v>391</v>
      </c>
      <c r="B44" s="357"/>
      <c r="C44" s="104"/>
      <c r="D44" s="205">
        <v>46269383.68</v>
      </c>
      <c r="E44" s="28" t="s">
        <v>417</v>
      </c>
      <c r="F44" s="345">
        <f>D44+D121+D123+D122</f>
        <v>46464026.509999998</v>
      </c>
      <c r="G44" s="345"/>
      <c r="I44" s="39"/>
    </row>
    <row r="45" spans="1:9" ht="41.25" customHeight="1" x14ac:dyDescent="0.25">
      <c r="A45" s="355" t="s">
        <v>407</v>
      </c>
      <c r="B45" s="357"/>
      <c r="C45" s="104"/>
      <c r="D45" s="205">
        <v>5702320.7999999998</v>
      </c>
      <c r="E45" s="31" t="s">
        <v>430</v>
      </c>
      <c r="F45" s="345"/>
      <c r="G45" s="32"/>
    </row>
    <row r="46" spans="1:9" ht="17.45" customHeight="1" x14ac:dyDescent="0.25">
      <c r="A46" s="99" t="s">
        <v>175</v>
      </c>
      <c r="B46" s="43"/>
      <c r="C46" s="43"/>
      <c r="D46" s="43"/>
      <c r="E46" s="52">
        <f>SUM(D44:D45)</f>
        <v>51971704.479999997</v>
      </c>
      <c r="F46" s="32"/>
      <c r="G46" s="32"/>
    </row>
    <row r="47" spans="1:9" ht="17.45" customHeight="1" x14ac:dyDescent="0.25">
      <c r="A47" s="66" t="s">
        <v>176</v>
      </c>
      <c r="B47" s="66"/>
      <c r="C47" s="66" t="s">
        <v>174</v>
      </c>
      <c r="D47" s="66"/>
      <c r="E47" s="66"/>
      <c r="F47" s="32"/>
      <c r="G47" s="32"/>
    </row>
    <row r="48" spans="1:9" ht="35.1" customHeight="1" x14ac:dyDescent="0.25">
      <c r="A48" s="355" t="s">
        <v>333</v>
      </c>
      <c r="B48" s="357"/>
      <c r="C48" s="104"/>
      <c r="D48" s="205">
        <v>1212341.6499999999</v>
      </c>
      <c r="E48" s="31" t="s">
        <v>428</v>
      </c>
      <c r="F48" s="32"/>
      <c r="G48" s="32"/>
    </row>
    <row r="49" spans="1:8" ht="51.75" customHeight="1" x14ac:dyDescent="0.25">
      <c r="A49" s="355" t="s">
        <v>396</v>
      </c>
      <c r="B49" s="357"/>
      <c r="C49" s="104"/>
      <c r="D49" s="205">
        <v>114432.12</v>
      </c>
      <c r="E49" s="31" t="s">
        <v>397</v>
      </c>
      <c r="F49" s="32"/>
      <c r="G49" s="32"/>
    </row>
    <row r="50" spans="1:8" ht="35.1" customHeight="1" x14ac:dyDescent="0.25">
      <c r="A50" s="355" t="s">
        <v>425</v>
      </c>
      <c r="B50" s="356"/>
      <c r="C50" s="105"/>
      <c r="D50" s="205">
        <v>480000</v>
      </c>
      <c r="E50" s="31" t="s">
        <v>424</v>
      </c>
      <c r="F50" s="32"/>
      <c r="G50" s="32"/>
    </row>
    <row r="51" spans="1:8" ht="37.5" customHeight="1" x14ac:dyDescent="0.25">
      <c r="A51" s="355" t="s">
        <v>422</v>
      </c>
      <c r="B51" s="356"/>
      <c r="C51" s="105"/>
      <c r="D51" s="205">
        <v>6300000</v>
      </c>
      <c r="E51" s="31" t="s">
        <v>421</v>
      </c>
      <c r="F51" s="32"/>
      <c r="G51" s="32"/>
    </row>
    <row r="52" spans="1:8" ht="39" customHeight="1" x14ac:dyDescent="0.25">
      <c r="A52" s="355" t="s">
        <v>392</v>
      </c>
      <c r="B52" s="356"/>
      <c r="C52" s="105"/>
      <c r="D52" s="205">
        <v>228690</v>
      </c>
      <c r="E52" s="31" t="s">
        <v>394</v>
      </c>
      <c r="F52" s="32"/>
      <c r="G52" s="32"/>
    </row>
    <row r="53" spans="1:8" ht="60" customHeight="1" x14ac:dyDescent="0.25">
      <c r="A53" s="355" t="s">
        <v>402</v>
      </c>
      <c r="B53" s="356"/>
      <c r="C53" s="105"/>
      <c r="D53" s="205">
        <v>156206.5</v>
      </c>
      <c r="E53" s="31" t="s">
        <v>394</v>
      </c>
      <c r="F53" s="32"/>
      <c r="G53" s="32"/>
    </row>
    <row r="54" spans="1:8" ht="44.25" customHeight="1" x14ac:dyDescent="0.25">
      <c r="A54" s="355" t="s">
        <v>444</v>
      </c>
      <c r="B54" s="356"/>
      <c r="C54" s="105"/>
      <c r="D54" s="205">
        <v>0</v>
      </c>
      <c r="E54" s="31"/>
      <c r="F54" s="32"/>
      <c r="G54" s="32"/>
    </row>
    <row r="55" spans="1:8" ht="37.5" customHeight="1" x14ac:dyDescent="0.25">
      <c r="A55" s="355" t="s">
        <v>404</v>
      </c>
      <c r="B55" s="356"/>
      <c r="C55" s="105"/>
      <c r="D55" s="205">
        <v>820380</v>
      </c>
      <c r="E55" s="80" t="s">
        <v>394</v>
      </c>
      <c r="F55" s="32"/>
      <c r="G55" s="32"/>
    </row>
    <row r="56" spans="1:8" ht="37.5" customHeight="1" x14ac:dyDescent="0.25">
      <c r="A56" s="355" t="s">
        <v>398</v>
      </c>
      <c r="B56" s="356"/>
      <c r="C56" s="105"/>
      <c r="D56" s="205">
        <v>110000</v>
      </c>
      <c r="E56" s="80" t="s">
        <v>397</v>
      </c>
      <c r="F56" s="32"/>
      <c r="G56" s="32"/>
    </row>
    <row r="57" spans="1:8" ht="37.5" customHeight="1" x14ac:dyDescent="0.25">
      <c r="A57" s="355" t="s">
        <v>431</v>
      </c>
      <c r="B57" s="356"/>
      <c r="C57" s="105"/>
      <c r="D57" s="205">
        <v>110000</v>
      </c>
      <c r="E57" s="80" t="s">
        <v>430</v>
      </c>
      <c r="F57" s="32"/>
      <c r="G57" s="32"/>
    </row>
    <row r="58" spans="1:8" ht="37.5" customHeight="1" x14ac:dyDescent="0.25">
      <c r="A58" s="355" t="s">
        <v>415</v>
      </c>
      <c r="B58" s="356"/>
      <c r="C58" s="105"/>
      <c r="D58" s="205">
        <v>110000</v>
      </c>
      <c r="E58" s="80" t="s">
        <v>411</v>
      </c>
      <c r="F58" s="32"/>
      <c r="G58" s="32"/>
    </row>
    <row r="59" spans="1:8" ht="37.5" customHeight="1" x14ac:dyDescent="0.25">
      <c r="A59" s="355" t="s">
        <v>420</v>
      </c>
      <c r="B59" s="356"/>
      <c r="C59" s="105"/>
      <c r="D59" s="205">
        <v>220000</v>
      </c>
      <c r="E59" s="80" t="s">
        <v>421</v>
      </c>
      <c r="F59" s="32"/>
      <c r="G59" s="32"/>
    </row>
    <row r="60" spans="1:8" ht="37.5" customHeight="1" x14ac:dyDescent="0.25">
      <c r="A60" s="355" t="s">
        <v>416</v>
      </c>
      <c r="B60" s="356"/>
      <c r="C60" s="105"/>
      <c r="D60" s="205">
        <v>110000</v>
      </c>
      <c r="E60" s="80" t="s">
        <v>411</v>
      </c>
      <c r="F60" s="32"/>
      <c r="G60" s="32"/>
    </row>
    <row r="61" spans="1:8" ht="37.5" customHeight="1" x14ac:dyDescent="0.25">
      <c r="A61" s="355" t="s">
        <v>413</v>
      </c>
      <c r="B61" s="356"/>
      <c r="C61" s="105"/>
      <c r="D61" s="205">
        <v>1300000</v>
      </c>
      <c r="E61" s="80" t="s">
        <v>411</v>
      </c>
      <c r="F61" s="32"/>
      <c r="G61" s="32"/>
    </row>
    <row r="62" spans="1:8" ht="37.5" customHeight="1" x14ac:dyDescent="0.25">
      <c r="A62" s="355" t="s">
        <v>414</v>
      </c>
      <c r="B62" s="356"/>
      <c r="C62" s="105"/>
      <c r="D62" s="205">
        <v>650000</v>
      </c>
      <c r="E62" s="80" t="s">
        <v>411</v>
      </c>
      <c r="F62" s="32"/>
      <c r="G62" s="32"/>
    </row>
    <row r="63" spans="1:8" ht="51" customHeight="1" x14ac:dyDescent="0.25">
      <c r="A63" s="355" t="s">
        <v>427</v>
      </c>
      <c r="B63" s="356"/>
      <c r="C63" s="24"/>
      <c r="D63" s="205">
        <v>2459883</v>
      </c>
      <c r="E63" s="80" t="s">
        <v>426</v>
      </c>
      <c r="F63" s="32"/>
      <c r="G63" s="346"/>
      <c r="H63" s="89"/>
    </row>
    <row r="64" spans="1:8" ht="15.75" thickBot="1" x14ac:dyDescent="0.3">
      <c r="A64" s="99" t="s">
        <v>177</v>
      </c>
      <c r="B64" s="43"/>
      <c r="C64" s="43"/>
      <c r="D64" s="43"/>
      <c r="E64" s="139">
        <f>SUM(D48:D63)</f>
        <v>14381933.27</v>
      </c>
      <c r="F64" s="32"/>
      <c r="G64" s="32"/>
    </row>
    <row r="65" spans="1:7" ht="15.75" thickBot="1" x14ac:dyDescent="0.3">
      <c r="A65" s="8" t="s">
        <v>178</v>
      </c>
      <c r="B65" s="106"/>
      <c r="C65" s="9"/>
      <c r="D65" s="208"/>
      <c r="E65" s="29"/>
      <c r="F65" s="32"/>
      <c r="G65" s="32"/>
    </row>
    <row r="66" spans="1:7" ht="63.75" customHeight="1" x14ac:dyDescent="0.25">
      <c r="A66" s="355" t="s">
        <v>375</v>
      </c>
      <c r="B66" s="356"/>
      <c r="C66" s="24"/>
      <c r="D66" s="347">
        <v>170000</v>
      </c>
      <c r="E66" s="81" t="s">
        <v>374</v>
      </c>
      <c r="F66" s="32"/>
      <c r="G66" s="32"/>
    </row>
    <row r="67" spans="1:7" ht="51.75" customHeight="1" x14ac:dyDescent="0.25">
      <c r="A67" s="355" t="s">
        <v>429</v>
      </c>
      <c r="B67" s="356"/>
      <c r="C67" s="24"/>
      <c r="D67" s="347">
        <v>3100000</v>
      </c>
      <c r="E67" s="81" t="s">
        <v>430</v>
      </c>
      <c r="F67" s="32"/>
      <c r="G67" s="32"/>
    </row>
    <row r="68" spans="1:7" ht="55.5" customHeight="1" x14ac:dyDescent="0.25">
      <c r="A68" s="355" t="s">
        <v>376</v>
      </c>
      <c r="B68" s="356"/>
      <c r="C68" s="101"/>
      <c r="D68" s="347">
        <v>120000</v>
      </c>
      <c r="E68" s="146" t="s">
        <v>374</v>
      </c>
      <c r="F68" s="346"/>
      <c r="G68" s="32"/>
    </row>
    <row r="69" spans="1:7" ht="52.9" customHeight="1" x14ac:dyDescent="0.25">
      <c r="A69" s="355" t="s">
        <v>378</v>
      </c>
      <c r="B69" s="356"/>
      <c r="C69" s="101"/>
      <c r="D69" s="347">
        <v>240000</v>
      </c>
      <c r="E69" s="146" t="s">
        <v>379</v>
      </c>
      <c r="F69" s="346"/>
      <c r="G69" s="32"/>
    </row>
    <row r="70" spans="1:7" ht="42" customHeight="1" x14ac:dyDescent="0.25">
      <c r="A70" s="355" t="s">
        <v>432</v>
      </c>
      <c r="B70" s="356"/>
      <c r="C70" s="101"/>
      <c r="D70" s="347">
        <v>299700</v>
      </c>
      <c r="E70" s="146" t="s">
        <v>430</v>
      </c>
      <c r="F70" s="346"/>
      <c r="G70" s="32"/>
    </row>
    <row r="71" spans="1:7" ht="31.35" customHeight="1" x14ac:dyDescent="0.25">
      <c r="A71" s="241" t="s">
        <v>405</v>
      </c>
      <c r="B71" s="336"/>
      <c r="C71" s="101"/>
      <c r="D71" s="347">
        <v>159600</v>
      </c>
      <c r="E71" s="146" t="s">
        <v>334</v>
      </c>
      <c r="F71" s="32"/>
      <c r="G71" s="32"/>
    </row>
    <row r="72" spans="1:7" ht="43.5" customHeight="1" x14ac:dyDescent="0.25">
      <c r="A72" s="355" t="s">
        <v>403</v>
      </c>
      <c r="B72" s="356"/>
      <c r="C72" s="101"/>
      <c r="D72" s="347">
        <v>254100</v>
      </c>
      <c r="E72" s="88" t="s">
        <v>424</v>
      </c>
      <c r="F72" s="32"/>
      <c r="G72" s="32"/>
    </row>
    <row r="73" spans="1:7" ht="55.7" customHeight="1" x14ac:dyDescent="0.25">
      <c r="A73" s="355" t="s">
        <v>399</v>
      </c>
      <c r="B73" s="356"/>
      <c r="C73" s="101"/>
      <c r="D73" s="347">
        <v>132037.62</v>
      </c>
      <c r="E73" s="146" t="s">
        <v>397</v>
      </c>
      <c r="F73" s="346"/>
      <c r="G73" s="32"/>
    </row>
    <row r="74" spans="1:7" ht="45" customHeight="1" x14ac:dyDescent="0.25">
      <c r="A74" s="355" t="s">
        <v>373</v>
      </c>
      <c r="B74" s="356"/>
      <c r="C74" s="101"/>
      <c r="D74" s="347">
        <v>1518550</v>
      </c>
      <c r="E74" s="88" t="s">
        <v>374</v>
      </c>
      <c r="F74" s="32"/>
      <c r="G74" s="32"/>
    </row>
    <row r="75" spans="1:7" ht="45" customHeight="1" x14ac:dyDescent="0.25">
      <c r="A75" s="355" t="s">
        <v>377</v>
      </c>
      <c r="B75" s="356"/>
      <c r="C75" s="101"/>
      <c r="D75" s="347">
        <v>270185</v>
      </c>
      <c r="E75" s="88" t="s">
        <v>380</v>
      </c>
      <c r="F75" s="32"/>
      <c r="G75" s="32"/>
    </row>
    <row r="76" spans="1:7" ht="45" customHeight="1" x14ac:dyDescent="0.25">
      <c r="A76" s="355" t="s">
        <v>381</v>
      </c>
      <c r="B76" s="356"/>
      <c r="C76" s="101"/>
      <c r="D76" s="347">
        <v>2200000</v>
      </c>
      <c r="E76" s="88" t="s">
        <v>382</v>
      </c>
      <c r="F76" s="32"/>
      <c r="G76" s="32"/>
    </row>
    <row r="77" spans="1:7" ht="63" customHeight="1" x14ac:dyDescent="0.25">
      <c r="A77" s="355" t="s">
        <v>393</v>
      </c>
      <c r="B77" s="356"/>
      <c r="C77" s="101"/>
      <c r="D77" s="347">
        <v>482855</v>
      </c>
      <c r="E77" s="88" t="s">
        <v>394</v>
      </c>
      <c r="F77" s="32"/>
      <c r="G77" s="32"/>
    </row>
    <row r="78" spans="1:7" ht="46.5" customHeight="1" x14ac:dyDescent="0.25">
      <c r="A78" s="355" t="s">
        <v>395</v>
      </c>
      <c r="B78" s="356"/>
      <c r="C78" s="101"/>
      <c r="D78" s="347">
        <v>679100</v>
      </c>
      <c r="E78" s="81" t="s">
        <v>394</v>
      </c>
      <c r="F78" s="32"/>
      <c r="G78" s="32"/>
    </row>
    <row r="79" spans="1:7" ht="35.1" customHeight="1" x14ac:dyDescent="0.25">
      <c r="A79" s="355" t="s">
        <v>335</v>
      </c>
      <c r="B79" s="356"/>
      <c r="C79" s="101"/>
      <c r="D79" s="347">
        <v>299000</v>
      </c>
      <c r="E79" s="81" t="s">
        <v>424</v>
      </c>
      <c r="F79" s="32"/>
      <c r="G79" s="32"/>
    </row>
    <row r="80" spans="1:7" ht="15.75" thickBot="1" x14ac:dyDescent="0.3">
      <c r="A80" s="107" t="s">
        <v>179</v>
      </c>
      <c r="B80" s="107"/>
      <c r="C80" s="107"/>
      <c r="D80" s="209"/>
      <c r="E80" s="83">
        <f>SUM(D66:D79)</f>
        <v>9925127.620000001</v>
      </c>
      <c r="F80" s="32"/>
      <c r="G80" s="32"/>
    </row>
    <row r="81" spans="1:7" x14ac:dyDescent="0.25">
      <c r="A81" s="8" t="s">
        <v>12</v>
      </c>
      <c r="B81" s="8"/>
      <c r="C81" s="8"/>
      <c r="D81" s="210"/>
      <c r="E81" s="26"/>
      <c r="F81" s="32"/>
      <c r="G81" s="32"/>
    </row>
    <row r="82" spans="1:7" ht="23.45" customHeight="1" x14ac:dyDescent="0.25">
      <c r="A82" s="355" t="s">
        <v>332</v>
      </c>
      <c r="B82" s="356"/>
      <c r="C82" s="24"/>
      <c r="D82" s="348">
        <v>3218160</v>
      </c>
      <c r="E82" s="88" t="s">
        <v>417</v>
      </c>
      <c r="F82" s="32"/>
      <c r="G82" s="32"/>
    </row>
    <row r="83" spans="1:7" ht="23.45" customHeight="1" x14ac:dyDescent="0.25">
      <c r="A83" s="355" t="s">
        <v>443</v>
      </c>
      <c r="B83" s="356"/>
      <c r="C83" s="24"/>
      <c r="D83" s="348">
        <v>3218160</v>
      </c>
      <c r="E83" s="325" t="s">
        <v>374</v>
      </c>
      <c r="F83" s="32"/>
      <c r="G83" s="32"/>
    </row>
    <row r="84" spans="1:7" ht="15.75" thickBot="1" x14ac:dyDescent="0.3">
      <c r="A84" s="99" t="s">
        <v>149</v>
      </c>
      <c r="B84" s="99"/>
      <c r="C84" s="99"/>
      <c r="D84" s="203"/>
      <c r="E84" s="84">
        <f>SUM(D82:D83)</f>
        <v>6436320</v>
      </c>
      <c r="F84" s="32"/>
      <c r="G84" s="32"/>
    </row>
    <row r="85" spans="1:7" ht="15.75" thickBot="1" x14ac:dyDescent="0.3">
      <c r="A85" s="8" t="s">
        <v>7</v>
      </c>
      <c r="B85" s="106"/>
      <c r="C85" s="9"/>
      <c r="D85" s="208"/>
      <c r="E85" s="29"/>
      <c r="F85" s="32"/>
      <c r="G85" s="32"/>
    </row>
    <row r="86" spans="1:7" x14ac:dyDescent="0.25">
      <c r="A86" s="24" t="s">
        <v>22</v>
      </c>
      <c r="B86" s="24"/>
      <c r="C86" s="24"/>
      <c r="D86" s="205">
        <f>229085+1337390.25</f>
        <v>1566475.25</v>
      </c>
      <c r="E86" s="31"/>
      <c r="F86" s="32"/>
      <c r="G86" s="32"/>
    </row>
    <row r="87" spans="1:7" x14ac:dyDescent="0.25">
      <c r="A87" s="24" t="s">
        <v>23</v>
      </c>
      <c r="B87" s="24"/>
      <c r="C87" s="24"/>
      <c r="D87" s="205">
        <v>69000</v>
      </c>
      <c r="E87" s="30"/>
      <c r="F87" s="32"/>
      <c r="G87" s="32"/>
    </row>
    <row r="88" spans="1:7" x14ac:dyDescent="0.25">
      <c r="A88" s="108" t="s">
        <v>150</v>
      </c>
      <c r="B88" s="108"/>
      <c r="C88" s="108"/>
      <c r="D88" s="211"/>
      <c r="E88" s="87">
        <f>SUM(D86:D87)</f>
        <v>1635475.25</v>
      </c>
      <c r="F88" s="32"/>
      <c r="G88" s="32"/>
    </row>
    <row r="89" spans="1:7" x14ac:dyDescent="0.25">
      <c r="A89" s="24"/>
      <c r="B89" s="24"/>
      <c r="C89" s="24"/>
      <c r="D89" s="24"/>
      <c r="E89" s="54"/>
      <c r="F89" s="32"/>
      <c r="G89" s="32"/>
    </row>
    <row r="90" spans="1:7" x14ac:dyDescent="0.25">
      <c r="A90" s="24"/>
      <c r="B90" s="24"/>
      <c r="C90" s="24"/>
      <c r="D90" s="24"/>
      <c r="E90" s="54"/>
      <c r="F90" s="345"/>
      <c r="G90" s="349"/>
    </row>
    <row r="91" spans="1:7" ht="15.75" thickBot="1" x14ac:dyDescent="0.3">
      <c r="A91" s="109" t="s">
        <v>8</v>
      </c>
      <c r="B91" s="110"/>
      <c r="C91" s="53"/>
      <c r="D91" s="53"/>
      <c r="E91" s="144">
        <f>(SUM(E30:E89))</f>
        <v>88986091.859999999</v>
      </c>
      <c r="F91" s="350"/>
      <c r="G91" s="32"/>
    </row>
    <row r="92" spans="1:7" x14ac:dyDescent="0.25">
      <c r="A92" s="32"/>
      <c r="B92" s="32"/>
      <c r="C92" s="32"/>
      <c r="D92" s="32"/>
      <c r="E92" s="32"/>
      <c r="F92" s="32"/>
      <c r="G92" s="32"/>
    </row>
    <row r="93" spans="1:7" x14ac:dyDescent="0.25">
      <c r="A93" s="32"/>
      <c r="B93" s="32"/>
      <c r="C93" s="32"/>
      <c r="D93" s="32"/>
      <c r="E93" s="32"/>
      <c r="F93" s="32"/>
      <c r="G93" s="32"/>
    </row>
    <row r="94" spans="1:7" x14ac:dyDescent="0.25">
      <c r="A94" s="111" t="s">
        <v>9</v>
      </c>
      <c r="B94" s="42"/>
      <c r="C94" s="42"/>
      <c r="D94" s="42"/>
      <c r="E94" s="42"/>
      <c r="F94" s="32"/>
      <c r="G94" s="32"/>
    </row>
    <row r="95" spans="1:7" ht="31.5" customHeight="1" x14ac:dyDescent="0.25">
      <c r="A95" s="355" t="s">
        <v>326</v>
      </c>
      <c r="B95" s="356"/>
      <c r="C95" s="24"/>
      <c r="D95" s="205">
        <v>369004.17</v>
      </c>
      <c r="E95" s="54" t="s">
        <v>270</v>
      </c>
      <c r="F95" s="32"/>
      <c r="G95" s="32"/>
    </row>
    <row r="96" spans="1:7" ht="31.5" customHeight="1" x14ac:dyDescent="0.25">
      <c r="A96" s="355" t="s">
        <v>440</v>
      </c>
      <c r="B96" s="356"/>
      <c r="C96" s="24"/>
      <c r="D96" s="205">
        <v>67497.929999999993</v>
      </c>
      <c r="E96" s="324" t="s">
        <v>394</v>
      </c>
      <c r="F96" s="32"/>
      <c r="G96" s="32"/>
    </row>
    <row r="97" spans="1:7" ht="31.5" customHeight="1" x14ac:dyDescent="0.25">
      <c r="A97" s="355" t="s">
        <v>441</v>
      </c>
      <c r="B97" s="356"/>
      <c r="C97" s="24"/>
      <c r="D97" s="205">
        <f>D96</f>
        <v>67497.929999999993</v>
      </c>
      <c r="E97" s="324" t="str">
        <f>E96</f>
        <v>Transf 20/05</v>
      </c>
      <c r="F97" s="32"/>
      <c r="G97" s="32"/>
    </row>
    <row r="98" spans="1:7" ht="31.5" customHeight="1" x14ac:dyDescent="0.25">
      <c r="A98" s="355" t="s">
        <v>442</v>
      </c>
      <c r="B98" s="356"/>
      <c r="C98" s="24"/>
      <c r="D98" s="205">
        <v>67783.97</v>
      </c>
      <c r="E98" s="324" t="str">
        <f>E96</f>
        <v>Transf 20/05</v>
      </c>
      <c r="F98" s="32"/>
      <c r="G98" s="32"/>
    </row>
    <row r="99" spans="1:7" ht="30" customHeight="1" x14ac:dyDescent="0.25">
      <c r="A99" s="385" t="s">
        <v>406</v>
      </c>
      <c r="B99" s="386"/>
      <c r="C99" s="24"/>
      <c r="D99" s="205">
        <v>1213387.58</v>
      </c>
      <c r="E99" s="81" t="s">
        <v>424</v>
      </c>
      <c r="F99" s="32"/>
      <c r="G99" s="32"/>
    </row>
    <row r="100" spans="1:7" ht="54.6" customHeight="1" x14ac:dyDescent="0.25">
      <c r="A100" s="385" t="s">
        <v>409</v>
      </c>
      <c r="B100" s="386"/>
      <c r="C100" s="24"/>
      <c r="D100" s="205">
        <v>548182.75</v>
      </c>
      <c r="E100" s="81" t="s">
        <v>426</v>
      </c>
      <c r="F100" s="32"/>
      <c r="G100" s="32"/>
    </row>
    <row r="101" spans="1:7" ht="52.15" customHeight="1" x14ac:dyDescent="0.25">
      <c r="A101" s="385" t="s">
        <v>408</v>
      </c>
      <c r="B101" s="386"/>
      <c r="C101" s="24"/>
      <c r="D101" s="205">
        <v>435886.1</v>
      </c>
      <c r="E101" s="81" t="s">
        <v>426</v>
      </c>
      <c r="F101" s="32"/>
      <c r="G101" s="32"/>
    </row>
    <row r="102" spans="1:7" ht="52.15" customHeight="1" x14ac:dyDescent="0.25">
      <c r="A102" s="385" t="s">
        <v>410</v>
      </c>
      <c r="B102" s="386"/>
      <c r="C102" s="24"/>
      <c r="D102" s="205">
        <v>2972292.4</v>
      </c>
      <c r="E102" s="81" t="s">
        <v>426</v>
      </c>
      <c r="F102" s="32"/>
      <c r="G102" s="32"/>
    </row>
    <row r="103" spans="1:7" ht="38.25" customHeight="1" x14ac:dyDescent="0.25">
      <c r="A103" s="385" t="s">
        <v>189</v>
      </c>
      <c r="B103" s="386"/>
      <c r="C103" s="24"/>
      <c r="D103" s="205">
        <v>27930.75</v>
      </c>
      <c r="E103" s="54" t="str">
        <f>E95</f>
        <v>Debito autom.</v>
      </c>
      <c r="F103" s="32"/>
      <c r="G103" s="32"/>
    </row>
    <row r="104" spans="1:7" ht="33.75" customHeight="1" x14ac:dyDescent="0.25">
      <c r="A104" s="385" t="s">
        <v>300</v>
      </c>
      <c r="B104" s="386"/>
      <c r="C104" s="24"/>
      <c r="D104" s="205">
        <v>6678</v>
      </c>
      <c r="E104" s="54" t="s">
        <v>270</v>
      </c>
      <c r="F104" s="32"/>
      <c r="G104" s="32" t="s">
        <v>321</v>
      </c>
    </row>
    <row r="105" spans="1:7" x14ac:dyDescent="0.25">
      <c r="A105" s="111" t="s">
        <v>4</v>
      </c>
      <c r="B105" s="42"/>
      <c r="C105" s="42"/>
      <c r="D105" s="42"/>
      <c r="E105" s="85">
        <f>SUM(D95:D104)</f>
        <v>5776141.5800000001</v>
      </c>
      <c r="F105" s="32"/>
      <c r="G105" s="32"/>
    </row>
    <row r="106" spans="1:7" ht="15.75" thickBot="1" x14ac:dyDescent="0.3">
      <c r="A106" s="32"/>
      <c r="B106" s="32"/>
      <c r="C106" s="32"/>
      <c r="D106" s="32"/>
      <c r="E106" s="32"/>
      <c r="F106" s="32"/>
      <c r="G106" s="32"/>
    </row>
    <row r="107" spans="1:7" x14ac:dyDescent="0.25">
      <c r="A107" s="112" t="s">
        <v>21</v>
      </c>
      <c r="B107" s="113"/>
      <c r="C107" s="114"/>
      <c r="D107" s="229"/>
      <c r="E107" s="50"/>
      <c r="F107" s="32"/>
      <c r="G107" s="32"/>
    </row>
    <row r="108" spans="1:7" ht="45" customHeight="1" x14ac:dyDescent="0.25">
      <c r="A108" s="385" t="s">
        <v>388</v>
      </c>
      <c r="B108" s="386"/>
      <c r="C108" s="24"/>
      <c r="D108" s="351">
        <v>5816279.9100000001</v>
      </c>
      <c r="E108" s="80" t="s">
        <v>428</v>
      </c>
      <c r="F108" s="32"/>
      <c r="G108" s="32"/>
    </row>
    <row r="109" spans="1:7" ht="45" customHeight="1" x14ac:dyDescent="0.25">
      <c r="A109" s="385" t="s">
        <v>423</v>
      </c>
      <c r="B109" s="386"/>
      <c r="C109" s="24"/>
      <c r="D109" s="351">
        <v>380000</v>
      </c>
      <c r="E109" s="81" t="s">
        <v>421</v>
      </c>
      <c r="F109" s="32"/>
      <c r="G109" s="32"/>
    </row>
    <row r="110" spans="1:7" ht="45" customHeight="1" x14ac:dyDescent="0.25">
      <c r="A110" s="355" t="s">
        <v>400</v>
      </c>
      <c r="B110" s="356"/>
      <c r="C110" s="24"/>
      <c r="D110" s="351">
        <v>2399430</v>
      </c>
      <c r="E110" s="146" t="s">
        <v>397</v>
      </c>
      <c r="F110" s="32"/>
      <c r="G110" s="32"/>
    </row>
    <row r="111" spans="1:7" ht="45" customHeight="1" x14ac:dyDescent="0.25">
      <c r="A111" s="355" t="s">
        <v>461</v>
      </c>
      <c r="B111" s="356"/>
      <c r="C111" s="24"/>
      <c r="D111" s="351">
        <v>1824000</v>
      </c>
      <c r="E111" s="146" t="s">
        <v>412</v>
      </c>
      <c r="F111" s="32"/>
      <c r="G111" s="32"/>
    </row>
    <row r="112" spans="1:7" ht="43.15" customHeight="1" thickBot="1" x14ac:dyDescent="0.3">
      <c r="A112" s="355" t="s">
        <v>401</v>
      </c>
      <c r="B112" s="356"/>
      <c r="C112" s="101"/>
      <c r="D112" s="347">
        <v>8064666.6699999999</v>
      </c>
      <c r="E112" s="146" t="s">
        <v>379</v>
      </c>
      <c r="F112" s="32"/>
      <c r="G112" s="32"/>
    </row>
    <row r="113" spans="1:7" ht="15.75" thickBot="1" x14ac:dyDescent="0.3">
      <c r="A113" s="115" t="s">
        <v>4</v>
      </c>
      <c r="B113" s="116"/>
      <c r="C113" s="116"/>
      <c r="D113" s="117"/>
      <c r="E113" s="86">
        <f>SUM(D108:D112)</f>
        <v>18484376.579999998</v>
      </c>
      <c r="F113" s="32"/>
      <c r="G113" s="32"/>
    </row>
    <row r="114" spans="1:7" ht="15" customHeight="1" x14ac:dyDescent="0.25">
      <c r="A114" s="32"/>
      <c r="B114" s="32"/>
      <c r="C114" s="32"/>
      <c r="D114" s="32"/>
      <c r="E114" s="32"/>
      <c r="F114" s="32"/>
      <c r="G114" s="32"/>
    </row>
    <row r="115" spans="1:7" ht="15.75" hidden="1" thickBot="1" x14ac:dyDescent="0.3">
      <c r="A115" s="32"/>
      <c r="B115" s="32"/>
      <c r="C115" s="32"/>
      <c r="D115" s="32"/>
      <c r="E115" s="32"/>
      <c r="F115" s="32"/>
      <c r="G115" s="32"/>
    </row>
    <row r="116" spans="1:7" ht="15.75" thickBot="1" x14ac:dyDescent="0.3">
      <c r="A116" s="32"/>
      <c r="B116" s="32"/>
      <c r="C116" s="32"/>
      <c r="D116" s="32"/>
      <c r="E116" s="32"/>
      <c r="F116" s="32"/>
      <c r="G116" s="32"/>
    </row>
    <row r="117" spans="1:7" ht="15.75" thickBot="1" x14ac:dyDescent="0.3">
      <c r="A117" s="115" t="s">
        <v>13</v>
      </c>
      <c r="B117" s="118"/>
      <c r="C117" s="119"/>
      <c r="D117" s="119"/>
      <c r="E117" s="120">
        <f>E113</f>
        <v>18484376.579999998</v>
      </c>
      <c r="F117" s="32"/>
      <c r="G117" s="32"/>
    </row>
    <row r="118" spans="1:7" ht="15.75" thickBot="1" x14ac:dyDescent="0.3">
      <c r="A118" s="32"/>
      <c r="B118" s="32"/>
      <c r="C118" s="32"/>
      <c r="D118" s="32"/>
      <c r="E118" s="32"/>
      <c r="F118" s="32"/>
      <c r="G118" s="32"/>
    </row>
    <row r="119" spans="1:7" x14ac:dyDescent="0.25">
      <c r="A119" s="121" t="s">
        <v>187</v>
      </c>
      <c r="B119" s="122"/>
      <c r="C119" s="123"/>
      <c r="D119" s="55"/>
      <c r="E119" s="56"/>
      <c r="F119" s="32"/>
      <c r="G119" s="32"/>
    </row>
    <row r="120" spans="1:7" ht="30" customHeight="1" x14ac:dyDescent="0.25">
      <c r="A120" s="384" t="s">
        <v>435</v>
      </c>
      <c r="B120" s="384"/>
      <c r="C120" s="24"/>
      <c r="D120" s="205">
        <f>2111035-1520000</f>
        <v>591035</v>
      </c>
      <c r="E120" s="28" t="str">
        <f>E28</f>
        <v>Transf 06/05</v>
      </c>
      <c r="F120" s="345"/>
      <c r="G120" s="345"/>
    </row>
    <row r="121" spans="1:7" ht="30" customHeight="1" x14ac:dyDescent="0.25">
      <c r="A121" s="355" t="s">
        <v>418</v>
      </c>
      <c r="B121" s="356"/>
      <c r="C121" s="24"/>
      <c r="D121" s="205">
        <v>97321.42</v>
      </c>
      <c r="E121" s="28" t="str">
        <f>E44</f>
        <v>Transf 04/05</v>
      </c>
      <c r="F121" s="32"/>
      <c r="G121" s="32"/>
    </row>
    <row r="122" spans="1:7" ht="30" customHeight="1" x14ac:dyDescent="0.25">
      <c r="A122" s="355" t="s">
        <v>419</v>
      </c>
      <c r="B122" s="356"/>
      <c r="C122" s="24"/>
      <c r="D122" s="205">
        <v>97321.41</v>
      </c>
      <c r="E122" s="28" t="str">
        <f>E44</f>
        <v>Transf 04/05</v>
      </c>
      <c r="F122" s="32"/>
      <c r="G122" s="32"/>
    </row>
    <row r="123" spans="1:7" ht="30" customHeight="1" x14ac:dyDescent="0.25">
      <c r="A123" s="355"/>
      <c r="B123" s="356"/>
      <c r="C123" s="101"/>
      <c r="D123" s="205"/>
      <c r="E123" s="28"/>
      <c r="F123" s="32"/>
      <c r="G123" s="352"/>
    </row>
    <row r="124" spans="1:7" x14ac:dyDescent="0.25">
      <c r="A124" s="212" t="s">
        <v>4</v>
      </c>
      <c r="B124" s="213"/>
      <c r="C124" s="213"/>
      <c r="D124" s="138"/>
      <c r="E124" s="214">
        <f>SUM(D120:D123)</f>
        <v>785677.83000000007</v>
      </c>
    </row>
    <row r="125" spans="1:7" x14ac:dyDescent="0.25">
      <c r="A125" s="32"/>
      <c r="B125" s="32"/>
      <c r="C125" s="32"/>
      <c r="D125" s="32"/>
      <c r="E125" s="32"/>
    </row>
    <row r="126" spans="1:7" x14ac:dyDescent="0.25">
      <c r="A126" s="32"/>
      <c r="B126" s="32"/>
      <c r="C126" s="32"/>
      <c r="D126" s="32"/>
      <c r="E126" s="32"/>
    </row>
    <row r="127" spans="1:7" ht="15.75" thickBot="1" x14ac:dyDescent="0.3">
      <c r="A127" s="32"/>
      <c r="B127" s="32"/>
      <c r="C127" s="32"/>
      <c r="D127" s="32"/>
      <c r="E127" s="32"/>
    </row>
    <row r="128" spans="1:7" ht="17.25" customHeight="1" thickBot="1" x14ac:dyDescent="0.3">
      <c r="A128" s="215" t="s">
        <v>188</v>
      </c>
      <c r="B128" s="216"/>
      <c r="C128" s="217"/>
      <c r="D128" s="217"/>
      <c r="E128" s="218">
        <f>E124</f>
        <v>785677.83000000007</v>
      </c>
    </row>
    <row r="129" spans="1:5" x14ac:dyDescent="0.25">
      <c r="A129" s="32"/>
      <c r="B129" s="32"/>
      <c r="C129" s="32"/>
      <c r="D129" s="32"/>
      <c r="E129" s="32"/>
    </row>
    <row r="130" spans="1:5" ht="15.75" thickBot="1" x14ac:dyDescent="0.3">
      <c r="A130" s="32"/>
      <c r="B130" s="32"/>
      <c r="C130" s="32"/>
      <c r="D130" s="32"/>
      <c r="E130" s="32"/>
    </row>
    <row r="131" spans="1:5" ht="15.75" thickBot="1" x14ac:dyDescent="0.3">
      <c r="A131" s="219" t="s">
        <v>180</v>
      </c>
      <c r="B131" s="220">
        <f>E91</f>
        <v>88986091.859999999</v>
      </c>
      <c r="C131" s="32"/>
      <c r="D131" s="345"/>
      <c r="E131" s="32"/>
    </row>
    <row r="132" spans="1:5" ht="15.75" thickBot="1" x14ac:dyDescent="0.3">
      <c r="A132" s="219" t="s">
        <v>21</v>
      </c>
      <c r="B132" s="220">
        <f>E117</f>
        <v>18484376.579999998</v>
      </c>
      <c r="C132" s="32"/>
      <c r="D132" s="32"/>
      <c r="E132" s="32"/>
    </row>
    <row r="133" spans="1:5" ht="15.75" thickBot="1" x14ac:dyDescent="0.3">
      <c r="A133" s="221" t="s">
        <v>151</v>
      </c>
      <c r="B133" s="222">
        <f>E105</f>
        <v>5776141.5800000001</v>
      </c>
      <c r="C133" s="32"/>
      <c r="D133" s="32"/>
      <c r="E133" s="32"/>
    </row>
    <row r="134" spans="1:5" ht="34.5" customHeight="1" thickBot="1" x14ac:dyDescent="0.3">
      <c r="A134" s="223" t="s">
        <v>227</v>
      </c>
      <c r="B134" s="222">
        <f>B133+B131</f>
        <v>94762233.439999998</v>
      </c>
      <c r="C134" s="32"/>
      <c r="D134" s="32"/>
      <c r="E134" s="32"/>
    </row>
    <row r="135" spans="1:5" ht="34.5" customHeight="1" x14ac:dyDescent="0.25">
      <c r="A135" s="391" t="s">
        <v>459</v>
      </c>
      <c r="B135" s="392"/>
      <c r="C135" s="32"/>
      <c r="D135" s="32"/>
      <c r="E135" s="32"/>
    </row>
    <row r="136" spans="1:5" ht="27" customHeight="1" x14ac:dyDescent="0.25">
      <c r="A136" s="393"/>
      <c r="B136" s="394"/>
      <c r="C136" s="32"/>
      <c r="D136" s="32"/>
      <c r="E136" s="32"/>
    </row>
    <row r="137" spans="1:5" ht="54.75" hidden="1" customHeight="1" thickBot="1" x14ac:dyDescent="0.3">
      <c r="A137" s="395"/>
      <c r="B137" s="396"/>
      <c r="C137" s="32"/>
      <c r="D137" s="32"/>
      <c r="E137" s="32"/>
    </row>
    <row r="138" spans="1:5" x14ac:dyDescent="0.25">
      <c r="A138" s="133" t="s">
        <v>234</v>
      </c>
      <c r="B138" s="124"/>
      <c r="C138" s="5"/>
    </row>
    <row r="139" spans="1:5" s="152" customFormat="1" x14ac:dyDescent="0.25">
      <c r="A139" s="149" t="s">
        <v>230</v>
      </c>
      <c r="B139" s="150">
        <v>44513257.310000002</v>
      </c>
      <c r="C139" s="151"/>
      <c r="E139" s="153"/>
    </row>
    <row r="140" spans="1:5" s="152" customFormat="1" x14ac:dyDescent="0.25">
      <c r="A140" s="154" t="s">
        <v>231</v>
      </c>
      <c r="B140" s="155">
        <f>PRORRATEO!F161</f>
        <v>120700363.92400001</v>
      </c>
      <c r="C140" s="156"/>
    </row>
    <row r="141" spans="1:5" s="152" customFormat="1" x14ac:dyDescent="0.25">
      <c r="A141" s="154" t="s">
        <v>458</v>
      </c>
      <c r="B141" s="155">
        <v>850000</v>
      </c>
      <c r="C141" s="156"/>
      <c r="D141" s="153"/>
      <c r="E141" s="153"/>
    </row>
    <row r="142" spans="1:5" s="152" customFormat="1" ht="36.75" customHeight="1" x14ac:dyDescent="0.25">
      <c r="A142" s="7" t="s">
        <v>239</v>
      </c>
      <c r="B142" s="157">
        <f>B190</f>
        <v>0</v>
      </c>
      <c r="C142" s="156"/>
      <c r="D142" s="153"/>
    </row>
    <row r="143" spans="1:5" s="152" customFormat="1" ht="18" customHeight="1" x14ac:dyDescent="0.25">
      <c r="A143" s="7" t="s">
        <v>453</v>
      </c>
      <c r="B143" s="158">
        <v>-18995</v>
      </c>
      <c r="C143" s="156"/>
      <c r="D143" s="153"/>
    </row>
    <row r="144" spans="1:5" s="152" customFormat="1" ht="18" customHeight="1" x14ac:dyDescent="0.25">
      <c r="A144" s="7" t="s">
        <v>454</v>
      </c>
      <c r="B144" s="158">
        <v>-1600000</v>
      </c>
      <c r="C144" s="156"/>
      <c r="D144" s="153"/>
    </row>
    <row r="145" spans="1:6" s="152" customFormat="1" ht="36.75" customHeight="1" x14ac:dyDescent="0.25">
      <c r="A145" s="7" t="s">
        <v>449</v>
      </c>
      <c r="B145" s="327">
        <v>20037587.120000001</v>
      </c>
      <c r="C145" s="156"/>
      <c r="D145" s="153"/>
    </row>
    <row r="146" spans="1:6" s="152" customFormat="1" ht="36.75" customHeight="1" x14ac:dyDescent="0.25">
      <c r="A146" s="7" t="s">
        <v>450</v>
      </c>
      <c r="B146" s="328">
        <v>-70000000</v>
      </c>
      <c r="C146" s="156"/>
      <c r="D146" s="153"/>
    </row>
    <row r="147" spans="1:6" s="152" customFormat="1" ht="16.5" customHeight="1" x14ac:dyDescent="0.25">
      <c r="A147" s="136" t="s">
        <v>294</v>
      </c>
      <c r="B147" s="158">
        <f>-B165</f>
        <v>-849489.34579199995</v>
      </c>
      <c r="C147" s="156"/>
      <c r="D147" s="153"/>
    </row>
    <row r="148" spans="1:6" s="152" customFormat="1" ht="28.15" customHeight="1" x14ac:dyDescent="0.25">
      <c r="A148" s="7" t="s">
        <v>328</v>
      </c>
      <c r="B148" s="158">
        <f>-B158</f>
        <v>-1007642.7893607999</v>
      </c>
      <c r="C148" s="156"/>
      <c r="D148" s="153"/>
    </row>
    <row r="149" spans="1:6" s="152" customFormat="1" ht="18" customHeight="1" x14ac:dyDescent="0.25">
      <c r="A149" s="34" t="s">
        <v>186</v>
      </c>
      <c r="B149" s="158">
        <f>-E128</f>
        <v>-785677.83000000007</v>
      </c>
      <c r="C149" s="156"/>
      <c r="F149" s="159"/>
    </row>
    <row r="150" spans="1:6" s="152" customFormat="1" ht="18" customHeight="1" x14ac:dyDescent="0.25">
      <c r="A150" s="7" t="s">
        <v>152</v>
      </c>
      <c r="B150" s="158">
        <f>-E105</f>
        <v>-5776141.5800000001</v>
      </c>
      <c r="C150" s="156"/>
      <c r="D150" s="159"/>
    </row>
    <row r="151" spans="1:6" s="152" customFormat="1" ht="18" customHeight="1" x14ac:dyDescent="0.25">
      <c r="A151" s="7" t="s">
        <v>14</v>
      </c>
      <c r="B151" s="158">
        <f>-E91</f>
        <v>-88986091.859999999</v>
      </c>
      <c r="C151" s="156"/>
      <c r="D151" s="160"/>
      <c r="E151" s="160"/>
      <c r="F151" s="235"/>
    </row>
    <row r="152" spans="1:6" s="152" customFormat="1" ht="18" customHeight="1" x14ac:dyDescent="0.25">
      <c r="A152" s="7" t="s">
        <v>257</v>
      </c>
      <c r="B152" s="158">
        <f>-E117</f>
        <v>-18484376.579999998</v>
      </c>
      <c r="C152" s="156"/>
      <c r="E152" s="160"/>
      <c r="F152" s="235"/>
    </row>
    <row r="153" spans="1:6" x14ac:dyDescent="0.25">
      <c r="A153" s="134" t="s">
        <v>4</v>
      </c>
      <c r="B153" s="38">
        <f>SUM(B139:B152)</f>
        <v>-1407206.631152764</v>
      </c>
      <c r="C153" s="6"/>
      <c r="D153" s="13"/>
      <c r="E153" s="39"/>
      <c r="F153" s="39"/>
    </row>
    <row r="154" spans="1:6" x14ac:dyDescent="0.25">
      <c r="A154" s="135"/>
      <c r="B154" s="11"/>
      <c r="C154" s="6"/>
      <c r="D154" s="13"/>
      <c r="E154" s="36"/>
      <c r="F154" s="77"/>
    </row>
    <row r="155" spans="1:6" ht="15.75" thickBot="1" x14ac:dyDescent="0.3">
      <c r="A155" s="135"/>
      <c r="B155" s="11"/>
      <c r="C155" s="6"/>
      <c r="D155" s="13"/>
      <c r="E155" s="36"/>
      <c r="F155" s="77"/>
    </row>
    <row r="156" spans="1:6" x14ac:dyDescent="0.25">
      <c r="A156" s="389" t="s">
        <v>329</v>
      </c>
      <c r="B156" s="390"/>
      <c r="C156" s="6"/>
      <c r="D156" s="13"/>
      <c r="E156" s="36"/>
      <c r="F156" s="77"/>
    </row>
    <row r="157" spans="1:6" x14ac:dyDescent="0.25">
      <c r="A157" s="129" t="s">
        <v>293</v>
      </c>
      <c r="B157" s="130">
        <v>3322309.78</v>
      </c>
      <c r="C157" s="6"/>
      <c r="D157" s="13"/>
      <c r="E157" s="36"/>
      <c r="F157" s="77"/>
    </row>
    <row r="158" spans="1:6" ht="66.75" customHeight="1" x14ac:dyDescent="0.25">
      <c r="A158" s="242" t="s">
        <v>330</v>
      </c>
      <c r="B158" s="198">
        <f>2015285.5787216/2</f>
        <v>1007642.7893607999</v>
      </c>
      <c r="C158" s="6"/>
      <c r="D158" s="13"/>
      <c r="E158" s="36"/>
      <c r="F158" s="77"/>
    </row>
    <row r="159" spans="1:6" ht="15.75" thickBot="1" x14ac:dyDescent="0.3">
      <c r="A159" s="129"/>
      <c r="B159" s="130"/>
      <c r="C159" s="6"/>
      <c r="D159" s="13"/>
      <c r="E159" s="36"/>
      <c r="F159" s="77"/>
    </row>
    <row r="160" spans="1:6" ht="15.75" thickBot="1" x14ac:dyDescent="0.3">
      <c r="A160" s="243" t="s">
        <v>4</v>
      </c>
      <c r="B160" s="244">
        <f>SUM(B157:B159)</f>
        <v>4329952.5693608001</v>
      </c>
      <c r="C160" s="6"/>
      <c r="D160" s="13"/>
      <c r="E160" s="36"/>
      <c r="F160" s="77"/>
    </row>
    <row r="161" spans="1:7" x14ac:dyDescent="0.25">
      <c r="A161" s="135"/>
      <c r="B161" s="11"/>
      <c r="C161" s="6"/>
      <c r="D161" s="13"/>
      <c r="E161" s="36"/>
      <c r="F161" s="77"/>
    </row>
    <row r="162" spans="1:7" ht="15.75" thickBot="1" x14ac:dyDescent="0.3">
      <c r="A162" s="135"/>
      <c r="B162" s="11"/>
      <c r="C162" s="6"/>
      <c r="D162" s="13"/>
      <c r="E162" s="36"/>
      <c r="F162" s="77"/>
    </row>
    <row r="163" spans="1:7" x14ac:dyDescent="0.25">
      <c r="A163" s="387" t="s">
        <v>292</v>
      </c>
      <c r="B163" s="388"/>
      <c r="C163" s="6"/>
      <c r="D163" s="13"/>
      <c r="E163" s="36"/>
      <c r="F163" s="77"/>
      <c r="G163" s="236"/>
    </row>
    <row r="164" spans="1:7" x14ac:dyDescent="0.25">
      <c r="A164" s="129" t="s">
        <v>293</v>
      </c>
      <c r="B164" s="130">
        <v>3588955.94</v>
      </c>
      <c r="C164" s="6"/>
      <c r="D164" s="13"/>
      <c r="E164" s="36"/>
      <c r="F164" s="77"/>
    </row>
    <row r="165" spans="1:7" x14ac:dyDescent="0.25">
      <c r="A165" s="129" t="s">
        <v>294</v>
      </c>
      <c r="B165" s="198">
        <v>849489.34579199995</v>
      </c>
      <c r="C165" s="6"/>
      <c r="D165" s="13"/>
      <c r="E165" s="36"/>
      <c r="F165" s="77"/>
    </row>
    <row r="166" spans="1:7" ht="15.75" thickBot="1" x14ac:dyDescent="0.3">
      <c r="A166" s="129" t="s">
        <v>460</v>
      </c>
      <c r="B166" s="130">
        <v>-185555</v>
      </c>
      <c r="C166" s="6"/>
      <c r="D166" s="13"/>
      <c r="E166" s="36"/>
      <c r="F166" s="77"/>
    </row>
    <row r="167" spans="1:7" ht="15.75" thickBot="1" x14ac:dyDescent="0.3">
      <c r="A167" s="131" t="s">
        <v>4</v>
      </c>
      <c r="B167" s="132">
        <f>SUM(B164:B166)</f>
        <v>4252890.2857919997</v>
      </c>
      <c r="C167" s="6"/>
      <c r="D167" s="13"/>
      <c r="E167" s="36"/>
      <c r="F167" s="77"/>
    </row>
    <row r="168" spans="1:7" ht="15.75" thickBot="1" x14ac:dyDescent="0.3">
      <c r="A168" s="127"/>
      <c r="B168" s="128"/>
      <c r="C168" s="6"/>
      <c r="D168" s="13"/>
      <c r="E168" s="36"/>
      <c r="F168" s="77"/>
    </row>
    <row r="169" spans="1:7" ht="42.75" customHeight="1" thickBot="1" x14ac:dyDescent="0.3">
      <c r="A169" s="143" t="s">
        <v>337</v>
      </c>
      <c r="B169" s="142">
        <f>B167+B153+B160</f>
        <v>7175636.2240000358</v>
      </c>
      <c r="C169" s="6"/>
      <c r="D169" s="13"/>
      <c r="E169" s="36"/>
      <c r="F169" s="77"/>
      <c r="G169" s="37"/>
    </row>
    <row r="170" spans="1:7" x14ac:dyDescent="0.25">
      <c r="B170" s="11"/>
      <c r="C170" s="6"/>
      <c r="D170" s="13"/>
      <c r="E170" s="36"/>
      <c r="F170" s="77"/>
    </row>
    <row r="171" spans="1:7" x14ac:dyDescent="0.25">
      <c r="A171" s="71" t="s">
        <v>233</v>
      </c>
      <c r="B171" s="72"/>
      <c r="C171" s="6"/>
      <c r="D171" s="13"/>
      <c r="E171" s="36"/>
      <c r="F171" s="37"/>
    </row>
    <row r="172" spans="1:7" ht="22.5" customHeight="1" x14ac:dyDescent="0.25">
      <c r="A172" s="91" t="s">
        <v>293</v>
      </c>
      <c r="B172" s="137">
        <v>203669</v>
      </c>
      <c r="C172" s="6"/>
      <c r="D172" s="13"/>
      <c r="E172" s="36"/>
      <c r="F172" s="37"/>
    </row>
    <row r="173" spans="1:7" ht="54" customHeight="1" x14ac:dyDescent="0.25">
      <c r="A173" s="91" t="s">
        <v>437</v>
      </c>
      <c r="B173" s="265">
        <v>-8000</v>
      </c>
      <c r="C173" s="6"/>
      <c r="D173" s="13"/>
      <c r="E173" s="36"/>
      <c r="F173" s="37"/>
    </row>
    <row r="174" spans="1:7" ht="22.5" customHeight="1" x14ac:dyDescent="0.25">
      <c r="A174" s="91" t="s">
        <v>311</v>
      </c>
      <c r="B174" s="205"/>
      <c r="C174" s="6"/>
      <c r="D174" s="13"/>
      <c r="E174" s="36"/>
      <c r="F174" s="37"/>
    </row>
    <row r="175" spans="1:7" x14ac:dyDescent="0.25">
      <c r="A175" s="71" t="s">
        <v>4</v>
      </c>
      <c r="B175" s="72">
        <f>SUM(B171:B174)</f>
        <v>195669</v>
      </c>
      <c r="C175" s="6"/>
      <c r="D175" s="13"/>
      <c r="E175" s="36"/>
      <c r="F175" s="37"/>
    </row>
    <row r="176" spans="1:7" ht="15.75" thickBot="1" x14ac:dyDescent="0.3">
      <c r="B176" s="11"/>
      <c r="C176" s="6"/>
      <c r="D176" s="13"/>
      <c r="E176" s="36"/>
      <c r="F176" s="37"/>
    </row>
    <row r="177" spans="1:15" x14ac:dyDescent="0.25">
      <c r="A177" s="125" t="s">
        <v>228</v>
      </c>
      <c r="B177" s="67"/>
      <c r="C177" s="6"/>
      <c r="D177" s="76"/>
      <c r="E177" s="140"/>
      <c r="F177" s="141"/>
      <c r="G177" s="35"/>
      <c r="H177" s="35"/>
      <c r="I177" s="35"/>
      <c r="J177" s="35"/>
      <c r="K177" s="35"/>
      <c r="L177" s="35"/>
      <c r="M177" s="35"/>
      <c r="N177" s="35"/>
      <c r="O177" s="35"/>
    </row>
    <row r="178" spans="1:15" x14ac:dyDescent="0.25">
      <c r="A178" s="69" t="s">
        <v>446</v>
      </c>
      <c r="B178" s="70">
        <v>130911572.42</v>
      </c>
      <c r="C178" s="6"/>
      <c r="D178" s="76"/>
      <c r="E178" s="140"/>
      <c r="F178" s="141"/>
      <c r="G178" s="35"/>
      <c r="H178" s="35"/>
      <c r="I178" s="35"/>
      <c r="J178" s="35"/>
      <c r="K178" s="35"/>
      <c r="L178" s="35"/>
      <c r="M178" s="35"/>
      <c r="N178" s="35"/>
      <c r="O178" s="35"/>
    </row>
    <row r="179" spans="1:15" x14ac:dyDescent="0.25">
      <c r="A179" s="69" t="s">
        <v>445</v>
      </c>
      <c r="B179" s="70">
        <v>-20037587.120000001</v>
      </c>
      <c r="C179" s="6"/>
      <c r="D179" s="76"/>
      <c r="E179" s="140"/>
      <c r="F179" s="141"/>
      <c r="G179" s="35"/>
      <c r="H179" s="35"/>
      <c r="I179" s="35"/>
      <c r="J179" s="35"/>
      <c r="K179" s="35"/>
      <c r="L179" s="35"/>
      <c r="M179" s="35"/>
      <c r="N179" s="35"/>
      <c r="O179" s="35"/>
    </row>
    <row r="180" spans="1:15" x14ac:dyDescent="0.25">
      <c r="A180" s="69" t="s">
        <v>447</v>
      </c>
      <c r="B180" s="70">
        <v>70000000</v>
      </c>
      <c r="C180" s="6"/>
      <c r="D180" s="76"/>
      <c r="E180" s="140"/>
      <c r="F180" s="141"/>
      <c r="G180" s="35"/>
      <c r="H180" s="35"/>
      <c r="I180" s="35"/>
      <c r="J180" s="35"/>
      <c r="K180" s="35"/>
      <c r="L180" s="35"/>
      <c r="M180" s="35"/>
      <c r="N180" s="35"/>
      <c r="O180" s="35"/>
    </row>
    <row r="181" spans="1:15" x14ac:dyDescent="0.25">
      <c r="A181" s="69" t="s">
        <v>448</v>
      </c>
      <c r="B181" s="70">
        <f>182821331.26-180873985.3</f>
        <v>1947345.9599999785</v>
      </c>
      <c r="C181" s="6"/>
      <c r="D181" s="76"/>
      <c r="E181" s="140"/>
      <c r="F181" s="141"/>
      <c r="G181" s="35"/>
      <c r="H181" s="35"/>
      <c r="I181" s="35"/>
      <c r="J181" s="35"/>
      <c r="K181" s="35"/>
      <c r="L181" s="35"/>
      <c r="M181" s="35"/>
      <c r="N181" s="35"/>
      <c r="O181" s="35"/>
    </row>
    <row r="182" spans="1:15" ht="15.75" thickBot="1" x14ac:dyDescent="0.3">
      <c r="A182" s="126" t="s">
        <v>462</v>
      </c>
      <c r="B182" s="326">
        <f>SUM(B178:B181)</f>
        <v>182821331.25999999</v>
      </c>
      <c r="C182" s="6"/>
      <c r="D182" s="76"/>
      <c r="E182" s="140"/>
      <c r="F182" s="141"/>
      <c r="G182" s="35"/>
      <c r="H182" s="35"/>
      <c r="I182" s="35"/>
      <c r="J182" s="35"/>
      <c r="K182" s="35"/>
      <c r="L182" s="35"/>
      <c r="M182" s="35"/>
      <c r="N182" s="35"/>
      <c r="O182" s="35"/>
    </row>
    <row r="183" spans="1:15" x14ac:dyDescent="0.25">
      <c r="B183" s="11"/>
      <c r="C183" s="6"/>
      <c r="D183" s="76"/>
      <c r="E183" s="140"/>
      <c r="F183" s="141"/>
      <c r="G183" s="35"/>
      <c r="H183" s="35"/>
      <c r="I183" s="35"/>
      <c r="J183" s="35"/>
      <c r="K183" s="35"/>
      <c r="L183" s="35"/>
      <c r="M183" s="35"/>
      <c r="N183" s="35"/>
      <c r="O183" s="35"/>
    </row>
    <row r="184" spans="1:15" x14ac:dyDescent="0.25">
      <c r="B184" s="11"/>
      <c r="C184" s="6"/>
      <c r="D184" s="13"/>
      <c r="E184" s="36"/>
      <c r="F184" s="37"/>
    </row>
    <row r="185" spans="1:15" x14ac:dyDescent="0.25">
      <c r="B185" s="11"/>
      <c r="C185" s="6"/>
      <c r="D185" s="13"/>
      <c r="E185" s="36"/>
      <c r="F185" s="37"/>
    </row>
    <row r="186" spans="1:15" x14ac:dyDescent="0.25">
      <c r="A186" s="383" t="s">
        <v>17</v>
      </c>
      <c r="B186" s="383"/>
      <c r="C186" s="383"/>
    </row>
    <row r="187" spans="1:15" x14ac:dyDescent="0.25">
      <c r="A187" s="383"/>
      <c r="B187" s="383"/>
      <c r="C187" s="383"/>
    </row>
    <row r="188" spans="1:15" ht="42" customHeight="1" x14ac:dyDescent="0.25">
      <c r="A188" s="65"/>
      <c r="B188" s="41"/>
      <c r="C188" s="64"/>
    </row>
    <row r="189" spans="1:15" ht="33.75" customHeight="1" x14ac:dyDescent="0.25">
      <c r="A189" s="65"/>
      <c r="B189" s="41"/>
      <c r="C189" s="64"/>
    </row>
    <row r="190" spans="1:15" x14ac:dyDescent="0.25">
      <c r="A190" s="14" t="s">
        <v>4</v>
      </c>
      <c r="B190" s="33">
        <f>SUM(B188:B189)</f>
        <v>0</v>
      </c>
      <c r="C190" s="15"/>
    </row>
    <row r="191" spans="1:15" x14ac:dyDescent="0.25">
      <c r="M191" s="3"/>
    </row>
  </sheetData>
  <mergeCells count="70">
    <mergeCell ref="A51:B51"/>
    <mergeCell ref="A67:B67"/>
    <mergeCell ref="A62:B62"/>
    <mergeCell ref="A69:B69"/>
    <mergeCell ref="A68:B68"/>
    <mergeCell ref="A59:B59"/>
    <mergeCell ref="A57:B57"/>
    <mergeCell ref="A52:B52"/>
    <mergeCell ref="A66:B66"/>
    <mergeCell ref="A60:B60"/>
    <mergeCell ref="A54:B54"/>
    <mergeCell ref="A53:B53"/>
    <mergeCell ref="A55:B55"/>
    <mergeCell ref="A58:B58"/>
    <mergeCell ref="A63:B63"/>
    <mergeCell ref="A56:B56"/>
    <mergeCell ref="A104:B104"/>
    <mergeCell ref="A99:B99"/>
    <mergeCell ref="A103:B103"/>
    <mergeCell ref="A82:B82"/>
    <mergeCell ref="A96:B96"/>
    <mergeCell ref="A97:B97"/>
    <mergeCell ref="A98:B98"/>
    <mergeCell ref="A95:B95"/>
    <mergeCell ref="A101:B101"/>
    <mergeCell ref="A100:B100"/>
    <mergeCell ref="A102:B102"/>
    <mergeCell ref="A83:B83"/>
    <mergeCell ref="A186:C187"/>
    <mergeCell ref="A120:B120"/>
    <mergeCell ref="A112:B112"/>
    <mergeCell ref="A108:B108"/>
    <mergeCell ref="A163:B163"/>
    <mergeCell ref="A123:B123"/>
    <mergeCell ref="A156:B156"/>
    <mergeCell ref="A135:B137"/>
    <mergeCell ref="A122:B122"/>
    <mergeCell ref="A121:B121"/>
    <mergeCell ref="A110:B110"/>
    <mergeCell ref="A111:B111"/>
    <mergeCell ref="A109:B109"/>
    <mergeCell ref="A10:E12"/>
    <mergeCell ref="A15:E18"/>
    <mergeCell ref="A44:B44"/>
    <mergeCell ref="A25:B25"/>
    <mergeCell ref="A26:B26"/>
    <mergeCell ref="B3:E3"/>
    <mergeCell ref="B1:E1"/>
    <mergeCell ref="B2:E2"/>
    <mergeCell ref="B8:E8"/>
    <mergeCell ref="A1:A8"/>
    <mergeCell ref="A50:B50"/>
    <mergeCell ref="A28:B28"/>
    <mergeCell ref="A48:B48"/>
    <mergeCell ref="A38:B38"/>
    <mergeCell ref="A45:B45"/>
    <mergeCell ref="A40:B40"/>
    <mergeCell ref="A49:B49"/>
    <mergeCell ref="A41:B41"/>
    <mergeCell ref="A39:B39"/>
    <mergeCell ref="A61:B61"/>
    <mergeCell ref="A79:B79"/>
    <mergeCell ref="A77:B77"/>
    <mergeCell ref="A70:B70"/>
    <mergeCell ref="A76:B76"/>
    <mergeCell ref="A74:B74"/>
    <mergeCell ref="A72:B72"/>
    <mergeCell ref="A78:B78"/>
    <mergeCell ref="A75:B75"/>
    <mergeCell ref="A73:B73"/>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opLeftCell="B151" zoomScale="80" zoomScaleNormal="80" workbookViewId="0">
      <selection activeCell="O161" sqref="O161"/>
    </sheetView>
  </sheetViews>
  <sheetFormatPr baseColWidth="10" defaultColWidth="10.85546875" defaultRowHeight="15" x14ac:dyDescent="0.25"/>
  <cols>
    <col min="1" max="1" width="4.42578125" hidden="1" customWidth="1"/>
    <col min="2" max="2" width="4.42578125" customWidth="1"/>
    <col min="3" max="3" width="25.5703125" customWidth="1"/>
    <col min="4" max="4" width="8.140625" customWidth="1"/>
    <col min="5" max="5" width="14.140625" customWidth="1"/>
    <col min="6" max="6" width="12.42578125" customWidth="1"/>
    <col min="7" max="7" width="11.5703125" customWidth="1"/>
    <col min="8" max="8" width="9.5703125" customWidth="1"/>
    <col min="9" max="9" width="13.42578125" customWidth="1"/>
    <col min="10" max="10" width="6" hidden="1" customWidth="1"/>
    <col min="11" max="11" width="14.5703125" customWidth="1"/>
    <col min="12" max="12" width="14.42578125" customWidth="1"/>
    <col min="13" max="13" width="19" customWidth="1"/>
    <col min="14" max="15" width="13.85546875" customWidth="1"/>
    <col min="16" max="16" width="14.5703125" customWidth="1"/>
    <col min="17" max="17" width="10" customWidth="1"/>
    <col min="18" max="18" width="23.42578125" customWidth="1"/>
    <col min="19" max="19" width="7.140625" hidden="1" customWidth="1"/>
    <col min="20" max="20" width="10.42578125" customWidth="1"/>
    <col min="21" max="21" width="13" bestFit="1" customWidth="1"/>
    <col min="24" max="24" width="16" bestFit="1" customWidth="1"/>
    <col min="25" max="25" width="11.85546875" bestFit="1" customWidth="1"/>
  </cols>
  <sheetData>
    <row r="1" spans="1:24" ht="189.6" customHeight="1" x14ac:dyDescent="0.25">
      <c r="A1" s="2"/>
      <c r="B1" s="2"/>
      <c r="C1" s="408" t="s">
        <v>338</v>
      </c>
      <c r="D1" s="409"/>
      <c r="E1" s="409"/>
      <c r="F1" s="409"/>
      <c r="G1" s="409"/>
      <c r="H1" s="409"/>
      <c r="I1" s="409"/>
      <c r="J1" s="409"/>
      <c r="K1" s="409"/>
      <c r="L1" s="409"/>
      <c r="M1" s="145"/>
      <c r="N1" s="410" t="s">
        <v>312</v>
      </c>
      <c r="O1" s="410"/>
      <c r="P1" s="405">
        <v>30000000</v>
      </c>
      <c r="Q1" s="405"/>
      <c r="R1" s="169"/>
      <c r="S1" s="4"/>
      <c r="T1" s="2"/>
      <c r="V1" t="s">
        <v>235</v>
      </c>
      <c r="W1">
        <v>80675963.920000002</v>
      </c>
    </row>
    <row r="2" spans="1:24" ht="34.5" customHeight="1" thickBot="1" x14ac:dyDescent="0.3">
      <c r="A2" s="2"/>
      <c r="B2" s="2"/>
      <c r="C2" s="407" t="s">
        <v>226</v>
      </c>
      <c r="D2" s="407"/>
      <c r="E2" s="407"/>
      <c r="F2" s="145"/>
      <c r="G2" s="404">
        <f>X2</f>
        <v>27518571.293111999</v>
      </c>
      <c r="H2" s="404"/>
      <c r="I2" s="145" t="s">
        <v>274</v>
      </c>
      <c r="J2" s="145"/>
      <c r="K2" s="404">
        <f>W1</f>
        <v>80675963.920000002</v>
      </c>
      <c r="L2" s="404"/>
      <c r="M2" s="231"/>
      <c r="N2" s="232" t="s">
        <v>260</v>
      </c>
      <c r="O2" s="231"/>
      <c r="P2" s="406">
        <v>0</v>
      </c>
      <c r="Q2" s="406"/>
      <c r="R2" s="170"/>
      <c r="T2" s="2"/>
      <c r="U2" t="s">
        <v>229</v>
      </c>
      <c r="X2" s="39">
        <f>((K2+P2)*D145)+((K2+P2)*D146)</f>
        <v>27518571.293111999</v>
      </c>
    </row>
    <row r="3" spans="1:24" ht="91.9" customHeight="1" thickBot="1" x14ac:dyDescent="0.3">
      <c r="A3" s="415"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18/06, deberá abonar el importe indicado en la columna de color naranja. En caso de abonar con posterioridad a dicha fecha, deberá abonar el monto indicado en la columna de color celeste.</v>
      </c>
      <c r="B3" s="416"/>
      <c r="C3" s="416"/>
      <c r="D3" s="416"/>
      <c r="E3" s="416"/>
      <c r="F3" s="416"/>
      <c r="G3" s="416"/>
      <c r="H3" s="416"/>
      <c r="I3" s="416"/>
      <c r="J3" s="416"/>
      <c r="K3" s="416"/>
      <c r="L3" s="416"/>
      <c r="M3" s="416"/>
      <c r="N3" s="416"/>
      <c r="O3" s="416"/>
      <c r="P3" s="416"/>
      <c r="Q3" s="416"/>
      <c r="R3" s="416"/>
      <c r="S3" s="416"/>
      <c r="T3" s="417"/>
      <c r="X3" s="39"/>
    </row>
    <row r="4" spans="1:24" ht="43.5" customHeight="1" x14ac:dyDescent="0.25">
      <c r="A4" s="418" t="s">
        <v>0</v>
      </c>
      <c r="B4" s="420" t="s">
        <v>1</v>
      </c>
      <c r="C4" s="420" t="s">
        <v>2</v>
      </c>
      <c r="D4" s="420" t="s">
        <v>6</v>
      </c>
      <c r="E4" s="397" t="s">
        <v>181</v>
      </c>
      <c r="F4" s="420" t="s">
        <v>3</v>
      </c>
      <c r="G4" s="422" t="s">
        <v>16</v>
      </c>
      <c r="H4" s="397" t="s">
        <v>232</v>
      </c>
      <c r="I4" s="397" t="s">
        <v>15</v>
      </c>
      <c r="J4" s="397"/>
      <c r="K4" s="397" t="s">
        <v>182</v>
      </c>
      <c r="L4" s="397" t="s">
        <v>146</v>
      </c>
      <c r="M4" s="397" t="s">
        <v>184</v>
      </c>
      <c r="N4" s="397" t="s">
        <v>183</v>
      </c>
      <c r="O4" s="397" t="s">
        <v>322</v>
      </c>
      <c r="P4" s="411" t="s">
        <v>320</v>
      </c>
      <c r="Q4" s="412"/>
      <c r="R4" s="411" t="s">
        <v>315</v>
      </c>
      <c r="S4" s="412"/>
      <c r="T4" s="397" t="s">
        <v>258</v>
      </c>
      <c r="U4" s="13"/>
    </row>
    <row r="5" spans="1:24" ht="25.5" customHeight="1" thickBot="1" x14ac:dyDescent="0.3">
      <c r="A5" s="419"/>
      <c r="B5" s="421"/>
      <c r="C5" s="421"/>
      <c r="D5" s="421"/>
      <c r="E5" s="398"/>
      <c r="F5" s="421"/>
      <c r="G5" s="423"/>
      <c r="H5" s="398"/>
      <c r="I5" s="398"/>
      <c r="J5" s="398"/>
      <c r="K5" s="398"/>
      <c r="L5" s="398"/>
      <c r="M5" s="398"/>
      <c r="N5" s="398"/>
      <c r="O5" s="398"/>
      <c r="P5" s="413" t="str">
        <f>RESUMEN!A10</f>
        <v>Primer Vencimiento:  18/06</v>
      </c>
      <c r="Q5" s="414"/>
      <c r="R5" s="413"/>
      <c r="S5" s="414"/>
      <c r="T5" s="398"/>
    </row>
    <row r="6" spans="1:24" ht="26.45" customHeight="1" x14ac:dyDescent="0.25">
      <c r="A6" s="189"/>
      <c r="B6" s="197">
        <v>1</v>
      </c>
      <c r="C6" s="197" t="s">
        <v>24</v>
      </c>
      <c r="D6" s="190">
        <v>4.5999999999999999E-3</v>
      </c>
      <c r="E6" s="194">
        <v>759748.01</v>
      </c>
      <c r="F6" s="266">
        <f>E6</f>
        <v>759748.01</v>
      </c>
      <c r="G6" s="333">
        <f>E6-F6</f>
        <v>0</v>
      </c>
      <c r="H6" s="334">
        <f>IF(G6&gt;0,G6*3.087%,0)</f>
        <v>0</v>
      </c>
      <c r="I6" s="191">
        <f>K$2*D6</f>
        <v>371109.43403200002</v>
      </c>
      <c r="J6" s="191">
        <f>P$2*D6</f>
        <v>0</v>
      </c>
      <c r="K6" s="191">
        <f>G$2*0.675675676%</f>
        <v>185936.29261027643</v>
      </c>
      <c r="L6" s="191">
        <f>P$1*0.675675676%</f>
        <v>202702.7028</v>
      </c>
      <c r="M6" s="191">
        <f>G$1*D6</f>
        <v>0</v>
      </c>
      <c r="N6" s="191">
        <v>0</v>
      </c>
      <c r="O6" s="191">
        <v>0</v>
      </c>
      <c r="P6" s="399">
        <f t="shared" ref="P6:P37" si="0">ROUND(SUM(G6:O6),0) + S6</f>
        <v>759748.01</v>
      </c>
      <c r="Q6" s="400"/>
      <c r="R6" s="233">
        <f t="shared" ref="R6:R37" si="1">ROUND(P6+P6*3.033%,0) + S6</f>
        <v>782791.01</v>
      </c>
      <c r="S6" s="13">
        <f>ROUND(0.001+B6/100,2)</f>
        <v>0.01</v>
      </c>
      <c r="T6" s="192">
        <f>B6</f>
        <v>1</v>
      </c>
      <c r="U6" t="s">
        <v>215</v>
      </c>
    </row>
    <row r="7" spans="1:24" ht="24.6" customHeight="1" x14ac:dyDescent="0.25">
      <c r="A7" s="16"/>
      <c r="B7" s="16">
        <f>B6+1</f>
        <v>2</v>
      </c>
      <c r="C7" s="16" t="s">
        <v>25</v>
      </c>
      <c r="D7" s="74">
        <v>4.5999999999999999E-3</v>
      </c>
      <c r="E7" s="195">
        <v>1193949.02</v>
      </c>
      <c r="F7" s="199"/>
      <c r="G7" s="58">
        <f>E7-F7</f>
        <v>1193949.02</v>
      </c>
      <c r="H7" s="75">
        <f>IF(G7&gt;0,G7*3.087%,0)</f>
        <v>36857.206247400005</v>
      </c>
      <c r="I7" s="68">
        <f>K$2*D7</f>
        <v>371109.43403200002</v>
      </c>
      <c r="J7" s="68">
        <f>P$2*D7</f>
        <v>0</v>
      </c>
      <c r="K7" s="68">
        <f t="shared" ref="K7:K70" si="2">G$2*0.675675676%</f>
        <v>185936.29261027643</v>
      </c>
      <c r="L7" s="68">
        <f t="shared" ref="L7:L70" si="3">P$1*0.675675676%</f>
        <v>202702.7028</v>
      </c>
      <c r="M7" s="191">
        <f>G$1*D7</f>
        <v>0</v>
      </c>
      <c r="N7" s="191">
        <v>0</v>
      </c>
      <c r="O7" s="191">
        <v>0</v>
      </c>
      <c r="P7" s="401">
        <f t="shared" si="0"/>
        <v>1990555.02</v>
      </c>
      <c r="Q7" s="402"/>
      <c r="R7" s="233">
        <f t="shared" si="1"/>
        <v>2050929.02</v>
      </c>
      <c r="S7" s="13">
        <f>ROUND(0.001+B7/100,2)</f>
        <v>0.02</v>
      </c>
      <c r="T7" s="1">
        <f>B7</f>
        <v>2</v>
      </c>
    </row>
    <row r="8" spans="1:24" ht="24.6" customHeight="1" x14ac:dyDescent="0.25">
      <c r="A8" s="16"/>
      <c r="B8" s="16">
        <f>B7+1</f>
        <v>3</v>
      </c>
      <c r="C8" s="16" t="s">
        <v>26</v>
      </c>
      <c r="D8" s="74">
        <v>4.5999999999999999E-3</v>
      </c>
      <c r="E8" s="195">
        <v>736705.03</v>
      </c>
      <c r="F8" s="199">
        <v>759049.03</v>
      </c>
      <c r="G8" s="58">
        <f>E8-F8</f>
        <v>-22344</v>
      </c>
      <c r="H8" s="75">
        <f t="shared" ref="H8:H71" si="4">IF(G8&gt;0,G8*3.087%,0)</f>
        <v>0</v>
      </c>
      <c r="I8" s="68">
        <f>K$2*D8</f>
        <v>371109.43403200002</v>
      </c>
      <c r="J8" s="68">
        <f>P$2*D8</f>
        <v>0</v>
      </c>
      <c r="K8" s="68">
        <f t="shared" si="2"/>
        <v>185936.29261027643</v>
      </c>
      <c r="L8" s="68">
        <f t="shared" si="3"/>
        <v>202702.7028</v>
      </c>
      <c r="M8" s="191">
        <f>G$1*D8</f>
        <v>0</v>
      </c>
      <c r="N8" s="191">
        <v>0</v>
      </c>
      <c r="O8" s="191">
        <v>0</v>
      </c>
      <c r="P8" s="403">
        <f t="shared" si="0"/>
        <v>737404.03</v>
      </c>
      <c r="Q8" s="403"/>
      <c r="R8" s="233">
        <f t="shared" si="1"/>
        <v>759769.03</v>
      </c>
      <c r="S8" s="13">
        <f>ROUND(0.001+B8/100,2)</f>
        <v>0.03</v>
      </c>
      <c r="T8" s="1">
        <f>B8</f>
        <v>3</v>
      </c>
      <c r="V8" t="s">
        <v>200</v>
      </c>
    </row>
    <row r="9" spans="1:24" ht="24.6" customHeight="1" x14ac:dyDescent="0.25">
      <c r="A9" s="16"/>
      <c r="B9" s="16">
        <f>B8+1</f>
        <v>4</v>
      </c>
      <c r="C9" s="16" t="s">
        <v>165</v>
      </c>
      <c r="D9" s="74">
        <v>4.7000000000000002E-3</v>
      </c>
      <c r="E9" s="195">
        <v>767816.04</v>
      </c>
      <c r="F9" s="199"/>
      <c r="G9" s="58">
        <f>E9-F9</f>
        <v>767816.04</v>
      </c>
      <c r="H9" s="75">
        <f t="shared" si="4"/>
        <v>23702.481154800003</v>
      </c>
      <c r="I9" s="68">
        <f>K$2*D9</f>
        <v>379177.030424</v>
      </c>
      <c r="J9" s="68">
        <f>P$2*D9</f>
        <v>0</v>
      </c>
      <c r="K9" s="68">
        <f t="shared" si="2"/>
        <v>185936.29261027643</v>
      </c>
      <c r="L9" s="68">
        <f t="shared" si="3"/>
        <v>202702.7028</v>
      </c>
      <c r="M9" s="191">
        <f>G$1*D9</f>
        <v>0</v>
      </c>
      <c r="N9" s="191">
        <v>0</v>
      </c>
      <c r="O9" s="191">
        <v>0</v>
      </c>
      <c r="P9" s="403">
        <f t="shared" si="0"/>
        <v>1559335.04</v>
      </c>
      <c r="Q9" s="403"/>
      <c r="R9" s="233">
        <f t="shared" si="1"/>
        <v>1606630.04</v>
      </c>
      <c r="S9" s="13">
        <f>ROUND(0.001+B9/100,2)</f>
        <v>0.04</v>
      </c>
      <c r="T9" s="1">
        <f>B9</f>
        <v>4</v>
      </c>
      <c r="U9" s="127"/>
      <c r="V9" t="s">
        <v>303</v>
      </c>
    </row>
    <row r="10" spans="1:24" ht="24.6" customHeight="1" x14ac:dyDescent="0.25">
      <c r="A10" s="16"/>
      <c r="B10" s="16">
        <f>B9+1</f>
        <v>5</v>
      </c>
      <c r="C10" s="16" t="s">
        <v>27</v>
      </c>
      <c r="D10" s="74">
        <v>4.7000000000000002E-3</v>
      </c>
      <c r="E10" s="195">
        <v>767816.05</v>
      </c>
      <c r="F10" s="199">
        <f>E10</f>
        <v>767816.05</v>
      </c>
      <c r="G10" s="58">
        <f>E10-F10</f>
        <v>0</v>
      </c>
      <c r="H10" s="75">
        <f t="shared" si="4"/>
        <v>0</v>
      </c>
      <c r="I10" s="68">
        <f>K$2*D10</f>
        <v>379177.030424</v>
      </c>
      <c r="J10" s="68">
        <f>P$2*D10</f>
        <v>0</v>
      </c>
      <c r="K10" s="68">
        <f t="shared" si="2"/>
        <v>185936.29261027643</v>
      </c>
      <c r="L10" s="68">
        <f t="shared" si="3"/>
        <v>202702.7028</v>
      </c>
      <c r="M10" s="191">
        <f>G$1*D10</f>
        <v>0</v>
      </c>
      <c r="N10" s="191">
        <v>0</v>
      </c>
      <c r="O10" s="191">
        <v>0</v>
      </c>
      <c r="P10" s="403">
        <f t="shared" si="0"/>
        <v>767816.05</v>
      </c>
      <c r="Q10" s="403"/>
      <c r="R10" s="233">
        <f t="shared" si="1"/>
        <v>791104.05</v>
      </c>
      <c r="S10" s="13">
        <f>ROUND(0.001+B10/100,2)</f>
        <v>0.05</v>
      </c>
      <c r="T10" s="1">
        <f>B10</f>
        <v>5</v>
      </c>
      <c r="U10" s="127"/>
    </row>
    <row r="11" spans="1:24" ht="24.6" customHeight="1" x14ac:dyDescent="0.25">
      <c r="A11" s="16"/>
      <c r="B11" s="16">
        <f>B10+1</f>
        <v>6</v>
      </c>
      <c r="C11" s="16" t="s">
        <v>28</v>
      </c>
      <c r="D11" s="74">
        <v>4.4999999999999997E-3</v>
      </c>
      <c r="E11" s="195">
        <v>751681.06</v>
      </c>
      <c r="F11" s="199">
        <f>E11</f>
        <v>751681.06</v>
      </c>
      <c r="G11" s="58">
        <f>E11-F11</f>
        <v>0</v>
      </c>
      <c r="H11" s="75">
        <f t="shared" si="4"/>
        <v>0</v>
      </c>
      <c r="I11" s="68">
        <f>K$2*D11</f>
        <v>363041.83763999998</v>
      </c>
      <c r="J11" s="68">
        <f>P$2*D11</f>
        <v>0</v>
      </c>
      <c r="K11" s="68">
        <f t="shared" si="2"/>
        <v>185936.29261027643</v>
      </c>
      <c r="L11" s="68">
        <f t="shared" si="3"/>
        <v>202702.7028</v>
      </c>
      <c r="M11" s="191">
        <f>G$1*D11</f>
        <v>0</v>
      </c>
      <c r="N11" s="191">
        <v>0</v>
      </c>
      <c r="O11" s="191">
        <v>0</v>
      </c>
      <c r="P11" s="403">
        <f t="shared" si="0"/>
        <v>751681.06</v>
      </c>
      <c r="Q11" s="403"/>
      <c r="R11" s="233">
        <f t="shared" si="1"/>
        <v>774480.06</v>
      </c>
      <c r="S11" s="13">
        <f>ROUND(0.001+B11/100,2)</f>
        <v>0.06</v>
      </c>
      <c r="T11" s="1">
        <f>B11</f>
        <v>6</v>
      </c>
      <c r="U11" t="s">
        <v>193</v>
      </c>
    </row>
    <row r="12" spans="1:24" ht="24.6" customHeight="1" x14ac:dyDescent="0.25">
      <c r="A12" s="16"/>
      <c r="B12" s="16">
        <f>B11+1</f>
        <v>7</v>
      </c>
      <c r="C12" s="16" t="s">
        <v>29</v>
      </c>
      <c r="D12" s="74">
        <v>4.3E-3</v>
      </c>
      <c r="E12" s="195">
        <v>757855.07</v>
      </c>
      <c r="F12" s="199">
        <v>758000.07</v>
      </c>
      <c r="G12" s="58">
        <f>E12-F12</f>
        <v>-145</v>
      </c>
      <c r="H12" s="75">
        <f t="shared" si="4"/>
        <v>0</v>
      </c>
      <c r="I12" s="68">
        <f>K$2*D12</f>
        <v>346906.64485600003</v>
      </c>
      <c r="J12" s="68">
        <f>P$2*D12</f>
        <v>0</v>
      </c>
      <c r="K12" s="68">
        <f t="shared" si="2"/>
        <v>185936.29261027643</v>
      </c>
      <c r="L12" s="68">
        <f t="shared" si="3"/>
        <v>202702.7028</v>
      </c>
      <c r="M12" s="191">
        <f>G$1*D12</f>
        <v>0</v>
      </c>
      <c r="N12" s="191">
        <v>0</v>
      </c>
      <c r="O12" s="353">
        <f>I12/2</f>
        <v>173453.32242800001</v>
      </c>
      <c r="P12" s="403">
        <f t="shared" si="0"/>
        <v>908854.07</v>
      </c>
      <c r="Q12" s="403"/>
      <c r="R12" s="233">
        <f t="shared" si="1"/>
        <v>936420.07</v>
      </c>
      <c r="S12" s="13">
        <f>ROUND(0.001+B12/100,2)</f>
        <v>7.0000000000000007E-2</v>
      </c>
      <c r="T12" s="1">
        <f>B12</f>
        <v>7</v>
      </c>
      <c r="U12" t="s">
        <v>247</v>
      </c>
    </row>
    <row r="13" spans="1:24" ht="24.6" customHeight="1" x14ac:dyDescent="0.25">
      <c r="A13" s="165"/>
      <c r="B13" s="16">
        <f>B12+1</f>
        <v>8</v>
      </c>
      <c r="C13" s="16" t="s">
        <v>30</v>
      </c>
      <c r="D13" s="74">
        <v>4.7000000000000002E-3</v>
      </c>
      <c r="E13" s="195">
        <v>767816.08</v>
      </c>
      <c r="F13" s="199">
        <v>791104.08</v>
      </c>
      <c r="G13" s="58">
        <f>E13-F13</f>
        <v>-23288</v>
      </c>
      <c r="H13" s="75">
        <f t="shared" si="4"/>
        <v>0</v>
      </c>
      <c r="I13" s="68">
        <f>K$2*D13</f>
        <v>379177.030424</v>
      </c>
      <c r="J13" s="68">
        <f>P$2*D13</f>
        <v>0</v>
      </c>
      <c r="K13" s="68">
        <f t="shared" si="2"/>
        <v>185936.29261027643</v>
      </c>
      <c r="L13" s="68">
        <f t="shared" si="3"/>
        <v>202702.7028</v>
      </c>
      <c r="M13" s="191">
        <f>G$1*D13</f>
        <v>0</v>
      </c>
      <c r="N13" s="191">
        <v>0</v>
      </c>
      <c r="O13" s="191">
        <v>0</v>
      </c>
      <c r="P13" s="403">
        <f t="shared" si="0"/>
        <v>744528.08</v>
      </c>
      <c r="Q13" s="403"/>
      <c r="R13" s="233">
        <f t="shared" si="1"/>
        <v>767110.08</v>
      </c>
      <c r="S13" s="13">
        <f>ROUND(0.001+B13/100,2)</f>
        <v>0.08</v>
      </c>
      <c r="T13" s="1">
        <f>B13</f>
        <v>8</v>
      </c>
      <c r="U13" t="s">
        <v>278</v>
      </c>
    </row>
    <row r="14" spans="1:24" ht="24.6" customHeight="1" x14ac:dyDescent="0.25">
      <c r="A14" s="16"/>
      <c r="B14" s="16">
        <f>B13+1</f>
        <v>9</v>
      </c>
      <c r="C14" s="16" t="s">
        <v>31</v>
      </c>
      <c r="D14" s="74">
        <v>4.7000000000000002E-3</v>
      </c>
      <c r="E14" s="195">
        <v>3014472.09</v>
      </c>
      <c r="F14" s="199">
        <f>1500000+2000000</f>
        <v>3500000</v>
      </c>
      <c r="G14" s="58">
        <f>E14-F14</f>
        <v>-485527.91000000015</v>
      </c>
      <c r="H14" s="75">
        <f t="shared" si="4"/>
        <v>0</v>
      </c>
      <c r="I14" s="68">
        <f>K$2*D14</f>
        <v>379177.030424</v>
      </c>
      <c r="J14" s="68">
        <f>P$2*D14</f>
        <v>0</v>
      </c>
      <c r="K14" s="68">
        <f t="shared" si="2"/>
        <v>185936.29261027643</v>
      </c>
      <c r="L14" s="68">
        <f t="shared" si="3"/>
        <v>202702.7028</v>
      </c>
      <c r="M14" s="191">
        <f>G$1*D14</f>
        <v>0</v>
      </c>
      <c r="N14" s="191">
        <v>0</v>
      </c>
      <c r="O14" s="191">
        <v>0</v>
      </c>
      <c r="P14" s="403">
        <f t="shared" si="0"/>
        <v>282288.09000000003</v>
      </c>
      <c r="Q14" s="403"/>
      <c r="R14" s="233">
        <f t="shared" si="1"/>
        <v>290850.09000000003</v>
      </c>
      <c r="S14" s="13">
        <f>ROUND(0.001+B14/100,2)</f>
        <v>0.09</v>
      </c>
      <c r="T14" s="1">
        <f>B14</f>
        <v>9</v>
      </c>
    </row>
    <row r="15" spans="1:24" ht="24.6" customHeight="1" x14ac:dyDescent="0.25">
      <c r="A15" s="162"/>
      <c r="B15" s="16">
        <f>B14+1</f>
        <v>10</v>
      </c>
      <c r="C15" s="16" t="s">
        <v>32</v>
      </c>
      <c r="D15" s="74">
        <v>4.7000000000000002E-3</v>
      </c>
      <c r="E15" s="195">
        <v>767816.1</v>
      </c>
      <c r="F15" s="199">
        <f>E15</f>
        <v>767816.1</v>
      </c>
      <c r="G15" s="58">
        <f>E15-F15</f>
        <v>0</v>
      </c>
      <c r="H15" s="75">
        <f t="shared" si="4"/>
        <v>0</v>
      </c>
      <c r="I15" s="68">
        <f>K$2*D15</f>
        <v>379177.030424</v>
      </c>
      <c r="J15" s="68">
        <f>P$2*D15</f>
        <v>0</v>
      </c>
      <c r="K15" s="68">
        <f t="shared" si="2"/>
        <v>185936.29261027643</v>
      </c>
      <c r="L15" s="68">
        <f t="shared" si="3"/>
        <v>202702.7028</v>
      </c>
      <c r="M15" s="191">
        <f>G$1*D15</f>
        <v>0</v>
      </c>
      <c r="N15" s="191">
        <v>0</v>
      </c>
      <c r="O15" s="191">
        <v>0</v>
      </c>
      <c r="P15" s="403">
        <f t="shared" si="0"/>
        <v>767816.1</v>
      </c>
      <c r="Q15" s="403"/>
      <c r="R15" s="233">
        <f t="shared" si="1"/>
        <v>791104.1</v>
      </c>
      <c r="S15" s="13">
        <f>ROUND(0.001+B15/100,2)</f>
        <v>0.1</v>
      </c>
      <c r="T15" s="1">
        <f>B15</f>
        <v>10</v>
      </c>
      <c r="U15" t="s">
        <v>238</v>
      </c>
    </row>
    <row r="16" spans="1:24" ht="24.6" customHeight="1" x14ac:dyDescent="0.25">
      <c r="A16" s="16"/>
      <c r="B16" s="16">
        <f>B15+1</f>
        <v>11</v>
      </c>
      <c r="C16" s="16" t="s">
        <v>33</v>
      </c>
      <c r="D16" s="74">
        <v>4.7000000000000002E-3</v>
      </c>
      <c r="E16" s="195">
        <v>744528.11</v>
      </c>
      <c r="F16" s="199">
        <v>767110.11</v>
      </c>
      <c r="G16" s="58">
        <f>E16-F16</f>
        <v>-22582</v>
      </c>
      <c r="H16" s="75">
        <f t="shared" si="4"/>
        <v>0</v>
      </c>
      <c r="I16" s="68">
        <f>K$2*D16</f>
        <v>379177.030424</v>
      </c>
      <c r="J16" s="68">
        <f>P$2*D16</f>
        <v>0</v>
      </c>
      <c r="K16" s="68">
        <f t="shared" si="2"/>
        <v>185936.29261027643</v>
      </c>
      <c r="L16" s="68">
        <f t="shared" si="3"/>
        <v>202702.7028</v>
      </c>
      <c r="M16" s="191">
        <f>G$1*D16</f>
        <v>0</v>
      </c>
      <c r="N16" s="191">
        <v>0</v>
      </c>
      <c r="O16" s="191">
        <v>0</v>
      </c>
      <c r="P16" s="403">
        <f t="shared" si="0"/>
        <v>745234.11</v>
      </c>
      <c r="Q16" s="403"/>
      <c r="R16" s="233">
        <f t="shared" si="1"/>
        <v>767837.11</v>
      </c>
      <c r="S16" s="76">
        <f>ROUND(0.001+B16/100,2)</f>
        <v>0.11</v>
      </c>
      <c r="T16" s="57">
        <f>B16</f>
        <v>11</v>
      </c>
      <c r="U16" t="s">
        <v>262</v>
      </c>
    </row>
    <row r="17" spans="1:22" ht="24.6" customHeight="1" x14ac:dyDescent="0.25">
      <c r="A17" s="16"/>
      <c r="B17" s="16">
        <f>B16+1</f>
        <v>12</v>
      </c>
      <c r="C17" s="16" t="s">
        <v>34</v>
      </c>
      <c r="D17" s="74">
        <v>4.3E-3</v>
      </c>
      <c r="E17" s="195">
        <v>4254325.12</v>
      </c>
      <c r="F17" s="199">
        <v>800000.12</v>
      </c>
      <c r="G17" s="58">
        <f>E17-F17</f>
        <v>3454325</v>
      </c>
      <c r="H17" s="75">
        <f t="shared" si="4"/>
        <v>106635.01275000001</v>
      </c>
      <c r="I17" s="68">
        <f>K$2*D17</f>
        <v>346906.64485600003</v>
      </c>
      <c r="J17" s="68">
        <f>P$2*D17</f>
        <v>0</v>
      </c>
      <c r="K17" s="68">
        <f t="shared" si="2"/>
        <v>185936.29261027643</v>
      </c>
      <c r="L17" s="68">
        <f t="shared" si="3"/>
        <v>202702.7028</v>
      </c>
      <c r="M17" s="191">
        <f>G$1*D17</f>
        <v>0</v>
      </c>
      <c r="N17" s="191">
        <v>0</v>
      </c>
      <c r="O17" s="191">
        <v>0</v>
      </c>
      <c r="P17" s="403">
        <f t="shared" si="0"/>
        <v>4296506.12</v>
      </c>
      <c r="Q17" s="403"/>
      <c r="R17" s="233">
        <f t="shared" si="1"/>
        <v>4426819.12</v>
      </c>
      <c r="S17" s="76">
        <f>ROUND(0.001+B17/100,2)</f>
        <v>0.12</v>
      </c>
      <c r="T17" s="57">
        <f>B17</f>
        <v>12</v>
      </c>
      <c r="U17" t="s">
        <v>255</v>
      </c>
    </row>
    <row r="18" spans="1:22" ht="24.6" customHeight="1" x14ac:dyDescent="0.25">
      <c r="A18" s="225"/>
      <c r="B18" s="16">
        <f>B17+1</f>
        <v>13</v>
      </c>
      <c r="C18" s="16" t="s">
        <v>168</v>
      </c>
      <c r="D18" s="74">
        <v>4.5999999999999999E-3</v>
      </c>
      <c r="E18" s="195">
        <v>759748.13</v>
      </c>
      <c r="F18" s="199">
        <f>E18</f>
        <v>759748.13</v>
      </c>
      <c r="G18" s="58">
        <f>E18-F18</f>
        <v>0</v>
      </c>
      <c r="H18" s="75">
        <f t="shared" si="4"/>
        <v>0</v>
      </c>
      <c r="I18" s="68">
        <f>K$2*D18</f>
        <v>371109.43403200002</v>
      </c>
      <c r="J18" s="68">
        <f>P$2*D18</f>
        <v>0</v>
      </c>
      <c r="K18" s="68">
        <f t="shared" si="2"/>
        <v>185936.29261027643</v>
      </c>
      <c r="L18" s="68">
        <f t="shared" si="3"/>
        <v>202702.7028</v>
      </c>
      <c r="M18" s="191">
        <f>G$1*D18</f>
        <v>0</v>
      </c>
      <c r="N18" s="191">
        <v>0</v>
      </c>
      <c r="O18" s="191">
        <v>0</v>
      </c>
      <c r="P18" s="403">
        <f t="shared" si="0"/>
        <v>759748.13</v>
      </c>
      <c r="Q18" s="403"/>
      <c r="R18" s="233">
        <f t="shared" si="1"/>
        <v>782791.13</v>
      </c>
      <c r="S18" s="13">
        <f>ROUND(0.001+B18/100,2)</f>
        <v>0.13</v>
      </c>
      <c r="T18" s="1">
        <f>B18</f>
        <v>13</v>
      </c>
    </row>
    <row r="19" spans="1:22" ht="24.6" customHeight="1" x14ac:dyDescent="0.25">
      <c r="A19" s="16"/>
      <c r="B19" s="16">
        <f>B18+1</f>
        <v>14</v>
      </c>
      <c r="C19" s="16" t="s">
        <v>35</v>
      </c>
      <c r="D19" s="74">
        <v>4.7000000000000002E-3</v>
      </c>
      <c r="E19" s="195">
        <v>875424.14</v>
      </c>
      <c r="F19" s="199">
        <f>548589.71+167000+160194</f>
        <v>875783.71</v>
      </c>
      <c r="G19" s="58">
        <f>E19-F19</f>
        <v>-359.56999999994878</v>
      </c>
      <c r="H19" s="75">
        <f t="shared" si="4"/>
        <v>0</v>
      </c>
      <c r="I19" s="68">
        <f>K$2*D19</f>
        <v>379177.030424</v>
      </c>
      <c r="J19" s="68">
        <f>P$2*D19</f>
        <v>0</v>
      </c>
      <c r="K19" s="68">
        <f t="shared" si="2"/>
        <v>185936.29261027643</v>
      </c>
      <c r="L19" s="68">
        <f t="shared" si="3"/>
        <v>202702.7028</v>
      </c>
      <c r="M19" s="191">
        <f>G$1*D19</f>
        <v>0</v>
      </c>
      <c r="N19" s="191">
        <v>0</v>
      </c>
      <c r="O19" s="191">
        <v>0</v>
      </c>
      <c r="P19" s="403">
        <f t="shared" si="0"/>
        <v>767456.14</v>
      </c>
      <c r="Q19" s="403"/>
      <c r="R19" s="233">
        <f t="shared" si="1"/>
        <v>790733.14</v>
      </c>
      <c r="S19" s="13">
        <f>ROUND(0.001+B19/100,2)</f>
        <v>0.14000000000000001</v>
      </c>
      <c r="T19" s="1">
        <f>B19</f>
        <v>14</v>
      </c>
      <c r="U19" t="s">
        <v>323</v>
      </c>
    </row>
    <row r="20" spans="1:22" ht="24.6" customHeight="1" x14ac:dyDescent="0.25">
      <c r="A20" s="16"/>
      <c r="B20" s="16">
        <f>B19+1</f>
        <v>15</v>
      </c>
      <c r="C20" s="16" t="s">
        <v>289</v>
      </c>
      <c r="D20" s="74">
        <v>4.4000000000000003E-3</v>
      </c>
      <c r="E20" s="195">
        <v>766167.15</v>
      </c>
      <c r="F20" s="199">
        <f>E20</f>
        <v>766167.15</v>
      </c>
      <c r="G20" s="58">
        <f>E20-F20</f>
        <v>0</v>
      </c>
      <c r="H20" s="75">
        <f t="shared" si="4"/>
        <v>0</v>
      </c>
      <c r="I20" s="68">
        <f>K$2*D20</f>
        <v>354974.24124800001</v>
      </c>
      <c r="J20" s="68">
        <f>P$2*D20</f>
        <v>0</v>
      </c>
      <c r="K20" s="68">
        <f t="shared" si="2"/>
        <v>185936.29261027643</v>
      </c>
      <c r="L20" s="68">
        <f t="shared" si="3"/>
        <v>202702.7028</v>
      </c>
      <c r="M20" s="191">
        <f>G$1*D20</f>
        <v>0</v>
      </c>
      <c r="N20" s="191">
        <v>0</v>
      </c>
      <c r="O20" s="191">
        <v>0</v>
      </c>
      <c r="P20" s="403">
        <f t="shared" si="0"/>
        <v>743613.15</v>
      </c>
      <c r="Q20" s="403"/>
      <c r="R20" s="233">
        <f t="shared" si="1"/>
        <v>766167.15</v>
      </c>
      <c r="S20" s="76">
        <f>ROUND(0.001+B20/100,2)</f>
        <v>0.15</v>
      </c>
      <c r="T20" s="57">
        <f>B20</f>
        <v>15</v>
      </c>
      <c r="U20" t="s">
        <v>290</v>
      </c>
    </row>
    <row r="21" spans="1:22" ht="24.6" customHeight="1" x14ac:dyDescent="0.25">
      <c r="A21" s="16"/>
      <c r="B21" s="16">
        <f>B20+1</f>
        <v>16</v>
      </c>
      <c r="C21" s="16" t="s">
        <v>169</v>
      </c>
      <c r="D21" s="74">
        <v>4.5999999999999999E-3</v>
      </c>
      <c r="E21" s="195">
        <v>759748.16</v>
      </c>
      <c r="F21" s="199">
        <f>E21</f>
        <v>759748.16</v>
      </c>
      <c r="G21" s="58">
        <f>E21-F21</f>
        <v>0</v>
      </c>
      <c r="H21" s="75">
        <f t="shared" si="4"/>
        <v>0</v>
      </c>
      <c r="I21" s="68">
        <f>K$2*D21</f>
        <v>371109.43403200002</v>
      </c>
      <c r="J21" s="68">
        <f>P$2*D21</f>
        <v>0</v>
      </c>
      <c r="K21" s="68">
        <f t="shared" si="2"/>
        <v>185936.29261027643</v>
      </c>
      <c r="L21" s="68">
        <f t="shared" si="3"/>
        <v>202702.7028</v>
      </c>
      <c r="M21" s="191">
        <f>G$1*D21</f>
        <v>0</v>
      </c>
      <c r="N21" s="191">
        <v>0</v>
      </c>
      <c r="O21" s="354">
        <v>0</v>
      </c>
      <c r="P21" s="403">
        <f t="shared" si="0"/>
        <v>759748.16</v>
      </c>
      <c r="Q21" s="403"/>
      <c r="R21" s="233">
        <f t="shared" si="1"/>
        <v>782791.16</v>
      </c>
      <c r="S21" s="13">
        <f>ROUND(0.001+B21/100,2)</f>
        <v>0.16</v>
      </c>
      <c r="T21" s="1">
        <f>B21</f>
        <v>16</v>
      </c>
    </row>
    <row r="22" spans="1:22" ht="24.6" customHeight="1" x14ac:dyDescent="0.25">
      <c r="A22" s="284"/>
      <c r="B22" s="16">
        <f>B21+1</f>
        <v>17</v>
      </c>
      <c r="C22" s="16" t="s">
        <v>36</v>
      </c>
      <c r="D22" s="74">
        <v>4.5999999999999999E-3</v>
      </c>
      <c r="E22" s="195">
        <v>2081975.17</v>
      </c>
      <c r="F22" s="199">
        <f>300000+452500+250000+400000</f>
        <v>1402500</v>
      </c>
      <c r="G22" s="58">
        <f>E22-F22</f>
        <v>679475.16999999993</v>
      </c>
      <c r="H22" s="75">
        <f t="shared" si="4"/>
        <v>20975.398497899998</v>
      </c>
      <c r="I22" s="68">
        <f>K$2*D22</f>
        <v>371109.43403200002</v>
      </c>
      <c r="J22" s="68">
        <f>P$2*D22</f>
        <v>0</v>
      </c>
      <c r="K22" s="68">
        <f t="shared" si="2"/>
        <v>185936.29261027643</v>
      </c>
      <c r="L22" s="68">
        <f t="shared" si="3"/>
        <v>202702.7028</v>
      </c>
      <c r="M22" s="191">
        <f>G$1*D22</f>
        <v>0</v>
      </c>
      <c r="N22" s="191">
        <v>0</v>
      </c>
      <c r="O22" s="191">
        <v>0</v>
      </c>
      <c r="P22" s="403">
        <f t="shared" si="0"/>
        <v>1460199.17</v>
      </c>
      <c r="Q22" s="403"/>
      <c r="R22" s="233">
        <f t="shared" si="1"/>
        <v>1504487.17</v>
      </c>
      <c r="S22" s="13">
        <f>ROUND(0.001+B22/100,2)</f>
        <v>0.17</v>
      </c>
      <c r="T22" s="1">
        <f>B22</f>
        <v>17</v>
      </c>
      <c r="U22" t="s">
        <v>209</v>
      </c>
    </row>
    <row r="23" spans="1:22" ht="24.6" customHeight="1" x14ac:dyDescent="0.25">
      <c r="A23" s="16"/>
      <c r="B23" s="16">
        <f>B22+1</f>
        <v>18</v>
      </c>
      <c r="C23" s="16" t="s">
        <v>37</v>
      </c>
      <c r="D23" s="74">
        <v>4.5999999999999999E-3</v>
      </c>
      <c r="E23" s="195">
        <v>950930.18</v>
      </c>
      <c r="F23" s="199">
        <f>775375.18+185555</f>
        <v>960930.18</v>
      </c>
      <c r="G23" s="58">
        <f>E23-F23</f>
        <v>-10000</v>
      </c>
      <c r="H23" s="75">
        <f t="shared" si="4"/>
        <v>0</v>
      </c>
      <c r="I23" s="68">
        <f>K$2*D23</f>
        <v>371109.43403200002</v>
      </c>
      <c r="J23" s="68">
        <f>P$2*D23</f>
        <v>0</v>
      </c>
      <c r="K23" s="68">
        <f t="shared" si="2"/>
        <v>185936.29261027643</v>
      </c>
      <c r="L23" s="68">
        <f t="shared" si="3"/>
        <v>202702.7028</v>
      </c>
      <c r="M23" s="191">
        <f>G$1*D23</f>
        <v>0</v>
      </c>
      <c r="N23" s="191">
        <v>0</v>
      </c>
      <c r="O23" s="191">
        <v>0</v>
      </c>
      <c r="P23" s="403">
        <f t="shared" si="0"/>
        <v>749748.18</v>
      </c>
      <c r="Q23" s="403"/>
      <c r="R23" s="233">
        <f t="shared" si="1"/>
        <v>772488.18</v>
      </c>
      <c r="S23" s="13">
        <f>ROUND(0.001+B23/100,2)</f>
        <v>0.18</v>
      </c>
      <c r="T23" s="1">
        <f>B23</f>
        <v>18</v>
      </c>
      <c r="U23" t="s">
        <v>296</v>
      </c>
    </row>
    <row r="24" spans="1:22" ht="24.6" customHeight="1" x14ac:dyDescent="0.25">
      <c r="A24" s="16"/>
      <c r="B24" s="16">
        <f>B23+1</f>
        <v>19</v>
      </c>
      <c r="C24" s="16" t="s">
        <v>38</v>
      </c>
      <c r="D24" s="74">
        <v>4.7000000000000002E-3</v>
      </c>
      <c r="E24" s="195">
        <v>745213.19</v>
      </c>
      <c r="F24" s="199">
        <v>767816.19</v>
      </c>
      <c r="G24" s="58">
        <f>E24-F24</f>
        <v>-22603</v>
      </c>
      <c r="H24" s="75">
        <f t="shared" si="4"/>
        <v>0</v>
      </c>
      <c r="I24" s="68">
        <f>K$2*D24</f>
        <v>379177.030424</v>
      </c>
      <c r="J24" s="68">
        <f>P$2*D24</f>
        <v>0</v>
      </c>
      <c r="K24" s="68">
        <f t="shared" si="2"/>
        <v>185936.29261027643</v>
      </c>
      <c r="L24" s="68">
        <f t="shared" si="3"/>
        <v>202702.7028</v>
      </c>
      <c r="M24" s="191">
        <f>G$1*D24</f>
        <v>0</v>
      </c>
      <c r="N24" s="191">
        <v>0</v>
      </c>
      <c r="O24" s="191">
        <v>0</v>
      </c>
      <c r="P24" s="403">
        <f t="shared" si="0"/>
        <v>745213.19</v>
      </c>
      <c r="Q24" s="403"/>
      <c r="R24" s="233">
        <f t="shared" si="1"/>
        <v>767816.19</v>
      </c>
      <c r="S24" s="13">
        <f>ROUND(0.001+B24/100,2)</f>
        <v>0.19</v>
      </c>
      <c r="T24" s="1">
        <f>B24</f>
        <v>19</v>
      </c>
    </row>
    <row r="25" spans="1:22" ht="24.6" customHeight="1" x14ac:dyDescent="0.25">
      <c r="A25" s="16"/>
      <c r="B25" s="16">
        <f>B24+1</f>
        <v>20</v>
      </c>
      <c r="C25" s="16" t="s">
        <v>39</v>
      </c>
      <c r="D25" s="74">
        <v>4.7000000000000002E-3</v>
      </c>
      <c r="E25" s="195">
        <v>767816.2</v>
      </c>
      <c r="F25" s="199">
        <f>E25</f>
        <v>767816.2</v>
      </c>
      <c r="G25" s="58">
        <f>E25-F25</f>
        <v>0</v>
      </c>
      <c r="H25" s="75">
        <f t="shared" si="4"/>
        <v>0</v>
      </c>
      <c r="I25" s="68">
        <f>K$2*D25</f>
        <v>379177.030424</v>
      </c>
      <c r="J25" s="68">
        <f>P$2*D25</f>
        <v>0</v>
      </c>
      <c r="K25" s="68">
        <f t="shared" si="2"/>
        <v>185936.29261027643</v>
      </c>
      <c r="L25" s="68">
        <f t="shared" si="3"/>
        <v>202702.7028</v>
      </c>
      <c r="M25" s="191">
        <f>G$1*D25</f>
        <v>0</v>
      </c>
      <c r="N25" s="191">
        <v>0</v>
      </c>
      <c r="O25" s="191">
        <v>0</v>
      </c>
      <c r="P25" s="403">
        <f t="shared" si="0"/>
        <v>767816.2</v>
      </c>
      <c r="Q25" s="403"/>
      <c r="R25" s="233">
        <f t="shared" si="1"/>
        <v>791104.2</v>
      </c>
      <c r="S25" s="13">
        <f>ROUND(0.001+B25/100,2)</f>
        <v>0.2</v>
      </c>
      <c r="T25" s="1">
        <f>B25</f>
        <v>20</v>
      </c>
    </row>
    <row r="26" spans="1:22" ht="24.6" customHeight="1" x14ac:dyDescent="0.25">
      <c r="A26" s="16"/>
      <c r="B26" s="16">
        <f>B25+1</f>
        <v>21</v>
      </c>
      <c r="C26" s="16" t="s">
        <v>40</v>
      </c>
      <c r="D26" s="74">
        <v>4.7000000000000002E-3</v>
      </c>
      <c r="E26" s="195">
        <v>767816.21</v>
      </c>
      <c r="F26" s="199">
        <f>E26</f>
        <v>767816.21</v>
      </c>
      <c r="G26" s="58">
        <f>E26-F26</f>
        <v>0</v>
      </c>
      <c r="H26" s="75">
        <f t="shared" si="4"/>
        <v>0</v>
      </c>
      <c r="I26" s="68">
        <f>K$2*D26</f>
        <v>379177.030424</v>
      </c>
      <c r="J26" s="68">
        <f>P$2*D26</f>
        <v>0</v>
      </c>
      <c r="K26" s="68">
        <f t="shared" si="2"/>
        <v>185936.29261027643</v>
      </c>
      <c r="L26" s="68">
        <f t="shared" si="3"/>
        <v>202702.7028</v>
      </c>
      <c r="M26" s="191">
        <f>G$1*D26</f>
        <v>0</v>
      </c>
      <c r="N26" s="191">
        <v>0</v>
      </c>
      <c r="O26" s="191">
        <v>0</v>
      </c>
      <c r="P26" s="403">
        <f t="shared" si="0"/>
        <v>767816.21</v>
      </c>
      <c r="Q26" s="403"/>
      <c r="R26" s="233">
        <f t="shared" si="1"/>
        <v>791104.21</v>
      </c>
      <c r="S26" s="13">
        <f>ROUND(0.001+B26/100,2)</f>
        <v>0.21</v>
      </c>
      <c r="T26" s="1">
        <f>B26</f>
        <v>21</v>
      </c>
      <c r="U26" t="s">
        <v>201</v>
      </c>
      <c r="V26" t="s">
        <v>201</v>
      </c>
    </row>
    <row r="27" spans="1:22" ht="24.6" customHeight="1" x14ac:dyDescent="0.25">
      <c r="A27" s="16"/>
      <c r="B27" s="16">
        <f>B26+1</f>
        <v>22</v>
      </c>
      <c r="C27" s="16" t="s">
        <v>41</v>
      </c>
      <c r="D27" s="74">
        <v>4.7000000000000002E-3</v>
      </c>
      <c r="E27" s="195">
        <v>744528.22</v>
      </c>
      <c r="F27" s="199">
        <v>767110.22</v>
      </c>
      <c r="G27" s="58">
        <f>E27-F27</f>
        <v>-22582</v>
      </c>
      <c r="H27" s="75">
        <f t="shared" si="4"/>
        <v>0</v>
      </c>
      <c r="I27" s="68">
        <f>K$2*D27</f>
        <v>379177.030424</v>
      </c>
      <c r="J27" s="68">
        <f>P$2*D27</f>
        <v>0</v>
      </c>
      <c r="K27" s="68">
        <f t="shared" si="2"/>
        <v>185936.29261027643</v>
      </c>
      <c r="L27" s="68">
        <f t="shared" si="3"/>
        <v>202702.7028</v>
      </c>
      <c r="M27" s="191">
        <f>G$1*D27</f>
        <v>0</v>
      </c>
      <c r="N27" s="191">
        <v>0</v>
      </c>
      <c r="O27" s="191">
        <v>0</v>
      </c>
      <c r="P27" s="403">
        <f t="shared" si="0"/>
        <v>745234.22</v>
      </c>
      <c r="Q27" s="403"/>
      <c r="R27" s="233">
        <f t="shared" si="1"/>
        <v>767837.22</v>
      </c>
      <c r="S27" s="13">
        <f>ROUND(0.001+B27/100,2)</f>
        <v>0.22</v>
      </c>
      <c r="T27" s="1">
        <f>B27</f>
        <v>22</v>
      </c>
      <c r="U27" t="s">
        <v>286</v>
      </c>
    </row>
    <row r="28" spans="1:22" ht="24.6" customHeight="1" x14ac:dyDescent="0.25">
      <c r="A28" s="164"/>
      <c r="B28" s="16">
        <f>B27+1</f>
        <v>23</v>
      </c>
      <c r="C28" s="16" t="s">
        <v>42</v>
      </c>
      <c r="D28" s="74">
        <v>4.7000000000000002E-3</v>
      </c>
      <c r="E28" s="195">
        <v>791104.23</v>
      </c>
      <c r="F28" s="199">
        <f>E28</f>
        <v>791104.23</v>
      </c>
      <c r="G28" s="58">
        <f>E28-F28</f>
        <v>0</v>
      </c>
      <c r="H28" s="75">
        <f t="shared" si="4"/>
        <v>0</v>
      </c>
      <c r="I28" s="68">
        <f>K$2*D28</f>
        <v>379177.030424</v>
      </c>
      <c r="J28" s="68">
        <f>P$2*D28</f>
        <v>0</v>
      </c>
      <c r="K28" s="68">
        <f t="shared" si="2"/>
        <v>185936.29261027643</v>
      </c>
      <c r="L28" s="68">
        <f t="shared" si="3"/>
        <v>202702.7028</v>
      </c>
      <c r="M28" s="191">
        <f>G$1*D28</f>
        <v>0</v>
      </c>
      <c r="N28" s="191">
        <v>0</v>
      </c>
      <c r="O28" s="191">
        <v>0</v>
      </c>
      <c r="P28" s="403">
        <f t="shared" si="0"/>
        <v>767816.23</v>
      </c>
      <c r="Q28" s="403"/>
      <c r="R28" s="233">
        <f t="shared" si="1"/>
        <v>791104.23</v>
      </c>
      <c r="S28" s="13">
        <f>ROUND(0.001+B28/100,2)</f>
        <v>0.23</v>
      </c>
      <c r="T28" s="1">
        <f>B28</f>
        <v>23</v>
      </c>
      <c r="U28" t="s">
        <v>283</v>
      </c>
    </row>
    <row r="29" spans="1:22" ht="24.6" customHeight="1" x14ac:dyDescent="0.25">
      <c r="A29" s="16"/>
      <c r="B29" s="16">
        <f>B28+1</f>
        <v>24</v>
      </c>
      <c r="C29" s="16" t="s">
        <v>43</v>
      </c>
      <c r="D29" s="74">
        <v>4.7000000000000002E-3</v>
      </c>
      <c r="E29" s="195">
        <v>745213.24</v>
      </c>
      <c r="F29" s="199">
        <v>767816.24</v>
      </c>
      <c r="G29" s="58">
        <f>E29-F29</f>
        <v>-22603</v>
      </c>
      <c r="H29" s="75">
        <f t="shared" si="4"/>
        <v>0</v>
      </c>
      <c r="I29" s="68">
        <f>K$2*D29</f>
        <v>379177.030424</v>
      </c>
      <c r="J29" s="68">
        <f>P$2*D29</f>
        <v>0</v>
      </c>
      <c r="K29" s="68">
        <f t="shared" si="2"/>
        <v>185936.29261027643</v>
      </c>
      <c r="L29" s="68">
        <f t="shared" si="3"/>
        <v>202702.7028</v>
      </c>
      <c r="M29" s="191">
        <f>G$1*D29</f>
        <v>0</v>
      </c>
      <c r="N29" s="191">
        <v>0</v>
      </c>
      <c r="O29" s="191">
        <v>0</v>
      </c>
      <c r="P29" s="403">
        <f t="shared" si="0"/>
        <v>745213.24</v>
      </c>
      <c r="Q29" s="403"/>
      <c r="R29" s="233">
        <f t="shared" si="1"/>
        <v>767816.24</v>
      </c>
      <c r="S29" s="13">
        <f>ROUND(0.001+B29/100,2)</f>
        <v>0.24</v>
      </c>
      <c r="T29" s="1">
        <f>B29</f>
        <v>24</v>
      </c>
      <c r="U29" t="s">
        <v>317</v>
      </c>
    </row>
    <row r="30" spans="1:22" ht="24.6" customHeight="1" x14ac:dyDescent="0.25">
      <c r="A30" s="16"/>
      <c r="B30" s="16">
        <f>B29+1</f>
        <v>25</v>
      </c>
      <c r="C30" s="16" t="s">
        <v>44</v>
      </c>
      <c r="D30" s="74">
        <v>4.7999999999999996E-3</v>
      </c>
      <c r="E30" s="195">
        <v>799417.25</v>
      </c>
      <c r="F30" s="199">
        <f>E30</f>
        <v>799417.25</v>
      </c>
      <c r="G30" s="58">
        <f>E30-F30</f>
        <v>0</v>
      </c>
      <c r="H30" s="75">
        <f t="shared" si="4"/>
        <v>0</v>
      </c>
      <c r="I30" s="68">
        <f>K$2*D30</f>
        <v>387244.62681599997</v>
      </c>
      <c r="J30" s="68">
        <f>P$2*D30</f>
        <v>0</v>
      </c>
      <c r="K30" s="68">
        <f t="shared" si="2"/>
        <v>185936.29261027643</v>
      </c>
      <c r="L30" s="68">
        <f t="shared" si="3"/>
        <v>202702.7028</v>
      </c>
      <c r="M30" s="191">
        <f>G$1*D30</f>
        <v>0</v>
      </c>
      <c r="N30" s="191">
        <v>0</v>
      </c>
      <c r="O30" s="191">
        <v>0</v>
      </c>
      <c r="P30" s="403">
        <f t="shared" si="0"/>
        <v>775884.25</v>
      </c>
      <c r="Q30" s="403"/>
      <c r="R30" s="233">
        <f t="shared" si="1"/>
        <v>799417.25</v>
      </c>
      <c r="S30" s="13">
        <f>ROUND(0.001+B30/100,2)</f>
        <v>0.25</v>
      </c>
      <c r="T30" s="1">
        <f>B30</f>
        <v>25</v>
      </c>
      <c r="V30" t="s">
        <v>266</v>
      </c>
    </row>
    <row r="31" spans="1:22" ht="24.6" customHeight="1" x14ac:dyDescent="0.25">
      <c r="A31" s="163"/>
      <c r="B31" s="16">
        <f>B30+1</f>
        <v>26</v>
      </c>
      <c r="C31" s="16" t="s">
        <v>45</v>
      </c>
      <c r="D31" s="74">
        <v>4.7999999999999996E-3</v>
      </c>
      <c r="E31" s="195">
        <v>799417.26</v>
      </c>
      <c r="F31" s="199">
        <f>E31</f>
        <v>799417.26</v>
      </c>
      <c r="G31" s="58">
        <f>E31-F31</f>
        <v>0</v>
      </c>
      <c r="H31" s="75">
        <f t="shared" si="4"/>
        <v>0</v>
      </c>
      <c r="I31" s="68">
        <f>K$2*D31</f>
        <v>387244.62681599997</v>
      </c>
      <c r="J31" s="68">
        <f>P$2*D31</f>
        <v>0</v>
      </c>
      <c r="K31" s="68">
        <f t="shared" si="2"/>
        <v>185936.29261027643</v>
      </c>
      <c r="L31" s="68">
        <f t="shared" si="3"/>
        <v>202702.7028</v>
      </c>
      <c r="M31" s="191">
        <f>G$1*D31</f>
        <v>0</v>
      </c>
      <c r="N31" s="191">
        <v>0</v>
      </c>
      <c r="O31" s="191">
        <v>0</v>
      </c>
      <c r="P31" s="403">
        <f t="shared" si="0"/>
        <v>775884.26</v>
      </c>
      <c r="Q31" s="403"/>
      <c r="R31" s="233">
        <f t="shared" si="1"/>
        <v>799417.26</v>
      </c>
      <c r="S31" s="76">
        <f>ROUND(0.001+B31/100,2)</f>
        <v>0.26</v>
      </c>
      <c r="T31" s="57">
        <f>B31</f>
        <v>26</v>
      </c>
      <c r="V31" t="s">
        <v>196</v>
      </c>
    </row>
    <row r="32" spans="1:22" ht="24.6" customHeight="1" x14ac:dyDescent="0.25">
      <c r="A32" s="16"/>
      <c r="B32" s="16">
        <f>B31+1</f>
        <v>27</v>
      </c>
      <c r="C32" s="16" t="s">
        <v>46</v>
      </c>
      <c r="D32" s="74">
        <v>4.7999999999999996E-3</v>
      </c>
      <c r="E32" s="195">
        <v>775884.27</v>
      </c>
      <c r="F32" s="199">
        <v>775824.27</v>
      </c>
      <c r="G32" s="58">
        <f>E32-F32</f>
        <v>60</v>
      </c>
      <c r="H32" s="75">
        <f t="shared" si="4"/>
        <v>1.8522000000000001</v>
      </c>
      <c r="I32" s="68">
        <f>K$2*D32</f>
        <v>387244.62681599997</v>
      </c>
      <c r="J32" s="68">
        <f>P$2*D32</f>
        <v>0</v>
      </c>
      <c r="K32" s="68">
        <f t="shared" si="2"/>
        <v>185936.29261027643</v>
      </c>
      <c r="L32" s="68">
        <f t="shared" si="3"/>
        <v>202702.7028</v>
      </c>
      <c r="M32" s="191">
        <f>G$1*D32</f>
        <v>0</v>
      </c>
      <c r="N32" s="191">
        <v>0</v>
      </c>
      <c r="O32" s="191">
        <v>0</v>
      </c>
      <c r="P32" s="403">
        <f t="shared" si="0"/>
        <v>775945.27</v>
      </c>
      <c r="Q32" s="403"/>
      <c r="R32" s="233">
        <f t="shared" si="1"/>
        <v>799480.27</v>
      </c>
      <c r="S32" s="13">
        <f>ROUND(0.001+B32/100,2)</f>
        <v>0.27</v>
      </c>
      <c r="T32" s="1">
        <f>B32</f>
        <v>27</v>
      </c>
    </row>
    <row r="33" spans="1:21" ht="24.6" customHeight="1" x14ac:dyDescent="0.25">
      <c r="A33" s="227"/>
      <c r="B33" s="16">
        <f>B32+1</f>
        <v>28</v>
      </c>
      <c r="C33" s="16" t="s">
        <v>47</v>
      </c>
      <c r="D33" s="74">
        <v>4.4999999999999997E-3</v>
      </c>
      <c r="E33" s="195">
        <v>700790.28</v>
      </c>
      <c r="F33" s="199">
        <v>790000</v>
      </c>
      <c r="G33" s="58">
        <f>E33-F33</f>
        <v>-89209.719999999972</v>
      </c>
      <c r="H33" s="75">
        <f t="shared" si="4"/>
        <v>0</v>
      </c>
      <c r="I33" s="68">
        <f>K$2*D33</f>
        <v>363041.83763999998</v>
      </c>
      <c r="J33" s="68">
        <f>P$2*D33</f>
        <v>0</v>
      </c>
      <c r="K33" s="68">
        <f t="shared" si="2"/>
        <v>185936.29261027643</v>
      </c>
      <c r="L33" s="68">
        <f t="shared" si="3"/>
        <v>202702.7028</v>
      </c>
      <c r="M33" s="191">
        <f>G$1*D33</f>
        <v>0</v>
      </c>
      <c r="N33" s="191">
        <v>0</v>
      </c>
      <c r="O33" s="191">
        <v>0</v>
      </c>
      <c r="P33" s="403">
        <f t="shared" si="0"/>
        <v>662471.28</v>
      </c>
      <c r="Q33" s="403"/>
      <c r="R33" s="233">
        <f t="shared" si="1"/>
        <v>682564.28</v>
      </c>
      <c r="S33" s="13">
        <f>ROUND(0.001+B33/100,2)</f>
        <v>0.28000000000000003</v>
      </c>
      <c r="T33" s="1">
        <f>B33</f>
        <v>28</v>
      </c>
      <c r="U33" t="s">
        <v>295</v>
      </c>
    </row>
    <row r="34" spans="1:21" ht="24.6" customHeight="1" x14ac:dyDescent="0.25">
      <c r="A34" s="16"/>
      <c r="B34" s="16">
        <f>B33+1</f>
        <v>29</v>
      </c>
      <c r="C34" s="16" t="s">
        <v>48</v>
      </c>
      <c r="D34" s="74">
        <v>4.7999999999999996E-3</v>
      </c>
      <c r="E34" s="195">
        <v>775884.29</v>
      </c>
      <c r="F34" s="199">
        <v>799417.29</v>
      </c>
      <c r="G34" s="58">
        <f>E34-F34</f>
        <v>-23533</v>
      </c>
      <c r="H34" s="75">
        <f t="shared" si="4"/>
        <v>0</v>
      </c>
      <c r="I34" s="68">
        <f>K$2*D34</f>
        <v>387244.62681599997</v>
      </c>
      <c r="J34" s="68">
        <f>P$2*D34</f>
        <v>0</v>
      </c>
      <c r="K34" s="68">
        <f t="shared" si="2"/>
        <v>185936.29261027643</v>
      </c>
      <c r="L34" s="68">
        <f t="shared" si="3"/>
        <v>202702.7028</v>
      </c>
      <c r="M34" s="191">
        <f>G$1*D34</f>
        <v>0</v>
      </c>
      <c r="N34" s="191">
        <v>0</v>
      </c>
      <c r="O34" s="191">
        <v>0</v>
      </c>
      <c r="P34" s="403">
        <f t="shared" si="0"/>
        <v>752351.29</v>
      </c>
      <c r="Q34" s="403"/>
      <c r="R34" s="233">
        <f t="shared" si="1"/>
        <v>775170.29</v>
      </c>
      <c r="S34" s="13">
        <f>ROUND(0.001+B34/100,2)</f>
        <v>0.28999999999999998</v>
      </c>
      <c r="T34" s="1">
        <f>B34</f>
        <v>29</v>
      </c>
      <c r="U34" t="s">
        <v>205</v>
      </c>
    </row>
    <row r="35" spans="1:21" ht="24.6" customHeight="1" x14ac:dyDescent="0.25">
      <c r="A35" s="16"/>
      <c r="B35" s="16">
        <f>B34+1</f>
        <v>30</v>
      </c>
      <c r="C35" s="16" t="s">
        <v>49</v>
      </c>
      <c r="D35" s="74">
        <v>4.4999999999999997E-3</v>
      </c>
      <c r="E35" s="195">
        <v>728882.3</v>
      </c>
      <c r="F35" s="199">
        <v>750989.3</v>
      </c>
      <c r="G35" s="58">
        <f>E35-F35</f>
        <v>-22107</v>
      </c>
      <c r="H35" s="75">
        <f t="shared" si="4"/>
        <v>0</v>
      </c>
      <c r="I35" s="68">
        <f>K$2*D35</f>
        <v>363041.83763999998</v>
      </c>
      <c r="J35" s="68">
        <f>P$2*D35</f>
        <v>0</v>
      </c>
      <c r="K35" s="68">
        <f t="shared" si="2"/>
        <v>185936.29261027643</v>
      </c>
      <c r="L35" s="68">
        <f t="shared" si="3"/>
        <v>202702.7028</v>
      </c>
      <c r="M35" s="191">
        <f>G$1*D35</f>
        <v>0</v>
      </c>
      <c r="N35" s="191">
        <v>0</v>
      </c>
      <c r="O35" s="191">
        <v>0</v>
      </c>
      <c r="P35" s="403">
        <f t="shared" si="0"/>
        <v>729574.3</v>
      </c>
      <c r="Q35" s="403"/>
      <c r="R35" s="233">
        <f t="shared" si="1"/>
        <v>751702.3</v>
      </c>
      <c r="S35" s="13">
        <f>ROUND(0.001+B35/100,2)</f>
        <v>0.3</v>
      </c>
      <c r="T35" s="1">
        <f>B35</f>
        <v>30</v>
      </c>
      <c r="U35" t="s">
        <v>250</v>
      </c>
    </row>
    <row r="36" spans="1:21" ht="24.6" customHeight="1" x14ac:dyDescent="0.25">
      <c r="A36" s="224"/>
      <c r="B36" s="16">
        <f>B35+1</f>
        <v>31</v>
      </c>
      <c r="C36" s="16" t="s">
        <v>50</v>
      </c>
      <c r="D36" s="74">
        <v>4.4999999999999997E-3</v>
      </c>
      <c r="E36" s="195">
        <v>71291.31</v>
      </c>
      <c r="F36" s="199"/>
      <c r="G36" s="58">
        <f>E36-F36</f>
        <v>71291.31</v>
      </c>
      <c r="H36" s="75">
        <f t="shared" si="4"/>
        <v>2200.7627397000001</v>
      </c>
      <c r="I36" s="68">
        <f>K$2*D36</f>
        <v>363041.83763999998</v>
      </c>
      <c r="J36" s="68">
        <f>P$2*D36</f>
        <v>0</v>
      </c>
      <c r="K36" s="68">
        <f t="shared" si="2"/>
        <v>185936.29261027643</v>
      </c>
      <c r="L36" s="68">
        <f t="shared" si="3"/>
        <v>202702.7028</v>
      </c>
      <c r="M36" s="191">
        <f>G$1*D36</f>
        <v>0</v>
      </c>
      <c r="N36" s="191">
        <v>0</v>
      </c>
      <c r="O36" s="191">
        <v>0</v>
      </c>
      <c r="P36" s="403">
        <f t="shared" si="0"/>
        <v>825173.31</v>
      </c>
      <c r="Q36" s="403"/>
      <c r="R36" s="233">
        <f t="shared" si="1"/>
        <v>850201.31</v>
      </c>
      <c r="S36" s="13">
        <f>ROUND(0.001+B36/100,2)</f>
        <v>0.31</v>
      </c>
      <c r="T36" s="1">
        <f>B36</f>
        <v>31</v>
      </c>
      <c r="U36" s="61" t="s">
        <v>261</v>
      </c>
    </row>
    <row r="37" spans="1:21" ht="24.6" customHeight="1" x14ac:dyDescent="0.25">
      <c r="A37" s="163"/>
      <c r="B37" s="16">
        <f>B36+1</f>
        <v>32</v>
      </c>
      <c r="C37" s="16" t="s">
        <v>51</v>
      </c>
      <c r="D37" s="74">
        <v>4.4999999999999997E-3</v>
      </c>
      <c r="E37" s="195">
        <v>618394.31999999995</v>
      </c>
      <c r="F37" s="199">
        <f>4526181.66-F21-F38-F151-F152-F154</f>
        <v>751638.32</v>
      </c>
      <c r="G37" s="58">
        <f>E37-F37</f>
        <v>-133244</v>
      </c>
      <c r="H37" s="75">
        <f t="shared" si="4"/>
        <v>0</v>
      </c>
      <c r="I37" s="68">
        <f>K$2*D37</f>
        <v>363041.83763999998</v>
      </c>
      <c r="J37" s="68">
        <f>P$2*D37</f>
        <v>0</v>
      </c>
      <c r="K37" s="68">
        <f t="shared" si="2"/>
        <v>185936.29261027643</v>
      </c>
      <c r="L37" s="68">
        <f t="shared" si="3"/>
        <v>202702.7028</v>
      </c>
      <c r="M37" s="191">
        <f>G$1*D37</f>
        <v>0</v>
      </c>
      <c r="N37" s="191">
        <v>0</v>
      </c>
      <c r="O37" s="191">
        <v>0</v>
      </c>
      <c r="P37" s="403">
        <f t="shared" si="0"/>
        <v>618437.31999999995</v>
      </c>
      <c r="Q37" s="403"/>
      <c r="R37" s="233">
        <f t="shared" si="1"/>
        <v>637195.31999999995</v>
      </c>
      <c r="S37" s="76">
        <f>ROUND(0.001+B37/100,2)</f>
        <v>0.32</v>
      </c>
      <c r="T37" s="57">
        <f>B37</f>
        <v>32</v>
      </c>
    </row>
    <row r="38" spans="1:21" ht="24.6" customHeight="1" x14ac:dyDescent="0.25">
      <c r="A38" s="16"/>
      <c r="B38" s="16">
        <v>33</v>
      </c>
      <c r="C38" s="16" t="s">
        <v>52</v>
      </c>
      <c r="D38" s="74">
        <v>4.4999999999999997E-3</v>
      </c>
      <c r="E38" s="195">
        <v>751681.33</v>
      </c>
      <c r="F38" s="199">
        <f>E38</f>
        <v>751681.33</v>
      </c>
      <c r="G38" s="58">
        <f>E38-F38</f>
        <v>0</v>
      </c>
      <c r="H38" s="75">
        <f t="shared" si="4"/>
        <v>0</v>
      </c>
      <c r="I38" s="68">
        <f>K$2*D38</f>
        <v>363041.83763999998</v>
      </c>
      <c r="J38" s="68">
        <f>P$2*D38</f>
        <v>0</v>
      </c>
      <c r="K38" s="68">
        <f t="shared" si="2"/>
        <v>185936.29261027643</v>
      </c>
      <c r="L38" s="68">
        <f t="shared" si="3"/>
        <v>202702.7028</v>
      </c>
      <c r="M38" s="191">
        <f>G$1*D38</f>
        <v>0</v>
      </c>
      <c r="N38" s="191">
        <v>0</v>
      </c>
      <c r="O38" s="191">
        <v>0</v>
      </c>
      <c r="P38" s="403">
        <f t="shared" ref="P38:P69" si="5">ROUND(SUM(G38:O38),0) + S38</f>
        <v>751681.33</v>
      </c>
      <c r="Q38" s="403"/>
      <c r="R38" s="233">
        <f t="shared" ref="R38:R69" si="6">ROUND(P38+P38*3.033%,0) + S38</f>
        <v>774480.33</v>
      </c>
      <c r="S38" s="13">
        <f>ROUND(0.001+B38/100,2)</f>
        <v>0.33</v>
      </c>
      <c r="T38" s="1">
        <f>B38</f>
        <v>33</v>
      </c>
    </row>
    <row r="39" spans="1:21" ht="24.6" customHeight="1" x14ac:dyDescent="0.25">
      <c r="A39" s="225"/>
      <c r="B39" s="16">
        <v>34</v>
      </c>
      <c r="C39" s="16" t="s">
        <v>50</v>
      </c>
      <c r="D39" s="74">
        <v>4.4999999999999997E-3</v>
      </c>
      <c r="E39" s="195">
        <v>-101392.66</v>
      </c>
      <c r="F39" s="199">
        <v>0</v>
      </c>
      <c r="G39" s="58">
        <f>E39-F39</f>
        <v>-101392.66</v>
      </c>
      <c r="H39" s="75">
        <f t="shared" si="4"/>
        <v>0</v>
      </c>
      <c r="I39" s="68">
        <f>K$2*D39</f>
        <v>363041.83763999998</v>
      </c>
      <c r="J39" s="68">
        <f>P$2*D39</f>
        <v>0</v>
      </c>
      <c r="K39" s="68">
        <f t="shared" si="2"/>
        <v>185936.29261027643</v>
      </c>
      <c r="L39" s="68">
        <f t="shared" si="3"/>
        <v>202702.7028</v>
      </c>
      <c r="M39" s="191">
        <f>G$1*D39</f>
        <v>0</v>
      </c>
      <c r="N39" s="191">
        <v>0</v>
      </c>
      <c r="O39" s="191">
        <v>0</v>
      </c>
      <c r="P39" s="403">
        <f t="shared" si="5"/>
        <v>650288.34</v>
      </c>
      <c r="Q39" s="403"/>
      <c r="R39" s="233">
        <f t="shared" si="6"/>
        <v>670012.34</v>
      </c>
      <c r="S39" s="13">
        <f>ROUND(0.001+B39/100,2)</f>
        <v>0.34</v>
      </c>
      <c r="T39" s="1">
        <f>B39</f>
        <v>34</v>
      </c>
      <c r="U39" s="61" t="s">
        <v>261</v>
      </c>
    </row>
    <row r="40" spans="1:21" ht="22.35" customHeight="1" x14ac:dyDescent="0.25">
      <c r="A40" s="16">
        <v>1</v>
      </c>
      <c r="B40" s="16">
        <v>35</v>
      </c>
      <c r="C40" s="16" t="s">
        <v>53</v>
      </c>
      <c r="D40" s="74">
        <v>4.5999999999999999E-3</v>
      </c>
      <c r="E40" s="195">
        <v>782792.35400000005</v>
      </c>
      <c r="F40" s="199">
        <f>E40</f>
        <v>782792.35400000005</v>
      </c>
      <c r="G40" s="58">
        <f>E40-F40</f>
        <v>0</v>
      </c>
      <c r="H40" s="75">
        <f t="shared" si="4"/>
        <v>0</v>
      </c>
      <c r="I40" s="68">
        <f>K$2*D40</f>
        <v>371109.43403200002</v>
      </c>
      <c r="J40" s="68">
        <f>P$2*D40</f>
        <v>0</v>
      </c>
      <c r="K40" s="68">
        <f t="shared" si="2"/>
        <v>185936.29261027643</v>
      </c>
      <c r="L40" s="68">
        <f t="shared" si="3"/>
        <v>202702.7028</v>
      </c>
      <c r="M40" s="191">
        <f>G$1*D40</f>
        <v>0</v>
      </c>
      <c r="N40" s="191">
        <v>0</v>
      </c>
      <c r="O40" s="191">
        <v>0</v>
      </c>
      <c r="P40" s="403">
        <f t="shared" si="5"/>
        <v>759748.35</v>
      </c>
      <c r="Q40" s="403"/>
      <c r="R40" s="233">
        <f t="shared" si="6"/>
        <v>782792.35</v>
      </c>
      <c r="S40" s="13">
        <f>ROUND(0.001+B40/100,2)</f>
        <v>0.35</v>
      </c>
      <c r="T40" s="1">
        <f>B40</f>
        <v>35</v>
      </c>
      <c r="U40" t="s">
        <v>220</v>
      </c>
    </row>
    <row r="41" spans="1:21" ht="24.95" customHeight="1" x14ac:dyDescent="0.25">
      <c r="A41" s="167">
        <v>2</v>
      </c>
      <c r="B41" s="16">
        <v>36</v>
      </c>
      <c r="C41" s="16" t="s">
        <v>54</v>
      </c>
      <c r="D41" s="74">
        <v>4.5999999999999999E-3</v>
      </c>
      <c r="E41" s="195">
        <v>282609.36</v>
      </c>
      <c r="F41" s="199">
        <v>0</v>
      </c>
      <c r="G41" s="58">
        <f>E41-F41</f>
        <v>282609.36</v>
      </c>
      <c r="H41" s="75">
        <f t="shared" si="4"/>
        <v>8724.1509432000003</v>
      </c>
      <c r="I41" s="68">
        <f>K$2*D41</f>
        <v>371109.43403200002</v>
      </c>
      <c r="J41" s="68">
        <f>P$2*D41</f>
        <v>0</v>
      </c>
      <c r="K41" s="68">
        <f t="shared" si="2"/>
        <v>185936.29261027643</v>
      </c>
      <c r="L41" s="68">
        <f t="shared" si="3"/>
        <v>202702.7028</v>
      </c>
      <c r="M41" s="191">
        <f>G$1*D41</f>
        <v>0</v>
      </c>
      <c r="N41" s="191">
        <v>0</v>
      </c>
      <c r="O41" s="191">
        <v>0</v>
      </c>
      <c r="P41" s="403">
        <f t="shared" si="5"/>
        <v>1051082.3600000001</v>
      </c>
      <c r="Q41" s="403"/>
      <c r="R41" s="233">
        <f t="shared" si="6"/>
        <v>1082962.3600000001</v>
      </c>
      <c r="S41" s="76">
        <f>ROUND(0.001+B41/100,2)</f>
        <v>0.36</v>
      </c>
      <c r="T41" s="57">
        <f>B41</f>
        <v>36</v>
      </c>
      <c r="U41" s="13"/>
    </row>
    <row r="42" spans="1:21" ht="24.95" customHeight="1" x14ac:dyDescent="0.25">
      <c r="A42" s="16">
        <v>3</v>
      </c>
      <c r="B42" s="16">
        <v>37</v>
      </c>
      <c r="C42" s="16" t="s">
        <v>55</v>
      </c>
      <c r="D42" s="74">
        <v>4.4999999999999997E-3</v>
      </c>
      <c r="E42" s="195">
        <v>1526567.37</v>
      </c>
      <c r="F42" s="199">
        <v>1572900</v>
      </c>
      <c r="G42" s="58">
        <f>E42-F42</f>
        <v>-46332.629999999888</v>
      </c>
      <c r="H42" s="75">
        <f t="shared" si="4"/>
        <v>0</v>
      </c>
      <c r="I42" s="68">
        <f>K$2*D42</f>
        <v>363041.83763999998</v>
      </c>
      <c r="J42" s="68">
        <f>P$2*D42</f>
        <v>0</v>
      </c>
      <c r="K42" s="68">
        <f t="shared" si="2"/>
        <v>185936.29261027643</v>
      </c>
      <c r="L42" s="68">
        <f t="shared" si="3"/>
        <v>202702.7028</v>
      </c>
      <c r="M42" s="191">
        <f>G$1*D42</f>
        <v>0</v>
      </c>
      <c r="N42" s="191">
        <v>0</v>
      </c>
      <c r="O42" s="191">
        <v>0</v>
      </c>
      <c r="P42" s="403">
        <f t="shared" si="5"/>
        <v>705348.37</v>
      </c>
      <c r="Q42" s="403"/>
      <c r="R42" s="233">
        <f t="shared" si="6"/>
        <v>726742.37</v>
      </c>
      <c r="S42" s="76">
        <f>ROUND(0.001+B42/100,2)</f>
        <v>0.37</v>
      </c>
      <c r="T42" s="57">
        <f>B42</f>
        <v>37</v>
      </c>
      <c r="U42" s="13"/>
    </row>
    <row r="43" spans="1:21" ht="24.95" customHeight="1" x14ac:dyDescent="0.25">
      <c r="A43" s="167">
        <v>4</v>
      </c>
      <c r="B43" s="16">
        <v>38</v>
      </c>
      <c r="C43" s="16" t="s">
        <v>56</v>
      </c>
      <c r="D43" s="74">
        <v>4.4999999999999997E-3</v>
      </c>
      <c r="E43" s="195">
        <v>911672.38</v>
      </c>
      <c r="F43" s="199">
        <v>939323.38</v>
      </c>
      <c r="G43" s="58">
        <f>E43-F43</f>
        <v>-27651</v>
      </c>
      <c r="H43" s="75">
        <f t="shared" si="4"/>
        <v>0</v>
      </c>
      <c r="I43" s="68">
        <f>K$2*D43</f>
        <v>363041.83763999998</v>
      </c>
      <c r="J43" s="68">
        <f>P$2*D43</f>
        <v>0</v>
      </c>
      <c r="K43" s="68">
        <f t="shared" si="2"/>
        <v>185936.29261027643</v>
      </c>
      <c r="L43" s="68">
        <f t="shared" si="3"/>
        <v>202702.7028</v>
      </c>
      <c r="M43" s="191">
        <f>G$1*D43</f>
        <v>0</v>
      </c>
      <c r="N43" s="191">
        <v>0</v>
      </c>
      <c r="O43" s="191">
        <v>0</v>
      </c>
      <c r="P43" s="403">
        <f t="shared" si="5"/>
        <v>724030.38</v>
      </c>
      <c r="Q43" s="403"/>
      <c r="R43" s="233">
        <f t="shared" si="6"/>
        <v>745990.38</v>
      </c>
      <c r="S43" s="13">
        <f>ROUND(0.001+B43/100,2)</f>
        <v>0.38</v>
      </c>
      <c r="T43" s="1">
        <f>B43</f>
        <v>38</v>
      </c>
      <c r="U43" t="s">
        <v>237</v>
      </c>
    </row>
    <row r="44" spans="1:21" ht="24.95" customHeight="1" x14ac:dyDescent="0.25">
      <c r="A44" s="16">
        <v>5</v>
      </c>
      <c r="B44" s="16">
        <v>39</v>
      </c>
      <c r="C44" s="16" t="s">
        <v>241</v>
      </c>
      <c r="D44" s="74">
        <v>4.4999999999999997E-3</v>
      </c>
      <c r="E44" s="195">
        <v>751681.39</v>
      </c>
      <c r="F44" s="199">
        <f>600000+151681.39</f>
        <v>751681.39</v>
      </c>
      <c r="G44" s="58">
        <f>E44-F44</f>
        <v>0</v>
      </c>
      <c r="H44" s="75">
        <f t="shared" si="4"/>
        <v>0</v>
      </c>
      <c r="I44" s="68">
        <f>K$2*D44</f>
        <v>363041.83763999998</v>
      </c>
      <c r="J44" s="68">
        <f>P$2*D44</f>
        <v>0</v>
      </c>
      <c r="K44" s="68">
        <f t="shared" si="2"/>
        <v>185936.29261027643</v>
      </c>
      <c r="L44" s="68">
        <f t="shared" si="3"/>
        <v>202702.7028</v>
      </c>
      <c r="M44" s="191">
        <f>G$1*D44</f>
        <v>0</v>
      </c>
      <c r="N44" s="191">
        <v>0</v>
      </c>
      <c r="O44" s="191">
        <v>0</v>
      </c>
      <c r="P44" s="403">
        <f t="shared" si="5"/>
        <v>751681.39</v>
      </c>
      <c r="Q44" s="403"/>
      <c r="R44" s="233">
        <f t="shared" si="6"/>
        <v>774480.39</v>
      </c>
      <c r="S44" s="13">
        <f>ROUND(0.001+B44/100,2)</f>
        <v>0.39</v>
      </c>
      <c r="T44" s="1">
        <f>B44</f>
        <v>39</v>
      </c>
      <c r="U44" t="s">
        <v>223</v>
      </c>
    </row>
    <row r="45" spans="1:21" ht="24.95" customHeight="1" x14ac:dyDescent="0.25">
      <c r="A45" s="16">
        <v>6</v>
      </c>
      <c r="B45" s="16">
        <v>40</v>
      </c>
      <c r="C45" s="16" t="s">
        <v>57</v>
      </c>
      <c r="D45" s="74">
        <v>4.4999999999999997E-3</v>
      </c>
      <c r="E45" s="195">
        <v>774480.4</v>
      </c>
      <c r="F45" s="199">
        <v>774480.4</v>
      </c>
      <c r="G45" s="58">
        <f>E45-F45</f>
        <v>0</v>
      </c>
      <c r="H45" s="75">
        <f t="shared" si="4"/>
        <v>0</v>
      </c>
      <c r="I45" s="68">
        <f>K$2*D45</f>
        <v>363041.83763999998</v>
      </c>
      <c r="J45" s="68">
        <f>P$2*D45</f>
        <v>0</v>
      </c>
      <c r="K45" s="68">
        <f t="shared" si="2"/>
        <v>185936.29261027643</v>
      </c>
      <c r="L45" s="68">
        <f t="shared" si="3"/>
        <v>202702.7028</v>
      </c>
      <c r="M45" s="191">
        <f>G$1*D45</f>
        <v>0</v>
      </c>
      <c r="N45" s="191">
        <v>0</v>
      </c>
      <c r="O45" s="191">
        <v>0</v>
      </c>
      <c r="P45" s="403">
        <f t="shared" si="5"/>
        <v>751681.4</v>
      </c>
      <c r="Q45" s="403"/>
      <c r="R45" s="233">
        <f t="shared" si="6"/>
        <v>774480.4</v>
      </c>
      <c r="S45" s="13">
        <f>ROUND(0.001+B45/100,2)</f>
        <v>0.4</v>
      </c>
      <c r="T45" s="1">
        <f>B45</f>
        <v>40</v>
      </c>
    </row>
    <row r="46" spans="1:21" ht="24.95" customHeight="1" x14ac:dyDescent="0.25">
      <c r="A46" s="16">
        <v>7</v>
      </c>
      <c r="B46" s="16">
        <v>41</v>
      </c>
      <c r="C46" s="16" t="s">
        <v>58</v>
      </c>
      <c r="D46" s="74">
        <v>4.4999999999999997E-3</v>
      </c>
      <c r="E46" s="195">
        <v>729553.41</v>
      </c>
      <c r="F46" s="199">
        <v>751681.41</v>
      </c>
      <c r="G46" s="58">
        <f>E46-F46</f>
        <v>-22128</v>
      </c>
      <c r="H46" s="75">
        <f t="shared" si="4"/>
        <v>0</v>
      </c>
      <c r="I46" s="68">
        <f>K$2*D46</f>
        <v>363041.83763999998</v>
      </c>
      <c r="J46" s="68">
        <f>P$2*D46</f>
        <v>0</v>
      </c>
      <c r="K46" s="68">
        <f t="shared" si="2"/>
        <v>185936.29261027643</v>
      </c>
      <c r="L46" s="68">
        <f t="shared" si="3"/>
        <v>202702.7028</v>
      </c>
      <c r="M46" s="191">
        <f>G$1*D46</f>
        <v>0</v>
      </c>
      <c r="N46" s="191">
        <v>0</v>
      </c>
      <c r="O46" s="191">
        <v>0</v>
      </c>
      <c r="P46" s="403">
        <f t="shared" si="5"/>
        <v>729553.41</v>
      </c>
      <c r="Q46" s="403"/>
      <c r="R46" s="233">
        <f t="shared" si="6"/>
        <v>751681.41</v>
      </c>
      <c r="S46" s="13">
        <f>ROUND(0.001+B46/100,2)</f>
        <v>0.41</v>
      </c>
      <c r="T46" s="1">
        <f>B46</f>
        <v>41</v>
      </c>
      <c r="U46" s="61" t="s">
        <v>216</v>
      </c>
    </row>
    <row r="47" spans="1:21" ht="24.95" customHeight="1" x14ac:dyDescent="0.25">
      <c r="A47" s="167">
        <v>8</v>
      </c>
      <c r="B47" s="16">
        <v>42</v>
      </c>
      <c r="C47" s="16" t="s">
        <v>59</v>
      </c>
      <c r="D47" s="74">
        <v>4.4999999999999997E-3</v>
      </c>
      <c r="E47" s="195">
        <v>751681.42</v>
      </c>
      <c r="F47" s="199">
        <f>E47</f>
        <v>751681.42</v>
      </c>
      <c r="G47" s="58">
        <f>E47-F47</f>
        <v>0</v>
      </c>
      <c r="H47" s="75">
        <f t="shared" si="4"/>
        <v>0</v>
      </c>
      <c r="I47" s="68">
        <f>K$2*D47</f>
        <v>363041.83763999998</v>
      </c>
      <c r="J47" s="68">
        <f>P$2*D47</f>
        <v>0</v>
      </c>
      <c r="K47" s="68">
        <f t="shared" si="2"/>
        <v>185936.29261027643</v>
      </c>
      <c r="L47" s="68">
        <f t="shared" si="3"/>
        <v>202702.7028</v>
      </c>
      <c r="M47" s="191">
        <f>G$1*D47</f>
        <v>0</v>
      </c>
      <c r="N47" s="191">
        <v>0</v>
      </c>
      <c r="O47" s="191">
        <v>0</v>
      </c>
      <c r="P47" s="403">
        <f t="shared" si="5"/>
        <v>751681.42</v>
      </c>
      <c r="Q47" s="403"/>
      <c r="R47" s="233">
        <f t="shared" si="6"/>
        <v>774480.42</v>
      </c>
      <c r="S47" s="13">
        <f>ROUND(0.001+B47/100,2)</f>
        <v>0.42</v>
      </c>
      <c r="T47" s="1">
        <f>B47</f>
        <v>42</v>
      </c>
      <c r="U47" t="s">
        <v>279</v>
      </c>
    </row>
    <row r="48" spans="1:21" ht="24.95" customHeight="1" x14ac:dyDescent="0.25">
      <c r="A48" s="16">
        <v>1</v>
      </c>
      <c r="B48" s="16">
        <v>43</v>
      </c>
      <c r="C48" s="16" t="s">
        <v>60</v>
      </c>
      <c r="D48" s="74">
        <v>3.5999999999999999E-3</v>
      </c>
      <c r="E48" s="195">
        <v>679072.43</v>
      </c>
      <c r="F48" s="199">
        <f>E48</f>
        <v>679072.43</v>
      </c>
      <c r="G48" s="58">
        <f>E48-F48</f>
        <v>0</v>
      </c>
      <c r="H48" s="75">
        <f t="shared" si="4"/>
        <v>0</v>
      </c>
      <c r="I48" s="68">
        <f>K$2*D48</f>
        <v>290433.47011200001</v>
      </c>
      <c r="J48" s="68">
        <f>P$2*D48</f>
        <v>0</v>
      </c>
      <c r="K48" s="68">
        <f t="shared" si="2"/>
        <v>185936.29261027643</v>
      </c>
      <c r="L48" s="68">
        <f t="shared" si="3"/>
        <v>202702.7028</v>
      </c>
      <c r="M48" s="191">
        <f>G$1*D48</f>
        <v>0</v>
      </c>
      <c r="N48" s="191">
        <v>0</v>
      </c>
      <c r="O48" s="191">
        <v>0</v>
      </c>
      <c r="P48" s="403">
        <f t="shared" si="5"/>
        <v>679072.43</v>
      </c>
      <c r="Q48" s="403"/>
      <c r="R48" s="233">
        <f t="shared" si="6"/>
        <v>699669.43</v>
      </c>
      <c r="S48" s="13">
        <f>ROUND(0.001+B48/100,2)</f>
        <v>0.43</v>
      </c>
      <c r="T48" s="1">
        <f>B48</f>
        <v>43</v>
      </c>
    </row>
    <row r="49" spans="1:21" ht="24.95" customHeight="1" x14ac:dyDescent="0.25">
      <c r="A49" s="16">
        <v>1</v>
      </c>
      <c r="B49" s="16">
        <v>44</v>
      </c>
      <c r="C49" s="16" t="s">
        <v>61</v>
      </c>
      <c r="D49" s="74">
        <v>4.1000000000000003E-3</v>
      </c>
      <c r="E49" s="195">
        <v>1353722.44</v>
      </c>
      <c r="F49" s="199">
        <f>18995+1600000</f>
        <v>1618995</v>
      </c>
      <c r="G49" s="58">
        <f>E49-F49</f>
        <v>-265272.56000000006</v>
      </c>
      <c r="H49" s="75">
        <f t="shared" si="4"/>
        <v>0</v>
      </c>
      <c r="I49" s="68">
        <f>K$2*D49</f>
        <v>330771.45207200001</v>
      </c>
      <c r="J49" s="68">
        <f>P$2*D49</f>
        <v>0</v>
      </c>
      <c r="K49" s="68">
        <f t="shared" si="2"/>
        <v>185936.29261027643</v>
      </c>
      <c r="L49" s="68">
        <f t="shared" si="3"/>
        <v>202702.7028</v>
      </c>
      <c r="M49" s="191">
        <f>G$1*D49</f>
        <v>0</v>
      </c>
      <c r="N49" s="191">
        <v>0</v>
      </c>
      <c r="O49" s="191">
        <v>0</v>
      </c>
      <c r="P49" s="403">
        <f t="shared" si="5"/>
        <v>454138.44</v>
      </c>
      <c r="Q49" s="403"/>
      <c r="R49" s="233">
        <f t="shared" si="6"/>
        <v>467912.44</v>
      </c>
      <c r="S49" s="13">
        <f>ROUND(0.001+B49/100,2)</f>
        <v>0.44</v>
      </c>
      <c r="T49" s="1">
        <f>B49</f>
        <v>44</v>
      </c>
      <c r="U49" t="s">
        <v>301</v>
      </c>
    </row>
    <row r="50" spans="1:21" ht="24.95" customHeight="1" x14ac:dyDescent="0.25">
      <c r="A50" s="16">
        <v>2</v>
      </c>
      <c r="B50" s="16">
        <v>45</v>
      </c>
      <c r="C50" s="16" t="s">
        <v>62</v>
      </c>
      <c r="D50" s="74">
        <v>4.8999999999999998E-3</v>
      </c>
      <c r="E50" s="195">
        <v>1519228.45</v>
      </c>
      <c r="F50" s="199">
        <f>783951.45</f>
        <v>783951.45</v>
      </c>
      <c r="G50" s="58">
        <f>E50-F50</f>
        <v>735277</v>
      </c>
      <c r="H50" s="75">
        <f t="shared" si="4"/>
        <v>22698.00099</v>
      </c>
      <c r="I50" s="68">
        <f>K$2*D50</f>
        <v>395312.22320800001</v>
      </c>
      <c r="J50" s="68">
        <f>P$2*D50</f>
        <v>0</v>
      </c>
      <c r="K50" s="68">
        <f t="shared" si="2"/>
        <v>185936.29261027643</v>
      </c>
      <c r="L50" s="68">
        <f t="shared" si="3"/>
        <v>202702.7028</v>
      </c>
      <c r="M50" s="191">
        <f>G$1*D50</f>
        <v>0</v>
      </c>
      <c r="N50" s="191">
        <v>0</v>
      </c>
      <c r="O50" s="191">
        <v>0</v>
      </c>
      <c r="P50" s="403">
        <f t="shared" si="5"/>
        <v>1541926.45</v>
      </c>
      <c r="Q50" s="403"/>
      <c r="R50" s="233">
        <f t="shared" si="6"/>
        <v>1588693.45</v>
      </c>
      <c r="S50" s="13">
        <f>ROUND(0.001+B50/100,2)</f>
        <v>0.45</v>
      </c>
      <c r="T50" s="1">
        <f>B50</f>
        <v>45</v>
      </c>
    </row>
    <row r="51" spans="1:21" ht="24.95" customHeight="1" x14ac:dyDescent="0.25">
      <c r="A51" s="16">
        <v>2</v>
      </c>
      <c r="B51" s="16">
        <v>46</v>
      </c>
      <c r="C51" s="16" t="s">
        <v>63</v>
      </c>
      <c r="D51" s="74">
        <v>3.8999999999999998E-3</v>
      </c>
      <c r="E51" s="195">
        <v>1451354.46</v>
      </c>
      <c r="F51" s="199">
        <v>725677.46</v>
      </c>
      <c r="G51" s="58">
        <f>E51-F51</f>
        <v>725677</v>
      </c>
      <c r="H51" s="75">
        <f t="shared" si="4"/>
        <v>22401.648990000002</v>
      </c>
      <c r="I51" s="68">
        <f>K$2*D51</f>
        <v>314636.259288</v>
      </c>
      <c r="J51" s="68">
        <f>P$2*D51</f>
        <v>0</v>
      </c>
      <c r="K51" s="68">
        <f t="shared" si="2"/>
        <v>185936.29261027643</v>
      </c>
      <c r="L51" s="68">
        <f t="shared" si="3"/>
        <v>202702.7028</v>
      </c>
      <c r="M51" s="191">
        <f>G$1*D51</f>
        <v>0</v>
      </c>
      <c r="N51" s="191">
        <v>0</v>
      </c>
      <c r="O51" s="191">
        <v>0</v>
      </c>
      <c r="P51" s="403">
        <f t="shared" si="5"/>
        <v>1451354.46</v>
      </c>
      <c r="Q51" s="403"/>
      <c r="R51" s="233">
        <f t="shared" si="6"/>
        <v>1495374.46</v>
      </c>
      <c r="S51" s="13">
        <f>ROUND(0.001+B51/100,2)</f>
        <v>0.46</v>
      </c>
      <c r="T51" s="1">
        <f>B51</f>
        <v>46</v>
      </c>
      <c r="U51" t="s">
        <v>190</v>
      </c>
    </row>
    <row r="52" spans="1:21" ht="24.95" customHeight="1" x14ac:dyDescent="0.25">
      <c r="A52" s="16">
        <v>3</v>
      </c>
      <c r="B52" s="16">
        <v>47</v>
      </c>
      <c r="C52" s="16" t="s">
        <v>64</v>
      </c>
      <c r="D52" s="74">
        <v>4.4999999999999997E-3</v>
      </c>
      <c r="E52" s="195">
        <v>751680.47</v>
      </c>
      <c r="F52" s="199"/>
      <c r="G52" s="58">
        <f>E52-F52</f>
        <v>751680.47</v>
      </c>
      <c r="H52" s="75">
        <f t="shared" si="4"/>
        <v>23204.3761089</v>
      </c>
      <c r="I52" s="68">
        <f>K$2*D52</f>
        <v>363041.83763999998</v>
      </c>
      <c r="J52" s="68">
        <f>P$2*D52</f>
        <v>0</v>
      </c>
      <c r="K52" s="68">
        <f t="shared" si="2"/>
        <v>185936.29261027643</v>
      </c>
      <c r="L52" s="68">
        <f t="shared" si="3"/>
        <v>202702.7028</v>
      </c>
      <c r="M52" s="191">
        <f>G$1*D52</f>
        <v>0</v>
      </c>
      <c r="N52" s="191">
        <v>0</v>
      </c>
      <c r="O52" s="191">
        <v>0</v>
      </c>
      <c r="P52" s="403">
        <f t="shared" si="5"/>
        <v>1526566.47</v>
      </c>
      <c r="Q52" s="403"/>
      <c r="R52" s="233">
        <f t="shared" si="6"/>
        <v>1572867.47</v>
      </c>
      <c r="S52" s="13">
        <f>ROUND(0.001+B52/100,2)</f>
        <v>0.47</v>
      </c>
      <c r="T52" s="1">
        <f>B52</f>
        <v>47</v>
      </c>
      <c r="U52" t="s">
        <v>304</v>
      </c>
    </row>
    <row r="53" spans="1:21" ht="24.95" customHeight="1" x14ac:dyDescent="0.25">
      <c r="A53" s="16">
        <v>3</v>
      </c>
      <c r="B53" s="16">
        <v>48</v>
      </c>
      <c r="C53" s="16" t="s">
        <v>185</v>
      </c>
      <c r="D53" s="74">
        <v>4.4999999999999997E-3</v>
      </c>
      <c r="E53" s="195">
        <v>1260749.48</v>
      </c>
      <c r="F53" s="196">
        <f>E53</f>
        <v>1260749.48</v>
      </c>
      <c r="G53" s="58">
        <f>E53-F53</f>
        <v>0</v>
      </c>
      <c r="H53" s="75">
        <f t="shared" si="4"/>
        <v>0</v>
      </c>
      <c r="I53" s="68">
        <f>K$2*D53</f>
        <v>363041.83763999998</v>
      </c>
      <c r="J53" s="68">
        <f>P$2*D53</f>
        <v>0</v>
      </c>
      <c r="K53" s="68">
        <f t="shared" si="2"/>
        <v>185936.29261027643</v>
      </c>
      <c r="L53" s="68">
        <f t="shared" si="3"/>
        <v>202702.7028</v>
      </c>
      <c r="M53" s="191">
        <v>72609</v>
      </c>
      <c r="N53" s="68">
        <f>(I53)</f>
        <v>363041.83763999998</v>
      </c>
      <c r="O53" s="191">
        <v>0</v>
      </c>
      <c r="P53" s="403">
        <f t="shared" si="5"/>
        <v>1187332.48</v>
      </c>
      <c r="Q53" s="403"/>
      <c r="R53" s="233">
        <f t="shared" si="6"/>
        <v>1223344.48</v>
      </c>
      <c r="S53" s="13">
        <f>ROUND(0.001+B53/100,2)</f>
        <v>0.48</v>
      </c>
      <c r="T53" s="1">
        <f>B53</f>
        <v>48</v>
      </c>
      <c r="U53" s="12"/>
    </row>
    <row r="54" spans="1:21" ht="24.95" customHeight="1" x14ac:dyDescent="0.25">
      <c r="A54" s="16">
        <v>4</v>
      </c>
      <c r="B54" s="16">
        <v>49</v>
      </c>
      <c r="C54" s="16" t="s">
        <v>65</v>
      </c>
      <c r="D54" s="74">
        <v>4.4999999999999997E-3</v>
      </c>
      <c r="E54" s="195">
        <v>751681.49</v>
      </c>
      <c r="F54" s="199">
        <f>E54</f>
        <v>751681.49</v>
      </c>
      <c r="G54" s="58">
        <f>E54-F54</f>
        <v>0</v>
      </c>
      <c r="H54" s="75">
        <f t="shared" si="4"/>
        <v>0</v>
      </c>
      <c r="I54" s="68">
        <f>K$2*D54</f>
        <v>363041.83763999998</v>
      </c>
      <c r="J54" s="68">
        <f>P$2*D54</f>
        <v>0</v>
      </c>
      <c r="K54" s="68">
        <f t="shared" si="2"/>
        <v>185936.29261027643</v>
      </c>
      <c r="L54" s="68">
        <f t="shared" si="3"/>
        <v>202702.7028</v>
      </c>
      <c r="M54" s="191">
        <f>G$1*D54</f>
        <v>0</v>
      </c>
      <c r="N54" s="191">
        <v>0</v>
      </c>
      <c r="O54" s="191">
        <v>0</v>
      </c>
      <c r="P54" s="403">
        <f t="shared" si="5"/>
        <v>751681.49</v>
      </c>
      <c r="Q54" s="403"/>
      <c r="R54" s="233">
        <f t="shared" si="6"/>
        <v>774480.49</v>
      </c>
      <c r="S54" s="13">
        <f>ROUND(0.001+B54/100,2)</f>
        <v>0.49</v>
      </c>
      <c r="T54" s="1">
        <f>B54</f>
        <v>49</v>
      </c>
      <c r="U54" t="s">
        <v>206</v>
      </c>
    </row>
    <row r="55" spans="1:21" ht="24.95" customHeight="1" x14ac:dyDescent="0.25">
      <c r="A55" s="16">
        <v>4</v>
      </c>
      <c r="B55" s="16">
        <v>50</v>
      </c>
      <c r="C55" s="16" t="s">
        <v>66</v>
      </c>
      <c r="D55" s="74">
        <v>4.4999999999999997E-3</v>
      </c>
      <c r="E55" s="195">
        <v>728882.5</v>
      </c>
      <c r="F55" s="199">
        <v>750990.5</v>
      </c>
      <c r="G55" s="58">
        <f>E55-F55</f>
        <v>-22108</v>
      </c>
      <c r="H55" s="75">
        <f t="shared" si="4"/>
        <v>0</v>
      </c>
      <c r="I55" s="68">
        <f>K$2*D55</f>
        <v>363041.83763999998</v>
      </c>
      <c r="J55" s="68">
        <f>P$2*D55</f>
        <v>0</v>
      </c>
      <c r="K55" s="68">
        <f t="shared" si="2"/>
        <v>185936.29261027643</v>
      </c>
      <c r="L55" s="68">
        <f t="shared" si="3"/>
        <v>202702.7028</v>
      </c>
      <c r="M55" s="191">
        <f>G$1*D55</f>
        <v>0</v>
      </c>
      <c r="N55" s="191">
        <v>0</v>
      </c>
      <c r="O55" s="191">
        <v>0</v>
      </c>
      <c r="P55" s="403">
        <f t="shared" si="5"/>
        <v>729573.5</v>
      </c>
      <c r="Q55" s="403"/>
      <c r="R55" s="233">
        <f t="shared" si="6"/>
        <v>751701.5</v>
      </c>
      <c r="S55" s="13">
        <f>ROUND(0.001+B55/100,2)</f>
        <v>0.5</v>
      </c>
      <c r="T55" s="1">
        <f>B55</f>
        <v>50</v>
      </c>
      <c r="U55" t="s">
        <v>306</v>
      </c>
    </row>
    <row r="56" spans="1:21" ht="24.95" customHeight="1" x14ac:dyDescent="0.25">
      <c r="A56" s="16">
        <v>5</v>
      </c>
      <c r="B56" s="16">
        <v>51</v>
      </c>
      <c r="C56" s="16" t="s">
        <v>67</v>
      </c>
      <c r="D56" s="74">
        <v>4.4999999999999997E-3</v>
      </c>
      <c r="E56" s="195">
        <v>751502.51</v>
      </c>
      <c r="F56" s="199"/>
      <c r="G56" s="58">
        <f>E56-F56</f>
        <v>751502.51</v>
      </c>
      <c r="H56" s="75">
        <f t="shared" si="4"/>
        <v>23198.882483700003</v>
      </c>
      <c r="I56" s="68">
        <f>K$2*D56</f>
        <v>363041.83763999998</v>
      </c>
      <c r="J56" s="68">
        <f>P$2*D56</f>
        <v>0</v>
      </c>
      <c r="K56" s="68">
        <f t="shared" si="2"/>
        <v>185936.29261027643</v>
      </c>
      <c r="L56" s="68">
        <f t="shared" si="3"/>
        <v>202702.7028</v>
      </c>
      <c r="M56" s="191">
        <f>G$1*D56</f>
        <v>0</v>
      </c>
      <c r="N56" s="191">
        <v>0</v>
      </c>
      <c r="O56" s="191">
        <v>0</v>
      </c>
      <c r="P56" s="403">
        <f t="shared" si="5"/>
        <v>1526382.51</v>
      </c>
      <c r="Q56" s="403"/>
      <c r="R56" s="233">
        <f>ROUND(P56+P56*3.033%,0) + S56</f>
        <v>1572678.51</v>
      </c>
      <c r="S56" s="13">
        <f>ROUND(0.001+B56/100,2)</f>
        <v>0.51</v>
      </c>
      <c r="T56" s="1">
        <f>B56</f>
        <v>51</v>
      </c>
      <c r="U56" t="s">
        <v>249</v>
      </c>
    </row>
    <row r="57" spans="1:21" ht="24.95" customHeight="1" x14ac:dyDescent="0.25">
      <c r="A57" s="16">
        <v>5</v>
      </c>
      <c r="B57" s="16">
        <v>52</v>
      </c>
      <c r="C57" s="16" t="s">
        <v>68</v>
      </c>
      <c r="D57" s="74">
        <v>4.5999999999999999E-3</v>
      </c>
      <c r="E57" s="195">
        <v>759748.52</v>
      </c>
      <c r="F57" s="199">
        <f>E57</f>
        <v>759748.52</v>
      </c>
      <c r="G57" s="58">
        <f>E57-F57</f>
        <v>0</v>
      </c>
      <c r="H57" s="75">
        <f t="shared" si="4"/>
        <v>0</v>
      </c>
      <c r="I57" s="68">
        <f>K$2*D57</f>
        <v>371109.43403200002</v>
      </c>
      <c r="J57" s="68">
        <f>P$2*D57</f>
        <v>0</v>
      </c>
      <c r="K57" s="68">
        <f t="shared" si="2"/>
        <v>185936.29261027643</v>
      </c>
      <c r="L57" s="68">
        <f t="shared" si="3"/>
        <v>202702.7028</v>
      </c>
      <c r="M57" s="191">
        <f>G$1*D57</f>
        <v>0</v>
      </c>
      <c r="N57" s="191">
        <v>0</v>
      </c>
      <c r="O57" s="191">
        <v>0</v>
      </c>
      <c r="P57" s="403">
        <f t="shared" si="5"/>
        <v>759748.52</v>
      </c>
      <c r="Q57" s="403"/>
      <c r="R57" s="233">
        <f t="shared" si="6"/>
        <v>782792.52</v>
      </c>
      <c r="S57" s="13">
        <f>ROUND(0.001+B57/100,2)</f>
        <v>0.52</v>
      </c>
      <c r="T57" s="1">
        <f>B57</f>
        <v>52</v>
      </c>
      <c r="U57" t="s">
        <v>327</v>
      </c>
    </row>
    <row r="58" spans="1:21" ht="24.95" customHeight="1" x14ac:dyDescent="0.25">
      <c r="A58" s="163">
        <v>6</v>
      </c>
      <c r="B58" s="16">
        <v>53</v>
      </c>
      <c r="C58" s="16" t="s">
        <v>69</v>
      </c>
      <c r="D58" s="74">
        <v>4.4999999999999997E-3</v>
      </c>
      <c r="E58" s="195">
        <v>2209816.5299999998</v>
      </c>
      <c r="F58" s="199"/>
      <c r="G58" s="58">
        <f>E58-F58</f>
        <v>2209816.5299999998</v>
      </c>
      <c r="H58" s="75">
        <f t="shared" si="4"/>
        <v>68217.036281099994</v>
      </c>
      <c r="I58" s="68">
        <f>K$2*D58</f>
        <v>363041.83763999998</v>
      </c>
      <c r="J58" s="68">
        <f>P$2*D58</f>
        <v>0</v>
      </c>
      <c r="K58" s="68">
        <f t="shared" si="2"/>
        <v>185936.29261027643</v>
      </c>
      <c r="L58" s="68">
        <f t="shared" si="3"/>
        <v>202702.7028</v>
      </c>
      <c r="M58" s="191">
        <f>G$1*D58</f>
        <v>0</v>
      </c>
      <c r="N58" s="191">
        <v>0</v>
      </c>
      <c r="O58" s="191">
        <v>0</v>
      </c>
      <c r="P58" s="403">
        <f t="shared" si="5"/>
        <v>3029714.53</v>
      </c>
      <c r="Q58" s="403"/>
      <c r="R58" s="233">
        <f t="shared" si="6"/>
        <v>3121606.53</v>
      </c>
      <c r="S58" s="13">
        <f>ROUND(0.001+B58/100,2)</f>
        <v>0.53</v>
      </c>
      <c r="T58" s="1">
        <f>B58</f>
        <v>53</v>
      </c>
    </row>
    <row r="59" spans="1:21" ht="24.95" customHeight="1" x14ac:dyDescent="0.25">
      <c r="A59" s="16">
        <v>6</v>
      </c>
      <c r="B59" s="16">
        <v>54</v>
      </c>
      <c r="C59" s="16" t="s">
        <v>70</v>
      </c>
      <c r="D59" s="74">
        <v>4.4999999999999997E-3</v>
      </c>
      <c r="E59" s="195">
        <v>751681.54</v>
      </c>
      <c r="F59" s="199">
        <f>E59</f>
        <v>751681.54</v>
      </c>
      <c r="G59" s="58">
        <f>E59-F59</f>
        <v>0</v>
      </c>
      <c r="H59" s="75">
        <f t="shared" si="4"/>
        <v>0</v>
      </c>
      <c r="I59" s="68">
        <f>K$2*D59</f>
        <v>363041.83763999998</v>
      </c>
      <c r="J59" s="68">
        <f>P$2*D59</f>
        <v>0</v>
      </c>
      <c r="K59" s="68">
        <f t="shared" si="2"/>
        <v>185936.29261027643</v>
      </c>
      <c r="L59" s="68">
        <f t="shared" si="3"/>
        <v>202702.7028</v>
      </c>
      <c r="M59" s="191">
        <f>G$1*D59</f>
        <v>0</v>
      </c>
      <c r="N59" s="191">
        <v>0</v>
      </c>
      <c r="O59" s="191">
        <v>0</v>
      </c>
      <c r="P59" s="403">
        <f t="shared" si="5"/>
        <v>751681.54</v>
      </c>
      <c r="Q59" s="403"/>
      <c r="R59" s="233">
        <f t="shared" si="6"/>
        <v>774480.54</v>
      </c>
      <c r="S59" s="13">
        <f>ROUND(0.001+B59/100,2)</f>
        <v>0.54</v>
      </c>
      <c r="T59" s="1">
        <f>B59</f>
        <v>54</v>
      </c>
      <c r="U59" t="s">
        <v>204</v>
      </c>
    </row>
    <row r="60" spans="1:21" ht="24.95" customHeight="1" x14ac:dyDescent="0.25">
      <c r="A60" s="16">
        <v>7</v>
      </c>
      <c r="B60" s="16">
        <v>55</v>
      </c>
      <c r="C60" s="16" t="s">
        <v>71</v>
      </c>
      <c r="D60" s="74">
        <v>4.4999999999999997E-3</v>
      </c>
      <c r="E60" s="195">
        <v>729552.55</v>
      </c>
      <c r="F60" s="199">
        <v>751680.55</v>
      </c>
      <c r="G60" s="58">
        <f>E60-F60</f>
        <v>-22128</v>
      </c>
      <c r="H60" s="75">
        <f t="shared" si="4"/>
        <v>0</v>
      </c>
      <c r="I60" s="68">
        <f>K$2*D60</f>
        <v>363041.83763999998</v>
      </c>
      <c r="J60" s="68">
        <f>P$2*D60</f>
        <v>0</v>
      </c>
      <c r="K60" s="68">
        <f t="shared" si="2"/>
        <v>185936.29261027643</v>
      </c>
      <c r="L60" s="68">
        <f t="shared" si="3"/>
        <v>202702.7028</v>
      </c>
      <c r="M60" s="191">
        <f>G$1*D60</f>
        <v>0</v>
      </c>
      <c r="N60" s="191">
        <v>0</v>
      </c>
      <c r="O60" s="191">
        <v>0</v>
      </c>
      <c r="P60" s="403">
        <f t="shared" si="5"/>
        <v>729553.55</v>
      </c>
      <c r="Q60" s="403"/>
      <c r="R60" s="233">
        <f t="shared" si="6"/>
        <v>751681.55</v>
      </c>
      <c r="S60" s="13">
        <f>ROUND(0.001+B60/100,2)</f>
        <v>0.55000000000000004</v>
      </c>
      <c r="T60" s="1">
        <f>B60</f>
        <v>55</v>
      </c>
      <c r="U60" t="s">
        <v>263</v>
      </c>
    </row>
    <row r="61" spans="1:21" ht="24.95" customHeight="1" x14ac:dyDescent="0.25">
      <c r="A61" s="16">
        <v>7</v>
      </c>
      <c r="B61" s="16">
        <v>56</v>
      </c>
      <c r="C61" s="16" t="s">
        <v>72</v>
      </c>
      <c r="D61" s="74">
        <v>4.4999999999999997E-3</v>
      </c>
      <c r="E61" s="195">
        <v>1296244.56</v>
      </c>
      <c r="F61" s="199">
        <v>1187332</v>
      </c>
      <c r="G61" s="58">
        <f>E61-F61</f>
        <v>108912.56000000006</v>
      </c>
      <c r="H61" s="75">
        <f t="shared" si="4"/>
        <v>3362.1307272000017</v>
      </c>
      <c r="I61" s="68">
        <f>K$2*D61</f>
        <v>363041.83763999998</v>
      </c>
      <c r="J61" s="68">
        <f>P$2*D61</f>
        <v>0</v>
      </c>
      <c r="K61" s="68">
        <f t="shared" si="2"/>
        <v>185936.29261027643</v>
      </c>
      <c r="L61" s="68">
        <f t="shared" si="3"/>
        <v>202702.7028</v>
      </c>
      <c r="M61" s="191">
        <v>72609</v>
      </c>
      <c r="N61" s="68">
        <f>(I61)</f>
        <v>363041.83763999998</v>
      </c>
      <c r="O61" s="191">
        <v>0</v>
      </c>
      <c r="P61" s="403">
        <f t="shared" si="5"/>
        <v>1299606.56</v>
      </c>
      <c r="Q61" s="403"/>
      <c r="R61" s="233">
        <f t="shared" si="6"/>
        <v>1339024.56</v>
      </c>
      <c r="S61" s="13">
        <f>ROUND(0.001+B61/100,2)</f>
        <v>0.56000000000000005</v>
      </c>
      <c r="T61" s="1">
        <f>B61</f>
        <v>56</v>
      </c>
      <c r="U61" t="s">
        <v>194</v>
      </c>
    </row>
    <row r="62" spans="1:21" ht="24.95" customHeight="1" x14ac:dyDescent="0.25">
      <c r="A62" s="16">
        <v>8</v>
      </c>
      <c r="B62" s="16">
        <v>57</v>
      </c>
      <c r="C62" s="16" t="s">
        <v>73</v>
      </c>
      <c r="D62" s="74">
        <v>4.4999999999999997E-3</v>
      </c>
      <c r="E62" s="195">
        <v>728882.57</v>
      </c>
      <c r="F62" s="199">
        <v>774480.57</v>
      </c>
      <c r="G62" s="58">
        <f>E62-F62</f>
        <v>-45598</v>
      </c>
      <c r="H62" s="75">
        <f t="shared" si="4"/>
        <v>0</v>
      </c>
      <c r="I62" s="68">
        <f>K$2*D62</f>
        <v>363041.83763999998</v>
      </c>
      <c r="J62" s="68">
        <f>P$2*D62</f>
        <v>0</v>
      </c>
      <c r="K62" s="68">
        <f t="shared" si="2"/>
        <v>185936.29261027643</v>
      </c>
      <c r="L62" s="68">
        <f t="shared" si="3"/>
        <v>202702.7028</v>
      </c>
      <c r="M62" s="191">
        <f>G$1*D62</f>
        <v>0</v>
      </c>
      <c r="N62" s="191">
        <v>0</v>
      </c>
      <c r="O62" s="191">
        <v>0</v>
      </c>
      <c r="P62" s="403">
        <f t="shared" si="5"/>
        <v>706083.57</v>
      </c>
      <c r="Q62" s="403"/>
      <c r="R62" s="233">
        <f t="shared" si="6"/>
        <v>727499.57</v>
      </c>
      <c r="S62" s="13">
        <f>ROUND(0.001+B62/100,2)</f>
        <v>0.56999999999999995</v>
      </c>
      <c r="T62" s="1">
        <f>B62</f>
        <v>57</v>
      </c>
    </row>
    <row r="63" spans="1:21" ht="24.95" customHeight="1" x14ac:dyDescent="0.25">
      <c r="A63" s="16">
        <v>8</v>
      </c>
      <c r="B63" s="16">
        <v>58</v>
      </c>
      <c r="C63" s="16" t="s">
        <v>43</v>
      </c>
      <c r="D63" s="74">
        <v>4.4999999999999997E-3</v>
      </c>
      <c r="E63" s="195">
        <v>729552.58</v>
      </c>
      <c r="F63" s="199">
        <v>751680.58</v>
      </c>
      <c r="G63" s="58">
        <f>E63-F63</f>
        <v>-22128</v>
      </c>
      <c r="H63" s="75">
        <f t="shared" si="4"/>
        <v>0</v>
      </c>
      <c r="I63" s="68">
        <f>K$2*D63</f>
        <v>363041.83763999998</v>
      </c>
      <c r="J63" s="68">
        <f>P$2*D63</f>
        <v>0</v>
      </c>
      <c r="K63" s="68">
        <f t="shared" si="2"/>
        <v>185936.29261027643</v>
      </c>
      <c r="L63" s="68">
        <f t="shared" si="3"/>
        <v>202702.7028</v>
      </c>
      <c r="M63" s="191">
        <f>G$1*D63</f>
        <v>0</v>
      </c>
      <c r="N63" s="191">
        <v>0</v>
      </c>
      <c r="O63" s="191">
        <v>0</v>
      </c>
      <c r="P63" s="403">
        <f t="shared" si="5"/>
        <v>729553.58</v>
      </c>
      <c r="Q63" s="403"/>
      <c r="R63" s="233">
        <f t="shared" si="6"/>
        <v>751681.58</v>
      </c>
      <c r="S63" s="13">
        <f>ROUND(0.001+B63/100,2)</f>
        <v>0.57999999999999996</v>
      </c>
      <c r="T63" s="1">
        <f>B63</f>
        <v>58</v>
      </c>
    </row>
    <row r="64" spans="1:21" ht="24.95" customHeight="1" x14ac:dyDescent="0.25">
      <c r="A64" s="167">
        <v>9</v>
      </c>
      <c r="B64" s="16">
        <v>59</v>
      </c>
      <c r="C64" s="16" t="s">
        <v>74</v>
      </c>
      <c r="D64" s="74">
        <v>4.1000000000000003E-3</v>
      </c>
      <c r="E64" s="195">
        <v>719290.59</v>
      </c>
      <c r="F64" s="196">
        <f>E64</f>
        <v>719290.59</v>
      </c>
      <c r="G64" s="58">
        <f>E64-F64</f>
        <v>0</v>
      </c>
      <c r="H64" s="75">
        <f t="shared" si="4"/>
        <v>0</v>
      </c>
      <c r="I64" s="68">
        <f>K$2*D64</f>
        <v>330771.45207200001</v>
      </c>
      <c r="J64" s="68">
        <f>P$2*D64</f>
        <v>0</v>
      </c>
      <c r="K64" s="68">
        <f t="shared" si="2"/>
        <v>185936.29261027643</v>
      </c>
      <c r="L64" s="68">
        <f t="shared" si="3"/>
        <v>202702.7028</v>
      </c>
      <c r="M64" s="191">
        <f>G$1*D64</f>
        <v>0</v>
      </c>
      <c r="N64" s="191">
        <v>0</v>
      </c>
      <c r="O64" s="191">
        <v>0</v>
      </c>
      <c r="P64" s="403">
        <f t="shared" si="5"/>
        <v>719410.59</v>
      </c>
      <c r="Q64" s="403"/>
      <c r="R64" s="233">
        <f t="shared" si="6"/>
        <v>741230.59</v>
      </c>
      <c r="S64" s="13">
        <f>ROUND(0.001+B64/100,2)</f>
        <v>0.59</v>
      </c>
      <c r="T64" s="1">
        <f>B64</f>
        <v>59</v>
      </c>
      <c r="U64" t="s">
        <v>264</v>
      </c>
    </row>
    <row r="65" spans="1:21" ht="24.95" customHeight="1" x14ac:dyDescent="0.25">
      <c r="A65" s="262">
        <v>9</v>
      </c>
      <c r="B65" s="16">
        <v>60</v>
      </c>
      <c r="C65" s="16" t="s">
        <v>75</v>
      </c>
      <c r="D65" s="74">
        <v>4.4999999999999997E-3</v>
      </c>
      <c r="E65" s="195">
        <v>728189.6</v>
      </c>
      <c r="F65" s="199">
        <v>730000</v>
      </c>
      <c r="G65" s="58">
        <f>E65-F65</f>
        <v>-1810.4000000000233</v>
      </c>
      <c r="H65" s="75">
        <f t="shared" si="4"/>
        <v>0</v>
      </c>
      <c r="I65" s="68">
        <f>K$2*D65</f>
        <v>363041.83763999998</v>
      </c>
      <c r="J65" s="68">
        <f>P$2*D65</f>
        <v>0</v>
      </c>
      <c r="K65" s="68">
        <f t="shared" si="2"/>
        <v>185936.29261027643</v>
      </c>
      <c r="L65" s="68">
        <f t="shared" si="3"/>
        <v>202702.7028</v>
      </c>
      <c r="M65" s="191">
        <f>G$1*D65</f>
        <v>0</v>
      </c>
      <c r="N65" s="191">
        <v>0</v>
      </c>
      <c r="O65" s="191">
        <v>0</v>
      </c>
      <c r="P65" s="403">
        <f t="shared" si="5"/>
        <v>749870.6</v>
      </c>
      <c r="Q65" s="403"/>
      <c r="R65" s="233">
        <f t="shared" si="6"/>
        <v>772614.6</v>
      </c>
      <c r="S65" s="13">
        <f>ROUND(0.001+B65/100,2)</f>
        <v>0.6</v>
      </c>
      <c r="T65" s="1">
        <f>B65</f>
        <v>60</v>
      </c>
      <c r="U65" t="s">
        <v>213</v>
      </c>
    </row>
    <row r="66" spans="1:21" ht="24.95" customHeight="1" x14ac:dyDescent="0.25">
      <c r="A66" s="167">
        <v>10</v>
      </c>
      <c r="B66" s="16">
        <v>61</v>
      </c>
      <c r="C66" s="16" t="s">
        <v>76</v>
      </c>
      <c r="D66" s="74">
        <v>4.4999999999999997E-3</v>
      </c>
      <c r="E66" s="195">
        <v>751681.61</v>
      </c>
      <c r="F66" s="199">
        <v>752000</v>
      </c>
      <c r="G66" s="58">
        <f>E66-F66</f>
        <v>-318.39000000001397</v>
      </c>
      <c r="H66" s="75">
        <f t="shared" si="4"/>
        <v>0</v>
      </c>
      <c r="I66" s="68">
        <f>K$2*D66</f>
        <v>363041.83763999998</v>
      </c>
      <c r="J66" s="68">
        <f>P$2*D66</f>
        <v>0</v>
      </c>
      <c r="K66" s="68">
        <f t="shared" si="2"/>
        <v>185936.29261027643</v>
      </c>
      <c r="L66" s="68">
        <f t="shared" si="3"/>
        <v>202702.7028</v>
      </c>
      <c r="M66" s="191">
        <f>G$1*D66</f>
        <v>0</v>
      </c>
      <c r="N66" s="191">
        <v>0</v>
      </c>
      <c r="O66" s="191">
        <v>0</v>
      </c>
      <c r="P66" s="403">
        <f t="shared" si="5"/>
        <v>751362.61</v>
      </c>
      <c r="Q66" s="403"/>
      <c r="R66" s="233">
        <f t="shared" si="6"/>
        <v>774151.61</v>
      </c>
      <c r="S66" s="13">
        <f>ROUND(0.001+B66/100,2)</f>
        <v>0.61</v>
      </c>
      <c r="T66" s="1">
        <f>B66</f>
        <v>61</v>
      </c>
      <c r="U66" s="61" t="s">
        <v>212</v>
      </c>
    </row>
    <row r="67" spans="1:21" ht="24.95" customHeight="1" x14ac:dyDescent="0.25">
      <c r="A67" s="16">
        <v>10</v>
      </c>
      <c r="B67" s="16">
        <v>62</v>
      </c>
      <c r="C67" s="16" t="s">
        <v>77</v>
      </c>
      <c r="D67" s="74">
        <v>4.1000000000000003E-3</v>
      </c>
      <c r="E67" s="195">
        <v>683447.62</v>
      </c>
      <c r="F67" s="196">
        <f>E67</f>
        <v>683447.62</v>
      </c>
      <c r="G67" s="58">
        <f>E67-F67</f>
        <v>0</v>
      </c>
      <c r="H67" s="75">
        <f t="shared" si="4"/>
        <v>0</v>
      </c>
      <c r="I67" s="68">
        <f>K$2*D67</f>
        <v>330771.45207200001</v>
      </c>
      <c r="J67" s="68">
        <f>P$2*D67</f>
        <v>0</v>
      </c>
      <c r="K67" s="68">
        <f t="shared" si="2"/>
        <v>185936.29261027643</v>
      </c>
      <c r="L67" s="68">
        <f t="shared" si="3"/>
        <v>202702.7028</v>
      </c>
      <c r="M67" s="191">
        <f>G$1*D67</f>
        <v>0</v>
      </c>
      <c r="N67" s="191">
        <v>0</v>
      </c>
      <c r="O67" s="191">
        <v>0</v>
      </c>
      <c r="P67" s="403">
        <f t="shared" si="5"/>
        <v>719410.62</v>
      </c>
      <c r="Q67" s="403"/>
      <c r="R67" s="233">
        <f t="shared" si="6"/>
        <v>741230.62</v>
      </c>
      <c r="S67" s="13">
        <f>ROUND(0.001+B67/100,2)</f>
        <v>0.62</v>
      </c>
      <c r="T67" s="1">
        <f>B67</f>
        <v>62</v>
      </c>
    </row>
    <row r="68" spans="1:21" ht="24.95" customHeight="1" x14ac:dyDescent="0.25">
      <c r="A68" s="16">
        <v>11</v>
      </c>
      <c r="B68" s="16">
        <v>63</v>
      </c>
      <c r="C68" s="16" t="s">
        <v>78</v>
      </c>
      <c r="D68" s="74">
        <v>4.4999999999999997E-3</v>
      </c>
      <c r="E68" s="195">
        <v>933202.63</v>
      </c>
      <c r="F68" s="199">
        <f t="shared" ref="F68:F70" si="7">E68</f>
        <v>933202.63</v>
      </c>
      <c r="G68" s="58">
        <f>E68-F68</f>
        <v>0</v>
      </c>
      <c r="H68" s="75">
        <f t="shared" si="4"/>
        <v>0</v>
      </c>
      <c r="I68" s="68">
        <f>K$2*D68</f>
        <v>363041.83763999998</v>
      </c>
      <c r="J68" s="68">
        <f>P$2*D68</f>
        <v>0</v>
      </c>
      <c r="K68" s="68">
        <f t="shared" si="2"/>
        <v>185936.29261027643</v>
      </c>
      <c r="L68" s="68">
        <f t="shared" si="3"/>
        <v>202702.7028</v>
      </c>
      <c r="M68" s="191">
        <f>G$1*D68</f>
        <v>0</v>
      </c>
      <c r="N68" s="191">
        <v>0</v>
      </c>
      <c r="O68" s="354">
        <v>0</v>
      </c>
      <c r="P68" s="403">
        <f t="shared" si="5"/>
        <v>751681.63</v>
      </c>
      <c r="Q68" s="403"/>
      <c r="R68" s="233">
        <f t="shared" si="6"/>
        <v>774480.63</v>
      </c>
      <c r="S68" s="13">
        <f>ROUND(0.001+B68/100,2)</f>
        <v>0.63</v>
      </c>
      <c r="T68" s="1">
        <f>B68</f>
        <v>63</v>
      </c>
      <c r="U68" t="s">
        <v>197</v>
      </c>
    </row>
    <row r="69" spans="1:21" ht="24.95" customHeight="1" x14ac:dyDescent="0.25">
      <c r="A69" s="16">
        <v>11</v>
      </c>
      <c r="B69" s="16">
        <v>64</v>
      </c>
      <c r="C69" s="16" t="s">
        <v>79</v>
      </c>
      <c r="D69" s="74">
        <v>4.4999999999999997E-3</v>
      </c>
      <c r="E69" s="195">
        <v>774480.64</v>
      </c>
      <c r="F69" s="199">
        <v>751681.64</v>
      </c>
      <c r="G69" s="58">
        <f>E69-F69</f>
        <v>22799</v>
      </c>
      <c r="H69" s="75">
        <f t="shared" si="4"/>
        <v>703.80513000000008</v>
      </c>
      <c r="I69" s="68">
        <f>K$2*D69</f>
        <v>363041.83763999998</v>
      </c>
      <c r="J69" s="68">
        <f>P$2*D69</f>
        <v>0</v>
      </c>
      <c r="K69" s="68">
        <f t="shared" si="2"/>
        <v>185936.29261027643</v>
      </c>
      <c r="L69" s="68">
        <f t="shared" si="3"/>
        <v>202702.7028</v>
      </c>
      <c r="M69" s="191">
        <f>G$1*D69</f>
        <v>0</v>
      </c>
      <c r="N69" s="191">
        <v>0</v>
      </c>
      <c r="O69" s="191">
        <v>0</v>
      </c>
      <c r="P69" s="403">
        <f t="shared" si="5"/>
        <v>775184.64</v>
      </c>
      <c r="Q69" s="403"/>
      <c r="R69" s="233">
        <f t="shared" si="6"/>
        <v>798696.64</v>
      </c>
      <c r="S69" s="13">
        <f>ROUND(0.001+B69/100,2)</f>
        <v>0.64</v>
      </c>
      <c r="T69" s="1">
        <f>B69</f>
        <v>64</v>
      </c>
      <c r="U69" t="s">
        <v>225</v>
      </c>
    </row>
    <row r="70" spans="1:21" ht="24.95" customHeight="1" x14ac:dyDescent="0.25">
      <c r="A70" s="16">
        <v>12</v>
      </c>
      <c r="B70" s="16">
        <v>65</v>
      </c>
      <c r="C70" s="16" t="s">
        <v>80</v>
      </c>
      <c r="D70" s="74">
        <v>4.4999999999999997E-3</v>
      </c>
      <c r="E70" s="195">
        <v>751681.65</v>
      </c>
      <c r="F70" s="199">
        <f t="shared" si="7"/>
        <v>751681.65</v>
      </c>
      <c r="G70" s="58">
        <f t="shared" ref="G70:G158" si="8">E70-F70</f>
        <v>0</v>
      </c>
      <c r="H70" s="75">
        <f t="shared" si="4"/>
        <v>0</v>
      </c>
      <c r="I70" s="68">
        <f>K$2*D70</f>
        <v>363041.83763999998</v>
      </c>
      <c r="J70" s="68">
        <f>P$2*D70</f>
        <v>0</v>
      </c>
      <c r="K70" s="68">
        <f t="shared" si="2"/>
        <v>185936.29261027643</v>
      </c>
      <c r="L70" s="68">
        <f t="shared" si="3"/>
        <v>202702.7028</v>
      </c>
      <c r="M70" s="191">
        <f>G$1*D70</f>
        <v>0</v>
      </c>
      <c r="N70" s="191">
        <v>0</v>
      </c>
      <c r="O70" s="191">
        <v>0</v>
      </c>
      <c r="P70" s="403">
        <f t="shared" ref="P70:P101" si="9">ROUND(SUM(G70:O70),0) + S70</f>
        <v>751681.65</v>
      </c>
      <c r="Q70" s="403"/>
      <c r="R70" s="233">
        <f t="shared" ref="R70:R101" si="10">ROUND(P70+P70*3.033%,0) + S70</f>
        <v>774480.65</v>
      </c>
      <c r="S70" s="13">
        <f t="shared" ref="S70:S101" si="11">ROUND(0.001+B70/100,2)</f>
        <v>0.65</v>
      </c>
      <c r="T70" s="1">
        <f t="shared" ref="T70:T101" si="12">B70</f>
        <v>65</v>
      </c>
    </row>
    <row r="71" spans="1:21" ht="24.95" customHeight="1" x14ac:dyDescent="0.25">
      <c r="A71" s="16">
        <v>12</v>
      </c>
      <c r="B71" s="16">
        <v>66</v>
      </c>
      <c r="C71" s="16" t="s">
        <v>81</v>
      </c>
      <c r="D71" s="74">
        <v>4.4999999999999997E-3</v>
      </c>
      <c r="E71" s="195">
        <v>729552.66</v>
      </c>
      <c r="F71" s="196">
        <f>E71</f>
        <v>729552.66</v>
      </c>
      <c r="G71" s="58">
        <f t="shared" si="8"/>
        <v>0</v>
      </c>
      <c r="H71" s="75">
        <f t="shared" si="4"/>
        <v>0</v>
      </c>
      <c r="I71" s="68">
        <f>K$2*D71</f>
        <v>363041.83763999998</v>
      </c>
      <c r="J71" s="68">
        <f>P$2*D71</f>
        <v>0</v>
      </c>
      <c r="K71" s="68">
        <f t="shared" ref="K71:K134" si="13">G$2*0.675675676%</f>
        <v>185936.29261027643</v>
      </c>
      <c r="L71" s="68">
        <f t="shared" ref="L71:L134" si="14">P$1*0.675675676%</f>
        <v>202702.7028</v>
      </c>
      <c r="M71" s="191">
        <f>G$1*D71</f>
        <v>0</v>
      </c>
      <c r="N71" s="191">
        <v>0</v>
      </c>
      <c r="O71" s="191">
        <v>0</v>
      </c>
      <c r="P71" s="403">
        <f t="shared" si="9"/>
        <v>751681.66</v>
      </c>
      <c r="Q71" s="403"/>
      <c r="R71" s="233">
        <f t="shared" si="10"/>
        <v>774480.66</v>
      </c>
      <c r="S71" s="13">
        <f t="shared" si="11"/>
        <v>0.66</v>
      </c>
      <c r="T71" s="1">
        <f t="shared" si="12"/>
        <v>66</v>
      </c>
      <c r="U71" t="s">
        <v>251</v>
      </c>
    </row>
    <row r="72" spans="1:21" ht="24.95" customHeight="1" x14ac:dyDescent="0.25">
      <c r="A72" s="224">
        <v>1</v>
      </c>
      <c r="B72" s="16">
        <v>67</v>
      </c>
      <c r="C72" s="16" t="s">
        <v>82</v>
      </c>
      <c r="D72" s="74">
        <v>4.4999999999999997E-3</v>
      </c>
      <c r="E72" s="195">
        <v>774480.67</v>
      </c>
      <c r="F72" s="199">
        <v>751700</v>
      </c>
      <c r="G72" s="58">
        <f t="shared" si="8"/>
        <v>22780.670000000042</v>
      </c>
      <c r="H72" s="75">
        <f t="shared" ref="H72:H135" si="15">IF(G72&gt;0,G72*3.087%,0)</f>
        <v>703.23928290000129</v>
      </c>
      <c r="I72" s="68">
        <f>K$2*D72</f>
        <v>363041.83763999998</v>
      </c>
      <c r="J72" s="68">
        <f>P$2*D72</f>
        <v>0</v>
      </c>
      <c r="K72" s="68">
        <f t="shared" si="13"/>
        <v>185936.29261027643</v>
      </c>
      <c r="L72" s="68">
        <f t="shared" si="14"/>
        <v>202702.7028</v>
      </c>
      <c r="M72" s="191">
        <f>G$1*D72</f>
        <v>0</v>
      </c>
      <c r="N72" s="191">
        <v>0</v>
      </c>
      <c r="O72" s="191">
        <v>0</v>
      </c>
      <c r="P72" s="403">
        <f t="shared" si="9"/>
        <v>775165.67</v>
      </c>
      <c r="Q72" s="403"/>
      <c r="R72" s="233">
        <f t="shared" si="10"/>
        <v>798676.67</v>
      </c>
      <c r="S72" s="13">
        <f t="shared" si="11"/>
        <v>0.67</v>
      </c>
      <c r="T72" s="1">
        <f t="shared" si="12"/>
        <v>67</v>
      </c>
      <c r="U72" t="s">
        <v>267</v>
      </c>
    </row>
    <row r="73" spans="1:21" ht="24.95" customHeight="1" x14ac:dyDescent="0.25">
      <c r="A73" s="167"/>
      <c r="B73" s="16">
        <f>B72+1</f>
        <v>68</v>
      </c>
      <c r="C73" s="16" t="s">
        <v>86</v>
      </c>
      <c r="D73" s="74">
        <v>4.4999999999999997E-3</v>
      </c>
      <c r="E73" s="195">
        <v>1187319.68</v>
      </c>
      <c r="F73" s="199"/>
      <c r="G73" s="58">
        <f t="shared" si="8"/>
        <v>1187319.68</v>
      </c>
      <c r="H73" s="75">
        <f t="shared" si="15"/>
        <v>36652.558521599996</v>
      </c>
      <c r="I73" s="68">
        <f>K$2*D73</f>
        <v>363041.83763999998</v>
      </c>
      <c r="J73" s="68">
        <f>P$2*D73</f>
        <v>0</v>
      </c>
      <c r="K73" s="68">
        <f t="shared" si="13"/>
        <v>185936.29261027643</v>
      </c>
      <c r="L73" s="68">
        <f t="shared" si="14"/>
        <v>202702.7028</v>
      </c>
      <c r="M73" s="191">
        <v>72609</v>
      </c>
      <c r="N73" s="68">
        <f>(I73)</f>
        <v>363041.83763999998</v>
      </c>
      <c r="O73" s="191">
        <v>0</v>
      </c>
      <c r="P73" s="403">
        <f t="shared" si="9"/>
        <v>2411304.6800000002</v>
      </c>
      <c r="Q73" s="403"/>
      <c r="R73" s="233">
        <f t="shared" si="10"/>
        <v>2484440.6800000002</v>
      </c>
      <c r="S73" s="13">
        <f t="shared" si="11"/>
        <v>0.68</v>
      </c>
      <c r="T73" s="1">
        <f t="shared" si="12"/>
        <v>68</v>
      </c>
    </row>
    <row r="74" spans="1:21" ht="24.95" customHeight="1" x14ac:dyDescent="0.25">
      <c r="A74" s="167"/>
      <c r="B74" s="16">
        <f t="shared" ref="B74:B137" si="16">B73+1</f>
        <v>69</v>
      </c>
      <c r="C74" s="16" t="s">
        <v>87</v>
      </c>
      <c r="D74" s="74">
        <v>3.5999999999999999E-3</v>
      </c>
      <c r="E74" s="195">
        <v>699669.69</v>
      </c>
      <c r="F74" s="199">
        <f>E74</f>
        <v>699669.69</v>
      </c>
      <c r="G74" s="58">
        <f t="shared" si="8"/>
        <v>0</v>
      </c>
      <c r="H74" s="75">
        <f t="shared" si="15"/>
        <v>0</v>
      </c>
      <c r="I74" s="68">
        <f>K$2*D74</f>
        <v>290433.47011200001</v>
      </c>
      <c r="J74" s="68">
        <f>P$2*D74</f>
        <v>0</v>
      </c>
      <c r="K74" s="68">
        <f t="shared" si="13"/>
        <v>185936.29261027643</v>
      </c>
      <c r="L74" s="68">
        <f t="shared" si="14"/>
        <v>202702.7028</v>
      </c>
      <c r="M74" s="191">
        <f>G$1*D74</f>
        <v>0</v>
      </c>
      <c r="N74" s="191">
        <v>0</v>
      </c>
      <c r="O74" s="191">
        <v>0</v>
      </c>
      <c r="P74" s="403">
        <f t="shared" si="9"/>
        <v>679072.69</v>
      </c>
      <c r="Q74" s="403"/>
      <c r="R74" s="233">
        <f t="shared" si="10"/>
        <v>699669.69</v>
      </c>
      <c r="S74" s="13">
        <f t="shared" si="11"/>
        <v>0.69</v>
      </c>
      <c r="T74" s="1">
        <f t="shared" si="12"/>
        <v>69</v>
      </c>
      <c r="U74" t="s">
        <v>210</v>
      </c>
    </row>
    <row r="75" spans="1:21" ht="24.95" customHeight="1" x14ac:dyDescent="0.25">
      <c r="A75" s="167"/>
      <c r="B75" s="16">
        <f t="shared" si="16"/>
        <v>70</v>
      </c>
      <c r="C75" s="16" t="s">
        <v>88</v>
      </c>
      <c r="D75" s="74">
        <v>4.4000000000000003E-3</v>
      </c>
      <c r="E75" s="195">
        <v>1902655.7</v>
      </c>
      <c r="F75" s="199"/>
      <c r="G75" s="58">
        <f t="shared" si="8"/>
        <v>1902655.7</v>
      </c>
      <c r="H75" s="75">
        <f t="shared" si="15"/>
        <v>58734.981459000002</v>
      </c>
      <c r="I75" s="68">
        <f>K$2*D75</f>
        <v>354974.24124800001</v>
      </c>
      <c r="J75" s="68">
        <f>P$2*D75</f>
        <v>0</v>
      </c>
      <c r="K75" s="68">
        <f t="shared" si="13"/>
        <v>185936.29261027643</v>
      </c>
      <c r="L75" s="68">
        <f t="shared" si="14"/>
        <v>202702.7028</v>
      </c>
      <c r="M75" s="191">
        <f>G$1*D75</f>
        <v>0</v>
      </c>
      <c r="N75" s="191">
        <v>0</v>
      </c>
      <c r="O75" s="191">
        <v>0</v>
      </c>
      <c r="P75" s="403">
        <f t="shared" si="9"/>
        <v>2705004.7</v>
      </c>
      <c r="Q75" s="403"/>
      <c r="R75" s="233">
        <f t="shared" si="10"/>
        <v>2787047.7</v>
      </c>
      <c r="S75" s="13">
        <f t="shared" si="11"/>
        <v>0.7</v>
      </c>
      <c r="T75" s="1">
        <f t="shared" si="12"/>
        <v>70</v>
      </c>
      <c r="U75" t="s">
        <v>254</v>
      </c>
    </row>
    <row r="76" spans="1:21" ht="24.95" customHeight="1" x14ac:dyDescent="0.25">
      <c r="A76" s="167"/>
      <c r="B76" s="16">
        <f t="shared" si="16"/>
        <v>71</v>
      </c>
      <c r="C76" s="16" t="s">
        <v>89</v>
      </c>
      <c r="D76" s="74">
        <v>4.0000000000000001E-3</v>
      </c>
      <c r="E76" s="195">
        <v>711777.71</v>
      </c>
      <c r="F76" s="199">
        <v>0</v>
      </c>
      <c r="G76" s="58">
        <f t="shared" si="8"/>
        <v>711777.71</v>
      </c>
      <c r="H76" s="75">
        <f t="shared" si="15"/>
        <v>21972.577907700001</v>
      </c>
      <c r="I76" s="68">
        <f>K$2*D76</f>
        <v>322703.85568000004</v>
      </c>
      <c r="J76" s="68">
        <f>P$2*D76</f>
        <v>0</v>
      </c>
      <c r="K76" s="68">
        <f t="shared" si="13"/>
        <v>185936.29261027643</v>
      </c>
      <c r="L76" s="68">
        <f t="shared" si="14"/>
        <v>202702.7028</v>
      </c>
      <c r="M76" s="191">
        <f>G$1*D76</f>
        <v>0</v>
      </c>
      <c r="N76" s="191">
        <v>0</v>
      </c>
      <c r="O76" s="191">
        <v>0</v>
      </c>
      <c r="P76" s="403">
        <f t="shared" si="9"/>
        <v>1445093.71</v>
      </c>
      <c r="Q76" s="403"/>
      <c r="R76" s="233">
        <f t="shared" si="10"/>
        <v>1488923.71</v>
      </c>
      <c r="S76" s="13">
        <f t="shared" si="11"/>
        <v>0.71</v>
      </c>
      <c r="T76" s="1">
        <f t="shared" si="12"/>
        <v>71</v>
      </c>
      <c r="U76" t="s">
        <v>307</v>
      </c>
    </row>
    <row r="77" spans="1:21" ht="24.95" customHeight="1" x14ac:dyDescent="0.25">
      <c r="A77" s="253"/>
      <c r="B77" s="16">
        <f t="shared" si="16"/>
        <v>72</v>
      </c>
      <c r="C77" s="16" t="s">
        <v>90</v>
      </c>
      <c r="D77" s="74">
        <v>4.0000000000000001E-3</v>
      </c>
      <c r="E77" s="195">
        <v>687739.72</v>
      </c>
      <c r="F77" s="199">
        <v>690000</v>
      </c>
      <c r="G77" s="58">
        <f t="shared" si="8"/>
        <v>-2260.2800000000279</v>
      </c>
      <c r="H77" s="75">
        <f t="shared" si="15"/>
        <v>0</v>
      </c>
      <c r="I77" s="68">
        <f>K$2*D77</f>
        <v>322703.85568000004</v>
      </c>
      <c r="J77" s="68">
        <f>P$2*D77</f>
        <v>0</v>
      </c>
      <c r="K77" s="68">
        <f t="shared" si="13"/>
        <v>185936.29261027643</v>
      </c>
      <c r="L77" s="68">
        <f t="shared" si="14"/>
        <v>202702.7028</v>
      </c>
      <c r="M77" s="191">
        <f>G$1*D77</f>
        <v>0</v>
      </c>
      <c r="N77" s="191">
        <v>0</v>
      </c>
      <c r="O77" s="191">
        <v>0</v>
      </c>
      <c r="P77" s="403">
        <f t="shared" si="9"/>
        <v>709083.72</v>
      </c>
      <c r="Q77" s="403"/>
      <c r="R77" s="233">
        <f t="shared" si="10"/>
        <v>730590.71999999997</v>
      </c>
      <c r="S77" s="13">
        <f t="shared" si="11"/>
        <v>0.72</v>
      </c>
      <c r="T77" s="1">
        <f t="shared" si="12"/>
        <v>72</v>
      </c>
      <c r="U77" t="s">
        <v>195</v>
      </c>
    </row>
    <row r="78" spans="1:21" ht="24.95" customHeight="1" x14ac:dyDescent="0.25">
      <c r="A78" s="228"/>
      <c r="B78" s="16">
        <f t="shared" si="16"/>
        <v>73</v>
      </c>
      <c r="C78" s="16" t="s">
        <v>91</v>
      </c>
      <c r="D78" s="74">
        <v>4.0000000000000001E-3</v>
      </c>
      <c r="E78" s="195">
        <v>711031.73</v>
      </c>
      <c r="F78" s="199">
        <v>712000</v>
      </c>
      <c r="G78" s="58">
        <f t="shared" si="8"/>
        <v>-968.27000000001863</v>
      </c>
      <c r="H78" s="75">
        <f t="shared" si="15"/>
        <v>0</v>
      </c>
      <c r="I78" s="68">
        <f>K$2*D78</f>
        <v>322703.85568000004</v>
      </c>
      <c r="J78" s="68">
        <f>P$2*D78</f>
        <v>0</v>
      </c>
      <c r="K78" s="68">
        <f t="shared" si="13"/>
        <v>185936.29261027643</v>
      </c>
      <c r="L78" s="68">
        <f t="shared" si="14"/>
        <v>202702.7028</v>
      </c>
      <c r="M78" s="191">
        <f>G$1*D78</f>
        <v>0</v>
      </c>
      <c r="N78" s="191">
        <v>0</v>
      </c>
      <c r="O78" s="191">
        <v>0</v>
      </c>
      <c r="P78" s="403">
        <f t="shared" si="9"/>
        <v>710375.73</v>
      </c>
      <c r="Q78" s="403"/>
      <c r="R78" s="233">
        <f t="shared" si="10"/>
        <v>731921.73</v>
      </c>
      <c r="S78" s="13">
        <f t="shared" si="11"/>
        <v>0.73</v>
      </c>
      <c r="T78" s="1">
        <f t="shared" si="12"/>
        <v>73</v>
      </c>
    </row>
    <row r="79" spans="1:21" ht="24.95" customHeight="1" x14ac:dyDescent="0.25">
      <c r="A79" s="16"/>
      <c r="B79" s="16">
        <f t="shared" si="16"/>
        <v>74</v>
      </c>
      <c r="C79" s="16" t="s">
        <v>92</v>
      </c>
      <c r="D79" s="74">
        <v>4.4000000000000003E-3</v>
      </c>
      <c r="E79" s="195">
        <v>721058.74</v>
      </c>
      <c r="F79" s="196">
        <f>E79</f>
        <v>721058.74</v>
      </c>
      <c r="G79" s="58">
        <f t="shared" si="8"/>
        <v>0</v>
      </c>
      <c r="H79" s="75">
        <f t="shared" si="15"/>
        <v>0</v>
      </c>
      <c r="I79" s="68">
        <f>K$2*D79</f>
        <v>354974.24124800001</v>
      </c>
      <c r="J79" s="68">
        <f>P$2*D79</f>
        <v>0</v>
      </c>
      <c r="K79" s="68">
        <f t="shared" si="13"/>
        <v>185936.29261027643</v>
      </c>
      <c r="L79" s="68">
        <f t="shared" si="14"/>
        <v>202702.7028</v>
      </c>
      <c r="M79" s="191">
        <f>G$1*D79</f>
        <v>0</v>
      </c>
      <c r="N79" s="191">
        <v>0</v>
      </c>
      <c r="O79" s="191">
        <v>0</v>
      </c>
      <c r="P79" s="403">
        <f t="shared" si="9"/>
        <v>743613.74</v>
      </c>
      <c r="Q79" s="403"/>
      <c r="R79" s="233">
        <f t="shared" si="10"/>
        <v>766168.74</v>
      </c>
      <c r="S79" s="13">
        <f t="shared" si="11"/>
        <v>0.74</v>
      </c>
      <c r="T79" s="1">
        <f t="shared" si="12"/>
        <v>74</v>
      </c>
    </row>
    <row r="80" spans="1:21" ht="24.95" customHeight="1" x14ac:dyDescent="0.25">
      <c r="A80" s="16"/>
      <c r="B80" s="16">
        <f t="shared" si="16"/>
        <v>75</v>
      </c>
      <c r="C80" s="16" t="s">
        <v>242</v>
      </c>
      <c r="D80" s="74">
        <v>4.1000000000000003E-3</v>
      </c>
      <c r="E80" s="195">
        <v>719410.75</v>
      </c>
      <c r="F80" s="199">
        <f>E80</f>
        <v>719410.75</v>
      </c>
      <c r="G80" s="58">
        <f t="shared" si="8"/>
        <v>0</v>
      </c>
      <c r="H80" s="75">
        <f t="shared" si="15"/>
        <v>0</v>
      </c>
      <c r="I80" s="68">
        <f>K$2*D80</f>
        <v>330771.45207200001</v>
      </c>
      <c r="J80" s="68">
        <f>P$2*D80</f>
        <v>0</v>
      </c>
      <c r="K80" s="68">
        <f t="shared" si="13"/>
        <v>185936.29261027643</v>
      </c>
      <c r="L80" s="68">
        <f t="shared" si="14"/>
        <v>202702.7028</v>
      </c>
      <c r="M80" s="191">
        <f>G$1*D80</f>
        <v>0</v>
      </c>
      <c r="N80" s="191">
        <v>0</v>
      </c>
      <c r="O80" s="191">
        <v>0</v>
      </c>
      <c r="P80" s="403">
        <f t="shared" si="9"/>
        <v>719410.75</v>
      </c>
      <c r="Q80" s="403"/>
      <c r="R80" s="233">
        <f t="shared" si="10"/>
        <v>741230.75</v>
      </c>
      <c r="S80" s="13">
        <f t="shared" si="11"/>
        <v>0.75</v>
      </c>
      <c r="T80" s="1">
        <f t="shared" si="12"/>
        <v>75</v>
      </c>
      <c r="U80" t="s">
        <v>208</v>
      </c>
    </row>
    <row r="81" spans="1:25" ht="24.95" customHeight="1" x14ac:dyDescent="0.25">
      <c r="A81" s="16"/>
      <c r="B81" s="16">
        <f t="shared" si="16"/>
        <v>76</v>
      </c>
      <c r="C81" s="16" t="s">
        <v>84</v>
      </c>
      <c r="D81" s="74">
        <v>4.4999999999999997E-3</v>
      </c>
      <c r="E81" s="195">
        <v>751681.76</v>
      </c>
      <c r="F81" s="199">
        <f>E81</f>
        <v>751681.76</v>
      </c>
      <c r="G81" s="58">
        <f t="shared" si="8"/>
        <v>0</v>
      </c>
      <c r="H81" s="75">
        <f t="shared" si="15"/>
        <v>0</v>
      </c>
      <c r="I81" s="68">
        <f>K$2*D81</f>
        <v>363041.83763999998</v>
      </c>
      <c r="J81" s="68">
        <f>P$2*D81</f>
        <v>0</v>
      </c>
      <c r="K81" s="68">
        <f t="shared" si="13"/>
        <v>185936.29261027643</v>
      </c>
      <c r="L81" s="68">
        <f t="shared" si="14"/>
        <v>202702.7028</v>
      </c>
      <c r="M81" s="191">
        <f>G$1*D81</f>
        <v>0</v>
      </c>
      <c r="N81" s="191">
        <v>0</v>
      </c>
      <c r="O81" s="353">
        <f>I81/2</f>
        <v>181520.91881999999</v>
      </c>
      <c r="P81" s="403">
        <f t="shared" si="9"/>
        <v>933202.76</v>
      </c>
      <c r="Q81" s="403"/>
      <c r="R81" s="233">
        <f t="shared" si="10"/>
        <v>961507.76</v>
      </c>
      <c r="S81" s="13">
        <f t="shared" si="11"/>
        <v>0.76</v>
      </c>
      <c r="T81" s="1">
        <f t="shared" si="12"/>
        <v>76</v>
      </c>
    </row>
    <row r="82" spans="1:25" ht="24.95" customHeight="1" x14ac:dyDescent="0.25">
      <c r="A82" s="315"/>
      <c r="B82" s="16">
        <f t="shared" si="16"/>
        <v>77</v>
      </c>
      <c r="C82" s="16" t="s">
        <v>93</v>
      </c>
      <c r="D82" s="74">
        <v>6.1000000000000004E-3</v>
      </c>
      <c r="E82" s="195">
        <v>875621.77</v>
      </c>
      <c r="F82" s="199">
        <v>876000</v>
      </c>
      <c r="G82" s="58">
        <f t="shared" si="8"/>
        <v>-378.22999999998137</v>
      </c>
      <c r="H82" s="75">
        <f t="shared" si="15"/>
        <v>0</v>
      </c>
      <c r="I82" s="68">
        <f>K$2*D82</f>
        <v>492123.37991200003</v>
      </c>
      <c r="J82" s="68">
        <f>P$2*D82</f>
        <v>0</v>
      </c>
      <c r="K82" s="68">
        <f t="shared" si="13"/>
        <v>185936.29261027643</v>
      </c>
      <c r="L82" s="68">
        <f t="shared" si="14"/>
        <v>202702.7028</v>
      </c>
      <c r="M82" s="191">
        <f>G$1*D82</f>
        <v>0</v>
      </c>
      <c r="N82" s="191">
        <v>0</v>
      </c>
      <c r="O82" s="191">
        <v>0</v>
      </c>
      <c r="P82" s="403">
        <f t="shared" si="9"/>
        <v>880384.77</v>
      </c>
      <c r="Q82" s="403"/>
      <c r="R82" s="233">
        <f t="shared" si="10"/>
        <v>907087.77</v>
      </c>
      <c r="S82" s="13">
        <f t="shared" si="11"/>
        <v>0.77</v>
      </c>
      <c r="T82" s="1">
        <f t="shared" si="12"/>
        <v>77</v>
      </c>
      <c r="U82" t="s">
        <v>265</v>
      </c>
    </row>
    <row r="83" spans="1:25" ht="24.95" customHeight="1" x14ac:dyDescent="0.25">
      <c r="A83" s="166"/>
      <c r="B83" s="16">
        <f t="shared" si="16"/>
        <v>78</v>
      </c>
      <c r="C83" s="16" t="s">
        <v>94</v>
      </c>
      <c r="D83" s="74">
        <v>4.7999999999999996E-3</v>
      </c>
      <c r="E83" s="195">
        <v>775281.78</v>
      </c>
      <c r="F83" s="199">
        <v>799000</v>
      </c>
      <c r="G83" s="58">
        <f t="shared" si="8"/>
        <v>-23718.219999999972</v>
      </c>
      <c r="H83" s="75">
        <f t="shared" si="15"/>
        <v>0</v>
      </c>
      <c r="I83" s="68">
        <f>K$2*D83</f>
        <v>387244.62681599997</v>
      </c>
      <c r="J83" s="68">
        <f>P$2*D83</f>
        <v>0</v>
      </c>
      <c r="K83" s="68">
        <f t="shared" si="13"/>
        <v>185936.29261027643</v>
      </c>
      <c r="L83" s="68">
        <f t="shared" si="14"/>
        <v>202702.7028</v>
      </c>
      <c r="M83" s="191">
        <f>G$1*D83</f>
        <v>0</v>
      </c>
      <c r="N83" s="191">
        <v>0</v>
      </c>
      <c r="O83" s="191">
        <v>0</v>
      </c>
      <c r="P83" s="403">
        <f t="shared" si="9"/>
        <v>752165.78</v>
      </c>
      <c r="Q83" s="403"/>
      <c r="R83" s="233">
        <f t="shared" si="10"/>
        <v>774979.78</v>
      </c>
      <c r="S83" s="13">
        <f t="shared" si="11"/>
        <v>0.78</v>
      </c>
      <c r="T83" s="1">
        <f t="shared" si="12"/>
        <v>78</v>
      </c>
      <c r="U83" t="s">
        <v>243</v>
      </c>
    </row>
    <row r="84" spans="1:25" ht="24.95" customHeight="1" x14ac:dyDescent="0.25">
      <c r="A84" s="16"/>
      <c r="B84" s="16">
        <f t="shared" si="16"/>
        <v>79</v>
      </c>
      <c r="C84" s="16" t="s">
        <v>95</v>
      </c>
      <c r="D84" s="74">
        <v>4.4999999999999997E-3</v>
      </c>
      <c r="E84" s="195">
        <v>837638.79</v>
      </c>
      <c r="F84" s="199"/>
      <c r="G84" s="58">
        <f t="shared" si="8"/>
        <v>837638.79</v>
      </c>
      <c r="H84" s="75">
        <f t="shared" si="15"/>
        <v>25857.909447300004</v>
      </c>
      <c r="I84" s="68">
        <f>K$2*D84</f>
        <v>363041.83763999998</v>
      </c>
      <c r="J84" s="68">
        <f>P$2*D84</f>
        <v>0</v>
      </c>
      <c r="K84" s="68">
        <f t="shared" si="13"/>
        <v>185936.29261027643</v>
      </c>
      <c r="L84" s="68">
        <f t="shared" si="14"/>
        <v>202702.7028</v>
      </c>
      <c r="M84" s="191">
        <f>G$1*D84</f>
        <v>0</v>
      </c>
      <c r="N84" s="191">
        <v>0</v>
      </c>
      <c r="O84" s="191">
        <v>0</v>
      </c>
      <c r="P84" s="403">
        <f t="shared" si="9"/>
        <v>1615178.79</v>
      </c>
      <c r="Q84" s="403"/>
      <c r="R84" s="233">
        <f t="shared" si="10"/>
        <v>1664167.79</v>
      </c>
      <c r="S84" s="76">
        <f t="shared" si="11"/>
        <v>0.79</v>
      </c>
      <c r="T84" s="57">
        <f t="shared" si="12"/>
        <v>79</v>
      </c>
      <c r="U84" s="35" t="s">
        <v>313</v>
      </c>
      <c r="Y84" t="s">
        <v>245</v>
      </c>
    </row>
    <row r="85" spans="1:25" ht="24.95" customHeight="1" x14ac:dyDescent="0.25">
      <c r="A85" s="227"/>
      <c r="B85" s="16">
        <f t="shared" si="16"/>
        <v>80</v>
      </c>
      <c r="C85" s="16" t="s">
        <v>96</v>
      </c>
      <c r="D85" s="74">
        <v>4.4999999999999997E-3</v>
      </c>
      <c r="E85" s="195">
        <v>751681.8</v>
      </c>
      <c r="F85" s="199">
        <f>E85</f>
        <v>751681.8</v>
      </c>
      <c r="G85" s="58">
        <f t="shared" si="8"/>
        <v>0</v>
      </c>
      <c r="H85" s="75">
        <f t="shared" si="15"/>
        <v>0</v>
      </c>
      <c r="I85" s="68">
        <f>K$2*D85</f>
        <v>363041.83763999998</v>
      </c>
      <c r="J85" s="68">
        <f>P$2*D85</f>
        <v>0</v>
      </c>
      <c r="K85" s="68">
        <f t="shared" si="13"/>
        <v>185936.29261027643</v>
      </c>
      <c r="L85" s="68">
        <f t="shared" si="14"/>
        <v>202702.7028</v>
      </c>
      <c r="M85" s="191">
        <f>G$1*D85</f>
        <v>0</v>
      </c>
      <c r="N85" s="191">
        <v>0</v>
      </c>
      <c r="O85" s="191">
        <v>0</v>
      </c>
      <c r="P85" s="403">
        <f t="shared" si="9"/>
        <v>751681.8</v>
      </c>
      <c r="Q85" s="403"/>
      <c r="R85" s="233">
        <f t="shared" si="10"/>
        <v>774480.8</v>
      </c>
      <c r="S85" s="13">
        <f t="shared" si="11"/>
        <v>0.8</v>
      </c>
      <c r="T85" s="1">
        <f t="shared" si="12"/>
        <v>80</v>
      </c>
      <c r="U85" t="s">
        <v>287</v>
      </c>
    </row>
    <row r="86" spans="1:25" ht="24.95" customHeight="1" x14ac:dyDescent="0.25">
      <c r="A86" s="16"/>
      <c r="B86" s="16">
        <f t="shared" si="16"/>
        <v>81</v>
      </c>
      <c r="C86" s="16" t="s">
        <v>97</v>
      </c>
      <c r="D86" s="74">
        <v>4.4999999999999997E-3</v>
      </c>
      <c r="E86" s="195">
        <v>2325374.81</v>
      </c>
      <c r="F86" s="199">
        <f>2395903.81</f>
        <v>2395903.81</v>
      </c>
      <c r="G86" s="58">
        <f t="shared" si="8"/>
        <v>-70529</v>
      </c>
      <c r="H86" s="75">
        <f t="shared" si="15"/>
        <v>0</v>
      </c>
      <c r="I86" s="68">
        <f>K$2*D86</f>
        <v>363041.83763999998</v>
      </c>
      <c r="J86" s="68">
        <f>P$2*D86</f>
        <v>0</v>
      </c>
      <c r="K86" s="68">
        <f t="shared" si="13"/>
        <v>185936.29261027643</v>
      </c>
      <c r="L86" s="68">
        <f t="shared" si="14"/>
        <v>202702.7028</v>
      </c>
      <c r="M86" s="191">
        <f>G$1*D86</f>
        <v>0</v>
      </c>
      <c r="N86" s="191">
        <v>0</v>
      </c>
      <c r="O86" s="191">
        <v>0</v>
      </c>
      <c r="P86" s="403">
        <f t="shared" si="9"/>
        <v>681152.81</v>
      </c>
      <c r="Q86" s="403"/>
      <c r="R86" s="233">
        <f t="shared" si="10"/>
        <v>701812.81</v>
      </c>
      <c r="S86" s="13">
        <f t="shared" si="11"/>
        <v>0.81</v>
      </c>
      <c r="T86" s="1">
        <f t="shared" si="12"/>
        <v>81</v>
      </c>
      <c r="U86" t="s">
        <v>236</v>
      </c>
    </row>
    <row r="87" spans="1:25" ht="24.95" customHeight="1" x14ac:dyDescent="0.25">
      <c r="A87" s="16"/>
      <c r="B87" s="16">
        <f t="shared" si="16"/>
        <v>82</v>
      </c>
      <c r="C87" s="16" t="s">
        <v>98</v>
      </c>
      <c r="D87" s="74">
        <v>4.1999999999999997E-3</v>
      </c>
      <c r="E87" s="195">
        <v>684068.82</v>
      </c>
      <c r="F87" s="199">
        <v>775884.82</v>
      </c>
      <c r="G87" s="58">
        <f t="shared" si="8"/>
        <v>-91816</v>
      </c>
      <c r="H87" s="75">
        <f t="shared" si="15"/>
        <v>0</v>
      </c>
      <c r="I87" s="68">
        <f>K$2*D87</f>
        <v>338839.04846399999</v>
      </c>
      <c r="J87" s="68">
        <f>P$2*D87</f>
        <v>0</v>
      </c>
      <c r="K87" s="68">
        <f t="shared" si="13"/>
        <v>185936.29261027643</v>
      </c>
      <c r="L87" s="68">
        <f t="shared" si="14"/>
        <v>202702.7028</v>
      </c>
      <c r="M87" s="191">
        <f>G$1*D87</f>
        <v>0</v>
      </c>
      <c r="N87" s="191">
        <v>0</v>
      </c>
      <c r="O87" s="191">
        <v>0</v>
      </c>
      <c r="P87" s="403">
        <f t="shared" si="9"/>
        <v>635662.81999999995</v>
      </c>
      <c r="Q87" s="403"/>
      <c r="R87" s="233">
        <f t="shared" si="10"/>
        <v>654942.81999999995</v>
      </c>
      <c r="S87" s="13">
        <f t="shared" si="11"/>
        <v>0.82</v>
      </c>
      <c r="T87" s="1">
        <f t="shared" si="12"/>
        <v>82</v>
      </c>
      <c r="U87" t="s">
        <v>273</v>
      </c>
      <c r="W87" s="16"/>
    </row>
    <row r="88" spans="1:25" ht="24.95" customHeight="1" x14ac:dyDescent="0.25">
      <c r="A88" s="16"/>
      <c r="B88" s="16">
        <f t="shared" si="16"/>
        <v>83</v>
      </c>
      <c r="C88" s="16" t="s">
        <v>99</v>
      </c>
      <c r="D88" s="74">
        <v>4.7999999999999996E-3</v>
      </c>
      <c r="E88" s="195">
        <v>753043.83</v>
      </c>
      <c r="F88" s="199">
        <v>775884.83</v>
      </c>
      <c r="G88" s="58">
        <f t="shared" si="8"/>
        <v>-22841</v>
      </c>
      <c r="H88" s="75">
        <f t="shared" si="15"/>
        <v>0</v>
      </c>
      <c r="I88" s="68">
        <f>K$2*D88</f>
        <v>387244.62681599997</v>
      </c>
      <c r="J88" s="68">
        <f>P$2*D88</f>
        <v>0</v>
      </c>
      <c r="K88" s="68">
        <f t="shared" si="13"/>
        <v>185936.29261027643</v>
      </c>
      <c r="L88" s="68">
        <f t="shared" si="14"/>
        <v>202702.7028</v>
      </c>
      <c r="M88" s="191">
        <f>G$1*D88</f>
        <v>0</v>
      </c>
      <c r="N88" s="191">
        <v>0</v>
      </c>
      <c r="O88" s="191">
        <v>0</v>
      </c>
      <c r="P88" s="403">
        <f t="shared" si="9"/>
        <v>753043.83</v>
      </c>
      <c r="Q88" s="403"/>
      <c r="R88" s="233">
        <f t="shared" si="10"/>
        <v>775884.83</v>
      </c>
      <c r="S88" s="13">
        <f t="shared" si="11"/>
        <v>0.83</v>
      </c>
      <c r="T88" s="1">
        <f t="shared" si="12"/>
        <v>83</v>
      </c>
    </row>
    <row r="89" spans="1:25" ht="24.95" customHeight="1" x14ac:dyDescent="0.25">
      <c r="A89" s="16"/>
      <c r="B89" s="16">
        <f t="shared" si="16"/>
        <v>84</v>
      </c>
      <c r="C89" s="16" t="s">
        <v>99</v>
      </c>
      <c r="D89" s="74">
        <v>4.7999999999999996E-3</v>
      </c>
      <c r="E89" s="195">
        <v>753043.84</v>
      </c>
      <c r="F89" s="199">
        <v>775884.84</v>
      </c>
      <c r="G89" s="58">
        <f t="shared" si="8"/>
        <v>-22841</v>
      </c>
      <c r="H89" s="75">
        <f t="shared" si="15"/>
        <v>0</v>
      </c>
      <c r="I89" s="68">
        <f>K$2*D89</f>
        <v>387244.62681599997</v>
      </c>
      <c r="J89" s="68">
        <f>P$2*D89</f>
        <v>0</v>
      </c>
      <c r="K89" s="68">
        <f t="shared" si="13"/>
        <v>185936.29261027643</v>
      </c>
      <c r="L89" s="68">
        <f t="shared" si="14"/>
        <v>202702.7028</v>
      </c>
      <c r="M89" s="191">
        <f>G$1*D89</f>
        <v>0</v>
      </c>
      <c r="N89" s="191">
        <v>0</v>
      </c>
      <c r="O89" s="191">
        <v>0</v>
      </c>
      <c r="P89" s="403">
        <f t="shared" si="9"/>
        <v>753043.84</v>
      </c>
      <c r="Q89" s="403"/>
      <c r="R89" s="233">
        <f t="shared" si="10"/>
        <v>775884.84</v>
      </c>
      <c r="S89" s="13">
        <f t="shared" si="11"/>
        <v>0.84</v>
      </c>
      <c r="T89" s="1">
        <f t="shared" si="12"/>
        <v>84</v>
      </c>
    </row>
    <row r="90" spans="1:25" ht="24.95" customHeight="1" x14ac:dyDescent="0.25">
      <c r="A90" s="16"/>
      <c r="B90" s="16">
        <f t="shared" si="16"/>
        <v>85</v>
      </c>
      <c r="C90" s="16" t="s">
        <v>100</v>
      </c>
      <c r="D90" s="74">
        <v>4.7999999999999996E-3</v>
      </c>
      <c r="E90" s="195">
        <v>775884.85</v>
      </c>
      <c r="F90" s="199">
        <f>E90</f>
        <v>775884.85</v>
      </c>
      <c r="G90" s="58">
        <f t="shared" si="8"/>
        <v>0</v>
      </c>
      <c r="H90" s="75">
        <f t="shared" si="15"/>
        <v>0</v>
      </c>
      <c r="I90" s="68">
        <f>K$2*D90</f>
        <v>387244.62681599997</v>
      </c>
      <c r="J90" s="68">
        <f>P$2*D90</f>
        <v>0</v>
      </c>
      <c r="K90" s="68">
        <f t="shared" si="13"/>
        <v>185936.29261027643</v>
      </c>
      <c r="L90" s="68">
        <f t="shared" si="14"/>
        <v>202702.7028</v>
      </c>
      <c r="M90" s="191">
        <f>G$1*D90</f>
        <v>0</v>
      </c>
      <c r="N90" s="191">
        <v>0</v>
      </c>
      <c r="O90" s="191">
        <v>0</v>
      </c>
      <c r="P90" s="403">
        <f t="shared" si="9"/>
        <v>775884.85</v>
      </c>
      <c r="Q90" s="403"/>
      <c r="R90" s="233">
        <f t="shared" si="10"/>
        <v>799417.85</v>
      </c>
      <c r="S90" s="13">
        <f t="shared" si="11"/>
        <v>0.85</v>
      </c>
      <c r="T90" s="1">
        <f t="shared" si="12"/>
        <v>85</v>
      </c>
      <c r="U90" t="s">
        <v>224</v>
      </c>
    </row>
    <row r="91" spans="1:25" ht="24.95" customHeight="1" x14ac:dyDescent="0.25">
      <c r="A91" s="16"/>
      <c r="B91" s="16">
        <f t="shared" si="16"/>
        <v>86</v>
      </c>
      <c r="C91" s="16" t="s">
        <v>170</v>
      </c>
      <c r="D91" s="74">
        <v>4.7999999999999996E-3</v>
      </c>
      <c r="E91" s="195">
        <v>1204092.8600000001</v>
      </c>
      <c r="F91" s="199">
        <f>300000+452500+250000+400000</f>
        <v>1402500</v>
      </c>
      <c r="G91" s="58">
        <f t="shared" si="8"/>
        <v>-198407.1399999999</v>
      </c>
      <c r="H91" s="75">
        <f t="shared" si="15"/>
        <v>0</v>
      </c>
      <c r="I91" s="68">
        <f>K$2*D91</f>
        <v>387244.62681599997</v>
      </c>
      <c r="J91" s="68">
        <f>P$2*D91</f>
        <v>0</v>
      </c>
      <c r="K91" s="68">
        <f t="shared" si="13"/>
        <v>185936.29261027643</v>
      </c>
      <c r="L91" s="68">
        <f t="shared" si="14"/>
        <v>202702.7028</v>
      </c>
      <c r="M91" s="191">
        <v>77449</v>
      </c>
      <c r="N91" s="68">
        <f>(I91)</f>
        <v>387244.62681599997</v>
      </c>
      <c r="O91" s="191">
        <v>0</v>
      </c>
      <c r="P91" s="403">
        <f t="shared" si="9"/>
        <v>1042170.86</v>
      </c>
      <c r="Q91" s="403"/>
      <c r="R91" s="233">
        <f t="shared" si="10"/>
        <v>1073780.8600000001</v>
      </c>
      <c r="S91" s="13">
        <f t="shared" si="11"/>
        <v>0.86</v>
      </c>
      <c r="T91" s="1">
        <f t="shared" si="12"/>
        <v>86</v>
      </c>
      <c r="U91" t="s">
        <v>324</v>
      </c>
    </row>
    <row r="92" spans="1:25" ht="24.95" customHeight="1" x14ac:dyDescent="0.25">
      <c r="A92" s="16"/>
      <c r="B92" s="16">
        <f t="shared" si="16"/>
        <v>87</v>
      </c>
      <c r="C92" s="16" t="s">
        <v>101</v>
      </c>
      <c r="D92" s="74">
        <v>4.7999999999999996E-3</v>
      </c>
      <c r="E92" s="195">
        <v>775884.87</v>
      </c>
      <c r="F92" s="199">
        <f>E92</f>
        <v>775884.87</v>
      </c>
      <c r="G92" s="58">
        <f t="shared" si="8"/>
        <v>0</v>
      </c>
      <c r="H92" s="75">
        <f t="shared" si="15"/>
        <v>0</v>
      </c>
      <c r="I92" s="68">
        <f>K$2*D92</f>
        <v>387244.62681599997</v>
      </c>
      <c r="J92" s="68">
        <f>P$2*D92</f>
        <v>0</v>
      </c>
      <c r="K92" s="68">
        <f t="shared" si="13"/>
        <v>185936.29261027643</v>
      </c>
      <c r="L92" s="68">
        <f t="shared" si="14"/>
        <v>202702.7028</v>
      </c>
      <c r="M92" s="191">
        <f>G$1*D92</f>
        <v>0</v>
      </c>
      <c r="N92" s="191">
        <v>0</v>
      </c>
      <c r="O92" s="191">
        <v>0</v>
      </c>
      <c r="P92" s="403">
        <f t="shared" si="9"/>
        <v>775884.87</v>
      </c>
      <c r="Q92" s="403"/>
      <c r="R92" s="233">
        <f t="shared" si="10"/>
        <v>799417.87</v>
      </c>
      <c r="S92" s="13">
        <f t="shared" si="11"/>
        <v>0.87</v>
      </c>
      <c r="T92" s="1">
        <f t="shared" si="12"/>
        <v>87</v>
      </c>
    </row>
    <row r="93" spans="1:25" ht="24.95" customHeight="1" x14ac:dyDescent="0.25">
      <c r="A93" s="148"/>
      <c r="B93" s="148">
        <f t="shared" si="16"/>
        <v>88</v>
      </c>
      <c r="C93" s="148" t="s">
        <v>102</v>
      </c>
      <c r="D93" s="74">
        <v>4.7999999999999996E-3</v>
      </c>
      <c r="E93" s="195">
        <v>775884.88</v>
      </c>
      <c r="F93" s="196">
        <f>E93</f>
        <v>775884.88</v>
      </c>
      <c r="G93" s="58">
        <f t="shared" si="8"/>
        <v>0</v>
      </c>
      <c r="H93" s="75">
        <f t="shared" si="15"/>
        <v>0</v>
      </c>
      <c r="I93" s="68">
        <f>K$2*D93</f>
        <v>387244.62681599997</v>
      </c>
      <c r="J93" s="68">
        <f>P$2*D93</f>
        <v>0</v>
      </c>
      <c r="K93" s="68">
        <f t="shared" si="13"/>
        <v>185936.29261027643</v>
      </c>
      <c r="L93" s="68">
        <f t="shared" si="14"/>
        <v>202702.7028</v>
      </c>
      <c r="M93" s="191">
        <f>G$1*D93</f>
        <v>0</v>
      </c>
      <c r="N93" s="191">
        <v>0</v>
      </c>
      <c r="O93" s="191">
        <v>0</v>
      </c>
      <c r="P93" s="403">
        <f t="shared" si="9"/>
        <v>775884.88</v>
      </c>
      <c r="Q93" s="403"/>
      <c r="R93" s="233">
        <f t="shared" si="10"/>
        <v>799417.88</v>
      </c>
      <c r="S93" s="13">
        <f t="shared" si="11"/>
        <v>0.88</v>
      </c>
      <c r="T93" s="1">
        <f t="shared" si="12"/>
        <v>88</v>
      </c>
    </row>
    <row r="94" spans="1:25" ht="24.95" customHeight="1" x14ac:dyDescent="0.25">
      <c r="A94" s="16"/>
      <c r="B94" s="16">
        <f t="shared" si="16"/>
        <v>89</v>
      </c>
      <c r="C94" s="16" t="s">
        <v>222</v>
      </c>
      <c r="D94" s="74">
        <v>4.7999999999999996E-3</v>
      </c>
      <c r="E94" s="195">
        <v>728827.89</v>
      </c>
      <c r="F94" s="196">
        <f>E94</f>
        <v>728827.89</v>
      </c>
      <c r="G94" s="58">
        <f t="shared" si="8"/>
        <v>0</v>
      </c>
      <c r="H94" s="75">
        <f t="shared" si="15"/>
        <v>0</v>
      </c>
      <c r="I94" s="68">
        <f>K$2*D94</f>
        <v>387244.62681599997</v>
      </c>
      <c r="J94" s="68">
        <f>P$2*D94</f>
        <v>0</v>
      </c>
      <c r="K94" s="68">
        <f t="shared" si="13"/>
        <v>185936.29261027643</v>
      </c>
      <c r="L94" s="68">
        <f t="shared" si="14"/>
        <v>202702.7028</v>
      </c>
      <c r="M94" s="191">
        <f>G$1*D94</f>
        <v>0</v>
      </c>
      <c r="N94" s="191">
        <v>0</v>
      </c>
      <c r="O94" s="191">
        <v>0</v>
      </c>
      <c r="P94" s="403">
        <f t="shared" si="9"/>
        <v>775884.89</v>
      </c>
      <c r="Q94" s="403"/>
      <c r="R94" s="233">
        <f t="shared" si="10"/>
        <v>799417.89</v>
      </c>
      <c r="S94" s="76">
        <f t="shared" si="11"/>
        <v>0.89</v>
      </c>
      <c r="T94" s="57">
        <f t="shared" si="12"/>
        <v>89</v>
      </c>
      <c r="U94" t="s">
        <v>285</v>
      </c>
    </row>
    <row r="95" spans="1:25" ht="24.95" customHeight="1" x14ac:dyDescent="0.25">
      <c r="A95" s="225"/>
      <c r="B95" s="16">
        <f t="shared" si="16"/>
        <v>90</v>
      </c>
      <c r="C95" s="16" t="s">
        <v>103</v>
      </c>
      <c r="D95" s="74">
        <v>4.7999999999999996E-3</v>
      </c>
      <c r="E95" s="195">
        <v>799408.9</v>
      </c>
      <c r="F95" s="199">
        <f>650000+150000.9</f>
        <v>800000.9</v>
      </c>
      <c r="G95" s="58">
        <f t="shared" si="8"/>
        <v>-592</v>
      </c>
      <c r="H95" s="75">
        <f t="shared" si="15"/>
        <v>0</v>
      </c>
      <c r="I95" s="68">
        <f>K$2*D95</f>
        <v>387244.62681599997</v>
      </c>
      <c r="J95" s="68">
        <f>P$2*D95</f>
        <v>0</v>
      </c>
      <c r="K95" s="68">
        <f t="shared" si="13"/>
        <v>185936.29261027643</v>
      </c>
      <c r="L95" s="68">
        <f t="shared" si="14"/>
        <v>202702.7028</v>
      </c>
      <c r="M95" s="191">
        <v>77449</v>
      </c>
      <c r="N95" s="68">
        <f>(I95)</f>
        <v>387244.62681599997</v>
      </c>
      <c r="O95" s="191">
        <v>0</v>
      </c>
      <c r="P95" s="403">
        <f t="shared" si="9"/>
        <v>1239985.8999999999</v>
      </c>
      <c r="Q95" s="403"/>
      <c r="R95" s="233">
        <f t="shared" si="10"/>
        <v>1277595.8999999999</v>
      </c>
      <c r="S95" s="13">
        <f t="shared" si="11"/>
        <v>0.9</v>
      </c>
      <c r="T95" s="1">
        <f t="shared" si="12"/>
        <v>90</v>
      </c>
      <c r="U95" t="s">
        <v>246</v>
      </c>
    </row>
    <row r="96" spans="1:25" ht="24.95" customHeight="1" x14ac:dyDescent="0.25">
      <c r="A96" s="16"/>
      <c r="B96" s="16">
        <f t="shared" si="16"/>
        <v>91</v>
      </c>
      <c r="C96" s="16" t="s">
        <v>104</v>
      </c>
      <c r="D96" s="74">
        <v>4.7999999999999996E-3</v>
      </c>
      <c r="E96" s="195">
        <v>775884.91</v>
      </c>
      <c r="F96" s="199">
        <f>E96</f>
        <v>775884.91</v>
      </c>
      <c r="G96" s="58">
        <f t="shared" si="8"/>
        <v>0</v>
      </c>
      <c r="H96" s="75">
        <f t="shared" si="15"/>
        <v>0</v>
      </c>
      <c r="I96" s="68">
        <f>K$2*D96</f>
        <v>387244.62681599997</v>
      </c>
      <c r="J96" s="68">
        <f>P$2*D96</f>
        <v>0</v>
      </c>
      <c r="K96" s="68">
        <f t="shared" si="13"/>
        <v>185936.29261027643</v>
      </c>
      <c r="L96" s="68">
        <f t="shared" si="14"/>
        <v>202702.7028</v>
      </c>
      <c r="M96" s="191">
        <f>G$1*D96</f>
        <v>0</v>
      </c>
      <c r="N96" s="191">
        <v>0</v>
      </c>
      <c r="O96" s="191">
        <v>0</v>
      </c>
      <c r="P96" s="403">
        <f t="shared" si="9"/>
        <v>775884.91</v>
      </c>
      <c r="Q96" s="403"/>
      <c r="R96" s="233">
        <f t="shared" si="10"/>
        <v>799417.91</v>
      </c>
      <c r="S96" s="13">
        <f t="shared" si="11"/>
        <v>0.91</v>
      </c>
      <c r="T96" s="1">
        <f t="shared" si="12"/>
        <v>91</v>
      </c>
      <c r="U96" t="s">
        <v>198</v>
      </c>
    </row>
    <row r="97" spans="1:22" ht="24.95" customHeight="1" x14ac:dyDescent="0.25">
      <c r="A97" s="16"/>
      <c r="B97" s="16">
        <f t="shared" si="16"/>
        <v>92</v>
      </c>
      <c r="C97" s="16" t="s">
        <v>319</v>
      </c>
      <c r="D97" s="74">
        <v>4.7999999999999996E-3</v>
      </c>
      <c r="E97" s="195">
        <v>775885.92</v>
      </c>
      <c r="F97" s="199">
        <f>1625885-850000</f>
        <v>775885</v>
      </c>
      <c r="G97" s="58">
        <f t="shared" si="8"/>
        <v>0.92000000004190952</v>
      </c>
      <c r="H97" s="75">
        <f t="shared" si="15"/>
        <v>2.8400400001293749E-2</v>
      </c>
      <c r="I97" s="68">
        <f>K$2*D97</f>
        <v>387244.62681599997</v>
      </c>
      <c r="J97" s="68">
        <f>P$2*D97</f>
        <v>0</v>
      </c>
      <c r="K97" s="68">
        <f t="shared" si="13"/>
        <v>185936.29261027643</v>
      </c>
      <c r="L97" s="68">
        <f t="shared" si="14"/>
        <v>202702.7028</v>
      </c>
      <c r="M97" s="191">
        <f>G$1*D97</f>
        <v>0</v>
      </c>
      <c r="N97" s="191">
        <v>0</v>
      </c>
      <c r="O97" s="191">
        <v>0</v>
      </c>
      <c r="P97" s="403">
        <f t="shared" si="9"/>
        <v>775885.92</v>
      </c>
      <c r="Q97" s="403"/>
      <c r="R97" s="233">
        <f t="shared" si="10"/>
        <v>799419.92</v>
      </c>
      <c r="S97" s="76">
        <f t="shared" si="11"/>
        <v>0.92</v>
      </c>
      <c r="T97" s="57">
        <f t="shared" si="12"/>
        <v>92</v>
      </c>
      <c r="U97" t="s">
        <v>314</v>
      </c>
    </row>
    <row r="98" spans="1:22" ht="24.95" customHeight="1" x14ac:dyDescent="0.25">
      <c r="A98" s="16"/>
      <c r="B98" s="16">
        <f t="shared" si="16"/>
        <v>93</v>
      </c>
      <c r="C98" s="335" t="s">
        <v>171</v>
      </c>
      <c r="D98" s="74">
        <v>4.5999999999999999E-3</v>
      </c>
      <c r="E98" s="195">
        <v>882217.93</v>
      </c>
      <c r="F98" s="199">
        <v>900000</v>
      </c>
      <c r="G98" s="58">
        <f>E98-F98</f>
        <v>-17782.069999999949</v>
      </c>
      <c r="H98" s="75">
        <f t="shared" si="15"/>
        <v>0</v>
      </c>
      <c r="I98" s="68">
        <f>K$2*D98</f>
        <v>371109.43403200002</v>
      </c>
      <c r="J98" s="68">
        <f>P$2*D98</f>
        <v>0</v>
      </c>
      <c r="K98" s="68">
        <f t="shared" si="13"/>
        <v>185936.29261027643</v>
      </c>
      <c r="L98" s="68">
        <f t="shared" si="14"/>
        <v>202702.7028</v>
      </c>
      <c r="M98" s="191">
        <f>G$1*D98</f>
        <v>0</v>
      </c>
      <c r="N98" s="191">
        <v>0</v>
      </c>
      <c r="O98" s="191">
        <v>0</v>
      </c>
      <c r="P98" s="403">
        <f t="shared" si="9"/>
        <v>741966.93</v>
      </c>
      <c r="Q98" s="403"/>
      <c r="R98" s="233">
        <f t="shared" si="10"/>
        <v>764471.93</v>
      </c>
      <c r="S98" s="13">
        <f t="shared" si="11"/>
        <v>0.93</v>
      </c>
      <c r="T98" s="1">
        <f t="shared" si="12"/>
        <v>93</v>
      </c>
      <c r="U98" t="s">
        <v>305</v>
      </c>
    </row>
    <row r="99" spans="1:22" ht="24.95" customHeight="1" x14ac:dyDescent="0.25">
      <c r="A99" s="16"/>
      <c r="B99" s="16">
        <f t="shared" si="16"/>
        <v>94</v>
      </c>
      <c r="C99" s="16" t="s">
        <v>172</v>
      </c>
      <c r="D99" s="74">
        <v>4.7999999999999996E-3</v>
      </c>
      <c r="E99" s="195">
        <v>775884.94</v>
      </c>
      <c r="F99" s="199">
        <f>E99</f>
        <v>775884.94</v>
      </c>
      <c r="G99" s="58">
        <f t="shared" si="8"/>
        <v>0</v>
      </c>
      <c r="H99" s="75">
        <f t="shared" si="15"/>
        <v>0</v>
      </c>
      <c r="I99" s="68">
        <f>K$2*D99</f>
        <v>387244.62681599997</v>
      </c>
      <c r="J99" s="68">
        <f>P$2*D99</f>
        <v>0</v>
      </c>
      <c r="K99" s="68">
        <f t="shared" si="13"/>
        <v>185936.29261027643</v>
      </c>
      <c r="L99" s="68">
        <f t="shared" si="14"/>
        <v>202702.7028</v>
      </c>
      <c r="M99" s="191">
        <f>G$1*D99</f>
        <v>0</v>
      </c>
      <c r="N99" s="191">
        <v>0</v>
      </c>
      <c r="O99" s="191">
        <v>0</v>
      </c>
      <c r="P99" s="403">
        <f t="shared" si="9"/>
        <v>775884.94</v>
      </c>
      <c r="Q99" s="403"/>
      <c r="R99" s="233">
        <f t="shared" si="10"/>
        <v>799418.94</v>
      </c>
      <c r="S99" s="13">
        <f t="shared" si="11"/>
        <v>0.94</v>
      </c>
      <c r="T99" s="1">
        <f t="shared" si="12"/>
        <v>94</v>
      </c>
      <c r="U99" t="s">
        <v>191</v>
      </c>
    </row>
    <row r="100" spans="1:22" ht="24.95" customHeight="1" x14ac:dyDescent="0.25">
      <c r="A100" s="16"/>
      <c r="B100" s="16">
        <f t="shared" si="16"/>
        <v>95</v>
      </c>
      <c r="C100" s="16" t="s">
        <v>105</v>
      </c>
      <c r="D100" s="74">
        <v>4.7999999999999996E-3</v>
      </c>
      <c r="E100" s="195">
        <v>4370568.95</v>
      </c>
      <c r="F100" s="199"/>
      <c r="G100" s="58">
        <f t="shared" si="8"/>
        <v>4370568.95</v>
      </c>
      <c r="H100" s="75">
        <f t="shared" si="15"/>
        <v>134919.46348650003</v>
      </c>
      <c r="I100" s="68">
        <f>K$2*D100</f>
        <v>387244.62681599997</v>
      </c>
      <c r="J100" s="68">
        <f>P$2*D100</f>
        <v>0</v>
      </c>
      <c r="K100" s="68">
        <f t="shared" si="13"/>
        <v>185936.29261027643</v>
      </c>
      <c r="L100" s="68">
        <f t="shared" si="14"/>
        <v>202702.7028</v>
      </c>
      <c r="M100" s="191">
        <f>G$1*D100</f>
        <v>0</v>
      </c>
      <c r="N100" s="191">
        <v>0</v>
      </c>
      <c r="O100" s="191">
        <v>0</v>
      </c>
      <c r="P100" s="403">
        <f t="shared" si="9"/>
        <v>5281372.95</v>
      </c>
      <c r="Q100" s="403"/>
      <c r="R100" s="233">
        <f t="shared" si="10"/>
        <v>5441557.9500000002</v>
      </c>
      <c r="S100" s="13">
        <f t="shared" si="11"/>
        <v>0.95</v>
      </c>
      <c r="T100" s="1">
        <f t="shared" si="12"/>
        <v>95</v>
      </c>
    </row>
    <row r="101" spans="1:22" ht="24.95" customHeight="1" x14ac:dyDescent="0.25">
      <c r="A101" s="166"/>
      <c r="B101" s="16">
        <f t="shared" si="16"/>
        <v>96</v>
      </c>
      <c r="C101" s="16" t="s">
        <v>106</v>
      </c>
      <c r="D101" s="74">
        <v>4.7999999999999996E-3</v>
      </c>
      <c r="E101" s="195">
        <v>744158.96</v>
      </c>
      <c r="F101" s="199">
        <v>770000</v>
      </c>
      <c r="G101" s="58">
        <f t="shared" si="8"/>
        <v>-25841.040000000037</v>
      </c>
      <c r="H101" s="75">
        <f t="shared" si="15"/>
        <v>0</v>
      </c>
      <c r="I101" s="68">
        <f>K$2*D101</f>
        <v>387244.62681599997</v>
      </c>
      <c r="J101" s="68">
        <f>P$2*D101</f>
        <v>0</v>
      </c>
      <c r="K101" s="68">
        <f t="shared" si="13"/>
        <v>185936.29261027643</v>
      </c>
      <c r="L101" s="68">
        <f t="shared" si="14"/>
        <v>202702.7028</v>
      </c>
      <c r="M101" s="191">
        <f>G$1*D101</f>
        <v>0</v>
      </c>
      <c r="N101" s="191">
        <v>0</v>
      </c>
      <c r="O101" s="191">
        <v>0</v>
      </c>
      <c r="P101" s="403">
        <f t="shared" si="9"/>
        <v>750043.96</v>
      </c>
      <c r="Q101" s="403"/>
      <c r="R101" s="233">
        <f t="shared" si="10"/>
        <v>772793.96</v>
      </c>
      <c r="S101" s="13">
        <f t="shared" si="11"/>
        <v>0.96</v>
      </c>
      <c r="T101" s="1">
        <f t="shared" si="12"/>
        <v>96</v>
      </c>
      <c r="U101" t="s">
        <v>203</v>
      </c>
    </row>
    <row r="102" spans="1:22" ht="24.95" customHeight="1" x14ac:dyDescent="0.25">
      <c r="A102" s="161"/>
      <c r="B102" s="16">
        <f t="shared" si="16"/>
        <v>97</v>
      </c>
      <c r="C102" s="16" t="s">
        <v>107</v>
      </c>
      <c r="D102" s="74">
        <v>4.7999999999999996E-3</v>
      </c>
      <c r="E102" s="195">
        <v>752429.97</v>
      </c>
      <c r="F102" s="199">
        <v>775252</v>
      </c>
      <c r="G102" s="58">
        <f t="shared" si="8"/>
        <v>-22822.030000000028</v>
      </c>
      <c r="H102" s="75">
        <f t="shared" si="15"/>
        <v>0</v>
      </c>
      <c r="I102" s="68">
        <f>K$2*D102</f>
        <v>387244.62681599997</v>
      </c>
      <c r="J102" s="68">
        <f>P$2*D102</f>
        <v>0</v>
      </c>
      <c r="K102" s="68">
        <f t="shared" si="13"/>
        <v>185936.29261027643</v>
      </c>
      <c r="L102" s="68">
        <f t="shared" si="14"/>
        <v>202702.7028</v>
      </c>
      <c r="M102" s="191">
        <f>G$1*D102</f>
        <v>0</v>
      </c>
      <c r="N102" s="191">
        <v>0</v>
      </c>
      <c r="O102" s="191">
        <v>0</v>
      </c>
      <c r="P102" s="403">
        <f t="shared" ref="P102:P133" si="17">ROUND(SUM(G102:O102),0) + S102</f>
        <v>753062.97</v>
      </c>
      <c r="Q102" s="403"/>
      <c r="R102" s="233">
        <f t="shared" ref="R102:R133" si="18">ROUND(P102+P102*3.033%,0) + S102</f>
        <v>775903.97</v>
      </c>
      <c r="S102" s="13">
        <f t="shared" ref="S102:S133" si="19">ROUND(0.001+B102/100,2)</f>
        <v>0.97</v>
      </c>
      <c r="T102" s="1">
        <f t="shared" ref="T102:T133" si="20">B102</f>
        <v>97</v>
      </c>
      <c r="U102" t="s">
        <v>218</v>
      </c>
    </row>
    <row r="103" spans="1:22" ht="24.95" customHeight="1" x14ac:dyDescent="0.25">
      <c r="A103" s="16"/>
      <c r="B103" s="16">
        <f t="shared" si="16"/>
        <v>98</v>
      </c>
      <c r="C103" s="16" t="s">
        <v>108</v>
      </c>
      <c r="D103" s="74">
        <v>4.7999999999999996E-3</v>
      </c>
      <c r="E103" s="195">
        <v>775884.98</v>
      </c>
      <c r="F103" s="199">
        <f>E103</f>
        <v>775884.98</v>
      </c>
      <c r="G103" s="58">
        <f t="shared" si="8"/>
        <v>0</v>
      </c>
      <c r="H103" s="75">
        <f t="shared" si="15"/>
        <v>0</v>
      </c>
      <c r="I103" s="68">
        <f>K$2*D103</f>
        <v>387244.62681599997</v>
      </c>
      <c r="J103" s="68">
        <f>P$2*D103</f>
        <v>0</v>
      </c>
      <c r="K103" s="68">
        <f t="shared" si="13"/>
        <v>185936.29261027643</v>
      </c>
      <c r="L103" s="68">
        <f t="shared" si="14"/>
        <v>202702.7028</v>
      </c>
      <c r="M103" s="191">
        <f>G$1*D103</f>
        <v>0</v>
      </c>
      <c r="N103" s="191">
        <v>0</v>
      </c>
      <c r="O103" s="191">
        <v>0</v>
      </c>
      <c r="P103" s="403">
        <f t="shared" si="17"/>
        <v>775884.98</v>
      </c>
      <c r="Q103" s="403"/>
      <c r="R103" s="233">
        <f t="shared" si="18"/>
        <v>799418.98</v>
      </c>
      <c r="S103" s="13">
        <f t="shared" si="19"/>
        <v>0.98</v>
      </c>
      <c r="T103" s="1">
        <f t="shared" si="20"/>
        <v>98</v>
      </c>
    </row>
    <row r="104" spans="1:22" ht="24.95" customHeight="1" x14ac:dyDescent="0.25">
      <c r="A104" s="16"/>
      <c r="B104" s="16">
        <f t="shared" si="16"/>
        <v>99</v>
      </c>
      <c r="C104" s="16" t="s">
        <v>109</v>
      </c>
      <c r="D104" s="74">
        <v>4.7999999999999996E-3</v>
      </c>
      <c r="E104" s="195">
        <v>799418.99</v>
      </c>
      <c r="F104" s="199">
        <f>E104</f>
        <v>799418.99</v>
      </c>
      <c r="G104" s="58">
        <f t="shared" si="8"/>
        <v>0</v>
      </c>
      <c r="H104" s="75">
        <f t="shared" si="15"/>
        <v>0</v>
      </c>
      <c r="I104" s="68">
        <f>K$2*D104</f>
        <v>387244.62681599997</v>
      </c>
      <c r="J104" s="68">
        <f>P$2*D104</f>
        <v>0</v>
      </c>
      <c r="K104" s="68">
        <f t="shared" si="13"/>
        <v>185936.29261027643</v>
      </c>
      <c r="L104" s="68">
        <f t="shared" si="14"/>
        <v>202702.7028</v>
      </c>
      <c r="M104" s="191">
        <f>G$1*D104</f>
        <v>0</v>
      </c>
      <c r="N104" s="191">
        <v>0</v>
      </c>
      <c r="O104" s="191">
        <v>0</v>
      </c>
      <c r="P104" s="403">
        <f t="shared" si="17"/>
        <v>775884.99</v>
      </c>
      <c r="Q104" s="403"/>
      <c r="R104" s="233">
        <f t="shared" si="18"/>
        <v>799418.99</v>
      </c>
      <c r="S104" s="13">
        <f t="shared" si="19"/>
        <v>0.99</v>
      </c>
      <c r="T104" s="1">
        <f t="shared" si="20"/>
        <v>99</v>
      </c>
      <c r="U104" s="10" t="s">
        <v>217</v>
      </c>
    </row>
    <row r="105" spans="1:22" ht="24.95" customHeight="1" x14ac:dyDescent="0.25">
      <c r="A105" s="16"/>
      <c r="B105" s="16">
        <f t="shared" si="16"/>
        <v>100</v>
      </c>
      <c r="C105" s="16" t="s">
        <v>110</v>
      </c>
      <c r="D105" s="74">
        <v>4.7999999999999996E-3</v>
      </c>
      <c r="E105" s="195">
        <v>728828</v>
      </c>
      <c r="F105" s="196">
        <f>E105</f>
        <v>728828</v>
      </c>
      <c r="G105" s="58">
        <f t="shared" si="8"/>
        <v>0</v>
      </c>
      <c r="H105" s="75">
        <f t="shared" si="15"/>
        <v>0</v>
      </c>
      <c r="I105" s="68">
        <f>K$2*D105</f>
        <v>387244.62681599997</v>
      </c>
      <c r="J105" s="68">
        <f>P$2*D105</f>
        <v>0</v>
      </c>
      <c r="K105" s="68">
        <f t="shared" si="13"/>
        <v>185936.29261027643</v>
      </c>
      <c r="L105" s="68">
        <f t="shared" si="14"/>
        <v>202702.7028</v>
      </c>
      <c r="M105" s="191">
        <f>G$1*D105</f>
        <v>0</v>
      </c>
      <c r="N105" s="191">
        <v>0</v>
      </c>
      <c r="O105" s="191">
        <v>0</v>
      </c>
      <c r="P105" s="403">
        <f t="shared" si="17"/>
        <v>775885</v>
      </c>
      <c r="Q105" s="403"/>
      <c r="R105" s="233">
        <f t="shared" si="18"/>
        <v>799419</v>
      </c>
      <c r="S105" s="13">
        <f t="shared" si="19"/>
        <v>1</v>
      </c>
      <c r="T105" s="1">
        <f t="shared" si="20"/>
        <v>100</v>
      </c>
    </row>
    <row r="106" spans="1:22" ht="24.95" customHeight="1" x14ac:dyDescent="0.25">
      <c r="A106" s="161"/>
      <c r="B106" s="16">
        <f t="shared" si="16"/>
        <v>101</v>
      </c>
      <c r="C106" s="16" t="s">
        <v>111</v>
      </c>
      <c r="D106" s="74">
        <v>4.7999999999999996E-3</v>
      </c>
      <c r="E106" s="195">
        <v>775885.01</v>
      </c>
      <c r="F106" s="199">
        <v>799419.01</v>
      </c>
      <c r="G106" s="58">
        <f t="shared" si="8"/>
        <v>-23534</v>
      </c>
      <c r="H106" s="75">
        <f t="shared" si="15"/>
        <v>0</v>
      </c>
      <c r="I106" s="68">
        <f>K$2*D106</f>
        <v>387244.62681599997</v>
      </c>
      <c r="J106" s="68">
        <f>P$2*D106</f>
        <v>0</v>
      </c>
      <c r="K106" s="68">
        <f t="shared" si="13"/>
        <v>185936.29261027643</v>
      </c>
      <c r="L106" s="68">
        <f t="shared" si="14"/>
        <v>202702.7028</v>
      </c>
      <c r="M106" s="191">
        <f>G$1*D106</f>
        <v>0</v>
      </c>
      <c r="N106" s="191">
        <v>0</v>
      </c>
      <c r="O106" s="191">
        <v>0</v>
      </c>
      <c r="P106" s="403">
        <f t="shared" si="17"/>
        <v>752351.01</v>
      </c>
      <c r="Q106" s="403"/>
      <c r="R106" s="233">
        <f t="shared" si="18"/>
        <v>775171.01</v>
      </c>
      <c r="S106" s="13">
        <f t="shared" si="19"/>
        <v>1.01</v>
      </c>
      <c r="T106" s="1">
        <f t="shared" si="20"/>
        <v>101</v>
      </c>
    </row>
    <row r="107" spans="1:22" ht="24.95" customHeight="1" x14ac:dyDescent="0.25">
      <c r="A107" s="225"/>
      <c r="B107" s="16">
        <f t="shared" si="16"/>
        <v>102</v>
      </c>
      <c r="C107" s="16" t="s">
        <v>112</v>
      </c>
      <c r="D107" s="74">
        <v>4.7999999999999996E-3</v>
      </c>
      <c r="E107" s="195">
        <v>766888.02</v>
      </c>
      <c r="F107" s="199">
        <v>780000</v>
      </c>
      <c r="G107" s="58">
        <f t="shared" si="8"/>
        <v>-13111.979999999981</v>
      </c>
      <c r="H107" s="75">
        <f t="shared" si="15"/>
        <v>0</v>
      </c>
      <c r="I107" s="68">
        <f>K$2*D107</f>
        <v>387244.62681599997</v>
      </c>
      <c r="J107" s="68">
        <f>P$2*D107</f>
        <v>0</v>
      </c>
      <c r="K107" s="68">
        <f t="shared" si="13"/>
        <v>185936.29261027643</v>
      </c>
      <c r="L107" s="68">
        <f t="shared" si="14"/>
        <v>202702.7028</v>
      </c>
      <c r="M107" s="191">
        <f>G$1*D107</f>
        <v>0</v>
      </c>
      <c r="N107" s="191">
        <v>0</v>
      </c>
      <c r="O107" s="191">
        <v>0</v>
      </c>
      <c r="P107" s="403">
        <f t="shared" si="17"/>
        <v>762773.02</v>
      </c>
      <c r="Q107" s="403"/>
      <c r="R107" s="233">
        <f t="shared" si="18"/>
        <v>785909.02</v>
      </c>
      <c r="S107" s="13">
        <f t="shared" si="19"/>
        <v>1.02</v>
      </c>
      <c r="T107" s="1">
        <f t="shared" si="20"/>
        <v>102</v>
      </c>
      <c r="U107" t="s">
        <v>275</v>
      </c>
    </row>
    <row r="108" spans="1:22" ht="24.95" customHeight="1" x14ac:dyDescent="0.25">
      <c r="A108" s="16"/>
      <c r="B108" s="16">
        <f t="shared" si="16"/>
        <v>103</v>
      </c>
      <c r="C108" s="16" t="s">
        <v>113</v>
      </c>
      <c r="D108" s="74">
        <v>4.7999999999999996E-3</v>
      </c>
      <c r="E108" s="195">
        <v>752351.03</v>
      </c>
      <c r="F108" s="199"/>
      <c r="G108" s="58">
        <f t="shared" si="8"/>
        <v>752351.03</v>
      </c>
      <c r="H108" s="75">
        <f t="shared" si="15"/>
        <v>23225.076296100004</v>
      </c>
      <c r="I108" s="68">
        <f>K$2*D108</f>
        <v>387244.62681599997</v>
      </c>
      <c r="J108" s="68">
        <f>P$2*D108</f>
        <v>0</v>
      </c>
      <c r="K108" s="68">
        <f t="shared" si="13"/>
        <v>185936.29261027643</v>
      </c>
      <c r="L108" s="68">
        <f t="shared" si="14"/>
        <v>202702.7028</v>
      </c>
      <c r="M108" s="191">
        <f>G$1*D108</f>
        <v>0</v>
      </c>
      <c r="N108" s="191">
        <v>0</v>
      </c>
      <c r="O108" s="191">
        <v>0</v>
      </c>
      <c r="P108" s="403">
        <f t="shared" si="17"/>
        <v>1551461.03</v>
      </c>
      <c r="Q108" s="403"/>
      <c r="R108" s="233">
        <f t="shared" si="18"/>
        <v>1598518.03</v>
      </c>
      <c r="S108" s="13">
        <f t="shared" si="19"/>
        <v>1.03</v>
      </c>
      <c r="T108" s="1">
        <f t="shared" si="20"/>
        <v>103</v>
      </c>
    </row>
    <row r="109" spans="1:22" ht="24.95" customHeight="1" x14ac:dyDescent="0.25">
      <c r="A109" s="225"/>
      <c r="B109" s="16">
        <f t="shared" si="16"/>
        <v>104</v>
      </c>
      <c r="C109" s="16" t="s">
        <v>114</v>
      </c>
      <c r="D109" s="74">
        <v>4.7000000000000002E-3</v>
      </c>
      <c r="E109" s="195">
        <v>746598.04</v>
      </c>
      <c r="F109" s="199">
        <v>769243.04</v>
      </c>
      <c r="G109" s="58">
        <f t="shared" si="8"/>
        <v>-22645</v>
      </c>
      <c r="H109" s="75">
        <f t="shared" si="15"/>
        <v>0</v>
      </c>
      <c r="I109" s="68">
        <f>K$2*D109</f>
        <v>379177.030424</v>
      </c>
      <c r="J109" s="68">
        <f>P$2*D109</f>
        <v>0</v>
      </c>
      <c r="K109" s="68">
        <f t="shared" si="13"/>
        <v>185936.29261027643</v>
      </c>
      <c r="L109" s="68">
        <f t="shared" si="14"/>
        <v>202702.7028</v>
      </c>
      <c r="M109" s="191">
        <f>G$1*D109</f>
        <v>0</v>
      </c>
      <c r="N109" s="191">
        <v>0</v>
      </c>
      <c r="O109" s="191">
        <v>0</v>
      </c>
      <c r="P109" s="403">
        <f t="shared" si="17"/>
        <v>745172.04</v>
      </c>
      <c r="Q109" s="403"/>
      <c r="R109" s="233">
        <f t="shared" si="18"/>
        <v>767774.04</v>
      </c>
      <c r="S109" s="13">
        <f t="shared" si="19"/>
        <v>1.04</v>
      </c>
      <c r="T109" s="1">
        <f t="shared" si="20"/>
        <v>104</v>
      </c>
      <c r="U109" t="s">
        <v>456</v>
      </c>
    </row>
    <row r="110" spans="1:22" ht="24.95" customHeight="1" x14ac:dyDescent="0.25">
      <c r="A110" s="225"/>
      <c r="B110" s="16">
        <f t="shared" si="16"/>
        <v>105</v>
      </c>
      <c r="C110" s="16" t="s">
        <v>115</v>
      </c>
      <c r="D110" s="74">
        <v>4.1999999999999997E-3</v>
      </c>
      <c r="E110" s="195">
        <v>797597.05</v>
      </c>
      <c r="F110" s="199">
        <f>97321+700726</f>
        <v>798047</v>
      </c>
      <c r="G110" s="58">
        <f t="shared" si="8"/>
        <v>-449.94999999995343</v>
      </c>
      <c r="H110" s="75">
        <f t="shared" si="15"/>
        <v>0</v>
      </c>
      <c r="I110" s="68">
        <f>K$2*D110</f>
        <v>338839.04846399999</v>
      </c>
      <c r="J110" s="68">
        <f>P$2*D110</f>
        <v>0</v>
      </c>
      <c r="K110" s="68">
        <f t="shared" si="13"/>
        <v>185936.29261027643</v>
      </c>
      <c r="L110" s="68">
        <f t="shared" si="14"/>
        <v>202702.7028</v>
      </c>
      <c r="M110" s="191">
        <f>G$1*D110</f>
        <v>0</v>
      </c>
      <c r="N110" s="191">
        <v>0</v>
      </c>
      <c r="O110" s="191">
        <v>0</v>
      </c>
      <c r="P110" s="403">
        <f t="shared" si="17"/>
        <v>727029.05</v>
      </c>
      <c r="Q110" s="403"/>
      <c r="R110" s="233">
        <f t="shared" si="18"/>
        <v>749081.05</v>
      </c>
      <c r="S110" s="76">
        <f t="shared" si="19"/>
        <v>1.05</v>
      </c>
      <c r="T110" s="57">
        <f t="shared" si="20"/>
        <v>105</v>
      </c>
      <c r="U110" s="147" t="s">
        <v>308</v>
      </c>
      <c r="V110" s="35"/>
    </row>
    <row r="111" spans="1:22" ht="24.95" customHeight="1" x14ac:dyDescent="0.25">
      <c r="A111" s="226"/>
      <c r="B111" s="16">
        <f t="shared" si="16"/>
        <v>106</v>
      </c>
      <c r="C111" s="16" t="s">
        <v>325</v>
      </c>
      <c r="D111" s="74">
        <v>4.4000000000000003E-3</v>
      </c>
      <c r="E111" s="195">
        <v>1918656.06</v>
      </c>
      <c r="F111" s="196">
        <f>E111</f>
        <v>1918656.06</v>
      </c>
      <c r="G111" s="58">
        <f t="shared" si="8"/>
        <v>0</v>
      </c>
      <c r="H111" s="75">
        <f t="shared" si="15"/>
        <v>0</v>
      </c>
      <c r="I111" s="68">
        <f>K$2*D111</f>
        <v>354974.24124800001</v>
      </c>
      <c r="J111" s="68">
        <f>P$2*D111</f>
        <v>0</v>
      </c>
      <c r="K111" s="68">
        <f t="shared" si="13"/>
        <v>185936.29261027643</v>
      </c>
      <c r="L111" s="68">
        <f t="shared" si="14"/>
        <v>202702.7028</v>
      </c>
      <c r="M111" s="191">
        <v>70995</v>
      </c>
      <c r="N111" s="68">
        <f>(I111)</f>
        <v>354974.24124800001</v>
      </c>
      <c r="O111" s="191">
        <v>0</v>
      </c>
      <c r="P111" s="403">
        <f t="shared" si="17"/>
        <v>1169583.06</v>
      </c>
      <c r="Q111" s="403"/>
      <c r="R111" s="233">
        <f t="shared" si="18"/>
        <v>1205058.06</v>
      </c>
      <c r="S111" s="76">
        <f t="shared" si="19"/>
        <v>1.06</v>
      </c>
      <c r="T111" s="57">
        <f t="shared" si="20"/>
        <v>106</v>
      </c>
      <c r="U111" t="s">
        <v>318</v>
      </c>
    </row>
    <row r="112" spans="1:22" ht="24.95" customHeight="1" x14ac:dyDescent="0.25">
      <c r="A112" s="16"/>
      <c r="B112" s="16">
        <f t="shared" si="16"/>
        <v>107</v>
      </c>
      <c r="C112" s="16" t="s">
        <v>116</v>
      </c>
      <c r="D112" s="74">
        <v>4.4000000000000003E-3</v>
      </c>
      <c r="E112" s="195">
        <v>743614.07</v>
      </c>
      <c r="F112" s="199">
        <f>E112</f>
        <v>743614.07</v>
      </c>
      <c r="G112" s="58">
        <f t="shared" si="8"/>
        <v>0</v>
      </c>
      <c r="H112" s="75">
        <f t="shared" si="15"/>
        <v>0</v>
      </c>
      <c r="I112" s="68">
        <f>K$2*D112</f>
        <v>354974.24124800001</v>
      </c>
      <c r="J112" s="68">
        <f>P$2*D112</f>
        <v>0</v>
      </c>
      <c r="K112" s="68">
        <f t="shared" si="13"/>
        <v>185936.29261027643</v>
      </c>
      <c r="L112" s="68">
        <f t="shared" si="14"/>
        <v>202702.7028</v>
      </c>
      <c r="M112" s="191">
        <f>G$1*D112</f>
        <v>0</v>
      </c>
      <c r="N112" s="191">
        <v>0</v>
      </c>
      <c r="O112" s="191">
        <v>0</v>
      </c>
      <c r="P112" s="403">
        <f t="shared" si="17"/>
        <v>743614.07</v>
      </c>
      <c r="Q112" s="403"/>
      <c r="R112" s="233">
        <f t="shared" si="18"/>
        <v>766169.07</v>
      </c>
      <c r="S112" s="13">
        <f t="shared" si="19"/>
        <v>1.07</v>
      </c>
      <c r="T112" s="1">
        <f t="shared" si="20"/>
        <v>107</v>
      </c>
      <c r="U112" t="s">
        <v>248</v>
      </c>
    </row>
    <row r="113" spans="1:25" ht="24.95" customHeight="1" x14ac:dyDescent="0.25">
      <c r="A113" s="16"/>
      <c r="B113" s="16">
        <f t="shared" si="16"/>
        <v>108</v>
      </c>
      <c r="C113" s="16" t="s">
        <v>117</v>
      </c>
      <c r="D113" s="74">
        <v>4.4000000000000003E-3</v>
      </c>
      <c r="E113" s="195">
        <v>721059.08</v>
      </c>
      <c r="F113" s="196">
        <f>E113</f>
        <v>721059.08</v>
      </c>
      <c r="G113" s="58">
        <f t="shared" si="8"/>
        <v>0</v>
      </c>
      <c r="H113" s="75">
        <f t="shared" si="15"/>
        <v>0</v>
      </c>
      <c r="I113" s="68">
        <f>K$2*D113</f>
        <v>354974.24124800001</v>
      </c>
      <c r="J113" s="68">
        <f>P$2*D113</f>
        <v>0</v>
      </c>
      <c r="K113" s="68">
        <f t="shared" si="13"/>
        <v>185936.29261027643</v>
      </c>
      <c r="L113" s="68">
        <f t="shared" si="14"/>
        <v>202702.7028</v>
      </c>
      <c r="M113" s="191">
        <f>G$1*D113</f>
        <v>0</v>
      </c>
      <c r="N113" s="191">
        <v>0</v>
      </c>
      <c r="O113" s="191">
        <v>0</v>
      </c>
      <c r="P113" s="403">
        <f t="shared" si="17"/>
        <v>743614.08</v>
      </c>
      <c r="Q113" s="403"/>
      <c r="R113" s="233">
        <f t="shared" si="18"/>
        <v>766169.08</v>
      </c>
      <c r="S113" s="13">
        <f t="shared" si="19"/>
        <v>1.08</v>
      </c>
      <c r="T113" s="1">
        <f t="shared" si="20"/>
        <v>108</v>
      </c>
    </row>
    <row r="114" spans="1:25" ht="24.95" customHeight="1" x14ac:dyDescent="0.25">
      <c r="A114" s="297"/>
      <c r="B114" s="16">
        <f t="shared" si="16"/>
        <v>109</v>
      </c>
      <c r="C114" s="16" t="s">
        <v>118</v>
      </c>
      <c r="D114" s="74">
        <v>4.4999999999999997E-3</v>
      </c>
      <c r="E114" s="195">
        <v>1549526.09</v>
      </c>
      <c r="F114" s="199">
        <v>775000</v>
      </c>
      <c r="G114" s="58">
        <f t="shared" si="8"/>
        <v>774526.09000000008</v>
      </c>
      <c r="H114" s="75">
        <f t="shared" si="15"/>
        <v>23909.620398300005</v>
      </c>
      <c r="I114" s="68">
        <f>K$2*D114</f>
        <v>363041.83763999998</v>
      </c>
      <c r="J114" s="68">
        <f>P$2*D114</f>
        <v>0</v>
      </c>
      <c r="K114" s="68">
        <f t="shared" si="13"/>
        <v>185936.29261027643</v>
      </c>
      <c r="L114" s="68">
        <f t="shared" si="14"/>
        <v>202702.7028</v>
      </c>
      <c r="M114" s="191">
        <f>G$1*D114</f>
        <v>0</v>
      </c>
      <c r="N114" s="191">
        <v>0</v>
      </c>
      <c r="O114" s="191">
        <v>0</v>
      </c>
      <c r="P114" s="403">
        <f t="shared" si="17"/>
        <v>1550118.09</v>
      </c>
      <c r="Q114" s="403"/>
      <c r="R114" s="233">
        <f t="shared" si="18"/>
        <v>1597134.09</v>
      </c>
      <c r="S114" s="13">
        <f t="shared" si="19"/>
        <v>1.0900000000000001</v>
      </c>
      <c r="T114" s="1">
        <f t="shared" si="20"/>
        <v>109</v>
      </c>
      <c r="U114" t="s">
        <v>244</v>
      </c>
    </row>
    <row r="115" spans="1:25" ht="24.95" customHeight="1" x14ac:dyDescent="0.25">
      <c r="A115" s="225"/>
      <c r="B115" s="16">
        <f t="shared" si="16"/>
        <v>110</v>
      </c>
      <c r="C115" s="16" t="s">
        <v>119</v>
      </c>
      <c r="D115" s="74">
        <v>4.5999999999999999E-3</v>
      </c>
      <c r="E115" s="195">
        <v>737457.1</v>
      </c>
      <c r="F115" s="199">
        <v>760000</v>
      </c>
      <c r="G115" s="58">
        <f t="shared" si="8"/>
        <v>-22542.900000000023</v>
      </c>
      <c r="H115" s="75">
        <f t="shared" si="15"/>
        <v>0</v>
      </c>
      <c r="I115" s="68">
        <f>K$2*D115</f>
        <v>371109.43403200002</v>
      </c>
      <c r="J115" s="68">
        <f>P$2*D115</f>
        <v>0</v>
      </c>
      <c r="K115" s="68">
        <f t="shared" si="13"/>
        <v>185936.29261027643</v>
      </c>
      <c r="L115" s="68">
        <f t="shared" si="14"/>
        <v>202702.7028</v>
      </c>
      <c r="M115" s="191">
        <f>G$1*D115</f>
        <v>0</v>
      </c>
      <c r="N115" s="191">
        <v>0</v>
      </c>
      <c r="O115" s="191">
        <v>0</v>
      </c>
      <c r="P115" s="403">
        <f t="shared" si="17"/>
        <v>737207.1</v>
      </c>
      <c r="Q115" s="403"/>
      <c r="R115" s="233">
        <f t="shared" si="18"/>
        <v>759568.1</v>
      </c>
      <c r="S115" s="13">
        <f t="shared" si="19"/>
        <v>1.1000000000000001</v>
      </c>
      <c r="T115" s="1">
        <f t="shared" si="20"/>
        <v>110</v>
      </c>
      <c r="U115" t="s">
        <v>252</v>
      </c>
      <c r="Y115" s="40"/>
    </row>
    <row r="116" spans="1:25" ht="24.95" customHeight="1" x14ac:dyDescent="0.25">
      <c r="A116" s="16"/>
      <c r="B116" s="16">
        <f t="shared" si="16"/>
        <v>111</v>
      </c>
      <c r="C116" s="16" t="s">
        <v>120</v>
      </c>
      <c r="D116" s="74">
        <v>4.4999999999999997E-3</v>
      </c>
      <c r="E116" s="195">
        <v>774482.11</v>
      </c>
      <c r="F116" s="199">
        <f>E116</f>
        <v>774482.11</v>
      </c>
      <c r="G116" s="58">
        <f t="shared" si="8"/>
        <v>0</v>
      </c>
      <c r="H116" s="75">
        <f t="shared" si="15"/>
        <v>0</v>
      </c>
      <c r="I116" s="68">
        <f>K$2*D116</f>
        <v>363041.83763999998</v>
      </c>
      <c r="J116" s="68">
        <f>P$2*D116</f>
        <v>0</v>
      </c>
      <c r="K116" s="68">
        <f t="shared" si="13"/>
        <v>185936.29261027643</v>
      </c>
      <c r="L116" s="68">
        <f t="shared" si="14"/>
        <v>202702.7028</v>
      </c>
      <c r="M116" s="191">
        <f>G$1*D116</f>
        <v>0</v>
      </c>
      <c r="N116" s="191">
        <v>0</v>
      </c>
      <c r="O116" s="191">
        <v>0</v>
      </c>
      <c r="P116" s="403">
        <f t="shared" si="17"/>
        <v>751682.11</v>
      </c>
      <c r="Q116" s="403"/>
      <c r="R116" s="233">
        <f t="shared" si="18"/>
        <v>774482.11</v>
      </c>
      <c r="S116" s="13">
        <f t="shared" si="19"/>
        <v>1.1100000000000001</v>
      </c>
      <c r="T116" s="1">
        <f t="shared" si="20"/>
        <v>111</v>
      </c>
    </row>
    <row r="117" spans="1:25" ht="24.95" customHeight="1" x14ac:dyDescent="0.25">
      <c r="A117" s="275"/>
      <c r="B117" s="16">
        <f t="shared" si="16"/>
        <v>112</v>
      </c>
      <c r="C117" s="16" t="s">
        <v>121</v>
      </c>
      <c r="D117" s="74">
        <v>4.4999999999999997E-3</v>
      </c>
      <c r="E117" s="195">
        <v>751682.12</v>
      </c>
      <c r="F117" s="199">
        <v>752000</v>
      </c>
      <c r="G117" s="58">
        <f t="shared" si="8"/>
        <v>-317.88000000000466</v>
      </c>
      <c r="H117" s="75">
        <f t="shared" si="15"/>
        <v>0</v>
      </c>
      <c r="I117" s="68">
        <f>K$2*D117</f>
        <v>363041.83763999998</v>
      </c>
      <c r="J117" s="68">
        <f>P$2*D117</f>
        <v>0</v>
      </c>
      <c r="K117" s="68">
        <f t="shared" si="13"/>
        <v>185936.29261027643</v>
      </c>
      <c r="L117" s="68">
        <f t="shared" si="14"/>
        <v>202702.7028</v>
      </c>
      <c r="M117" s="191">
        <f>G$1*D117</f>
        <v>0</v>
      </c>
      <c r="N117" s="191">
        <v>0</v>
      </c>
      <c r="O117" s="191">
        <v>0</v>
      </c>
      <c r="P117" s="403">
        <f t="shared" si="17"/>
        <v>751364.12</v>
      </c>
      <c r="Q117" s="403"/>
      <c r="R117" s="233">
        <f t="shared" si="18"/>
        <v>774154.12</v>
      </c>
      <c r="S117" s="13">
        <f t="shared" si="19"/>
        <v>1.1200000000000001</v>
      </c>
      <c r="T117" s="1">
        <f t="shared" si="20"/>
        <v>112</v>
      </c>
      <c r="U117" t="s">
        <v>202</v>
      </c>
    </row>
    <row r="118" spans="1:25" ht="24.95" customHeight="1" x14ac:dyDescent="0.25">
      <c r="A118" s="16"/>
      <c r="B118" s="16">
        <f t="shared" si="16"/>
        <v>113</v>
      </c>
      <c r="C118" s="16" t="s">
        <v>122</v>
      </c>
      <c r="D118" s="74">
        <v>4.7000000000000002E-3</v>
      </c>
      <c r="E118" s="195">
        <v>767817.13</v>
      </c>
      <c r="F118" s="199">
        <v>791106.13</v>
      </c>
      <c r="G118" s="58">
        <f t="shared" si="8"/>
        <v>-23289</v>
      </c>
      <c r="H118" s="75">
        <f t="shared" si="15"/>
        <v>0</v>
      </c>
      <c r="I118" s="68">
        <f>K$2*D118</f>
        <v>379177.030424</v>
      </c>
      <c r="J118" s="68">
        <f>P$2*D118</f>
        <v>0</v>
      </c>
      <c r="K118" s="68">
        <f t="shared" si="13"/>
        <v>185936.29261027643</v>
      </c>
      <c r="L118" s="68">
        <f t="shared" si="14"/>
        <v>202702.7028</v>
      </c>
      <c r="M118" s="191">
        <f>G$1*D118</f>
        <v>0</v>
      </c>
      <c r="N118" s="191">
        <v>0</v>
      </c>
      <c r="O118" s="191">
        <v>0</v>
      </c>
      <c r="P118" s="403">
        <f t="shared" si="17"/>
        <v>744528.13</v>
      </c>
      <c r="Q118" s="403"/>
      <c r="R118" s="233">
        <f t="shared" si="18"/>
        <v>767111.13</v>
      </c>
      <c r="S118" s="13">
        <f t="shared" si="19"/>
        <v>1.1299999999999999</v>
      </c>
      <c r="T118" s="1">
        <f t="shared" si="20"/>
        <v>113</v>
      </c>
    </row>
    <row r="119" spans="1:25" ht="24.95" customHeight="1" x14ac:dyDescent="0.25">
      <c r="A119" s="16"/>
      <c r="B119" s="16">
        <f t="shared" si="16"/>
        <v>114</v>
      </c>
      <c r="C119" s="16" t="s">
        <v>123</v>
      </c>
      <c r="D119" s="74">
        <v>4.4999999999999997E-3</v>
      </c>
      <c r="E119" s="195">
        <v>751682.14</v>
      </c>
      <c r="F119" s="199">
        <f>E119</f>
        <v>751682.14</v>
      </c>
      <c r="G119" s="58">
        <f t="shared" si="8"/>
        <v>0</v>
      </c>
      <c r="H119" s="75">
        <f t="shared" si="15"/>
        <v>0</v>
      </c>
      <c r="I119" s="68">
        <f>K$2*D119</f>
        <v>363041.83763999998</v>
      </c>
      <c r="J119" s="68">
        <f>P$2*D119</f>
        <v>0</v>
      </c>
      <c r="K119" s="68">
        <f t="shared" si="13"/>
        <v>185936.29261027643</v>
      </c>
      <c r="L119" s="68">
        <f t="shared" si="14"/>
        <v>202702.7028</v>
      </c>
      <c r="M119" s="191">
        <f>G$1*D119</f>
        <v>0</v>
      </c>
      <c r="N119" s="191">
        <v>0</v>
      </c>
      <c r="O119" s="191">
        <v>0</v>
      </c>
      <c r="P119" s="403">
        <f t="shared" si="17"/>
        <v>751682.14</v>
      </c>
      <c r="Q119" s="403"/>
      <c r="R119" s="233">
        <f t="shared" si="18"/>
        <v>774482.14</v>
      </c>
      <c r="S119" s="13">
        <f t="shared" si="19"/>
        <v>1.1399999999999999</v>
      </c>
      <c r="T119" s="1">
        <f t="shared" si="20"/>
        <v>114</v>
      </c>
    </row>
    <row r="120" spans="1:25" ht="24.95" customHeight="1" x14ac:dyDescent="0.25">
      <c r="A120" s="16"/>
      <c r="B120" s="16">
        <f t="shared" si="16"/>
        <v>115</v>
      </c>
      <c r="C120" s="16" t="s">
        <v>124</v>
      </c>
      <c r="D120" s="74">
        <v>6.4000000000000003E-3</v>
      </c>
      <c r="E120" s="195">
        <v>988385.15</v>
      </c>
      <c r="F120" s="199">
        <f>E120</f>
        <v>988385.15</v>
      </c>
      <c r="G120" s="58">
        <f t="shared" si="8"/>
        <v>0</v>
      </c>
      <c r="H120" s="75">
        <f t="shared" si="15"/>
        <v>0</v>
      </c>
      <c r="I120" s="68">
        <f>K$2*D120</f>
        <v>516326.16908800002</v>
      </c>
      <c r="J120" s="68">
        <f>P$2*D120</f>
        <v>0</v>
      </c>
      <c r="K120" s="68">
        <f t="shared" si="13"/>
        <v>185936.29261027643</v>
      </c>
      <c r="L120" s="68">
        <f t="shared" si="14"/>
        <v>202702.7028</v>
      </c>
      <c r="M120" s="191">
        <f>G$1*D120</f>
        <v>0</v>
      </c>
      <c r="N120" s="191">
        <v>0</v>
      </c>
      <c r="O120" s="191">
        <v>0</v>
      </c>
      <c r="P120" s="403">
        <f t="shared" si="17"/>
        <v>904966.15</v>
      </c>
      <c r="Q120" s="403"/>
      <c r="R120" s="233">
        <f t="shared" si="18"/>
        <v>932415.15</v>
      </c>
      <c r="S120" s="13">
        <f t="shared" si="19"/>
        <v>1.1499999999999999</v>
      </c>
      <c r="T120" s="1">
        <f t="shared" si="20"/>
        <v>115</v>
      </c>
      <c r="U120" t="s">
        <v>302</v>
      </c>
    </row>
    <row r="121" spans="1:25" ht="24.95" customHeight="1" x14ac:dyDescent="0.25">
      <c r="A121" s="16"/>
      <c r="B121" s="16">
        <f t="shared" si="16"/>
        <v>116</v>
      </c>
      <c r="C121" s="16" t="s">
        <v>125</v>
      </c>
      <c r="D121" s="74">
        <v>5.7999999999999996E-3</v>
      </c>
      <c r="E121" s="195">
        <v>831320.16</v>
      </c>
      <c r="F121" s="199">
        <v>856535.16</v>
      </c>
      <c r="G121" s="58">
        <f t="shared" si="8"/>
        <v>-25215</v>
      </c>
      <c r="H121" s="75">
        <f t="shared" si="15"/>
        <v>0</v>
      </c>
      <c r="I121" s="68">
        <f>K$2*D121</f>
        <v>467920.59073599998</v>
      </c>
      <c r="J121" s="68">
        <f>P$2*D121</f>
        <v>0</v>
      </c>
      <c r="K121" s="68">
        <f t="shared" si="13"/>
        <v>185936.29261027643</v>
      </c>
      <c r="L121" s="68">
        <f t="shared" si="14"/>
        <v>202702.7028</v>
      </c>
      <c r="M121" s="191">
        <f>G$1*D121</f>
        <v>0</v>
      </c>
      <c r="N121" s="191">
        <v>0</v>
      </c>
      <c r="O121" s="191">
        <v>0</v>
      </c>
      <c r="P121" s="403">
        <f t="shared" si="17"/>
        <v>831346.16</v>
      </c>
      <c r="Q121" s="403"/>
      <c r="R121" s="233">
        <f t="shared" si="18"/>
        <v>856562.16</v>
      </c>
      <c r="S121" s="13">
        <f t="shared" si="19"/>
        <v>1.1599999999999999</v>
      </c>
      <c r="T121" s="1">
        <f t="shared" si="20"/>
        <v>116</v>
      </c>
    </row>
    <row r="122" spans="1:25" ht="24.95" customHeight="1" x14ac:dyDescent="0.25">
      <c r="A122" s="16"/>
      <c r="B122" s="16">
        <f t="shared" si="16"/>
        <v>117</v>
      </c>
      <c r="C122" s="16" t="s">
        <v>126</v>
      </c>
      <c r="D122" s="74">
        <v>6.1000000000000004E-3</v>
      </c>
      <c r="E122" s="195">
        <v>880763.17</v>
      </c>
      <c r="F122" s="199">
        <f>E122</f>
        <v>880763.17</v>
      </c>
      <c r="G122" s="58">
        <f t="shared" si="8"/>
        <v>0</v>
      </c>
      <c r="H122" s="75">
        <f t="shared" si="15"/>
        <v>0</v>
      </c>
      <c r="I122" s="68">
        <f>K$2*D122</f>
        <v>492123.37991200003</v>
      </c>
      <c r="J122" s="68">
        <f>P$2*D122</f>
        <v>0</v>
      </c>
      <c r="K122" s="68">
        <f t="shared" si="13"/>
        <v>185936.29261027643</v>
      </c>
      <c r="L122" s="68">
        <f t="shared" si="14"/>
        <v>202702.7028</v>
      </c>
      <c r="M122" s="191">
        <f>G$1*D122</f>
        <v>0</v>
      </c>
      <c r="N122" s="191">
        <v>0</v>
      </c>
      <c r="O122" s="191">
        <v>0</v>
      </c>
      <c r="P122" s="403">
        <f t="shared" si="17"/>
        <v>880763.17</v>
      </c>
      <c r="Q122" s="403"/>
      <c r="R122" s="233">
        <f t="shared" si="18"/>
        <v>907478.17</v>
      </c>
      <c r="S122" s="13">
        <f t="shared" si="19"/>
        <v>1.17</v>
      </c>
      <c r="T122" s="1">
        <f t="shared" si="20"/>
        <v>117</v>
      </c>
      <c r="U122" t="s">
        <v>276</v>
      </c>
    </row>
    <row r="123" spans="1:25" ht="24.95" customHeight="1" x14ac:dyDescent="0.25">
      <c r="A123" s="263"/>
      <c r="B123" s="16">
        <f t="shared" si="16"/>
        <v>118</v>
      </c>
      <c r="C123" s="16" t="s">
        <v>127</v>
      </c>
      <c r="D123" s="74">
        <v>5.7999999999999996E-3</v>
      </c>
      <c r="E123" s="195">
        <v>856623.18</v>
      </c>
      <c r="F123" s="199">
        <f>2377000-F125-F126</f>
        <v>857501.59000000008</v>
      </c>
      <c r="G123" s="58">
        <f t="shared" si="8"/>
        <v>-878.4100000000326</v>
      </c>
      <c r="H123" s="75">
        <f t="shared" si="15"/>
        <v>0</v>
      </c>
      <c r="I123" s="68">
        <f>K$2*D123</f>
        <v>467920.59073599998</v>
      </c>
      <c r="J123" s="68">
        <f>P$2*D123</f>
        <v>0</v>
      </c>
      <c r="K123" s="68">
        <f t="shared" si="13"/>
        <v>185936.29261027643</v>
      </c>
      <c r="L123" s="68">
        <f t="shared" si="14"/>
        <v>202702.7028</v>
      </c>
      <c r="M123" s="191">
        <f>G$1*D123</f>
        <v>0</v>
      </c>
      <c r="N123" s="191">
        <v>0</v>
      </c>
      <c r="O123" s="191">
        <v>0</v>
      </c>
      <c r="P123" s="403">
        <f t="shared" si="17"/>
        <v>855682.18</v>
      </c>
      <c r="Q123" s="403"/>
      <c r="R123" s="233">
        <f t="shared" si="18"/>
        <v>881636.18</v>
      </c>
      <c r="S123" s="13">
        <f t="shared" si="19"/>
        <v>1.18</v>
      </c>
      <c r="T123" s="1">
        <f t="shared" si="20"/>
        <v>118</v>
      </c>
      <c r="U123" t="s">
        <v>298</v>
      </c>
    </row>
    <row r="124" spans="1:25" ht="24.95" customHeight="1" x14ac:dyDescent="0.25">
      <c r="A124" s="167"/>
      <c r="B124" s="16">
        <f t="shared" si="16"/>
        <v>119</v>
      </c>
      <c r="C124" s="16" t="s">
        <v>128</v>
      </c>
      <c r="D124" s="74">
        <v>5.4000000000000003E-3</v>
      </c>
      <c r="E124" s="195">
        <v>824544.19</v>
      </c>
      <c r="F124" s="199">
        <v>825000</v>
      </c>
      <c r="G124" s="58">
        <f t="shared" si="8"/>
        <v>-455.81000000005588</v>
      </c>
      <c r="H124" s="75">
        <f t="shared" si="15"/>
        <v>0</v>
      </c>
      <c r="I124" s="68">
        <f>K$2*D124</f>
        <v>435650.20516800001</v>
      </c>
      <c r="J124" s="68">
        <f>P$2*D124</f>
        <v>0</v>
      </c>
      <c r="K124" s="68">
        <f t="shared" si="13"/>
        <v>185936.29261027643</v>
      </c>
      <c r="L124" s="68">
        <f t="shared" si="14"/>
        <v>202702.7028</v>
      </c>
      <c r="M124" s="191">
        <f>G$1*D124</f>
        <v>0</v>
      </c>
      <c r="N124" s="191">
        <v>0</v>
      </c>
      <c r="O124" s="191">
        <v>0</v>
      </c>
      <c r="P124" s="403">
        <f t="shared" si="17"/>
        <v>823834.19</v>
      </c>
      <c r="Q124" s="403"/>
      <c r="R124" s="233">
        <f t="shared" si="18"/>
        <v>848822.19</v>
      </c>
      <c r="S124" s="13">
        <f t="shared" si="19"/>
        <v>1.19</v>
      </c>
      <c r="T124" s="1">
        <f t="shared" si="20"/>
        <v>119</v>
      </c>
      <c r="U124" t="s">
        <v>207</v>
      </c>
    </row>
    <row r="125" spans="1:25" ht="24.6" customHeight="1" x14ac:dyDescent="0.25">
      <c r="A125" s="16"/>
      <c r="B125" s="16">
        <f t="shared" si="16"/>
        <v>120</v>
      </c>
      <c r="C125" s="16" t="s">
        <v>127</v>
      </c>
      <c r="D125" s="74">
        <v>4.5999999999999999E-3</v>
      </c>
      <c r="E125" s="195">
        <v>759749.2</v>
      </c>
      <c r="F125" s="199">
        <f>E125</f>
        <v>759749.2</v>
      </c>
      <c r="G125" s="58">
        <f t="shared" si="8"/>
        <v>0</v>
      </c>
      <c r="H125" s="75">
        <f t="shared" si="15"/>
        <v>0</v>
      </c>
      <c r="I125" s="68">
        <f>K$2*D125</f>
        <v>371109.43403200002</v>
      </c>
      <c r="J125" s="68">
        <f>P$2*D125</f>
        <v>0</v>
      </c>
      <c r="K125" s="68">
        <f t="shared" si="13"/>
        <v>185936.29261027643</v>
      </c>
      <c r="L125" s="68">
        <f t="shared" si="14"/>
        <v>202702.7028</v>
      </c>
      <c r="M125" s="191">
        <f>G$1*D125</f>
        <v>0</v>
      </c>
      <c r="N125" s="191">
        <v>0</v>
      </c>
      <c r="O125" s="191">
        <v>0</v>
      </c>
      <c r="P125" s="403">
        <f t="shared" si="17"/>
        <v>759749.2</v>
      </c>
      <c r="Q125" s="403"/>
      <c r="R125" s="233">
        <f t="shared" si="18"/>
        <v>782793.2</v>
      </c>
      <c r="S125" s="13">
        <f t="shared" si="19"/>
        <v>1.2</v>
      </c>
      <c r="T125" s="1">
        <f t="shared" si="20"/>
        <v>120</v>
      </c>
      <c r="U125" t="s">
        <v>299</v>
      </c>
    </row>
    <row r="126" spans="1:25" ht="24.95" customHeight="1" x14ac:dyDescent="0.25">
      <c r="A126" s="16"/>
      <c r="B126" s="16">
        <f t="shared" si="16"/>
        <v>121</v>
      </c>
      <c r="C126" s="16" t="s">
        <v>127</v>
      </c>
      <c r="D126" s="74">
        <v>4.5999999999999999E-3</v>
      </c>
      <c r="E126" s="195">
        <v>759749.21</v>
      </c>
      <c r="F126" s="199">
        <f>E126</f>
        <v>759749.21</v>
      </c>
      <c r="G126" s="58">
        <f t="shared" si="8"/>
        <v>0</v>
      </c>
      <c r="H126" s="75">
        <f t="shared" si="15"/>
        <v>0</v>
      </c>
      <c r="I126" s="68">
        <f>K$2*D126</f>
        <v>371109.43403200002</v>
      </c>
      <c r="J126" s="68">
        <f>P$2*D126</f>
        <v>0</v>
      </c>
      <c r="K126" s="68">
        <f t="shared" si="13"/>
        <v>185936.29261027643</v>
      </c>
      <c r="L126" s="68">
        <f t="shared" si="14"/>
        <v>202702.7028</v>
      </c>
      <c r="M126" s="191">
        <f>G$1*D126</f>
        <v>0</v>
      </c>
      <c r="N126" s="191">
        <v>0</v>
      </c>
      <c r="O126" s="191">
        <v>0</v>
      </c>
      <c r="P126" s="403">
        <f t="shared" si="17"/>
        <v>759749.21</v>
      </c>
      <c r="Q126" s="403"/>
      <c r="R126" s="233">
        <f t="shared" si="18"/>
        <v>782793.21</v>
      </c>
      <c r="S126" s="13">
        <f t="shared" si="19"/>
        <v>1.21</v>
      </c>
      <c r="T126" s="1">
        <f t="shared" si="20"/>
        <v>121</v>
      </c>
      <c r="U126" t="s">
        <v>299</v>
      </c>
    </row>
    <row r="127" spans="1:25" ht="24.95" customHeight="1" x14ac:dyDescent="0.25">
      <c r="A127" s="16"/>
      <c r="B127" s="16">
        <f t="shared" si="16"/>
        <v>122</v>
      </c>
      <c r="C127" s="16" t="s">
        <v>129</v>
      </c>
      <c r="D127" s="74">
        <v>4.5999999999999999E-3</v>
      </c>
      <c r="E127" s="195">
        <v>759549.22</v>
      </c>
      <c r="F127" s="196">
        <f>E127</f>
        <v>759549.22</v>
      </c>
      <c r="G127" s="58">
        <f t="shared" si="8"/>
        <v>0</v>
      </c>
      <c r="H127" s="75">
        <f t="shared" si="15"/>
        <v>0</v>
      </c>
      <c r="I127" s="68">
        <f>K$2*D127</f>
        <v>371109.43403200002</v>
      </c>
      <c r="J127" s="68">
        <f>P$2*D127</f>
        <v>0</v>
      </c>
      <c r="K127" s="68">
        <f t="shared" si="13"/>
        <v>185936.29261027643</v>
      </c>
      <c r="L127" s="68">
        <f t="shared" si="14"/>
        <v>202702.7028</v>
      </c>
      <c r="M127" s="191">
        <f>G$1*D127</f>
        <v>0</v>
      </c>
      <c r="N127" s="191">
        <v>0</v>
      </c>
      <c r="O127" s="191">
        <v>0</v>
      </c>
      <c r="P127" s="403">
        <f t="shared" si="17"/>
        <v>759749.22</v>
      </c>
      <c r="Q127" s="403"/>
      <c r="R127" s="233">
        <f t="shared" si="18"/>
        <v>782793.22</v>
      </c>
      <c r="S127" s="13">
        <f t="shared" si="19"/>
        <v>1.22</v>
      </c>
      <c r="T127" s="1">
        <f t="shared" si="20"/>
        <v>122</v>
      </c>
    </row>
    <row r="128" spans="1:25" ht="24.95" customHeight="1" x14ac:dyDescent="0.25">
      <c r="A128" s="16"/>
      <c r="B128" s="16">
        <f t="shared" si="16"/>
        <v>123</v>
      </c>
      <c r="C128" s="16" t="s">
        <v>130</v>
      </c>
      <c r="D128" s="74">
        <v>4.5999999999999999E-3</v>
      </c>
      <c r="E128" s="195">
        <v>782793.23</v>
      </c>
      <c r="F128" s="199">
        <f t="shared" ref="F128" si="21">E128</f>
        <v>782793.23</v>
      </c>
      <c r="G128" s="58">
        <f t="shared" si="8"/>
        <v>0</v>
      </c>
      <c r="H128" s="75">
        <f t="shared" si="15"/>
        <v>0</v>
      </c>
      <c r="I128" s="68">
        <f>K$2*D128</f>
        <v>371109.43403200002</v>
      </c>
      <c r="J128" s="68">
        <f>P$2*D128</f>
        <v>0</v>
      </c>
      <c r="K128" s="68">
        <f t="shared" si="13"/>
        <v>185936.29261027643</v>
      </c>
      <c r="L128" s="68">
        <f t="shared" si="14"/>
        <v>202702.7028</v>
      </c>
      <c r="M128" s="191">
        <f>G$1*D128</f>
        <v>0</v>
      </c>
      <c r="N128" s="191">
        <v>0</v>
      </c>
      <c r="O128" s="191">
        <v>0</v>
      </c>
      <c r="P128" s="403">
        <f t="shared" si="17"/>
        <v>759749.23</v>
      </c>
      <c r="Q128" s="403"/>
      <c r="R128" s="233">
        <f t="shared" si="18"/>
        <v>782793.23</v>
      </c>
      <c r="S128" s="13">
        <f t="shared" si="19"/>
        <v>1.23</v>
      </c>
      <c r="T128" s="1">
        <f t="shared" si="20"/>
        <v>123</v>
      </c>
      <c r="U128" t="s">
        <v>277</v>
      </c>
    </row>
    <row r="129" spans="1:21" ht="24.95" customHeight="1" x14ac:dyDescent="0.25">
      <c r="A129" s="16"/>
      <c r="B129" s="16">
        <f t="shared" si="16"/>
        <v>124</v>
      </c>
      <c r="C129" s="16" t="s">
        <v>131</v>
      </c>
      <c r="D129" s="74">
        <v>4.5999999999999999E-3</v>
      </c>
      <c r="E129" s="195">
        <v>737382.24</v>
      </c>
      <c r="F129" s="199">
        <v>759748.24</v>
      </c>
      <c r="G129" s="58">
        <f t="shared" si="8"/>
        <v>-22366</v>
      </c>
      <c r="H129" s="75">
        <f t="shared" si="15"/>
        <v>0</v>
      </c>
      <c r="I129" s="68">
        <f>K$2*D129</f>
        <v>371109.43403200002</v>
      </c>
      <c r="J129" s="68">
        <f>P$2*D129</f>
        <v>0</v>
      </c>
      <c r="K129" s="68">
        <f t="shared" si="13"/>
        <v>185936.29261027643</v>
      </c>
      <c r="L129" s="68">
        <f t="shared" si="14"/>
        <v>202702.7028</v>
      </c>
      <c r="M129" s="191">
        <f>G$1*D129</f>
        <v>0</v>
      </c>
      <c r="N129" s="191">
        <v>0</v>
      </c>
      <c r="O129" s="191">
        <v>0</v>
      </c>
      <c r="P129" s="403">
        <f t="shared" si="17"/>
        <v>737383.24</v>
      </c>
      <c r="Q129" s="403"/>
      <c r="R129" s="233">
        <f t="shared" si="18"/>
        <v>759749.24</v>
      </c>
      <c r="S129" s="13">
        <f t="shared" si="19"/>
        <v>1.24</v>
      </c>
      <c r="T129" s="1">
        <f t="shared" si="20"/>
        <v>124</v>
      </c>
    </row>
    <row r="130" spans="1:21" ht="24.95" customHeight="1" x14ac:dyDescent="0.25">
      <c r="A130" s="16"/>
      <c r="B130" s="16">
        <f t="shared" si="16"/>
        <v>125</v>
      </c>
      <c r="C130" s="16" t="s">
        <v>132</v>
      </c>
      <c r="D130" s="74">
        <v>4.5999999999999999E-3</v>
      </c>
      <c r="E130" s="195">
        <v>737403.25</v>
      </c>
      <c r="F130" s="196">
        <f>E130</f>
        <v>737403.25</v>
      </c>
      <c r="G130" s="58">
        <f t="shared" si="8"/>
        <v>0</v>
      </c>
      <c r="H130" s="75">
        <f t="shared" si="15"/>
        <v>0</v>
      </c>
      <c r="I130" s="68">
        <f>K$2*D130</f>
        <v>371109.43403200002</v>
      </c>
      <c r="J130" s="68">
        <f>P$2*D130</f>
        <v>0</v>
      </c>
      <c r="K130" s="68">
        <f t="shared" si="13"/>
        <v>185936.29261027643</v>
      </c>
      <c r="L130" s="68">
        <f t="shared" si="14"/>
        <v>202702.7028</v>
      </c>
      <c r="M130" s="191">
        <f>G$1*D130</f>
        <v>0</v>
      </c>
      <c r="N130" s="191">
        <v>0</v>
      </c>
      <c r="O130" s="191">
        <v>0</v>
      </c>
      <c r="P130" s="403">
        <f t="shared" si="17"/>
        <v>759749.25</v>
      </c>
      <c r="Q130" s="403"/>
      <c r="R130" s="233">
        <f t="shared" si="18"/>
        <v>782793.25</v>
      </c>
      <c r="S130" s="13">
        <f t="shared" si="19"/>
        <v>1.25</v>
      </c>
      <c r="T130" s="1">
        <f t="shared" si="20"/>
        <v>125</v>
      </c>
      <c r="U130" t="s">
        <v>256</v>
      </c>
    </row>
    <row r="131" spans="1:21" ht="24.95" customHeight="1" x14ac:dyDescent="0.25">
      <c r="A131" s="16"/>
      <c r="B131" s="16">
        <f t="shared" si="16"/>
        <v>126</v>
      </c>
      <c r="C131" s="16" t="s">
        <v>133</v>
      </c>
      <c r="D131" s="74">
        <v>4.5999999999999999E-3</v>
      </c>
      <c r="E131" s="195">
        <v>782793.26</v>
      </c>
      <c r="F131" s="199">
        <f>E131</f>
        <v>782793.26</v>
      </c>
      <c r="G131" s="58">
        <f t="shared" si="8"/>
        <v>0</v>
      </c>
      <c r="H131" s="75">
        <f t="shared" si="15"/>
        <v>0</v>
      </c>
      <c r="I131" s="68">
        <f>K$2*D131</f>
        <v>371109.43403200002</v>
      </c>
      <c r="J131" s="68">
        <f>P$2*D131</f>
        <v>0</v>
      </c>
      <c r="K131" s="68">
        <f t="shared" si="13"/>
        <v>185936.29261027643</v>
      </c>
      <c r="L131" s="68">
        <f t="shared" si="14"/>
        <v>202702.7028</v>
      </c>
      <c r="M131" s="191">
        <f>G$1*D131</f>
        <v>0</v>
      </c>
      <c r="N131" s="191">
        <v>0</v>
      </c>
      <c r="O131" s="191">
        <v>0</v>
      </c>
      <c r="P131" s="403">
        <f t="shared" si="17"/>
        <v>759749.26</v>
      </c>
      <c r="Q131" s="403"/>
      <c r="R131" s="233">
        <f t="shared" si="18"/>
        <v>782793.26</v>
      </c>
      <c r="S131" s="13">
        <f t="shared" si="19"/>
        <v>1.26</v>
      </c>
      <c r="T131" s="1">
        <f t="shared" si="20"/>
        <v>126</v>
      </c>
    </row>
    <row r="132" spans="1:21" ht="24.95" customHeight="1" x14ac:dyDescent="0.25">
      <c r="A132" s="16"/>
      <c r="B132" s="16">
        <f t="shared" si="16"/>
        <v>127</v>
      </c>
      <c r="C132" s="16" t="s">
        <v>134</v>
      </c>
      <c r="D132" s="74">
        <v>5.5999999999999999E-3</v>
      </c>
      <c r="E132" s="195">
        <v>840425.27</v>
      </c>
      <c r="F132" s="199">
        <f>E132</f>
        <v>840425.27</v>
      </c>
      <c r="G132" s="58">
        <f t="shared" si="8"/>
        <v>0</v>
      </c>
      <c r="H132" s="75">
        <f t="shared" si="15"/>
        <v>0</v>
      </c>
      <c r="I132" s="68">
        <f>K$2*D132</f>
        <v>451785.39795200003</v>
      </c>
      <c r="J132" s="68">
        <f>P$2*D132</f>
        <v>0</v>
      </c>
      <c r="K132" s="68">
        <f t="shared" si="13"/>
        <v>185936.29261027643</v>
      </c>
      <c r="L132" s="68">
        <f t="shared" si="14"/>
        <v>202702.7028</v>
      </c>
      <c r="M132" s="191">
        <f>G$1*D132</f>
        <v>0</v>
      </c>
      <c r="N132" s="191">
        <v>0</v>
      </c>
      <c r="O132" s="191">
        <v>0</v>
      </c>
      <c r="P132" s="403">
        <f t="shared" si="17"/>
        <v>840425.27</v>
      </c>
      <c r="Q132" s="403"/>
      <c r="R132" s="233">
        <f t="shared" si="18"/>
        <v>865916.27</v>
      </c>
      <c r="S132" s="13">
        <f t="shared" si="19"/>
        <v>1.27</v>
      </c>
      <c r="T132" s="1">
        <f t="shared" si="20"/>
        <v>127</v>
      </c>
      <c r="U132" t="s">
        <v>214</v>
      </c>
    </row>
    <row r="133" spans="1:21" ht="24.95" customHeight="1" x14ac:dyDescent="0.25">
      <c r="A133" s="16"/>
      <c r="B133" s="16">
        <f t="shared" si="16"/>
        <v>128</v>
      </c>
      <c r="C133" s="16" t="s">
        <v>366</v>
      </c>
      <c r="D133" s="74">
        <v>6.1000000000000004E-3</v>
      </c>
      <c r="E133" s="195">
        <v>880764.28</v>
      </c>
      <c r="F133" s="196">
        <f>E133</f>
        <v>880764.28</v>
      </c>
      <c r="G133" s="58">
        <f t="shared" si="8"/>
        <v>0</v>
      </c>
      <c r="H133" s="75">
        <f t="shared" si="15"/>
        <v>0</v>
      </c>
      <c r="I133" s="68">
        <f>K$2*D133</f>
        <v>492123.37991200003</v>
      </c>
      <c r="J133" s="68">
        <f>P$2*D133</f>
        <v>0</v>
      </c>
      <c r="K133" s="68">
        <f t="shared" si="13"/>
        <v>185936.29261027643</v>
      </c>
      <c r="L133" s="68">
        <f t="shared" si="14"/>
        <v>202702.7028</v>
      </c>
      <c r="M133" s="191">
        <f>G$1*D133</f>
        <v>0</v>
      </c>
      <c r="N133" s="191">
        <v>0</v>
      </c>
      <c r="O133" s="191">
        <v>0</v>
      </c>
      <c r="P133" s="403">
        <f t="shared" si="17"/>
        <v>880763.28</v>
      </c>
      <c r="Q133" s="403"/>
      <c r="R133" s="233">
        <f t="shared" si="18"/>
        <v>907478.28</v>
      </c>
      <c r="S133" s="76">
        <f t="shared" si="19"/>
        <v>1.28</v>
      </c>
      <c r="T133" s="57">
        <f t="shared" si="20"/>
        <v>128</v>
      </c>
    </row>
    <row r="134" spans="1:21" ht="24.95" customHeight="1" x14ac:dyDescent="0.25">
      <c r="A134" s="16"/>
      <c r="B134" s="16">
        <f>B133+1</f>
        <v>129</v>
      </c>
      <c r="C134" s="16" t="s">
        <v>135</v>
      </c>
      <c r="D134" s="74">
        <v>6.1000000000000004E-3</v>
      </c>
      <c r="E134" s="195">
        <v>880763.29</v>
      </c>
      <c r="F134" s="199">
        <f>E134</f>
        <v>880763.29</v>
      </c>
      <c r="G134" s="58">
        <f t="shared" si="8"/>
        <v>0</v>
      </c>
      <c r="H134" s="75">
        <f t="shared" si="15"/>
        <v>0</v>
      </c>
      <c r="I134" s="68">
        <f>K$2*D134</f>
        <v>492123.37991200003</v>
      </c>
      <c r="J134" s="68">
        <f>P$2*D134</f>
        <v>0</v>
      </c>
      <c r="K134" s="68">
        <f t="shared" si="13"/>
        <v>185936.29261027643</v>
      </c>
      <c r="L134" s="68">
        <f t="shared" si="14"/>
        <v>202702.7028</v>
      </c>
      <c r="M134" s="191">
        <f>G$1*D134</f>
        <v>0</v>
      </c>
      <c r="N134" s="191">
        <v>0</v>
      </c>
      <c r="O134" s="191">
        <v>0</v>
      </c>
      <c r="P134" s="403">
        <f t="shared" ref="P134:P144" si="22">ROUND(SUM(G134:O134),0) + S134</f>
        <v>880763.29</v>
      </c>
      <c r="Q134" s="403"/>
      <c r="R134" s="233">
        <f t="shared" ref="R134:R144" si="23">ROUND(P134+P134*3.033%,0) + S134</f>
        <v>907478.29</v>
      </c>
      <c r="S134" s="13">
        <f t="shared" ref="S134:S158" si="24">ROUND(0.001+B134/100,2)</f>
        <v>1.29</v>
      </c>
      <c r="T134" s="1">
        <f t="shared" ref="T134:T158" si="25">B134</f>
        <v>129</v>
      </c>
      <c r="U134" t="s">
        <v>192</v>
      </c>
    </row>
    <row r="135" spans="1:21" ht="24.95" customHeight="1" x14ac:dyDescent="0.25">
      <c r="A135" s="306"/>
      <c r="B135" s="16">
        <f t="shared" si="16"/>
        <v>130</v>
      </c>
      <c r="C135" s="16" t="s">
        <v>136</v>
      </c>
      <c r="D135" s="74">
        <v>5.7000000000000002E-3</v>
      </c>
      <c r="E135" s="195">
        <v>847851.3</v>
      </c>
      <c r="F135" s="199">
        <v>848000</v>
      </c>
      <c r="G135" s="58">
        <f t="shared" si="8"/>
        <v>-148.69999999995343</v>
      </c>
      <c r="H135" s="75">
        <f t="shared" si="15"/>
        <v>0</v>
      </c>
      <c r="I135" s="68">
        <f>K$2*D135</f>
        <v>459852.99434400001</v>
      </c>
      <c r="J135" s="68">
        <f>P$2*D135</f>
        <v>0</v>
      </c>
      <c r="K135" s="68">
        <f t="shared" ref="K135:K144" si="26">G$2*0.675675676%</f>
        <v>185936.29261027643</v>
      </c>
      <c r="L135" s="68">
        <f t="shared" ref="L135:L143" si="27">P$1*0.675675676%</f>
        <v>202702.7028</v>
      </c>
      <c r="M135" s="191">
        <f>G$1*D135</f>
        <v>0</v>
      </c>
      <c r="N135" s="191">
        <v>0</v>
      </c>
      <c r="O135" s="191">
        <v>0</v>
      </c>
      <c r="P135" s="403">
        <f t="shared" si="22"/>
        <v>848344.3</v>
      </c>
      <c r="Q135" s="403"/>
      <c r="R135" s="233">
        <f t="shared" si="23"/>
        <v>874076.3</v>
      </c>
      <c r="S135" s="13">
        <f t="shared" si="24"/>
        <v>1.3</v>
      </c>
      <c r="T135" s="1">
        <f t="shared" si="25"/>
        <v>130</v>
      </c>
      <c r="U135" t="s">
        <v>211</v>
      </c>
    </row>
    <row r="136" spans="1:21" ht="24.95" customHeight="1" x14ac:dyDescent="0.25">
      <c r="A136" s="16"/>
      <c r="B136" s="16">
        <f t="shared" si="16"/>
        <v>131</v>
      </c>
      <c r="C136" s="16" t="s">
        <v>137</v>
      </c>
      <c r="D136" s="74">
        <v>6.1000000000000004E-3</v>
      </c>
      <c r="E136" s="195">
        <v>880763.31</v>
      </c>
      <c r="F136" s="199">
        <f>E136</f>
        <v>880763.31</v>
      </c>
      <c r="G136" s="58">
        <f t="shared" si="8"/>
        <v>0</v>
      </c>
      <c r="H136" s="75">
        <f t="shared" ref="H136:H158" si="28">IF(G136&gt;0,G136*3.087%,0)</f>
        <v>0</v>
      </c>
      <c r="I136" s="68">
        <f>K$2*D136</f>
        <v>492123.37991200003</v>
      </c>
      <c r="J136" s="68">
        <f>P$2*D136</f>
        <v>0</v>
      </c>
      <c r="K136" s="68">
        <f t="shared" si="26"/>
        <v>185936.29261027643</v>
      </c>
      <c r="L136" s="68">
        <f t="shared" si="27"/>
        <v>202702.7028</v>
      </c>
      <c r="M136" s="191">
        <f>G$1*D136</f>
        <v>0</v>
      </c>
      <c r="N136" s="191">
        <v>0</v>
      </c>
      <c r="O136" s="191">
        <v>0</v>
      </c>
      <c r="P136" s="403">
        <f t="shared" si="22"/>
        <v>880763.31</v>
      </c>
      <c r="Q136" s="403"/>
      <c r="R136" s="233">
        <f t="shared" si="23"/>
        <v>907478.31</v>
      </c>
      <c r="S136" s="13">
        <f t="shared" si="24"/>
        <v>1.31</v>
      </c>
      <c r="T136" s="1">
        <f t="shared" si="25"/>
        <v>131</v>
      </c>
      <c r="U136" t="s">
        <v>291</v>
      </c>
    </row>
    <row r="137" spans="1:21" ht="24.95" customHeight="1" x14ac:dyDescent="0.25">
      <c r="A137" s="16"/>
      <c r="B137" s="16">
        <f t="shared" si="16"/>
        <v>132</v>
      </c>
      <c r="C137" s="16" t="s">
        <v>138</v>
      </c>
      <c r="D137" s="74">
        <v>6.0000000000000001E-3</v>
      </c>
      <c r="E137" s="195">
        <v>872695.32</v>
      </c>
      <c r="F137" s="196">
        <f>E137</f>
        <v>872695.32</v>
      </c>
      <c r="G137" s="58">
        <f t="shared" si="8"/>
        <v>0</v>
      </c>
      <c r="H137" s="75">
        <f t="shared" si="28"/>
        <v>0</v>
      </c>
      <c r="I137" s="68">
        <f>K$2*D137</f>
        <v>484055.78352</v>
      </c>
      <c r="J137" s="68">
        <f>P$2*D137</f>
        <v>0</v>
      </c>
      <c r="K137" s="68">
        <f t="shared" si="26"/>
        <v>185936.29261027643</v>
      </c>
      <c r="L137" s="68">
        <f t="shared" si="27"/>
        <v>202702.7028</v>
      </c>
      <c r="M137" s="191">
        <f>G$1*D137</f>
        <v>0</v>
      </c>
      <c r="N137" s="191">
        <v>0</v>
      </c>
      <c r="O137" s="191">
        <v>0</v>
      </c>
      <c r="P137" s="403">
        <f t="shared" si="22"/>
        <v>872696.31999999995</v>
      </c>
      <c r="Q137" s="403"/>
      <c r="R137" s="233">
        <f t="shared" si="23"/>
        <v>899166.32</v>
      </c>
      <c r="S137" s="13">
        <f t="shared" si="24"/>
        <v>1.32</v>
      </c>
      <c r="T137" s="1">
        <f t="shared" si="25"/>
        <v>132</v>
      </c>
      <c r="U137" t="s">
        <v>253</v>
      </c>
    </row>
    <row r="138" spans="1:21" ht="24.95" customHeight="1" x14ac:dyDescent="0.25">
      <c r="A138" s="16"/>
      <c r="B138" s="16">
        <f t="shared" ref="B138:B146" si="29">B137+1</f>
        <v>133</v>
      </c>
      <c r="C138" s="16" t="s">
        <v>139</v>
      </c>
      <c r="D138" s="74">
        <v>6.4000000000000003E-3</v>
      </c>
      <c r="E138" s="195">
        <v>904966.33</v>
      </c>
      <c r="F138" s="199">
        <f>E138</f>
        <v>904966.33</v>
      </c>
      <c r="G138" s="58">
        <f t="shared" si="8"/>
        <v>0</v>
      </c>
      <c r="H138" s="75">
        <f t="shared" si="28"/>
        <v>0</v>
      </c>
      <c r="I138" s="68">
        <f>K$2*D138</f>
        <v>516326.16908800002</v>
      </c>
      <c r="J138" s="68">
        <f>P$2*D138</f>
        <v>0</v>
      </c>
      <c r="K138" s="68">
        <f t="shared" si="26"/>
        <v>185936.29261027643</v>
      </c>
      <c r="L138" s="68">
        <f t="shared" si="27"/>
        <v>202702.7028</v>
      </c>
      <c r="M138" s="191">
        <f>G$1*D138</f>
        <v>0</v>
      </c>
      <c r="N138" s="191">
        <v>0</v>
      </c>
      <c r="O138" s="191">
        <v>0</v>
      </c>
      <c r="P138" s="403">
        <f t="shared" si="22"/>
        <v>904966.33</v>
      </c>
      <c r="Q138" s="403"/>
      <c r="R138" s="233">
        <f t="shared" si="23"/>
        <v>932415.33</v>
      </c>
      <c r="S138" s="13">
        <f t="shared" si="24"/>
        <v>1.33</v>
      </c>
      <c r="T138" s="1">
        <f t="shared" si="25"/>
        <v>133</v>
      </c>
      <c r="U138" t="s">
        <v>219</v>
      </c>
    </row>
    <row r="139" spans="1:21" ht="24.95" customHeight="1" x14ac:dyDescent="0.25">
      <c r="A139" s="16"/>
      <c r="B139" s="16">
        <f t="shared" si="29"/>
        <v>134</v>
      </c>
      <c r="C139" s="16" t="s">
        <v>140</v>
      </c>
      <c r="D139" s="74">
        <v>5.3E-3</v>
      </c>
      <c r="E139" s="195">
        <v>816223.34</v>
      </c>
      <c r="F139" s="199">
        <v>840980.34</v>
      </c>
      <c r="G139" s="58">
        <f t="shared" si="8"/>
        <v>-24757</v>
      </c>
      <c r="H139" s="75">
        <f t="shared" si="28"/>
        <v>0</v>
      </c>
      <c r="I139" s="68">
        <f>K$2*D139</f>
        <v>427582.60877600004</v>
      </c>
      <c r="J139" s="68">
        <f>P$2*D139</f>
        <v>0</v>
      </c>
      <c r="K139" s="68">
        <f t="shared" si="26"/>
        <v>185936.29261027643</v>
      </c>
      <c r="L139" s="68">
        <f t="shared" si="27"/>
        <v>202702.7028</v>
      </c>
      <c r="M139" s="191">
        <f>G$1*D139</f>
        <v>0</v>
      </c>
      <c r="N139" s="191">
        <v>0</v>
      </c>
      <c r="O139" s="191">
        <v>0</v>
      </c>
      <c r="P139" s="403">
        <f t="shared" si="22"/>
        <v>791466.34</v>
      </c>
      <c r="Q139" s="403"/>
      <c r="R139" s="233">
        <f t="shared" si="23"/>
        <v>815473.34</v>
      </c>
      <c r="S139" s="13">
        <f t="shared" si="24"/>
        <v>1.34</v>
      </c>
      <c r="T139" s="1">
        <f t="shared" si="25"/>
        <v>134</v>
      </c>
      <c r="U139" t="s">
        <v>199</v>
      </c>
    </row>
    <row r="140" spans="1:21" ht="24.95" customHeight="1" x14ac:dyDescent="0.25">
      <c r="A140" s="16"/>
      <c r="B140" s="16">
        <f t="shared" si="29"/>
        <v>135</v>
      </c>
      <c r="C140" s="16" t="s">
        <v>140</v>
      </c>
      <c r="D140" s="74">
        <v>6.1000000000000004E-3</v>
      </c>
      <c r="E140" s="195">
        <v>880763.35</v>
      </c>
      <c r="F140" s="199">
        <v>907478.35</v>
      </c>
      <c r="G140" s="58">
        <f t="shared" si="8"/>
        <v>-26715</v>
      </c>
      <c r="H140" s="75">
        <f t="shared" si="28"/>
        <v>0</v>
      </c>
      <c r="I140" s="68">
        <f>K$2*D140</f>
        <v>492123.37991200003</v>
      </c>
      <c r="J140" s="68">
        <f>P$2*D140</f>
        <v>0</v>
      </c>
      <c r="K140" s="68">
        <f t="shared" si="26"/>
        <v>185936.29261027643</v>
      </c>
      <c r="L140" s="68">
        <f t="shared" si="27"/>
        <v>202702.7028</v>
      </c>
      <c r="M140" s="191">
        <f>G$1*D140</f>
        <v>0</v>
      </c>
      <c r="N140" s="191">
        <v>0</v>
      </c>
      <c r="O140" s="191">
        <v>0</v>
      </c>
      <c r="P140" s="403">
        <f t="shared" si="22"/>
        <v>854048.35</v>
      </c>
      <c r="Q140" s="403"/>
      <c r="R140" s="233">
        <f t="shared" si="23"/>
        <v>879953.35</v>
      </c>
      <c r="S140" s="13">
        <f t="shared" si="24"/>
        <v>1.35</v>
      </c>
      <c r="T140" s="1">
        <f t="shared" si="25"/>
        <v>135</v>
      </c>
      <c r="U140" s="59" t="s">
        <v>199</v>
      </c>
    </row>
    <row r="141" spans="1:21" ht="24.95" customHeight="1" x14ac:dyDescent="0.25">
      <c r="A141" s="16"/>
      <c r="B141" s="16">
        <f t="shared" si="29"/>
        <v>136</v>
      </c>
      <c r="C141" s="16" t="s">
        <v>141</v>
      </c>
      <c r="D141" s="74">
        <v>6.1999999999999998E-3</v>
      </c>
      <c r="E141" s="195">
        <v>5792067.3600000003</v>
      </c>
      <c r="F141" s="196">
        <f>E141</f>
        <v>5792067.3600000003</v>
      </c>
      <c r="G141" s="58">
        <f t="shared" si="8"/>
        <v>0</v>
      </c>
      <c r="H141" s="75">
        <f t="shared" si="28"/>
        <v>0</v>
      </c>
      <c r="I141" s="68">
        <f>K$2*D141</f>
        <v>500190.97630400001</v>
      </c>
      <c r="J141" s="68">
        <f>P$2*D141</f>
        <v>0</v>
      </c>
      <c r="K141" s="68">
        <f t="shared" si="26"/>
        <v>185936.29261027643</v>
      </c>
      <c r="L141" s="68">
        <f t="shared" si="27"/>
        <v>202702.7028</v>
      </c>
      <c r="M141" s="191">
        <f>G$1*D141</f>
        <v>0</v>
      </c>
      <c r="N141" s="191">
        <v>0</v>
      </c>
      <c r="O141" s="191">
        <v>0</v>
      </c>
      <c r="P141" s="403">
        <f t="shared" si="22"/>
        <v>888831.36</v>
      </c>
      <c r="Q141" s="403"/>
      <c r="R141" s="233">
        <f t="shared" si="23"/>
        <v>915791.35999999999</v>
      </c>
      <c r="S141" s="13">
        <f t="shared" si="24"/>
        <v>1.36</v>
      </c>
      <c r="T141" s="1">
        <f t="shared" si="25"/>
        <v>136</v>
      </c>
      <c r="U141" t="s">
        <v>271</v>
      </c>
    </row>
    <row r="142" spans="1:21" ht="24.95" customHeight="1" x14ac:dyDescent="0.25">
      <c r="A142" s="16"/>
      <c r="B142" s="16">
        <f t="shared" si="29"/>
        <v>137</v>
      </c>
      <c r="C142" s="16" t="s">
        <v>142</v>
      </c>
      <c r="D142" s="74">
        <v>5.4000000000000003E-3</v>
      </c>
      <c r="E142" s="195">
        <v>824290.37</v>
      </c>
      <c r="F142" s="199">
        <f>E142</f>
        <v>824290.37</v>
      </c>
      <c r="G142" s="58">
        <f t="shared" si="8"/>
        <v>0</v>
      </c>
      <c r="H142" s="75">
        <f t="shared" si="28"/>
        <v>0</v>
      </c>
      <c r="I142" s="68">
        <f>K$2*D142</f>
        <v>435650.20516800001</v>
      </c>
      <c r="J142" s="68">
        <f>P$2*D142</f>
        <v>0</v>
      </c>
      <c r="K142" s="68">
        <f t="shared" si="26"/>
        <v>185936.29261027643</v>
      </c>
      <c r="L142" s="68">
        <f t="shared" si="27"/>
        <v>202702.7028</v>
      </c>
      <c r="M142" s="191">
        <f>G$1*D142</f>
        <v>0</v>
      </c>
      <c r="N142" s="191">
        <v>0</v>
      </c>
      <c r="O142" s="191">
        <v>0</v>
      </c>
      <c r="P142" s="403">
        <f t="shared" si="22"/>
        <v>824290.37</v>
      </c>
      <c r="Q142" s="403"/>
      <c r="R142" s="233">
        <f t="shared" si="23"/>
        <v>849292.37</v>
      </c>
      <c r="S142" s="13">
        <f t="shared" si="24"/>
        <v>1.37</v>
      </c>
      <c r="T142" s="1">
        <f t="shared" si="25"/>
        <v>137</v>
      </c>
    </row>
    <row r="143" spans="1:21" ht="24.95" customHeight="1" x14ac:dyDescent="0.25">
      <c r="A143" s="16"/>
      <c r="B143" s="16">
        <f t="shared" si="29"/>
        <v>138</v>
      </c>
      <c r="C143" s="16" t="s">
        <v>143</v>
      </c>
      <c r="D143" s="74">
        <v>6.4999999999999997E-3</v>
      </c>
      <c r="E143" s="195">
        <v>886155.38</v>
      </c>
      <c r="F143" s="199">
        <v>913033.38</v>
      </c>
      <c r="G143" s="58">
        <f t="shared" si="8"/>
        <v>-26878</v>
      </c>
      <c r="H143" s="75">
        <f t="shared" si="28"/>
        <v>0</v>
      </c>
      <c r="I143" s="68">
        <f>K$2*D143</f>
        <v>524393.76547999994</v>
      </c>
      <c r="J143" s="68">
        <f>P$2*D143</f>
        <v>0</v>
      </c>
      <c r="K143" s="68">
        <f t="shared" si="26"/>
        <v>185936.29261027643</v>
      </c>
      <c r="L143" s="68">
        <f t="shared" si="27"/>
        <v>202702.7028</v>
      </c>
      <c r="M143" s="191">
        <f>G$1*D143</f>
        <v>0</v>
      </c>
      <c r="N143" s="191">
        <v>0</v>
      </c>
      <c r="O143" s="191">
        <v>0</v>
      </c>
      <c r="P143" s="403">
        <f t="shared" si="22"/>
        <v>886156.38</v>
      </c>
      <c r="Q143" s="403"/>
      <c r="R143" s="233">
        <f t="shared" si="23"/>
        <v>913035.38</v>
      </c>
      <c r="S143" s="13">
        <f t="shared" si="24"/>
        <v>1.38</v>
      </c>
      <c r="T143" s="1">
        <f t="shared" si="25"/>
        <v>138</v>
      </c>
      <c r="U143" t="s">
        <v>280</v>
      </c>
    </row>
    <row r="144" spans="1:21" ht="24.95" customHeight="1" x14ac:dyDescent="0.25">
      <c r="A144" s="16"/>
      <c r="B144" s="16">
        <f t="shared" si="29"/>
        <v>139</v>
      </c>
      <c r="C144" s="16" t="s">
        <v>144</v>
      </c>
      <c r="D144" s="74">
        <v>6.1000000000000004E-3</v>
      </c>
      <c r="E144" s="195">
        <v>880719.39</v>
      </c>
      <c r="F144" s="199">
        <v>880800</v>
      </c>
      <c r="G144" s="58">
        <f t="shared" si="8"/>
        <v>-80.60999999998603</v>
      </c>
      <c r="H144" s="75">
        <f t="shared" si="28"/>
        <v>0</v>
      </c>
      <c r="I144" s="68">
        <f>K$2*D144</f>
        <v>492123.37991200003</v>
      </c>
      <c r="J144" s="68">
        <f>P$2*D144</f>
        <v>0</v>
      </c>
      <c r="K144" s="68">
        <f t="shared" si="26"/>
        <v>185936.29261027643</v>
      </c>
      <c r="L144" s="68">
        <f>P$1*0.675675676%</f>
        <v>202702.7028</v>
      </c>
      <c r="M144" s="191">
        <f>G$1*D144</f>
        <v>0</v>
      </c>
      <c r="N144" s="191">
        <v>0</v>
      </c>
      <c r="O144" s="191">
        <v>0</v>
      </c>
      <c r="P144" s="403">
        <f t="shared" si="22"/>
        <v>880683.39</v>
      </c>
      <c r="Q144" s="403"/>
      <c r="R144" s="233">
        <f t="shared" si="23"/>
        <v>907396.39</v>
      </c>
      <c r="S144" s="13">
        <f t="shared" si="24"/>
        <v>1.39</v>
      </c>
      <c r="T144" s="1">
        <f t="shared" si="25"/>
        <v>139</v>
      </c>
      <c r="U144" t="s">
        <v>272</v>
      </c>
    </row>
    <row r="145" spans="1:22" ht="24.95" customHeight="1" x14ac:dyDescent="0.25">
      <c r="A145" s="16"/>
      <c r="B145" s="16">
        <f t="shared" si="29"/>
        <v>140</v>
      </c>
      <c r="C145" s="16" t="s">
        <v>145</v>
      </c>
      <c r="D145" s="74">
        <v>0.18509999999999999</v>
      </c>
      <c r="E145" s="90"/>
      <c r="F145" s="199"/>
      <c r="G145" s="58"/>
      <c r="H145" s="75"/>
      <c r="I145" s="68"/>
      <c r="J145" s="68"/>
      <c r="K145" s="68"/>
      <c r="L145" s="68"/>
      <c r="M145" s="191">
        <f>G$1*D145</f>
        <v>0</v>
      </c>
      <c r="N145" s="191">
        <v>0</v>
      </c>
      <c r="O145" s="191">
        <v>0</v>
      </c>
      <c r="P145" s="403"/>
      <c r="Q145" s="403"/>
      <c r="R145" s="234"/>
      <c r="S145" s="13">
        <f t="shared" si="24"/>
        <v>1.4</v>
      </c>
      <c r="T145" s="1">
        <f t="shared" si="25"/>
        <v>140</v>
      </c>
    </row>
    <row r="146" spans="1:22" ht="24.95" customHeight="1" x14ac:dyDescent="0.25">
      <c r="A146" s="16"/>
      <c r="B146" s="16">
        <f t="shared" si="29"/>
        <v>141</v>
      </c>
      <c r="C146" s="16" t="s">
        <v>145</v>
      </c>
      <c r="D146" s="74">
        <v>0.156</v>
      </c>
      <c r="E146" s="90"/>
      <c r="F146" s="199"/>
      <c r="G146" s="58"/>
      <c r="H146" s="75"/>
      <c r="I146" s="68"/>
      <c r="J146" s="68"/>
      <c r="K146" s="68"/>
      <c r="L146" s="68"/>
      <c r="M146" s="191">
        <f>G$1*D146</f>
        <v>0</v>
      </c>
      <c r="N146" s="191">
        <v>0</v>
      </c>
      <c r="O146" s="191">
        <v>0</v>
      </c>
      <c r="P146" s="403"/>
      <c r="Q146" s="403"/>
      <c r="R146" s="234"/>
      <c r="S146" s="13">
        <f t="shared" si="24"/>
        <v>1.41</v>
      </c>
      <c r="T146" s="1">
        <f t="shared" si="25"/>
        <v>141</v>
      </c>
    </row>
    <row r="147" spans="1:22" ht="24.95" customHeight="1" x14ac:dyDescent="0.25">
      <c r="A147" s="16"/>
      <c r="B147" s="16"/>
      <c r="C147" s="16"/>
      <c r="D147" s="74"/>
      <c r="E147" s="90"/>
      <c r="F147" s="199"/>
      <c r="G147" s="58"/>
      <c r="H147" s="75"/>
      <c r="I147" s="68"/>
      <c r="J147" s="68"/>
      <c r="K147" s="68"/>
      <c r="L147" s="68"/>
      <c r="M147" s="191">
        <f>G$1*D147</f>
        <v>0</v>
      </c>
      <c r="N147" s="191">
        <v>0</v>
      </c>
      <c r="O147" s="191">
        <v>0</v>
      </c>
      <c r="P147" s="403"/>
      <c r="Q147" s="403"/>
      <c r="R147" s="234"/>
      <c r="S147" s="13">
        <f t="shared" si="24"/>
        <v>0</v>
      </c>
      <c r="T147" s="1">
        <f t="shared" si="25"/>
        <v>0</v>
      </c>
    </row>
    <row r="148" spans="1:22" ht="24.95" customHeight="1" x14ac:dyDescent="0.25">
      <c r="A148" s="16"/>
      <c r="B148" s="16"/>
      <c r="C148" s="16"/>
      <c r="D148" s="74"/>
      <c r="E148" s="90"/>
      <c r="F148" s="199"/>
      <c r="G148" s="58"/>
      <c r="H148" s="75"/>
      <c r="I148" s="68"/>
      <c r="J148" s="68"/>
      <c r="K148" s="68"/>
      <c r="L148" s="68"/>
      <c r="M148" s="191">
        <f>G$1*D148</f>
        <v>0</v>
      </c>
      <c r="N148" s="191">
        <v>0</v>
      </c>
      <c r="O148" s="191">
        <v>0</v>
      </c>
      <c r="P148" s="403"/>
      <c r="Q148" s="403"/>
      <c r="R148" s="234"/>
      <c r="S148" s="13">
        <f t="shared" si="24"/>
        <v>0</v>
      </c>
      <c r="T148" s="1">
        <f t="shared" si="25"/>
        <v>0</v>
      </c>
    </row>
    <row r="149" spans="1:22" ht="24.95" customHeight="1" x14ac:dyDescent="0.25">
      <c r="A149" s="16"/>
      <c r="B149" s="16">
        <v>146</v>
      </c>
      <c r="C149" s="16" t="s">
        <v>83</v>
      </c>
      <c r="D149" s="74">
        <v>3.8E-3</v>
      </c>
      <c r="E149" s="196">
        <v>695209.46</v>
      </c>
      <c r="F149" s="199">
        <f>E149</f>
        <v>695209.46</v>
      </c>
      <c r="G149" s="58">
        <f t="shared" si="8"/>
        <v>0</v>
      </c>
      <c r="H149" s="75">
        <f t="shared" si="28"/>
        <v>0</v>
      </c>
      <c r="I149" s="68">
        <f>K$2*D149</f>
        <v>306568.66289600002</v>
      </c>
      <c r="J149" s="68">
        <f>P$2*D149</f>
        <v>0</v>
      </c>
      <c r="K149" s="68">
        <f t="shared" ref="K149:K158" si="30">G$2*0.675675676%</f>
        <v>185936.29261027643</v>
      </c>
      <c r="L149" s="68">
        <f>P$1*0.675675676%</f>
        <v>202702.7028</v>
      </c>
      <c r="M149" s="191">
        <f>G$1*D149</f>
        <v>0</v>
      </c>
      <c r="N149" s="191">
        <v>0</v>
      </c>
      <c r="O149" s="191">
        <v>0</v>
      </c>
      <c r="P149" s="403">
        <f t="shared" ref="P149:P158" si="31">ROUND(SUM(G149:O149),0) + S149</f>
        <v>695209.46</v>
      </c>
      <c r="Q149" s="403"/>
      <c r="R149" s="233">
        <f t="shared" ref="R149:R158" si="32">ROUND(P149+P149*3.033%,0) + S149</f>
        <v>716296.46</v>
      </c>
      <c r="S149" s="13">
        <f t="shared" si="24"/>
        <v>1.46</v>
      </c>
      <c r="T149" s="1">
        <f t="shared" si="25"/>
        <v>146</v>
      </c>
    </row>
    <row r="150" spans="1:22" ht="24.95" customHeight="1" x14ac:dyDescent="0.25">
      <c r="A150" s="16"/>
      <c r="B150" s="16">
        <v>155</v>
      </c>
      <c r="C150" s="16" t="s">
        <v>288</v>
      </c>
      <c r="D150" s="74">
        <v>4.2300000000000003E-3</v>
      </c>
      <c r="E150" s="196">
        <v>1447944.55</v>
      </c>
      <c r="F150" s="199">
        <f>E150</f>
        <v>1447944.55</v>
      </c>
      <c r="G150" s="58">
        <f t="shared" si="8"/>
        <v>0</v>
      </c>
      <c r="H150" s="75">
        <f t="shared" si="28"/>
        <v>0</v>
      </c>
      <c r="I150" s="68">
        <f>K$2*D150</f>
        <v>341259.32738160004</v>
      </c>
      <c r="J150" s="68"/>
      <c r="K150" s="68">
        <f t="shared" si="30"/>
        <v>185936.29261027643</v>
      </c>
      <c r="L150" s="68">
        <f>P$1*0.675675676%</f>
        <v>202702.7028</v>
      </c>
      <c r="M150" s="191">
        <v>68252</v>
      </c>
      <c r="N150" s="68">
        <f>(I150)</f>
        <v>341259.32738160004</v>
      </c>
      <c r="O150" s="191">
        <v>0</v>
      </c>
      <c r="P150" s="403">
        <f t="shared" si="31"/>
        <v>1139411.55</v>
      </c>
      <c r="Q150" s="403"/>
      <c r="R150" s="233">
        <f t="shared" si="32"/>
        <v>1173971.55</v>
      </c>
      <c r="S150" s="13">
        <f t="shared" si="24"/>
        <v>1.55</v>
      </c>
      <c r="T150" s="1">
        <f t="shared" si="25"/>
        <v>155</v>
      </c>
      <c r="U150" t="s">
        <v>297</v>
      </c>
    </row>
    <row r="151" spans="1:22" ht="24.95" customHeight="1" x14ac:dyDescent="0.25">
      <c r="A151" s="16"/>
      <c r="B151" s="16">
        <v>158</v>
      </c>
      <c r="C151" s="16" t="s">
        <v>52</v>
      </c>
      <c r="D151" s="74">
        <v>4.5999999999999999E-3</v>
      </c>
      <c r="E151" s="196">
        <v>759749.58</v>
      </c>
      <c r="F151" s="199">
        <f t="shared" ref="F151:F154" si="33">E151</f>
        <v>759749.58</v>
      </c>
      <c r="G151" s="58">
        <f t="shared" si="8"/>
        <v>0</v>
      </c>
      <c r="H151" s="75">
        <f t="shared" si="28"/>
        <v>0</v>
      </c>
      <c r="I151" s="68">
        <f>K$2*D151</f>
        <v>371109.43403200002</v>
      </c>
      <c r="J151" s="68">
        <f>P$2*D151</f>
        <v>0</v>
      </c>
      <c r="K151" s="68">
        <f t="shared" si="30"/>
        <v>185936.29261027643</v>
      </c>
      <c r="L151" s="68">
        <f t="shared" ref="L151:L158" si="34">P$1*0.675675676%</f>
        <v>202702.7028</v>
      </c>
      <c r="M151" s="191">
        <f>G$1*D151</f>
        <v>0</v>
      </c>
      <c r="N151" s="191">
        <v>0</v>
      </c>
      <c r="O151" s="191">
        <v>0</v>
      </c>
      <c r="P151" s="403">
        <f t="shared" si="31"/>
        <v>759749.58</v>
      </c>
      <c r="Q151" s="403"/>
      <c r="R151" s="233">
        <f t="shared" si="32"/>
        <v>782794.58</v>
      </c>
      <c r="S151" s="13">
        <f t="shared" si="24"/>
        <v>1.58</v>
      </c>
      <c r="T151" s="1">
        <f t="shared" si="25"/>
        <v>158</v>
      </c>
    </row>
    <row r="152" spans="1:22" ht="24.95" customHeight="1" x14ac:dyDescent="0.25">
      <c r="A152" s="16"/>
      <c r="B152" s="16">
        <v>159</v>
      </c>
      <c r="C152" s="16" t="s">
        <v>52</v>
      </c>
      <c r="D152" s="74">
        <v>4.5999999999999999E-3</v>
      </c>
      <c r="E152" s="196">
        <v>759749.59</v>
      </c>
      <c r="F152" s="199">
        <f t="shared" si="33"/>
        <v>759749.59</v>
      </c>
      <c r="G152" s="58">
        <f t="shared" si="8"/>
        <v>0</v>
      </c>
      <c r="H152" s="75">
        <f t="shared" si="28"/>
        <v>0</v>
      </c>
      <c r="I152" s="68">
        <f>K$2*D152</f>
        <v>371109.43403200002</v>
      </c>
      <c r="J152" s="68">
        <f>P$2*D152</f>
        <v>0</v>
      </c>
      <c r="K152" s="68">
        <f t="shared" si="30"/>
        <v>185936.29261027643</v>
      </c>
      <c r="L152" s="68">
        <f t="shared" si="34"/>
        <v>202702.7028</v>
      </c>
      <c r="M152" s="191">
        <f>G$1*D152</f>
        <v>0</v>
      </c>
      <c r="N152" s="191">
        <v>0</v>
      </c>
      <c r="O152" s="191">
        <v>0</v>
      </c>
      <c r="P152" s="403">
        <f t="shared" si="31"/>
        <v>759749.59</v>
      </c>
      <c r="Q152" s="403"/>
      <c r="R152" s="233">
        <f t="shared" si="32"/>
        <v>782794.59</v>
      </c>
      <c r="S152" s="13">
        <f t="shared" si="24"/>
        <v>1.59</v>
      </c>
      <c r="T152" s="1">
        <f t="shared" si="25"/>
        <v>159</v>
      </c>
    </row>
    <row r="153" spans="1:22" ht="24.95" customHeight="1" x14ac:dyDescent="0.25">
      <c r="A153" s="16"/>
      <c r="B153" s="16">
        <v>163</v>
      </c>
      <c r="C153" s="16" t="s">
        <v>84</v>
      </c>
      <c r="D153" s="74">
        <v>4.5999999999999999E-3</v>
      </c>
      <c r="E153" s="196">
        <v>759749.63</v>
      </c>
      <c r="F153" s="199">
        <f>E153</f>
        <v>759749.63</v>
      </c>
      <c r="G153" s="58">
        <f t="shared" si="8"/>
        <v>0</v>
      </c>
      <c r="H153" s="75">
        <f t="shared" si="28"/>
        <v>0</v>
      </c>
      <c r="I153" s="68">
        <f>K$2*D153</f>
        <v>371109.43403200002</v>
      </c>
      <c r="J153" s="68">
        <f>P$2*D153</f>
        <v>0</v>
      </c>
      <c r="K153" s="68">
        <f t="shared" si="30"/>
        <v>185936.29261027643</v>
      </c>
      <c r="L153" s="68">
        <f t="shared" si="34"/>
        <v>202702.7028</v>
      </c>
      <c r="M153" s="191">
        <f>G$1*D153</f>
        <v>0</v>
      </c>
      <c r="N153" s="191">
        <v>0</v>
      </c>
      <c r="O153" s="191">
        <v>0</v>
      </c>
      <c r="P153" s="403">
        <f t="shared" si="31"/>
        <v>759749.63</v>
      </c>
      <c r="Q153" s="403"/>
      <c r="R153" s="233">
        <f t="shared" si="32"/>
        <v>782794.63</v>
      </c>
      <c r="S153" s="13">
        <f t="shared" si="24"/>
        <v>1.63</v>
      </c>
      <c r="T153" s="1">
        <f t="shared" si="25"/>
        <v>163</v>
      </c>
    </row>
    <row r="154" spans="1:22" ht="24.95" customHeight="1" x14ac:dyDescent="0.25">
      <c r="A154" s="16"/>
      <c r="B154" s="16">
        <v>168</v>
      </c>
      <c r="C154" s="16" t="s">
        <v>52</v>
      </c>
      <c r="D154" s="74">
        <v>4.4000000000000003E-3</v>
      </c>
      <c r="E154" s="196">
        <v>743614.68</v>
      </c>
      <c r="F154" s="199">
        <f t="shared" si="33"/>
        <v>743614.68</v>
      </c>
      <c r="G154" s="58">
        <f t="shared" si="8"/>
        <v>0</v>
      </c>
      <c r="H154" s="75">
        <f t="shared" si="28"/>
        <v>0</v>
      </c>
      <c r="I154" s="68">
        <f>K$2*D154</f>
        <v>354974.24124800001</v>
      </c>
      <c r="J154" s="68">
        <f>P$2*D154</f>
        <v>0</v>
      </c>
      <c r="K154" s="68">
        <f t="shared" si="30"/>
        <v>185936.29261027643</v>
      </c>
      <c r="L154" s="68">
        <f t="shared" si="34"/>
        <v>202702.7028</v>
      </c>
      <c r="M154" s="191">
        <f>G$1*D154</f>
        <v>0</v>
      </c>
      <c r="N154" s="191">
        <v>0</v>
      </c>
      <c r="O154" s="191">
        <v>0</v>
      </c>
      <c r="P154" s="403">
        <f t="shared" si="31"/>
        <v>743614.68</v>
      </c>
      <c r="Q154" s="403"/>
      <c r="R154" s="233">
        <f t="shared" si="32"/>
        <v>766170.68</v>
      </c>
      <c r="S154" s="13">
        <f t="shared" si="24"/>
        <v>1.68</v>
      </c>
      <c r="T154" s="1">
        <f t="shared" si="25"/>
        <v>168</v>
      </c>
    </row>
    <row r="155" spans="1:22" ht="24.95" customHeight="1" x14ac:dyDescent="0.25">
      <c r="A155" s="16"/>
      <c r="B155" s="16">
        <v>173</v>
      </c>
      <c r="C155" s="16" t="s">
        <v>85</v>
      </c>
      <c r="D155" s="74">
        <v>4.5999999999999999E-3</v>
      </c>
      <c r="E155" s="196">
        <v>759749.73</v>
      </c>
      <c r="F155" s="199">
        <v>782794.73</v>
      </c>
      <c r="G155" s="58">
        <f t="shared" si="8"/>
        <v>-23045</v>
      </c>
      <c r="H155" s="75">
        <f t="shared" si="28"/>
        <v>0</v>
      </c>
      <c r="I155" s="68">
        <f>K$2*D155</f>
        <v>371109.43403200002</v>
      </c>
      <c r="J155" s="68">
        <f>P$2*D155</f>
        <v>0</v>
      </c>
      <c r="K155" s="68">
        <f t="shared" si="30"/>
        <v>185936.29261027643</v>
      </c>
      <c r="L155" s="68">
        <f t="shared" si="34"/>
        <v>202702.7028</v>
      </c>
      <c r="M155" s="191">
        <f>G$1*D155</f>
        <v>0</v>
      </c>
      <c r="N155" s="191">
        <v>0</v>
      </c>
      <c r="O155" s="191">
        <v>0</v>
      </c>
      <c r="P155" s="403">
        <f t="shared" si="31"/>
        <v>736704.73</v>
      </c>
      <c r="Q155" s="403"/>
      <c r="R155" s="233">
        <f t="shared" si="32"/>
        <v>759050.73</v>
      </c>
      <c r="S155" s="13">
        <f t="shared" si="24"/>
        <v>1.73</v>
      </c>
      <c r="T155" s="1">
        <f t="shared" si="25"/>
        <v>173</v>
      </c>
      <c r="V155" t="s">
        <v>221</v>
      </c>
    </row>
    <row r="156" spans="1:22" ht="24.95" customHeight="1" x14ac:dyDescent="0.25">
      <c r="A156" s="16"/>
      <c r="B156" s="16">
        <v>175</v>
      </c>
      <c r="C156" s="16" t="s">
        <v>85</v>
      </c>
      <c r="D156" s="74">
        <v>4.5999999999999999E-3</v>
      </c>
      <c r="E156" s="196">
        <v>759749.75</v>
      </c>
      <c r="F156" s="199">
        <v>782794.75</v>
      </c>
      <c r="G156" s="58">
        <f t="shared" si="8"/>
        <v>-23045</v>
      </c>
      <c r="H156" s="75">
        <f t="shared" si="28"/>
        <v>0</v>
      </c>
      <c r="I156" s="68">
        <f>K$2*D156</f>
        <v>371109.43403200002</v>
      </c>
      <c r="J156" s="68">
        <f>P$2*D156</f>
        <v>0</v>
      </c>
      <c r="K156" s="68">
        <f t="shared" si="30"/>
        <v>185936.29261027643</v>
      </c>
      <c r="L156" s="68">
        <f t="shared" si="34"/>
        <v>202702.7028</v>
      </c>
      <c r="M156" s="191">
        <f>G$1*D156</f>
        <v>0</v>
      </c>
      <c r="N156" s="191">
        <v>0</v>
      </c>
      <c r="O156" s="191">
        <v>0</v>
      </c>
      <c r="P156" s="403">
        <f t="shared" si="31"/>
        <v>736704.75</v>
      </c>
      <c r="Q156" s="403"/>
      <c r="R156" s="233">
        <f t="shared" si="32"/>
        <v>759050.75</v>
      </c>
      <c r="S156" s="13">
        <f t="shared" si="24"/>
        <v>1.75</v>
      </c>
      <c r="T156" s="1">
        <f t="shared" si="25"/>
        <v>175</v>
      </c>
      <c r="V156" t="s">
        <v>221</v>
      </c>
    </row>
    <row r="157" spans="1:22" ht="24.95" customHeight="1" x14ac:dyDescent="0.25">
      <c r="A157" s="16"/>
      <c r="B157" s="16">
        <v>176</v>
      </c>
      <c r="C157" s="16" t="s">
        <v>84</v>
      </c>
      <c r="D157" s="74">
        <v>4.5999999999999999E-3</v>
      </c>
      <c r="E157" s="196">
        <v>759749.76</v>
      </c>
      <c r="F157" s="199">
        <f>E157</f>
        <v>759749.76</v>
      </c>
      <c r="G157" s="58">
        <f t="shared" si="8"/>
        <v>0</v>
      </c>
      <c r="H157" s="75">
        <f t="shared" si="28"/>
        <v>0</v>
      </c>
      <c r="I157" s="68">
        <f>K$2*D157</f>
        <v>371109.43403200002</v>
      </c>
      <c r="J157" s="68">
        <f>P$2*D157</f>
        <v>0</v>
      </c>
      <c r="K157" s="68">
        <f t="shared" si="30"/>
        <v>185936.29261027643</v>
      </c>
      <c r="L157" s="68">
        <f t="shared" si="34"/>
        <v>202702.7028</v>
      </c>
      <c r="M157" s="191">
        <f>G$1*D157</f>
        <v>0</v>
      </c>
      <c r="N157" s="191">
        <v>0</v>
      </c>
      <c r="O157" s="191">
        <v>0</v>
      </c>
      <c r="P157" s="403">
        <f t="shared" si="31"/>
        <v>759749.76</v>
      </c>
      <c r="Q157" s="403"/>
      <c r="R157" s="233">
        <f t="shared" si="32"/>
        <v>782794.76</v>
      </c>
      <c r="S157" s="13">
        <f t="shared" si="24"/>
        <v>1.76</v>
      </c>
      <c r="T157" s="1">
        <f t="shared" si="25"/>
        <v>176</v>
      </c>
    </row>
    <row r="158" spans="1:22" ht="24.95" customHeight="1" x14ac:dyDescent="0.25">
      <c r="A158" s="16"/>
      <c r="B158" s="16">
        <v>204</v>
      </c>
      <c r="C158" s="16" t="s">
        <v>42</v>
      </c>
      <c r="D158" s="74">
        <v>4.8999999999999998E-3</v>
      </c>
      <c r="E158" s="196">
        <v>807732.04</v>
      </c>
      <c r="F158" s="199">
        <f>E158</f>
        <v>807732.04</v>
      </c>
      <c r="G158" s="58">
        <f t="shared" si="8"/>
        <v>0</v>
      </c>
      <c r="H158" s="75">
        <f t="shared" si="28"/>
        <v>0</v>
      </c>
      <c r="I158" s="68">
        <f>K$2*D158</f>
        <v>395312.22320800001</v>
      </c>
      <c r="J158" s="68">
        <f>P$2*D158</f>
        <v>0</v>
      </c>
      <c r="K158" s="68">
        <f t="shared" si="30"/>
        <v>185936.29261027643</v>
      </c>
      <c r="L158" s="68">
        <f t="shared" si="34"/>
        <v>202702.7028</v>
      </c>
      <c r="M158" s="191">
        <f>G$1*D158</f>
        <v>0</v>
      </c>
      <c r="N158" s="191">
        <v>0</v>
      </c>
      <c r="O158" s="191">
        <v>0</v>
      </c>
      <c r="P158" s="403">
        <f t="shared" si="31"/>
        <v>783953.04</v>
      </c>
      <c r="Q158" s="403"/>
      <c r="R158" s="233">
        <f t="shared" si="32"/>
        <v>807732.04</v>
      </c>
      <c r="S158" s="13">
        <f t="shared" si="24"/>
        <v>2.04</v>
      </c>
      <c r="T158" s="1">
        <f t="shared" si="25"/>
        <v>204</v>
      </c>
      <c r="U158" t="s">
        <v>284</v>
      </c>
    </row>
    <row r="159" spans="1:22" ht="24.95" customHeight="1" x14ac:dyDescent="0.25">
      <c r="A159" s="17"/>
      <c r="B159" s="16"/>
      <c r="C159" s="16"/>
      <c r="D159" s="19"/>
      <c r="E159" s="20"/>
      <c r="F159" s="199"/>
      <c r="G159" s="21"/>
      <c r="H159" s="21"/>
      <c r="I159" s="22"/>
      <c r="J159" s="22"/>
      <c r="K159" s="22"/>
      <c r="L159" s="22"/>
      <c r="M159" s="22"/>
      <c r="N159" s="22"/>
      <c r="O159" s="68"/>
      <c r="P159" s="428"/>
      <c r="Q159" s="428"/>
      <c r="R159" s="168"/>
      <c r="S159" s="13"/>
      <c r="T159" s="1"/>
    </row>
    <row r="160" spans="1:22" ht="24.95" customHeight="1" thickBot="1" x14ac:dyDescent="0.3">
      <c r="A160" s="17"/>
      <c r="B160" s="173"/>
      <c r="C160" s="173"/>
      <c r="D160" s="174"/>
      <c r="E160" s="175"/>
      <c r="F160" s="176"/>
      <c r="G160" s="177"/>
      <c r="H160" s="177"/>
      <c r="I160" s="178"/>
      <c r="J160" s="179"/>
      <c r="K160" s="179"/>
      <c r="L160" s="179"/>
      <c r="M160" s="179"/>
      <c r="N160" s="179"/>
      <c r="O160" s="230"/>
      <c r="P160" s="429"/>
      <c r="Q160" s="429"/>
      <c r="R160" s="171"/>
      <c r="S160" s="13"/>
      <c r="T160" s="180"/>
    </row>
    <row r="161" spans="1:20" ht="24.95" customHeight="1" thickBot="1" x14ac:dyDescent="0.3">
      <c r="A161" s="23"/>
      <c r="B161" s="181"/>
      <c r="C161" s="181"/>
      <c r="D161" s="182">
        <f>SUM(D6:D160)</f>
        <v>1.0449300000000001</v>
      </c>
      <c r="E161" s="183">
        <f>SUM(E6:E160)</f>
        <v>140757907.07399997</v>
      </c>
      <c r="F161" s="184">
        <f>SUM(F6:F160)</f>
        <v>120700363.92400001</v>
      </c>
      <c r="G161" s="185">
        <f>SUM(G6:G160)</f>
        <v>20057543.150000002</v>
      </c>
      <c r="H161" s="186"/>
      <c r="I161" s="186">
        <f>SUM(I6:I160)</f>
        <v>56782163.685813546</v>
      </c>
      <c r="J161" s="186">
        <f>SUM(J6:J160)</f>
        <v>0</v>
      </c>
      <c r="K161" s="187">
        <f>SUM(K6:K160)</f>
        <v>27704507.598931193</v>
      </c>
      <c r="L161" s="188">
        <f>SUM(L6:L160)</f>
        <v>30202702.717199888</v>
      </c>
      <c r="M161" s="187">
        <f>SUM(M6:M160)</f>
        <v>511972</v>
      </c>
      <c r="N161" s="237">
        <f>SUM(N6:N160)</f>
        <v>2559848.3351815999</v>
      </c>
      <c r="O161" s="187">
        <f>SUM(O6:O160)</f>
        <v>354974.24124800001</v>
      </c>
      <c r="P161" s="426">
        <f>SUM(P6:P160)</f>
        <v>138862681.06999993</v>
      </c>
      <c r="Q161" s="427"/>
      <c r="R161" s="172">
        <f>SUM(R6:R160)</f>
        <v>143074505.06999999</v>
      </c>
      <c r="S161" s="426"/>
      <c r="T161" s="427"/>
    </row>
    <row r="162" spans="1:20" ht="15" customHeight="1" x14ac:dyDescent="0.25">
      <c r="B162" s="424" t="s">
        <v>316</v>
      </c>
      <c r="C162" s="424"/>
      <c r="D162" s="424"/>
      <c r="E162" s="424"/>
      <c r="F162" s="424"/>
      <c r="G162" s="424"/>
      <c r="H162" s="424"/>
      <c r="I162" s="424"/>
      <c r="J162" s="424"/>
      <c r="K162" s="424"/>
      <c r="L162" s="424"/>
      <c r="M162" s="424"/>
      <c r="N162" s="424"/>
      <c r="O162" s="424"/>
      <c r="P162" s="424"/>
      <c r="Q162" s="424"/>
      <c r="R162" s="424"/>
      <c r="S162" s="424"/>
      <c r="T162" s="424"/>
    </row>
    <row r="163" spans="1:20" ht="49.7" customHeight="1" x14ac:dyDescent="0.25">
      <c r="B163" s="425"/>
      <c r="C163" s="425"/>
      <c r="D163" s="425"/>
      <c r="E163" s="425"/>
      <c r="F163" s="425"/>
      <c r="G163" s="425"/>
      <c r="H163" s="425"/>
      <c r="I163" s="425"/>
      <c r="J163" s="425"/>
      <c r="K163" s="425"/>
      <c r="L163" s="425"/>
      <c r="M163" s="425"/>
      <c r="N163" s="425"/>
      <c r="O163" s="425"/>
      <c r="P163" s="425"/>
      <c r="Q163" s="425"/>
      <c r="R163" s="425"/>
      <c r="S163" s="425"/>
      <c r="T163" s="425"/>
    </row>
    <row r="164" spans="1:20" ht="13.7" hidden="1" customHeight="1" x14ac:dyDescent="0.25">
      <c r="B164" s="425" t="s">
        <v>259</v>
      </c>
      <c r="C164" s="425"/>
      <c r="D164" s="425"/>
      <c r="E164" s="425"/>
      <c r="F164" s="425"/>
      <c r="G164" s="425"/>
      <c r="H164" s="425"/>
      <c r="I164" s="425"/>
      <c r="J164" s="425"/>
      <c r="K164" s="425"/>
      <c r="L164" s="425"/>
      <c r="M164" s="425"/>
      <c r="N164" s="425"/>
      <c r="O164" s="425"/>
      <c r="P164" s="425"/>
      <c r="Q164" s="425"/>
      <c r="R164" s="425"/>
      <c r="S164" s="425"/>
      <c r="T164" s="425"/>
    </row>
    <row r="165" spans="1:20" ht="15" hidden="1" customHeight="1" x14ac:dyDescent="0.25">
      <c r="B165" s="425"/>
      <c r="C165" s="425"/>
      <c r="D165" s="425"/>
      <c r="E165" s="425"/>
      <c r="F165" s="425"/>
      <c r="G165" s="425"/>
      <c r="H165" s="425"/>
      <c r="I165" s="425"/>
      <c r="J165" s="425"/>
      <c r="K165" s="425"/>
      <c r="L165" s="425"/>
      <c r="M165" s="425"/>
      <c r="N165" s="425"/>
      <c r="O165" s="425"/>
      <c r="P165" s="425"/>
      <c r="Q165" s="425"/>
      <c r="R165" s="425"/>
      <c r="S165" s="425"/>
      <c r="T165" s="425"/>
    </row>
    <row r="166" spans="1:20" ht="3.6" customHeight="1" x14ac:dyDescent="0.25">
      <c r="B166" s="425"/>
      <c r="C166" s="425"/>
      <c r="D166" s="425"/>
      <c r="E166" s="425"/>
      <c r="F166" s="425"/>
      <c r="G166" s="425"/>
      <c r="H166" s="425"/>
      <c r="I166" s="425"/>
      <c r="J166" s="425"/>
      <c r="K166" s="425"/>
      <c r="L166" s="425"/>
      <c r="M166" s="425"/>
      <c r="N166" s="425"/>
      <c r="O166" s="425"/>
      <c r="P166" s="425"/>
      <c r="Q166" s="425"/>
      <c r="R166" s="425"/>
      <c r="S166" s="425"/>
      <c r="T166" s="425"/>
    </row>
    <row r="167" spans="1:20" ht="128.25" customHeight="1" x14ac:dyDescent="0.25">
      <c r="B167" s="425"/>
      <c r="C167" s="425"/>
      <c r="D167" s="425"/>
      <c r="E167" s="425"/>
      <c r="F167" s="425"/>
      <c r="G167" s="425"/>
      <c r="H167" s="425"/>
      <c r="I167" s="425"/>
      <c r="J167" s="425"/>
      <c r="K167" s="425"/>
      <c r="L167" s="425"/>
      <c r="M167" s="425"/>
      <c r="N167" s="425"/>
      <c r="O167" s="425"/>
      <c r="P167" s="425"/>
      <c r="Q167" s="425"/>
      <c r="R167" s="425"/>
      <c r="S167" s="425"/>
      <c r="T167" s="425"/>
    </row>
  </sheetData>
  <mergeCells count="186">
    <mergeCell ref="P146:Q146"/>
    <mergeCell ref="P147:Q147"/>
    <mergeCell ref="P148:Q148"/>
    <mergeCell ref="P149:Q149"/>
    <mergeCell ref="P151:Q151"/>
    <mergeCell ref="P141:Q141"/>
    <mergeCell ref="P142:Q142"/>
    <mergeCell ref="P143:Q143"/>
    <mergeCell ref="P144:Q144"/>
    <mergeCell ref="P145:Q145"/>
    <mergeCell ref="P150:Q150"/>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36:Q136"/>
    <mergeCell ref="P137:Q137"/>
    <mergeCell ref="P138:Q138"/>
    <mergeCell ref="P139:Q139"/>
    <mergeCell ref="P140:Q140"/>
    <mergeCell ref="P131:Q131"/>
    <mergeCell ref="P132:Q132"/>
    <mergeCell ref="P133:Q133"/>
    <mergeCell ref="P134:Q134"/>
    <mergeCell ref="P135:Q135"/>
    <mergeCell ref="P126:Q126"/>
    <mergeCell ref="P127:Q127"/>
    <mergeCell ref="P128:Q128"/>
    <mergeCell ref="P129:Q129"/>
    <mergeCell ref="P130:Q130"/>
    <mergeCell ref="P121:Q121"/>
    <mergeCell ref="P122:Q122"/>
    <mergeCell ref="P123:Q123"/>
    <mergeCell ref="P124:Q124"/>
    <mergeCell ref="P125:Q125"/>
    <mergeCell ref="P116:Q116"/>
    <mergeCell ref="P117:Q117"/>
    <mergeCell ref="P118:Q118"/>
    <mergeCell ref="P119:Q119"/>
    <mergeCell ref="P120:Q120"/>
    <mergeCell ref="P111:Q111"/>
    <mergeCell ref="P112:Q112"/>
    <mergeCell ref="P113:Q113"/>
    <mergeCell ref="P114:Q114"/>
    <mergeCell ref="P115:Q115"/>
    <mergeCell ref="P106:Q106"/>
    <mergeCell ref="P107:Q107"/>
    <mergeCell ref="P108:Q108"/>
    <mergeCell ref="P109:Q109"/>
    <mergeCell ref="P110:Q110"/>
    <mergeCell ref="P101:Q101"/>
    <mergeCell ref="P102:Q102"/>
    <mergeCell ref="P103:Q103"/>
    <mergeCell ref="P104:Q104"/>
    <mergeCell ref="P105:Q105"/>
    <mergeCell ref="P96:Q96"/>
    <mergeCell ref="P97:Q97"/>
    <mergeCell ref="P98:Q98"/>
    <mergeCell ref="P99:Q99"/>
    <mergeCell ref="P100:Q100"/>
    <mergeCell ref="P91:Q91"/>
    <mergeCell ref="P92:Q92"/>
    <mergeCell ref="P93:Q93"/>
    <mergeCell ref="P94:Q94"/>
    <mergeCell ref="P95:Q95"/>
    <mergeCell ref="P86:Q86"/>
    <mergeCell ref="P87:Q87"/>
    <mergeCell ref="P88:Q88"/>
    <mergeCell ref="P89:Q89"/>
    <mergeCell ref="P90:Q90"/>
    <mergeCell ref="P81:Q81"/>
    <mergeCell ref="P82:Q82"/>
    <mergeCell ref="P83:Q83"/>
    <mergeCell ref="P84:Q84"/>
    <mergeCell ref="P85:Q85"/>
    <mergeCell ref="P76:Q76"/>
    <mergeCell ref="P77:Q77"/>
    <mergeCell ref="P78:Q78"/>
    <mergeCell ref="P79:Q79"/>
    <mergeCell ref="P80:Q80"/>
    <mergeCell ref="P71:Q71"/>
    <mergeCell ref="P72:Q72"/>
    <mergeCell ref="P73:Q73"/>
    <mergeCell ref="P74:Q74"/>
    <mergeCell ref="P75:Q75"/>
    <mergeCell ref="P66:Q66"/>
    <mergeCell ref="P67:Q67"/>
    <mergeCell ref="P68:Q68"/>
    <mergeCell ref="P69:Q69"/>
    <mergeCell ref="P70:Q70"/>
    <mergeCell ref="P61:Q61"/>
    <mergeCell ref="P62:Q62"/>
    <mergeCell ref="P63:Q63"/>
    <mergeCell ref="P64:Q64"/>
    <mergeCell ref="P65:Q65"/>
    <mergeCell ref="P56:Q56"/>
    <mergeCell ref="P57:Q57"/>
    <mergeCell ref="P58:Q58"/>
    <mergeCell ref="P59:Q59"/>
    <mergeCell ref="P60:Q60"/>
    <mergeCell ref="P51:Q51"/>
    <mergeCell ref="P52:Q52"/>
    <mergeCell ref="P53:Q53"/>
    <mergeCell ref="P54:Q54"/>
    <mergeCell ref="P55:Q5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N296"/>
  <sheetViews>
    <sheetView topLeftCell="A221" zoomScale="110" zoomScaleNormal="110" workbookViewId="0">
      <selection activeCell="A297" sqref="A222:XFD297"/>
    </sheetView>
  </sheetViews>
  <sheetFormatPr baseColWidth="10" defaultColWidth="10.85546875" defaultRowHeight="15" x14ac:dyDescent="0.25"/>
  <cols>
    <col min="8" max="8" width="10.85546875" customWidth="1"/>
    <col min="10" max="10" width="24.42578125" customWidth="1"/>
    <col min="11" max="11" width="11.42578125" bestFit="1" customWidth="1"/>
    <col min="13" max="13" width="11.5703125" bestFit="1" customWidth="1"/>
    <col min="14" max="14" width="13" bestFit="1" customWidth="1"/>
  </cols>
  <sheetData>
    <row r="1" spans="3:14" ht="15.75" thickBot="1" x14ac:dyDescent="0.3"/>
    <row r="2" spans="3:14" x14ac:dyDescent="0.25">
      <c r="C2" s="254" t="s">
        <v>158</v>
      </c>
      <c r="D2" s="255"/>
      <c r="E2" s="245"/>
      <c r="F2" s="60"/>
      <c r="G2" s="60" t="s">
        <v>163</v>
      </c>
      <c r="H2" s="246"/>
      <c r="I2" s="247"/>
      <c r="J2" s="248"/>
    </row>
    <row r="3" spans="3:14" x14ac:dyDescent="0.25">
      <c r="C3" s="256"/>
      <c r="D3" s="257"/>
      <c r="E3" s="250"/>
      <c r="F3" s="35"/>
      <c r="G3" s="35" t="s">
        <v>331</v>
      </c>
      <c r="H3" s="251"/>
      <c r="I3" s="249">
        <v>1</v>
      </c>
      <c r="J3" s="62"/>
      <c r="K3" s="329"/>
      <c r="L3" s="329"/>
    </row>
    <row r="4" spans="3:14" x14ac:dyDescent="0.25">
      <c r="C4" s="256" t="s">
        <v>159</v>
      </c>
      <c r="D4" s="257" t="s">
        <v>160</v>
      </c>
      <c r="E4" s="35" t="s">
        <v>161</v>
      </c>
      <c r="F4" s="35"/>
      <c r="G4" s="35" t="s">
        <v>164</v>
      </c>
      <c r="H4" s="430">
        <v>72</v>
      </c>
      <c r="I4" s="430"/>
      <c r="J4" s="431"/>
      <c r="K4" s="329"/>
      <c r="L4" s="329"/>
    </row>
    <row r="5" spans="3:14" ht="15.75" thickBot="1" x14ac:dyDescent="0.3">
      <c r="C5" s="256" t="s">
        <v>162</v>
      </c>
      <c r="D5" s="257"/>
      <c r="E5" s="35"/>
      <c r="F5" s="35"/>
      <c r="G5" s="35"/>
      <c r="H5" s="35"/>
      <c r="I5" s="35"/>
      <c r="J5" s="63"/>
      <c r="K5" s="329"/>
      <c r="L5" s="329"/>
    </row>
    <row r="6" spans="3:14" x14ac:dyDescent="0.25">
      <c r="C6" s="432" t="s">
        <v>339</v>
      </c>
      <c r="D6" s="433"/>
      <c r="E6" s="433"/>
      <c r="F6" s="433"/>
      <c r="G6" s="433"/>
      <c r="H6" s="433"/>
      <c r="I6" s="433"/>
      <c r="J6" s="434"/>
      <c r="K6" s="329"/>
      <c r="L6" s="329"/>
    </row>
    <row r="7" spans="3:14" x14ac:dyDescent="0.25">
      <c r="C7" s="435"/>
      <c r="D7" s="436"/>
      <c r="E7" s="436"/>
      <c r="F7" s="436"/>
      <c r="G7" s="436"/>
      <c r="H7" s="436"/>
      <c r="I7" s="436"/>
      <c r="J7" s="437"/>
      <c r="K7" s="329"/>
      <c r="L7" s="329"/>
    </row>
    <row r="8" spans="3:14" ht="15.75" thickBot="1" x14ac:dyDescent="0.3">
      <c r="C8" s="438"/>
      <c r="D8" s="439"/>
      <c r="E8" s="439"/>
      <c r="F8" s="439"/>
      <c r="G8" s="439"/>
      <c r="H8" s="439"/>
      <c r="I8" s="439"/>
      <c r="J8" s="440"/>
    </row>
    <row r="10" spans="3:14" ht="15.75" thickBot="1" x14ac:dyDescent="0.3">
      <c r="K10" s="35"/>
      <c r="L10" s="35"/>
      <c r="M10" s="35"/>
      <c r="N10" s="35"/>
    </row>
    <row r="11" spans="3:14" x14ac:dyDescent="0.25">
      <c r="C11" s="238" t="s">
        <v>158</v>
      </c>
      <c r="D11" s="239"/>
      <c r="E11" s="245">
        <v>45945</v>
      </c>
      <c r="F11" s="60"/>
      <c r="G11" s="60" t="s">
        <v>163</v>
      </c>
      <c r="H11" s="246"/>
      <c r="I11" s="247"/>
      <c r="J11" s="248"/>
      <c r="K11" s="329"/>
      <c r="L11" s="329"/>
    </row>
    <row r="12" spans="3:14" x14ac:dyDescent="0.25">
      <c r="C12" s="240"/>
      <c r="D12" s="252"/>
      <c r="E12" s="250"/>
      <c r="F12" s="35"/>
      <c r="G12" s="35" t="s">
        <v>331</v>
      </c>
      <c r="H12" s="251"/>
      <c r="I12" s="249">
        <f>I3+1</f>
        <v>2</v>
      </c>
      <c r="J12" s="62"/>
      <c r="K12" s="329"/>
      <c r="L12" s="329"/>
    </row>
    <row r="13" spans="3:14" x14ac:dyDescent="0.25">
      <c r="C13" s="240" t="s">
        <v>159</v>
      </c>
      <c r="D13" s="252" t="s">
        <v>160</v>
      </c>
      <c r="E13" s="35" t="s">
        <v>161</v>
      </c>
      <c r="F13" s="35"/>
      <c r="G13" s="35" t="s">
        <v>164</v>
      </c>
      <c r="H13" s="430">
        <v>78</v>
      </c>
      <c r="I13" s="430"/>
      <c r="J13" s="431"/>
      <c r="K13" s="329"/>
      <c r="L13" s="329"/>
    </row>
    <row r="14" spans="3:14" ht="15.75" thickBot="1" x14ac:dyDescent="0.3">
      <c r="C14" s="240" t="s">
        <v>162</v>
      </c>
      <c r="D14" s="252"/>
      <c r="E14" s="35"/>
      <c r="F14" s="35"/>
      <c r="G14" s="35"/>
      <c r="H14" s="35"/>
      <c r="I14" s="35"/>
      <c r="J14" s="63"/>
      <c r="K14" s="329"/>
      <c r="L14" s="329"/>
    </row>
    <row r="15" spans="3:14" x14ac:dyDescent="0.25">
      <c r="C15" s="432" t="s">
        <v>340</v>
      </c>
      <c r="D15" s="433"/>
      <c r="E15" s="433"/>
      <c r="F15" s="433"/>
      <c r="G15" s="433"/>
      <c r="H15" s="433"/>
      <c r="I15" s="433"/>
      <c r="J15" s="434"/>
      <c r="K15" s="329"/>
      <c r="L15" s="329"/>
    </row>
    <row r="16" spans="3:14" x14ac:dyDescent="0.25">
      <c r="C16" s="435"/>
      <c r="D16" s="436"/>
      <c r="E16" s="436"/>
      <c r="F16" s="436"/>
      <c r="G16" s="436"/>
      <c r="H16" s="436"/>
      <c r="I16" s="436"/>
      <c r="J16" s="437"/>
      <c r="K16" s="329"/>
      <c r="L16" s="329"/>
    </row>
    <row r="17" spans="3:13" ht="15.75" thickBot="1" x14ac:dyDescent="0.3">
      <c r="C17" s="438"/>
      <c r="D17" s="439"/>
      <c r="E17" s="439"/>
      <c r="F17" s="439"/>
      <c r="G17" s="439"/>
      <c r="H17" s="439"/>
      <c r="I17" s="439"/>
      <c r="J17" s="440"/>
    </row>
    <row r="19" spans="3:13" ht="15.75" thickBot="1" x14ac:dyDescent="0.3"/>
    <row r="20" spans="3:13" ht="16.149999999999999" customHeight="1" x14ac:dyDescent="0.25">
      <c r="C20" s="258" t="s">
        <v>158</v>
      </c>
      <c r="D20" s="259"/>
      <c r="E20" s="245">
        <v>45945</v>
      </c>
      <c r="F20" s="60"/>
      <c r="G20" s="60" t="s">
        <v>163</v>
      </c>
      <c r="H20" s="246"/>
      <c r="I20" s="247"/>
      <c r="J20" s="248"/>
      <c r="K20" s="441" t="s">
        <v>342</v>
      </c>
      <c r="L20" s="442"/>
      <c r="M20" s="442"/>
    </row>
    <row r="21" spans="3:13" x14ac:dyDescent="0.25">
      <c r="C21" s="260"/>
      <c r="D21" s="261"/>
      <c r="E21" s="250"/>
      <c r="F21" s="35"/>
      <c r="G21" s="35" t="s">
        <v>331</v>
      </c>
      <c r="H21" s="251"/>
      <c r="I21" s="249">
        <f>I12+1</f>
        <v>3</v>
      </c>
      <c r="J21" s="62"/>
      <c r="K21" s="441"/>
      <c r="L21" s="442"/>
      <c r="M21" s="442"/>
    </row>
    <row r="22" spans="3:13" x14ac:dyDescent="0.25">
      <c r="C22" s="260" t="s">
        <v>159</v>
      </c>
      <c r="D22" s="261" t="s">
        <v>160</v>
      </c>
      <c r="E22" s="35" t="s">
        <v>161</v>
      </c>
      <c r="F22" s="35"/>
      <c r="G22" s="35" t="s">
        <v>164</v>
      </c>
      <c r="H22" s="430">
        <v>82</v>
      </c>
      <c r="I22" s="430"/>
      <c r="J22" s="431"/>
      <c r="K22" s="441"/>
      <c r="L22" s="442"/>
      <c r="M22" s="442"/>
    </row>
    <row r="23" spans="3:13" ht="15.75" thickBot="1" x14ac:dyDescent="0.3">
      <c r="C23" s="260" t="s">
        <v>162</v>
      </c>
      <c r="D23" s="261"/>
      <c r="E23" s="35"/>
      <c r="F23" s="35"/>
      <c r="G23" s="35"/>
      <c r="H23" s="35"/>
      <c r="I23" s="35"/>
      <c r="J23" s="63"/>
      <c r="K23" s="441"/>
      <c r="L23" s="442"/>
      <c r="M23" s="442"/>
    </row>
    <row r="24" spans="3:13" x14ac:dyDescent="0.25">
      <c r="C24" s="432" t="s">
        <v>341</v>
      </c>
      <c r="D24" s="433"/>
      <c r="E24" s="433"/>
      <c r="F24" s="433"/>
      <c r="G24" s="433"/>
      <c r="H24" s="433"/>
      <c r="I24" s="433"/>
      <c r="J24" s="434"/>
      <c r="K24" s="441"/>
      <c r="L24" s="442"/>
      <c r="M24" s="442"/>
    </row>
    <row r="25" spans="3:13" x14ac:dyDescent="0.25">
      <c r="C25" s="435"/>
      <c r="D25" s="436"/>
      <c r="E25" s="436"/>
      <c r="F25" s="436"/>
      <c r="G25" s="436"/>
      <c r="H25" s="436"/>
      <c r="I25" s="436"/>
      <c r="J25" s="437"/>
      <c r="K25" s="441"/>
      <c r="L25" s="442"/>
      <c r="M25" s="442"/>
    </row>
    <row r="26" spans="3:13" ht="15.75" thickBot="1" x14ac:dyDescent="0.3">
      <c r="C26" s="438"/>
      <c r="D26" s="439"/>
      <c r="E26" s="439"/>
      <c r="F26" s="439"/>
      <c r="G26" s="439"/>
      <c r="H26" s="439"/>
      <c r="I26" s="439"/>
      <c r="J26" s="440"/>
      <c r="K26" s="441"/>
      <c r="L26" s="442"/>
      <c r="M26" s="442"/>
    </row>
    <row r="28" spans="3:13" ht="15.75" thickBot="1" x14ac:dyDescent="0.3"/>
    <row r="29" spans="3:13" x14ac:dyDescent="0.25">
      <c r="C29" s="267" t="s">
        <v>158</v>
      </c>
      <c r="D29" s="268"/>
      <c r="E29" s="245">
        <v>45945</v>
      </c>
      <c r="F29" s="60"/>
      <c r="G29" s="60" t="s">
        <v>163</v>
      </c>
      <c r="H29" s="246"/>
      <c r="I29" s="247"/>
      <c r="J29" s="248"/>
    </row>
    <row r="30" spans="3:13" x14ac:dyDescent="0.25">
      <c r="C30" s="269"/>
      <c r="D30" s="270"/>
      <c r="E30" s="250"/>
      <c r="F30" s="35"/>
      <c r="G30" s="35" t="s">
        <v>331</v>
      </c>
      <c r="H30" s="251"/>
      <c r="I30" s="249">
        <f>I21+1</f>
        <v>4</v>
      </c>
      <c r="J30" s="62"/>
      <c r="K30" s="329"/>
      <c r="L30" s="329"/>
      <c r="M30" s="329"/>
    </row>
    <row r="31" spans="3:13" x14ac:dyDescent="0.25">
      <c r="C31" s="269" t="s">
        <v>159</v>
      </c>
      <c r="D31" s="270" t="s">
        <v>160</v>
      </c>
      <c r="E31" s="35" t="s">
        <v>161</v>
      </c>
      <c r="F31" s="35"/>
      <c r="G31" s="35" t="s">
        <v>164</v>
      </c>
      <c r="H31" s="430">
        <v>97</v>
      </c>
      <c r="I31" s="430"/>
      <c r="J31" s="431"/>
      <c r="K31" s="329"/>
      <c r="L31" s="329"/>
      <c r="M31" s="329"/>
    </row>
    <row r="32" spans="3:13" ht="15.75" thickBot="1" x14ac:dyDescent="0.3">
      <c r="C32" s="269" t="s">
        <v>162</v>
      </c>
      <c r="D32" s="270"/>
      <c r="E32" s="35"/>
      <c r="F32" s="35"/>
      <c r="G32" s="35"/>
      <c r="H32" s="35"/>
      <c r="I32" s="35"/>
      <c r="J32" s="63"/>
      <c r="K32" s="329"/>
      <c r="L32" s="329"/>
      <c r="M32" s="329"/>
    </row>
    <row r="33" spans="3:13" x14ac:dyDescent="0.25">
      <c r="C33" s="432" t="s">
        <v>343</v>
      </c>
      <c r="D33" s="433"/>
      <c r="E33" s="433"/>
      <c r="F33" s="433"/>
      <c r="G33" s="433"/>
      <c r="H33" s="433"/>
      <c r="I33" s="433"/>
      <c r="J33" s="434"/>
      <c r="K33" s="329"/>
      <c r="L33" s="329"/>
      <c r="M33" s="329"/>
    </row>
    <row r="34" spans="3:13" x14ac:dyDescent="0.25">
      <c r="C34" s="435"/>
      <c r="D34" s="436"/>
      <c r="E34" s="436"/>
      <c r="F34" s="436"/>
      <c r="G34" s="436"/>
      <c r="H34" s="436"/>
      <c r="I34" s="436"/>
      <c r="J34" s="437"/>
      <c r="K34" s="329"/>
      <c r="L34" s="329"/>
      <c r="M34" s="329"/>
    </row>
    <row r="35" spans="3:13" ht="15.75" thickBot="1" x14ac:dyDescent="0.3">
      <c r="C35" s="438"/>
      <c r="D35" s="439"/>
      <c r="E35" s="439"/>
      <c r="F35" s="439"/>
      <c r="G35" s="439"/>
      <c r="H35" s="439"/>
      <c r="I35" s="439"/>
      <c r="J35" s="440"/>
      <c r="K35" s="329"/>
      <c r="L35" s="329"/>
      <c r="M35" s="329"/>
    </row>
    <row r="37" spans="3:13" ht="15.75" thickBot="1" x14ac:dyDescent="0.3"/>
    <row r="38" spans="3:13" x14ac:dyDescent="0.25">
      <c r="C38" s="271" t="s">
        <v>158</v>
      </c>
      <c r="D38" s="272"/>
      <c r="E38" s="245">
        <v>45945</v>
      </c>
      <c r="F38" s="60"/>
      <c r="G38" s="60" t="s">
        <v>163</v>
      </c>
      <c r="H38" s="246"/>
      <c r="I38" s="247"/>
      <c r="J38" s="248"/>
      <c r="K38" s="329"/>
      <c r="L38" s="329"/>
    </row>
    <row r="39" spans="3:13" x14ac:dyDescent="0.25">
      <c r="C39" s="273"/>
      <c r="D39" s="274"/>
      <c r="E39" s="250"/>
      <c r="F39" s="35"/>
      <c r="G39" s="35" t="s">
        <v>331</v>
      </c>
      <c r="H39" s="251"/>
      <c r="I39" s="249">
        <f>I30+1</f>
        <v>5</v>
      </c>
      <c r="J39" s="62"/>
      <c r="K39" s="329"/>
      <c r="L39" s="329"/>
    </row>
    <row r="40" spans="3:13" x14ac:dyDescent="0.25">
      <c r="C40" s="273" t="s">
        <v>159</v>
      </c>
      <c r="D40" s="274" t="s">
        <v>160</v>
      </c>
      <c r="E40" s="35" t="s">
        <v>161</v>
      </c>
      <c r="F40" s="35"/>
      <c r="G40" s="35" t="s">
        <v>164</v>
      </c>
      <c r="H40" s="430">
        <v>112</v>
      </c>
      <c r="I40" s="430"/>
      <c r="J40" s="431"/>
      <c r="K40" s="329"/>
      <c r="L40" s="329"/>
    </row>
    <row r="41" spans="3:13" ht="15.75" thickBot="1" x14ac:dyDescent="0.3">
      <c r="C41" s="273" t="s">
        <v>162</v>
      </c>
      <c r="D41" s="274"/>
      <c r="E41" s="35"/>
      <c r="F41" s="35"/>
      <c r="G41" s="35"/>
      <c r="H41" s="35"/>
      <c r="I41" s="35"/>
      <c r="J41" s="63"/>
      <c r="K41" s="329"/>
      <c r="L41" s="329"/>
    </row>
    <row r="42" spans="3:13" x14ac:dyDescent="0.25">
      <c r="C42" s="432" t="s">
        <v>344</v>
      </c>
      <c r="D42" s="433"/>
      <c r="E42" s="433"/>
      <c r="F42" s="433"/>
      <c r="G42" s="433"/>
      <c r="H42" s="433"/>
      <c r="I42" s="433"/>
      <c r="J42" s="434"/>
      <c r="K42" s="329"/>
      <c r="L42" s="329"/>
    </row>
    <row r="43" spans="3:13" x14ac:dyDescent="0.25">
      <c r="C43" s="435"/>
      <c r="D43" s="436"/>
      <c r="E43" s="436"/>
      <c r="F43" s="436"/>
      <c r="G43" s="436"/>
      <c r="H43" s="436"/>
      <c r="I43" s="436"/>
      <c r="J43" s="437"/>
      <c r="K43" s="329"/>
      <c r="L43" s="329"/>
    </row>
    <row r="44" spans="3:13" ht="15.75" thickBot="1" x14ac:dyDescent="0.3">
      <c r="C44" s="438"/>
      <c r="D44" s="439"/>
      <c r="E44" s="439"/>
      <c r="F44" s="439"/>
      <c r="G44" s="439"/>
      <c r="H44" s="439"/>
      <c r="I44" s="439"/>
      <c r="J44" s="440"/>
      <c r="K44" s="329"/>
      <c r="L44" s="329"/>
    </row>
    <row r="46" spans="3:13" ht="15.75" thickBot="1" x14ac:dyDescent="0.3"/>
    <row r="47" spans="3:13" x14ac:dyDescent="0.25">
      <c r="C47" s="238" t="s">
        <v>158</v>
      </c>
      <c r="D47" s="239"/>
      <c r="E47" s="245">
        <v>45945</v>
      </c>
      <c r="F47" s="60"/>
      <c r="G47" s="60" t="s">
        <v>163</v>
      </c>
      <c r="H47" s="246"/>
      <c r="I47" s="247"/>
      <c r="J47" s="248"/>
    </row>
    <row r="48" spans="3:13" x14ac:dyDescent="0.25">
      <c r="C48" s="240"/>
      <c r="D48" s="252"/>
      <c r="E48" s="250"/>
      <c r="F48" s="35"/>
      <c r="G48" s="35" t="s">
        <v>331</v>
      </c>
      <c r="H48" s="251"/>
      <c r="I48" s="249">
        <f>I39+1</f>
        <v>6</v>
      </c>
      <c r="J48" s="62"/>
      <c r="K48" s="329"/>
      <c r="L48" s="329"/>
      <c r="M48" s="329"/>
    </row>
    <row r="49" spans="3:13" x14ac:dyDescent="0.25">
      <c r="C49" s="240" t="s">
        <v>159</v>
      </c>
      <c r="D49" s="252" t="s">
        <v>160</v>
      </c>
      <c r="E49" s="35" t="s">
        <v>161</v>
      </c>
      <c r="F49" s="35"/>
      <c r="G49" s="35" t="s">
        <v>164</v>
      </c>
      <c r="H49" s="430">
        <v>110</v>
      </c>
      <c r="I49" s="430"/>
      <c r="J49" s="431"/>
      <c r="K49" s="329"/>
      <c r="L49" s="329"/>
      <c r="M49" s="329"/>
    </row>
    <row r="50" spans="3:13" ht="15.75" thickBot="1" x14ac:dyDescent="0.3">
      <c r="C50" s="240" t="s">
        <v>162</v>
      </c>
      <c r="D50" s="252"/>
      <c r="E50" s="35"/>
      <c r="F50" s="35"/>
      <c r="G50" s="35"/>
      <c r="H50" s="35"/>
      <c r="I50" s="35"/>
      <c r="J50" s="63"/>
      <c r="K50" s="329"/>
      <c r="L50" s="329"/>
      <c r="M50" s="329"/>
    </row>
    <row r="51" spans="3:13" x14ac:dyDescent="0.25">
      <c r="C51" s="432" t="s">
        <v>345</v>
      </c>
      <c r="D51" s="433"/>
      <c r="E51" s="433"/>
      <c r="F51" s="433"/>
      <c r="G51" s="433"/>
      <c r="H51" s="433"/>
      <c r="I51" s="433"/>
      <c r="J51" s="434"/>
      <c r="K51" s="329"/>
      <c r="L51" s="329"/>
      <c r="M51" s="329"/>
    </row>
    <row r="52" spans="3:13" x14ac:dyDescent="0.25">
      <c r="C52" s="435"/>
      <c r="D52" s="436"/>
      <c r="E52" s="436"/>
      <c r="F52" s="436"/>
      <c r="G52" s="436"/>
      <c r="H52" s="436"/>
      <c r="I52" s="436"/>
      <c r="J52" s="437"/>
      <c r="K52" s="329"/>
      <c r="L52" s="329"/>
      <c r="M52" s="329"/>
    </row>
    <row r="53" spans="3:13" ht="15.75" thickBot="1" x14ac:dyDescent="0.3">
      <c r="C53" s="438"/>
      <c r="D53" s="439"/>
      <c r="E53" s="439"/>
      <c r="F53" s="439"/>
      <c r="G53" s="439"/>
      <c r="H53" s="439"/>
      <c r="I53" s="439"/>
      <c r="J53" s="440"/>
      <c r="K53" s="329"/>
      <c r="L53" s="329"/>
      <c r="M53" s="329"/>
    </row>
    <row r="55" spans="3:13" ht="15.75" thickBot="1" x14ac:dyDescent="0.3"/>
    <row r="56" spans="3:13" ht="14.45" customHeight="1" x14ac:dyDescent="0.25">
      <c r="C56" s="276" t="s">
        <v>158</v>
      </c>
      <c r="D56" s="277"/>
      <c r="E56" s="245">
        <v>45945</v>
      </c>
      <c r="F56" s="60"/>
      <c r="G56" s="60" t="s">
        <v>163</v>
      </c>
      <c r="H56" s="246"/>
      <c r="I56" s="247"/>
      <c r="J56" s="248"/>
      <c r="K56" s="443" t="s">
        <v>346</v>
      </c>
      <c r="L56" s="444"/>
      <c r="M56" s="444"/>
    </row>
    <row r="57" spans="3:13" x14ac:dyDescent="0.25">
      <c r="C57" s="278"/>
      <c r="D57" s="279"/>
      <c r="E57" s="250"/>
      <c r="F57" s="35"/>
      <c r="G57" s="35" t="s">
        <v>331</v>
      </c>
      <c r="H57" s="251"/>
      <c r="I57" s="249">
        <f>I48+1</f>
        <v>7</v>
      </c>
      <c r="J57" s="62"/>
      <c r="K57" s="443"/>
      <c r="L57" s="444"/>
      <c r="M57" s="444"/>
    </row>
    <row r="58" spans="3:13" x14ac:dyDescent="0.25">
      <c r="C58" s="278" t="s">
        <v>159</v>
      </c>
      <c r="D58" s="279" t="s">
        <v>160</v>
      </c>
      <c r="E58" s="35" t="s">
        <v>161</v>
      </c>
      <c r="F58" s="35"/>
      <c r="G58" s="35" t="s">
        <v>164</v>
      </c>
      <c r="H58" s="430">
        <v>14</v>
      </c>
      <c r="I58" s="430"/>
      <c r="J58" s="431"/>
      <c r="K58" s="443"/>
      <c r="L58" s="444"/>
      <c r="M58" s="444"/>
    </row>
    <row r="59" spans="3:13" ht="15.75" thickBot="1" x14ac:dyDescent="0.3">
      <c r="C59" s="278" t="s">
        <v>162</v>
      </c>
      <c r="D59" s="279"/>
      <c r="E59" s="35"/>
      <c r="F59" s="35"/>
      <c r="G59" s="35"/>
      <c r="H59" s="35"/>
      <c r="I59" s="35"/>
      <c r="J59" s="63"/>
      <c r="K59" s="443"/>
      <c r="L59" s="444"/>
      <c r="M59" s="444"/>
    </row>
    <row r="60" spans="3:13" x14ac:dyDescent="0.25">
      <c r="C60" s="432" t="s">
        <v>354</v>
      </c>
      <c r="D60" s="433"/>
      <c r="E60" s="433"/>
      <c r="F60" s="433"/>
      <c r="G60" s="433"/>
      <c r="H60" s="433"/>
      <c r="I60" s="433"/>
      <c r="J60" s="434"/>
      <c r="K60" s="443"/>
      <c r="L60" s="444"/>
      <c r="M60" s="444"/>
    </row>
    <row r="61" spans="3:13" x14ac:dyDescent="0.25">
      <c r="C61" s="435"/>
      <c r="D61" s="436"/>
      <c r="E61" s="436"/>
      <c r="F61" s="436"/>
      <c r="G61" s="436"/>
      <c r="H61" s="436"/>
      <c r="I61" s="436"/>
      <c r="J61" s="437"/>
      <c r="K61" s="443"/>
      <c r="L61" s="444"/>
      <c r="M61" s="444"/>
    </row>
    <row r="62" spans="3:13" ht="15.75" thickBot="1" x14ac:dyDescent="0.3">
      <c r="C62" s="438"/>
      <c r="D62" s="439"/>
      <c r="E62" s="439"/>
      <c r="F62" s="439"/>
      <c r="G62" s="439"/>
      <c r="H62" s="439"/>
      <c r="I62" s="439"/>
      <c r="J62" s="440"/>
      <c r="K62" s="443"/>
      <c r="L62" s="444"/>
      <c r="M62" s="444"/>
    </row>
    <row r="64" spans="3:13" ht="15.75" thickBot="1" x14ac:dyDescent="0.3"/>
    <row r="65" spans="3:12" x14ac:dyDescent="0.25">
      <c r="C65" s="280" t="s">
        <v>158</v>
      </c>
      <c r="D65" s="281"/>
      <c r="E65" s="245">
        <v>45945</v>
      </c>
      <c r="F65" s="60"/>
      <c r="G65" s="60" t="s">
        <v>163</v>
      </c>
      <c r="H65" s="246"/>
      <c r="I65" s="247"/>
      <c r="J65" s="248"/>
    </row>
    <row r="66" spans="3:12" x14ac:dyDescent="0.25">
      <c r="C66" s="282"/>
      <c r="D66" s="283"/>
      <c r="E66" s="250"/>
      <c r="F66" s="35"/>
      <c r="G66" s="35" t="s">
        <v>331</v>
      </c>
      <c r="H66" s="251"/>
      <c r="I66" s="249">
        <f>I57+1</f>
        <v>8</v>
      </c>
      <c r="J66" s="62"/>
    </row>
    <row r="67" spans="3:12" x14ac:dyDescent="0.25">
      <c r="C67" s="282" t="s">
        <v>159</v>
      </c>
      <c r="D67" s="283" t="s">
        <v>160</v>
      </c>
      <c r="E67" s="35" t="s">
        <v>161</v>
      </c>
      <c r="F67" s="35"/>
      <c r="G67" s="35" t="s">
        <v>164</v>
      </c>
      <c r="H67" s="430" t="s">
        <v>347</v>
      </c>
      <c r="I67" s="430"/>
      <c r="J67" s="431"/>
    </row>
    <row r="68" spans="3:12" ht="15.75" thickBot="1" x14ac:dyDescent="0.3">
      <c r="C68" s="282" t="s">
        <v>162</v>
      </c>
      <c r="D68" s="283"/>
      <c r="E68" s="35"/>
      <c r="F68" s="35"/>
      <c r="G68" s="35"/>
      <c r="H68" s="35"/>
      <c r="I68" s="35"/>
      <c r="J68" s="63"/>
    </row>
    <row r="69" spans="3:12" x14ac:dyDescent="0.25">
      <c r="C69" s="432" t="s">
        <v>348</v>
      </c>
      <c r="D69" s="433"/>
      <c r="E69" s="433"/>
      <c r="F69" s="433"/>
      <c r="G69" s="433"/>
      <c r="H69" s="433"/>
      <c r="I69" s="433"/>
      <c r="J69" s="434"/>
    </row>
    <row r="70" spans="3:12" x14ac:dyDescent="0.25">
      <c r="C70" s="435"/>
      <c r="D70" s="436"/>
      <c r="E70" s="436"/>
      <c r="F70" s="436"/>
      <c r="G70" s="436"/>
      <c r="H70" s="436"/>
      <c r="I70" s="436"/>
      <c r="J70" s="437"/>
    </row>
    <row r="71" spans="3:12" ht="15.75" thickBot="1" x14ac:dyDescent="0.3">
      <c r="C71" s="438"/>
      <c r="D71" s="439"/>
      <c r="E71" s="439"/>
      <c r="F71" s="439"/>
      <c r="G71" s="439"/>
      <c r="H71" s="439"/>
      <c r="I71" s="439"/>
      <c r="J71" s="440"/>
    </row>
    <row r="73" spans="3:12" ht="15.75" thickBot="1" x14ac:dyDescent="0.3"/>
    <row r="74" spans="3:12" x14ac:dyDescent="0.25">
      <c r="C74" s="280" t="s">
        <v>158</v>
      </c>
      <c r="D74" s="281"/>
      <c r="E74" s="245">
        <v>45945</v>
      </c>
      <c r="F74" s="60"/>
      <c r="G74" s="60" t="s">
        <v>163</v>
      </c>
      <c r="H74" s="246"/>
      <c r="I74" s="247"/>
      <c r="J74" s="248"/>
      <c r="K74" s="329"/>
      <c r="L74" s="329"/>
    </row>
    <row r="75" spans="3:12" x14ac:dyDescent="0.25">
      <c r="C75" s="282"/>
      <c r="D75" s="283"/>
      <c r="E75" s="250"/>
      <c r="F75" s="35"/>
      <c r="G75" s="35" t="s">
        <v>331</v>
      </c>
      <c r="H75" s="251"/>
      <c r="I75" s="249">
        <f>I66+1</f>
        <v>9</v>
      </c>
      <c r="J75" s="62"/>
      <c r="K75" s="329"/>
      <c r="L75" s="329"/>
    </row>
    <row r="76" spans="3:12" x14ac:dyDescent="0.25">
      <c r="C76" s="282" t="s">
        <v>159</v>
      </c>
      <c r="D76" s="283" t="s">
        <v>160</v>
      </c>
      <c r="E76" s="35" t="s">
        <v>161</v>
      </c>
      <c r="F76" s="35"/>
      <c r="G76" s="35" t="s">
        <v>164</v>
      </c>
      <c r="H76" s="430" t="s">
        <v>347</v>
      </c>
      <c r="I76" s="430"/>
      <c r="J76" s="431"/>
      <c r="K76" s="329"/>
      <c r="L76" s="329"/>
    </row>
    <row r="77" spans="3:12" ht="15.75" thickBot="1" x14ac:dyDescent="0.3">
      <c r="C77" s="282" t="s">
        <v>162</v>
      </c>
      <c r="D77" s="283"/>
      <c r="E77" s="35"/>
      <c r="F77" s="35"/>
      <c r="G77" s="35"/>
      <c r="H77" s="35"/>
      <c r="I77" s="35"/>
      <c r="J77" s="63"/>
      <c r="K77" s="329"/>
      <c r="L77" s="329"/>
    </row>
    <row r="78" spans="3:12" x14ac:dyDescent="0.25">
      <c r="C78" s="432" t="s">
        <v>349</v>
      </c>
      <c r="D78" s="433"/>
      <c r="E78" s="433"/>
      <c r="F78" s="433"/>
      <c r="G78" s="433"/>
      <c r="H78" s="433"/>
      <c r="I78" s="433"/>
      <c r="J78" s="434"/>
      <c r="K78" s="329"/>
      <c r="L78" s="329"/>
    </row>
    <row r="79" spans="3:12" x14ac:dyDescent="0.25">
      <c r="C79" s="435"/>
      <c r="D79" s="436"/>
      <c r="E79" s="436"/>
      <c r="F79" s="436"/>
      <c r="G79" s="436"/>
      <c r="H79" s="436"/>
      <c r="I79" s="436"/>
      <c r="J79" s="437"/>
      <c r="K79" s="329"/>
      <c r="L79" s="329"/>
    </row>
    <row r="80" spans="3:12" ht="15.75" thickBot="1" x14ac:dyDescent="0.3">
      <c r="C80" s="438"/>
      <c r="D80" s="439"/>
      <c r="E80" s="439"/>
      <c r="F80" s="439"/>
      <c r="G80" s="439"/>
      <c r="H80" s="439"/>
      <c r="I80" s="439"/>
      <c r="J80" s="440"/>
    </row>
    <row r="82" spans="3:12" ht="15.75" thickBot="1" x14ac:dyDescent="0.3"/>
    <row r="83" spans="3:12" x14ac:dyDescent="0.25">
      <c r="C83" s="285" t="s">
        <v>158</v>
      </c>
      <c r="D83" s="286"/>
      <c r="E83" s="245">
        <v>45945</v>
      </c>
      <c r="F83" s="60"/>
      <c r="G83" s="60" t="s">
        <v>163</v>
      </c>
      <c r="H83" s="246"/>
      <c r="I83" s="247"/>
      <c r="J83" s="248"/>
    </row>
    <row r="84" spans="3:12" x14ac:dyDescent="0.25">
      <c r="C84" s="287"/>
      <c r="D84" s="288"/>
      <c r="E84" s="250"/>
      <c r="F84" s="35"/>
      <c r="G84" s="35" t="s">
        <v>331</v>
      </c>
      <c r="H84" s="251"/>
      <c r="I84" s="249">
        <f>I75+1</f>
        <v>10</v>
      </c>
      <c r="J84" s="62"/>
      <c r="K84" s="329"/>
      <c r="L84" s="329"/>
    </row>
    <row r="85" spans="3:12" x14ac:dyDescent="0.25">
      <c r="C85" s="287" t="s">
        <v>159</v>
      </c>
      <c r="D85" s="288" t="s">
        <v>160</v>
      </c>
      <c r="E85" s="35" t="s">
        <v>161</v>
      </c>
      <c r="F85" s="35"/>
      <c r="G85" s="35" t="s">
        <v>164</v>
      </c>
      <c r="H85" s="430">
        <v>60</v>
      </c>
      <c r="I85" s="430"/>
      <c r="J85" s="431"/>
      <c r="K85" s="329"/>
      <c r="L85" s="329"/>
    </row>
    <row r="86" spans="3:12" ht="15.75" thickBot="1" x14ac:dyDescent="0.3">
      <c r="C86" s="287" t="s">
        <v>162</v>
      </c>
      <c r="D86" s="288"/>
      <c r="E86" s="35"/>
      <c r="F86" s="35"/>
      <c r="G86" s="35"/>
      <c r="H86" s="35"/>
      <c r="I86" s="35"/>
      <c r="J86" s="63"/>
      <c r="K86" s="329"/>
      <c r="L86" s="329"/>
    </row>
    <row r="87" spans="3:12" x14ac:dyDescent="0.25">
      <c r="C87" s="432" t="s">
        <v>350</v>
      </c>
      <c r="D87" s="433"/>
      <c r="E87" s="433"/>
      <c r="F87" s="433"/>
      <c r="G87" s="433"/>
      <c r="H87" s="433"/>
      <c r="I87" s="433"/>
      <c r="J87" s="434"/>
      <c r="K87" s="329"/>
      <c r="L87" s="329"/>
    </row>
    <row r="88" spans="3:12" x14ac:dyDescent="0.25">
      <c r="C88" s="435"/>
      <c r="D88" s="436"/>
      <c r="E88" s="436"/>
      <c r="F88" s="436"/>
      <c r="G88" s="436"/>
      <c r="H88" s="436"/>
      <c r="I88" s="436"/>
      <c r="J88" s="437"/>
      <c r="K88" s="329"/>
      <c r="L88" s="329"/>
    </row>
    <row r="89" spans="3:12" ht="15.75" thickBot="1" x14ac:dyDescent="0.3">
      <c r="C89" s="438"/>
      <c r="D89" s="439"/>
      <c r="E89" s="439"/>
      <c r="F89" s="439"/>
      <c r="G89" s="439"/>
      <c r="H89" s="439"/>
      <c r="I89" s="439"/>
      <c r="J89" s="440"/>
    </row>
    <row r="91" spans="3:12" ht="15.75" thickBot="1" x14ac:dyDescent="0.3"/>
    <row r="92" spans="3:12" x14ac:dyDescent="0.25">
      <c r="C92" s="289" t="s">
        <v>158</v>
      </c>
      <c r="D92" s="290"/>
      <c r="E92" s="245">
        <v>45945</v>
      </c>
      <c r="F92" s="60"/>
      <c r="G92" s="60" t="s">
        <v>163</v>
      </c>
      <c r="H92" s="246"/>
      <c r="I92" s="247"/>
      <c r="J92" s="248"/>
    </row>
    <row r="93" spans="3:12" x14ac:dyDescent="0.25">
      <c r="C93" s="291"/>
      <c r="D93" s="292"/>
      <c r="E93" s="250"/>
      <c r="F93" s="35"/>
      <c r="G93" s="35" t="s">
        <v>331</v>
      </c>
      <c r="H93" s="251"/>
      <c r="I93" s="249">
        <f>I84+1</f>
        <v>11</v>
      </c>
      <c r="J93" s="62"/>
      <c r="K93" s="329"/>
      <c r="L93" s="329"/>
    </row>
    <row r="94" spans="3:12" x14ac:dyDescent="0.25">
      <c r="C94" s="291" t="s">
        <v>159</v>
      </c>
      <c r="D94" s="292" t="s">
        <v>160</v>
      </c>
      <c r="E94" s="35" t="s">
        <v>161</v>
      </c>
      <c r="F94" s="35"/>
      <c r="G94" s="35" t="s">
        <v>164</v>
      </c>
      <c r="H94" s="430">
        <v>119</v>
      </c>
      <c r="I94" s="430"/>
      <c r="J94" s="431"/>
      <c r="K94" s="329"/>
      <c r="L94" s="329"/>
    </row>
    <row r="95" spans="3:12" ht="15.75" thickBot="1" x14ac:dyDescent="0.3">
      <c r="C95" s="291" t="s">
        <v>162</v>
      </c>
      <c r="D95" s="292"/>
      <c r="E95" s="35"/>
      <c r="F95" s="35"/>
      <c r="G95" s="35"/>
      <c r="H95" s="35"/>
      <c r="I95" s="35"/>
      <c r="J95" s="63"/>
      <c r="K95" s="329"/>
      <c r="L95" s="329"/>
    </row>
    <row r="96" spans="3:12" x14ac:dyDescent="0.25">
      <c r="C96" s="432" t="s">
        <v>351</v>
      </c>
      <c r="D96" s="433"/>
      <c r="E96" s="433"/>
      <c r="F96" s="433"/>
      <c r="G96" s="433"/>
      <c r="H96" s="433"/>
      <c r="I96" s="433"/>
      <c r="J96" s="434"/>
      <c r="K96" s="329"/>
      <c r="L96" s="329"/>
    </row>
    <row r="97" spans="3:13" x14ac:dyDescent="0.25">
      <c r="C97" s="435"/>
      <c r="D97" s="436"/>
      <c r="E97" s="436"/>
      <c r="F97" s="436"/>
      <c r="G97" s="436"/>
      <c r="H97" s="436"/>
      <c r="I97" s="436"/>
      <c r="J97" s="437"/>
      <c r="K97" s="329"/>
      <c r="L97" s="329"/>
    </row>
    <row r="98" spans="3:13" ht="15.75" thickBot="1" x14ac:dyDescent="0.3">
      <c r="C98" s="438"/>
      <c r="D98" s="439"/>
      <c r="E98" s="439"/>
      <c r="F98" s="439"/>
      <c r="G98" s="439"/>
      <c r="H98" s="439"/>
      <c r="I98" s="439"/>
      <c r="J98" s="440"/>
      <c r="K98" s="329"/>
      <c r="L98" s="329"/>
    </row>
    <row r="99" spans="3:13" x14ac:dyDescent="0.25">
      <c r="K99" s="329"/>
      <c r="L99" s="329"/>
    </row>
    <row r="100" spans="3:13" ht="15.75" thickBot="1" x14ac:dyDescent="0.3">
      <c r="K100" s="329"/>
      <c r="L100" s="329"/>
    </row>
    <row r="101" spans="3:13" x14ac:dyDescent="0.25">
      <c r="C101" s="293" t="s">
        <v>158</v>
      </c>
      <c r="D101" s="294"/>
      <c r="E101" s="245">
        <v>45945</v>
      </c>
      <c r="F101" s="60"/>
      <c r="G101" s="60" t="s">
        <v>163</v>
      </c>
      <c r="H101" s="246"/>
      <c r="I101" s="247"/>
      <c r="J101" s="248"/>
      <c r="K101" s="329"/>
      <c r="L101" s="329"/>
    </row>
    <row r="102" spans="3:13" ht="15.75" x14ac:dyDescent="0.25">
      <c r="C102" s="295"/>
      <c r="D102" s="296"/>
      <c r="E102" s="250"/>
      <c r="F102" s="35"/>
      <c r="G102" s="35" t="s">
        <v>331</v>
      </c>
      <c r="H102" s="251"/>
      <c r="I102" s="249">
        <f>I93+1</f>
        <v>12</v>
      </c>
      <c r="J102" s="62"/>
      <c r="K102" s="330"/>
      <c r="L102" s="329"/>
    </row>
    <row r="103" spans="3:13" x14ac:dyDescent="0.25">
      <c r="C103" s="295" t="s">
        <v>159</v>
      </c>
      <c r="D103" s="296" t="s">
        <v>160</v>
      </c>
      <c r="E103" s="35" t="s">
        <v>161</v>
      </c>
      <c r="F103" s="35"/>
      <c r="G103" s="35" t="s">
        <v>164</v>
      </c>
      <c r="H103" s="430">
        <v>28</v>
      </c>
      <c r="I103" s="430"/>
      <c r="J103" s="431"/>
      <c r="K103" s="329"/>
      <c r="L103" s="329"/>
    </row>
    <row r="104" spans="3:13" ht="15.75" thickBot="1" x14ac:dyDescent="0.3">
      <c r="C104" s="295" t="s">
        <v>162</v>
      </c>
      <c r="D104" s="296"/>
      <c r="E104" s="35"/>
      <c r="F104" s="35"/>
      <c r="G104" s="35"/>
      <c r="H104" s="35"/>
      <c r="I104" s="35"/>
      <c r="J104" s="63"/>
      <c r="K104" s="329"/>
      <c r="L104" s="329"/>
    </row>
    <row r="105" spans="3:13" x14ac:dyDescent="0.25">
      <c r="C105" s="432" t="s">
        <v>352</v>
      </c>
      <c r="D105" s="433"/>
      <c r="E105" s="433"/>
      <c r="F105" s="433"/>
      <c r="G105" s="433"/>
      <c r="H105" s="433"/>
      <c r="I105" s="433"/>
      <c r="J105" s="434"/>
      <c r="K105" s="329"/>
      <c r="L105" s="329"/>
    </row>
    <row r="106" spans="3:13" x14ac:dyDescent="0.25">
      <c r="C106" s="435"/>
      <c r="D106" s="436"/>
      <c r="E106" s="436"/>
      <c r="F106" s="436"/>
      <c r="G106" s="436"/>
      <c r="H106" s="436"/>
      <c r="I106" s="436"/>
      <c r="J106" s="437"/>
      <c r="K106" s="329"/>
      <c r="L106" s="329"/>
    </row>
    <row r="107" spans="3:13" ht="15.75" thickBot="1" x14ac:dyDescent="0.3">
      <c r="C107" s="438"/>
      <c r="D107" s="439"/>
      <c r="E107" s="439"/>
      <c r="F107" s="439"/>
      <c r="G107" s="439"/>
      <c r="H107" s="439"/>
      <c r="I107" s="439"/>
      <c r="J107" s="440"/>
    </row>
    <row r="109" spans="3:13" ht="15.75" thickBot="1" x14ac:dyDescent="0.3"/>
    <row r="110" spans="3:13" x14ac:dyDescent="0.25">
      <c r="C110" s="298" t="s">
        <v>158</v>
      </c>
      <c r="D110" s="299"/>
      <c r="E110" s="245">
        <v>45945</v>
      </c>
      <c r="F110" s="60"/>
      <c r="G110" s="60" t="s">
        <v>163</v>
      </c>
      <c r="H110" s="246"/>
      <c r="I110" s="247"/>
      <c r="J110" s="248"/>
    </row>
    <row r="111" spans="3:13" x14ac:dyDescent="0.25">
      <c r="C111" s="300"/>
      <c r="D111" s="301"/>
      <c r="E111" s="250"/>
      <c r="F111" s="35"/>
      <c r="G111" s="35" t="s">
        <v>331</v>
      </c>
      <c r="H111" s="251"/>
      <c r="I111" s="249">
        <f>I102+1</f>
        <v>13</v>
      </c>
      <c r="J111" s="62"/>
      <c r="K111" s="331"/>
      <c r="L111" s="331"/>
      <c r="M111" s="329"/>
    </row>
    <row r="112" spans="3:13" x14ac:dyDescent="0.25">
      <c r="C112" s="300" t="s">
        <v>159</v>
      </c>
      <c r="D112" s="301" t="s">
        <v>160</v>
      </c>
      <c r="E112" s="35" t="s">
        <v>161</v>
      </c>
      <c r="F112" s="35"/>
      <c r="G112" s="35" t="s">
        <v>164</v>
      </c>
      <c r="H112" s="430" t="s">
        <v>451</v>
      </c>
      <c r="I112" s="430"/>
      <c r="J112" s="431"/>
      <c r="K112" s="331"/>
      <c r="L112" s="331"/>
      <c r="M112" s="329"/>
    </row>
    <row r="113" spans="3:13" ht="15.75" thickBot="1" x14ac:dyDescent="0.3">
      <c r="C113" s="300" t="s">
        <v>162</v>
      </c>
      <c r="D113" s="301"/>
      <c r="E113" s="35"/>
      <c r="F113" s="35"/>
      <c r="G113" s="35"/>
      <c r="H113" s="35"/>
      <c r="I113" s="35"/>
      <c r="J113" s="63"/>
      <c r="K113" s="331"/>
      <c r="L113" s="331"/>
      <c r="M113" s="329"/>
    </row>
    <row r="114" spans="3:13" x14ac:dyDescent="0.25">
      <c r="C114" s="432" t="s">
        <v>353</v>
      </c>
      <c r="D114" s="433"/>
      <c r="E114" s="433"/>
      <c r="F114" s="433"/>
      <c r="G114" s="433"/>
      <c r="H114" s="433"/>
      <c r="I114" s="433"/>
      <c r="J114" s="434"/>
      <c r="K114" s="331"/>
      <c r="L114" s="331"/>
      <c r="M114" s="329"/>
    </row>
    <row r="115" spans="3:13" x14ac:dyDescent="0.25">
      <c r="C115" s="435"/>
      <c r="D115" s="436"/>
      <c r="E115" s="436"/>
      <c r="F115" s="436"/>
      <c r="G115" s="436"/>
      <c r="H115" s="436"/>
      <c r="I115" s="436"/>
      <c r="J115" s="437"/>
      <c r="K115" s="331"/>
      <c r="L115" s="331"/>
      <c r="M115" s="329"/>
    </row>
    <row r="116" spans="3:13" ht="15.75" thickBot="1" x14ac:dyDescent="0.3">
      <c r="C116" s="438"/>
      <c r="D116" s="439"/>
      <c r="E116" s="439"/>
      <c r="F116" s="439"/>
      <c r="G116" s="439"/>
      <c r="H116" s="439"/>
      <c r="I116" s="439"/>
      <c r="J116" s="440"/>
    </row>
    <row r="118" spans="3:13" ht="15.75" thickBot="1" x14ac:dyDescent="0.3"/>
    <row r="119" spans="3:13" x14ac:dyDescent="0.25">
      <c r="C119" s="238" t="s">
        <v>158</v>
      </c>
      <c r="D119" s="239"/>
      <c r="E119" s="245">
        <v>45945</v>
      </c>
      <c r="F119" s="60"/>
      <c r="G119" s="60" t="s">
        <v>163</v>
      </c>
      <c r="H119" s="246"/>
      <c r="I119" s="247"/>
      <c r="J119" s="248"/>
    </row>
    <row r="120" spans="3:13" x14ac:dyDescent="0.25">
      <c r="C120" s="240"/>
      <c r="D120" s="252"/>
      <c r="E120" s="250"/>
      <c r="F120" s="35"/>
      <c r="G120" s="35" t="s">
        <v>331</v>
      </c>
      <c r="H120" s="251"/>
      <c r="I120" s="249">
        <f>I111+1</f>
        <v>14</v>
      </c>
      <c r="J120" s="62"/>
      <c r="K120" s="329"/>
      <c r="L120" s="329"/>
    </row>
    <row r="121" spans="3:13" x14ac:dyDescent="0.25">
      <c r="C121" s="240" t="s">
        <v>159</v>
      </c>
      <c r="D121" s="252" t="s">
        <v>160</v>
      </c>
      <c r="E121" s="35" t="s">
        <v>161</v>
      </c>
      <c r="F121" s="35"/>
      <c r="G121" s="35" t="s">
        <v>164</v>
      </c>
      <c r="H121" s="430">
        <v>105</v>
      </c>
      <c r="I121" s="430"/>
      <c r="J121" s="431"/>
      <c r="K121" s="329"/>
      <c r="L121" s="329"/>
    </row>
    <row r="122" spans="3:13" ht="15.75" thickBot="1" x14ac:dyDescent="0.3">
      <c r="C122" s="240" t="s">
        <v>162</v>
      </c>
      <c r="D122" s="252"/>
      <c r="E122" s="35"/>
      <c r="F122" s="35"/>
      <c r="G122" s="35"/>
      <c r="H122" s="35"/>
      <c r="I122" s="35"/>
      <c r="J122" s="63"/>
      <c r="K122" s="329"/>
      <c r="L122" s="329"/>
    </row>
    <row r="123" spans="3:13" x14ac:dyDescent="0.25">
      <c r="C123" s="432" t="s">
        <v>356</v>
      </c>
      <c r="D123" s="433"/>
      <c r="E123" s="433"/>
      <c r="F123" s="433"/>
      <c r="G123" s="433"/>
      <c r="H123" s="433"/>
      <c r="I123" s="433"/>
      <c r="J123" s="434"/>
      <c r="K123" s="329"/>
      <c r="L123" s="329"/>
    </row>
    <row r="124" spans="3:13" x14ac:dyDescent="0.25">
      <c r="C124" s="435"/>
      <c r="D124" s="436"/>
      <c r="E124" s="436"/>
      <c r="F124" s="436"/>
      <c r="G124" s="436"/>
      <c r="H124" s="436"/>
      <c r="I124" s="436"/>
      <c r="J124" s="437"/>
    </row>
    <row r="125" spans="3:13" ht="15.75" thickBot="1" x14ac:dyDescent="0.3">
      <c r="C125" s="438"/>
      <c r="D125" s="439"/>
      <c r="E125" s="439"/>
      <c r="F125" s="439"/>
      <c r="G125" s="439"/>
      <c r="H125" s="439"/>
      <c r="I125" s="439"/>
      <c r="J125" s="440"/>
    </row>
    <row r="127" spans="3:13" ht="15.75" thickBot="1" x14ac:dyDescent="0.3"/>
    <row r="128" spans="3:13" x14ac:dyDescent="0.25">
      <c r="C128" s="302" t="s">
        <v>158</v>
      </c>
      <c r="D128" s="303"/>
      <c r="E128" s="245">
        <v>45945</v>
      </c>
      <c r="F128" s="60"/>
      <c r="G128" s="60" t="s">
        <v>163</v>
      </c>
      <c r="H128" s="246"/>
      <c r="I128" s="247"/>
      <c r="J128" s="248"/>
      <c r="K128" s="329"/>
      <c r="L128" s="329"/>
    </row>
    <row r="129" spans="3:12" x14ac:dyDescent="0.25">
      <c r="C129" s="304"/>
      <c r="D129" s="305"/>
      <c r="E129" s="250"/>
      <c r="F129" s="35"/>
      <c r="G129" s="35" t="s">
        <v>331</v>
      </c>
      <c r="H129" s="251"/>
      <c r="I129" s="249">
        <f>I120+1</f>
        <v>15</v>
      </c>
      <c r="J129" s="62"/>
      <c r="K129" s="329"/>
      <c r="L129" s="329"/>
    </row>
    <row r="130" spans="3:12" x14ac:dyDescent="0.25">
      <c r="C130" s="304" t="s">
        <v>159</v>
      </c>
      <c r="D130" s="305" t="s">
        <v>160</v>
      </c>
      <c r="E130" s="35" t="s">
        <v>161</v>
      </c>
      <c r="F130" s="35"/>
      <c r="G130" s="35" t="s">
        <v>164</v>
      </c>
      <c r="H130" s="430">
        <v>130</v>
      </c>
      <c r="I130" s="430"/>
      <c r="J130" s="431"/>
      <c r="K130" s="329"/>
      <c r="L130" s="329"/>
    </row>
    <row r="131" spans="3:12" ht="15.75" thickBot="1" x14ac:dyDescent="0.3">
      <c r="C131" s="304" t="s">
        <v>162</v>
      </c>
      <c r="D131" s="305"/>
      <c r="E131" s="35"/>
      <c r="F131" s="35"/>
      <c r="G131" s="35"/>
      <c r="H131" s="35"/>
      <c r="I131" s="35"/>
      <c r="J131" s="63"/>
      <c r="K131" s="329"/>
      <c r="L131" s="329"/>
    </row>
    <row r="132" spans="3:12" x14ac:dyDescent="0.25">
      <c r="C132" s="432" t="s">
        <v>355</v>
      </c>
      <c r="D132" s="433"/>
      <c r="E132" s="433"/>
      <c r="F132" s="433"/>
      <c r="G132" s="433"/>
      <c r="H132" s="433"/>
      <c r="I132" s="433"/>
      <c r="J132" s="434"/>
      <c r="K132" s="329"/>
      <c r="L132" s="329"/>
    </row>
    <row r="133" spans="3:12" x14ac:dyDescent="0.25">
      <c r="C133" s="435"/>
      <c r="D133" s="436"/>
      <c r="E133" s="436"/>
      <c r="F133" s="436"/>
      <c r="G133" s="436"/>
      <c r="H133" s="436"/>
      <c r="I133" s="436"/>
      <c r="J133" s="437"/>
      <c r="K133" s="329"/>
      <c r="L133" s="329"/>
    </row>
    <row r="134" spans="3:12" ht="15.75" thickBot="1" x14ac:dyDescent="0.3">
      <c r="C134" s="438"/>
      <c r="D134" s="439"/>
      <c r="E134" s="439"/>
      <c r="F134" s="439"/>
      <c r="G134" s="439"/>
      <c r="H134" s="439"/>
      <c r="I134" s="439"/>
      <c r="J134" s="440"/>
      <c r="K134" s="329"/>
      <c r="L134" s="329"/>
    </row>
    <row r="136" spans="3:12" ht="15.75" thickBot="1" x14ac:dyDescent="0.3"/>
    <row r="137" spans="3:12" x14ac:dyDescent="0.25">
      <c r="C137" s="307" t="s">
        <v>158</v>
      </c>
      <c r="D137" s="308"/>
      <c r="E137" s="245">
        <v>45945</v>
      </c>
      <c r="F137" s="60"/>
      <c r="G137" s="60" t="s">
        <v>163</v>
      </c>
      <c r="H137" s="246"/>
      <c r="I137" s="247"/>
      <c r="J137" s="248"/>
      <c r="K137" s="329"/>
      <c r="L137" s="329"/>
    </row>
    <row r="138" spans="3:12" x14ac:dyDescent="0.25">
      <c r="C138" s="309"/>
      <c r="D138" s="310"/>
      <c r="E138" s="250"/>
      <c r="F138" s="35"/>
      <c r="G138" s="35" t="s">
        <v>331</v>
      </c>
      <c r="H138" s="251"/>
      <c r="I138" s="249">
        <f>I129+1</f>
        <v>16</v>
      </c>
      <c r="J138" s="62"/>
      <c r="K138" s="329"/>
      <c r="L138" s="329"/>
    </row>
    <row r="139" spans="3:12" x14ac:dyDescent="0.25">
      <c r="C139" s="309" t="s">
        <v>159</v>
      </c>
      <c r="D139" s="310" t="s">
        <v>160</v>
      </c>
      <c r="E139" s="35" t="s">
        <v>161</v>
      </c>
      <c r="F139" s="35"/>
      <c r="G139" s="35" t="s">
        <v>164</v>
      </c>
      <c r="H139" s="430">
        <v>96</v>
      </c>
      <c r="I139" s="430"/>
      <c r="J139" s="431"/>
      <c r="K139" s="329"/>
      <c r="L139" s="329"/>
    </row>
    <row r="140" spans="3:12" ht="15.75" thickBot="1" x14ac:dyDescent="0.3">
      <c r="C140" s="309" t="s">
        <v>162</v>
      </c>
      <c r="D140" s="310"/>
      <c r="E140" s="35"/>
      <c r="F140" s="35"/>
      <c r="G140" s="35"/>
      <c r="H140" s="35"/>
      <c r="I140" s="35"/>
      <c r="J140" s="63"/>
      <c r="K140" s="329"/>
      <c r="L140" s="329"/>
    </row>
    <row r="141" spans="3:12" x14ac:dyDescent="0.25">
      <c r="C141" s="432" t="s">
        <v>357</v>
      </c>
      <c r="D141" s="433"/>
      <c r="E141" s="433"/>
      <c r="F141" s="433"/>
      <c r="G141" s="433"/>
      <c r="H141" s="433"/>
      <c r="I141" s="433"/>
      <c r="J141" s="434"/>
      <c r="K141" s="329"/>
      <c r="L141" s="329"/>
    </row>
    <row r="142" spans="3:12" x14ac:dyDescent="0.25">
      <c r="C142" s="435"/>
      <c r="D142" s="436"/>
      <c r="E142" s="436"/>
      <c r="F142" s="436"/>
      <c r="G142" s="436"/>
      <c r="H142" s="436"/>
      <c r="I142" s="436"/>
      <c r="J142" s="437"/>
      <c r="K142" s="329"/>
      <c r="L142" s="329"/>
    </row>
    <row r="143" spans="3:12" ht="15.75" thickBot="1" x14ac:dyDescent="0.3">
      <c r="C143" s="438"/>
      <c r="D143" s="439"/>
      <c r="E143" s="439"/>
      <c r="F143" s="439"/>
      <c r="G143" s="439"/>
      <c r="H143" s="439"/>
      <c r="I143" s="439"/>
      <c r="J143" s="440"/>
    </row>
    <row r="145" spans="3:12" ht="15.75" thickBot="1" x14ac:dyDescent="0.3"/>
    <row r="146" spans="3:12" x14ac:dyDescent="0.25">
      <c r="C146" s="298" t="s">
        <v>158</v>
      </c>
      <c r="D146" s="299"/>
      <c r="E146" s="245">
        <v>45945</v>
      </c>
      <c r="F146" s="60"/>
      <c r="G146" s="60" t="s">
        <v>163</v>
      </c>
      <c r="H146" s="246"/>
      <c r="I146" s="247"/>
      <c r="J146" s="248"/>
    </row>
    <row r="147" spans="3:12" x14ac:dyDescent="0.25">
      <c r="C147" s="300"/>
      <c r="D147" s="301"/>
      <c r="E147" s="250"/>
      <c r="F147" s="35"/>
      <c r="G147" s="35" t="s">
        <v>331</v>
      </c>
      <c r="H147" s="251"/>
      <c r="I147" s="249">
        <f>I138+1</f>
        <v>17</v>
      </c>
      <c r="J147" s="62"/>
      <c r="K147" s="329"/>
      <c r="L147" s="329"/>
    </row>
    <row r="148" spans="3:12" x14ac:dyDescent="0.25">
      <c r="C148" s="300" t="s">
        <v>159</v>
      </c>
      <c r="D148" s="301" t="s">
        <v>160</v>
      </c>
      <c r="E148" s="35" t="s">
        <v>161</v>
      </c>
      <c r="F148" s="35"/>
      <c r="G148" s="35" t="s">
        <v>164</v>
      </c>
      <c r="H148" s="430" t="s">
        <v>452</v>
      </c>
      <c r="I148" s="430"/>
      <c r="J148" s="431"/>
      <c r="K148" s="329"/>
      <c r="L148" s="329"/>
    </row>
    <row r="149" spans="3:12" ht="15.75" thickBot="1" x14ac:dyDescent="0.3">
      <c r="C149" s="300" t="s">
        <v>162</v>
      </c>
      <c r="D149" s="301"/>
      <c r="E149" s="35"/>
      <c r="F149" s="35"/>
      <c r="G149" s="35"/>
      <c r="H149" s="35"/>
      <c r="I149" s="35"/>
      <c r="J149" s="63"/>
      <c r="K149" s="329"/>
      <c r="L149" s="329"/>
    </row>
    <row r="150" spans="3:12" x14ac:dyDescent="0.25">
      <c r="C150" s="432" t="s">
        <v>358</v>
      </c>
      <c r="D150" s="433"/>
      <c r="E150" s="433"/>
      <c r="F150" s="433"/>
      <c r="G150" s="433"/>
      <c r="H150" s="433"/>
      <c r="I150" s="433"/>
      <c r="J150" s="434"/>
      <c r="K150" s="329"/>
      <c r="L150" s="329"/>
    </row>
    <row r="151" spans="3:12" x14ac:dyDescent="0.25">
      <c r="C151" s="435"/>
      <c r="D151" s="436"/>
      <c r="E151" s="436"/>
      <c r="F151" s="436"/>
      <c r="G151" s="436"/>
      <c r="H151" s="436"/>
      <c r="I151" s="436"/>
      <c r="J151" s="437"/>
      <c r="K151" s="329"/>
      <c r="L151" s="329"/>
    </row>
    <row r="152" spans="3:12" ht="15.75" thickBot="1" x14ac:dyDescent="0.3">
      <c r="C152" s="438"/>
      <c r="D152" s="439"/>
      <c r="E152" s="439"/>
      <c r="F152" s="439"/>
      <c r="G152" s="439"/>
      <c r="H152" s="439"/>
      <c r="I152" s="439"/>
      <c r="J152" s="440"/>
      <c r="K152" s="329"/>
      <c r="L152" s="329"/>
    </row>
    <row r="154" spans="3:12" ht="15.75" thickBot="1" x14ac:dyDescent="0.3"/>
    <row r="155" spans="3:12" x14ac:dyDescent="0.25">
      <c r="C155" s="258" t="s">
        <v>158</v>
      </c>
      <c r="D155" s="259"/>
      <c r="E155" s="245">
        <v>45945</v>
      </c>
      <c r="F155" s="60"/>
      <c r="G155" s="60" t="s">
        <v>163</v>
      </c>
      <c r="H155" s="246"/>
      <c r="I155" s="247"/>
      <c r="J155" s="248"/>
      <c r="K155" s="329"/>
      <c r="L155" s="329"/>
    </row>
    <row r="156" spans="3:12" x14ac:dyDescent="0.25">
      <c r="C156" s="260"/>
      <c r="D156" s="261"/>
      <c r="E156" s="250"/>
      <c r="F156" s="35"/>
      <c r="G156" s="35" t="s">
        <v>331</v>
      </c>
      <c r="H156" s="251"/>
      <c r="I156" s="249">
        <f>I147+1</f>
        <v>18</v>
      </c>
      <c r="J156" s="62"/>
      <c r="K156" s="329"/>
      <c r="L156" s="329"/>
    </row>
    <row r="157" spans="3:12" x14ac:dyDescent="0.25">
      <c r="C157" s="260" t="s">
        <v>159</v>
      </c>
      <c r="D157" s="261" t="s">
        <v>160</v>
      </c>
      <c r="E157" s="35" t="s">
        <v>161</v>
      </c>
      <c r="F157" s="35"/>
      <c r="G157" s="35" t="s">
        <v>164</v>
      </c>
      <c r="H157" s="430">
        <v>102</v>
      </c>
      <c r="I157" s="430"/>
      <c r="J157" s="431"/>
      <c r="K157" s="329"/>
      <c r="L157" s="329"/>
    </row>
    <row r="158" spans="3:12" ht="15.75" thickBot="1" x14ac:dyDescent="0.3">
      <c r="C158" s="260" t="s">
        <v>162</v>
      </c>
      <c r="D158" s="261"/>
      <c r="E158" s="35"/>
      <c r="F158" s="35"/>
      <c r="G158" s="35"/>
      <c r="H158" s="35"/>
      <c r="I158" s="35"/>
      <c r="J158" s="63"/>
      <c r="K158" s="329"/>
      <c r="L158" s="329"/>
    </row>
    <row r="159" spans="3:12" x14ac:dyDescent="0.25">
      <c r="C159" s="432" t="s">
        <v>359</v>
      </c>
      <c r="D159" s="433"/>
      <c r="E159" s="433"/>
      <c r="F159" s="433"/>
      <c r="G159" s="433"/>
      <c r="H159" s="433"/>
      <c r="I159" s="433"/>
      <c r="J159" s="434"/>
      <c r="K159" s="329"/>
      <c r="L159" s="329"/>
    </row>
    <row r="160" spans="3:12" x14ac:dyDescent="0.25">
      <c r="C160" s="435"/>
      <c r="D160" s="436"/>
      <c r="E160" s="436"/>
      <c r="F160" s="436"/>
      <c r="G160" s="436"/>
      <c r="H160" s="436"/>
      <c r="I160" s="436"/>
      <c r="J160" s="437"/>
      <c r="K160" s="329"/>
      <c r="L160" s="329"/>
    </row>
    <row r="161" spans="3:13" ht="15.75" thickBot="1" x14ac:dyDescent="0.3">
      <c r="C161" s="438"/>
      <c r="D161" s="439"/>
      <c r="E161" s="439"/>
      <c r="F161" s="439"/>
      <c r="G161" s="439"/>
      <c r="H161" s="439"/>
      <c r="I161" s="439"/>
      <c r="J161" s="440"/>
      <c r="K161" s="329"/>
      <c r="L161" s="329"/>
    </row>
    <row r="162" spans="3:13" x14ac:dyDescent="0.25">
      <c r="K162" s="329"/>
      <c r="L162" s="329"/>
    </row>
    <row r="163" spans="3:13" ht="15.75" thickBot="1" x14ac:dyDescent="0.3"/>
    <row r="164" spans="3:13" x14ac:dyDescent="0.25">
      <c r="C164" s="311" t="s">
        <v>158</v>
      </c>
      <c r="D164" s="312"/>
      <c r="E164" s="245">
        <v>45945</v>
      </c>
      <c r="F164" s="60"/>
      <c r="G164" s="60" t="s">
        <v>163</v>
      </c>
      <c r="H164" s="246"/>
      <c r="I164" s="247"/>
      <c r="J164" s="248"/>
    </row>
    <row r="165" spans="3:13" x14ac:dyDescent="0.25">
      <c r="C165" s="313"/>
      <c r="D165" s="314"/>
      <c r="E165" s="250"/>
      <c r="F165" s="35"/>
      <c r="G165" s="35" t="s">
        <v>331</v>
      </c>
      <c r="H165" s="251"/>
      <c r="I165" s="249">
        <f>I156+1</f>
        <v>19</v>
      </c>
      <c r="J165" s="62"/>
      <c r="K165" s="329"/>
      <c r="L165" s="329"/>
      <c r="M165" s="329"/>
    </row>
    <row r="166" spans="3:13" x14ac:dyDescent="0.25">
      <c r="C166" s="313" t="s">
        <v>159</v>
      </c>
      <c r="D166" s="314" t="s">
        <v>160</v>
      </c>
      <c r="E166" s="35" t="s">
        <v>161</v>
      </c>
      <c r="F166" s="35"/>
      <c r="G166" s="35" t="s">
        <v>164</v>
      </c>
      <c r="H166" s="430">
        <v>44</v>
      </c>
      <c r="I166" s="430"/>
      <c r="J166" s="431"/>
      <c r="K166" s="329"/>
      <c r="L166" s="329"/>
      <c r="M166" s="329"/>
    </row>
    <row r="167" spans="3:13" ht="15.75" thickBot="1" x14ac:dyDescent="0.3">
      <c r="C167" s="313" t="s">
        <v>162</v>
      </c>
      <c r="D167" s="314"/>
      <c r="E167" s="35"/>
      <c r="F167" s="35"/>
      <c r="G167" s="35"/>
      <c r="H167" s="35"/>
      <c r="I167" s="35"/>
      <c r="J167" s="63"/>
      <c r="K167" s="329"/>
      <c r="L167" s="329"/>
      <c r="M167" s="329"/>
    </row>
    <row r="168" spans="3:13" x14ac:dyDescent="0.25">
      <c r="C168" s="432" t="s">
        <v>360</v>
      </c>
      <c r="D168" s="433"/>
      <c r="E168" s="433"/>
      <c r="F168" s="433"/>
      <c r="G168" s="433"/>
      <c r="H168" s="433"/>
      <c r="I168" s="433"/>
      <c r="J168" s="434"/>
      <c r="K168" s="329"/>
      <c r="L168" s="329"/>
      <c r="M168" s="329"/>
    </row>
    <row r="169" spans="3:13" x14ac:dyDescent="0.25">
      <c r="C169" s="435"/>
      <c r="D169" s="436"/>
      <c r="E169" s="436"/>
      <c r="F169" s="436"/>
      <c r="G169" s="436"/>
      <c r="H169" s="436"/>
      <c r="I169" s="436"/>
      <c r="J169" s="437"/>
      <c r="K169" s="329"/>
      <c r="L169" s="329"/>
      <c r="M169" s="329"/>
    </row>
    <row r="170" spans="3:13" ht="15.75" thickBot="1" x14ac:dyDescent="0.3">
      <c r="C170" s="438"/>
      <c r="D170" s="439"/>
      <c r="E170" s="439"/>
      <c r="F170" s="439"/>
      <c r="G170" s="439"/>
      <c r="H170" s="439"/>
      <c r="I170" s="439"/>
      <c r="J170" s="440"/>
    </row>
    <row r="172" spans="3:13" ht="15.75" thickBot="1" x14ac:dyDescent="0.3"/>
    <row r="173" spans="3:13" x14ac:dyDescent="0.25">
      <c r="C173" s="311" t="s">
        <v>158</v>
      </c>
      <c r="D173" s="312"/>
      <c r="E173" s="245">
        <v>45945</v>
      </c>
      <c r="F173" s="60"/>
      <c r="G173" s="60" t="s">
        <v>163</v>
      </c>
      <c r="H173" s="246"/>
      <c r="I173" s="247"/>
      <c r="J173" s="248"/>
    </row>
    <row r="174" spans="3:13" x14ac:dyDescent="0.25">
      <c r="C174" s="313"/>
      <c r="D174" s="314"/>
      <c r="E174" s="250"/>
      <c r="F174" s="35"/>
      <c r="G174" s="35" t="s">
        <v>331</v>
      </c>
      <c r="H174" s="251"/>
      <c r="I174" s="249">
        <f>I165+1</f>
        <v>20</v>
      </c>
      <c r="J174" s="62"/>
    </row>
    <row r="175" spans="3:13" x14ac:dyDescent="0.25">
      <c r="C175" s="313" t="s">
        <v>159</v>
      </c>
      <c r="D175" s="314" t="s">
        <v>160</v>
      </c>
      <c r="E175" s="35" t="s">
        <v>161</v>
      </c>
      <c r="F175" s="35"/>
      <c r="G175" s="35" t="s">
        <v>164</v>
      </c>
      <c r="H175" s="430">
        <v>77</v>
      </c>
      <c r="I175" s="430"/>
      <c r="J175" s="431"/>
      <c r="K175" s="329"/>
      <c r="L175" s="329"/>
    </row>
    <row r="176" spans="3:13" ht="15.75" thickBot="1" x14ac:dyDescent="0.3">
      <c r="C176" s="313" t="s">
        <v>162</v>
      </c>
      <c r="D176" s="314"/>
      <c r="E176" s="35"/>
      <c r="F176" s="35"/>
      <c r="G176" s="35"/>
      <c r="H176" s="35"/>
      <c r="I176" s="35"/>
      <c r="J176" s="63"/>
      <c r="K176" s="329"/>
      <c r="L176" s="329"/>
    </row>
    <row r="177" spans="3:13" x14ac:dyDescent="0.25">
      <c r="C177" s="432" t="s">
        <v>361</v>
      </c>
      <c r="D177" s="433"/>
      <c r="E177" s="433"/>
      <c r="F177" s="433"/>
      <c r="G177" s="433"/>
      <c r="H177" s="433"/>
      <c r="I177" s="433"/>
      <c r="J177" s="434"/>
      <c r="K177" s="329"/>
      <c r="L177" s="329"/>
    </row>
    <row r="178" spans="3:13" x14ac:dyDescent="0.25">
      <c r="C178" s="435"/>
      <c r="D178" s="436"/>
      <c r="E178" s="436"/>
      <c r="F178" s="436"/>
      <c r="G178" s="436"/>
      <c r="H178" s="436"/>
      <c r="I178" s="436"/>
      <c r="J178" s="437"/>
    </row>
    <row r="179" spans="3:13" ht="15.75" thickBot="1" x14ac:dyDescent="0.3">
      <c r="C179" s="438"/>
      <c r="D179" s="439"/>
      <c r="E179" s="439"/>
      <c r="F179" s="439"/>
      <c r="G179" s="439"/>
      <c r="H179" s="439"/>
      <c r="I179" s="439"/>
      <c r="J179" s="440"/>
    </row>
    <row r="181" spans="3:13" ht="15.75" thickBot="1" x14ac:dyDescent="0.3"/>
    <row r="182" spans="3:13" x14ac:dyDescent="0.25">
      <c r="C182" s="311" t="s">
        <v>158</v>
      </c>
      <c r="D182" s="312"/>
      <c r="E182" s="245">
        <v>45945</v>
      </c>
      <c r="F182" s="60"/>
      <c r="G182" s="60" t="s">
        <v>163</v>
      </c>
      <c r="H182" s="246"/>
      <c r="I182" s="247"/>
      <c r="J182" s="248"/>
    </row>
    <row r="183" spans="3:13" x14ac:dyDescent="0.25">
      <c r="C183" s="313"/>
      <c r="D183" s="314"/>
      <c r="E183" s="250"/>
      <c r="F183" s="35"/>
      <c r="G183" s="35" t="s">
        <v>331</v>
      </c>
      <c r="H183" s="251"/>
      <c r="I183" s="249">
        <f>I174+1</f>
        <v>21</v>
      </c>
      <c r="J183" s="62"/>
    </row>
    <row r="184" spans="3:13" x14ac:dyDescent="0.25">
      <c r="C184" s="313" t="s">
        <v>159</v>
      </c>
      <c r="D184" s="314" t="s">
        <v>160</v>
      </c>
      <c r="E184" s="35" t="s">
        <v>161</v>
      </c>
      <c r="F184" s="35"/>
      <c r="G184" s="35" t="s">
        <v>164</v>
      </c>
      <c r="H184" s="430">
        <v>139</v>
      </c>
      <c r="I184" s="430"/>
      <c r="J184" s="431"/>
      <c r="K184" s="329"/>
      <c r="L184" s="329"/>
    </row>
    <row r="185" spans="3:13" ht="15.75" thickBot="1" x14ac:dyDescent="0.3">
      <c r="C185" s="313" t="s">
        <v>162</v>
      </c>
      <c r="D185" s="314"/>
      <c r="E185" s="35"/>
      <c r="F185" s="35"/>
      <c r="G185" s="35"/>
      <c r="H185" s="35"/>
      <c r="I185" s="35"/>
      <c r="J185" s="63"/>
      <c r="K185" s="329"/>
      <c r="L185" s="329"/>
    </row>
    <row r="186" spans="3:13" x14ac:dyDescent="0.25">
      <c r="C186" s="432" t="s">
        <v>455</v>
      </c>
      <c r="D186" s="433"/>
      <c r="E186" s="433"/>
      <c r="F186" s="433"/>
      <c r="G186" s="433"/>
      <c r="H186" s="433"/>
      <c r="I186" s="433"/>
      <c r="J186" s="434"/>
      <c r="K186" s="329"/>
      <c r="L186" s="329"/>
    </row>
    <row r="187" spans="3:13" x14ac:dyDescent="0.25">
      <c r="C187" s="435"/>
      <c r="D187" s="436"/>
      <c r="E187" s="436"/>
      <c r="F187" s="436"/>
      <c r="G187" s="436"/>
      <c r="H187" s="436"/>
      <c r="I187" s="436"/>
      <c r="J187" s="437"/>
      <c r="K187" s="329"/>
      <c r="L187" s="329"/>
    </row>
    <row r="188" spans="3:13" ht="15.75" thickBot="1" x14ac:dyDescent="0.3">
      <c r="C188" s="438"/>
      <c r="D188" s="439"/>
      <c r="E188" s="439"/>
      <c r="F188" s="439"/>
      <c r="G188" s="439"/>
      <c r="H188" s="439"/>
      <c r="I188" s="439"/>
      <c r="J188" s="440"/>
      <c r="K188" s="329"/>
      <c r="L188" s="329"/>
    </row>
    <row r="190" spans="3:13" ht="15.75" thickBot="1" x14ac:dyDescent="0.3"/>
    <row r="191" spans="3:13" x14ac:dyDescent="0.25">
      <c r="C191" s="311" t="s">
        <v>158</v>
      </c>
      <c r="D191" s="312"/>
      <c r="E191" s="245">
        <v>45945</v>
      </c>
      <c r="F191" s="60"/>
      <c r="G191" s="60" t="s">
        <v>163</v>
      </c>
      <c r="H191" s="246"/>
      <c r="I191" s="247"/>
      <c r="J191" s="248"/>
    </row>
    <row r="192" spans="3:13" x14ac:dyDescent="0.25">
      <c r="C192" s="313"/>
      <c r="D192" s="314"/>
      <c r="E192" s="250"/>
      <c r="F192" s="35"/>
      <c r="G192" s="35" t="s">
        <v>331</v>
      </c>
      <c r="H192" s="251"/>
      <c r="I192" s="249">
        <f>I183+1</f>
        <v>22</v>
      </c>
      <c r="J192" s="62"/>
      <c r="K192" s="329"/>
      <c r="L192" s="329"/>
      <c r="M192" s="329"/>
    </row>
    <row r="193" spans="3:13" x14ac:dyDescent="0.25">
      <c r="C193" s="313" t="s">
        <v>159</v>
      </c>
      <c r="D193" s="314" t="s">
        <v>160</v>
      </c>
      <c r="E193" s="35" t="s">
        <v>161</v>
      </c>
      <c r="F193" s="35"/>
      <c r="G193" s="35" t="s">
        <v>164</v>
      </c>
      <c r="H193" s="430">
        <v>37</v>
      </c>
      <c r="I193" s="430"/>
      <c r="J193" s="431"/>
      <c r="K193" s="329"/>
      <c r="L193" s="329"/>
      <c r="M193" s="329"/>
    </row>
    <row r="194" spans="3:13" ht="15.75" thickBot="1" x14ac:dyDescent="0.3">
      <c r="C194" s="313" t="s">
        <v>162</v>
      </c>
      <c r="D194" s="314"/>
      <c r="E194" s="35"/>
      <c r="F194" s="35"/>
      <c r="G194" s="35"/>
      <c r="H194" s="35"/>
      <c r="I194" s="35"/>
      <c r="J194" s="63"/>
      <c r="K194" s="329"/>
      <c r="L194" s="329"/>
      <c r="M194" s="329"/>
    </row>
    <row r="195" spans="3:13" x14ac:dyDescent="0.25">
      <c r="C195" s="432" t="s">
        <v>362</v>
      </c>
      <c r="D195" s="433"/>
      <c r="E195" s="433"/>
      <c r="F195" s="433"/>
      <c r="G195" s="433"/>
      <c r="H195" s="433"/>
      <c r="I195" s="433"/>
      <c r="J195" s="434"/>
      <c r="K195" s="329"/>
      <c r="L195" s="329"/>
      <c r="M195" s="329"/>
    </row>
    <row r="196" spans="3:13" x14ac:dyDescent="0.25">
      <c r="C196" s="435"/>
      <c r="D196" s="436"/>
      <c r="E196" s="436"/>
      <c r="F196" s="436"/>
      <c r="G196" s="436"/>
      <c r="H196" s="436"/>
      <c r="I196" s="436"/>
      <c r="J196" s="437"/>
      <c r="K196" s="329"/>
      <c r="L196" s="329"/>
      <c r="M196" s="329"/>
    </row>
    <row r="197" spans="3:13" ht="15.75" thickBot="1" x14ac:dyDescent="0.3">
      <c r="C197" s="438"/>
      <c r="D197" s="439"/>
      <c r="E197" s="439"/>
      <c r="F197" s="439"/>
      <c r="G197" s="439"/>
      <c r="H197" s="439"/>
      <c r="I197" s="439"/>
      <c r="J197" s="440"/>
      <c r="K197" s="329"/>
      <c r="L197" s="329"/>
      <c r="M197" s="329"/>
    </row>
    <row r="199" spans="3:13" ht="15.75" thickBot="1" x14ac:dyDescent="0.3"/>
    <row r="200" spans="3:13" x14ac:dyDescent="0.25">
      <c r="C200" s="280" t="s">
        <v>158</v>
      </c>
      <c r="D200" s="281"/>
      <c r="E200" s="245">
        <v>45945</v>
      </c>
      <c r="F200" s="60"/>
      <c r="G200" s="60" t="s">
        <v>163</v>
      </c>
      <c r="H200" s="246"/>
      <c r="I200" s="247"/>
      <c r="J200" s="248"/>
    </row>
    <row r="201" spans="3:13" x14ac:dyDescent="0.25">
      <c r="C201" s="282"/>
      <c r="D201" s="283"/>
      <c r="E201" s="250"/>
      <c r="F201" s="35"/>
      <c r="G201" s="35" t="s">
        <v>331</v>
      </c>
      <c r="H201" s="251"/>
      <c r="I201" s="249">
        <f>I192+1</f>
        <v>23</v>
      </c>
      <c r="J201" s="62"/>
    </row>
    <row r="202" spans="3:13" x14ac:dyDescent="0.25">
      <c r="C202" s="282" t="s">
        <v>159</v>
      </c>
      <c r="D202" s="283" t="s">
        <v>160</v>
      </c>
      <c r="E202" s="35" t="s">
        <v>161</v>
      </c>
      <c r="F202" s="35"/>
      <c r="G202" s="35" t="s">
        <v>164</v>
      </c>
      <c r="H202" s="430" t="s">
        <v>347</v>
      </c>
      <c r="I202" s="430"/>
      <c r="J202" s="431"/>
      <c r="K202" s="329"/>
      <c r="L202" s="329"/>
    </row>
    <row r="203" spans="3:13" ht="15.75" thickBot="1" x14ac:dyDescent="0.3">
      <c r="C203" s="282" t="s">
        <v>162</v>
      </c>
      <c r="D203" s="283"/>
      <c r="E203" s="35"/>
      <c r="F203" s="35"/>
      <c r="G203" s="35"/>
      <c r="H203" s="35"/>
      <c r="I203" s="35"/>
      <c r="J203" s="63"/>
      <c r="K203" s="329"/>
      <c r="L203" s="329"/>
    </row>
    <row r="204" spans="3:13" x14ac:dyDescent="0.25">
      <c r="C204" s="432" t="s">
        <v>457</v>
      </c>
      <c r="D204" s="433"/>
      <c r="E204" s="433"/>
      <c r="F204" s="433"/>
      <c r="G204" s="433"/>
      <c r="H204" s="433"/>
      <c r="I204" s="433"/>
      <c r="J204" s="434"/>
      <c r="K204" s="329"/>
      <c r="L204" s="329"/>
    </row>
    <row r="205" spans="3:13" x14ac:dyDescent="0.25">
      <c r="C205" s="435"/>
      <c r="D205" s="436"/>
      <c r="E205" s="436"/>
      <c r="F205" s="436"/>
      <c r="G205" s="436"/>
      <c r="H205" s="436"/>
      <c r="I205" s="436"/>
      <c r="J205" s="437"/>
      <c r="K205" s="329"/>
      <c r="L205" s="329"/>
    </row>
    <row r="206" spans="3:13" ht="15.75" thickBot="1" x14ac:dyDescent="0.3">
      <c r="C206" s="438"/>
      <c r="D206" s="439"/>
      <c r="E206" s="439"/>
      <c r="F206" s="439"/>
      <c r="G206" s="439"/>
      <c r="H206" s="439"/>
      <c r="I206" s="439"/>
      <c r="J206" s="440"/>
    </row>
    <row r="208" spans="3:13" ht="15.75" thickBot="1" x14ac:dyDescent="0.3"/>
    <row r="209" spans="3:13" x14ac:dyDescent="0.25">
      <c r="C209" s="311" t="s">
        <v>158</v>
      </c>
      <c r="D209" s="312"/>
      <c r="E209" s="245">
        <v>45945</v>
      </c>
      <c r="F209" s="60"/>
      <c r="G209" s="60" t="s">
        <v>163</v>
      </c>
      <c r="H209" s="246"/>
      <c r="I209" s="247"/>
      <c r="J209" s="248"/>
    </row>
    <row r="210" spans="3:13" x14ac:dyDescent="0.25">
      <c r="C210" s="313"/>
      <c r="D210" s="314"/>
      <c r="E210" s="250"/>
      <c r="F210" s="35"/>
      <c r="G210" s="35" t="s">
        <v>331</v>
      </c>
      <c r="H210" s="251"/>
      <c r="I210" s="249">
        <f>I201+1</f>
        <v>24</v>
      </c>
      <c r="J210" s="62"/>
      <c r="K210" s="329"/>
      <c r="L210" s="329"/>
      <c r="M210" s="329"/>
    </row>
    <row r="211" spans="3:13" x14ac:dyDescent="0.25">
      <c r="C211" s="313" t="s">
        <v>159</v>
      </c>
      <c r="D211" s="314" t="s">
        <v>160</v>
      </c>
      <c r="E211" s="35" t="s">
        <v>161</v>
      </c>
      <c r="F211" s="35"/>
      <c r="G211" s="35" t="s">
        <v>164</v>
      </c>
      <c r="H211" s="430">
        <v>73</v>
      </c>
      <c r="I211" s="430"/>
      <c r="J211" s="431"/>
      <c r="K211" s="329"/>
      <c r="L211" s="329"/>
      <c r="M211" s="329"/>
    </row>
    <row r="212" spans="3:13" ht="15.75" thickBot="1" x14ac:dyDescent="0.3">
      <c r="C212" s="313" t="s">
        <v>162</v>
      </c>
      <c r="D212" s="314"/>
      <c r="E212" s="35"/>
      <c r="F212" s="35"/>
      <c r="G212" s="35"/>
      <c r="H212" s="35"/>
      <c r="I212" s="35"/>
      <c r="J212" s="63"/>
      <c r="K212" s="329"/>
      <c r="L212" s="329"/>
      <c r="M212" s="329"/>
    </row>
    <row r="213" spans="3:13" x14ac:dyDescent="0.25">
      <c r="C213" s="432" t="s">
        <v>363</v>
      </c>
      <c r="D213" s="433"/>
      <c r="E213" s="433"/>
      <c r="F213" s="433"/>
      <c r="G213" s="433"/>
      <c r="H213" s="433"/>
      <c r="I213" s="433"/>
      <c r="J213" s="434"/>
      <c r="K213" s="329"/>
      <c r="L213" s="329"/>
      <c r="M213" s="329"/>
    </row>
    <row r="214" spans="3:13" x14ac:dyDescent="0.25">
      <c r="C214" s="435"/>
      <c r="D214" s="436"/>
      <c r="E214" s="436"/>
      <c r="F214" s="436"/>
      <c r="G214" s="436"/>
      <c r="H214" s="436"/>
      <c r="I214" s="436"/>
      <c r="J214" s="437"/>
      <c r="K214" s="329"/>
      <c r="L214" s="329"/>
      <c r="M214" s="329"/>
    </row>
    <row r="215" spans="3:13" ht="15.75" thickBot="1" x14ac:dyDescent="0.3">
      <c r="C215" s="438"/>
      <c r="D215" s="439"/>
      <c r="E215" s="439"/>
      <c r="F215" s="439"/>
      <c r="G215" s="439"/>
      <c r="H215" s="439"/>
      <c r="I215" s="439"/>
      <c r="J215" s="440"/>
    </row>
    <row r="217" spans="3:13" ht="15.75" thickBot="1" x14ac:dyDescent="0.3"/>
    <row r="218" spans="3:13" x14ac:dyDescent="0.25">
      <c r="C218" s="311" t="s">
        <v>158</v>
      </c>
      <c r="D218" s="312"/>
      <c r="E218" s="245">
        <v>45945</v>
      </c>
      <c r="F218" s="60"/>
      <c r="G218" s="60" t="s">
        <v>163</v>
      </c>
      <c r="H218" s="246"/>
      <c r="I218" s="247"/>
      <c r="J218" s="248"/>
    </row>
    <row r="219" spans="3:13" x14ac:dyDescent="0.25">
      <c r="C219" s="313"/>
      <c r="D219" s="314"/>
      <c r="E219" s="250"/>
      <c r="F219" s="35"/>
      <c r="G219" s="35" t="s">
        <v>331</v>
      </c>
      <c r="H219" s="251"/>
      <c r="I219" s="249">
        <f>I210+1</f>
        <v>25</v>
      </c>
      <c r="J219" s="62"/>
      <c r="K219" s="329"/>
      <c r="L219" s="329"/>
    </row>
    <row r="220" spans="3:13" x14ac:dyDescent="0.25">
      <c r="C220" s="313" t="s">
        <v>159</v>
      </c>
      <c r="D220" s="314" t="s">
        <v>160</v>
      </c>
      <c r="E220" s="35" t="s">
        <v>161</v>
      </c>
      <c r="F220" s="35"/>
      <c r="G220" s="35" t="s">
        <v>164</v>
      </c>
      <c r="H220" s="430">
        <v>61</v>
      </c>
      <c r="I220" s="430"/>
      <c r="J220" s="431"/>
      <c r="K220" s="329"/>
      <c r="L220" s="329"/>
    </row>
    <row r="221" spans="3:13" ht="15.75" thickBot="1" x14ac:dyDescent="0.3">
      <c r="C221" s="313" t="s">
        <v>162</v>
      </c>
      <c r="D221" s="314"/>
      <c r="E221" s="35"/>
      <c r="F221" s="35"/>
      <c r="G221" s="35"/>
      <c r="H221" s="35"/>
      <c r="I221" s="35"/>
      <c r="J221" s="63"/>
      <c r="K221" s="329"/>
      <c r="L221" s="329"/>
    </row>
    <row r="222" spans="3:13" x14ac:dyDescent="0.25">
      <c r="C222" s="432" t="s">
        <v>364</v>
      </c>
      <c r="D222" s="433"/>
      <c r="E222" s="433"/>
      <c r="F222" s="433"/>
      <c r="G222" s="433"/>
      <c r="H222" s="433"/>
      <c r="I222" s="433"/>
      <c r="J222" s="434"/>
      <c r="K222" s="329"/>
      <c r="L222" s="329"/>
    </row>
    <row r="223" spans="3:13" x14ac:dyDescent="0.25">
      <c r="C223" s="435"/>
      <c r="D223" s="436"/>
      <c r="E223" s="436"/>
      <c r="F223" s="436"/>
      <c r="G223" s="436"/>
      <c r="H223" s="436"/>
      <c r="I223" s="436"/>
      <c r="J223" s="437"/>
    </row>
    <row r="224" spans="3:13" ht="15.75" thickBot="1" x14ac:dyDescent="0.3">
      <c r="C224" s="438"/>
      <c r="D224" s="439"/>
      <c r="E224" s="439"/>
      <c r="F224" s="439"/>
      <c r="G224" s="439"/>
      <c r="H224" s="439"/>
      <c r="I224" s="439"/>
      <c r="J224" s="440"/>
    </row>
    <row r="226" spans="3:12" ht="15.75" thickBot="1" x14ac:dyDescent="0.3"/>
    <row r="227" spans="3:12" x14ac:dyDescent="0.25">
      <c r="C227" s="311" t="s">
        <v>158</v>
      </c>
      <c r="D227" s="312"/>
      <c r="E227" s="245">
        <v>45945</v>
      </c>
      <c r="F227" s="60"/>
      <c r="G227" s="60" t="s">
        <v>163</v>
      </c>
      <c r="H227" s="246"/>
      <c r="I227" s="247"/>
      <c r="J227" s="248"/>
    </row>
    <row r="228" spans="3:12" x14ac:dyDescent="0.25">
      <c r="C228" s="313"/>
      <c r="D228" s="314"/>
      <c r="E228" s="250"/>
      <c r="F228" s="35"/>
      <c r="G228" s="35" t="s">
        <v>331</v>
      </c>
      <c r="H228" s="251"/>
      <c r="I228" s="249">
        <f>I219+1</f>
        <v>26</v>
      </c>
      <c r="J228" s="62"/>
      <c r="K228" s="329"/>
      <c r="L228" s="329"/>
    </row>
    <row r="229" spans="3:12" x14ac:dyDescent="0.25">
      <c r="C229" s="313" t="s">
        <v>159</v>
      </c>
      <c r="D229" s="314" t="s">
        <v>160</v>
      </c>
      <c r="E229" s="35" t="s">
        <v>161</v>
      </c>
      <c r="F229" s="35"/>
      <c r="G229" s="35" t="s">
        <v>164</v>
      </c>
      <c r="H229" s="430">
        <v>39</v>
      </c>
      <c r="I229" s="430"/>
      <c r="J229" s="431"/>
      <c r="K229" s="329"/>
      <c r="L229" s="329"/>
    </row>
    <row r="230" spans="3:12" ht="15.75" thickBot="1" x14ac:dyDescent="0.3">
      <c r="C230" s="313" t="s">
        <v>162</v>
      </c>
      <c r="D230" s="314"/>
      <c r="E230" s="35"/>
      <c r="F230" s="35"/>
      <c r="G230" s="35"/>
      <c r="H230" s="35"/>
      <c r="I230" s="35"/>
      <c r="J230" s="63"/>
      <c r="K230" s="329"/>
      <c r="L230" s="329"/>
    </row>
    <row r="231" spans="3:12" x14ac:dyDescent="0.25">
      <c r="C231" s="432" t="s">
        <v>365</v>
      </c>
      <c r="D231" s="433"/>
      <c r="E231" s="433"/>
      <c r="F231" s="433"/>
      <c r="G231" s="433"/>
      <c r="H231" s="433"/>
      <c r="I231" s="433"/>
      <c r="J231" s="434"/>
      <c r="K231" s="329"/>
      <c r="L231" s="329"/>
    </row>
    <row r="232" spans="3:12" x14ac:dyDescent="0.25">
      <c r="C232" s="435"/>
      <c r="D232" s="436"/>
      <c r="E232" s="436"/>
      <c r="F232" s="436"/>
      <c r="G232" s="436"/>
      <c r="H232" s="436"/>
      <c r="I232" s="436"/>
      <c r="J232" s="437"/>
      <c r="K232" s="329"/>
      <c r="L232" s="329"/>
    </row>
    <row r="233" spans="3:12" ht="15.75" thickBot="1" x14ac:dyDescent="0.3">
      <c r="C233" s="438"/>
      <c r="D233" s="439"/>
      <c r="E233" s="439"/>
      <c r="F233" s="439"/>
      <c r="G233" s="439"/>
      <c r="H233" s="439"/>
      <c r="I233" s="439"/>
      <c r="J233" s="440"/>
    </row>
    <row r="235" spans="3:12" ht="15.75" thickBot="1" x14ac:dyDescent="0.3"/>
    <row r="236" spans="3:12" x14ac:dyDescent="0.25">
      <c r="C236" s="280" t="s">
        <v>158</v>
      </c>
      <c r="D236" s="281"/>
      <c r="E236" s="245">
        <v>45945</v>
      </c>
      <c r="F236" s="60"/>
      <c r="G236" s="60" t="s">
        <v>163</v>
      </c>
      <c r="H236" s="246"/>
      <c r="I236" s="247"/>
      <c r="J236" s="248"/>
      <c r="K236" s="329"/>
      <c r="L236" s="329"/>
    </row>
    <row r="237" spans="3:12" x14ac:dyDescent="0.25">
      <c r="C237" s="282"/>
      <c r="D237" s="283"/>
      <c r="E237" s="250"/>
      <c r="F237" s="35"/>
      <c r="G237" s="35" t="s">
        <v>331</v>
      </c>
      <c r="H237" s="251"/>
      <c r="I237" s="249">
        <f>I228+1</f>
        <v>27</v>
      </c>
      <c r="J237" s="62"/>
      <c r="K237" s="329"/>
      <c r="L237" s="329"/>
    </row>
    <row r="238" spans="3:12" x14ac:dyDescent="0.25">
      <c r="C238" s="282" t="s">
        <v>159</v>
      </c>
      <c r="D238" s="283" t="s">
        <v>160</v>
      </c>
      <c r="E238" s="35" t="s">
        <v>161</v>
      </c>
      <c r="F238" s="35"/>
      <c r="G238" s="35" t="s">
        <v>164</v>
      </c>
      <c r="H238" s="430" t="s">
        <v>347</v>
      </c>
      <c r="I238" s="430"/>
      <c r="J238" s="431"/>
      <c r="K238" s="329"/>
      <c r="L238" s="329"/>
    </row>
    <row r="239" spans="3:12" ht="15.75" thickBot="1" x14ac:dyDescent="0.3">
      <c r="C239" s="282" t="s">
        <v>162</v>
      </c>
      <c r="D239" s="283"/>
      <c r="E239" s="35"/>
      <c r="F239" s="35"/>
      <c r="G239" s="35"/>
      <c r="H239" s="35"/>
      <c r="I239" s="35"/>
      <c r="J239" s="63"/>
      <c r="K239" s="329"/>
      <c r="L239" s="329"/>
    </row>
    <row r="240" spans="3:12" x14ac:dyDescent="0.25">
      <c r="C240" s="432" t="s">
        <v>367</v>
      </c>
      <c r="D240" s="433"/>
      <c r="E240" s="433"/>
      <c r="F240" s="433"/>
      <c r="G240" s="433"/>
      <c r="H240" s="433"/>
      <c r="I240" s="433"/>
      <c r="J240" s="434"/>
      <c r="K240" s="329"/>
      <c r="L240" s="329"/>
    </row>
    <row r="241" spans="3:12" x14ac:dyDescent="0.25">
      <c r="C241" s="435"/>
      <c r="D241" s="436"/>
      <c r="E241" s="436"/>
      <c r="F241" s="436"/>
      <c r="G241" s="436"/>
      <c r="H241" s="436"/>
      <c r="I241" s="436"/>
      <c r="J241" s="437"/>
      <c r="K241" s="329"/>
      <c r="L241" s="329"/>
    </row>
    <row r="242" spans="3:12" ht="15.75" thickBot="1" x14ac:dyDescent="0.3">
      <c r="C242" s="438"/>
      <c r="D242" s="439"/>
      <c r="E242" s="439"/>
      <c r="F242" s="439"/>
      <c r="G242" s="439"/>
      <c r="H242" s="439"/>
      <c r="I242" s="439"/>
      <c r="J242" s="440"/>
    </row>
    <row r="244" spans="3:12" ht="15.75" thickBot="1" x14ac:dyDescent="0.3"/>
    <row r="245" spans="3:12" x14ac:dyDescent="0.25">
      <c r="C245" s="238" t="s">
        <v>158</v>
      </c>
      <c r="D245" s="239"/>
      <c r="E245" s="245">
        <v>45945</v>
      </c>
      <c r="F245" s="60"/>
      <c r="G245" s="60" t="s">
        <v>163</v>
      </c>
      <c r="H245" s="246"/>
      <c r="I245" s="247"/>
      <c r="J245" s="248"/>
    </row>
    <row r="246" spans="3:12" x14ac:dyDescent="0.25">
      <c r="C246" s="240"/>
      <c r="D246" s="252"/>
      <c r="E246" s="250"/>
      <c r="F246" s="35"/>
      <c r="G246" s="35" t="s">
        <v>331</v>
      </c>
      <c r="H246" s="251"/>
      <c r="I246" s="249">
        <f>I237+1</f>
        <v>28</v>
      </c>
      <c r="J246" s="62"/>
      <c r="K246" s="329"/>
      <c r="L246" s="329"/>
    </row>
    <row r="247" spans="3:12" x14ac:dyDescent="0.25">
      <c r="C247" s="240" t="s">
        <v>159</v>
      </c>
      <c r="D247" s="252" t="s">
        <v>160</v>
      </c>
      <c r="E247" s="35" t="s">
        <v>161</v>
      </c>
      <c r="F247" s="35"/>
      <c r="G247" s="35" t="s">
        <v>164</v>
      </c>
      <c r="H247" s="430">
        <v>90</v>
      </c>
      <c r="I247" s="430"/>
      <c r="J247" s="431"/>
      <c r="K247" s="329"/>
      <c r="L247" s="329"/>
    </row>
    <row r="248" spans="3:12" ht="15.75" thickBot="1" x14ac:dyDescent="0.3">
      <c r="C248" s="240" t="s">
        <v>162</v>
      </c>
      <c r="D248" s="252"/>
      <c r="E248" s="35"/>
      <c r="F248" s="35"/>
      <c r="G248" s="35"/>
      <c r="H248" s="35"/>
      <c r="I248" s="35"/>
      <c r="J248" s="63"/>
      <c r="K248" s="329"/>
      <c r="L248" s="329"/>
    </row>
    <row r="249" spans="3:12" x14ac:dyDescent="0.25">
      <c r="C249" s="432" t="s">
        <v>368</v>
      </c>
      <c r="D249" s="433"/>
      <c r="E249" s="433"/>
      <c r="F249" s="433"/>
      <c r="G249" s="433"/>
      <c r="H249" s="433"/>
      <c r="I249" s="433"/>
      <c r="J249" s="434"/>
      <c r="K249" s="329"/>
      <c r="L249" s="329"/>
    </row>
    <row r="250" spans="3:12" x14ac:dyDescent="0.25">
      <c r="C250" s="435"/>
      <c r="D250" s="436"/>
      <c r="E250" s="436"/>
      <c r="F250" s="436"/>
      <c r="G250" s="436"/>
      <c r="H250" s="436"/>
      <c r="I250" s="436"/>
      <c r="J250" s="437"/>
    </row>
    <row r="251" spans="3:12" ht="15.75" thickBot="1" x14ac:dyDescent="0.3">
      <c r="C251" s="438"/>
      <c r="D251" s="439"/>
      <c r="E251" s="439"/>
      <c r="F251" s="439"/>
      <c r="G251" s="439"/>
      <c r="H251" s="439"/>
      <c r="I251" s="439"/>
      <c r="J251" s="440"/>
    </row>
    <row r="253" spans="3:12" ht="15.75" thickBot="1" x14ac:dyDescent="0.3"/>
    <row r="254" spans="3:12" x14ac:dyDescent="0.25">
      <c r="C254" s="258" t="s">
        <v>158</v>
      </c>
      <c r="D254" s="259"/>
      <c r="E254" s="245">
        <v>45945</v>
      </c>
      <c r="F254" s="60"/>
      <c r="G254" s="60" t="s">
        <v>163</v>
      </c>
      <c r="H254" s="246"/>
      <c r="I254" s="247"/>
      <c r="J254" s="248"/>
    </row>
    <row r="255" spans="3:12" x14ac:dyDescent="0.25">
      <c r="C255" s="260"/>
      <c r="D255" s="261"/>
      <c r="E255" s="250"/>
      <c r="F255" s="35"/>
      <c r="G255" s="35" t="s">
        <v>331</v>
      </c>
      <c r="H255" s="251"/>
      <c r="I255" s="249">
        <f>I246+1</f>
        <v>29</v>
      </c>
      <c r="J255" s="62"/>
      <c r="K255" s="329"/>
      <c r="L255" s="329"/>
    </row>
    <row r="256" spans="3:12" x14ac:dyDescent="0.25">
      <c r="C256" s="260" t="s">
        <v>159</v>
      </c>
      <c r="D256" s="261" t="s">
        <v>160</v>
      </c>
      <c r="E256" s="35" t="s">
        <v>161</v>
      </c>
      <c r="F256" s="35"/>
      <c r="G256" s="35" t="s">
        <v>164</v>
      </c>
      <c r="H256" s="430">
        <v>67</v>
      </c>
      <c r="I256" s="430"/>
      <c r="J256" s="431"/>
      <c r="K256" s="329"/>
      <c r="L256" s="329"/>
    </row>
    <row r="257" spans="3:13" ht="15.75" thickBot="1" x14ac:dyDescent="0.3">
      <c r="C257" s="260" t="s">
        <v>162</v>
      </c>
      <c r="D257" s="261"/>
      <c r="E257" s="35"/>
      <c r="F257" s="35"/>
      <c r="G257" s="35"/>
      <c r="H257" s="35"/>
      <c r="I257" s="35"/>
      <c r="J257" s="63"/>
      <c r="K257" s="329"/>
      <c r="L257" s="329"/>
    </row>
    <row r="258" spans="3:13" x14ac:dyDescent="0.25">
      <c r="C258" s="432" t="s">
        <v>369</v>
      </c>
      <c r="D258" s="433"/>
      <c r="E258" s="433"/>
      <c r="F258" s="433"/>
      <c r="G258" s="433"/>
      <c r="H258" s="433"/>
      <c r="I258" s="433"/>
      <c r="J258" s="434"/>
      <c r="K258" s="329"/>
      <c r="L258" s="329"/>
    </row>
    <row r="259" spans="3:13" x14ac:dyDescent="0.25">
      <c r="C259" s="435"/>
      <c r="D259" s="436"/>
      <c r="E259" s="436"/>
      <c r="F259" s="436"/>
      <c r="G259" s="436"/>
      <c r="H259" s="436"/>
      <c r="I259" s="436"/>
      <c r="J259" s="437"/>
    </row>
    <row r="260" spans="3:13" ht="15.75" thickBot="1" x14ac:dyDescent="0.3">
      <c r="C260" s="438"/>
      <c r="D260" s="439"/>
      <c r="E260" s="439"/>
      <c r="F260" s="439"/>
      <c r="G260" s="439"/>
      <c r="H260" s="439"/>
      <c r="I260" s="439"/>
      <c r="J260" s="440"/>
    </row>
    <row r="262" spans="3:13" ht="15.75" thickBot="1" x14ac:dyDescent="0.3"/>
    <row r="263" spans="3:13" x14ac:dyDescent="0.25">
      <c r="C263" s="316" t="s">
        <v>158</v>
      </c>
      <c r="D263" s="317"/>
      <c r="E263" s="245">
        <v>45945</v>
      </c>
      <c r="F263" s="60"/>
      <c r="G263" s="60" t="s">
        <v>163</v>
      </c>
      <c r="H263" s="246"/>
      <c r="I263" s="247"/>
      <c r="J263" s="248"/>
    </row>
    <row r="264" spans="3:13" x14ac:dyDescent="0.25">
      <c r="C264" s="318"/>
      <c r="D264" s="319"/>
      <c r="E264" s="250"/>
      <c r="F264" s="35"/>
      <c r="G264" s="35" t="s">
        <v>331</v>
      </c>
      <c r="H264" s="251"/>
      <c r="I264" s="249">
        <f>I255+1</f>
        <v>30</v>
      </c>
      <c r="J264" s="62"/>
    </row>
    <row r="265" spans="3:13" x14ac:dyDescent="0.25">
      <c r="C265" s="318" t="s">
        <v>159</v>
      </c>
      <c r="D265" s="319" t="s">
        <v>160</v>
      </c>
      <c r="E265" s="35" t="s">
        <v>161</v>
      </c>
      <c r="F265" s="35"/>
      <c r="G265" s="35" t="s">
        <v>164</v>
      </c>
      <c r="H265" s="430">
        <v>9</v>
      </c>
      <c r="I265" s="430"/>
      <c r="J265" s="431"/>
      <c r="K265" s="329"/>
      <c r="L265" s="329"/>
    </row>
    <row r="266" spans="3:13" ht="15.75" thickBot="1" x14ac:dyDescent="0.3">
      <c r="C266" s="318" t="s">
        <v>162</v>
      </c>
      <c r="D266" s="319"/>
      <c r="E266" s="35"/>
      <c r="F266" s="35"/>
      <c r="G266" s="35"/>
      <c r="H266" s="35"/>
      <c r="I266" s="35"/>
      <c r="J266" s="63"/>
      <c r="K266" s="329"/>
      <c r="L266" s="329"/>
    </row>
    <row r="267" spans="3:13" x14ac:dyDescent="0.25">
      <c r="C267" s="432" t="s">
        <v>370</v>
      </c>
      <c r="D267" s="433"/>
      <c r="E267" s="433"/>
      <c r="F267" s="433"/>
      <c r="G267" s="433"/>
      <c r="H267" s="433"/>
      <c r="I267" s="433"/>
      <c r="J267" s="434"/>
      <c r="K267" s="332"/>
      <c r="L267" s="329"/>
    </row>
    <row r="268" spans="3:13" x14ac:dyDescent="0.25">
      <c r="C268" s="435"/>
      <c r="D268" s="436"/>
      <c r="E268" s="436"/>
      <c r="F268" s="436"/>
      <c r="G268" s="436"/>
      <c r="H268" s="436"/>
      <c r="I268" s="436"/>
      <c r="J268" s="437"/>
      <c r="K268" s="329"/>
      <c r="L268" s="329"/>
    </row>
    <row r="269" spans="3:13" ht="15.75" thickBot="1" x14ac:dyDescent="0.3">
      <c r="C269" s="438"/>
      <c r="D269" s="439"/>
      <c r="E269" s="439"/>
      <c r="F269" s="439"/>
      <c r="G269" s="439"/>
      <c r="H269" s="439"/>
      <c r="I269" s="439"/>
      <c r="J269" s="440"/>
    </row>
    <row r="271" spans="3:13" ht="15.75" thickBot="1" x14ac:dyDescent="0.3"/>
    <row r="272" spans="3:13" x14ac:dyDescent="0.25">
      <c r="C272" s="320" t="s">
        <v>158</v>
      </c>
      <c r="D272" s="321"/>
      <c r="E272" s="245">
        <v>45945</v>
      </c>
      <c r="F272" s="60"/>
      <c r="G272" s="60" t="s">
        <v>163</v>
      </c>
      <c r="H272" s="246"/>
      <c r="I272" s="247"/>
      <c r="J272" s="248"/>
      <c r="K272" s="329"/>
      <c r="L272" s="329"/>
      <c r="M272" s="329"/>
    </row>
    <row r="273" spans="3:13" x14ac:dyDescent="0.25">
      <c r="C273" s="322"/>
      <c r="D273" s="323"/>
      <c r="E273" s="250"/>
      <c r="F273" s="35"/>
      <c r="G273" s="35" t="s">
        <v>331</v>
      </c>
      <c r="H273" s="251"/>
      <c r="I273" s="249">
        <f>I264+1</f>
        <v>31</v>
      </c>
      <c r="J273" s="62"/>
      <c r="K273" s="329"/>
      <c r="L273" s="329"/>
      <c r="M273" s="329"/>
    </row>
    <row r="274" spans="3:13" x14ac:dyDescent="0.25">
      <c r="C274" s="322" t="s">
        <v>159</v>
      </c>
      <c r="D274" s="323" t="s">
        <v>160</v>
      </c>
      <c r="E274" s="35" t="s">
        <v>161</v>
      </c>
      <c r="F274" s="35"/>
      <c r="G274" s="35" t="s">
        <v>164</v>
      </c>
      <c r="H274" s="430">
        <v>92</v>
      </c>
      <c r="I274" s="430"/>
      <c r="J274" s="431"/>
      <c r="K274" s="329"/>
      <c r="L274" s="329"/>
      <c r="M274" s="329"/>
    </row>
    <row r="275" spans="3:13" ht="15.75" thickBot="1" x14ac:dyDescent="0.3">
      <c r="C275" s="322" t="s">
        <v>162</v>
      </c>
      <c r="D275" s="323"/>
      <c r="E275" s="35"/>
      <c r="F275" s="35"/>
      <c r="G275" s="35"/>
      <c r="H275" s="35"/>
      <c r="I275" s="35"/>
      <c r="J275" s="63"/>
      <c r="K275" s="329"/>
      <c r="L275" s="329"/>
      <c r="M275" s="329"/>
    </row>
    <row r="276" spans="3:13" x14ac:dyDescent="0.25">
      <c r="C276" s="432" t="s">
        <v>371</v>
      </c>
      <c r="D276" s="433"/>
      <c r="E276" s="433"/>
      <c r="F276" s="433"/>
      <c r="G276" s="433"/>
      <c r="H276" s="433"/>
      <c r="I276" s="433"/>
      <c r="J276" s="434"/>
      <c r="K276" s="329"/>
      <c r="L276" s="329"/>
      <c r="M276" s="329"/>
    </row>
    <row r="277" spans="3:13" x14ac:dyDescent="0.25">
      <c r="C277" s="435"/>
      <c r="D277" s="436"/>
      <c r="E277" s="436"/>
      <c r="F277" s="436"/>
      <c r="G277" s="436"/>
      <c r="H277" s="436"/>
      <c r="I277" s="436"/>
      <c r="J277" s="437"/>
      <c r="K277" s="329"/>
      <c r="L277" s="329"/>
      <c r="M277" s="329"/>
    </row>
    <row r="278" spans="3:13" ht="15.75" thickBot="1" x14ac:dyDescent="0.3">
      <c r="C278" s="438"/>
      <c r="D278" s="439"/>
      <c r="E278" s="439"/>
      <c r="F278" s="439"/>
      <c r="G278" s="439"/>
      <c r="H278" s="439"/>
      <c r="I278" s="439"/>
      <c r="J278" s="440"/>
    </row>
    <row r="280" spans="3:13" ht="15.75" thickBot="1" x14ac:dyDescent="0.3"/>
    <row r="281" spans="3:13" x14ac:dyDescent="0.25">
      <c r="C281" s="258" t="s">
        <v>158</v>
      </c>
      <c r="D281" s="259"/>
      <c r="E281" s="245">
        <v>45945</v>
      </c>
      <c r="F281" s="60"/>
      <c r="G281" s="60" t="s">
        <v>163</v>
      </c>
      <c r="H281" s="246"/>
      <c r="I281" s="247"/>
      <c r="J281" s="248"/>
    </row>
    <row r="282" spans="3:13" x14ac:dyDescent="0.25">
      <c r="C282" s="260"/>
      <c r="D282" s="261"/>
      <c r="E282" s="250"/>
      <c r="F282" s="35"/>
      <c r="G282" s="35" t="s">
        <v>331</v>
      </c>
      <c r="H282" s="251"/>
      <c r="I282" s="249">
        <f>I273+1</f>
        <v>32</v>
      </c>
      <c r="J282" s="62"/>
      <c r="K282" s="329"/>
      <c r="L282" s="329"/>
      <c r="M282" s="329"/>
    </row>
    <row r="283" spans="3:13" x14ac:dyDescent="0.25">
      <c r="C283" s="260" t="s">
        <v>159</v>
      </c>
      <c r="D283" s="261" t="s">
        <v>160</v>
      </c>
      <c r="E283" s="35" t="s">
        <v>161</v>
      </c>
      <c r="F283" s="35"/>
      <c r="G283" s="35" t="s">
        <v>164</v>
      </c>
      <c r="H283" s="430">
        <v>93</v>
      </c>
      <c r="I283" s="430"/>
      <c r="J283" s="431"/>
      <c r="K283" s="329"/>
      <c r="L283" s="329"/>
      <c r="M283" s="329"/>
    </row>
    <row r="284" spans="3:13" ht="15.75" thickBot="1" x14ac:dyDescent="0.3">
      <c r="C284" s="260" t="s">
        <v>162</v>
      </c>
      <c r="D284" s="261"/>
      <c r="E284" s="35"/>
      <c r="F284" s="35"/>
      <c r="G284" s="35"/>
      <c r="H284" s="35"/>
      <c r="I284" s="35"/>
      <c r="J284" s="63"/>
      <c r="K284" s="329"/>
      <c r="L284" s="329"/>
      <c r="M284" s="329"/>
    </row>
    <row r="285" spans="3:13" x14ac:dyDescent="0.25">
      <c r="C285" s="432" t="s">
        <v>372</v>
      </c>
      <c r="D285" s="433"/>
      <c r="E285" s="433"/>
      <c r="F285" s="433"/>
      <c r="G285" s="433"/>
      <c r="H285" s="433"/>
      <c r="I285" s="433"/>
      <c r="J285" s="434"/>
      <c r="K285" s="329"/>
      <c r="L285" s="329"/>
      <c r="M285" s="329"/>
    </row>
    <row r="286" spans="3:13" x14ac:dyDescent="0.25">
      <c r="C286" s="435"/>
      <c r="D286" s="436"/>
      <c r="E286" s="436"/>
      <c r="F286" s="436"/>
      <c r="G286" s="436"/>
      <c r="H286" s="436"/>
      <c r="I286" s="436"/>
      <c r="J286" s="437"/>
      <c r="K286" s="329"/>
      <c r="L286" s="329"/>
      <c r="M286" s="329"/>
    </row>
    <row r="287" spans="3:13" ht="15.75" thickBot="1" x14ac:dyDescent="0.3">
      <c r="C287" s="438"/>
      <c r="D287" s="439"/>
      <c r="E287" s="439"/>
      <c r="F287" s="439"/>
      <c r="G287" s="439"/>
      <c r="H287" s="439"/>
      <c r="I287" s="439"/>
      <c r="J287" s="440"/>
    </row>
    <row r="289" spans="3:13" ht="15.75" thickBot="1" x14ac:dyDescent="0.3"/>
    <row r="290" spans="3:13" x14ac:dyDescent="0.25">
      <c r="C290" s="293" t="s">
        <v>158</v>
      </c>
      <c r="D290" s="294"/>
      <c r="E290" s="245">
        <v>45945</v>
      </c>
      <c r="F290" s="60"/>
      <c r="G290" s="60" t="s">
        <v>163</v>
      </c>
      <c r="H290" s="246"/>
      <c r="I290" s="247"/>
      <c r="J290" s="248"/>
    </row>
    <row r="291" spans="3:13" x14ac:dyDescent="0.25">
      <c r="C291" s="295"/>
      <c r="D291" s="296"/>
      <c r="E291" s="250"/>
      <c r="F291" s="35"/>
      <c r="G291" s="35" t="s">
        <v>331</v>
      </c>
      <c r="H291" s="251"/>
      <c r="I291" s="249">
        <f>I282+1</f>
        <v>33</v>
      </c>
      <c r="J291" s="62"/>
      <c r="K291" s="329"/>
      <c r="L291" s="329"/>
      <c r="M291" s="329"/>
    </row>
    <row r="292" spans="3:13" x14ac:dyDescent="0.25">
      <c r="C292" s="295" t="s">
        <v>159</v>
      </c>
      <c r="D292" s="296" t="s">
        <v>160</v>
      </c>
      <c r="E292" s="35" t="s">
        <v>161</v>
      </c>
      <c r="F292" s="35"/>
      <c r="G292" s="35" t="s">
        <v>164</v>
      </c>
      <c r="H292" s="430">
        <v>109</v>
      </c>
      <c r="I292" s="430"/>
      <c r="J292" s="431"/>
      <c r="K292" s="329"/>
      <c r="L292" s="329"/>
      <c r="M292" s="329"/>
    </row>
    <row r="293" spans="3:13" ht="15.75" thickBot="1" x14ac:dyDescent="0.3">
      <c r="C293" s="295" t="s">
        <v>162</v>
      </c>
      <c r="D293" s="296"/>
      <c r="E293" s="35"/>
      <c r="F293" s="35"/>
      <c r="G293" s="35"/>
      <c r="H293" s="35"/>
      <c r="I293" s="35"/>
      <c r="J293" s="63"/>
      <c r="K293" s="329"/>
      <c r="L293" s="329"/>
      <c r="M293" s="329"/>
    </row>
    <row r="294" spans="3:13" x14ac:dyDescent="0.25">
      <c r="C294" s="432" t="s">
        <v>433</v>
      </c>
      <c r="D294" s="433"/>
      <c r="E294" s="433"/>
      <c r="F294" s="433"/>
      <c r="G294" s="433"/>
      <c r="H294" s="433"/>
      <c r="I294" s="433"/>
      <c r="J294" s="434"/>
      <c r="K294" s="329"/>
      <c r="L294" s="329"/>
      <c r="M294" s="329"/>
    </row>
    <row r="295" spans="3:13" x14ac:dyDescent="0.25">
      <c r="C295" s="435"/>
      <c r="D295" s="436"/>
      <c r="E295" s="436"/>
      <c r="F295" s="436"/>
      <c r="G295" s="436"/>
      <c r="H295" s="436"/>
      <c r="I295" s="436"/>
      <c r="J295" s="437"/>
      <c r="K295" s="329"/>
      <c r="L295" s="329"/>
      <c r="M295" s="329"/>
    </row>
    <row r="296" spans="3:13" ht="15.75" thickBot="1" x14ac:dyDescent="0.3">
      <c r="C296" s="438"/>
      <c r="D296" s="439"/>
      <c r="E296" s="439"/>
      <c r="F296" s="439"/>
      <c r="G296" s="439"/>
      <c r="H296" s="439"/>
      <c r="I296" s="439"/>
      <c r="J296" s="440"/>
    </row>
  </sheetData>
  <mergeCells count="68">
    <mergeCell ref="C276:J278"/>
    <mergeCell ref="H256:J256"/>
    <mergeCell ref="H292:J292"/>
    <mergeCell ref="C294:J296"/>
    <mergeCell ref="H283:J283"/>
    <mergeCell ref="C285:J287"/>
    <mergeCell ref="H265:J265"/>
    <mergeCell ref="C267:J269"/>
    <mergeCell ref="H229:J229"/>
    <mergeCell ref="H238:J238"/>
    <mergeCell ref="C240:J242"/>
    <mergeCell ref="C258:J260"/>
    <mergeCell ref="H274:J274"/>
    <mergeCell ref="C159:J161"/>
    <mergeCell ref="H202:J202"/>
    <mergeCell ref="C204:J206"/>
    <mergeCell ref="H247:J247"/>
    <mergeCell ref="C249:J251"/>
    <mergeCell ref="C195:J197"/>
    <mergeCell ref="H175:J175"/>
    <mergeCell ref="C177:J179"/>
    <mergeCell ref="H184:J184"/>
    <mergeCell ref="C186:J188"/>
    <mergeCell ref="H193:J193"/>
    <mergeCell ref="C231:J233"/>
    <mergeCell ref="H211:J211"/>
    <mergeCell ref="C213:J215"/>
    <mergeCell ref="H220:J220"/>
    <mergeCell ref="C222:J224"/>
    <mergeCell ref="K20:M26"/>
    <mergeCell ref="C42:J44"/>
    <mergeCell ref="H49:J49"/>
    <mergeCell ref="C51:J53"/>
    <mergeCell ref="H58:J58"/>
    <mergeCell ref="K56:M62"/>
    <mergeCell ref="C60:J62"/>
    <mergeCell ref="C114:J116"/>
    <mergeCell ref="H139:J139"/>
    <mergeCell ref="C141:J143"/>
    <mergeCell ref="H148:J148"/>
    <mergeCell ref="C150:J152"/>
    <mergeCell ref="H121:J121"/>
    <mergeCell ref="C123:J125"/>
    <mergeCell ref="H4:J4"/>
    <mergeCell ref="C6:J8"/>
    <mergeCell ref="H31:J31"/>
    <mergeCell ref="C33:J35"/>
    <mergeCell ref="H40:J40"/>
    <mergeCell ref="H13:J13"/>
    <mergeCell ref="C15:J17"/>
    <mergeCell ref="H22:J22"/>
    <mergeCell ref="C24:J26"/>
    <mergeCell ref="H67:J67"/>
    <mergeCell ref="H130:J130"/>
    <mergeCell ref="C132:J134"/>
    <mergeCell ref="H166:J166"/>
    <mergeCell ref="C168:J170"/>
    <mergeCell ref="C69:J71"/>
    <mergeCell ref="H76:J76"/>
    <mergeCell ref="C78:J80"/>
    <mergeCell ref="H112:J112"/>
    <mergeCell ref="H103:J103"/>
    <mergeCell ref="C105:J107"/>
    <mergeCell ref="H85:J85"/>
    <mergeCell ref="C87:J89"/>
    <mergeCell ref="H94:J94"/>
    <mergeCell ref="C96:J98"/>
    <mergeCell ref="H157:J15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2026-06-02T16:24:48Z</cp:lastPrinted>
  <dcterms:created xsi:type="dcterms:W3CDTF">2023-09-17T12:29:07Z</dcterms:created>
  <dcterms:modified xsi:type="dcterms:W3CDTF">2026-07-02T15:09:09Z</dcterms:modified>
</cp:coreProperties>
</file>