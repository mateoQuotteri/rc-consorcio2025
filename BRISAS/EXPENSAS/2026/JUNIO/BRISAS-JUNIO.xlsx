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RISAS\EXPENSAS\2026\JUNIO\"/>
    </mc:Choice>
  </mc:AlternateContent>
  <xr:revisionPtr revIDLastSave="0" documentId="8_{48820830-915A-4D78-8B6A-44D4BF0362F9}"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6" r:id="rId3"/>
  </sheets>
  <definedNames>
    <definedName name="_xlnm.Print_Area" localSheetId="1">PRORRATEO!$B$1:$T$167</definedName>
    <definedName name="_xlnm.Print_Area" localSheetId="0">RESUMEN!$A$1:$E$208</definedName>
  </definedNames>
  <calcPr calcId="181029"/>
</workbook>
</file>

<file path=xl/calcChain.xml><?xml version="1.0" encoding="utf-8"?>
<calcChain xmlns="http://schemas.openxmlformats.org/spreadsheetml/2006/main">
  <c r="D137" i="1" l="1"/>
  <c r="I223" i="6"/>
  <c r="I214" i="6"/>
  <c r="I205" i="6"/>
  <c r="I196" i="6"/>
  <c r="I187" i="6"/>
  <c r="I12" i="6" l="1"/>
  <c r="I20" i="6"/>
  <c r="I29" i="6" s="1"/>
  <c r="I38" i="6" s="1"/>
  <c r="I47" i="6" s="1"/>
  <c r="I56" i="6" s="1"/>
  <c r="I65" i="6" s="1"/>
  <c r="I74" i="6" s="1"/>
  <c r="I83" i="6" s="1"/>
  <c r="I92" i="6" s="1"/>
  <c r="I101" i="6" s="1"/>
  <c r="I110" i="6" s="1"/>
  <c r="I119" i="6" s="1"/>
  <c r="I128" i="6" s="1"/>
  <c r="I142" i="6" s="1"/>
  <c r="I151" i="6" s="1"/>
  <c r="I160" i="6" s="1"/>
  <c r="I169" i="6" s="1"/>
  <c r="I178" i="6" s="1"/>
  <c r="O81" i="2"/>
  <c r="O12" i="2"/>
  <c r="N150" i="2"/>
  <c r="N111" i="2"/>
  <c r="N95" i="2"/>
  <c r="N91" i="2" l="1"/>
  <c r="N73" i="2"/>
  <c r="N61" i="2"/>
  <c r="N53" i="2"/>
  <c r="F23"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4" i="2"/>
  <c r="M55" i="2"/>
  <c r="M56" i="2"/>
  <c r="M57" i="2"/>
  <c r="M58" i="2"/>
  <c r="M59" i="2"/>
  <c r="M60" i="2"/>
  <c r="M62" i="2"/>
  <c r="M63" i="2"/>
  <c r="M64" i="2"/>
  <c r="M65" i="2"/>
  <c r="M66" i="2"/>
  <c r="M67" i="2"/>
  <c r="M68" i="2"/>
  <c r="M69" i="2"/>
  <c r="M70" i="2"/>
  <c r="M71" i="2"/>
  <c r="M72" i="2"/>
  <c r="M74" i="2"/>
  <c r="M75" i="2"/>
  <c r="M76" i="2"/>
  <c r="M77" i="2"/>
  <c r="M78" i="2"/>
  <c r="M79" i="2"/>
  <c r="M80" i="2"/>
  <c r="M81" i="2"/>
  <c r="M82" i="2"/>
  <c r="M83" i="2"/>
  <c r="M84" i="2"/>
  <c r="M85" i="2"/>
  <c r="M86" i="2"/>
  <c r="M87" i="2"/>
  <c r="M88" i="2"/>
  <c r="M89" i="2"/>
  <c r="M90" i="2"/>
  <c r="M92" i="2"/>
  <c r="M93" i="2"/>
  <c r="M94" i="2"/>
  <c r="M96" i="2"/>
  <c r="M97" i="2"/>
  <c r="M98" i="2"/>
  <c r="M99" i="2"/>
  <c r="M100" i="2"/>
  <c r="M101" i="2"/>
  <c r="M102" i="2"/>
  <c r="M103" i="2"/>
  <c r="M104" i="2"/>
  <c r="M105" i="2"/>
  <c r="M106" i="2"/>
  <c r="M107" i="2"/>
  <c r="M108" i="2"/>
  <c r="M109" i="2"/>
  <c r="M110"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1" i="2"/>
  <c r="M152" i="2"/>
  <c r="M153" i="2"/>
  <c r="M154" i="2"/>
  <c r="M155" i="2"/>
  <c r="M156" i="2"/>
  <c r="M157" i="2"/>
  <c r="M158" i="2"/>
  <c r="D103" i="1"/>
  <c r="B175" i="1"/>
  <c r="B177" i="1" s="1"/>
  <c r="F53" i="2"/>
  <c r="F95" i="2"/>
  <c r="F97" i="2"/>
  <c r="F91" i="2"/>
  <c r="F22" i="2"/>
  <c r="F50" i="2"/>
  <c r="F137" i="2"/>
  <c r="F111" i="2"/>
  <c r="F14" i="2"/>
  <c r="F86" i="2"/>
  <c r="F93" i="2"/>
  <c r="F94" i="2"/>
  <c r="F44" i="2"/>
  <c r="F49" i="2"/>
  <c r="F64" i="2"/>
  <c r="F113" i="2"/>
  <c r="F123" i="2"/>
  <c r="F37" i="2"/>
  <c r="F110" i="2"/>
  <c r="F127" i="2"/>
  <c r="F79" i="2"/>
  <c r="F130" i="2"/>
  <c r="F19" i="2"/>
  <c r="F141" i="2"/>
  <c r="F105" i="2"/>
  <c r="F71" i="2"/>
  <c r="F67" i="2"/>
  <c r="F133" i="2"/>
  <c r="B198" i="1"/>
  <c r="B199" i="1" s="1"/>
  <c r="F6" i="2"/>
  <c r="F10" i="2"/>
  <c r="F11" i="2"/>
  <c r="F15" i="2"/>
  <c r="F18" i="2"/>
  <c r="F20" i="2"/>
  <c r="F21" i="2"/>
  <c r="F25" i="2"/>
  <c r="F26" i="2"/>
  <c r="F28" i="2"/>
  <c r="F30" i="2"/>
  <c r="F31" i="2"/>
  <c r="F38" i="2"/>
  <c r="F40" i="2"/>
  <c r="F47" i="2"/>
  <c r="F48" i="2"/>
  <c r="F54" i="2"/>
  <c r="F57" i="2"/>
  <c r="F59" i="2"/>
  <c r="F68" i="2"/>
  <c r="F70" i="2"/>
  <c r="F74" i="2"/>
  <c r="F80" i="2"/>
  <c r="F81" i="2"/>
  <c r="F85" i="2"/>
  <c r="F90" i="2"/>
  <c r="F92" i="2"/>
  <c r="F96" i="2"/>
  <c r="F99" i="2"/>
  <c r="F103" i="2"/>
  <c r="F104" i="2"/>
  <c r="F112" i="2"/>
  <c r="F116" i="2"/>
  <c r="F119" i="2"/>
  <c r="F120" i="2"/>
  <c r="F122" i="2"/>
  <c r="F125" i="2"/>
  <c r="F126" i="2"/>
  <c r="F128" i="2"/>
  <c r="F131" i="2"/>
  <c r="F132" i="2"/>
  <c r="F134" i="2"/>
  <c r="F136" i="2"/>
  <c r="F138" i="2"/>
  <c r="F142" i="2"/>
  <c r="G6" i="2"/>
  <c r="H6" i="2"/>
  <c r="P6" i="2" s="1"/>
  <c r="R6" i="2" s="1"/>
  <c r="I6" i="2"/>
  <c r="J6" i="2"/>
  <c r="K6" i="2"/>
  <c r="L6" i="2"/>
  <c r="M6" i="2"/>
  <c r="S6" i="2"/>
  <c r="T6" i="2"/>
  <c r="G7" i="2"/>
  <c r="I7" i="2"/>
  <c r="J7" i="2"/>
  <c r="K7" i="2"/>
  <c r="L7" i="2"/>
  <c r="S7" i="2"/>
  <c r="T7" i="2"/>
  <c r="H7" i="2" l="1"/>
  <c r="P7" i="2" s="1"/>
  <c r="R7" i="2" s="1"/>
  <c r="E101" i="1" l="1"/>
  <c r="E130" i="1"/>
  <c r="G28" i="1"/>
  <c r="D27" i="1"/>
  <c r="E36" i="1"/>
  <c r="E42" i="1"/>
  <c r="E97" i="1" l="1"/>
  <c r="F149" i="2" l="1"/>
  <c r="F158" i="2"/>
  <c r="B192" i="1" l="1"/>
  <c r="F44" i="1" l="1"/>
  <c r="E141" i="1" l="1"/>
  <c r="E122" i="1" l="1"/>
  <c r="F157" i="2" l="1"/>
  <c r="F153" i="2"/>
  <c r="F150" i="2"/>
  <c r="B165" i="1" l="1"/>
  <c r="E139" i="1" l="1"/>
  <c r="E138" i="1"/>
  <c r="E114" i="1"/>
  <c r="E69" i="1" l="1"/>
  <c r="E46" i="1"/>
  <c r="G97" i="2"/>
  <c r="A3" i="2"/>
  <c r="E115" i="1" l="1"/>
  <c r="B207" i="1" l="1"/>
  <c r="B159" i="1" s="1"/>
  <c r="D29" i="1"/>
  <c r="E30" i="1" l="1"/>
  <c r="P5" i="2" l="1"/>
  <c r="K2" i="2" l="1"/>
  <c r="B184" i="1"/>
  <c r="G150" i="2" l="1"/>
  <c r="H150" i="2" l="1"/>
  <c r="E137" i="1"/>
  <c r="B164" i="1" l="1"/>
  <c r="E105" i="1" l="1"/>
  <c r="S150" i="2" l="1"/>
  <c r="T150" i="2"/>
  <c r="L150" i="2"/>
  <c r="I150" i="2"/>
  <c r="E145" i="1" l="1"/>
  <c r="B166" i="1" s="1"/>
  <c r="F154" i="2" l="1"/>
  <c r="F152" i="2"/>
  <c r="F151" i="2"/>
  <c r="F161" i="2" l="1"/>
  <c r="E120" i="1"/>
  <c r="X2" i="2" l="1"/>
  <c r="G2" i="2" s="1"/>
  <c r="K150" i="2" s="1"/>
  <c r="P150" i="2" s="1"/>
  <c r="R150" i="2" s="1"/>
  <c r="T38" i="2" l="1"/>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34" i="1"/>
  <c r="B169" i="1" s="1"/>
  <c r="A34" i="1"/>
  <c r="A35" i="1" s="1"/>
  <c r="B150" i="1"/>
  <c r="S38" i="2"/>
  <c r="S147" i="2"/>
  <c r="S148" i="2"/>
  <c r="S149" i="2"/>
  <c r="S151" i="2"/>
  <c r="S152" i="2"/>
  <c r="S153" i="2"/>
  <c r="S154" i="2"/>
  <c r="S155" i="2"/>
  <c r="S156" i="2"/>
  <c r="S157" i="2"/>
  <c r="S158" i="2"/>
  <c r="I158" i="2"/>
  <c r="G158" i="2"/>
  <c r="H158" i="2" s="1"/>
  <c r="B73" i="2"/>
  <c r="D161" i="2"/>
  <c r="B7" i="2"/>
  <c r="E35" i="1" l="1"/>
  <c r="E108" i="1" s="1"/>
  <c r="B148" i="1" s="1"/>
  <c r="B151" i="1" s="1"/>
  <c r="B74" i="2"/>
  <c r="S74" i="2" s="1"/>
  <c r="T73" i="2"/>
  <c r="B8" i="2"/>
  <c r="G18" i="2"/>
  <c r="H18" i="2" s="1"/>
  <c r="G123" i="2"/>
  <c r="H123" i="2" s="1"/>
  <c r="G140" i="2"/>
  <c r="H140" i="2" s="1"/>
  <c r="K161" i="2"/>
  <c r="L161" i="2"/>
  <c r="G153" i="2"/>
  <c r="H153" i="2" s="1"/>
  <c r="G125" i="2"/>
  <c r="H125" i="2" s="1"/>
  <c r="G37" i="2"/>
  <c r="H37" i="2" s="1"/>
  <c r="G157" i="2"/>
  <c r="H157" i="2" s="1"/>
  <c r="G151" i="2"/>
  <c r="H151" i="2" s="1"/>
  <c r="B167" i="1"/>
  <c r="S73"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57"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49"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68" i="1"/>
  <c r="B170" i="1" s="1"/>
  <c r="B186"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<sst xmlns="http://schemas.openxmlformats.org/spreadsheetml/2006/main" count="741" uniqueCount="478">
  <si>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</si>
  <si>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</si>
  <si>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</si>
  <si>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</si>
  <si>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</si>
  <si>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</si>
  <si>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</si>
  <si>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</si>
  <si>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</si>
  <si>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</si>
  <si>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</si>
  <si>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</si>
  <si>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</si>
  <si>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</si>
  <si>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</si>
  <si>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</si>
  <si>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</si>
  <si>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</si>
  <si>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</si>
  <si>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</si>
  <si>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</si>
  <si>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</si>
  <si>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</si>
  <si>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</si>
  <si>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</si>
  <si>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</si>
  <si>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</si>
  <si>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</si>
  <si>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</si>
  <si>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</si>
  <si>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</si>
  <si>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</si>
  <si>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</si>
  <si>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</si>
  <si>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</si>
  <si>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</si>
  <si>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</si>
  <si>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</si>
  <si>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</si>
  <si>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</si>
  <si>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</si>
  <si>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</si>
  <si>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</si>
  <si>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</si>
  <si>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</si>
  <si>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</si>
  <si>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</si>
  <si>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</si>
  <si>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</si>
  <si>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</si>
  <si>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</si>
  <si>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</si>
  <si>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</si>
  <si>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</si>
  <si>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</si>
  <si>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</si>
  <si>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</si>
  <si>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</si>
  <si>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</si>
  <si>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</si>
  <si>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</si>
  <si>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</si>
  <si>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</si>
  <si>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</si>
  <si>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</si>
  <si>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</si>
  <si>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</si>
  <si>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</si>
  <si>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</si>
  <si>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</si>
  <si>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</si>
  <si>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</si>
  <si>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</si>
  <si>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</si>
  <si>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</si>
  <si>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</si>
  <si>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</si>
  <si>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</si>
  <si>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</si>
  <si>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</si>
  <si>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</si>
  <si>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</si>
  <si>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</si>
  <si>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</si>
  <si>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</si>
  <si>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</si>
  <si>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</si>
  <si>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</si>
  <si>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</si>
  <si>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</si>
  <si>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</si>
  <si>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</si>
  <si>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</si>
  <si>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</si>
  <si>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</si>
  <si>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</si>
  <si>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</si>
  <si>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</si>
  <si>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</si>
  <si>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</si>
  <si>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</si>
  <si>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</si>
  <si>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</si>
  <si>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</si>
  <si>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</si>
  <si>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</si>
  <si>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</si>
  <si>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</si>
  <si>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</si>
  <si>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</si>
  <si>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</si>
  <si>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</si>
  <si>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</si>
  <si>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</si>
  <si>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</si>
  <si>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</si>
  <si>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</si>
  <si>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</si>
  <si>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</si>
  <si>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</si>
  <si>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</si>
  <si>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</si>
  <si>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</si>
  <si>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</si>
  <si>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</si>
  <si>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</si>
  <si>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</si>
  <si>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</si>
  <si>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</si>
  <si>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</si>
  <si>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</si>
  <si>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</si>
  <si>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</si>
  <si>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</si>
  <si>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</si>
  <si>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</si>
  <si>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</si>
  <si>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</si>
  <si>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</si>
  <si>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</si>
  <si>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</si>
  <si>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</si>
  <si>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</si>
  <si>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</si>
  <si>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</si>
  <si>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</si>
  <si>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</si>
  <si>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</si>
  <si>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</si>
  <si>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</si>
  <si>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</si>
  <si>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</si>
  <si>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</si>
  <si>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</si>
  <si>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</si>
  <si>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</si>
  <si>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</si>
  <si>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</si>
  <si>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</si>
  <si>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</si>
  <si>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</si>
  <si>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</si>
  <si>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</si>
  <si>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</si>
  <si>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</si>
  <si>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</si>
  <si>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</si>
  <si>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</si>
  <si>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</si>
  <si>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</si>
  <si>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</si>
  <si>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</si>
  <si>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</si>
  <si>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</si>
  <si>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</si>
  <si>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</si>
  <si>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</si>
  <si>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</si>
  <si>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</si>
  <si>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</si>
  <si>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</si>
  <si>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</si>
  <si>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</si>
  <si>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</si>
  <si>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</si>
  <si>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</si>
  <si>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</si>
  <si>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</si>
  <si>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</si>
  <si>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</si>
  <si>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</si>
  <si>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</si>
  <si>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</si>
  <si>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</si>
  <si>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</si>
  <si>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</si>
  <si>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</si>
  <si>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</si>
  <si>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</si>
  <si>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</si>
  <si>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</si>
  <si>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</si>
  <si>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</si>
  <si>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</si>
  <si>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</si>
  <si>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</si>
  <si>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</si>
  <si>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</si>
  <si>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</si>
  <si>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</si>
  <si>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</si>
  <si>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</si>
  <si>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</si>
  <si>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</si>
  <si>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</si>
  <si>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</si>
  <si>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</si>
  <si>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</si>
  <si>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</si>
  <si>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</si>
  <si>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</si>
  <si>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</si>
  <si>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</si>
  <si>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</si>
  <si>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</si>
  <si>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</si>
  <si>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</si>
  <si>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</si>
  <si>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</si>
  <si>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</si>
  <si>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</si>
  <si>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</si>
  <si>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</si>
  <si>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</si>
  <si>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</si>
  <si>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</si>
  <si>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</si>
  <si>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</si>
  <si>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</si>
  <si>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</si>
  <si>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</si>
  <si>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</si>
  <si>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</si>
  <si>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</si>
  <si>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</si>
  <si>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</si>
  <si>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</si>
  <si>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</si>
  <si>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</si>
  <si>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</si>
  <si>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</si>
  <si>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</si>
  <si>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</si>
  <si>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</si>
  <si>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</si>
  <si>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</si>
  <si>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</si>
  <si>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</si>
  <si>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</si>
  <si>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</si>
  <si>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</si>
  <si>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</si>
  <si>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</si>
  <si>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</si>
  <si>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</si>
  <si>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</si>
  <si>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</si>
  <si>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</si>
  <si>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</si>
  <si>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</si>
  <si>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</si>
  <si>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</si>
  <si>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</si>
  <si>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</si>
  <si>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</si>
  <si>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</si>
  <si>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</si>
  <si>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</si>
  <si>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</si>
  <si>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</si>
  <si>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</si>
  <si>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</si>
  <si>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</si>
  <si>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</si>
  <si>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</si>
  <si>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</si>
  <si>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</si>
  <si>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</si>
  <si>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</si>
  <si>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</si>
  <si>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</si>
  <si>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</si>
  <si>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</si>
  <si>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</si>
  <si>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</si>
  <si>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</si>
  <si>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</si>
  <si>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</si>
  <si>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</si>
  <si>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</si>
  <si>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</si>
  <si>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</si>
  <si>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</si>
  <si>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</si>
  <si>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</si>
  <si>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</si>
  <si>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Medizin Servicios - ProlijoLimp SA - COBRO EXPRESS BUENOS AIRES SA - Patricio Jose Delarrechea Muñoz</t>
  </si>
  <si>
    <t>Andrea Juarez Cecilia - Juan Isidoro Manuel Onorato</t>
  </si>
  <si>
    <t>Baquiano Malvinas SRL</t>
  </si>
  <si>
    <t xml:space="preserve">Allianz (Cuit.: 30--50003721-7) - Seguro Técnico - Póliza N° 240210705270; </t>
  </si>
  <si>
    <t>Allianz (Cuit.: 30--50003721-7) - Seguro Técnico - Póliza N° 240210705270;</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</si>
  <si>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</si>
  <si>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</si>
  <si>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</si>
  <si>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</si>
  <si>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</si>
  <si>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</si>
  <si>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</si>
  <si>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</si>
  <si>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</si>
  <si>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</si>
  <si>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</si>
  <si>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</si>
  <si>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</si>
  <si>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</si>
  <si>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</si>
  <si>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Edesur (Cuit.: 30-65511652-1) - Vto 16/03 - Nro de cliente. 05640639</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</si>
  <si>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</si>
  <si>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</si>
  <si>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</si>
  <si>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</si>
  <si>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</si>
  <si>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OMS (Cuit.: 30-71568933-9) - (Abono mantenimiento planta de tratamiento)</t>
  </si>
  <si>
    <t>Palubinskas Fernando Nestor - Bidones de Agua cimes de 20lts - Fc. 00001463</t>
  </si>
  <si>
    <t>Total contemplando caja SUM + Caja de Bacheo + Caja Ordinaria / Extraordinaria</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</si>
  <si>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Azul: ruidos molestos.
Amarillo: arquitectura.
Negro: corresponde a multas por exceso de velocidad o por circular sin la protección correspondiente (por ejemplo, moto sin casco).
Verde: infraccion en ingreso de proveedores.                                                                                                                                                                                                                                                                                                                                                              Ante cualquier duda o consulta sobre los importes allí detallados, quedamos a disposición.</t>
  </si>
  <si>
    <t>Rodriguez, Mario Javier</t>
  </si>
  <si>
    <t>Transf 29/05</t>
  </si>
  <si>
    <t>Transf 27/05</t>
  </si>
  <si>
    <t>Transf 20/05</t>
  </si>
  <si>
    <t>Vazquez (Cuit.: 30-55987767-7)  (Prestación servicio de contenedores  + Servicio de descarga) - Fc. 000000244</t>
  </si>
  <si>
    <t>Transf 18/05</t>
  </si>
  <si>
    <t>Ramirez Francisco - Fc. 00000590  Alquiler de volquetes - CUIT: 2040757602</t>
  </si>
  <si>
    <t>Transf 04/05</t>
  </si>
  <si>
    <t>Ramirez Francisco - Fc. 00000586- Alquiler de volquetes - CUIT: 2040757602</t>
  </si>
  <si>
    <t>Transf 05/05</t>
  </si>
  <si>
    <t>IPTH Propiedad intelectual - CUIT: 27297901120 - Fc. 000002 - Servicios juridicos - Convenio</t>
  </si>
  <si>
    <t>Transf 06/05</t>
  </si>
  <si>
    <t>Armella Cristian - CUIT: 20371419234 - Fc. 00000087- Fumigacion dias: 10/04 - 18/04 - 25/04 - 28/04</t>
  </si>
  <si>
    <t>Transf 12/05</t>
  </si>
  <si>
    <t>Debito 05/05</t>
  </si>
  <si>
    <t>Debito 06/05</t>
  </si>
  <si>
    <t>Debito 12/05</t>
  </si>
  <si>
    <t>Debito 15/05</t>
  </si>
  <si>
    <t xml:space="preserve">Edesur (Cuit.: 30-65511652-1) - Nuevos medidores - Nro de cliente. 06107197 </t>
  </si>
  <si>
    <t>Edesur (Cuit.: 30-65511652-1) - Nuevos medidores - Nro de cliente. 06107191</t>
  </si>
  <si>
    <t xml:space="preserve">Edesur (Cuit.: 30-65511652-1) - Nuevos medidores - Nro de cliente. 06106720 </t>
  </si>
  <si>
    <t xml:space="preserve">Marigo Juan Pablo - CUIT: 20302016306 - Servicio de Higiene y seguridad </t>
  </si>
  <si>
    <t>Rescate 04/05</t>
  </si>
  <si>
    <t>Saldo Inicial</t>
  </si>
  <si>
    <t>Ingreso de caja ordinaria 22/05</t>
  </si>
  <si>
    <t>Intereses del periodo</t>
  </si>
  <si>
    <t>Ingreso correspondiente a rescate de fondo de inversion 04/05</t>
  </si>
  <si>
    <t>Egreso a fondo de inversion - 22/05</t>
  </si>
  <si>
    <t>Punitorios mal cobrados L44</t>
  </si>
  <si>
    <t>Transferencia ya identificada mes anterior</t>
  </si>
  <si>
    <t>QUERCIA LUCIO - QAM SRL - FLEBO TDR SRL - Grupo Logistico Srl - BinBay - La bella vida SRL</t>
  </si>
  <si>
    <t>Cuota -  Plan de pago L92 - Cuota 3/3</t>
  </si>
  <si>
    <t>Sum mal cobrado L18</t>
  </si>
  <si>
    <t>TOTAL AL 29/05/2026</t>
  </si>
  <si>
    <t>Lote 71 deposito el 01/06 $712.000</t>
  </si>
  <si>
    <t xml:space="preserve">PERÍODO: JUNIO </t>
  </si>
  <si>
    <t>Haberes mes de JUNIO -  Maximiliano Abbruzzese</t>
  </si>
  <si>
    <t>Deducciones mes de JUNIO</t>
  </si>
  <si>
    <t>Redondeo mes de JUNIO</t>
  </si>
  <si>
    <t>Covelia SA - Recoleccion de ramas JUNIO</t>
  </si>
  <si>
    <t>Honorarios administracion - Mes de JUNIO</t>
  </si>
  <si>
    <t>LA UNIDAD FUNCIONAL 92 ACORDO UN PLAN DE PAGO CON LA ADMINISTRACION - EN EL MES DE JUNIO DEL 2026 FINALIZO EL MISMO</t>
  </si>
  <si>
    <t>Transfirio $727.029 el 05/06</t>
  </si>
  <si>
    <t>17 y 86</t>
  </si>
  <si>
    <t>Deposito $824.000 el 06/06</t>
  </si>
  <si>
    <t>Javier Andres</t>
  </si>
  <si>
    <t>Transfirio $792.200 el 08/06</t>
  </si>
  <si>
    <t xml:space="preserve">16 32 33 158 159 168.
</t>
  </si>
  <si>
    <t>JP GIORDANO</t>
  </si>
  <si>
    <t>Transfirio $4.626.500,26 el 08/06</t>
  </si>
  <si>
    <t>Deposito $775.000 el 08/06</t>
  </si>
  <si>
    <t>Lote 59 deposito $720.000 el 09/06</t>
  </si>
  <si>
    <t>Lote102 deposito $770,000 10/06</t>
  </si>
  <si>
    <t>L60deposito $750.000 11/06</t>
  </si>
  <si>
    <t>Deposito $752.000 11/06</t>
  </si>
  <si>
    <t>Acosta deposito $1.090.000 el 12/06</t>
  </si>
  <si>
    <t>Deposito $740.000 12/06</t>
  </si>
  <si>
    <t>Colson cristian</t>
  </si>
  <si>
    <t>Pago $910.000 el 16/06</t>
  </si>
  <si>
    <t>Deposito $800.000 el 12/06</t>
  </si>
  <si>
    <t>Depósito el 12/06 $776.000</t>
  </si>
  <si>
    <t>Lote 44 deposito $1.000.000 el 17/06</t>
  </si>
  <si>
    <t>Lote 77 deposito $800.000 el 17/06</t>
  </si>
  <si>
    <t>118-120-121</t>
  </si>
  <si>
    <t>Suzel pago $2.376.000 el 04/06</t>
  </si>
  <si>
    <t>Deposito $780.000 17/06</t>
  </si>
  <si>
    <t>Deposito $850.000 17/06</t>
  </si>
  <si>
    <t>Deposito $752.000 18/06</t>
  </si>
  <si>
    <t>Deposito $712.000 17/06</t>
  </si>
  <si>
    <t>L14  Transfirio : $133.190 16/06 -         $622.160 16/06-              $12.106 18/06</t>
  </si>
  <si>
    <t>Transfirio $1.200.000 el 05/06 - $600.000 para el 17 y $600.000 para el 86 - El 15/06 transfirio $500.000 - $250mil a la 17 y $250mil a la 86 - El 19/06 Transfirio $1.120.00 y $880.000 de los cuales necesito que $500.000 se apliquen a las expensas del lote 86 y $1.500.000 a las expensas del lote 17</t>
  </si>
  <si>
    <t>Deposito $798.200  24/06</t>
  </si>
  <si>
    <t>Primer Vencimiento:  17/07</t>
  </si>
  <si>
    <t>ARCA - Mes de JUNIO</t>
  </si>
  <si>
    <t>Sindicatos mes de JUNIO</t>
  </si>
  <si>
    <t>Recicla Brown- CUIT: 30-71633401-1 - Servicio de recoleccion de residuos solidos urbanos JUNIO</t>
  </si>
  <si>
    <t xml:space="preserve">Honorarios administracion - Mes de JUNIO </t>
  </si>
  <si>
    <t>Servicios arquitectura - Srita. Melanie Burgos Oros - Lotes 45 - 48  - 56  - 68 - 86 - 106 - 90 - 155 - Mes de JUNIO</t>
  </si>
  <si>
    <t>Transf 25/06</t>
  </si>
  <si>
    <t>OMS (Cuit.: 30-71568933-9) - Analisis de efluente liquidos con cadena de custodia</t>
  </si>
  <si>
    <t>Transf 24/06</t>
  </si>
  <si>
    <t>ER Construcciones -  CUIT: 30718664590 - Cuota 2/3 muro perimetral</t>
  </si>
  <si>
    <t>El imperio RYL - Articulos de limpieza - Fc. 0000015007</t>
  </si>
  <si>
    <t>Imagen - Fc. 00043882 - CUIT: 27057704999 - Compra de alambre n12 a granel</t>
  </si>
  <si>
    <t>Imagen - Fc. 00043883 - CUIT: 27057704999 - Compra de alambre n12 a granel</t>
  </si>
  <si>
    <t>Ceopint - Remito N. 0000350 - Compra de pinceles, teclas, cintas, sinteticos, protectores para ladrillos, etc</t>
  </si>
  <si>
    <t>Servicio Polad - Mes de JUNIO - Valor de la hora $7.199,9 + 10% aplicado por el ministerio de seguridad (744hs en total)</t>
  </si>
  <si>
    <t>Sandis SRL - Fc. 0000196 - CUIT: 30680353502 - Compra de 30 caños</t>
  </si>
  <si>
    <t>Transf 22/6</t>
  </si>
  <si>
    <t>Ayala Leon - Fc. 00002- CUIT: 20949096654 - Prestacion de servicios</t>
  </si>
  <si>
    <t>Transf 19/06</t>
  </si>
  <si>
    <t>Ayala Leon - Fc. 00003- CUIT: 20949096654 - Prestacion de servicios</t>
  </si>
  <si>
    <t>Ramirez Francisco - Fc. 00000605 - Alquiler de volquetes - CUIT: 2040757602</t>
  </si>
  <si>
    <t>Marigo Juan Pablo - CUIT: 20302016306 - Servicio de Higiene y seguridad Junio</t>
  </si>
  <si>
    <t>GMD - Division de cestos de basura y colocacion de chapa lateral de quincho - Conformado en chapa de calibre 18 y divisiones con angulos de 3/4 x 1/8 con chapa 18</t>
  </si>
  <si>
    <t>Transf 03/06</t>
  </si>
  <si>
    <t>GOLD (Cuit.: 33-71225773-9) - Fc.0000412(Servicio de Seguridad JUNIO 2025)</t>
  </si>
  <si>
    <t>Evento 16/05 - De 19 a 02hs UF 7</t>
  </si>
  <si>
    <t>Evento 23/05 - De 19 a 02hs UF 76</t>
  </si>
  <si>
    <t>Transf 08/06</t>
  </si>
  <si>
    <t xml:space="preserve">Alonso Bado - Alquiler de vehiculo electrico - Fc. 000001301 - CUIT: 20138813232 </t>
  </si>
  <si>
    <t xml:space="preserve">Grafica Tauge - Fotocopias BYN </t>
  </si>
  <si>
    <t>Grey Brick - Fc. 000000962 - Adelanto de 20% de 829M2 de pavimento a trabajar</t>
  </si>
  <si>
    <t>Honorarios arquitectura - Srta. Burgos Oros Johanna Melanie - Fc. 00000103</t>
  </si>
  <si>
    <t>Transf 05/06</t>
  </si>
  <si>
    <t>El imperio RYL - Articulos de limpieza - Fc. 0000014793</t>
  </si>
  <si>
    <t>Electro DRF - Fc. 0000046104 - CUIT: 30716213028 - Compra caja capsulada plastica, caja estanca, interruptor, pistola de silicona, atc</t>
  </si>
  <si>
    <t>Marigo Juan Pablo - CUIT: 20302016306 - Honorarios Higiene y seguridad - Programas de seguridad Res. SRT  51/97 - ATS</t>
  </si>
  <si>
    <t>Transf 18/06</t>
  </si>
  <si>
    <t xml:space="preserve">Kormat SA - CUIT: 30710312741 - Fc. 000017293 - </t>
  </si>
  <si>
    <t xml:space="preserve">El pimpollo - CUIT: 30577688164 - Fc. 00035424 - Cemento loma negra 25kg - Arena por bolsa </t>
  </si>
  <si>
    <t>Axin (Cuit.: 30-70858249-9)  - Cuota 55/60 - Fc. 000016460</t>
  </si>
  <si>
    <t>Axin (Cuit.: 30-70858249-9)  - Fc. 000016460 -  Instalacion de 4 barreras cuota 1/4</t>
  </si>
  <si>
    <t>Axin (Cuit.: 30-70858249-9)  - Fc. 000016460 - Plector facial PROFACE - Cuota 1/24</t>
  </si>
  <si>
    <t>Axin (Cuit.: 30-70858249-9)  - Fc. 000016460 - Instalacion de 2 lectores de tarjetas - Cuota 1/24</t>
  </si>
  <si>
    <t>Proemsud SRL  - CUIT:30708747331 - Fc. 0005544 - Hortal liq 1lts - Myrmec babosa - Myrmec hormigas</t>
  </si>
  <si>
    <t xml:space="preserve">OMS (Cuit.: 30-71568933-9) -Reparacion de bomba dosificadora </t>
  </si>
  <si>
    <t>OMS (Cuit.: 30-71568933-9) - Cambio de aceite soplador R-10000</t>
  </si>
  <si>
    <t>ER Construcciones -  CUIT: 30718664590 - Fc. 00009 - 6 camaras cotizadas - 2 reconstrucciones de camaras - Puerta SUM . Tablero del pilar 126 - 2 camaras de tapas 127</t>
  </si>
  <si>
    <t>Transf 04/06</t>
  </si>
  <si>
    <t>Armella Cristian - CUIT: 20371419234 - Fc. 00000098 - Mantenimiento de espacios comunes</t>
  </si>
  <si>
    <t>Ramirez Francisco - Fc. 00000599- Alquiler de volquetes - CUIT: 2040757602</t>
  </si>
  <si>
    <t>Covelia SA - Servicio de recoleccion de residuos domiciliarios correspondientes al mes de JUNIO  - CUIT: 30707242961 - Fc. 000460</t>
  </si>
  <si>
    <t>Disblock Sur SRL - CUIT : 3076018071 - Fc. 000007 - Latex exterior, esmaltes sinteticos, pinceleta, pincel, tela, cinta azuil, etc</t>
  </si>
  <si>
    <t>Transf 09/06</t>
  </si>
  <si>
    <t>Rumbo - CUIT: 23181438134 - Fc. 000032300 - Broches, cintas, cartuchos, cutter, etc</t>
  </si>
  <si>
    <t>Transf 10/06</t>
  </si>
  <si>
    <t>SGP - CUIT: 20316550259 - Fc. 000047 - 2° adelanto por trabajo de cañeria y cableado electrico con zzanjeo desde puesto 2 hasta el nodo de cancha de tenis</t>
  </si>
  <si>
    <t>Ayala Leon - Fc. 00001- CUIT: 20949096654 - Prestacion de servicios</t>
  </si>
  <si>
    <t>Transf 11/06</t>
  </si>
  <si>
    <t>ECOT - Fc. 00048 - CUIT: 20384695494 - Tapas de camara metalica medidas varias</t>
  </si>
  <si>
    <t>Max Supreme - CUIT: 20277800323 - Fc. 0000131 - Trabajo de herreria</t>
  </si>
  <si>
    <t>Transf 13/06</t>
  </si>
  <si>
    <t>Electro DRF - Fc. 0000046271 - CUIT: 30716213028 - Compra estanca 210 x 210 x 165</t>
  </si>
  <si>
    <t>Transf 16/06</t>
  </si>
  <si>
    <t>ECOT - Fc. 00049 - CUIT: 20384695494 - Tapas de camara metalica medidas varias</t>
  </si>
  <si>
    <t>Matafuegos FIRE - CUIT: 33607414799 - Fc. 000026821 - Botiquin para oficina</t>
  </si>
  <si>
    <t>Transf 17/06</t>
  </si>
  <si>
    <t>Matafuegos FIRE - CUIT: 33607414799 - Fc. 000026819 - Pantalon Cargo</t>
  </si>
  <si>
    <t>SGP - CUIT: 20316550259 - Fc. 000049 - Pago por trabajo finalizado cañeria y cableado nuevo desde el puesto 2 al nodo paredon del fondo junto a las canchas</t>
  </si>
  <si>
    <t>OMS (Cuit.: 30-71568933-9) - Cambio de filtro soplador repicky R-1000</t>
  </si>
  <si>
    <t>SGP - CUIT: 20316550259 - Fc. 000049 - Conexión de agua de alta presion y pase por calle hasta rotonda para riego con llave de paso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</si>
</sst>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0"/>
      <color rgb="FF767676"/>
      <name val="Arial"/>
      <family val="2"/>
    </font>
  </fonts>
  <fills count="4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rgb="FF7030A0"/>
        <bgColor indexed="64"/>
      </patternFill>
    </fill>
    <fill>
      <patternFill patternType="solid">
        <fgColor theme="5" tint="0.39997558519241921"/>
        <bgColor indexed="64"/>
      </patternFill>
    </fill>
    <fill>
      <patternFill patternType="solid">
        <fgColor rgb="FFFF0000"/>
        <bgColor indexed="64"/>
      </patternFill>
    </fill>
    <fill>
      <patternFill patternType="solid">
        <fgColor rgb="FFC00000"/>
        <bgColor indexed="64"/>
      </patternFill>
    </fill>
    <fill>
      <patternFill patternType="solid">
        <fgColor rgb="FFCC66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6"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53">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7"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9"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17" borderId="1" xfId="0" applyFont="1" applyFill="1" applyBorder="1"/>
    <xf numFmtId="0" fontId="13" fillId="9" borderId="1" xfId="0" applyFont="1" applyFill="1" applyBorder="1"/>
    <xf numFmtId="0" fontId="13" fillId="8" borderId="1" xfId="0" applyFont="1" applyFill="1" applyBorder="1"/>
    <xf numFmtId="44" fontId="17" fillId="0" borderId="1" xfId="1" applyFont="1" applyBorder="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7"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3" borderId="3" xfId="0" applyFont="1" applyFill="1" applyBorder="1"/>
    <xf numFmtId="0" fontId="13" fillId="2" borderId="3" xfId="0" applyFont="1" applyFill="1" applyBorder="1" applyAlignment="1">
      <alignment horizontal="center"/>
    </xf>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0" fontId="13" fillId="2" borderId="3" xfId="0"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5" fontId="13" fillId="2" borderId="2" xfId="1" applyNumberFormat="1"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4" fillId="2" borderId="6" xfId="0" applyFont="1" applyFill="1" applyBorder="1" applyAlignment="1">
      <alignment horizontal="left" vertical="center"/>
    </xf>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0" fontId="13" fillId="32" borderId="1" xfId="0" applyFont="1" applyFill="1" applyBorder="1"/>
    <xf numFmtId="0" fontId="13" fillId="33" borderId="1" xfId="0" applyFont="1" applyFill="1" applyBorder="1"/>
    <xf numFmtId="8" fontId="4" fillId="0" borderId="1" xfId="0" applyNumberFormat="1" applyFont="1" applyBorder="1" applyAlignment="1">
      <alignment wrapText="1"/>
    </xf>
    <xf numFmtId="44" fontId="7" fillId="2" borderId="1" xfId="1" applyFont="1" applyFill="1" applyBorder="1"/>
    <xf numFmtId="44" fontId="17" fillId="2" borderId="3" xfId="1" applyFont="1" applyFill="1" applyBorder="1"/>
    <xf numFmtId="0" fontId="13" fillId="26" borderId="1" xfId="0" applyFont="1" applyFill="1" applyBorder="1"/>
    <xf numFmtId="0" fontId="13" fillId="29" borderId="1" xfId="0" applyFont="1" applyFill="1" applyBorder="1"/>
    <xf numFmtId="0" fontId="13" fillId="34" borderId="1" xfId="0" applyFont="1" applyFill="1" applyBorder="1"/>
    <xf numFmtId="0" fontId="19" fillId="0" borderId="3" xfId="0" applyFont="1" applyBorder="1"/>
    <xf numFmtId="44" fontId="19" fillId="2" borderId="0" xfId="1" applyFont="1" applyFill="1" applyBorder="1" applyAlignment="1"/>
    <xf numFmtId="44" fontId="8" fillId="15" borderId="25" xfId="1" applyFont="1" applyFill="1" applyBorder="1"/>
    <xf numFmtId="44" fontId="1" fillId="0" borderId="1" xfId="1" applyFont="1" applyBorder="1"/>
    <xf numFmtId="44" fontId="7" fillId="0" borderId="1" xfId="1" applyFont="1" applyBorder="1"/>
    <xf numFmtId="165" fontId="17" fillId="2" borderId="3" xfId="0" applyNumberFormat="1" applyFont="1" applyFill="1" applyBorder="1"/>
    <xf numFmtId="165" fontId="13" fillId="2" borderId="3" xfId="0" applyNumberFormat="1" applyFont="1" applyFill="1" applyBorder="1"/>
    <xf numFmtId="0" fontId="13" fillId="2" borderId="1" xfId="0" applyFont="1" applyFill="1" applyBorder="1" applyAlignment="1">
      <alignment wrapText="1"/>
    </xf>
    <xf numFmtId="0" fontId="4" fillId="2" borderId="7" xfId="0" applyFont="1" applyFill="1" applyBorder="1" applyAlignment="1">
      <alignment horizontal="left" vertical="center" wrapText="1"/>
    </xf>
    <xf numFmtId="0" fontId="4" fillId="0" borderId="7" xfId="0" applyFont="1" applyBorder="1" applyAlignment="1">
      <alignment horizontal="left" vertical="center" wrapText="1"/>
    </xf>
    <xf numFmtId="8" fontId="4" fillId="2" borderId="1"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8" fontId="4" fillId="2" borderId="1" xfId="0" applyNumberFormat="1" applyFont="1" applyFill="1" applyBorder="1" applyAlignment="1">
      <alignment horizontal="left" vertical="center"/>
    </xf>
    <xf numFmtId="165" fontId="4" fillId="0" borderId="0" xfId="0" applyNumberFormat="1" applyFont="1"/>
    <xf numFmtId="43" fontId="4" fillId="0" borderId="0" xfId="0" applyNumberFormat="1" applyFont="1"/>
    <xf numFmtId="44" fontId="4" fillId="2" borderId="6" xfId="1" applyFont="1" applyFill="1" applyBorder="1"/>
    <xf numFmtId="0" fontId="4" fillId="2" borderId="0" xfId="0" applyFont="1" applyFill="1"/>
    <xf numFmtId="165" fontId="13" fillId="16" borderId="3" xfId="1" applyNumberFormat="1" applyFont="1" applyFill="1" applyBorder="1"/>
    <xf numFmtId="44" fontId="19" fillId="16" borderId="1" xfId="1"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3" fontId="26" fillId="0" borderId="0" xfId="0" applyNumberFormat="1" applyFont="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13" fillId="35" borderId="1" xfId="0" applyFont="1" applyFill="1" applyBorder="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13" fillId="36" borderId="1" xfId="0" applyFont="1" applyFill="1" applyBorder="1"/>
    <xf numFmtId="0" fontId="0" fillId="36" borderId="0" xfId="0" applyFill="1"/>
    <xf numFmtId="0" fontId="0" fillId="36" borderId="14" xfId="0" applyFill="1" applyBorder="1"/>
    <xf numFmtId="0" fontId="0" fillId="36" borderId="12" xfId="0" applyFill="1" applyBorder="1"/>
    <xf numFmtId="0" fontId="0" fillId="36" borderId="16" xfId="0" applyFill="1" applyBorder="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0" fillId="33" borderId="0" xfId="0" applyFill="1"/>
    <xf numFmtId="0" fontId="0" fillId="33" borderId="14" xfId="0" applyFill="1" applyBorder="1"/>
    <xf numFmtId="0" fontId="0" fillId="33" borderId="12" xfId="0" applyFill="1" applyBorder="1"/>
    <xf numFmtId="0" fontId="0" fillId="33" borderId="16" xfId="0" applyFill="1" applyBorder="1"/>
    <xf numFmtId="0" fontId="13" fillId="18" borderId="1" xfId="0" applyFont="1" applyFill="1" applyBorder="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6" fontId="0" fillId="2" borderId="0" xfId="0" applyNumberFormat="1" applyFill="1" applyAlignment="1">
      <alignment horizontal="center" vertical="center" wrapText="1"/>
    </xf>
    <xf numFmtId="0" fontId="13" fillId="12" borderId="1" xfId="0" applyFont="1"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3" fillId="37" borderId="1" xfId="0" applyFont="1" applyFill="1" applyBorder="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0" fontId="13" fillId="38" borderId="1" xfId="0" applyFont="1" applyFill="1" applyBorder="1"/>
    <xf numFmtId="0" fontId="0" fillId="38" borderId="14" xfId="0" applyFill="1" applyBorder="1"/>
    <xf numFmtId="0" fontId="0" fillId="38" borderId="12" xfId="0" applyFill="1" applyBorder="1"/>
    <xf numFmtId="0" fontId="0" fillId="38" borderId="16" xfId="0" applyFill="1" applyBorder="1"/>
    <xf numFmtId="0" fontId="0" fillId="38" borderId="0" xfId="0" applyFill="1"/>
    <xf numFmtId="0" fontId="0" fillId="39" borderId="14" xfId="0" applyFill="1" applyBorder="1"/>
    <xf numFmtId="0" fontId="0" fillId="39" borderId="12" xfId="0" applyFill="1" applyBorder="1"/>
    <xf numFmtId="0" fontId="0" fillId="39" borderId="16" xfId="0" applyFill="1" applyBorder="1"/>
    <xf numFmtId="0" fontId="0" fillId="39" borderId="0" xfId="0" applyFill="1"/>
    <xf numFmtId="0" fontId="17" fillId="39" borderId="1" xfId="0" applyFont="1" applyFill="1" applyBorder="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0" fontId="0" fillId="8" borderId="14" xfId="0" applyFill="1" applyBorder="1"/>
    <xf numFmtId="0" fontId="0" fillId="8" borderId="12" xfId="0" applyFill="1" applyBorder="1"/>
    <xf numFmtId="0" fontId="0" fillId="8" borderId="16" xfId="0" applyFill="1" applyBorder="1"/>
    <xf numFmtId="0" fontId="0" fillId="8" borderId="0" xfId="0" applyFill="1"/>
    <xf numFmtId="8" fontId="7" fillId="2" borderId="1" xfId="0" applyNumberFormat="1" applyFont="1" applyFill="1" applyBorder="1"/>
    <xf numFmtId="44" fontId="7" fillId="2" borderId="6" xfId="1" applyFont="1" applyFill="1" applyBorder="1"/>
    <xf numFmtId="168" fontId="7" fillId="2" borderId="1" xfId="1" applyNumberFormat="1" applyFont="1" applyFill="1" applyBorder="1"/>
    <xf numFmtId="168" fontId="4" fillId="8" borderId="1" xfId="1" applyNumberFormat="1" applyFont="1" applyFill="1" applyBorder="1"/>
    <xf numFmtId="44" fontId="7" fillId="2" borderId="1" xfId="1" applyFont="1" applyFill="1" applyBorder="1" applyAlignment="1">
      <alignment wrapText="1"/>
    </xf>
    <xf numFmtId="44" fontId="7" fillId="2" borderId="1" xfId="1" applyFont="1" applyFill="1" applyBorder="1" applyAlignment="1"/>
    <xf numFmtId="12" fontId="19" fillId="2" borderId="3" xfId="1" applyNumberFormat="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8" borderId="6" xfId="0" applyFont="1" applyFill="1" applyBorder="1" applyAlignment="1">
      <alignment horizontal="left" vertical="center" wrapText="1"/>
    </xf>
    <xf numFmtId="0" fontId="4" fillId="8" borderId="7"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22" fillId="7" borderId="0" xfId="0" applyFont="1" applyFill="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9" fillId="21" borderId="14" xfId="0" quotePrefix="1" applyFont="1" applyFill="1" applyBorder="1" applyAlignment="1">
      <alignment horizontal="left" vertical="center" wrapText="1"/>
    </xf>
    <xf numFmtId="0" fontId="9" fillId="21" borderId="15" xfId="0" applyFont="1" applyFill="1" applyBorder="1" applyAlignment="1">
      <alignment horizontal="left" vertical="center" wrapText="1"/>
    </xf>
    <xf numFmtId="0" fontId="9" fillId="21" borderId="16" xfId="0" applyFont="1" applyFill="1" applyBorder="1" applyAlignment="1">
      <alignment horizontal="left" vertical="center" wrapText="1"/>
    </xf>
    <xf numFmtId="0" fontId="9" fillId="21" borderId="17" xfId="0" applyFont="1" applyFill="1" applyBorder="1" applyAlignment="1">
      <alignment horizontal="left" vertical="center" wrapText="1"/>
    </xf>
    <xf numFmtId="0" fontId="9" fillId="21" borderId="24" xfId="0" applyFont="1" applyFill="1" applyBorder="1" applyAlignment="1">
      <alignment horizontal="left" vertical="center" wrapText="1"/>
    </xf>
    <xf numFmtId="0" fontId="9" fillId="21" borderId="25" xfId="0" applyFont="1" applyFill="1" applyBorder="1" applyAlignment="1">
      <alignment horizontal="left" vertical="center" wrapText="1"/>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44" fontId="9" fillId="5" borderId="1" xfId="1" applyFont="1" applyFill="1" applyBorder="1"/>
    <xf numFmtId="169" fontId="22" fillId="3" borderId="0" xfId="0" applyNumberFormat="1" applyFont="1" applyFill="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CC6600"/>
      <color rgb="FFFD95DD"/>
      <color rgb="FF00FF00"/>
      <color rgb="FFFF00FF"/>
      <color rgb="FF666633"/>
      <color rgb="FF1CB0B0"/>
      <color rgb="FF336699"/>
      <color rgb="FFFFFF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8"/>
  <sheetViews>
    <sheetView tabSelected="1" topLeftCell="A67" zoomScale="80" zoomScaleNormal="80" workbookViewId="0">
      <selection activeCell="A72" sqref="A72:C72"/>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78"/>
      <c r="B1" s="373" t="s">
        <v>155</v>
      </c>
      <c r="C1" s="374"/>
      <c r="D1" s="374"/>
      <c r="E1" s="375"/>
    </row>
    <row r="2" spans="1:5" ht="15" thickBot="1" x14ac:dyDescent="0.35">
      <c r="A2" s="379"/>
      <c r="B2" s="373" t="s">
        <v>157</v>
      </c>
      <c r="C2" s="374"/>
      <c r="D2" s="374"/>
      <c r="E2" s="375"/>
    </row>
    <row r="3" spans="1:5" ht="32.25" customHeight="1" thickBot="1" x14ac:dyDescent="0.35">
      <c r="A3" s="379"/>
      <c r="B3" s="370" t="s">
        <v>153</v>
      </c>
      <c r="C3" s="371"/>
      <c r="D3" s="371"/>
      <c r="E3" s="372"/>
    </row>
    <row r="4" spans="1:5" ht="15" thickBot="1" x14ac:dyDescent="0.35">
      <c r="A4" s="379"/>
      <c r="B4" s="45" t="s">
        <v>154</v>
      </c>
      <c r="C4" s="44"/>
      <c r="D4" s="44"/>
      <c r="E4" s="44"/>
    </row>
    <row r="5" spans="1:5" ht="17.100000000000001" customHeight="1" thickBot="1" x14ac:dyDescent="0.35">
      <c r="A5" s="379"/>
      <c r="B5" s="48" t="s">
        <v>371</v>
      </c>
      <c r="C5" s="46"/>
      <c r="D5" s="46"/>
      <c r="E5" s="47"/>
    </row>
    <row r="6" spans="1:5" ht="17.100000000000001" customHeight="1" thickBot="1" x14ac:dyDescent="0.35">
      <c r="A6" s="379"/>
      <c r="B6" s="49" t="s">
        <v>282</v>
      </c>
      <c r="C6" s="46"/>
      <c r="D6" s="46"/>
      <c r="E6" s="47"/>
    </row>
    <row r="7" spans="1:5" ht="17.100000000000001" customHeight="1" thickBot="1" x14ac:dyDescent="0.35">
      <c r="A7" s="379"/>
      <c r="B7" s="49" t="s">
        <v>281</v>
      </c>
      <c r="C7" s="46"/>
      <c r="D7" s="46"/>
      <c r="E7" s="47"/>
    </row>
    <row r="8" spans="1:5" ht="15" thickBot="1" x14ac:dyDescent="0.35">
      <c r="A8" s="380"/>
      <c r="B8" s="376" t="s">
        <v>156</v>
      </c>
      <c r="C8" s="376"/>
      <c r="D8" s="376"/>
      <c r="E8" s="377"/>
    </row>
    <row r="9" spans="1:5" ht="15" thickBot="1" x14ac:dyDescent="0.35">
      <c r="A9" s="32"/>
      <c r="B9" s="32"/>
      <c r="C9" s="32"/>
      <c r="D9" s="32"/>
      <c r="E9" s="32"/>
    </row>
    <row r="10" spans="1:5" ht="14.4" customHeight="1" x14ac:dyDescent="0.3">
      <c r="A10" s="381" t="s">
        <v>408</v>
      </c>
      <c r="B10" s="382"/>
      <c r="C10" s="382"/>
      <c r="D10" s="382"/>
      <c r="E10" s="383"/>
    </row>
    <row r="11" spans="1:5" ht="14.4" customHeight="1" x14ac:dyDescent="0.3">
      <c r="A11" s="384"/>
      <c r="B11" s="385"/>
      <c r="C11" s="385"/>
      <c r="D11" s="385"/>
      <c r="E11" s="386"/>
    </row>
    <row r="12" spans="1:5" ht="14.4" customHeight="1" thickBot="1" x14ac:dyDescent="0.35">
      <c r="A12" s="387"/>
      <c r="B12" s="388"/>
      <c r="C12" s="388"/>
      <c r="D12" s="388"/>
      <c r="E12" s="389"/>
    </row>
    <row r="13" spans="1:5" x14ac:dyDescent="0.3">
      <c r="A13" s="32"/>
      <c r="B13" s="32"/>
      <c r="C13" s="32"/>
      <c r="D13" s="32"/>
      <c r="E13" s="32"/>
    </row>
    <row r="14" spans="1:5" x14ac:dyDescent="0.3">
      <c r="A14" s="32"/>
      <c r="B14" s="32"/>
      <c r="C14" s="32"/>
      <c r="D14" s="32"/>
      <c r="E14" s="32"/>
    </row>
    <row r="15" spans="1:5" ht="15" customHeight="1" x14ac:dyDescent="0.3">
      <c r="A15" s="390" t="s">
        <v>240</v>
      </c>
      <c r="B15" s="390"/>
      <c r="C15" s="390"/>
      <c r="D15" s="390"/>
      <c r="E15" s="390"/>
    </row>
    <row r="16" spans="1:5" ht="15" customHeight="1" x14ac:dyDescent="0.3">
      <c r="A16" s="390"/>
      <c r="B16" s="390"/>
      <c r="C16" s="390"/>
      <c r="D16" s="390"/>
      <c r="E16" s="390"/>
    </row>
    <row r="17" spans="1:8" ht="15" customHeight="1" x14ac:dyDescent="0.3">
      <c r="A17" s="390"/>
      <c r="B17" s="390"/>
      <c r="C17" s="390"/>
      <c r="D17" s="390"/>
      <c r="E17" s="390"/>
    </row>
    <row r="18" spans="1:8" ht="243" customHeight="1" x14ac:dyDescent="0.3">
      <c r="A18" s="390"/>
      <c r="B18" s="390"/>
      <c r="C18" s="390"/>
      <c r="D18" s="390"/>
      <c r="E18" s="390"/>
    </row>
    <row r="19" spans="1:8" ht="14.25" customHeight="1" thickBot="1" x14ac:dyDescent="0.35">
      <c r="A19" s="32"/>
      <c r="B19" s="32"/>
      <c r="C19" s="32"/>
      <c r="D19" s="32"/>
      <c r="E19" s="32"/>
    </row>
    <row r="20" spans="1:8" ht="14.4" hidden="1" customHeight="1" x14ac:dyDescent="0.3">
      <c r="A20" s="92"/>
      <c r="B20" s="32"/>
      <c r="C20" s="32"/>
      <c r="D20" s="32"/>
      <c r="E20" s="32"/>
    </row>
    <row r="21" spans="1:8" ht="15" hidden="1" customHeight="1" thickBot="1" x14ac:dyDescent="0.35">
      <c r="A21" s="32"/>
      <c r="B21" s="32"/>
      <c r="C21" s="32"/>
      <c r="D21" s="32"/>
      <c r="E21" s="32"/>
    </row>
    <row r="22" spans="1:8" x14ac:dyDescent="0.3">
      <c r="A22" s="93" t="s">
        <v>5</v>
      </c>
      <c r="B22" s="94"/>
      <c r="C22" s="95"/>
      <c r="D22" s="96"/>
      <c r="E22" s="97"/>
      <c r="F22" s="32"/>
      <c r="G22" s="32"/>
    </row>
    <row r="23" spans="1:8" x14ac:dyDescent="0.3">
      <c r="A23" s="8" t="s">
        <v>18</v>
      </c>
      <c r="B23" s="8"/>
      <c r="C23" s="8"/>
      <c r="D23" s="8"/>
      <c r="E23" s="8"/>
      <c r="F23" s="32"/>
      <c r="G23" s="32"/>
    </row>
    <row r="24" spans="1:8" ht="36.75" customHeight="1" x14ac:dyDescent="0.3">
      <c r="A24" s="192" t="s">
        <v>372</v>
      </c>
      <c r="B24" s="270"/>
      <c r="C24" s="24"/>
      <c r="D24" s="358">
        <v>3401381.88</v>
      </c>
      <c r="E24" s="255" t="s">
        <v>337</v>
      </c>
      <c r="F24" s="32"/>
      <c r="G24" s="272"/>
    </row>
    <row r="25" spans="1:8" x14ac:dyDescent="0.3">
      <c r="A25" s="391" t="s">
        <v>373</v>
      </c>
      <c r="B25" s="392"/>
      <c r="C25" s="24"/>
      <c r="D25" s="271">
        <v>-739800.57</v>
      </c>
      <c r="E25" s="24"/>
      <c r="F25" s="32"/>
      <c r="G25" s="273"/>
    </row>
    <row r="26" spans="1:8" ht="19.5" customHeight="1" x14ac:dyDescent="0.3">
      <c r="A26" s="393" t="s">
        <v>374</v>
      </c>
      <c r="B26" s="394"/>
      <c r="C26" s="24"/>
      <c r="D26" s="271">
        <v>0.69</v>
      </c>
      <c r="E26" s="24"/>
      <c r="F26" s="273"/>
      <c r="G26" s="273"/>
    </row>
    <row r="27" spans="1:8" x14ac:dyDescent="0.3">
      <c r="A27" s="98" t="s">
        <v>19</v>
      </c>
      <c r="B27" s="98"/>
      <c r="C27" s="98"/>
      <c r="D27" s="199">
        <f>SUM(D24:D26)</f>
        <v>2661582</v>
      </c>
      <c r="E27" s="82"/>
      <c r="F27" s="273"/>
      <c r="G27" s="273"/>
      <c r="H27" s="73"/>
    </row>
    <row r="28" spans="1:8" ht="32.25" customHeight="1" x14ac:dyDescent="0.3">
      <c r="A28" s="365" t="s">
        <v>439</v>
      </c>
      <c r="B28" s="366"/>
      <c r="C28" s="24"/>
      <c r="D28" s="358">
        <v>1520000</v>
      </c>
      <c r="E28" s="24" t="s">
        <v>435</v>
      </c>
      <c r="F28" s="32"/>
      <c r="G28" s="273">
        <f>D28+D137</f>
        <v>2104581</v>
      </c>
    </row>
    <row r="29" spans="1:8" x14ac:dyDescent="0.3">
      <c r="A29" s="98" t="s">
        <v>19</v>
      </c>
      <c r="B29" s="98"/>
      <c r="C29" s="98"/>
      <c r="D29" s="199">
        <f>SUM(D28:D28)</f>
        <v>1520000</v>
      </c>
      <c r="E29" s="25"/>
      <c r="F29" s="32"/>
      <c r="G29" s="273"/>
    </row>
    <row r="30" spans="1:8" ht="18" customHeight="1" thickBot="1" x14ac:dyDescent="0.35">
      <c r="A30" s="99" t="s">
        <v>167</v>
      </c>
      <c r="B30" s="99"/>
      <c r="C30" s="99"/>
      <c r="D30" s="200"/>
      <c r="E30" s="84">
        <f>D27+D29</f>
        <v>4181582</v>
      </c>
      <c r="F30" s="273"/>
      <c r="G30" s="32"/>
    </row>
    <row r="31" spans="1:8" x14ac:dyDescent="0.3">
      <c r="A31" s="8" t="s">
        <v>173</v>
      </c>
      <c r="B31" s="9"/>
      <c r="C31" s="9"/>
      <c r="D31" s="201"/>
      <c r="E31" s="18"/>
      <c r="F31" s="32"/>
      <c r="G31" s="32"/>
    </row>
    <row r="32" spans="1:8" s="10" customFormat="1" ht="15" customHeight="1" x14ac:dyDescent="0.3">
      <c r="A32" s="24" t="s">
        <v>409</v>
      </c>
      <c r="B32" s="24"/>
      <c r="C32" s="100"/>
      <c r="D32" s="362">
        <v>970982.62</v>
      </c>
      <c r="E32" s="79" t="s">
        <v>351</v>
      </c>
      <c r="F32" s="274"/>
      <c r="G32" s="275"/>
    </row>
    <row r="33" spans="1:9" s="10" customFormat="1" ht="15" customHeight="1" x14ac:dyDescent="0.3">
      <c r="A33" s="101" t="s">
        <v>410</v>
      </c>
      <c r="B33" s="24" t="s">
        <v>11</v>
      </c>
      <c r="C33" s="100"/>
      <c r="D33" s="362">
        <v>95717.7</v>
      </c>
      <c r="E33" s="78" t="s">
        <v>352</v>
      </c>
      <c r="F33" s="274"/>
      <c r="G33" s="275"/>
    </row>
    <row r="34" spans="1:9" s="10" customFormat="1" ht="15" customHeight="1" x14ac:dyDescent="0.3">
      <c r="A34" s="101" t="str">
        <f>A33</f>
        <v>Sindicatos mes de JUNIO</v>
      </c>
      <c r="B34" s="24" t="s">
        <v>20</v>
      </c>
      <c r="C34" s="100"/>
      <c r="D34" s="362">
        <v>183220.9</v>
      </c>
      <c r="E34" s="78" t="str">
        <f>E33</f>
        <v>Debito 12/05</v>
      </c>
      <c r="F34" s="274"/>
      <c r="G34" s="275"/>
    </row>
    <row r="35" spans="1:9" ht="15" customHeight="1" x14ac:dyDescent="0.3">
      <c r="A35" s="101" t="str">
        <f>A34</f>
        <v>Sindicatos mes de JUNIO</v>
      </c>
      <c r="B35" s="24" t="s">
        <v>10</v>
      </c>
      <c r="C35" s="100"/>
      <c r="D35" s="363">
        <v>10636.3</v>
      </c>
      <c r="E35" s="78" t="str">
        <f>E34</f>
        <v>Debito 12/05</v>
      </c>
      <c r="F35" s="32"/>
      <c r="G35" s="32"/>
      <c r="H35" s="35"/>
    </row>
    <row r="36" spans="1:9" ht="15" thickBot="1" x14ac:dyDescent="0.35">
      <c r="A36" s="99" t="s">
        <v>147</v>
      </c>
      <c r="B36" s="99"/>
      <c r="C36" s="99"/>
      <c r="D36" s="202"/>
      <c r="E36" s="83">
        <f>SUM(D32:D35)</f>
        <v>1260557.52</v>
      </c>
      <c r="F36" s="32"/>
      <c r="G36" s="32"/>
    </row>
    <row r="37" spans="1:9" x14ac:dyDescent="0.3">
      <c r="A37" s="8" t="s">
        <v>166</v>
      </c>
      <c r="B37" s="102"/>
      <c r="C37" s="102"/>
      <c r="D37" s="203"/>
      <c r="E37" s="27"/>
      <c r="F37" s="32"/>
      <c r="G37" s="32"/>
    </row>
    <row r="38" spans="1:9" ht="32.1" customHeight="1" x14ac:dyDescent="0.3">
      <c r="A38" s="365" t="s">
        <v>268</v>
      </c>
      <c r="B38" s="366"/>
      <c r="C38" s="24"/>
      <c r="D38" s="204">
        <v>148964</v>
      </c>
      <c r="E38" s="79" t="s">
        <v>350</v>
      </c>
      <c r="F38" s="32"/>
      <c r="G38" s="32"/>
    </row>
    <row r="39" spans="1:9" ht="32.1" customHeight="1" x14ac:dyDescent="0.3">
      <c r="A39" s="365" t="s">
        <v>269</v>
      </c>
      <c r="B39" s="366"/>
      <c r="C39" s="24"/>
      <c r="D39" s="204">
        <v>0</v>
      </c>
      <c r="E39" s="79"/>
      <c r="F39" s="32"/>
      <c r="G39" s="32"/>
    </row>
    <row r="40" spans="1:9" ht="32.1" customHeight="1" x14ac:dyDescent="0.3">
      <c r="A40" s="365" t="s">
        <v>310</v>
      </c>
      <c r="B40" s="366"/>
      <c r="C40" s="24"/>
      <c r="D40" s="204">
        <v>26214.080000000002</v>
      </c>
      <c r="E40" s="79" t="s">
        <v>351</v>
      </c>
      <c r="F40" s="32"/>
      <c r="G40" s="32"/>
    </row>
    <row r="41" spans="1:9" ht="32.1" customHeight="1" x14ac:dyDescent="0.3">
      <c r="A41" s="365" t="s">
        <v>309</v>
      </c>
      <c r="B41" s="366"/>
      <c r="C41" s="24"/>
      <c r="D41" s="204">
        <v>23573.47</v>
      </c>
      <c r="E41" s="79" t="s">
        <v>353</v>
      </c>
      <c r="F41" s="32"/>
      <c r="G41" s="32"/>
    </row>
    <row r="42" spans="1:9" ht="15" customHeight="1" thickBot="1" x14ac:dyDescent="0.35">
      <c r="A42" s="99" t="s">
        <v>148</v>
      </c>
      <c r="B42" s="103"/>
      <c r="C42" s="103"/>
      <c r="D42" s="205"/>
      <c r="E42" s="51">
        <f>SUM(D38:D41)</f>
        <v>198751.55000000002</v>
      </c>
      <c r="F42" s="32"/>
      <c r="G42" s="32"/>
    </row>
    <row r="43" spans="1:9" ht="15" customHeight="1" thickBot="1" x14ac:dyDescent="0.35">
      <c r="A43" s="66" t="s">
        <v>174</v>
      </c>
      <c r="B43" s="9"/>
      <c r="C43" s="9"/>
      <c r="D43" s="206"/>
      <c r="E43" s="29"/>
      <c r="F43" s="32"/>
      <c r="G43" s="32"/>
    </row>
    <row r="44" spans="1:9" ht="42.75" customHeight="1" x14ac:dyDescent="0.3">
      <c r="A44" s="365" t="s">
        <v>432</v>
      </c>
      <c r="B44" s="369"/>
      <c r="C44" s="104"/>
      <c r="D44" s="256">
        <v>47492852.960000001</v>
      </c>
      <c r="E44" s="28" t="s">
        <v>431</v>
      </c>
      <c r="F44" s="276">
        <f>D44+D138+D140+D139</f>
        <v>47687495.789999999</v>
      </c>
      <c r="G44" s="276"/>
      <c r="I44" s="39"/>
    </row>
    <row r="45" spans="1:9" ht="41.25" customHeight="1" x14ac:dyDescent="0.3">
      <c r="A45" s="365" t="s">
        <v>422</v>
      </c>
      <c r="B45" s="369"/>
      <c r="C45" s="104"/>
      <c r="D45" s="256">
        <v>5892398.1600000001</v>
      </c>
      <c r="E45" s="31" t="s">
        <v>349</v>
      </c>
      <c r="F45" s="276"/>
      <c r="G45" s="32"/>
    </row>
    <row r="46" spans="1:9" ht="17.399999999999999" customHeight="1" x14ac:dyDescent="0.3">
      <c r="A46" s="99" t="s">
        <v>175</v>
      </c>
      <c r="B46" s="43"/>
      <c r="C46" s="43"/>
      <c r="D46" s="43"/>
      <c r="E46" s="52">
        <f>SUM(D44:D45)</f>
        <v>53385251.120000005</v>
      </c>
      <c r="F46" s="32"/>
      <c r="G46" s="32"/>
    </row>
    <row r="47" spans="1:9" ht="17.399999999999999" customHeight="1" x14ac:dyDescent="0.3">
      <c r="A47" s="66" t="s">
        <v>176</v>
      </c>
      <c r="B47" s="66"/>
      <c r="C47" s="66" t="s">
        <v>174</v>
      </c>
      <c r="D47" s="66"/>
      <c r="E47" s="66"/>
      <c r="F47" s="32"/>
      <c r="G47" s="32"/>
    </row>
    <row r="48" spans="1:9" ht="35.1" customHeight="1" x14ac:dyDescent="0.3">
      <c r="A48" s="365" t="s">
        <v>332</v>
      </c>
      <c r="B48" s="369"/>
      <c r="C48" s="104"/>
      <c r="D48" s="256">
        <v>1472058.6</v>
      </c>
      <c r="E48" s="31" t="s">
        <v>440</v>
      </c>
      <c r="F48" s="32"/>
      <c r="G48" s="32"/>
    </row>
    <row r="49" spans="1:7" ht="51.75" customHeight="1" x14ac:dyDescent="0.3">
      <c r="A49" s="365" t="s">
        <v>415</v>
      </c>
      <c r="B49" s="369"/>
      <c r="C49" s="104"/>
      <c r="D49" s="256">
        <v>909920</v>
      </c>
      <c r="E49" s="31" t="s">
        <v>414</v>
      </c>
      <c r="F49" s="32"/>
      <c r="G49" s="32"/>
    </row>
    <row r="50" spans="1:7" ht="51.75" customHeight="1" x14ac:dyDescent="0.3">
      <c r="A50" s="365" t="s">
        <v>453</v>
      </c>
      <c r="B50" s="369"/>
      <c r="C50" s="104"/>
      <c r="D50" s="256">
        <v>25613.279999999999</v>
      </c>
      <c r="E50" s="31"/>
      <c r="F50" s="32"/>
      <c r="G50" s="32"/>
    </row>
    <row r="51" spans="1:7" ht="51.75" customHeight="1" x14ac:dyDescent="0.3">
      <c r="A51" s="365" t="s">
        <v>476</v>
      </c>
      <c r="B51" s="369"/>
      <c r="C51" s="104"/>
      <c r="D51" s="256">
        <v>97574.399999999994</v>
      </c>
      <c r="E51" s="31" t="s">
        <v>444</v>
      </c>
      <c r="F51" s="32"/>
      <c r="G51" s="32"/>
    </row>
    <row r="52" spans="1:7" ht="51.75" customHeight="1" x14ac:dyDescent="0.3">
      <c r="A52" s="365" t="s">
        <v>452</v>
      </c>
      <c r="B52" s="369"/>
      <c r="C52" s="104"/>
      <c r="D52" s="256">
        <v>114432.12</v>
      </c>
      <c r="E52" s="31"/>
      <c r="F52" s="32"/>
      <c r="G52" s="32"/>
    </row>
    <row r="53" spans="1:7" ht="35.1" customHeight="1" x14ac:dyDescent="0.3">
      <c r="A53" s="365" t="s">
        <v>348</v>
      </c>
      <c r="B53" s="366"/>
      <c r="C53" s="105"/>
      <c r="D53" s="204">
        <v>480000</v>
      </c>
      <c r="E53" s="31" t="s">
        <v>347</v>
      </c>
      <c r="F53" s="32"/>
      <c r="G53" s="32"/>
    </row>
    <row r="54" spans="1:7" ht="37.5" customHeight="1" x14ac:dyDescent="0.3">
      <c r="A54" s="365" t="s">
        <v>456</v>
      </c>
      <c r="B54" s="366"/>
      <c r="C54" s="105"/>
      <c r="D54" s="256">
        <v>6300000</v>
      </c>
      <c r="E54" s="364" t="s">
        <v>455</v>
      </c>
      <c r="F54" s="32"/>
      <c r="G54" s="32"/>
    </row>
    <row r="55" spans="1:7" ht="39" customHeight="1" x14ac:dyDescent="0.3">
      <c r="A55" s="365" t="s">
        <v>411</v>
      </c>
      <c r="B55" s="366"/>
      <c r="C55" s="105"/>
      <c r="D55" s="256">
        <v>228690</v>
      </c>
      <c r="E55" s="31" t="s">
        <v>416</v>
      </c>
      <c r="F55" s="32"/>
      <c r="G55" s="32"/>
    </row>
    <row r="56" spans="1:7" ht="60" customHeight="1" x14ac:dyDescent="0.3">
      <c r="A56" s="365" t="s">
        <v>340</v>
      </c>
      <c r="B56" s="366"/>
      <c r="C56" s="105"/>
      <c r="D56" s="204">
        <v>156206.5</v>
      </c>
      <c r="E56" s="31" t="s">
        <v>339</v>
      </c>
      <c r="F56" s="32"/>
      <c r="G56" s="32"/>
    </row>
    <row r="57" spans="1:7" ht="60" customHeight="1" x14ac:dyDescent="0.3">
      <c r="A57" s="365" t="s">
        <v>443</v>
      </c>
      <c r="B57" s="366"/>
      <c r="C57" s="105"/>
      <c r="D57" s="256">
        <v>1899700</v>
      </c>
      <c r="E57" s="31" t="s">
        <v>444</v>
      </c>
      <c r="F57" s="32"/>
      <c r="G57" s="32"/>
    </row>
    <row r="58" spans="1:7" ht="44.25" customHeight="1" x14ac:dyDescent="0.3">
      <c r="A58" s="365" t="s">
        <v>357</v>
      </c>
      <c r="B58" s="366"/>
      <c r="C58" s="105"/>
      <c r="D58" s="256">
        <v>943800</v>
      </c>
      <c r="E58" s="31" t="s">
        <v>444</v>
      </c>
      <c r="F58" s="32"/>
      <c r="G58" s="32"/>
    </row>
    <row r="59" spans="1:7" ht="44.25" customHeight="1" x14ac:dyDescent="0.3">
      <c r="A59" s="365" t="s">
        <v>429</v>
      </c>
      <c r="B59" s="366"/>
      <c r="C59" s="105"/>
      <c r="D59" s="256">
        <v>943800</v>
      </c>
      <c r="E59" s="31"/>
      <c r="F59" s="32"/>
      <c r="G59" s="32"/>
    </row>
    <row r="60" spans="1:7" ht="37.5" customHeight="1" x14ac:dyDescent="0.3">
      <c r="A60" s="365" t="s">
        <v>436</v>
      </c>
      <c r="B60" s="366"/>
      <c r="C60" s="105"/>
      <c r="D60" s="256">
        <v>820380</v>
      </c>
      <c r="E60" s="80" t="s">
        <v>435</v>
      </c>
      <c r="F60" s="32"/>
      <c r="G60" s="32"/>
    </row>
    <row r="61" spans="1:7" ht="37.5" customHeight="1" x14ac:dyDescent="0.3">
      <c r="A61" s="365" t="s">
        <v>428</v>
      </c>
      <c r="B61" s="366"/>
      <c r="C61" s="105"/>
      <c r="D61" s="256">
        <v>110000</v>
      </c>
      <c r="E61" s="80" t="s">
        <v>426</v>
      </c>
      <c r="F61" s="32"/>
      <c r="G61" s="32"/>
    </row>
    <row r="62" spans="1:7" ht="37.5" customHeight="1" x14ac:dyDescent="0.3">
      <c r="A62" s="365" t="s">
        <v>457</v>
      </c>
      <c r="B62" s="366"/>
      <c r="C62" s="105"/>
      <c r="D62" s="256">
        <v>110000</v>
      </c>
      <c r="E62" s="80" t="s">
        <v>455</v>
      </c>
      <c r="F62" s="32"/>
      <c r="G62" s="32"/>
    </row>
    <row r="63" spans="1:7" ht="37.5" customHeight="1" x14ac:dyDescent="0.3">
      <c r="A63" s="365" t="s">
        <v>457</v>
      </c>
      <c r="B63" s="366"/>
      <c r="C63" s="105"/>
      <c r="D63" s="256">
        <v>220000</v>
      </c>
      <c r="E63" s="80" t="s">
        <v>455</v>
      </c>
      <c r="F63" s="32"/>
      <c r="G63" s="32"/>
    </row>
    <row r="64" spans="1:7" ht="37.5" customHeight="1" x14ac:dyDescent="0.3">
      <c r="A64" s="365" t="s">
        <v>344</v>
      </c>
      <c r="B64" s="366"/>
      <c r="C64" s="105"/>
      <c r="D64" s="204">
        <v>220000</v>
      </c>
      <c r="E64" s="80" t="s">
        <v>345</v>
      </c>
      <c r="F64" s="32"/>
      <c r="G64" s="32"/>
    </row>
    <row r="65" spans="1:8" ht="37.5" customHeight="1" x14ac:dyDescent="0.3">
      <c r="A65" s="365" t="s">
        <v>342</v>
      </c>
      <c r="B65" s="366"/>
      <c r="C65" s="105"/>
      <c r="D65" s="204">
        <v>110000</v>
      </c>
      <c r="E65" s="80" t="s">
        <v>341</v>
      </c>
      <c r="F65" s="32"/>
      <c r="G65" s="32"/>
    </row>
    <row r="66" spans="1:8" ht="37.5" customHeight="1" x14ac:dyDescent="0.3">
      <c r="A66" s="365" t="s">
        <v>375</v>
      </c>
      <c r="B66" s="366"/>
      <c r="C66" s="105"/>
      <c r="D66" s="204">
        <v>1300000</v>
      </c>
      <c r="E66" s="80" t="s">
        <v>341</v>
      </c>
      <c r="F66" s="32"/>
      <c r="G66" s="32"/>
    </row>
    <row r="67" spans="1:8" ht="37.5" customHeight="1" x14ac:dyDescent="0.3">
      <c r="A67" s="365" t="s">
        <v>375</v>
      </c>
      <c r="B67" s="366"/>
      <c r="C67" s="105"/>
      <c r="D67" s="204">
        <v>650000</v>
      </c>
      <c r="E67" s="80" t="s">
        <v>341</v>
      </c>
      <c r="F67" s="32"/>
      <c r="G67" s="32"/>
    </row>
    <row r="68" spans="1:8" ht="51" customHeight="1" x14ac:dyDescent="0.3">
      <c r="A68" s="365" t="s">
        <v>458</v>
      </c>
      <c r="B68" s="366"/>
      <c r="C68" s="24"/>
      <c r="D68" s="256">
        <v>2459883</v>
      </c>
      <c r="E68" s="80" t="s">
        <v>455</v>
      </c>
      <c r="F68" s="32"/>
      <c r="G68" s="277"/>
      <c r="H68" s="89"/>
    </row>
    <row r="69" spans="1:8" ht="15" thickBot="1" x14ac:dyDescent="0.35">
      <c r="A69" s="99" t="s">
        <v>177</v>
      </c>
      <c r="B69" s="43"/>
      <c r="C69" s="43"/>
      <c r="D69" s="43"/>
      <c r="E69" s="139">
        <f>SUM(D48:D68)</f>
        <v>19572057.899999999</v>
      </c>
      <c r="F69" s="32"/>
      <c r="G69" s="32"/>
    </row>
    <row r="70" spans="1:8" ht="15" thickBot="1" x14ac:dyDescent="0.35">
      <c r="A70" s="8" t="s">
        <v>178</v>
      </c>
      <c r="B70" s="106"/>
      <c r="C70" s="9"/>
      <c r="D70" s="207"/>
      <c r="E70" s="29"/>
      <c r="F70" s="32"/>
      <c r="G70" s="32"/>
    </row>
    <row r="71" spans="1:8" ht="63.75" customHeight="1" x14ac:dyDescent="0.3">
      <c r="A71" s="365" t="s">
        <v>463</v>
      </c>
      <c r="B71" s="366"/>
      <c r="C71" s="24"/>
      <c r="D71" s="360">
        <v>1500000</v>
      </c>
      <c r="E71" s="81" t="s">
        <v>462</v>
      </c>
      <c r="F71" s="32"/>
      <c r="G71" s="32"/>
    </row>
    <row r="72" spans="1:8" ht="63.75" customHeight="1" x14ac:dyDescent="0.3">
      <c r="A72" s="365" t="s">
        <v>477</v>
      </c>
      <c r="B72" s="369"/>
      <c r="C72" s="366"/>
      <c r="D72" s="360">
        <v>750000</v>
      </c>
      <c r="E72" s="81" t="s">
        <v>444</v>
      </c>
      <c r="F72" s="32"/>
      <c r="G72" s="32"/>
    </row>
    <row r="73" spans="1:8" ht="51.75" customHeight="1" x14ac:dyDescent="0.3">
      <c r="A73" s="365" t="s">
        <v>475</v>
      </c>
      <c r="B73" s="366"/>
      <c r="C73" s="24"/>
      <c r="D73" s="360">
        <v>3600000</v>
      </c>
      <c r="E73" s="81" t="s">
        <v>444</v>
      </c>
      <c r="F73" s="32"/>
      <c r="G73" s="32"/>
    </row>
    <row r="74" spans="1:8" ht="55.5" customHeight="1" x14ac:dyDescent="0.3">
      <c r="A74" s="365" t="s">
        <v>467</v>
      </c>
      <c r="B74" s="366"/>
      <c r="C74" s="101"/>
      <c r="D74" s="360">
        <v>904475</v>
      </c>
      <c r="E74" s="146" t="s">
        <v>455</v>
      </c>
      <c r="F74" s="277"/>
      <c r="G74" s="32"/>
    </row>
    <row r="75" spans="1:8" ht="52.95" customHeight="1" x14ac:dyDescent="0.3">
      <c r="A75" s="365" t="s">
        <v>472</v>
      </c>
      <c r="B75" s="366"/>
      <c r="C75" s="101"/>
      <c r="D75" s="360">
        <v>188854.26</v>
      </c>
      <c r="E75" s="146" t="s">
        <v>473</v>
      </c>
      <c r="F75" s="277"/>
      <c r="G75" s="32"/>
    </row>
    <row r="76" spans="1:8" ht="52.95" customHeight="1" x14ac:dyDescent="0.3">
      <c r="A76" s="365" t="s">
        <v>474</v>
      </c>
      <c r="B76" s="366"/>
      <c r="C76" s="101"/>
      <c r="D76" s="360">
        <v>41000</v>
      </c>
      <c r="E76" s="146" t="s">
        <v>473</v>
      </c>
      <c r="F76" s="277"/>
      <c r="G76" s="32"/>
    </row>
    <row r="77" spans="1:8" ht="50.4" customHeight="1" x14ac:dyDescent="0.3">
      <c r="A77" s="365" t="s">
        <v>430</v>
      </c>
      <c r="B77" s="366"/>
      <c r="C77" s="101"/>
      <c r="D77" s="360">
        <v>324000</v>
      </c>
      <c r="E77" s="146" t="s">
        <v>426</v>
      </c>
      <c r="F77" s="277"/>
      <c r="G77" s="32"/>
    </row>
    <row r="78" spans="1:8" ht="31.35" customHeight="1" x14ac:dyDescent="0.3">
      <c r="A78" s="237" t="s">
        <v>418</v>
      </c>
      <c r="B78" s="269"/>
      <c r="C78" s="101"/>
      <c r="D78" s="360">
        <v>62800</v>
      </c>
      <c r="E78" s="146" t="s">
        <v>416</v>
      </c>
      <c r="F78" s="32"/>
      <c r="G78" s="32"/>
    </row>
    <row r="79" spans="1:8" ht="31.35" customHeight="1" x14ac:dyDescent="0.3">
      <c r="A79" s="237" t="s">
        <v>441</v>
      </c>
      <c r="B79" s="269"/>
      <c r="C79" s="101"/>
      <c r="D79" s="360">
        <v>103600</v>
      </c>
      <c r="E79" s="146" t="s">
        <v>440</v>
      </c>
      <c r="F79" s="32"/>
      <c r="G79" s="32"/>
    </row>
    <row r="80" spans="1:8" ht="43.5" customHeight="1" x14ac:dyDescent="0.3">
      <c r="A80" s="365" t="s">
        <v>419</v>
      </c>
      <c r="B80" s="366"/>
      <c r="C80" s="101"/>
      <c r="D80" s="360">
        <v>21660</v>
      </c>
      <c r="E80" s="146" t="s">
        <v>416</v>
      </c>
      <c r="F80" s="32"/>
      <c r="G80" s="32"/>
    </row>
    <row r="81" spans="1:7" ht="34.200000000000003" customHeight="1" x14ac:dyDescent="0.3">
      <c r="A81" s="365" t="s">
        <v>420</v>
      </c>
      <c r="B81" s="366"/>
      <c r="C81" s="101"/>
      <c r="D81" s="360">
        <v>11610</v>
      </c>
      <c r="E81" s="146" t="s">
        <v>416</v>
      </c>
      <c r="F81" s="277"/>
      <c r="G81" s="32"/>
    </row>
    <row r="82" spans="1:7" ht="34.200000000000003" customHeight="1" x14ac:dyDescent="0.3">
      <c r="A82" s="367" t="s">
        <v>445</v>
      </c>
      <c r="B82" s="368"/>
      <c r="C82" s="101"/>
      <c r="D82" s="360">
        <v>270185</v>
      </c>
      <c r="E82" s="146"/>
      <c r="F82" s="277"/>
      <c r="G82" s="32"/>
    </row>
    <row r="83" spans="1:7" ht="40.799999999999997" customHeight="1" x14ac:dyDescent="0.3">
      <c r="A83" s="365" t="s">
        <v>451</v>
      </c>
      <c r="B83" s="366"/>
      <c r="C83" s="101"/>
      <c r="D83" s="360">
        <v>50100</v>
      </c>
      <c r="E83" s="146"/>
      <c r="F83" s="277"/>
      <c r="G83" s="32"/>
    </row>
    <row r="84" spans="1:7" ht="40.799999999999997" customHeight="1" x14ac:dyDescent="0.3">
      <c r="A84" s="365" t="s">
        <v>466</v>
      </c>
      <c r="B84" s="366"/>
      <c r="C84" s="101"/>
      <c r="D84" s="360">
        <v>1839200</v>
      </c>
      <c r="E84" s="146"/>
      <c r="F84" s="277"/>
      <c r="G84" s="32"/>
    </row>
    <row r="85" spans="1:7" ht="40.799999999999997" customHeight="1" x14ac:dyDescent="0.3">
      <c r="A85" s="365" t="s">
        <v>471</v>
      </c>
      <c r="B85" s="366"/>
      <c r="C85" s="101"/>
      <c r="D85" s="360">
        <v>1778700</v>
      </c>
      <c r="E85" s="88" t="s">
        <v>470</v>
      </c>
      <c r="F85" s="277"/>
      <c r="G85" s="32"/>
    </row>
    <row r="86" spans="1:7" ht="45" customHeight="1" x14ac:dyDescent="0.3">
      <c r="A86" s="365" t="s">
        <v>423</v>
      </c>
      <c r="B86" s="366"/>
      <c r="C86" s="101"/>
      <c r="D86" s="360">
        <v>175329</v>
      </c>
      <c r="E86" s="88" t="s">
        <v>424</v>
      </c>
      <c r="F86" s="32"/>
      <c r="G86" s="32"/>
    </row>
    <row r="87" spans="1:7" ht="45" customHeight="1" x14ac:dyDescent="0.3">
      <c r="A87" s="365" t="s">
        <v>421</v>
      </c>
      <c r="B87" s="366"/>
      <c r="C87" s="101"/>
      <c r="D87" s="361"/>
      <c r="E87" s="88" t="s">
        <v>338</v>
      </c>
      <c r="F87" s="32"/>
      <c r="G87" s="32"/>
    </row>
    <row r="88" spans="1:7" ht="45" customHeight="1" x14ac:dyDescent="0.3">
      <c r="A88" s="365" t="s">
        <v>442</v>
      </c>
      <c r="B88" s="366"/>
      <c r="C88" s="101"/>
      <c r="D88" s="360">
        <v>253193.5</v>
      </c>
      <c r="E88" s="88" t="s">
        <v>440</v>
      </c>
      <c r="F88" s="32"/>
      <c r="G88" s="32"/>
    </row>
    <row r="89" spans="1:7" ht="45" customHeight="1" x14ac:dyDescent="0.3">
      <c r="A89" s="365" t="s">
        <v>469</v>
      </c>
      <c r="B89" s="366"/>
      <c r="C89" s="101"/>
      <c r="D89" s="360">
        <v>57542.45</v>
      </c>
      <c r="E89" s="88" t="s">
        <v>470</v>
      </c>
      <c r="F89" s="32"/>
      <c r="G89" s="32"/>
    </row>
    <row r="90" spans="1:7" ht="45" customHeight="1" x14ac:dyDescent="0.3">
      <c r="A90" s="365" t="s">
        <v>461</v>
      </c>
      <c r="B90" s="366"/>
      <c r="C90" s="101"/>
      <c r="D90" s="360">
        <v>27888.333999999999</v>
      </c>
      <c r="E90" s="88" t="s">
        <v>462</v>
      </c>
      <c r="F90" s="32"/>
      <c r="G90" s="32"/>
    </row>
    <row r="91" spans="1:7" ht="45" customHeight="1" x14ac:dyDescent="0.3">
      <c r="A91" s="365" t="s">
        <v>446</v>
      </c>
      <c r="B91" s="366"/>
      <c r="C91" s="101"/>
      <c r="D91" s="360">
        <v>18600</v>
      </c>
      <c r="E91" s="88" t="s">
        <v>440</v>
      </c>
      <c r="F91" s="32"/>
      <c r="G91" s="32"/>
    </row>
    <row r="92" spans="1:7" ht="45" customHeight="1" x14ac:dyDescent="0.3">
      <c r="A92" s="365" t="s">
        <v>459</v>
      </c>
      <c r="B92" s="366"/>
      <c r="C92" s="101"/>
      <c r="D92" s="360">
        <v>1154830.69</v>
      </c>
      <c r="E92" s="88" t="s">
        <v>460</v>
      </c>
      <c r="F92" s="32"/>
      <c r="G92" s="32"/>
    </row>
    <row r="93" spans="1:7" ht="27" customHeight="1" x14ac:dyDescent="0.3">
      <c r="A93" s="365" t="s">
        <v>425</v>
      </c>
      <c r="B93" s="366"/>
      <c r="C93" s="101"/>
      <c r="D93" s="360">
        <v>1250000</v>
      </c>
      <c r="E93" s="88" t="s">
        <v>426</v>
      </c>
      <c r="F93" s="32"/>
      <c r="G93" s="32"/>
    </row>
    <row r="94" spans="1:7" ht="27" customHeight="1" x14ac:dyDescent="0.3">
      <c r="A94" s="365" t="s">
        <v>464</v>
      </c>
      <c r="B94" s="366"/>
      <c r="C94" s="101"/>
      <c r="D94" s="360">
        <v>1250000</v>
      </c>
      <c r="E94" s="88" t="s">
        <v>465</v>
      </c>
      <c r="F94" s="32"/>
      <c r="G94" s="32"/>
    </row>
    <row r="95" spans="1:7" ht="27.6" customHeight="1" x14ac:dyDescent="0.3">
      <c r="A95" s="365" t="s">
        <v>427</v>
      </c>
      <c r="B95" s="366"/>
      <c r="C95" s="101"/>
      <c r="D95" s="360">
        <v>750000</v>
      </c>
      <c r="E95" s="88" t="s">
        <v>426</v>
      </c>
      <c r="F95" s="32"/>
      <c r="G95" s="32"/>
    </row>
    <row r="96" spans="1:7" ht="35.1" customHeight="1" x14ac:dyDescent="0.3">
      <c r="A96" s="365" t="s">
        <v>333</v>
      </c>
      <c r="B96" s="366"/>
      <c r="C96" s="101"/>
      <c r="D96" s="360">
        <v>350000</v>
      </c>
      <c r="E96" s="81" t="s">
        <v>455</v>
      </c>
      <c r="F96" s="32"/>
      <c r="G96" s="32"/>
    </row>
    <row r="97" spans="1:7" ht="15" thickBot="1" x14ac:dyDescent="0.35">
      <c r="A97" s="107" t="s">
        <v>179</v>
      </c>
      <c r="B97" s="107"/>
      <c r="C97" s="107"/>
      <c r="D97" s="208"/>
      <c r="E97" s="83">
        <f>SUM(D71:D96)</f>
        <v>16733568.233999999</v>
      </c>
      <c r="F97" s="32"/>
      <c r="G97" s="32"/>
    </row>
    <row r="98" spans="1:7" x14ac:dyDescent="0.3">
      <c r="A98" s="8" t="s">
        <v>12</v>
      </c>
      <c r="B98" s="8"/>
      <c r="C98" s="8"/>
      <c r="D98" s="209"/>
      <c r="E98" s="26"/>
      <c r="F98" s="32"/>
      <c r="G98" s="32"/>
    </row>
    <row r="99" spans="1:7" ht="23.4" customHeight="1" x14ac:dyDescent="0.3">
      <c r="A99" s="365" t="s">
        <v>412</v>
      </c>
      <c r="B99" s="366"/>
      <c r="C99" s="24"/>
      <c r="D99" s="278">
        <v>3218160</v>
      </c>
      <c r="E99" s="88" t="s">
        <v>343</v>
      </c>
      <c r="F99" s="32"/>
      <c r="G99" s="32"/>
    </row>
    <row r="100" spans="1:7" ht="23.4" customHeight="1" x14ac:dyDescent="0.3">
      <c r="A100" s="365" t="s">
        <v>376</v>
      </c>
      <c r="B100" s="366"/>
      <c r="C100" s="24"/>
      <c r="D100" s="278">
        <v>3218160</v>
      </c>
      <c r="E100" s="262" t="s">
        <v>337</v>
      </c>
      <c r="F100" s="32"/>
      <c r="G100" s="32"/>
    </row>
    <row r="101" spans="1:7" ht="15" thickBot="1" x14ac:dyDescent="0.35">
      <c r="A101" s="99" t="s">
        <v>149</v>
      </c>
      <c r="B101" s="99"/>
      <c r="C101" s="99"/>
      <c r="D101" s="202"/>
      <c r="E101" s="84">
        <f>SUM(D99:D100)</f>
        <v>6436320</v>
      </c>
      <c r="F101" s="32"/>
      <c r="G101" s="32"/>
    </row>
    <row r="102" spans="1:7" ht="15" thickBot="1" x14ac:dyDescent="0.35">
      <c r="A102" s="8" t="s">
        <v>7</v>
      </c>
      <c r="B102" s="106"/>
      <c r="C102" s="9"/>
      <c r="D102" s="207"/>
      <c r="E102" s="29"/>
      <c r="F102" s="32"/>
      <c r="G102" s="32"/>
    </row>
    <row r="103" spans="1:7" x14ac:dyDescent="0.3">
      <c r="A103" s="24" t="s">
        <v>22</v>
      </c>
      <c r="B103" s="24"/>
      <c r="C103" s="24"/>
      <c r="D103" s="204">
        <f>229085+1337390.25</f>
        <v>1566475.25</v>
      </c>
      <c r="E103" s="31"/>
      <c r="F103" s="32"/>
      <c r="G103" s="32"/>
    </row>
    <row r="104" spans="1:7" x14ac:dyDescent="0.3">
      <c r="A104" s="24" t="s">
        <v>23</v>
      </c>
      <c r="B104" s="24"/>
      <c r="C104" s="24"/>
      <c r="D104" s="204">
        <v>69000</v>
      </c>
      <c r="E104" s="30"/>
      <c r="F104" s="32"/>
      <c r="G104" s="32"/>
    </row>
    <row r="105" spans="1:7" x14ac:dyDescent="0.3">
      <c r="A105" s="108" t="s">
        <v>150</v>
      </c>
      <c r="B105" s="108"/>
      <c r="C105" s="108"/>
      <c r="D105" s="210"/>
      <c r="E105" s="87">
        <f>SUM(D103:D104)</f>
        <v>1635475.25</v>
      </c>
      <c r="F105" s="32"/>
      <c r="G105" s="32"/>
    </row>
    <row r="106" spans="1:7" x14ac:dyDescent="0.3">
      <c r="A106" s="24"/>
      <c r="B106" s="24"/>
      <c r="C106" s="24"/>
      <c r="D106" s="24"/>
      <c r="E106" s="54"/>
      <c r="F106" s="32"/>
      <c r="G106" s="32"/>
    </row>
    <row r="107" spans="1:7" x14ac:dyDescent="0.3">
      <c r="A107" s="24"/>
      <c r="B107" s="24"/>
      <c r="C107" s="24"/>
      <c r="D107" s="24"/>
      <c r="E107" s="54"/>
      <c r="F107" s="276"/>
      <c r="G107" s="279"/>
    </row>
    <row r="108" spans="1:7" ht="15" thickBot="1" x14ac:dyDescent="0.35">
      <c r="A108" s="109" t="s">
        <v>8</v>
      </c>
      <c r="B108" s="110"/>
      <c r="C108" s="53"/>
      <c r="D108" s="53"/>
      <c r="E108" s="144">
        <f>(SUM(E30:E106))</f>
        <v>103403563.574</v>
      </c>
      <c r="F108" s="280"/>
      <c r="G108" s="32"/>
    </row>
    <row r="109" spans="1:7" x14ac:dyDescent="0.3">
      <c r="A109" s="32"/>
      <c r="B109" s="32"/>
      <c r="C109" s="32"/>
      <c r="D109" s="32"/>
      <c r="E109" s="32"/>
      <c r="F109" s="32"/>
      <c r="G109" s="32"/>
    </row>
    <row r="110" spans="1:7" x14ac:dyDescent="0.3">
      <c r="A110" s="32"/>
      <c r="B110" s="32"/>
      <c r="C110" s="32"/>
      <c r="D110" s="32"/>
      <c r="E110" s="32"/>
      <c r="F110" s="32"/>
      <c r="G110" s="32"/>
    </row>
    <row r="111" spans="1:7" x14ac:dyDescent="0.3">
      <c r="A111" s="111" t="s">
        <v>9</v>
      </c>
      <c r="B111" s="42"/>
      <c r="C111" s="42"/>
      <c r="D111" s="42"/>
      <c r="E111" s="42"/>
      <c r="F111" s="32"/>
      <c r="G111" s="32"/>
    </row>
    <row r="112" spans="1:7" ht="31.5" customHeight="1" x14ac:dyDescent="0.3">
      <c r="A112" s="365" t="s">
        <v>326</v>
      </c>
      <c r="B112" s="366"/>
      <c r="C112" s="24"/>
      <c r="D112" s="256">
        <v>262370.37</v>
      </c>
      <c r="E112" s="54" t="s">
        <v>270</v>
      </c>
      <c r="F112" s="32"/>
      <c r="G112" s="32"/>
    </row>
    <row r="113" spans="1:7" ht="31.5" customHeight="1" x14ac:dyDescent="0.3">
      <c r="A113" s="365" t="s">
        <v>354</v>
      </c>
      <c r="B113" s="366"/>
      <c r="C113" s="24"/>
      <c r="D113" s="256">
        <v>55287.19</v>
      </c>
      <c r="E113" s="261" t="s">
        <v>339</v>
      </c>
      <c r="F113" s="32"/>
      <c r="G113" s="32"/>
    </row>
    <row r="114" spans="1:7" ht="31.5" customHeight="1" x14ac:dyDescent="0.3">
      <c r="A114" s="365" t="s">
        <v>355</v>
      </c>
      <c r="B114" s="366"/>
      <c r="C114" s="24"/>
      <c r="D114" s="256">
        <v>55287.19</v>
      </c>
      <c r="E114" s="261" t="str">
        <f>E113</f>
        <v>Transf 20/05</v>
      </c>
      <c r="F114" s="32"/>
      <c r="G114" s="32"/>
    </row>
    <row r="115" spans="1:7" ht="31.5" customHeight="1" x14ac:dyDescent="0.3">
      <c r="A115" s="365" t="s">
        <v>356</v>
      </c>
      <c r="B115" s="366"/>
      <c r="C115" s="24"/>
      <c r="D115" s="256">
        <v>55486.59</v>
      </c>
      <c r="E115" s="261" t="str">
        <f>E113</f>
        <v>Transf 20/05</v>
      </c>
      <c r="F115" s="32"/>
      <c r="G115" s="32"/>
    </row>
    <row r="116" spans="1:7" ht="30" customHeight="1" x14ac:dyDescent="0.3">
      <c r="A116" s="397" t="s">
        <v>447</v>
      </c>
      <c r="B116" s="398"/>
      <c r="C116" s="24"/>
      <c r="D116" s="256">
        <v>1213387.58</v>
      </c>
      <c r="E116" s="81" t="s">
        <v>455</v>
      </c>
      <c r="F116" s="32"/>
      <c r="G116" s="32"/>
    </row>
    <row r="117" spans="1:7" ht="54.6" customHeight="1" x14ac:dyDescent="0.3">
      <c r="A117" s="397" t="s">
        <v>448</v>
      </c>
      <c r="B117" s="398"/>
      <c r="C117" s="24"/>
      <c r="D117" s="256">
        <v>433890.06</v>
      </c>
      <c r="E117" s="81" t="s">
        <v>455</v>
      </c>
      <c r="F117" s="32"/>
      <c r="G117" s="32"/>
    </row>
    <row r="118" spans="1:7" ht="52.2" customHeight="1" x14ac:dyDescent="0.3">
      <c r="A118" s="397" t="s">
        <v>449</v>
      </c>
      <c r="B118" s="398"/>
      <c r="C118" s="24"/>
      <c r="D118" s="256">
        <v>118075.67</v>
      </c>
      <c r="E118" s="81" t="s">
        <v>455</v>
      </c>
      <c r="F118" s="32"/>
      <c r="G118" s="32"/>
    </row>
    <row r="119" spans="1:7" ht="52.2" customHeight="1" x14ac:dyDescent="0.3">
      <c r="A119" s="397" t="s">
        <v>450</v>
      </c>
      <c r="B119" s="398"/>
      <c r="C119" s="24"/>
      <c r="D119" s="256">
        <v>87899.24</v>
      </c>
      <c r="E119" s="81" t="s">
        <v>455</v>
      </c>
      <c r="F119" s="32"/>
      <c r="G119" s="32"/>
    </row>
    <row r="120" spans="1:7" ht="38.25" customHeight="1" x14ac:dyDescent="0.3">
      <c r="A120" s="397" t="s">
        <v>189</v>
      </c>
      <c r="B120" s="398"/>
      <c r="C120" s="24"/>
      <c r="D120" s="204">
        <v>27930.75</v>
      </c>
      <c r="E120" s="54" t="str">
        <f>E112</f>
        <v>Debito autom.</v>
      </c>
      <c r="F120" s="32"/>
      <c r="G120" s="32"/>
    </row>
    <row r="121" spans="1:7" ht="33.75" customHeight="1" x14ac:dyDescent="0.3">
      <c r="A121" s="397" t="s">
        <v>300</v>
      </c>
      <c r="B121" s="398"/>
      <c r="C121" s="24"/>
      <c r="D121" s="204">
        <v>6678</v>
      </c>
      <c r="E121" s="54" t="s">
        <v>270</v>
      </c>
      <c r="F121" s="32"/>
      <c r="G121" s="32" t="s">
        <v>321</v>
      </c>
    </row>
    <row r="122" spans="1:7" x14ac:dyDescent="0.3">
      <c r="A122" s="111" t="s">
        <v>4</v>
      </c>
      <c r="B122" s="42"/>
      <c r="C122" s="42"/>
      <c r="D122" s="42"/>
      <c r="E122" s="85">
        <f>SUM(D112:D121)</f>
        <v>2316292.64</v>
      </c>
      <c r="F122" s="32"/>
      <c r="G122" s="32"/>
    </row>
    <row r="123" spans="1:7" ht="15" thickBot="1" x14ac:dyDescent="0.35">
      <c r="A123" s="32"/>
      <c r="B123" s="32"/>
      <c r="C123" s="32"/>
      <c r="D123" s="32"/>
      <c r="E123" s="32"/>
      <c r="F123" s="32"/>
      <c r="G123" s="32"/>
    </row>
    <row r="124" spans="1:7" x14ac:dyDescent="0.3">
      <c r="A124" s="112" t="s">
        <v>21</v>
      </c>
      <c r="B124" s="113"/>
      <c r="C124" s="114"/>
      <c r="D124" s="228"/>
      <c r="E124" s="50"/>
      <c r="F124" s="32"/>
      <c r="G124" s="32"/>
    </row>
    <row r="125" spans="1:7" ht="45" customHeight="1" x14ac:dyDescent="0.3">
      <c r="A125" s="397" t="s">
        <v>438</v>
      </c>
      <c r="B125" s="398"/>
      <c r="C125" s="24"/>
      <c r="D125" s="359">
        <v>17995434.600000001</v>
      </c>
      <c r="E125" s="80" t="s">
        <v>435</v>
      </c>
      <c r="F125" s="32"/>
      <c r="G125" s="32"/>
    </row>
    <row r="126" spans="1:7" ht="45" customHeight="1" x14ac:dyDescent="0.3">
      <c r="A126" s="397" t="s">
        <v>346</v>
      </c>
      <c r="B126" s="398"/>
      <c r="C126" s="24"/>
      <c r="D126" s="281">
        <v>380000</v>
      </c>
      <c r="E126" s="81" t="s">
        <v>345</v>
      </c>
      <c r="F126" s="32"/>
      <c r="G126" s="32"/>
    </row>
    <row r="127" spans="1:7" ht="45" customHeight="1" x14ac:dyDescent="0.3">
      <c r="A127" s="365" t="s">
        <v>454</v>
      </c>
      <c r="B127" s="366"/>
      <c r="C127" s="24"/>
      <c r="D127" s="359">
        <v>1443530</v>
      </c>
      <c r="E127" s="146" t="s">
        <v>440</v>
      </c>
      <c r="F127" s="32"/>
      <c r="G127" s="32"/>
    </row>
    <row r="128" spans="1:7" ht="45" customHeight="1" x14ac:dyDescent="0.3">
      <c r="A128" s="367" t="s">
        <v>417</v>
      </c>
      <c r="B128" s="368"/>
      <c r="C128" s="24"/>
      <c r="D128" s="359">
        <v>8064666.6699999999</v>
      </c>
      <c r="E128" s="146" t="s">
        <v>468</v>
      </c>
      <c r="F128" s="32"/>
      <c r="G128" s="32"/>
    </row>
    <row r="129" spans="1:7" ht="43.2" customHeight="1" thickBot="1" x14ac:dyDescent="0.35">
      <c r="A129" s="367" t="s">
        <v>417</v>
      </c>
      <c r="B129" s="368"/>
      <c r="C129" s="101"/>
      <c r="D129" s="359">
        <v>1071600</v>
      </c>
      <c r="E129" s="146" t="s">
        <v>416</v>
      </c>
      <c r="F129" s="32"/>
      <c r="G129" s="32"/>
    </row>
    <row r="130" spans="1:7" ht="15" thickBot="1" x14ac:dyDescent="0.35">
      <c r="A130" s="115" t="s">
        <v>4</v>
      </c>
      <c r="B130" s="116"/>
      <c r="C130" s="116"/>
      <c r="D130" s="117"/>
      <c r="E130" s="86">
        <f>SUM(D125:D129)</f>
        <v>28955231.270000003</v>
      </c>
      <c r="F130" s="32"/>
      <c r="G130" s="32"/>
    </row>
    <row r="131" spans="1:7" ht="15" customHeight="1" x14ac:dyDescent="0.3">
      <c r="A131" s="32"/>
      <c r="B131" s="32"/>
      <c r="C131" s="32"/>
      <c r="D131" s="32"/>
      <c r="E131" s="32"/>
      <c r="F131" s="32"/>
      <c r="G131" s="32"/>
    </row>
    <row r="132" spans="1:7" ht="15" hidden="1" thickBot="1" x14ac:dyDescent="0.35">
      <c r="A132" s="32"/>
      <c r="B132" s="32"/>
      <c r="C132" s="32"/>
      <c r="D132" s="32"/>
      <c r="E132" s="32"/>
      <c r="F132" s="32"/>
      <c r="G132" s="32"/>
    </row>
    <row r="133" spans="1:7" ht="15" thickBot="1" x14ac:dyDescent="0.35">
      <c r="A133" s="32"/>
      <c r="B133" s="32"/>
      <c r="C133" s="32"/>
      <c r="D133" s="32"/>
      <c r="E133" s="32"/>
      <c r="F133" s="32"/>
      <c r="G133" s="32"/>
    </row>
    <row r="134" spans="1:7" ht="15" thickBot="1" x14ac:dyDescent="0.35">
      <c r="A134" s="115" t="s">
        <v>13</v>
      </c>
      <c r="B134" s="118"/>
      <c r="C134" s="119"/>
      <c r="D134" s="119"/>
      <c r="E134" s="120">
        <f>E130</f>
        <v>28955231.270000003</v>
      </c>
      <c r="F134" s="32"/>
      <c r="G134" s="32"/>
    </row>
    <row r="135" spans="1:7" ht="15" thickBot="1" x14ac:dyDescent="0.35">
      <c r="A135" s="32"/>
      <c r="B135" s="32"/>
      <c r="C135" s="32"/>
      <c r="D135" s="32"/>
      <c r="E135" s="32"/>
      <c r="F135" s="32"/>
      <c r="G135" s="32"/>
    </row>
    <row r="136" spans="1:7" x14ac:dyDescent="0.3">
      <c r="A136" s="121" t="s">
        <v>187</v>
      </c>
      <c r="B136" s="122"/>
      <c r="C136" s="123"/>
      <c r="D136" s="55"/>
      <c r="E136" s="56"/>
      <c r="F136" s="32"/>
      <c r="G136" s="32"/>
    </row>
    <row r="137" spans="1:7" ht="30" customHeight="1" x14ac:dyDescent="0.3">
      <c r="A137" s="396" t="s">
        <v>413</v>
      </c>
      <c r="B137" s="396"/>
      <c r="C137" s="24"/>
      <c r="D137" s="256">
        <f>2104581-1520000</f>
        <v>584581</v>
      </c>
      <c r="E137" s="28" t="str">
        <f>E28</f>
        <v>Transf 08/06</v>
      </c>
      <c r="F137" s="276"/>
      <c r="G137" s="276"/>
    </row>
    <row r="138" spans="1:7" ht="30" customHeight="1" x14ac:dyDescent="0.3">
      <c r="A138" s="365" t="s">
        <v>433</v>
      </c>
      <c r="B138" s="366"/>
      <c r="C138" s="24"/>
      <c r="D138" s="256">
        <v>97321.42</v>
      </c>
      <c r="E138" s="28" t="str">
        <f>E44</f>
        <v>Transf 03/06</v>
      </c>
      <c r="F138" s="32"/>
      <c r="G138" s="32"/>
    </row>
    <row r="139" spans="1:7" ht="30" customHeight="1" x14ac:dyDescent="0.3">
      <c r="A139" s="365" t="s">
        <v>434</v>
      </c>
      <c r="B139" s="366"/>
      <c r="C139" s="24"/>
      <c r="D139" s="256">
        <v>97321.41</v>
      </c>
      <c r="E139" s="28" t="str">
        <f>E44</f>
        <v>Transf 03/06</v>
      </c>
      <c r="F139" s="32"/>
      <c r="G139" s="32"/>
    </row>
    <row r="140" spans="1:7" ht="30" customHeight="1" x14ac:dyDescent="0.3">
      <c r="A140" s="365"/>
      <c r="B140" s="366"/>
      <c r="C140" s="101"/>
      <c r="D140" s="204"/>
      <c r="E140" s="28"/>
      <c r="F140" s="32"/>
      <c r="G140" s="282"/>
    </row>
    <row r="141" spans="1:7" x14ac:dyDescent="0.3">
      <c r="A141" s="211" t="s">
        <v>4</v>
      </c>
      <c r="B141" s="212"/>
      <c r="C141" s="212"/>
      <c r="D141" s="138"/>
      <c r="E141" s="213">
        <f>SUM(D137:D140)</f>
        <v>779223.83000000007</v>
      </c>
    </row>
    <row r="142" spans="1:7" x14ac:dyDescent="0.3">
      <c r="A142" s="32"/>
      <c r="B142" s="32"/>
      <c r="C142" s="32"/>
      <c r="D142" s="32"/>
      <c r="E142" s="32"/>
    </row>
    <row r="143" spans="1:7" x14ac:dyDescent="0.3">
      <c r="A143" s="32"/>
      <c r="B143" s="32"/>
      <c r="C143" s="32"/>
      <c r="D143" s="32"/>
      <c r="E143" s="32"/>
    </row>
    <row r="144" spans="1:7" ht="15" thickBot="1" x14ac:dyDescent="0.35">
      <c r="A144" s="32"/>
      <c r="B144" s="32"/>
      <c r="C144" s="32"/>
      <c r="D144" s="32"/>
      <c r="E144" s="32"/>
    </row>
    <row r="145" spans="1:5" ht="17.25" customHeight="1" thickBot="1" x14ac:dyDescent="0.35">
      <c r="A145" s="214" t="s">
        <v>188</v>
      </c>
      <c r="B145" s="215"/>
      <c r="C145" s="216"/>
      <c r="D145" s="216"/>
      <c r="E145" s="217">
        <f>E141</f>
        <v>779223.83000000007</v>
      </c>
    </row>
    <row r="146" spans="1:5" x14ac:dyDescent="0.3">
      <c r="A146" s="32"/>
      <c r="B146" s="32"/>
      <c r="C146" s="32"/>
      <c r="D146" s="32"/>
      <c r="E146" s="32"/>
    </row>
    <row r="147" spans="1:5" ht="15" thickBot="1" x14ac:dyDescent="0.35">
      <c r="A147" s="32"/>
      <c r="B147" s="32"/>
      <c r="C147" s="32"/>
      <c r="D147" s="32"/>
      <c r="E147" s="32"/>
    </row>
    <row r="148" spans="1:5" ht="15" thickBot="1" x14ac:dyDescent="0.35">
      <c r="A148" s="218" t="s">
        <v>180</v>
      </c>
      <c r="B148" s="219">
        <f>E108</f>
        <v>103403563.574</v>
      </c>
      <c r="C148" s="32"/>
      <c r="D148" s="32"/>
      <c r="E148" s="32"/>
    </row>
    <row r="149" spans="1:5" ht="15" thickBot="1" x14ac:dyDescent="0.35">
      <c r="A149" s="218" t="s">
        <v>21</v>
      </c>
      <c r="B149" s="219">
        <f>E134</f>
        <v>28955231.270000003</v>
      </c>
      <c r="C149" s="32"/>
      <c r="D149" s="32"/>
      <c r="E149" s="32"/>
    </row>
    <row r="150" spans="1:5" ht="15" thickBot="1" x14ac:dyDescent="0.35">
      <c r="A150" s="220" t="s">
        <v>151</v>
      </c>
      <c r="B150" s="221">
        <f>E122</f>
        <v>2316292.64</v>
      </c>
      <c r="C150" s="32"/>
      <c r="D150" s="32"/>
      <c r="E150" s="32"/>
    </row>
    <row r="151" spans="1:5" ht="34.5" customHeight="1" thickBot="1" x14ac:dyDescent="0.35">
      <c r="A151" s="222" t="s">
        <v>227</v>
      </c>
      <c r="B151" s="221">
        <f>B150+B148</f>
        <v>105719856.214</v>
      </c>
      <c r="C151" s="32"/>
      <c r="D151" s="32"/>
      <c r="E151" s="32"/>
    </row>
    <row r="152" spans="1:5" ht="34.5" customHeight="1" x14ac:dyDescent="0.3">
      <c r="A152" s="403" t="s">
        <v>377</v>
      </c>
      <c r="B152" s="404"/>
      <c r="C152" s="32"/>
      <c r="D152" s="32"/>
      <c r="E152" s="32"/>
    </row>
    <row r="153" spans="1:5" ht="27" customHeight="1" x14ac:dyDescent="0.3">
      <c r="A153" s="405"/>
      <c r="B153" s="406"/>
      <c r="C153" s="32"/>
      <c r="D153" s="32"/>
      <c r="E153" s="32"/>
    </row>
    <row r="154" spans="1:5" ht="54.75" hidden="1" customHeight="1" thickBot="1" x14ac:dyDescent="0.35">
      <c r="A154" s="407"/>
      <c r="B154" s="408"/>
      <c r="C154" s="32"/>
      <c r="D154" s="32"/>
      <c r="E154" s="32"/>
    </row>
    <row r="155" spans="1:5" x14ac:dyDescent="0.3">
      <c r="A155" s="133" t="s">
        <v>234</v>
      </c>
      <c r="B155" s="124"/>
      <c r="C155" s="5"/>
    </row>
    <row r="156" spans="1:5" s="151" customFormat="1" x14ac:dyDescent="0.3">
      <c r="A156" s="148" t="s">
        <v>230</v>
      </c>
      <c r="B156" s="149">
        <v>44513257.310000002</v>
      </c>
      <c r="C156" s="150"/>
      <c r="E156" s="152"/>
    </row>
    <row r="157" spans="1:5" s="151" customFormat="1" x14ac:dyDescent="0.3">
      <c r="A157" s="153" t="s">
        <v>231</v>
      </c>
      <c r="B157" s="154">
        <f>PRORRATEO!F161</f>
        <v>120700363.92400001</v>
      </c>
      <c r="C157" s="155"/>
    </row>
    <row r="158" spans="1:5" s="151" customFormat="1" x14ac:dyDescent="0.3">
      <c r="A158" s="153" t="s">
        <v>367</v>
      </c>
      <c r="B158" s="154">
        <v>850000</v>
      </c>
      <c r="C158" s="155"/>
      <c r="D158" s="152"/>
      <c r="E158" s="152"/>
    </row>
    <row r="159" spans="1:5" s="151" customFormat="1" ht="36.75" customHeight="1" x14ac:dyDescent="0.3">
      <c r="A159" s="7" t="s">
        <v>239</v>
      </c>
      <c r="B159" s="156">
        <f>B207</f>
        <v>0</v>
      </c>
      <c r="C159" s="155"/>
      <c r="D159" s="152"/>
    </row>
    <row r="160" spans="1:5" s="151" customFormat="1" ht="18" customHeight="1" x14ac:dyDescent="0.3">
      <c r="A160" s="7" t="s">
        <v>364</v>
      </c>
      <c r="B160" s="157">
        <v>-18995</v>
      </c>
      <c r="C160" s="155"/>
      <c r="D160" s="152"/>
    </row>
    <row r="161" spans="1:6" s="151" customFormat="1" ht="18" customHeight="1" x14ac:dyDescent="0.3">
      <c r="A161" s="7" t="s">
        <v>365</v>
      </c>
      <c r="B161" s="157">
        <v>-1600000</v>
      </c>
      <c r="C161" s="155"/>
      <c r="D161" s="152"/>
    </row>
    <row r="162" spans="1:6" s="151" customFormat="1" ht="36.75" customHeight="1" x14ac:dyDescent="0.3">
      <c r="A162" s="7" t="s">
        <v>362</v>
      </c>
      <c r="B162" s="264">
        <v>20037587.120000001</v>
      </c>
      <c r="C162" s="155"/>
      <c r="D162" s="152"/>
    </row>
    <row r="163" spans="1:6" s="151" customFormat="1" ht="36.75" customHeight="1" x14ac:dyDescent="0.3">
      <c r="A163" s="7" t="s">
        <v>363</v>
      </c>
      <c r="B163" s="265">
        <v>-70000000</v>
      </c>
      <c r="C163" s="155"/>
      <c r="D163" s="152"/>
    </row>
    <row r="164" spans="1:6" s="151" customFormat="1" ht="16.5" customHeight="1" x14ac:dyDescent="0.3">
      <c r="A164" s="136" t="s">
        <v>294</v>
      </c>
      <c r="B164" s="157">
        <f>-B182</f>
        <v>-849489.34579199995</v>
      </c>
      <c r="C164" s="155"/>
      <c r="D164" s="152"/>
    </row>
    <row r="165" spans="1:6" s="151" customFormat="1" ht="28.2" customHeight="1" x14ac:dyDescent="0.3">
      <c r="A165" s="7" t="s">
        <v>328</v>
      </c>
      <c r="B165" s="157">
        <f>-B175</f>
        <v>-1007642.7893607999</v>
      </c>
      <c r="C165" s="155"/>
      <c r="D165" s="152"/>
    </row>
    <row r="166" spans="1:6" s="151" customFormat="1" ht="18" customHeight="1" x14ac:dyDescent="0.3">
      <c r="A166" s="34" t="s">
        <v>186</v>
      </c>
      <c r="B166" s="157">
        <f>-E145</f>
        <v>-779223.83000000007</v>
      </c>
      <c r="C166" s="155"/>
      <c r="F166" s="158"/>
    </row>
    <row r="167" spans="1:6" s="151" customFormat="1" ht="18" customHeight="1" x14ac:dyDescent="0.3">
      <c r="A167" s="7" t="s">
        <v>152</v>
      </c>
      <c r="B167" s="157">
        <f>-E122</f>
        <v>-2316292.64</v>
      </c>
      <c r="C167" s="155"/>
      <c r="D167" s="158"/>
    </row>
    <row r="168" spans="1:6" s="151" customFormat="1" ht="18" customHeight="1" x14ac:dyDescent="0.3">
      <c r="A168" s="7" t="s">
        <v>14</v>
      </c>
      <c r="B168" s="157">
        <f>-E108</f>
        <v>-103403563.574</v>
      </c>
      <c r="C168" s="155"/>
      <c r="D168" s="159"/>
      <c r="E168" s="159"/>
      <c r="F168" s="234"/>
    </row>
    <row r="169" spans="1:6" s="151" customFormat="1" ht="18" customHeight="1" x14ac:dyDescent="0.3">
      <c r="A169" s="7" t="s">
        <v>257</v>
      </c>
      <c r="B169" s="157">
        <f>-E134</f>
        <v>-28955231.270000003</v>
      </c>
      <c r="C169" s="155"/>
      <c r="E169" s="159"/>
      <c r="F169" s="234"/>
    </row>
    <row r="170" spans="1:6" x14ac:dyDescent="0.3">
      <c r="A170" s="134" t="s">
        <v>4</v>
      </c>
      <c r="B170" s="38">
        <f>SUM(B156:B169)</f>
        <v>-22829230.095152773</v>
      </c>
      <c r="C170" s="6"/>
      <c r="D170" s="13"/>
      <c r="E170" s="39"/>
      <c r="F170" s="39"/>
    </row>
    <row r="171" spans="1:6" x14ac:dyDescent="0.3">
      <c r="A171" s="135"/>
      <c r="B171" s="11"/>
      <c r="C171" s="6"/>
      <c r="D171" s="13"/>
      <c r="E171" s="36"/>
      <c r="F171" s="77"/>
    </row>
    <row r="172" spans="1:6" ht="15" thickBot="1" x14ac:dyDescent="0.35">
      <c r="A172" s="135"/>
      <c r="B172" s="11"/>
      <c r="C172" s="6"/>
      <c r="D172" s="13"/>
      <c r="E172" s="36"/>
      <c r="F172" s="77"/>
    </row>
    <row r="173" spans="1:6" x14ac:dyDescent="0.3">
      <c r="A173" s="401" t="s">
        <v>329</v>
      </c>
      <c r="B173" s="402"/>
      <c r="C173" s="6"/>
      <c r="D173" s="13"/>
      <c r="E173" s="36"/>
      <c r="F173" s="77"/>
    </row>
    <row r="174" spans="1:6" x14ac:dyDescent="0.3">
      <c r="A174" s="129" t="s">
        <v>293</v>
      </c>
      <c r="B174" s="130">
        <v>3322309.78</v>
      </c>
      <c r="C174" s="6"/>
      <c r="D174" s="13"/>
      <c r="E174" s="36"/>
      <c r="F174" s="77"/>
    </row>
    <row r="175" spans="1:6" ht="66.75" customHeight="1" x14ac:dyDescent="0.3">
      <c r="A175" s="238" t="s">
        <v>330</v>
      </c>
      <c r="B175" s="197">
        <f>2015285.5787216/2</f>
        <v>1007642.7893607999</v>
      </c>
      <c r="C175" s="6"/>
      <c r="D175" s="13"/>
      <c r="E175" s="36"/>
      <c r="F175" s="77"/>
    </row>
    <row r="176" spans="1:6" ht="15" thickBot="1" x14ac:dyDescent="0.35">
      <c r="A176" s="129"/>
      <c r="B176" s="130"/>
      <c r="C176" s="6"/>
      <c r="D176" s="13"/>
      <c r="E176" s="36"/>
      <c r="F176" s="77"/>
    </row>
    <row r="177" spans="1:7" ht="15" thickBot="1" x14ac:dyDescent="0.35">
      <c r="A177" s="239" t="s">
        <v>4</v>
      </c>
      <c r="B177" s="240">
        <f>SUM(B174:B176)</f>
        <v>4329952.5693608001</v>
      </c>
      <c r="C177" s="6"/>
      <c r="D177" s="13"/>
      <c r="E177" s="36"/>
      <c r="F177" s="77"/>
    </row>
    <row r="178" spans="1:7" x14ac:dyDescent="0.3">
      <c r="A178" s="135"/>
      <c r="B178" s="11"/>
      <c r="C178" s="6"/>
      <c r="D178" s="13"/>
      <c r="E178" s="36"/>
      <c r="F178" s="77"/>
    </row>
    <row r="179" spans="1:7" ht="15" thickBot="1" x14ac:dyDescent="0.35">
      <c r="A179" s="135"/>
      <c r="B179" s="11"/>
      <c r="C179" s="6"/>
      <c r="D179" s="13"/>
      <c r="E179" s="36"/>
      <c r="F179" s="77"/>
    </row>
    <row r="180" spans="1:7" x14ac:dyDescent="0.3">
      <c r="A180" s="399" t="s">
        <v>292</v>
      </c>
      <c r="B180" s="400"/>
      <c r="C180" s="6"/>
      <c r="D180" s="13"/>
      <c r="E180" s="36"/>
      <c r="F180" s="77"/>
      <c r="G180" s="235"/>
    </row>
    <row r="181" spans="1:7" x14ac:dyDescent="0.3">
      <c r="A181" s="129" t="s">
        <v>293</v>
      </c>
      <c r="B181" s="130">
        <v>3588955.94</v>
      </c>
      <c r="C181" s="6"/>
      <c r="D181" s="13"/>
      <c r="E181" s="36"/>
      <c r="F181" s="77"/>
    </row>
    <row r="182" spans="1:7" x14ac:dyDescent="0.3">
      <c r="A182" s="129" t="s">
        <v>294</v>
      </c>
      <c r="B182" s="197">
        <v>849489.34579199995</v>
      </c>
      <c r="C182" s="6"/>
      <c r="D182" s="13"/>
      <c r="E182" s="36"/>
      <c r="F182" s="77"/>
    </row>
    <row r="183" spans="1:7" ht="15" thickBot="1" x14ac:dyDescent="0.35">
      <c r="A183" s="129" t="s">
        <v>368</v>
      </c>
      <c r="B183" s="130">
        <v>-185555</v>
      </c>
      <c r="C183" s="6"/>
      <c r="D183" s="13"/>
      <c r="E183" s="36"/>
      <c r="F183" s="77"/>
    </row>
    <row r="184" spans="1:7" ht="15" thickBot="1" x14ac:dyDescent="0.35">
      <c r="A184" s="131" t="s">
        <v>4</v>
      </c>
      <c r="B184" s="132">
        <f>SUM(B181:B183)</f>
        <v>4252890.2857919997</v>
      </c>
      <c r="C184" s="6"/>
      <c r="D184" s="13"/>
      <c r="E184" s="36"/>
      <c r="F184" s="77"/>
    </row>
    <row r="185" spans="1:7" ht="15" thickBot="1" x14ac:dyDescent="0.35">
      <c r="A185" s="127"/>
      <c r="B185" s="128"/>
      <c r="C185" s="6"/>
      <c r="D185" s="13"/>
      <c r="E185" s="36"/>
      <c r="F185" s="77"/>
    </row>
    <row r="186" spans="1:7" ht="42.75" customHeight="1" thickBot="1" x14ac:dyDescent="0.35">
      <c r="A186" s="143" t="s">
        <v>334</v>
      </c>
      <c r="B186" s="142">
        <f>B184+B170+B177</f>
        <v>-14246387.239999972</v>
      </c>
      <c r="C186" s="6"/>
      <c r="D186" s="13"/>
      <c r="E186" s="36"/>
      <c r="F186" s="77"/>
      <c r="G186" s="37"/>
    </row>
    <row r="187" spans="1:7" x14ac:dyDescent="0.3">
      <c r="B187" s="11"/>
      <c r="C187" s="6"/>
      <c r="D187" s="13"/>
      <c r="E187" s="36"/>
      <c r="F187" s="77"/>
    </row>
    <row r="188" spans="1:7" x14ac:dyDescent="0.3">
      <c r="A188" s="71" t="s">
        <v>233</v>
      </c>
      <c r="B188" s="72"/>
      <c r="C188" s="6"/>
      <c r="D188" s="13"/>
      <c r="E188" s="36"/>
      <c r="F188" s="37"/>
    </row>
    <row r="189" spans="1:7" ht="22.5" customHeight="1" x14ac:dyDescent="0.3">
      <c r="A189" s="91" t="s">
        <v>293</v>
      </c>
      <c r="B189" s="137">
        <v>203669</v>
      </c>
      <c r="C189" s="6"/>
      <c r="D189" s="13"/>
      <c r="E189" s="36"/>
      <c r="F189" s="37"/>
    </row>
    <row r="190" spans="1:7" ht="54" customHeight="1" x14ac:dyDescent="0.3">
      <c r="A190" s="91" t="s">
        <v>437</v>
      </c>
      <c r="B190" s="256">
        <v>-8350</v>
      </c>
      <c r="C190" s="6"/>
      <c r="D190" s="13"/>
      <c r="E190" s="36"/>
      <c r="F190" s="37"/>
    </row>
    <row r="191" spans="1:7" ht="22.5" customHeight="1" x14ac:dyDescent="0.3">
      <c r="A191" s="91" t="s">
        <v>311</v>
      </c>
      <c r="B191" s="204"/>
      <c r="C191" s="6"/>
      <c r="D191" s="13"/>
      <c r="E191" s="36"/>
      <c r="F191" s="37"/>
    </row>
    <row r="192" spans="1:7" x14ac:dyDescent="0.3">
      <c r="A192" s="71" t="s">
        <v>4</v>
      </c>
      <c r="B192" s="72">
        <f>SUM(B188:B191)</f>
        <v>195319</v>
      </c>
      <c r="C192" s="6"/>
      <c r="D192" s="13"/>
      <c r="E192" s="36"/>
      <c r="F192" s="37"/>
    </row>
    <row r="193" spans="1:15" ht="15" thickBot="1" x14ac:dyDescent="0.35">
      <c r="B193" s="11"/>
      <c r="C193" s="6"/>
      <c r="D193" s="13"/>
      <c r="E193" s="36"/>
      <c r="F193" s="37"/>
    </row>
    <row r="194" spans="1:15" x14ac:dyDescent="0.3">
      <c r="A194" s="125" t="s">
        <v>228</v>
      </c>
      <c r="B194" s="67"/>
      <c r="C194" s="6"/>
      <c r="D194" s="76"/>
      <c r="E194" s="140"/>
      <c r="F194" s="141"/>
      <c r="G194" s="35"/>
      <c r="H194" s="35"/>
      <c r="I194" s="35"/>
      <c r="J194" s="35"/>
      <c r="K194" s="35"/>
      <c r="L194" s="35"/>
      <c r="M194" s="35"/>
      <c r="N194" s="35"/>
      <c r="O194" s="35"/>
    </row>
    <row r="195" spans="1:15" x14ac:dyDescent="0.3">
      <c r="A195" s="69" t="s">
        <v>359</v>
      </c>
      <c r="B195" s="70">
        <v>130911572.42</v>
      </c>
      <c r="C195" s="6"/>
      <c r="D195" s="76"/>
      <c r="E195" s="140"/>
      <c r="F195" s="141"/>
      <c r="G195" s="35"/>
      <c r="H195" s="35"/>
      <c r="I195" s="35"/>
      <c r="J195" s="35"/>
      <c r="K195" s="35"/>
      <c r="L195" s="35"/>
      <c r="M195" s="35"/>
      <c r="N195" s="35"/>
      <c r="O195" s="35"/>
    </row>
    <row r="196" spans="1:15" x14ac:dyDescent="0.3">
      <c r="A196" s="69" t="s">
        <v>358</v>
      </c>
      <c r="B196" s="70">
        <v>-20037587.120000001</v>
      </c>
      <c r="C196" s="6"/>
      <c r="D196" s="76"/>
      <c r="E196" s="140"/>
      <c r="F196" s="141"/>
      <c r="G196" s="35"/>
      <c r="H196" s="35"/>
      <c r="I196" s="35"/>
      <c r="J196" s="35"/>
      <c r="K196" s="35"/>
      <c r="L196" s="35"/>
      <c r="M196" s="35"/>
      <c r="N196" s="35"/>
      <c r="O196" s="35"/>
    </row>
    <row r="197" spans="1:15" x14ac:dyDescent="0.3">
      <c r="A197" s="69" t="s">
        <v>360</v>
      </c>
      <c r="B197" s="70">
        <v>70000000</v>
      </c>
      <c r="C197" s="6"/>
      <c r="D197" s="76"/>
      <c r="E197" s="140"/>
      <c r="F197" s="141"/>
      <c r="G197" s="35"/>
      <c r="H197" s="35"/>
      <c r="I197" s="35"/>
      <c r="J197" s="35"/>
      <c r="K197" s="35"/>
      <c r="L197" s="35"/>
      <c r="M197" s="35"/>
      <c r="N197" s="35"/>
      <c r="O197" s="35"/>
    </row>
    <row r="198" spans="1:15" x14ac:dyDescent="0.3">
      <c r="A198" s="69" t="s">
        <v>361</v>
      </c>
      <c r="B198" s="70">
        <f>182821331.26-180873985.3</f>
        <v>1947345.9599999785</v>
      </c>
      <c r="C198" s="6"/>
      <c r="D198" s="76"/>
      <c r="E198" s="140"/>
      <c r="F198" s="141"/>
      <c r="G198" s="35"/>
      <c r="H198" s="35"/>
      <c r="I198" s="35"/>
      <c r="J198" s="35"/>
      <c r="K198" s="35"/>
      <c r="L198" s="35"/>
      <c r="M198" s="35"/>
      <c r="N198" s="35"/>
      <c r="O198" s="35"/>
    </row>
    <row r="199" spans="1:15" ht="15" thickBot="1" x14ac:dyDescent="0.35">
      <c r="A199" s="126" t="s">
        <v>369</v>
      </c>
      <c r="B199" s="263">
        <f>SUM(B195:B198)</f>
        <v>182821331.25999999</v>
      </c>
      <c r="C199" s="6"/>
      <c r="D199" s="76"/>
      <c r="E199" s="140"/>
      <c r="F199" s="141"/>
      <c r="G199" s="35"/>
      <c r="H199" s="35"/>
      <c r="I199" s="35"/>
      <c r="J199" s="35"/>
      <c r="K199" s="35"/>
      <c r="L199" s="35"/>
      <c r="M199" s="35"/>
      <c r="N199" s="35"/>
      <c r="O199" s="35"/>
    </row>
    <row r="200" spans="1:15" x14ac:dyDescent="0.3">
      <c r="B200" s="11"/>
      <c r="C200" s="6"/>
      <c r="D200" s="76"/>
      <c r="E200" s="140"/>
      <c r="F200" s="141"/>
      <c r="G200" s="35"/>
      <c r="H200" s="35"/>
      <c r="I200" s="35"/>
      <c r="J200" s="35"/>
      <c r="K200" s="35"/>
      <c r="L200" s="35"/>
      <c r="M200" s="35"/>
      <c r="N200" s="35"/>
      <c r="O200" s="35"/>
    </row>
    <row r="201" spans="1:15" x14ac:dyDescent="0.3">
      <c r="B201" s="11"/>
      <c r="C201" s="6"/>
      <c r="D201" s="13"/>
      <c r="E201" s="36"/>
      <c r="F201" s="37"/>
    </row>
    <row r="202" spans="1:15" x14ac:dyDescent="0.3">
      <c r="B202" s="11"/>
      <c r="C202" s="6"/>
      <c r="D202" s="13"/>
      <c r="E202" s="36"/>
      <c r="F202" s="37"/>
    </row>
    <row r="203" spans="1:15" x14ac:dyDescent="0.3">
      <c r="A203" s="395" t="s">
        <v>17</v>
      </c>
      <c r="B203" s="395"/>
      <c r="C203" s="395"/>
    </row>
    <row r="204" spans="1:15" x14ac:dyDescent="0.3">
      <c r="A204" s="395"/>
      <c r="B204" s="395"/>
      <c r="C204" s="395"/>
    </row>
    <row r="205" spans="1:15" ht="42" customHeight="1" x14ac:dyDescent="0.3">
      <c r="A205" s="65"/>
      <c r="B205" s="41"/>
      <c r="C205" s="64"/>
    </row>
    <row r="206" spans="1:15" ht="33.75" customHeight="1" x14ac:dyDescent="0.3">
      <c r="A206" s="65"/>
      <c r="B206" s="41"/>
      <c r="C206" s="64"/>
    </row>
    <row r="207" spans="1:15" x14ac:dyDescent="0.3">
      <c r="A207" s="14" t="s">
        <v>4</v>
      </c>
      <c r="B207" s="33">
        <f>SUM(B205:B206)</f>
        <v>0</v>
      </c>
      <c r="C207" s="15"/>
    </row>
    <row r="208" spans="1:15" x14ac:dyDescent="0.3">
      <c r="M208" s="3"/>
    </row>
  </sheetData>
  <mergeCells count="86">
    <mergeCell ref="A54:B54"/>
    <mergeCell ref="A73:B73"/>
    <mergeCell ref="A67:B67"/>
    <mergeCell ref="A75:B75"/>
    <mergeCell ref="A74:B74"/>
    <mergeCell ref="A64:B64"/>
    <mergeCell ref="A62:B62"/>
    <mergeCell ref="A55:B55"/>
    <mergeCell ref="A71:B71"/>
    <mergeCell ref="A65:B65"/>
    <mergeCell ref="A58:B58"/>
    <mergeCell ref="A56:B56"/>
    <mergeCell ref="A60:B60"/>
    <mergeCell ref="A63:B63"/>
    <mergeCell ref="A68:B68"/>
    <mergeCell ref="A61:B61"/>
    <mergeCell ref="A121:B121"/>
    <mergeCell ref="A116:B116"/>
    <mergeCell ref="A120:B120"/>
    <mergeCell ref="A99:B99"/>
    <mergeCell ref="A113:B113"/>
    <mergeCell ref="A114:B114"/>
    <mergeCell ref="A115:B115"/>
    <mergeCell ref="A112:B112"/>
    <mergeCell ref="A118:B118"/>
    <mergeCell ref="A117:B117"/>
    <mergeCell ref="A119:B119"/>
    <mergeCell ref="A100:B100"/>
    <mergeCell ref="A203:C204"/>
    <mergeCell ref="A137:B137"/>
    <mergeCell ref="A129:B129"/>
    <mergeCell ref="A125:B125"/>
    <mergeCell ref="A180:B180"/>
    <mergeCell ref="A140:B140"/>
    <mergeCell ref="A173:B173"/>
    <mergeCell ref="A152:B154"/>
    <mergeCell ref="A139:B139"/>
    <mergeCell ref="A138:B138"/>
    <mergeCell ref="A127:B127"/>
    <mergeCell ref="A126:B126"/>
    <mergeCell ref="A128:B128"/>
    <mergeCell ref="A10:E12"/>
    <mergeCell ref="A15:E18"/>
    <mergeCell ref="A44:B44"/>
    <mergeCell ref="A25:B25"/>
    <mergeCell ref="A26:B26"/>
    <mergeCell ref="B3:E3"/>
    <mergeCell ref="B1:E1"/>
    <mergeCell ref="B2:E2"/>
    <mergeCell ref="B8:E8"/>
    <mergeCell ref="A1:A8"/>
    <mergeCell ref="A53:B53"/>
    <mergeCell ref="A28:B28"/>
    <mergeCell ref="A48:B48"/>
    <mergeCell ref="A38:B38"/>
    <mergeCell ref="A45:B45"/>
    <mergeCell ref="A40:B40"/>
    <mergeCell ref="A49:B49"/>
    <mergeCell ref="A41:B41"/>
    <mergeCell ref="A39:B39"/>
    <mergeCell ref="A52:B52"/>
    <mergeCell ref="A50:B50"/>
    <mergeCell ref="A51:B51"/>
    <mergeCell ref="A96:B96"/>
    <mergeCell ref="A93:B93"/>
    <mergeCell ref="A77:B77"/>
    <mergeCell ref="A91:B91"/>
    <mergeCell ref="A86:B86"/>
    <mergeCell ref="A80:B80"/>
    <mergeCell ref="A95:B95"/>
    <mergeCell ref="A87:B87"/>
    <mergeCell ref="A81:B81"/>
    <mergeCell ref="A92:B92"/>
    <mergeCell ref="A90:B90"/>
    <mergeCell ref="A94:B94"/>
    <mergeCell ref="A89:B89"/>
    <mergeCell ref="A59:B59"/>
    <mergeCell ref="A88:B88"/>
    <mergeCell ref="A57:B57"/>
    <mergeCell ref="A82:B82"/>
    <mergeCell ref="A83:B83"/>
    <mergeCell ref="A84:B84"/>
    <mergeCell ref="A85:B85"/>
    <mergeCell ref="A76:B76"/>
    <mergeCell ref="A72:C72"/>
    <mergeCell ref="A66:B66"/>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64" zoomScale="80" zoomScaleNormal="80" workbookViewId="0">
      <selection activeCell="C72" sqref="B72:C72"/>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4.109375" customWidth="1"/>
    <col min="6" max="6" width="12.44140625" customWidth="1"/>
    <col min="7" max="7" width="11.5546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189.6" customHeight="1" x14ac:dyDescent="0.3">
      <c r="A1" s="2"/>
      <c r="B1" s="2"/>
      <c r="C1" s="420" t="s">
        <v>335</v>
      </c>
      <c r="D1" s="421"/>
      <c r="E1" s="421"/>
      <c r="F1" s="421"/>
      <c r="G1" s="421"/>
      <c r="H1" s="421"/>
      <c r="I1" s="421"/>
      <c r="J1" s="421"/>
      <c r="K1" s="421"/>
      <c r="L1" s="421"/>
      <c r="M1" s="145"/>
      <c r="N1" s="422" t="s">
        <v>312</v>
      </c>
      <c r="O1" s="422"/>
      <c r="P1" s="417">
        <v>30000000</v>
      </c>
      <c r="Q1" s="417"/>
      <c r="R1" s="168"/>
      <c r="S1" s="4"/>
      <c r="T1" s="2"/>
      <c r="V1" t="s">
        <v>235</v>
      </c>
      <c r="W1">
        <v>80675963.920000002</v>
      </c>
    </row>
    <row r="2" spans="1:24" ht="34.5" customHeight="1" thickBot="1" x14ac:dyDescent="0.35">
      <c r="A2" s="2"/>
      <c r="B2" s="2"/>
      <c r="C2" s="419" t="s">
        <v>226</v>
      </c>
      <c r="D2" s="419"/>
      <c r="E2" s="419"/>
      <c r="F2" s="145"/>
      <c r="G2" s="416">
        <f>X2</f>
        <v>27518571.293111999</v>
      </c>
      <c r="H2" s="416"/>
      <c r="I2" s="145" t="s">
        <v>274</v>
      </c>
      <c r="J2" s="145"/>
      <c r="K2" s="416">
        <f>W1</f>
        <v>80675963.920000002</v>
      </c>
      <c r="L2" s="416"/>
      <c r="M2" s="230"/>
      <c r="N2" s="231" t="s">
        <v>260</v>
      </c>
      <c r="O2" s="230"/>
      <c r="P2" s="418">
        <v>0</v>
      </c>
      <c r="Q2" s="418"/>
      <c r="R2" s="169"/>
      <c r="T2" s="2"/>
      <c r="U2" t="s">
        <v>229</v>
      </c>
      <c r="X2" s="39">
        <f>((K2+P2)*D145)+((K2+P2)*D146)</f>
        <v>27518571.293111999</v>
      </c>
    </row>
    <row r="3" spans="1:24" ht="91.95" customHeight="1" thickBot="1" x14ac:dyDescent="0.35">
      <c r="A3" s="427"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17/07, deberá abonar el importe indicado en la columna de color naranja. En caso de abonar con posterioridad a dicha fecha, deberá abonar el monto indicado en la columna de color celeste.</v>
      </c>
      <c r="B3" s="428"/>
      <c r="C3" s="428"/>
      <c r="D3" s="428"/>
      <c r="E3" s="428"/>
      <c r="F3" s="428"/>
      <c r="G3" s="428"/>
      <c r="H3" s="428"/>
      <c r="I3" s="428"/>
      <c r="J3" s="428"/>
      <c r="K3" s="428"/>
      <c r="L3" s="428"/>
      <c r="M3" s="428"/>
      <c r="N3" s="428"/>
      <c r="O3" s="428"/>
      <c r="P3" s="428"/>
      <c r="Q3" s="428"/>
      <c r="R3" s="428"/>
      <c r="S3" s="428"/>
      <c r="T3" s="429"/>
      <c r="X3" s="39"/>
    </row>
    <row r="4" spans="1:24" ht="43.5" customHeight="1" x14ac:dyDescent="0.3">
      <c r="A4" s="430" t="s">
        <v>0</v>
      </c>
      <c r="B4" s="432" t="s">
        <v>1</v>
      </c>
      <c r="C4" s="432" t="s">
        <v>2</v>
      </c>
      <c r="D4" s="432" t="s">
        <v>6</v>
      </c>
      <c r="E4" s="409" t="s">
        <v>181</v>
      </c>
      <c r="F4" s="432" t="s">
        <v>3</v>
      </c>
      <c r="G4" s="434" t="s">
        <v>16</v>
      </c>
      <c r="H4" s="409" t="s">
        <v>232</v>
      </c>
      <c r="I4" s="409" t="s">
        <v>15</v>
      </c>
      <c r="J4" s="409"/>
      <c r="K4" s="409" t="s">
        <v>182</v>
      </c>
      <c r="L4" s="409" t="s">
        <v>146</v>
      </c>
      <c r="M4" s="409" t="s">
        <v>184</v>
      </c>
      <c r="N4" s="409" t="s">
        <v>183</v>
      </c>
      <c r="O4" s="409" t="s">
        <v>322</v>
      </c>
      <c r="P4" s="423" t="s">
        <v>320</v>
      </c>
      <c r="Q4" s="424"/>
      <c r="R4" s="423" t="s">
        <v>315</v>
      </c>
      <c r="S4" s="424"/>
      <c r="T4" s="409" t="s">
        <v>258</v>
      </c>
      <c r="U4" s="13"/>
    </row>
    <row r="5" spans="1:24" ht="25.5" customHeight="1" thickBot="1" x14ac:dyDescent="0.35">
      <c r="A5" s="431"/>
      <c r="B5" s="433"/>
      <c r="C5" s="433"/>
      <c r="D5" s="433"/>
      <c r="E5" s="410"/>
      <c r="F5" s="433"/>
      <c r="G5" s="435"/>
      <c r="H5" s="410"/>
      <c r="I5" s="410"/>
      <c r="J5" s="410"/>
      <c r="K5" s="410"/>
      <c r="L5" s="410"/>
      <c r="M5" s="410"/>
      <c r="N5" s="410"/>
      <c r="O5" s="410"/>
      <c r="P5" s="425" t="str">
        <f>RESUMEN!A10</f>
        <v>Primer Vencimiento:  17/07</v>
      </c>
      <c r="Q5" s="426"/>
      <c r="R5" s="425"/>
      <c r="S5" s="426"/>
      <c r="T5" s="410"/>
    </row>
    <row r="6" spans="1:24" ht="26.4" customHeight="1" x14ac:dyDescent="0.3">
      <c r="A6" s="188"/>
      <c r="B6" s="196">
        <v>1</v>
      </c>
      <c r="C6" s="196" t="s">
        <v>24</v>
      </c>
      <c r="D6" s="189">
        <v>4.5999999999999999E-3</v>
      </c>
      <c r="E6" s="193">
        <v>759748.01</v>
      </c>
      <c r="F6" s="257">
        <f>E6</f>
        <v>759748.01</v>
      </c>
      <c r="G6" s="266">
        <f t="shared" ref="G6:G69" si="0">E6-F6</f>
        <v>0</v>
      </c>
      <c r="H6" s="267">
        <f>IF(G6&gt;0,G6*3.087%,0)</f>
        <v>0</v>
      </c>
      <c r="I6" s="190">
        <f>K$2*D6</f>
        <v>371109.43403200002</v>
      </c>
      <c r="J6" s="190">
        <f t="shared" ref="J6:J37" si="1">P$2*D6</f>
        <v>0</v>
      </c>
      <c r="K6" s="190">
        <f>G$2*0.675675676%</f>
        <v>185936.29261027643</v>
      </c>
      <c r="L6" s="190">
        <f>P$1*0.675675676%</f>
        <v>202702.7028</v>
      </c>
      <c r="M6" s="190">
        <f>G$1*D6</f>
        <v>0</v>
      </c>
      <c r="N6" s="190">
        <v>0</v>
      </c>
      <c r="O6" s="190">
        <v>0</v>
      </c>
      <c r="P6" s="411">
        <f t="shared" ref="P6:P37" si="2">ROUND(SUM(G6:O6),0) + S6</f>
        <v>759748.01</v>
      </c>
      <c r="Q6" s="412"/>
      <c r="R6" s="232">
        <f t="shared" ref="R6:R37" si="3">ROUND(P6+P6*3.033%,0) + S6</f>
        <v>782791.01</v>
      </c>
      <c r="S6" s="13">
        <f t="shared" ref="S6:S37" si="4">ROUND(0.001+B6/100,2)</f>
        <v>0.01</v>
      </c>
      <c r="T6" s="191">
        <f t="shared" ref="T6:T37" si="5">B6</f>
        <v>1</v>
      </c>
      <c r="U6" t="s">
        <v>215</v>
      </c>
    </row>
    <row r="7" spans="1:24" ht="24.6" customHeight="1" x14ac:dyDescent="0.3">
      <c r="A7" s="16"/>
      <c r="B7" s="16">
        <f>B6+1</f>
        <v>2</v>
      </c>
      <c r="C7" s="16" t="s">
        <v>25</v>
      </c>
      <c r="D7" s="74">
        <v>4.5999999999999999E-3</v>
      </c>
      <c r="E7" s="194">
        <v>1193949.02</v>
      </c>
      <c r="F7" s="198"/>
      <c r="G7" s="58">
        <f t="shared" si="0"/>
        <v>1193949.02</v>
      </c>
      <c r="H7" s="75">
        <f>IF(G7&gt;0,G7*3.087%,0)</f>
        <v>36857.206247400005</v>
      </c>
      <c r="I7" s="68">
        <f t="shared" ref="I7:I38" si="6">K$2*D7</f>
        <v>371109.43403200002</v>
      </c>
      <c r="J7" s="68">
        <f t="shared" si="1"/>
        <v>0</v>
      </c>
      <c r="K7" s="68">
        <f t="shared" ref="K7:K70" si="7">G$2*0.675675676%</f>
        <v>185936.29261027643</v>
      </c>
      <c r="L7" s="68">
        <f t="shared" ref="L7:L70" si="8">P$1*0.675675676%</f>
        <v>202702.7028</v>
      </c>
      <c r="M7" s="190">
        <f t="shared" ref="M7:M70" si="9">G$1*D7</f>
        <v>0</v>
      </c>
      <c r="N7" s="190">
        <v>0</v>
      </c>
      <c r="O7" s="190">
        <v>0</v>
      </c>
      <c r="P7" s="413">
        <f t="shared" si="2"/>
        <v>1990555.02</v>
      </c>
      <c r="Q7" s="414"/>
      <c r="R7" s="232">
        <f t="shared" si="3"/>
        <v>2050929.02</v>
      </c>
      <c r="S7" s="13">
        <f t="shared" si="4"/>
        <v>0.02</v>
      </c>
      <c r="T7" s="1">
        <f t="shared" si="5"/>
        <v>2</v>
      </c>
    </row>
    <row r="8" spans="1:24" ht="24.6" customHeight="1" x14ac:dyDescent="0.3">
      <c r="A8" s="16"/>
      <c r="B8" s="16">
        <f t="shared" ref="B8:B37" si="10">B7+1</f>
        <v>3</v>
      </c>
      <c r="C8" s="16" t="s">
        <v>26</v>
      </c>
      <c r="D8" s="74">
        <v>4.5999999999999999E-3</v>
      </c>
      <c r="E8" s="194">
        <v>736705.03</v>
      </c>
      <c r="F8" s="198">
        <v>759049.03</v>
      </c>
      <c r="G8" s="58">
        <f t="shared" si="0"/>
        <v>-22344</v>
      </c>
      <c r="H8" s="75">
        <f t="shared" ref="H8:H71" si="11">IF(G8&gt;0,G8*3.087%,0)</f>
        <v>0</v>
      </c>
      <c r="I8" s="68">
        <f t="shared" si="6"/>
        <v>371109.43403200002</v>
      </c>
      <c r="J8" s="68">
        <f t="shared" si="1"/>
        <v>0</v>
      </c>
      <c r="K8" s="68">
        <f t="shared" si="7"/>
        <v>185936.29261027643</v>
      </c>
      <c r="L8" s="68">
        <f t="shared" si="8"/>
        <v>202702.7028</v>
      </c>
      <c r="M8" s="190">
        <f t="shared" si="9"/>
        <v>0</v>
      </c>
      <c r="N8" s="190">
        <v>0</v>
      </c>
      <c r="O8" s="190">
        <v>0</v>
      </c>
      <c r="P8" s="415">
        <f t="shared" si="2"/>
        <v>737404.03</v>
      </c>
      <c r="Q8" s="415"/>
      <c r="R8" s="232">
        <f t="shared" si="3"/>
        <v>759769.03</v>
      </c>
      <c r="S8" s="13">
        <f t="shared" si="4"/>
        <v>0.03</v>
      </c>
      <c r="T8" s="1">
        <f t="shared" si="5"/>
        <v>3</v>
      </c>
      <c r="V8" t="s">
        <v>200</v>
      </c>
    </row>
    <row r="9" spans="1:24" ht="24.6" customHeight="1" x14ac:dyDescent="0.3">
      <c r="A9" s="16"/>
      <c r="B9" s="16">
        <f t="shared" si="10"/>
        <v>4</v>
      </c>
      <c r="C9" s="16" t="s">
        <v>165</v>
      </c>
      <c r="D9" s="74">
        <v>4.7000000000000002E-3</v>
      </c>
      <c r="E9" s="194">
        <v>767816.04</v>
      </c>
      <c r="F9" s="198"/>
      <c r="G9" s="58">
        <f t="shared" si="0"/>
        <v>767816.04</v>
      </c>
      <c r="H9" s="75">
        <f t="shared" si="11"/>
        <v>23702.481154800003</v>
      </c>
      <c r="I9" s="68">
        <f t="shared" si="6"/>
        <v>379177.030424</v>
      </c>
      <c r="J9" s="68">
        <f t="shared" si="1"/>
        <v>0</v>
      </c>
      <c r="K9" s="68">
        <f t="shared" si="7"/>
        <v>185936.29261027643</v>
      </c>
      <c r="L9" s="68">
        <f t="shared" si="8"/>
        <v>202702.7028</v>
      </c>
      <c r="M9" s="190">
        <f t="shared" si="9"/>
        <v>0</v>
      </c>
      <c r="N9" s="190">
        <v>0</v>
      </c>
      <c r="O9" s="190">
        <v>0</v>
      </c>
      <c r="P9" s="415">
        <f t="shared" si="2"/>
        <v>1559335.04</v>
      </c>
      <c r="Q9" s="415"/>
      <c r="R9" s="232">
        <f t="shared" si="3"/>
        <v>1606630.04</v>
      </c>
      <c r="S9" s="13">
        <f t="shared" si="4"/>
        <v>0.04</v>
      </c>
      <c r="T9" s="1">
        <f t="shared" si="5"/>
        <v>4</v>
      </c>
      <c r="U9" s="127"/>
      <c r="V9" t="s">
        <v>303</v>
      </c>
    </row>
    <row r="10" spans="1:24" ht="24.6" customHeight="1" x14ac:dyDescent="0.3">
      <c r="A10" s="16"/>
      <c r="B10" s="16">
        <f t="shared" si="10"/>
        <v>5</v>
      </c>
      <c r="C10" s="16" t="s">
        <v>27</v>
      </c>
      <c r="D10" s="74">
        <v>4.7000000000000002E-3</v>
      </c>
      <c r="E10" s="194">
        <v>767816.05</v>
      </c>
      <c r="F10" s="198">
        <f>E10</f>
        <v>767816.05</v>
      </c>
      <c r="G10" s="58">
        <f t="shared" si="0"/>
        <v>0</v>
      </c>
      <c r="H10" s="75">
        <f t="shared" si="11"/>
        <v>0</v>
      </c>
      <c r="I10" s="68">
        <f t="shared" si="6"/>
        <v>379177.030424</v>
      </c>
      <c r="J10" s="68">
        <f t="shared" si="1"/>
        <v>0</v>
      </c>
      <c r="K10" s="68">
        <f t="shared" si="7"/>
        <v>185936.29261027643</v>
      </c>
      <c r="L10" s="68">
        <f t="shared" si="8"/>
        <v>202702.7028</v>
      </c>
      <c r="M10" s="190">
        <f t="shared" si="9"/>
        <v>0</v>
      </c>
      <c r="N10" s="190">
        <v>0</v>
      </c>
      <c r="O10" s="190">
        <v>0</v>
      </c>
      <c r="P10" s="415">
        <f t="shared" si="2"/>
        <v>767816.05</v>
      </c>
      <c r="Q10" s="415"/>
      <c r="R10" s="232">
        <f t="shared" si="3"/>
        <v>791104.05</v>
      </c>
      <c r="S10" s="13">
        <f t="shared" si="4"/>
        <v>0.05</v>
      </c>
      <c r="T10" s="1">
        <f t="shared" si="5"/>
        <v>5</v>
      </c>
      <c r="U10" s="127"/>
    </row>
    <row r="11" spans="1:24" ht="24.6" customHeight="1" x14ac:dyDescent="0.3">
      <c r="A11" s="16"/>
      <c r="B11" s="16">
        <f t="shared" si="10"/>
        <v>6</v>
      </c>
      <c r="C11" s="16" t="s">
        <v>28</v>
      </c>
      <c r="D11" s="74">
        <v>4.4999999999999997E-3</v>
      </c>
      <c r="E11" s="194">
        <v>751681.06</v>
      </c>
      <c r="F11" s="198">
        <f>E11</f>
        <v>751681.06</v>
      </c>
      <c r="G11" s="58">
        <f t="shared" si="0"/>
        <v>0</v>
      </c>
      <c r="H11" s="75">
        <f t="shared" si="11"/>
        <v>0</v>
      </c>
      <c r="I11" s="68">
        <f t="shared" si="6"/>
        <v>363041.83763999998</v>
      </c>
      <c r="J11" s="68">
        <f t="shared" si="1"/>
        <v>0</v>
      </c>
      <c r="K11" s="68">
        <f t="shared" si="7"/>
        <v>185936.29261027643</v>
      </c>
      <c r="L11" s="68">
        <f t="shared" si="8"/>
        <v>202702.7028</v>
      </c>
      <c r="M11" s="190">
        <f t="shared" si="9"/>
        <v>0</v>
      </c>
      <c r="N11" s="190">
        <v>0</v>
      </c>
      <c r="O11" s="190">
        <v>0</v>
      </c>
      <c r="P11" s="415">
        <f t="shared" si="2"/>
        <v>751681.06</v>
      </c>
      <c r="Q11" s="415"/>
      <c r="R11" s="232">
        <f t="shared" si="3"/>
        <v>774480.06</v>
      </c>
      <c r="S11" s="13">
        <f t="shared" si="4"/>
        <v>0.06</v>
      </c>
      <c r="T11" s="1">
        <f t="shared" si="5"/>
        <v>6</v>
      </c>
      <c r="U11" t="s">
        <v>193</v>
      </c>
    </row>
    <row r="12" spans="1:24" ht="24.6" customHeight="1" x14ac:dyDescent="0.3">
      <c r="A12" s="16"/>
      <c r="B12" s="330">
        <f t="shared" si="10"/>
        <v>7</v>
      </c>
      <c r="C12" s="330" t="s">
        <v>29</v>
      </c>
      <c r="D12" s="74">
        <v>4.3E-3</v>
      </c>
      <c r="E12" s="194">
        <v>757855.07</v>
      </c>
      <c r="F12" s="198">
        <v>758000.07</v>
      </c>
      <c r="G12" s="58">
        <f t="shared" si="0"/>
        <v>-145</v>
      </c>
      <c r="H12" s="75">
        <f t="shared" si="11"/>
        <v>0</v>
      </c>
      <c r="I12" s="68">
        <f t="shared" si="6"/>
        <v>346906.64485600003</v>
      </c>
      <c r="J12" s="68">
        <f t="shared" si="1"/>
        <v>0</v>
      </c>
      <c r="K12" s="68">
        <f t="shared" si="7"/>
        <v>185936.29261027643</v>
      </c>
      <c r="L12" s="68">
        <f t="shared" si="8"/>
        <v>202702.7028</v>
      </c>
      <c r="M12" s="190">
        <f t="shared" si="9"/>
        <v>0</v>
      </c>
      <c r="N12" s="190">
        <v>0</v>
      </c>
      <c r="O12" s="283">
        <f>I12/2</f>
        <v>173453.32242800001</v>
      </c>
      <c r="P12" s="415">
        <f t="shared" si="2"/>
        <v>908854.07</v>
      </c>
      <c r="Q12" s="415"/>
      <c r="R12" s="232">
        <f t="shared" si="3"/>
        <v>936420.07</v>
      </c>
      <c r="S12" s="13">
        <f t="shared" si="4"/>
        <v>7.0000000000000007E-2</v>
      </c>
      <c r="T12" s="1">
        <f t="shared" si="5"/>
        <v>7</v>
      </c>
      <c r="U12" t="s">
        <v>247</v>
      </c>
    </row>
    <row r="13" spans="1:24" ht="24.6" customHeight="1" x14ac:dyDescent="0.3">
      <c r="A13" s="164"/>
      <c r="B13" s="16">
        <f t="shared" si="10"/>
        <v>8</v>
      </c>
      <c r="C13" s="16" t="s">
        <v>30</v>
      </c>
      <c r="D13" s="74">
        <v>4.7000000000000002E-3</v>
      </c>
      <c r="E13" s="194">
        <v>767816.08</v>
      </c>
      <c r="F13" s="198">
        <v>791104.08</v>
      </c>
      <c r="G13" s="58">
        <f t="shared" si="0"/>
        <v>-23288</v>
      </c>
      <c r="H13" s="75">
        <f t="shared" si="11"/>
        <v>0</v>
      </c>
      <c r="I13" s="68">
        <f t="shared" si="6"/>
        <v>379177.030424</v>
      </c>
      <c r="J13" s="68">
        <f t="shared" si="1"/>
        <v>0</v>
      </c>
      <c r="K13" s="68">
        <f t="shared" si="7"/>
        <v>185936.29261027643</v>
      </c>
      <c r="L13" s="68">
        <f t="shared" si="8"/>
        <v>202702.7028</v>
      </c>
      <c r="M13" s="190">
        <f t="shared" si="9"/>
        <v>0</v>
      </c>
      <c r="N13" s="190">
        <v>0</v>
      </c>
      <c r="O13" s="190">
        <v>0</v>
      </c>
      <c r="P13" s="415">
        <f t="shared" si="2"/>
        <v>744528.08</v>
      </c>
      <c r="Q13" s="415"/>
      <c r="R13" s="232">
        <f t="shared" si="3"/>
        <v>767110.08</v>
      </c>
      <c r="S13" s="13">
        <f t="shared" si="4"/>
        <v>0.08</v>
      </c>
      <c r="T13" s="1">
        <f t="shared" si="5"/>
        <v>8</v>
      </c>
      <c r="U13" t="s">
        <v>278</v>
      </c>
    </row>
    <row r="14" spans="1:24" ht="24.6" customHeight="1" x14ac:dyDescent="0.3">
      <c r="A14" s="16"/>
      <c r="B14" s="16">
        <f t="shared" si="10"/>
        <v>9</v>
      </c>
      <c r="C14" s="16" t="s">
        <v>31</v>
      </c>
      <c r="D14" s="74">
        <v>4.7000000000000002E-3</v>
      </c>
      <c r="E14" s="194">
        <v>3014472.09</v>
      </c>
      <c r="F14" s="198">
        <f>1500000+2000000</f>
        <v>3500000</v>
      </c>
      <c r="G14" s="58">
        <f t="shared" si="0"/>
        <v>-485527.91000000015</v>
      </c>
      <c r="H14" s="75">
        <f t="shared" si="11"/>
        <v>0</v>
      </c>
      <c r="I14" s="68">
        <f t="shared" si="6"/>
        <v>379177.030424</v>
      </c>
      <c r="J14" s="68">
        <f t="shared" si="1"/>
        <v>0</v>
      </c>
      <c r="K14" s="68">
        <f t="shared" si="7"/>
        <v>185936.29261027643</v>
      </c>
      <c r="L14" s="68">
        <f t="shared" si="8"/>
        <v>202702.7028</v>
      </c>
      <c r="M14" s="190">
        <f t="shared" si="9"/>
        <v>0</v>
      </c>
      <c r="N14" s="190">
        <v>0</v>
      </c>
      <c r="O14" s="190">
        <v>0</v>
      </c>
      <c r="P14" s="415">
        <f t="shared" si="2"/>
        <v>282288.09000000003</v>
      </c>
      <c r="Q14" s="415"/>
      <c r="R14" s="232">
        <f t="shared" si="3"/>
        <v>290850.09000000003</v>
      </c>
      <c r="S14" s="13">
        <f t="shared" si="4"/>
        <v>0.09</v>
      </c>
      <c r="T14" s="1">
        <f t="shared" si="5"/>
        <v>9</v>
      </c>
    </row>
    <row r="15" spans="1:24" ht="24.6" customHeight="1" x14ac:dyDescent="0.3">
      <c r="A15" s="161"/>
      <c r="B15" s="16">
        <f t="shared" si="10"/>
        <v>10</v>
      </c>
      <c r="C15" s="16" t="s">
        <v>32</v>
      </c>
      <c r="D15" s="74">
        <v>4.7000000000000002E-3</v>
      </c>
      <c r="E15" s="194">
        <v>767816.1</v>
      </c>
      <c r="F15" s="198">
        <f>E15</f>
        <v>767816.1</v>
      </c>
      <c r="G15" s="58">
        <f t="shared" si="0"/>
        <v>0</v>
      </c>
      <c r="H15" s="75">
        <f t="shared" si="11"/>
        <v>0</v>
      </c>
      <c r="I15" s="68">
        <f t="shared" si="6"/>
        <v>379177.030424</v>
      </c>
      <c r="J15" s="68">
        <f t="shared" si="1"/>
        <v>0</v>
      </c>
      <c r="K15" s="68">
        <f t="shared" si="7"/>
        <v>185936.29261027643</v>
      </c>
      <c r="L15" s="68">
        <f t="shared" si="8"/>
        <v>202702.7028</v>
      </c>
      <c r="M15" s="190">
        <f t="shared" si="9"/>
        <v>0</v>
      </c>
      <c r="N15" s="190">
        <v>0</v>
      </c>
      <c r="O15" s="190">
        <v>0</v>
      </c>
      <c r="P15" s="415">
        <f t="shared" si="2"/>
        <v>767816.1</v>
      </c>
      <c r="Q15" s="415"/>
      <c r="R15" s="232">
        <f t="shared" si="3"/>
        <v>791104.1</v>
      </c>
      <c r="S15" s="13">
        <f t="shared" si="4"/>
        <v>0.1</v>
      </c>
      <c r="T15" s="1">
        <f t="shared" si="5"/>
        <v>10</v>
      </c>
      <c r="U15" t="s">
        <v>238</v>
      </c>
    </row>
    <row r="16" spans="1:24" ht="24.6" customHeight="1" x14ac:dyDescent="0.3">
      <c r="A16" s="16"/>
      <c r="B16" s="16">
        <f t="shared" si="10"/>
        <v>11</v>
      </c>
      <c r="C16" s="16" t="s">
        <v>33</v>
      </c>
      <c r="D16" s="74">
        <v>4.7000000000000002E-3</v>
      </c>
      <c r="E16" s="194">
        <v>744528.11</v>
      </c>
      <c r="F16" s="198">
        <v>767110.11</v>
      </c>
      <c r="G16" s="58">
        <f t="shared" si="0"/>
        <v>-22582</v>
      </c>
      <c r="H16" s="75">
        <f t="shared" si="11"/>
        <v>0</v>
      </c>
      <c r="I16" s="68">
        <f t="shared" si="6"/>
        <v>379177.030424</v>
      </c>
      <c r="J16" s="68">
        <f t="shared" si="1"/>
        <v>0</v>
      </c>
      <c r="K16" s="68">
        <f t="shared" si="7"/>
        <v>185936.29261027643</v>
      </c>
      <c r="L16" s="68">
        <f t="shared" si="8"/>
        <v>202702.7028</v>
      </c>
      <c r="M16" s="190">
        <f t="shared" si="9"/>
        <v>0</v>
      </c>
      <c r="N16" s="190">
        <v>0</v>
      </c>
      <c r="O16" s="190">
        <v>0</v>
      </c>
      <c r="P16" s="415">
        <f t="shared" si="2"/>
        <v>745234.11</v>
      </c>
      <c r="Q16" s="415"/>
      <c r="R16" s="232">
        <f t="shared" si="3"/>
        <v>767837.11</v>
      </c>
      <c r="S16" s="76">
        <f t="shared" si="4"/>
        <v>0.11</v>
      </c>
      <c r="T16" s="57">
        <f t="shared" si="5"/>
        <v>11</v>
      </c>
      <c r="U16" t="s">
        <v>262</v>
      </c>
    </row>
    <row r="17" spans="1:22" ht="24.6" customHeight="1" x14ac:dyDescent="0.3">
      <c r="A17" s="16"/>
      <c r="B17" s="16">
        <f t="shared" si="10"/>
        <v>12</v>
      </c>
      <c r="C17" s="16" t="s">
        <v>34</v>
      </c>
      <c r="D17" s="74">
        <v>4.3E-3</v>
      </c>
      <c r="E17" s="194">
        <v>4254325.12</v>
      </c>
      <c r="F17" s="198">
        <v>800000.12</v>
      </c>
      <c r="G17" s="58">
        <f t="shared" si="0"/>
        <v>3454325</v>
      </c>
      <c r="H17" s="75">
        <f t="shared" si="11"/>
        <v>106635.01275000001</v>
      </c>
      <c r="I17" s="68">
        <f t="shared" si="6"/>
        <v>346906.64485600003</v>
      </c>
      <c r="J17" s="68">
        <f t="shared" si="1"/>
        <v>0</v>
      </c>
      <c r="K17" s="68">
        <f t="shared" si="7"/>
        <v>185936.29261027643</v>
      </c>
      <c r="L17" s="68">
        <f t="shared" si="8"/>
        <v>202702.7028</v>
      </c>
      <c r="M17" s="190">
        <f t="shared" si="9"/>
        <v>0</v>
      </c>
      <c r="N17" s="190">
        <v>0</v>
      </c>
      <c r="O17" s="190">
        <v>0</v>
      </c>
      <c r="P17" s="415">
        <f t="shared" si="2"/>
        <v>4296506.12</v>
      </c>
      <c r="Q17" s="415"/>
      <c r="R17" s="232">
        <f t="shared" si="3"/>
        <v>4426819.12</v>
      </c>
      <c r="S17" s="76">
        <f t="shared" si="4"/>
        <v>0.12</v>
      </c>
      <c r="T17" s="57">
        <f t="shared" si="5"/>
        <v>12</v>
      </c>
      <c r="U17" t="s">
        <v>255</v>
      </c>
    </row>
    <row r="18" spans="1:22" ht="24.6" customHeight="1" x14ac:dyDescent="0.3">
      <c r="A18" s="224"/>
      <c r="B18" s="16">
        <f t="shared" si="10"/>
        <v>13</v>
      </c>
      <c r="C18" s="16" t="s">
        <v>168</v>
      </c>
      <c r="D18" s="74">
        <v>4.5999999999999999E-3</v>
      </c>
      <c r="E18" s="194">
        <v>759748.13</v>
      </c>
      <c r="F18" s="198">
        <f>E18</f>
        <v>759748.13</v>
      </c>
      <c r="G18" s="58">
        <f t="shared" si="0"/>
        <v>0</v>
      </c>
      <c r="H18" s="75">
        <f t="shared" si="11"/>
        <v>0</v>
      </c>
      <c r="I18" s="68">
        <f t="shared" si="6"/>
        <v>371109.43403200002</v>
      </c>
      <c r="J18" s="68">
        <f t="shared" si="1"/>
        <v>0</v>
      </c>
      <c r="K18" s="68">
        <f t="shared" si="7"/>
        <v>185936.29261027643</v>
      </c>
      <c r="L18" s="68">
        <f t="shared" si="8"/>
        <v>202702.7028</v>
      </c>
      <c r="M18" s="190">
        <f t="shared" si="9"/>
        <v>0</v>
      </c>
      <c r="N18" s="190">
        <v>0</v>
      </c>
      <c r="O18" s="190">
        <v>0</v>
      </c>
      <c r="P18" s="415">
        <f t="shared" si="2"/>
        <v>759748.13</v>
      </c>
      <c r="Q18" s="415"/>
      <c r="R18" s="232">
        <f t="shared" si="3"/>
        <v>782791.13</v>
      </c>
      <c r="S18" s="13">
        <f t="shared" si="4"/>
        <v>0.13</v>
      </c>
      <c r="T18" s="1">
        <f t="shared" si="5"/>
        <v>13</v>
      </c>
    </row>
    <row r="19" spans="1:22" ht="24.6" customHeight="1" x14ac:dyDescent="0.3">
      <c r="A19" s="16"/>
      <c r="B19" s="166">
        <f t="shared" si="10"/>
        <v>14</v>
      </c>
      <c r="C19" s="166" t="s">
        <v>35</v>
      </c>
      <c r="D19" s="74">
        <v>4.7000000000000002E-3</v>
      </c>
      <c r="E19" s="194">
        <v>875424.14</v>
      </c>
      <c r="F19" s="198">
        <f>548589.71+167000+160194</f>
        <v>875783.71</v>
      </c>
      <c r="G19" s="58">
        <f t="shared" si="0"/>
        <v>-359.56999999994878</v>
      </c>
      <c r="H19" s="75">
        <f t="shared" si="11"/>
        <v>0</v>
      </c>
      <c r="I19" s="68">
        <f t="shared" si="6"/>
        <v>379177.030424</v>
      </c>
      <c r="J19" s="68">
        <f t="shared" si="1"/>
        <v>0</v>
      </c>
      <c r="K19" s="68">
        <f t="shared" si="7"/>
        <v>185936.29261027643</v>
      </c>
      <c r="L19" s="68">
        <f t="shared" si="8"/>
        <v>202702.7028</v>
      </c>
      <c r="M19" s="190">
        <f t="shared" si="9"/>
        <v>0</v>
      </c>
      <c r="N19" s="190">
        <v>0</v>
      </c>
      <c r="O19" s="190">
        <v>0</v>
      </c>
      <c r="P19" s="415">
        <f t="shared" si="2"/>
        <v>767456.14</v>
      </c>
      <c r="Q19" s="415"/>
      <c r="R19" s="232">
        <f t="shared" si="3"/>
        <v>790733.14</v>
      </c>
      <c r="S19" s="13">
        <f t="shared" si="4"/>
        <v>0.14000000000000001</v>
      </c>
      <c r="T19" s="1">
        <f t="shared" si="5"/>
        <v>14</v>
      </c>
      <c r="U19" t="s">
        <v>323</v>
      </c>
    </row>
    <row r="20" spans="1:22" ht="24.6" customHeight="1" x14ac:dyDescent="0.3">
      <c r="A20" s="16"/>
      <c r="B20" s="16">
        <f t="shared" si="10"/>
        <v>15</v>
      </c>
      <c r="C20" s="16" t="s">
        <v>289</v>
      </c>
      <c r="D20" s="74">
        <v>4.4000000000000003E-3</v>
      </c>
      <c r="E20" s="194">
        <v>766167.15</v>
      </c>
      <c r="F20" s="198">
        <f t="shared" ref="F20:F21" si="12">E20</f>
        <v>766167.15</v>
      </c>
      <c r="G20" s="58">
        <f t="shared" si="0"/>
        <v>0</v>
      </c>
      <c r="H20" s="75">
        <f t="shared" si="11"/>
        <v>0</v>
      </c>
      <c r="I20" s="68">
        <f t="shared" si="6"/>
        <v>354974.24124800001</v>
      </c>
      <c r="J20" s="68">
        <f t="shared" si="1"/>
        <v>0</v>
      </c>
      <c r="K20" s="68">
        <f t="shared" si="7"/>
        <v>185936.29261027643</v>
      </c>
      <c r="L20" s="68">
        <f t="shared" si="8"/>
        <v>202702.7028</v>
      </c>
      <c r="M20" s="190">
        <f t="shared" si="9"/>
        <v>0</v>
      </c>
      <c r="N20" s="190">
        <v>0</v>
      </c>
      <c r="O20" s="190">
        <v>0</v>
      </c>
      <c r="P20" s="415">
        <f t="shared" si="2"/>
        <v>743613.15</v>
      </c>
      <c r="Q20" s="415"/>
      <c r="R20" s="232">
        <f t="shared" si="3"/>
        <v>766167.15</v>
      </c>
      <c r="S20" s="76">
        <f t="shared" si="4"/>
        <v>0.15</v>
      </c>
      <c r="T20" s="57">
        <f t="shared" si="5"/>
        <v>15</v>
      </c>
      <c r="U20" t="s">
        <v>290</v>
      </c>
    </row>
    <row r="21" spans="1:22" ht="24.6" customHeight="1" x14ac:dyDescent="0.3">
      <c r="A21" s="16"/>
      <c r="B21" s="16">
        <f t="shared" si="10"/>
        <v>16</v>
      </c>
      <c r="C21" s="16" t="s">
        <v>169</v>
      </c>
      <c r="D21" s="74">
        <v>4.5999999999999999E-3</v>
      </c>
      <c r="E21" s="194">
        <v>759748.16</v>
      </c>
      <c r="F21" s="198">
        <f t="shared" si="12"/>
        <v>759748.16</v>
      </c>
      <c r="G21" s="58">
        <f t="shared" si="0"/>
        <v>0</v>
      </c>
      <c r="H21" s="75">
        <f t="shared" si="11"/>
        <v>0</v>
      </c>
      <c r="I21" s="68">
        <f t="shared" si="6"/>
        <v>371109.43403200002</v>
      </c>
      <c r="J21" s="68">
        <f t="shared" si="1"/>
        <v>0</v>
      </c>
      <c r="K21" s="68">
        <f t="shared" si="7"/>
        <v>185936.29261027643</v>
      </c>
      <c r="L21" s="68">
        <f t="shared" si="8"/>
        <v>202702.7028</v>
      </c>
      <c r="M21" s="190">
        <f t="shared" si="9"/>
        <v>0</v>
      </c>
      <c r="N21" s="190">
        <v>0</v>
      </c>
      <c r="O21" s="284">
        <v>97321.42</v>
      </c>
      <c r="P21" s="415">
        <f t="shared" si="2"/>
        <v>857070.16</v>
      </c>
      <c r="Q21" s="415"/>
      <c r="R21" s="232">
        <f t="shared" si="3"/>
        <v>883065.16</v>
      </c>
      <c r="S21" s="13">
        <f t="shared" si="4"/>
        <v>0.16</v>
      </c>
      <c r="T21" s="1">
        <f t="shared" si="5"/>
        <v>16</v>
      </c>
    </row>
    <row r="22" spans="1:22" ht="24.6" customHeight="1" x14ac:dyDescent="0.3">
      <c r="A22" s="258"/>
      <c r="B22" s="258">
        <f t="shared" si="10"/>
        <v>17</v>
      </c>
      <c r="C22" s="258" t="s">
        <v>36</v>
      </c>
      <c r="D22" s="74">
        <v>4.5999999999999999E-3</v>
      </c>
      <c r="E22" s="194">
        <v>2081975.17</v>
      </c>
      <c r="F22" s="198">
        <f>300000+452500+250000+400000</f>
        <v>1402500</v>
      </c>
      <c r="G22" s="58">
        <f t="shared" si="0"/>
        <v>679475.16999999993</v>
      </c>
      <c r="H22" s="75">
        <f t="shared" si="11"/>
        <v>20975.398497899998</v>
      </c>
      <c r="I22" s="68">
        <f t="shared" si="6"/>
        <v>371109.43403200002</v>
      </c>
      <c r="J22" s="68">
        <f t="shared" si="1"/>
        <v>0</v>
      </c>
      <c r="K22" s="68">
        <f t="shared" si="7"/>
        <v>185936.29261027643</v>
      </c>
      <c r="L22" s="68">
        <f t="shared" si="8"/>
        <v>202702.7028</v>
      </c>
      <c r="M22" s="190">
        <f t="shared" si="9"/>
        <v>0</v>
      </c>
      <c r="N22" s="190">
        <v>0</v>
      </c>
      <c r="O22" s="190">
        <v>0</v>
      </c>
      <c r="P22" s="415">
        <f t="shared" si="2"/>
        <v>1460199.17</v>
      </c>
      <c r="Q22" s="415"/>
      <c r="R22" s="232">
        <f t="shared" si="3"/>
        <v>1504487.17</v>
      </c>
      <c r="S22" s="13">
        <f t="shared" si="4"/>
        <v>0.17</v>
      </c>
      <c r="T22" s="1">
        <f t="shared" si="5"/>
        <v>17</v>
      </c>
      <c r="U22" t="s">
        <v>209</v>
      </c>
    </row>
    <row r="23" spans="1:22" ht="24.6" customHeight="1" x14ac:dyDescent="0.3">
      <c r="A23" s="16"/>
      <c r="B23" s="16">
        <f t="shared" si="10"/>
        <v>18</v>
      </c>
      <c r="C23" s="16" t="s">
        <v>37</v>
      </c>
      <c r="D23" s="74">
        <v>4.5999999999999999E-3</v>
      </c>
      <c r="E23" s="194">
        <v>950930.18</v>
      </c>
      <c r="F23" s="198">
        <f>775375.18+185555</f>
        <v>960930.18</v>
      </c>
      <c r="G23" s="58">
        <f t="shared" si="0"/>
        <v>-10000</v>
      </c>
      <c r="H23" s="75">
        <f t="shared" si="11"/>
        <v>0</v>
      </c>
      <c r="I23" s="68">
        <f t="shared" si="6"/>
        <v>371109.43403200002</v>
      </c>
      <c r="J23" s="68">
        <f t="shared" si="1"/>
        <v>0</v>
      </c>
      <c r="K23" s="68">
        <f t="shared" si="7"/>
        <v>185936.29261027643</v>
      </c>
      <c r="L23" s="68">
        <f t="shared" si="8"/>
        <v>202702.7028</v>
      </c>
      <c r="M23" s="190">
        <f t="shared" si="9"/>
        <v>0</v>
      </c>
      <c r="N23" s="190">
        <v>0</v>
      </c>
      <c r="O23" s="190">
        <v>0</v>
      </c>
      <c r="P23" s="415">
        <f t="shared" si="2"/>
        <v>749748.18</v>
      </c>
      <c r="Q23" s="415"/>
      <c r="R23" s="232">
        <f t="shared" si="3"/>
        <v>772488.18</v>
      </c>
      <c r="S23" s="13">
        <f t="shared" si="4"/>
        <v>0.18</v>
      </c>
      <c r="T23" s="1">
        <f t="shared" si="5"/>
        <v>18</v>
      </c>
      <c r="U23" t="s">
        <v>296</v>
      </c>
    </row>
    <row r="24" spans="1:22" ht="24.6" customHeight="1" x14ac:dyDescent="0.3">
      <c r="A24" s="16"/>
      <c r="B24" s="16">
        <f t="shared" si="10"/>
        <v>19</v>
      </c>
      <c r="C24" s="16" t="s">
        <v>38</v>
      </c>
      <c r="D24" s="74">
        <v>4.7000000000000002E-3</v>
      </c>
      <c r="E24" s="194">
        <v>745213.19</v>
      </c>
      <c r="F24" s="198">
        <v>767816.19</v>
      </c>
      <c r="G24" s="58">
        <f t="shared" si="0"/>
        <v>-22603</v>
      </c>
      <c r="H24" s="75">
        <f t="shared" si="11"/>
        <v>0</v>
      </c>
      <c r="I24" s="68">
        <f t="shared" si="6"/>
        <v>379177.030424</v>
      </c>
      <c r="J24" s="68">
        <f t="shared" si="1"/>
        <v>0</v>
      </c>
      <c r="K24" s="68">
        <f t="shared" si="7"/>
        <v>185936.29261027643</v>
      </c>
      <c r="L24" s="68">
        <f t="shared" si="8"/>
        <v>202702.7028</v>
      </c>
      <c r="M24" s="190">
        <f t="shared" si="9"/>
        <v>0</v>
      </c>
      <c r="N24" s="190">
        <v>0</v>
      </c>
      <c r="O24" s="190">
        <v>0</v>
      </c>
      <c r="P24" s="415">
        <f t="shared" si="2"/>
        <v>745213.19</v>
      </c>
      <c r="Q24" s="415"/>
      <c r="R24" s="232">
        <f t="shared" si="3"/>
        <v>767816.19</v>
      </c>
      <c r="S24" s="13">
        <f t="shared" si="4"/>
        <v>0.19</v>
      </c>
      <c r="T24" s="1">
        <f t="shared" si="5"/>
        <v>19</v>
      </c>
    </row>
    <row r="25" spans="1:22" ht="24.6" customHeight="1" x14ac:dyDescent="0.3">
      <c r="A25" s="16"/>
      <c r="B25" s="16">
        <f t="shared" si="10"/>
        <v>20</v>
      </c>
      <c r="C25" s="16" t="s">
        <v>39</v>
      </c>
      <c r="D25" s="74">
        <v>4.7000000000000002E-3</v>
      </c>
      <c r="E25" s="194">
        <v>767816.2</v>
      </c>
      <c r="F25" s="198">
        <f>E25</f>
        <v>767816.2</v>
      </c>
      <c r="G25" s="58">
        <f t="shared" si="0"/>
        <v>0</v>
      </c>
      <c r="H25" s="75">
        <f t="shared" si="11"/>
        <v>0</v>
      </c>
      <c r="I25" s="68">
        <f t="shared" si="6"/>
        <v>379177.030424</v>
      </c>
      <c r="J25" s="68">
        <f t="shared" si="1"/>
        <v>0</v>
      </c>
      <c r="K25" s="68">
        <f t="shared" si="7"/>
        <v>185936.29261027643</v>
      </c>
      <c r="L25" s="68">
        <f t="shared" si="8"/>
        <v>202702.7028</v>
      </c>
      <c r="M25" s="190">
        <f t="shared" si="9"/>
        <v>0</v>
      </c>
      <c r="N25" s="190">
        <v>0</v>
      </c>
      <c r="O25" s="190">
        <v>0</v>
      </c>
      <c r="P25" s="415">
        <f t="shared" si="2"/>
        <v>767816.2</v>
      </c>
      <c r="Q25" s="415"/>
      <c r="R25" s="232">
        <f t="shared" si="3"/>
        <v>791104.2</v>
      </c>
      <c r="S25" s="13">
        <f t="shared" si="4"/>
        <v>0.2</v>
      </c>
      <c r="T25" s="1">
        <f t="shared" si="5"/>
        <v>20</v>
      </c>
    </row>
    <row r="26" spans="1:22" ht="24.6" customHeight="1" x14ac:dyDescent="0.3">
      <c r="A26" s="16"/>
      <c r="B26" s="16">
        <f t="shared" si="10"/>
        <v>21</v>
      </c>
      <c r="C26" s="16" t="s">
        <v>40</v>
      </c>
      <c r="D26" s="74">
        <v>4.7000000000000002E-3</v>
      </c>
      <c r="E26" s="194">
        <v>767816.21</v>
      </c>
      <c r="F26" s="198">
        <f>E26</f>
        <v>767816.21</v>
      </c>
      <c r="G26" s="58">
        <f t="shared" si="0"/>
        <v>0</v>
      </c>
      <c r="H26" s="75">
        <f t="shared" si="11"/>
        <v>0</v>
      </c>
      <c r="I26" s="68">
        <f t="shared" si="6"/>
        <v>379177.030424</v>
      </c>
      <c r="J26" s="68">
        <f t="shared" si="1"/>
        <v>0</v>
      </c>
      <c r="K26" s="68">
        <f t="shared" si="7"/>
        <v>185936.29261027643</v>
      </c>
      <c r="L26" s="68">
        <f t="shared" si="8"/>
        <v>202702.7028</v>
      </c>
      <c r="M26" s="190">
        <f t="shared" si="9"/>
        <v>0</v>
      </c>
      <c r="N26" s="190">
        <v>0</v>
      </c>
      <c r="O26" s="190">
        <v>0</v>
      </c>
      <c r="P26" s="415">
        <f t="shared" si="2"/>
        <v>767816.21</v>
      </c>
      <c r="Q26" s="415"/>
      <c r="R26" s="232">
        <f t="shared" si="3"/>
        <v>791104.21</v>
      </c>
      <c r="S26" s="13">
        <f t="shared" si="4"/>
        <v>0.21</v>
      </c>
      <c r="T26" s="1">
        <f t="shared" si="5"/>
        <v>21</v>
      </c>
      <c r="U26" t="s">
        <v>201</v>
      </c>
      <c r="V26" t="s">
        <v>201</v>
      </c>
    </row>
    <row r="27" spans="1:22" ht="24.6" customHeight="1" x14ac:dyDescent="0.3">
      <c r="A27" s="16"/>
      <c r="B27" s="16">
        <f t="shared" si="10"/>
        <v>22</v>
      </c>
      <c r="C27" s="16" t="s">
        <v>41</v>
      </c>
      <c r="D27" s="74">
        <v>4.7000000000000002E-3</v>
      </c>
      <c r="E27" s="194">
        <v>744528.22</v>
      </c>
      <c r="F27" s="198">
        <v>767110.22</v>
      </c>
      <c r="G27" s="58">
        <f t="shared" si="0"/>
        <v>-22582</v>
      </c>
      <c r="H27" s="75">
        <f t="shared" si="11"/>
        <v>0</v>
      </c>
      <c r="I27" s="68">
        <f t="shared" si="6"/>
        <v>379177.030424</v>
      </c>
      <c r="J27" s="68">
        <f t="shared" si="1"/>
        <v>0</v>
      </c>
      <c r="K27" s="68">
        <f t="shared" si="7"/>
        <v>185936.29261027643</v>
      </c>
      <c r="L27" s="68">
        <f t="shared" si="8"/>
        <v>202702.7028</v>
      </c>
      <c r="M27" s="190">
        <f t="shared" si="9"/>
        <v>0</v>
      </c>
      <c r="N27" s="190">
        <v>0</v>
      </c>
      <c r="O27" s="190">
        <v>0</v>
      </c>
      <c r="P27" s="415">
        <f t="shared" si="2"/>
        <v>745234.22</v>
      </c>
      <c r="Q27" s="415"/>
      <c r="R27" s="232">
        <f t="shared" si="3"/>
        <v>767837.22</v>
      </c>
      <c r="S27" s="13">
        <f t="shared" si="4"/>
        <v>0.22</v>
      </c>
      <c r="T27" s="1">
        <f t="shared" si="5"/>
        <v>22</v>
      </c>
      <c r="U27" t="s">
        <v>286</v>
      </c>
    </row>
    <row r="28" spans="1:22" ht="24.6" customHeight="1" x14ac:dyDescent="0.3">
      <c r="A28" s="163"/>
      <c r="B28" s="302">
        <f t="shared" si="10"/>
        <v>23</v>
      </c>
      <c r="C28" s="302" t="s">
        <v>42</v>
      </c>
      <c r="D28" s="74">
        <v>4.7000000000000002E-3</v>
      </c>
      <c r="E28" s="194">
        <v>791104.23</v>
      </c>
      <c r="F28" s="198">
        <f>E28</f>
        <v>791104.23</v>
      </c>
      <c r="G28" s="58">
        <f t="shared" si="0"/>
        <v>0</v>
      </c>
      <c r="H28" s="75">
        <f t="shared" si="11"/>
        <v>0</v>
      </c>
      <c r="I28" s="68">
        <f t="shared" si="6"/>
        <v>379177.030424</v>
      </c>
      <c r="J28" s="68">
        <f t="shared" si="1"/>
        <v>0</v>
      </c>
      <c r="K28" s="68">
        <f t="shared" si="7"/>
        <v>185936.29261027643</v>
      </c>
      <c r="L28" s="68">
        <f t="shared" si="8"/>
        <v>202702.7028</v>
      </c>
      <c r="M28" s="190">
        <f t="shared" si="9"/>
        <v>0</v>
      </c>
      <c r="N28" s="190">
        <v>0</v>
      </c>
      <c r="O28" s="190">
        <v>0</v>
      </c>
      <c r="P28" s="415">
        <f t="shared" si="2"/>
        <v>767816.23</v>
      </c>
      <c r="Q28" s="415"/>
      <c r="R28" s="232">
        <f t="shared" si="3"/>
        <v>791104.23</v>
      </c>
      <c r="S28" s="13">
        <f t="shared" si="4"/>
        <v>0.23</v>
      </c>
      <c r="T28" s="1">
        <f t="shared" si="5"/>
        <v>23</v>
      </c>
      <c r="U28" t="s">
        <v>283</v>
      </c>
    </row>
    <row r="29" spans="1:22" ht="24.6" customHeight="1" x14ac:dyDescent="0.3">
      <c r="A29" s="16"/>
      <c r="B29" s="16">
        <f t="shared" si="10"/>
        <v>24</v>
      </c>
      <c r="C29" s="16" t="s">
        <v>43</v>
      </c>
      <c r="D29" s="74">
        <v>4.7000000000000002E-3</v>
      </c>
      <c r="E29" s="194">
        <v>745213.24</v>
      </c>
      <c r="F29" s="198">
        <v>767816.24</v>
      </c>
      <c r="G29" s="58">
        <f t="shared" si="0"/>
        <v>-22603</v>
      </c>
      <c r="H29" s="75">
        <f t="shared" si="11"/>
        <v>0</v>
      </c>
      <c r="I29" s="68">
        <f t="shared" si="6"/>
        <v>379177.030424</v>
      </c>
      <c r="J29" s="68">
        <f t="shared" si="1"/>
        <v>0</v>
      </c>
      <c r="K29" s="68">
        <f t="shared" si="7"/>
        <v>185936.29261027643</v>
      </c>
      <c r="L29" s="68">
        <f t="shared" si="8"/>
        <v>202702.7028</v>
      </c>
      <c r="M29" s="190">
        <f t="shared" si="9"/>
        <v>0</v>
      </c>
      <c r="N29" s="190">
        <v>0</v>
      </c>
      <c r="O29" s="190">
        <v>0</v>
      </c>
      <c r="P29" s="415">
        <f t="shared" si="2"/>
        <v>745213.24</v>
      </c>
      <c r="Q29" s="415"/>
      <c r="R29" s="232">
        <f t="shared" si="3"/>
        <v>767816.24</v>
      </c>
      <c r="S29" s="13">
        <f t="shared" si="4"/>
        <v>0.24</v>
      </c>
      <c r="T29" s="1">
        <f t="shared" si="5"/>
        <v>24</v>
      </c>
      <c r="U29" t="s">
        <v>317</v>
      </c>
    </row>
    <row r="30" spans="1:22" ht="24.6" customHeight="1" x14ac:dyDescent="0.3">
      <c r="A30" s="16"/>
      <c r="B30" s="16">
        <f t="shared" si="10"/>
        <v>25</v>
      </c>
      <c r="C30" s="16" t="s">
        <v>44</v>
      </c>
      <c r="D30" s="74">
        <v>4.7999999999999996E-3</v>
      </c>
      <c r="E30" s="194">
        <v>799417.25</v>
      </c>
      <c r="F30" s="198">
        <f>E30</f>
        <v>799417.25</v>
      </c>
      <c r="G30" s="58">
        <f t="shared" si="0"/>
        <v>0</v>
      </c>
      <c r="H30" s="75">
        <f t="shared" si="11"/>
        <v>0</v>
      </c>
      <c r="I30" s="68">
        <f t="shared" si="6"/>
        <v>387244.62681599997</v>
      </c>
      <c r="J30" s="68">
        <f t="shared" si="1"/>
        <v>0</v>
      </c>
      <c r="K30" s="68">
        <f t="shared" si="7"/>
        <v>185936.29261027643</v>
      </c>
      <c r="L30" s="68">
        <f t="shared" si="8"/>
        <v>202702.7028</v>
      </c>
      <c r="M30" s="190">
        <f t="shared" si="9"/>
        <v>0</v>
      </c>
      <c r="N30" s="190">
        <v>0</v>
      </c>
      <c r="O30" s="190">
        <v>0</v>
      </c>
      <c r="P30" s="415">
        <f t="shared" si="2"/>
        <v>775884.25</v>
      </c>
      <c r="Q30" s="415"/>
      <c r="R30" s="232">
        <f t="shared" si="3"/>
        <v>799417.25</v>
      </c>
      <c r="S30" s="13">
        <f t="shared" si="4"/>
        <v>0.25</v>
      </c>
      <c r="T30" s="1">
        <f t="shared" si="5"/>
        <v>25</v>
      </c>
      <c r="V30" t="s">
        <v>266</v>
      </c>
    </row>
    <row r="31" spans="1:22" ht="24.6" customHeight="1" x14ac:dyDescent="0.3">
      <c r="A31" s="162"/>
      <c r="B31" s="16">
        <f t="shared" si="10"/>
        <v>26</v>
      </c>
      <c r="C31" s="16" t="s">
        <v>45</v>
      </c>
      <c r="D31" s="74">
        <v>4.7999999999999996E-3</v>
      </c>
      <c r="E31" s="194">
        <v>799417.26</v>
      </c>
      <c r="F31" s="198">
        <f>E31</f>
        <v>799417.26</v>
      </c>
      <c r="G31" s="58">
        <f t="shared" si="0"/>
        <v>0</v>
      </c>
      <c r="H31" s="75">
        <f t="shared" si="11"/>
        <v>0</v>
      </c>
      <c r="I31" s="68">
        <f t="shared" si="6"/>
        <v>387244.62681599997</v>
      </c>
      <c r="J31" s="68">
        <f t="shared" si="1"/>
        <v>0</v>
      </c>
      <c r="K31" s="68">
        <f t="shared" si="7"/>
        <v>185936.29261027643</v>
      </c>
      <c r="L31" s="68">
        <f t="shared" si="8"/>
        <v>202702.7028</v>
      </c>
      <c r="M31" s="190">
        <f t="shared" si="9"/>
        <v>0</v>
      </c>
      <c r="N31" s="190">
        <v>0</v>
      </c>
      <c r="O31" s="190">
        <v>0</v>
      </c>
      <c r="P31" s="415">
        <f t="shared" si="2"/>
        <v>775884.26</v>
      </c>
      <c r="Q31" s="415"/>
      <c r="R31" s="232">
        <f t="shared" si="3"/>
        <v>799417.26</v>
      </c>
      <c r="S31" s="76">
        <f t="shared" si="4"/>
        <v>0.26</v>
      </c>
      <c r="T31" s="57">
        <f t="shared" si="5"/>
        <v>26</v>
      </c>
      <c r="V31" t="s">
        <v>196</v>
      </c>
    </row>
    <row r="32" spans="1:22" ht="24.6" customHeight="1" x14ac:dyDescent="0.3">
      <c r="A32" s="16"/>
      <c r="B32" s="16">
        <f t="shared" si="10"/>
        <v>27</v>
      </c>
      <c r="C32" s="16" t="s">
        <v>46</v>
      </c>
      <c r="D32" s="74">
        <v>4.7999999999999996E-3</v>
      </c>
      <c r="E32" s="194">
        <v>775884.27</v>
      </c>
      <c r="F32" s="198">
        <v>775824.27</v>
      </c>
      <c r="G32" s="58">
        <f t="shared" si="0"/>
        <v>60</v>
      </c>
      <c r="H32" s="75">
        <f t="shared" si="11"/>
        <v>1.8522000000000001</v>
      </c>
      <c r="I32" s="68">
        <f t="shared" si="6"/>
        <v>387244.62681599997</v>
      </c>
      <c r="J32" s="68">
        <f t="shared" si="1"/>
        <v>0</v>
      </c>
      <c r="K32" s="68">
        <f t="shared" si="7"/>
        <v>185936.29261027643</v>
      </c>
      <c r="L32" s="68">
        <f t="shared" si="8"/>
        <v>202702.7028</v>
      </c>
      <c r="M32" s="190">
        <f t="shared" si="9"/>
        <v>0</v>
      </c>
      <c r="N32" s="190">
        <v>0</v>
      </c>
      <c r="O32" s="190">
        <v>0</v>
      </c>
      <c r="P32" s="415">
        <f t="shared" si="2"/>
        <v>775945.27</v>
      </c>
      <c r="Q32" s="415"/>
      <c r="R32" s="232">
        <f t="shared" si="3"/>
        <v>799480.27</v>
      </c>
      <c r="S32" s="13">
        <f t="shared" si="4"/>
        <v>0.27</v>
      </c>
      <c r="T32" s="1">
        <f t="shared" si="5"/>
        <v>27</v>
      </c>
    </row>
    <row r="33" spans="1:21" ht="24.6" customHeight="1" x14ac:dyDescent="0.3">
      <c r="A33" s="226"/>
      <c r="B33" s="16">
        <f t="shared" si="10"/>
        <v>28</v>
      </c>
      <c r="C33" s="16" t="s">
        <v>47</v>
      </c>
      <c r="D33" s="74">
        <v>4.4999999999999997E-3</v>
      </c>
      <c r="E33" s="194">
        <v>700790.28</v>
      </c>
      <c r="F33" s="198">
        <v>790000</v>
      </c>
      <c r="G33" s="58">
        <f t="shared" si="0"/>
        <v>-89209.719999999972</v>
      </c>
      <c r="H33" s="75">
        <f t="shared" si="11"/>
        <v>0</v>
      </c>
      <c r="I33" s="68">
        <f t="shared" si="6"/>
        <v>363041.83763999998</v>
      </c>
      <c r="J33" s="68">
        <f t="shared" si="1"/>
        <v>0</v>
      </c>
      <c r="K33" s="68">
        <f t="shared" si="7"/>
        <v>185936.29261027643</v>
      </c>
      <c r="L33" s="68">
        <f t="shared" si="8"/>
        <v>202702.7028</v>
      </c>
      <c r="M33" s="190">
        <f t="shared" si="9"/>
        <v>0</v>
      </c>
      <c r="N33" s="190">
        <v>0</v>
      </c>
      <c r="O33" s="190">
        <v>0</v>
      </c>
      <c r="P33" s="415">
        <f t="shared" si="2"/>
        <v>662471.28</v>
      </c>
      <c r="Q33" s="415"/>
      <c r="R33" s="232">
        <f t="shared" si="3"/>
        <v>682564.28</v>
      </c>
      <c r="S33" s="13">
        <f t="shared" si="4"/>
        <v>0.28000000000000003</v>
      </c>
      <c r="T33" s="1">
        <f t="shared" si="5"/>
        <v>28</v>
      </c>
      <c r="U33" t="s">
        <v>295</v>
      </c>
    </row>
    <row r="34" spans="1:21" ht="24.6" customHeight="1" x14ac:dyDescent="0.3">
      <c r="A34" s="16"/>
      <c r="B34" s="16">
        <f t="shared" si="10"/>
        <v>29</v>
      </c>
      <c r="C34" s="16" t="s">
        <v>48</v>
      </c>
      <c r="D34" s="74">
        <v>4.7999999999999996E-3</v>
      </c>
      <c r="E34" s="194">
        <v>775884.29</v>
      </c>
      <c r="F34" s="198">
        <v>799417.29</v>
      </c>
      <c r="G34" s="58">
        <f t="shared" si="0"/>
        <v>-23533</v>
      </c>
      <c r="H34" s="75">
        <f t="shared" si="11"/>
        <v>0</v>
      </c>
      <c r="I34" s="68">
        <f t="shared" si="6"/>
        <v>387244.62681599997</v>
      </c>
      <c r="J34" s="68">
        <f t="shared" si="1"/>
        <v>0</v>
      </c>
      <c r="K34" s="68">
        <f t="shared" si="7"/>
        <v>185936.29261027643</v>
      </c>
      <c r="L34" s="68">
        <f t="shared" si="8"/>
        <v>202702.7028</v>
      </c>
      <c r="M34" s="190">
        <f t="shared" si="9"/>
        <v>0</v>
      </c>
      <c r="N34" s="190">
        <v>0</v>
      </c>
      <c r="O34" s="190">
        <v>0</v>
      </c>
      <c r="P34" s="415">
        <f t="shared" si="2"/>
        <v>752351.29</v>
      </c>
      <c r="Q34" s="415"/>
      <c r="R34" s="232">
        <f t="shared" si="3"/>
        <v>775170.29</v>
      </c>
      <c r="S34" s="13">
        <f t="shared" si="4"/>
        <v>0.28999999999999998</v>
      </c>
      <c r="T34" s="1">
        <f t="shared" si="5"/>
        <v>29</v>
      </c>
      <c r="U34" t="s">
        <v>205</v>
      </c>
    </row>
    <row r="35" spans="1:21" ht="24.6" customHeight="1" x14ac:dyDescent="0.3">
      <c r="A35" s="16"/>
      <c r="B35" s="16">
        <f t="shared" si="10"/>
        <v>30</v>
      </c>
      <c r="C35" s="16" t="s">
        <v>49</v>
      </c>
      <c r="D35" s="74">
        <v>4.4999999999999997E-3</v>
      </c>
      <c r="E35" s="194">
        <v>728882.3</v>
      </c>
      <c r="F35" s="198">
        <v>750989.3</v>
      </c>
      <c r="G35" s="58">
        <f t="shared" si="0"/>
        <v>-22107</v>
      </c>
      <c r="H35" s="75">
        <f t="shared" si="11"/>
        <v>0</v>
      </c>
      <c r="I35" s="68">
        <f t="shared" si="6"/>
        <v>363041.83763999998</v>
      </c>
      <c r="J35" s="68">
        <f t="shared" si="1"/>
        <v>0</v>
      </c>
      <c r="K35" s="68">
        <f t="shared" si="7"/>
        <v>185936.29261027643</v>
      </c>
      <c r="L35" s="68">
        <f t="shared" si="8"/>
        <v>202702.7028</v>
      </c>
      <c r="M35" s="190">
        <f t="shared" si="9"/>
        <v>0</v>
      </c>
      <c r="N35" s="190">
        <v>0</v>
      </c>
      <c r="O35" s="190">
        <v>0</v>
      </c>
      <c r="P35" s="415">
        <f t="shared" si="2"/>
        <v>729574.3</v>
      </c>
      <c r="Q35" s="415"/>
      <c r="R35" s="232">
        <f t="shared" si="3"/>
        <v>751702.3</v>
      </c>
      <c r="S35" s="13">
        <f t="shared" si="4"/>
        <v>0.3</v>
      </c>
      <c r="T35" s="1">
        <f t="shared" si="5"/>
        <v>30</v>
      </c>
      <c r="U35" t="s">
        <v>250</v>
      </c>
    </row>
    <row r="36" spans="1:21" ht="24.6" customHeight="1" x14ac:dyDescent="0.3">
      <c r="A36" s="223"/>
      <c r="B36" s="16">
        <f t="shared" si="10"/>
        <v>31</v>
      </c>
      <c r="C36" s="16" t="s">
        <v>50</v>
      </c>
      <c r="D36" s="74">
        <v>4.4999999999999997E-3</v>
      </c>
      <c r="E36" s="194">
        <v>71291.31</v>
      </c>
      <c r="F36" s="198"/>
      <c r="G36" s="58">
        <f t="shared" si="0"/>
        <v>71291.31</v>
      </c>
      <c r="H36" s="75">
        <f t="shared" si="11"/>
        <v>2200.7627397000001</v>
      </c>
      <c r="I36" s="68">
        <f t="shared" si="6"/>
        <v>363041.83763999998</v>
      </c>
      <c r="J36" s="68">
        <f t="shared" si="1"/>
        <v>0</v>
      </c>
      <c r="K36" s="68">
        <f t="shared" si="7"/>
        <v>185936.29261027643</v>
      </c>
      <c r="L36" s="68">
        <f t="shared" si="8"/>
        <v>202702.7028</v>
      </c>
      <c r="M36" s="190">
        <f t="shared" si="9"/>
        <v>0</v>
      </c>
      <c r="N36" s="190">
        <v>0</v>
      </c>
      <c r="O36" s="190">
        <v>0</v>
      </c>
      <c r="P36" s="415">
        <f t="shared" si="2"/>
        <v>825173.31</v>
      </c>
      <c r="Q36" s="415"/>
      <c r="R36" s="232">
        <f t="shared" si="3"/>
        <v>850201.31</v>
      </c>
      <c r="S36" s="13">
        <f t="shared" si="4"/>
        <v>0.31</v>
      </c>
      <c r="T36" s="1">
        <f t="shared" si="5"/>
        <v>31</v>
      </c>
      <c r="U36" s="61" t="s">
        <v>261</v>
      </c>
    </row>
    <row r="37" spans="1:21" ht="24.6" customHeight="1" x14ac:dyDescent="0.3">
      <c r="A37" s="162"/>
      <c r="B37" s="225">
        <f t="shared" si="10"/>
        <v>32</v>
      </c>
      <c r="C37" s="225" t="s">
        <v>51</v>
      </c>
      <c r="D37" s="74">
        <v>4.4999999999999997E-3</v>
      </c>
      <c r="E37" s="194">
        <v>618394.31999999995</v>
      </c>
      <c r="F37" s="198">
        <f>4526181.66-F21-F38-F151-F152-F154</f>
        <v>751638.32</v>
      </c>
      <c r="G37" s="58">
        <f t="shared" si="0"/>
        <v>-133244</v>
      </c>
      <c r="H37" s="75">
        <f t="shared" si="11"/>
        <v>0</v>
      </c>
      <c r="I37" s="68">
        <f t="shared" si="6"/>
        <v>363041.83763999998</v>
      </c>
      <c r="J37" s="68">
        <f t="shared" si="1"/>
        <v>0</v>
      </c>
      <c r="K37" s="68">
        <f t="shared" si="7"/>
        <v>185936.29261027643</v>
      </c>
      <c r="L37" s="68">
        <f t="shared" si="8"/>
        <v>202702.7028</v>
      </c>
      <c r="M37" s="190">
        <f t="shared" si="9"/>
        <v>0</v>
      </c>
      <c r="N37" s="190">
        <v>0</v>
      </c>
      <c r="O37" s="190">
        <v>0</v>
      </c>
      <c r="P37" s="415">
        <f t="shared" si="2"/>
        <v>618437.31999999995</v>
      </c>
      <c r="Q37" s="415"/>
      <c r="R37" s="232">
        <f t="shared" si="3"/>
        <v>637195.31999999995</v>
      </c>
      <c r="S37" s="76">
        <f t="shared" si="4"/>
        <v>0.32</v>
      </c>
      <c r="T37" s="57">
        <f t="shared" si="5"/>
        <v>32</v>
      </c>
    </row>
    <row r="38" spans="1:21" ht="24.6" customHeight="1" x14ac:dyDescent="0.3">
      <c r="A38" s="16"/>
      <c r="B38" s="16">
        <v>33</v>
      </c>
      <c r="C38" s="16" t="s">
        <v>52</v>
      </c>
      <c r="D38" s="74">
        <v>4.4999999999999997E-3</v>
      </c>
      <c r="E38" s="194">
        <v>751681.33</v>
      </c>
      <c r="F38" s="198">
        <f>E38</f>
        <v>751681.33</v>
      </c>
      <c r="G38" s="58">
        <f t="shared" si="0"/>
        <v>0</v>
      </c>
      <c r="H38" s="75">
        <f t="shared" si="11"/>
        <v>0</v>
      </c>
      <c r="I38" s="68">
        <f t="shared" si="6"/>
        <v>363041.83763999998</v>
      </c>
      <c r="J38" s="68">
        <f t="shared" ref="J38:J69" si="13">P$2*D38</f>
        <v>0</v>
      </c>
      <c r="K38" s="68">
        <f t="shared" si="7"/>
        <v>185936.29261027643</v>
      </c>
      <c r="L38" s="68">
        <f t="shared" si="8"/>
        <v>202702.7028</v>
      </c>
      <c r="M38" s="190">
        <f t="shared" si="9"/>
        <v>0</v>
      </c>
      <c r="N38" s="190">
        <v>0</v>
      </c>
      <c r="O38" s="190">
        <v>0</v>
      </c>
      <c r="P38" s="415">
        <f t="shared" ref="P38:P69" si="14">ROUND(SUM(G38:O38),0) + S38</f>
        <v>751681.33</v>
      </c>
      <c r="Q38" s="415"/>
      <c r="R38" s="232">
        <f t="shared" ref="R38:R69" si="15">ROUND(P38+P38*3.033%,0) + S38</f>
        <v>774480.33</v>
      </c>
      <c r="S38" s="13">
        <f t="shared" ref="S38:S69" si="16">ROUND(0.001+B38/100,2)</f>
        <v>0.33</v>
      </c>
      <c r="T38" s="1">
        <f t="shared" ref="T38:T69" si="17">B38</f>
        <v>33</v>
      </c>
    </row>
    <row r="39" spans="1:21" ht="24.6" customHeight="1" x14ac:dyDescent="0.3">
      <c r="A39" s="224"/>
      <c r="B39" s="16">
        <v>34</v>
      </c>
      <c r="C39" s="16" t="s">
        <v>50</v>
      </c>
      <c r="D39" s="74">
        <v>4.4999999999999997E-3</v>
      </c>
      <c r="E39" s="194">
        <v>-101392.66</v>
      </c>
      <c r="F39" s="198">
        <v>0</v>
      </c>
      <c r="G39" s="58">
        <f t="shared" si="0"/>
        <v>-101392.66</v>
      </c>
      <c r="H39" s="75">
        <f t="shared" si="11"/>
        <v>0</v>
      </c>
      <c r="I39" s="68">
        <f t="shared" ref="I39:I102" si="18">K$2*D39</f>
        <v>363041.83763999998</v>
      </c>
      <c r="J39" s="68">
        <f t="shared" si="13"/>
        <v>0</v>
      </c>
      <c r="K39" s="68">
        <f t="shared" si="7"/>
        <v>185936.29261027643</v>
      </c>
      <c r="L39" s="68">
        <f t="shared" si="8"/>
        <v>202702.7028</v>
      </c>
      <c r="M39" s="190">
        <f t="shared" si="9"/>
        <v>0</v>
      </c>
      <c r="N39" s="190">
        <v>0</v>
      </c>
      <c r="O39" s="190">
        <v>0</v>
      </c>
      <c r="P39" s="415">
        <f t="shared" si="14"/>
        <v>650288.34</v>
      </c>
      <c r="Q39" s="415"/>
      <c r="R39" s="232">
        <f t="shared" si="15"/>
        <v>670012.34</v>
      </c>
      <c r="S39" s="13">
        <f t="shared" si="16"/>
        <v>0.34</v>
      </c>
      <c r="T39" s="1">
        <f t="shared" si="17"/>
        <v>34</v>
      </c>
      <c r="U39" s="61" t="s">
        <v>261</v>
      </c>
    </row>
    <row r="40" spans="1:21" ht="22.35" customHeight="1" x14ac:dyDescent="0.3">
      <c r="A40" s="16">
        <v>1</v>
      </c>
      <c r="B40" s="16">
        <v>35</v>
      </c>
      <c r="C40" s="16" t="s">
        <v>53</v>
      </c>
      <c r="D40" s="74">
        <v>4.5999999999999999E-3</v>
      </c>
      <c r="E40" s="194">
        <v>782792.35400000005</v>
      </c>
      <c r="F40" s="198">
        <f>E40</f>
        <v>782792.35400000005</v>
      </c>
      <c r="G40" s="58">
        <f t="shared" si="0"/>
        <v>0</v>
      </c>
      <c r="H40" s="75">
        <f t="shared" si="11"/>
        <v>0</v>
      </c>
      <c r="I40" s="68">
        <f t="shared" si="18"/>
        <v>371109.43403200002</v>
      </c>
      <c r="J40" s="68">
        <f t="shared" si="13"/>
        <v>0</v>
      </c>
      <c r="K40" s="68">
        <f t="shared" si="7"/>
        <v>185936.29261027643</v>
      </c>
      <c r="L40" s="68">
        <f t="shared" si="8"/>
        <v>202702.7028</v>
      </c>
      <c r="M40" s="190">
        <f t="shared" si="9"/>
        <v>0</v>
      </c>
      <c r="N40" s="190">
        <v>0</v>
      </c>
      <c r="O40" s="190">
        <v>0</v>
      </c>
      <c r="P40" s="415">
        <f t="shared" si="14"/>
        <v>759748.35</v>
      </c>
      <c r="Q40" s="415"/>
      <c r="R40" s="232">
        <f t="shared" si="15"/>
        <v>782792.35</v>
      </c>
      <c r="S40" s="13">
        <f t="shared" si="16"/>
        <v>0.35</v>
      </c>
      <c r="T40" s="1">
        <f t="shared" si="17"/>
        <v>35</v>
      </c>
      <c r="U40" t="s">
        <v>220</v>
      </c>
    </row>
    <row r="41" spans="1:21" ht="24.9" customHeight="1" x14ac:dyDescent="0.3">
      <c r="A41" s="166">
        <v>2</v>
      </c>
      <c r="B41" s="324">
        <v>36</v>
      </c>
      <c r="C41" s="324" t="s">
        <v>54</v>
      </c>
      <c r="D41" s="74">
        <v>4.5999999999999999E-3</v>
      </c>
      <c r="E41" s="194">
        <v>282609.36</v>
      </c>
      <c r="F41" s="198">
        <v>0</v>
      </c>
      <c r="G41" s="58">
        <f t="shared" si="0"/>
        <v>282609.36</v>
      </c>
      <c r="H41" s="75">
        <f t="shared" si="11"/>
        <v>8724.1509432000003</v>
      </c>
      <c r="I41" s="68">
        <f t="shared" si="18"/>
        <v>371109.43403200002</v>
      </c>
      <c r="J41" s="68">
        <f t="shared" si="13"/>
        <v>0</v>
      </c>
      <c r="K41" s="68">
        <f t="shared" si="7"/>
        <v>185936.29261027643</v>
      </c>
      <c r="L41" s="68">
        <f t="shared" si="8"/>
        <v>202702.7028</v>
      </c>
      <c r="M41" s="190">
        <f t="shared" si="9"/>
        <v>0</v>
      </c>
      <c r="N41" s="190">
        <v>0</v>
      </c>
      <c r="O41" s="190">
        <v>0</v>
      </c>
      <c r="P41" s="415">
        <f t="shared" si="14"/>
        <v>1051082.3600000001</v>
      </c>
      <c r="Q41" s="415"/>
      <c r="R41" s="232">
        <f t="shared" si="15"/>
        <v>1082962.3600000001</v>
      </c>
      <c r="S41" s="76">
        <f t="shared" si="16"/>
        <v>0.36</v>
      </c>
      <c r="T41" s="57">
        <f t="shared" si="17"/>
        <v>36</v>
      </c>
      <c r="U41" s="13"/>
    </row>
    <row r="42" spans="1:21" ht="24.9" customHeight="1" x14ac:dyDescent="0.3">
      <c r="A42" s="16">
        <v>3</v>
      </c>
      <c r="B42" s="16">
        <v>37</v>
      </c>
      <c r="C42" s="16" t="s">
        <v>55</v>
      </c>
      <c r="D42" s="74">
        <v>4.4999999999999997E-3</v>
      </c>
      <c r="E42" s="194">
        <v>1526567.37</v>
      </c>
      <c r="F42" s="198">
        <v>1572900</v>
      </c>
      <c r="G42" s="58">
        <f t="shared" si="0"/>
        <v>-46332.629999999888</v>
      </c>
      <c r="H42" s="75">
        <f t="shared" si="11"/>
        <v>0</v>
      </c>
      <c r="I42" s="68">
        <f t="shared" si="18"/>
        <v>363041.83763999998</v>
      </c>
      <c r="J42" s="68">
        <f t="shared" si="13"/>
        <v>0</v>
      </c>
      <c r="K42" s="68">
        <f t="shared" si="7"/>
        <v>185936.29261027643</v>
      </c>
      <c r="L42" s="68">
        <f t="shared" si="8"/>
        <v>202702.7028</v>
      </c>
      <c r="M42" s="190">
        <f t="shared" si="9"/>
        <v>0</v>
      </c>
      <c r="N42" s="190">
        <v>0</v>
      </c>
      <c r="O42" s="190">
        <v>0</v>
      </c>
      <c r="P42" s="415">
        <f t="shared" si="14"/>
        <v>705348.37</v>
      </c>
      <c r="Q42" s="415"/>
      <c r="R42" s="232">
        <f t="shared" si="15"/>
        <v>726742.37</v>
      </c>
      <c r="S42" s="76">
        <f t="shared" si="16"/>
        <v>0.37</v>
      </c>
      <c r="T42" s="57">
        <f t="shared" si="17"/>
        <v>37</v>
      </c>
      <c r="U42" s="13"/>
    </row>
    <row r="43" spans="1:21" ht="24.9" customHeight="1" x14ac:dyDescent="0.3">
      <c r="A43" s="166">
        <v>4</v>
      </c>
      <c r="B43" s="16">
        <v>38</v>
      </c>
      <c r="C43" s="16" t="s">
        <v>56</v>
      </c>
      <c r="D43" s="74">
        <v>4.4999999999999997E-3</v>
      </c>
      <c r="E43" s="194">
        <v>911672.38</v>
      </c>
      <c r="F43" s="198">
        <v>939323.38</v>
      </c>
      <c r="G43" s="58">
        <f t="shared" si="0"/>
        <v>-27651</v>
      </c>
      <c r="H43" s="75">
        <f t="shared" si="11"/>
        <v>0</v>
      </c>
      <c r="I43" s="68">
        <f t="shared" si="18"/>
        <v>363041.83763999998</v>
      </c>
      <c r="J43" s="68">
        <f t="shared" si="13"/>
        <v>0</v>
      </c>
      <c r="K43" s="68">
        <f t="shared" si="7"/>
        <v>185936.29261027643</v>
      </c>
      <c r="L43" s="68">
        <f t="shared" si="8"/>
        <v>202702.7028</v>
      </c>
      <c r="M43" s="190">
        <f t="shared" si="9"/>
        <v>0</v>
      </c>
      <c r="N43" s="190">
        <v>0</v>
      </c>
      <c r="O43" s="190">
        <v>0</v>
      </c>
      <c r="P43" s="415">
        <f t="shared" si="14"/>
        <v>724030.38</v>
      </c>
      <c r="Q43" s="415"/>
      <c r="R43" s="232">
        <f t="shared" si="15"/>
        <v>745990.38</v>
      </c>
      <c r="S43" s="13">
        <f t="shared" si="16"/>
        <v>0.38</v>
      </c>
      <c r="T43" s="1">
        <f t="shared" si="17"/>
        <v>38</v>
      </c>
      <c r="U43" t="s">
        <v>237</v>
      </c>
    </row>
    <row r="44" spans="1:21" ht="24.9" customHeight="1" x14ac:dyDescent="0.3">
      <c r="A44" s="16">
        <v>5</v>
      </c>
      <c r="B44" s="16">
        <v>39</v>
      </c>
      <c r="C44" s="16" t="s">
        <v>241</v>
      </c>
      <c r="D44" s="74">
        <v>4.4999999999999997E-3</v>
      </c>
      <c r="E44" s="194">
        <v>751681.39</v>
      </c>
      <c r="F44" s="198">
        <f>600000+151681.39</f>
        <v>751681.39</v>
      </c>
      <c r="G44" s="58">
        <f t="shared" si="0"/>
        <v>0</v>
      </c>
      <c r="H44" s="75">
        <f t="shared" si="11"/>
        <v>0</v>
      </c>
      <c r="I44" s="68">
        <f t="shared" si="18"/>
        <v>363041.83763999998</v>
      </c>
      <c r="J44" s="68">
        <f t="shared" si="13"/>
        <v>0</v>
      </c>
      <c r="K44" s="68">
        <f t="shared" si="7"/>
        <v>185936.29261027643</v>
      </c>
      <c r="L44" s="68">
        <f t="shared" si="8"/>
        <v>202702.7028</v>
      </c>
      <c r="M44" s="190">
        <f t="shared" si="9"/>
        <v>0</v>
      </c>
      <c r="N44" s="190">
        <v>0</v>
      </c>
      <c r="O44" s="190">
        <v>0</v>
      </c>
      <c r="P44" s="415">
        <f t="shared" si="14"/>
        <v>751681.39</v>
      </c>
      <c r="Q44" s="415"/>
      <c r="R44" s="232">
        <f t="shared" si="15"/>
        <v>774480.39</v>
      </c>
      <c r="S44" s="13">
        <f t="shared" si="16"/>
        <v>0.39</v>
      </c>
      <c r="T44" s="1">
        <f t="shared" si="17"/>
        <v>39</v>
      </c>
      <c r="U44" t="s">
        <v>223</v>
      </c>
    </row>
    <row r="45" spans="1:21" ht="24.9" customHeight="1" x14ac:dyDescent="0.3">
      <c r="A45" s="16">
        <v>6</v>
      </c>
      <c r="B45" s="16">
        <v>40</v>
      </c>
      <c r="C45" s="16" t="s">
        <v>57</v>
      </c>
      <c r="D45" s="74">
        <v>4.4999999999999997E-3</v>
      </c>
      <c r="E45" s="194">
        <v>774480.4</v>
      </c>
      <c r="F45" s="198">
        <v>774480.4</v>
      </c>
      <c r="G45" s="58">
        <f t="shared" si="0"/>
        <v>0</v>
      </c>
      <c r="H45" s="75">
        <f t="shared" si="11"/>
        <v>0</v>
      </c>
      <c r="I45" s="68">
        <f t="shared" si="18"/>
        <v>363041.83763999998</v>
      </c>
      <c r="J45" s="68">
        <f t="shared" si="13"/>
        <v>0</v>
      </c>
      <c r="K45" s="68">
        <f t="shared" si="7"/>
        <v>185936.29261027643</v>
      </c>
      <c r="L45" s="68">
        <f t="shared" si="8"/>
        <v>202702.7028</v>
      </c>
      <c r="M45" s="190">
        <f t="shared" si="9"/>
        <v>0</v>
      </c>
      <c r="N45" s="190">
        <v>0</v>
      </c>
      <c r="O45" s="190">
        <v>0</v>
      </c>
      <c r="P45" s="415">
        <f t="shared" si="14"/>
        <v>751681.4</v>
      </c>
      <c r="Q45" s="415"/>
      <c r="R45" s="232">
        <f t="shared" si="15"/>
        <v>774480.4</v>
      </c>
      <c r="S45" s="13">
        <f t="shared" si="16"/>
        <v>0.4</v>
      </c>
      <c r="T45" s="1">
        <f t="shared" si="17"/>
        <v>40</v>
      </c>
    </row>
    <row r="46" spans="1:21" ht="24.9" customHeight="1" x14ac:dyDescent="0.3">
      <c r="A46" s="16">
        <v>7</v>
      </c>
      <c r="B46" s="16">
        <v>41</v>
      </c>
      <c r="C46" s="16" t="s">
        <v>58</v>
      </c>
      <c r="D46" s="74">
        <v>4.4999999999999997E-3</v>
      </c>
      <c r="E46" s="194">
        <v>729553.41</v>
      </c>
      <c r="F46" s="198">
        <v>751681.41</v>
      </c>
      <c r="G46" s="58">
        <f t="shared" si="0"/>
        <v>-22128</v>
      </c>
      <c r="H46" s="75">
        <f t="shared" si="11"/>
        <v>0</v>
      </c>
      <c r="I46" s="68">
        <f t="shared" si="18"/>
        <v>363041.83763999998</v>
      </c>
      <c r="J46" s="68">
        <f t="shared" si="13"/>
        <v>0</v>
      </c>
      <c r="K46" s="68">
        <f t="shared" si="7"/>
        <v>185936.29261027643</v>
      </c>
      <c r="L46" s="68">
        <f t="shared" si="8"/>
        <v>202702.7028</v>
      </c>
      <c r="M46" s="190">
        <f t="shared" si="9"/>
        <v>0</v>
      </c>
      <c r="N46" s="190">
        <v>0</v>
      </c>
      <c r="O46" s="190">
        <v>0</v>
      </c>
      <c r="P46" s="415">
        <f t="shared" si="14"/>
        <v>729553.41</v>
      </c>
      <c r="Q46" s="415"/>
      <c r="R46" s="232">
        <f t="shared" si="15"/>
        <v>751681.41</v>
      </c>
      <c r="S46" s="13">
        <f t="shared" si="16"/>
        <v>0.41</v>
      </c>
      <c r="T46" s="1">
        <f t="shared" si="17"/>
        <v>41</v>
      </c>
      <c r="U46" s="61" t="s">
        <v>216</v>
      </c>
    </row>
    <row r="47" spans="1:21" ht="24.9" customHeight="1" x14ac:dyDescent="0.3">
      <c r="A47" s="166">
        <v>8</v>
      </c>
      <c r="B47" s="16">
        <v>42</v>
      </c>
      <c r="C47" s="16" t="s">
        <v>59</v>
      </c>
      <c r="D47" s="74">
        <v>4.4999999999999997E-3</v>
      </c>
      <c r="E47" s="194">
        <v>751681.42</v>
      </c>
      <c r="F47" s="198">
        <f>E47</f>
        <v>751681.42</v>
      </c>
      <c r="G47" s="58">
        <f t="shared" si="0"/>
        <v>0</v>
      </c>
      <c r="H47" s="75">
        <f t="shared" si="11"/>
        <v>0</v>
      </c>
      <c r="I47" s="68">
        <f t="shared" si="18"/>
        <v>363041.83763999998</v>
      </c>
      <c r="J47" s="68">
        <f t="shared" si="13"/>
        <v>0</v>
      </c>
      <c r="K47" s="68">
        <f t="shared" si="7"/>
        <v>185936.29261027643</v>
      </c>
      <c r="L47" s="68">
        <f t="shared" si="8"/>
        <v>202702.7028</v>
      </c>
      <c r="M47" s="190">
        <f t="shared" si="9"/>
        <v>0</v>
      </c>
      <c r="N47" s="190">
        <v>0</v>
      </c>
      <c r="O47" s="190">
        <v>0</v>
      </c>
      <c r="P47" s="415">
        <f t="shared" si="14"/>
        <v>751681.42</v>
      </c>
      <c r="Q47" s="415"/>
      <c r="R47" s="232">
        <f t="shared" si="15"/>
        <v>774480.42</v>
      </c>
      <c r="S47" s="13">
        <f t="shared" si="16"/>
        <v>0.42</v>
      </c>
      <c r="T47" s="1">
        <f t="shared" si="17"/>
        <v>42</v>
      </c>
      <c r="U47" t="s">
        <v>279</v>
      </c>
    </row>
    <row r="48" spans="1:21" ht="24.9" customHeight="1" x14ac:dyDescent="0.3">
      <c r="A48" s="16">
        <v>1</v>
      </c>
      <c r="B48" s="16">
        <v>43</v>
      </c>
      <c r="C48" s="16" t="s">
        <v>60</v>
      </c>
      <c r="D48" s="74">
        <v>3.5999999999999999E-3</v>
      </c>
      <c r="E48" s="194">
        <v>679072.43</v>
      </c>
      <c r="F48" s="198">
        <f>E48</f>
        <v>679072.43</v>
      </c>
      <c r="G48" s="58">
        <f t="shared" si="0"/>
        <v>0</v>
      </c>
      <c r="H48" s="75">
        <f t="shared" si="11"/>
        <v>0</v>
      </c>
      <c r="I48" s="68">
        <f t="shared" si="18"/>
        <v>290433.47011200001</v>
      </c>
      <c r="J48" s="68">
        <f t="shared" si="13"/>
        <v>0</v>
      </c>
      <c r="K48" s="68">
        <f t="shared" si="7"/>
        <v>185936.29261027643</v>
      </c>
      <c r="L48" s="68">
        <f t="shared" si="8"/>
        <v>202702.7028</v>
      </c>
      <c r="M48" s="190">
        <f t="shared" si="9"/>
        <v>0</v>
      </c>
      <c r="N48" s="190">
        <v>0</v>
      </c>
      <c r="O48" s="190">
        <v>0</v>
      </c>
      <c r="P48" s="415">
        <f t="shared" si="14"/>
        <v>679072.43</v>
      </c>
      <c r="Q48" s="415"/>
      <c r="R48" s="232">
        <f t="shared" si="15"/>
        <v>699669.43</v>
      </c>
      <c r="S48" s="13">
        <f t="shared" si="16"/>
        <v>0.43</v>
      </c>
      <c r="T48" s="1">
        <f t="shared" si="17"/>
        <v>43</v>
      </c>
    </row>
    <row r="49" spans="1:21" ht="24.9" customHeight="1" x14ac:dyDescent="0.3">
      <c r="A49" s="16">
        <v>1</v>
      </c>
      <c r="B49" s="162">
        <v>44</v>
      </c>
      <c r="C49" s="162" t="s">
        <v>61</v>
      </c>
      <c r="D49" s="74">
        <v>4.1000000000000003E-3</v>
      </c>
      <c r="E49" s="194">
        <v>1353722.44</v>
      </c>
      <c r="F49" s="198">
        <f>18995+1600000</f>
        <v>1618995</v>
      </c>
      <c r="G49" s="58">
        <f t="shared" si="0"/>
        <v>-265272.56000000006</v>
      </c>
      <c r="H49" s="75">
        <f t="shared" si="11"/>
        <v>0</v>
      </c>
      <c r="I49" s="68">
        <f t="shared" si="18"/>
        <v>330771.45207200001</v>
      </c>
      <c r="J49" s="68">
        <f t="shared" si="13"/>
        <v>0</v>
      </c>
      <c r="K49" s="68">
        <f t="shared" si="7"/>
        <v>185936.29261027643</v>
      </c>
      <c r="L49" s="68">
        <f t="shared" si="8"/>
        <v>202702.7028</v>
      </c>
      <c r="M49" s="190">
        <f t="shared" si="9"/>
        <v>0</v>
      </c>
      <c r="N49" s="190">
        <v>0</v>
      </c>
      <c r="O49" s="190">
        <v>0</v>
      </c>
      <c r="P49" s="415">
        <f t="shared" si="14"/>
        <v>454138.44</v>
      </c>
      <c r="Q49" s="415"/>
      <c r="R49" s="232">
        <f t="shared" si="15"/>
        <v>467912.44</v>
      </c>
      <c r="S49" s="13">
        <f t="shared" si="16"/>
        <v>0.44</v>
      </c>
      <c r="T49" s="1">
        <f t="shared" si="17"/>
        <v>44</v>
      </c>
      <c r="U49" t="s">
        <v>301</v>
      </c>
    </row>
    <row r="50" spans="1:21" ht="24.9" customHeight="1" x14ac:dyDescent="0.3">
      <c r="A50" s="16">
        <v>2</v>
      </c>
      <c r="B50" s="16">
        <v>45</v>
      </c>
      <c r="C50" s="16" t="s">
        <v>62</v>
      </c>
      <c r="D50" s="74">
        <v>4.8999999999999998E-3</v>
      </c>
      <c r="E50" s="194">
        <v>1519228.45</v>
      </c>
      <c r="F50" s="198">
        <f>783951.45</f>
        <v>783951.45</v>
      </c>
      <c r="G50" s="58">
        <f t="shared" si="0"/>
        <v>735277</v>
      </c>
      <c r="H50" s="75">
        <f t="shared" si="11"/>
        <v>22698.00099</v>
      </c>
      <c r="I50" s="68">
        <f t="shared" si="18"/>
        <v>395312.22320800001</v>
      </c>
      <c r="J50" s="68">
        <f t="shared" si="13"/>
        <v>0</v>
      </c>
      <c r="K50" s="68">
        <f t="shared" si="7"/>
        <v>185936.29261027643</v>
      </c>
      <c r="L50" s="68">
        <f t="shared" si="8"/>
        <v>202702.7028</v>
      </c>
      <c r="M50" s="190">
        <f t="shared" si="9"/>
        <v>0</v>
      </c>
      <c r="N50" s="190">
        <v>0</v>
      </c>
      <c r="O50" s="190">
        <v>0</v>
      </c>
      <c r="P50" s="415">
        <f t="shared" si="14"/>
        <v>1541926.45</v>
      </c>
      <c r="Q50" s="415"/>
      <c r="R50" s="232">
        <f t="shared" si="15"/>
        <v>1588693.45</v>
      </c>
      <c r="S50" s="13">
        <f t="shared" si="16"/>
        <v>0.45</v>
      </c>
      <c r="T50" s="1">
        <f t="shared" si="17"/>
        <v>45</v>
      </c>
    </row>
    <row r="51" spans="1:21" ht="24.9" customHeight="1" x14ac:dyDescent="0.3">
      <c r="A51" s="16">
        <v>2</v>
      </c>
      <c r="B51" s="16">
        <v>46</v>
      </c>
      <c r="C51" s="16" t="s">
        <v>63</v>
      </c>
      <c r="D51" s="74">
        <v>3.8999999999999998E-3</v>
      </c>
      <c r="E51" s="194">
        <v>1451354.46</v>
      </c>
      <c r="F51" s="198">
        <v>725677.46</v>
      </c>
      <c r="G51" s="58">
        <f t="shared" si="0"/>
        <v>725677</v>
      </c>
      <c r="H51" s="75">
        <f t="shared" si="11"/>
        <v>22401.648990000002</v>
      </c>
      <c r="I51" s="68">
        <f t="shared" si="18"/>
        <v>314636.259288</v>
      </c>
      <c r="J51" s="68">
        <f t="shared" si="13"/>
        <v>0</v>
      </c>
      <c r="K51" s="68">
        <f t="shared" si="7"/>
        <v>185936.29261027643</v>
      </c>
      <c r="L51" s="68">
        <f t="shared" si="8"/>
        <v>202702.7028</v>
      </c>
      <c r="M51" s="190">
        <f t="shared" si="9"/>
        <v>0</v>
      </c>
      <c r="N51" s="190">
        <v>0</v>
      </c>
      <c r="O51" s="190">
        <v>0</v>
      </c>
      <c r="P51" s="415">
        <f t="shared" si="14"/>
        <v>1451354.46</v>
      </c>
      <c r="Q51" s="415"/>
      <c r="R51" s="232">
        <f t="shared" si="15"/>
        <v>1495374.46</v>
      </c>
      <c r="S51" s="13">
        <f t="shared" si="16"/>
        <v>0.46</v>
      </c>
      <c r="T51" s="1">
        <f t="shared" si="17"/>
        <v>46</v>
      </c>
      <c r="U51" t="s">
        <v>190</v>
      </c>
    </row>
    <row r="52" spans="1:21" ht="24.9" customHeight="1" x14ac:dyDescent="0.3">
      <c r="A52" s="16">
        <v>3</v>
      </c>
      <c r="B52" s="16">
        <v>47</v>
      </c>
      <c r="C52" s="16" t="s">
        <v>64</v>
      </c>
      <c r="D52" s="74">
        <v>4.4999999999999997E-3</v>
      </c>
      <c r="E52" s="194">
        <v>751680.47</v>
      </c>
      <c r="F52" s="198"/>
      <c r="G52" s="58">
        <f t="shared" si="0"/>
        <v>751680.47</v>
      </c>
      <c r="H52" s="75">
        <f t="shared" si="11"/>
        <v>23204.3761089</v>
      </c>
      <c r="I52" s="68">
        <f t="shared" si="18"/>
        <v>363041.83763999998</v>
      </c>
      <c r="J52" s="68">
        <f t="shared" si="13"/>
        <v>0</v>
      </c>
      <c r="K52" s="68">
        <f t="shared" si="7"/>
        <v>185936.29261027643</v>
      </c>
      <c r="L52" s="68">
        <f t="shared" si="8"/>
        <v>202702.7028</v>
      </c>
      <c r="M52" s="190">
        <f t="shared" si="9"/>
        <v>0</v>
      </c>
      <c r="N52" s="190">
        <v>0</v>
      </c>
      <c r="O52" s="190">
        <v>0</v>
      </c>
      <c r="P52" s="415">
        <f t="shared" si="14"/>
        <v>1526566.47</v>
      </c>
      <c r="Q52" s="415"/>
      <c r="R52" s="232">
        <f t="shared" si="15"/>
        <v>1572867.47</v>
      </c>
      <c r="S52" s="13">
        <f t="shared" si="16"/>
        <v>0.47</v>
      </c>
      <c r="T52" s="1">
        <f t="shared" si="17"/>
        <v>47</v>
      </c>
      <c r="U52" t="s">
        <v>304</v>
      </c>
    </row>
    <row r="53" spans="1:21" ht="24.9" customHeight="1" x14ac:dyDescent="0.3">
      <c r="A53" s="16">
        <v>3</v>
      </c>
      <c r="B53" s="16">
        <v>48</v>
      </c>
      <c r="C53" s="16" t="s">
        <v>185</v>
      </c>
      <c r="D53" s="74">
        <v>4.4999999999999997E-3</v>
      </c>
      <c r="E53" s="194">
        <v>1260749.48</v>
      </c>
      <c r="F53" s="195">
        <f>E53</f>
        <v>1260749.48</v>
      </c>
      <c r="G53" s="58">
        <f t="shared" si="0"/>
        <v>0</v>
      </c>
      <c r="H53" s="75">
        <f t="shared" si="11"/>
        <v>0</v>
      </c>
      <c r="I53" s="68">
        <f t="shared" si="18"/>
        <v>363041.83763999998</v>
      </c>
      <c r="J53" s="68">
        <f t="shared" si="13"/>
        <v>0</v>
      </c>
      <c r="K53" s="68">
        <f t="shared" si="7"/>
        <v>185936.29261027643</v>
      </c>
      <c r="L53" s="68">
        <f t="shared" si="8"/>
        <v>202702.7028</v>
      </c>
      <c r="M53" s="190">
        <v>72609</v>
      </c>
      <c r="N53" s="68">
        <f>(I53)</f>
        <v>363041.83763999998</v>
      </c>
      <c r="O53" s="190">
        <v>0</v>
      </c>
      <c r="P53" s="415">
        <f t="shared" si="14"/>
        <v>1187332.48</v>
      </c>
      <c r="Q53" s="415"/>
      <c r="R53" s="232">
        <f t="shared" si="15"/>
        <v>1223344.48</v>
      </c>
      <c r="S53" s="13">
        <f t="shared" si="16"/>
        <v>0.48</v>
      </c>
      <c r="T53" s="1">
        <f t="shared" si="17"/>
        <v>48</v>
      </c>
      <c r="U53" s="12"/>
    </row>
    <row r="54" spans="1:21" ht="24.9" customHeight="1" x14ac:dyDescent="0.3">
      <c r="A54" s="16">
        <v>4</v>
      </c>
      <c r="B54" s="16">
        <v>49</v>
      </c>
      <c r="C54" s="16" t="s">
        <v>65</v>
      </c>
      <c r="D54" s="74">
        <v>4.4999999999999997E-3</v>
      </c>
      <c r="E54" s="194">
        <v>751681.49</v>
      </c>
      <c r="F54" s="198">
        <f>E54</f>
        <v>751681.49</v>
      </c>
      <c r="G54" s="58">
        <f t="shared" si="0"/>
        <v>0</v>
      </c>
      <c r="H54" s="75">
        <f t="shared" si="11"/>
        <v>0</v>
      </c>
      <c r="I54" s="68">
        <f t="shared" si="18"/>
        <v>363041.83763999998</v>
      </c>
      <c r="J54" s="68">
        <f t="shared" si="13"/>
        <v>0</v>
      </c>
      <c r="K54" s="68">
        <f t="shared" si="7"/>
        <v>185936.29261027643</v>
      </c>
      <c r="L54" s="68">
        <f t="shared" si="8"/>
        <v>202702.7028</v>
      </c>
      <c r="M54" s="190">
        <f t="shared" si="9"/>
        <v>0</v>
      </c>
      <c r="N54" s="190">
        <v>0</v>
      </c>
      <c r="O54" s="190">
        <v>0</v>
      </c>
      <c r="P54" s="415">
        <f t="shared" si="14"/>
        <v>751681.49</v>
      </c>
      <c r="Q54" s="415"/>
      <c r="R54" s="232">
        <f t="shared" si="15"/>
        <v>774480.49</v>
      </c>
      <c r="S54" s="13">
        <f t="shared" si="16"/>
        <v>0.49</v>
      </c>
      <c r="T54" s="1">
        <f t="shared" si="17"/>
        <v>49</v>
      </c>
      <c r="U54" t="s">
        <v>206</v>
      </c>
    </row>
    <row r="55" spans="1:21" ht="24.9" customHeight="1" x14ac:dyDescent="0.3">
      <c r="A55" s="16">
        <v>4</v>
      </c>
      <c r="B55" s="16">
        <v>50</v>
      </c>
      <c r="C55" s="16" t="s">
        <v>66</v>
      </c>
      <c r="D55" s="74">
        <v>4.4999999999999997E-3</v>
      </c>
      <c r="E55" s="194">
        <v>728882.5</v>
      </c>
      <c r="F55" s="198">
        <v>750990.5</v>
      </c>
      <c r="G55" s="58">
        <f t="shared" si="0"/>
        <v>-22108</v>
      </c>
      <c r="H55" s="75">
        <f t="shared" si="11"/>
        <v>0</v>
      </c>
      <c r="I55" s="68">
        <f t="shared" si="18"/>
        <v>363041.83763999998</v>
      </c>
      <c r="J55" s="68">
        <f t="shared" si="13"/>
        <v>0</v>
      </c>
      <c r="K55" s="68">
        <f t="shared" si="7"/>
        <v>185936.29261027643</v>
      </c>
      <c r="L55" s="68">
        <f t="shared" si="8"/>
        <v>202702.7028</v>
      </c>
      <c r="M55" s="190">
        <f t="shared" si="9"/>
        <v>0</v>
      </c>
      <c r="N55" s="190">
        <v>0</v>
      </c>
      <c r="O55" s="190">
        <v>0</v>
      </c>
      <c r="P55" s="415">
        <f t="shared" si="14"/>
        <v>729573.5</v>
      </c>
      <c r="Q55" s="415"/>
      <c r="R55" s="232">
        <f t="shared" si="15"/>
        <v>751701.5</v>
      </c>
      <c r="S55" s="13">
        <f t="shared" si="16"/>
        <v>0.5</v>
      </c>
      <c r="T55" s="1">
        <f t="shared" si="17"/>
        <v>50</v>
      </c>
      <c r="U55" t="s">
        <v>306</v>
      </c>
    </row>
    <row r="56" spans="1:21" ht="24.9" customHeight="1" x14ac:dyDescent="0.3">
      <c r="A56" s="16">
        <v>5</v>
      </c>
      <c r="B56" s="16">
        <v>51</v>
      </c>
      <c r="C56" s="16" t="s">
        <v>67</v>
      </c>
      <c r="D56" s="74">
        <v>4.4999999999999997E-3</v>
      </c>
      <c r="E56" s="194">
        <v>751502.51</v>
      </c>
      <c r="F56" s="198"/>
      <c r="G56" s="58">
        <f t="shared" si="0"/>
        <v>751502.51</v>
      </c>
      <c r="H56" s="75">
        <f t="shared" si="11"/>
        <v>23198.882483700003</v>
      </c>
      <c r="I56" s="68">
        <f t="shared" si="18"/>
        <v>363041.83763999998</v>
      </c>
      <c r="J56" s="68">
        <f t="shared" si="13"/>
        <v>0</v>
      </c>
      <c r="K56" s="68">
        <f t="shared" si="7"/>
        <v>185936.29261027643</v>
      </c>
      <c r="L56" s="68">
        <f t="shared" si="8"/>
        <v>202702.7028</v>
      </c>
      <c r="M56" s="190">
        <f t="shared" si="9"/>
        <v>0</v>
      </c>
      <c r="N56" s="190">
        <v>0</v>
      </c>
      <c r="O56" s="190">
        <v>0</v>
      </c>
      <c r="P56" s="415">
        <f t="shared" si="14"/>
        <v>1526382.51</v>
      </c>
      <c r="Q56" s="415"/>
      <c r="R56" s="232">
        <f t="shared" si="15"/>
        <v>1572678.51</v>
      </c>
      <c r="S56" s="13">
        <f t="shared" si="16"/>
        <v>0.51</v>
      </c>
      <c r="T56" s="1">
        <f t="shared" si="17"/>
        <v>51</v>
      </c>
      <c r="U56" t="s">
        <v>249</v>
      </c>
    </row>
    <row r="57" spans="1:21" ht="24.9" customHeight="1" x14ac:dyDescent="0.3">
      <c r="A57" s="16">
        <v>5</v>
      </c>
      <c r="B57" s="16">
        <v>52</v>
      </c>
      <c r="C57" s="16" t="s">
        <v>68</v>
      </c>
      <c r="D57" s="74">
        <v>4.5999999999999999E-3</v>
      </c>
      <c r="E57" s="194">
        <v>759748.52</v>
      </c>
      <c r="F57" s="198">
        <f>E57</f>
        <v>759748.52</v>
      </c>
      <c r="G57" s="58">
        <f t="shared" si="0"/>
        <v>0</v>
      </c>
      <c r="H57" s="75">
        <f t="shared" si="11"/>
        <v>0</v>
      </c>
      <c r="I57" s="68">
        <f t="shared" si="18"/>
        <v>371109.43403200002</v>
      </c>
      <c r="J57" s="68">
        <f t="shared" si="13"/>
        <v>0</v>
      </c>
      <c r="K57" s="68">
        <f t="shared" si="7"/>
        <v>185936.29261027643</v>
      </c>
      <c r="L57" s="68">
        <f t="shared" si="8"/>
        <v>202702.7028</v>
      </c>
      <c r="M57" s="190">
        <f t="shared" si="9"/>
        <v>0</v>
      </c>
      <c r="N57" s="190">
        <v>0</v>
      </c>
      <c r="O57" s="190">
        <v>0</v>
      </c>
      <c r="P57" s="415">
        <f t="shared" si="14"/>
        <v>759748.52</v>
      </c>
      <c r="Q57" s="415"/>
      <c r="R57" s="232">
        <f t="shared" si="15"/>
        <v>782792.52</v>
      </c>
      <c r="S57" s="13">
        <f t="shared" si="16"/>
        <v>0.52</v>
      </c>
      <c r="T57" s="1">
        <f t="shared" si="17"/>
        <v>52</v>
      </c>
      <c r="U57" t="s">
        <v>327</v>
      </c>
    </row>
    <row r="58" spans="1:21" ht="24.9" customHeight="1" x14ac:dyDescent="0.3">
      <c r="A58" s="162">
        <v>6</v>
      </c>
      <c r="B58" s="16">
        <v>53</v>
      </c>
      <c r="C58" s="16" t="s">
        <v>69</v>
      </c>
      <c r="D58" s="74">
        <v>4.4999999999999997E-3</v>
      </c>
      <c r="E58" s="194">
        <v>2209816.5299999998</v>
      </c>
      <c r="F58" s="198"/>
      <c r="G58" s="58">
        <f t="shared" si="0"/>
        <v>2209816.5299999998</v>
      </c>
      <c r="H58" s="75">
        <f t="shared" si="11"/>
        <v>68217.036281099994</v>
      </c>
      <c r="I58" s="68">
        <f t="shared" si="18"/>
        <v>363041.83763999998</v>
      </c>
      <c r="J58" s="68">
        <f t="shared" si="13"/>
        <v>0</v>
      </c>
      <c r="K58" s="68">
        <f t="shared" si="7"/>
        <v>185936.29261027643</v>
      </c>
      <c r="L58" s="68">
        <f t="shared" si="8"/>
        <v>202702.7028</v>
      </c>
      <c r="M58" s="190">
        <f t="shared" si="9"/>
        <v>0</v>
      </c>
      <c r="N58" s="190">
        <v>0</v>
      </c>
      <c r="O58" s="190">
        <v>0</v>
      </c>
      <c r="P58" s="415">
        <f t="shared" si="14"/>
        <v>3029714.53</v>
      </c>
      <c r="Q58" s="415"/>
      <c r="R58" s="232">
        <f t="shared" si="15"/>
        <v>3121606.53</v>
      </c>
      <c r="S58" s="13">
        <f t="shared" si="16"/>
        <v>0.53</v>
      </c>
      <c r="T58" s="1">
        <f t="shared" si="17"/>
        <v>53</v>
      </c>
    </row>
    <row r="59" spans="1:21" ht="24.9" customHeight="1" x14ac:dyDescent="0.3">
      <c r="A59" s="16">
        <v>6</v>
      </c>
      <c r="B59" s="16">
        <v>54</v>
      </c>
      <c r="C59" s="16" t="s">
        <v>70</v>
      </c>
      <c r="D59" s="74">
        <v>4.4999999999999997E-3</v>
      </c>
      <c r="E59" s="194">
        <v>751681.54</v>
      </c>
      <c r="F59" s="198">
        <f>E59</f>
        <v>751681.54</v>
      </c>
      <c r="G59" s="58">
        <f t="shared" si="0"/>
        <v>0</v>
      </c>
      <c r="H59" s="75">
        <f t="shared" si="11"/>
        <v>0</v>
      </c>
      <c r="I59" s="68">
        <f t="shared" si="18"/>
        <v>363041.83763999998</v>
      </c>
      <c r="J59" s="68">
        <f t="shared" si="13"/>
        <v>0</v>
      </c>
      <c r="K59" s="68">
        <f t="shared" si="7"/>
        <v>185936.29261027643</v>
      </c>
      <c r="L59" s="68">
        <f t="shared" si="8"/>
        <v>202702.7028</v>
      </c>
      <c r="M59" s="190">
        <f t="shared" si="9"/>
        <v>0</v>
      </c>
      <c r="N59" s="190">
        <v>0</v>
      </c>
      <c r="O59" s="190">
        <v>0</v>
      </c>
      <c r="P59" s="415">
        <f t="shared" si="14"/>
        <v>751681.54</v>
      </c>
      <c r="Q59" s="415"/>
      <c r="R59" s="232">
        <f t="shared" si="15"/>
        <v>774480.54</v>
      </c>
      <c r="S59" s="13">
        <f t="shared" si="16"/>
        <v>0.54</v>
      </c>
      <c r="T59" s="1">
        <f t="shared" si="17"/>
        <v>54</v>
      </c>
      <c r="U59" t="s">
        <v>204</v>
      </c>
    </row>
    <row r="60" spans="1:21" ht="24.9" customHeight="1" x14ac:dyDescent="0.3">
      <c r="A60" s="16">
        <v>7</v>
      </c>
      <c r="B60" s="16">
        <v>55</v>
      </c>
      <c r="C60" s="16" t="s">
        <v>71</v>
      </c>
      <c r="D60" s="74">
        <v>4.4999999999999997E-3</v>
      </c>
      <c r="E60" s="194">
        <v>729552.55</v>
      </c>
      <c r="F60" s="198">
        <v>751680.55</v>
      </c>
      <c r="G60" s="58">
        <f t="shared" si="0"/>
        <v>-22128</v>
      </c>
      <c r="H60" s="75">
        <f t="shared" si="11"/>
        <v>0</v>
      </c>
      <c r="I60" s="68">
        <f t="shared" si="18"/>
        <v>363041.83763999998</v>
      </c>
      <c r="J60" s="68">
        <f t="shared" si="13"/>
        <v>0</v>
      </c>
      <c r="K60" s="68">
        <f t="shared" si="7"/>
        <v>185936.29261027643</v>
      </c>
      <c r="L60" s="68">
        <f t="shared" si="8"/>
        <v>202702.7028</v>
      </c>
      <c r="M60" s="190">
        <f t="shared" si="9"/>
        <v>0</v>
      </c>
      <c r="N60" s="190">
        <v>0</v>
      </c>
      <c r="O60" s="190">
        <v>0</v>
      </c>
      <c r="P60" s="415">
        <f t="shared" si="14"/>
        <v>729553.55</v>
      </c>
      <c r="Q60" s="415"/>
      <c r="R60" s="232">
        <f t="shared" si="15"/>
        <v>751681.55</v>
      </c>
      <c r="S60" s="13">
        <f t="shared" si="16"/>
        <v>0.55000000000000004</v>
      </c>
      <c r="T60" s="1">
        <f t="shared" si="17"/>
        <v>55</v>
      </c>
      <c r="U60" t="s">
        <v>263</v>
      </c>
    </row>
    <row r="61" spans="1:21" ht="24.9" customHeight="1" x14ac:dyDescent="0.3">
      <c r="A61" s="16">
        <v>7</v>
      </c>
      <c r="B61" s="16">
        <v>56</v>
      </c>
      <c r="C61" s="16" t="s">
        <v>72</v>
      </c>
      <c r="D61" s="74">
        <v>4.4999999999999997E-3</v>
      </c>
      <c r="E61" s="194">
        <v>1296244.56</v>
      </c>
      <c r="F61" s="198">
        <v>1187332</v>
      </c>
      <c r="G61" s="58">
        <f t="shared" si="0"/>
        <v>108912.56000000006</v>
      </c>
      <c r="H61" s="75">
        <f t="shared" si="11"/>
        <v>3362.1307272000017</v>
      </c>
      <c r="I61" s="68">
        <f t="shared" si="18"/>
        <v>363041.83763999998</v>
      </c>
      <c r="J61" s="68">
        <f t="shared" si="13"/>
        <v>0</v>
      </c>
      <c r="K61" s="68">
        <f t="shared" si="7"/>
        <v>185936.29261027643</v>
      </c>
      <c r="L61" s="68">
        <f t="shared" si="8"/>
        <v>202702.7028</v>
      </c>
      <c r="M61" s="190">
        <v>72609</v>
      </c>
      <c r="N61" s="68">
        <f>(I61)</f>
        <v>363041.83763999998</v>
      </c>
      <c r="O61" s="190">
        <v>0</v>
      </c>
      <c r="P61" s="415">
        <f t="shared" si="14"/>
        <v>1299606.56</v>
      </c>
      <c r="Q61" s="415"/>
      <c r="R61" s="232">
        <f t="shared" si="15"/>
        <v>1339024.56</v>
      </c>
      <c r="S61" s="13">
        <f t="shared" si="16"/>
        <v>0.56000000000000005</v>
      </c>
      <c r="T61" s="1">
        <f t="shared" si="17"/>
        <v>56</v>
      </c>
      <c r="U61" t="s">
        <v>194</v>
      </c>
    </row>
    <row r="62" spans="1:21" ht="24.9" customHeight="1" x14ac:dyDescent="0.3">
      <c r="A62" s="16">
        <v>8</v>
      </c>
      <c r="B62" s="16">
        <v>57</v>
      </c>
      <c r="C62" s="16" t="s">
        <v>73</v>
      </c>
      <c r="D62" s="74">
        <v>4.4999999999999997E-3</v>
      </c>
      <c r="E62" s="194">
        <v>728882.57</v>
      </c>
      <c r="F62" s="198">
        <v>774480.57</v>
      </c>
      <c r="G62" s="58">
        <f t="shared" si="0"/>
        <v>-45598</v>
      </c>
      <c r="H62" s="75">
        <f t="shared" si="11"/>
        <v>0</v>
      </c>
      <c r="I62" s="68">
        <f t="shared" si="18"/>
        <v>363041.83763999998</v>
      </c>
      <c r="J62" s="68">
        <f t="shared" si="13"/>
        <v>0</v>
      </c>
      <c r="K62" s="68">
        <f t="shared" si="7"/>
        <v>185936.29261027643</v>
      </c>
      <c r="L62" s="68">
        <f t="shared" si="8"/>
        <v>202702.7028</v>
      </c>
      <c r="M62" s="190">
        <f t="shared" si="9"/>
        <v>0</v>
      </c>
      <c r="N62" s="190">
        <v>0</v>
      </c>
      <c r="O62" s="190">
        <v>0</v>
      </c>
      <c r="P62" s="415">
        <f t="shared" si="14"/>
        <v>706083.57</v>
      </c>
      <c r="Q62" s="415"/>
      <c r="R62" s="232">
        <f t="shared" si="15"/>
        <v>727499.57</v>
      </c>
      <c r="S62" s="13">
        <f t="shared" si="16"/>
        <v>0.56999999999999995</v>
      </c>
      <c r="T62" s="1">
        <f t="shared" si="17"/>
        <v>57</v>
      </c>
    </row>
    <row r="63" spans="1:21" ht="24.9" customHeight="1" x14ac:dyDescent="0.3">
      <c r="A63" s="16">
        <v>8</v>
      </c>
      <c r="B63" s="16">
        <v>58</v>
      </c>
      <c r="C63" s="16" t="s">
        <v>43</v>
      </c>
      <c r="D63" s="74">
        <v>4.4999999999999997E-3</v>
      </c>
      <c r="E63" s="194">
        <v>729552.58</v>
      </c>
      <c r="F63" s="198">
        <v>751680.58</v>
      </c>
      <c r="G63" s="58">
        <f t="shared" si="0"/>
        <v>-22128</v>
      </c>
      <c r="H63" s="75">
        <f t="shared" si="11"/>
        <v>0</v>
      </c>
      <c r="I63" s="68">
        <f t="shared" si="18"/>
        <v>363041.83763999998</v>
      </c>
      <c r="J63" s="68">
        <f t="shared" si="13"/>
        <v>0</v>
      </c>
      <c r="K63" s="68">
        <f t="shared" si="7"/>
        <v>185936.29261027643</v>
      </c>
      <c r="L63" s="68">
        <f t="shared" si="8"/>
        <v>202702.7028</v>
      </c>
      <c r="M63" s="190">
        <f t="shared" si="9"/>
        <v>0</v>
      </c>
      <c r="N63" s="190">
        <v>0</v>
      </c>
      <c r="O63" s="190">
        <v>0</v>
      </c>
      <c r="P63" s="415">
        <f t="shared" si="14"/>
        <v>729553.58</v>
      </c>
      <c r="Q63" s="415"/>
      <c r="R63" s="232">
        <f t="shared" si="15"/>
        <v>751681.58</v>
      </c>
      <c r="S63" s="13">
        <f t="shared" si="16"/>
        <v>0.57999999999999996</v>
      </c>
      <c r="T63" s="1">
        <f t="shared" si="17"/>
        <v>58</v>
      </c>
    </row>
    <row r="64" spans="1:21" ht="24.9" customHeight="1" x14ac:dyDescent="0.3">
      <c r="A64" s="166">
        <v>9</v>
      </c>
      <c r="B64" s="227">
        <v>59</v>
      </c>
      <c r="C64" s="227" t="s">
        <v>74</v>
      </c>
      <c r="D64" s="74">
        <v>4.1000000000000003E-3</v>
      </c>
      <c r="E64" s="194">
        <v>719290.59</v>
      </c>
      <c r="F64" s="195">
        <f>E64</f>
        <v>719290.59</v>
      </c>
      <c r="G64" s="58">
        <f t="shared" si="0"/>
        <v>0</v>
      </c>
      <c r="H64" s="75">
        <f t="shared" si="11"/>
        <v>0</v>
      </c>
      <c r="I64" s="68">
        <f t="shared" si="18"/>
        <v>330771.45207200001</v>
      </c>
      <c r="J64" s="68">
        <f t="shared" si="13"/>
        <v>0</v>
      </c>
      <c r="K64" s="68">
        <f t="shared" si="7"/>
        <v>185936.29261027643</v>
      </c>
      <c r="L64" s="68">
        <f t="shared" si="8"/>
        <v>202702.7028</v>
      </c>
      <c r="M64" s="190">
        <f t="shared" si="9"/>
        <v>0</v>
      </c>
      <c r="N64" s="190">
        <v>0</v>
      </c>
      <c r="O64" s="190">
        <v>0</v>
      </c>
      <c r="P64" s="415">
        <f t="shared" si="14"/>
        <v>719410.59</v>
      </c>
      <c r="Q64" s="415"/>
      <c r="R64" s="232">
        <f t="shared" si="15"/>
        <v>741230.59</v>
      </c>
      <c r="S64" s="13">
        <f t="shared" si="16"/>
        <v>0.59</v>
      </c>
      <c r="T64" s="1">
        <f t="shared" si="17"/>
        <v>59</v>
      </c>
      <c r="U64" t="s">
        <v>264</v>
      </c>
    </row>
    <row r="65" spans="1:21" ht="24.9" customHeight="1" x14ac:dyDescent="0.3">
      <c r="A65" s="253">
        <v>9</v>
      </c>
      <c r="B65" s="258">
        <v>60</v>
      </c>
      <c r="C65" s="258" t="s">
        <v>75</v>
      </c>
      <c r="D65" s="74">
        <v>4.4999999999999997E-3</v>
      </c>
      <c r="E65" s="194">
        <v>728189.6</v>
      </c>
      <c r="F65" s="198">
        <v>730000</v>
      </c>
      <c r="G65" s="58">
        <f>E65-F65</f>
        <v>-1810.4000000000233</v>
      </c>
      <c r="H65" s="75">
        <f t="shared" si="11"/>
        <v>0</v>
      </c>
      <c r="I65" s="68">
        <f t="shared" si="18"/>
        <v>363041.83763999998</v>
      </c>
      <c r="J65" s="68">
        <f t="shared" si="13"/>
        <v>0</v>
      </c>
      <c r="K65" s="68">
        <f t="shared" si="7"/>
        <v>185936.29261027643</v>
      </c>
      <c r="L65" s="68">
        <f t="shared" si="8"/>
        <v>202702.7028</v>
      </c>
      <c r="M65" s="190">
        <f t="shared" si="9"/>
        <v>0</v>
      </c>
      <c r="N65" s="190">
        <v>0</v>
      </c>
      <c r="O65" s="190">
        <v>0</v>
      </c>
      <c r="P65" s="415">
        <f t="shared" si="14"/>
        <v>749870.6</v>
      </c>
      <c r="Q65" s="415"/>
      <c r="R65" s="232">
        <f t="shared" si="15"/>
        <v>772614.6</v>
      </c>
      <c r="S65" s="13">
        <f t="shared" si="16"/>
        <v>0.6</v>
      </c>
      <c r="T65" s="1">
        <f t="shared" si="17"/>
        <v>60</v>
      </c>
      <c r="U65" t="s">
        <v>213</v>
      </c>
    </row>
    <row r="66" spans="1:21" ht="24.9" customHeight="1" x14ac:dyDescent="0.3">
      <c r="A66" s="166">
        <v>10</v>
      </c>
      <c r="B66" s="307">
        <v>61</v>
      </c>
      <c r="C66" s="307" t="s">
        <v>76</v>
      </c>
      <c r="D66" s="74">
        <v>4.4999999999999997E-3</v>
      </c>
      <c r="E66" s="194">
        <v>751681.61</v>
      </c>
      <c r="F66" s="198">
        <v>752000</v>
      </c>
      <c r="G66" s="58">
        <f t="shared" si="0"/>
        <v>-318.39000000001397</v>
      </c>
      <c r="H66" s="75">
        <f t="shared" si="11"/>
        <v>0</v>
      </c>
      <c r="I66" s="68">
        <f t="shared" si="18"/>
        <v>363041.83763999998</v>
      </c>
      <c r="J66" s="68">
        <f t="shared" si="13"/>
        <v>0</v>
      </c>
      <c r="K66" s="68">
        <f t="shared" si="7"/>
        <v>185936.29261027643</v>
      </c>
      <c r="L66" s="68">
        <f t="shared" si="8"/>
        <v>202702.7028</v>
      </c>
      <c r="M66" s="190">
        <f t="shared" si="9"/>
        <v>0</v>
      </c>
      <c r="N66" s="190">
        <v>0</v>
      </c>
      <c r="O66" s="190">
        <v>0</v>
      </c>
      <c r="P66" s="415">
        <f t="shared" si="14"/>
        <v>751362.61</v>
      </c>
      <c r="Q66" s="415"/>
      <c r="R66" s="232">
        <f t="shared" si="15"/>
        <v>774151.61</v>
      </c>
      <c r="S66" s="13">
        <f t="shared" si="16"/>
        <v>0.61</v>
      </c>
      <c r="T66" s="1">
        <f t="shared" si="17"/>
        <v>61</v>
      </c>
      <c r="U66" s="61" t="s">
        <v>212</v>
      </c>
    </row>
    <row r="67" spans="1:21" ht="24.9" customHeight="1" x14ac:dyDescent="0.3">
      <c r="A67" s="16">
        <v>10</v>
      </c>
      <c r="B67" s="16">
        <v>62</v>
      </c>
      <c r="C67" s="16" t="s">
        <v>77</v>
      </c>
      <c r="D67" s="74">
        <v>4.1000000000000003E-3</v>
      </c>
      <c r="E67" s="194">
        <v>683447.62</v>
      </c>
      <c r="F67" s="195">
        <f>E67</f>
        <v>683447.62</v>
      </c>
      <c r="G67" s="58">
        <f t="shared" si="0"/>
        <v>0</v>
      </c>
      <c r="H67" s="75">
        <f t="shared" si="11"/>
        <v>0</v>
      </c>
      <c r="I67" s="68">
        <f t="shared" si="18"/>
        <v>330771.45207200001</v>
      </c>
      <c r="J67" s="68">
        <f t="shared" si="13"/>
        <v>0</v>
      </c>
      <c r="K67" s="68">
        <f t="shared" si="7"/>
        <v>185936.29261027643</v>
      </c>
      <c r="L67" s="68">
        <f t="shared" si="8"/>
        <v>202702.7028</v>
      </c>
      <c r="M67" s="190">
        <f t="shared" si="9"/>
        <v>0</v>
      </c>
      <c r="N67" s="190">
        <v>0</v>
      </c>
      <c r="O67" s="190">
        <v>0</v>
      </c>
      <c r="P67" s="415">
        <f t="shared" si="14"/>
        <v>719410.62</v>
      </c>
      <c r="Q67" s="415"/>
      <c r="R67" s="232">
        <f t="shared" si="15"/>
        <v>741230.62</v>
      </c>
      <c r="S67" s="13">
        <f t="shared" si="16"/>
        <v>0.62</v>
      </c>
      <c r="T67" s="1">
        <f t="shared" si="17"/>
        <v>62</v>
      </c>
    </row>
    <row r="68" spans="1:21" ht="24.9" customHeight="1" x14ac:dyDescent="0.3">
      <c r="A68" s="16">
        <v>11</v>
      </c>
      <c r="B68" s="16">
        <v>63</v>
      </c>
      <c r="C68" s="16" t="s">
        <v>78</v>
      </c>
      <c r="D68" s="74">
        <v>4.4999999999999997E-3</v>
      </c>
      <c r="E68" s="194">
        <v>933202.63</v>
      </c>
      <c r="F68" s="198">
        <f t="shared" ref="F68:F70" si="19">E68</f>
        <v>933202.63</v>
      </c>
      <c r="G68" s="58">
        <f>E68-F68</f>
        <v>0</v>
      </c>
      <c r="H68" s="75">
        <f t="shared" si="11"/>
        <v>0</v>
      </c>
      <c r="I68" s="68">
        <f t="shared" si="18"/>
        <v>363041.83763999998</v>
      </c>
      <c r="J68" s="68">
        <f t="shared" si="13"/>
        <v>0</v>
      </c>
      <c r="K68" s="68">
        <f t="shared" si="7"/>
        <v>185936.29261027643</v>
      </c>
      <c r="L68" s="68">
        <f t="shared" si="8"/>
        <v>202702.7028</v>
      </c>
      <c r="M68" s="190">
        <f t="shared" si="9"/>
        <v>0</v>
      </c>
      <c r="N68" s="190">
        <v>0</v>
      </c>
      <c r="O68" s="284">
        <v>97321.42</v>
      </c>
      <c r="P68" s="415">
        <f t="shared" si="14"/>
        <v>849002.63</v>
      </c>
      <c r="Q68" s="415"/>
      <c r="R68" s="232">
        <f t="shared" si="15"/>
        <v>874753.63</v>
      </c>
      <c r="S68" s="13">
        <f t="shared" si="16"/>
        <v>0.63</v>
      </c>
      <c r="T68" s="1">
        <f t="shared" si="17"/>
        <v>63</v>
      </c>
      <c r="U68" t="s">
        <v>197</v>
      </c>
    </row>
    <row r="69" spans="1:21" ht="24.9" customHeight="1" x14ac:dyDescent="0.3">
      <c r="A69" s="16">
        <v>11</v>
      </c>
      <c r="B69" s="16">
        <v>64</v>
      </c>
      <c r="C69" s="16" t="s">
        <v>79</v>
      </c>
      <c r="D69" s="74">
        <v>4.4999999999999997E-3</v>
      </c>
      <c r="E69" s="194">
        <v>774480.64</v>
      </c>
      <c r="F69" s="198">
        <v>751681.64</v>
      </c>
      <c r="G69" s="58">
        <f t="shared" si="0"/>
        <v>22799</v>
      </c>
      <c r="H69" s="75">
        <f t="shared" si="11"/>
        <v>703.80513000000008</v>
      </c>
      <c r="I69" s="68">
        <f t="shared" si="18"/>
        <v>363041.83763999998</v>
      </c>
      <c r="J69" s="68">
        <f t="shared" si="13"/>
        <v>0</v>
      </c>
      <c r="K69" s="68">
        <f t="shared" si="7"/>
        <v>185936.29261027643</v>
      </c>
      <c r="L69" s="68">
        <f t="shared" si="8"/>
        <v>202702.7028</v>
      </c>
      <c r="M69" s="190">
        <f t="shared" si="9"/>
        <v>0</v>
      </c>
      <c r="N69" s="190">
        <v>0</v>
      </c>
      <c r="O69" s="190">
        <v>0</v>
      </c>
      <c r="P69" s="415">
        <f t="shared" si="14"/>
        <v>775184.64</v>
      </c>
      <c r="Q69" s="415"/>
      <c r="R69" s="232">
        <f t="shared" si="15"/>
        <v>798696.64</v>
      </c>
      <c r="S69" s="13">
        <f t="shared" si="16"/>
        <v>0.64</v>
      </c>
      <c r="T69" s="1">
        <f t="shared" si="17"/>
        <v>64</v>
      </c>
      <c r="U69" t="s">
        <v>225</v>
      </c>
    </row>
    <row r="70" spans="1:21" ht="24.9" customHeight="1" x14ac:dyDescent="0.3">
      <c r="A70" s="16">
        <v>12</v>
      </c>
      <c r="B70" s="16">
        <v>65</v>
      </c>
      <c r="C70" s="16" t="s">
        <v>80</v>
      </c>
      <c r="D70" s="74">
        <v>4.4999999999999997E-3</v>
      </c>
      <c r="E70" s="194">
        <v>751681.65</v>
      </c>
      <c r="F70" s="198">
        <f t="shared" si="19"/>
        <v>751681.65</v>
      </c>
      <c r="G70" s="58">
        <f t="shared" ref="G70:G158" si="20">E70-F70</f>
        <v>0</v>
      </c>
      <c r="H70" s="75">
        <f t="shared" si="11"/>
        <v>0</v>
      </c>
      <c r="I70" s="68">
        <f t="shared" si="18"/>
        <v>363041.83763999998</v>
      </c>
      <c r="J70" s="68">
        <f t="shared" ref="J70:J101" si="21">P$2*D70</f>
        <v>0</v>
      </c>
      <c r="K70" s="68">
        <f t="shared" si="7"/>
        <v>185936.29261027643</v>
      </c>
      <c r="L70" s="68">
        <f t="shared" si="8"/>
        <v>202702.7028</v>
      </c>
      <c r="M70" s="190">
        <f t="shared" si="9"/>
        <v>0</v>
      </c>
      <c r="N70" s="190">
        <v>0</v>
      </c>
      <c r="O70" s="190">
        <v>0</v>
      </c>
      <c r="P70" s="415">
        <f t="shared" ref="P70:P101" si="22">ROUND(SUM(G70:O70),0) + S70</f>
        <v>751681.65</v>
      </c>
      <c r="Q70" s="415"/>
      <c r="R70" s="232">
        <f t="shared" ref="R70:R101" si="23">ROUND(P70+P70*3.033%,0) + S70</f>
        <v>774480.65</v>
      </c>
      <c r="S70" s="13">
        <f t="shared" ref="S70:S101" si="24">ROUND(0.001+B70/100,2)</f>
        <v>0.65</v>
      </c>
      <c r="T70" s="1">
        <f t="shared" ref="T70:T101" si="25">B70</f>
        <v>65</v>
      </c>
    </row>
    <row r="71" spans="1:21" ht="24.9" customHeight="1" x14ac:dyDescent="0.3">
      <c r="A71" s="16">
        <v>12</v>
      </c>
      <c r="B71" s="16">
        <v>66</v>
      </c>
      <c r="C71" s="16" t="s">
        <v>81</v>
      </c>
      <c r="D71" s="74">
        <v>4.4999999999999997E-3</v>
      </c>
      <c r="E71" s="194">
        <v>729552.66</v>
      </c>
      <c r="F71" s="195">
        <f>E71</f>
        <v>729552.66</v>
      </c>
      <c r="G71" s="58">
        <f t="shared" si="20"/>
        <v>0</v>
      </c>
      <c r="H71" s="75">
        <f t="shared" si="11"/>
        <v>0</v>
      </c>
      <c r="I71" s="68">
        <f t="shared" si="18"/>
        <v>363041.83763999998</v>
      </c>
      <c r="J71" s="68">
        <f t="shared" si="21"/>
        <v>0</v>
      </c>
      <c r="K71" s="68">
        <f t="shared" ref="K71:K134" si="26">G$2*0.675675676%</f>
        <v>185936.29261027643</v>
      </c>
      <c r="L71" s="68">
        <f t="shared" ref="L71:L134" si="27">P$1*0.675675676%</f>
        <v>202702.7028</v>
      </c>
      <c r="M71" s="190">
        <f t="shared" ref="M71:M134" si="28">G$1*D71</f>
        <v>0</v>
      </c>
      <c r="N71" s="190">
        <v>0</v>
      </c>
      <c r="O71" s="190">
        <v>0</v>
      </c>
      <c r="P71" s="415">
        <f t="shared" si="22"/>
        <v>751681.66</v>
      </c>
      <c r="Q71" s="415"/>
      <c r="R71" s="232">
        <f t="shared" si="23"/>
        <v>774480.66</v>
      </c>
      <c r="S71" s="13">
        <f t="shared" si="24"/>
        <v>0.66</v>
      </c>
      <c r="T71" s="1">
        <f t="shared" si="25"/>
        <v>66</v>
      </c>
      <c r="U71" t="s">
        <v>251</v>
      </c>
    </row>
    <row r="72" spans="1:21" ht="24.9" customHeight="1" x14ac:dyDescent="0.3">
      <c r="A72" s="223">
        <v>1</v>
      </c>
      <c r="B72" s="166">
        <v>67</v>
      </c>
      <c r="C72" s="166" t="s">
        <v>82</v>
      </c>
      <c r="D72" s="74">
        <v>4.4999999999999997E-3</v>
      </c>
      <c r="E72" s="194">
        <v>774480.67</v>
      </c>
      <c r="F72" s="198">
        <v>751700</v>
      </c>
      <c r="G72" s="58">
        <f t="shared" si="20"/>
        <v>22780.670000000042</v>
      </c>
      <c r="H72" s="75">
        <f t="shared" ref="H72:H135" si="29">IF(G72&gt;0,G72*3.087%,0)</f>
        <v>703.23928290000129</v>
      </c>
      <c r="I72" s="68">
        <f t="shared" si="18"/>
        <v>363041.83763999998</v>
      </c>
      <c r="J72" s="68">
        <f t="shared" si="21"/>
        <v>0</v>
      </c>
      <c r="K72" s="68">
        <f t="shared" si="26"/>
        <v>185936.29261027643</v>
      </c>
      <c r="L72" s="68">
        <f t="shared" si="27"/>
        <v>202702.7028</v>
      </c>
      <c r="M72" s="190">
        <f t="shared" si="28"/>
        <v>0</v>
      </c>
      <c r="N72" s="190">
        <v>0</v>
      </c>
      <c r="O72" s="190">
        <v>0</v>
      </c>
      <c r="P72" s="415">
        <f t="shared" si="22"/>
        <v>775165.67</v>
      </c>
      <c r="Q72" s="415"/>
      <c r="R72" s="232">
        <f t="shared" si="23"/>
        <v>798676.67</v>
      </c>
      <c r="S72" s="13">
        <f t="shared" si="24"/>
        <v>0.67</v>
      </c>
      <c r="T72" s="1">
        <f t="shared" si="25"/>
        <v>67</v>
      </c>
      <c r="U72" t="s">
        <v>267</v>
      </c>
    </row>
    <row r="73" spans="1:21" ht="24.9" customHeight="1" x14ac:dyDescent="0.3">
      <c r="A73" s="166"/>
      <c r="B73" s="16">
        <f>B72+1</f>
        <v>68</v>
      </c>
      <c r="C73" s="16" t="s">
        <v>86</v>
      </c>
      <c r="D73" s="74">
        <v>4.4999999999999997E-3</v>
      </c>
      <c r="E73" s="194">
        <v>1187319.68</v>
      </c>
      <c r="F73" s="198"/>
      <c r="G73" s="58">
        <f t="shared" si="20"/>
        <v>1187319.68</v>
      </c>
      <c r="H73" s="75">
        <f t="shared" si="29"/>
        <v>36652.558521599996</v>
      </c>
      <c r="I73" s="68">
        <f t="shared" si="18"/>
        <v>363041.83763999998</v>
      </c>
      <c r="J73" s="68">
        <f t="shared" si="21"/>
        <v>0</v>
      </c>
      <c r="K73" s="68">
        <f t="shared" si="26"/>
        <v>185936.29261027643</v>
      </c>
      <c r="L73" s="68">
        <f t="shared" si="27"/>
        <v>202702.7028</v>
      </c>
      <c r="M73" s="190">
        <v>72609</v>
      </c>
      <c r="N73" s="68">
        <f>(I73)</f>
        <v>363041.83763999998</v>
      </c>
      <c r="O73" s="190">
        <v>0</v>
      </c>
      <c r="P73" s="415">
        <f t="shared" si="22"/>
        <v>2411304.6800000002</v>
      </c>
      <c r="Q73" s="415"/>
      <c r="R73" s="232">
        <f t="shared" si="23"/>
        <v>2484440.6800000002</v>
      </c>
      <c r="S73" s="13">
        <f t="shared" si="24"/>
        <v>0.68</v>
      </c>
      <c r="T73" s="1">
        <f t="shared" si="25"/>
        <v>68</v>
      </c>
    </row>
    <row r="74" spans="1:21" ht="24.9" customHeight="1" x14ac:dyDescent="0.3">
      <c r="A74" s="166"/>
      <c r="B74" s="16">
        <f t="shared" ref="B74:B137" si="30">B73+1</f>
        <v>69</v>
      </c>
      <c r="C74" s="16" t="s">
        <v>87</v>
      </c>
      <c r="D74" s="74">
        <v>3.5999999999999999E-3</v>
      </c>
      <c r="E74" s="194">
        <v>699669.69</v>
      </c>
      <c r="F74" s="198">
        <f>E74</f>
        <v>699669.69</v>
      </c>
      <c r="G74" s="58">
        <f t="shared" si="20"/>
        <v>0</v>
      </c>
      <c r="H74" s="75">
        <f t="shared" si="29"/>
        <v>0</v>
      </c>
      <c r="I74" s="68">
        <f t="shared" si="18"/>
        <v>290433.47011200001</v>
      </c>
      <c r="J74" s="68">
        <f t="shared" si="21"/>
        <v>0</v>
      </c>
      <c r="K74" s="68">
        <f t="shared" si="26"/>
        <v>185936.29261027643</v>
      </c>
      <c r="L74" s="68">
        <f t="shared" si="27"/>
        <v>202702.7028</v>
      </c>
      <c r="M74" s="190">
        <f t="shared" si="28"/>
        <v>0</v>
      </c>
      <c r="N74" s="190">
        <v>0</v>
      </c>
      <c r="O74" s="190">
        <v>0</v>
      </c>
      <c r="P74" s="415">
        <f t="shared" si="22"/>
        <v>679072.69</v>
      </c>
      <c r="Q74" s="415"/>
      <c r="R74" s="232">
        <f t="shared" si="23"/>
        <v>699669.69</v>
      </c>
      <c r="S74" s="13">
        <f t="shared" si="24"/>
        <v>0.69</v>
      </c>
      <c r="T74" s="1">
        <f t="shared" si="25"/>
        <v>69</v>
      </c>
      <c r="U74" t="s">
        <v>210</v>
      </c>
    </row>
    <row r="75" spans="1:21" ht="24.9" customHeight="1" x14ac:dyDescent="0.3">
      <c r="A75" s="166"/>
      <c r="B75" s="16">
        <f t="shared" si="30"/>
        <v>70</v>
      </c>
      <c r="C75" s="16" t="s">
        <v>88</v>
      </c>
      <c r="D75" s="74">
        <v>4.4000000000000003E-3</v>
      </c>
      <c r="E75" s="194">
        <v>1902655.7</v>
      </c>
      <c r="F75" s="198"/>
      <c r="G75" s="58">
        <f t="shared" si="20"/>
        <v>1902655.7</v>
      </c>
      <c r="H75" s="75">
        <f t="shared" si="29"/>
        <v>58734.981459000002</v>
      </c>
      <c r="I75" s="68">
        <f t="shared" si="18"/>
        <v>354974.24124800001</v>
      </c>
      <c r="J75" s="68">
        <f t="shared" si="21"/>
        <v>0</v>
      </c>
      <c r="K75" s="68">
        <f t="shared" si="26"/>
        <v>185936.29261027643</v>
      </c>
      <c r="L75" s="68">
        <f t="shared" si="27"/>
        <v>202702.7028</v>
      </c>
      <c r="M75" s="190">
        <f t="shared" si="28"/>
        <v>0</v>
      </c>
      <c r="N75" s="190">
        <v>0</v>
      </c>
      <c r="O75" s="190">
        <v>0</v>
      </c>
      <c r="P75" s="415">
        <f t="shared" si="22"/>
        <v>2705004.7</v>
      </c>
      <c r="Q75" s="415"/>
      <c r="R75" s="232">
        <f t="shared" si="23"/>
        <v>2787047.7</v>
      </c>
      <c r="S75" s="13">
        <f t="shared" si="24"/>
        <v>0.7</v>
      </c>
      <c r="T75" s="1">
        <f t="shared" si="25"/>
        <v>70</v>
      </c>
      <c r="U75" t="s">
        <v>254</v>
      </c>
    </row>
    <row r="76" spans="1:21" ht="24.9" customHeight="1" x14ac:dyDescent="0.3">
      <c r="A76" s="166"/>
      <c r="B76" s="248">
        <f t="shared" si="30"/>
        <v>71</v>
      </c>
      <c r="C76" s="248" t="s">
        <v>89</v>
      </c>
      <c r="D76" s="74">
        <v>4.0000000000000001E-3</v>
      </c>
      <c r="E76" s="194">
        <v>711777.71</v>
      </c>
      <c r="F76" s="198">
        <v>0</v>
      </c>
      <c r="G76" s="58">
        <f t="shared" si="20"/>
        <v>711777.71</v>
      </c>
      <c r="H76" s="75">
        <f t="shared" si="29"/>
        <v>21972.577907700001</v>
      </c>
      <c r="I76" s="68">
        <f t="shared" si="18"/>
        <v>322703.85568000004</v>
      </c>
      <c r="J76" s="68">
        <f t="shared" si="21"/>
        <v>0</v>
      </c>
      <c r="K76" s="68">
        <f t="shared" si="26"/>
        <v>185936.29261027643</v>
      </c>
      <c r="L76" s="68">
        <f t="shared" si="27"/>
        <v>202702.7028</v>
      </c>
      <c r="M76" s="190">
        <f t="shared" si="28"/>
        <v>0</v>
      </c>
      <c r="N76" s="190">
        <v>0</v>
      </c>
      <c r="O76" s="190">
        <v>0</v>
      </c>
      <c r="P76" s="415">
        <f t="shared" si="22"/>
        <v>1445093.71</v>
      </c>
      <c r="Q76" s="415"/>
      <c r="R76" s="232">
        <f t="shared" si="23"/>
        <v>1488923.71</v>
      </c>
      <c r="S76" s="13">
        <f t="shared" si="24"/>
        <v>0.71</v>
      </c>
      <c r="T76" s="1">
        <f t="shared" si="25"/>
        <v>71</v>
      </c>
      <c r="U76" t="s">
        <v>307</v>
      </c>
    </row>
    <row r="77" spans="1:21" ht="24.9" customHeight="1" x14ac:dyDescent="0.3">
      <c r="A77" s="248"/>
      <c r="B77" s="16">
        <f t="shared" si="30"/>
        <v>72</v>
      </c>
      <c r="C77" s="16" t="s">
        <v>90</v>
      </c>
      <c r="D77" s="74">
        <v>4.0000000000000001E-3</v>
      </c>
      <c r="E77" s="194">
        <v>687739.72</v>
      </c>
      <c r="F77" s="198">
        <v>690000</v>
      </c>
      <c r="G77" s="58">
        <f t="shared" si="20"/>
        <v>-2260.2800000000279</v>
      </c>
      <c r="H77" s="75">
        <f t="shared" si="29"/>
        <v>0</v>
      </c>
      <c r="I77" s="68">
        <f t="shared" si="18"/>
        <v>322703.85568000004</v>
      </c>
      <c r="J77" s="68">
        <f t="shared" si="21"/>
        <v>0</v>
      </c>
      <c r="K77" s="68">
        <f t="shared" si="26"/>
        <v>185936.29261027643</v>
      </c>
      <c r="L77" s="68">
        <f t="shared" si="27"/>
        <v>202702.7028</v>
      </c>
      <c r="M77" s="190">
        <f t="shared" si="28"/>
        <v>0</v>
      </c>
      <c r="N77" s="190">
        <v>0</v>
      </c>
      <c r="O77" s="190">
        <v>0</v>
      </c>
      <c r="P77" s="415">
        <f t="shared" si="22"/>
        <v>709083.72</v>
      </c>
      <c r="Q77" s="415"/>
      <c r="R77" s="232">
        <f t="shared" si="23"/>
        <v>730590.71999999997</v>
      </c>
      <c r="S77" s="13">
        <f t="shared" si="24"/>
        <v>0.72</v>
      </c>
      <c r="T77" s="1">
        <f t="shared" si="25"/>
        <v>72</v>
      </c>
      <c r="U77" t="s">
        <v>195</v>
      </c>
    </row>
    <row r="78" spans="1:21" ht="24.9" customHeight="1" x14ac:dyDescent="0.3">
      <c r="A78" s="227"/>
      <c r="B78" s="166">
        <f t="shared" si="30"/>
        <v>73</v>
      </c>
      <c r="C78" s="166" t="s">
        <v>91</v>
      </c>
      <c r="D78" s="74">
        <v>4.0000000000000001E-3</v>
      </c>
      <c r="E78" s="194">
        <v>711031.73</v>
      </c>
      <c r="F78" s="198">
        <v>712000</v>
      </c>
      <c r="G78" s="58">
        <f t="shared" si="20"/>
        <v>-968.27000000001863</v>
      </c>
      <c r="H78" s="75">
        <f t="shared" si="29"/>
        <v>0</v>
      </c>
      <c r="I78" s="68">
        <f t="shared" si="18"/>
        <v>322703.85568000004</v>
      </c>
      <c r="J78" s="68">
        <f t="shared" si="21"/>
        <v>0</v>
      </c>
      <c r="K78" s="68">
        <f t="shared" si="26"/>
        <v>185936.29261027643</v>
      </c>
      <c r="L78" s="68">
        <f t="shared" si="27"/>
        <v>202702.7028</v>
      </c>
      <c r="M78" s="190">
        <f t="shared" si="28"/>
        <v>0</v>
      </c>
      <c r="N78" s="190">
        <v>0</v>
      </c>
      <c r="O78" s="190">
        <v>0</v>
      </c>
      <c r="P78" s="415">
        <f t="shared" si="22"/>
        <v>710375.73</v>
      </c>
      <c r="Q78" s="415"/>
      <c r="R78" s="232">
        <f t="shared" si="23"/>
        <v>731921.73</v>
      </c>
      <c r="S78" s="13">
        <f t="shared" si="24"/>
        <v>0.73</v>
      </c>
      <c r="T78" s="1">
        <f t="shared" si="25"/>
        <v>73</v>
      </c>
    </row>
    <row r="79" spans="1:21" ht="24.9" customHeight="1" x14ac:dyDescent="0.3">
      <c r="A79" s="16"/>
      <c r="B79" s="16">
        <f t="shared" si="30"/>
        <v>74</v>
      </c>
      <c r="C79" s="16" t="s">
        <v>92</v>
      </c>
      <c r="D79" s="74">
        <v>4.4000000000000003E-3</v>
      </c>
      <c r="E79" s="194">
        <v>721058.74</v>
      </c>
      <c r="F79" s="195">
        <f>E79</f>
        <v>721058.74</v>
      </c>
      <c r="G79" s="58">
        <f t="shared" si="20"/>
        <v>0</v>
      </c>
      <c r="H79" s="75">
        <f t="shared" si="29"/>
        <v>0</v>
      </c>
      <c r="I79" s="68">
        <f t="shared" si="18"/>
        <v>354974.24124800001</v>
      </c>
      <c r="J79" s="68">
        <f t="shared" si="21"/>
        <v>0</v>
      </c>
      <c r="K79" s="68">
        <f t="shared" si="26"/>
        <v>185936.29261027643</v>
      </c>
      <c r="L79" s="68">
        <f t="shared" si="27"/>
        <v>202702.7028</v>
      </c>
      <c r="M79" s="190">
        <f t="shared" si="28"/>
        <v>0</v>
      </c>
      <c r="N79" s="190">
        <v>0</v>
      </c>
      <c r="O79" s="190">
        <v>0</v>
      </c>
      <c r="P79" s="415">
        <f t="shared" si="22"/>
        <v>743613.74</v>
      </c>
      <c r="Q79" s="415"/>
      <c r="R79" s="232">
        <f t="shared" si="23"/>
        <v>766168.74</v>
      </c>
      <c r="S79" s="13">
        <f t="shared" si="24"/>
        <v>0.74</v>
      </c>
      <c r="T79" s="1">
        <f t="shared" si="25"/>
        <v>74</v>
      </c>
    </row>
    <row r="80" spans="1:21" ht="24.9" customHeight="1" x14ac:dyDescent="0.3">
      <c r="A80" s="16"/>
      <c r="B80" s="16">
        <f t="shared" si="30"/>
        <v>75</v>
      </c>
      <c r="C80" s="16" t="s">
        <v>242</v>
      </c>
      <c r="D80" s="74">
        <v>4.1000000000000003E-3</v>
      </c>
      <c r="E80" s="194">
        <v>719410.75</v>
      </c>
      <c r="F80" s="198">
        <f>E80</f>
        <v>719410.75</v>
      </c>
      <c r="G80" s="58">
        <f t="shared" si="20"/>
        <v>0</v>
      </c>
      <c r="H80" s="75">
        <f t="shared" si="29"/>
        <v>0</v>
      </c>
      <c r="I80" s="68">
        <f t="shared" si="18"/>
        <v>330771.45207200001</v>
      </c>
      <c r="J80" s="68">
        <f t="shared" si="21"/>
        <v>0</v>
      </c>
      <c r="K80" s="68">
        <f t="shared" si="26"/>
        <v>185936.29261027643</v>
      </c>
      <c r="L80" s="68">
        <f t="shared" si="27"/>
        <v>202702.7028</v>
      </c>
      <c r="M80" s="190">
        <f t="shared" si="28"/>
        <v>0</v>
      </c>
      <c r="N80" s="190">
        <v>0</v>
      </c>
      <c r="O80" s="190">
        <v>0</v>
      </c>
      <c r="P80" s="415">
        <f t="shared" si="22"/>
        <v>719410.75</v>
      </c>
      <c r="Q80" s="415"/>
      <c r="R80" s="232">
        <f t="shared" si="23"/>
        <v>741230.75</v>
      </c>
      <c r="S80" s="13">
        <f t="shared" si="24"/>
        <v>0.75</v>
      </c>
      <c r="T80" s="1">
        <f t="shared" si="25"/>
        <v>75</v>
      </c>
      <c r="U80" t="s">
        <v>208</v>
      </c>
    </row>
    <row r="81" spans="1:25" ht="24.9" customHeight="1" x14ac:dyDescent="0.3">
      <c r="A81" s="16"/>
      <c r="B81" s="16">
        <f t="shared" si="30"/>
        <v>76</v>
      </c>
      <c r="C81" s="16" t="s">
        <v>84</v>
      </c>
      <c r="D81" s="74">
        <v>4.4999999999999997E-3</v>
      </c>
      <c r="E81" s="194">
        <v>751681.76</v>
      </c>
      <c r="F81" s="198">
        <f>E81</f>
        <v>751681.76</v>
      </c>
      <c r="G81" s="58">
        <f t="shared" si="20"/>
        <v>0</v>
      </c>
      <c r="H81" s="75">
        <f t="shared" si="29"/>
        <v>0</v>
      </c>
      <c r="I81" s="68">
        <f t="shared" si="18"/>
        <v>363041.83763999998</v>
      </c>
      <c r="J81" s="68">
        <f t="shared" si="21"/>
        <v>0</v>
      </c>
      <c r="K81" s="68">
        <f t="shared" si="26"/>
        <v>185936.29261027643</v>
      </c>
      <c r="L81" s="68">
        <f t="shared" si="27"/>
        <v>202702.7028</v>
      </c>
      <c r="M81" s="190">
        <f t="shared" si="28"/>
        <v>0</v>
      </c>
      <c r="N81" s="190">
        <v>0</v>
      </c>
      <c r="O81" s="283">
        <f>I81/2</f>
        <v>181520.91881999999</v>
      </c>
      <c r="P81" s="415">
        <f t="shared" si="22"/>
        <v>933202.76</v>
      </c>
      <c r="Q81" s="415"/>
      <c r="R81" s="232">
        <f t="shared" si="23"/>
        <v>961507.76</v>
      </c>
      <c r="S81" s="13">
        <f t="shared" si="24"/>
        <v>0.76</v>
      </c>
      <c r="T81" s="1">
        <f t="shared" si="25"/>
        <v>76</v>
      </c>
    </row>
    <row r="82" spans="1:25" ht="24.9" customHeight="1" x14ac:dyDescent="0.3">
      <c r="A82" s="324"/>
      <c r="B82" s="324">
        <f t="shared" si="30"/>
        <v>77</v>
      </c>
      <c r="C82" s="324" t="s">
        <v>93</v>
      </c>
      <c r="D82" s="74">
        <v>6.1000000000000004E-3</v>
      </c>
      <c r="E82" s="194">
        <v>875621.77</v>
      </c>
      <c r="F82" s="198">
        <v>876000</v>
      </c>
      <c r="G82" s="58">
        <f t="shared" si="20"/>
        <v>-378.22999999998137</v>
      </c>
      <c r="H82" s="75">
        <f t="shared" si="29"/>
        <v>0</v>
      </c>
      <c r="I82" s="68">
        <f t="shared" si="18"/>
        <v>492123.37991200003</v>
      </c>
      <c r="J82" s="68">
        <f t="shared" si="21"/>
        <v>0</v>
      </c>
      <c r="K82" s="68">
        <f t="shared" si="26"/>
        <v>185936.29261027643</v>
      </c>
      <c r="L82" s="68">
        <f t="shared" si="27"/>
        <v>202702.7028</v>
      </c>
      <c r="M82" s="190">
        <f t="shared" si="28"/>
        <v>0</v>
      </c>
      <c r="N82" s="190">
        <v>0</v>
      </c>
      <c r="O82" s="190">
        <v>0</v>
      </c>
      <c r="P82" s="415">
        <f t="shared" si="22"/>
        <v>880384.77</v>
      </c>
      <c r="Q82" s="415"/>
      <c r="R82" s="232">
        <f t="shared" si="23"/>
        <v>907087.77</v>
      </c>
      <c r="S82" s="13">
        <f t="shared" si="24"/>
        <v>0.77</v>
      </c>
      <c r="T82" s="1">
        <f t="shared" si="25"/>
        <v>77</v>
      </c>
      <c r="U82" t="s">
        <v>265</v>
      </c>
    </row>
    <row r="83" spans="1:25" ht="24.9" customHeight="1" x14ac:dyDescent="0.3">
      <c r="A83" s="165"/>
      <c r="B83" s="307">
        <f t="shared" si="30"/>
        <v>78</v>
      </c>
      <c r="C83" s="307" t="s">
        <v>94</v>
      </c>
      <c r="D83" s="74">
        <v>4.7999999999999996E-3</v>
      </c>
      <c r="E83" s="194">
        <v>775281.78</v>
      </c>
      <c r="F83" s="198">
        <v>799000</v>
      </c>
      <c r="G83" s="58">
        <f t="shared" si="20"/>
        <v>-23718.219999999972</v>
      </c>
      <c r="H83" s="75">
        <f t="shared" si="29"/>
        <v>0</v>
      </c>
      <c r="I83" s="68">
        <f t="shared" si="18"/>
        <v>387244.62681599997</v>
      </c>
      <c r="J83" s="68">
        <f t="shared" si="21"/>
        <v>0</v>
      </c>
      <c r="K83" s="68">
        <f t="shared" si="26"/>
        <v>185936.29261027643</v>
      </c>
      <c r="L83" s="68">
        <f t="shared" si="27"/>
        <v>202702.7028</v>
      </c>
      <c r="M83" s="190">
        <f t="shared" si="28"/>
        <v>0</v>
      </c>
      <c r="N83" s="190">
        <v>0</v>
      </c>
      <c r="O83" s="190">
        <v>0</v>
      </c>
      <c r="P83" s="415">
        <f t="shared" si="22"/>
        <v>752165.78</v>
      </c>
      <c r="Q83" s="415"/>
      <c r="R83" s="232">
        <f t="shared" si="23"/>
        <v>774979.78</v>
      </c>
      <c r="S83" s="13">
        <f t="shared" si="24"/>
        <v>0.78</v>
      </c>
      <c r="T83" s="1">
        <f t="shared" si="25"/>
        <v>78</v>
      </c>
      <c r="U83" t="s">
        <v>243</v>
      </c>
    </row>
    <row r="84" spans="1:25" ht="24.9" customHeight="1" x14ac:dyDescent="0.3">
      <c r="A84" s="16"/>
      <c r="B84" s="16">
        <f t="shared" si="30"/>
        <v>79</v>
      </c>
      <c r="C84" s="16" t="s">
        <v>95</v>
      </c>
      <c r="D84" s="74">
        <v>4.4999999999999997E-3</v>
      </c>
      <c r="E84" s="194">
        <v>837638.79</v>
      </c>
      <c r="F84" s="198"/>
      <c r="G84" s="58">
        <f t="shared" si="20"/>
        <v>837638.79</v>
      </c>
      <c r="H84" s="75">
        <f t="shared" si="29"/>
        <v>25857.909447300004</v>
      </c>
      <c r="I84" s="68">
        <f t="shared" si="18"/>
        <v>363041.83763999998</v>
      </c>
      <c r="J84" s="68">
        <f t="shared" si="21"/>
        <v>0</v>
      </c>
      <c r="K84" s="68">
        <f t="shared" si="26"/>
        <v>185936.29261027643</v>
      </c>
      <c r="L84" s="68">
        <f t="shared" si="27"/>
        <v>202702.7028</v>
      </c>
      <c r="M84" s="190">
        <f t="shared" si="28"/>
        <v>0</v>
      </c>
      <c r="N84" s="190">
        <v>0</v>
      </c>
      <c r="O84" s="190">
        <v>0</v>
      </c>
      <c r="P84" s="415">
        <f t="shared" si="22"/>
        <v>1615178.79</v>
      </c>
      <c r="Q84" s="415"/>
      <c r="R84" s="232">
        <f t="shared" si="23"/>
        <v>1664167.79</v>
      </c>
      <c r="S84" s="76">
        <f t="shared" si="24"/>
        <v>0.79</v>
      </c>
      <c r="T84" s="57">
        <f t="shared" si="25"/>
        <v>79</v>
      </c>
      <c r="U84" s="35" t="s">
        <v>313</v>
      </c>
      <c r="Y84" t="s">
        <v>245</v>
      </c>
    </row>
    <row r="85" spans="1:25" ht="24.9" customHeight="1" x14ac:dyDescent="0.3">
      <c r="A85" s="226"/>
      <c r="B85" s="16">
        <f t="shared" si="30"/>
        <v>80</v>
      </c>
      <c r="C85" s="16" t="s">
        <v>96</v>
      </c>
      <c r="D85" s="74">
        <v>4.4999999999999997E-3</v>
      </c>
      <c r="E85" s="194">
        <v>751681.8</v>
      </c>
      <c r="F85" s="198">
        <f>E85</f>
        <v>751681.8</v>
      </c>
      <c r="G85" s="58">
        <f t="shared" si="20"/>
        <v>0</v>
      </c>
      <c r="H85" s="75">
        <f t="shared" si="29"/>
        <v>0</v>
      </c>
      <c r="I85" s="68">
        <f t="shared" si="18"/>
        <v>363041.83763999998</v>
      </c>
      <c r="J85" s="68">
        <f t="shared" si="21"/>
        <v>0</v>
      </c>
      <c r="K85" s="68">
        <f t="shared" si="26"/>
        <v>185936.29261027643</v>
      </c>
      <c r="L85" s="68">
        <f t="shared" si="27"/>
        <v>202702.7028</v>
      </c>
      <c r="M85" s="190">
        <f t="shared" si="28"/>
        <v>0</v>
      </c>
      <c r="N85" s="190">
        <v>0</v>
      </c>
      <c r="O85" s="190">
        <v>0</v>
      </c>
      <c r="P85" s="415">
        <f t="shared" si="22"/>
        <v>751681.8</v>
      </c>
      <c r="Q85" s="415"/>
      <c r="R85" s="232">
        <f t="shared" si="23"/>
        <v>774480.8</v>
      </c>
      <c r="S85" s="13">
        <f t="shared" si="24"/>
        <v>0.8</v>
      </c>
      <c r="T85" s="1">
        <f t="shared" si="25"/>
        <v>80</v>
      </c>
      <c r="U85" t="s">
        <v>287</v>
      </c>
    </row>
    <row r="86" spans="1:25" ht="24.9" customHeight="1" x14ac:dyDescent="0.3">
      <c r="A86" s="16"/>
      <c r="B86" s="16">
        <f t="shared" si="30"/>
        <v>81</v>
      </c>
      <c r="C86" s="16" t="s">
        <v>97</v>
      </c>
      <c r="D86" s="74">
        <v>4.4999999999999997E-3</v>
      </c>
      <c r="E86" s="194">
        <v>2325374.81</v>
      </c>
      <c r="F86" s="198">
        <f>2395903.81</f>
        <v>2395903.81</v>
      </c>
      <c r="G86" s="58">
        <f t="shared" si="20"/>
        <v>-70529</v>
      </c>
      <c r="H86" s="75">
        <f t="shared" si="29"/>
        <v>0</v>
      </c>
      <c r="I86" s="68">
        <f t="shared" si="18"/>
        <v>363041.83763999998</v>
      </c>
      <c r="J86" s="68">
        <f t="shared" si="21"/>
        <v>0</v>
      </c>
      <c r="K86" s="68">
        <f t="shared" si="26"/>
        <v>185936.29261027643</v>
      </c>
      <c r="L86" s="68">
        <f t="shared" si="27"/>
        <v>202702.7028</v>
      </c>
      <c r="M86" s="190">
        <f t="shared" si="28"/>
        <v>0</v>
      </c>
      <c r="N86" s="190">
        <v>0</v>
      </c>
      <c r="O86" s="190">
        <v>0</v>
      </c>
      <c r="P86" s="415">
        <f t="shared" si="22"/>
        <v>681152.81</v>
      </c>
      <c r="Q86" s="415"/>
      <c r="R86" s="232">
        <f t="shared" si="23"/>
        <v>701812.81</v>
      </c>
      <c r="S86" s="13">
        <f t="shared" si="24"/>
        <v>0.81</v>
      </c>
      <c r="T86" s="1">
        <f t="shared" si="25"/>
        <v>81</v>
      </c>
      <c r="U86" t="s">
        <v>236</v>
      </c>
    </row>
    <row r="87" spans="1:25" ht="24.9" customHeight="1" x14ac:dyDescent="0.3">
      <c r="A87" s="16"/>
      <c r="B87" s="16">
        <f t="shared" si="30"/>
        <v>82</v>
      </c>
      <c r="C87" s="16" t="s">
        <v>98</v>
      </c>
      <c r="D87" s="74">
        <v>4.1999999999999997E-3</v>
      </c>
      <c r="E87" s="194">
        <v>684068.82</v>
      </c>
      <c r="F87" s="198">
        <v>775884.82</v>
      </c>
      <c r="G87" s="58">
        <f t="shared" si="20"/>
        <v>-91816</v>
      </c>
      <c r="H87" s="75">
        <f t="shared" si="29"/>
        <v>0</v>
      </c>
      <c r="I87" s="68">
        <f t="shared" si="18"/>
        <v>338839.04846399999</v>
      </c>
      <c r="J87" s="68">
        <f t="shared" si="21"/>
        <v>0</v>
      </c>
      <c r="K87" s="68">
        <f t="shared" si="26"/>
        <v>185936.29261027643</v>
      </c>
      <c r="L87" s="68">
        <f t="shared" si="27"/>
        <v>202702.7028</v>
      </c>
      <c r="M87" s="190">
        <f t="shared" si="28"/>
        <v>0</v>
      </c>
      <c r="N87" s="190">
        <v>0</v>
      </c>
      <c r="O87" s="190">
        <v>0</v>
      </c>
      <c r="P87" s="415">
        <f t="shared" si="22"/>
        <v>635662.81999999995</v>
      </c>
      <c r="Q87" s="415"/>
      <c r="R87" s="232">
        <f t="shared" si="23"/>
        <v>654942.81999999995</v>
      </c>
      <c r="S87" s="13">
        <f t="shared" si="24"/>
        <v>0.82</v>
      </c>
      <c r="T87" s="1">
        <f t="shared" si="25"/>
        <v>82</v>
      </c>
      <c r="U87" t="s">
        <v>273</v>
      </c>
      <c r="W87" s="16"/>
    </row>
    <row r="88" spans="1:25" ht="24.9" customHeight="1" x14ac:dyDescent="0.3">
      <c r="A88" s="16"/>
      <c r="B88" s="16">
        <f t="shared" si="30"/>
        <v>83</v>
      </c>
      <c r="C88" s="16" t="s">
        <v>99</v>
      </c>
      <c r="D88" s="74">
        <v>4.7999999999999996E-3</v>
      </c>
      <c r="E88" s="194">
        <v>753043.83</v>
      </c>
      <c r="F88" s="198">
        <v>775884.83</v>
      </c>
      <c r="G88" s="58">
        <f t="shared" si="20"/>
        <v>-22841</v>
      </c>
      <c r="H88" s="75">
        <f t="shared" si="29"/>
        <v>0</v>
      </c>
      <c r="I88" s="68">
        <f t="shared" si="18"/>
        <v>387244.62681599997</v>
      </c>
      <c r="J88" s="68">
        <f t="shared" si="21"/>
        <v>0</v>
      </c>
      <c r="K88" s="68">
        <f t="shared" si="26"/>
        <v>185936.29261027643</v>
      </c>
      <c r="L88" s="68">
        <f t="shared" si="27"/>
        <v>202702.7028</v>
      </c>
      <c r="M88" s="190">
        <f t="shared" si="28"/>
        <v>0</v>
      </c>
      <c r="N88" s="190">
        <v>0</v>
      </c>
      <c r="O88" s="190">
        <v>0</v>
      </c>
      <c r="P88" s="415">
        <f t="shared" si="22"/>
        <v>753043.83</v>
      </c>
      <c r="Q88" s="415"/>
      <c r="R88" s="232">
        <f t="shared" si="23"/>
        <v>775884.83</v>
      </c>
      <c r="S88" s="13">
        <f t="shared" si="24"/>
        <v>0.83</v>
      </c>
      <c r="T88" s="1">
        <f t="shared" si="25"/>
        <v>83</v>
      </c>
    </row>
    <row r="89" spans="1:25" ht="24.9" customHeight="1" x14ac:dyDescent="0.3">
      <c r="A89" s="16"/>
      <c r="B89" s="16">
        <f t="shared" si="30"/>
        <v>84</v>
      </c>
      <c r="C89" s="16" t="s">
        <v>99</v>
      </c>
      <c r="D89" s="74">
        <v>4.7999999999999996E-3</v>
      </c>
      <c r="E89" s="194">
        <v>753043.84</v>
      </c>
      <c r="F89" s="198">
        <v>775884.84</v>
      </c>
      <c r="G89" s="58">
        <f t="shared" si="20"/>
        <v>-22841</v>
      </c>
      <c r="H89" s="75">
        <f t="shared" si="29"/>
        <v>0</v>
      </c>
      <c r="I89" s="68">
        <f t="shared" si="18"/>
        <v>387244.62681599997</v>
      </c>
      <c r="J89" s="68">
        <f t="shared" si="21"/>
        <v>0</v>
      </c>
      <c r="K89" s="68">
        <f t="shared" si="26"/>
        <v>185936.29261027643</v>
      </c>
      <c r="L89" s="68">
        <f t="shared" si="27"/>
        <v>202702.7028</v>
      </c>
      <c r="M89" s="190">
        <f t="shared" si="28"/>
        <v>0</v>
      </c>
      <c r="N89" s="190">
        <v>0</v>
      </c>
      <c r="O89" s="190">
        <v>0</v>
      </c>
      <c r="P89" s="415">
        <f t="shared" si="22"/>
        <v>753043.84</v>
      </c>
      <c r="Q89" s="415"/>
      <c r="R89" s="232">
        <f t="shared" si="23"/>
        <v>775884.84</v>
      </c>
      <c r="S89" s="13">
        <f t="shared" si="24"/>
        <v>0.84</v>
      </c>
      <c r="T89" s="1">
        <f t="shared" si="25"/>
        <v>84</v>
      </c>
    </row>
    <row r="90" spans="1:25" ht="24.9" customHeight="1" x14ac:dyDescent="0.3">
      <c r="A90" s="16"/>
      <c r="B90" s="16">
        <f t="shared" si="30"/>
        <v>85</v>
      </c>
      <c r="C90" s="16" t="s">
        <v>100</v>
      </c>
      <c r="D90" s="74">
        <v>4.7999999999999996E-3</v>
      </c>
      <c r="E90" s="194">
        <v>775884.85</v>
      </c>
      <c r="F90" s="198">
        <f>E90</f>
        <v>775884.85</v>
      </c>
      <c r="G90" s="58">
        <f t="shared" si="20"/>
        <v>0</v>
      </c>
      <c r="H90" s="75">
        <f t="shared" si="29"/>
        <v>0</v>
      </c>
      <c r="I90" s="68">
        <f t="shared" si="18"/>
        <v>387244.62681599997</v>
      </c>
      <c r="J90" s="68">
        <f t="shared" si="21"/>
        <v>0</v>
      </c>
      <c r="K90" s="68">
        <f t="shared" si="26"/>
        <v>185936.29261027643</v>
      </c>
      <c r="L90" s="68">
        <f t="shared" si="27"/>
        <v>202702.7028</v>
      </c>
      <c r="M90" s="190">
        <f t="shared" si="28"/>
        <v>0</v>
      </c>
      <c r="N90" s="190">
        <v>0</v>
      </c>
      <c r="O90" s="190">
        <v>0</v>
      </c>
      <c r="P90" s="415">
        <f t="shared" si="22"/>
        <v>775884.85</v>
      </c>
      <c r="Q90" s="415"/>
      <c r="R90" s="232">
        <f t="shared" si="23"/>
        <v>799417.85</v>
      </c>
      <c r="S90" s="13">
        <f t="shared" si="24"/>
        <v>0.85</v>
      </c>
      <c r="T90" s="1">
        <f t="shared" si="25"/>
        <v>85</v>
      </c>
      <c r="U90" t="s">
        <v>224</v>
      </c>
    </row>
    <row r="91" spans="1:25" ht="24.9" customHeight="1" x14ac:dyDescent="0.3">
      <c r="A91" s="258"/>
      <c r="B91" s="258">
        <f t="shared" si="30"/>
        <v>86</v>
      </c>
      <c r="C91" s="258" t="s">
        <v>170</v>
      </c>
      <c r="D91" s="74">
        <v>4.7999999999999996E-3</v>
      </c>
      <c r="E91" s="194">
        <v>1204092.8600000001</v>
      </c>
      <c r="F91" s="198">
        <f>300000+452500+250000+400000</f>
        <v>1402500</v>
      </c>
      <c r="G91" s="58">
        <f t="shared" si="20"/>
        <v>-198407.1399999999</v>
      </c>
      <c r="H91" s="75">
        <f t="shared" si="29"/>
        <v>0</v>
      </c>
      <c r="I91" s="68">
        <f t="shared" si="18"/>
        <v>387244.62681599997</v>
      </c>
      <c r="J91" s="68">
        <f t="shared" si="21"/>
        <v>0</v>
      </c>
      <c r="K91" s="68">
        <f t="shared" si="26"/>
        <v>185936.29261027643</v>
      </c>
      <c r="L91" s="68">
        <f t="shared" si="27"/>
        <v>202702.7028</v>
      </c>
      <c r="M91" s="190">
        <v>77449</v>
      </c>
      <c r="N91" s="68">
        <f>(I91)</f>
        <v>387244.62681599997</v>
      </c>
      <c r="O91" s="190">
        <v>0</v>
      </c>
      <c r="P91" s="415">
        <f t="shared" si="22"/>
        <v>1042170.86</v>
      </c>
      <c r="Q91" s="415"/>
      <c r="R91" s="232">
        <f t="shared" si="23"/>
        <v>1073780.8600000001</v>
      </c>
      <c r="S91" s="13">
        <f t="shared" si="24"/>
        <v>0.86</v>
      </c>
      <c r="T91" s="1">
        <f t="shared" si="25"/>
        <v>86</v>
      </c>
      <c r="U91" t="s">
        <v>324</v>
      </c>
    </row>
    <row r="92" spans="1:25" ht="24.9" customHeight="1" x14ac:dyDescent="0.3">
      <c r="A92" s="16"/>
      <c r="B92" s="16">
        <f t="shared" si="30"/>
        <v>87</v>
      </c>
      <c r="C92" s="16" t="s">
        <v>101</v>
      </c>
      <c r="D92" s="74">
        <v>4.7999999999999996E-3</v>
      </c>
      <c r="E92" s="194">
        <v>775884.87</v>
      </c>
      <c r="F92" s="198">
        <f>E92</f>
        <v>775884.87</v>
      </c>
      <c r="G92" s="58">
        <f t="shared" si="20"/>
        <v>0</v>
      </c>
      <c r="H92" s="75">
        <f t="shared" si="29"/>
        <v>0</v>
      </c>
      <c r="I92" s="68">
        <f t="shared" si="18"/>
        <v>387244.62681599997</v>
      </c>
      <c r="J92" s="68">
        <f t="shared" si="21"/>
        <v>0</v>
      </c>
      <c r="K92" s="68">
        <f t="shared" si="26"/>
        <v>185936.29261027643</v>
      </c>
      <c r="L92" s="68">
        <f t="shared" si="27"/>
        <v>202702.7028</v>
      </c>
      <c r="M92" s="190">
        <f t="shared" si="28"/>
        <v>0</v>
      </c>
      <c r="N92" s="190">
        <v>0</v>
      </c>
      <c r="O92" s="190">
        <v>0</v>
      </c>
      <c r="P92" s="415">
        <f t="shared" si="22"/>
        <v>775884.87</v>
      </c>
      <c r="Q92" s="415"/>
      <c r="R92" s="232">
        <f t="shared" si="23"/>
        <v>799417.87</v>
      </c>
      <c r="S92" s="13">
        <f t="shared" si="24"/>
        <v>0.87</v>
      </c>
      <c r="T92" s="1">
        <f t="shared" si="25"/>
        <v>87</v>
      </c>
    </row>
    <row r="93" spans="1:25" ht="24.9" customHeight="1" x14ac:dyDescent="0.3">
      <c r="A93" s="349"/>
      <c r="B93" s="349">
        <f t="shared" si="30"/>
        <v>88</v>
      </c>
      <c r="C93" s="349" t="s">
        <v>102</v>
      </c>
      <c r="D93" s="74">
        <v>4.7999999999999996E-3</v>
      </c>
      <c r="E93" s="194">
        <v>775884.88</v>
      </c>
      <c r="F93" s="195">
        <f>E93</f>
        <v>775884.88</v>
      </c>
      <c r="G93" s="58">
        <f t="shared" si="20"/>
        <v>0</v>
      </c>
      <c r="H93" s="75">
        <f t="shared" si="29"/>
        <v>0</v>
      </c>
      <c r="I93" s="68">
        <f t="shared" si="18"/>
        <v>387244.62681599997</v>
      </c>
      <c r="J93" s="68">
        <f t="shared" si="21"/>
        <v>0</v>
      </c>
      <c r="K93" s="68">
        <f t="shared" si="26"/>
        <v>185936.29261027643</v>
      </c>
      <c r="L93" s="68">
        <f t="shared" si="27"/>
        <v>202702.7028</v>
      </c>
      <c r="M93" s="190">
        <f t="shared" si="28"/>
        <v>0</v>
      </c>
      <c r="N93" s="190">
        <v>0</v>
      </c>
      <c r="O93" s="190">
        <v>0</v>
      </c>
      <c r="P93" s="415">
        <f t="shared" si="22"/>
        <v>775884.88</v>
      </c>
      <c r="Q93" s="415"/>
      <c r="R93" s="232">
        <f t="shared" si="23"/>
        <v>799417.88</v>
      </c>
      <c r="S93" s="13">
        <f t="shared" si="24"/>
        <v>0.88</v>
      </c>
      <c r="T93" s="1">
        <f t="shared" si="25"/>
        <v>88</v>
      </c>
    </row>
    <row r="94" spans="1:25" ht="24.9" customHeight="1" x14ac:dyDescent="0.3">
      <c r="A94" s="16"/>
      <c r="B94" s="16">
        <f t="shared" si="30"/>
        <v>89</v>
      </c>
      <c r="C94" s="16" t="s">
        <v>222</v>
      </c>
      <c r="D94" s="74">
        <v>4.7999999999999996E-3</v>
      </c>
      <c r="E94" s="194">
        <v>728827.89</v>
      </c>
      <c r="F94" s="195">
        <f>E94</f>
        <v>728827.89</v>
      </c>
      <c r="G94" s="58">
        <f t="shared" si="20"/>
        <v>0</v>
      </c>
      <c r="H94" s="75">
        <f t="shared" si="29"/>
        <v>0</v>
      </c>
      <c r="I94" s="68">
        <f t="shared" si="18"/>
        <v>387244.62681599997</v>
      </c>
      <c r="J94" s="68">
        <f t="shared" si="21"/>
        <v>0</v>
      </c>
      <c r="K94" s="68">
        <f t="shared" si="26"/>
        <v>185936.29261027643</v>
      </c>
      <c r="L94" s="68">
        <f t="shared" si="27"/>
        <v>202702.7028</v>
      </c>
      <c r="M94" s="190">
        <f t="shared" si="28"/>
        <v>0</v>
      </c>
      <c r="N94" s="190">
        <v>0</v>
      </c>
      <c r="O94" s="190">
        <v>0</v>
      </c>
      <c r="P94" s="415">
        <f t="shared" si="22"/>
        <v>775884.89</v>
      </c>
      <c r="Q94" s="415"/>
      <c r="R94" s="232">
        <f t="shared" si="23"/>
        <v>799417.89</v>
      </c>
      <c r="S94" s="76">
        <f t="shared" si="24"/>
        <v>0.89</v>
      </c>
      <c r="T94" s="57">
        <f t="shared" si="25"/>
        <v>89</v>
      </c>
      <c r="U94" t="s">
        <v>285</v>
      </c>
    </row>
    <row r="95" spans="1:25" ht="24.9" customHeight="1" x14ac:dyDescent="0.3">
      <c r="A95" s="224"/>
      <c r="B95" s="16">
        <f t="shared" si="30"/>
        <v>90</v>
      </c>
      <c r="C95" s="16" t="s">
        <v>103</v>
      </c>
      <c r="D95" s="74">
        <v>4.7999999999999996E-3</v>
      </c>
      <c r="E95" s="194">
        <v>799408.9</v>
      </c>
      <c r="F95" s="198">
        <f>650000+150000.9</f>
        <v>800000.9</v>
      </c>
      <c r="G95" s="58">
        <f t="shared" si="20"/>
        <v>-592</v>
      </c>
      <c r="H95" s="75">
        <f t="shared" si="29"/>
        <v>0</v>
      </c>
      <c r="I95" s="68">
        <f t="shared" si="18"/>
        <v>387244.62681599997</v>
      </c>
      <c r="J95" s="68">
        <f t="shared" si="21"/>
        <v>0</v>
      </c>
      <c r="K95" s="68">
        <f t="shared" si="26"/>
        <v>185936.29261027643</v>
      </c>
      <c r="L95" s="68">
        <f t="shared" si="27"/>
        <v>202702.7028</v>
      </c>
      <c r="M95" s="190">
        <v>77449</v>
      </c>
      <c r="N95" s="68">
        <f>(I95)</f>
        <v>387244.62681599997</v>
      </c>
      <c r="O95" s="190">
        <v>0</v>
      </c>
      <c r="P95" s="415">
        <f t="shared" si="22"/>
        <v>1239985.8999999999</v>
      </c>
      <c r="Q95" s="415"/>
      <c r="R95" s="232">
        <f t="shared" si="23"/>
        <v>1277595.8999999999</v>
      </c>
      <c r="S95" s="13">
        <f t="shared" si="24"/>
        <v>0.9</v>
      </c>
      <c r="T95" s="1">
        <f t="shared" si="25"/>
        <v>90</v>
      </c>
      <c r="U95" t="s">
        <v>246</v>
      </c>
    </row>
    <row r="96" spans="1:25" ht="24.9" customHeight="1" x14ac:dyDescent="0.3">
      <c r="A96" s="16"/>
      <c r="B96" s="16">
        <f t="shared" si="30"/>
        <v>91</v>
      </c>
      <c r="C96" s="16" t="s">
        <v>104</v>
      </c>
      <c r="D96" s="74">
        <v>4.7999999999999996E-3</v>
      </c>
      <c r="E96" s="194">
        <v>775884.91</v>
      </c>
      <c r="F96" s="198">
        <f>E96</f>
        <v>775884.91</v>
      </c>
      <c r="G96" s="58">
        <f t="shared" si="20"/>
        <v>0</v>
      </c>
      <c r="H96" s="75">
        <f t="shared" si="29"/>
        <v>0</v>
      </c>
      <c r="I96" s="68">
        <f t="shared" si="18"/>
        <v>387244.62681599997</v>
      </c>
      <c r="J96" s="68">
        <f t="shared" si="21"/>
        <v>0</v>
      </c>
      <c r="K96" s="68">
        <f t="shared" si="26"/>
        <v>185936.29261027643</v>
      </c>
      <c r="L96" s="68">
        <f t="shared" si="27"/>
        <v>202702.7028</v>
      </c>
      <c r="M96" s="190">
        <f t="shared" si="28"/>
        <v>0</v>
      </c>
      <c r="N96" s="190">
        <v>0</v>
      </c>
      <c r="O96" s="190">
        <v>0</v>
      </c>
      <c r="P96" s="415">
        <f t="shared" si="22"/>
        <v>775884.91</v>
      </c>
      <c r="Q96" s="415"/>
      <c r="R96" s="232">
        <f t="shared" si="23"/>
        <v>799417.91</v>
      </c>
      <c r="S96" s="13">
        <f t="shared" si="24"/>
        <v>0.91</v>
      </c>
      <c r="T96" s="1">
        <f t="shared" si="25"/>
        <v>91</v>
      </c>
      <c r="U96" t="s">
        <v>198</v>
      </c>
    </row>
    <row r="97" spans="1:22" ht="24.9" customHeight="1" x14ac:dyDescent="0.3">
      <c r="A97" s="16"/>
      <c r="B97" s="16">
        <f t="shared" si="30"/>
        <v>92</v>
      </c>
      <c r="C97" s="16" t="s">
        <v>319</v>
      </c>
      <c r="D97" s="74">
        <v>4.7999999999999996E-3</v>
      </c>
      <c r="E97" s="194">
        <v>775885.92</v>
      </c>
      <c r="F97" s="198">
        <f>1625885-850000</f>
        <v>775885</v>
      </c>
      <c r="G97" s="58">
        <f t="shared" si="20"/>
        <v>0.92000000004190952</v>
      </c>
      <c r="H97" s="75">
        <f t="shared" si="29"/>
        <v>2.8400400001293749E-2</v>
      </c>
      <c r="I97" s="68">
        <f t="shared" si="18"/>
        <v>387244.62681599997</v>
      </c>
      <c r="J97" s="68">
        <f t="shared" si="21"/>
        <v>0</v>
      </c>
      <c r="K97" s="68">
        <f t="shared" si="26"/>
        <v>185936.29261027643</v>
      </c>
      <c r="L97" s="68">
        <f t="shared" si="27"/>
        <v>202702.7028</v>
      </c>
      <c r="M97" s="190">
        <f t="shared" si="28"/>
        <v>0</v>
      </c>
      <c r="N97" s="190">
        <v>0</v>
      </c>
      <c r="O97" s="190">
        <v>0</v>
      </c>
      <c r="P97" s="415">
        <f t="shared" si="22"/>
        <v>775885.92</v>
      </c>
      <c r="Q97" s="415"/>
      <c r="R97" s="232">
        <f t="shared" si="23"/>
        <v>799419.92</v>
      </c>
      <c r="S97" s="76">
        <f t="shared" si="24"/>
        <v>0.92</v>
      </c>
      <c r="T97" s="57">
        <f t="shared" si="25"/>
        <v>92</v>
      </c>
      <c r="U97" t="s">
        <v>314</v>
      </c>
    </row>
    <row r="98" spans="1:22" ht="24.9" customHeight="1" x14ac:dyDescent="0.3">
      <c r="A98" s="16"/>
      <c r="B98" s="16">
        <f t="shared" si="30"/>
        <v>93</v>
      </c>
      <c r="C98" s="268" t="s">
        <v>171</v>
      </c>
      <c r="D98" s="74">
        <v>4.5999999999999999E-3</v>
      </c>
      <c r="E98" s="194">
        <v>882217.93</v>
      </c>
      <c r="F98" s="198">
        <v>900000</v>
      </c>
      <c r="G98" s="58">
        <f>E98-F98</f>
        <v>-17782.069999999949</v>
      </c>
      <c r="H98" s="75">
        <f t="shared" si="29"/>
        <v>0</v>
      </c>
      <c r="I98" s="68">
        <f t="shared" si="18"/>
        <v>371109.43403200002</v>
      </c>
      <c r="J98" s="68">
        <f t="shared" si="21"/>
        <v>0</v>
      </c>
      <c r="K98" s="68">
        <f t="shared" si="26"/>
        <v>185936.29261027643</v>
      </c>
      <c r="L98" s="68">
        <f t="shared" si="27"/>
        <v>202702.7028</v>
      </c>
      <c r="M98" s="190">
        <f t="shared" si="28"/>
        <v>0</v>
      </c>
      <c r="N98" s="190">
        <v>0</v>
      </c>
      <c r="O98" s="190">
        <v>0</v>
      </c>
      <c r="P98" s="415">
        <f t="shared" si="22"/>
        <v>741966.93</v>
      </c>
      <c r="Q98" s="415"/>
      <c r="R98" s="232">
        <f t="shared" si="23"/>
        <v>764471.93</v>
      </c>
      <c r="S98" s="13">
        <f t="shared" si="24"/>
        <v>0.93</v>
      </c>
      <c r="T98" s="1">
        <f t="shared" si="25"/>
        <v>93</v>
      </c>
      <c r="U98" t="s">
        <v>305</v>
      </c>
    </row>
    <row r="99" spans="1:22" ht="24.9" customHeight="1" x14ac:dyDescent="0.3">
      <c r="A99" s="16"/>
      <c r="B99" s="16">
        <f t="shared" si="30"/>
        <v>94</v>
      </c>
      <c r="C99" s="16" t="s">
        <v>172</v>
      </c>
      <c r="D99" s="74">
        <v>4.7999999999999996E-3</v>
      </c>
      <c r="E99" s="194">
        <v>775884.94</v>
      </c>
      <c r="F99" s="198">
        <f>E99</f>
        <v>775884.94</v>
      </c>
      <c r="G99" s="58">
        <f t="shared" si="20"/>
        <v>0</v>
      </c>
      <c r="H99" s="75">
        <f t="shared" si="29"/>
        <v>0</v>
      </c>
      <c r="I99" s="68">
        <f t="shared" si="18"/>
        <v>387244.62681599997</v>
      </c>
      <c r="J99" s="68">
        <f t="shared" si="21"/>
        <v>0</v>
      </c>
      <c r="K99" s="68">
        <f t="shared" si="26"/>
        <v>185936.29261027643</v>
      </c>
      <c r="L99" s="68">
        <f t="shared" si="27"/>
        <v>202702.7028</v>
      </c>
      <c r="M99" s="190">
        <f t="shared" si="28"/>
        <v>0</v>
      </c>
      <c r="N99" s="190">
        <v>0</v>
      </c>
      <c r="O99" s="190">
        <v>0</v>
      </c>
      <c r="P99" s="415">
        <f t="shared" si="22"/>
        <v>775884.94</v>
      </c>
      <c r="Q99" s="415"/>
      <c r="R99" s="232">
        <f t="shared" si="23"/>
        <v>799418.94</v>
      </c>
      <c r="S99" s="13">
        <f t="shared" si="24"/>
        <v>0.94</v>
      </c>
      <c r="T99" s="1">
        <f t="shared" si="25"/>
        <v>94</v>
      </c>
      <c r="U99" t="s">
        <v>191</v>
      </c>
    </row>
    <row r="100" spans="1:22" ht="24.9" customHeight="1" x14ac:dyDescent="0.3">
      <c r="A100" s="16"/>
      <c r="B100" s="16">
        <f t="shared" si="30"/>
        <v>95</v>
      </c>
      <c r="C100" s="16" t="s">
        <v>105</v>
      </c>
      <c r="D100" s="74">
        <v>4.7999999999999996E-3</v>
      </c>
      <c r="E100" s="194">
        <v>4370568.95</v>
      </c>
      <c r="F100" s="198"/>
      <c r="G100" s="58">
        <f t="shared" si="20"/>
        <v>4370568.95</v>
      </c>
      <c r="H100" s="75">
        <f t="shared" si="29"/>
        <v>134919.46348650003</v>
      </c>
      <c r="I100" s="68">
        <f t="shared" si="18"/>
        <v>387244.62681599997</v>
      </c>
      <c r="J100" s="68">
        <f t="shared" si="21"/>
        <v>0</v>
      </c>
      <c r="K100" s="68">
        <f t="shared" si="26"/>
        <v>185936.29261027643</v>
      </c>
      <c r="L100" s="68">
        <f t="shared" si="27"/>
        <v>202702.7028</v>
      </c>
      <c r="M100" s="190">
        <f t="shared" si="28"/>
        <v>0</v>
      </c>
      <c r="N100" s="190">
        <v>0</v>
      </c>
      <c r="O100" s="190">
        <v>0</v>
      </c>
      <c r="P100" s="415">
        <f t="shared" si="22"/>
        <v>5281372.95</v>
      </c>
      <c r="Q100" s="415"/>
      <c r="R100" s="232">
        <f t="shared" si="23"/>
        <v>5441557.9500000002</v>
      </c>
      <c r="S100" s="13">
        <f t="shared" si="24"/>
        <v>0.95</v>
      </c>
      <c r="T100" s="1">
        <f t="shared" si="25"/>
        <v>95</v>
      </c>
    </row>
    <row r="101" spans="1:22" ht="24.9" customHeight="1" x14ac:dyDescent="0.3">
      <c r="A101" s="165"/>
      <c r="B101" s="335">
        <f t="shared" si="30"/>
        <v>96</v>
      </c>
      <c r="C101" s="335" t="s">
        <v>106</v>
      </c>
      <c r="D101" s="74">
        <v>4.7999999999999996E-3</v>
      </c>
      <c r="E101" s="194">
        <v>744158.96</v>
      </c>
      <c r="F101" s="198">
        <v>770000</v>
      </c>
      <c r="G101" s="58">
        <f t="shared" si="20"/>
        <v>-25841.040000000037</v>
      </c>
      <c r="H101" s="75">
        <f t="shared" si="29"/>
        <v>0</v>
      </c>
      <c r="I101" s="68">
        <f t="shared" si="18"/>
        <v>387244.62681599997</v>
      </c>
      <c r="J101" s="68">
        <f t="shared" si="21"/>
        <v>0</v>
      </c>
      <c r="K101" s="68">
        <f t="shared" si="26"/>
        <v>185936.29261027643</v>
      </c>
      <c r="L101" s="68">
        <f t="shared" si="27"/>
        <v>202702.7028</v>
      </c>
      <c r="M101" s="190">
        <f t="shared" si="28"/>
        <v>0</v>
      </c>
      <c r="N101" s="190">
        <v>0</v>
      </c>
      <c r="O101" s="190">
        <v>0</v>
      </c>
      <c r="P101" s="415">
        <f t="shared" si="22"/>
        <v>750043.96</v>
      </c>
      <c r="Q101" s="415"/>
      <c r="R101" s="232">
        <f t="shared" si="23"/>
        <v>772793.96</v>
      </c>
      <c r="S101" s="13">
        <f t="shared" si="24"/>
        <v>0.96</v>
      </c>
      <c r="T101" s="1">
        <f t="shared" si="25"/>
        <v>96</v>
      </c>
      <c r="U101" t="s">
        <v>203</v>
      </c>
    </row>
    <row r="102" spans="1:22" ht="24.9" customHeight="1" x14ac:dyDescent="0.3">
      <c r="A102" s="160"/>
      <c r="B102" s="225">
        <f t="shared" si="30"/>
        <v>97</v>
      </c>
      <c r="C102" s="225" t="s">
        <v>107</v>
      </c>
      <c r="D102" s="74">
        <v>4.7999999999999996E-3</v>
      </c>
      <c r="E102" s="194">
        <v>752429.97</v>
      </c>
      <c r="F102" s="198">
        <v>775252</v>
      </c>
      <c r="G102" s="58">
        <f t="shared" si="20"/>
        <v>-22822.030000000028</v>
      </c>
      <c r="H102" s="75">
        <f t="shared" si="29"/>
        <v>0</v>
      </c>
      <c r="I102" s="68">
        <f t="shared" si="18"/>
        <v>387244.62681599997</v>
      </c>
      <c r="J102" s="68">
        <f t="shared" ref="J102:J133" si="31">P$2*D102</f>
        <v>0</v>
      </c>
      <c r="K102" s="68">
        <f t="shared" si="26"/>
        <v>185936.29261027643</v>
      </c>
      <c r="L102" s="68">
        <f t="shared" si="27"/>
        <v>202702.7028</v>
      </c>
      <c r="M102" s="190">
        <f t="shared" si="28"/>
        <v>0</v>
      </c>
      <c r="N102" s="190">
        <v>0</v>
      </c>
      <c r="O102" s="190">
        <v>0</v>
      </c>
      <c r="P102" s="415">
        <f t="shared" ref="P102:P133" si="32">ROUND(SUM(G102:O102),0) + S102</f>
        <v>753062.97</v>
      </c>
      <c r="Q102" s="415"/>
      <c r="R102" s="232">
        <f t="shared" ref="R102:R133" si="33">ROUND(P102+P102*3.033%,0) + S102</f>
        <v>775903.97</v>
      </c>
      <c r="S102" s="13">
        <f t="shared" ref="S102:S133" si="34">ROUND(0.001+B102/100,2)</f>
        <v>0.97</v>
      </c>
      <c r="T102" s="1">
        <f t="shared" ref="T102:T133" si="35">B102</f>
        <v>97</v>
      </c>
      <c r="U102" t="s">
        <v>218</v>
      </c>
    </row>
    <row r="103" spans="1:22" ht="24.9" customHeight="1" x14ac:dyDescent="0.3">
      <c r="A103" s="16"/>
      <c r="B103" s="16">
        <f t="shared" si="30"/>
        <v>98</v>
      </c>
      <c r="C103" s="16" t="s">
        <v>108</v>
      </c>
      <c r="D103" s="74">
        <v>4.7999999999999996E-3</v>
      </c>
      <c r="E103" s="194">
        <v>775884.98</v>
      </c>
      <c r="F103" s="198">
        <f>E103</f>
        <v>775884.98</v>
      </c>
      <c r="G103" s="58">
        <f t="shared" si="20"/>
        <v>0</v>
      </c>
      <c r="H103" s="75">
        <f t="shared" si="29"/>
        <v>0</v>
      </c>
      <c r="I103" s="68">
        <f t="shared" ref="I103:I158" si="36">K$2*D103</f>
        <v>387244.62681599997</v>
      </c>
      <c r="J103" s="68">
        <f t="shared" si="31"/>
        <v>0</v>
      </c>
      <c r="K103" s="68">
        <f t="shared" si="26"/>
        <v>185936.29261027643</v>
      </c>
      <c r="L103" s="68">
        <f t="shared" si="27"/>
        <v>202702.7028</v>
      </c>
      <c r="M103" s="190">
        <f t="shared" si="28"/>
        <v>0</v>
      </c>
      <c r="N103" s="190">
        <v>0</v>
      </c>
      <c r="O103" s="190">
        <v>0</v>
      </c>
      <c r="P103" s="415">
        <f t="shared" si="32"/>
        <v>775884.98</v>
      </c>
      <c r="Q103" s="415"/>
      <c r="R103" s="232">
        <f t="shared" si="33"/>
        <v>799418.98</v>
      </c>
      <c r="S103" s="13">
        <f t="shared" si="34"/>
        <v>0.98</v>
      </c>
      <c r="T103" s="1">
        <f t="shared" si="35"/>
        <v>98</v>
      </c>
    </row>
    <row r="104" spans="1:22" ht="24.9" customHeight="1" x14ac:dyDescent="0.3">
      <c r="A104" s="16"/>
      <c r="B104" s="16">
        <f t="shared" si="30"/>
        <v>99</v>
      </c>
      <c r="C104" s="16" t="s">
        <v>109</v>
      </c>
      <c r="D104" s="74">
        <v>4.7999999999999996E-3</v>
      </c>
      <c r="E104" s="194">
        <v>799418.99</v>
      </c>
      <c r="F104" s="198">
        <f>E104</f>
        <v>799418.99</v>
      </c>
      <c r="G104" s="58">
        <f t="shared" si="20"/>
        <v>0</v>
      </c>
      <c r="H104" s="75">
        <f t="shared" si="29"/>
        <v>0</v>
      </c>
      <c r="I104" s="68">
        <f t="shared" si="36"/>
        <v>387244.62681599997</v>
      </c>
      <c r="J104" s="68">
        <f t="shared" si="31"/>
        <v>0</v>
      </c>
      <c r="K104" s="68">
        <f t="shared" si="26"/>
        <v>185936.29261027643</v>
      </c>
      <c r="L104" s="68">
        <f t="shared" si="27"/>
        <v>202702.7028</v>
      </c>
      <c r="M104" s="190">
        <f t="shared" si="28"/>
        <v>0</v>
      </c>
      <c r="N104" s="190">
        <v>0</v>
      </c>
      <c r="O104" s="190">
        <v>0</v>
      </c>
      <c r="P104" s="415">
        <f t="shared" si="32"/>
        <v>775884.99</v>
      </c>
      <c r="Q104" s="415"/>
      <c r="R104" s="232">
        <f t="shared" si="33"/>
        <v>799418.99</v>
      </c>
      <c r="S104" s="13">
        <f t="shared" si="34"/>
        <v>0.99</v>
      </c>
      <c r="T104" s="1">
        <f t="shared" si="35"/>
        <v>99</v>
      </c>
      <c r="U104" s="10" t="s">
        <v>217</v>
      </c>
    </row>
    <row r="105" spans="1:22" ht="24.9" customHeight="1" x14ac:dyDescent="0.3">
      <c r="A105" s="16"/>
      <c r="B105" s="16">
        <f t="shared" si="30"/>
        <v>100</v>
      </c>
      <c r="C105" s="16" t="s">
        <v>110</v>
      </c>
      <c r="D105" s="74">
        <v>4.7999999999999996E-3</v>
      </c>
      <c r="E105" s="194">
        <v>728828</v>
      </c>
      <c r="F105" s="195">
        <f>E105</f>
        <v>728828</v>
      </c>
      <c r="G105" s="58">
        <f t="shared" si="20"/>
        <v>0</v>
      </c>
      <c r="H105" s="75">
        <f t="shared" si="29"/>
        <v>0</v>
      </c>
      <c r="I105" s="68">
        <f t="shared" si="36"/>
        <v>387244.62681599997</v>
      </c>
      <c r="J105" s="68">
        <f t="shared" si="31"/>
        <v>0</v>
      </c>
      <c r="K105" s="68">
        <f t="shared" si="26"/>
        <v>185936.29261027643</v>
      </c>
      <c r="L105" s="68">
        <f t="shared" si="27"/>
        <v>202702.7028</v>
      </c>
      <c r="M105" s="190">
        <f t="shared" si="28"/>
        <v>0</v>
      </c>
      <c r="N105" s="190">
        <v>0</v>
      </c>
      <c r="O105" s="190">
        <v>0</v>
      </c>
      <c r="P105" s="415">
        <f t="shared" si="32"/>
        <v>775885</v>
      </c>
      <c r="Q105" s="415"/>
      <c r="R105" s="232">
        <f t="shared" si="33"/>
        <v>799419</v>
      </c>
      <c r="S105" s="13">
        <f t="shared" si="34"/>
        <v>1</v>
      </c>
      <c r="T105" s="1">
        <f t="shared" si="35"/>
        <v>100</v>
      </c>
    </row>
    <row r="106" spans="1:22" ht="24.9" customHeight="1" x14ac:dyDescent="0.3">
      <c r="A106" s="160"/>
      <c r="B106" s="16">
        <f t="shared" si="30"/>
        <v>101</v>
      </c>
      <c r="C106" s="16" t="s">
        <v>111</v>
      </c>
      <c r="D106" s="74">
        <v>4.7999999999999996E-3</v>
      </c>
      <c r="E106" s="194">
        <v>775885.01</v>
      </c>
      <c r="F106" s="198">
        <v>799419.01</v>
      </c>
      <c r="G106" s="58">
        <f t="shared" si="20"/>
        <v>-23534</v>
      </c>
      <c r="H106" s="75">
        <f t="shared" si="29"/>
        <v>0</v>
      </c>
      <c r="I106" s="68">
        <f t="shared" si="36"/>
        <v>387244.62681599997</v>
      </c>
      <c r="J106" s="68">
        <f t="shared" si="31"/>
        <v>0</v>
      </c>
      <c r="K106" s="68">
        <f t="shared" si="26"/>
        <v>185936.29261027643</v>
      </c>
      <c r="L106" s="68">
        <f t="shared" si="27"/>
        <v>202702.7028</v>
      </c>
      <c r="M106" s="190">
        <f t="shared" si="28"/>
        <v>0</v>
      </c>
      <c r="N106" s="190">
        <v>0</v>
      </c>
      <c r="O106" s="190">
        <v>0</v>
      </c>
      <c r="P106" s="415">
        <f t="shared" si="32"/>
        <v>752351.01</v>
      </c>
      <c r="Q106" s="415"/>
      <c r="R106" s="232">
        <f t="shared" si="33"/>
        <v>775171.01</v>
      </c>
      <c r="S106" s="13">
        <f t="shared" si="34"/>
        <v>1.01</v>
      </c>
      <c r="T106" s="1">
        <f t="shared" si="35"/>
        <v>101</v>
      </c>
    </row>
    <row r="107" spans="1:22" ht="24.9" customHeight="1" x14ac:dyDescent="0.3">
      <c r="A107" s="224"/>
      <c r="B107" s="165">
        <f t="shared" si="30"/>
        <v>102</v>
      </c>
      <c r="C107" s="165" t="s">
        <v>112</v>
      </c>
      <c r="D107" s="74">
        <v>4.7999999999999996E-3</v>
      </c>
      <c r="E107" s="194">
        <v>766888.02</v>
      </c>
      <c r="F107" s="198">
        <v>780000</v>
      </c>
      <c r="G107" s="58">
        <f t="shared" si="20"/>
        <v>-13111.979999999981</v>
      </c>
      <c r="H107" s="75">
        <f t="shared" si="29"/>
        <v>0</v>
      </c>
      <c r="I107" s="68">
        <f t="shared" si="36"/>
        <v>387244.62681599997</v>
      </c>
      <c r="J107" s="68">
        <f t="shared" si="31"/>
        <v>0</v>
      </c>
      <c r="K107" s="68">
        <f t="shared" si="26"/>
        <v>185936.29261027643</v>
      </c>
      <c r="L107" s="68">
        <f t="shared" si="27"/>
        <v>202702.7028</v>
      </c>
      <c r="M107" s="190">
        <f t="shared" si="28"/>
        <v>0</v>
      </c>
      <c r="N107" s="190">
        <v>0</v>
      </c>
      <c r="O107" s="190">
        <v>0</v>
      </c>
      <c r="P107" s="415">
        <f t="shared" si="32"/>
        <v>762773.02</v>
      </c>
      <c r="Q107" s="415"/>
      <c r="R107" s="232">
        <f t="shared" si="33"/>
        <v>785909.02</v>
      </c>
      <c r="S107" s="13">
        <f t="shared" si="34"/>
        <v>1.02</v>
      </c>
      <c r="T107" s="1">
        <f t="shared" si="35"/>
        <v>102</v>
      </c>
      <c r="U107" t="s">
        <v>275</v>
      </c>
    </row>
    <row r="108" spans="1:22" ht="24.9" customHeight="1" x14ac:dyDescent="0.3">
      <c r="A108" s="16"/>
      <c r="B108" s="16">
        <f t="shared" si="30"/>
        <v>103</v>
      </c>
      <c r="C108" s="16" t="s">
        <v>113</v>
      </c>
      <c r="D108" s="74">
        <v>4.7999999999999996E-3</v>
      </c>
      <c r="E108" s="194">
        <v>752351.03</v>
      </c>
      <c r="F108" s="198"/>
      <c r="G108" s="58">
        <f t="shared" si="20"/>
        <v>752351.03</v>
      </c>
      <c r="H108" s="75">
        <f t="shared" si="29"/>
        <v>23225.076296100004</v>
      </c>
      <c r="I108" s="68">
        <f t="shared" si="36"/>
        <v>387244.62681599997</v>
      </c>
      <c r="J108" s="68">
        <f t="shared" si="31"/>
        <v>0</v>
      </c>
      <c r="K108" s="68">
        <f t="shared" si="26"/>
        <v>185936.29261027643</v>
      </c>
      <c r="L108" s="68">
        <f t="shared" si="27"/>
        <v>202702.7028</v>
      </c>
      <c r="M108" s="190">
        <f t="shared" si="28"/>
        <v>0</v>
      </c>
      <c r="N108" s="190">
        <v>0</v>
      </c>
      <c r="O108" s="190">
        <v>0</v>
      </c>
      <c r="P108" s="415">
        <f t="shared" si="32"/>
        <v>1551461.03</v>
      </c>
      <c r="Q108" s="415"/>
      <c r="R108" s="232">
        <f t="shared" si="33"/>
        <v>1598518.03</v>
      </c>
      <c r="S108" s="13">
        <f t="shared" si="34"/>
        <v>1.03</v>
      </c>
      <c r="T108" s="1">
        <f t="shared" si="35"/>
        <v>103</v>
      </c>
    </row>
    <row r="109" spans="1:22" ht="24.9" customHeight="1" x14ac:dyDescent="0.3">
      <c r="A109" s="224"/>
      <c r="B109" s="16">
        <f t="shared" si="30"/>
        <v>104</v>
      </c>
      <c r="C109" s="16" t="s">
        <v>114</v>
      </c>
      <c r="D109" s="74">
        <v>4.7000000000000002E-3</v>
      </c>
      <c r="E109" s="194">
        <v>746598.04</v>
      </c>
      <c r="F109" s="198">
        <v>769243.04</v>
      </c>
      <c r="G109" s="58">
        <f t="shared" si="20"/>
        <v>-22645</v>
      </c>
      <c r="H109" s="75">
        <f t="shared" si="29"/>
        <v>0</v>
      </c>
      <c r="I109" s="68">
        <f t="shared" si="36"/>
        <v>379177.030424</v>
      </c>
      <c r="J109" s="68">
        <f t="shared" si="31"/>
        <v>0</v>
      </c>
      <c r="K109" s="68">
        <f t="shared" si="26"/>
        <v>185936.29261027643</v>
      </c>
      <c r="L109" s="68">
        <f t="shared" si="27"/>
        <v>202702.7028</v>
      </c>
      <c r="M109" s="190">
        <f t="shared" si="28"/>
        <v>0</v>
      </c>
      <c r="N109" s="190">
        <v>0</v>
      </c>
      <c r="O109" s="190">
        <v>0</v>
      </c>
      <c r="P109" s="415">
        <f t="shared" si="32"/>
        <v>745172.04</v>
      </c>
      <c r="Q109" s="415"/>
      <c r="R109" s="232">
        <f t="shared" si="33"/>
        <v>767774.04</v>
      </c>
      <c r="S109" s="13">
        <f t="shared" si="34"/>
        <v>1.04</v>
      </c>
      <c r="T109" s="1">
        <f t="shared" si="35"/>
        <v>104</v>
      </c>
      <c r="U109" t="s">
        <v>366</v>
      </c>
    </row>
    <row r="110" spans="1:22" ht="24.9" customHeight="1" x14ac:dyDescent="0.3">
      <c r="A110" s="224"/>
      <c r="B110" s="224">
        <f t="shared" si="30"/>
        <v>105</v>
      </c>
      <c r="C110" s="224" t="s">
        <v>115</v>
      </c>
      <c r="D110" s="74">
        <v>4.1999999999999997E-3</v>
      </c>
      <c r="E110" s="194">
        <v>797597.05</v>
      </c>
      <c r="F110" s="198">
        <f>97321+700726</f>
        <v>798047</v>
      </c>
      <c r="G110" s="58">
        <f t="shared" si="20"/>
        <v>-449.94999999995343</v>
      </c>
      <c r="H110" s="75">
        <f t="shared" si="29"/>
        <v>0</v>
      </c>
      <c r="I110" s="68">
        <f t="shared" si="36"/>
        <v>338839.04846399999</v>
      </c>
      <c r="J110" s="68">
        <f t="shared" si="31"/>
        <v>0</v>
      </c>
      <c r="K110" s="68">
        <f t="shared" si="26"/>
        <v>185936.29261027643</v>
      </c>
      <c r="L110" s="68">
        <f t="shared" si="27"/>
        <v>202702.7028</v>
      </c>
      <c r="M110" s="190">
        <f t="shared" si="28"/>
        <v>0</v>
      </c>
      <c r="N110" s="190">
        <v>0</v>
      </c>
      <c r="O110" s="190">
        <v>0</v>
      </c>
      <c r="P110" s="415">
        <f t="shared" si="32"/>
        <v>727029.05</v>
      </c>
      <c r="Q110" s="415"/>
      <c r="R110" s="232">
        <f t="shared" si="33"/>
        <v>749081.05</v>
      </c>
      <c r="S110" s="76">
        <f t="shared" si="34"/>
        <v>1.05</v>
      </c>
      <c r="T110" s="57">
        <f t="shared" si="35"/>
        <v>105</v>
      </c>
      <c r="U110" s="147" t="s">
        <v>308</v>
      </c>
      <c r="V110" s="35"/>
    </row>
    <row r="111" spans="1:22" ht="24.9" customHeight="1" x14ac:dyDescent="0.3">
      <c r="A111" s="225"/>
      <c r="B111" s="16">
        <f t="shared" si="30"/>
        <v>106</v>
      </c>
      <c r="C111" s="16" t="s">
        <v>325</v>
      </c>
      <c r="D111" s="74">
        <v>4.4000000000000003E-3</v>
      </c>
      <c r="E111" s="194">
        <v>1918656.06</v>
      </c>
      <c r="F111" s="195">
        <f>E111</f>
        <v>1918656.06</v>
      </c>
      <c r="G111" s="58">
        <f t="shared" si="20"/>
        <v>0</v>
      </c>
      <c r="H111" s="75">
        <f t="shared" si="29"/>
        <v>0</v>
      </c>
      <c r="I111" s="68">
        <f t="shared" si="36"/>
        <v>354974.24124800001</v>
      </c>
      <c r="J111" s="68">
        <f t="shared" si="31"/>
        <v>0</v>
      </c>
      <c r="K111" s="68">
        <f t="shared" si="26"/>
        <v>185936.29261027643</v>
      </c>
      <c r="L111" s="68">
        <f t="shared" si="27"/>
        <v>202702.7028</v>
      </c>
      <c r="M111" s="190">
        <v>70995</v>
      </c>
      <c r="N111" s="68">
        <f>(I111)</f>
        <v>354974.24124800001</v>
      </c>
      <c r="O111" s="190">
        <v>0</v>
      </c>
      <c r="P111" s="415">
        <f t="shared" si="32"/>
        <v>1169583.06</v>
      </c>
      <c r="Q111" s="415"/>
      <c r="R111" s="232">
        <f t="shared" si="33"/>
        <v>1205058.06</v>
      </c>
      <c r="S111" s="76">
        <f t="shared" si="34"/>
        <v>1.06</v>
      </c>
      <c r="T111" s="57">
        <f t="shared" si="35"/>
        <v>106</v>
      </c>
      <c r="U111" t="s">
        <v>318</v>
      </c>
    </row>
    <row r="112" spans="1:22" ht="24.9" customHeight="1" x14ac:dyDescent="0.3">
      <c r="A112" s="16"/>
      <c r="B112" s="16">
        <f t="shared" si="30"/>
        <v>107</v>
      </c>
      <c r="C112" s="16" t="s">
        <v>116</v>
      </c>
      <c r="D112" s="74">
        <v>4.4000000000000003E-3</v>
      </c>
      <c r="E112" s="194">
        <v>743614.07</v>
      </c>
      <c r="F112" s="198">
        <f>E112</f>
        <v>743614.07</v>
      </c>
      <c r="G112" s="58">
        <f t="shared" si="20"/>
        <v>0</v>
      </c>
      <c r="H112" s="75">
        <f t="shared" si="29"/>
        <v>0</v>
      </c>
      <c r="I112" s="68">
        <f t="shared" si="36"/>
        <v>354974.24124800001</v>
      </c>
      <c r="J112" s="68">
        <f t="shared" si="31"/>
        <v>0</v>
      </c>
      <c r="K112" s="68">
        <f t="shared" si="26"/>
        <v>185936.29261027643</v>
      </c>
      <c r="L112" s="68">
        <f t="shared" si="27"/>
        <v>202702.7028</v>
      </c>
      <c r="M112" s="190">
        <f t="shared" si="28"/>
        <v>0</v>
      </c>
      <c r="N112" s="190">
        <v>0</v>
      </c>
      <c r="O112" s="190">
        <v>0</v>
      </c>
      <c r="P112" s="415">
        <f t="shared" si="32"/>
        <v>743614.07</v>
      </c>
      <c r="Q112" s="415"/>
      <c r="R112" s="232">
        <f t="shared" si="33"/>
        <v>766169.07</v>
      </c>
      <c r="S112" s="13">
        <f t="shared" si="34"/>
        <v>1.07</v>
      </c>
      <c r="T112" s="1">
        <f t="shared" si="35"/>
        <v>107</v>
      </c>
      <c r="U112" t="s">
        <v>248</v>
      </c>
    </row>
    <row r="113" spans="1:25" ht="24.9" customHeight="1" x14ac:dyDescent="0.3">
      <c r="A113" s="16"/>
      <c r="B113" s="16">
        <f t="shared" si="30"/>
        <v>108</v>
      </c>
      <c r="C113" s="16" t="s">
        <v>117</v>
      </c>
      <c r="D113" s="74">
        <v>4.4000000000000003E-3</v>
      </c>
      <c r="E113" s="194">
        <v>721059.08</v>
      </c>
      <c r="F113" s="195">
        <f>E113</f>
        <v>721059.08</v>
      </c>
      <c r="G113" s="58">
        <f t="shared" si="20"/>
        <v>0</v>
      </c>
      <c r="H113" s="75">
        <f t="shared" si="29"/>
        <v>0</v>
      </c>
      <c r="I113" s="68">
        <f t="shared" si="36"/>
        <v>354974.24124800001</v>
      </c>
      <c r="J113" s="68">
        <f t="shared" si="31"/>
        <v>0</v>
      </c>
      <c r="K113" s="68">
        <f t="shared" si="26"/>
        <v>185936.29261027643</v>
      </c>
      <c r="L113" s="68">
        <f t="shared" si="27"/>
        <v>202702.7028</v>
      </c>
      <c r="M113" s="190">
        <f t="shared" si="28"/>
        <v>0</v>
      </c>
      <c r="N113" s="190">
        <v>0</v>
      </c>
      <c r="O113" s="190">
        <v>0</v>
      </c>
      <c r="P113" s="415">
        <f t="shared" si="32"/>
        <v>743614.08</v>
      </c>
      <c r="Q113" s="415"/>
      <c r="R113" s="232">
        <f t="shared" si="33"/>
        <v>766169.08</v>
      </c>
      <c r="S113" s="13">
        <f t="shared" si="34"/>
        <v>1.08</v>
      </c>
      <c r="T113" s="1">
        <f t="shared" si="35"/>
        <v>108</v>
      </c>
    </row>
    <row r="114" spans="1:25" ht="24.9" customHeight="1" x14ac:dyDescent="0.3">
      <c r="A114" s="259"/>
      <c r="B114" s="16">
        <f t="shared" si="30"/>
        <v>109</v>
      </c>
      <c r="C114" s="16" t="s">
        <v>118</v>
      </c>
      <c r="D114" s="74">
        <v>4.4999999999999997E-3</v>
      </c>
      <c r="E114" s="194">
        <v>1549526.09</v>
      </c>
      <c r="F114" s="198">
        <v>775000</v>
      </c>
      <c r="G114" s="58">
        <f t="shared" si="20"/>
        <v>774526.09000000008</v>
      </c>
      <c r="H114" s="75">
        <f t="shared" si="29"/>
        <v>23909.620398300005</v>
      </c>
      <c r="I114" s="68">
        <f t="shared" si="36"/>
        <v>363041.83763999998</v>
      </c>
      <c r="J114" s="68">
        <f t="shared" si="31"/>
        <v>0</v>
      </c>
      <c r="K114" s="68">
        <f t="shared" si="26"/>
        <v>185936.29261027643</v>
      </c>
      <c r="L114" s="68">
        <f t="shared" si="27"/>
        <v>202702.7028</v>
      </c>
      <c r="M114" s="190">
        <f t="shared" si="28"/>
        <v>0</v>
      </c>
      <c r="N114" s="190">
        <v>0</v>
      </c>
      <c r="O114" s="190">
        <v>0</v>
      </c>
      <c r="P114" s="415">
        <f t="shared" si="32"/>
        <v>1550118.09</v>
      </c>
      <c r="Q114" s="415"/>
      <c r="R114" s="232">
        <f t="shared" si="33"/>
        <v>1597134.09</v>
      </c>
      <c r="S114" s="13">
        <f t="shared" si="34"/>
        <v>1.0900000000000001</v>
      </c>
      <c r="T114" s="1">
        <f t="shared" si="35"/>
        <v>109</v>
      </c>
      <c r="U114" t="s">
        <v>244</v>
      </c>
    </row>
    <row r="115" spans="1:25" ht="24.9" customHeight="1" x14ac:dyDescent="0.3">
      <c r="A115" s="224"/>
      <c r="B115" s="165">
        <f t="shared" si="30"/>
        <v>110</v>
      </c>
      <c r="C115" s="165" t="s">
        <v>119</v>
      </c>
      <c r="D115" s="74">
        <v>4.5999999999999999E-3</v>
      </c>
      <c r="E115" s="194">
        <v>737457.1</v>
      </c>
      <c r="F115" s="198">
        <v>760000</v>
      </c>
      <c r="G115" s="58">
        <f t="shared" si="20"/>
        <v>-22542.900000000023</v>
      </c>
      <c r="H115" s="75">
        <f t="shared" si="29"/>
        <v>0</v>
      </c>
      <c r="I115" s="68">
        <f t="shared" si="36"/>
        <v>371109.43403200002</v>
      </c>
      <c r="J115" s="68">
        <f t="shared" si="31"/>
        <v>0</v>
      </c>
      <c r="K115" s="68">
        <f t="shared" si="26"/>
        <v>185936.29261027643</v>
      </c>
      <c r="L115" s="68">
        <f t="shared" si="27"/>
        <v>202702.7028</v>
      </c>
      <c r="M115" s="190">
        <f t="shared" si="28"/>
        <v>0</v>
      </c>
      <c r="N115" s="190">
        <v>0</v>
      </c>
      <c r="O115" s="190">
        <v>0</v>
      </c>
      <c r="P115" s="415">
        <f t="shared" si="32"/>
        <v>737207.1</v>
      </c>
      <c r="Q115" s="415"/>
      <c r="R115" s="232">
        <f t="shared" si="33"/>
        <v>759568.1</v>
      </c>
      <c r="S115" s="13">
        <f t="shared" si="34"/>
        <v>1.1000000000000001</v>
      </c>
      <c r="T115" s="1">
        <f t="shared" si="35"/>
        <v>110</v>
      </c>
      <c r="U115" t="s">
        <v>252</v>
      </c>
      <c r="Y115" s="40"/>
    </row>
    <row r="116" spans="1:25" ht="24.9" customHeight="1" x14ac:dyDescent="0.3">
      <c r="A116" s="16"/>
      <c r="B116" s="16">
        <f t="shared" si="30"/>
        <v>111</v>
      </c>
      <c r="C116" s="16" t="s">
        <v>120</v>
      </c>
      <c r="D116" s="74">
        <v>4.4999999999999997E-3</v>
      </c>
      <c r="E116" s="194">
        <v>774482.11</v>
      </c>
      <c r="F116" s="198">
        <f>E116</f>
        <v>774482.11</v>
      </c>
      <c r="G116" s="58">
        <f t="shared" si="20"/>
        <v>0</v>
      </c>
      <c r="H116" s="75">
        <f t="shared" si="29"/>
        <v>0</v>
      </c>
      <c r="I116" s="68">
        <f t="shared" si="36"/>
        <v>363041.83763999998</v>
      </c>
      <c r="J116" s="68">
        <f t="shared" si="31"/>
        <v>0</v>
      </c>
      <c r="K116" s="68">
        <f t="shared" si="26"/>
        <v>185936.29261027643</v>
      </c>
      <c r="L116" s="68">
        <f t="shared" si="27"/>
        <v>202702.7028</v>
      </c>
      <c r="M116" s="190">
        <f t="shared" si="28"/>
        <v>0</v>
      </c>
      <c r="N116" s="190">
        <v>0</v>
      </c>
      <c r="O116" s="190">
        <v>0</v>
      </c>
      <c r="P116" s="415">
        <f t="shared" si="32"/>
        <v>751682.11</v>
      </c>
      <c r="Q116" s="415"/>
      <c r="R116" s="232">
        <f t="shared" si="33"/>
        <v>774482.11</v>
      </c>
      <c r="S116" s="13">
        <f t="shared" si="34"/>
        <v>1.1100000000000001</v>
      </c>
      <c r="T116" s="1">
        <f t="shared" si="35"/>
        <v>111</v>
      </c>
    </row>
    <row r="117" spans="1:25" ht="24.9" customHeight="1" x14ac:dyDescent="0.3">
      <c r="A117" s="254"/>
      <c r="B117" s="254">
        <f t="shared" si="30"/>
        <v>112</v>
      </c>
      <c r="C117" s="254" t="s">
        <v>121</v>
      </c>
      <c r="D117" s="74">
        <v>4.4999999999999997E-3</v>
      </c>
      <c r="E117" s="194">
        <v>751682.12</v>
      </c>
      <c r="F117" s="198">
        <v>752000</v>
      </c>
      <c r="G117" s="58">
        <f t="shared" si="20"/>
        <v>-317.88000000000466</v>
      </c>
      <c r="H117" s="75">
        <f t="shared" si="29"/>
        <v>0</v>
      </c>
      <c r="I117" s="68">
        <f t="shared" si="36"/>
        <v>363041.83763999998</v>
      </c>
      <c r="J117" s="68">
        <f t="shared" si="31"/>
        <v>0</v>
      </c>
      <c r="K117" s="68">
        <f t="shared" si="26"/>
        <v>185936.29261027643</v>
      </c>
      <c r="L117" s="68">
        <f t="shared" si="27"/>
        <v>202702.7028</v>
      </c>
      <c r="M117" s="190">
        <f t="shared" si="28"/>
        <v>0</v>
      </c>
      <c r="N117" s="190">
        <v>0</v>
      </c>
      <c r="O117" s="190">
        <v>0</v>
      </c>
      <c r="P117" s="415">
        <f t="shared" si="32"/>
        <v>751364.12</v>
      </c>
      <c r="Q117" s="415"/>
      <c r="R117" s="232">
        <f t="shared" si="33"/>
        <v>774154.12</v>
      </c>
      <c r="S117" s="13">
        <f t="shared" si="34"/>
        <v>1.1200000000000001</v>
      </c>
      <c r="T117" s="1">
        <f t="shared" si="35"/>
        <v>112</v>
      </c>
      <c r="U117" t="s">
        <v>202</v>
      </c>
    </row>
    <row r="118" spans="1:25" ht="24.9" customHeight="1" x14ac:dyDescent="0.3">
      <c r="A118" s="16"/>
      <c r="B118" s="16">
        <f t="shared" si="30"/>
        <v>113</v>
      </c>
      <c r="C118" s="16" t="s">
        <v>122</v>
      </c>
      <c r="D118" s="74">
        <v>4.7000000000000002E-3</v>
      </c>
      <c r="E118" s="194">
        <v>767817.13</v>
      </c>
      <c r="F118" s="198">
        <v>791106.13</v>
      </c>
      <c r="G118" s="58">
        <f t="shared" si="20"/>
        <v>-23289</v>
      </c>
      <c r="H118" s="75">
        <f t="shared" si="29"/>
        <v>0</v>
      </c>
      <c r="I118" s="68">
        <f t="shared" si="36"/>
        <v>379177.030424</v>
      </c>
      <c r="J118" s="68">
        <f t="shared" si="31"/>
        <v>0</v>
      </c>
      <c r="K118" s="68">
        <f t="shared" si="26"/>
        <v>185936.29261027643</v>
      </c>
      <c r="L118" s="68">
        <f t="shared" si="27"/>
        <v>202702.7028</v>
      </c>
      <c r="M118" s="190">
        <f t="shared" si="28"/>
        <v>0</v>
      </c>
      <c r="N118" s="190">
        <v>0</v>
      </c>
      <c r="O118" s="190">
        <v>0</v>
      </c>
      <c r="P118" s="415">
        <f t="shared" si="32"/>
        <v>744528.13</v>
      </c>
      <c r="Q118" s="415"/>
      <c r="R118" s="232">
        <f t="shared" si="33"/>
        <v>767111.13</v>
      </c>
      <c r="S118" s="13">
        <f t="shared" si="34"/>
        <v>1.1299999999999999</v>
      </c>
      <c r="T118" s="1">
        <f t="shared" si="35"/>
        <v>113</v>
      </c>
    </row>
    <row r="119" spans="1:25" ht="24.9" customHeight="1" x14ac:dyDescent="0.3">
      <c r="A119" s="16"/>
      <c r="B119" s="16">
        <f t="shared" si="30"/>
        <v>114</v>
      </c>
      <c r="C119" s="16" t="s">
        <v>123</v>
      </c>
      <c r="D119" s="74">
        <v>4.4999999999999997E-3</v>
      </c>
      <c r="E119" s="194">
        <v>751682.14</v>
      </c>
      <c r="F119" s="198">
        <f>E119</f>
        <v>751682.14</v>
      </c>
      <c r="G119" s="58">
        <f t="shared" si="20"/>
        <v>0</v>
      </c>
      <c r="H119" s="75">
        <f t="shared" si="29"/>
        <v>0</v>
      </c>
      <c r="I119" s="68">
        <f t="shared" si="36"/>
        <v>363041.83763999998</v>
      </c>
      <c r="J119" s="68">
        <f t="shared" si="31"/>
        <v>0</v>
      </c>
      <c r="K119" s="68">
        <f t="shared" si="26"/>
        <v>185936.29261027643</v>
      </c>
      <c r="L119" s="68">
        <f t="shared" si="27"/>
        <v>202702.7028</v>
      </c>
      <c r="M119" s="190">
        <f t="shared" si="28"/>
        <v>0</v>
      </c>
      <c r="N119" s="190">
        <v>0</v>
      </c>
      <c r="O119" s="190">
        <v>0</v>
      </c>
      <c r="P119" s="415">
        <f t="shared" si="32"/>
        <v>751682.14</v>
      </c>
      <c r="Q119" s="415"/>
      <c r="R119" s="232">
        <f t="shared" si="33"/>
        <v>774482.14</v>
      </c>
      <c r="S119" s="13">
        <f t="shared" si="34"/>
        <v>1.1399999999999999</v>
      </c>
      <c r="T119" s="1">
        <f t="shared" si="35"/>
        <v>114</v>
      </c>
    </row>
    <row r="120" spans="1:25" ht="24.9" customHeight="1" x14ac:dyDescent="0.3">
      <c r="A120" s="16"/>
      <c r="B120" s="16">
        <f t="shared" si="30"/>
        <v>115</v>
      </c>
      <c r="C120" s="16" t="s">
        <v>124</v>
      </c>
      <c r="D120" s="74">
        <v>6.4000000000000003E-3</v>
      </c>
      <c r="E120" s="194">
        <v>988385.15</v>
      </c>
      <c r="F120" s="198">
        <f>E120</f>
        <v>988385.15</v>
      </c>
      <c r="G120" s="58">
        <f t="shared" si="20"/>
        <v>0</v>
      </c>
      <c r="H120" s="75">
        <f t="shared" si="29"/>
        <v>0</v>
      </c>
      <c r="I120" s="68">
        <f t="shared" si="36"/>
        <v>516326.16908800002</v>
      </c>
      <c r="J120" s="68">
        <f t="shared" si="31"/>
        <v>0</v>
      </c>
      <c r="K120" s="68">
        <f t="shared" si="26"/>
        <v>185936.29261027643</v>
      </c>
      <c r="L120" s="68">
        <f t="shared" si="27"/>
        <v>202702.7028</v>
      </c>
      <c r="M120" s="190">
        <f t="shared" si="28"/>
        <v>0</v>
      </c>
      <c r="N120" s="190">
        <v>0</v>
      </c>
      <c r="O120" s="190">
        <v>0</v>
      </c>
      <c r="P120" s="415">
        <f t="shared" si="32"/>
        <v>904966.15</v>
      </c>
      <c r="Q120" s="415"/>
      <c r="R120" s="232">
        <f t="shared" si="33"/>
        <v>932415.15</v>
      </c>
      <c r="S120" s="13">
        <f t="shared" si="34"/>
        <v>1.1499999999999999</v>
      </c>
      <c r="T120" s="1">
        <f t="shared" si="35"/>
        <v>115</v>
      </c>
      <c r="U120" t="s">
        <v>302</v>
      </c>
    </row>
    <row r="121" spans="1:25" ht="24.9" customHeight="1" x14ac:dyDescent="0.3">
      <c r="A121" s="16"/>
      <c r="B121" s="16">
        <f t="shared" si="30"/>
        <v>116</v>
      </c>
      <c r="C121" s="16" t="s">
        <v>125</v>
      </c>
      <c r="D121" s="74">
        <v>5.7999999999999996E-3</v>
      </c>
      <c r="E121" s="194">
        <v>831320.16</v>
      </c>
      <c r="F121" s="198">
        <v>856535.16</v>
      </c>
      <c r="G121" s="58">
        <f t="shared" si="20"/>
        <v>-25215</v>
      </c>
      <c r="H121" s="75">
        <f t="shared" si="29"/>
        <v>0</v>
      </c>
      <c r="I121" s="68">
        <f t="shared" si="36"/>
        <v>467920.59073599998</v>
      </c>
      <c r="J121" s="68">
        <f t="shared" si="31"/>
        <v>0</v>
      </c>
      <c r="K121" s="68">
        <f t="shared" si="26"/>
        <v>185936.29261027643</v>
      </c>
      <c r="L121" s="68">
        <f t="shared" si="27"/>
        <v>202702.7028</v>
      </c>
      <c r="M121" s="190">
        <f t="shared" si="28"/>
        <v>0</v>
      </c>
      <c r="N121" s="190">
        <v>0</v>
      </c>
      <c r="O121" s="190">
        <v>0</v>
      </c>
      <c r="P121" s="415">
        <f t="shared" si="32"/>
        <v>831346.16</v>
      </c>
      <c r="Q121" s="415"/>
      <c r="R121" s="232">
        <f t="shared" si="33"/>
        <v>856562.16</v>
      </c>
      <c r="S121" s="13">
        <f t="shared" si="34"/>
        <v>1.1599999999999999</v>
      </c>
      <c r="T121" s="1">
        <f t="shared" si="35"/>
        <v>116</v>
      </c>
    </row>
    <row r="122" spans="1:25" ht="24.9" customHeight="1" x14ac:dyDescent="0.3">
      <c r="A122" s="16"/>
      <c r="B122" s="16">
        <f t="shared" si="30"/>
        <v>117</v>
      </c>
      <c r="C122" s="16" t="s">
        <v>126</v>
      </c>
      <c r="D122" s="74">
        <v>6.1000000000000004E-3</v>
      </c>
      <c r="E122" s="194">
        <v>880763.17</v>
      </c>
      <c r="F122" s="198">
        <f>E122</f>
        <v>880763.17</v>
      </c>
      <c r="G122" s="58">
        <f t="shared" si="20"/>
        <v>0</v>
      </c>
      <c r="H122" s="75">
        <f t="shared" si="29"/>
        <v>0</v>
      </c>
      <c r="I122" s="68">
        <f t="shared" si="36"/>
        <v>492123.37991200003</v>
      </c>
      <c r="J122" s="68">
        <f t="shared" si="31"/>
        <v>0</v>
      </c>
      <c r="K122" s="68">
        <f t="shared" si="26"/>
        <v>185936.29261027643</v>
      </c>
      <c r="L122" s="68">
        <f t="shared" si="27"/>
        <v>202702.7028</v>
      </c>
      <c r="M122" s="190">
        <f t="shared" si="28"/>
        <v>0</v>
      </c>
      <c r="N122" s="190">
        <v>0</v>
      </c>
      <c r="O122" s="190">
        <v>0</v>
      </c>
      <c r="P122" s="415">
        <f t="shared" si="32"/>
        <v>880763.17</v>
      </c>
      <c r="Q122" s="415"/>
      <c r="R122" s="232">
        <f t="shared" si="33"/>
        <v>907478.17</v>
      </c>
      <c r="S122" s="13">
        <f t="shared" si="34"/>
        <v>1.17</v>
      </c>
      <c r="T122" s="1">
        <f t="shared" si="35"/>
        <v>117</v>
      </c>
      <c r="U122" t="s">
        <v>276</v>
      </c>
    </row>
    <row r="123" spans="1:25" ht="24.9" customHeight="1" x14ac:dyDescent="0.3">
      <c r="A123" s="254"/>
      <c r="B123" s="340">
        <f t="shared" si="30"/>
        <v>118</v>
      </c>
      <c r="C123" s="340" t="s">
        <v>127</v>
      </c>
      <c r="D123" s="74">
        <v>5.7999999999999996E-3</v>
      </c>
      <c r="E123" s="194">
        <v>856623.18</v>
      </c>
      <c r="F123" s="198">
        <f>2377000-F125-F126</f>
        <v>857501.59000000008</v>
      </c>
      <c r="G123" s="58">
        <f t="shared" si="20"/>
        <v>-878.4100000000326</v>
      </c>
      <c r="H123" s="75">
        <f t="shared" si="29"/>
        <v>0</v>
      </c>
      <c r="I123" s="68">
        <f t="shared" si="36"/>
        <v>467920.59073599998</v>
      </c>
      <c r="J123" s="68">
        <f t="shared" si="31"/>
        <v>0</v>
      </c>
      <c r="K123" s="68">
        <f t="shared" si="26"/>
        <v>185936.29261027643</v>
      </c>
      <c r="L123" s="68">
        <f t="shared" si="27"/>
        <v>202702.7028</v>
      </c>
      <c r="M123" s="190">
        <f t="shared" si="28"/>
        <v>0</v>
      </c>
      <c r="N123" s="190">
        <v>0</v>
      </c>
      <c r="O123" s="190">
        <v>0</v>
      </c>
      <c r="P123" s="415">
        <f t="shared" si="32"/>
        <v>855682.18</v>
      </c>
      <c r="Q123" s="415"/>
      <c r="R123" s="232">
        <f t="shared" si="33"/>
        <v>881636.18</v>
      </c>
      <c r="S123" s="13">
        <f t="shared" si="34"/>
        <v>1.18</v>
      </c>
      <c r="T123" s="1">
        <f t="shared" si="35"/>
        <v>118</v>
      </c>
      <c r="U123" t="s">
        <v>298</v>
      </c>
    </row>
    <row r="124" spans="1:25" ht="24.9" customHeight="1" x14ac:dyDescent="0.3">
      <c r="A124" s="166"/>
      <c r="B124" s="162">
        <f t="shared" si="30"/>
        <v>119</v>
      </c>
      <c r="C124" s="162" t="s">
        <v>128</v>
      </c>
      <c r="D124" s="74">
        <v>5.4000000000000003E-3</v>
      </c>
      <c r="E124" s="194">
        <v>824544.19</v>
      </c>
      <c r="F124" s="198">
        <v>825000</v>
      </c>
      <c r="G124" s="58">
        <f t="shared" si="20"/>
        <v>-455.81000000005588</v>
      </c>
      <c r="H124" s="75">
        <f t="shared" si="29"/>
        <v>0</v>
      </c>
      <c r="I124" s="68">
        <f t="shared" si="36"/>
        <v>435650.20516800001</v>
      </c>
      <c r="J124" s="68">
        <f t="shared" si="31"/>
        <v>0</v>
      </c>
      <c r="K124" s="68">
        <f t="shared" si="26"/>
        <v>185936.29261027643</v>
      </c>
      <c r="L124" s="68">
        <f t="shared" si="27"/>
        <v>202702.7028</v>
      </c>
      <c r="M124" s="190">
        <f t="shared" si="28"/>
        <v>0</v>
      </c>
      <c r="N124" s="190">
        <v>0</v>
      </c>
      <c r="O124" s="190">
        <v>0</v>
      </c>
      <c r="P124" s="415">
        <f t="shared" si="32"/>
        <v>823834.19</v>
      </c>
      <c r="Q124" s="415"/>
      <c r="R124" s="232">
        <f t="shared" si="33"/>
        <v>848822.19</v>
      </c>
      <c r="S124" s="13">
        <f t="shared" si="34"/>
        <v>1.19</v>
      </c>
      <c r="T124" s="1">
        <f t="shared" si="35"/>
        <v>119</v>
      </c>
      <c r="U124" t="s">
        <v>207</v>
      </c>
    </row>
    <row r="125" spans="1:25" ht="24.6" customHeight="1" x14ac:dyDescent="0.3">
      <c r="A125" s="16"/>
      <c r="B125" s="16">
        <f t="shared" si="30"/>
        <v>120</v>
      </c>
      <c r="C125" s="16" t="s">
        <v>127</v>
      </c>
      <c r="D125" s="74">
        <v>4.5999999999999999E-3</v>
      </c>
      <c r="E125" s="194">
        <v>759749.2</v>
      </c>
      <c r="F125" s="198">
        <f>E125</f>
        <v>759749.2</v>
      </c>
      <c r="G125" s="58">
        <f t="shared" si="20"/>
        <v>0</v>
      </c>
      <c r="H125" s="75">
        <f t="shared" si="29"/>
        <v>0</v>
      </c>
      <c r="I125" s="68">
        <f t="shared" si="36"/>
        <v>371109.43403200002</v>
      </c>
      <c r="J125" s="68">
        <f t="shared" si="31"/>
        <v>0</v>
      </c>
      <c r="K125" s="68">
        <f t="shared" si="26"/>
        <v>185936.29261027643</v>
      </c>
      <c r="L125" s="68">
        <f t="shared" si="27"/>
        <v>202702.7028</v>
      </c>
      <c r="M125" s="190">
        <f t="shared" si="28"/>
        <v>0</v>
      </c>
      <c r="N125" s="190">
        <v>0</v>
      </c>
      <c r="O125" s="190">
        <v>0</v>
      </c>
      <c r="P125" s="415">
        <f t="shared" si="32"/>
        <v>759749.2</v>
      </c>
      <c r="Q125" s="415"/>
      <c r="R125" s="232">
        <f t="shared" si="33"/>
        <v>782793.2</v>
      </c>
      <c r="S125" s="13">
        <f t="shared" si="34"/>
        <v>1.2</v>
      </c>
      <c r="T125" s="1">
        <f t="shared" si="35"/>
        <v>120</v>
      </c>
      <c r="U125" t="s">
        <v>299</v>
      </c>
    </row>
    <row r="126" spans="1:25" ht="24.9" customHeight="1" x14ac:dyDescent="0.3">
      <c r="A126" s="16"/>
      <c r="B126" s="16">
        <f t="shared" si="30"/>
        <v>121</v>
      </c>
      <c r="C126" s="16" t="s">
        <v>127</v>
      </c>
      <c r="D126" s="74">
        <v>4.5999999999999999E-3</v>
      </c>
      <c r="E126" s="194">
        <v>759749.21</v>
      </c>
      <c r="F126" s="198">
        <f>E126</f>
        <v>759749.21</v>
      </c>
      <c r="G126" s="58">
        <f t="shared" si="20"/>
        <v>0</v>
      </c>
      <c r="H126" s="75">
        <f t="shared" si="29"/>
        <v>0</v>
      </c>
      <c r="I126" s="68">
        <f t="shared" si="36"/>
        <v>371109.43403200002</v>
      </c>
      <c r="J126" s="68">
        <f t="shared" si="31"/>
        <v>0</v>
      </c>
      <c r="K126" s="68">
        <f t="shared" si="26"/>
        <v>185936.29261027643</v>
      </c>
      <c r="L126" s="68">
        <f t="shared" si="27"/>
        <v>202702.7028</v>
      </c>
      <c r="M126" s="190">
        <f t="shared" si="28"/>
        <v>0</v>
      </c>
      <c r="N126" s="190">
        <v>0</v>
      </c>
      <c r="O126" s="190">
        <v>0</v>
      </c>
      <c r="P126" s="415">
        <f t="shared" si="32"/>
        <v>759749.21</v>
      </c>
      <c r="Q126" s="415"/>
      <c r="R126" s="232">
        <f t="shared" si="33"/>
        <v>782793.21</v>
      </c>
      <c r="S126" s="13">
        <f t="shared" si="34"/>
        <v>1.21</v>
      </c>
      <c r="T126" s="1">
        <f t="shared" si="35"/>
        <v>121</v>
      </c>
      <c r="U126" t="s">
        <v>299</v>
      </c>
    </row>
    <row r="127" spans="1:25" ht="24.9" customHeight="1" x14ac:dyDescent="0.3">
      <c r="A127" s="16"/>
      <c r="B127" s="16">
        <f t="shared" si="30"/>
        <v>122</v>
      </c>
      <c r="C127" s="16" t="s">
        <v>129</v>
      </c>
      <c r="D127" s="74">
        <v>4.5999999999999999E-3</v>
      </c>
      <c r="E127" s="194">
        <v>759549.22</v>
      </c>
      <c r="F127" s="195">
        <f>E127</f>
        <v>759549.22</v>
      </c>
      <c r="G127" s="58">
        <f t="shared" si="20"/>
        <v>0</v>
      </c>
      <c r="H127" s="75">
        <f t="shared" si="29"/>
        <v>0</v>
      </c>
      <c r="I127" s="68">
        <f t="shared" si="36"/>
        <v>371109.43403200002</v>
      </c>
      <c r="J127" s="68">
        <f t="shared" si="31"/>
        <v>0</v>
      </c>
      <c r="K127" s="68">
        <f t="shared" si="26"/>
        <v>185936.29261027643</v>
      </c>
      <c r="L127" s="68">
        <f t="shared" si="27"/>
        <v>202702.7028</v>
      </c>
      <c r="M127" s="190">
        <f t="shared" si="28"/>
        <v>0</v>
      </c>
      <c r="N127" s="190">
        <v>0</v>
      </c>
      <c r="O127" s="190">
        <v>0</v>
      </c>
      <c r="P127" s="415">
        <f t="shared" si="32"/>
        <v>759749.22</v>
      </c>
      <c r="Q127" s="415"/>
      <c r="R127" s="232">
        <f t="shared" si="33"/>
        <v>782793.22</v>
      </c>
      <c r="S127" s="13">
        <f t="shared" si="34"/>
        <v>1.22</v>
      </c>
      <c r="T127" s="1">
        <f t="shared" si="35"/>
        <v>122</v>
      </c>
    </row>
    <row r="128" spans="1:25" ht="24.9" customHeight="1" x14ac:dyDescent="0.3">
      <c r="A128" s="16"/>
      <c r="B128" s="16">
        <f t="shared" si="30"/>
        <v>123</v>
      </c>
      <c r="C128" s="16" t="s">
        <v>130</v>
      </c>
      <c r="D128" s="74">
        <v>4.5999999999999999E-3</v>
      </c>
      <c r="E128" s="194">
        <v>782793.23</v>
      </c>
      <c r="F128" s="198">
        <f t="shared" ref="F128" si="37">E128</f>
        <v>782793.23</v>
      </c>
      <c r="G128" s="58">
        <f t="shared" si="20"/>
        <v>0</v>
      </c>
      <c r="H128" s="75">
        <f t="shared" si="29"/>
        <v>0</v>
      </c>
      <c r="I128" s="68">
        <f t="shared" si="36"/>
        <v>371109.43403200002</v>
      </c>
      <c r="J128" s="68">
        <f t="shared" si="31"/>
        <v>0</v>
      </c>
      <c r="K128" s="68">
        <f t="shared" si="26"/>
        <v>185936.29261027643</v>
      </c>
      <c r="L128" s="68">
        <f t="shared" si="27"/>
        <v>202702.7028</v>
      </c>
      <c r="M128" s="190">
        <f t="shared" si="28"/>
        <v>0</v>
      </c>
      <c r="N128" s="190">
        <v>0</v>
      </c>
      <c r="O128" s="190">
        <v>0</v>
      </c>
      <c r="P128" s="415">
        <f t="shared" si="32"/>
        <v>759749.23</v>
      </c>
      <c r="Q128" s="415"/>
      <c r="R128" s="232">
        <f t="shared" si="33"/>
        <v>782793.23</v>
      </c>
      <c r="S128" s="13">
        <f t="shared" si="34"/>
        <v>1.23</v>
      </c>
      <c r="T128" s="1">
        <f t="shared" si="35"/>
        <v>123</v>
      </c>
      <c r="U128" t="s">
        <v>277</v>
      </c>
    </row>
    <row r="129" spans="1:21" ht="24.9" customHeight="1" x14ac:dyDescent="0.3">
      <c r="A129" s="16"/>
      <c r="B129" s="16">
        <f t="shared" si="30"/>
        <v>124</v>
      </c>
      <c r="C129" s="16" t="s">
        <v>131</v>
      </c>
      <c r="D129" s="74">
        <v>4.5999999999999999E-3</v>
      </c>
      <c r="E129" s="194">
        <v>737382.24</v>
      </c>
      <c r="F129" s="198">
        <v>759748.24</v>
      </c>
      <c r="G129" s="58">
        <f t="shared" si="20"/>
        <v>-22366</v>
      </c>
      <c r="H129" s="75">
        <f t="shared" si="29"/>
        <v>0</v>
      </c>
      <c r="I129" s="68">
        <f t="shared" si="36"/>
        <v>371109.43403200002</v>
      </c>
      <c r="J129" s="68">
        <f t="shared" si="31"/>
        <v>0</v>
      </c>
      <c r="K129" s="68">
        <f t="shared" si="26"/>
        <v>185936.29261027643</v>
      </c>
      <c r="L129" s="68">
        <f t="shared" si="27"/>
        <v>202702.7028</v>
      </c>
      <c r="M129" s="190">
        <f t="shared" si="28"/>
        <v>0</v>
      </c>
      <c r="N129" s="190">
        <v>0</v>
      </c>
      <c r="O129" s="190">
        <v>0</v>
      </c>
      <c r="P129" s="415">
        <f t="shared" si="32"/>
        <v>737383.24</v>
      </c>
      <c r="Q129" s="415"/>
      <c r="R129" s="232">
        <f t="shared" si="33"/>
        <v>759749.24</v>
      </c>
      <c r="S129" s="13">
        <f t="shared" si="34"/>
        <v>1.24</v>
      </c>
      <c r="T129" s="1">
        <f t="shared" si="35"/>
        <v>124</v>
      </c>
    </row>
    <row r="130" spans="1:21" ht="24.9" customHeight="1" x14ac:dyDescent="0.3">
      <c r="A130" s="16"/>
      <c r="B130" s="16">
        <f t="shared" si="30"/>
        <v>125</v>
      </c>
      <c r="C130" s="16" t="s">
        <v>132</v>
      </c>
      <c r="D130" s="74">
        <v>4.5999999999999999E-3</v>
      </c>
      <c r="E130" s="194">
        <v>737403.25</v>
      </c>
      <c r="F130" s="195">
        <f>E130</f>
        <v>737403.25</v>
      </c>
      <c r="G130" s="58">
        <f t="shared" si="20"/>
        <v>0</v>
      </c>
      <c r="H130" s="75">
        <f t="shared" si="29"/>
        <v>0</v>
      </c>
      <c r="I130" s="68">
        <f t="shared" si="36"/>
        <v>371109.43403200002</v>
      </c>
      <c r="J130" s="68">
        <f t="shared" si="31"/>
        <v>0</v>
      </c>
      <c r="K130" s="68">
        <f t="shared" si="26"/>
        <v>185936.29261027643</v>
      </c>
      <c r="L130" s="68">
        <f t="shared" si="27"/>
        <v>202702.7028</v>
      </c>
      <c r="M130" s="190">
        <f t="shared" si="28"/>
        <v>0</v>
      </c>
      <c r="N130" s="190">
        <v>0</v>
      </c>
      <c r="O130" s="190">
        <v>0</v>
      </c>
      <c r="P130" s="415">
        <f t="shared" si="32"/>
        <v>759749.25</v>
      </c>
      <c r="Q130" s="415"/>
      <c r="R130" s="232">
        <f t="shared" si="33"/>
        <v>782793.25</v>
      </c>
      <c r="S130" s="13">
        <f t="shared" si="34"/>
        <v>1.25</v>
      </c>
      <c r="T130" s="1">
        <f t="shared" si="35"/>
        <v>125</v>
      </c>
      <c r="U130" t="s">
        <v>256</v>
      </c>
    </row>
    <row r="131" spans="1:21" ht="24.9" customHeight="1" x14ac:dyDescent="0.3">
      <c r="A131" s="16"/>
      <c r="B131" s="16">
        <f t="shared" si="30"/>
        <v>126</v>
      </c>
      <c r="C131" s="16" t="s">
        <v>133</v>
      </c>
      <c r="D131" s="74">
        <v>4.5999999999999999E-3</v>
      </c>
      <c r="E131" s="194">
        <v>782793.26</v>
      </c>
      <c r="F131" s="198">
        <f>E131</f>
        <v>782793.26</v>
      </c>
      <c r="G131" s="58">
        <f t="shared" si="20"/>
        <v>0</v>
      </c>
      <c r="H131" s="75">
        <f t="shared" si="29"/>
        <v>0</v>
      </c>
      <c r="I131" s="68">
        <f t="shared" si="36"/>
        <v>371109.43403200002</v>
      </c>
      <c r="J131" s="68">
        <f t="shared" si="31"/>
        <v>0</v>
      </c>
      <c r="K131" s="68">
        <f t="shared" si="26"/>
        <v>185936.29261027643</v>
      </c>
      <c r="L131" s="68">
        <f t="shared" si="27"/>
        <v>202702.7028</v>
      </c>
      <c r="M131" s="190">
        <f t="shared" si="28"/>
        <v>0</v>
      </c>
      <c r="N131" s="190">
        <v>0</v>
      </c>
      <c r="O131" s="190">
        <v>0</v>
      </c>
      <c r="P131" s="415">
        <f t="shared" si="32"/>
        <v>759749.26</v>
      </c>
      <c r="Q131" s="415"/>
      <c r="R131" s="232">
        <f t="shared" si="33"/>
        <v>782793.26</v>
      </c>
      <c r="S131" s="13">
        <f t="shared" si="34"/>
        <v>1.26</v>
      </c>
      <c r="T131" s="1">
        <f t="shared" si="35"/>
        <v>126</v>
      </c>
    </row>
    <row r="132" spans="1:21" ht="24.9" customHeight="1" x14ac:dyDescent="0.3">
      <c r="A132" s="16"/>
      <c r="B132" s="16">
        <f t="shared" si="30"/>
        <v>127</v>
      </c>
      <c r="C132" s="16" t="s">
        <v>134</v>
      </c>
      <c r="D132" s="74">
        <v>5.5999999999999999E-3</v>
      </c>
      <c r="E132" s="194">
        <v>840425.27</v>
      </c>
      <c r="F132" s="198">
        <f>E132</f>
        <v>840425.27</v>
      </c>
      <c r="G132" s="58">
        <f t="shared" si="20"/>
        <v>0</v>
      </c>
      <c r="H132" s="75">
        <f t="shared" si="29"/>
        <v>0</v>
      </c>
      <c r="I132" s="68">
        <f t="shared" si="36"/>
        <v>451785.39795200003</v>
      </c>
      <c r="J132" s="68">
        <f t="shared" si="31"/>
        <v>0</v>
      </c>
      <c r="K132" s="68">
        <f t="shared" si="26"/>
        <v>185936.29261027643</v>
      </c>
      <c r="L132" s="68">
        <f t="shared" si="27"/>
        <v>202702.7028</v>
      </c>
      <c r="M132" s="190">
        <f t="shared" si="28"/>
        <v>0</v>
      </c>
      <c r="N132" s="190">
        <v>0</v>
      </c>
      <c r="O132" s="190">
        <v>0</v>
      </c>
      <c r="P132" s="415">
        <f t="shared" si="32"/>
        <v>840425.27</v>
      </c>
      <c r="Q132" s="415"/>
      <c r="R132" s="232">
        <f t="shared" si="33"/>
        <v>865916.27</v>
      </c>
      <c r="S132" s="13">
        <f t="shared" si="34"/>
        <v>1.27</v>
      </c>
      <c r="T132" s="1">
        <f t="shared" si="35"/>
        <v>127</v>
      </c>
      <c r="U132" t="s">
        <v>214</v>
      </c>
    </row>
    <row r="133" spans="1:21" ht="24.9" customHeight="1" x14ac:dyDescent="0.3">
      <c r="A133" s="16"/>
      <c r="B133" s="16">
        <f t="shared" si="30"/>
        <v>128</v>
      </c>
      <c r="C133" s="16" t="s">
        <v>336</v>
      </c>
      <c r="D133" s="74">
        <v>6.1000000000000004E-3</v>
      </c>
      <c r="E133" s="194">
        <v>880764.28</v>
      </c>
      <c r="F133" s="195">
        <f>E133</f>
        <v>880764.28</v>
      </c>
      <c r="G133" s="58">
        <f t="shared" si="20"/>
        <v>0</v>
      </c>
      <c r="H133" s="75">
        <f t="shared" si="29"/>
        <v>0</v>
      </c>
      <c r="I133" s="68">
        <f t="shared" si="36"/>
        <v>492123.37991200003</v>
      </c>
      <c r="J133" s="68">
        <f t="shared" si="31"/>
        <v>0</v>
      </c>
      <c r="K133" s="68">
        <f t="shared" si="26"/>
        <v>185936.29261027643</v>
      </c>
      <c r="L133" s="68">
        <f t="shared" si="27"/>
        <v>202702.7028</v>
      </c>
      <c r="M133" s="190">
        <f t="shared" si="28"/>
        <v>0</v>
      </c>
      <c r="N133" s="190">
        <v>0</v>
      </c>
      <c r="O133" s="190">
        <v>0</v>
      </c>
      <c r="P133" s="415">
        <f t="shared" si="32"/>
        <v>880763.28</v>
      </c>
      <c r="Q133" s="415"/>
      <c r="R133" s="232">
        <f t="shared" si="33"/>
        <v>907478.28</v>
      </c>
      <c r="S133" s="76">
        <f t="shared" si="34"/>
        <v>1.28</v>
      </c>
      <c r="T133" s="57">
        <f t="shared" si="35"/>
        <v>128</v>
      </c>
    </row>
    <row r="134" spans="1:21" ht="24.9" customHeight="1" x14ac:dyDescent="0.3">
      <c r="A134" s="16"/>
      <c r="B134" s="16">
        <f>B133+1</f>
        <v>129</v>
      </c>
      <c r="C134" s="16" t="s">
        <v>135</v>
      </c>
      <c r="D134" s="74">
        <v>6.1000000000000004E-3</v>
      </c>
      <c r="E134" s="194">
        <v>880763.29</v>
      </c>
      <c r="F134" s="198">
        <f>E134</f>
        <v>880763.29</v>
      </c>
      <c r="G134" s="58">
        <f t="shared" si="20"/>
        <v>0</v>
      </c>
      <c r="H134" s="75">
        <f t="shared" si="29"/>
        <v>0</v>
      </c>
      <c r="I134" s="68">
        <f t="shared" si="36"/>
        <v>492123.37991200003</v>
      </c>
      <c r="J134" s="68">
        <f t="shared" ref="J134:J144" si="38">P$2*D134</f>
        <v>0</v>
      </c>
      <c r="K134" s="68">
        <f t="shared" si="26"/>
        <v>185936.29261027643</v>
      </c>
      <c r="L134" s="68">
        <f t="shared" si="27"/>
        <v>202702.7028</v>
      </c>
      <c r="M134" s="190">
        <f t="shared" si="28"/>
        <v>0</v>
      </c>
      <c r="N134" s="190">
        <v>0</v>
      </c>
      <c r="O134" s="190">
        <v>0</v>
      </c>
      <c r="P134" s="415">
        <f t="shared" ref="P134:P144" si="39">ROUND(SUM(G134:O134),0) + S134</f>
        <v>880763.29</v>
      </c>
      <c r="Q134" s="415"/>
      <c r="R134" s="232">
        <f t="shared" ref="R134:R144" si="40">ROUND(P134+P134*3.033%,0) + S134</f>
        <v>907478.29</v>
      </c>
      <c r="S134" s="13">
        <f t="shared" ref="S134:S158" si="41">ROUND(0.001+B134/100,2)</f>
        <v>1.29</v>
      </c>
      <c r="T134" s="1">
        <f t="shared" ref="T134:T158" si="42">B134</f>
        <v>129</v>
      </c>
      <c r="U134" t="s">
        <v>192</v>
      </c>
    </row>
    <row r="135" spans="1:21" ht="24.9" customHeight="1" x14ac:dyDescent="0.3">
      <c r="A135" s="260"/>
      <c r="B135" s="160">
        <f t="shared" si="30"/>
        <v>130</v>
      </c>
      <c r="C135" s="160" t="s">
        <v>136</v>
      </c>
      <c r="D135" s="74">
        <v>5.7000000000000002E-3</v>
      </c>
      <c r="E135" s="194">
        <v>847851.3</v>
      </c>
      <c r="F135" s="198">
        <v>848000</v>
      </c>
      <c r="G135" s="58">
        <f t="shared" si="20"/>
        <v>-148.69999999995343</v>
      </c>
      <c r="H135" s="75">
        <f t="shared" si="29"/>
        <v>0</v>
      </c>
      <c r="I135" s="68">
        <f t="shared" si="36"/>
        <v>459852.99434400001</v>
      </c>
      <c r="J135" s="68">
        <f t="shared" si="38"/>
        <v>0</v>
      </c>
      <c r="K135" s="68">
        <f t="shared" ref="K135:K144" si="43">G$2*0.675675676%</f>
        <v>185936.29261027643</v>
      </c>
      <c r="L135" s="68">
        <f t="shared" ref="L135:L143" si="44">P$1*0.675675676%</f>
        <v>202702.7028</v>
      </c>
      <c r="M135" s="190">
        <f t="shared" ref="M135:M158" si="45">G$1*D135</f>
        <v>0</v>
      </c>
      <c r="N135" s="190">
        <v>0</v>
      </c>
      <c r="O135" s="190">
        <v>0</v>
      </c>
      <c r="P135" s="415">
        <f t="shared" si="39"/>
        <v>848344.3</v>
      </c>
      <c r="Q135" s="415"/>
      <c r="R135" s="232">
        <f t="shared" si="40"/>
        <v>874076.3</v>
      </c>
      <c r="S135" s="13">
        <f t="shared" si="41"/>
        <v>1.3</v>
      </c>
      <c r="T135" s="1">
        <f t="shared" si="42"/>
        <v>130</v>
      </c>
      <c r="U135" t="s">
        <v>211</v>
      </c>
    </row>
    <row r="136" spans="1:21" ht="24.9" customHeight="1" x14ac:dyDescent="0.3">
      <c r="A136" s="16"/>
      <c r="B136" s="16">
        <f t="shared" si="30"/>
        <v>131</v>
      </c>
      <c r="C136" s="16" t="s">
        <v>137</v>
      </c>
      <c r="D136" s="74">
        <v>6.1000000000000004E-3</v>
      </c>
      <c r="E136" s="194">
        <v>880763.31</v>
      </c>
      <c r="F136" s="198">
        <f>E136</f>
        <v>880763.31</v>
      </c>
      <c r="G136" s="58">
        <f t="shared" si="20"/>
        <v>0</v>
      </c>
      <c r="H136" s="75">
        <f t="shared" ref="H136:H158" si="46">IF(G136&gt;0,G136*3.087%,0)</f>
        <v>0</v>
      </c>
      <c r="I136" s="68">
        <f t="shared" si="36"/>
        <v>492123.37991200003</v>
      </c>
      <c r="J136" s="68">
        <f t="shared" si="38"/>
        <v>0</v>
      </c>
      <c r="K136" s="68">
        <f t="shared" si="43"/>
        <v>185936.29261027643</v>
      </c>
      <c r="L136" s="68">
        <f t="shared" si="44"/>
        <v>202702.7028</v>
      </c>
      <c r="M136" s="190">
        <f t="shared" si="45"/>
        <v>0</v>
      </c>
      <c r="N136" s="190">
        <v>0</v>
      </c>
      <c r="O136" s="190">
        <v>0</v>
      </c>
      <c r="P136" s="415">
        <f t="shared" si="39"/>
        <v>880763.31</v>
      </c>
      <c r="Q136" s="415"/>
      <c r="R136" s="232">
        <f t="shared" si="40"/>
        <v>907478.31</v>
      </c>
      <c r="S136" s="13">
        <f t="shared" si="41"/>
        <v>1.31</v>
      </c>
      <c r="T136" s="1">
        <f t="shared" si="42"/>
        <v>131</v>
      </c>
      <c r="U136" t="s">
        <v>291</v>
      </c>
    </row>
    <row r="137" spans="1:21" ht="24.9" customHeight="1" x14ac:dyDescent="0.3">
      <c r="A137" s="16"/>
      <c r="B137" s="16">
        <f t="shared" si="30"/>
        <v>132</v>
      </c>
      <c r="C137" s="16" t="s">
        <v>138</v>
      </c>
      <c r="D137" s="74">
        <v>6.0000000000000001E-3</v>
      </c>
      <c r="E137" s="194">
        <v>872695.32</v>
      </c>
      <c r="F137" s="195">
        <f>E137</f>
        <v>872695.32</v>
      </c>
      <c r="G137" s="58">
        <f t="shared" si="20"/>
        <v>0</v>
      </c>
      <c r="H137" s="75">
        <f t="shared" si="46"/>
        <v>0</v>
      </c>
      <c r="I137" s="68">
        <f t="shared" si="36"/>
        <v>484055.78352</v>
      </c>
      <c r="J137" s="68">
        <f t="shared" si="38"/>
        <v>0</v>
      </c>
      <c r="K137" s="68">
        <f t="shared" si="43"/>
        <v>185936.29261027643</v>
      </c>
      <c r="L137" s="68">
        <f t="shared" si="44"/>
        <v>202702.7028</v>
      </c>
      <c r="M137" s="190">
        <f t="shared" si="45"/>
        <v>0</v>
      </c>
      <c r="N137" s="190">
        <v>0</v>
      </c>
      <c r="O137" s="190">
        <v>0</v>
      </c>
      <c r="P137" s="415">
        <f t="shared" si="39"/>
        <v>872696.31999999995</v>
      </c>
      <c r="Q137" s="415"/>
      <c r="R137" s="232">
        <f t="shared" si="40"/>
        <v>899166.32</v>
      </c>
      <c r="S137" s="13">
        <f t="shared" si="41"/>
        <v>1.32</v>
      </c>
      <c r="T137" s="1">
        <f t="shared" si="42"/>
        <v>132</v>
      </c>
      <c r="U137" t="s">
        <v>253</v>
      </c>
    </row>
    <row r="138" spans="1:21" ht="24.9" customHeight="1" x14ac:dyDescent="0.3">
      <c r="A138" s="16"/>
      <c r="B138" s="16">
        <f t="shared" ref="B138:B146" si="47">B137+1</f>
        <v>133</v>
      </c>
      <c r="C138" s="16" t="s">
        <v>139</v>
      </c>
      <c r="D138" s="74">
        <v>6.4000000000000003E-3</v>
      </c>
      <c r="E138" s="194">
        <v>904966.33</v>
      </c>
      <c r="F138" s="198">
        <f>E138</f>
        <v>904966.33</v>
      </c>
      <c r="G138" s="58">
        <f t="shared" si="20"/>
        <v>0</v>
      </c>
      <c r="H138" s="75">
        <f t="shared" si="46"/>
        <v>0</v>
      </c>
      <c r="I138" s="68">
        <f t="shared" si="36"/>
        <v>516326.16908800002</v>
      </c>
      <c r="J138" s="68">
        <f t="shared" si="38"/>
        <v>0</v>
      </c>
      <c r="K138" s="68">
        <f t="shared" si="43"/>
        <v>185936.29261027643</v>
      </c>
      <c r="L138" s="68">
        <f t="shared" si="44"/>
        <v>202702.7028</v>
      </c>
      <c r="M138" s="190">
        <f t="shared" si="45"/>
        <v>0</v>
      </c>
      <c r="N138" s="190">
        <v>0</v>
      </c>
      <c r="O138" s="190">
        <v>0</v>
      </c>
      <c r="P138" s="415">
        <f t="shared" si="39"/>
        <v>904966.33</v>
      </c>
      <c r="Q138" s="415"/>
      <c r="R138" s="232">
        <f t="shared" si="40"/>
        <v>932415.33</v>
      </c>
      <c r="S138" s="13">
        <f t="shared" si="41"/>
        <v>1.33</v>
      </c>
      <c r="T138" s="1">
        <f t="shared" si="42"/>
        <v>133</v>
      </c>
      <c r="U138" t="s">
        <v>219</v>
      </c>
    </row>
    <row r="139" spans="1:21" ht="24.9" customHeight="1" x14ac:dyDescent="0.3">
      <c r="A139" s="16"/>
      <c r="B139" s="16">
        <f t="shared" si="47"/>
        <v>134</v>
      </c>
      <c r="C139" s="16" t="s">
        <v>140</v>
      </c>
      <c r="D139" s="74">
        <v>5.3E-3</v>
      </c>
      <c r="E139" s="194">
        <v>816223.34</v>
      </c>
      <c r="F139" s="198">
        <v>840980.34</v>
      </c>
      <c r="G139" s="58">
        <f t="shared" si="20"/>
        <v>-24757</v>
      </c>
      <c r="H139" s="75">
        <f t="shared" si="46"/>
        <v>0</v>
      </c>
      <c r="I139" s="68">
        <f t="shared" si="36"/>
        <v>427582.60877600004</v>
      </c>
      <c r="J139" s="68">
        <f t="shared" si="38"/>
        <v>0</v>
      </c>
      <c r="K139" s="68">
        <f t="shared" si="43"/>
        <v>185936.29261027643</v>
      </c>
      <c r="L139" s="68">
        <f t="shared" si="44"/>
        <v>202702.7028</v>
      </c>
      <c r="M139" s="190">
        <f t="shared" si="45"/>
        <v>0</v>
      </c>
      <c r="N139" s="190">
        <v>0</v>
      </c>
      <c r="O139" s="190">
        <v>0</v>
      </c>
      <c r="P139" s="415">
        <f t="shared" si="39"/>
        <v>791466.34</v>
      </c>
      <c r="Q139" s="415"/>
      <c r="R139" s="232">
        <f t="shared" si="40"/>
        <v>815473.34</v>
      </c>
      <c r="S139" s="13">
        <f t="shared" si="41"/>
        <v>1.34</v>
      </c>
      <c r="T139" s="1">
        <f t="shared" si="42"/>
        <v>134</v>
      </c>
      <c r="U139" t="s">
        <v>199</v>
      </c>
    </row>
    <row r="140" spans="1:21" ht="24.9" customHeight="1" x14ac:dyDescent="0.3">
      <c r="A140" s="16"/>
      <c r="B140" s="16">
        <f t="shared" si="47"/>
        <v>135</v>
      </c>
      <c r="C140" s="16" t="s">
        <v>140</v>
      </c>
      <c r="D140" s="74">
        <v>6.1000000000000004E-3</v>
      </c>
      <c r="E140" s="194">
        <v>880763.35</v>
      </c>
      <c r="F140" s="198">
        <v>907478.35</v>
      </c>
      <c r="G140" s="58">
        <f t="shared" si="20"/>
        <v>-26715</v>
      </c>
      <c r="H140" s="75">
        <f t="shared" si="46"/>
        <v>0</v>
      </c>
      <c r="I140" s="68">
        <f t="shared" si="36"/>
        <v>492123.37991200003</v>
      </c>
      <c r="J140" s="68">
        <f t="shared" si="38"/>
        <v>0</v>
      </c>
      <c r="K140" s="68">
        <f t="shared" si="43"/>
        <v>185936.29261027643</v>
      </c>
      <c r="L140" s="68">
        <f t="shared" si="44"/>
        <v>202702.7028</v>
      </c>
      <c r="M140" s="190">
        <f t="shared" si="45"/>
        <v>0</v>
      </c>
      <c r="N140" s="190">
        <v>0</v>
      </c>
      <c r="O140" s="190">
        <v>0</v>
      </c>
      <c r="P140" s="415">
        <f t="shared" si="39"/>
        <v>854048.35</v>
      </c>
      <c r="Q140" s="415"/>
      <c r="R140" s="232">
        <f t="shared" si="40"/>
        <v>879953.35</v>
      </c>
      <c r="S140" s="13">
        <f t="shared" si="41"/>
        <v>1.35</v>
      </c>
      <c r="T140" s="1">
        <f t="shared" si="42"/>
        <v>135</v>
      </c>
      <c r="U140" s="59" t="s">
        <v>199</v>
      </c>
    </row>
    <row r="141" spans="1:21" ht="24.9" customHeight="1" x14ac:dyDescent="0.3">
      <c r="A141" s="16"/>
      <c r="B141" s="16">
        <f t="shared" si="47"/>
        <v>136</v>
      </c>
      <c r="C141" s="16" t="s">
        <v>141</v>
      </c>
      <c r="D141" s="74">
        <v>6.1999999999999998E-3</v>
      </c>
      <c r="E141" s="194">
        <v>5792067.3600000003</v>
      </c>
      <c r="F141" s="195">
        <f>E141</f>
        <v>5792067.3600000003</v>
      </c>
      <c r="G141" s="58">
        <f t="shared" si="20"/>
        <v>0</v>
      </c>
      <c r="H141" s="75">
        <f t="shared" si="46"/>
        <v>0</v>
      </c>
      <c r="I141" s="68">
        <f t="shared" si="36"/>
        <v>500190.97630400001</v>
      </c>
      <c r="J141" s="68">
        <f t="shared" si="38"/>
        <v>0</v>
      </c>
      <c r="K141" s="68">
        <f t="shared" si="43"/>
        <v>185936.29261027643</v>
      </c>
      <c r="L141" s="68">
        <f t="shared" si="44"/>
        <v>202702.7028</v>
      </c>
      <c r="M141" s="190">
        <f t="shared" si="45"/>
        <v>0</v>
      </c>
      <c r="N141" s="190">
        <v>0</v>
      </c>
      <c r="O141" s="190">
        <v>0</v>
      </c>
      <c r="P141" s="415">
        <f t="shared" si="39"/>
        <v>888831.36</v>
      </c>
      <c r="Q141" s="415"/>
      <c r="R141" s="232">
        <f t="shared" si="40"/>
        <v>915791.35999999999</v>
      </c>
      <c r="S141" s="13">
        <f t="shared" si="41"/>
        <v>1.36</v>
      </c>
      <c r="T141" s="1">
        <f t="shared" si="42"/>
        <v>136</v>
      </c>
      <c r="U141" t="s">
        <v>271</v>
      </c>
    </row>
    <row r="142" spans="1:21" ht="24.9" customHeight="1" x14ac:dyDescent="0.3">
      <c r="A142" s="16"/>
      <c r="B142" s="16">
        <f t="shared" si="47"/>
        <v>137</v>
      </c>
      <c r="C142" s="16" t="s">
        <v>142</v>
      </c>
      <c r="D142" s="74">
        <v>5.4000000000000003E-3</v>
      </c>
      <c r="E142" s="194">
        <v>824290.37</v>
      </c>
      <c r="F142" s="198">
        <f>E142</f>
        <v>824290.37</v>
      </c>
      <c r="G142" s="58">
        <f t="shared" si="20"/>
        <v>0</v>
      </c>
      <c r="H142" s="75">
        <f t="shared" si="46"/>
        <v>0</v>
      </c>
      <c r="I142" s="68">
        <f t="shared" si="36"/>
        <v>435650.20516800001</v>
      </c>
      <c r="J142" s="68">
        <f t="shared" si="38"/>
        <v>0</v>
      </c>
      <c r="K142" s="68">
        <f t="shared" si="43"/>
        <v>185936.29261027643</v>
      </c>
      <c r="L142" s="68">
        <f t="shared" si="44"/>
        <v>202702.7028</v>
      </c>
      <c r="M142" s="190">
        <f t="shared" si="45"/>
        <v>0</v>
      </c>
      <c r="N142" s="190">
        <v>0</v>
      </c>
      <c r="O142" s="190">
        <v>0</v>
      </c>
      <c r="P142" s="415">
        <f t="shared" si="39"/>
        <v>824290.37</v>
      </c>
      <c r="Q142" s="415"/>
      <c r="R142" s="232">
        <f t="shared" si="40"/>
        <v>849292.37</v>
      </c>
      <c r="S142" s="13">
        <f t="shared" si="41"/>
        <v>1.37</v>
      </c>
      <c r="T142" s="1">
        <f t="shared" si="42"/>
        <v>137</v>
      </c>
    </row>
    <row r="143" spans="1:21" ht="24.9" customHeight="1" x14ac:dyDescent="0.3">
      <c r="A143" s="16"/>
      <c r="B143" s="16">
        <f t="shared" si="47"/>
        <v>138</v>
      </c>
      <c r="C143" s="16" t="s">
        <v>143</v>
      </c>
      <c r="D143" s="74">
        <v>6.4999999999999997E-3</v>
      </c>
      <c r="E143" s="194">
        <v>886155.38</v>
      </c>
      <c r="F143" s="198">
        <v>913033.38</v>
      </c>
      <c r="G143" s="58">
        <f t="shared" si="20"/>
        <v>-26878</v>
      </c>
      <c r="H143" s="75">
        <f t="shared" si="46"/>
        <v>0</v>
      </c>
      <c r="I143" s="68">
        <f t="shared" si="36"/>
        <v>524393.76547999994</v>
      </c>
      <c r="J143" s="68">
        <f t="shared" si="38"/>
        <v>0</v>
      </c>
      <c r="K143" s="68">
        <f t="shared" si="43"/>
        <v>185936.29261027643</v>
      </c>
      <c r="L143" s="68">
        <f t="shared" si="44"/>
        <v>202702.7028</v>
      </c>
      <c r="M143" s="190">
        <f t="shared" si="45"/>
        <v>0</v>
      </c>
      <c r="N143" s="190">
        <v>0</v>
      </c>
      <c r="O143" s="190">
        <v>0</v>
      </c>
      <c r="P143" s="415">
        <f t="shared" si="39"/>
        <v>886156.38</v>
      </c>
      <c r="Q143" s="415"/>
      <c r="R143" s="232">
        <f t="shared" si="40"/>
        <v>913035.38</v>
      </c>
      <c r="S143" s="13">
        <f t="shared" si="41"/>
        <v>1.38</v>
      </c>
      <c r="T143" s="1">
        <f t="shared" si="42"/>
        <v>138</v>
      </c>
      <c r="U143" t="s">
        <v>280</v>
      </c>
    </row>
    <row r="144" spans="1:21" ht="24.9" customHeight="1" x14ac:dyDescent="0.3">
      <c r="A144" s="16"/>
      <c r="B144" s="16">
        <f t="shared" si="47"/>
        <v>139</v>
      </c>
      <c r="C144" s="16" t="s">
        <v>144</v>
      </c>
      <c r="D144" s="74">
        <v>6.1000000000000004E-3</v>
      </c>
      <c r="E144" s="194">
        <v>880719.39</v>
      </c>
      <c r="F144" s="198">
        <v>880800</v>
      </c>
      <c r="G144" s="58">
        <f t="shared" si="20"/>
        <v>-80.60999999998603</v>
      </c>
      <c r="H144" s="75">
        <f t="shared" si="46"/>
        <v>0</v>
      </c>
      <c r="I144" s="68">
        <f t="shared" si="36"/>
        <v>492123.37991200003</v>
      </c>
      <c r="J144" s="68">
        <f t="shared" si="38"/>
        <v>0</v>
      </c>
      <c r="K144" s="68">
        <f t="shared" si="43"/>
        <v>185936.29261027643</v>
      </c>
      <c r="L144" s="68">
        <f>P$1*0.675675676%</f>
        <v>202702.7028</v>
      </c>
      <c r="M144" s="190">
        <f t="shared" si="45"/>
        <v>0</v>
      </c>
      <c r="N144" s="190">
        <v>0</v>
      </c>
      <c r="O144" s="190">
        <v>0</v>
      </c>
      <c r="P144" s="415">
        <f t="shared" si="39"/>
        <v>880683.39</v>
      </c>
      <c r="Q144" s="415"/>
      <c r="R144" s="232">
        <f t="shared" si="40"/>
        <v>907396.39</v>
      </c>
      <c r="S144" s="13">
        <f t="shared" si="41"/>
        <v>1.39</v>
      </c>
      <c r="T144" s="1">
        <f t="shared" si="42"/>
        <v>139</v>
      </c>
      <c r="U144" t="s">
        <v>272</v>
      </c>
    </row>
    <row r="145" spans="1:22" ht="24.9" customHeight="1" x14ac:dyDescent="0.3">
      <c r="A145" s="16"/>
      <c r="B145" s="16">
        <f t="shared" si="47"/>
        <v>140</v>
      </c>
      <c r="C145" s="16" t="s">
        <v>145</v>
      </c>
      <c r="D145" s="74">
        <v>0.18509999999999999</v>
      </c>
      <c r="E145" s="90"/>
      <c r="F145" s="198"/>
      <c r="G145" s="58"/>
      <c r="H145" s="75"/>
      <c r="I145" s="68"/>
      <c r="J145" s="68"/>
      <c r="K145" s="68"/>
      <c r="L145" s="68"/>
      <c r="M145" s="190">
        <f t="shared" si="45"/>
        <v>0</v>
      </c>
      <c r="N145" s="190">
        <v>0</v>
      </c>
      <c r="O145" s="190">
        <v>0</v>
      </c>
      <c r="P145" s="415"/>
      <c r="Q145" s="415"/>
      <c r="R145" s="233"/>
      <c r="S145" s="13">
        <f t="shared" si="41"/>
        <v>1.4</v>
      </c>
      <c r="T145" s="1">
        <f t="shared" si="42"/>
        <v>140</v>
      </c>
    </row>
    <row r="146" spans="1:22" ht="24.9" customHeight="1" x14ac:dyDescent="0.3">
      <c r="A146" s="16"/>
      <c r="B146" s="16">
        <f t="shared" si="47"/>
        <v>141</v>
      </c>
      <c r="C146" s="16" t="s">
        <v>145</v>
      </c>
      <c r="D146" s="74">
        <v>0.156</v>
      </c>
      <c r="E146" s="90"/>
      <c r="F146" s="198"/>
      <c r="G146" s="58"/>
      <c r="H146" s="75"/>
      <c r="I146" s="68"/>
      <c r="J146" s="68"/>
      <c r="K146" s="68"/>
      <c r="L146" s="68"/>
      <c r="M146" s="190">
        <f t="shared" si="45"/>
        <v>0</v>
      </c>
      <c r="N146" s="190">
        <v>0</v>
      </c>
      <c r="O146" s="190">
        <v>0</v>
      </c>
      <c r="P146" s="415"/>
      <c r="Q146" s="415"/>
      <c r="R146" s="233"/>
      <c r="S146" s="13">
        <f t="shared" si="41"/>
        <v>1.41</v>
      </c>
      <c r="T146" s="1">
        <f t="shared" si="42"/>
        <v>141</v>
      </c>
    </row>
    <row r="147" spans="1:22" ht="24.9" customHeight="1" x14ac:dyDescent="0.3">
      <c r="A147" s="16"/>
      <c r="B147" s="16"/>
      <c r="C147" s="16"/>
      <c r="D147" s="74"/>
      <c r="E147" s="90"/>
      <c r="F147" s="198"/>
      <c r="G147" s="58"/>
      <c r="H147" s="75"/>
      <c r="I147" s="68"/>
      <c r="J147" s="68"/>
      <c r="K147" s="68"/>
      <c r="L147" s="68"/>
      <c r="M147" s="190">
        <f t="shared" si="45"/>
        <v>0</v>
      </c>
      <c r="N147" s="190">
        <v>0</v>
      </c>
      <c r="O147" s="190">
        <v>0</v>
      </c>
      <c r="P147" s="415"/>
      <c r="Q147" s="415"/>
      <c r="R147" s="233"/>
      <c r="S147" s="13">
        <f t="shared" si="41"/>
        <v>0</v>
      </c>
      <c r="T147" s="1">
        <f t="shared" si="42"/>
        <v>0</v>
      </c>
    </row>
    <row r="148" spans="1:22" ht="24.9" customHeight="1" x14ac:dyDescent="0.3">
      <c r="A148" s="16"/>
      <c r="B148" s="16"/>
      <c r="C148" s="16"/>
      <c r="D148" s="74"/>
      <c r="E148" s="90"/>
      <c r="F148" s="198"/>
      <c r="G148" s="58"/>
      <c r="H148" s="75"/>
      <c r="I148" s="68"/>
      <c r="J148" s="68"/>
      <c r="K148" s="68"/>
      <c r="L148" s="68"/>
      <c r="M148" s="190">
        <f t="shared" si="45"/>
        <v>0</v>
      </c>
      <c r="N148" s="190">
        <v>0</v>
      </c>
      <c r="O148" s="190">
        <v>0</v>
      </c>
      <c r="P148" s="415"/>
      <c r="Q148" s="415"/>
      <c r="R148" s="233"/>
      <c r="S148" s="13">
        <f t="shared" si="41"/>
        <v>0</v>
      </c>
      <c r="T148" s="1">
        <f t="shared" si="42"/>
        <v>0</v>
      </c>
    </row>
    <row r="149" spans="1:22" ht="24.9" customHeight="1" x14ac:dyDescent="0.3">
      <c r="A149" s="16"/>
      <c r="B149" s="16">
        <v>146</v>
      </c>
      <c r="C149" s="16" t="s">
        <v>83</v>
      </c>
      <c r="D149" s="74">
        <v>3.8E-3</v>
      </c>
      <c r="E149" s="195">
        <v>695209.46</v>
      </c>
      <c r="F149" s="198">
        <f>E149</f>
        <v>695209.46</v>
      </c>
      <c r="G149" s="58">
        <f t="shared" si="20"/>
        <v>0</v>
      </c>
      <c r="H149" s="75">
        <f t="shared" si="46"/>
        <v>0</v>
      </c>
      <c r="I149" s="68">
        <f t="shared" si="36"/>
        <v>306568.66289600002</v>
      </c>
      <c r="J149" s="68">
        <f t="shared" ref="J149:J158" si="48">P$2*D149</f>
        <v>0</v>
      </c>
      <c r="K149" s="68">
        <f t="shared" ref="K149:K158" si="49">G$2*0.675675676%</f>
        <v>185936.29261027643</v>
      </c>
      <c r="L149" s="68">
        <f>P$1*0.675675676%</f>
        <v>202702.7028</v>
      </c>
      <c r="M149" s="190">
        <f t="shared" si="45"/>
        <v>0</v>
      </c>
      <c r="N149" s="190">
        <v>0</v>
      </c>
      <c r="O149" s="190">
        <v>0</v>
      </c>
      <c r="P149" s="415">
        <f t="shared" ref="P149:P158" si="50">ROUND(SUM(G149:O149),0) + S149</f>
        <v>695209.46</v>
      </c>
      <c r="Q149" s="415"/>
      <c r="R149" s="232">
        <f t="shared" ref="R149:R158" si="51">ROUND(P149+P149*3.033%,0) + S149</f>
        <v>716296.46</v>
      </c>
      <c r="S149" s="13">
        <f t="shared" si="41"/>
        <v>1.46</v>
      </c>
      <c r="T149" s="1">
        <f t="shared" si="42"/>
        <v>146</v>
      </c>
    </row>
    <row r="150" spans="1:22" ht="24.9" customHeight="1" x14ac:dyDescent="0.3">
      <c r="A150" s="16"/>
      <c r="B150" s="16">
        <v>155</v>
      </c>
      <c r="C150" s="16" t="s">
        <v>288</v>
      </c>
      <c r="D150" s="74">
        <v>4.2300000000000003E-3</v>
      </c>
      <c r="E150" s="195">
        <v>1447944.55</v>
      </c>
      <c r="F150" s="198">
        <f>E150</f>
        <v>1447944.55</v>
      </c>
      <c r="G150" s="58">
        <f t="shared" si="20"/>
        <v>0</v>
      </c>
      <c r="H150" s="75">
        <f t="shared" si="46"/>
        <v>0</v>
      </c>
      <c r="I150" s="68">
        <f t="shared" si="36"/>
        <v>341259.32738160004</v>
      </c>
      <c r="J150" s="68"/>
      <c r="K150" s="68">
        <f t="shared" si="49"/>
        <v>185936.29261027643</v>
      </c>
      <c r="L150" s="68">
        <f>P$1*0.675675676%</f>
        <v>202702.7028</v>
      </c>
      <c r="M150" s="190">
        <v>68252</v>
      </c>
      <c r="N150" s="68">
        <f>(I150)</f>
        <v>341259.32738160004</v>
      </c>
      <c r="O150" s="190">
        <v>0</v>
      </c>
      <c r="P150" s="415">
        <f t="shared" si="50"/>
        <v>1139411.55</v>
      </c>
      <c r="Q150" s="415"/>
      <c r="R150" s="232">
        <f t="shared" si="51"/>
        <v>1173971.55</v>
      </c>
      <c r="S150" s="13">
        <f t="shared" si="41"/>
        <v>1.55</v>
      </c>
      <c r="T150" s="1">
        <f t="shared" si="42"/>
        <v>155</v>
      </c>
      <c r="U150" t="s">
        <v>297</v>
      </c>
    </row>
    <row r="151" spans="1:22" ht="24.9" customHeight="1" x14ac:dyDescent="0.3">
      <c r="A151" s="16"/>
      <c r="B151" s="16">
        <v>158</v>
      </c>
      <c r="C151" s="16" t="s">
        <v>52</v>
      </c>
      <c r="D151" s="74">
        <v>4.5999999999999999E-3</v>
      </c>
      <c r="E151" s="195">
        <v>759749.58</v>
      </c>
      <c r="F151" s="198">
        <f t="shared" ref="F151:F154" si="52">E151</f>
        <v>759749.58</v>
      </c>
      <c r="G151" s="58">
        <f t="shared" si="20"/>
        <v>0</v>
      </c>
      <c r="H151" s="75">
        <f t="shared" si="46"/>
        <v>0</v>
      </c>
      <c r="I151" s="68">
        <f t="shared" si="36"/>
        <v>371109.43403200002</v>
      </c>
      <c r="J151" s="68">
        <f t="shared" si="48"/>
        <v>0</v>
      </c>
      <c r="K151" s="68">
        <f t="shared" si="49"/>
        <v>185936.29261027643</v>
      </c>
      <c r="L151" s="68">
        <f t="shared" ref="L151:L158" si="53">P$1*0.675675676%</f>
        <v>202702.7028</v>
      </c>
      <c r="M151" s="190">
        <f t="shared" si="45"/>
        <v>0</v>
      </c>
      <c r="N151" s="190">
        <v>0</v>
      </c>
      <c r="O151" s="190">
        <v>0</v>
      </c>
      <c r="P151" s="415">
        <f t="shared" si="50"/>
        <v>759749.58</v>
      </c>
      <c r="Q151" s="415"/>
      <c r="R151" s="232">
        <f t="shared" si="51"/>
        <v>782794.58</v>
      </c>
      <c r="S151" s="13">
        <f t="shared" si="41"/>
        <v>1.58</v>
      </c>
      <c r="T151" s="1">
        <f t="shared" si="42"/>
        <v>158</v>
      </c>
    </row>
    <row r="152" spans="1:22" ht="24.9" customHeight="1" x14ac:dyDescent="0.3">
      <c r="A152" s="16"/>
      <c r="B152" s="16">
        <v>159</v>
      </c>
      <c r="C152" s="16" t="s">
        <v>52</v>
      </c>
      <c r="D152" s="74">
        <v>4.5999999999999999E-3</v>
      </c>
      <c r="E152" s="195">
        <v>759749.59</v>
      </c>
      <c r="F152" s="198">
        <f t="shared" si="52"/>
        <v>759749.59</v>
      </c>
      <c r="G152" s="58">
        <f t="shared" si="20"/>
        <v>0</v>
      </c>
      <c r="H152" s="75">
        <f t="shared" si="46"/>
        <v>0</v>
      </c>
      <c r="I152" s="68">
        <f t="shared" si="36"/>
        <v>371109.43403200002</v>
      </c>
      <c r="J152" s="68">
        <f t="shared" si="48"/>
        <v>0</v>
      </c>
      <c r="K152" s="68">
        <f t="shared" si="49"/>
        <v>185936.29261027643</v>
      </c>
      <c r="L152" s="68">
        <f t="shared" si="53"/>
        <v>202702.7028</v>
      </c>
      <c r="M152" s="190">
        <f t="shared" si="45"/>
        <v>0</v>
      </c>
      <c r="N152" s="190">
        <v>0</v>
      </c>
      <c r="O152" s="190">
        <v>0</v>
      </c>
      <c r="P152" s="415">
        <f t="shared" si="50"/>
        <v>759749.59</v>
      </c>
      <c r="Q152" s="415"/>
      <c r="R152" s="232">
        <f t="shared" si="51"/>
        <v>782794.59</v>
      </c>
      <c r="S152" s="13">
        <f t="shared" si="41"/>
        <v>1.59</v>
      </c>
      <c r="T152" s="1">
        <f t="shared" si="42"/>
        <v>159</v>
      </c>
    </row>
    <row r="153" spans="1:22" ht="24.9" customHeight="1" x14ac:dyDescent="0.3">
      <c r="A153" s="16"/>
      <c r="B153" s="16">
        <v>163</v>
      </c>
      <c r="C153" s="16" t="s">
        <v>84</v>
      </c>
      <c r="D153" s="74">
        <v>4.5999999999999999E-3</v>
      </c>
      <c r="E153" s="195">
        <v>759749.63</v>
      </c>
      <c r="F153" s="198">
        <f>E153</f>
        <v>759749.63</v>
      </c>
      <c r="G153" s="58">
        <f t="shared" si="20"/>
        <v>0</v>
      </c>
      <c r="H153" s="75">
        <f t="shared" si="46"/>
        <v>0</v>
      </c>
      <c r="I153" s="68">
        <f t="shared" si="36"/>
        <v>371109.43403200002</v>
      </c>
      <c r="J153" s="68">
        <f t="shared" si="48"/>
        <v>0</v>
      </c>
      <c r="K153" s="68">
        <f t="shared" si="49"/>
        <v>185936.29261027643</v>
      </c>
      <c r="L153" s="68">
        <f t="shared" si="53"/>
        <v>202702.7028</v>
      </c>
      <c r="M153" s="190">
        <f t="shared" si="45"/>
        <v>0</v>
      </c>
      <c r="N153" s="190">
        <v>0</v>
      </c>
      <c r="O153" s="190">
        <v>0</v>
      </c>
      <c r="P153" s="415">
        <f t="shared" si="50"/>
        <v>759749.63</v>
      </c>
      <c r="Q153" s="415"/>
      <c r="R153" s="232">
        <f t="shared" si="51"/>
        <v>782794.63</v>
      </c>
      <c r="S153" s="13">
        <f t="shared" si="41"/>
        <v>1.63</v>
      </c>
      <c r="T153" s="1">
        <f t="shared" si="42"/>
        <v>163</v>
      </c>
    </row>
    <row r="154" spans="1:22" ht="24.9" customHeight="1" x14ac:dyDescent="0.3">
      <c r="A154" s="16"/>
      <c r="B154" s="16">
        <v>168</v>
      </c>
      <c r="C154" s="16" t="s">
        <v>52</v>
      </c>
      <c r="D154" s="74">
        <v>4.4000000000000003E-3</v>
      </c>
      <c r="E154" s="195">
        <v>743614.68</v>
      </c>
      <c r="F154" s="198">
        <f t="shared" si="52"/>
        <v>743614.68</v>
      </c>
      <c r="G154" s="58">
        <f t="shared" si="20"/>
        <v>0</v>
      </c>
      <c r="H154" s="75">
        <f t="shared" si="46"/>
        <v>0</v>
      </c>
      <c r="I154" s="68">
        <f t="shared" si="36"/>
        <v>354974.24124800001</v>
      </c>
      <c r="J154" s="68">
        <f t="shared" si="48"/>
        <v>0</v>
      </c>
      <c r="K154" s="68">
        <f t="shared" si="49"/>
        <v>185936.29261027643</v>
      </c>
      <c r="L154" s="68">
        <f t="shared" si="53"/>
        <v>202702.7028</v>
      </c>
      <c r="M154" s="190">
        <f t="shared" si="45"/>
        <v>0</v>
      </c>
      <c r="N154" s="190">
        <v>0</v>
      </c>
      <c r="O154" s="190">
        <v>0</v>
      </c>
      <c r="P154" s="415">
        <f t="shared" si="50"/>
        <v>743614.68</v>
      </c>
      <c r="Q154" s="415"/>
      <c r="R154" s="232">
        <f t="shared" si="51"/>
        <v>766170.68</v>
      </c>
      <c r="S154" s="13">
        <f t="shared" si="41"/>
        <v>1.68</v>
      </c>
      <c r="T154" s="1">
        <f t="shared" si="42"/>
        <v>168</v>
      </c>
    </row>
    <row r="155" spans="1:22" ht="24.9" customHeight="1" x14ac:dyDescent="0.3">
      <c r="A155" s="16"/>
      <c r="B155" s="16">
        <v>173</v>
      </c>
      <c r="C155" s="16" t="s">
        <v>85</v>
      </c>
      <c r="D155" s="74">
        <v>4.5999999999999999E-3</v>
      </c>
      <c r="E155" s="195">
        <v>759749.73</v>
      </c>
      <c r="F155" s="198">
        <v>782794.73</v>
      </c>
      <c r="G155" s="58">
        <f t="shared" si="20"/>
        <v>-23045</v>
      </c>
      <c r="H155" s="75">
        <f t="shared" si="46"/>
        <v>0</v>
      </c>
      <c r="I155" s="68">
        <f t="shared" si="36"/>
        <v>371109.43403200002</v>
      </c>
      <c r="J155" s="68">
        <f t="shared" si="48"/>
        <v>0</v>
      </c>
      <c r="K155" s="68">
        <f t="shared" si="49"/>
        <v>185936.29261027643</v>
      </c>
      <c r="L155" s="68">
        <f t="shared" si="53"/>
        <v>202702.7028</v>
      </c>
      <c r="M155" s="190">
        <f t="shared" si="45"/>
        <v>0</v>
      </c>
      <c r="N155" s="190">
        <v>0</v>
      </c>
      <c r="O155" s="190">
        <v>0</v>
      </c>
      <c r="P155" s="415">
        <f t="shared" si="50"/>
        <v>736704.73</v>
      </c>
      <c r="Q155" s="415"/>
      <c r="R155" s="232">
        <f t="shared" si="51"/>
        <v>759050.73</v>
      </c>
      <c r="S155" s="13">
        <f t="shared" si="41"/>
        <v>1.73</v>
      </c>
      <c r="T155" s="1">
        <f t="shared" si="42"/>
        <v>173</v>
      </c>
      <c r="V155" t="s">
        <v>221</v>
      </c>
    </row>
    <row r="156" spans="1:22" ht="24.9" customHeight="1" x14ac:dyDescent="0.3">
      <c r="A156" s="16"/>
      <c r="B156" s="16">
        <v>175</v>
      </c>
      <c r="C156" s="16" t="s">
        <v>85</v>
      </c>
      <c r="D156" s="74">
        <v>4.5999999999999999E-3</v>
      </c>
      <c r="E156" s="195">
        <v>759749.75</v>
      </c>
      <c r="F156" s="198">
        <v>782794.75</v>
      </c>
      <c r="G156" s="58">
        <f t="shared" si="20"/>
        <v>-23045</v>
      </c>
      <c r="H156" s="75">
        <f t="shared" si="46"/>
        <v>0</v>
      </c>
      <c r="I156" s="68">
        <f t="shared" si="36"/>
        <v>371109.43403200002</v>
      </c>
      <c r="J156" s="68">
        <f t="shared" si="48"/>
        <v>0</v>
      </c>
      <c r="K156" s="68">
        <f t="shared" si="49"/>
        <v>185936.29261027643</v>
      </c>
      <c r="L156" s="68">
        <f t="shared" si="53"/>
        <v>202702.7028</v>
      </c>
      <c r="M156" s="190">
        <f t="shared" si="45"/>
        <v>0</v>
      </c>
      <c r="N156" s="190">
        <v>0</v>
      </c>
      <c r="O156" s="190">
        <v>0</v>
      </c>
      <c r="P156" s="415">
        <f t="shared" si="50"/>
        <v>736704.75</v>
      </c>
      <c r="Q156" s="415"/>
      <c r="R156" s="232">
        <f t="shared" si="51"/>
        <v>759050.75</v>
      </c>
      <c r="S156" s="13">
        <f t="shared" si="41"/>
        <v>1.75</v>
      </c>
      <c r="T156" s="1">
        <f t="shared" si="42"/>
        <v>175</v>
      </c>
      <c r="V156" t="s">
        <v>221</v>
      </c>
    </row>
    <row r="157" spans="1:22" ht="24.9" customHeight="1" x14ac:dyDescent="0.3">
      <c r="A157" s="16"/>
      <c r="B157" s="16">
        <v>176</v>
      </c>
      <c r="C157" s="16" t="s">
        <v>84</v>
      </c>
      <c r="D157" s="74">
        <v>4.5999999999999999E-3</v>
      </c>
      <c r="E157" s="195">
        <v>759749.76</v>
      </c>
      <c r="F157" s="198">
        <f>E157</f>
        <v>759749.76</v>
      </c>
      <c r="G157" s="58">
        <f t="shared" si="20"/>
        <v>0</v>
      </c>
      <c r="H157" s="75">
        <f t="shared" si="46"/>
        <v>0</v>
      </c>
      <c r="I157" s="68">
        <f t="shared" si="36"/>
        <v>371109.43403200002</v>
      </c>
      <c r="J157" s="68">
        <f t="shared" si="48"/>
        <v>0</v>
      </c>
      <c r="K157" s="68">
        <f t="shared" si="49"/>
        <v>185936.29261027643</v>
      </c>
      <c r="L157" s="68">
        <f t="shared" si="53"/>
        <v>202702.7028</v>
      </c>
      <c r="M157" s="190">
        <f t="shared" si="45"/>
        <v>0</v>
      </c>
      <c r="N157" s="190">
        <v>0</v>
      </c>
      <c r="O157" s="190">
        <v>0</v>
      </c>
      <c r="P157" s="415">
        <f t="shared" si="50"/>
        <v>759749.76</v>
      </c>
      <c r="Q157" s="415"/>
      <c r="R157" s="232">
        <f t="shared" si="51"/>
        <v>782794.76</v>
      </c>
      <c r="S157" s="13">
        <f t="shared" si="41"/>
        <v>1.76</v>
      </c>
      <c r="T157" s="1">
        <f t="shared" si="42"/>
        <v>176</v>
      </c>
    </row>
    <row r="158" spans="1:22" ht="24.9" customHeight="1" x14ac:dyDescent="0.3">
      <c r="A158" s="16"/>
      <c r="B158" s="16">
        <v>204</v>
      </c>
      <c r="C158" s="16" t="s">
        <v>42</v>
      </c>
      <c r="D158" s="74">
        <v>4.8999999999999998E-3</v>
      </c>
      <c r="E158" s="195">
        <v>807732.04</v>
      </c>
      <c r="F158" s="198">
        <f>E158</f>
        <v>807732.04</v>
      </c>
      <c r="G158" s="58">
        <f t="shared" si="20"/>
        <v>0</v>
      </c>
      <c r="H158" s="75">
        <f t="shared" si="46"/>
        <v>0</v>
      </c>
      <c r="I158" s="68">
        <f t="shared" si="36"/>
        <v>395312.22320800001</v>
      </c>
      <c r="J158" s="68">
        <f t="shared" si="48"/>
        <v>0</v>
      </c>
      <c r="K158" s="68">
        <f t="shared" si="49"/>
        <v>185936.29261027643</v>
      </c>
      <c r="L158" s="68">
        <f t="shared" si="53"/>
        <v>202702.7028</v>
      </c>
      <c r="M158" s="190">
        <f t="shared" si="45"/>
        <v>0</v>
      </c>
      <c r="N158" s="190">
        <v>0</v>
      </c>
      <c r="O158" s="190">
        <v>0</v>
      </c>
      <c r="P158" s="415">
        <f t="shared" si="50"/>
        <v>783953.04</v>
      </c>
      <c r="Q158" s="415"/>
      <c r="R158" s="232">
        <f t="shared" si="51"/>
        <v>807732.04</v>
      </c>
      <c r="S158" s="13">
        <f t="shared" si="41"/>
        <v>2.04</v>
      </c>
      <c r="T158" s="1">
        <f t="shared" si="42"/>
        <v>204</v>
      </c>
      <c r="U158" t="s">
        <v>284</v>
      </c>
    </row>
    <row r="159" spans="1:22" ht="24.9" customHeight="1" x14ac:dyDescent="0.3">
      <c r="A159" s="17"/>
      <c r="B159" s="16"/>
      <c r="C159" s="16"/>
      <c r="D159" s="19"/>
      <c r="E159" s="20"/>
      <c r="F159" s="198"/>
      <c r="G159" s="21"/>
      <c r="H159" s="21"/>
      <c r="I159" s="22"/>
      <c r="J159" s="22"/>
      <c r="K159" s="22"/>
      <c r="L159" s="22"/>
      <c r="M159" s="22"/>
      <c r="N159" s="22"/>
      <c r="O159" s="68"/>
      <c r="P159" s="440"/>
      <c r="Q159" s="440"/>
      <c r="R159" s="167"/>
      <c r="S159" s="13"/>
      <c r="T159" s="1"/>
    </row>
    <row r="160" spans="1:22" ht="24.9" customHeight="1" thickBot="1" x14ac:dyDescent="0.35">
      <c r="A160" s="17"/>
      <c r="B160" s="172"/>
      <c r="C160" s="172"/>
      <c r="D160" s="173"/>
      <c r="E160" s="174"/>
      <c r="F160" s="175"/>
      <c r="G160" s="176"/>
      <c r="H160" s="176"/>
      <c r="I160" s="177"/>
      <c r="J160" s="178"/>
      <c r="K160" s="178"/>
      <c r="L160" s="178"/>
      <c r="M160" s="178"/>
      <c r="N160" s="178"/>
      <c r="O160" s="229"/>
      <c r="P160" s="441"/>
      <c r="Q160" s="441"/>
      <c r="R160" s="170"/>
      <c r="S160" s="13"/>
      <c r="T160" s="179"/>
    </row>
    <row r="161" spans="1:20" ht="24.9" customHeight="1" thickBot="1" x14ac:dyDescent="0.35">
      <c r="A161" s="23"/>
      <c r="B161" s="180"/>
      <c r="C161" s="180"/>
      <c r="D161" s="181">
        <f t="shared" ref="D161:O161" si="54">SUM(D6:D160)</f>
        <v>1.0449300000000001</v>
      </c>
      <c r="E161" s="182">
        <f t="shared" si="54"/>
        <v>140757907.07399997</v>
      </c>
      <c r="F161" s="183">
        <f>SUM(F6:F160)</f>
        <v>120700363.92400001</v>
      </c>
      <c r="G161" s="184">
        <f t="shared" si="54"/>
        <v>20057543.150000002</v>
      </c>
      <c r="H161" s="185"/>
      <c r="I161" s="185">
        <f t="shared" si="54"/>
        <v>56782163.685813546</v>
      </c>
      <c r="J161" s="185">
        <f t="shared" si="54"/>
        <v>0</v>
      </c>
      <c r="K161" s="186">
        <f t="shared" si="54"/>
        <v>27704507.598931193</v>
      </c>
      <c r="L161" s="187">
        <f t="shared" si="54"/>
        <v>30202702.717199888</v>
      </c>
      <c r="M161" s="186">
        <f t="shared" si="54"/>
        <v>511972</v>
      </c>
      <c r="N161" s="236">
        <f t="shared" si="54"/>
        <v>2559848.3351815999</v>
      </c>
      <c r="O161" s="186">
        <f t="shared" si="54"/>
        <v>549617.08124800003</v>
      </c>
      <c r="P161" s="438">
        <f>SUM(P6:P160)</f>
        <v>139057324.06999993</v>
      </c>
      <c r="Q161" s="439"/>
      <c r="R161" s="171">
        <f>SUM(R6:R160)</f>
        <v>143275052.06999999</v>
      </c>
      <c r="S161" s="438"/>
      <c r="T161" s="439"/>
    </row>
    <row r="162" spans="1:20" ht="15" customHeight="1" x14ac:dyDescent="0.3">
      <c r="B162" s="436" t="s">
        <v>316</v>
      </c>
      <c r="C162" s="436"/>
      <c r="D162" s="436"/>
      <c r="E162" s="436"/>
      <c r="F162" s="436"/>
      <c r="G162" s="436"/>
      <c r="H162" s="436"/>
      <c r="I162" s="436"/>
      <c r="J162" s="436"/>
      <c r="K162" s="436"/>
      <c r="L162" s="436"/>
      <c r="M162" s="436"/>
      <c r="N162" s="436"/>
      <c r="O162" s="436"/>
      <c r="P162" s="436"/>
      <c r="Q162" s="436"/>
      <c r="R162" s="436"/>
      <c r="S162" s="436"/>
      <c r="T162" s="436"/>
    </row>
    <row r="163" spans="1:20" ht="49.65" customHeight="1" x14ac:dyDescent="0.3">
      <c r="B163" s="437"/>
      <c r="C163" s="437"/>
      <c r="D163" s="437"/>
      <c r="E163" s="437"/>
      <c r="F163" s="437"/>
      <c r="G163" s="437"/>
      <c r="H163" s="437"/>
      <c r="I163" s="437"/>
      <c r="J163" s="437"/>
      <c r="K163" s="437"/>
      <c r="L163" s="437"/>
      <c r="M163" s="437"/>
      <c r="N163" s="437"/>
      <c r="O163" s="437"/>
      <c r="P163" s="437"/>
      <c r="Q163" s="437"/>
      <c r="R163" s="437"/>
      <c r="S163" s="437"/>
      <c r="T163" s="437"/>
    </row>
    <row r="164" spans="1:20" ht="13.65" hidden="1" customHeight="1" x14ac:dyDescent="0.3">
      <c r="B164" s="437" t="s">
        <v>259</v>
      </c>
      <c r="C164" s="437"/>
      <c r="D164" s="437"/>
      <c r="E164" s="437"/>
      <c r="F164" s="437"/>
      <c r="G164" s="437"/>
      <c r="H164" s="437"/>
      <c r="I164" s="437"/>
      <c r="J164" s="437"/>
      <c r="K164" s="437"/>
      <c r="L164" s="437"/>
      <c r="M164" s="437"/>
      <c r="N164" s="437"/>
      <c r="O164" s="437"/>
      <c r="P164" s="437"/>
      <c r="Q164" s="437"/>
      <c r="R164" s="437"/>
      <c r="S164" s="437"/>
      <c r="T164" s="437"/>
    </row>
    <row r="165" spans="1:20" ht="15" hidden="1" customHeight="1" x14ac:dyDescent="0.3">
      <c r="B165" s="437"/>
      <c r="C165" s="437"/>
      <c r="D165" s="437"/>
      <c r="E165" s="437"/>
      <c r="F165" s="437"/>
      <c r="G165" s="437"/>
      <c r="H165" s="437"/>
      <c r="I165" s="437"/>
      <c r="J165" s="437"/>
      <c r="K165" s="437"/>
      <c r="L165" s="437"/>
      <c r="M165" s="437"/>
      <c r="N165" s="437"/>
      <c r="O165" s="437"/>
      <c r="P165" s="437"/>
      <c r="Q165" s="437"/>
      <c r="R165" s="437"/>
      <c r="S165" s="437"/>
      <c r="T165" s="437"/>
    </row>
    <row r="166" spans="1:20" ht="3.6" customHeight="1" x14ac:dyDescent="0.3">
      <c r="B166" s="437"/>
      <c r="C166" s="437"/>
      <c r="D166" s="437"/>
      <c r="E166" s="437"/>
      <c r="F166" s="437"/>
      <c r="G166" s="437"/>
      <c r="H166" s="437"/>
      <c r="I166" s="437"/>
      <c r="J166" s="437"/>
      <c r="K166" s="437"/>
      <c r="L166" s="437"/>
      <c r="M166" s="437"/>
      <c r="N166" s="437"/>
      <c r="O166" s="437"/>
      <c r="P166" s="437"/>
      <c r="Q166" s="437"/>
      <c r="R166" s="437"/>
      <c r="S166" s="437"/>
      <c r="T166" s="437"/>
    </row>
    <row r="167" spans="1:20" ht="128.25" customHeight="1" x14ac:dyDescent="0.3">
      <c r="B167" s="437"/>
      <c r="C167" s="437"/>
      <c r="D167" s="437"/>
      <c r="E167" s="437"/>
      <c r="F167" s="437"/>
      <c r="G167" s="437"/>
      <c r="H167" s="437"/>
      <c r="I167" s="437"/>
      <c r="J167" s="437"/>
      <c r="K167" s="437"/>
      <c r="L167" s="437"/>
      <c r="M167" s="437"/>
      <c r="N167" s="437"/>
      <c r="O167" s="437"/>
      <c r="P167" s="437"/>
      <c r="Q167" s="437"/>
      <c r="R167" s="437"/>
      <c r="S167" s="437"/>
      <c r="T167" s="437"/>
    </row>
  </sheetData>
  <mergeCells count="186">
    <mergeCell ref="P146:Q146"/>
    <mergeCell ref="P147:Q147"/>
    <mergeCell ref="P148:Q148"/>
    <mergeCell ref="P149:Q149"/>
    <mergeCell ref="P151:Q151"/>
    <mergeCell ref="P141:Q141"/>
    <mergeCell ref="P142:Q142"/>
    <mergeCell ref="P143:Q143"/>
    <mergeCell ref="P144:Q144"/>
    <mergeCell ref="P145:Q145"/>
    <mergeCell ref="P150:Q150"/>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36:Q136"/>
    <mergeCell ref="P137:Q137"/>
    <mergeCell ref="P138:Q138"/>
    <mergeCell ref="P139:Q139"/>
    <mergeCell ref="P140:Q140"/>
    <mergeCell ref="P131:Q131"/>
    <mergeCell ref="P132:Q132"/>
    <mergeCell ref="P133:Q133"/>
    <mergeCell ref="P134:Q134"/>
    <mergeCell ref="P135:Q135"/>
    <mergeCell ref="P126:Q126"/>
    <mergeCell ref="P127:Q127"/>
    <mergeCell ref="P128:Q128"/>
    <mergeCell ref="P129:Q129"/>
    <mergeCell ref="P130:Q130"/>
    <mergeCell ref="P121:Q121"/>
    <mergeCell ref="P122:Q122"/>
    <mergeCell ref="P123:Q123"/>
    <mergeCell ref="P124:Q124"/>
    <mergeCell ref="P125:Q125"/>
    <mergeCell ref="P116:Q116"/>
    <mergeCell ref="P117:Q117"/>
    <mergeCell ref="P118:Q118"/>
    <mergeCell ref="P119:Q119"/>
    <mergeCell ref="P120:Q120"/>
    <mergeCell ref="P111:Q111"/>
    <mergeCell ref="P112:Q112"/>
    <mergeCell ref="P113:Q113"/>
    <mergeCell ref="P114:Q114"/>
    <mergeCell ref="P115:Q115"/>
    <mergeCell ref="P106:Q106"/>
    <mergeCell ref="P107:Q107"/>
    <mergeCell ref="P108:Q108"/>
    <mergeCell ref="P109:Q109"/>
    <mergeCell ref="P110:Q110"/>
    <mergeCell ref="P101:Q101"/>
    <mergeCell ref="P102:Q102"/>
    <mergeCell ref="P103:Q103"/>
    <mergeCell ref="P104:Q104"/>
    <mergeCell ref="P105:Q105"/>
    <mergeCell ref="P96:Q96"/>
    <mergeCell ref="P97:Q97"/>
    <mergeCell ref="P98:Q98"/>
    <mergeCell ref="P99:Q99"/>
    <mergeCell ref="P100:Q100"/>
    <mergeCell ref="P91:Q91"/>
    <mergeCell ref="P92:Q92"/>
    <mergeCell ref="P93:Q93"/>
    <mergeCell ref="P94:Q94"/>
    <mergeCell ref="P95:Q95"/>
    <mergeCell ref="P86:Q86"/>
    <mergeCell ref="P87:Q87"/>
    <mergeCell ref="P88:Q88"/>
    <mergeCell ref="P89:Q89"/>
    <mergeCell ref="P90:Q90"/>
    <mergeCell ref="P81:Q81"/>
    <mergeCell ref="P82:Q82"/>
    <mergeCell ref="P83:Q83"/>
    <mergeCell ref="P84:Q84"/>
    <mergeCell ref="P85:Q85"/>
    <mergeCell ref="P76:Q76"/>
    <mergeCell ref="P77:Q77"/>
    <mergeCell ref="P78:Q78"/>
    <mergeCell ref="P79:Q79"/>
    <mergeCell ref="P80:Q80"/>
    <mergeCell ref="P71:Q71"/>
    <mergeCell ref="P72:Q72"/>
    <mergeCell ref="P73:Q73"/>
    <mergeCell ref="P74:Q74"/>
    <mergeCell ref="P75:Q75"/>
    <mergeCell ref="P66:Q66"/>
    <mergeCell ref="P67:Q67"/>
    <mergeCell ref="P68:Q68"/>
    <mergeCell ref="P69:Q69"/>
    <mergeCell ref="P70:Q70"/>
    <mergeCell ref="P61:Q61"/>
    <mergeCell ref="P62:Q62"/>
    <mergeCell ref="P63:Q63"/>
    <mergeCell ref="P64:Q64"/>
    <mergeCell ref="P65:Q65"/>
    <mergeCell ref="P56:Q56"/>
    <mergeCell ref="P57:Q57"/>
    <mergeCell ref="P58:Q58"/>
    <mergeCell ref="P59:Q59"/>
    <mergeCell ref="P60:Q60"/>
    <mergeCell ref="P51:Q51"/>
    <mergeCell ref="P52:Q52"/>
    <mergeCell ref="P53:Q53"/>
    <mergeCell ref="P54:Q54"/>
    <mergeCell ref="P55:Q5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B1:L228"/>
  <sheetViews>
    <sheetView topLeftCell="A209" zoomScale="110" zoomScaleNormal="110" workbookViewId="0">
      <selection activeCell="H229" sqref="H229"/>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1" spans="3:12" ht="15" thickBot="1" x14ac:dyDescent="0.35"/>
    <row r="2" spans="3:12" x14ac:dyDescent="0.3">
      <c r="C2" s="249" t="s">
        <v>158</v>
      </c>
      <c r="D2" s="250"/>
      <c r="E2" s="241"/>
      <c r="F2" s="60"/>
      <c r="G2" s="60" t="s">
        <v>163</v>
      </c>
      <c r="H2" s="242"/>
      <c r="I2" s="243"/>
      <c r="J2" s="244"/>
    </row>
    <row r="3" spans="3:12" x14ac:dyDescent="0.3">
      <c r="C3" s="251"/>
      <c r="D3" s="252"/>
      <c r="E3" s="246"/>
      <c r="F3" s="35"/>
      <c r="G3" s="35" t="s">
        <v>331</v>
      </c>
      <c r="H3" s="247"/>
      <c r="I3" s="245">
        <v>1</v>
      </c>
      <c r="J3" s="62"/>
      <c r="K3" s="35"/>
      <c r="L3" s="35"/>
    </row>
    <row r="4" spans="3:12" x14ac:dyDescent="0.3">
      <c r="C4" s="251" t="s">
        <v>159</v>
      </c>
      <c r="D4" s="252" t="s">
        <v>160</v>
      </c>
      <c r="E4" s="35" t="s">
        <v>161</v>
      </c>
      <c r="F4" s="35"/>
      <c r="G4" s="35" t="s">
        <v>164</v>
      </c>
      <c r="H4" s="442">
        <v>71</v>
      </c>
      <c r="I4" s="442"/>
      <c r="J4" s="443"/>
      <c r="K4" s="35"/>
      <c r="L4" s="35"/>
    </row>
    <row r="5" spans="3:12" ht="15" thickBot="1" x14ac:dyDescent="0.35">
      <c r="C5" s="251" t="s">
        <v>162</v>
      </c>
      <c r="D5" s="252"/>
      <c r="E5" s="35"/>
      <c r="F5" s="35"/>
      <c r="G5" s="35"/>
      <c r="H5" s="35"/>
      <c r="I5" s="35"/>
      <c r="J5" s="63"/>
      <c r="K5" s="35"/>
      <c r="L5" s="35"/>
    </row>
    <row r="6" spans="3:12" x14ac:dyDescent="0.3">
      <c r="C6" s="444" t="s">
        <v>370</v>
      </c>
      <c r="D6" s="445"/>
      <c r="E6" s="445"/>
      <c r="F6" s="445"/>
      <c r="G6" s="445"/>
      <c r="H6" s="445"/>
      <c r="I6" s="445"/>
      <c r="J6" s="446"/>
      <c r="K6" s="35"/>
      <c r="L6" s="35"/>
    </row>
    <row r="7" spans="3:12" x14ac:dyDescent="0.3">
      <c r="C7" s="447"/>
      <c r="D7" s="448"/>
      <c r="E7" s="448"/>
      <c r="F7" s="448"/>
      <c r="G7" s="448"/>
      <c r="H7" s="448"/>
      <c r="I7" s="448"/>
      <c r="J7" s="449"/>
      <c r="K7" s="35"/>
      <c r="L7" s="35"/>
    </row>
    <row r="8" spans="3:12" ht="15" thickBot="1" x14ac:dyDescent="0.35">
      <c r="C8" s="450"/>
      <c r="D8" s="451"/>
      <c r="E8" s="451"/>
      <c r="F8" s="451"/>
      <c r="G8" s="451"/>
      <c r="H8" s="451"/>
      <c r="I8" s="451"/>
      <c r="J8" s="452"/>
    </row>
    <row r="10" spans="3:12" ht="15" thickBot="1" x14ac:dyDescent="0.35"/>
    <row r="11" spans="3:12" x14ac:dyDescent="0.3">
      <c r="C11" s="341" t="s">
        <v>158</v>
      </c>
      <c r="D11" s="342"/>
      <c r="E11" s="241"/>
      <c r="F11" s="60"/>
      <c r="G11" s="60" t="s">
        <v>163</v>
      </c>
      <c r="H11" s="242"/>
      <c r="I11" s="243"/>
      <c r="J11" s="244"/>
    </row>
    <row r="12" spans="3:12" x14ac:dyDescent="0.3">
      <c r="C12" s="343"/>
      <c r="D12" s="344"/>
      <c r="E12" s="246"/>
      <c r="F12" s="35"/>
      <c r="G12" s="35" t="s">
        <v>331</v>
      </c>
      <c r="H12" s="247"/>
      <c r="I12" s="245">
        <f>I3+1</f>
        <v>2</v>
      </c>
      <c r="J12" s="62"/>
    </row>
    <row r="13" spans="3:12" x14ac:dyDescent="0.3">
      <c r="C13" s="343" t="s">
        <v>159</v>
      </c>
      <c r="D13" s="344" t="s">
        <v>160</v>
      </c>
      <c r="E13" s="35" t="s">
        <v>161</v>
      </c>
      <c r="F13" s="35"/>
      <c r="G13" s="35" t="s">
        <v>164</v>
      </c>
      <c r="H13" s="442" t="s">
        <v>399</v>
      </c>
      <c r="I13" s="442"/>
      <c r="J13" s="443"/>
    </row>
    <row r="14" spans="3:12" ht="15" thickBot="1" x14ac:dyDescent="0.35">
      <c r="C14" s="343" t="s">
        <v>162</v>
      </c>
      <c r="D14" s="344"/>
      <c r="E14" s="35"/>
      <c r="F14" s="35"/>
      <c r="G14" s="35"/>
      <c r="H14" s="35"/>
      <c r="I14" s="35"/>
      <c r="J14" s="63"/>
    </row>
    <row r="15" spans="3:12" x14ac:dyDescent="0.3">
      <c r="C15" s="444" t="s">
        <v>400</v>
      </c>
      <c r="D15" s="445"/>
      <c r="E15" s="445"/>
      <c r="F15" s="445"/>
      <c r="G15" s="445"/>
      <c r="H15" s="445"/>
      <c r="I15" s="445"/>
      <c r="J15" s="446"/>
    </row>
    <row r="16" spans="3:12" x14ac:dyDescent="0.3">
      <c r="C16" s="447"/>
      <c r="D16" s="448"/>
      <c r="E16" s="448"/>
      <c r="F16" s="448"/>
      <c r="G16" s="448"/>
      <c r="H16" s="448"/>
      <c r="I16" s="448"/>
      <c r="J16" s="449"/>
    </row>
    <row r="17" spans="3:10" ht="15" thickBot="1" x14ac:dyDescent="0.35">
      <c r="C17" s="450"/>
      <c r="D17" s="451"/>
      <c r="E17" s="451"/>
      <c r="F17" s="451"/>
      <c r="G17" s="451"/>
      <c r="H17" s="451"/>
      <c r="I17" s="451"/>
      <c r="J17" s="452"/>
    </row>
    <row r="18" spans="3:10" ht="15" thickBot="1" x14ac:dyDescent="0.35"/>
    <row r="19" spans="3:10" x14ac:dyDescent="0.3">
      <c r="C19" s="285" t="s">
        <v>158</v>
      </c>
      <c r="D19" s="286"/>
      <c r="E19" s="241"/>
      <c r="F19" s="60"/>
      <c r="G19" s="60" t="s">
        <v>163</v>
      </c>
      <c r="H19" s="242"/>
      <c r="I19" s="243"/>
      <c r="J19" s="244"/>
    </row>
    <row r="20" spans="3:10" x14ac:dyDescent="0.3">
      <c r="C20" s="287"/>
      <c r="D20" s="288"/>
      <c r="E20" s="246"/>
      <c r="F20" s="35"/>
      <c r="G20" s="35" t="s">
        <v>331</v>
      </c>
      <c r="H20" s="247"/>
      <c r="I20" s="245">
        <f>I3+1</f>
        <v>2</v>
      </c>
      <c r="J20" s="62"/>
    </row>
    <row r="21" spans="3:10" x14ac:dyDescent="0.3">
      <c r="C21" s="287" t="s">
        <v>159</v>
      </c>
      <c r="D21" s="288" t="s">
        <v>160</v>
      </c>
      <c r="E21" s="35" t="s">
        <v>161</v>
      </c>
      <c r="F21" s="35"/>
      <c r="G21" s="35" t="s">
        <v>164</v>
      </c>
      <c r="H21" s="442">
        <v>105</v>
      </c>
      <c r="I21" s="442"/>
      <c r="J21" s="443"/>
    </row>
    <row r="22" spans="3:10" ht="15" thickBot="1" x14ac:dyDescent="0.35">
      <c r="C22" s="287" t="s">
        <v>162</v>
      </c>
      <c r="D22" s="288"/>
      <c r="E22" s="35"/>
      <c r="F22" s="35"/>
      <c r="G22" s="35"/>
      <c r="H22" s="35"/>
      <c r="I22" s="35"/>
      <c r="J22" s="63"/>
    </row>
    <row r="23" spans="3:10" x14ac:dyDescent="0.3">
      <c r="C23" s="444" t="s">
        <v>378</v>
      </c>
      <c r="D23" s="445"/>
      <c r="E23" s="445"/>
      <c r="F23" s="445"/>
      <c r="G23" s="445"/>
      <c r="H23" s="445"/>
      <c r="I23" s="445"/>
      <c r="J23" s="446"/>
    </row>
    <row r="24" spans="3:10" x14ac:dyDescent="0.3">
      <c r="C24" s="447"/>
      <c r="D24" s="448"/>
      <c r="E24" s="448"/>
      <c r="F24" s="448"/>
      <c r="G24" s="448"/>
      <c r="H24" s="448"/>
      <c r="I24" s="448"/>
      <c r="J24" s="449"/>
    </row>
    <row r="25" spans="3:10" ht="15" thickBot="1" x14ac:dyDescent="0.35">
      <c r="C25" s="450"/>
      <c r="D25" s="451"/>
      <c r="E25" s="451"/>
      <c r="F25" s="451"/>
      <c r="G25" s="451"/>
      <c r="H25" s="451"/>
      <c r="I25" s="451"/>
      <c r="J25" s="452"/>
    </row>
    <row r="27" spans="3:10" ht="15" thickBot="1" x14ac:dyDescent="0.35"/>
    <row r="28" spans="3:10" x14ac:dyDescent="0.3">
      <c r="C28" s="289" t="s">
        <v>158</v>
      </c>
      <c r="D28" s="290"/>
      <c r="E28" s="241"/>
      <c r="F28" s="60"/>
      <c r="G28" s="60" t="s">
        <v>163</v>
      </c>
      <c r="H28" s="242"/>
      <c r="I28" s="243"/>
      <c r="J28" s="244"/>
    </row>
    <row r="29" spans="3:10" x14ac:dyDescent="0.3">
      <c r="C29" s="291"/>
      <c r="D29" s="292"/>
      <c r="E29" s="246"/>
      <c r="F29" s="35"/>
      <c r="G29" s="35" t="s">
        <v>331</v>
      </c>
      <c r="H29" s="247"/>
      <c r="I29" s="245">
        <f>I20+1</f>
        <v>3</v>
      </c>
      <c r="J29" s="62"/>
    </row>
    <row r="30" spans="3:10" x14ac:dyDescent="0.3">
      <c r="C30" s="291" t="s">
        <v>159</v>
      </c>
      <c r="D30" s="292" t="s">
        <v>160</v>
      </c>
      <c r="E30" s="35" t="s">
        <v>161</v>
      </c>
      <c r="F30" s="35"/>
      <c r="G30" s="35" t="s">
        <v>164</v>
      </c>
      <c r="H30" s="442" t="s">
        <v>379</v>
      </c>
      <c r="I30" s="442"/>
      <c r="J30" s="443"/>
    </row>
    <row r="31" spans="3:10" ht="15" thickBot="1" x14ac:dyDescent="0.35">
      <c r="C31" s="291" t="s">
        <v>162</v>
      </c>
      <c r="D31" s="292"/>
      <c r="E31" s="35"/>
      <c r="F31" s="35"/>
      <c r="G31" s="35"/>
      <c r="H31" s="35"/>
      <c r="I31" s="35"/>
      <c r="J31" s="63"/>
    </row>
    <row r="32" spans="3:10" x14ac:dyDescent="0.3">
      <c r="C32" s="444" t="s">
        <v>406</v>
      </c>
      <c r="D32" s="445"/>
      <c r="E32" s="445"/>
      <c r="F32" s="445"/>
      <c r="G32" s="445"/>
      <c r="H32" s="445"/>
      <c r="I32" s="445"/>
      <c r="J32" s="446"/>
    </row>
    <row r="33" spans="2:10" x14ac:dyDescent="0.3">
      <c r="C33" s="447"/>
      <c r="D33" s="448"/>
      <c r="E33" s="448"/>
      <c r="F33" s="448"/>
      <c r="G33" s="448"/>
      <c r="H33" s="448"/>
      <c r="I33" s="448"/>
      <c r="J33" s="449"/>
    </row>
    <row r="34" spans="2:10" ht="36.6" customHeight="1" thickBot="1" x14ac:dyDescent="0.35">
      <c r="C34" s="450"/>
      <c r="D34" s="451"/>
      <c r="E34" s="451"/>
      <c r="F34" s="451"/>
      <c r="G34" s="451"/>
      <c r="H34" s="451"/>
      <c r="I34" s="451"/>
      <c r="J34" s="452"/>
    </row>
    <row r="36" spans="2:10" ht="15" thickBot="1" x14ac:dyDescent="0.35"/>
    <row r="37" spans="2:10" x14ac:dyDescent="0.3">
      <c r="C37" s="293" t="s">
        <v>158</v>
      </c>
      <c r="D37" s="294"/>
      <c r="E37" s="241"/>
      <c r="F37" s="60"/>
      <c r="G37" s="60" t="s">
        <v>163</v>
      </c>
      <c r="H37" s="242"/>
      <c r="I37" s="243"/>
      <c r="J37" s="244"/>
    </row>
    <row r="38" spans="2:10" x14ac:dyDescent="0.3">
      <c r="C38" s="295"/>
      <c r="D38" s="296"/>
      <c r="E38" s="246"/>
      <c r="F38" s="35"/>
      <c r="G38" s="35" t="s">
        <v>331</v>
      </c>
      <c r="H38" s="247"/>
      <c r="I38" s="245">
        <f>I29+1</f>
        <v>4</v>
      </c>
      <c r="J38" s="62"/>
    </row>
    <row r="39" spans="2:10" x14ac:dyDescent="0.3">
      <c r="C39" s="295" t="s">
        <v>159</v>
      </c>
      <c r="D39" s="296" t="s">
        <v>160</v>
      </c>
      <c r="E39" s="35" t="s">
        <v>161</v>
      </c>
      <c r="F39" s="35"/>
      <c r="G39" s="35" t="s">
        <v>164</v>
      </c>
      <c r="H39" s="442">
        <v>119</v>
      </c>
      <c r="I39" s="442"/>
      <c r="J39" s="443"/>
    </row>
    <row r="40" spans="2:10" ht="15" thickBot="1" x14ac:dyDescent="0.35">
      <c r="C40" s="295" t="s">
        <v>162</v>
      </c>
      <c r="D40" s="296"/>
      <c r="E40" s="35"/>
      <c r="F40" s="35"/>
      <c r="G40" s="35"/>
      <c r="H40" s="35"/>
      <c r="I40" s="35"/>
      <c r="J40" s="63"/>
    </row>
    <row r="41" spans="2:10" x14ac:dyDescent="0.3">
      <c r="C41" s="444" t="s">
        <v>380</v>
      </c>
      <c r="D41" s="445"/>
      <c r="E41" s="445"/>
      <c r="F41" s="445"/>
      <c r="G41" s="445"/>
      <c r="H41" s="445"/>
      <c r="I41" s="445"/>
      <c r="J41" s="446"/>
    </row>
    <row r="42" spans="2:10" x14ac:dyDescent="0.3">
      <c r="C42" s="447"/>
      <c r="D42" s="448"/>
      <c r="E42" s="448"/>
      <c r="F42" s="448"/>
      <c r="G42" s="448"/>
      <c r="H42" s="448"/>
      <c r="I42" s="448"/>
      <c r="J42" s="449"/>
    </row>
    <row r="43" spans="2:10" ht="15" thickBot="1" x14ac:dyDescent="0.35">
      <c r="C43" s="450"/>
      <c r="D43" s="451"/>
      <c r="E43" s="451"/>
      <c r="F43" s="451"/>
      <c r="G43" s="451"/>
      <c r="H43" s="451"/>
      <c r="I43" s="451"/>
      <c r="J43" s="452"/>
    </row>
    <row r="45" spans="2:10" ht="15" thickBot="1" x14ac:dyDescent="0.35">
      <c r="B45" s="297"/>
    </row>
    <row r="46" spans="2:10" x14ac:dyDescent="0.3">
      <c r="C46" s="298" t="s">
        <v>158</v>
      </c>
      <c r="D46" s="299"/>
      <c r="E46" s="241"/>
      <c r="F46" s="60"/>
      <c r="G46" s="60" t="s">
        <v>163</v>
      </c>
      <c r="H46" s="242"/>
      <c r="I46" s="243" t="s">
        <v>381</v>
      </c>
      <c r="J46" s="244"/>
    </row>
    <row r="47" spans="2:10" x14ac:dyDescent="0.3">
      <c r="C47" s="300"/>
      <c r="D47" s="301"/>
      <c r="E47" s="246"/>
      <c r="F47" s="35"/>
      <c r="G47" s="35" t="s">
        <v>331</v>
      </c>
      <c r="H47" s="247"/>
      <c r="I47" s="245">
        <f>I38+1</f>
        <v>5</v>
      </c>
      <c r="J47" s="62"/>
    </row>
    <row r="48" spans="2:10" x14ac:dyDescent="0.3">
      <c r="C48" s="300" t="s">
        <v>159</v>
      </c>
      <c r="D48" s="301" t="s">
        <v>160</v>
      </c>
      <c r="E48" s="35" t="s">
        <v>161</v>
      </c>
      <c r="F48" s="35"/>
      <c r="G48" s="35" t="s">
        <v>164</v>
      </c>
      <c r="H48" s="442">
        <v>23</v>
      </c>
      <c r="I48" s="442"/>
      <c r="J48" s="443"/>
    </row>
    <row r="49" spans="3:10" ht="15" thickBot="1" x14ac:dyDescent="0.35">
      <c r="C49" s="300" t="s">
        <v>162</v>
      </c>
      <c r="D49" s="301"/>
      <c r="E49" s="35"/>
      <c r="F49" s="35"/>
      <c r="G49" s="35"/>
      <c r="H49" s="35"/>
      <c r="I49" s="35"/>
      <c r="J49" s="63"/>
    </row>
    <row r="50" spans="3:10" x14ac:dyDescent="0.3">
      <c r="C50" s="444" t="s">
        <v>382</v>
      </c>
      <c r="D50" s="445"/>
      <c r="E50" s="445"/>
      <c r="F50" s="445"/>
      <c r="G50" s="445"/>
      <c r="H50" s="445"/>
      <c r="I50" s="445"/>
      <c r="J50" s="446"/>
    </row>
    <row r="51" spans="3:10" x14ac:dyDescent="0.3">
      <c r="C51" s="447"/>
      <c r="D51" s="448"/>
      <c r="E51" s="448"/>
      <c r="F51" s="448"/>
      <c r="G51" s="448"/>
      <c r="H51" s="448"/>
      <c r="I51" s="448"/>
      <c r="J51" s="449"/>
    </row>
    <row r="52" spans="3:10" ht="15" thickBot="1" x14ac:dyDescent="0.35">
      <c r="C52" s="450"/>
      <c r="D52" s="451"/>
      <c r="E52" s="451"/>
      <c r="F52" s="451"/>
      <c r="G52" s="451"/>
      <c r="H52" s="451"/>
      <c r="I52" s="451"/>
      <c r="J52" s="452"/>
    </row>
    <row r="54" spans="3:10" ht="15" thickBot="1" x14ac:dyDescent="0.35"/>
    <row r="55" spans="3:10" x14ac:dyDescent="0.3">
      <c r="C55" s="303" t="s">
        <v>158</v>
      </c>
      <c r="D55" s="304"/>
      <c r="E55" s="241"/>
      <c r="F55" s="60"/>
      <c r="G55" s="60" t="s">
        <v>163</v>
      </c>
      <c r="H55" s="242"/>
      <c r="I55" s="245" t="s">
        <v>384</v>
      </c>
      <c r="J55" s="244"/>
    </row>
    <row r="56" spans="3:10" x14ac:dyDescent="0.3">
      <c r="C56" s="305"/>
      <c r="D56" s="306"/>
      <c r="E56" s="246"/>
      <c r="F56" s="35"/>
      <c r="G56" s="35" t="s">
        <v>331</v>
      </c>
      <c r="H56" s="247"/>
      <c r="I56" s="245">
        <f>I47+1</f>
        <v>6</v>
      </c>
      <c r="J56" s="62"/>
    </row>
    <row r="57" spans="3:10" x14ac:dyDescent="0.3">
      <c r="C57" s="305" t="s">
        <v>159</v>
      </c>
      <c r="D57" s="306" t="s">
        <v>160</v>
      </c>
      <c r="E57" s="35" t="s">
        <v>161</v>
      </c>
      <c r="F57" s="35"/>
      <c r="G57" s="35" t="s">
        <v>164</v>
      </c>
      <c r="H57" s="442" t="s">
        <v>383</v>
      </c>
      <c r="I57" s="442"/>
      <c r="J57" s="443"/>
    </row>
    <row r="58" spans="3:10" ht="15" thickBot="1" x14ac:dyDescent="0.35">
      <c r="C58" s="305" t="s">
        <v>162</v>
      </c>
      <c r="D58" s="306"/>
      <c r="E58" s="35"/>
      <c r="F58" s="35"/>
      <c r="G58" s="35"/>
      <c r="H58" s="35"/>
      <c r="I58" s="35"/>
      <c r="J58" s="63"/>
    </row>
    <row r="59" spans="3:10" x14ac:dyDescent="0.3">
      <c r="C59" s="444" t="s">
        <v>385</v>
      </c>
      <c r="D59" s="445"/>
      <c r="E59" s="445"/>
      <c r="F59" s="445"/>
      <c r="G59" s="445"/>
      <c r="H59" s="445"/>
      <c r="I59" s="445"/>
      <c r="J59" s="446"/>
    </row>
    <row r="60" spans="3:10" x14ac:dyDescent="0.3">
      <c r="C60" s="447"/>
      <c r="D60" s="448"/>
      <c r="E60" s="448"/>
      <c r="F60" s="448"/>
      <c r="G60" s="448"/>
      <c r="H60" s="448"/>
      <c r="I60" s="448"/>
      <c r="J60" s="449"/>
    </row>
    <row r="61" spans="3:10" ht="15" thickBot="1" x14ac:dyDescent="0.35">
      <c r="C61" s="450"/>
      <c r="D61" s="451"/>
      <c r="E61" s="451"/>
      <c r="F61" s="451"/>
      <c r="G61" s="451"/>
      <c r="H61" s="451"/>
      <c r="I61" s="451"/>
      <c r="J61" s="452"/>
    </row>
    <row r="63" spans="3:10" ht="15" thickBot="1" x14ac:dyDescent="0.35">
      <c r="C63" s="308"/>
      <c r="D63" s="308"/>
    </row>
    <row r="64" spans="3:10" x14ac:dyDescent="0.3">
      <c r="C64" s="309" t="s">
        <v>158</v>
      </c>
      <c r="D64" s="310"/>
      <c r="E64" s="241"/>
      <c r="F64" s="60"/>
      <c r="G64" s="60" t="s">
        <v>163</v>
      </c>
      <c r="H64" s="242"/>
      <c r="I64" s="243"/>
      <c r="J64" s="244"/>
    </row>
    <row r="65" spans="3:10" x14ac:dyDescent="0.3">
      <c r="C65" s="311"/>
      <c r="D65" s="308"/>
      <c r="E65" s="246"/>
      <c r="F65" s="35"/>
      <c r="G65" s="35" t="s">
        <v>331</v>
      </c>
      <c r="H65" s="247"/>
      <c r="I65" s="245">
        <f>I56+1</f>
        <v>7</v>
      </c>
      <c r="J65" s="62"/>
    </row>
    <row r="66" spans="3:10" x14ac:dyDescent="0.3">
      <c r="C66" s="311" t="s">
        <v>159</v>
      </c>
      <c r="D66" s="308" t="s">
        <v>160</v>
      </c>
      <c r="E66" s="35" t="s">
        <v>161</v>
      </c>
      <c r="F66" s="35"/>
      <c r="G66" s="35" t="s">
        <v>164</v>
      </c>
      <c r="H66" s="442">
        <v>78</v>
      </c>
      <c r="I66" s="442"/>
      <c r="J66" s="443"/>
    </row>
    <row r="67" spans="3:10" ht="15" thickBot="1" x14ac:dyDescent="0.35">
      <c r="C67" s="311" t="s">
        <v>162</v>
      </c>
      <c r="D67" s="308"/>
      <c r="E67" s="35"/>
      <c r="F67" s="35"/>
      <c r="G67" s="35"/>
      <c r="H67" s="35"/>
      <c r="I67" s="35"/>
      <c r="J67" s="63"/>
    </row>
    <row r="68" spans="3:10" x14ac:dyDescent="0.3">
      <c r="C68" s="444" t="s">
        <v>386</v>
      </c>
      <c r="D68" s="445"/>
      <c r="E68" s="445"/>
      <c r="F68" s="445"/>
      <c r="G68" s="445"/>
      <c r="H68" s="445"/>
      <c r="I68" s="445"/>
      <c r="J68" s="446"/>
    </row>
    <row r="69" spans="3:10" x14ac:dyDescent="0.3">
      <c r="C69" s="447"/>
      <c r="D69" s="448"/>
      <c r="E69" s="448"/>
      <c r="F69" s="448"/>
      <c r="G69" s="448"/>
      <c r="H69" s="448"/>
      <c r="I69" s="448"/>
      <c r="J69" s="449"/>
    </row>
    <row r="70" spans="3:10" ht="15" thickBot="1" x14ac:dyDescent="0.35">
      <c r="C70" s="450"/>
      <c r="D70" s="451"/>
      <c r="E70" s="451"/>
      <c r="F70" s="451"/>
      <c r="G70" s="451"/>
      <c r="H70" s="451"/>
      <c r="I70" s="451"/>
      <c r="J70" s="452"/>
    </row>
    <row r="72" spans="3:10" ht="15" thickBot="1" x14ac:dyDescent="0.35"/>
    <row r="73" spans="3:10" x14ac:dyDescent="0.3">
      <c r="C73" s="312" t="s">
        <v>158</v>
      </c>
      <c r="D73" s="313"/>
      <c r="E73" s="241"/>
      <c r="F73" s="60"/>
      <c r="G73" s="60" t="s">
        <v>163</v>
      </c>
      <c r="H73" s="242"/>
      <c r="I73" s="243"/>
      <c r="J73" s="244"/>
    </row>
    <row r="74" spans="3:10" x14ac:dyDescent="0.3">
      <c r="C74" s="314"/>
      <c r="D74" s="315"/>
      <c r="E74" s="246"/>
      <c r="F74" s="35"/>
      <c r="G74" s="35" t="s">
        <v>331</v>
      </c>
      <c r="H74" s="247"/>
      <c r="I74" s="245">
        <f>I65+1</f>
        <v>8</v>
      </c>
      <c r="J74" s="62"/>
    </row>
    <row r="75" spans="3:10" x14ac:dyDescent="0.3">
      <c r="C75" s="314" t="s">
        <v>159</v>
      </c>
      <c r="D75" s="315" t="s">
        <v>160</v>
      </c>
      <c r="E75" s="35" t="s">
        <v>161</v>
      </c>
      <c r="F75" s="35"/>
      <c r="G75" s="35" t="s">
        <v>164</v>
      </c>
      <c r="H75" s="442">
        <v>59</v>
      </c>
      <c r="I75" s="442"/>
      <c r="J75" s="443"/>
    </row>
    <row r="76" spans="3:10" ht="15" thickBot="1" x14ac:dyDescent="0.35">
      <c r="C76" s="314" t="s">
        <v>162</v>
      </c>
      <c r="D76" s="315"/>
      <c r="E76" s="35"/>
      <c r="F76" s="35"/>
      <c r="G76" s="35"/>
      <c r="H76" s="35"/>
      <c r="I76" s="35"/>
      <c r="J76" s="63"/>
    </row>
    <row r="77" spans="3:10" x14ac:dyDescent="0.3">
      <c r="C77" s="444" t="s">
        <v>387</v>
      </c>
      <c r="D77" s="445"/>
      <c r="E77" s="445"/>
      <c r="F77" s="445"/>
      <c r="G77" s="445"/>
      <c r="H77" s="445"/>
      <c r="I77" s="445"/>
      <c r="J77" s="446"/>
    </row>
    <row r="78" spans="3:10" x14ac:dyDescent="0.3">
      <c r="C78" s="447"/>
      <c r="D78" s="448"/>
      <c r="E78" s="448"/>
      <c r="F78" s="448"/>
      <c r="G78" s="448"/>
      <c r="H78" s="448"/>
      <c r="I78" s="448"/>
      <c r="J78" s="449"/>
    </row>
    <row r="79" spans="3:10" ht="15" thickBot="1" x14ac:dyDescent="0.35">
      <c r="C79" s="450"/>
      <c r="D79" s="451"/>
      <c r="E79" s="451"/>
      <c r="F79" s="451"/>
      <c r="G79" s="451"/>
      <c r="H79" s="451"/>
      <c r="I79" s="451"/>
      <c r="J79" s="452"/>
    </row>
    <row r="81" spans="3:10" ht="15" thickBot="1" x14ac:dyDescent="0.35"/>
    <row r="82" spans="3:10" x14ac:dyDescent="0.3">
      <c r="C82" s="316" t="s">
        <v>158</v>
      </c>
      <c r="D82" s="317"/>
      <c r="E82" s="241"/>
      <c r="F82" s="60"/>
      <c r="G82" s="60" t="s">
        <v>163</v>
      </c>
      <c r="H82" s="242"/>
      <c r="I82" s="243"/>
      <c r="J82" s="244"/>
    </row>
    <row r="83" spans="3:10" x14ac:dyDescent="0.3">
      <c r="C83" s="318"/>
      <c r="D83" s="319"/>
      <c r="E83" s="246"/>
      <c r="F83" s="35"/>
      <c r="G83" s="35" t="s">
        <v>331</v>
      </c>
      <c r="H83" s="247"/>
      <c r="I83" s="245">
        <f>I74+1</f>
        <v>9</v>
      </c>
      <c r="J83" s="62"/>
    </row>
    <row r="84" spans="3:10" x14ac:dyDescent="0.3">
      <c r="C84" s="318" t="s">
        <v>159</v>
      </c>
      <c r="D84" s="319" t="s">
        <v>160</v>
      </c>
      <c r="E84" s="35" t="s">
        <v>161</v>
      </c>
      <c r="F84" s="35"/>
      <c r="G84" s="35" t="s">
        <v>164</v>
      </c>
      <c r="H84" s="442">
        <v>102</v>
      </c>
      <c r="I84" s="442"/>
      <c r="J84" s="443"/>
    </row>
    <row r="85" spans="3:10" ht="15" thickBot="1" x14ac:dyDescent="0.35">
      <c r="C85" s="318" t="s">
        <v>162</v>
      </c>
      <c r="D85" s="319"/>
      <c r="E85" s="35"/>
      <c r="F85" s="35"/>
      <c r="G85" s="35"/>
      <c r="H85" s="35"/>
      <c r="I85" s="35"/>
      <c r="J85" s="63"/>
    </row>
    <row r="86" spans="3:10" x14ac:dyDescent="0.3">
      <c r="C86" s="444" t="s">
        <v>388</v>
      </c>
      <c r="D86" s="445"/>
      <c r="E86" s="445"/>
      <c r="F86" s="445"/>
      <c r="G86" s="445"/>
      <c r="H86" s="445"/>
      <c r="I86" s="445"/>
      <c r="J86" s="446"/>
    </row>
    <row r="87" spans="3:10" x14ac:dyDescent="0.3">
      <c r="C87" s="447"/>
      <c r="D87" s="448"/>
      <c r="E87" s="448"/>
      <c r="F87" s="448"/>
      <c r="G87" s="448"/>
      <c r="H87" s="448"/>
      <c r="I87" s="448"/>
      <c r="J87" s="449"/>
    </row>
    <row r="88" spans="3:10" ht="15" thickBot="1" x14ac:dyDescent="0.35">
      <c r="C88" s="450"/>
      <c r="D88" s="451"/>
      <c r="E88" s="451"/>
      <c r="F88" s="451"/>
      <c r="G88" s="451"/>
      <c r="H88" s="451"/>
      <c r="I88" s="451"/>
      <c r="J88" s="452"/>
    </row>
    <row r="90" spans="3:10" ht="15" thickBot="1" x14ac:dyDescent="0.35"/>
    <row r="91" spans="3:10" x14ac:dyDescent="0.3">
      <c r="C91" s="289" t="s">
        <v>158</v>
      </c>
      <c r="D91" s="290"/>
      <c r="E91" s="241"/>
      <c r="F91" s="60"/>
      <c r="G91" s="60" t="s">
        <v>163</v>
      </c>
      <c r="H91" s="242"/>
      <c r="I91" s="243"/>
      <c r="J91" s="244"/>
    </row>
    <row r="92" spans="3:10" x14ac:dyDescent="0.3">
      <c r="C92" s="291"/>
      <c r="D92" s="292"/>
      <c r="E92" s="246"/>
      <c r="F92" s="35"/>
      <c r="G92" s="35" t="s">
        <v>331</v>
      </c>
      <c r="H92" s="247"/>
      <c r="I92" s="245">
        <f>I83+1</f>
        <v>10</v>
      </c>
      <c r="J92" s="62"/>
    </row>
    <row r="93" spans="3:10" x14ac:dyDescent="0.3">
      <c r="C93" s="291" t="s">
        <v>159</v>
      </c>
      <c r="D93" s="292" t="s">
        <v>160</v>
      </c>
      <c r="E93" s="35" t="s">
        <v>161</v>
      </c>
      <c r="F93" s="35"/>
      <c r="G93" s="35" t="s">
        <v>164</v>
      </c>
      <c r="H93" s="442">
        <v>60</v>
      </c>
      <c r="I93" s="442"/>
      <c r="J93" s="443"/>
    </row>
    <row r="94" spans="3:10" ht="15" thickBot="1" x14ac:dyDescent="0.35">
      <c r="C94" s="291" t="s">
        <v>162</v>
      </c>
      <c r="D94" s="292"/>
      <c r="E94" s="35"/>
      <c r="F94" s="35"/>
      <c r="G94" s="35"/>
      <c r="H94" s="35"/>
      <c r="I94" s="35"/>
      <c r="J94" s="63"/>
    </row>
    <row r="95" spans="3:10" x14ac:dyDescent="0.3">
      <c r="C95" s="444" t="s">
        <v>389</v>
      </c>
      <c r="D95" s="445"/>
      <c r="E95" s="445"/>
      <c r="F95" s="445"/>
      <c r="G95" s="445"/>
      <c r="H95" s="445"/>
      <c r="I95" s="445"/>
      <c r="J95" s="446"/>
    </row>
    <row r="96" spans="3:10" x14ac:dyDescent="0.3">
      <c r="C96" s="447"/>
      <c r="D96" s="448"/>
      <c r="E96" s="448"/>
      <c r="F96" s="448"/>
      <c r="G96" s="448"/>
      <c r="H96" s="448"/>
      <c r="I96" s="448"/>
      <c r="J96" s="449"/>
    </row>
    <row r="97" spans="3:10" ht="15" thickBot="1" x14ac:dyDescent="0.35">
      <c r="C97" s="450"/>
      <c r="D97" s="451"/>
      <c r="E97" s="451"/>
      <c r="F97" s="451"/>
      <c r="G97" s="451"/>
      <c r="H97" s="451"/>
      <c r="I97" s="451"/>
      <c r="J97" s="452"/>
    </row>
    <row r="99" spans="3:10" ht="15" thickBot="1" x14ac:dyDescent="0.35">
      <c r="C99" s="320"/>
      <c r="D99" s="320"/>
    </row>
    <row r="100" spans="3:10" x14ac:dyDescent="0.3">
      <c r="C100" s="321" t="s">
        <v>158</v>
      </c>
      <c r="D100" s="322"/>
      <c r="E100" s="241"/>
      <c r="F100" s="60"/>
      <c r="G100" s="60" t="s">
        <v>163</v>
      </c>
      <c r="H100" s="242"/>
      <c r="I100" s="243"/>
      <c r="J100" s="244"/>
    </row>
    <row r="101" spans="3:10" x14ac:dyDescent="0.3">
      <c r="C101" s="323"/>
      <c r="D101" s="320"/>
      <c r="E101" s="246"/>
      <c r="F101" s="35"/>
      <c r="G101" s="35" t="s">
        <v>331</v>
      </c>
      <c r="H101" s="247"/>
      <c r="I101" s="245">
        <f>I92+1</f>
        <v>11</v>
      </c>
      <c r="J101" s="62"/>
    </row>
    <row r="102" spans="3:10" x14ac:dyDescent="0.3">
      <c r="C102" s="323" t="s">
        <v>159</v>
      </c>
      <c r="D102" s="320" t="s">
        <v>160</v>
      </c>
      <c r="E102" s="35" t="s">
        <v>161</v>
      </c>
      <c r="F102" s="35"/>
      <c r="G102" s="35" t="s">
        <v>164</v>
      </c>
      <c r="H102" s="442">
        <v>112</v>
      </c>
      <c r="I102" s="442"/>
      <c r="J102" s="443"/>
    </row>
    <row r="103" spans="3:10" ht="15" thickBot="1" x14ac:dyDescent="0.35">
      <c r="C103" s="323" t="s">
        <v>162</v>
      </c>
      <c r="D103" s="320"/>
      <c r="E103" s="35"/>
      <c r="F103" s="35"/>
      <c r="G103" s="35"/>
      <c r="H103" s="35"/>
      <c r="I103" s="35"/>
      <c r="J103" s="63"/>
    </row>
    <row r="104" spans="3:10" x14ac:dyDescent="0.3">
      <c r="C104" s="444" t="s">
        <v>390</v>
      </c>
      <c r="D104" s="445"/>
      <c r="E104" s="445"/>
      <c r="F104" s="445"/>
      <c r="G104" s="445"/>
      <c r="H104" s="445"/>
      <c r="I104" s="445"/>
      <c r="J104" s="446"/>
    </row>
    <row r="105" spans="3:10" x14ac:dyDescent="0.3">
      <c r="C105" s="447"/>
      <c r="D105" s="448"/>
      <c r="E105" s="448"/>
      <c r="F105" s="448"/>
      <c r="G105" s="448"/>
      <c r="H105" s="448"/>
      <c r="I105" s="448"/>
      <c r="J105" s="449"/>
    </row>
    <row r="106" spans="3:10" ht="15" thickBot="1" x14ac:dyDescent="0.35">
      <c r="C106" s="450"/>
      <c r="D106" s="451"/>
      <c r="E106" s="451"/>
      <c r="F106" s="451"/>
      <c r="G106" s="451"/>
      <c r="H106" s="451"/>
      <c r="I106" s="451"/>
      <c r="J106" s="452"/>
    </row>
    <row r="108" spans="3:10" ht="15" thickBot="1" x14ac:dyDescent="0.35"/>
    <row r="109" spans="3:10" x14ac:dyDescent="0.3">
      <c r="C109" s="325" t="s">
        <v>158</v>
      </c>
      <c r="D109" s="326"/>
      <c r="E109" s="241"/>
      <c r="F109" s="60"/>
      <c r="G109" s="60" t="s">
        <v>163</v>
      </c>
      <c r="H109" s="242"/>
      <c r="I109" s="243"/>
      <c r="J109" s="244"/>
    </row>
    <row r="110" spans="3:10" x14ac:dyDescent="0.3">
      <c r="C110" s="327"/>
      <c r="D110" s="328"/>
      <c r="E110" s="246"/>
      <c r="F110" s="35"/>
      <c r="G110" s="35" t="s">
        <v>331</v>
      </c>
      <c r="H110" s="247"/>
      <c r="I110" s="245">
        <f>I101+1</f>
        <v>12</v>
      </c>
      <c r="J110" s="62"/>
    </row>
    <row r="111" spans="3:10" x14ac:dyDescent="0.3">
      <c r="C111" s="327" t="s">
        <v>159</v>
      </c>
      <c r="D111" s="328" t="s">
        <v>160</v>
      </c>
      <c r="E111" s="35" t="s">
        <v>161</v>
      </c>
      <c r="F111" s="35"/>
      <c r="G111" s="35" t="s">
        <v>164</v>
      </c>
      <c r="H111" s="442">
        <v>36</v>
      </c>
      <c r="I111" s="442"/>
      <c r="J111" s="443"/>
    </row>
    <row r="112" spans="3:10" ht="15" thickBot="1" x14ac:dyDescent="0.35">
      <c r="C112" s="327" t="s">
        <v>162</v>
      </c>
      <c r="D112" s="328"/>
      <c r="E112" s="35"/>
      <c r="F112" s="35"/>
      <c r="G112" s="35"/>
      <c r="H112" s="35"/>
      <c r="I112" s="35"/>
      <c r="J112" s="63"/>
    </row>
    <row r="113" spans="3:10" x14ac:dyDescent="0.3">
      <c r="C113" s="444" t="s">
        <v>391</v>
      </c>
      <c r="D113" s="445"/>
      <c r="E113" s="445"/>
      <c r="F113" s="445"/>
      <c r="G113" s="445"/>
      <c r="H113" s="445"/>
      <c r="I113" s="445"/>
      <c r="J113" s="446"/>
    </row>
    <row r="114" spans="3:10" x14ac:dyDescent="0.3">
      <c r="C114" s="447"/>
      <c r="D114" s="448"/>
      <c r="E114" s="448"/>
      <c r="F114" s="448"/>
      <c r="G114" s="448"/>
      <c r="H114" s="448"/>
      <c r="I114" s="448"/>
      <c r="J114" s="449"/>
    </row>
    <row r="115" spans="3:10" ht="15" thickBot="1" x14ac:dyDescent="0.35">
      <c r="C115" s="450"/>
      <c r="D115" s="451"/>
      <c r="E115" s="451"/>
      <c r="F115" s="451"/>
      <c r="G115" s="451"/>
      <c r="H115" s="451"/>
      <c r="I115" s="451"/>
      <c r="J115" s="452"/>
    </row>
    <row r="116" spans="3:10" x14ac:dyDescent="0.3">
      <c r="C116" s="329"/>
      <c r="D116" s="329"/>
      <c r="E116" s="329"/>
      <c r="F116" s="329"/>
      <c r="G116" s="329"/>
      <c r="H116" s="329"/>
      <c r="I116" s="329"/>
      <c r="J116" s="329"/>
    </row>
    <row r="117" spans="3:10" ht="15" thickBot="1" x14ac:dyDescent="0.35">
      <c r="C117" s="329"/>
      <c r="D117" s="329"/>
      <c r="E117" s="329"/>
      <c r="F117" s="329"/>
      <c r="G117" s="329"/>
      <c r="H117" s="329"/>
      <c r="I117" s="329"/>
      <c r="J117" s="329"/>
    </row>
    <row r="118" spans="3:10" x14ac:dyDescent="0.3">
      <c r="C118" s="336" t="s">
        <v>158</v>
      </c>
      <c r="D118" s="337"/>
      <c r="E118" s="241"/>
      <c r="F118" s="60"/>
      <c r="G118" s="60" t="s">
        <v>163</v>
      </c>
      <c r="H118" s="242"/>
      <c r="I118" s="243"/>
      <c r="J118" s="244"/>
    </row>
    <row r="119" spans="3:10" x14ac:dyDescent="0.3">
      <c r="C119" s="338"/>
      <c r="D119" s="339"/>
      <c r="E119" s="246"/>
      <c r="F119" s="35"/>
      <c r="G119" s="35" t="s">
        <v>331</v>
      </c>
      <c r="H119" s="247"/>
      <c r="I119" s="245">
        <f>I110+1</f>
        <v>13</v>
      </c>
      <c r="J119" s="62"/>
    </row>
    <row r="120" spans="3:10" x14ac:dyDescent="0.3">
      <c r="C120" s="338" t="s">
        <v>159</v>
      </c>
      <c r="D120" s="339" t="s">
        <v>160</v>
      </c>
      <c r="E120" s="35" t="s">
        <v>161</v>
      </c>
      <c r="F120" s="35"/>
      <c r="G120" s="35" t="s">
        <v>164</v>
      </c>
      <c r="H120" s="442">
        <v>96</v>
      </c>
      <c r="I120" s="442"/>
      <c r="J120" s="443"/>
    </row>
    <row r="121" spans="3:10" ht="15" thickBot="1" x14ac:dyDescent="0.35">
      <c r="C121" s="338" t="s">
        <v>162</v>
      </c>
      <c r="D121" s="339"/>
      <c r="E121" s="35"/>
      <c r="F121" s="35"/>
      <c r="G121" s="35"/>
      <c r="H121" s="35"/>
      <c r="I121" s="35"/>
      <c r="J121" s="63"/>
    </row>
    <row r="122" spans="3:10" x14ac:dyDescent="0.3">
      <c r="C122" s="444" t="s">
        <v>395</v>
      </c>
      <c r="D122" s="445"/>
      <c r="E122" s="445"/>
      <c r="F122" s="445"/>
      <c r="G122" s="445"/>
      <c r="H122" s="445"/>
      <c r="I122" s="445"/>
      <c r="J122" s="446"/>
    </row>
    <row r="123" spans="3:10" x14ac:dyDescent="0.3">
      <c r="C123" s="447"/>
      <c r="D123" s="448"/>
      <c r="E123" s="448"/>
      <c r="F123" s="448"/>
      <c r="G123" s="448"/>
      <c r="H123" s="448"/>
      <c r="I123" s="448"/>
      <c r="J123" s="449"/>
    </row>
    <row r="124" spans="3:10" ht="15" thickBot="1" x14ac:dyDescent="0.35">
      <c r="C124" s="450"/>
      <c r="D124" s="451"/>
      <c r="E124" s="451"/>
      <c r="F124" s="451"/>
      <c r="G124" s="451"/>
      <c r="H124" s="451"/>
      <c r="I124" s="451"/>
      <c r="J124" s="452"/>
    </row>
    <row r="125" spans="3:10" x14ac:dyDescent="0.3">
      <c r="C125" s="329"/>
      <c r="D125" s="329"/>
      <c r="E125" s="329"/>
      <c r="F125" s="329"/>
      <c r="G125" s="329"/>
      <c r="H125" s="329"/>
      <c r="I125" s="329"/>
      <c r="J125" s="329"/>
    </row>
    <row r="126" spans="3:10" ht="15" thickBot="1" x14ac:dyDescent="0.35">
      <c r="C126" s="329"/>
      <c r="D126" s="329"/>
      <c r="E126" s="329"/>
      <c r="F126" s="329"/>
      <c r="G126" s="329"/>
      <c r="H126" s="329"/>
      <c r="I126" s="329"/>
      <c r="J126" s="329"/>
    </row>
    <row r="127" spans="3:10" x14ac:dyDescent="0.3">
      <c r="C127" s="303" t="s">
        <v>158</v>
      </c>
      <c r="D127" s="304"/>
      <c r="E127" s="241"/>
      <c r="F127" s="60"/>
      <c r="G127" s="60" t="s">
        <v>163</v>
      </c>
      <c r="H127" s="242"/>
      <c r="I127" s="243"/>
      <c r="J127" s="244"/>
    </row>
    <row r="128" spans="3:10" x14ac:dyDescent="0.3">
      <c r="C128" s="305"/>
      <c r="D128" s="306"/>
      <c r="E128" s="246"/>
      <c r="F128" s="35"/>
      <c r="G128" s="35" t="s">
        <v>331</v>
      </c>
      <c r="H128" s="247"/>
      <c r="I128" s="245">
        <f>I119+1</f>
        <v>14</v>
      </c>
      <c r="J128" s="62"/>
    </row>
    <row r="129" spans="3:10" x14ac:dyDescent="0.3">
      <c r="C129" s="305" t="s">
        <v>159</v>
      </c>
      <c r="D129" s="306" t="s">
        <v>160</v>
      </c>
      <c r="E129" s="35" t="s">
        <v>161</v>
      </c>
      <c r="F129" s="35"/>
      <c r="G129" s="35" t="s">
        <v>164</v>
      </c>
      <c r="H129" s="442">
        <v>97</v>
      </c>
      <c r="I129" s="442"/>
      <c r="J129" s="443"/>
    </row>
    <row r="130" spans="3:10" ht="15" thickBot="1" x14ac:dyDescent="0.35">
      <c r="C130" s="305" t="s">
        <v>162</v>
      </c>
      <c r="D130" s="306"/>
      <c r="E130" s="35"/>
      <c r="F130" s="35"/>
      <c r="G130" s="35"/>
      <c r="H130" s="35"/>
      <c r="I130" s="35"/>
      <c r="J130" s="63"/>
    </row>
    <row r="131" spans="3:10" x14ac:dyDescent="0.3">
      <c r="C131" s="444" t="s">
        <v>396</v>
      </c>
      <c r="D131" s="445"/>
      <c r="E131" s="445"/>
      <c r="F131" s="445"/>
      <c r="G131" s="445"/>
      <c r="H131" s="445"/>
      <c r="I131" s="445"/>
      <c r="J131" s="446"/>
    </row>
    <row r="132" spans="3:10" x14ac:dyDescent="0.3">
      <c r="C132" s="447"/>
      <c r="D132" s="448"/>
      <c r="E132" s="448"/>
      <c r="F132" s="448"/>
      <c r="G132" s="448"/>
      <c r="H132" s="448"/>
      <c r="I132" s="448"/>
      <c r="J132" s="449"/>
    </row>
    <row r="133" spans="3:10" ht="15" thickBot="1" x14ac:dyDescent="0.35">
      <c r="C133" s="450"/>
      <c r="D133" s="451"/>
      <c r="E133" s="451"/>
      <c r="F133" s="451"/>
      <c r="G133" s="451"/>
      <c r="H133" s="451"/>
      <c r="I133" s="451"/>
      <c r="J133" s="452"/>
    </row>
    <row r="134" spans="3:10" x14ac:dyDescent="0.3">
      <c r="C134" s="329"/>
      <c r="D134" s="329"/>
      <c r="E134" s="329"/>
      <c r="F134" s="329"/>
      <c r="G134" s="329"/>
      <c r="H134" s="329"/>
      <c r="I134" s="329"/>
      <c r="J134" s="329"/>
    </row>
    <row r="135" spans="3:10" x14ac:dyDescent="0.3">
      <c r="C135" s="329"/>
      <c r="D135" s="329"/>
      <c r="E135" s="329"/>
      <c r="F135" s="329"/>
      <c r="G135" s="329"/>
      <c r="H135" s="329"/>
      <c r="I135" s="329"/>
      <c r="J135" s="329"/>
    </row>
    <row r="136" spans="3:10" x14ac:dyDescent="0.3">
      <c r="C136" s="329"/>
      <c r="D136" s="329"/>
      <c r="E136" s="329"/>
      <c r="F136" s="329"/>
      <c r="G136" s="329"/>
      <c r="H136" s="329"/>
      <c r="I136" s="329"/>
      <c r="J136" s="329"/>
    </row>
    <row r="137" spans="3:10" x14ac:dyDescent="0.3">
      <c r="C137" s="329"/>
      <c r="D137" s="329"/>
      <c r="E137" s="329"/>
      <c r="F137" s="329"/>
      <c r="G137" s="329"/>
      <c r="H137" s="329"/>
      <c r="I137" s="329"/>
      <c r="J137" s="329"/>
    </row>
    <row r="138" spans="3:10" x14ac:dyDescent="0.3">
      <c r="C138" s="329"/>
      <c r="D138" s="329"/>
      <c r="E138" s="329"/>
      <c r="F138" s="329"/>
      <c r="G138" s="329"/>
      <c r="H138" s="329"/>
      <c r="I138" s="329"/>
      <c r="J138" s="329"/>
    </row>
    <row r="140" spans="3:10" ht="15" thickBot="1" x14ac:dyDescent="0.35"/>
    <row r="141" spans="3:10" x14ac:dyDescent="0.3">
      <c r="C141" s="316" t="s">
        <v>158</v>
      </c>
      <c r="D141" s="317"/>
      <c r="E141" s="241"/>
      <c r="F141" s="60"/>
      <c r="G141" s="60" t="s">
        <v>163</v>
      </c>
      <c r="H141" s="242"/>
      <c r="I141" s="243"/>
      <c r="J141" s="244"/>
    </row>
    <row r="142" spans="3:10" x14ac:dyDescent="0.3">
      <c r="C142" s="318"/>
      <c r="D142" s="319"/>
      <c r="E142" s="246"/>
      <c r="F142" s="35"/>
      <c r="G142" s="35" t="s">
        <v>331</v>
      </c>
      <c r="H142" s="247"/>
      <c r="I142" s="245">
        <f>I128+1</f>
        <v>15</v>
      </c>
      <c r="J142" s="62"/>
    </row>
    <row r="143" spans="3:10" x14ac:dyDescent="0.3">
      <c r="C143" s="318" t="s">
        <v>159</v>
      </c>
      <c r="D143" s="319" t="s">
        <v>160</v>
      </c>
      <c r="E143" s="35" t="s">
        <v>161</v>
      </c>
      <c r="F143" s="35"/>
      <c r="G143" s="35" t="s">
        <v>164</v>
      </c>
      <c r="H143" s="442">
        <v>110</v>
      </c>
      <c r="I143" s="442"/>
      <c r="J143" s="443"/>
    </row>
    <row r="144" spans="3:10" ht="15" thickBot="1" x14ac:dyDescent="0.35">
      <c r="C144" s="318" t="s">
        <v>162</v>
      </c>
      <c r="D144" s="319"/>
      <c r="E144" s="35"/>
      <c r="F144" s="35"/>
      <c r="G144" s="35"/>
      <c r="H144" s="35"/>
      <c r="I144" s="35"/>
      <c r="J144" s="63"/>
    </row>
    <row r="145" spans="3:10" x14ac:dyDescent="0.3">
      <c r="C145" s="444" t="s">
        <v>392</v>
      </c>
      <c r="D145" s="445"/>
      <c r="E145" s="445"/>
      <c r="F145" s="445"/>
      <c r="G145" s="445"/>
      <c r="H145" s="445"/>
      <c r="I145" s="445"/>
      <c r="J145" s="446"/>
    </row>
    <row r="146" spans="3:10" x14ac:dyDescent="0.3">
      <c r="C146" s="447"/>
      <c r="D146" s="448"/>
      <c r="E146" s="448"/>
      <c r="F146" s="448"/>
      <c r="G146" s="448"/>
      <c r="H146" s="448"/>
      <c r="I146" s="448"/>
      <c r="J146" s="449"/>
    </row>
    <row r="147" spans="3:10" ht="15" thickBot="1" x14ac:dyDescent="0.35">
      <c r="C147" s="450"/>
      <c r="D147" s="451"/>
      <c r="E147" s="451"/>
      <c r="F147" s="451"/>
      <c r="G147" s="451"/>
      <c r="H147" s="451"/>
      <c r="I147" s="451"/>
      <c r="J147" s="452"/>
    </row>
    <row r="149" spans="3:10" ht="15" thickBot="1" x14ac:dyDescent="0.35"/>
    <row r="150" spans="3:10" x14ac:dyDescent="0.3">
      <c r="C150" s="331" t="s">
        <v>158</v>
      </c>
      <c r="D150" s="332"/>
      <c r="E150" s="241"/>
      <c r="F150" s="60"/>
      <c r="G150" s="60" t="s">
        <v>163</v>
      </c>
      <c r="H150" s="242" t="s">
        <v>393</v>
      </c>
      <c r="I150" s="243"/>
      <c r="J150" s="244"/>
    </row>
    <row r="151" spans="3:10" x14ac:dyDescent="0.3">
      <c r="C151" s="333"/>
      <c r="D151" s="334"/>
      <c r="E151" s="246"/>
      <c r="F151" s="35"/>
      <c r="G151" s="35" t="s">
        <v>331</v>
      </c>
      <c r="H151" s="247"/>
      <c r="I151" s="245">
        <f>I142+1</f>
        <v>16</v>
      </c>
      <c r="J151" s="62"/>
    </row>
    <row r="152" spans="3:10" x14ac:dyDescent="0.3">
      <c r="C152" s="333" t="s">
        <v>159</v>
      </c>
      <c r="D152" s="334" t="s">
        <v>160</v>
      </c>
      <c r="E152" s="35" t="s">
        <v>161</v>
      </c>
      <c r="F152" s="35"/>
      <c r="G152" s="35" t="s">
        <v>164</v>
      </c>
      <c r="H152" s="442">
        <v>7</v>
      </c>
      <c r="I152" s="442"/>
      <c r="J152" s="443"/>
    </row>
    <row r="153" spans="3:10" ht="15" thickBot="1" x14ac:dyDescent="0.35">
      <c r="C153" s="333" t="s">
        <v>162</v>
      </c>
      <c r="D153" s="334"/>
      <c r="E153" s="35"/>
      <c r="F153" s="35"/>
      <c r="G153" s="35"/>
      <c r="H153" s="35"/>
      <c r="I153" s="35"/>
      <c r="J153" s="63"/>
    </row>
    <row r="154" spans="3:10" x14ac:dyDescent="0.3">
      <c r="C154" s="444" t="s">
        <v>394</v>
      </c>
      <c r="D154" s="445"/>
      <c r="E154" s="445"/>
      <c r="F154" s="445"/>
      <c r="G154" s="445"/>
      <c r="H154" s="445"/>
      <c r="I154" s="445"/>
      <c r="J154" s="446"/>
    </row>
    <row r="155" spans="3:10" x14ac:dyDescent="0.3">
      <c r="C155" s="447"/>
      <c r="D155" s="448"/>
      <c r="E155" s="448"/>
      <c r="F155" s="448"/>
      <c r="G155" s="448"/>
      <c r="H155" s="448"/>
      <c r="I155" s="448"/>
      <c r="J155" s="449"/>
    </row>
    <row r="156" spans="3:10" ht="15" thickBot="1" x14ac:dyDescent="0.35">
      <c r="C156" s="450"/>
      <c r="D156" s="451"/>
      <c r="E156" s="451"/>
      <c r="F156" s="451"/>
      <c r="G156" s="451"/>
      <c r="H156" s="451"/>
      <c r="I156" s="451"/>
      <c r="J156" s="452"/>
    </row>
    <row r="158" spans="3:10" ht="15" thickBot="1" x14ac:dyDescent="0.35"/>
    <row r="159" spans="3:10" x14ac:dyDescent="0.3">
      <c r="C159" s="293" t="s">
        <v>158</v>
      </c>
      <c r="D159" s="294"/>
      <c r="E159" s="241"/>
      <c r="F159" s="60"/>
      <c r="G159" s="60" t="s">
        <v>163</v>
      </c>
      <c r="H159" s="242"/>
      <c r="I159" s="243"/>
      <c r="J159" s="244"/>
    </row>
    <row r="160" spans="3:10" x14ac:dyDescent="0.3">
      <c r="C160" s="295"/>
      <c r="D160" s="296"/>
      <c r="E160" s="246"/>
      <c r="F160" s="35"/>
      <c r="G160" s="35" t="s">
        <v>331</v>
      </c>
      <c r="H160" s="247"/>
      <c r="I160" s="245">
        <f>I151+1</f>
        <v>17</v>
      </c>
      <c r="J160" s="62"/>
    </row>
    <row r="161" spans="3:10" x14ac:dyDescent="0.3">
      <c r="C161" s="295" t="s">
        <v>159</v>
      </c>
      <c r="D161" s="296" t="s">
        <v>160</v>
      </c>
      <c r="E161" s="35" t="s">
        <v>161</v>
      </c>
      <c r="F161" s="35"/>
      <c r="G161" s="35" t="s">
        <v>164</v>
      </c>
      <c r="H161" s="442">
        <v>44</v>
      </c>
      <c r="I161" s="442"/>
      <c r="J161" s="443"/>
    </row>
    <row r="162" spans="3:10" ht="15" thickBot="1" x14ac:dyDescent="0.35">
      <c r="C162" s="295" t="s">
        <v>162</v>
      </c>
      <c r="D162" s="296"/>
      <c r="E162" s="35"/>
      <c r="F162" s="35"/>
      <c r="G162" s="35"/>
      <c r="H162" s="35"/>
      <c r="I162" s="35"/>
      <c r="J162" s="63"/>
    </row>
    <row r="163" spans="3:10" x14ac:dyDescent="0.3">
      <c r="C163" s="444" t="s">
        <v>397</v>
      </c>
      <c r="D163" s="445"/>
      <c r="E163" s="445"/>
      <c r="F163" s="445"/>
      <c r="G163" s="445"/>
      <c r="H163" s="445"/>
      <c r="I163" s="445"/>
      <c r="J163" s="446"/>
    </row>
    <row r="164" spans="3:10" x14ac:dyDescent="0.3">
      <c r="C164" s="447"/>
      <c r="D164" s="448"/>
      <c r="E164" s="448"/>
      <c r="F164" s="448"/>
      <c r="G164" s="448"/>
      <c r="H164" s="448"/>
      <c r="I164" s="448"/>
      <c r="J164" s="449"/>
    </row>
    <row r="165" spans="3:10" ht="15" thickBot="1" x14ac:dyDescent="0.35">
      <c r="C165" s="450"/>
      <c r="D165" s="451"/>
      <c r="E165" s="451"/>
      <c r="F165" s="451"/>
      <c r="G165" s="451"/>
      <c r="H165" s="451"/>
      <c r="I165" s="451"/>
      <c r="J165" s="452"/>
    </row>
    <row r="167" spans="3:10" ht="15" thickBot="1" x14ac:dyDescent="0.35"/>
    <row r="168" spans="3:10" x14ac:dyDescent="0.3">
      <c r="C168" s="325" t="s">
        <v>158</v>
      </c>
      <c r="D168" s="326"/>
      <c r="E168" s="241"/>
      <c r="F168" s="60"/>
      <c r="G168" s="60" t="s">
        <v>163</v>
      </c>
      <c r="H168" s="242"/>
      <c r="I168" s="243"/>
      <c r="J168" s="244"/>
    </row>
    <row r="169" spans="3:10" x14ac:dyDescent="0.3">
      <c r="C169" s="327"/>
      <c r="D169" s="328"/>
      <c r="E169" s="246"/>
      <c r="F169" s="35"/>
      <c r="G169" s="35" t="s">
        <v>331</v>
      </c>
      <c r="H169" s="247"/>
      <c r="I169" s="245">
        <f>I160+1</f>
        <v>18</v>
      </c>
      <c r="J169" s="62"/>
    </row>
    <row r="170" spans="3:10" x14ac:dyDescent="0.3">
      <c r="C170" s="327" t="s">
        <v>159</v>
      </c>
      <c r="D170" s="328" t="s">
        <v>160</v>
      </c>
      <c r="E170" s="35" t="s">
        <v>161</v>
      </c>
      <c r="F170" s="35"/>
      <c r="G170" s="35" t="s">
        <v>164</v>
      </c>
      <c r="H170" s="442">
        <v>77</v>
      </c>
      <c r="I170" s="442"/>
      <c r="J170" s="443"/>
    </row>
    <row r="171" spans="3:10" ht="15" thickBot="1" x14ac:dyDescent="0.35">
      <c r="C171" s="327" t="s">
        <v>162</v>
      </c>
      <c r="D171" s="328"/>
      <c r="E171" s="35"/>
      <c r="F171" s="35"/>
      <c r="G171" s="35"/>
      <c r="H171" s="35"/>
      <c r="I171" s="35"/>
      <c r="J171" s="63"/>
    </row>
    <row r="172" spans="3:10" x14ac:dyDescent="0.3">
      <c r="C172" s="444" t="s">
        <v>398</v>
      </c>
      <c r="D172" s="445"/>
      <c r="E172" s="445"/>
      <c r="F172" s="445"/>
      <c r="G172" s="445"/>
      <c r="H172" s="445"/>
      <c r="I172" s="445"/>
      <c r="J172" s="446"/>
    </row>
    <row r="173" spans="3:10" x14ac:dyDescent="0.3">
      <c r="C173" s="447"/>
      <c r="D173" s="448"/>
      <c r="E173" s="448"/>
      <c r="F173" s="448"/>
      <c r="G173" s="448"/>
      <c r="H173" s="448"/>
      <c r="I173" s="448"/>
      <c r="J173" s="449"/>
    </row>
    <row r="174" spans="3:10" ht="15" thickBot="1" x14ac:dyDescent="0.35">
      <c r="C174" s="450"/>
      <c r="D174" s="451"/>
      <c r="E174" s="451"/>
      <c r="F174" s="451"/>
      <c r="G174" s="451"/>
      <c r="H174" s="451"/>
      <c r="I174" s="451"/>
      <c r="J174" s="452"/>
    </row>
    <row r="176" spans="3:10" ht="15" thickBot="1" x14ac:dyDescent="0.35"/>
    <row r="177" spans="3:10" x14ac:dyDescent="0.3">
      <c r="C177" s="345" t="s">
        <v>158</v>
      </c>
      <c r="D177" s="346"/>
      <c r="E177" s="241"/>
      <c r="F177" s="60"/>
      <c r="G177" s="60" t="s">
        <v>163</v>
      </c>
      <c r="H177" s="242"/>
      <c r="I177" s="243"/>
      <c r="J177" s="244"/>
    </row>
    <row r="178" spans="3:10" x14ac:dyDescent="0.3">
      <c r="C178" s="347"/>
      <c r="D178" s="348"/>
      <c r="E178" s="246"/>
      <c r="F178" s="35"/>
      <c r="G178" s="35" t="s">
        <v>331</v>
      </c>
      <c r="H178" s="247"/>
      <c r="I178" s="245">
        <f>I169+1</f>
        <v>19</v>
      </c>
      <c r="J178" s="62"/>
    </row>
    <row r="179" spans="3:10" x14ac:dyDescent="0.3">
      <c r="C179" s="347" t="s">
        <v>159</v>
      </c>
      <c r="D179" s="348" t="s">
        <v>160</v>
      </c>
      <c r="E179" s="35" t="s">
        <v>161</v>
      </c>
      <c r="F179" s="35"/>
      <c r="G179" s="35" t="s">
        <v>164</v>
      </c>
      <c r="H179" s="442">
        <v>88</v>
      </c>
      <c r="I179" s="442"/>
      <c r="J179" s="443"/>
    </row>
    <row r="180" spans="3:10" ht="15" thickBot="1" x14ac:dyDescent="0.35">
      <c r="C180" s="347" t="s">
        <v>162</v>
      </c>
      <c r="D180" s="348"/>
      <c r="E180" s="35"/>
      <c r="F180" s="35"/>
      <c r="G180" s="35"/>
      <c r="H180" s="35"/>
      <c r="I180" s="35"/>
      <c r="J180" s="63"/>
    </row>
    <row r="181" spans="3:10" x14ac:dyDescent="0.3">
      <c r="C181" s="444" t="s">
        <v>401</v>
      </c>
      <c r="D181" s="445"/>
      <c r="E181" s="445"/>
      <c r="F181" s="445"/>
      <c r="G181" s="445"/>
      <c r="H181" s="445"/>
      <c r="I181" s="445"/>
      <c r="J181" s="446"/>
    </row>
    <row r="182" spans="3:10" x14ac:dyDescent="0.3">
      <c r="C182" s="447"/>
      <c r="D182" s="448"/>
      <c r="E182" s="448"/>
      <c r="F182" s="448"/>
      <c r="G182" s="448"/>
      <c r="H182" s="448"/>
      <c r="I182" s="448"/>
      <c r="J182" s="449"/>
    </row>
    <row r="183" spans="3:10" ht="15" thickBot="1" x14ac:dyDescent="0.35">
      <c r="C183" s="450"/>
      <c r="D183" s="451"/>
      <c r="E183" s="451"/>
      <c r="F183" s="451"/>
      <c r="G183" s="451"/>
      <c r="H183" s="451"/>
      <c r="I183" s="451"/>
      <c r="J183" s="452"/>
    </row>
    <row r="185" spans="3:10" ht="15" thickBot="1" x14ac:dyDescent="0.35"/>
    <row r="186" spans="3:10" x14ac:dyDescent="0.3">
      <c r="C186" s="350" t="s">
        <v>158</v>
      </c>
      <c r="D186" s="351"/>
      <c r="E186" s="241"/>
      <c r="F186" s="60"/>
      <c r="G186" s="60" t="s">
        <v>163</v>
      </c>
      <c r="H186" s="242"/>
      <c r="I186" s="243"/>
      <c r="J186" s="244"/>
    </row>
    <row r="187" spans="3:10" x14ac:dyDescent="0.3">
      <c r="C187" s="352"/>
      <c r="D187" s="353"/>
      <c r="E187" s="246"/>
      <c r="F187" s="35"/>
      <c r="G187" s="35" t="s">
        <v>331</v>
      </c>
      <c r="H187" s="247"/>
      <c r="I187" s="245">
        <f>I178+1</f>
        <v>20</v>
      </c>
      <c r="J187" s="62"/>
    </row>
    <row r="188" spans="3:10" x14ac:dyDescent="0.3">
      <c r="C188" s="352" t="s">
        <v>159</v>
      </c>
      <c r="D188" s="353" t="s">
        <v>160</v>
      </c>
      <c r="E188" s="35" t="s">
        <v>161</v>
      </c>
      <c r="F188" s="35"/>
      <c r="G188" s="35" t="s">
        <v>164</v>
      </c>
      <c r="H188" s="442">
        <v>130</v>
      </c>
      <c r="I188" s="442"/>
      <c r="J188" s="443"/>
    </row>
    <row r="189" spans="3:10" ht="15" thickBot="1" x14ac:dyDescent="0.35">
      <c r="C189" s="352" t="s">
        <v>162</v>
      </c>
      <c r="D189" s="353"/>
      <c r="E189" s="35"/>
      <c r="F189" s="35"/>
      <c r="G189" s="35"/>
      <c r="H189" s="35"/>
      <c r="I189" s="35"/>
      <c r="J189" s="63"/>
    </row>
    <row r="190" spans="3:10" x14ac:dyDescent="0.3">
      <c r="C190" s="444" t="s">
        <v>402</v>
      </c>
      <c r="D190" s="445"/>
      <c r="E190" s="445"/>
      <c r="F190" s="445"/>
      <c r="G190" s="445"/>
      <c r="H190" s="445"/>
      <c r="I190" s="445"/>
      <c r="J190" s="446"/>
    </row>
    <row r="191" spans="3:10" x14ac:dyDescent="0.3">
      <c r="C191" s="447"/>
      <c r="D191" s="448"/>
      <c r="E191" s="448"/>
      <c r="F191" s="448"/>
      <c r="G191" s="448"/>
      <c r="H191" s="448"/>
      <c r="I191" s="448"/>
      <c r="J191" s="449"/>
    </row>
    <row r="192" spans="3:10" ht="15" thickBot="1" x14ac:dyDescent="0.35">
      <c r="C192" s="450"/>
      <c r="D192" s="451"/>
      <c r="E192" s="451"/>
      <c r="F192" s="451"/>
      <c r="G192" s="451"/>
      <c r="H192" s="451"/>
      <c r="I192" s="451"/>
      <c r="J192" s="452"/>
    </row>
    <row r="194" spans="3:10" ht="15" thickBot="1" x14ac:dyDescent="0.35"/>
    <row r="195" spans="3:10" x14ac:dyDescent="0.3">
      <c r="C195" s="309" t="s">
        <v>158</v>
      </c>
      <c r="D195" s="310"/>
      <c r="E195" s="241"/>
      <c r="F195" s="60"/>
      <c r="G195" s="60" t="s">
        <v>163</v>
      </c>
      <c r="H195" s="242"/>
      <c r="I195" s="243"/>
      <c r="J195" s="244"/>
    </row>
    <row r="196" spans="3:10" x14ac:dyDescent="0.3">
      <c r="C196" s="311"/>
      <c r="D196" s="308"/>
      <c r="E196" s="246"/>
      <c r="F196" s="35"/>
      <c r="G196" s="35" t="s">
        <v>331</v>
      </c>
      <c r="H196" s="247"/>
      <c r="I196" s="245">
        <f>I187+1</f>
        <v>21</v>
      </c>
      <c r="J196" s="62"/>
    </row>
    <row r="197" spans="3:10" x14ac:dyDescent="0.3">
      <c r="C197" s="311" t="s">
        <v>159</v>
      </c>
      <c r="D197" s="308" t="s">
        <v>160</v>
      </c>
      <c r="E197" s="35" t="s">
        <v>161</v>
      </c>
      <c r="F197" s="35"/>
      <c r="G197" s="35" t="s">
        <v>164</v>
      </c>
      <c r="H197" s="442">
        <v>61</v>
      </c>
      <c r="I197" s="442"/>
      <c r="J197" s="443"/>
    </row>
    <row r="198" spans="3:10" ht="15" thickBot="1" x14ac:dyDescent="0.35">
      <c r="C198" s="311" t="s">
        <v>162</v>
      </c>
      <c r="D198" s="308"/>
      <c r="E198" s="35"/>
      <c r="F198" s="35"/>
      <c r="G198" s="35"/>
      <c r="H198" s="35"/>
      <c r="I198" s="35"/>
      <c r="J198" s="63"/>
    </row>
    <row r="199" spans="3:10" x14ac:dyDescent="0.3">
      <c r="C199" s="444" t="s">
        <v>403</v>
      </c>
      <c r="D199" s="445"/>
      <c r="E199" s="445"/>
      <c r="F199" s="445"/>
      <c r="G199" s="445"/>
      <c r="H199" s="445"/>
      <c r="I199" s="445"/>
      <c r="J199" s="446"/>
    </row>
    <row r="200" spans="3:10" x14ac:dyDescent="0.3">
      <c r="C200" s="447"/>
      <c r="D200" s="448"/>
      <c r="E200" s="448"/>
      <c r="F200" s="448"/>
      <c r="G200" s="448"/>
      <c r="H200" s="448"/>
      <c r="I200" s="448"/>
      <c r="J200" s="449"/>
    </row>
    <row r="201" spans="3:10" ht="15" thickBot="1" x14ac:dyDescent="0.35">
      <c r="C201" s="450"/>
      <c r="D201" s="451"/>
      <c r="E201" s="451"/>
      <c r="F201" s="451"/>
      <c r="G201" s="451"/>
      <c r="H201" s="451"/>
      <c r="I201" s="451"/>
      <c r="J201" s="452"/>
    </row>
    <row r="203" spans="3:10" ht="15" thickBot="1" x14ac:dyDescent="0.35"/>
    <row r="204" spans="3:10" x14ac:dyDescent="0.3">
      <c r="C204" s="354" t="s">
        <v>158</v>
      </c>
      <c r="D204" s="355"/>
      <c r="E204" s="241"/>
      <c r="F204" s="60"/>
      <c r="G204" s="60" t="s">
        <v>163</v>
      </c>
      <c r="H204" s="242"/>
      <c r="I204" s="243"/>
      <c r="J204" s="244"/>
    </row>
    <row r="205" spans="3:10" x14ac:dyDescent="0.3">
      <c r="C205" s="356"/>
      <c r="D205" s="357"/>
      <c r="E205" s="246"/>
      <c r="F205" s="35"/>
      <c r="G205" s="35" t="s">
        <v>331</v>
      </c>
      <c r="H205" s="247"/>
      <c r="I205" s="245">
        <f>I196+1</f>
        <v>22</v>
      </c>
      <c r="J205" s="62"/>
    </row>
    <row r="206" spans="3:10" x14ac:dyDescent="0.3">
      <c r="C206" s="356" t="s">
        <v>159</v>
      </c>
      <c r="D206" s="357" t="s">
        <v>160</v>
      </c>
      <c r="E206" s="35" t="s">
        <v>161</v>
      </c>
      <c r="F206" s="35"/>
      <c r="G206" s="35" t="s">
        <v>164</v>
      </c>
      <c r="H206" s="442">
        <v>73</v>
      </c>
      <c r="I206" s="442"/>
      <c r="J206" s="443"/>
    </row>
    <row r="207" spans="3:10" ht="15" thickBot="1" x14ac:dyDescent="0.35">
      <c r="C207" s="356" t="s">
        <v>162</v>
      </c>
      <c r="D207" s="357"/>
      <c r="E207" s="35"/>
      <c r="F207" s="35"/>
      <c r="G207" s="35"/>
      <c r="H207" s="35"/>
      <c r="I207" s="35"/>
      <c r="J207" s="63"/>
    </row>
    <row r="208" spans="3:10" x14ac:dyDescent="0.3">
      <c r="C208" s="444" t="s">
        <v>404</v>
      </c>
      <c r="D208" s="445"/>
      <c r="E208" s="445"/>
      <c r="F208" s="445"/>
      <c r="G208" s="445"/>
      <c r="H208" s="445"/>
      <c r="I208" s="445"/>
      <c r="J208" s="446"/>
    </row>
    <row r="209" spans="3:11" x14ac:dyDescent="0.3">
      <c r="C209" s="447"/>
      <c r="D209" s="448"/>
      <c r="E209" s="448"/>
      <c r="F209" s="448"/>
      <c r="G209" s="448"/>
      <c r="H209" s="448"/>
      <c r="I209" s="448"/>
      <c r="J209" s="449"/>
    </row>
    <row r="210" spans="3:11" ht="15" thickBot="1" x14ac:dyDescent="0.35">
      <c r="C210" s="450"/>
      <c r="D210" s="451"/>
      <c r="E210" s="451"/>
      <c r="F210" s="451"/>
      <c r="G210" s="451"/>
      <c r="H210" s="451"/>
      <c r="I210" s="451"/>
      <c r="J210" s="452"/>
    </row>
    <row r="212" spans="3:11" ht="15" thickBot="1" x14ac:dyDescent="0.35"/>
    <row r="213" spans="3:11" x14ac:dyDescent="0.3">
      <c r="C213" s="354" t="s">
        <v>158</v>
      </c>
      <c r="D213" s="355"/>
      <c r="E213" s="241"/>
      <c r="F213" s="60"/>
      <c r="G213" s="60" t="s">
        <v>163</v>
      </c>
      <c r="H213" s="242"/>
      <c r="I213" s="243"/>
      <c r="J213" s="244"/>
      <c r="K213" s="10"/>
    </row>
    <row r="214" spans="3:11" x14ac:dyDescent="0.3">
      <c r="C214" s="356"/>
      <c r="D214" s="357"/>
      <c r="E214" s="246"/>
      <c r="F214" s="35"/>
      <c r="G214" s="35" t="s">
        <v>331</v>
      </c>
      <c r="H214" s="247"/>
      <c r="I214" s="245">
        <f>I205+1</f>
        <v>23</v>
      </c>
      <c r="J214" s="62"/>
    </row>
    <row r="215" spans="3:11" x14ac:dyDescent="0.3">
      <c r="C215" s="356" t="s">
        <v>159</v>
      </c>
      <c r="D215" s="357" t="s">
        <v>160</v>
      </c>
      <c r="E215" s="35" t="s">
        <v>161</v>
      </c>
      <c r="F215" s="35"/>
      <c r="G215" s="35" t="s">
        <v>164</v>
      </c>
      <c r="H215" s="442">
        <v>73</v>
      </c>
      <c r="I215" s="442"/>
      <c r="J215" s="443"/>
    </row>
    <row r="216" spans="3:11" ht="15" thickBot="1" x14ac:dyDescent="0.35">
      <c r="C216" s="356" t="s">
        <v>162</v>
      </c>
      <c r="D216" s="357"/>
      <c r="E216" s="35"/>
      <c r="F216" s="35"/>
      <c r="G216" s="35"/>
      <c r="H216" s="35"/>
      <c r="I216" s="35"/>
      <c r="J216" s="63"/>
    </row>
    <row r="217" spans="3:11" x14ac:dyDescent="0.3">
      <c r="C217" s="444" t="s">
        <v>405</v>
      </c>
      <c r="D217" s="445"/>
      <c r="E217" s="445"/>
      <c r="F217" s="445"/>
      <c r="G217" s="445"/>
      <c r="H217" s="445"/>
      <c r="I217" s="445"/>
      <c r="J217" s="446"/>
    </row>
    <row r="218" spans="3:11" x14ac:dyDescent="0.3">
      <c r="C218" s="447"/>
      <c r="D218" s="448"/>
      <c r="E218" s="448"/>
      <c r="F218" s="448"/>
      <c r="G218" s="448"/>
      <c r="H218" s="448"/>
      <c r="I218" s="448"/>
      <c r="J218" s="449"/>
    </row>
    <row r="219" spans="3:11" ht="15" thickBot="1" x14ac:dyDescent="0.35">
      <c r="C219" s="450"/>
      <c r="D219" s="451"/>
      <c r="E219" s="451"/>
      <c r="F219" s="451"/>
      <c r="G219" s="451"/>
      <c r="H219" s="451"/>
      <c r="I219" s="451"/>
      <c r="J219" s="452"/>
    </row>
    <row r="221" spans="3:11" ht="15" thickBot="1" x14ac:dyDescent="0.35"/>
    <row r="222" spans="3:11" x14ac:dyDescent="0.3">
      <c r="C222" s="354" t="s">
        <v>158</v>
      </c>
      <c r="D222" s="355"/>
      <c r="E222" s="241"/>
      <c r="F222" s="60"/>
      <c r="G222" s="60" t="s">
        <v>163</v>
      </c>
      <c r="H222" s="242"/>
      <c r="I222" s="243"/>
      <c r="J222" s="244"/>
    </row>
    <row r="223" spans="3:11" x14ac:dyDescent="0.3">
      <c r="C223" s="356"/>
      <c r="D223" s="357"/>
      <c r="E223" s="246"/>
      <c r="F223" s="35"/>
      <c r="G223" s="35" t="s">
        <v>331</v>
      </c>
      <c r="H223" s="247"/>
      <c r="I223" s="245">
        <f>I214+1</f>
        <v>24</v>
      </c>
      <c r="J223" s="62"/>
    </row>
    <row r="224" spans="3:11" x14ac:dyDescent="0.3">
      <c r="C224" s="356" t="s">
        <v>159</v>
      </c>
      <c r="D224" s="357" t="s">
        <v>160</v>
      </c>
      <c r="E224" s="35" t="s">
        <v>161</v>
      </c>
      <c r="F224" s="35"/>
      <c r="G224" s="35" t="s">
        <v>164</v>
      </c>
      <c r="H224" s="442">
        <v>67</v>
      </c>
      <c r="I224" s="442"/>
      <c r="J224" s="443"/>
    </row>
    <row r="225" spans="3:10" ht="15" thickBot="1" x14ac:dyDescent="0.35">
      <c r="C225" s="356" t="s">
        <v>162</v>
      </c>
      <c r="D225" s="357"/>
      <c r="E225" s="35"/>
      <c r="F225" s="35"/>
      <c r="G225" s="35"/>
      <c r="H225" s="35"/>
      <c r="I225" s="35"/>
      <c r="J225" s="63"/>
    </row>
    <row r="226" spans="3:10" x14ac:dyDescent="0.3">
      <c r="C226" s="444" t="s">
        <v>407</v>
      </c>
      <c r="D226" s="445"/>
      <c r="E226" s="445"/>
      <c r="F226" s="445"/>
      <c r="G226" s="445"/>
      <c r="H226" s="445"/>
      <c r="I226" s="445"/>
      <c r="J226" s="446"/>
    </row>
    <row r="227" spans="3:10" x14ac:dyDescent="0.3">
      <c r="C227" s="447"/>
      <c r="D227" s="448"/>
      <c r="E227" s="448"/>
      <c r="F227" s="448"/>
      <c r="G227" s="448"/>
      <c r="H227" s="448"/>
      <c r="I227" s="448"/>
      <c r="J227" s="449"/>
    </row>
    <row r="228" spans="3:10" ht="15" thickBot="1" x14ac:dyDescent="0.35">
      <c r="C228" s="450"/>
      <c r="D228" s="451"/>
      <c r="E228" s="451"/>
      <c r="F228" s="451"/>
      <c r="G228" s="451"/>
      <c r="H228" s="451"/>
      <c r="I228" s="451"/>
      <c r="J228" s="452"/>
    </row>
  </sheetData>
  <mergeCells count="50">
    <mergeCell ref="H224:J224"/>
    <mergeCell ref="C226:J228"/>
    <mergeCell ref="H57:J57"/>
    <mergeCell ref="C59:J61"/>
    <mergeCell ref="H152:J152"/>
    <mergeCell ref="C154:J156"/>
    <mergeCell ref="H120:J120"/>
    <mergeCell ref="C122:J124"/>
    <mergeCell ref="H129:J129"/>
    <mergeCell ref="C131:J133"/>
    <mergeCell ref="C145:J147"/>
    <mergeCell ref="H143:J143"/>
    <mergeCell ref="H111:J111"/>
    <mergeCell ref="C113:J115"/>
    <mergeCell ref="H75:J75"/>
    <mergeCell ref="C77:J79"/>
    <mergeCell ref="H4:J4"/>
    <mergeCell ref="C6:J8"/>
    <mergeCell ref="H21:J21"/>
    <mergeCell ref="C23:J25"/>
    <mergeCell ref="H30:J30"/>
    <mergeCell ref="H13:J13"/>
    <mergeCell ref="C15:J17"/>
    <mergeCell ref="C32:J34"/>
    <mergeCell ref="H39:J39"/>
    <mergeCell ref="C41:J43"/>
    <mergeCell ref="H48:J48"/>
    <mergeCell ref="C50:J52"/>
    <mergeCell ref="H66:J66"/>
    <mergeCell ref="C68:J70"/>
    <mergeCell ref="H102:J102"/>
    <mergeCell ref="C104:J106"/>
    <mergeCell ref="C95:J97"/>
    <mergeCell ref="H84:J84"/>
    <mergeCell ref="C86:J88"/>
    <mergeCell ref="H93:J93"/>
    <mergeCell ref="H206:J206"/>
    <mergeCell ref="C208:J210"/>
    <mergeCell ref="H215:J215"/>
    <mergeCell ref="C217:J219"/>
    <mergeCell ref="H161:J161"/>
    <mergeCell ref="C163:J165"/>
    <mergeCell ref="H170:J170"/>
    <mergeCell ref="C172:J174"/>
    <mergeCell ref="H188:J188"/>
    <mergeCell ref="C190:J192"/>
    <mergeCell ref="H197:J197"/>
    <mergeCell ref="C199:J201"/>
    <mergeCell ref="H179:J179"/>
    <mergeCell ref="C181:J18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2026-06-02T16:24:48Z</cp:lastPrinted>
  <dcterms:created xsi:type="dcterms:W3CDTF">2023-09-17T12:29:07Z</dcterms:created>
  <dcterms:modified xsi:type="dcterms:W3CDTF">2026-06-30T13:06:54Z</dcterms:modified>
</cp:coreProperties>
</file>