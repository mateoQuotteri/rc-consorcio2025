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Sistemax\Desktop\rc-consorcio2025\BRISAS\EXPENSAS\2026\FEBRERO\"/>
    </mc:Choice>
  </mc:AlternateContent>
  <xr:revisionPtr revIDLastSave="0" documentId="13_ncr:1_{03E8A516-5AFE-4C02-AFB8-4E006C6AEA30}" xr6:coauthVersionLast="47" xr6:coauthVersionMax="47" xr10:uidLastSave="{00000000-0000-0000-0000-000000000000}"/>
  <bookViews>
    <workbookView xWindow="-120" yWindow="-120" windowWidth="20730" windowHeight="11160" tabRatio="850" activeTab="1" xr2:uid="{00000000-000D-0000-FFFF-FFFF00000000}"/>
  </bookViews>
  <sheets>
    <sheet name="RESUMEN" sheetId="1" r:id="rId1"/>
    <sheet name="PRORRATEO" sheetId="2" r:id="rId2"/>
    <sheet name="anotaciones" sheetId="6" r:id="rId3"/>
    <sheet name="SITUACION LOTE 92" sheetId="7" r:id="rId4"/>
  </sheets>
  <definedNames>
    <definedName name="_xlnm.Print_Area" localSheetId="1">PRORRATEO!$B$1:$T$167</definedName>
    <definedName name="_xlnm.Print_Area" localSheetId="0">RESUMEN!$A$1:$E$191</definedName>
    <definedName name="_xlnm.Print_Area" localSheetId="3">'SITUACION LOTE 92'!$C$4:$J$24</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80" i="2" l="1"/>
  <c r="O97" i="2"/>
  <c r="D93" i="1"/>
  <c r="F43" i="2"/>
  <c r="F121" i="2"/>
  <c r="G70" i="1"/>
  <c r="E64" i="1"/>
  <c r="E36" i="1"/>
  <c r="E42" i="1"/>
  <c r="E46" i="1"/>
  <c r="E87" i="1"/>
  <c r="F24" i="7"/>
  <c r="J7" i="7"/>
  <c r="J9" i="7" s="1"/>
  <c r="G97" i="2"/>
  <c r="J8" i="7"/>
  <c r="G11" i="7"/>
  <c r="D12" i="7"/>
  <c r="G7" i="7"/>
  <c r="G9" i="7" s="1"/>
  <c r="A3" i="2"/>
  <c r="F126" i="2"/>
  <c r="F125" i="2"/>
  <c r="F41" i="2"/>
  <c r="F19" i="2"/>
  <c r="F32" i="2"/>
  <c r="F84" i="2"/>
  <c r="B151" i="1"/>
  <c r="F44" i="2"/>
  <c r="F138" i="2"/>
  <c r="F93" i="2"/>
  <c r="F69" i="2"/>
  <c r="O100" i="6"/>
  <c r="O101" i="6" s="1"/>
  <c r="O103" i="6" s="1"/>
  <c r="G12" i="7" l="1"/>
  <c r="F123" i="2"/>
  <c r="F81" i="2" l="1"/>
  <c r="F157" i="2"/>
  <c r="F153" i="2"/>
  <c r="F78" i="2"/>
  <c r="F15" i="2"/>
  <c r="F109" i="2"/>
  <c r="B146" i="1"/>
  <c r="F79" i="2"/>
  <c r="F18" i="2"/>
  <c r="F150" i="2"/>
  <c r="F158" i="2"/>
  <c r="F57" i="2"/>
  <c r="F111" i="2"/>
  <c r="F67" i="2"/>
  <c r="F120" i="2"/>
  <c r="E105" i="1" l="1"/>
  <c r="E104" i="1"/>
  <c r="D121" i="1" l="1"/>
  <c r="D167" i="6" l="1"/>
  <c r="D158" i="6"/>
  <c r="D12" i="6" l="1"/>
  <c r="D21" i="6" s="1"/>
  <c r="D30" i="6" s="1"/>
  <c r="D39" i="6" s="1"/>
  <c r="D48" i="6" s="1"/>
  <c r="D57" i="6" s="1"/>
  <c r="D66" i="6" s="1"/>
  <c r="D75" i="6" s="1"/>
  <c r="D84" i="6" s="1"/>
  <c r="D96" i="6" s="1"/>
  <c r="D105" i="6" s="1"/>
  <c r="D114" i="6" s="1"/>
  <c r="D123" i="6" s="1"/>
  <c r="D132" i="6" s="1"/>
  <c r="D141" i="6" s="1"/>
  <c r="D149" i="6" s="1"/>
  <c r="D175" i="6" s="1"/>
  <c r="D184" i="6" s="1"/>
  <c r="D193" i="6" s="1"/>
  <c r="D202" i="6" s="1"/>
  <c r="D211" i="6" s="1"/>
  <c r="D220" i="6" s="1"/>
  <c r="D229" i="6" s="1"/>
  <c r="D238" i="6" s="1"/>
  <c r="D247" i="6" s="1"/>
  <c r="F26" i="1" l="1"/>
  <c r="E91" i="1"/>
  <c r="E109" i="1"/>
  <c r="B190" i="1"/>
  <c r="B141" i="1" s="1"/>
  <c r="D29" i="1"/>
  <c r="D27" i="1"/>
  <c r="E30" i="1" s="1"/>
  <c r="F66" i="2" l="1"/>
  <c r="F86" i="2"/>
  <c r="F30" i="2"/>
  <c r="B178" i="1" l="1"/>
  <c r="E123" i="1"/>
  <c r="P5" i="2" l="1"/>
  <c r="K2" i="2" l="1"/>
  <c r="B167" i="1"/>
  <c r="F131" i="2" l="1"/>
  <c r="F136" i="2"/>
  <c r="F11" i="2"/>
  <c r="F20" i="2"/>
  <c r="F21" i="2"/>
  <c r="F35" i="2"/>
  <c r="F38" i="2"/>
  <c r="F48" i="2"/>
  <c r="F59" i="2"/>
  <c r="F68" i="2"/>
  <c r="F70" i="2"/>
  <c r="F80" i="2"/>
  <c r="F90" i="2"/>
  <c r="F91" i="2"/>
  <c r="F99" i="2"/>
  <c r="F104" i="2"/>
  <c r="F116" i="2"/>
  <c r="F128" i="2"/>
  <c r="F130" i="2"/>
  <c r="E122" i="1" l="1"/>
  <c r="G150" i="2" l="1"/>
  <c r="E114" i="1"/>
  <c r="H150" i="2" l="1"/>
  <c r="E121" i="1"/>
  <c r="B142" i="1" l="1"/>
  <c r="E95" i="1" l="1"/>
  <c r="S150" i="2" l="1"/>
  <c r="T150" i="2"/>
  <c r="M150" i="2"/>
  <c r="L150" i="2"/>
  <c r="I150" i="2"/>
  <c r="E127" i="1" l="1"/>
  <c r="B157" i="1" s="1"/>
  <c r="F154" i="2" l="1"/>
  <c r="F152" i="2"/>
  <c r="F151" i="2"/>
  <c r="F37" i="2" l="1"/>
  <c r="F161" i="2" s="1"/>
  <c r="E107" i="1"/>
  <c r="X2" i="2" l="1"/>
  <c r="G2" i="2" s="1"/>
  <c r="K150" i="2" s="1"/>
  <c r="P150" i="2" s="1"/>
  <c r="R150" i="2" s="1"/>
  <c r="T38" i="2" l="1"/>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147" i="2"/>
  <c r="T148" i="2"/>
  <c r="T149" i="2"/>
  <c r="T151" i="2"/>
  <c r="T152" i="2"/>
  <c r="T153" i="2"/>
  <c r="T154" i="2"/>
  <c r="T155" i="2"/>
  <c r="T156" i="2"/>
  <c r="T157" i="2"/>
  <c r="T158" i="2"/>
  <c r="T6" i="2"/>
  <c r="G98" i="2" l="1"/>
  <c r="K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9" i="2"/>
  <c r="J151" i="2"/>
  <c r="J152" i="2"/>
  <c r="J153" i="2"/>
  <c r="J154" i="2"/>
  <c r="J155" i="2"/>
  <c r="J156" i="2"/>
  <c r="J157" i="2"/>
  <c r="J158" i="2"/>
  <c r="J6" i="2"/>
  <c r="L151" i="2"/>
  <c r="L152" i="2"/>
  <c r="L153" i="2"/>
  <c r="L154" i="2"/>
  <c r="L155" i="2"/>
  <c r="L156" i="2"/>
  <c r="L157" i="2"/>
  <c r="L158" i="2"/>
  <c r="L149" i="2"/>
  <c r="L144"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6" i="2"/>
  <c r="K151" i="2" l="1"/>
  <c r="K152" i="2"/>
  <c r="K153" i="2"/>
  <c r="K154" i="2"/>
  <c r="K155" i="2"/>
  <c r="K156" i="2"/>
  <c r="K157" i="2"/>
  <c r="K158" i="2"/>
  <c r="K149"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M7" i="2"/>
  <c r="M8" i="2"/>
  <c r="M9" i="2"/>
  <c r="M10" i="2"/>
  <c r="M11" i="2"/>
  <c r="M12" i="2"/>
  <c r="M13" i="2"/>
  <c r="M151" i="2"/>
  <c r="M152" i="2"/>
  <c r="M153" i="2"/>
  <c r="M154" i="2"/>
  <c r="M155" i="2"/>
  <c r="M156" i="2"/>
  <c r="M157" i="2"/>
  <c r="M158" i="2"/>
  <c r="M6" i="2"/>
  <c r="G69" i="2"/>
  <c r="H69" i="2" s="1"/>
  <c r="H97" i="2"/>
  <c r="G44" i="2"/>
  <c r="H44" i="2" s="1"/>
  <c r="G94" i="2"/>
  <c r="H94" i="2" s="1"/>
  <c r="G138" i="2"/>
  <c r="H138" i="2" s="1"/>
  <c r="G111" i="2"/>
  <c r="H111" i="2" s="1"/>
  <c r="G142" i="2"/>
  <c r="H142" i="2" s="1"/>
  <c r="G65" i="2"/>
  <c r="H65" i="2" s="1"/>
  <c r="G101" i="2"/>
  <c r="H101" i="2" s="1"/>
  <c r="G23" i="2"/>
  <c r="H23" i="2" s="1"/>
  <c r="G6" i="2"/>
  <c r="I6" i="2"/>
  <c r="G7" i="2"/>
  <c r="H7" i="2" s="1"/>
  <c r="I7" i="2"/>
  <c r="G8" i="2"/>
  <c r="H8" i="2" s="1"/>
  <c r="I8" i="2"/>
  <c r="G9" i="2"/>
  <c r="H9" i="2" s="1"/>
  <c r="I9" i="2"/>
  <c r="G10" i="2"/>
  <c r="H10" i="2" s="1"/>
  <c r="I10" i="2"/>
  <c r="G11" i="2"/>
  <c r="H11" i="2" s="1"/>
  <c r="I11" i="2"/>
  <c r="G12" i="2"/>
  <c r="H12" i="2" s="1"/>
  <c r="I12" i="2"/>
  <c r="G13" i="2"/>
  <c r="H13" i="2" s="1"/>
  <c r="I13" i="2"/>
  <c r="G14" i="2"/>
  <c r="H14" i="2" s="1"/>
  <c r="I14" i="2"/>
  <c r="N14" i="2" s="1"/>
  <c r="G15" i="2"/>
  <c r="H15" i="2" s="1"/>
  <c r="I15" i="2"/>
  <c r="G16" i="2"/>
  <c r="H16" i="2" s="1"/>
  <c r="I16" i="2"/>
  <c r="G17" i="2"/>
  <c r="H17" i="2" s="1"/>
  <c r="I17" i="2"/>
  <c r="I18" i="2"/>
  <c r="G19" i="2"/>
  <c r="H19" i="2" s="1"/>
  <c r="I19" i="2"/>
  <c r="G20" i="2"/>
  <c r="H20" i="2" s="1"/>
  <c r="I20" i="2"/>
  <c r="G21" i="2"/>
  <c r="H21" i="2" s="1"/>
  <c r="I21" i="2"/>
  <c r="G22" i="2"/>
  <c r="H22" i="2" s="1"/>
  <c r="I22" i="2"/>
  <c r="I23" i="2"/>
  <c r="G24" i="2"/>
  <c r="H24" i="2" s="1"/>
  <c r="I24" i="2"/>
  <c r="G25" i="2"/>
  <c r="H25" i="2" s="1"/>
  <c r="I25" i="2"/>
  <c r="G26" i="2"/>
  <c r="H26" i="2" s="1"/>
  <c r="I26" i="2"/>
  <c r="G27" i="2"/>
  <c r="H27" i="2" s="1"/>
  <c r="I27" i="2"/>
  <c r="G28" i="2"/>
  <c r="H28" i="2" s="1"/>
  <c r="I28" i="2"/>
  <c r="G29" i="2"/>
  <c r="H29" i="2" s="1"/>
  <c r="I29" i="2"/>
  <c r="G30" i="2"/>
  <c r="H30" i="2" s="1"/>
  <c r="I30" i="2"/>
  <c r="G31" i="2"/>
  <c r="H31" i="2" s="1"/>
  <c r="I31" i="2"/>
  <c r="G32" i="2"/>
  <c r="H32" i="2" s="1"/>
  <c r="I32" i="2"/>
  <c r="G33" i="2"/>
  <c r="H33" i="2" s="1"/>
  <c r="I33" i="2"/>
  <c r="O33" i="2" s="1"/>
  <c r="G34" i="2"/>
  <c r="H34" i="2" s="1"/>
  <c r="I34" i="2"/>
  <c r="G35" i="2"/>
  <c r="H35" i="2" s="1"/>
  <c r="I35" i="2"/>
  <c r="G36" i="2"/>
  <c r="H36" i="2" s="1"/>
  <c r="I36" i="2"/>
  <c r="I37" i="2"/>
  <c r="G38" i="2"/>
  <c r="H38" i="2" s="1"/>
  <c r="I38" i="2"/>
  <c r="G39" i="2"/>
  <c r="H39" i="2" s="1"/>
  <c r="I39" i="2"/>
  <c r="G40" i="2"/>
  <c r="H40" i="2" s="1"/>
  <c r="I40" i="2"/>
  <c r="G41" i="2"/>
  <c r="H41" i="2" s="1"/>
  <c r="I41" i="2"/>
  <c r="G42" i="2"/>
  <c r="H42" i="2" s="1"/>
  <c r="I42" i="2"/>
  <c r="G43" i="2"/>
  <c r="H43" i="2" s="1"/>
  <c r="I43" i="2"/>
  <c r="I44" i="2"/>
  <c r="G45" i="2"/>
  <c r="H45" i="2" s="1"/>
  <c r="I45" i="2"/>
  <c r="G46" i="2"/>
  <c r="H46" i="2" s="1"/>
  <c r="I46" i="2"/>
  <c r="G47" i="2"/>
  <c r="H47" i="2" s="1"/>
  <c r="I47" i="2"/>
  <c r="G48" i="2"/>
  <c r="H48" i="2" s="1"/>
  <c r="I48" i="2"/>
  <c r="G49" i="2"/>
  <c r="H49" i="2" s="1"/>
  <c r="I49" i="2"/>
  <c r="G50" i="2"/>
  <c r="H50" i="2" s="1"/>
  <c r="I50" i="2"/>
  <c r="N50" i="2" s="1"/>
  <c r="G51" i="2"/>
  <c r="H51" i="2" s="1"/>
  <c r="I51" i="2"/>
  <c r="G52" i="2"/>
  <c r="H52" i="2" s="1"/>
  <c r="I52" i="2"/>
  <c r="G53" i="2"/>
  <c r="H53" i="2" s="1"/>
  <c r="I53" i="2"/>
  <c r="G54" i="2"/>
  <c r="H54" i="2" s="1"/>
  <c r="I54" i="2"/>
  <c r="G55" i="2"/>
  <c r="H55" i="2" s="1"/>
  <c r="I55" i="2"/>
  <c r="G56" i="2"/>
  <c r="H56" i="2" s="1"/>
  <c r="I56" i="2"/>
  <c r="N56" i="2" s="1"/>
  <c r="G57" i="2"/>
  <c r="H57" i="2" s="1"/>
  <c r="I57" i="2"/>
  <c r="G58" i="2"/>
  <c r="H58" i="2" s="1"/>
  <c r="I58" i="2"/>
  <c r="G59" i="2"/>
  <c r="H59" i="2" s="1"/>
  <c r="I59" i="2"/>
  <c r="G60" i="2"/>
  <c r="H60" i="2" s="1"/>
  <c r="I60" i="2"/>
  <c r="G61" i="2"/>
  <c r="H61" i="2" s="1"/>
  <c r="I61" i="2"/>
  <c r="G62" i="2"/>
  <c r="H62" i="2" s="1"/>
  <c r="I62" i="2"/>
  <c r="G63" i="2"/>
  <c r="H63" i="2" s="1"/>
  <c r="I63" i="2"/>
  <c r="G64" i="2"/>
  <c r="H64" i="2" s="1"/>
  <c r="I64" i="2"/>
  <c r="I65" i="2"/>
  <c r="G66" i="2"/>
  <c r="H66" i="2" s="1"/>
  <c r="I66" i="2"/>
  <c r="G67" i="2"/>
  <c r="H67" i="2" s="1"/>
  <c r="I67" i="2"/>
  <c r="O67" i="2" s="1"/>
  <c r="G68" i="2"/>
  <c r="H68" i="2" s="1"/>
  <c r="I68" i="2"/>
  <c r="I69" i="2"/>
  <c r="G70" i="2"/>
  <c r="H70" i="2" s="1"/>
  <c r="I70" i="2"/>
  <c r="G71" i="2"/>
  <c r="H71" i="2" s="1"/>
  <c r="I71" i="2"/>
  <c r="G72" i="2"/>
  <c r="H72" i="2" s="1"/>
  <c r="I72" i="2"/>
  <c r="G73" i="2"/>
  <c r="H73" i="2" s="1"/>
  <c r="I73" i="2"/>
  <c r="N73" i="2" s="1"/>
  <c r="G74" i="2"/>
  <c r="H74" i="2" s="1"/>
  <c r="I74" i="2"/>
  <c r="G75" i="2"/>
  <c r="H75" i="2" s="1"/>
  <c r="I75" i="2"/>
  <c r="G76" i="2"/>
  <c r="H76" i="2" s="1"/>
  <c r="I76" i="2"/>
  <c r="G77" i="2"/>
  <c r="H77" i="2" s="1"/>
  <c r="I77" i="2"/>
  <c r="G78" i="2"/>
  <c r="H78" i="2" s="1"/>
  <c r="I78" i="2"/>
  <c r="G79" i="2"/>
  <c r="H79" i="2" s="1"/>
  <c r="I79" i="2"/>
  <c r="G80" i="2"/>
  <c r="H80" i="2" s="1"/>
  <c r="I80" i="2"/>
  <c r="G81" i="2"/>
  <c r="H81" i="2" s="1"/>
  <c r="I81" i="2"/>
  <c r="G82" i="2"/>
  <c r="H82" i="2" s="1"/>
  <c r="I82" i="2"/>
  <c r="G83" i="2"/>
  <c r="H83" i="2" s="1"/>
  <c r="I83" i="2"/>
  <c r="G84" i="2"/>
  <c r="H84" i="2" s="1"/>
  <c r="I84" i="2"/>
  <c r="G85" i="2"/>
  <c r="H85" i="2" s="1"/>
  <c r="I85" i="2"/>
  <c r="G86" i="2"/>
  <c r="H86" i="2" s="1"/>
  <c r="I86" i="2"/>
  <c r="G87" i="2"/>
  <c r="H87" i="2" s="1"/>
  <c r="I87" i="2"/>
  <c r="G88" i="2"/>
  <c r="H88" i="2" s="1"/>
  <c r="I88" i="2"/>
  <c r="G89" i="2"/>
  <c r="H89" i="2" s="1"/>
  <c r="I89" i="2"/>
  <c r="G90" i="2"/>
  <c r="H90" i="2" s="1"/>
  <c r="I90" i="2"/>
  <c r="G91" i="2"/>
  <c r="H91" i="2" s="1"/>
  <c r="I91" i="2"/>
  <c r="N91" i="2" s="1"/>
  <c r="G92" i="2"/>
  <c r="H92" i="2" s="1"/>
  <c r="I92" i="2"/>
  <c r="G93" i="2"/>
  <c r="H93" i="2" s="1"/>
  <c r="I93" i="2"/>
  <c r="I94" i="2"/>
  <c r="G95" i="2"/>
  <c r="H95" i="2" s="1"/>
  <c r="I95" i="2"/>
  <c r="G96" i="2"/>
  <c r="H96" i="2" s="1"/>
  <c r="I96" i="2"/>
  <c r="I97" i="2"/>
  <c r="H98" i="2"/>
  <c r="I98" i="2"/>
  <c r="G99" i="2"/>
  <c r="H99" i="2" s="1"/>
  <c r="I99" i="2"/>
  <c r="G100" i="2"/>
  <c r="H100" i="2" s="1"/>
  <c r="I100" i="2"/>
  <c r="I101" i="2"/>
  <c r="G102" i="2"/>
  <c r="H102" i="2" s="1"/>
  <c r="I102" i="2"/>
  <c r="G103" i="2"/>
  <c r="H103" i="2" s="1"/>
  <c r="I103" i="2"/>
  <c r="G104" i="2"/>
  <c r="H104" i="2" s="1"/>
  <c r="I104" i="2"/>
  <c r="G105" i="2"/>
  <c r="H105" i="2" s="1"/>
  <c r="I105" i="2"/>
  <c r="G106" i="2"/>
  <c r="H106" i="2" s="1"/>
  <c r="I106" i="2"/>
  <c r="G107" i="2"/>
  <c r="H107" i="2" s="1"/>
  <c r="I107" i="2"/>
  <c r="G108" i="2"/>
  <c r="H108" i="2" s="1"/>
  <c r="I108" i="2"/>
  <c r="G109" i="2"/>
  <c r="H109" i="2" s="1"/>
  <c r="I109" i="2"/>
  <c r="G110" i="2"/>
  <c r="H110" i="2" s="1"/>
  <c r="I110" i="2"/>
  <c r="I111" i="2"/>
  <c r="N111" i="2" s="1"/>
  <c r="G112" i="2"/>
  <c r="H112" i="2" s="1"/>
  <c r="I112" i="2"/>
  <c r="G113" i="2"/>
  <c r="H113" i="2" s="1"/>
  <c r="I113" i="2"/>
  <c r="G114" i="2"/>
  <c r="H114" i="2" s="1"/>
  <c r="I114" i="2"/>
  <c r="G115" i="2"/>
  <c r="H115" i="2" s="1"/>
  <c r="I115" i="2"/>
  <c r="G116" i="2"/>
  <c r="H116" i="2" s="1"/>
  <c r="I116" i="2"/>
  <c r="G117" i="2"/>
  <c r="H117" i="2" s="1"/>
  <c r="I117" i="2"/>
  <c r="G118" i="2"/>
  <c r="H118" i="2" s="1"/>
  <c r="I118" i="2"/>
  <c r="G119" i="2"/>
  <c r="H119" i="2" s="1"/>
  <c r="I119" i="2"/>
  <c r="G120" i="2"/>
  <c r="H120" i="2" s="1"/>
  <c r="I120" i="2"/>
  <c r="G121" i="2"/>
  <c r="H121" i="2" s="1"/>
  <c r="I121" i="2"/>
  <c r="G122" i="2"/>
  <c r="H122" i="2" s="1"/>
  <c r="I122" i="2"/>
  <c r="I123" i="2"/>
  <c r="G124" i="2"/>
  <c r="H124" i="2" s="1"/>
  <c r="I124" i="2"/>
  <c r="I125" i="2"/>
  <c r="G126" i="2"/>
  <c r="H126" i="2" s="1"/>
  <c r="I126" i="2"/>
  <c r="G127" i="2"/>
  <c r="H127" i="2" s="1"/>
  <c r="I127" i="2"/>
  <c r="G128" i="2"/>
  <c r="H128" i="2" s="1"/>
  <c r="I128" i="2"/>
  <c r="G129" i="2"/>
  <c r="H129" i="2" s="1"/>
  <c r="I129" i="2"/>
  <c r="G130" i="2"/>
  <c r="H130" i="2" s="1"/>
  <c r="I130" i="2"/>
  <c r="G131" i="2"/>
  <c r="H131" i="2" s="1"/>
  <c r="I131" i="2"/>
  <c r="G132" i="2"/>
  <c r="H132" i="2" s="1"/>
  <c r="I132" i="2"/>
  <c r="G133" i="2"/>
  <c r="H133" i="2" s="1"/>
  <c r="I133" i="2"/>
  <c r="G134" i="2"/>
  <c r="H134" i="2" s="1"/>
  <c r="I134" i="2"/>
  <c r="G135" i="2"/>
  <c r="H135" i="2" s="1"/>
  <c r="I135" i="2"/>
  <c r="G136" i="2"/>
  <c r="H136" i="2" s="1"/>
  <c r="I136" i="2"/>
  <c r="G137" i="2"/>
  <c r="H137" i="2" s="1"/>
  <c r="I137" i="2"/>
  <c r="I138" i="2"/>
  <c r="I139" i="2"/>
  <c r="G139" i="2"/>
  <c r="H139" i="2" s="1"/>
  <c r="I140" i="2"/>
  <c r="G141" i="2"/>
  <c r="H141" i="2" s="1"/>
  <c r="I141" i="2"/>
  <c r="I142" i="2"/>
  <c r="G143" i="2"/>
  <c r="H143" i="2" s="1"/>
  <c r="I143" i="2"/>
  <c r="G144" i="2"/>
  <c r="H144" i="2" s="1"/>
  <c r="I144" i="2"/>
  <c r="G149" i="2"/>
  <c r="H149" i="2" s="1"/>
  <c r="I149" i="2"/>
  <c r="I151" i="2"/>
  <c r="G152" i="2"/>
  <c r="H152" i="2" s="1"/>
  <c r="I152" i="2"/>
  <c r="I153" i="2"/>
  <c r="G154" i="2"/>
  <c r="H154" i="2" s="1"/>
  <c r="I154" i="2"/>
  <c r="G155" i="2"/>
  <c r="H155" i="2" s="1"/>
  <c r="I155" i="2"/>
  <c r="G156" i="2"/>
  <c r="H156" i="2" s="1"/>
  <c r="I156" i="2"/>
  <c r="I157" i="2"/>
  <c r="E34" i="1"/>
  <c r="E118" i="1"/>
  <c r="B160" i="1" s="1"/>
  <c r="A34" i="1"/>
  <c r="A35" i="1" s="1"/>
  <c r="B132" i="1"/>
  <c r="S38" i="2"/>
  <c r="S147" i="2"/>
  <c r="S148" i="2"/>
  <c r="S149" i="2"/>
  <c r="S151" i="2"/>
  <c r="S152" i="2"/>
  <c r="S153" i="2"/>
  <c r="S154" i="2"/>
  <c r="S155" i="2"/>
  <c r="S156" i="2"/>
  <c r="S157" i="2"/>
  <c r="S158" i="2"/>
  <c r="I158" i="2"/>
  <c r="G158" i="2"/>
  <c r="H158" i="2" s="1"/>
  <c r="B73" i="2"/>
  <c r="D161" i="2"/>
  <c r="B7" i="2"/>
  <c r="N53" i="2" l="1"/>
  <c r="O53" i="2"/>
  <c r="N61" i="2"/>
  <c r="O61" i="2"/>
  <c r="N133" i="2"/>
  <c r="H6" i="2"/>
  <c r="E35" i="1"/>
  <c r="E98" i="1" s="1"/>
  <c r="B130" i="1" s="1"/>
  <c r="B133" i="1" s="1"/>
  <c r="N149" i="2"/>
  <c r="B74" i="2"/>
  <c r="T73" i="2"/>
  <c r="B8" i="2"/>
  <c r="T7" i="2"/>
  <c r="G18" i="2"/>
  <c r="H18" i="2" s="1"/>
  <c r="G123" i="2"/>
  <c r="H123" i="2" s="1"/>
  <c r="G140" i="2"/>
  <c r="H140" i="2" s="1"/>
  <c r="K161" i="2"/>
  <c r="L161" i="2"/>
  <c r="G153" i="2"/>
  <c r="H153" i="2" s="1"/>
  <c r="G125" i="2"/>
  <c r="H125" i="2" s="1"/>
  <c r="G37" i="2"/>
  <c r="H37" i="2" s="1"/>
  <c r="G157" i="2"/>
  <c r="H157" i="2" s="1"/>
  <c r="G151" i="2"/>
  <c r="H151" i="2" s="1"/>
  <c r="B158" i="1"/>
  <c r="S74" i="2"/>
  <c r="S73" i="2"/>
  <c r="S7" i="2"/>
  <c r="B9" i="2" l="1"/>
  <c r="T8" i="2"/>
  <c r="S8" i="2"/>
  <c r="B75" i="2"/>
  <c r="T74" i="2"/>
  <c r="N161" i="2"/>
  <c r="B76" i="2" l="1"/>
  <c r="T75" i="2"/>
  <c r="S75" i="2"/>
  <c r="B10" i="2"/>
  <c r="T9" i="2"/>
  <c r="S9" i="2"/>
  <c r="M161" i="2"/>
  <c r="B11" i="2" l="1"/>
  <c r="T10" i="2"/>
  <c r="S10" i="2"/>
  <c r="B77" i="2"/>
  <c r="T76" i="2"/>
  <c r="S76" i="2"/>
  <c r="P149" i="2"/>
  <c r="R149" i="2" s="1"/>
  <c r="P152" i="2"/>
  <c r="R152" i="2" s="1"/>
  <c r="P151" i="2"/>
  <c r="R151" i="2" s="1"/>
  <c r="P153" i="2"/>
  <c r="R153" i="2" s="1"/>
  <c r="P154" i="2"/>
  <c r="R154" i="2" s="1"/>
  <c r="P155" i="2"/>
  <c r="R155" i="2" s="1"/>
  <c r="P157" i="2"/>
  <c r="R157" i="2" s="1"/>
  <c r="P156" i="2"/>
  <c r="R156" i="2" s="1"/>
  <c r="P158" i="2"/>
  <c r="R158" i="2" s="1"/>
  <c r="B78" i="2" l="1"/>
  <c r="T77" i="2"/>
  <c r="S77" i="2"/>
  <c r="P77" i="2" s="1"/>
  <c r="R77" i="2" s="1"/>
  <c r="B12" i="2"/>
  <c r="T11" i="2"/>
  <c r="S11" i="2"/>
  <c r="P11" i="2" s="1"/>
  <c r="R11" i="2" s="1"/>
  <c r="P7" i="2"/>
  <c r="R7" i="2" s="1"/>
  <c r="P8" i="2"/>
  <c r="R8" i="2" s="1"/>
  <c r="P38" i="2"/>
  <c r="R38" i="2" s="1"/>
  <c r="P75" i="2"/>
  <c r="R75" i="2" s="1"/>
  <c r="P10" i="2"/>
  <c r="R10" i="2" s="1"/>
  <c r="P73" i="2"/>
  <c r="R73" i="2" s="1"/>
  <c r="P9" i="2"/>
  <c r="R9" i="2" s="1"/>
  <c r="P76" i="2"/>
  <c r="R76" i="2" s="1"/>
  <c r="P74" i="2"/>
  <c r="R74" i="2" s="1"/>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6" i="2"/>
  <c r="P6" i="2" s="1"/>
  <c r="R6" i="2" s="1"/>
  <c r="B13" i="2" l="1"/>
  <c r="T12" i="2"/>
  <c r="S12" i="2"/>
  <c r="P12" i="2" s="1"/>
  <c r="R12" i="2" s="1"/>
  <c r="B79" i="2"/>
  <c r="T78" i="2"/>
  <c r="S78" i="2"/>
  <c r="P78" i="2" s="1"/>
  <c r="R78" i="2" s="1"/>
  <c r="P49" i="2"/>
  <c r="R49" i="2" s="1"/>
  <c r="B80" i="2" l="1"/>
  <c r="T79" i="2"/>
  <c r="S79" i="2"/>
  <c r="P79" i="2" s="1"/>
  <c r="R79" i="2" s="1"/>
  <c r="B14" i="2"/>
  <c r="T13" i="2"/>
  <c r="S13" i="2"/>
  <c r="P13" i="2" s="1"/>
  <c r="R13" i="2" s="1"/>
  <c r="B139" i="1"/>
  <c r="E161" i="2"/>
  <c r="B15" i="2" l="1"/>
  <c r="T14" i="2"/>
  <c r="S14" i="2"/>
  <c r="P14" i="2" s="1"/>
  <c r="R14" i="2" s="1"/>
  <c r="B81" i="2"/>
  <c r="T80" i="2"/>
  <c r="S80" i="2"/>
  <c r="P80" i="2" s="1"/>
  <c r="R80" i="2" s="1"/>
  <c r="P48" i="2"/>
  <c r="R48" i="2" s="1"/>
  <c r="P43" i="2"/>
  <c r="R43" i="2" s="1"/>
  <c r="P60" i="2"/>
  <c r="R60" i="2" s="1"/>
  <c r="P56" i="2"/>
  <c r="R56" i="2" s="1"/>
  <c r="P51" i="2"/>
  <c r="R51" i="2" s="1"/>
  <c r="P46" i="2"/>
  <c r="R46" i="2" s="1"/>
  <c r="P42" i="2"/>
  <c r="R42" i="2" s="1"/>
  <c r="P40" i="2"/>
  <c r="R40" i="2" s="1"/>
  <c r="P47" i="2"/>
  <c r="R47" i="2" s="1"/>
  <c r="P39" i="2"/>
  <c r="R39" i="2" s="1"/>
  <c r="P72" i="2"/>
  <c r="R72" i="2" s="1"/>
  <c r="P63" i="2"/>
  <c r="R63" i="2" s="1"/>
  <c r="P50" i="2"/>
  <c r="R50" i="2" s="1"/>
  <c r="P45" i="2"/>
  <c r="R45" i="2" s="1"/>
  <c r="P41" i="2"/>
  <c r="R41" i="2" s="1"/>
  <c r="B131" i="1"/>
  <c r="G161" i="2"/>
  <c r="P68" i="2"/>
  <c r="R68" i="2" s="1"/>
  <c r="P69" i="2"/>
  <c r="R69" i="2" s="1"/>
  <c r="P71" i="2"/>
  <c r="R71" i="2" s="1"/>
  <c r="P70" i="2"/>
  <c r="R70" i="2" s="1"/>
  <c r="P55" i="2"/>
  <c r="R55" i="2" s="1"/>
  <c r="P66" i="2"/>
  <c r="R66" i="2" s="1"/>
  <c r="P62" i="2"/>
  <c r="R62" i="2" s="1"/>
  <c r="P58" i="2"/>
  <c r="R58" i="2" s="1"/>
  <c r="P54" i="2"/>
  <c r="R54" i="2" s="1"/>
  <c r="P59" i="2"/>
  <c r="R59" i="2" s="1"/>
  <c r="P65" i="2"/>
  <c r="R65" i="2" s="1"/>
  <c r="P61" i="2"/>
  <c r="R61" i="2" s="1"/>
  <c r="P57" i="2"/>
  <c r="R57" i="2" s="1"/>
  <c r="P53" i="2"/>
  <c r="R53" i="2" s="1"/>
  <c r="P67" i="2"/>
  <c r="R67" i="2" s="1"/>
  <c r="P64" i="2"/>
  <c r="R64" i="2" s="1"/>
  <c r="P52" i="2"/>
  <c r="R52" i="2" s="1"/>
  <c r="I161" i="2"/>
  <c r="B82" i="2" l="1"/>
  <c r="T81" i="2"/>
  <c r="S81" i="2"/>
  <c r="P81" i="2" s="1"/>
  <c r="R81" i="2" s="1"/>
  <c r="B16" i="2"/>
  <c r="T15" i="2"/>
  <c r="S15" i="2"/>
  <c r="P15" i="2" s="1"/>
  <c r="R15" i="2" s="1"/>
  <c r="B159" i="1"/>
  <c r="B161" i="1" s="1"/>
  <c r="B169" i="1" s="1"/>
  <c r="J161" i="2"/>
  <c r="B17" i="2" l="1"/>
  <c r="T16" i="2"/>
  <c r="S16" i="2"/>
  <c r="P16" i="2" s="1"/>
  <c r="R16" i="2" s="1"/>
  <c r="B83" i="2"/>
  <c r="T82" i="2"/>
  <c r="S82" i="2"/>
  <c r="P82" i="2" s="1"/>
  <c r="R82" i="2" s="1"/>
  <c r="B84" i="2" l="1"/>
  <c r="T83" i="2"/>
  <c r="S83" i="2"/>
  <c r="P83" i="2" s="1"/>
  <c r="R83" i="2" s="1"/>
  <c r="B18" i="2"/>
  <c r="T17" i="2"/>
  <c r="S17" i="2"/>
  <c r="P17" i="2" s="1"/>
  <c r="R17" i="2" s="1"/>
  <c r="B19" i="2" l="1"/>
  <c r="T18" i="2"/>
  <c r="S18" i="2"/>
  <c r="P18" i="2" s="1"/>
  <c r="R18" i="2" s="1"/>
  <c r="B85" i="2"/>
  <c r="T84" i="2"/>
  <c r="S84" i="2"/>
  <c r="P84" i="2" s="1"/>
  <c r="R84" i="2" s="1"/>
  <c r="B20" i="2" l="1"/>
  <c r="T19" i="2"/>
  <c r="S19" i="2"/>
  <c r="P19" i="2" s="1"/>
  <c r="R19" i="2" s="1"/>
  <c r="B86" i="2"/>
  <c r="T85" i="2"/>
  <c r="S85" i="2"/>
  <c r="P85" i="2" s="1"/>
  <c r="R85" i="2" s="1"/>
  <c r="B87" i="2" l="1"/>
  <c r="T86" i="2"/>
  <c r="S86" i="2"/>
  <c r="P86" i="2" s="1"/>
  <c r="R86" i="2" s="1"/>
  <c r="B21" i="2"/>
  <c r="T20" i="2"/>
  <c r="S20" i="2"/>
  <c r="P20" i="2" s="1"/>
  <c r="R20" i="2" s="1"/>
  <c r="B22" i="2" l="1"/>
  <c r="T21" i="2"/>
  <c r="S21" i="2"/>
  <c r="P21" i="2" s="1"/>
  <c r="R21" i="2" s="1"/>
  <c r="B88" i="2"/>
  <c r="T87" i="2"/>
  <c r="S87" i="2"/>
  <c r="P87" i="2" s="1"/>
  <c r="R87" i="2" s="1"/>
  <c r="B89" i="2" l="1"/>
  <c r="T88" i="2"/>
  <c r="S88" i="2"/>
  <c r="P88" i="2" s="1"/>
  <c r="R88" i="2" s="1"/>
  <c r="B23" i="2"/>
  <c r="T22" i="2"/>
  <c r="S22" i="2"/>
  <c r="P22" i="2" s="1"/>
  <c r="R22" i="2" s="1"/>
  <c r="B24" i="2" l="1"/>
  <c r="T23" i="2"/>
  <c r="S23" i="2"/>
  <c r="P23" i="2" s="1"/>
  <c r="R23" i="2" s="1"/>
  <c r="B90" i="2"/>
  <c r="T89" i="2"/>
  <c r="S89" i="2"/>
  <c r="P89" i="2" s="1"/>
  <c r="R89" i="2" s="1"/>
  <c r="B91" i="2" l="1"/>
  <c r="T90" i="2"/>
  <c r="S90" i="2"/>
  <c r="P90" i="2" s="1"/>
  <c r="R90" i="2" s="1"/>
  <c r="B25" i="2"/>
  <c r="T24" i="2"/>
  <c r="S24" i="2"/>
  <c r="P24" i="2" s="1"/>
  <c r="R24" i="2" s="1"/>
  <c r="B26" i="2" l="1"/>
  <c r="T25" i="2"/>
  <c r="S25" i="2"/>
  <c r="P25" i="2" s="1"/>
  <c r="R25" i="2" s="1"/>
  <c r="B92" i="2"/>
  <c r="T91" i="2"/>
  <c r="S91" i="2"/>
  <c r="P91" i="2" s="1"/>
  <c r="R91" i="2" s="1"/>
  <c r="B27" i="2" l="1"/>
  <c r="T26" i="2"/>
  <c r="S26" i="2"/>
  <c r="P26" i="2" s="1"/>
  <c r="R26" i="2" s="1"/>
  <c r="B93" i="2"/>
  <c r="T92" i="2"/>
  <c r="S92" i="2"/>
  <c r="P92" i="2" s="1"/>
  <c r="R92" i="2" s="1"/>
  <c r="B94" i="2" l="1"/>
  <c r="T93" i="2"/>
  <c r="S93" i="2"/>
  <c r="P93" i="2" s="1"/>
  <c r="R93" i="2" s="1"/>
  <c r="B28" i="2"/>
  <c r="T27" i="2"/>
  <c r="S27" i="2"/>
  <c r="P27" i="2" s="1"/>
  <c r="R27" i="2" s="1"/>
  <c r="B29" i="2" l="1"/>
  <c r="T28" i="2"/>
  <c r="S28" i="2"/>
  <c r="P28" i="2" s="1"/>
  <c r="R28" i="2" s="1"/>
  <c r="B95" i="2"/>
  <c r="T94" i="2"/>
  <c r="S94" i="2"/>
  <c r="P94" i="2" s="1"/>
  <c r="R94" i="2" s="1"/>
  <c r="B96" i="2" l="1"/>
  <c r="T95" i="2"/>
  <c r="S95" i="2"/>
  <c r="P95" i="2" s="1"/>
  <c r="R95" i="2" s="1"/>
  <c r="B30" i="2"/>
  <c r="T29" i="2"/>
  <c r="S29" i="2"/>
  <c r="P29" i="2" s="1"/>
  <c r="R29" i="2" s="1"/>
  <c r="B31" i="2" l="1"/>
  <c r="T30" i="2"/>
  <c r="S30" i="2"/>
  <c r="P30" i="2" s="1"/>
  <c r="R30" i="2" s="1"/>
  <c r="B97" i="2"/>
  <c r="T96" i="2"/>
  <c r="S96" i="2"/>
  <c r="P96" i="2" s="1"/>
  <c r="R96" i="2" s="1"/>
  <c r="B98" i="2" l="1"/>
  <c r="T97" i="2"/>
  <c r="S97" i="2"/>
  <c r="P97" i="2" s="1"/>
  <c r="R97" i="2" s="1"/>
  <c r="B32" i="2"/>
  <c r="T31" i="2"/>
  <c r="S31" i="2"/>
  <c r="P31" i="2" s="1"/>
  <c r="R31" i="2" s="1"/>
  <c r="B33" i="2" l="1"/>
  <c r="T32" i="2"/>
  <c r="S32" i="2"/>
  <c r="P32" i="2" s="1"/>
  <c r="R32" i="2" s="1"/>
  <c r="B99" i="2"/>
  <c r="T98" i="2"/>
  <c r="S98" i="2"/>
  <c r="P98" i="2" s="1"/>
  <c r="R98" i="2" s="1"/>
  <c r="B100" i="2" l="1"/>
  <c r="T99" i="2"/>
  <c r="S99" i="2"/>
  <c r="P99" i="2" s="1"/>
  <c r="R99" i="2" s="1"/>
  <c r="B34" i="2"/>
  <c r="T33" i="2"/>
  <c r="S33" i="2"/>
  <c r="P33" i="2" s="1"/>
  <c r="R33" i="2" s="1"/>
  <c r="B35" i="2" l="1"/>
  <c r="T34" i="2"/>
  <c r="S34" i="2"/>
  <c r="P34" i="2" s="1"/>
  <c r="R34" i="2" s="1"/>
  <c r="B101" i="2"/>
  <c r="T100" i="2"/>
  <c r="S100" i="2"/>
  <c r="P100" i="2" s="1"/>
  <c r="R100" i="2" s="1"/>
  <c r="B102" i="2" l="1"/>
  <c r="T101" i="2"/>
  <c r="S101" i="2"/>
  <c r="P101" i="2" s="1"/>
  <c r="R101" i="2" s="1"/>
  <c r="B36" i="2"/>
  <c r="T35" i="2"/>
  <c r="S35" i="2"/>
  <c r="P35" i="2" s="1"/>
  <c r="R35" i="2" s="1"/>
  <c r="B37" i="2" l="1"/>
  <c r="T36" i="2"/>
  <c r="S36" i="2"/>
  <c r="P36" i="2" s="1"/>
  <c r="R36" i="2" s="1"/>
  <c r="B103" i="2"/>
  <c r="T102" i="2"/>
  <c r="S102" i="2"/>
  <c r="P102" i="2" s="1"/>
  <c r="R102" i="2" s="1"/>
  <c r="B104" i="2" l="1"/>
  <c r="T103" i="2"/>
  <c r="S103" i="2"/>
  <c r="P103" i="2" s="1"/>
  <c r="R103" i="2" s="1"/>
  <c r="S37" i="2"/>
  <c r="P37" i="2" s="1"/>
  <c r="R37" i="2" s="1"/>
  <c r="T37" i="2"/>
  <c r="B105" i="2" l="1"/>
  <c r="T104" i="2"/>
  <c r="S104" i="2"/>
  <c r="P104" i="2" s="1"/>
  <c r="R104" i="2" s="1"/>
  <c r="B106" i="2" l="1"/>
  <c r="T105" i="2"/>
  <c r="S105" i="2"/>
  <c r="P105" i="2" s="1"/>
  <c r="R105" i="2" s="1"/>
  <c r="B107" i="2" l="1"/>
  <c r="T106" i="2"/>
  <c r="S106" i="2"/>
  <c r="P106" i="2" s="1"/>
  <c r="R106" i="2" s="1"/>
  <c r="B108" i="2" l="1"/>
  <c r="T107" i="2"/>
  <c r="S107" i="2"/>
  <c r="P107" i="2" s="1"/>
  <c r="R107" i="2" s="1"/>
  <c r="B109" i="2" l="1"/>
  <c r="T108" i="2"/>
  <c r="S108" i="2"/>
  <c r="P108" i="2" s="1"/>
  <c r="R108" i="2" s="1"/>
  <c r="B110" i="2" l="1"/>
  <c r="T109" i="2"/>
  <c r="S109" i="2"/>
  <c r="P109" i="2" s="1"/>
  <c r="R109" i="2" s="1"/>
  <c r="B111" i="2" l="1"/>
  <c r="T110" i="2"/>
  <c r="S110" i="2"/>
  <c r="P110" i="2" s="1"/>
  <c r="R110" i="2" s="1"/>
  <c r="B112" i="2" l="1"/>
  <c r="T111" i="2"/>
  <c r="S111" i="2"/>
  <c r="P111" i="2" s="1"/>
  <c r="R111" i="2" s="1"/>
  <c r="B113" i="2" l="1"/>
  <c r="T112" i="2"/>
  <c r="S112" i="2"/>
  <c r="P112" i="2" s="1"/>
  <c r="R112" i="2" s="1"/>
  <c r="B114" i="2" l="1"/>
  <c r="T113" i="2"/>
  <c r="S113" i="2"/>
  <c r="P113" i="2" s="1"/>
  <c r="R113" i="2" s="1"/>
  <c r="B115" i="2" l="1"/>
  <c r="T114" i="2"/>
  <c r="S114" i="2"/>
  <c r="P114" i="2" s="1"/>
  <c r="R114" i="2" s="1"/>
  <c r="B116" i="2" l="1"/>
  <c r="T115" i="2"/>
  <c r="S115" i="2"/>
  <c r="P115" i="2" s="1"/>
  <c r="R115" i="2" s="1"/>
  <c r="B117" i="2" l="1"/>
  <c r="T116" i="2"/>
  <c r="S116" i="2"/>
  <c r="P116" i="2" s="1"/>
  <c r="R116" i="2" s="1"/>
  <c r="B118" i="2" l="1"/>
  <c r="T117" i="2"/>
  <c r="S117" i="2"/>
  <c r="P117" i="2" s="1"/>
  <c r="R117" i="2" s="1"/>
  <c r="B119" i="2" l="1"/>
  <c r="T118" i="2"/>
  <c r="S118" i="2"/>
  <c r="P118" i="2" s="1"/>
  <c r="R118" i="2" s="1"/>
  <c r="B120" i="2" l="1"/>
  <c r="T119" i="2"/>
  <c r="S119" i="2"/>
  <c r="P119" i="2" s="1"/>
  <c r="R119" i="2" s="1"/>
  <c r="B121" i="2" l="1"/>
  <c r="T120" i="2"/>
  <c r="S120" i="2"/>
  <c r="P120" i="2" s="1"/>
  <c r="R120" i="2" s="1"/>
  <c r="B122" i="2" l="1"/>
  <c r="T121" i="2"/>
  <c r="S121" i="2"/>
  <c r="P121" i="2" s="1"/>
  <c r="R121" i="2" s="1"/>
  <c r="B123" i="2" l="1"/>
  <c r="T122" i="2"/>
  <c r="S122" i="2"/>
  <c r="P122" i="2" s="1"/>
  <c r="R122" i="2" s="1"/>
  <c r="B124" i="2" l="1"/>
  <c r="T123" i="2"/>
  <c r="S123" i="2"/>
  <c r="P123" i="2" s="1"/>
  <c r="R123" i="2" s="1"/>
  <c r="B125" i="2" l="1"/>
  <c r="T124" i="2"/>
  <c r="S124" i="2"/>
  <c r="P124" i="2" s="1"/>
  <c r="R124" i="2" s="1"/>
  <c r="B126" i="2" l="1"/>
  <c r="T125" i="2"/>
  <c r="S125" i="2"/>
  <c r="P125" i="2" s="1"/>
  <c r="R125" i="2" s="1"/>
  <c r="B127" i="2" l="1"/>
  <c r="T126" i="2"/>
  <c r="S126" i="2"/>
  <c r="P126" i="2" s="1"/>
  <c r="R126" i="2" s="1"/>
  <c r="B128" i="2" l="1"/>
  <c r="T127" i="2"/>
  <c r="S127" i="2"/>
  <c r="P127" i="2" s="1"/>
  <c r="R127" i="2" s="1"/>
  <c r="B129" i="2" l="1"/>
  <c r="T128" i="2"/>
  <c r="S128" i="2"/>
  <c r="P128" i="2" s="1"/>
  <c r="R128" i="2" s="1"/>
  <c r="B130" i="2" l="1"/>
  <c r="T129" i="2"/>
  <c r="S129" i="2"/>
  <c r="P129" i="2" s="1"/>
  <c r="R129" i="2" s="1"/>
  <c r="B131" i="2" l="1"/>
  <c r="T130" i="2"/>
  <c r="S130" i="2"/>
  <c r="P130" i="2" s="1"/>
  <c r="R130" i="2" s="1"/>
  <c r="B132" i="2" l="1"/>
  <c r="T131" i="2"/>
  <c r="S131" i="2"/>
  <c r="P131" i="2" s="1"/>
  <c r="R131" i="2" s="1"/>
  <c r="B133" i="2" l="1"/>
  <c r="T132" i="2"/>
  <c r="S132" i="2"/>
  <c r="P132" i="2" s="1"/>
  <c r="R132" i="2" s="1"/>
  <c r="B134" i="2" l="1"/>
  <c r="T133" i="2"/>
  <c r="S133" i="2"/>
  <c r="P133" i="2" s="1"/>
  <c r="R133" i="2" s="1"/>
  <c r="B135" i="2" l="1"/>
  <c r="T134" i="2"/>
  <c r="S134" i="2"/>
  <c r="P134" i="2" s="1"/>
  <c r="R134" i="2" s="1"/>
  <c r="B136" i="2" l="1"/>
  <c r="T135" i="2"/>
  <c r="S135" i="2"/>
  <c r="P135" i="2" s="1"/>
  <c r="R135" i="2" s="1"/>
  <c r="B137" i="2" l="1"/>
  <c r="T136" i="2"/>
  <c r="S136" i="2"/>
  <c r="P136" i="2" s="1"/>
  <c r="R136" i="2" s="1"/>
  <c r="B138" i="2" l="1"/>
  <c r="T137" i="2"/>
  <c r="S137" i="2"/>
  <c r="P137" i="2" s="1"/>
  <c r="R137" i="2" s="1"/>
  <c r="B139" i="2" l="1"/>
  <c r="T138" i="2"/>
  <c r="S138" i="2"/>
  <c r="P138" i="2" s="1"/>
  <c r="R138" i="2" s="1"/>
  <c r="B140" i="2" l="1"/>
  <c r="T139" i="2"/>
  <c r="S139" i="2"/>
  <c r="P139" i="2" s="1"/>
  <c r="R139" i="2" s="1"/>
  <c r="B141" i="2" l="1"/>
  <c r="T140" i="2"/>
  <c r="S140" i="2"/>
  <c r="P140" i="2" s="1"/>
  <c r="R140" i="2" s="1"/>
  <c r="B142" i="2" l="1"/>
  <c r="T141" i="2"/>
  <c r="S141" i="2"/>
  <c r="P141" i="2" s="1"/>
  <c r="R141" i="2" s="1"/>
  <c r="B143" i="2" l="1"/>
  <c r="T142" i="2"/>
  <c r="S142" i="2"/>
  <c r="P142" i="2" s="1"/>
  <c r="R142" i="2" s="1"/>
  <c r="B144" i="2" l="1"/>
  <c r="T143" i="2"/>
  <c r="S143" i="2"/>
  <c r="P143" i="2" s="1"/>
  <c r="R143" i="2" s="1"/>
  <c r="B145" i="2" l="1"/>
  <c r="T144" i="2"/>
  <c r="S144" i="2"/>
  <c r="P144" i="2" s="1"/>
  <c r="R144" i="2" s="1"/>
  <c r="B146" i="2" l="1"/>
  <c r="T145" i="2"/>
  <c r="S145" i="2"/>
  <c r="S146" i="2" l="1"/>
  <c r="T146" i="2"/>
  <c r="P44" i="2"/>
  <c r="R44" i="2" s="1"/>
  <c r="O161" i="2"/>
  <c r="R161" i="2" l="1"/>
  <c r="P161" i="2"/>
</calcChain>
</file>

<file path=xl/sharedStrings.xml><?xml version="1.0" encoding="utf-8"?>
<sst xmlns="http://schemas.openxmlformats.org/spreadsheetml/2006/main" count="780" uniqueCount="498">
  <si>
    <t>Dpto.</t>
  </si>
  <si>
    <t>UF</t>
  </si>
  <si>
    <t>Propietario</t>
  </si>
  <si>
    <t xml:space="preserve">Ingreso </t>
  </si>
  <si>
    <t>TOTAL</t>
  </si>
  <si>
    <t>GASTOS ORDINARIOS UNIDADES FUNCIONALES:</t>
  </si>
  <si>
    <t xml:space="preserve"> (%)</t>
  </si>
  <si>
    <t>GASTOS BANCARIOS</t>
  </si>
  <si>
    <t xml:space="preserve">TOTAL ORDINARIOS </t>
  </si>
  <si>
    <t>ABONOS Y SERVICIOS</t>
  </si>
  <si>
    <t>Seracarh</t>
  </si>
  <si>
    <t>Fatheryh</t>
  </si>
  <si>
    <t>HONORARIOS</t>
  </si>
  <si>
    <t xml:space="preserve">TOTAL EXTRAORDINARIOS </t>
  </si>
  <si>
    <t>Egresos Ordinarios</t>
  </si>
  <si>
    <t>Expensas ord.</t>
  </si>
  <si>
    <t>Deuda o Saldo a favor</t>
  </si>
  <si>
    <t>DEPOSITOS NO IDENTIFICADOS</t>
  </si>
  <si>
    <t>HABERES ENCARGADOS</t>
  </si>
  <si>
    <t>Neto</t>
  </si>
  <si>
    <t>Suther</t>
  </si>
  <si>
    <t>GASTOS EXTRAORDINARIOS:</t>
  </si>
  <si>
    <t>Gastos banacarios</t>
  </si>
  <si>
    <t>Mantenimiento de cuenta</t>
  </si>
  <si>
    <t>Lettieri, Miguel Angel</t>
  </si>
  <si>
    <t>Basile, Santiago</t>
  </si>
  <si>
    <t>Garcia, Stella Maris</t>
  </si>
  <si>
    <t>Tamburrino, Javier</t>
  </si>
  <si>
    <t>Marquez, Florencia</t>
  </si>
  <si>
    <t>Olmedo, Alberto</t>
  </si>
  <si>
    <t>Troppelli, R. / Segura, J.</t>
  </si>
  <si>
    <t>Ferraris, Sergio</t>
  </si>
  <si>
    <t>Schunk, Andrea</t>
  </si>
  <si>
    <t>Arrom, Tamara</t>
  </si>
  <si>
    <t>ADVC SRL.</t>
  </si>
  <si>
    <t>De Lucas, S.</t>
  </si>
  <si>
    <t>Zacharias, Valeria</t>
  </si>
  <si>
    <t>De Nardi, Mario</t>
  </si>
  <si>
    <t>Oniszczuk, Sebastian</t>
  </si>
  <si>
    <t>Gomez, Jose Luis</t>
  </si>
  <si>
    <t>Carcioni, Jose</t>
  </si>
  <si>
    <t>Oniszczuk, Esteban</t>
  </si>
  <si>
    <t>Dominguez, Javier</t>
  </si>
  <si>
    <t>Calviño, Eduardo</t>
  </si>
  <si>
    <t>Cejas, Nicolas</t>
  </si>
  <si>
    <t>De Nardi, Karina</t>
  </si>
  <si>
    <t>Montero, Pablo</t>
  </si>
  <si>
    <t>Gariotto, Salvador</t>
  </si>
  <si>
    <t>Aducci, Marcelo</t>
  </si>
  <si>
    <t>Petrucchi, Hernan</t>
  </si>
  <si>
    <t>Rosi, Martin</t>
  </si>
  <si>
    <t>Bernardez, M. / Giordano, J.</t>
  </si>
  <si>
    <t>Giordano, Juan Pablo</t>
  </si>
  <si>
    <t>Di Biase, Diego</t>
  </si>
  <si>
    <t>Acosta, Claudio</t>
  </si>
  <si>
    <t>Caiz, Ariel</t>
  </si>
  <si>
    <t>Tortorisi, Antonio</t>
  </si>
  <si>
    <t>Olivero, Marcelo</t>
  </si>
  <si>
    <t>Papa, V. / Sotelo, E.</t>
  </si>
  <si>
    <t>Lopez Zevallo, Martin</t>
  </si>
  <si>
    <t>Gaspari, Federico</t>
  </si>
  <si>
    <t>Gutierrez, Maria Soledad</t>
  </si>
  <si>
    <t>Giallonardo, Ariel</t>
  </si>
  <si>
    <t>Orso, Graciela</t>
  </si>
  <si>
    <t>Topino, Maximiliano</t>
  </si>
  <si>
    <t>Pucci, C. / Celeiro, N.</t>
  </si>
  <si>
    <t>Varoli, Elina</t>
  </si>
  <si>
    <t>Picciuolo, Nicolas</t>
  </si>
  <si>
    <t>de la Calle, Miguel Angel</t>
  </si>
  <si>
    <t>Carrasco, Mariela</t>
  </si>
  <si>
    <t>Ruiz, Sebastian</t>
  </si>
  <si>
    <t>Itoiz, Juan Pablo</t>
  </si>
  <si>
    <t>Carderi, Damian</t>
  </si>
  <si>
    <t>Didio Bonasera, Gaston</t>
  </si>
  <si>
    <t>Korin, Alejandro</t>
  </si>
  <si>
    <t>Desantis, Julieta</t>
  </si>
  <si>
    <t>Dimunzio Ayaso, Ivana</t>
  </si>
  <si>
    <t>Kanhan, Carlos</t>
  </si>
  <si>
    <t>Rudi, Marcela</t>
  </si>
  <si>
    <t>Molina, Leonardo</t>
  </si>
  <si>
    <t>Sallaberry, Pablo</t>
  </si>
  <si>
    <t>Varela, E. / De Caria, S.</t>
  </si>
  <si>
    <t>Carnevale, Yesica</t>
  </si>
  <si>
    <t>Espinola, Leandro</t>
  </si>
  <si>
    <t>Hecimovic, Mariano</t>
  </si>
  <si>
    <t>Moraschi, Luis</t>
  </si>
  <si>
    <t>Agüero, Paula</t>
  </si>
  <si>
    <t>Fayanas, Santiago</t>
  </si>
  <si>
    <t>Amenta, Cristian</t>
  </si>
  <si>
    <t>Mon, Fernando</t>
  </si>
  <si>
    <t>Strianese, Marcos</t>
  </si>
  <si>
    <t>Toniutti, Silvana</t>
  </si>
  <si>
    <t>Morante, Julian</t>
  </si>
  <si>
    <t>Pantografos Master SRL.</t>
  </si>
  <si>
    <t>Gimenez, Martin</t>
  </si>
  <si>
    <t>Soto Hinojosa, Porfirio</t>
  </si>
  <si>
    <t>Mozzi, German</t>
  </si>
  <si>
    <t>De Nardi, Maria Rosa</t>
  </si>
  <si>
    <t>Castro, Alejandra</t>
  </si>
  <si>
    <t>Tapia, Sergio</t>
  </si>
  <si>
    <t>Albornoz, M. / Rodriguez, G.</t>
  </si>
  <si>
    <t>Repetto, Mariano</t>
  </si>
  <si>
    <t>Escudero, Ignacio</t>
  </si>
  <si>
    <t>Shunk, Dora</t>
  </si>
  <si>
    <t>Gutierrez, Nicolas</t>
  </si>
  <si>
    <t>Manzo, Dominguez</t>
  </si>
  <si>
    <t>Perri, Antonio</t>
  </si>
  <si>
    <t>Rosemberg, Alejandro</t>
  </si>
  <si>
    <t>Antunez, Mariano</t>
  </si>
  <si>
    <t>Ricciardo, M. / Leibson, G.</t>
  </si>
  <si>
    <t>Rodriguez, Cristian</t>
  </si>
  <si>
    <t>de Llano, Carolina</t>
  </si>
  <si>
    <t>Dombrosqui, Hector</t>
  </si>
  <si>
    <t>Vicini, Laura</t>
  </si>
  <si>
    <t>Perfumo, Daniel</t>
  </si>
  <si>
    <t>Santangelo, Hernan</t>
  </si>
  <si>
    <t>Rodoni, Sergio</t>
  </si>
  <si>
    <t>Maurino, Jorge Manuel</t>
  </si>
  <si>
    <t>Notarfrancesco, Gerado</t>
  </si>
  <si>
    <t>Blazquez, Sebastian</t>
  </si>
  <si>
    <t>Tosi, Gaston</t>
  </si>
  <si>
    <t>Santoro, Carlos</t>
  </si>
  <si>
    <t>Santangelo, Juan Ignacio</t>
  </si>
  <si>
    <t>Ojeda, Favio</t>
  </si>
  <si>
    <t>Grossi, Cristian</t>
  </si>
  <si>
    <t>Pells Richard, Nicolas</t>
  </si>
  <si>
    <t>Artigue, Rolando</t>
  </si>
  <si>
    <t>Broglio, M. / Albretch, A.</t>
  </si>
  <si>
    <t>Valiña, Suzel</t>
  </si>
  <si>
    <t>Campello, G. / Indarte, M.</t>
  </si>
  <si>
    <t>Dinardo, Pablo</t>
  </si>
  <si>
    <t>Giordano, P. / Tosi, G.</t>
  </si>
  <si>
    <t>Celano, Martina</t>
  </si>
  <si>
    <t>Cabral, D. / Blanco, J.</t>
  </si>
  <si>
    <t>Rito, Nicolas</t>
  </si>
  <si>
    <t>Lettieri, Fernando</t>
  </si>
  <si>
    <t>Streger, Javier</t>
  </si>
  <si>
    <t>De Lourdes Lopez, Sandra</t>
  </si>
  <si>
    <t>Papa, O. / Biondi, B.</t>
  </si>
  <si>
    <t>Bidart, L. / Reggi, V.</t>
  </si>
  <si>
    <t>De Nardi, Yanina</t>
  </si>
  <si>
    <t>Romero, Pablo</t>
  </si>
  <si>
    <t>Arrom, Jonatan</t>
  </si>
  <si>
    <t>Lopez Osornio, Alejandro</t>
  </si>
  <si>
    <t>Carreras, Pablo</t>
  </si>
  <si>
    <t>Hernandez, Diego</t>
  </si>
  <si>
    <t>Arrieta, Martin</t>
  </si>
  <si>
    <t>Urbanfid</t>
  </si>
  <si>
    <t>Fondo de reserva</t>
  </si>
  <si>
    <t>TOTAL  SEGUROS</t>
  </si>
  <si>
    <t>TOTAL APORTES Y CONTRIBUCIONES</t>
  </si>
  <si>
    <t>TOTAL HONORARIOS</t>
  </si>
  <si>
    <t>TOTAL  GASTOS BANCARIOS</t>
  </si>
  <si>
    <t>SUMA DE GASTOS - ABONOS DE SERVICIOS</t>
  </si>
  <si>
    <t>Egresos abonos y servicios</t>
  </si>
  <si>
    <t>Titular: CONSORCIO DE PROPIETARIOS LAS BRISAS - ADROGUE - Santander Río - Cuenta Corriente Nº 221-007370/9</t>
  </si>
  <si>
    <t>CBU.: 0720221820000000737090 * ALIAS: MARTES.POLO.IDEAL</t>
  </si>
  <si>
    <t xml:space="preserve">MAIL: brisasdeadroguerc@gmail.com
</t>
  </si>
  <si>
    <t>CONSORCIO DE PROPIETARIOS LAS BRISAS - ADROGUE</t>
  </si>
  <si>
    <t>CELULAR:  +54 9 11 2640-1829</t>
  </si>
  <si>
    <t xml:space="preserve">ANOTACION </t>
  </si>
  <si>
    <t>FECHA DE LA ANOTACION:</t>
  </si>
  <si>
    <t>QUEJA VIA:</t>
  </si>
  <si>
    <t>WHATSAPP</t>
  </si>
  <si>
    <t>MAIL</t>
  </si>
  <si>
    <t>MOTIVO DE LA QUEJA:</t>
  </si>
  <si>
    <t>NOMBRE:</t>
  </si>
  <si>
    <t>LOTE:</t>
  </si>
  <si>
    <t>Reyes, Damian</t>
  </si>
  <si>
    <t>SEGUROS</t>
  </si>
  <si>
    <t>TOTAL SUELDOS</t>
  </si>
  <si>
    <t xml:space="preserve">Huenchupan, Alejandro </t>
  </si>
  <si>
    <t xml:space="preserve">Giordano, Juan Pablo </t>
  </si>
  <si>
    <t xml:space="preserve">Bernardez, Diego </t>
  </si>
  <si>
    <t xml:space="preserve">Arderiu, Marcelo </t>
  </si>
  <si>
    <t>Loray, Ana Laura</t>
  </si>
  <si>
    <t>CARGAS SOCIALES - APORTES Y CONTRIBUCIONES</t>
  </si>
  <si>
    <t>SEGURIDAD</t>
  </si>
  <si>
    <t>TOTAL GASTOS SEGURIDAD</t>
  </si>
  <si>
    <t>LIMPIEZA - MANTENIMIENTO DE ALUMBRADO</t>
  </si>
  <si>
    <t>TOTAL GASTOS LIMPIEZA Y MANTENIMIENTO DE ALUMBRADO</t>
  </si>
  <si>
    <t>GASTOS DE MANTENIMIENTO GENERAL</t>
  </si>
  <si>
    <t>TOTAL  GASTOS DE MANTENIMIENTO GENERAL</t>
  </si>
  <si>
    <t>GASTOS ORDINARIOS:</t>
  </si>
  <si>
    <t xml:space="preserve">Saldo  </t>
  </si>
  <si>
    <t>Compensacion expensas lote 140/141</t>
  </si>
  <si>
    <t>Canon de obra</t>
  </si>
  <si>
    <t>Gastos exclusivos de lotes (honorarios arquitecturas, intimaciones, etc)</t>
  </si>
  <si>
    <t xml:space="preserve">Pucheta, Cristian Oscar </t>
  </si>
  <si>
    <t>Egresos particulares</t>
  </si>
  <si>
    <t>GASTOS PARTICULARES:</t>
  </si>
  <si>
    <t xml:space="preserve">TOTAL PARTICULARES </t>
  </si>
  <si>
    <t>Telecom (Cuit.: 30-63945373-8) - (Abono celular Intendencia)</t>
  </si>
  <si>
    <t>HUANG (CHINO)</t>
  </si>
  <si>
    <t>Imsael Matta</t>
  </si>
  <si>
    <t>Noemi</t>
  </si>
  <si>
    <t>Fattorini sergio</t>
  </si>
  <si>
    <t>ROSSI PATRICIA</t>
  </si>
  <si>
    <t>RECAUDACIONES Y PAGOS SA</t>
  </si>
  <si>
    <t>Luis Grecco Y Karina</t>
  </si>
  <si>
    <t>Flores javier roberto</t>
  </si>
  <si>
    <t>Nicolas Esteban Gutierrez</t>
  </si>
  <si>
    <t>Avicola lanus a nombre de Tamara en el mail</t>
  </si>
  <si>
    <t>avicola lanus a nombre de tamara en el mail</t>
  </si>
  <si>
    <t>Suavenol</t>
  </si>
  <si>
    <t>Santangelo - Deposita</t>
  </si>
  <si>
    <t>Deposita - Andrea Iglesias</t>
  </si>
  <si>
    <t>LBEG SERO SRL</t>
  </si>
  <si>
    <t>IGLE SA</t>
  </si>
  <si>
    <t>Pablo huerta</t>
  </si>
  <si>
    <t>Maria Ines Indarte</t>
  </si>
  <si>
    <t>Fernando Rivero</t>
  </si>
  <si>
    <t>Deposita MECANICA VANDEN BOSCH &lt;mecanicavandenbosch@gmail.com&gt;</t>
  </si>
  <si>
    <t xml:space="preserve">Lucila Martinez Rey </t>
  </si>
  <si>
    <t>Viviana Papa &lt;vivibpapa@gmail.com&gt;</t>
  </si>
  <si>
    <t>polypeirano@yahoo.com</t>
  </si>
  <si>
    <t>Deposita, Julieta De Santis &lt;julietadesan@gmail.com&gt;</t>
  </si>
  <si>
    <t>Patricia Sobol &lt;patriciasobol@hotmail.com&gt; - tambien tiene lote 1</t>
  </si>
  <si>
    <t>Patricia Sobol &lt;patriciasobol@hotmail.com&gt; - - tambien tiene lote 127</t>
  </si>
  <si>
    <t>vivibpapa@gmail.com - Viviana papa</t>
  </si>
  <si>
    <t xml:space="preserve">
Gaston Leibson &lt;gastonleibson@hotmail.com&gt;</t>
  </si>
  <si>
    <t>PAYMENTS GROUP SA</t>
  </si>
  <si>
    <t>mercedes arias &lt;mercedesarias2005@hotmail.com&gt;</t>
  </si>
  <si>
    <t>Velazco Velasco Gisela</t>
  </si>
  <si>
    <t>Grey Brick SA</t>
  </si>
  <si>
    <t>Calabro, Evangelina</t>
  </si>
  <si>
    <t>Lorena Mazzeo</t>
  </si>
  <si>
    <t>Guillermo rodriguez</t>
  </si>
  <si>
    <t>Maria Laura Lopez</t>
  </si>
  <si>
    <t>Compensacion expensas lote 140 - 141:</t>
  </si>
  <si>
    <t>TOTAL GASTOS ORDINARIOS + ABONOS Y SERVICIOS</t>
  </si>
  <si>
    <t>FONDO SUPER AHORRO PLUS</t>
  </si>
  <si>
    <t>COMPENSACION EXP. LOTE 140/141</t>
  </si>
  <si>
    <t>Saldo anterior total</t>
  </si>
  <si>
    <t>Ingreso total</t>
  </si>
  <si>
    <t>Interes</t>
  </si>
  <si>
    <t xml:space="preserve">FECHA DE INICIO - 21/04/2025 </t>
  </si>
  <si>
    <t>CAJA EFECTIVO</t>
  </si>
  <si>
    <t>RESUMEN CAJA GENERAL</t>
  </si>
  <si>
    <t xml:space="preserve"> </t>
  </si>
  <si>
    <t>Santiago Roman Ramirez</t>
  </si>
  <si>
    <t>Maria Ximena Vizzini / P Sur Srl</t>
  </si>
  <si>
    <t>Ariel Sposito</t>
  </si>
  <si>
    <t>Deposito sin identificar - correspondientes a estas expensas</t>
  </si>
  <si>
    <t>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AGRADECEMOS MUCHÍSIMO SU COLABORACIÓN PARA SEGUIR MANTENIENDO EL ORDEN. MUCHAS GRACIAS.</t>
  </si>
  <si>
    <t>Balghera, Lucas</t>
  </si>
  <si>
    <t>Fernando Rivero y Mónica Cádiz</t>
  </si>
  <si>
    <t>Potes Paula Vanesa</t>
  </si>
  <si>
    <t>Teresa Angelica Agustin - Emiliano Piergiovanni</t>
  </si>
  <si>
    <t>Gergoff Ninoff Milagros Florencia / Diego soto / Profirio Soto</t>
  </si>
  <si>
    <t xml:space="preserve"> de nardi paula andrea</t>
  </si>
  <si>
    <t>Cristian Colson</t>
  </si>
  <si>
    <t>Noelia Franccini</t>
  </si>
  <si>
    <t>CAROLINA GIACCHETTI carolinagiacchetti@hotmail.com / Maria alejandra Ceballos</t>
  </si>
  <si>
    <t>ConstruHap - Veronica Laura Maggiot</t>
  </si>
  <si>
    <t>Sergio Decaira / De caira</t>
  </si>
  <si>
    <t>maria jose de la nativ penaloza gonzalez</t>
  </si>
  <si>
    <t>Deposita, tambien paga el lote 18 - Santiago Jorge Claps</t>
  </si>
  <si>
    <t>Horacio oscar brescia - Estefania Tortorisi</t>
  </si>
  <si>
    <t>Gustavo Kearney &lt;gkearney@batt.com.ar&gt; - maranata perfumeria</t>
  </si>
  <si>
    <t>Daniela Cabral</t>
  </si>
  <si>
    <t>Gastos particulares / Multas / SUM</t>
  </si>
  <si>
    <t>Egresos extraordinarios</t>
  </si>
  <si>
    <t>LOTE</t>
  </si>
  <si>
    <t>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 QUIENES, EN LA COLUMNA “DEUDA O SALDO A FAVOR”, LES FIGURE UN MONTO NEGATIVO, SIGNIFICA QUE, AL MOMENTO DEL CIERRE DE LAS EXPENSAS, POSEEN DINERO A SU FAVOR. ESTE SALDO SERÁ IMPUTADO EN LAS PRÓXIMAS LIQUIDACIONES, REDUCIENDO EL IMPORTE A ABONAR RESPECTO DE LO QUE CORRESPONDERÍA PAGAR EN CASO DE NO CONTAR CON ESTE CRÉDITO. AGRADECEMOS MUCHÍSIMO SU COLABORACIÓN PARA SEGUIR MANTENIENDO EL ORDEN. MUCHAS GRACIAS.</t>
  </si>
  <si>
    <t>Extraordinarios:</t>
  </si>
  <si>
    <t>ventas@quimicaros.com.ar</t>
  </si>
  <si>
    <t xml:space="preserve"> maranata perfumeria</t>
  </si>
  <si>
    <t xml:space="preserve"> De mela Innovaciones SRL tiene el 24 y 58</t>
  </si>
  <si>
    <t xml:space="preserve">Analía Celeste Cáceres </t>
  </si>
  <si>
    <t>Diego Damino</t>
  </si>
  <si>
    <t>Agustina Palermo</t>
  </si>
  <si>
    <t>Gonzalo Raul Fernandez - ivanalagolosinerasrl@gmail.com</t>
  </si>
  <si>
    <t>Federacion patronal -  Poliza nro. 1-2195343-0 - Riesgo integral de barrios privados</t>
  </si>
  <si>
    <t>Federacion patronal -  Poliza nro. 1-77459-6 - Seguro de vida obligatorio Sr. Maximiliano Abbruzzese</t>
  </si>
  <si>
    <t>Debito autom.</t>
  </si>
  <si>
    <t>Cafrathela SA - Carolina Carena</t>
  </si>
  <si>
    <t>Cecilia Labala</t>
  </si>
  <si>
    <t>Montenievas SRL</t>
  </si>
  <si>
    <t>Ordinarios:</t>
  </si>
  <si>
    <t>Deposita siempre - Viviana Lusero</t>
  </si>
  <si>
    <t>albrech adrian -  Belén Brog</t>
  </si>
  <si>
    <t>Tosi german lucas o nitapaula0684@gmail.com / Ana Paula</t>
  </si>
  <si>
    <t>Romina Troppelli - Deposita o  si tansfiere informa por mail  desde rominita09@hotmail.com</t>
  </si>
  <si>
    <t xml:space="preserve">Maria Eugenia Bachratz - Martin francisco Lopez zavallo
</t>
  </si>
  <si>
    <t>Diego Humberto Hernandez</t>
  </si>
  <si>
    <t>CUIT: 30-71618269-6</t>
  </si>
  <si>
    <t>ADMINISTRADORA: CAROLINA CANCIANI MP:1148</t>
  </si>
  <si>
    <t>Covelia SA - Recoleccion de ramas - CUIT: 30707242961</t>
  </si>
  <si>
    <t xml:space="preserve"> JAVIER ALBERTO ANDRES - TAMBIEN TIENE EL LOTE 204</t>
  </si>
  <si>
    <t xml:space="preserve"> JAVIER ALBERTO ANDRES - TAMBIEN TIENE EL LOTE 23</t>
  </si>
  <si>
    <t>Vivienda Everhouse</t>
  </si>
  <si>
    <t>Nicolas / Cecilia Andrea</t>
  </si>
  <si>
    <t>ad RUIZ DIAZ - Maria agustina Falcone - Barbero Francisco</t>
  </si>
  <si>
    <t>Cejas, Mariana/Petenello, Manuel</t>
  </si>
  <si>
    <t>Liliana Miravalle/Gustavo Di Biase</t>
  </si>
  <si>
    <t>Adminar SA y Lobison - Collectic Service - Liliana Andrea Miravalle y Gustavo Aníbal Di Biase</t>
  </si>
  <si>
    <t>Valeria Reggi</t>
  </si>
  <si>
    <t>CAJA DEL SUM</t>
  </si>
  <si>
    <t>Saldo inicial</t>
  </si>
  <si>
    <t>Ingreso que corresponde a CAJA SUM</t>
  </si>
  <si>
    <t>Deposita - pamela - manda por whatsapp</t>
  </si>
  <si>
    <t>Deposita, tambien paga el lote 132 - Santiago Jorge Claps</t>
  </si>
  <si>
    <t>Rodolfo manuel Petenello</t>
  </si>
  <si>
    <t>Recaudaciones y pagos -  Suzel Valiña &lt;valisule@gmail.com&gt; - Paga 118 , 120 y 121 - Pagos Rep. SA / AGIL PAGOS / Agro Fuel S.A</t>
  </si>
  <si>
    <t>Recaudaciones y pagos -  Suzel Valiña &lt;valisule@gmail.com&gt; - Paga 118 , 120 y 121 - Pagos Rep. SA / AGIL PAGOS  / Agro Fuel S.A</t>
  </si>
  <si>
    <t>Flow (Cuit: 30-63945373-8) - (Servicio de WIFI 2025)</t>
  </si>
  <si>
    <t>Sandirs SRL - SANDIS SRL</t>
  </si>
  <si>
    <t>Centurion Sergio Cesar - Florencia Volonte en el mail o pells nicolas - Gaston Adrian Bruzzisi</t>
  </si>
  <si>
    <t>Ad Premed SRL - Tambien tiene lote 47</t>
  </si>
  <si>
    <t>Ad Premed SRL - Tambien tiene lote 4</t>
  </si>
  <si>
    <t>Laprida SRL</t>
  </si>
  <si>
    <t>Total contemplando caja SUM + Caja Ordinaria / Extraordinaria</t>
  </si>
  <si>
    <t>Medizin Servicios - ProlijoLimp SA - COBRO EXPRESS BUENOS AIRES SA - Patricio Jose Delarrechea Muñoz</t>
  </si>
  <si>
    <t>Andrea Juarez Cecilia - Juan Isidoro Manuel Onorato</t>
  </si>
  <si>
    <t>Honorarios arquitectura - Srta. Burgos Oros Johanna Melanie - Fc. 00000094</t>
  </si>
  <si>
    <t>Baquiano Malvinas SRL</t>
  </si>
  <si>
    <t xml:space="preserve">Allianz (Cuit.: 30--50003721-7) - Seguro Técnico - Póliza N° 240210705270; </t>
  </si>
  <si>
    <t>Allianz (Cuit.: 30--50003721-7) - Seguro Técnico - Póliza N° 240210705270;</t>
  </si>
  <si>
    <t>Ingreso</t>
  </si>
  <si>
    <t>Fondo de reserva (30 Millones):</t>
  </si>
  <si>
    <t>Carolina carena</t>
  </si>
  <si>
    <t>Cambia titularidad a Daniel Solis tlf 1141400840  nuevo dueño lote 136</t>
  </si>
  <si>
    <t>Diego Soto y Hernan Soto - Petrona Garcia Rocha</t>
  </si>
  <si>
    <t xml:space="preserve">Ines / Jorge o Ayestaran Melanie que es la inquilina </t>
  </si>
  <si>
    <t>Transf 07/01</t>
  </si>
  <si>
    <t>Total a abonar en segundo VTO</t>
  </si>
  <si>
    <t>QUIENES EN LA COLUMNA DENOMINADA "DEUDA O SALDO A FAVOR" OBSERVEN UN NÚMERO NEGATIVO, SIGNIFICA QUE EN EXPENSAS ANTERIORES ABONARON DE MÁS Y CUENTAN CON DINERO A FAVOR. EL MONTO A ABONAR FIGURA EN LA COLUMNA DENOMINADA "Total antes del primer...". RESPETEN ESE MONTO SI ABONAN ANTES O EN LA FECHA DEL PRIMER VENCIMIENTO, DE HACERLO POSTERIOR A ESA FECHA SE DEBE ABONAR EL MONTO QUE FIGURA EN LA COLUMNA LLAMADA "Total a abonar en segundo VTO"</t>
  </si>
  <si>
    <t>Transf 05/02</t>
  </si>
  <si>
    <t>Transf 26/01</t>
  </si>
  <si>
    <t>OMS (Cuit.: 30-71568933-9) - Fc.00002826 (Abono mantenimiento planta de tratamiento)</t>
  </si>
  <si>
    <t>Edesur (Cuit.: 30-65511652-1) - Nuevos medidores - Nro de cliente. 06107197 - Vto. 26/01</t>
  </si>
  <si>
    <t>Edesur (Cuit.: 30-65511652-1) - Nuevos medidores - Nro de cliente. 06107191- Vto. 26/01</t>
  </si>
  <si>
    <t>Edesur (Cuit.: 30-65511652-1) - Nuevos medidores - Nro de cliente. 06106720 - Vto. 26/01</t>
  </si>
  <si>
    <t>ex Ezequiel De la calle - Ahora Patricia Sobol parece ser la nueva dueña</t>
  </si>
  <si>
    <t>De mela Innovaciones -Tambien tiene el 58</t>
  </si>
  <si>
    <t>ADRIAN CLAUDIO GIARMAN / JOSEFINA GIORDANI / Milagros Anahi Sanchez / Leonardo Alexis Fama / Maria Antonella Rodriguez / Raul Alejandro Davalos/ Agustina navarro / PERRUGORIA LUCIANO</t>
  </si>
  <si>
    <t>PENDIENTE! FEBRERO</t>
  </si>
  <si>
    <t xml:space="preserve">Fino, Claudia </t>
  </si>
  <si>
    <t xml:space="preserve">Total a abonar antes del </t>
  </si>
  <si>
    <t>Maria jose+</t>
  </si>
  <si>
    <t>Deposito el 03/02 $800.000 debe abonar $718.859,10 en primer vto.</t>
  </si>
  <si>
    <t>Sebastian De Lucas</t>
  </si>
  <si>
    <t>Ale Korin</t>
  </si>
  <si>
    <t>Deposito el 09/02 $1.480,000</t>
  </si>
  <si>
    <t>Daniel Perfumo</t>
  </si>
  <si>
    <t>Deposito $800.000 el 09/02</t>
  </si>
  <si>
    <t>Transfirio  $608.767 el 09/02</t>
  </si>
  <si>
    <t>Transfirio  723.284 el 09/02</t>
  </si>
  <si>
    <t>Lucas</t>
  </si>
  <si>
    <t>Al lote 133 le pusimos dinero de mas, este mes debe abonar $904966,33</t>
  </si>
  <si>
    <t>El lote 52 pago en dos transferencias y de forma 50/50 entre el dueño antiguo y el nuevo : pago 774.480,49 el 10/02 y 815.269,03 el 09/02</t>
  </si>
  <si>
    <t>El lote8 deposito el 10/02 $790.700</t>
  </si>
  <si>
    <t>El lote 105  transfirio  el 10/02 $749.544</t>
  </si>
  <si>
    <t>El lote 102 deposito  el 11/02 $772.000</t>
  </si>
  <si>
    <t>JP GIORDANO TRANSFIRIO 6,045,183.52 el 11/02</t>
  </si>
  <si>
    <t>16 32 33 86 158 159 168.</t>
  </si>
  <si>
    <t xml:space="preserve">El deposito no identificada de $1.520.000 del mes anterior es de el  - Transfirio el 11/02 $746.613 </t>
  </si>
  <si>
    <t>La UF 106 Transfirio el 09/02 $271.370 y $117.600 el 12/02</t>
  </si>
  <si>
    <t>La transferencia no identificada de BinBay del mes anterior es de el - Debe abonar $767.817,04 - Abona 767,817.04 el 12/02</t>
  </si>
  <si>
    <t>Deposito no identificado de 29/12 de $750.500 es de el - Debe abonar a $867.451,39 - Deposito $750.000 el 16/02</t>
  </si>
  <si>
    <t xml:space="preserve">Transfirio $800.000 el 17/02 y $719.761,64 </t>
  </si>
  <si>
    <t>ADEMAS SACAR A EZEQUIEL DE LA CALLE DE LOS MAILS</t>
  </si>
  <si>
    <t>Deposito el 13/02 $821.000</t>
  </si>
  <si>
    <t>Deposito el 13/02 $775.300</t>
  </si>
  <si>
    <t>Deposito $780.000 el 19/02</t>
  </si>
  <si>
    <t>Deposito $752.000 el 18/02</t>
  </si>
  <si>
    <t>Transfirio el 18/02 $799.500</t>
  </si>
  <si>
    <t>Deposito 821.000 el 18/02</t>
  </si>
  <si>
    <t>Santangelo</t>
  </si>
  <si>
    <t>Deposito $785.000 el 18/02</t>
  </si>
  <si>
    <t>Transfirio el 03/02 $767.816 - Transfirio $838.900 el 24/2</t>
  </si>
  <si>
    <t>Julieta De Santis</t>
  </si>
  <si>
    <t>Deposito $775.000 el 26/02</t>
  </si>
  <si>
    <t>Transfirio $1.700.000 27/02</t>
  </si>
  <si>
    <t>Deposito $800.000 el 27/02</t>
  </si>
  <si>
    <t xml:space="preserve">Alonso Bado - Alquiler de vehiculo electrico - Fc. 000001235 - CUIT: 20138813232 </t>
  </si>
  <si>
    <t xml:space="preserve">Alonso Bado - Alquiler de vehiculo electrico - Fc. 0000012319 - CUIT: 20138813232 </t>
  </si>
  <si>
    <t>Axin (Cuit.: 30-70858249-9)  - Cuota 51/60</t>
  </si>
  <si>
    <t>Ramirez Francisco - Fc. 00000558 - Alquiler de volquetes - CUIT: 2040757602</t>
  </si>
  <si>
    <t>Galvan Zafalonn - CUIT: 2745065793 - Fc. 0000001 - Guardia nocturna / regulacion de equipo de tablero por cortes de luz</t>
  </si>
  <si>
    <t>Transf 09/02</t>
  </si>
  <si>
    <t>Galvan Zafalonn - CUIT: 2745065793 - Fc. 0000002 - Visita diurna / para estabilizar tablero electrico y regulacion de presion</t>
  </si>
  <si>
    <t>OMS (Cuit.: 30-71568933-9) - Fc.00002923 - Saldo -Segundo camnion. Ambos camiones se uitilizaron para limpiar las camaras de la planta de tratamiento de efluentes cloacales</t>
  </si>
  <si>
    <t>Armella Cristian - CUIT: 20371419234 - Fc. 00062 - Fumigaciones dias: 06/01 - 13/01 - 19/01 -28/01</t>
  </si>
  <si>
    <t>Recicla Brown- CUIT: 30-71633401-1 - Servicio de recoleccion de residuos solidos urbanos con frecuencia de un retiro a la semana correspondiente al mes de ENERO - Fc. 00000080</t>
  </si>
  <si>
    <t>Recicla Brown- CUIT: 30-71633401-1 - Servicio de recoleccion de residuos solidos urbanos con frecuencia de un retiro a la semana correspondiente al mes de DICIEMBRE - Fc. 00000079</t>
  </si>
  <si>
    <t>Transf 10/02</t>
  </si>
  <si>
    <t>Palubinskas Fernando Nestor - Bidones de Agua cimes de 20lts - Fc. 00001427</t>
  </si>
  <si>
    <t>Edesur (Cuit.: 30-65511652-1) - Vto 13/02</t>
  </si>
  <si>
    <t>Full Mak - CUIT: 30712005765 - Fc. 000005862 - Compra de rodillo de alta densidad para maquinas de gimnasio</t>
  </si>
  <si>
    <t>Transf 03/02</t>
  </si>
  <si>
    <t xml:space="preserve">PERÍODO: FEBRERO </t>
  </si>
  <si>
    <t>Haberes mes de FEBRERO -  Maximiliano Abbruzzese</t>
  </si>
  <si>
    <t>Deducciones mes de FEBRERO</t>
  </si>
  <si>
    <t>Redondeo mes de FEBRERO</t>
  </si>
  <si>
    <t>Honorarios administracion - Mes de FEBRERO Fc. 00000244</t>
  </si>
  <si>
    <t>Grey Brick - Fc. 0000007595 - Certificacion de obra pavimento correspondiente a FEBRERO</t>
  </si>
  <si>
    <t>ARCA - Mes de ENERO</t>
  </si>
  <si>
    <t>Sindicatos mes de ENERO</t>
  </si>
  <si>
    <t>GOLD (Cuit.: 33-71225773-9) - Fc.0000408 (Servicio de Seguridad ENERO 2025)</t>
  </si>
  <si>
    <t>Servicio Polad - Mes de ENERO - Valor de la hora $6.415,59 (744hs en total)</t>
  </si>
  <si>
    <t>Servicios arquitectura - Srita. Melanie Burgos Oros - Lotes 9 - 16 - 48 - 51 - 56 - 68 - 86 - 146 - 62 - 128 - 106 - Mes de ENERO</t>
  </si>
  <si>
    <t>LA UNIDAD FUNCIONAL 92 ACORDO UN PLAN DE PAGO CON LA ADMINISTRACION - EL MISMO CONSTA DE UN ADELANTO DE $2.700.000 Y  TRES CUOTA MENSUALES CONSECUTIVAS DE $850.00 SUMADO A LA OBLIGACION DE MANTENERSE AL DIA CON LAS EXPENSAS EN CURSO. DICHO PLAN DE PAGO INFORMADO EN LAS EXPENSAS DE ENERO DE 2025 NO FUE ABONADO EN FEBRERO 2026.</t>
  </si>
  <si>
    <t>Evento 23/01 - UF 13- 19 a 02hs</t>
  </si>
  <si>
    <t>Covelia SA - Servicio de recoleccion de residuos domiciliarios correspondientes al mes de ENERO  - CUIT: 30707242961 -Fc. 0000327</t>
  </si>
  <si>
    <t>Plumari Juan Carlos - CUIT: 20316550259 - Fc. 000001 -  Zanjeo de 15mts por 70 de profundidad por aslfalto con colocacion de cañeria, cableado, armado de tablero termica con disyuntor y conexión de linea para cerco electrico con terminacion de piso y tapado de zajna asfalto</t>
  </si>
  <si>
    <t>Debito 02/02</t>
  </si>
  <si>
    <t>Transf 02/02</t>
  </si>
  <si>
    <t>Debito 03/02</t>
  </si>
  <si>
    <t>Marigo Juan Pablo - CUIT: 20302016306 - Fc. 0000006 - Servicio de Higiene y seguridad - Mes de Diciembre</t>
  </si>
  <si>
    <t>Marigo Juan Pablo - CUIT: 20302016306 - Fc. 0000008 - Servicio de Higiene y seguridad - Mes de Enero</t>
  </si>
  <si>
    <t xml:space="preserve">Honorarios Sr. Federico Silvestre - Guardavidas pileta - CUIT: 20407483538 </t>
  </si>
  <si>
    <t>EN D1C,  EN3R0 y Febr3r0 A FLOW LO PUSIMOS EN $0 YA QUE NO SE DEBITO</t>
  </si>
  <si>
    <t>Debito 04/02</t>
  </si>
  <si>
    <t xml:space="preserve">Peruzzo Daniel - CUIT: 20129164892 - Fc. 00000620 - Perforacion de agua con bomba de 5.5 Hp, mas intalacion y camara. </t>
  </si>
  <si>
    <t>Transf 04/02</t>
  </si>
  <si>
    <t>Ramirez Francisco - Fc. 00000550- Alquiler de volquetes - CUIT: 2040757602</t>
  </si>
  <si>
    <t>Hidraulica Ruber - Ticket nro. 00572 - Compra cloro granulado</t>
  </si>
  <si>
    <t>Debito 05/02</t>
  </si>
  <si>
    <t>Egresos Judiciales - Al Sr. Sanabria Jorge Antonio - Sr. Abogado (Transf 05/02)</t>
  </si>
  <si>
    <t>Egresos Judiciales - Al Sr. Suarez Guillermo - Cuota 1 / 2  (Transf 05/02)</t>
  </si>
  <si>
    <t>Egresos Judiciales - Al Sr. Valderrama Marcelo Ruben - Sr. Abogado (Transf 05/02)</t>
  </si>
  <si>
    <t xml:space="preserve">Egresos Judiciales - Tranferencia al perito </t>
  </si>
  <si>
    <t>Transf 06/02</t>
  </si>
  <si>
    <t>Armella Cristian - CUIT: 20371419234 - Fc. 00000066- Mantenimiento espacios comunes</t>
  </si>
  <si>
    <t>Batista Da Silva Ramon - Fc. 000000079 - CUIT:20218630783 - Se realizarán pozos para la conexión de caños de alta presión y la colocación de bridas correspondientes. Asimismo, se ejecutarán dos cruces bajo asfalto para la conexión del sistema de riego del paredón, incorporando llave de paso. Además, se construirán cinco alojamientos de mampostería destinados a la protección de caños, incluyendo llave de paso y pico para la conexión de manguera, junto con otros cinco alojamientos de mampostería adicionales.</t>
  </si>
  <si>
    <t>Galvis Jose Antonio - Fc. 000000101 - CUIT:20959176575 - Kit material cerco - 150mts de cerco electrico</t>
  </si>
  <si>
    <t>Krayacich Matias - CUIT: 20228429725 - Fc. 000001299 - Construccion de cerco electrico con electrificador Intelbras - Resta abonar $440.000</t>
  </si>
  <si>
    <t>Maire Romer Wilson - CUIT 20949527027 - Fc. 000002 - Arreglo paredon lote 141 - Union entre muro y muro construido (Lote 146)</t>
  </si>
  <si>
    <t>Ramirez Francisco - Fc. 00000553 - Alquiler de volquetes (2)</t>
  </si>
  <si>
    <t>Debito 12/02</t>
  </si>
  <si>
    <t>Transf 13/02</t>
  </si>
  <si>
    <t>Bulonera Dimar - CUIT: 30715613707 - Fc. 1063 -  Compra escalera articulada y soga polipropileno</t>
  </si>
  <si>
    <t>SGP - CUIT: 20316550259 - Fc. 00001 - Reparacion de termotanque electrico cambio de resistencia y limpieza interna</t>
  </si>
  <si>
    <t>Transf 18/02 y 06/02</t>
  </si>
  <si>
    <t>Transf 18/02</t>
  </si>
  <si>
    <t xml:space="preserve">Transf 18/02 </t>
  </si>
  <si>
    <t>Debito 19/02</t>
  </si>
  <si>
    <t>Transf 19/02</t>
  </si>
  <si>
    <t>Transf 20/02</t>
  </si>
  <si>
    <t>Gabriel Demetrio Muzyka - Trabajo de herreria - Adelanto construccion perimetro faltante - Cancha de futbol</t>
  </si>
  <si>
    <t>Transf 23/02</t>
  </si>
  <si>
    <t>Electro DRF - Fc. 0000043864 - CUIT: 30716213028 - Compra de subterraneo flexible, tecla unipolar, portalamparas, fusibles</t>
  </si>
  <si>
    <t>Electro DRF - Fc. 0000042644 - CUIT: 30716213028 - Compra de dicroicas, led, cable taller, subterraneo flexible, caja, grampas, conector, tomas, interruptores, cintas, etc</t>
  </si>
  <si>
    <t>Electro DRF - Fc. 0000042800 - CUIT: 30716213028 - Compra de tipo taller 40mts</t>
  </si>
  <si>
    <t>Electro DRF - Fc. 0000043501 - CUIT: 30716213028 - Compra de subterraneo, cables unipolares, caja para pilar, tubo currugado, etc</t>
  </si>
  <si>
    <t>Transf 24/02</t>
  </si>
  <si>
    <t>Debito 25/02</t>
  </si>
  <si>
    <t xml:space="preserve">Samsung Galaxy A16 Lte 4gb 128gb Nfc Liberado Negro - Compra de celular nuevo Sr. Intendente </t>
  </si>
  <si>
    <t>Pareyos - Ticket 03327 - Chips 100 dm3 - Para jardineria</t>
  </si>
  <si>
    <t>Transf 26/02</t>
  </si>
  <si>
    <t>Aberturas Vic - CUIT: 20086266521 - Anticipo 60% por Puerta Aluminio Blanca CiegaLisa Línea Herrero - 0.85 x 2.05 1Der/1Iza Puesto 1</t>
  </si>
  <si>
    <t>Deposito ya identificado mes anterior L74</t>
  </si>
  <si>
    <t>Punitorios mal cobrados L74</t>
  </si>
  <si>
    <t>QUERCIA LUCIO - QAM SRL - FLEBO TDR SRL - Grupo Logistico Srl - BinBay</t>
  </si>
  <si>
    <t>Deposito ya identificado mes anterior L104</t>
  </si>
  <si>
    <t>Punitorios mal cobrados L104</t>
  </si>
  <si>
    <t>Punitorios mal cobrados L76 (transf 31/01)</t>
  </si>
  <si>
    <t>Punitorios mal cobrados L176 (transf 31/01)</t>
  </si>
  <si>
    <t>Punitorios mal cobrados L163 (transf 31/01)</t>
  </si>
  <si>
    <t>Deposito ya identificado L39 29/12</t>
  </si>
  <si>
    <t>Punitorios mal cobrados L39</t>
  </si>
  <si>
    <t>PAGOS UNIVERSALES SA/  GLOBAL TT S.A. / GLOBAT / BENAJAL SA</t>
  </si>
  <si>
    <t>Cuota 1/3 - Plan de pago L92</t>
  </si>
  <si>
    <t>En la columna denominada “Gastos Particulares” podrán visualizar distintas casillas asociadas a cada unidad funcional. Los colores tienen el siguiente significado:
Gris: corresponde al uso del SUM por parte de la unidad funcional.
Rojo: corresponde a una multa relacionada con la mascota de la unidad funcional.
Naranja: corresponde a una multa por estacionamiento indebido.
Amarillo: corresponde a la acumulación de material sobrante en lugar indebido.
Negro: corresponde a multas por exceso de velocidad o por circular sin la protección correspondiente (por ejemplo, moto sin casco).
Violeta: corresponde a multas vinculadas a cuestiones arquitectónicas.
Ante cualquier duda o consulta sobre los importes allí detallados, quedamos a disposición.</t>
  </si>
  <si>
    <t>Lote 92 - Plan de pago: Adelanto de $2.700.000 + 3 cuotas de $850.000 (consecutivas) + Mantenerse al dia con las expensas</t>
  </si>
  <si>
    <t>Diciembre</t>
  </si>
  <si>
    <t>A pagar:</t>
  </si>
  <si>
    <t>Se abona:</t>
  </si>
  <si>
    <t>Deuda:</t>
  </si>
  <si>
    <t>Expensas a pagar en enero:</t>
  </si>
  <si>
    <t>Enero:</t>
  </si>
  <si>
    <t>Intereses:</t>
  </si>
  <si>
    <t>Expensas a pagar en Febrero:</t>
  </si>
  <si>
    <t>Total:</t>
  </si>
  <si>
    <t>AL TOTAL SE LE DEBE SUMAR EL NO ABONO DE LA PRIMER CUOTA DE $850.000</t>
  </si>
  <si>
    <t>Febrero:</t>
  </si>
  <si>
    <t>Total 1er vto:</t>
  </si>
  <si>
    <t>Total 2do vto:</t>
  </si>
  <si>
    <t>Aun no se saben</t>
  </si>
  <si>
    <t>--------------------</t>
  </si>
  <si>
    <t>ABONA PRIMER CUOTA DE $850.000 Y AL TOTAL SE LE DEBE SUMAR EL NO ABONO DE LA SEGUNDA CUOTA DE $850.000</t>
  </si>
  <si>
    <t>Expensas a pagar en Marzo:</t>
  </si>
  <si>
    <t>De deuda:</t>
  </si>
  <si>
    <t>De intereses:</t>
  </si>
  <si>
    <t>De la segunda cuota del plan de pago:</t>
  </si>
  <si>
    <t>Numeros actuales a abonar al 02/03 para estar al dia:</t>
  </si>
  <si>
    <t>TOTAL:</t>
  </si>
  <si>
    <t>IMPORTANTE: AL ABONAR $1.736.196,67 LA UNIDAD FUNCIONAL PASARIA A ESTA AL DIA, ESE NUMERO NO CONTEMPLA LAS EXPENSAS QUE SE DEBEN PAGAR EN MARZO (QUE AUN NO SE SABE EL MONTO) NI LA 3ER (Y ULTIMA) CUOTA DE PLAN DE PAGO DE $850.000</t>
  </si>
  <si>
    <t>Samsung Store - Funda para celular nuevo - Sr. Intendente</t>
  </si>
  <si>
    <t>Samsung Store - Proecction para el celular - Vidrio Templado; Lamina</t>
  </si>
  <si>
    <t>Samsung Store - Adaptador carga super rapida</t>
  </si>
  <si>
    <t>Batista Da Silva Ramon - Fc. 000000080 - CUIT:20218630783 - Cambio de contactor y fotocelula tablero de luces de calle</t>
  </si>
  <si>
    <t xml:space="preserve">Metalconf - CUIT: 30715811452 - Fc. 000037142 - Compra de Chapas arreglos puesto 2 </t>
  </si>
  <si>
    <t>Transferencia computada al L133 (mes anterior) cuando no correspondia</t>
  </si>
  <si>
    <t>Primer Vencimiento:  16/03</t>
  </si>
  <si>
    <t>TOTAL AL 02/03/2026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</si>
</sst>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_-[$$-2C0A]\ * #,##0.0_-;\-[$$-2C0A]\ * #,##0.0_-;_-[$$-2C0A]\ * &quot;-&quot;??_-;_-@_-"/>
    <numFmt numFmtId="170" formatCode="#,##0.00_ ;[Red]\-#,##0.00\ "/>
    <numFmt numFmtId="171" formatCode="_-&quot;$&quot;\ * #,##0.00_-;\-&quot;$&quot;\ * #,##0.00_-;_-&quot;$&quot;\ * &quot;-&quot;?_-;_-@_-"/>
    <numFmt numFmtId="172" formatCode="&quot;$&quot;\ #,##0.0;[Red]\-&quot;$&quot;\ #,##0.0"/>
    <numFmt numFmtId="173" formatCode="_-[$$-409]* #,##0.00_ ;_-[$$-409]* \-#,##0.00\ ;_-[$$-409]* &quot;-&quot;??_ ;_-@_ "/>
    <numFmt numFmtId="174" formatCode="_-* #,##0.00\ _€_-;\-* #,##0.00\ _€_-;_-* &quot;-&quot;??\ _€_-;_-@_-"/>
  </numFmts>
  <fonts count="29"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sz val="9"/>
      <color theme="1"/>
      <name val="Calibri"/>
      <family val="2"/>
      <scheme val="minor"/>
    </font>
    <font>
      <sz val="10"/>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sz val="16"/>
      <color theme="1"/>
      <name val="Calibri"/>
      <family val="2"/>
      <scheme val="minor"/>
    </font>
    <font>
      <b/>
      <i/>
      <sz val="11"/>
      <name val="Calibri"/>
      <family val="2"/>
      <scheme val="minor"/>
    </font>
    <font>
      <sz val="8"/>
      <name val="Calibri"/>
      <family val="2"/>
      <scheme val="minor"/>
    </font>
    <font>
      <b/>
      <i/>
      <u/>
      <sz val="10"/>
      <name val="Calibri"/>
      <family val="2"/>
      <scheme val="minor"/>
    </font>
    <font>
      <sz val="10"/>
      <name val="Calibri"/>
      <family val="2"/>
      <scheme val="minor"/>
    </font>
    <font>
      <u/>
      <sz val="11"/>
      <color theme="10"/>
      <name val="Calibri"/>
      <family val="2"/>
      <scheme val="minor"/>
    </font>
    <font>
      <b/>
      <u/>
      <sz val="11"/>
      <name val="Calibri"/>
      <family val="2"/>
      <scheme val="minor"/>
    </font>
    <font>
      <b/>
      <sz val="12"/>
      <name val="Calibri"/>
      <family val="2"/>
      <scheme val="minor"/>
    </font>
    <font>
      <b/>
      <sz val="10"/>
      <color theme="0"/>
      <name val="Calibri"/>
      <family val="2"/>
      <scheme val="minor"/>
    </font>
    <font>
      <b/>
      <sz val="20"/>
      <color theme="0"/>
      <name val="Calibri"/>
      <family val="2"/>
      <scheme val="minor"/>
    </font>
    <font>
      <sz val="10"/>
      <color theme="0"/>
      <name val="Calibri"/>
      <family val="2"/>
      <scheme val="minor"/>
    </font>
    <font>
      <sz val="11"/>
      <color theme="0"/>
      <name val="Calibri"/>
      <family val="2"/>
      <scheme val="minor"/>
    </font>
    <font>
      <b/>
      <sz val="18"/>
      <color theme="1"/>
      <name val="Calibri"/>
      <family val="2"/>
      <scheme val="minor"/>
    </font>
  </fonts>
  <fills count="41">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rgb="FFFFFF00"/>
        <bgColor indexed="64"/>
      </patternFill>
    </fill>
    <fill>
      <patternFill patternType="solid">
        <fgColor theme="4"/>
        <bgColor indexed="64"/>
      </patternFill>
    </fill>
    <fill>
      <patternFill patternType="solid">
        <fgColor theme="3" tint="0.59999389629810485"/>
        <bgColor indexed="64"/>
      </patternFill>
    </fill>
    <fill>
      <patternFill patternType="solid">
        <fgColor theme="5" tint="-0.249977111117893"/>
        <bgColor indexed="64"/>
      </patternFill>
    </fill>
    <fill>
      <patternFill patternType="solid">
        <fgColor theme="8"/>
        <bgColor indexed="64"/>
      </patternFill>
    </fill>
    <fill>
      <patternFill patternType="solid">
        <fgColor theme="6" tint="-0.249977111117893"/>
        <bgColor indexed="64"/>
      </patternFill>
    </fill>
    <fill>
      <patternFill patternType="solid">
        <fgColor theme="9"/>
        <bgColor indexed="64"/>
      </patternFill>
    </fill>
    <fill>
      <patternFill patternType="solid">
        <fgColor theme="7" tint="-0.249977111117893"/>
        <bgColor indexed="64"/>
      </patternFill>
    </fill>
    <fill>
      <patternFill patternType="solid">
        <fgColor theme="0" tint="-0.249977111117893"/>
        <bgColor indexed="64"/>
      </patternFill>
    </fill>
    <fill>
      <patternFill patternType="solid">
        <fgColor rgb="FFFF0000"/>
        <bgColor indexed="64"/>
      </patternFill>
    </fill>
    <fill>
      <patternFill patternType="solid">
        <fgColor rgb="FFFFFF99"/>
        <bgColor indexed="64"/>
      </patternFill>
    </fill>
    <fill>
      <patternFill patternType="solid">
        <fgColor theme="9" tint="0.39997558519241921"/>
        <bgColor indexed="64"/>
      </patternFill>
    </fill>
    <fill>
      <patternFill patternType="solid">
        <fgColor rgb="FFFF00FF"/>
        <bgColor indexed="64"/>
      </patternFill>
    </fill>
    <fill>
      <patternFill patternType="solid">
        <fgColor theme="2" tint="-0.499984740745262"/>
        <bgColor indexed="64"/>
      </patternFill>
    </fill>
    <fill>
      <patternFill patternType="solid">
        <fgColor rgb="FFFD95DD"/>
        <bgColor indexed="64"/>
      </patternFill>
    </fill>
    <fill>
      <patternFill patternType="solid">
        <fgColor theme="7"/>
        <bgColor indexed="64"/>
      </patternFill>
    </fill>
    <fill>
      <patternFill patternType="solid">
        <fgColor rgb="FFCC6600"/>
        <bgColor indexed="64"/>
      </patternFill>
    </fill>
    <fill>
      <patternFill patternType="solid">
        <fgColor theme="5" tint="0.39997558519241921"/>
        <bgColor indexed="64"/>
      </patternFill>
    </fill>
    <fill>
      <patternFill patternType="solid">
        <fgColor rgb="FF336699"/>
        <bgColor indexed="64"/>
      </patternFill>
    </fill>
    <fill>
      <patternFill patternType="solid">
        <fgColor theme="6"/>
        <bgColor indexed="64"/>
      </patternFill>
    </fill>
    <fill>
      <patternFill patternType="solid">
        <fgColor theme="3"/>
        <bgColor indexed="64"/>
      </patternFill>
    </fill>
    <fill>
      <patternFill patternType="solid">
        <fgColor rgb="FF7030A0"/>
        <bgColor indexed="64"/>
      </patternFill>
    </fill>
    <fill>
      <patternFill patternType="solid">
        <fgColor theme="5"/>
        <bgColor indexed="64"/>
      </patternFill>
    </fill>
    <fill>
      <patternFill patternType="solid">
        <fgColor theme="8" tint="-0.249977111117893"/>
        <bgColor indexed="64"/>
      </patternFill>
    </fill>
    <fill>
      <patternFill patternType="solid">
        <fgColor rgb="FF00FF00"/>
        <bgColor indexed="64"/>
      </patternFill>
    </fill>
    <fill>
      <patternFill patternType="solid">
        <fgColor theme="7" tint="0.39997558519241921"/>
        <bgColor indexed="64"/>
      </patternFill>
    </fill>
    <fill>
      <patternFill patternType="solid">
        <fgColor theme="3" tint="-0.249977111117893"/>
        <bgColor indexed="64"/>
      </patternFill>
    </fill>
    <fill>
      <patternFill patternType="solid">
        <fgColor rgb="FF666633"/>
        <bgColor indexed="64"/>
      </patternFill>
    </fill>
    <fill>
      <patternFill patternType="solid">
        <fgColor rgb="FF92D050"/>
        <bgColor indexed="64"/>
      </patternFill>
    </fill>
    <fill>
      <patternFill patternType="solid">
        <fgColor theme="2" tint="-0.249977111117893"/>
        <bgColor indexed="64"/>
      </patternFill>
    </fill>
    <fill>
      <patternFill patternType="solid">
        <fgColor rgb="FF002060"/>
        <bgColor indexed="64"/>
      </patternFill>
    </fill>
    <fill>
      <patternFill patternType="solid">
        <fgColor rgb="FF00B0F0"/>
        <bgColor indexed="64"/>
      </patternFill>
    </fill>
    <fill>
      <patternFill patternType="solid">
        <fgColor theme="8" tint="0.59999389629810485"/>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5">
    <xf numFmtId="0" fontId="0" fillId="0" borderId="0"/>
    <xf numFmtId="44" fontId="1" fillId="0" borderId="0" applyFont="0" applyFill="0" applyBorder="0" applyAlignment="0" applyProtection="0"/>
    <xf numFmtId="164" fontId="1" fillId="0" borderId="0" applyFont="0" applyFill="0" applyBorder="0" applyAlignment="0" applyProtection="0"/>
    <xf numFmtId="0" fontId="21" fillId="0" borderId="0" applyNumberFormat="0" applyFill="0" applyBorder="0" applyAlignment="0" applyProtection="0"/>
    <xf numFmtId="43" fontId="1" fillId="0" borderId="0" applyFont="0" applyFill="0" applyBorder="0" applyAlignment="0" applyProtection="0"/>
  </cellStyleXfs>
  <cellXfs count="473">
    <xf numFmtId="0" fontId="0" fillId="0" borderId="0" xfId="0"/>
    <xf numFmtId="0" fontId="0" fillId="0" borderId="1" xfId="0" applyBorder="1"/>
    <xf numFmtId="0" fontId="0" fillId="3" borderId="0" xfId="0" applyFill="1"/>
    <xf numFmtId="0" fontId="0" fillId="0" borderId="5" xfId="0" applyBorder="1"/>
    <xf numFmtId="8" fontId="0" fillId="0" borderId="0" xfId="0" applyNumberFormat="1"/>
    <xf numFmtId="164" fontId="3" fillId="0" borderId="0" xfId="0" applyNumberFormat="1" applyFont="1"/>
    <xf numFmtId="4" fontId="5" fillId="0" borderId="0" xfId="0" applyNumberFormat="1" applyFont="1"/>
    <xf numFmtId="0" fontId="5" fillId="0" borderId="1" xfId="0" applyFont="1" applyBorder="1" applyAlignment="1">
      <alignment vertical="center" wrapText="1"/>
    </xf>
    <xf numFmtId="0" fontId="10" fillId="4" borderId="1" xfId="0" applyFont="1" applyFill="1" applyBorder="1"/>
    <xf numFmtId="0" fontId="6" fillId="4" borderId="1" xfId="0" applyFont="1" applyFill="1" applyBorder="1"/>
    <xf numFmtId="0" fontId="0" fillId="0" borderId="0" xfId="0" applyAlignment="1">
      <alignment wrapText="1"/>
    </xf>
    <xf numFmtId="44" fontId="0" fillId="0" borderId="0" xfId="1" applyFont="1"/>
    <xf numFmtId="0" fontId="7" fillId="2" borderId="0" xfId="0" applyFont="1" applyFill="1"/>
    <xf numFmtId="44" fontId="0" fillId="0" borderId="0" xfId="0" applyNumberFormat="1"/>
    <xf numFmtId="0" fontId="8" fillId="6" borderId="0" xfId="0" applyFont="1" applyFill="1"/>
    <xf numFmtId="44" fontId="8" fillId="6" borderId="0" xfId="1" applyFont="1" applyFill="1"/>
    <xf numFmtId="0" fontId="13" fillId="2" borderId="1" xfId="0" applyFont="1" applyFill="1" applyBorder="1"/>
    <xf numFmtId="0" fontId="13" fillId="0" borderId="1" xfId="0" applyFont="1" applyBorder="1"/>
    <xf numFmtId="44" fontId="9" fillId="4" borderId="1" xfId="1" applyFont="1" applyFill="1" applyBorder="1"/>
    <xf numFmtId="0" fontId="13" fillId="0" borderId="1" xfId="0" applyFont="1" applyBorder="1" applyAlignment="1">
      <alignment horizontal="center"/>
    </xf>
    <xf numFmtId="44" fontId="18" fillId="0" borderId="1" xfId="1" applyFont="1" applyBorder="1"/>
    <xf numFmtId="165" fontId="13" fillId="0" borderId="1" xfId="0" applyNumberFormat="1" applyFont="1" applyBorder="1"/>
    <xf numFmtId="165" fontId="13" fillId="0" borderId="1" xfId="1" applyNumberFormat="1" applyFont="1" applyBorder="1"/>
    <xf numFmtId="0" fontId="13" fillId="9" borderId="20" xfId="0" applyFont="1" applyFill="1" applyBorder="1"/>
    <xf numFmtId="0" fontId="4" fillId="0" borderId="1" xfId="0" applyFont="1" applyBorder="1"/>
    <xf numFmtId="0" fontId="4" fillId="10" borderId="1" xfId="0" applyFont="1" applyFill="1" applyBorder="1"/>
    <xf numFmtId="44" fontId="19" fillId="4" borderId="3" xfId="1" applyFont="1" applyFill="1" applyBorder="1"/>
    <xf numFmtId="44" fontId="20" fillId="4" borderId="3" xfId="1" applyFont="1" applyFill="1" applyBorder="1"/>
    <xf numFmtId="0" fontId="20" fillId="0" borderId="1" xfId="1" applyNumberFormat="1" applyFont="1" applyBorder="1" applyAlignment="1">
      <alignment horizontal="left"/>
    </xf>
    <xf numFmtId="44" fontId="9" fillId="4" borderId="13" xfId="1" applyFont="1" applyFill="1" applyBorder="1"/>
    <xf numFmtId="44" fontId="20" fillId="2" borderId="1" xfId="1" applyFont="1" applyFill="1" applyBorder="1"/>
    <xf numFmtId="44" fontId="20" fillId="2" borderId="3" xfId="1" applyFont="1" applyFill="1" applyBorder="1"/>
    <xf numFmtId="0" fontId="4" fillId="0" borderId="0" xfId="0" applyFont="1"/>
    <xf numFmtId="44" fontId="8" fillId="6" borderId="0" xfId="0" applyNumberFormat="1" applyFont="1" applyFill="1"/>
    <xf numFmtId="0" fontId="5" fillId="0" borderId="1" xfId="0" applyFont="1" applyBorder="1" applyAlignment="1">
      <alignment horizontal="left" vertical="center" wrapText="1"/>
    </xf>
    <xf numFmtId="166" fontId="18" fillId="2" borderId="1" xfId="1" applyNumberFormat="1" applyFont="1" applyFill="1" applyBorder="1"/>
    <xf numFmtId="0" fontId="0" fillId="2" borderId="0" xfId="0" applyFill="1"/>
    <xf numFmtId="166" fontId="0" fillId="0" borderId="0" xfId="0" applyNumberFormat="1"/>
    <xf numFmtId="167" fontId="0" fillId="0" borderId="0" xfId="0" applyNumberFormat="1"/>
    <xf numFmtId="44" fontId="6" fillId="7" borderId="1" xfId="1" applyFont="1" applyFill="1" applyBorder="1"/>
    <xf numFmtId="43" fontId="0" fillId="0" borderId="0" xfId="0" applyNumberFormat="1"/>
    <xf numFmtId="165" fontId="0" fillId="0" borderId="0" xfId="0" applyNumberFormat="1"/>
    <xf numFmtId="43" fontId="0" fillId="0" borderId="0" xfId="0" applyNumberFormat="1" applyAlignment="1">
      <alignment wrapText="1"/>
    </xf>
    <xf numFmtId="44" fontId="4" fillId="0" borderId="1" xfId="1" applyFont="1" applyBorder="1"/>
    <xf numFmtId="0" fontId="4" fillId="11" borderId="1" xfId="0" applyFont="1" applyFill="1" applyBorder="1"/>
    <xf numFmtId="0" fontId="10" fillId="12" borderId="1" xfId="0" applyFont="1" applyFill="1" applyBorder="1"/>
    <xf numFmtId="0" fontId="2" fillId="3" borderId="13" xfId="0" applyFont="1" applyFill="1" applyBorder="1"/>
    <xf numFmtId="0" fontId="2" fillId="3" borderId="13" xfId="0" applyFont="1" applyFill="1" applyBorder="1" applyAlignment="1">
      <alignment horizontal="left"/>
    </xf>
    <xf numFmtId="0" fontId="2" fillId="3" borderId="10" xfId="0" applyFont="1" applyFill="1" applyBorder="1" applyAlignment="1">
      <alignment wrapText="1"/>
    </xf>
    <xf numFmtId="0" fontId="2" fillId="3" borderId="11" xfId="0" applyFont="1" applyFill="1" applyBorder="1" applyAlignment="1">
      <alignment wrapText="1"/>
    </xf>
    <xf numFmtId="0" fontId="2" fillId="3" borderId="9" xfId="0" applyFont="1" applyFill="1" applyBorder="1"/>
    <xf numFmtId="0" fontId="2" fillId="3" borderId="10" xfId="0" applyFont="1" applyFill="1" applyBorder="1"/>
    <xf numFmtId="0" fontId="4" fillId="13" borderId="15" xfId="0" applyFont="1" applyFill="1" applyBorder="1"/>
    <xf numFmtId="0" fontId="13" fillId="2" borderId="1" xfId="0" applyFont="1" applyFill="1" applyBorder="1" applyAlignment="1">
      <alignment wrapText="1"/>
    </xf>
    <xf numFmtId="44" fontId="6" fillId="12" borderId="20" xfId="1" applyFont="1" applyFill="1" applyBorder="1"/>
    <xf numFmtId="165" fontId="6" fillId="12" borderId="2" xfId="1" applyNumberFormat="1" applyFont="1" applyFill="1" applyBorder="1"/>
    <xf numFmtId="0" fontId="6" fillId="5" borderId="8" xfId="0" applyFont="1" applyFill="1" applyBorder="1"/>
    <xf numFmtId="0" fontId="20" fillId="0" borderId="1" xfId="0" applyFont="1" applyBorder="1"/>
    <xf numFmtId="0" fontId="4" fillId="14" borderId="12" xfId="0" applyFont="1" applyFill="1" applyBorder="1"/>
    <xf numFmtId="0" fontId="4" fillId="14" borderId="15" xfId="0" applyFont="1" applyFill="1" applyBorder="1"/>
    <xf numFmtId="0" fontId="0" fillId="2" borderId="1" xfId="0" applyFill="1" applyBorder="1"/>
    <xf numFmtId="165" fontId="18" fillId="0" borderId="1" xfId="0" applyNumberFormat="1" applyFont="1" applyBorder="1"/>
    <xf numFmtId="165" fontId="18" fillId="2" borderId="1" xfId="0" applyNumberFormat="1" applyFont="1" applyFill="1" applyBorder="1"/>
    <xf numFmtId="0" fontId="7" fillId="0" borderId="0" xfId="0" applyFont="1"/>
    <xf numFmtId="0" fontId="0" fillId="2" borderId="12" xfId="0" applyFill="1" applyBorder="1"/>
    <xf numFmtId="0" fontId="21" fillId="0" borderId="0" xfId="3"/>
    <xf numFmtId="0" fontId="0" fillId="2" borderId="15" xfId="0" applyFill="1" applyBorder="1"/>
    <xf numFmtId="0" fontId="0" fillId="2" borderId="0" xfId="0" applyFill="1" applyAlignment="1">
      <alignment horizontal="center"/>
    </xf>
    <xf numFmtId="0" fontId="0" fillId="2" borderId="17" xfId="0" applyFill="1" applyBorder="1" applyAlignment="1">
      <alignment horizontal="center"/>
    </xf>
    <xf numFmtId="0" fontId="0" fillId="2" borderId="17" xfId="0" applyFill="1" applyBorder="1"/>
    <xf numFmtId="44" fontId="0" fillId="0" borderId="0" xfId="1" applyFont="1" applyBorder="1"/>
    <xf numFmtId="0" fontId="0" fillId="0" borderId="1" xfId="0" applyBorder="1" applyAlignment="1">
      <alignment horizontal="left" vertical="center" wrapText="1"/>
    </xf>
    <xf numFmtId="0" fontId="22" fillId="4" borderId="1" xfId="0" applyFont="1" applyFill="1" applyBorder="1"/>
    <xf numFmtId="44" fontId="2" fillId="15" borderId="15" xfId="1" applyFont="1" applyFill="1" applyBorder="1"/>
    <xf numFmtId="165" fontId="13" fillId="2" borderId="1" xfId="1" applyNumberFormat="1" applyFont="1" applyFill="1" applyBorder="1"/>
    <xf numFmtId="0" fontId="2" fillId="0" borderId="1" xfId="0" applyFont="1" applyBorder="1"/>
    <xf numFmtId="44" fontId="2" fillId="0" borderId="1" xfId="1" applyFont="1" applyBorder="1"/>
    <xf numFmtId="0" fontId="2" fillId="16" borderId="1" xfId="0" applyFont="1" applyFill="1" applyBorder="1"/>
    <xf numFmtId="44" fontId="2" fillId="16" borderId="1" xfId="1" applyFont="1" applyFill="1" applyBorder="1"/>
    <xf numFmtId="170" fontId="0" fillId="0" borderId="0" xfId="0" applyNumberFormat="1"/>
    <xf numFmtId="0" fontId="13" fillId="2" borderId="1" xfId="0" applyFont="1" applyFill="1" applyBorder="1" applyAlignment="1">
      <alignment horizontal="center"/>
    </xf>
    <xf numFmtId="165" fontId="13" fillId="2" borderId="1" xfId="0" applyNumberFormat="1" applyFont="1" applyFill="1" applyBorder="1"/>
    <xf numFmtId="44" fontId="0" fillId="2" borderId="0" xfId="0" applyNumberFormat="1" applyFill="1"/>
    <xf numFmtId="171" fontId="0" fillId="0" borderId="0" xfId="0" applyNumberFormat="1"/>
    <xf numFmtId="44" fontId="20" fillId="2" borderId="1" xfId="1" applyFont="1" applyFill="1" applyBorder="1" applyAlignment="1">
      <alignment wrapText="1"/>
    </xf>
    <xf numFmtId="0" fontId="20" fillId="2" borderId="1" xfId="1" applyNumberFormat="1" applyFont="1" applyFill="1" applyBorder="1" applyAlignment="1"/>
    <xf numFmtId="44" fontId="20" fillId="0" borderId="1" xfId="1" applyFont="1" applyBorder="1" applyAlignment="1"/>
    <xf numFmtId="44" fontId="20" fillId="0" borderId="3" xfId="1" applyFont="1" applyBorder="1" applyAlignment="1"/>
    <xf numFmtId="165" fontId="18" fillId="2" borderId="1" xfId="1" applyNumberFormat="1" applyFont="1" applyFill="1" applyBorder="1"/>
    <xf numFmtId="0" fontId="6" fillId="10" borderId="1" xfId="0" applyFont="1" applyFill="1" applyBorder="1"/>
    <xf numFmtId="0" fontId="21" fillId="2" borderId="0" xfId="3" applyFill="1" applyAlignment="1">
      <alignment horizontal="center"/>
    </xf>
    <xf numFmtId="166" fontId="6" fillId="12" borderId="20" xfId="1" applyNumberFormat="1" applyFont="1" applyFill="1" applyBorder="1"/>
    <xf numFmtId="172" fontId="6" fillId="12" borderId="20" xfId="1" applyNumberFormat="1" applyFont="1" applyFill="1" applyBorder="1"/>
    <xf numFmtId="166" fontId="6" fillId="11" borderId="1" xfId="1" applyNumberFormat="1" applyFont="1" applyFill="1" applyBorder="1"/>
    <xf numFmtId="165" fontId="6" fillId="13" borderId="11" xfId="1" applyNumberFormat="1" applyFont="1" applyFill="1" applyBorder="1"/>
    <xf numFmtId="166" fontId="6" fillId="12" borderId="19" xfId="1" applyNumberFormat="1" applyFont="1" applyFill="1" applyBorder="1"/>
    <xf numFmtId="44" fontId="20" fillId="2" borderId="3" xfId="1" applyFont="1" applyFill="1" applyBorder="1" applyAlignment="1"/>
    <xf numFmtId="168" fontId="0" fillId="0" borderId="0" xfId="0" applyNumberFormat="1"/>
    <xf numFmtId="43" fontId="18" fillId="2" borderId="1" xfId="1" applyNumberFormat="1" applyFont="1" applyFill="1" applyBorder="1"/>
    <xf numFmtId="0" fontId="0" fillId="2" borderId="1" xfId="0" applyFill="1" applyBorder="1" applyAlignment="1">
      <alignment horizontal="left" vertical="center" wrapText="1"/>
    </xf>
    <xf numFmtId="0" fontId="6" fillId="0" borderId="0" xfId="0" applyFont="1"/>
    <xf numFmtId="0" fontId="6" fillId="5" borderId="14" xfId="0" applyFont="1" applyFill="1" applyBorder="1"/>
    <xf numFmtId="0" fontId="6" fillId="5" borderId="12" xfId="0" applyFont="1" applyFill="1" applyBorder="1"/>
    <xf numFmtId="10" fontId="6" fillId="5" borderId="12" xfId="0" applyNumberFormat="1" applyFont="1" applyFill="1" applyBorder="1"/>
    <xf numFmtId="0" fontId="4" fillId="5" borderId="12" xfId="0" applyFont="1" applyFill="1" applyBorder="1"/>
    <xf numFmtId="0" fontId="4" fillId="5" borderId="15" xfId="0" applyFont="1" applyFill="1" applyBorder="1"/>
    <xf numFmtId="0" fontId="17" fillId="10" borderId="1" xfId="0" applyFont="1" applyFill="1" applyBorder="1"/>
    <xf numFmtId="0" fontId="6" fillId="12" borderId="1" xfId="0" applyFont="1" applyFill="1" applyBorder="1"/>
    <xf numFmtId="0" fontId="4" fillId="0" borderId="1" xfId="0" applyFont="1" applyBorder="1" applyAlignment="1">
      <alignment vertical="center" wrapText="1"/>
    </xf>
    <xf numFmtId="0" fontId="4" fillId="2" borderId="1" xfId="0" applyFont="1" applyFill="1" applyBorder="1"/>
    <xf numFmtId="0" fontId="4" fillId="4" borderId="1" xfId="0" applyFont="1" applyFill="1" applyBorder="1"/>
    <xf numFmtId="0" fontId="4" fillId="12" borderId="1" xfId="0" applyFont="1" applyFill="1" applyBorder="1"/>
    <xf numFmtId="0" fontId="4" fillId="0" borderId="7" xfId="0" applyFont="1" applyBorder="1" applyAlignment="1">
      <alignment wrapText="1"/>
    </xf>
    <xf numFmtId="16" fontId="20" fillId="0" borderId="1" xfId="0" applyNumberFormat="1" applyFont="1" applyBorder="1"/>
    <xf numFmtId="0" fontId="6" fillId="4" borderId="1" xfId="0" applyFont="1" applyFill="1" applyBorder="1" applyAlignment="1">
      <alignment wrapText="1"/>
    </xf>
    <xf numFmtId="0" fontId="6" fillId="12" borderId="3" xfId="0" applyFont="1" applyFill="1" applyBorder="1"/>
    <xf numFmtId="0" fontId="6" fillId="12" borderId="4" xfId="0" applyFont="1" applyFill="1" applyBorder="1"/>
    <xf numFmtId="0" fontId="6" fillId="5" borderId="24" xfId="0" applyFont="1" applyFill="1" applyBorder="1"/>
    <xf numFmtId="10" fontId="6" fillId="5" borderId="8" xfId="0" applyNumberFormat="1" applyFont="1" applyFill="1" applyBorder="1"/>
    <xf numFmtId="0" fontId="6" fillId="11" borderId="1" xfId="0" applyFont="1" applyFill="1" applyBorder="1"/>
    <xf numFmtId="0" fontId="6" fillId="13" borderId="14" xfId="0" applyFont="1" applyFill="1" applyBorder="1"/>
    <xf numFmtId="0" fontId="6" fillId="13" borderId="12" xfId="0" applyFont="1" applyFill="1" applyBorder="1"/>
    <xf numFmtId="10" fontId="6" fillId="13" borderId="12" xfId="0" applyNumberFormat="1" applyFont="1" applyFill="1" applyBorder="1"/>
    <xf numFmtId="0" fontId="6" fillId="13" borderId="9" xfId="0" applyFont="1" applyFill="1" applyBorder="1"/>
    <xf numFmtId="0" fontId="4" fillId="13" borderId="10" xfId="0" applyFont="1" applyFill="1" applyBorder="1"/>
    <xf numFmtId="44" fontId="4" fillId="13" borderId="10" xfId="1" applyFont="1" applyFill="1" applyBorder="1"/>
    <xf numFmtId="0" fontId="6" fillId="13" borderId="26" xfId="0" applyFont="1" applyFill="1" applyBorder="1"/>
    <xf numFmtId="0" fontId="6" fillId="13" borderId="23" xfId="0" applyFont="1" applyFill="1" applyBorder="1"/>
    <xf numFmtId="165" fontId="6" fillId="13" borderId="27" xfId="0" applyNumberFormat="1" applyFont="1" applyFill="1" applyBorder="1"/>
    <xf numFmtId="0" fontId="6" fillId="14" borderId="14" xfId="0" applyFont="1" applyFill="1" applyBorder="1"/>
    <xf numFmtId="0" fontId="6" fillId="14" borderId="12" xfId="0" applyFont="1" applyFill="1" applyBorder="1"/>
    <xf numFmtId="10" fontId="6" fillId="14" borderId="12" xfId="0" applyNumberFormat="1" applyFont="1" applyFill="1" applyBorder="1"/>
    <xf numFmtId="44" fontId="5" fillId="6" borderId="3" xfId="1" applyFont="1" applyFill="1" applyBorder="1"/>
    <xf numFmtId="0" fontId="8" fillId="15" borderId="14" xfId="0" applyFont="1" applyFill="1" applyBorder="1"/>
    <xf numFmtId="0" fontId="8" fillId="15" borderId="24" xfId="0" applyFont="1" applyFill="1" applyBorder="1"/>
    <xf numFmtId="0" fontId="2" fillId="0" borderId="0" xfId="0" applyFont="1"/>
    <xf numFmtId="44" fontId="2" fillId="0" borderId="0" xfId="1" applyFont="1"/>
    <xf numFmtId="0" fontId="0" fillId="0" borderId="28" xfId="0" applyBorder="1"/>
    <xf numFmtId="44" fontId="0" fillId="0" borderId="29" xfId="1" applyFont="1" applyBorder="1"/>
    <xf numFmtId="0" fontId="2" fillId="18" borderId="13" xfId="0" applyFont="1" applyFill="1" applyBorder="1"/>
    <xf numFmtId="44" fontId="2" fillId="18" borderId="13" xfId="1" applyFont="1" applyFill="1" applyBorder="1"/>
    <xf numFmtId="0" fontId="24" fillId="6" borderId="0" xfId="0" applyFont="1" applyFill="1"/>
    <xf numFmtId="0" fontId="5" fillId="7" borderId="1" xfId="0" applyFont="1" applyFill="1" applyBorder="1"/>
    <xf numFmtId="0" fontId="3" fillId="0" borderId="0" xfId="0" applyFont="1"/>
    <xf numFmtId="0" fontId="5" fillId="0" borderId="1" xfId="0" applyFont="1" applyBorder="1" applyAlignment="1">
      <alignment horizontal="left" vertical="center"/>
    </xf>
    <xf numFmtId="44" fontId="0" fillId="2" borderId="1" xfId="1" applyFont="1" applyFill="1" applyBorder="1"/>
    <xf numFmtId="44" fontId="4" fillId="14" borderId="1" xfId="1" applyFont="1" applyFill="1" applyBorder="1"/>
    <xf numFmtId="0" fontId="0" fillId="2" borderId="16" xfId="0" applyFill="1" applyBorder="1"/>
    <xf numFmtId="166" fontId="6" fillId="12" borderId="2" xfId="1" applyNumberFormat="1" applyFont="1" applyFill="1" applyBorder="1"/>
    <xf numFmtId="168" fontId="4" fillId="2" borderId="1" xfId="1" applyNumberFormat="1" applyFont="1" applyFill="1" applyBorder="1"/>
    <xf numFmtId="166" fontId="0" fillId="2" borderId="0" xfId="0" applyNumberFormat="1" applyFill="1"/>
    <xf numFmtId="167" fontId="0" fillId="2" borderId="0" xfId="0" applyNumberFormat="1" applyFill="1"/>
    <xf numFmtId="44" fontId="2" fillId="19" borderId="13" xfId="1" applyFont="1" applyFill="1" applyBorder="1"/>
    <xf numFmtId="0" fontId="6" fillId="19" borderId="13" xfId="0" applyFont="1" applyFill="1" applyBorder="1" applyAlignment="1">
      <alignment horizontal="left" vertical="center" wrapText="1"/>
    </xf>
    <xf numFmtId="166" fontId="6" fillId="5" borderId="25" xfId="0" applyNumberFormat="1" applyFont="1" applyFill="1" applyBorder="1"/>
    <xf numFmtId="169" fontId="23" fillId="3" borderId="0" xfId="0" applyNumberFormat="1" applyFont="1" applyFill="1"/>
    <xf numFmtId="44" fontId="20" fillId="2" borderId="3" xfId="1" applyFont="1" applyFill="1" applyBorder="1" applyAlignment="1">
      <alignment wrapText="1"/>
    </xf>
    <xf numFmtId="8" fontId="0" fillId="2" borderId="0" xfId="0" applyNumberFormat="1" applyFill="1"/>
    <xf numFmtId="0" fontId="18" fillId="2" borderId="1" xfId="0" applyFont="1" applyFill="1" applyBorder="1"/>
    <xf numFmtId="8" fontId="4" fillId="0" borderId="1" xfId="0" applyNumberFormat="1" applyFont="1" applyBorder="1"/>
    <xf numFmtId="0" fontId="9" fillId="2" borderId="0" xfId="0" applyFont="1" applyFill="1" applyAlignment="1">
      <alignment vertical="center"/>
    </xf>
    <xf numFmtId="44" fontId="6" fillId="2" borderId="1" xfId="1" applyFont="1" applyFill="1" applyBorder="1" applyAlignment="1">
      <alignment vertical="center"/>
    </xf>
    <xf numFmtId="4" fontId="0" fillId="0" borderId="0" xfId="0" applyNumberFormat="1" applyAlignment="1">
      <alignment vertical="center"/>
    </xf>
    <xf numFmtId="0" fontId="0" fillId="0" borderId="0" xfId="0" applyAlignment="1">
      <alignment vertical="center"/>
    </xf>
    <xf numFmtId="44" fontId="0" fillId="0" borderId="0" xfId="0" applyNumberFormat="1" applyAlignment="1">
      <alignment vertical="center"/>
    </xf>
    <xf numFmtId="0" fontId="5" fillId="0" borderId="1" xfId="0" applyFont="1" applyBorder="1" applyAlignment="1">
      <alignment vertical="center"/>
    </xf>
    <xf numFmtId="44" fontId="3" fillId="2" borderId="1" xfId="1" applyFont="1" applyFill="1" applyBorder="1" applyAlignment="1">
      <alignment vertical="center"/>
    </xf>
    <xf numFmtId="164" fontId="3" fillId="0" borderId="0" xfId="0" applyNumberFormat="1" applyFont="1" applyAlignment="1">
      <alignment vertical="center"/>
    </xf>
    <xf numFmtId="44" fontId="20" fillId="2" borderId="1" xfId="1" applyFont="1" applyFill="1" applyBorder="1" applyAlignment="1">
      <alignment vertical="center"/>
    </xf>
    <xf numFmtId="44" fontId="12" fillId="2" borderId="1" xfId="1" applyFont="1" applyFill="1" applyBorder="1" applyAlignment="1">
      <alignment vertical="center"/>
    </xf>
    <xf numFmtId="44" fontId="0" fillId="0" borderId="0" xfId="1" applyFont="1" applyAlignment="1">
      <alignment vertical="center"/>
    </xf>
    <xf numFmtId="43" fontId="0" fillId="0" borderId="0" xfId="0" applyNumberFormat="1" applyAlignment="1">
      <alignment vertical="center"/>
    </xf>
    <xf numFmtId="0" fontId="13" fillId="22" borderId="1" xfId="0" applyFont="1" applyFill="1" applyBorder="1"/>
    <xf numFmtId="0" fontId="13" fillId="22" borderId="1" xfId="0" applyFont="1" applyFill="1" applyBorder="1" applyAlignment="1">
      <alignment horizontal="center"/>
    </xf>
    <xf numFmtId="0" fontId="13" fillId="21" borderId="1" xfId="0" applyFont="1" applyFill="1" applyBorder="1"/>
    <xf numFmtId="0" fontId="13" fillId="23" borderId="1" xfId="0" applyFont="1" applyFill="1" applyBorder="1"/>
    <xf numFmtId="0" fontId="13" fillId="20" borderId="1" xfId="0" applyFont="1" applyFill="1" applyBorder="1"/>
    <xf numFmtId="0" fontId="13" fillId="18" borderId="1" xfId="0" applyFont="1" applyFill="1" applyBorder="1"/>
    <xf numFmtId="0" fontId="13" fillId="24" borderId="1" xfId="0" applyFont="1" applyFill="1" applyBorder="1"/>
    <xf numFmtId="0" fontId="13" fillId="25" borderId="1" xfId="0" applyFont="1" applyFill="1" applyBorder="1"/>
    <xf numFmtId="0" fontId="13" fillId="9" borderId="1" xfId="0" applyFont="1" applyFill="1" applyBorder="1"/>
    <xf numFmtId="0" fontId="13" fillId="8" borderId="1" xfId="0" applyFont="1" applyFill="1" applyBorder="1"/>
    <xf numFmtId="0" fontId="4" fillId="0" borderId="7" xfId="0" applyFont="1" applyBorder="1" applyAlignment="1">
      <alignment horizontal="left" vertical="center" wrapText="1"/>
    </xf>
    <xf numFmtId="44" fontId="18" fillId="0" borderId="1" xfId="1" applyFont="1" applyBorder="1" applyAlignment="1">
      <alignment horizontal="center"/>
    </xf>
    <xf numFmtId="169" fontId="23" fillId="3" borderId="0" xfId="1" applyNumberFormat="1" applyFont="1" applyFill="1" applyAlignment="1">
      <alignment horizontal="center"/>
    </xf>
    <xf numFmtId="169" fontId="23" fillId="3" borderId="0" xfId="1" applyNumberFormat="1" applyFont="1" applyFill="1" applyBorder="1" applyAlignment="1">
      <alignment horizontal="center" vertical="center"/>
    </xf>
    <xf numFmtId="44" fontId="18" fillId="0" borderId="2" xfId="1" applyFont="1" applyBorder="1" applyAlignment="1">
      <alignment horizontal="center"/>
    </xf>
    <xf numFmtId="44" fontId="13" fillId="4" borderId="13" xfId="0" applyNumberFormat="1" applyFont="1" applyFill="1" applyBorder="1" applyAlignment="1">
      <alignment horizontal="center"/>
    </xf>
    <xf numFmtId="0" fontId="13" fillId="0" borderId="2" xfId="0" applyFont="1" applyBorder="1"/>
    <xf numFmtId="0" fontId="13" fillId="0" borderId="2" xfId="0" applyFont="1" applyBorder="1" applyAlignment="1">
      <alignment horizontal="center"/>
    </xf>
    <xf numFmtId="44" fontId="18" fillId="0" borderId="2" xfId="1" applyFont="1" applyBorder="1"/>
    <xf numFmtId="0" fontId="4" fillId="0" borderId="2" xfId="0" applyFont="1" applyBorder="1"/>
    <xf numFmtId="165" fontId="13" fillId="0" borderId="2" xfId="0" applyNumberFormat="1" applyFont="1" applyBorder="1"/>
    <xf numFmtId="44" fontId="13" fillId="0" borderId="2" xfId="1" applyFont="1" applyBorder="1"/>
    <xf numFmtId="165" fontId="13" fillId="0" borderId="2" xfId="1" applyNumberFormat="1" applyFont="1" applyBorder="1"/>
    <xf numFmtId="0" fontId="0" fillId="0" borderId="2" xfId="0" applyBorder="1"/>
    <xf numFmtId="0" fontId="13" fillId="4" borderId="13" xfId="0" applyFont="1" applyFill="1" applyBorder="1"/>
    <xf numFmtId="1" fontId="13" fillId="4" borderId="13" xfId="0" applyNumberFormat="1" applyFont="1" applyFill="1" applyBorder="1" applyAlignment="1">
      <alignment horizontal="center"/>
    </xf>
    <xf numFmtId="44" fontId="13" fillId="4" borderId="9" xfId="0" applyNumberFormat="1" applyFont="1" applyFill="1" applyBorder="1"/>
    <xf numFmtId="165" fontId="13" fillId="4" borderId="23" xfId="0" applyNumberFormat="1" applyFont="1" applyFill="1" applyBorder="1"/>
    <xf numFmtId="165" fontId="13" fillId="4" borderId="11" xfId="0" applyNumberFormat="1" applyFont="1" applyFill="1" applyBorder="1"/>
    <xf numFmtId="165" fontId="13" fillId="4" borderId="13" xfId="0" applyNumberFormat="1" applyFont="1" applyFill="1" applyBorder="1"/>
    <xf numFmtId="44" fontId="13" fillId="4" borderId="13" xfId="0" applyNumberFormat="1" applyFont="1" applyFill="1" applyBorder="1"/>
    <xf numFmtId="165" fontId="13" fillId="4" borderId="13" xfId="0" applyNumberFormat="1" applyFont="1" applyFill="1" applyBorder="1" applyAlignment="1">
      <alignment horizontal="left"/>
    </xf>
    <xf numFmtId="0" fontId="13" fillId="26" borderId="3" xfId="0" applyFont="1" applyFill="1" applyBorder="1"/>
    <xf numFmtId="0" fontId="13" fillId="2" borderId="3" xfId="0" applyFont="1" applyFill="1" applyBorder="1" applyAlignment="1">
      <alignment horizontal="center"/>
    </xf>
    <xf numFmtId="165" fontId="18" fillId="0" borderId="3" xfId="0" applyNumberFormat="1" applyFont="1" applyBorder="1"/>
    <xf numFmtId="165" fontId="13" fillId="0" borderId="3" xfId="0" applyNumberFormat="1" applyFont="1" applyBorder="1"/>
    <xf numFmtId="165" fontId="13" fillId="0" borderId="3" xfId="1" applyNumberFormat="1" applyFont="1" applyBorder="1"/>
    <xf numFmtId="165" fontId="13" fillId="2" borderId="3" xfId="1" applyNumberFormat="1" applyFont="1" applyFill="1" applyBorder="1"/>
    <xf numFmtId="0" fontId="0" fillId="0" borderId="3" xfId="0" applyBorder="1"/>
    <xf numFmtId="0" fontId="4" fillId="0" borderId="1" xfId="0" applyFont="1" applyBorder="1" applyAlignment="1">
      <alignment vertical="center"/>
    </xf>
    <xf numFmtId="0" fontId="4" fillId="0" borderId="3" xfId="0" applyFont="1" applyBorder="1"/>
    <xf numFmtId="8" fontId="18" fillId="2" borderId="3" xfId="4" applyNumberFormat="1" applyFont="1" applyFill="1" applyBorder="1"/>
    <xf numFmtId="8" fontId="18" fillId="2" borderId="1" xfId="4" applyNumberFormat="1" applyFont="1" applyFill="1" applyBorder="1"/>
    <xf numFmtId="8" fontId="18" fillId="2" borderId="1" xfId="1" applyNumberFormat="1" applyFont="1" applyFill="1" applyBorder="1"/>
    <xf numFmtId="8" fontId="18" fillId="0" borderId="1" xfId="1" applyNumberFormat="1" applyFont="1" applyBorder="1"/>
    <xf numFmtId="0" fontId="13" fillId="2" borderId="3" xfId="0" applyFont="1" applyFill="1" applyBorder="1"/>
    <xf numFmtId="0" fontId="0" fillId="22" borderId="0" xfId="0" applyFill="1"/>
    <xf numFmtId="44" fontId="0" fillId="2" borderId="29" xfId="1" applyFont="1" applyFill="1" applyBorder="1"/>
    <xf numFmtId="0" fontId="0" fillId="2" borderId="14" xfId="0" applyFill="1" applyBorder="1"/>
    <xf numFmtId="16" fontId="0" fillId="2" borderId="0" xfId="0" applyNumberFormat="1" applyFill="1"/>
    <xf numFmtId="43" fontId="18" fillId="2" borderId="3" xfId="1" applyNumberFormat="1" applyFont="1" applyFill="1" applyBorder="1"/>
    <xf numFmtId="44" fontId="18" fillId="2" borderId="1" xfId="1" applyFont="1" applyFill="1" applyBorder="1"/>
    <xf numFmtId="165" fontId="13" fillId="16" borderId="1" xfId="1" applyNumberFormat="1" applyFont="1" applyFill="1" applyBorder="1"/>
    <xf numFmtId="8" fontId="8" fillId="15" borderId="25" xfId="1" applyNumberFormat="1" applyFont="1" applyFill="1" applyBorder="1"/>
    <xf numFmtId="8" fontId="17" fillId="10" borderId="1" xfId="0" applyNumberFormat="1" applyFont="1" applyFill="1" applyBorder="1"/>
    <xf numFmtId="8" fontId="6" fillId="12" borderId="6" xfId="0" applyNumberFormat="1" applyFont="1" applyFill="1" applyBorder="1"/>
    <xf numFmtId="44" fontId="6" fillId="4" borderId="1" xfId="1" applyFont="1" applyFill="1" applyBorder="1"/>
    <xf numFmtId="44" fontId="6" fillId="12" borderId="6" xfId="1" applyFont="1" applyFill="1" applyBorder="1"/>
    <xf numFmtId="44" fontId="4" fillId="4" borderId="1" xfId="1" applyFont="1" applyFill="1" applyBorder="1"/>
    <xf numFmtId="44" fontId="4" fillId="2" borderId="1" xfId="1" applyFont="1" applyFill="1" applyBorder="1"/>
    <xf numFmtId="44" fontId="4" fillId="12" borderId="6" xfId="1" applyFont="1" applyFill="1" applyBorder="1"/>
    <xf numFmtId="44" fontId="6" fillId="4" borderId="6" xfId="1" applyFont="1" applyFill="1" applyBorder="1"/>
    <xf numFmtId="8" fontId="6" fillId="4" borderId="6" xfId="0" applyNumberFormat="1" applyFont="1" applyFill="1" applyBorder="1"/>
    <xf numFmtId="8" fontId="6" fillId="12" borderId="21" xfId="0" applyNumberFormat="1" applyFont="1" applyFill="1" applyBorder="1"/>
    <xf numFmtId="8" fontId="10" fillId="4" borderId="1" xfId="0" applyNumberFormat="1" applyFont="1" applyFill="1" applyBorder="1"/>
    <xf numFmtId="8" fontId="6" fillId="12" borderId="5" xfId="0" applyNumberFormat="1" applyFont="1" applyFill="1" applyBorder="1"/>
    <xf numFmtId="0" fontId="6" fillId="14" borderId="1" xfId="0" applyFont="1" applyFill="1" applyBorder="1"/>
    <xf numFmtId="0" fontId="4" fillId="14" borderId="1" xfId="0" applyFont="1" applyFill="1" applyBorder="1"/>
    <xf numFmtId="44" fontId="6" fillId="14" borderId="1" xfId="1" applyFont="1" applyFill="1" applyBorder="1"/>
    <xf numFmtId="0" fontId="6" fillId="14" borderId="9" xfId="0" applyFont="1" applyFill="1" applyBorder="1" applyAlignment="1">
      <alignment vertical="center"/>
    </xf>
    <xf numFmtId="0" fontId="6" fillId="14" borderId="26" xfId="0" applyFont="1" applyFill="1" applyBorder="1"/>
    <xf numFmtId="0" fontId="6" fillId="14" borderId="23" xfId="0" applyFont="1" applyFill="1" applyBorder="1"/>
    <xf numFmtId="44" fontId="6" fillId="14" borderId="27" xfId="0" applyNumberFormat="1" applyFont="1" applyFill="1" applyBorder="1" applyAlignment="1">
      <alignment vertical="center"/>
    </xf>
    <xf numFmtId="0" fontId="9" fillId="7" borderId="9" xfId="0" applyFont="1" applyFill="1" applyBorder="1"/>
    <xf numFmtId="44" fontId="9" fillId="7" borderId="11" xfId="0" applyNumberFormat="1" applyFont="1" applyFill="1" applyBorder="1"/>
    <xf numFmtId="0" fontId="9" fillId="7" borderId="24" xfId="0" applyFont="1" applyFill="1" applyBorder="1"/>
    <xf numFmtId="44" fontId="9" fillId="7" borderId="25" xfId="0" applyNumberFormat="1" applyFont="1" applyFill="1" applyBorder="1"/>
    <xf numFmtId="0" fontId="9" fillId="7" borderId="24" xfId="0" applyFont="1" applyFill="1" applyBorder="1" applyAlignment="1">
      <alignment horizontal="left" vertical="center" wrapText="1"/>
    </xf>
    <xf numFmtId="0" fontId="0" fillId="27" borderId="14" xfId="0" applyFill="1" applyBorder="1"/>
    <xf numFmtId="0" fontId="0" fillId="27" borderId="12" xfId="0" applyFill="1" applyBorder="1"/>
    <xf numFmtId="0" fontId="0" fillId="27" borderId="16" xfId="0" applyFill="1" applyBorder="1"/>
    <xf numFmtId="0" fontId="0" fillId="27" borderId="0" xfId="0" applyFill="1"/>
    <xf numFmtId="16" fontId="0" fillId="27" borderId="0" xfId="0" applyNumberFormat="1" applyFill="1"/>
    <xf numFmtId="0" fontId="13" fillId="27" borderId="1" xfId="0" applyFont="1" applyFill="1" applyBorder="1"/>
    <xf numFmtId="0" fontId="0" fillId="28" borderId="0" xfId="0" applyFill="1"/>
    <xf numFmtId="0" fontId="0" fillId="28" borderId="14" xfId="0" applyFill="1" applyBorder="1"/>
    <xf numFmtId="0" fontId="0" fillId="28" borderId="12" xfId="0" applyFill="1" applyBorder="1"/>
    <xf numFmtId="0" fontId="0" fillId="28" borderId="16" xfId="0" applyFill="1" applyBorder="1"/>
    <xf numFmtId="0" fontId="0" fillId="22" borderId="14" xfId="0" applyFill="1" applyBorder="1"/>
    <xf numFmtId="0" fontId="0" fillId="22" borderId="12" xfId="0" applyFill="1" applyBorder="1"/>
    <xf numFmtId="0" fontId="0" fillId="22" borderId="16" xfId="0" applyFill="1" applyBorder="1"/>
    <xf numFmtId="0" fontId="13" fillId="14" borderId="1" xfId="0" applyFont="1" applyFill="1" applyBorder="1"/>
    <xf numFmtId="0" fontId="0" fillId="14" borderId="14" xfId="0" applyFill="1" applyBorder="1"/>
    <xf numFmtId="0" fontId="0" fillId="14" borderId="12" xfId="0" applyFill="1" applyBorder="1"/>
    <xf numFmtId="0" fontId="0" fillId="14" borderId="16" xfId="0" applyFill="1" applyBorder="1"/>
    <xf numFmtId="0" fontId="0" fillId="14" borderId="0" xfId="0" applyFill="1"/>
    <xf numFmtId="16" fontId="0" fillId="14" borderId="0" xfId="0" applyNumberFormat="1" applyFill="1"/>
    <xf numFmtId="0" fontId="0" fillId="29" borderId="14" xfId="0" applyFill="1" applyBorder="1"/>
    <xf numFmtId="0" fontId="0" fillId="29" borderId="12" xfId="0" applyFill="1" applyBorder="1"/>
    <xf numFmtId="0" fontId="0" fillId="29" borderId="16" xfId="0" applyFill="1" applyBorder="1"/>
    <xf numFmtId="0" fontId="0" fillId="29" borderId="0" xfId="0" applyFill="1"/>
    <xf numFmtId="16" fontId="0" fillId="29" borderId="0" xfId="0" applyNumberFormat="1" applyFill="1"/>
    <xf numFmtId="0" fontId="0" fillId="30" borderId="14" xfId="0" applyFill="1" applyBorder="1"/>
    <xf numFmtId="0" fontId="0" fillId="30" borderId="12" xfId="0" applyFill="1" applyBorder="1"/>
    <xf numFmtId="0" fontId="0" fillId="30" borderId="16" xfId="0" applyFill="1" applyBorder="1"/>
    <xf numFmtId="0" fontId="0" fillId="30" borderId="0" xfId="0" applyFill="1"/>
    <xf numFmtId="16" fontId="0" fillId="30" borderId="0" xfId="0" applyNumberFormat="1" applyFill="1"/>
    <xf numFmtId="0" fontId="13" fillId="30" borderId="1" xfId="0" applyFont="1" applyFill="1" applyBorder="1"/>
    <xf numFmtId="0" fontId="0" fillId="9" borderId="14" xfId="0" applyFill="1" applyBorder="1"/>
    <xf numFmtId="0" fontId="0" fillId="9" borderId="12" xfId="0" applyFill="1" applyBorder="1"/>
    <xf numFmtId="0" fontId="0" fillId="9" borderId="16" xfId="0" applyFill="1" applyBorder="1"/>
    <xf numFmtId="0" fontId="0" fillId="9" borderId="0" xfId="0" applyFill="1"/>
    <xf numFmtId="16" fontId="0" fillId="9" borderId="0" xfId="0" applyNumberFormat="1" applyFill="1"/>
    <xf numFmtId="0" fontId="0" fillId="31" borderId="14" xfId="0" applyFill="1" applyBorder="1"/>
    <xf numFmtId="0" fontId="0" fillId="31" borderId="12" xfId="0" applyFill="1" applyBorder="1"/>
    <xf numFmtId="0" fontId="0" fillId="31" borderId="16" xfId="0" applyFill="1" applyBorder="1"/>
    <xf numFmtId="0" fontId="0" fillId="31" borderId="0" xfId="0" applyFill="1"/>
    <xf numFmtId="16" fontId="0" fillId="31" borderId="0" xfId="0" applyNumberFormat="1" applyFill="1"/>
    <xf numFmtId="0" fontId="0" fillId="20" borderId="14" xfId="0" applyFill="1" applyBorder="1"/>
    <xf numFmtId="0" fontId="0" fillId="20" borderId="12" xfId="0" applyFill="1" applyBorder="1"/>
    <xf numFmtId="0" fontId="0" fillId="20" borderId="16" xfId="0" applyFill="1" applyBorder="1"/>
    <xf numFmtId="0" fontId="0" fillId="20" borderId="0" xfId="0" applyFill="1"/>
    <xf numFmtId="16" fontId="0" fillId="20" borderId="0" xfId="0" applyNumberFormat="1" applyFill="1"/>
    <xf numFmtId="0" fontId="0" fillId="19" borderId="14" xfId="0" applyFill="1" applyBorder="1"/>
    <xf numFmtId="0" fontId="0" fillId="19" borderId="12" xfId="0" applyFill="1" applyBorder="1"/>
    <xf numFmtId="0" fontId="0" fillId="19" borderId="16" xfId="0" applyFill="1" applyBorder="1"/>
    <xf numFmtId="0" fontId="0" fillId="19" borderId="0" xfId="0" applyFill="1"/>
    <xf numFmtId="16" fontId="0" fillId="19" borderId="0" xfId="0" applyNumberFormat="1" applyFill="1"/>
    <xf numFmtId="0" fontId="0" fillId="32" borderId="14" xfId="0" applyFill="1" applyBorder="1"/>
    <xf numFmtId="0" fontId="0" fillId="32" borderId="12" xfId="0" applyFill="1" applyBorder="1"/>
    <xf numFmtId="0" fontId="0" fillId="32" borderId="16" xfId="0" applyFill="1" applyBorder="1"/>
    <xf numFmtId="0" fontId="0" fillId="32" borderId="0" xfId="0" applyFill="1"/>
    <xf numFmtId="16" fontId="0" fillId="32" borderId="0" xfId="0" applyNumberFormat="1" applyFill="1"/>
    <xf numFmtId="0" fontId="0" fillId="6" borderId="14" xfId="0" applyFill="1" applyBorder="1"/>
    <xf numFmtId="0" fontId="0" fillId="6" borderId="12" xfId="0" applyFill="1" applyBorder="1"/>
    <xf numFmtId="0" fontId="0" fillId="6" borderId="16" xfId="0" applyFill="1" applyBorder="1"/>
    <xf numFmtId="0" fontId="0" fillId="6" borderId="0" xfId="0" applyFill="1"/>
    <xf numFmtId="16" fontId="0" fillId="6" borderId="0" xfId="0" applyNumberFormat="1" applyFill="1"/>
    <xf numFmtId="0" fontId="0" fillId="33" borderId="14" xfId="0" applyFill="1" applyBorder="1"/>
    <xf numFmtId="0" fontId="0" fillId="33" borderId="12" xfId="0" applyFill="1" applyBorder="1"/>
    <xf numFmtId="0" fontId="0" fillId="33" borderId="16" xfId="0" applyFill="1" applyBorder="1"/>
    <xf numFmtId="0" fontId="0" fillId="33" borderId="0" xfId="0" applyFill="1"/>
    <xf numFmtId="16" fontId="0" fillId="33" borderId="0" xfId="0" applyNumberFormat="1" applyFill="1"/>
    <xf numFmtId="0" fontId="0" fillId="5" borderId="14" xfId="0" applyFill="1" applyBorder="1"/>
    <xf numFmtId="0" fontId="0" fillId="5" borderId="12" xfId="0" applyFill="1" applyBorder="1"/>
    <xf numFmtId="0" fontId="0" fillId="5" borderId="16" xfId="0" applyFill="1" applyBorder="1"/>
    <xf numFmtId="0" fontId="0" fillId="5" borderId="0" xfId="0" applyFill="1"/>
    <xf numFmtId="16" fontId="0" fillId="5" borderId="0" xfId="0" applyNumberFormat="1" applyFill="1"/>
    <xf numFmtId="6" fontId="0" fillId="2" borderId="0" xfId="0" applyNumberFormat="1" applyFill="1" applyAlignment="1">
      <alignment horizontal="center" vertical="center" wrapText="1"/>
    </xf>
    <xf numFmtId="0" fontId="0" fillId="34" borderId="14" xfId="0" applyFill="1" applyBorder="1"/>
    <xf numFmtId="0" fontId="0" fillId="34" borderId="12" xfId="0" applyFill="1" applyBorder="1"/>
    <xf numFmtId="0" fontId="0" fillId="34" borderId="16" xfId="0" applyFill="1" applyBorder="1"/>
    <xf numFmtId="0" fontId="0" fillId="34" borderId="0" xfId="0" applyFill="1"/>
    <xf numFmtId="16" fontId="0" fillId="34" borderId="0" xfId="0" applyNumberFormat="1" applyFill="1"/>
    <xf numFmtId="0" fontId="0" fillId="12" borderId="14" xfId="0" applyFill="1" applyBorder="1"/>
    <xf numFmtId="0" fontId="0" fillId="12" borderId="12" xfId="0" applyFill="1" applyBorder="1"/>
    <xf numFmtId="0" fontId="0" fillId="12" borderId="16" xfId="0" applyFill="1" applyBorder="1"/>
    <xf numFmtId="0" fontId="0" fillId="12" borderId="0" xfId="0" applyFill="1"/>
    <xf numFmtId="16" fontId="0" fillId="12" borderId="0" xfId="0" applyNumberFormat="1" applyFill="1"/>
    <xf numFmtId="0" fontId="13" fillId="12" borderId="1" xfId="0" applyFont="1" applyFill="1" applyBorder="1"/>
    <xf numFmtId="0" fontId="0" fillId="35" borderId="14" xfId="0" applyFill="1" applyBorder="1"/>
    <xf numFmtId="0" fontId="0" fillId="35" borderId="12" xfId="0" applyFill="1" applyBorder="1"/>
    <xf numFmtId="0" fontId="0" fillId="35" borderId="16" xfId="0" applyFill="1" applyBorder="1"/>
    <xf numFmtId="0" fontId="0" fillId="35" borderId="0" xfId="0" applyFill="1"/>
    <xf numFmtId="16" fontId="0" fillId="35" borderId="0" xfId="0" applyNumberFormat="1" applyFill="1"/>
    <xf numFmtId="0" fontId="13" fillId="35" borderId="1" xfId="0" applyFont="1" applyFill="1" applyBorder="1"/>
    <xf numFmtId="0" fontId="13" fillId="36" borderId="1" xfId="0" applyFont="1" applyFill="1" applyBorder="1"/>
    <xf numFmtId="0" fontId="0" fillId="36" borderId="14" xfId="0" applyFill="1" applyBorder="1"/>
    <xf numFmtId="0" fontId="0" fillId="36" borderId="12" xfId="0" applyFill="1" applyBorder="1"/>
    <xf numFmtId="0" fontId="0" fillId="36" borderId="16" xfId="0" applyFill="1" applyBorder="1"/>
    <xf numFmtId="0" fontId="0" fillId="36" borderId="0" xfId="0" applyFill="1"/>
    <xf numFmtId="16" fontId="0" fillId="36" borderId="0" xfId="0" applyNumberFormat="1" applyFill="1"/>
    <xf numFmtId="0" fontId="0" fillId="8" borderId="14" xfId="0" applyFill="1" applyBorder="1"/>
    <xf numFmtId="0" fontId="0" fillId="8" borderId="12" xfId="0" applyFill="1" applyBorder="1"/>
    <xf numFmtId="0" fontId="0" fillId="8" borderId="16" xfId="0" applyFill="1" applyBorder="1"/>
    <xf numFmtId="0" fontId="0" fillId="8" borderId="0" xfId="0" applyFill="1"/>
    <xf numFmtId="16" fontId="0" fillId="8" borderId="0" xfId="0" applyNumberFormat="1" applyFill="1"/>
    <xf numFmtId="0" fontId="0" fillId="37" borderId="14" xfId="0" applyFill="1" applyBorder="1"/>
    <xf numFmtId="0" fontId="0" fillId="37" borderId="12" xfId="0" applyFill="1" applyBorder="1"/>
    <xf numFmtId="0" fontId="0" fillId="37" borderId="16" xfId="0" applyFill="1" applyBorder="1"/>
    <xf numFmtId="0" fontId="0" fillId="37" borderId="0" xfId="0" applyFill="1"/>
    <xf numFmtId="16" fontId="0" fillId="37" borderId="0" xfId="0" applyNumberFormat="1" applyFill="1"/>
    <xf numFmtId="0" fontId="4" fillId="13" borderId="12" xfId="0" applyFont="1" applyFill="1" applyBorder="1"/>
    <xf numFmtId="44" fontId="26" fillId="38" borderId="1" xfId="1" applyFont="1" applyFill="1" applyBorder="1" applyAlignment="1">
      <alignment vertical="center"/>
    </xf>
    <xf numFmtId="0" fontId="24" fillId="38" borderId="1" xfId="0" applyFont="1" applyFill="1" applyBorder="1" applyAlignment="1">
      <alignment horizontal="left" vertical="center"/>
    </xf>
    <xf numFmtId="0" fontId="24" fillId="38" borderId="1" xfId="0" applyFont="1" applyFill="1" applyBorder="1" applyAlignment="1">
      <alignment horizontal="left" vertical="center" wrapText="1"/>
    </xf>
    <xf numFmtId="0" fontId="2" fillId="8" borderId="0" xfId="0" applyFont="1" applyFill="1"/>
    <xf numFmtId="4" fontId="0" fillId="8" borderId="0" xfId="0" applyNumberFormat="1" applyFill="1"/>
    <xf numFmtId="165" fontId="13" fillId="2" borderId="2" xfId="1" applyNumberFormat="1" applyFont="1" applyFill="1" applyBorder="1"/>
    <xf numFmtId="169" fontId="23" fillId="3" borderId="0" xfId="0" applyNumberFormat="1" applyFont="1" applyFill="1" applyAlignment="1">
      <alignment horizontal="center"/>
    </xf>
    <xf numFmtId="169" fontId="23" fillId="3" borderId="0" xfId="0" applyNumberFormat="1" applyFont="1" applyFill="1" applyAlignment="1">
      <alignment horizontal="left"/>
    </xf>
    <xf numFmtId="44" fontId="9" fillId="39" borderId="3" xfId="1" applyFont="1" applyFill="1" applyBorder="1"/>
    <xf numFmtId="44" fontId="9" fillId="39" borderId="1" xfId="1" applyFont="1" applyFill="1" applyBorder="1"/>
    <xf numFmtId="168" fontId="4" fillId="2" borderId="1" xfId="0" applyNumberFormat="1" applyFont="1" applyFill="1" applyBorder="1"/>
    <xf numFmtId="165" fontId="18" fillId="8" borderId="1" xfId="1" applyNumberFormat="1" applyFont="1" applyFill="1" applyBorder="1"/>
    <xf numFmtId="165" fontId="18" fillId="23" borderId="1" xfId="1" applyNumberFormat="1" applyFont="1" applyFill="1" applyBorder="1"/>
    <xf numFmtId="0" fontId="0" fillId="0" borderId="0" xfId="0" quotePrefix="1"/>
    <xf numFmtId="0" fontId="2" fillId="40" borderId="9" xfId="0" applyFont="1" applyFill="1" applyBorder="1"/>
    <xf numFmtId="0" fontId="2" fillId="40" borderId="10" xfId="0" applyFont="1" applyFill="1" applyBorder="1"/>
    <xf numFmtId="44" fontId="5" fillId="40" borderId="11" xfId="0" applyNumberFormat="1" applyFont="1" applyFill="1" applyBorder="1"/>
    <xf numFmtId="0" fontId="0" fillId="0" borderId="14" xfId="0" applyBorder="1"/>
    <xf numFmtId="0" fontId="0" fillId="0" borderId="12" xfId="0" applyBorder="1"/>
    <xf numFmtId="0" fontId="0" fillId="0" borderId="15" xfId="0" applyBorder="1"/>
    <xf numFmtId="0" fontId="0" fillId="0" borderId="16" xfId="0" applyBorder="1"/>
    <xf numFmtId="44" fontId="0" fillId="0" borderId="17" xfId="0" applyNumberFormat="1" applyBorder="1"/>
    <xf numFmtId="44" fontId="0" fillId="0" borderId="17" xfId="1" applyFont="1" applyBorder="1"/>
    <xf numFmtId="0" fontId="0" fillId="0" borderId="17" xfId="0" applyBorder="1"/>
    <xf numFmtId="173" fontId="0" fillId="0" borderId="0" xfId="0" applyNumberFormat="1" applyAlignment="1">
      <alignment vertical="center"/>
    </xf>
    <xf numFmtId="174" fontId="0" fillId="0" borderId="0" xfId="0" applyNumberFormat="1"/>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9" fillId="22" borderId="14" xfId="0" quotePrefix="1" applyFont="1" applyFill="1" applyBorder="1" applyAlignment="1">
      <alignment horizontal="left" vertical="center" wrapText="1"/>
    </xf>
    <xf numFmtId="0" fontId="9" fillId="22" borderId="15" xfId="0" applyFont="1" applyFill="1" applyBorder="1" applyAlignment="1">
      <alignment horizontal="left" vertical="center" wrapText="1"/>
    </xf>
    <xf numFmtId="0" fontId="9" fillId="22" borderId="16" xfId="0" applyFont="1" applyFill="1" applyBorder="1" applyAlignment="1">
      <alignment horizontal="left" vertical="center" wrapText="1"/>
    </xf>
    <xf numFmtId="0" fontId="9" fillId="22" borderId="17" xfId="0" applyFont="1" applyFill="1" applyBorder="1" applyAlignment="1">
      <alignment horizontal="left" vertical="center" wrapText="1"/>
    </xf>
    <xf numFmtId="0" fontId="9" fillId="22" borderId="24" xfId="0" applyFont="1" applyFill="1" applyBorder="1" applyAlignment="1">
      <alignment horizontal="left" vertical="center" wrapText="1"/>
    </xf>
    <xf numFmtId="0" fontId="9" fillId="22" borderId="25" xfId="0" applyFont="1" applyFill="1" applyBorder="1" applyAlignment="1">
      <alignment horizontal="left" vertical="center" wrapText="1"/>
    </xf>
    <xf numFmtId="0" fontId="8" fillId="6" borderId="0" xfId="0" applyFont="1" applyFill="1" applyAlignment="1">
      <alignment horizontal="center" vertical="center"/>
    </xf>
    <xf numFmtId="0" fontId="4" fillId="0" borderId="1" xfId="0" applyFont="1" applyBorder="1" applyAlignment="1">
      <alignment horizontal="left" vertical="center" wrapText="1"/>
    </xf>
    <xf numFmtId="0" fontId="2" fillId="18" borderId="30" xfId="0" applyFont="1" applyFill="1" applyBorder="1" applyAlignment="1">
      <alignment horizontal="left"/>
    </xf>
    <xf numFmtId="0" fontId="2" fillId="18" borderId="31" xfId="0" applyFont="1" applyFill="1" applyBorder="1" applyAlignment="1">
      <alignment horizontal="left"/>
    </xf>
    <xf numFmtId="0" fontId="5" fillId="3" borderId="9" xfId="0" applyFont="1" applyFill="1" applyBorder="1" applyAlignment="1">
      <alignment horizontal="left" vertical="center" wrapText="1"/>
    </xf>
    <xf numFmtId="0" fontId="5" fillId="3" borderId="10" xfId="0" applyFont="1" applyFill="1" applyBorder="1" applyAlignment="1">
      <alignment horizontal="left" vertical="center" wrapText="1"/>
    </xf>
    <xf numFmtId="0" fontId="5" fillId="3" borderId="11" xfId="0" applyFont="1" applyFill="1" applyBorder="1" applyAlignment="1">
      <alignment horizontal="left" vertical="center" wrapText="1"/>
    </xf>
    <xf numFmtId="0" fontId="5" fillId="3" borderId="9" xfId="0" applyFont="1" applyFill="1" applyBorder="1" applyAlignment="1">
      <alignment horizontal="left"/>
    </xf>
    <xf numFmtId="0" fontId="5" fillId="3" borderId="10" xfId="0" applyFont="1" applyFill="1" applyBorder="1" applyAlignment="1">
      <alignment horizontal="left"/>
    </xf>
    <xf numFmtId="0" fontId="5" fillId="3" borderId="11" xfId="0" applyFont="1" applyFill="1" applyBorder="1" applyAlignment="1">
      <alignment horizontal="left"/>
    </xf>
    <xf numFmtId="0" fontId="2" fillId="3" borderId="10" xfId="0" applyFont="1" applyFill="1" applyBorder="1" applyAlignment="1">
      <alignment horizontal="left"/>
    </xf>
    <xf numFmtId="0" fontId="2" fillId="3" borderId="11" xfId="0" applyFont="1" applyFill="1" applyBorder="1" applyAlignment="1">
      <alignment horizontal="left"/>
    </xf>
    <xf numFmtId="0" fontId="2" fillId="3" borderId="18" xfId="0" applyFont="1" applyFill="1" applyBorder="1" applyAlignment="1">
      <alignment horizontal="center"/>
    </xf>
    <xf numFmtId="0" fontId="2" fillId="3" borderId="19" xfId="0" applyFont="1" applyFill="1" applyBorder="1" applyAlignment="1">
      <alignment horizontal="center"/>
    </xf>
    <xf numFmtId="0" fontId="2" fillId="3" borderId="20" xfId="0" applyFont="1" applyFill="1" applyBorder="1" applyAlignment="1">
      <alignment horizontal="center"/>
    </xf>
    <xf numFmtId="0" fontId="16" fillId="8" borderId="0" xfId="0" applyFont="1" applyFill="1" applyAlignment="1">
      <alignment horizontal="center" vertical="center"/>
    </xf>
    <xf numFmtId="0" fontId="23" fillId="7" borderId="0" xfId="0" applyFont="1" applyFill="1" applyAlignment="1">
      <alignment horizontal="left" vertical="center" wrapText="1"/>
    </xf>
    <xf numFmtId="0" fontId="4" fillId="2" borderId="22" xfId="0" applyFont="1" applyFill="1" applyBorder="1" applyAlignment="1">
      <alignment horizontal="left" vertical="center" wrapText="1"/>
    </xf>
    <xf numFmtId="0" fontId="4" fillId="0" borderId="6" xfId="0" applyFont="1" applyBorder="1"/>
    <xf numFmtId="0" fontId="4" fillId="0" borderId="7" xfId="0" applyFont="1" applyBorder="1"/>
    <xf numFmtId="0" fontId="4" fillId="0" borderId="6" xfId="0" applyFont="1" applyBorder="1" applyAlignment="1">
      <alignment vertical="center"/>
    </xf>
    <xf numFmtId="0" fontId="4" fillId="0" borderId="7" xfId="0" applyFont="1" applyBorder="1" applyAlignment="1">
      <alignment vertical="center"/>
    </xf>
    <xf numFmtId="44" fontId="9" fillId="5" borderId="1" xfId="1" applyFont="1" applyFill="1" applyBorder="1"/>
    <xf numFmtId="0" fontId="15" fillId="8" borderId="12" xfId="0" applyFont="1" applyFill="1" applyBorder="1" applyAlignment="1">
      <alignment horizontal="left" vertical="center" wrapText="1"/>
    </xf>
    <xf numFmtId="0" fontId="15" fillId="8" borderId="0" xfId="0" applyFont="1" applyFill="1" applyAlignment="1">
      <alignment horizontal="left" vertical="center" wrapText="1"/>
    </xf>
    <xf numFmtId="44" fontId="13" fillId="4" borderId="9" xfId="0" applyNumberFormat="1" applyFont="1" applyFill="1" applyBorder="1" applyAlignment="1">
      <alignment horizontal="center"/>
    </xf>
    <xf numFmtId="44" fontId="13" fillId="4" borderId="11" xfId="0" applyNumberFormat="1" applyFont="1" applyFill="1" applyBorder="1" applyAlignment="1">
      <alignment horizontal="center"/>
    </xf>
    <xf numFmtId="44" fontId="18" fillId="0" borderId="1" xfId="1" applyFont="1" applyBorder="1" applyAlignment="1">
      <alignment horizontal="center"/>
    </xf>
    <xf numFmtId="44" fontId="18" fillId="0" borderId="2" xfId="1" applyFont="1" applyBorder="1" applyAlignment="1">
      <alignment horizontal="center"/>
    </xf>
    <xf numFmtId="169" fontId="23" fillId="3" borderId="0" xfId="0" applyNumberFormat="1" applyFont="1" applyFill="1" applyAlignment="1">
      <alignment horizontal="center"/>
    </xf>
    <xf numFmtId="0" fontId="11" fillId="3" borderId="18" xfId="0" applyFont="1" applyFill="1" applyBorder="1" applyAlignment="1">
      <alignment horizontal="center" vertical="center" wrapText="1"/>
    </xf>
    <xf numFmtId="0" fontId="11" fillId="3" borderId="20" xfId="0" applyFont="1" applyFill="1" applyBorder="1" applyAlignment="1">
      <alignment horizontal="center" vertical="center" wrapText="1"/>
    </xf>
    <xf numFmtId="169" fontId="23" fillId="3" borderId="0" xfId="1" applyNumberFormat="1" applyFont="1" applyFill="1" applyAlignment="1">
      <alignment horizontal="center"/>
    </xf>
    <xf numFmtId="169" fontId="23" fillId="3" borderId="0" xfId="1" applyNumberFormat="1" applyFont="1" applyFill="1" applyBorder="1" applyAlignment="1">
      <alignment horizontal="center" vertical="center"/>
    </xf>
    <xf numFmtId="44" fontId="15" fillId="3" borderId="0" xfId="1" applyFont="1" applyFill="1" applyBorder="1" applyAlignment="1">
      <alignment horizontal="left"/>
    </xf>
    <xf numFmtId="0" fontId="15" fillId="3" borderId="0" xfId="0" applyFont="1" applyFill="1" applyAlignment="1">
      <alignment horizontal="left" vertical="center" wrapText="1"/>
    </xf>
    <xf numFmtId="0" fontId="15" fillId="3" borderId="0" xfId="0" applyFont="1" applyFill="1" applyAlignment="1">
      <alignment horizontal="left" vertical="center"/>
    </xf>
    <xf numFmtId="169" fontId="23" fillId="3" borderId="0" xfId="0" applyNumberFormat="1" applyFont="1" applyFill="1" applyAlignment="1">
      <alignment horizontal="left" wrapText="1"/>
    </xf>
    <xf numFmtId="0" fontId="14" fillId="3" borderId="14" xfId="0" applyFont="1" applyFill="1" applyBorder="1" applyAlignment="1">
      <alignment horizontal="center" vertical="center" wrapText="1"/>
    </xf>
    <xf numFmtId="0" fontId="14" fillId="3" borderId="15" xfId="0" applyFont="1" applyFill="1" applyBorder="1" applyAlignment="1">
      <alignment horizontal="center" vertical="center" wrapText="1"/>
    </xf>
    <xf numFmtId="0" fontId="14" fillId="3" borderId="24" xfId="0" applyFont="1" applyFill="1" applyBorder="1" applyAlignment="1">
      <alignment horizontal="center" vertical="center" wrapText="1"/>
    </xf>
    <xf numFmtId="0" fontId="14" fillId="3" borderId="25" xfId="0" applyFont="1" applyFill="1" applyBorder="1" applyAlignment="1">
      <alignment horizontal="center" vertical="center" wrapText="1"/>
    </xf>
    <xf numFmtId="0" fontId="28" fillId="8" borderId="9" xfId="0" applyFont="1" applyFill="1" applyBorder="1" applyAlignment="1">
      <alignment horizontal="left" vertical="center" wrapText="1"/>
    </xf>
    <xf numFmtId="0" fontId="28" fillId="8" borderId="10" xfId="0" applyFont="1" applyFill="1" applyBorder="1" applyAlignment="1">
      <alignment horizontal="left" vertical="center" wrapText="1"/>
    </xf>
    <xf numFmtId="0" fontId="28" fillId="8" borderId="11" xfId="0" applyFont="1" applyFill="1" applyBorder="1" applyAlignment="1">
      <alignment horizontal="left" vertical="center" wrapText="1"/>
    </xf>
    <xf numFmtId="0" fontId="11" fillId="3" borderId="14" xfId="0" applyFont="1" applyFill="1" applyBorder="1" applyAlignment="1">
      <alignment horizontal="center" vertical="center"/>
    </xf>
    <xf numFmtId="0" fontId="11" fillId="3" borderId="24"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20" xfId="0" applyFont="1" applyFill="1" applyBorder="1" applyAlignment="1">
      <alignment horizontal="center" vertical="center"/>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44" fontId="9" fillId="5" borderId="3" xfId="1" applyFont="1" applyFill="1" applyBorder="1"/>
    <xf numFmtId="6" fontId="0" fillId="2" borderId="14" xfId="0" applyNumberFormat="1" applyFill="1" applyBorder="1" applyAlignment="1">
      <alignment horizontal="center" vertical="center" wrapText="1"/>
    </xf>
    <xf numFmtId="6" fontId="0" fillId="2" borderId="12" xfId="0" applyNumberFormat="1" applyFill="1" applyBorder="1" applyAlignment="1">
      <alignment horizontal="center" vertical="center" wrapText="1"/>
    </xf>
    <xf numFmtId="6" fontId="0" fillId="2" borderId="15" xfId="0" applyNumberFormat="1" applyFill="1" applyBorder="1" applyAlignment="1">
      <alignment horizontal="center" vertical="center" wrapText="1"/>
    </xf>
    <xf numFmtId="6" fontId="0" fillId="2" borderId="16" xfId="0" applyNumberFormat="1" applyFill="1" applyBorder="1" applyAlignment="1">
      <alignment horizontal="center" vertical="center" wrapText="1"/>
    </xf>
    <xf numFmtId="6" fontId="0" fillId="2" borderId="0" xfId="0" applyNumberFormat="1" applyFill="1" applyAlignment="1">
      <alignment horizontal="center" vertical="center" wrapText="1"/>
    </xf>
    <xf numFmtId="6" fontId="0" fillId="2" borderId="17" xfId="0" applyNumberFormat="1" applyFill="1" applyBorder="1" applyAlignment="1">
      <alignment horizontal="center" vertical="center" wrapText="1"/>
    </xf>
    <xf numFmtId="6" fontId="0" fillId="2" borderId="24" xfId="0" applyNumberFormat="1" applyFill="1" applyBorder="1" applyAlignment="1">
      <alignment horizontal="center" vertical="center" wrapText="1"/>
    </xf>
    <xf numFmtId="6" fontId="0" fillId="2" borderId="8" xfId="0" applyNumberFormat="1" applyFill="1" applyBorder="1" applyAlignment="1">
      <alignment horizontal="center" vertical="center" wrapText="1"/>
    </xf>
    <xf numFmtId="6" fontId="0" fillId="2" borderId="25" xfId="0" applyNumberFormat="1" applyFill="1" applyBorder="1" applyAlignment="1">
      <alignment horizontal="center" vertical="center" wrapText="1"/>
    </xf>
    <xf numFmtId="0" fontId="0" fillId="2" borderId="0" xfId="0" applyFill="1" applyAlignment="1">
      <alignment horizontal="left"/>
    </xf>
    <xf numFmtId="0" fontId="0" fillId="2" borderId="17" xfId="0" applyFill="1" applyBorder="1" applyAlignment="1">
      <alignment horizontal="left"/>
    </xf>
    <xf numFmtId="0" fontId="25" fillId="17" borderId="5" xfId="0" applyFont="1" applyFill="1" applyBorder="1" applyAlignment="1">
      <alignment horizontal="center" vertical="center"/>
    </xf>
    <xf numFmtId="0" fontId="25" fillId="17" borderId="0" xfId="0" applyFont="1" applyFill="1" applyAlignment="1">
      <alignment horizontal="center" vertical="center"/>
    </xf>
    <xf numFmtId="0" fontId="8" fillId="17" borderId="16" xfId="0" applyFont="1" applyFill="1" applyBorder="1" applyAlignment="1">
      <alignment horizontal="center" wrapText="1"/>
    </xf>
    <xf numFmtId="0" fontId="8" fillId="17" borderId="0" xfId="0" applyFont="1" applyFill="1" applyAlignment="1">
      <alignment horizontal="center" wrapText="1"/>
    </xf>
    <xf numFmtId="0" fontId="3" fillId="8" borderId="0" xfId="0" applyFont="1" applyFill="1" applyAlignment="1">
      <alignment horizontal="left" vertical="center" wrapText="1"/>
    </xf>
    <xf numFmtId="0" fontId="2" fillId="32" borderId="14" xfId="0" applyFont="1" applyFill="1" applyBorder="1" applyAlignment="1">
      <alignment horizontal="left" vertical="center" wrapText="1"/>
    </xf>
    <xf numFmtId="0" fontId="2" fillId="32" borderId="12" xfId="0" applyFont="1" applyFill="1" applyBorder="1" applyAlignment="1">
      <alignment horizontal="left" vertical="center" wrapText="1"/>
    </xf>
    <xf numFmtId="0" fontId="2" fillId="32" borderId="15" xfId="0" applyFont="1" applyFill="1" applyBorder="1" applyAlignment="1">
      <alignment horizontal="left" vertical="center" wrapText="1"/>
    </xf>
    <xf numFmtId="0" fontId="2" fillId="32" borderId="16" xfId="0" applyFont="1" applyFill="1" applyBorder="1" applyAlignment="1">
      <alignment horizontal="left" vertical="center" wrapText="1"/>
    </xf>
    <xf numFmtId="0" fontId="2" fillId="32" borderId="0" xfId="0" applyFont="1" applyFill="1" applyAlignment="1">
      <alignment horizontal="left" vertical="center" wrapText="1"/>
    </xf>
    <xf numFmtId="0" fontId="2" fillId="32" borderId="17" xfId="0" applyFont="1" applyFill="1" applyBorder="1" applyAlignment="1">
      <alignment horizontal="left" vertical="center" wrapText="1"/>
    </xf>
    <xf numFmtId="0" fontId="2" fillId="32" borderId="24" xfId="0" applyFont="1" applyFill="1" applyBorder="1" applyAlignment="1">
      <alignment horizontal="left" vertical="center" wrapText="1"/>
    </xf>
    <xf numFmtId="0" fontId="2" fillId="32" borderId="8" xfId="0" applyFont="1" applyFill="1" applyBorder="1" applyAlignment="1">
      <alignment horizontal="left" vertical="center" wrapText="1"/>
    </xf>
    <xf numFmtId="0" fontId="2" fillId="32" borderId="25" xfId="0" applyFont="1" applyFill="1" applyBorder="1" applyAlignment="1">
      <alignment horizontal="left" vertical="center" wrapText="1"/>
    </xf>
    <xf numFmtId="166" fontId="27" fillId="6" borderId="1" xfId="1" applyNumberFormat="1" applyFont="1" applyFill="1" applyBorder="1"/>
    <xf numFmtId="8" fontId="4" fillId="2" borderId="1" xfId="0" applyNumberFormat="1" applyFont="1" applyFill="1" applyBorder="1"/>
    <xf numFmtId="44" fontId="4" fillId="2" borderId="1" xfId="1" applyFont="1" applyFill="1" applyBorder="1" applyAlignment="1">
      <alignment wrapText="1"/>
    </xf>
    <xf numFmtId="44" fontId="4" fillId="2" borderId="1" xfId="1" applyFont="1" applyFill="1" applyBorder="1" applyAlignment="1"/>
    <xf numFmtId="44" fontId="4" fillId="2" borderId="6" xfId="1" applyFont="1" applyFill="1" applyBorder="1"/>
  </cellXfs>
  <cellStyles count="5">
    <cellStyle name="Hipervínculo" xfId="3" builtinId="8"/>
    <cellStyle name="Millares" xfId="4" builtinId="3"/>
    <cellStyle name="Moneda" xfId="1" builtinId="4"/>
    <cellStyle name="Moneda 2" xfId="2" xr:uid="{00000000-0005-0000-0000-000002000000}"/>
    <cellStyle name="Normal" xfId="0" builtinId="0"/>
  </cellStyles>
  <dxfs count="0"/>
  <tableStyles count="0" defaultTableStyle="TableStyleMedium2" defaultPivotStyle="PivotStyleLight16"/>
  <colors>
    <mruColors>
      <color rgb="FF00FF00"/>
      <color rgb="FFFD95DD"/>
      <color rgb="FF666633"/>
      <color rgb="FFFF00FF"/>
      <color rgb="FFFFFF99"/>
      <color rgb="FF336699"/>
      <color rgb="FFCC6600"/>
      <color rgb="FF1CB0B0"/>
      <color rgb="FFCCFFCC"/>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80008</xdr:rowOff>
    </xdr:from>
    <xdr:to>
      <xdr:col>0</xdr:col>
      <xdr:colOff>2400300</xdr:colOff>
      <xdr:row>7</xdr:row>
      <xdr:rowOff>101599</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 y="80008"/>
          <a:ext cx="2362200" cy="1647191"/>
        </a:xfrm>
        <a:prstGeom prst="rect">
          <a:avLst/>
        </a:prstGeom>
        <a:noFill/>
        <a:ln>
          <a:solidFill>
            <a:schemeClr val="tx1"/>
          </a:solid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ventas@quimicaros.com.ar" TargetMode="External"/><Relationship Id="rId2" Type="http://schemas.openxmlformats.org/officeDocument/2006/relationships/hyperlink" Target="mailto:vivibpapa@gmail.com%20-%20Viviana%20papa" TargetMode="External"/><Relationship Id="rId1" Type="http://schemas.openxmlformats.org/officeDocument/2006/relationships/hyperlink" Target="mailto:polypeirano@yahoo.com" TargetMode="External"/><Relationship Id="rId5" Type="http://schemas.openxmlformats.org/officeDocument/2006/relationships/printerSettings" Target="../printerSettings/printerSettings2.bin"/><Relationship Id="rId4" Type="http://schemas.openxmlformats.org/officeDocument/2006/relationships/hyperlink" Target="mailto:ventas@quimicaros.com.ar"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91"/>
  <sheetViews>
    <sheetView topLeftCell="A177" zoomScale="95" zoomScaleNormal="95" workbookViewId="0">
      <selection activeCell="B185" sqref="B185"/>
    </sheetView>
  </sheetViews>
  <sheetFormatPr baseColWidth="10" defaultColWidth="10.85546875" defaultRowHeight="15" x14ac:dyDescent="0.25"/>
  <cols>
    <col min="1" max="1" width="37.5703125" customWidth="1"/>
    <col min="2" max="2" width="24.5703125" customWidth="1"/>
    <col min="3" max="3" width="15.85546875" hidden="1" customWidth="1"/>
    <col min="4" max="4" width="21.42578125" customWidth="1"/>
    <col min="5" max="5" width="16.85546875" customWidth="1"/>
    <col min="6" max="6" width="16.42578125" bestFit="1" customWidth="1"/>
    <col min="7" max="8" width="15.42578125" bestFit="1" customWidth="1"/>
    <col min="9" max="9" width="14.140625" bestFit="1" customWidth="1"/>
    <col min="11" max="11" width="18" customWidth="1"/>
    <col min="12" max="12" width="18.42578125" customWidth="1"/>
  </cols>
  <sheetData>
    <row r="1" spans="1:5" ht="15.75" thickBot="1" x14ac:dyDescent="0.3">
      <c r="A1" s="403"/>
      <c r="B1" s="398" t="s">
        <v>157</v>
      </c>
      <c r="C1" s="399"/>
      <c r="D1" s="399"/>
      <c r="E1" s="400"/>
    </row>
    <row r="2" spans="1:5" ht="15.75" thickBot="1" x14ac:dyDescent="0.3">
      <c r="A2" s="404"/>
      <c r="B2" s="398" t="s">
        <v>159</v>
      </c>
      <c r="C2" s="399"/>
      <c r="D2" s="399"/>
      <c r="E2" s="400"/>
    </row>
    <row r="3" spans="1:5" ht="32.25" customHeight="1" thickBot="1" x14ac:dyDescent="0.3">
      <c r="A3" s="404"/>
      <c r="B3" s="395" t="s">
        <v>155</v>
      </c>
      <c r="C3" s="396"/>
      <c r="D3" s="396"/>
      <c r="E3" s="397"/>
    </row>
    <row r="4" spans="1:5" ht="15.75" thickBot="1" x14ac:dyDescent="0.3">
      <c r="A4" s="404"/>
      <c r="B4" s="47" t="s">
        <v>156</v>
      </c>
      <c r="C4" s="46"/>
      <c r="D4" s="46"/>
      <c r="E4" s="46"/>
    </row>
    <row r="5" spans="1:5" ht="17.100000000000001" customHeight="1" thickBot="1" x14ac:dyDescent="0.3">
      <c r="A5" s="404"/>
      <c r="B5" s="50" t="s">
        <v>392</v>
      </c>
      <c r="C5" s="48"/>
      <c r="D5" s="48"/>
      <c r="E5" s="49"/>
    </row>
    <row r="6" spans="1:5" ht="17.100000000000001" customHeight="1" thickBot="1" x14ac:dyDescent="0.3">
      <c r="A6" s="404"/>
      <c r="B6" s="51" t="s">
        <v>287</v>
      </c>
      <c r="C6" s="48"/>
      <c r="D6" s="48"/>
      <c r="E6" s="49"/>
    </row>
    <row r="7" spans="1:5" ht="17.100000000000001" customHeight="1" thickBot="1" x14ac:dyDescent="0.3">
      <c r="A7" s="404"/>
      <c r="B7" s="51" t="s">
        <v>286</v>
      </c>
      <c r="C7" s="48"/>
      <c r="D7" s="48"/>
      <c r="E7" s="49"/>
    </row>
    <row r="8" spans="1:5" ht="15.75" thickBot="1" x14ac:dyDescent="0.3">
      <c r="A8" s="405"/>
      <c r="B8" s="401" t="s">
        <v>158</v>
      </c>
      <c r="C8" s="401"/>
      <c r="D8" s="401"/>
      <c r="E8" s="402"/>
    </row>
    <row r="10" spans="1:5" ht="14.45" customHeight="1" x14ac:dyDescent="0.25">
      <c r="A10" s="406" t="s">
        <v>496</v>
      </c>
      <c r="B10" s="406"/>
      <c r="C10" s="406"/>
      <c r="D10" s="406"/>
      <c r="E10" s="406"/>
    </row>
    <row r="11" spans="1:5" ht="14.45" customHeight="1" x14ac:dyDescent="0.25">
      <c r="A11" s="406"/>
      <c r="B11" s="406"/>
      <c r="C11" s="406"/>
      <c r="D11" s="406"/>
      <c r="E11" s="406"/>
    </row>
    <row r="12" spans="1:5" ht="14.45" customHeight="1" x14ac:dyDescent="0.25">
      <c r="A12" s="406"/>
      <c r="B12" s="406"/>
      <c r="C12" s="406"/>
      <c r="D12" s="406"/>
      <c r="E12" s="406"/>
    </row>
    <row r="13" spans="1:5" x14ac:dyDescent="0.25">
      <c r="A13" s="32"/>
      <c r="B13" s="32"/>
      <c r="C13" s="32"/>
      <c r="D13" s="32"/>
      <c r="E13" s="32"/>
    </row>
    <row r="14" spans="1:5" x14ac:dyDescent="0.25">
      <c r="A14" s="32"/>
      <c r="B14" s="32"/>
      <c r="C14" s="32"/>
      <c r="D14" s="32"/>
      <c r="E14" s="32"/>
    </row>
    <row r="15" spans="1:5" ht="15" customHeight="1" x14ac:dyDescent="0.25">
      <c r="A15" s="407" t="s">
        <v>244</v>
      </c>
      <c r="B15" s="407"/>
      <c r="C15" s="407"/>
      <c r="D15" s="407"/>
      <c r="E15" s="407"/>
    </row>
    <row r="16" spans="1:5" ht="15" customHeight="1" x14ac:dyDescent="0.25">
      <c r="A16" s="407"/>
      <c r="B16" s="407"/>
      <c r="C16" s="407"/>
      <c r="D16" s="407"/>
      <c r="E16" s="407"/>
    </row>
    <row r="17" spans="1:8" ht="15" customHeight="1" x14ac:dyDescent="0.25">
      <c r="A17" s="407"/>
      <c r="B17" s="407"/>
      <c r="C17" s="407"/>
      <c r="D17" s="407"/>
      <c r="E17" s="407"/>
    </row>
    <row r="18" spans="1:8" ht="243" customHeight="1" x14ac:dyDescent="0.25">
      <c r="A18" s="407"/>
      <c r="B18" s="407"/>
      <c r="C18" s="407"/>
      <c r="D18" s="407"/>
      <c r="E18" s="407"/>
    </row>
    <row r="19" spans="1:8" ht="14.25" customHeight="1" thickBot="1" x14ac:dyDescent="0.3">
      <c r="A19" s="32"/>
      <c r="B19" s="32"/>
      <c r="C19" s="32"/>
      <c r="D19" s="32"/>
      <c r="E19" s="32"/>
    </row>
    <row r="20" spans="1:8" ht="14.45" hidden="1" customHeight="1" x14ac:dyDescent="0.25">
      <c r="A20" s="100"/>
      <c r="B20" s="32"/>
      <c r="C20" s="32"/>
      <c r="D20" s="32"/>
      <c r="E20" s="32"/>
    </row>
    <row r="21" spans="1:8" ht="15" hidden="1" customHeight="1" thickBot="1" x14ac:dyDescent="0.3">
      <c r="A21" s="32"/>
      <c r="B21" s="32"/>
      <c r="C21" s="32"/>
      <c r="D21" s="32"/>
      <c r="E21" s="32"/>
    </row>
    <row r="22" spans="1:8" x14ac:dyDescent="0.25">
      <c r="A22" s="101" t="s">
        <v>5</v>
      </c>
      <c r="B22" s="102"/>
      <c r="C22" s="103"/>
      <c r="D22" s="104"/>
      <c r="E22" s="105"/>
    </row>
    <row r="23" spans="1:8" x14ac:dyDescent="0.25">
      <c r="A23" s="8" t="s">
        <v>18</v>
      </c>
      <c r="B23" s="8"/>
      <c r="C23" s="8"/>
      <c r="D23" s="8"/>
      <c r="E23" s="8"/>
    </row>
    <row r="24" spans="1:8" ht="18" customHeight="1" x14ac:dyDescent="0.25">
      <c r="A24" s="211" t="s">
        <v>393</v>
      </c>
      <c r="B24" s="182"/>
      <c r="C24" s="24"/>
      <c r="D24" s="469">
        <v>2001463.53</v>
      </c>
      <c r="E24" s="159" t="s">
        <v>451</v>
      </c>
      <c r="G24" s="79"/>
    </row>
    <row r="25" spans="1:8" x14ac:dyDescent="0.25">
      <c r="A25" s="409" t="s">
        <v>394</v>
      </c>
      <c r="B25" s="410"/>
      <c r="C25" s="24"/>
      <c r="D25" s="469">
        <v>-435318.34</v>
      </c>
      <c r="E25" s="24"/>
      <c r="G25" s="4"/>
    </row>
    <row r="26" spans="1:8" ht="19.5" customHeight="1" x14ac:dyDescent="0.25">
      <c r="A26" s="411" t="s">
        <v>395</v>
      </c>
      <c r="B26" s="412"/>
      <c r="C26" s="24"/>
      <c r="D26" s="469">
        <v>0.81</v>
      </c>
      <c r="E26" s="24"/>
      <c r="F26" s="4">
        <f>D24+D25+D26</f>
        <v>1566146</v>
      </c>
      <c r="G26" s="4"/>
    </row>
    <row r="27" spans="1:8" x14ac:dyDescent="0.25">
      <c r="A27" s="106" t="s">
        <v>19</v>
      </c>
      <c r="B27" s="106"/>
      <c r="C27" s="106"/>
      <c r="D27" s="226">
        <f>SUM(D24:D26)</f>
        <v>1566146</v>
      </c>
      <c r="E27" s="89"/>
      <c r="F27" s="4"/>
      <c r="G27" s="4"/>
      <c r="H27" s="79"/>
    </row>
    <row r="28" spans="1:8" ht="32.25" customHeight="1" x14ac:dyDescent="0.25">
      <c r="A28" s="383" t="s">
        <v>315</v>
      </c>
      <c r="B28" s="384"/>
      <c r="C28" s="24"/>
      <c r="D28" s="469">
        <v>920000</v>
      </c>
      <c r="E28" s="24" t="s">
        <v>391</v>
      </c>
      <c r="G28" s="4"/>
    </row>
    <row r="29" spans="1:8" x14ac:dyDescent="0.25">
      <c r="A29" s="106" t="s">
        <v>19</v>
      </c>
      <c r="B29" s="106"/>
      <c r="C29" s="106"/>
      <c r="D29" s="226">
        <f>SUM(D28:D28)</f>
        <v>920000</v>
      </c>
      <c r="E29" s="25"/>
      <c r="G29" s="4"/>
    </row>
    <row r="30" spans="1:8" ht="18" customHeight="1" thickBot="1" x14ac:dyDescent="0.3">
      <c r="A30" s="107" t="s">
        <v>170</v>
      </c>
      <c r="B30" s="107"/>
      <c r="C30" s="107"/>
      <c r="D30" s="227"/>
      <c r="E30" s="92">
        <f>D27+D29</f>
        <v>2486146</v>
      </c>
      <c r="F30" s="4"/>
    </row>
    <row r="31" spans="1:8" x14ac:dyDescent="0.25">
      <c r="A31" s="8" t="s">
        <v>176</v>
      </c>
      <c r="B31" s="9"/>
      <c r="C31" s="9"/>
      <c r="D31" s="228"/>
      <c r="E31" s="18"/>
    </row>
    <row r="32" spans="1:8" s="10" customFormat="1" ht="15" customHeight="1" x14ac:dyDescent="0.25">
      <c r="A32" s="24" t="s">
        <v>398</v>
      </c>
      <c r="B32" s="24"/>
      <c r="C32" s="108"/>
      <c r="D32" s="470">
        <v>933473.93</v>
      </c>
      <c r="E32" s="84" t="s">
        <v>414</v>
      </c>
      <c r="G32" s="42"/>
    </row>
    <row r="33" spans="1:9" s="10" customFormat="1" ht="15" customHeight="1" x14ac:dyDescent="0.25">
      <c r="A33" s="109" t="s">
        <v>399</v>
      </c>
      <c r="B33" s="24" t="s">
        <v>11</v>
      </c>
      <c r="C33" s="108"/>
      <c r="D33" s="470">
        <v>92048.38</v>
      </c>
      <c r="E33" s="84" t="s">
        <v>431</v>
      </c>
      <c r="G33" s="42"/>
    </row>
    <row r="34" spans="1:9" s="10" customFormat="1" ht="15" customHeight="1" x14ac:dyDescent="0.25">
      <c r="A34" s="109" t="str">
        <f>A33</f>
        <v>Sindicatos mes de ENERO</v>
      </c>
      <c r="B34" s="24" t="s">
        <v>20</v>
      </c>
      <c r="C34" s="108"/>
      <c r="D34" s="470">
        <v>213869.17</v>
      </c>
      <c r="E34" s="84" t="str">
        <f>E33</f>
        <v>Debito 12/02</v>
      </c>
      <c r="G34" s="42"/>
    </row>
    <row r="35" spans="1:9" ht="15" customHeight="1" x14ac:dyDescent="0.25">
      <c r="A35" s="109" t="str">
        <f>A34</f>
        <v>Sindicatos mes de ENERO</v>
      </c>
      <c r="B35" s="24" t="s">
        <v>10</v>
      </c>
      <c r="C35" s="108"/>
      <c r="D35" s="471">
        <v>10227.6</v>
      </c>
      <c r="E35" s="84" t="str">
        <f>E34</f>
        <v>Debito 12/02</v>
      </c>
      <c r="H35" s="36"/>
    </row>
    <row r="36" spans="1:9" ht="15.75" thickBot="1" x14ac:dyDescent="0.3">
      <c r="A36" s="107" t="s">
        <v>149</v>
      </c>
      <c r="B36" s="107"/>
      <c r="C36" s="107"/>
      <c r="D36" s="229"/>
      <c r="E36" s="91">
        <f>SUM(D32:D35)</f>
        <v>1249619.08</v>
      </c>
    </row>
    <row r="37" spans="1:9" x14ac:dyDescent="0.25">
      <c r="A37" s="8" t="s">
        <v>169</v>
      </c>
      <c r="B37" s="110"/>
      <c r="C37" s="110"/>
      <c r="D37" s="230"/>
      <c r="E37" s="27"/>
    </row>
    <row r="38" spans="1:9" ht="32.1" customHeight="1" x14ac:dyDescent="0.25">
      <c r="A38" s="381" t="s">
        <v>273</v>
      </c>
      <c r="B38" s="382"/>
      <c r="C38" s="24"/>
      <c r="D38" s="231">
        <v>148964</v>
      </c>
      <c r="E38" s="85" t="s">
        <v>409</v>
      </c>
    </row>
    <row r="39" spans="1:9" ht="32.1" customHeight="1" x14ac:dyDescent="0.25">
      <c r="A39" s="381" t="s">
        <v>274</v>
      </c>
      <c r="B39" s="382"/>
      <c r="C39" s="24"/>
      <c r="D39" s="231">
        <v>6160</v>
      </c>
      <c r="E39" s="85" t="s">
        <v>407</v>
      </c>
    </row>
    <row r="40" spans="1:9" ht="32.1" customHeight="1" x14ac:dyDescent="0.25">
      <c r="A40" s="381" t="s">
        <v>318</v>
      </c>
      <c r="B40" s="382"/>
      <c r="C40" s="24"/>
      <c r="D40" s="231">
        <v>23596</v>
      </c>
      <c r="E40" s="85" t="s">
        <v>438</v>
      </c>
    </row>
    <row r="41" spans="1:9" ht="32.1" customHeight="1" x14ac:dyDescent="0.25">
      <c r="A41" s="381" t="s">
        <v>317</v>
      </c>
      <c r="B41" s="382"/>
      <c r="C41" s="24"/>
      <c r="D41" s="231"/>
      <c r="E41" s="85"/>
    </row>
    <row r="42" spans="1:9" ht="15" customHeight="1" thickBot="1" x14ac:dyDescent="0.3">
      <c r="A42" s="107" t="s">
        <v>150</v>
      </c>
      <c r="B42" s="111"/>
      <c r="C42" s="111"/>
      <c r="D42" s="232"/>
      <c r="E42" s="54">
        <f>SUM(D38:D41)</f>
        <v>178720</v>
      </c>
    </row>
    <row r="43" spans="1:9" ht="15" customHeight="1" thickBot="1" x14ac:dyDescent="0.3">
      <c r="A43" s="72" t="s">
        <v>177</v>
      </c>
      <c r="B43" s="9"/>
      <c r="C43" s="9"/>
      <c r="D43" s="233"/>
      <c r="E43" s="29"/>
    </row>
    <row r="44" spans="1:9" ht="42.75" customHeight="1" x14ac:dyDescent="0.25">
      <c r="A44" s="381" t="s">
        <v>400</v>
      </c>
      <c r="B44" s="408"/>
      <c r="C44" s="112"/>
      <c r="D44" s="231">
        <v>44907682.960000001</v>
      </c>
      <c r="E44" s="28" t="s">
        <v>408</v>
      </c>
      <c r="G44" s="13"/>
      <c r="I44" s="40"/>
    </row>
    <row r="45" spans="1:9" ht="41.25" customHeight="1" x14ac:dyDescent="0.25">
      <c r="A45" s="381" t="s">
        <v>401</v>
      </c>
      <c r="B45" s="408"/>
      <c r="C45" s="112"/>
      <c r="D45" s="231">
        <v>4773198.96</v>
      </c>
      <c r="E45" s="31" t="s">
        <v>416</v>
      </c>
      <c r="F45" s="13"/>
    </row>
    <row r="46" spans="1:9" ht="17.45" customHeight="1" x14ac:dyDescent="0.25">
      <c r="A46" s="107" t="s">
        <v>178</v>
      </c>
      <c r="B46" s="45"/>
      <c r="C46" s="45"/>
      <c r="D46" s="45"/>
      <c r="E46" s="55">
        <f>SUM(D44:D45)</f>
        <v>49680881.920000002</v>
      </c>
    </row>
    <row r="47" spans="1:9" ht="17.45" customHeight="1" x14ac:dyDescent="0.25">
      <c r="A47" s="72" t="s">
        <v>179</v>
      </c>
      <c r="B47" s="72"/>
      <c r="C47" s="72" t="s">
        <v>177</v>
      </c>
      <c r="D47" s="72"/>
      <c r="E47" s="72"/>
    </row>
    <row r="48" spans="1:9" ht="35.1" customHeight="1" x14ac:dyDescent="0.25">
      <c r="A48" s="381" t="s">
        <v>330</v>
      </c>
      <c r="B48" s="408"/>
      <c r="C48" s="112"/>
      <c r="D48" s="231">
        <v>1212341.6499999999</v>
      </c>
      <c r="E48" s="31" t="s">
        <v>325</v>
      </c>
    </row>
    <row r="49" spans="1:8" ht="48" customHeight="1" x14ac:dyDescent="0.25">
      <c r="A49" s="381" t="s">
        <v>383</v>
      </c>
      <c r="B49" s="408"/>
      <c r="C49" s="112"/>
      <c r="D49" s="231">
        <v>1512500</v>
      </c>
      <c r="E49" s="31" t="s">
        <v>328</v>
      </c>
    </row>
    <row r="50" spans="1:8" ht="35.1" customHeight="1" x14ac:dyDescent="0.25">
      <c r="A50" s="381" t="s">
        <v>415</v>
      </c>
      <c r="B50" s="408"/>
      <c r="C50" s="112"/>
      <c r="D50" s="231">
        <v>5445000</v>
      </c>
      <c r="E50" s="31" t="s">
        <v>416</v>
      </c>
    </row>
    <row r="51" spans="1:8" ht="49.5" customHeight="1" x14ac:dyDescent="0.25">
      <c r="A51" s="381" t="s">
        <v>384</v>
      </c>
      <c r="B51" s="382"/>
      <c r="C51" s="113"/>
      <c r="D51" s="231">
        <v>480000</v>
      </c>
      <c r="E51" s="31" t="s">
        <v>381</v>
      </c>
      <c r="G51" s="36"/>
    </row>
    <row r="52" spans="1:8" ht="35.1" customHeight="1" x14ac:dyDescent="0.25">
      <c r="A52" s="381" t="s">
        <v>425</v>
      </c>
      <c r="B52" s="382"/>
      <c r="C52" s="113"/>
      <c r="D52" s="231">
        <v>6300000</v>
      </c>
      <c r="E52" s="31" t="s">
        <v>424</v>
      </c>
    </row>
    <row r="53" spans="1:8" ht="60" customHeight="1" x14ac:dyDescent="0.25">
      <c r="A53" s="381" t="s">
        <v>385</v>
      </c>
      <c r="B53" s="382"/>
      <c r="C53" s="113"/>
      <c r="D53" s="231">
        <v>228690</v>
      </c>
      <c r="E53" s="31" t="s">
        <v>381</v>
      </c>
    </row>
    <row r="54" spans="1:8" ht="60" customHeight="1" x14ac:dyDescent="0.25">
      <c r="A54" s="381" t="s">
        <v>386</v>
      </c>
      <c r="B54" s="382"/>
      <c r="C54" s="113"/>
      <c r="D54" s="231">
        <v>228690</v>
      </c>
      <c r="E54" s="31" t="s">
        <v>381</v>
      </c>
    </row>
    <row r="55" spans="1:8" ht="44.25" customHeight="1" x14ac:dyDescent="0.25">
      <c r="A55" s="381" t="s">
        <v>411</v>
      </c>
      <c r="B55" s="382"/>
      <c r="C55" s="113"/>
      <c r="D55" s="231">
        <v>943800</v>
      </c>
      <c r="E55" s="31" t="s">
        <v>391</v>
      </c>
    </row>
    <row r="56" spans="1:8" ht="44.25" customHeight="1" x14ac:dyDescent="0.25">
      <c r="A56" s="381" t="s">
        <v>410</v>
      </c>
      <c r="B56" s="382"/>
      <c r="C56" s="113"/>
      <c r="D56" s="231">
        <v>943800</v>
      </c>
      <c r="E56" s="31" t="s">
        <v>391</v>
      </c>
    </row>
    <row r="57" spans="1:8" ht="37.5" customHeight="1" x14ac:dyDescent="0.25">
      <c r="A57" s="381" t="s">
        <v>376</v>
      </c>
      <c r="B57" s="382"/>
      <c r="C57" s="113"/>
      <c r="D57" s="231">
        <v>820380</v>
      </c>
      <c r="E57" s="86" t="s">
        <v>447</v>
      </c>
    </row>
    <row r="58" spans="1:8" ht="37.5" customHeight="1" x14ac:dyDescent="0.25">
      <c r="A58" s="381" t="s">
        <v>377</v>
      </c>
      <c r="B58" s="382"/>
      <c r="C58" s="113"/>
      <c r="D58" s="231">
        <v>820380</v>
      </c>
      <c r="E58" s="86" t="s">
        <v>447</v>
      </c>
    </row>
    <row r="59" spans="1:8" ht="37.5" customHeight="1" x14ac:dyDescent="0.25">
      <c r="A59" s="381" t="s">
        <v>379</v>
      </c>
      <c r="B59" s="382"/>
      <c r="C59" s="113"/>
      <c r="D59" s="231">
        <v>100000</v>
      </c>
      <c r="E59" s="86" t="s">
        <v>440</v>
      </c>
    </row>
    <row r="60" spans="1:8" ht="37.5" customHeight="1" x14ac:dyDescent="0.25">
      <c r="A60" s="381" t="s">
        <v>417</v>
      </c>
      <c r="B60" s="382"/>
      <c r="C60" s="113"/>
      <c r="D60" s="231">
        <v>100000</v>
      </c>
      <c r="E60" s="86" t="s">
        <v>416</v>
      </c>
    </row>
    <row r="61" spans="1:8" ht="35.1" customHeight="1" x14ac:dyDescent="0.25">
      <c r="A61" s="381" t="s">
        <v>430</v>
      </c>
      <c r="B61" s="382"/>
      <c r="C61" s="24"/>
      <c r="D61" s="149">
        <v>200000</v>
      </c>
      <c r="E61" s="86" t="s">
        <v>387</v>
      </c>
      <c r="G61" s="97"/>
      <c r="H61" s="97"/>
    </row>
    <row r="62" spans="1:8" ht="48" customHeight="1" x14ac:dyDescent="0.25">
      <c r="A62" s="381" t="s">
        <v>405</v>
      </c>
      <c r="B62" s="382"/>
      <c r="C62" s="24"/>
      <c r="D62" s="231">
        <v>2459883</v>
      </c>
      <c r="E62" s="86" t="s">
        <v>436</v>
      </c>
      <c r="G62" s="97"/>
      <c r="H62" s="97"/>
    </row>
    <row r="63" spans="1:8" ht="35.1" customHeight="1" x14ac:dyDescent="0.25">
      <c r="A63" s="381" t="s">
        <v>288</v>
      </c>
      <c r="B63" s="382"/>
      <c r="C63" s="24"/>
      <c r="D63" s="231">
        <v>350000</v>
      </c>
      <c r="E63" s="86" t="s">
        <v>439</v>
      </c>
      <c r="G63" s="97"/>
      <c r="H63" s="97"/>
    </row>
    <row r="64" spans="1:8" ht="15.75" thickBot="1" x14ac:dyDescent="0.3">
      <c r="A64" s="107" t="s">
        <v>180</v>
      </c>
      <c r="B64" s="45"/>
      <c r="C64" s="45"/>
      <c r="D64" s="45"/>
      <c r="E64" s="148">
        <f>SUM(D48:D63)</f>
        <v>22145464.649999999</v>
      </c>
    </row>
    <row r="65" spans="1:7" ht="15.75" thickBot="1" x14ac:dyDescent="0.3">
      <c r="A65" s="8" t="s">
        <v>181</v>
      </c>
      <c r="B65" s="114"/>
      <c r="C65" s="9"/>
      <c r="D65" s="234"/>
      <c r="E65" s="29"/>
    </row>
    <row r="66" spans="1:7" ht="35.1" customHeight="1" x14ac:dyDescent="0.25">
      <c r="A66" s="383" t="s">
        <v>429</v>
      </c>
      <c r="B66" s="384"/>
      <c r="C66" s="24"/>
      <c r="D66" s="149">
        <v>280000</v>
      </c>
      <c r="E66" s="86" t="s">
        <v>387</v>
      </c>
    </row>
    <row r="67" spans="1:7" ht="57" customHeight="1" x14ac:dyDescent="0.25">
      <c r="A67" s="383" t="s">
        <v>380</v>
      </c>
      <c r="B67" s="384"/>
      <c r="C67" s="24"/>
      <c r="D67" s="149">
        <v>250000</v>
      </c>
      <c r="E67" s="87" t="s">
        <v>381</v>
      </c>
    </row>
    <row r="68" spans="1:7" ht="57" customHeight="1" x14ac:dyDescent="0.25">
      <c r="A68" s="383" t="s">
        <v>382</v>
      </c>
      <c r="B68" s="384"/>
      <c r="C68" s="24"/>
      <c r="D68" s="149">
        <v>150000</v>
      </c>
      <c r="E68" s="87" t="s">
        <v>381</v>
      </c>
    </row>
    <row r="69" spans="1:7" ht="123.6" customHeight="1" x14ac:dyDescent="0.25">
      <c r="A69" s="381" t="s">
        <v>426</v>
      </c>
      <c r="B69" s="382"/>
      <c r="C69" s="109"/>
      <c r="D69" s="149">
        <v>2130000</v>
      </c>
      <c r="E69" s="31" t="s">
        <v>424</v>
      </c>
    </row>
    <row r="70" spans="1:7" ht="60" customHeight="1" x14ac:dyDescent="0.25">
      <c r="A70" s="381" t="s">
        <v>493</v>
      </c>
      <c r="B70" s="382"/>
      <c r="C70" s="109"/>
      <c r="D70" s="149">
        <v>150000</v>
      </c>
      <c r="E70" s="31" t="s">
        <v>424</v>
      </c>
      <c r="G70" s="97">
        <f>D69+D70+D71+D72</f>
        <v>4800000</v>
      </c>
    </row>
    <row r="71" spans="1:7" ht="103.5" customHeight="1" x14ac:dyDescent="0.25">
      <c r="A71" s="381" t="s">
        <v>406</v>
      </c>
      <c r="B71" s="382"/>
      <c r="C71" s="109"/>
      <c r="D71" s="149">
        <v>2200000</v>
      </c>
      <c r="E71" s="156" t="s">
        <v>435</v>
      </c>
    </row>
    <row r="72" spans="1:7" ht="63.75" customHeight="1" x14ac:dyDescent="0.25">
      <c r="A72" s="381" t="s">
        <v>434</v>
      </c>
      <c r="B72" s="382"/>
      <c r="C72" s="24"/>
      <c r="D72" s="149">
        <v>320000</v>
      </c>
      <c r="E72" s="87" t="s">
        <v>437</v>
      </c>
    </row>
    <row r="73" spans="1:7" ht="64.5" customHeight="1" x14ac:dyDescent="0.25">
      <c r="A73" s="381" t="s">
        <v>427</v>
      </c>
      <c r="B73" s="382"/>
      <c r="C73" s="109"/>
      <c r="D73" s="149">
        <v>1050000</v>
      </c>
      <c r="E73" s="31" t="s">
        <v>381</v>
      </c>
      <c r="F73" s="97"/>
    </row>
    <row r="74" spans="1:7" ht="44.45" customHeight="1" x14ac:dyDescent="0.25">
      <c r="A74" s="381" t="s">
        <v>428</v>
      </c>
      <c r="B74" s="382"/>
      <c r="C74" s="109"/>
      <c r="D74" s="149">
        <v>1390000</v>
      </c>
      <c r="E74" s="31" t="s">
        <v>381</v>
      </c>
    </row>
    <row r="75" spans="1:7" ht="31.35" customHeight="1" x14ac:dyDescent="0.25">
      <c r="A75" s="381" t="s">
        <v>441</v>
      </c>
      <c r="B75" s="382"/>
      <c r="C75" s="109"/>
      <c r="D75" s="149">
        <v>3000000</v>
      </c>
      <c r="E75" s="156" t="s">
        <v>442</v>
      </c>
    </row>
    <row r="76" spans="1:7" ht="36.75" customHeight="1" x14ac:dyDescent="0.25">
      <c r="A76" s="381" t="s">
        <v>418</v>
      </c>
      <c r="B76" s="382"/>
      <c r="C76" s="109"/>
      <c r="D76" s="149">
        <v>319377.61</v>
      </c>
      <c r="E76" s="96" t="s">
        <v>416</v>
      </c>
    </row>
    <row r="77" spans="1:7" ht="36.75" customHeight="1" x14ac:dyDescent="0.25">
      <c r="A77" s="381" t="s">
        <v>494</v>
      </c>
      <c r="B77" s="382"/>
      <c r="C77" s="109"/>
      <c r="D77" s="149">
        <v>112180.05</v>
      </c>
      <c r="E77" s="96" t="s">
        <v>451</v>
      </c>
    </row>
    <row r="78" spans="1:7" ht="35.1" customHeight="1" x14ac:dyDescent="0.25">
      <c r="A78" s="381" t="s">
        <v>443</v>
      </c>
      <c r="B78" s="382"/>
      <c r="C78" s="109"/>
      <c r="D78" s="149">
        <v>73716.19</v>
      </c>
      <c r="E78" s="156" t="s">
        <v>442</v>
      </c>
    </row>
    <row r="79" spans="1:7" ht="55.7" customHeight="1" x14ac:dyDescent="0.25">
      <c r="A79" s="381" t="s">
        <v>444</v>
      </c>
      <c r="B79" s="382"/>
      <c r="C79" s="109"/>
      <c r="D79" s="149">
        <v>588090.9</v>
      </c>
      <c r="E79" s="156" t="s">
        <v>442</v>
      </c>
      <c r="F79" s="97"/>
    </row>
    <row r="80" spans="1:7" ht="35.1" customHeight="1" x14ac:dyDescent="0.25">
      <c r="A80" s="381" t="s">
        <v>445</v>
      </c>
      <c r="B80" s="382"/>
      <c r="C80" s="109"/>
      <c r="D80" s="149">
        <v>54497.599999999999</v>
      </c>
      <c r="E80" s="156" t="s">
        <v>442</v>
      </c>
    </row>
    <row r="81" spans="1:5" ht="35.1" customHeight="1" x14ac:dyDescent="0.25">
      <c r="A81" s="381" t="s">
        <v>446</v>
      </c>
      <c r="B81" s="382"/>
      <c r="C81" s="109"/>
      <c r="D81" s="149">
        <v>160307.04</v>
      </c>
      <c r="E81" s="156" t="s">
        <v>442</v>
      </c>
    </row>
    <row r="82" spans="1:5" ht="35.1" customHeight="1" x14ac:dyDescent="0.25">
      <c r="A82" s="381" t="s">
        <v>449</v>
      </c>
      <c r="B82" s="382"/>
      <c r="C82" s="109"/>
      <c r="D82" s="149">
        <v>12</v>
      </c>
      <c r="E82" s="156" t="s">
        <v>448</v>
      </c>
    </row>
    <row r="83" spans="1:5" ht="45" customHeight="1" x14ac:dyDescent="0.25">
      <c r="A83" s="381" t="s">
        <v>390</v>
      </c>
      <c r="B83" s="382"/>
      <c r="C83" s="109"/>
      <c r="D83" s="149">
        <v>97200</v>
      </c>
      <c r="E83" s="96" t="s">
        <v>419</v>
      </c>
    </row>
    <row r="84" spans="1:5" ht="45" customHeight="1" x14ac:dyDescent="0.25">
      <c r="A84" s="381" t="s">
        <v>433</v>
      </c>
      <c r="B84" s="382"/>
      <c r="C84" s="109"/>
      <c r="D84" s="149">
        <v>146099</v>
      </c>
      <c r="E84" s="96" t="s">
        <v>432</v>
      </c>
    </row>
    <row r="85" spans="1:5" ht="35.1" customHeight="1" x14ac:dyDescent="0.25">
      <c r="A85" s="381" t="s">
        <v>452</v>
      </c>
      <c r="B85" s="382"/>
      <c r="C85" s="109"/>
      <c r="D85" s="149">
        <v>681000</v>
      </c>
      <c r="E85" s="87" t="s">
        <v>329</v>
      </c>
    </row>
    <row r="86" spans="1:5" ht="35.1" customHeight="1" x14ac:dyDescent="0.25">
      <c r="A86" s="381" t="s">
        <v>388</v>
      </c>
      <c r="B86" s="382"/>
      <c r="C86" s="109"/>
      <c r="D86" s="149">
        <v>481000</v>
      </c>
      <c r="E86" s="87" t="s">
        <v>391</v>
      </c>
    </row>
    <row r="87" spans="1:5" ht="15.75" thickBot="1" x14ac:dyDescent="0.3">
      <c r="A87" s="115" t="s">
        <v>182</v>
      </c>
      <c r="B87" s="115"/>
      <c r="C87" s="115"/>
      <c r="D87" s="235"/>
      <c r="E87" s="91">
        <f>SUM(D66:D86)</f>
        <v>13633480.389999999</v>
      </c>
    </row>
    <row r="88" spans="1:5" x14ac:dyDescent="0.25">
      <c r="A88" s="8" t="s">
        <v>12</v>
      </c>
      <c r="B88" s="8"/>
      <c r="C88" s="8"/>
      <c r="D88" s="236"/>
      <c r="E88" s="26"/>
    </row>
    <row r="89" spans="1:5" ht="23.45" customHeight="1" x14ac:dyDescent="0.25">
      <c r="A89" s="381" t="s">
        <v>396</v>
      </c>
      <c r="B89" s="382"/>
      <c r="C89" s="24"/>
      <c r="D89" s="365"/>
      <c r="E89" s="96"/>
    </row>
    <row r="90" spans="1:5" ht="23.45" customHeight="1" x14ac:dyDescent="0.25">
      <c r="A90" s="381" t="s">
        <v>412</v>
      </c>
      <c r="B90" s="382"/>
      <c r="C90" s="24"/>
      <c r="D90" s="365">
        <v>1900000</v>
      </c>
      <c r="E90" s="96" t="s">
        <v>391</v>
      </c>
    </row>
    <row r="91" spans="1:5" ht="15.75" thickBot="1" x14ac:dyDescent="0.3">
      <c r="A91" s="107" t="s">
        <v>151</v>
      </c>
      <c r="B91" s="107"/>
      <c r="C91" s="107"/>
      <c r="D91" s="229"/>
      <c r="E91" s="92">
        <f>SUM(D89:D90)</f>
        <v>1900000</v>
      </c>
    </row>
    <row r="92" spans="1:5" ht="15.75" thickBot="1" x14ac:dyDescent="0.3">
      <c r="A92" s="8" t="s">
        <v>7</v>
      </c>
      <c r="B92" s="114"/>
      <c r="C92" s="9"/>
      <c r="D92" s="234"/>
      <c r="E92" s="29"/>
    </row>
    <row r="93" spans="1:5" x14ac:dyDescent="0.25">
      <c r="A93" s="24" t="s">
        <v>22</v>
      </c>
      <c r="B93" s="24"/>
      <c r="C93" s="24"/>
      <c r="D93" s="231">
        <f>1391701.58</f>
        <v>1391701.58</v>
      </c>
      <c r="E93" s="31"/>
    </row>
    <row r="94" spans="1:5" x14ac:dyDescent="0.25">
      <c r="A94" s="24" t="s">
        <v>23</v>
      </c>
      <c r="B94" s="24"/>
      <c r="C94" s="24"/>
      <c r="D94" s="231">
        <v>57500</v>
      </c>
      <c r="E94" s="30"/>
    </row>
    <row r="95" spans="1:5" x14ac:dyDescent="0.25">
      <c r="A95" s="116" t="s">
        <v>152</v>
      </c>
      <c r="B95" s="116"/>
      <c r="C95" s="116"/>
      <c r="D95" s="237"/>
      <c r="E95" s="95">
        <f>SUM(D93:D94)</f>
        <v>1449201.58</v>
      </c>
    </row>
    <row r="96" spans="1:5" x14ac:dyDescent="0.25">
      <c r="A96" s="24"/>
      <c r="B96" s="24"/>
      <c r="C96" s="24"/>
      <c r="D96" s="24"/>
      <c r="E96" s="57"/>
    </row>
    <row r="97" spans="1:7" x14ac:dyDescent="0.25">
      <c r="A97" s="24"/>
      <c r="B97" s="24"/>
      <c r="C97" s="24"/>
      <c r="D97" s="24"/>
      <c r="E97" s="57"/>
      <c r="F97" s="13"/>
      <c r="G97" s="41"/>
    </row>
    <row r="98" spans="1:7" ht="15.75" thickBot="1" x14ac:dyDescent="0.3">
      <c r="A98" s="117" t="s">
        <v>8</v>
      </c>
      <c r="B98" s="118"/>
      <c r="C98" s="56"/>
      <c r="D98" s="56"/>
      <c r="E98" s="154">
        <f>(SUM(E30:E96))</f>
        <v>92723513.620000005</v>
      </c>
      <c r="F98" s="40"/>
    </row>
    <row r="99" spans="1:7" x14ac:dyDescent="0.25">
      <c r="A99" s="32"/>
      <c r="B99" s="32"/>
      <c r="C99" s="32"/>
      <c r="D99" s="32"/>
      <c r="E99" s="32"/>
    </row>
    <row r="100" spans="1:7" x14ac:dyDescent="0.25">
      <c r="A100" s="32"/>
      <c r="B100" s="32"/>
      <c r="C100" s="32"/>
      <c r="D100" s="32"/>
      <c r="E100" s="32"/>
    </row>
    <row r="101" spans="1:7" x14ac:dyDescent="0.25">
      <c r="A101" s="119" t="s">
        <v>9</v>
      </c>
      <c r="B101" s="44"/>
      <c r="C101" s="44"/>
      <c r="D101" s="44"/>
      <c r="E101" s="44"/>
    </row>
    <row r="102" spans="1:7" ht="31.5" customHeight="1" x14ac:dyDescent="0.25">
      <c r="A102" s="381" t="s">
        <v>389</v>
      </c>
      <c r="B102" s="382"/>
      <c r="C102" s="24"/>
      <c r="D102" s="231">
        <v>452107.07</v>
      </c>
      <c r="E102" s="24" t="s">
        <v>275</v>
      </c>
    </row>
    <row r="103" spans="1:7" ht="31.5" customHeight="1" x14ac:dyDescent="0.25">
      <c r="A103" s="381" t="s">
        <v>331</v>
      </c>
      <c r="B103" s="382"/>
      <c r="C103" s="24"/>
      <c r="D103" s="231">
        <v>74126.81</v>
      </c>
      <c r="E103" s="212" t="s">
        <v>432</v>
      </c>
    </row>
    <row r="104" spans="1:7" ht="31.5" customHeight="1" x14ac:dyDescent="0.25">
      <c r="A104" s="381" t="s">
        <v>332</v>
      </c>
      <c r="B104" s="382"/>
      <c r="C104" s="24"/>
      <c r="D104" s="231">
        <v>74126.81</v>
      </c>
      <c r="E104" s="212" t="str">
        <f>E103</f>
        <v>Transf 13/02</v>
      </c>
    </row>
    <row r="105" spans="1:7" ht="31.5" customHeight="1" x14ac:dyDescent="0.25">
      <c r="A105" s="381" t="s">
        <v>333</v>
      </c>
      <c r="B105" s="382"/>
      <c r="C105" s="24"/>
      <c r="D105" s="231">
        <v>75556.14</v>
      </c>
      <c r="E105" s="212" t="str">
        <f>E103</f>
        <v>Transf 13/02</v>
      </c>
    </row>
    <row r="106" spans="1:7" ht="30" customHeight="1" x14ac:dyDescent="0.25">
      <c r="A106" s="383" t="s">
        <v>378</v>
      </c>
      <c r="B106" s="384"/>
      <c r="C106" s="24"/>
      <c r="D106" s="231">
        <v>1114493.6200000001</v>
      </c>
      <c r="E106" s="87" t="s">
        <v>381</v>
      </c>
    </row>
    <row r="107" spans="1:7" ht="38.25" customHeight="1" x14ac:dyDescent="0.25">
      <c r="A107" s="383" t="s">
        <v>192</v>
      </c>
      <c r="B107" s="384"/>
      <c r="C107" s="24"/>
      <c r="D107" s="231">
        <v>6056.84</v>
      </c>
      <c r="E107" s="24" t="str">
        <f>E102</f>
        <v>Debito autom.</v>
      </c>
    </row>
    <row r="108" spans="1:7" ht="33.75" customHeight="1" x14ac:dyDescent="0.25">
      <c r="A108" s="383" t="s">
        <v>306</v>
      </c>
      <c r="B108" s="384"/>
      <c r="C108" s="24"/>
      <c r="D108" s="231"/>
      <c r="E108" s="24" t="s">
        <v>275</v>
      </c>
      <c r="G108" t="s">
        <v>413</v>
      </c>
    </row>
    <row r="109" spans="1:7" x14ac:dyDescent="0.25">
      <c r="A109" s="119" t="s">
        <v>4</v>
      </c>
      <c r="B109" s="44"/>
      <c r="C109" s="44"/>
      <c r="D109" s="44"/>
      <c r="E109" s="93">
        <f>SUM(D102:D108)</f>
        <v>1796467.2900000003</v>
      </c>
    </row>
    <row r="110" spans="1:7" ht="15.75" thickBot="1" x14ac:dyDescent="0.3">
      <c r="A110" s="32"/>
      <c r="B110" s="32"/>
      <c r="C110" s="32"/>
      <c r="D110" s="32"/>
      <c r="E110" s="32"/>
    </row>
    <row r="111" spans="1:7" x14ac:dyDescent="0.25">
      <c r="A111" s="120" t="s">
        <v>21</v>
      </c>
      <c r="B111" s="121"/>
      <c r="C111" s="122"/>
      <c r="D111" s="354"/>
      <c r="E111" s="52"/>
    </row>
    <row r="112" spans="1:7" ht="45" customHeight="1" x14ac:dyDescent="0.25">
      <c r="A112" s="383" t="s">
        <v>397</v>
      </c>
      <c r="B112" s="384"/>
      <c r="C112" s="24"/>
      <c r="D112" s="472">
        <v>5816279.9100000001</v>
      </c>
      <c r="E112" s="86" t="s">
        <v>416</v>
      </c>
    </row>
    <row r="113" spans="1:7" ht="43.5" customHeight="1" thickBot="1" x14ac:dyDescent="0.3">
      <c r="A113" s="383"/>
      <c r="B113" s="384"/>
      <c r="C113" s="24"/>
      <c r="D113" s="149"/>
      <c r="E113" s="86"/>
    </row>
    <row r="114" spans="1:7" ht="15.75" thickBot="1" x14ac:dyDescent="0.3">
      <c r="A114" s="123" t="s">
        <v>4</v>
      </c>
      <c r="B114" s="124"/>
      <c r="C114" s="124"/>
      <c r="D114" s="125"/>
      <c r="E114" s="94">
        <f>SUM(D112:D113)</f>
        <v>5816279.9100000001</v>
      </c>
    </row>
    <row r="115" spans="1:7" ht="15" customHeight="1" x14ac:dyDescent="0.25">
      <c r="A115" s="32"/>
      <c r="B115" s="32"/>
      <c r="C115" s="32"/>
      <c r="D115" s="32"/>
      <c r="E115" s="32"/>
    </row>
    <row r="116" spans="1:7" ht="15.75" hidden="1" thickBot="1" x14ac:dyDescent="0.3">
      <c r="A116" s="32"/>
      <c r="B116" s="32"/>
      <c r="C116" s="32"/>
      <c r="D116" s="32"/>
      <c r="E116" s="32"/>
    </row>
    <row r="117" spans="1:7" ht="15.75" thickBot="1" x14ac:dyDescent="0.3">
      <c r="A117" s="32"/>
      <c r="B117" s="32"/>
      <c r="C117" s="32"/>
      <c r="D117" s="32"/>
      <c r="E117" s="32"/>
    </row>
    <row r="118" spans="1:7" ht="15.75" thickBot="1" x14ac:dyDescent="0.3">
      <c r="A118" s="123" t="s">
        <v>13</v>
      </c>
      <c r="B118" s="126"/>
      <c r="C118" s="127"/>
      <c r="D118" s="127"/>
      <c r="E118" s="128">
        <f>E114</f>
        <v>5816279.9100000001</v>
      </c>
    </row>
    <row r="119" spans="1:7" ht="15.75" thickBot="1" x14ac:dyDescent="0.3">
      <c r="A119" s="32"/>
      <c r="B119" s="32"/>
      <c r="C119" s="32"/>
      <c r="D119" s="32"/>
      <c r="E119" s="32"/>
    </row>
    <row r="120" spans="1:7" x14ac:dyDescent="0.25">
      <c r="A120" s="129" t="s">
        <v>190</v>
      </c>
      <c r="B120" s="130"/>
      <c r="C120" s="131"/>
      <c r="D120" s="58"/>
      <c r="E120" s="59"/>
    </row>
    <row r="121" spans="1:7" ht="30" customHeight="1" x14ac:dyDescent="0.25">
      <c r="A121" s="392" t="s">
        <v>402</v>
      </c>
      <c r="B121" s="392"/>
      <c r="C121" s="24"/>
      <c r="D121" s="231">
        <f>1500871-920000</f>
        <v>580871</v>
      </c>
      <c r="E121" s="28" t="str">
        <f>E28</f>
        <v>Transf 03/02</v>
      </c>
    </row>
    <row r="122" spans="1:7" ht="30" customHeight="1" x14ac:dyDescent="0.25">
      <c r="A122" s="381" t="s">
        <v>404</v>
      </c>
      <c r="B122" s="382"/>
      <c r="C122" s="109"/>
      <c r="D122" s="231">
        <v>91169.89</v>
      </c>
      <c r="E122" s="28" t="str">
        <f>E44</f>
        <v>Transf 02/02</v>
      </c>
      <c r="G122" s="36"/>
    </row>
    <row r="123" spans="1:7" x14ac:dyDescent="0.25">
      <c r="A123" s="238" t="s">
        <v>4</v>
      </c>
      <c r="B123" s="239"/>
      <c r="C123" s="239"/>
      <c r="D123" s="146"/>
      <c r="E123" s="240">
        <f>SUM(D121:D122)</f>
        <v>672040.89</v>
      </c>
    </row>
    <row r="124" spans="1:7" x14ac:dyDescent="0.25">
      <c r="A124" s="32"/>
      <c r="B124" s="32"/>
      <c r="C124" s="32"/>
      <c r="D124" s="32"/>
      <c r="E124" s="32"/>
    </row>
    <row r="125" spans="1:7" x14ac:dyDescent="0.25">
      <c r="A125" s="32"/>
      <c r="B125" s="32"/>
      <c r="C125" s="32"/>
      <c r="D125" s="32"/>
      <c r="E125" s="32"/>
    </row>
    <row r="126" spans="1:7" ht="15.75" thickBot="1" x14ac:dyDescent="0.3">
      <c r="A126" s="32"/>
      <c r="B126" s="32"/>
      <c r="C126" s="32"/>
      <c r="D126" s="32"/>
      <c r="E126" s="32"/>
    </row>
    <row r="127" spans="1:7" ht="17.25" customHeight="1" thickBot="1" x14ac:dyDescent="0.3">
      <c r="A127" s="241" t="s">
        <v>191</v>
      </c>
      <c r="B127" s="242"/>
      <c r="C127" s="243"/>
      <c r="D127" s="243"/>
      <c r="E127" s="244">
        <f>E123</f>
        <v>672040.89</v>
      </c>
    </row>
    <row r="128" spans="1:7" x14ac:dyDescent="0.25">
      <c r="A128" s="32"/>
      <c r="B128" s="32"/>
      <c r="C128" s="32"/>
      <c r="D128" s="32"/>
      <c r="E128" s="32"/>
    </row>
    <row r="129" spans="1:5" ht="15.75" thickBot="1" x14ac:dyDescent="0.3">
      <c r="A129" s="32"/>
      <c r="B129" s="32"/>
      <c r="C129" s="32"/>
      <c r="D129" s="32"/>
      <c r="E129" s="32"/>
    </row>
    <row r="130" spans="1:5" ht="15.75" thickBot="1" x14ac:dyDescent="0.3">
      <c r="A130" s="245" t="s">
        <v>183</v>
      </c>
      <c r="B130" s="246">
        <f>E98</f>
        <v>92723513.620000005</v>
      </c>
      <c r="C130" s="32"/>
      <c r="D130" s="32"/>
      <c r="E130" s="32"/>
    </row>
    <row r="131" spans="1:5" ht="15.75" thickBot="1" x14ac:dyDescent="0.3">
      <c r="A131" s="245" t="s">
        <v>21</v>
      </c>
      <c r="B131" s="246">
        <f>E118</f>
        <v>5816279.9100000001</v>
      </c>
      <c r="C131" s="32"/>
      <c r="D131" s="32"/>
      <c r="E131" s="32"/>
    </row>
    <row r="132" spans="1:5" ht="15.75" thickBot="1" x14ac:dyDescent="0.3">
      <c r="A132" s="247" t="s">
        <v>153</v>
      </c>
      <c r="B132" s="248">
        <f>E109</f>
        <v>1796467.2900000003</v>
      </c>
      <c r="C132" s="32"/>
      <c r="D132" s="32"/>
      <c r="E132" s="32"/>
    </row>
    <row r="133" spans="1:5" ht="34.5" customHeight="1" thickBot="1" x14ac:dyDescent="0.3">
      <c r="A133" s="249" t="s">
        <v>230</v>
      </c>
      <c r="B133" s="248">
        <f>B132+B130</f>
        <v>94519980.910000011</v>
      </c>
      <c r="C133" s="32"/>
      <c r="D133" s="32"/>
      <c r="E133" s="32"/>
    </row>
    <row r="134" spans="1:5" ht="34.5" customHeight="1" x14ac:dyDescent="0.25">
      <c r="A134" s="385" t="s">
        <v>403</v>
      </c>
      <c r="B134" s="386"/>
      <c r="C134" s="32"/>
      <c r="D134" s="32"/>
      <c r="E134" s="32"/>
    </row>
    <row r="135" spans="1:5" ht="34.5" customHeight="1" x14ac:dyDescent="0.25">
      <c r="A135" s="387"/>
      <c r="B135" s="388"/>
      <c r="C135" s="32"/>
      <c r="D135" s="32"/>
      <c r="E135" s="32"/>
    </row>
    <row r="136" spans="1:5" ht="54.75" customHeight="1" thickBot="1" x14ac:dyDescent="0.3">
      <c r="A136" s="389"/>
      <c r="B136" s="390"/>
      <c r="C136" s="32"/>
      <c r="D136" s="32"/>
      <c r="E136" s="32"/>
    </row>
    <row r="137" spans="1:5" x14ac:dyDescent="0.25">
      <c r="A137" s="141" t="s">
        <v>238</v>
      </c>
      <c r="B137" s="132"/>
      <c r="C137" s="5"/>
    </row>
    <row r="138" spans="1:5" s="163" customFormat="1" x14ac:dyDescent="0.25">
      <c r="A138" s="160" t="s">
        <v>233</v>
      </c>
      <c r="B138" s="161">
        <v>90941979.035899952</v>
      </c>
      <c r="C138" s="162"/>
      <c r="E138" s="164"/>
    </row>
    <row r="139" spans="1:5" s="163" customFormat="1" x14ac:dyDescent="0.25">
      <c r="A139" s="165" t="s">
        <v>234</v>
      </c>
      <c r="B139" s="166">
        <f>PRORRATEO!F161</f>
        <v>116669002.52</v>
      </c>
      <c r="C139" s="167"/>
    </row>
    <row r="140" spans="1:5" s="163" customFormat="1" x14ac:dyDescent="0.25">
      <c r="A140" s="165" t="s">
        <v>464</v>
      </c>
      <c r="B140" s="166">
        <v>850000</v>
      </c>
      <c r="C140" s="167"/>
      <c r="D140" s="164"/>
    </row>
    <row r="141" spans="1:5" s="163" customFormat="1" ht="36.75" customHeight="1" x14ac:dyDescent="0.25">
      <c r="A141" s="7" t="s">
        <v>243</v>
      </c>
      <c r="B141" s="168">
        <f>B190</f>
        <v>0</v>
      </c>
      <c r="C141" s="167"/>
      <c r="D141" s="164"/>
    </row>
    <row r="142" spans="1:5" s="163" customFormat="1" ht="16.5" customHeight="1" x14ac:dyDescent="0.25">
      <c r="A142" s="144" t="s">
        <v>300</v>
      </c>
      <c r="B142" s="169">
        <f>-B165</f>
        <v>-185555</v>
      </c>
      <c r="C142" s="167"/>
      <c r="D142" s="164"/>
    </row>
    <row r="143" spans="1:5" s="163" customFormat="1" ht="16.5" customHeight="1" x14ac:dyDescent="0.25">
      <c r="A143" s="144" t="s">
        <v>456</v>
      </c>
      <c r="B143" s="169">
        <v>-767817</v>
      </c>
      <c r="C143" s="167"/>
      <c r="D143" s="164"/>
    </row>
    <row r="144" spans="1:5" s="163" customFormat="1" ht="16.5" customHeight="1" x14ac:dyDescent="0.25">
      <c r="A144" s="144" t="s">
        <v>457</v>
      </c>
      <c r="B144" s="169">
        <v>-23703</v>
      </c>
      <c r="C144" s="167"/>
      <c r="D144" s="164"/>
    </row>
    <row r="145" spans="1:6" s="163" customFormat="1" ht="15.6" customHeight="1" x14ac:dyDescent="0.25">
      <c r="A145" s="144" t="s">
        <v>453</v>
      </c>
      <c r="B145" s="169">
        <v>-1520000</v>
      </c>
      <c r="C145" s="167"/>
      <c r="D145" s="164"/>
    </row>
    <row r="146" spans="1:6" s="163" customFormat="1" ht="16.5" customHeight="1" x14ac:dyDescent="0.25">
      <c r="A146" s="144" t="s">
        <v>454</v>
      </c>
      <c r="B146" s="169">
        <f>-{43790}</f>
        <v>-43790</v>
      </c>
      <c r="C146" s="167"/>
      <c r="D146" s="164"/>
    </row>
    <row r="147" spans="1:6" s="163" customFormat="1" ht="16.5" customHeight="1" x14ac:dyDescent="0.25">
      <c r="A147" s="144" t="s">
        <v>458</v>
      </c>
      <c r="B147" s="169">
        <v>-23204</v>
      </c>
      <c r="C147" s="167"/>
      <c r="D147" s="164"/>
    </row>
    <row r="148" spans="1:6" s="163" customFormat="1" ht="16.5" customHeight="1" x14ac:dyDescent="0.25">
      <c r="A148" s="144" t="s">
        <v>459</v>
      </c>
      <c r="B148" s="169">
        <v>-23442</v>
      </c>
      <c r="C148" s="167"/>
      <c r="D148" s="164"/>
    </row>
    <row r="149" spans="1:6" s="163" customFormat="1" ht="16.5" customHeight="1" x14ac:dyDescent="0.25">
      <c r="A149" s="144" t="s">
        <v>460</v>
      </c>
      <c r="B149" s="169">
        <v>-23442</v>
      </c>
      <c r="C149" s="167"/>
      <c r="D149" s="164"/>
    </row>
    <row r="150" spans="1:6" s="163" customFormat="1" ht="16.5" customHeight="1" x14ac:dyDescent="0.25">
      <c r="A150" s="144" t="s">
        <v>461</v>
      </c>
      <c r="B150" s="169">
        <v>-750500</v>
      </c>
      <c r="C150" s="167"/>
      <c r="D150" s="164"/>
    </row>
    <row r="151" spans="1:6" s="163" customFormat="1" ht="16.5" customHeight="1" x14ac:dyDescent="0.25">
      <c r="A151" s="144" t="s">
        <v>462</v>
      </c>
      <c r="B151" s="169">
        <f>-28259-29121-48822</f>
        <v>-106202</v>
      </c>
      <c r="C151" s="167"/>
      <c r="D151" s="164"/>
    </row>
    <row r="152" spans="1:6" s="163" customFormat="1" ht="39.6" customHeight="1" x14ac:dyDescent="0.25">
      <c r="A152" s="34" t="s">
        <v>495</v>
      </c>
      <c r="B152" s="169">
        <v>-305367.8</v>
      </c>
      <c r="C152" s="167"/>
      <c r="D152" s="164"/>
    </row>
    <row r="153" spans="1:6" s="163" customFormat="1" ht="39" customHeight="1" x14ac:dyDescent="0.25">
      <c r="A153" s="357" t="s">
        <v>420</v>
      </c>
      <c r="B153" s="355">
        <v>-1500000</v>
      </c>
      <c r="C153" s="167"/>
      <c r="D153" s="164"/>
    </row>
    <row r="154" spans="1:6" s="163" customFormat="1" ht="43.7" customHeight="1" x14ac:dyDescent="0.25">
      <c r="A154" s="357" t="s">
        <v>422</v>
      </c>
      <c r="B154" s="355">
        <v>-1500000</v>
      </c>
      <c r="C154" s="167"/>
      <c r="D154" s="164"/>
    </row>
    <row r="155" spans="1:6" s="163" customFormat="1" ht="40.35" customHeight="1" x14ac:dyDescent="0.25">
      <c r="A155" s="357" t="s">
        <v>421</v>
      </c>
      <c r="B155" s="355">
        <v>-7500000</v>
      </c>
      <c r="C155" s="167"/>
      <c r="D155" s="164"/>
    </row>
    <row r="156" spans="1:6" s="163" customFormat="1" ht="16.5" customHeight="1" x14ac:dyDescent="0.25">
      <c r="A156" s="356" t="s">
        <v>423</v>
      </c>
      <c r="B156" s="355">
        <v>-127445</v>
      </c>
      <c r="C156" s="167"/>
      <c r="D156" s="164"/>
    </row>
    <row r="157" spans="1:6" s="163" customFormat="1" ht="18" customHeight="1" x14ac:dyDescent="0.25">
      <c r="A157" s="34" t="s">
        <v>189</v>
      </c>
      <c r="B157" s="169">
        <f>-E127</f>
        <v>-672040.89</v>
      </c>
      <c r="C157" s="167"/>
      <c r="F157" s="170"/>
    </row>
    <row r="158" spans="1:6" s="163" customFormat="1" ht="18" customHeight="1" x14ac:dyDescent="0.25">
      <c r="A158" s="7" t="s">
        <v>154</v>
      </c>
      <c r="B158" s="169">
        <f>-E109</f>
        <v>-1796467.2900000003</v>
      </c>
      <c r="C158" s="167"/>
      <c r="D158" s="170"/>
    </row>
    <row r="159" spans="1:6" s="163" customFormat="1" ht="18" customHeight="1" x14ac:dyDescent="0.25">
      <c r="A159" s="7" t="s">
        <v>14</v>
      </c>
      <c r="B159" s="169">
        <f>-E98</f>
        <v>-92723513.620000005</v>
      </c>
      <c r="C159" s="167"/>
      <c r="D159" s="171"/>
      <c r="E159" s="171"/>
      <c r="F159" s="379"/>
    </row>
    <row r="160" spans="1:6" s="163" customFormat="1" ht="18" customHeight="1" x14ac:dyDescent="0.25">
      <c r="A160" s="7" t="s">
        <v>262</v>
      </c>
      <c r="B160" s="169">
        <f>-E118</f>
        <v>-5816279.9100000001</v>
      </c>
      <c r="C160" s="167"/>
      <c r="E160" s="171"/>
      <c r="F160" s="379"/>
    </row>
    <row r="161" spans="1:7" x14ac:dyDescent="0.25">
      <c r="A161" s="142" t="s">
        <v>4</v>
      </c>
      <c r="B161" s="39">
        <f>SUM(B138:B160)</f>
        <v>93052212.045899957</v>
      </c>
      <c r="C161" s="6"/>
      <c r="D161" s="13"/>
      <c r="E161" s="40"/>
      <c r="F161" s="40"/>
    </row>
    <row r="162" spans="1:7" ht="15.75" thickBot="1" x14ac:dyDescent="0.3">
      <c r="A162" s="143"/>
      <c r="B162" s="11"/>
      <c r="C162" s="6"/>
      <c r="D162" s="13"/>
      <c r="E162" s="37"/>
      <c r="F162" s="83"/>
    </row>
    <row r="163" spans="1:7" x14ac:dyDescent="0.25">
      <c r="A163" s="393" t="s">
        <v>298</v>
      </c>
      <c r="B163" s="394"/>
      <c r="C163" s="6"/>
      <c r="D163" s="13"/>
      <c r="E163" s="37"/>
      <c r="F163" s="83"/>
      <c r="G163" s="380"/>
    </row>
    <row r="164" spans="1:7" x14ac:dyDescent="0.25">
      <c r="A164" s="137" t="s">
        <v>299</v>
      </c>
      <c r="B164" s="138">
        <v>2207004.5940999999</v>
      </c>
      <c r="C164" s="6"/>
      <c r="D164" s="13"/>
      <c r="E164" s="37"/>
      <c r="F164" s="83"/>
    </row>
    <row r="165" spans="1:7" x14ac:dyDescent="0.25">
      <c r="A165" s="137" t="s">
        <v>300</v>
      </c>
      <c r="B165" s="219">
        <v>185555</v>
      </c>
      <c r="C165" s="6"/>
      <c r="D165" s="13"/>
      <c r="E165" s="37"/>
      <c r="F165" s="83"/>
    </row>
    <row r="166" spans="1:7" ht="15.75" thickBot="1" x14ac:dyDescent="0.3">
      <c r="A166" s="137"/>
      <c r="B166" s="138"/>
      <c r="C166" s="6"/>
      <c r="D166" s="13"/>
      <c r="E166" s="37"/>
      <c r="F166" s="83"/>
    </row>
    <row r="167" spans="1:7" ht="15.75" thickBot="1" x14ac:dyDescent="0.3">
      <c r="A167" s="139" t="s">
        <v>4</v>
      </c>
      <c r="B167" s="140">
        <f>SUM(B164:B166)</f>
        <v>2392559.5940999999</v>
      </c>
      <c r="C167" s="6"/>
      <c r="D167" s="13"/>
      <c r="E167" s="37"/>
      <c r="F167" s="83"/>
    </row>
    <row r="168" spans="1:7" ht="15.75" thickBot="1" x14ac:dyDescent="0.3">
      <c r="A168" s="135"/>
      <c r="B168" s="136"/>
      <c r="C168" s="6"/>
      <c r="D168" s="13"/>
      <c r="E168" s="37"/>
      <c r="F168" s="83"/>
    </row>
    <row r="169" spans="1:7" ht="33" customHeight="1" thickBot="1" x14ac:dyDescent="0.3">
      <c r="A169" s="153" t="s">
        <v>312</v>
      </c>
      <c r="B169" s="152">
        <f>B167+B161</f>
        <v>95444771.639999956</v>
      </c>
      <c r="C169" s="6"/>
      <c r="D169" s="13"/>
      <c r="E169" s="37"/>
      <c r="F169" s="83"/>
    </row>
    <row r="170" spans="1:7" x14ac:dyDescent="0.25">
      <c r="B170" s="11"/>
      <c r="C170" s="6"/>
      <c r="D170" s="13"/>
      <c r="E170" s="37"/>
      <c r="F170" s="83"/>
    </row>
    <row r="171" spans="1:7" x14ac:dyDescent="0.25">
      <c r="A171" s="77" t="s">
        <v>237</v>
      </c>
      <c r="B171" s="78"/>
      <c r="C171" s="6"/>
      <c r="D171" s="13"/>
      <c r="E171" s="37"/>
      <c r="F171" s="38"/>
    </row>
    <row r="172" spans="1:7" ht="22.5" customHeight="1" x14ac:dyDescent="0.25">
      <c r="A172" s="99" t="s">
        <v>299</v>
      </c>
      <c r="B172" s="145">
        <v>518026</v>
      </c>
      <c r="C172" s="6"/>
      <c r="D172" s="13"/>
      <c r="E172" s="37"/>
      <c r="F172" s="38"/>
    </row>
    <row r="173" spans="1:7" ht="42.95" customHeight="1" x14ac:dyDescent="0.25">
      <c r="A173" s="99" t="s">
        <v>450</v>
      </c>
      <c r="B173" s="145">
        <v>-57120</v>
      </c>
      <c r="C173" s="6"/>
      <c r="D173" s="13"/>
      <c r="E173" s="37"/>
      <c r="F173" s="38"/>
    </row>
    <row r="174" spans="1:7" ht="38.1" customHeight="1" x14ac:dyDescent="0.25">
      <c r="A174" s="99" t="s">
        <v>490</v>
      </c>
      <c r="B174" s="145">
        <v>-46999</v>
      </c>
      <c r="C174" s="6"/>
      <c r="D174" s="13"/>
      <c r="E174" s="37"/>
      <c r="F174" s="38"/>
    </row>
    <row r="175" spans="1:7" ht="36" customHeight="1" x14ac:dyDescent="0.25">
      <c r="A175" s="99" t="s">
        <v>491</v>
      </c>
      <c r="B175" s="145">
        <v>-7999</v>
      </c>
      <c r="C175" s="6"/>
      <c r="D175" s="13"/>
      <c r="E175" s="37"/>
      <c r="F175" s="38"/>
    </row>
    <row r="176" spans="1:7" ht="36" customHeight="1" x14ac:dyDescent="0.25">
      <c r="A176" s="99" t="s">
        <v>492</v>
      </c>
      <c r="B176" s="145">
        <v>-51999</v>
      </c>
      <c r="C176" s="6"/>
      <c r="D176" s="13"/>
      <c r="E176" s="37"/>
      <c r="F176" s="38"/>
    </row>
    <row r="177" spans="1:15" ht="22.5" customHeight="1" x14ac:dyDescent="0.25">
      <c r="A177" s="99" t="s">
        <v>319</v>
      </c>
      <c r="B177" s="145"/>
      <c r="C177" s="6"/>
      <c r="D177" s="13"/>
      <c r="E177" s="37"/>
      <c r="F177" s="38"/>
    </row>
    <row r="178" spans="1:15" x14ac:dyDescent="0.25">
      <c r="A178" s="77" t="s">
        <v>4</v>
      </c>
      <c r="B178" s="78">
        <f>SUM(B171:B177)</f>
        <v>353909</v>
      </c>
      <c r="C178" s="6"/>
      <c r="D178" s="13"/>
      <c r="E178" s="37"/>
      <c r="F178" s="38"/>
    </row>
    <row r="179" spans="1:15" ht="15.75" thickBot="1" x14ac:dyDescent="0.3">
      <c r="B179" s="11"/>
      <c r="C179" s="6"/>
      <c r="D179" s="13"/>
      <c r="E179" s="37"/>
      <c r="F179" s="38"/>
    </row>
    <row r="180" spans="1:15" x14ac:dyDescent="0.25">
      <c r="A180" s="133" t="s">
        <v>231</v>
      </c>
      <c r="B180" s="73"/>
      <c r="C180" s="6"/>
      <c r="D180" s="82"/>
      <c r="E180" s="150"/>
      <c r="F180" s="151"/>
      <c r="G180" s="36"/>
      <c r="H180" s="36"/>
      <c r="I180" s="36"/>
      <c r="J180" s="36"/>
      <c r="K180" s="36"/>
      <c r="L180" s="36"/>
      <c r="M180" s="36"/>
      <c r="N180" s="36"/>
      <c r="O180" s="36"/>
    </row>
    <row r="181" spans="1:15" x14ac:dyDescent="0.25">
      <c r="A181" s="75" t="s">
        <v>236</v>
      </c>
      <c r="B181" s="76">
        <v>30000000</v>
      </c>
      <c r="C181" s="6"/>
      <c r="D181" s="82"/>
      <c r="E181" s="150"/>
      <c r="F181" s="151"/>
      <c r="G181" s="36"/>
      <c r="H181" s="36"/>
      <c r="I181" s="36"/>
      <c r="J181" s="36"/>
      <c r="K181" s="36"/>
      <c r="L181" s="36"/>
      <c r="M181" s="36"/>
      <c r="N181" s="36"/>
      <c r="O181" s="36"/>
    </row>
    <row r="182" spans="1:15" ht="15.75" thickBot="1" x14ac:dyDescent="0.3">
      <c r="A182" s="134" t="s">
        <v>497</v>
      </c>
      <c r="B182" s="225">
        <v>39090069.299999997</v>
      </c>
      <c r="C182" s="6"/>
      <c r="D182" s="82"/>
      <c r="E182" s="150"/>
      <c r="F182" s="151"/>
      <c r="G182" s="36"/>
      <c r="H182" s="36"/>
      <c r="I182" s="36"/>
      <c r="J182" s="36"/>
      <c r="K182" s="36"/>
      <c r="L182" s="36"/>
      <c r="M182" s="36"/>
      <c r="N182" s="36"/>
      <c r="O182" s="36"/>
    </row>
    <row r="183" spans="1:15" x14ac:dyDescent="0.25">
      <c r="B183" s="11"/>
      <c r="C183" s="6"/>
      <c r="D183" s="82"/>
      <c r="E183" s="150"/>
      <c r="F183" s="151"/>
      <c r="G183" s="36"/>
      <c r="H183" s="36"/>
      <c r="I183" s="36"/>
      <c r="J183" s="36"/>
      <c r="K183" s="36"/>
      <c r="L183" s="36"/>
      <c r="M183" s="36"/>
      <c r="N183" s="36"/>
      <c r="O183" s="36"/>
    </row>
    <row r="184" spans="1:15" x14ac:dyDescent="0.25">
      <c r="B184" s="11"/>
      <c r="C184" s="6"/>
      <c r="D184" s="13"/>
      <c r="E184" s="37"/>
      <c r="F184" s="38"/>
    </row>
    <row r="185" spans="1:15" x14ac:dyDescent="0.25">
      <c r="B185" s="11"/>
      <c r="C185" s="6"/>
      <c r="D185" s="13"/>
      <c r="E185" s="37"/>
      <c r="F185" s="38"/>
    </row>
    <row r="186" spans="1:15" x14ac:dyDescent="0.25">
      <c r="A186" s="391" t="s">
        <v>17</v>
      </c>
      <c r="B186" s="391"/>
      <c r="C186" s="391"/>
    </row>
    <row r="187" spans="1:15" x14ac:dyDescent="0.25">
      <c r="A187" s="391"/>
      <c r="B187" s="391"/>
      <c r="C187" s="391"/>
    </row>
    <row r="188" spans="1:15" ht="33.75" customHeight="1" x14ac:dyDescent="0.25">
      <c r="A188" s="71"/>
      <c r="B188" s="43"/>
      <c r="C188" s="70"/>
    </row>
    <row r="189" spans="1:15" ht="33.75" customHeight="1" x14ac:dyDescent="0.25">
      <c r="A189" s="71"/>
      <c r="B189" s="43"/>
      <c r="C189" s="70"/>
    </row>
    <row r="190" spans="1:15" x14ac:dyDescent="0.25">
      <c r="A190" s="14" t="s">
        <v>4</v>
      </c>
      <c r="B190" s="33">
        <f>SUM(B188:B189)</f>
        <v>0</v>
      </c>
      <c r="C190" s="15"/>
    </row>
    <row r="191" spans="1:15" x14ac:dyDescent="0.25">
      <c r="M191" s="3"/>
    </row>
  </sheetData>
  <mergeCells count="69">
    <mergeCell ref="A26:B26"/>
    <mergeCell ref="A69:B69"/>
    <mergeCell ref="A57:B57"/>
    <mergeCell ref="A59:B59"/>
    <mergeCell ref="A71:B71"/>
    <mergeCell ref="A39:B39"/>
    <mergeCell ref="A66:B66"/>
    <mergeCell ref="A61:B61"/>
    <mergeCell ref="A63:B63"/>
    <mergeCell ref="A56:B56"/>
    <mergeCell ref="A54:B54"/>
    <mergeCell ref="A55:B55"/>
    <mergeCell ref="A58:B58"/>
    <mergeCell ref="A10:E12"/>
    <mergeCell ref="A62:B62"/>
    <mergeCell ref="A15:E18"/>
    <mergeCell ref="A53:B53"/>
    <mergeCell ref="A44:B44"/>
    <mergeCell ref="A52:B52"/>
    <mergeCell ref="A51:B51"/>
    <mergeCell ref="A28:B28"/>
    <mergeCell ref="A48:B48"/>
    <mergeCell ref="A49:B49"/>
    <mergeCell ref="A38:B38"/>
    <mergeCell ref="A41:B41"/>
    <mergeCell ref="A45:B45"/>
    <mergeCell ref="A40:B40"/>
    <mergeCell ref="A25:B25"/>
    <mergeCell ref="A50:B50"/>
    <mergeCell ref="B3:E3"/>
    <mergeCell ref="B1:E1"/>
    <mergeCell ref="B2:E2"/>
    <mergeCell ref="B8:E8"/>
    <mergeCell ref="A1:A8"/>
    <mergeCell ref="A134:B136"/>
    <mergeCell ref="A86:B86"/>
    <mergeCell ref="A186:C187"/>
    <mergeCell ref="A121:B121"/>
    <mergeCell ref="A113:B113"/>
    <mergeCell ref="A112:B112"/>
    <mergeCell ref="A163:B163"/>
    <mergeCell ref="A122:B122"/>
    <mergeCell ref="A89:B89"/>
    <mergeCell ref="A107:B107"/>
    <mergeCell ref="A108:B108"/>
    <mergeCell ref="A106:B106"/>
    <mergeCell ref="A102:B102"/>
    <mergeCell ref="A90:B90"/>
    <mergeCell ref="A103:B103"/>
    <mergeCell ref="A104:B104"/>
    <mergeCell ref="A60:B60"/>
    <mergeCell ref="A70:B70"/>
    <mergeCell ref="A74:B74"/>
    <mergeCell ref="A82:B82"/>
    <mergeCell ref="A81:B81"/>
    <mergeCell ref="A80:B80"/>
    <mergeCell ref="A67:B67"/>
    <mergeCell ref="A68:B68"/>
    <mergeCell ref="A75:B75"/>
    <mergeCell ref="A78:B78"/>
    <mergeCell ref="A76:B76"/>
    <mergeCell ref="A73:B73"/>
    <mergeCell ref="A72:B72"/>
    <mergeCell ref="A79:B79"/>
    <mergeCell ref="A77:B77"/>
    <mergeCell ref="A105:B105"/>
    <mergeCell ref="A85:B85"/>
    <mergeCell ref="A84:B84"/>
    <mergeCell ref="A83:B83"/>
  </mergeCells>
  <pageMargins left="0.23622047244094491" right="0.23622047244094491" top="0.74803149606299213" bottom="0.74803149606299213" header="0.31496062992125984" footer="0.31496062992125984"/>
  <pageSetup paperSize="3" scale="11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67"/>
  <sheetViews>
    <sheetView tabSelected="1" topLeftCell="B6" zoomScale="90" zoomScaleNormal="90" workbookViewId="0">
      <selection activeCell="O85" sqref="O85"/>
    </sheetView>
  </sheetViews>
  <sheetFormatPr baseColWidth="10" defaultColWidth="10.85546875" defaultRowHeight="15" x14ac:dyDescent="0.25"/>
  <cols>
    <col min="1" max="1" width="4.42578125" hidden="1" customWidth="1"/>
    <col min="2" max="2" width="4.42578125" customWidth="1"/>
    <col min="3" max="3" width="25.5703125" customWidth="1"/>
    <col min="4" max="4" width="8.140625" customWidth="1"/>
    <col min="5" max="5" width="14.140625" customWidth="1"/>
    <col min="6" max="6" width="12.42578125" customWidth="1"/>
    <col min="7" max="7" width="11.5703125" customWidth="1"/>
    <col min="8" max="8" width="9.5703125" customWidth="1"/>
    <col min="9" max="9" width="13.42578125" customWidth="1"/>
    <col min="10" max="10" width="6" hidden="1" customWidth="1"/>
    <col min="11" max="11" width="14.5703125" customWidth="1"/>
    <col min="12" max="12" width="14.42578125" customWidth="1"/>
    <col min="13" max="13" width="19.5703125" customWidth="1"/>
    <col min="14" max="14" width="12.5703125" customWidth="1"/>
    <col min="15" max="15" width="13.85546875" customWidth="1"/>
    <col min="16" max="16" width="14.5703125" customWidth="1"/>
    <col min="17" max="17" width="10" customWidth="1"/>
    <col min="18" max="18" width="23.42578125" customWidth="1"/>
    <col min="19" max="19" width="7.140625" hidden="1" customWidth="1"/>
    <col min="20" max="20" width="10.42578125" customWidth="1"/>
    <col min="21" max="21" width="13" bestFit="1" customWidth="1"/>
    <col min="24" max="24" width="16" bestFit="1" customWidth="1"/>
    <col min="25" max="25" width="11.85546875" bestFit="1" customWidth="1"/>
  </cols>
  <sheetData>
    <row r="1" spans="1:24" ht="182.45" customHeight="1" x14ac:dyDescent="0.25">
      <c r="A1" s="2"/>
      <c r="B1" s="2"/>
      <c r="C1" s="426" t="s">
        <v>465</v>
      </c>
      <c r="D1" s="427"/>
      <c r="E1" s="427"/>
      <c r="F1" s="427"/>
      <c r="G1" s="427"/>
      <c r="H1" s="427"/>
      <c r="I1" s="427"/>
      <c r="J1" s="427"/>
      <c r="K1" s="427"/>
      <c r="L1" s="427"/>
      <c r="M1" s="155"/>
      <c r="N1" s="428" t="s">
        <v>320</v>
      </c>
      <c r="O1" s="428"/>
      <c r="P1" s="423">
        <v>30000000</v>
      </c>
      <c r="Q1" s="423"/>
      <c r="R1" s="184"/>
      <c r="S1" s="4"/>
      <c r="T1" s="2"/>
      <c r="V1" t="s">
        <v>239</v>
      </c>
      <c r="W1">
        <v>80675963.920000002</v>
      </c>
    </row>
    <row r="2" spans="1:24" ht="30" customHeight="1" thickBot="1" x14ac:dyDescent="0.3">
      <c r="A2" s="2"/>
      <c r="B2" s="2"/>
      <c r="C2" s="425" t="s">
        <v>229</v>
      </c>
      <c r="D2" s="425"/>
      <c r="E2" s="425"/>
      <c r="F2" s="155"/>
      <c r="G2" s="420">
        <f>X2</f>
        <v>27518571.293111999</v>
      </c>
      <c r="H2" s="420"/>
      <c r="I2" s="155" t="s">
        <v>279</v>
      </c>
      <c r="J2" s="155"/>
      <c r="K2" s="420">
        <f>W1</f>
        <v>80675963.920000002</v>
      </c>
      <c r="L2" s="420"/>
      <c r="M2" s="361"/>
      <c r="N2" s="362" t="s">
        <v>265</v>
      </c>
      <c r="O2" s="361"/>
      <c r="P2" s="424">
        <v>0</v>
      </c>
      <c r="Q2" s="424"/>
      <c r="R2" s="185"/>
      <c r="T2" s="2"/>
      <c r="U2" t="s">
        <v>232</v>
      </c>
      <c r="X2" s="40">
        <f>((K2+P2)*D145)+((K2+P2)*D146)</f>
        <v>27518571.293111999</v>
      </c>
    </row>
    <row r="3" spans="1:24" ht="76.7" customHeight="1" thickBot="1" x14ac:dyDescent="0.3">
      <c r="A3" s="433" t="str">
        <f>"ATENCIÓN: Si usted abona antes del " &amp; TEXT(RESUMEN!A10,"dd/mm/yyyy") &amp; ", deberá abonar el importe indicado en la columna de color naranja. En caso de abonar con posterioridad a dicha fecha, deberá abonar el monto indicado en la columna de color celeste."</f>
        <v>ATENCIÓN: Si usted abona antes del Primer Vencimiento:  16/03, deberá abonar el importe indicado en la columna de color naranja. En caso de abonar con posterioridad a dicha fecha, deberá abonar el monto indicado en la columna de color celeste.</v>
      </c>
      <c r="B3" s="434"/>
      <c r="C3" s="434"/>
      <c r="D3" s="434"/>
      <c r="E3" s="434"/>
      <c r="F3" s="434"/>
      <c r="G3" s="434"/>
      <c r="H3" s="434"/>
      <c r="I3" s="434"/>
      <c r="J3" s="434"/>
      <c r="K3" s="434"/>
      <c r="L3" s="434"/>
      <c r="M3" s="434"/>
      <c r="N3" s="434"/>
      <c r="O3" s="434"/>
      <c r="P3" s="434"/>
      <c r="Q3" s="434"/>
      <c r="R3" s="434"/>
      <c r="S3" s="434"/>
      <c r="T3" s="435"/>
      <c r="X3" s="40"/>
    </row>
    <row r="4" spans="1:24" ht="43.5" customHeight="1" x14ac:dyDescent="0.25">
      <c r="A4" s="436" t="s">
        <v>0</v>
      </c>
      <c r="B4" s="438" t="s">
        <v>1</v>
      </c>
      <c r="C4" s="438" t="s">
        <v>2</v>
      </c>
      <c r="D4" s="438" t="s">
        <v>6</v>
      </c>
      <c r="E4" s="421" t="s">
        <v>184</v>
      </c>
      <c r="F4" s="438" t="s">
        <v>3</v>
      </c>
      <c r="G4" s="440" t="s">
        <v>16</v>
      </c>
      <c r="H4" s="421" t="s">
        <v>235</v>
      </c>
      <c r="I4" s="421" t="s">
        <v>15</v>
      </c>
      <c r="J4" s="421"/>
      <c r="K4" s="421" t="s">
        <v>185</v>
      </c>
      <c r="L4" s="421" t="s">
        <v>148</v>
      </c>
      <c r="M4" s="421" t="s">
        <v>187</v>
      </c>
      <c r="N4" s="421" t="s">
        <v>186</v>
      </c>
      <c r="O4" s="421" t="s">
        <v>261</v>
      </c>
      <c r="P4" s="429" t="s">
        <v>339</v>
      </c>
      <c r="Q4" s="430"/>
      <c r="R4" s="429" t="s">
        <v>326</v>
      </c>
      <c r="S4" s="430"/>
      <c r="T4" s="421" t="s">
        <v>263</v>
      </c>
      <c r="U4" s="13"/>
    </row>
    <row r="5" spans="1:24" ht="25.5" customHeight="1" thickBot="1" x14ac:dyDescent="0.3">
      <c r="A5" s="437"/>
      <c r="B5" s="439"/>
      <c r="C5" s="439"/>
      <c r="D5" s="439"/>
      <c r="E5" s="422"/>
      <c r="F5" s="439"/>
      <c r="G5" s="441"/>
      <c r="H5" s="422"/>
      <c r="I5" s="422"/>
      <c r="J5" s="422"/>
      <c r="K5" s="422"/>
      <c r="L5" s="422"/>
      <c r="M5" s="422"/>
      <c r="N5" s="422"/>
      <c r="O5" s="422"/>
      <c r="P5" s="431" t="str">
        <f>RESUMEN!A10</f>
        <v>Primer Vencimiento:  16/03</v>
      </c>
      <c r="Q5" s="432"/>
      <c r="R5" s="431"/>
      <c r="S5" s="432"/>
      <c r="T5" s="422"/>
    </row>
    <row r="6" spans="1:24" ht="26.45" customHeight="1" x14ac:dyDescent="0.25">
      <c r="A6" s="204"/>
      <c r="B6" s="217">
        <v>1</v>
      </c>
      <c r="C6" s="217" t="s">
        <v>24</v>
      </c>
      <c r="D6" s="205">
        <v>4.5999999999999999E-3</v>
      </c>
      <c r="E6" s="213">
        <v>736058.01</v>
      </c>
      <c r="F6" s="222"/>
      <c r="G6" s="206">
        <f t="shared" ref="G6:G69" si="0">E6-F6</f>
        <v>736058.01</v>
      </c>
      <c r="H6" s="207">
        <f>IF(G6&gt;0,G6*3.087%,0)</f>
        <v>22722.1107687</v>
      </c>
      <c r="I6" s="208">
        <f>K$2*D6</f>
        <v>371109.43403200002</v>
      </c>
      <c r="J6" s="208">
        <f t="shared" ref="J6:J37" si="1">P$2*D6</f>
        <v>0</v>
      </c>
      <c r="K6" s="208">
        <f>G$2*0.675675676%</f>
        <v>185936.29261027643</v>
      </c>
      <c r="L6" s="208">
        <f>P$1*0.675675676%</f>
        <v>202702.7028</v>
      </c>
      <c r="M6" s="209">
        <f>G$1*D6</f>
        <v>0</v>
      </c>
      <c r="N6" s="209">
        <v>0</v>
      </c>
      <c r="O6" s="209"/>
      <c r="P6" s="442">
        <f t="shared" ref="P6:P37" si="2">ROUND(SUM(G6:O6),0) + S6</f>
        <v>1518529.01</v>
      </c>
      <c r="Q6" s="442"/>
      <c r="R6" s="363">
        <f t="shared" ref="R6:R37" si="3">ROUND(P6+P6*3.033%,0) + S6</f>
        <v>1564586.01</v>
      </c>
      <c r="S6" s="13">
        <f t="shared" ref="S6:S37" si="4">ROUND(0.001+B6/100,2)</f>
        <v>0.01</v>
      </c>
      <c r="T6" s="210">
        <f t="shared" ref="T6:T37" si="5">B6</f>
        <v>1</v>
      </c>
      <c r="U6" t="s">
        <v>218</v>
      </c>
    </row>
    <row r="7" spans="1:24" ht="24.6" customHeight="1" x14ac:dyDescent="0.25">
      <c r="A7" s="16"/>
      <c r="B7" s="16">
        <f>B6+1</f>
        <v>2</v>
      </c>
      <c r="C7" s="16" t="s">
        <v>25</v>
      </c>
      <c r="D7" s="80">
        <v>4.5999999999999999E-3</v>
      </c>
      <c r="E7" s="214">
        <v>759368.02</v>
      </c>
      <c r="F7" s="98"/>
      <c r="G7" s="61">
        <f t="shared" si="0"/>
        <v>759368.02</v>
      </c>
      <c r="H7" s="21">
        <f>IF(G7&gt;0,G7*3.087%,0)</f>
        <v>23441.690777400003</v>
      </c>
      <c r="I7" s="22">
        <f t="shared" ref="I7:I38" si="6">K$2*D7</f>
        <v>371109.43403200002</v>
      </c>
      <c r="J7" s="22">
        <f t="shared" si="1"/>
        <v>0</v>
      </c>
      <c r="K7" s="22">
        <f t="shared" ref="K7:K70" si="7">G$2*0.675675676%</f>
        <v>185936.29261027643</v>
      </c>
      <c r="L7" s="22">
        <f t="shared" ref="L7:L70" si="8">P$1*0.675675676%</f>
        <v>202702.7028</v>
      </c>
      <c r="M7" s="74">
        <f t="shared" ref="M7:M13" si="9">G$1*D7</f>
        <v>0</v>
      </c>
      <c r="N7" s="74">
        <v>0</v>
      </c>
      <c r="O7" s="74"/>
      <c r="P7" s="413">
        <f t="shared" si="2"/>
        <v>1542558.02</v>
      </c>
      <c r="Q7" s="413"/>
      <c r="R7" s="363">
        <f t="shared" si="3"/>
        <v>1589344.02</v>
      </c>
      <c r="S7" s="13">
        <f t="shared" si="4"/>
        <v>0.02</v>
      </c>
      <c r="T7" s="1">
        <f t="shared" si="5"/>
        <v>2</v>
      </c>
    </row>
    <row r="8" spans="1:24" ht="24.6" customHeight="1" x14ac:dyDescent="0.25">
      <c r="A8" s="16"/>
      <c r="B8" s="16">
        <f t="shared" ref="B8:B37" si="10">B7+1</f>
        <v>3</v>
      </c>
      <c r="C8" s="16" t="s">
        <v>26</v>
      </c>
      <c r="D8" s="80">
        <v>4.5999999999999999E-3</v>
      </c>
      <c r="E8" s="214">
        <v>759748.03</v>
      </c>
      <c r="F8" s="98">
        <v>782791.03</v>
      </c>
      <c r="G8" s="61">
        <f t="shared" si="0"/>
        <v>-23043</v>
      </c>
      <c r="H8" s="21">
        <f t="shared" ref="H8:H71" si="11">IF(G8&gt;0,G8*3.087%,0)</f>
        <v>0</v>
      </c>
      <c r="I8" s="22">
        <f t="shared" si="6"/>
        <v>371109.43403200002</v>
      </c>
      <c r="J8" s="22">
        <f t="shared" si="1"/>
        <v>0</v>
      </c>
      <c r="K8" s="22">
        <f t="shared" si="7"/>
        <v>185936.29261027643</v>
      </c>
      <c r="L8" s="22">
        <f t="shared" si="8"/>
        <v>202702.7028</v>
      </c>
      <c r="M8" s="74">
        <f t="shared" si="9"/>
        <v>0</v>
      </c>
      <c r="N8" s="74">
        <v>0</v>
      </c>
      <c r="O8" s="74"/>
      <c r="P8" s="413">
        <f t="shared" si="2"/>
        <v>736705.03</v>
      </c>
      <c r="Q8" s="413"/>
      <c r="R8" s="363">
        <f t="shared" si="3"/>
        <v>759049.03</v>
      </c>
      <c r="S8" s="13">
        <f t="shared" si="4"/>
        <v>0.03</v>
      </c>
      <c r="T8" s="1">
        <f t="shared" si="5"/>
        <v>3</v>
      </c>
      <c r="V8" t="s">
        <v>203</v>
      </c>
    </row>
    <row r="9" spans="1:24" ht="24.6" customHeight="1" x14ac:dyDescent="0.25">
      <c r="A9" s="16"/>
      <c r="B9" s="16">
        <f t="shared" si="10"/>
        <v>4</v>
      </c>
      <c r="C9" s="16" t="s">
        <v>168</v>
      </c>
      <c r="D9" s="80">
        <v>4.7000000000000002E-3</v>
      </c>
      <c r="E9" s="214">
        <v>2381502.04</v>
      </c>
      <c r="F9" s="98"/>
      <c r="G9" s="61">
        <f t="shared" si="0"/>
        <v>2381502.04</v>
      </c>
      <c r="H9" s="21">
        <f t="shared" si="11"/>
        <v>73516.967974800005</v>
      </c>
      <c r="I9" s="22">
        <f t="shared" si="6"/>
        <v>379177.030424</v>
      </c>
      <c r="J9" s="22">
        <f t="shared" si="1"/>
        <v>0</v>
      </c>
      <c r="K9" s="22">
        <f t="shared" si="7"/>
        <v>185936.29261027643</v>
      </c>
      <c r="L9" s="22">
        <f t="shared" si="8"/>
        <v>202702.7028</v>
      </c>
      <c r="M9" s="74">
        <f t="shared" si="9"/>
        <v>0</v>
      </c>
      <c r="N9" s="74">
        <v>0</v>
      </c>
      <c r="O9" s="74"/>
      <c r="P9" s="413">
        <f t="shared" si="2"/>
        <v>3222835.04</v>
      </c>
      <c r="Q9" s="413"/>
      <c r="R9" s="363">
        <f t="shared" si="3"/>
        <v>3320584.04</v>
      </c>
      <c r="S9" s="13">
        <f t="shared" si="4"/>
        <v>0.04</v>
      </c>
      <c r="T9" s="1">
        <f t="shared" si="5"/>
        <v>4</v>
      </c>
      <c r="U9" s="135"/>
      <c r="V9" t="s">
        <v>309</v>
      </c>
    </row>
    <row r="10" spans="1:24" ht="24.6" customHeight="1" x14ac:dyDescent="0.25">
      <c r="A10" s="16"/>
      <c r="B10" s="16">
        <f t="shared" si="10"/>
        <v>5</v>
      </c>
      <c r="C10" s="16" t="s">
        <v>27</v>
      </c>
      <c r="D10" s="80">
        <v>4.7000000000000002E-3</v>
      </c>
      <c r="E10" s="214">
        <v>767816.05</v>
      </c>
      <c r="F10" s="98">
        <v>791104.05</v>
      </c>
      <c r="G10" s="61">
        <f t="shared" si="0"/>
        <v>-23288</v>
      </c>
      <c r="H10" s="21">
        <f t="shared" si="11"/>
        <v>0</v>
      </c>
      <c r="I10" s="22">
        <f t="shared" si="6"/>
        <v>379177.030424</v>
      </c>
      <c r="J10" s="22">
        <f t="shared" si="1"/>
        <v>0</v>
      </c>
      <c r="K10" s="22">
        <f t="shared" si="7"/>
        <v>185936.29261027643</v>
      </c>
      <c r="L10" s="22">
        <f t="shared" si="8"/>
        <v>202702.7028</v>
      </c>
      <c r="M10" s="74">
        <f t="shared" si="9"/>
        <v>0</v>
      </c>
      <c r="N10" s="74">
        <v>0</v>
      </c>
      <c r="O10" s="74"/>
      <c r="P10" s="413">
        <f t="shared" si="2"/>
        <v>744528.05</v>
      </c>
      <c r="Q10" s="413"/>
      <c r="R10" s="363">
        <f t="shared" si="3"/>
        <v>767110.05</v>
      </c>
      <c r="S10" s="13">
        <f t="shared" si="4"/>
        <v>0.05</v>
      </c>
      <c r="T10" s="1">
        <f t="shared" si="5"/>
        <v>5</v>
      </c>
      <c r="U10" s="135"/>
    </row>
    <row r="11" spans="1:24" ht="24.6" customHeight="1" x14ac:dyDescent="0.25">
      <c r="A11" s="16"/>
      <c r="B11" s="16">
        <f t="shared" si="10"/>
        <v>6</v>
      </c>
      <c r="C11" s="16" t="s">
        <v>28</v>
      </c>
      <c r="D11" s="80">
        <v>4.4999999999999997E-3</v>
      </c>
      <c r="E11" s="214">
        <v>751681.06</v>
      </c>
      <c r="F11" s="98">
        <f>E11</f>
        <v>751681.06</v>
      </c>
      <c r="G11" s="61">
        <f t="shared" si="0"/>
        <v>0</v>
      </c>
      <c r="H11" s="21">
        <f t="shared" si="11"/>
        <v>0</v>
      </c>
      <c r="I11" s="22">
        <f t="shared" si="6"/>
        <v>363041.83763999998</v>
      </c>
      <c r="J11" s="22">
        <f t="shared" si="1"/>
        <v>0</v>
      </c>
      <c r="K11" s="22">
        <f t="shared" si="7"/>
        <v>185936.29261027643</v>
      </c>
      <c r="L11" s="22">
        <f t="shared" si="8"/>
        <v>202702.7028</v>
      </c>
      <c r="M11" s="74">
        <f t="shared" si="9"/>
        <v>0</v>
      </c>
      <c r="N11" s="74">
        <v>0</v>
      </c>
      <c r="O11" s="74"/>
      <c r="P11" s="413">
        <f t="shared" si="2"/>
        <v>751681.06</v>
      </c>
      <c r="Q11" s="413"/>
      <c r="R11" s="363">
        <f t="shared" si="3"/>
        <v>774480.06</v>
      </c>
      <c r="S11" s="13">
        <f t="shared" si="4"/>
        <v>0.06</v>
      </c>
      <c r="T11" s="1">
        <f t="shared" si="5"/>
        <v>6</v>
      </c>
      <c r="U11" t="s">
        <v>196</v>
      </c>
    </row>
    <row r="12" spans="1:24" ht="24.6" customHeight="1" x14ac:dyDescent="0.25">
      <c r="A12" s="16"/>
      <c r="B12" s="16">
        <f t="shared" si="10"/>
        <v>7</v>
      </c>
      <c r="C12" s="16" t="s">
        <v>29</v>
      </c>
      <c r="D12" s="80">
        <v>4.3E-3</v>
      </c>
      <c r="E12" s="214">
        <v>738491.07</v>
      </c>
      <c r="F12" s="98">
        <v>730000.07</v>
      </c>
      <c r="G12" s="61">
        <f t="shared" si="0"/>
        <v>8491</v>
      </c>
      <c r="H12" s="21">
        <f t="shared" si="11"/>
        <v>262.11716999999999</v>
      </c>
      <c r="I12" s="22">
        <f t="shared" si="6"/>
        <v>346906.64485600003</v>
      </c>
      <c r="J12" s="22">
        <f t="shared" si="1"/>
        <v>0</v>
      </c>
      <c r="K12" s="22">
        <f t="shared" si="7"/>
        <v>185936.29261027643</v>
      </c>
      <c r="L12" s="22">
        <f t="shared" si="8"/>
        <v>202702.7028</v>
      </c>
      <c r="M12" s="74">
        <f t="shared" si="9"/>
        <v>0</v>
      </c>
      <c r="N12" s="74">
        <v>0</v>
      </c>
      <c r="O12" s="74"/>
      <c r="P12" s="413">
        <f t="shared" si="2"/>
        <v>744299.07</v>
      </c>
      <c r="Q12" s="413"/>
      <c r="R12" s="363">
        <f t="shared" si="3"/>
        <v>766874.07</v>
      </c>
      <c r="S12" s="13">
        <f t="shared" si="4"/>
        <v>7.0000000000000007E-2</v>
      </c>
      <c r="T12" s="1">
        <f t="shared" si="5"/>
        <v>7</v>
      </c>
      <c r="U12" t="s">
        <v>251</v>
      </c>
    </row>
    <row r="13" spans="1:24" ht="24.6" customHeight="1" x14ac:dyDescent="0.25">
      <c r="A13" s="177"/>
      <c r="B13" s="16">
        <f t="shared" si="10"/>
        <v>8</v>
      </c>
      <c r="C13" s="16" t="s">
        <v>30</v>
      </c>
      <c r="D13" s="80">
        <v>4.7000000000000002E-3</v>
      </c>
      <c r="E13" s="214">
        <v>767398.08</v>
      </c>
      <c r="F13" s="98">
        <v>790700</v>
      </c>
      <c r="G13" s="61">
        <f t="shared" si="0"/>
        <v>-23301.920000000042</v>
      </c>
      <c r="H13" s="21">
        <f t="shared" si="11"/>
        <v>0</v>
      </c>
      <c r="I13" s="22">
        <f t="shared" si="6"/>
        <v>379177.030424</v>
      </c>
      <c r="J13" s="22">
        <f t="shared" si="1"/>
        <v>0</v>
      </c>
      <c r="K13" s="22">
        <f t="shared" si="7"/>
        <v>185936.29261027643</v>
      </c>
      <c r="L13" s="22">
        <f t="shared" si="8"/>
        <v>202702.7028</v>
      </c>
      <c r="M13" s="74">
        <f t="shared" si="9"/>
        <v>0</v>
      </c>
      <c r="N13" s="74">
        <v>0</v>
      </c>
      <c r="O13" s="74"/>
      <c r="P13" s="413">
        <f t="shared" si="2"/>
        <v>744514.08</v>
      </c>
      <c r="Q13" s="413"/>
      <c r="R13" s="363">
        <f t="shared" si="3"/>
        <v>767095.08</v>
      </c>
      <c r="S13" s="13">
        <f t="shared" si="4"/>
        <v>0.08</v>
      </c>
      <c r="T13" s="1">
        <f t="shared" si="5"/>
        <v>8</v>
      </c>
      <c r="U13" t="s">
        <v>283</v>
      </c>
    </row>
    <row r="14" spans="1:24" ht="24.6" customHeight="1" x14ac:dyDescent="0.25">
      <c r="A14" s="16"/>
      <c r="B14" s="16">
        <f t="shared" si="10"/>
        <v>9</v>
      </c>
      <c r="C14" s="16" t="s">
        <v>31</v>
      </c>
      <c r="D14" s="80">
        <v>4.7000000000000002E-3</v>
      </c>
      <c r="E14" s="214">
        <v>2292201.09</v>
      </c>
      <c r="F14" s="98"/>
      <c r="G14" s="61">
        <f t="shared" si="0"/>
        <v>2292201.09</v>
      </c>
      <c r="H14" s="21">
        <f t="shared" si="11"/>
        <v>70760.247648299992</v>
      </c>
      <c r="I14" s="22">
        <f t="shared" si="6"/>
        <v>379177.030424</v>
      </c>
      <c r="J14" s="22">
        <f t="shared" si="1"/>
        <v>0</v>
      </c>
      <c r="K14" s="22">
        <f t="shared" si="7"/>
        <v>185936.29261027643</v>
      </c>
      <c r="L14" s="22">
        <f t="shared" si="8"/>
        <v>202702.7028</v>
      </c>
      <c r="M14" s="74">
        <v>0</v>
      </c>
      <c r="N14" s="74">
        <f>I14</f>
        <v>379177.030424</v>
      </c>
      <c r="O14" s="74"/>
      <c r="P14" s="413">
        <f t="shared" si="2"/>
        <v>3509954.09</v>
      </c>
      <c r="Q14" s="413"/>
      <c r="R14" s="363">
        <f t="shared" si="3"/>
        <v>3616411.09</v>
      </c>
      <c r="S14" s="13">
        <f t="shared" si="4"/>
        <v>0.09</v>
      </c>
      <c r="T14" s="1">
        <f t="shared" si="5"/>
        <v>9</v>
      </c>
    </row>
    <row r="15" spans="1:24" ht="24.6" customHeight="1" x14ac:dyDescent="0.25">
      <c r="A15" s="174"/>
      <c r="B15" s="16">
        <f t="shared" si="10"/>
        <v>10</v>
      </c>
      <c r="C15" s="16" t="s">
        <v>32</v>
      </c>
      <c r="D15" s="80">
        <v>4.7000000000000002E-3</v>
      </c>
      <c r="E15" s="214">
        <v>767816.1</v>
      </c>
      <c r="F15" s="215">
        <f>E15</f>
        <v>767816.1</v>
      </c>
      <c r="G15" s="61">
        <f t="shared" si="0"/>
        <v>0</v>
      </c>
      <c r="H15" s="21">
        <f t="shared" si="11"/>
        <v>0</v>
      </c>
      <c r="I15" s="22">
        <f t="shared" si="6"/>
        <v>379177.030424</v>
      </c>
      <c r="J15" s="22">
        <f t="shared" si="1"/>
        <v>0</v>
      </c>
      <c r="K15" s="22">
        <f t="shared" si="7"/>
        <v>185936.29261027643</v>
      </c>
      <c r="L15" s="22">
        <f t="shared" si="8"/>
        <v>202702.7028</v>
      </c>
      <c r="M15" s="74">
        <v>0</v>
      </c>
      <c r="N15" s="74">
        <v>0</v>
      </c>
      <c r="O15" s="74"/>
      <c r="P15" s="413">
        <f t="shared" si="2"/>
        <v>767816.1</v>
      </c>
      <c r="Q15" s="413"/>
      <c r="R15" s="363">
        <f t="shared" si="3"/>
        <v>791104.1</v>
      </c>
      <c r="S15" s="13">
        <f t="shared" si="4"/>
        <v>0.1</v>
      </c>
      <c r="T15" s="1">
        <f t="shared" si="5"/>
        <v>10</v>
      </c>
      <c r="U15" t="s">
        <v>242</v>
      </c>
    </row>
    <row r="16" spans="1:24" ht="24.6" customHeight="1" x14ac:dyDescent="0.25">
      <c r="A16" s="16"/>
      <c r="B16" s="16">
        <f t="shared" si="10"/>
        <v>11</v>
      </c>
      <c r="C16" s="16" t="s">
        <v>33</v>
      </c>
      <c r="D16" s="80">
        <v>4.7000000000000002E-3</v>
      </c>
      <c r="E16" s="214">
        <v>767816.11</v>
      </c>
      <c r="F16" s="98">
        <v>791104.11</v>
      </c>
      <c r="G16" s="62">
        <f t="shared" si="0"/>
        <v>-23288</v>
      </c>
      <c r="H16" s="81">
        <f t="shared" si="11"/>
        <v>0</v>
      </c>
      <c r="I16" s="74">
        <f t="shared" si="6"/>
        <v>379177.030424</v>
      </c>
      <c r="J16" s="74">
        <f t="shared" si="1"/>
        <v>0</v>
      </c>
      <c r="K16" s="74">
        <f t="shared" si="7"/>
        <v>185936.29261027643</v>
      </c>
      <c r="L16" s="74">
        <f t="shared" si="8"/>
        <v>202702.7028</v>
      </c>
      <c r="M16" s="74">
        <v>0</v>
      </c>
      <c r="N16" s="74">
        <v>0</v>
      </c>
      <c r="O16" s="36"/>
      <c r="P16" s="413">
        <f t="shared" si="2"/>
        <v>744528.11</v>
      </c>
      <c r="Q16" s="413"/>
      <c r="R16" s="363">
        <f t="shared" si="3"/>
        <v>767110.11</v>
      </c>
      <c r="S16" s="82">
        <f t="shared" si="4"/>
        <v>0.11</v>
      </c>
      <c r="T16" s="60">
        <f t="shared" si="5"/>
        <v>11</v>
      </c>
      <c r="U16" t="s">
        <v>267</v>
      </c>
    </row>
    <row r="17" spans="1:22" ht="24.6" customHeight="1" x14ac:dyDescent="0.25">
      <c r="A17" s="16"/>
      <c r="B17" s="16">
        <f t="shared" si="10"/>
        <v>12</v>
      </c>
      <c r="C17" s="16" t="s">
        <v>34</v>
      </c>
      <c r="D17" s="80">
        <v>4.3E-3</v>
      </c>
      <c r="E17" s="214">
        <v>3574415.12</v>
      </c>
      <c r="F17" s="98"/>
      <c r="G17" s="62">
        <f t="shared" si="0"/>
        <v>3574415.12</v>
      </c>
      <c r="H17" s="81">
        <f t="shared" si="11"/>
        <v>110342.19475440001</v>
      </c>
      <c r="I17" s="74">
        <f t="shared" si="6"/>
        <v>346906.64485600003</v>
      </c>
      <c r="J17" s="74">
        <f t="shared" si="1"/>
        <v>0</v>
      </c>
      <c r="K17" s="74">
        <f t="shared" si="7"/>
        <v>185936.29261027643</v>
      </c>
      <c r="L17" s="74">
        <f t="shared" si="8"/>
        <v>202702.7028</v>
      </c>
      <c r="M17" s="74">
        <v>0</v>
      </c>
      <c r="N17" s="74">
        <v>0</v>
      </c>
      <c r="O17" s="74"/>
      <c r="P17" s="413">
        <f t="shared" si="2"/>
        <v>4420303.12</v>
      </c>
      <c r="Q17" s="413"/>
      <c r="R17" s="363">
        <f t="shared" si="3"/>
        <v>4554371.12</v>
      </c>
      <c r="S17" s="82">
        <f t="shared" si="4"/>
        <v>0.12</v>
      </c>
      <c r="T17" s="60">
        <f t="shared" si="5"/>
        <v>12</v>
      </c>
      <c r="U17" t="s">
        <v>259</v>
      </c>
    </row>
    <row r="18" spans="1:22" ht="24.6" customHeight="1" x14ac:dyDescent="0.25">
      <c r="A18" s="263"/>
      <c r="B18" s="16">
        <f t="shared" si="10"/>
        <v>13</v>
      </c>
      <c r="C18" s="16" t="s">
        <v>171</v>
      </c>
      <c r="D18" s="80">
        <v>4.5999999999999999E-3</v>
      </c>
      <c r="E18" s="214">
        <v>608767.13</v>
      </c>
      <c r="F18" s="215">
        <f>E18</f>
        <v>608767.13</v>
      </c>
      <c r="G18" s="61">
        <f t="shared" si="0"/>
        <v>0</v>
      </c>
      <c r="H18" s="21">
        <f t="shared" si="11"/>
        <v>0</v>
      </c>
      <c r="I18" s="22">
        <f t="shared" si="6"/>
        <v>371109.43403200002</v>
      </c>
      <c r="J18" s="22">
        <f t="shared" si="1"/>
        <v>0</v>
      </c>
      <c r="K18" s="22">
        <f t="shared" si="7"/>
        <v>185936.29261027643</v>
      </c>
      <c r="L18" s="22">
        <f t="shared" si="8"/>
        <v>202702.7028</v>
      </c>
      <c r="M18" s="74">
        <v>0</v>
      </c>
      <c r="N18" s="74"/>
      <c r="O18" s="74"/>
      <c r="P18" s="413">
        <f t="shared" si="2"/>
        <v>759748.13</v>
      </c>
      <c r="Q18" s="413"/>
      <c r="R18" s="363">
        <f t="shared" si="3"/>
        <v>782791.13</v>
      </c>
      <c r="S18" s="13">
        <f t="shared" si="4"/>
        <v>0.13</v>
      </c>
      <c r="T18" s="1">
        <f t="shared" si="5"/>
        <v>13</v>
      </c>
    </row>
    <row r="19" spans="1:22" ht="24.6" customHeight="1" x14ac:dyDescent="0.25">
      <c r="A19" s="16"/>
      <c r="B19" s="16">
        <f t="shared" si="10"/>
        <v>14</v>
      </c>
      <c r="C19" s="16" t="s">
        <v>35</v>
      </c>
      <c r="D19" s="80">
        <v>4.7000000000000002E-3</v>
      </c>
      <c r="E19" s="214">
        <v>1559335.14</v>
      </c>
      <c r="F19" s="98">
        <f>767816+838900</f>
        <v>1606716</v>
      </c>
      <c r="G19" s="61">
        <f t="shared" si="0"/>
        <v>-47380.860000000102</v>
      </c>
      <c r="H19" s="21">
        <f t="shared" si="11"/>
        <v>0</v>
      </c>
      <c r="I19" s="22">
        <f t="shared" si="6"/>
        <v>379177.030424</v>
      </c>
      <c r="J19" s="22">
        <f t="shared" si="1"/>
        <v>0</v>
      </c>
      <c r="K19" s="22">
        <f t="shared" si="7"/>
        <v>185936.29261027643</v>
      </c>
      <c r="L19" s="22">
        <f t="shared" si="8"/>
        <v>202702.7028</v>
      </c>
      <c r="M19" s="74">
        <v>0</v>
      </c>
      <c r="N19" s="74">
        <v>0</v>
      </c>
      <c r="O19" s="74"/>
      <c r="P19" s="413">
        <f t="shared" si="2"/>
        <v>720435.14</v>
      </c>
      <c r="Q19" s="413"/>
      <c r="R19" s="363">
        <f t="shared" si="3"/>
        <v>742286.14</v>
      </c>
      <c r="S19" s="13">
        <f t="shared" si="4"/>
        <v>0.14000000000000001</v>
      </c>
      <c r="T19" s="1">
        <f t="shared" si="5"/>
        <v>14</v>
      </c>
      <c r="U19" t="s">
        <v>463</v>
      </c>
    </row>
    <row r="20" spans="1:22" ht="24.6" customHeight="1" x14ac:dyDescent="0.25">
      <c r="A20" s="16"/>
      <c r="B20" s="16">
        <f t="shared" si="10"/>
        <v>15</v>
      </c>
      <c r="C20" s="16" t="s">
        <v>295</v>
      </c>
      <c r="D20" s="80">
        <v>4.4000000000000003E-3</v>
      </c>
      <c r="E20" s="214">
        <v>766167.15</v>
      </c>
      <c r="F20" s="98">
        <f t="shared" ref="F20:F21" si="12">E20</f>
        <v>766167.15</v>
      </c>
      <c r="G20" s="62">
        <f t="shared" si="0"/>
        <v>0</v>
      </c>
      <c r="H20" s="81">
        <f t="shared" si="11"/>
        <v>0</v>
      </c>
      <c r="I20" s="74">
        <f t="shared" si="6"/>
        <v>354974.24124800001</v>
      </c>
      <c r="J20" s="74">
        <f t="shared" si="1"/>
        <v>0</v>
      </c>
      <c r="K20" s="74">
        <f t="shared" si="7"/>
        <v>185936.29261027643</v>
      </c>
      <c r="L20" s="74">
        <f t="shared" si="8"/>
        <v>202702.7028</v>
      </c>
      <c r="M20" s="74">
        <v>0</v>
      </c>
      <c r="N20" s="74">
        <v>0</v>
      </c>
      <c r="O20" s="74"/>
      <c r="P20" s="413">
        <f t="shared" si="2"/>
        <v>743613.15</v>
      </c>
      <c r="Q20" s="413"/>
      <c r="R20" s="363">
        <f t="shared" si="3"/>
        <v>766167.15</v>
      </c>
      <c r="S20" s="82">
        <f t="shared" si="4"/>
        <v>0.15</v>
      </c>
      <c r="T20" s="60">
        <f t="shared" si="5"/>
        <v>15</v>
      </c>
      <c r="U20" t="s">
        <v>296</v>
      </c>
    </row>
    <row r="21" spans="1:22" ht="24.6" customHeight="1" x14ac:dyDescent="0.25">
      <c r="A21" s="16"/>
      <c r="B21" s="16">
        <f t="shared" si="10"/>
        <v>16</v>
      </c>
      <c r="C21" s="16" t="s">
        <v>172</v>
      </c>
      <c r="D21" s="80">
        <v>4.5999999999999999E-3</v>
      </c>
      <c r="E21" s="214">
        <v>1038271.16</v>
      </c>
      <c r="F21" s="98">
        <f t="shared" si="12"/>
        <v>1038271.16</v>
      </c>
      <c r="G21" s="61">
        <f t="shared" si="0"/>
        <v>0</v>
      </c>
      <c r="H21" s="21">
        <f t="shared" si="11"/>
        <v>0</v>
      </c>
      <c r="I21" s="22">
        <f t="shared" si="6"/>
        <v>371109.43403200002</v>
      </c>
      <c r="J21" s="22">
        <f t="shared" si="1"/>
        <v>0</v>
      </c>
      <c r="K21" s="22">
        <f t="shared" si="7"/>
        <v>185936.29261027643</v>
      </c>
      <c r="L21" s="22">
        <f t="shared" si="8"/>
        <v>202702.7028</v>
      </c>
      <c r="M21" s="74">
        <v>0</v>
      </c>
      <c r="N21" s="74"/>
      <c r="O21" s="74"/>
      <c r="P21" s="413">
        <f t="shared" si="2"/>
        <v>759748.16</v>
      </c>
      <c r="Q21" s="413"/>
      <c r="R21" s="363">
        <f t="shared" si="3"/>
        <v>782791.16</v>
      </c>
      <c r="S21" s="13">
        <f t="shared" si="4"/>
        <v>0.16</v>
      </c>
      <c r="T21" s="1">
        <f t="shared" si="5"/>
        <v>16</v>
      </c>
    </row>
    <row r="22" spans="1:22" ht="24.6" customHeight="1" x14ac:dyDescent="0.25">
      <c r="A22" s="16"/>
      <c r="B22" s="16">
        <f t="shared" si="10"/>
        <v>17</v>
      </c>
      <c r="C22" s="16" t="s">
        <v>36</v>
      </c>
      <c r="D22" s="80">
        <v>4.5999999999999999E-3</v>
      </c>
      <c r="E22" s="214">
        <v>1542950.17</v>
      </c>
      <c r="F22" s="98"/>
      <c r="G22" s="61">
        <f t="shared" si="0"/>
        <v>1542950.17</v>
      </c>
      <c r="H22" s="21">
        <f t="shared" si="11"/>
        <v>47630.871747899997</v>
      </c>
      <c r="I22" s="22">
        <f t="shared" si="6"/>
        <v>371109.43403200002</v>
      </c>
      <c r="J22" s="22">
        <f t="shared" si="1"/>
        <v>0</v>
      </c>
      <c r="K22" s="22">
        <f t="shared" si="7"/>
        <v>185936.29261027643</v>
      </c>
      <c r="L22" s="22">
        <f t="shared" si="8"/>
        <v>202702.7028</v>
      </c>
      <c r="M22" s="74">
        <v>0</v>
      </c>
      <c r="N22" s="74">
        <v>0</v>
      </c>
      <c r="O22" s="74"/>
      <c r="P22" s="413">
        <f t="shared" si="2"/>
        <v>2350329.17</v>
      </c>
      <c r="Q22" s="413"/>
      <c r="R22" s="363">
        <f t="shared" si="3"/>
        <v>2421615.17</v>
      </c>
      <c r="S22" s="13">
        <f t="shared" si="4"/>
        <v>0.17</v>
      </c>
      <c r="T22" s="1">
        <f t="shared" si="5"/>
        <v>17</v>
      </c>
      <c r="U22" t="s">
        <v>212</v>
      </c>
    </row>
    <row r="23" spans="1:22" ht="24.6" customHeight="1" x14ac:dyDescent="0.25">
      <c r="A23" s="16"/>
      <c r="B23" s="16">
        <f t="shared" si="10"/>
        <v>18</v>
      </c>
      <c r="C23" s="16" t="s">
        <v>37</v>
      </c>
      <c r="D23" s="80">
        <v>4.5999999999999999E-3</v>
      </c>
      <c r="E23" s="214">
        <v>759748.18</v>
      </c>
      <c r="F23" s="98">
        <v>782791.18</v>
      </c>
      <c r="G23" s="61">
        <f t="shared" si="0"/>
        <v>-23043</v>
      </c>
      <c r="H23" s="21">
        <f t="shared" si="11"/>
        <v>0</v>
      </c>
      <c r="I23" s="22">
        <f t="shared" si="6"/>
        <v>371109.43403200002</v>
      </c>
      <c r="J23" s="22">
        <f t="shared" si="1"/>
        <v>0</v>
      </c>
      <c r="K23" s="22">
        <f t="shared" si="7"/>
        <v>185936.29261027643</v>
      </c>
      <c r="L23" s="22">
        <f t="shared" si="8"/>
        <v>202702.7028</v>
      </c>
      <c r="M23" s="74">
        <v>0</v>
      </c>
      <c r="N23" s="74">
        <v>0</v>
      </c>
      <c r="O23" s="88"/>
      <c r="P23" s="413">
        <f t="shared" si="2"/>
        <v>736705.18</v>
      </c>
      <c r="Q23" s="413"/>
      <c r="R23" s="363">
        <f t="shared" si="3"/>
        <v>759049.18</v>
      </c>
      <c r="S23" s="13">
        <f t="shared" si="4"/>
        <v>0.18</v>
      </c>
      <c r="T23" s="1">
        <f t="shared" si="5"/>
        <v>18</v>
      </c>
      <c r="U23" t="s">
        <v>302</v>
      </c>
    </row>
    <row r="24" spans="1:22" ht="24.6" customHeight="1" x14ac:dyDescent="0.25">
      <c r="A24" s="16"/>
      <c r="B24" s="16">
        <f t="shared" si="10"/>
        <v>19</v>
      </c>
      <c r="C24" s="16" t="s">
        <v>38</v>
      </c>
      <c r="D24" s="80">
        <v>4.7000000000000002E-3</v>
      </c>
      <c r="E24" s="214">
        <v>767816.19</v>
      </c>
      <c r="F24" s="98">
        <v>791104.19</v>
      </c>
      <c r="G24" s="61">
        <f t="shared" si="0"/>
        <v>-23288</v>
      </c>
      <c r="H24" s="21">
        <f t="shared" si="11"/>
        <v>0</v>
      </c>
      <c r="I24" s="22">
        <f t="shared" si="6"/>
        <v>379177.030424</v>
      </c>
      <c r="J24" s="22">
        <f t="shared" si="1"/>
        <v>0</v>
      </c>
      <c r="K24" s="22">
        <f t="shared" si="7"/>
        <v>185936.29261027643</v>
      </c>
      <c r="L24" s="22">
        <f t="shared" si="8"/>
        <v>202702.7028</v>
      </c>
      <c r="M24" s="74">
        <v>0</v>
      </c>
      <c r="N24" s="74">
        <v>0</v>
      </c>
      <c r="O24" s="88"/>
      <c r="P24" s="413">
        <f t="shared" si="2"/>
        <v>744528.19</v>
      </c>
      <c r="Q24" s="413"/>
      <c r="R24" s="363">
        <f t="shared" si="3"/>
        <v>767110.19</v>
      </c>
      <c r="S24" s="13">
        <f t="shared" si="4"/>
        <v>0.19</v>
      </c>
      <c r="T24" s="1">
        <f t="shared" si="5"/>
        <v>19</v>
      </c>
    </row>
    <row r="25" spans="1:22" ht="24.6" customHeight="1" x14ac:dyDescent="0.25">
      <c r="A25" s="16"/>
      <c r="B25" s="16">
        <f t="shared" si="10"/>
        <v>20</v>
      </c>
      <c r="C25" s="16" t="s">
        <v>39</v>
      </c>
      <c r="D25" s="80">
        <v>4.7000000000000002E-3</v>
      </c>
      <c r="E25" s="214">
        <v>767816.2</v>
      </c>
      <c r="F25" s="98">
        <v>791104.2</v>
      </c>
      <c r="G25" s="61">
        <f t="shared" si="0"/>
        <v>-23288</v>
      </c>
      <c r="H25" s="21">
        <f t="shared" si="11"/>
        <v>0</v>
      </c>
      <c r="I25" s="22">
        <f t="shared" si="6"/>
        <v>379177.030424</v>
      </c>
      <c r="J25" s="22">
        <f t="shared" si="1"/>
        <v>0</v>
      </c>
      <c r="K25" s="22">
        <f t="shared" si="7"/>
        <v>185936.29261027643</v>
      </c>
      <c r="L25" s="22">
        <f t="shared" si="8"/>
        <v>202702.7028</v>
      </c>
      <c r="M25" s="74">
        <v>0</v>
      </c>
      <c r="N25" s="74">
        <v>0</v>
      </c>
      <c r="O25" s="88"/>
      <c r="P25" s="413">
        <f t="shared" si="2"/>
        <v>744528.2</v>
      </c>
      <c r="Q25" s="413"/>
      <c r="R25" s="363">
        <f t="shared" si="3"/>
        <v>767110.2</v>
      </c>
      <c r="S25" s="13">
        <f t="shared" si="4"/>
        <v>0.2</v>
      </c>
      <c r="T25" s="1">
        <f t="shared" si="5"/>
        <v>20</v>
      </c>
    </row>
    <row r="26" spans="1:22" ht="24.6" customHeight="1" x14ac:dyDescent="0.25">
      <c r="A26" s="16"/>
      <c r="B26" s="16">
        <f t="shared" si="10"/>
        <v>21</v>
      </c>
      <c r="C26" s="16" t="s">
        <v>40</v>
      </c>
      <c r="D26" s="80">
        <v>4.7000000000000002E-3</v>
      </c>
      <c r="E26" s="214">
        <v>767816.21</v>
      </c>
      <c r="F26" s="98"/>
      <c r="G26" s="61">
        <f t="shared" si="0"/>
        <v>767816.21</v>
      </c>
      <c r="H26" s="21">
        <f t="shared" si="11"/>
        <v>23702.4864027</v>
      </c>
      <c r="I26" s="22">
        <f t="shared" si="6"/>
        <v>379177.030424</v>
      </c>
      <c r="J26" s="22">
        <f t="shared" si="1"/>
        <v>0</v>
      </c>
      <c r="K26" s="22">
        <f t="shared" si="7"/>
        <v>185936.29261027643</v>
      </c>
      <c r="L26" s="22">
        <f t="shared" si="8"/>
        <v>202702.7028</v>
      </c>
      <c r="M26" s="74">
        <v>0</v>
      </c>
      <c r="N26" s="74">
        <v>0</v>
      </c>
      <c r="O26" s="88"/>
      <c r="P26" s="413">
        <f t="shared" si="2"/>
        <v>1559335.21</v>
      </c>
      <c r="Q26" s="413"/>
      <c r="R26" s="363">
        <f t="shared" si="3"/>
        <v>1606630.21</v>
      </c>
      <c r="S26" s="13">
        <f t="shared" si="4"/>
        <v>0.21</v>
      </c>
      <c r="T26" s="1">
        <f t="shared" si="5"/>
        <v>21</v>
      </c>
      <c r="U26" t="s">
        <v>204</v>
      </c>
      <c r="V26" t="s">
        <v>204</v>
      </c>
    </row>
    <row r="27" spans="1:22" ht="24.6" customHeight="1" x14ac:dyDescent="0.25">
      <c r="A27" s="16"/>
      <c r="B27" s="16">
        <f t="shared" si="10"/>
        <v>22</v>
      </c>
      <c r="C27" s="16" t="s">
        <v>41</v>
      </c>
      <c r="D27" s="80">
        <v>4.7000000000000002E-3</v>
      </c>
      <c r="E27" s="214">
        <v>767816.22</v>
      </c>
      <c r="F27" s="98">
        <v>791104.22</v>
      </c>
      <c r="G27" s="61">
        <f t="shared" si="0"/>
        <v>-23288</v>
      </c>
      <c r="H27" s="21">
        <f t="shared" si="11"/>
        <v>0</v>
      </c>
      <c r="I27" s="22">
        <f t="shared" si="6"/>
        <v>379177.030424</v>
      </c>
      <c r="J27" s="22">
        <f t="shared" si="1"/>
        <v>0</v>
      </c>
      <c r="K27" s="22">
        <f t="shared" si="7"/>
        <v>185936.29261027643</v>
      </c>
      <c r="L27" s="22">
        <f t="shared" si="8"/>
        <v>202702.7028</v>
      </c>
      <c r="M27" s="74">
        <v>0</v>
      </c>
      <c r="N27" s="74">
        <v>0</v>
      </c>
      <c r="O27" s="88"/>
      <c r="P27" s="413">
        <f t="shared" si="2"/>
        <v>744528.22</v>
      </c>
      <c r="Q27" s="413"/>
      <c r="R27" s="363">
        <f t="shared" si="3"/>
        <v>767110.22</v>
      </c>
      <c r="S27" s="13">
        <f t="shared" si="4"/>
        <v>0.22</v>
      </c>
      <c r="T27" s="1">
        <f t="shared" si="5"/>
        <v>22</v>
      </c>
      <c r="U27" t="s">
        <v>292</v>
      </c>
    </row>
    <row r="28" spans="1:22" ht="24.6" customHeight="1" x14ac:dyDescent="0.25">
      <c r="A28" s="176"/>
      <c r="B28" s="16">
        <f t="shared" si="10"/>
        <v>23</v>
      </c>
      <c r="C28" s="16" t="s">
        <v>42</v>
      </c>
      <c r="D28" s="80">
        <v>4.7000000000000002E-3</v>
      </c>
      <c r="E28" s="214">
        <v>736833.23</v>
      </c>
      <c r="F28" s="98">
        <v>736834</v>
      </c>
      <c r="G28" s="61">
        <f t="shared" si="0"/>
        <v>-0.77000000001862645</v>
      </c>
      <c r="H28" s="21">
        <f t="shared" si="11"/>
        <v>0</v>
      </c>
      <c r="I28" s="22">
        <f t="shared" si="6"/>
        <v>379177.030424</v>
      </c>
      <c r="J28" s="22">
        <f t="shared" si="1"/>
        <v>0</v>
      </c>
      <c r="K28" s="22">
        <f t="shared" si="7"/>
        <v>185936.29261027643</v>
      </c>
      <c r="L28" s="22">
        <f t="shared" si="8"/>
        <v>202702.7028</v>
      </c>
      <c r="M28" s="74">
        <v>0</v>
      </c>
      <c r="N28" s="74">
        <v>0</v>
      </c>
      <c r="O28" s="88"/>
      <c r="P28" s="413">
        <f t="shared" si="2"/>
        <v>767815.23</v>
      </c>
      <c r="Q28" s="413"/>
      <c r="R28" s="363">
        <f t="shared" si="3"/>
        <v>791103.23</v>
      </c>
      <c r="S28" s="13">
        <f t="shared" si="4"/>
        <v>0.23</v>
      </c>
      <c r="T28" s="1">
        <f t="shared" si="5"/>
        <v>23</v>
      </c>
      <c r="U28" t="s">
        <v>289</v>
      </c>
    </row>
    <row r="29" spans="1:22" ht="24.6" customHeight="1" x14ac:dyDescent="0.25">
      <c r="A29" s="16"/>
      <c r="B29" s="16">
        <f t="shared" si="10"/>
        <v>24</v>
      </c>
      <c r="C29" s="16" t="s">
        <v>43</v>
      </c>
      <c r="D29" s="80">
        <v>4.7000000000000002E-3</v>
      </c>
      <c r="E29" s="214">
        <v>767816.24</v>
      </c>
      <c r="F29" s="215">
        <v>791104.24</v>
      </c>
      <c r="G29" s="61">
        <f t="shared" si="0"/>
        <v>-23288</v>
      </c>
      <c r="H29" s="21">
        <f t="shared" si="11"/>
        <v>0</v>
      </c>
      <c r="I29" s="22">
        <f t="shared" si="6"/>
        <v>379177.030424</v>
      </c>
      <c r="J29" s="22">
        <f t="shared" si="1"/>
        <v>0</v>
      </c>
      <c r="K29" s="22">
        <f t="shared" si="7"/>
        <v>185936.29261027643</v>
      </c>
      <c r="L29" s="22">
        <f t="shared" si="8"/>
        <v>202702.7028</v>
      </c>
      <c r="M29" s="74">
        <v>0</v>
      </c>
      <c r="N29" s="74">
        <v>0</v>
      </c>
      <c r="O29" s="88"/>
      <c r="P29" s="413">
        <f t="shared" si="2"/>
        <v>744528.24</v>
      </c>
      <c r="Q29" s="413"/>
      <c r="R29" s="363">
        <f t="shared" si="3"/>
        <v>767110.24</v>
      </c>
      <c r="S29" s="13">
        <f t="shared" si="4"/>
        <v>0.24</v>
      </c>
      <c r="T29" s="1">
        <f t="shared" si="5"/>
        <v>24</v>
      </c>
      <c r="U29" t="s">
        <v>335</v>
      </c>
    </row>
    <row r="30" spans="1:22" ht="24.6" customHeight="1" x14ac:dyDescent="0.25">
      <c r="A30" s="16"/>
      <c r="B30" s="16">
        <f t="shared" si="10"/>
        <v>25</v>
      </c>
      <c r="C30" s="16" t="s">
        <v>44</v>
      </c>
      <c r="D30" s="80">
        <v>4.7999999999999996E-3</v>
      </c>
      <c r="E30" s="214">
        <v>799417.25</v>
      </c>
      <c r="F30" s="215">
        <f>E30</f>
        <v>799417.25</v>
      </c>
      <c r="G30" s="61">
        <f t="shared" si="0"/>
        <v>0</v>
      </c>
      <c r="H30" s="21">
        <f t="shared" si="11"/>
        <v>0</v>
      </c>
      <c r="I30" s="22">
        <f t="shared" si="6"/>
        <v>387244.62681599997</v>
      </c>
      <c r="J30" s="22">
        <f t="shared" si="1"/>
        <v>0</v>
      </c>
      <c r="K30" s="22">
        <f t="shared" si="7"/>
        <v>185936.29261027643</v>
      </c>
      <c r="L30" s="22">
        <f t="shared" si="8"/>
        <v>202702.7028</v>
      </c>
      <c r="M30" s="74">
        <v>0</v>
      </c>
      <c r="N30" s="74">
        <v>0</v>
      </c>
      <c r="O30" s="88"/>
      <c r="P30" s="413">
        <f t="shared" si="2"/>
        <v>775884.25</v>
      </c>
      <c r="Q30" s="413"/>
      <c r="R30" s="363">
        <f t="shared" si="3"/>
        <v>799417.25</v>
      </c>
      <c r="S30" s="13">
        <f t="shared" si="4"/>
        <v>0.25</v>
      </c>
      <c r="T30" s="1">
        <f t="shared" si="5"/>
        <v>25</v>
      </c>
      <c r="V30" t="s">
        <v>271</v>
      </c>
    </row>
    <row r="31" spans="1:22" ht="24.6" customHeight="1" x14ac:dyDescent="0.25">
      <c r="A31" s="175"/>
      <c r="B31" s="16">
        <f t="shared" si="10"/>
        <v>26</v>
      </c>
      <c r="C31" s="16" t="s">
        <v>45</v>
      </c>
      <c r="D31" s="80">
        <v>4.7999999999999996E-3</v>
      </c>
      <c r="E31" s="214">
        <v>775739.26</v>
      </c>
      <c r="F31" s="98">
        <v>799267.26</v>
      </c>
      <c r="G31" s="62">
        <f t="shared" si="0"/>
        <v>-23528</v>
      </c>
      <c r="H31" s="81">
        <f t="shared" si="11"/>
        <v>0</v>
      </c>
      <c r="I31" s="74">
        <f t="shared" si="6"/>
        <v>387244.62681599997</v>
      </c>
      <c r="J31" s="74">
        <f t="shared" si="1"/>
        <v>0</v>
      </c>
      <c r="K31" s="74">
        <f t="shared" si="7"/>
        <v>185936.29261027643</v>
      </c>
      <c r="L31" s="74">
        <f t="shared" si="8"/>
        <v>202702.7028</v>
      </c>
      <c r="M31" s="74">
        <v>0</v>
      </c>
      <c r="N31" s="74">
        <v>0</v>
      </c>
      <c r="O31" s="88"/>
      <c r="P31" s="413">
        <f t="shared" si="2"/>
        <v>752356.26</v>
      </c>
      <c r="Q31" s="413"/>
      <c r="R31" s="363">
        <f t="shared" si="3"/>
        <v>775175.26</v>
      </c>
      <c r="S31" s="82">
        <f t="shared" si="4"/>
        <v>0.26</v>
      </c>
      <c r="T31" s="60">
        <f t="shared" si="5"/>
        <v>26</v>
      </c>
      <c r="V31" t="s">
        <v>199</v>
      </c>
    </row>
    <row r="32" spans="1:22" ht="24.6" customHeight="1" x14ac:dyDescent="0.25">
      <c r="A32" s="16"/>
      <c r="B32" s="16">
        <f t="shared" si="10"/>
        <v>27</v>
      </c>
      <c r="C32" s="16" t="s">
        <v>46</v>
      </c>
      <c r="D32" s="80">
        <v>4.7999999999999996E-3</v>
      </c>
      <c r="E32" s="214">
        <v>748810.27</v>
      </c>
      <c r="F32" s="215">
        <f>E32</f>
        <v>748810.27</v>
      </c>
      <c r="G32" s="61">
        <f t="shared" si="0"/>
        <v>0</v>
      </c>
      <c r="H32" s="21">
        <f t="shared" si="11"/>
        <v>0</v>
      </c>
      <c r="I32" s="22">
        <f t="shared" si="6"/>
        <v>387244.62681599997</v>
      </c>
      <c r="J32" s="22">
        <f t="shared" si="1"/>
        <v>0</v>
      </c>
      <c r="K32" s="22">
        <f t="shared" si="7"/>
        <v>185936.29261027643</v>
      </c>
      <c r="L32" s="22">
        <f t="shared" si="8"/>
        <v>202702.7028</v>
      </c>
      <c r="M32" s="74">
        <v>0</v>
      </c>
      <c r="N32" s="74">
        <v>0</v>
      </c>
      <c r="O32" s="88"/>
      <c r="P32" s="413">
        <f t="shared" si="2"/>
        <v>775884.27</v>
      </c>
      <c r="Q32" s="413"/>
      <c r="R32" s="363">
        <f t="shared" si="3"/>
        <v>799417.27</v>
      </c>
      <c r="S32" s="13">
        <f t="shared" si="4"/>
        <v>0.27</v>
      </c>
      <c r="T32" s="1">
        <f t="shared" si="5"/>
        <v>27</v>
      </c>
    </row>
    <row r="33" spans="1:21" ht="24.6" customHeight="1" x14ac:dyDescent="0.25">
      <c r="A33" s="181"/>
      <c r="B33" s="16">
        <f t="shared" si="10"/>
        <v>28</v>
      </c>
      <c r="C33" s="16" t="s">
        <v>47</v>
      </c>
      <c r="D33" s="80">
        <v>4.4999999999999997E-3</v>
      </c>
      <c r="E33" s="214">
        <v>770595.28</v>
      </c>
      <c r="F33" s="98">
        <v>780000</v>
      </c>
      <c r="G33" s="61">
        <f t="shared" si="0"/>
        <v>-9404.7199999999721</v>
      </c>
      <c r="H33" s="21">
        <f t="shared" si="11"/>
        <v>0</v>
      </c>
      <c r="I33" s="22">
        <f t="shared" si="6"/>
        <v>363041.83763999998</v>
      </c>
      <c r="J33" s="22">
        <f t="shared" si="1"/>
        <v>0</v>
      </c>
      <c r="K33" s="22">
        <f t="shared" si="7"/>
        <v>185936.29261027643</v>
      </c>
      <c r="L33" s="22">
        <f t="shared" si="8"/>
        <v>202702.7028</v>
      </c>
      <c r="M33" s="74">
        <v>0</v>
      </c>
      <c r="N33" s="74">
        <v>0</v>
      </c>
      <c r="O33" s="224">
        <f>I33/2</f>
        <v>181520.91881999999</v>
      </c>
      <c r="P33" s="413">
        <f t="shared" si="2"/>
        <v>923797.28</v>
      </c>
      <c r="Q33" s="413"/>
      <c r="R33" s="363">
        <f t="shared" si="3"/>
        <v>951816.28</v>
      </c>
      <c r="S33" s="13">
        <f t="shared" si="4"/>
        <v>0.28000000000000003</v>
      </c>
      <c r="T33" s="1">
        <f t="shared" si="5"/>
        <v>28</v>
      </c>
      <c r="U33" t="s">
        <v>301</v>
      </c>
    </row>
    <row r="34" spans="1:21" ht="24.6" customHeight="1" x14ac:dyDescent="0.25">
      <c r="A34" s="16"/>
      <c r="B34" s="16">
        <f t="shared" si="10"/>
        <v>29</v>
      </c>
      <c r="C34" s="16" t="s">
        <v>48</v>
      </c>
      <c r="D34" s="80">
        <v>4.7999999999999996E-3</v>
      </c>
      <c r="E34" s="214">
        <v>775884.29</v>
      </c>
      <c r="F34" s="98">
        <v>799417.29</v>
      </c>
      <c r="G34" s="61">
        <f t="shared" si="0"/>
        <v>-23533</v>
      </c>
      <c r="H34" s="21">
        <f t="shared" si="11"/>
        <v>0</v>
      </c>
      <c r="I34" s="22">
        <f t="shared" si="6"/>
        <v>387244.62681599997</v>
      </c>
      <c r="J34" s="22">
        <f t="shared" si="1"/>
        <v>0</v>
      </c>
      <c r="K34" s="22">
        <f t="shared" si="7"/>
        <v>185936.29261027643</v>
      </c>
      <c r="L34" s="22">
        <f t="shared" si="8"/>
        <v>202702.7028</v>
      </c>
      <c r="M34" s="74">
        <v>0</v>
      </c>
      <c r="N34" s="74">
        <v>0</v>
      </c>
      <c r="O34" s="88"/>
      <c r="P34" s="413">
        <f t="shared" si="2"/>
        <v>752351.29</v>
      </c>
      <c r="Q34" s="413"/>
      <c r="R34" s="363">
        <f t="shared" si="3"/>
        <v>775170.29</v>
      </c>
      <c r="S34" s="13">
        <f t="shared" si="4"/>
        <v>0.28999999999999998</v>
      </c>
      <c r="T34" s="1">
        <f t="shared" si="5"/>
        <v>29</v>
      </c>
      <c r="U34" t="s">
        <v>208</v>
      </c>
    </row>
    <row r="35" spans="1:21" ht="24.6" customHeight="1" x14ac:dyDescent="0.25">
      <c r="A35" s="16"/>
      <c r="B35" s="16">
        <f t="shared" si="10"/>
        <v>30</v>
      </c>
      <c r="C35" s="16" t="s">
        <v>49</v>
      </c>
      <c r="D35" s="80">
        <v>4.4999999999999997E-3</v>
      </c>
      <c r="E35" s="214">
        <v>751681.3</v>
      </c>
      <c r="F35" s="98">
        <f>E35</f>
        <v>751681.3</v>
      </c>
      <c r="G35" s="61">
        <f t="shared" si="0"/>
        <v>0</v>
      </c>
      <c r="H35" s="21">
        <f t="shared" si="11"/>
        <v>0</v>
      </c>
      <c r="I35" s="22">
        <f t="shared" si="6"/>
        <v>363041.83763999998</v>
      </c>
      <c r="J35" s="22">
        <f t="shared" si="1"/>
        <v>0</v>
      </c>
      <c r="K35" s="22">
        <f t="shared" si="7"/>
        <v>185936.29261027643</v>
      </c>
      <c r="L35" s="22">
        <f t="shared" si="8"/>
        <v>202702.7028</v>
      </c>
      <c r="M35" s="74">
        <v>0</v>
      </c>
      <c r="N35" s="74">
        <v>0</v>
      </c>
      <c r="O35" s="88"/>
      <c r="P35" s="413">
        <f t="shared" si="2"/>
        <v>751681.3</v>
      </c>
      <c r="Q35" s="413"/>
      <c r="R35" s="363">
        <f t="shared" si="3"/>
        <v>774480.3</v>
      </c>
      <c r="S35" s="13">
        <f t="shared" si="4"/>
        <v>0.3</v>
      </c>
      <c r="T35" s="1">
        <f t="shared" si="5"/>
        <v>30</v>
      </c>
      <c r="U35" t="s">
        <v>254</v>
      </c>
    </row>
    <row r="36" spans="1:21" ht="24.6" customHeight="1" x14ac:dyDescent="0.25">
      <c r="A36" s="16"/>
      <c r="B36" s="16">
        <f t="shared" si="10"/>
        <v>31</v>
      </c>
      <c r="C36" s="16" t="s">
        <v>50</v>
      </c>
      <c r="D36" s="80">
        <v>4.4999999999999997E-3</v>
      </c>
      <c r="E36" s="214">
        <v>1835102.31</v>
      </c>
      <c r="F36" s="98"/>
      <c r="G36" s="61">
        <f t="shared" si="0"/>
        <v>1835102.31</v>
      </c>
      <c r="H36" s="21">
        <f t="shared" si="11"/>
        <v>56649.608309700008</v>
      </c>
      <c r="I36" s="22">
        <f t="shared" si="6"/>
        <v>363041.83763999998</v>
      </c>
      <c r="J36" s="22">
        <f t="shared" si="1"/>
        <v>0</v>
      </c>
      <c r="K36" s="22">
        <f t="shared" si="7"/>
        <v>185936.29261027643</v>
      </c>
      <c r="L36" s="22">
        <f t="shared" si="8"/>
        <v>202702.7028</v>
      </c>
      <c r="M36" s="74">
        <v>0</v>
      </c>
      <c r="N36" s="74">
        <v>0</v>
      </c>
      <c r="O36" s="88"/>
      <c r="P36" s="413">
        <f t="shared" si="2"/>
        <v>2643433.31</v>
      </c>
      <c r="Q36" s="413"/>
      <c r="R36" s="363">
        <f t="shared" si="3"/>
        <v>2723609.31</v>
      </c>
      <c r="S36" s="13">
        <f t="shared" si="4"/>
        <v>0.31</v>
      </c>
      <c r="T36" s="1">
        <f t="shared" si="5"/>
        <v>31</v>
      </c>
      <c r="U36" s="65" t="s">
        <v>266</v>
      </c>
    </row>
    <row r="37" spans="1:21" ht="24.6" customHeight="1" x14ac:dyDescent="0.25">
      <c r="A37" s="16"/>
      <c r="B37" s="16">
        <f t="shared" si="10"/>
        <v>32</v>
      </c>
      <c r="C37" s="16" t="s">
        <v>51</v>
      </c>
      <c r="D37" s="80">
        <v>4.4999999999999997E-3</v>
      </c>
      <c r="E37" s="214">
        <v>751681.32</v>
      </c>
      <c r="F37" s="223">
        <f>6045183.52-F21-F38-F91-F151-F152-F154</f>
        <v>929642.31999999902</v>
      </c>
      <c r="G37" s="62">
        <f t="shared" si="0"/>
        <v>-177960.99999999907</v>
      </c>
      <c r="H37" s="81">
        <f t="shared" si="11"/>
        <v>0</v>
      </c>
      <c r="I37" s="74">
        <f t="shared" si="6"/>
        <v>363041.83763999998</v>
      </c>
      <c r="J37" s="74">
        <f t="shared" si="1"/>
        <v>0</v>
      </c>
      <c r="K37" s="74">
        <f t="shared" si="7"/>
        <v>185936.29261027643</v>
      </c>
      <c r="L37" s="74">
        <f t="shared" si="8"/>
        <v>202702.7028</v>
      </c>
      <c r="M37" s="74">
        <v>0</v>
      </c>
      <c r="N37" s="74">
        <v>0</v>
      </c>
      <c r="O37" s="88"/>
      <c r="P37" s="413">
        <f t="shared" si="2"/>
        <v>573720.31999999995</v>
      </c>
      <c r="Q37" s="413"/>
      <c r="R37" s="363">
        <f t="shared" si="3"/>
        <v>591121.31999999995</v>
      </c>
      <c r="S37" s="82">
        <f t="shared" si="4"/>
        <v>0.32</v>
      </c>
      <c r="T37" s="60">
        <f t="shared" si="5"/>
        <v>32</v>
      </c>
    </row>
    <row r="38" spans="1:21" ht="24.6" customHeight="1" x14ac:dyDescent="0.25">
      <c r="A38" s="16"/>
      <c r="B38" s="16">
        <v>33</v>
      </c>
      <c r="C38" s="16" t="s">
        <v>52</v>
      </c>
      <c r="D38" s="80">
        <v>4.4999999999999997E-3</v>
      </c>
      <c r="E38" s="214">
        <v>751681.33</v>
      </c>
      <c r="F38" s="98">
        <f>E38</f>
        <v>751681.33</v>
      </c>
      <c r="G38" s="61">
        <f t="shared" si="0"/>
        <v>0</v>
      </c>
      <c r="H38" s="21">
        <f t="shared" si="11"/>
        <v>0</v>
      </c>
      <c r="I38" s="22">
        <f t="shared" si="6"/>
        <v>363041.83763999998</v>
      </c>
      <c r="J38" s="22">
        <f t="shared" ref="J38:J69" si="13">P$2*D38</f>
        <v>0</v>
      </c>
      <c r="K38" s="22">
        <f t="shared" si="7"/>
        <v>185936.29261027643</v>
      </c>
      <c r="L38" s="22">
        <f t="shared" si="8"/>
        <v>202702.7028</v>
      </c>
      <c r="M38" s="74">
        <v>0</v>
      </c>
      <c r="N38" s="74">
        <v>0</v>
      </c>
      <c r="O38" s="88"/>
      <c r="P38" s="413">
        <f t="shared" ref="P38:P69" si="14">ROUND(SUM(G38:O38),0) + S38</f>
        <v>751681.33</v>
      </c>
      <c r="Q38" s="413"/>
      <c r="R38" s="363">
        <f t="shared" ref="R38:R69" si="15">ROUND(P38+P38*3.033%,0) + S38</f>
        <v>774480.33</v>
      </c>
      <c r="S38" s="13">
        <f t="shared" ref="S38:S69" si="16">ROUND(0.001+B38/100,2)</f>
        <v>0.33</v>
      </c>
      <c r="T38" s="1">
        <f t="shared" ref="T38:T69" si="17">B38</f>
        <v>33</v>
      </c>
    </row>
    <row r="39" spans="1:21" ht="24.6" customHeight="1" x14ac:dyDescent="0.25">
      <c r="A39" s="16"/>
      <c r="B39" s="16">
        <v>34</v>
      </c>
      <c r="C39" s="16" t="s">
        <v>50</v>
      </c>
      <c r="D39" s="80">
        <v>4.4999999999999997E-3</v>
      </c>
      <c r="E39" s="214">
        <v>1670172.34</v>
      </c>
      <c r="F39" s="98"/>
      <c r="G39" s="61">
        <f t="shared" si="0"/>
        <v>1670172.34</v>
      </c>
      <c r="H39" s="21">
        <f t="shared" si="11"/>
        <v>51558.220135800002</v>
      </c>
      <c r="I39" s="22">
        <f t="shared" ref="I39:I102" si="18">K$2*D39</f>
        <v>363041.83763999998</v>
      </c>
      <c r="J39" s="22">
        <f t="shared" si="13"/>
        <v>0</v>
      </c>
      <c r="K39" s="22">
        <f t="shared" si="7"/>
        <v>185936.29261027643</v>
      </c>
      <c r="L39" s="22">
        <f t="shared" si="8"/>
        <v>202702.7028</v>
      </c>
      <c r="M39" s="74">
        <v>0</v>
      </c>
      <c r="N39" s="74">
        <v>0</v>
      </c>
      <c r="O39" s="88"/>
      <c r="P39" s="413">
        <f t="shared" si="14"/>
        <v>2473411.34</v>
      </c>
      <c r="Q39" s="413"/>
      <c r="R39" s="363">
        <f t="shared" si="15"/>
        <v>2548430.34</v>
      </c>
      <c r="S39" s="13">
        <f t="shared" si="16"/>
        <v>0.34</v>
      </c>
      <c r="T39" s="1">
        <f t="shared" si="17"/>
        <v>34</v>
      </c>
      <c r="U39" s="65" t="s">
        <v>266</v>
      </c>
    </row>
    <row r="40" spans="1:21" ht="22.35" customHeight="1" x14ac:dyDescent="0.25">
      <c r="A40" s="16">
        <v>1</v>
      </c>
      <c r="B40" s="16">
        <v>35</v>
      </c>
      <c r="C40" s="16" t="s">
        <v>53</v>
      </c>
      <c r="D40" s="80">
        <v>4.5999999999999999E-3</v>
      </c>
      <c r="E40" s="214">
        <v>759748.35</v>
      </c>
      <c r="F40" s="98">
        <v>782792.35</v>
      </c>
      <c r="G40" s="61">
        <f t="shared" si="0"/>
        <v>-23044</v>
      </c>
      <c r="H40" s="21">
        <f t="shared" si="11"/>
        <v>0</v>
      </c>
      <c r="I40" s="22">
        <f t="shared" si="18"/>
        <v>371109.43403200002</v>
      </c>
      <c r="J40" s="22">
        <f t="shared" si="13"/>
        <v>0</v>
      </c>
      <c r="K40" s="22">
        <f t="shared" si="7"/>
        <v>185936.29261027643</v>
      </c>
      <c r="L40" s="22">
        <f t="shared" si="8"/>
        <v>202702.7028</v>
      </c>
      <c r="M40" s="74">
        <v>0</v>
      </c>
      <c r="N40" s="74">
        <v>0</v>
      </c>
      <c r="O40" s="88"/>
      <c r="P40" s="413">
        <f t="shared" si="14"/>
        <v>736704.35</v>
      </c>
      <c r="Q40" s="413"/>
      <c r="R40" s="363">
        <f t="shared" si="15"/>
        <v>759049.35</v>
      </c>
      <c r="S40" s="13">
        <f t="shared" si="16"/>
        <v>0.35</v>
      </c>
      <c r="T40" s="1">
        <f t="shared" si="17"/>
        <v>35</v>
      </c>
      <c r="U40" t="s">
        <v>223</v>
      </c>
    </row>
    <row r="41" spans="1:21" ht="24.95" customHeight="1" x14ac:dyDescent="0.25">
      <c r="A41" s="16">
        <v>2</v>
      </c>
      <c r="B41" s="16">
        <v>36</v>
      </c>
      <c r="C41" s="16" t="s">
        <v>54</v>
      </c>
      <c r="D41" s="80">
        <v>4.5999999999999999E-3</v>
      </c>
      <c r="E41" s="214">
        <v>688271.35999999999</v>
      </c>
      <c r="F41" s="98">
        <f>700000</f>
        <v>700000</v>
      </c>
      <c r="G41" s="62">
        <f t="shared" si="0"/>
        <v>-11728.640000000014</v>
      </c>
      <c r="H41" s="81">
        <f t="shared" si="11"/>
        <v>0</v>
      </c>
      <c r="I41" s="74">
        <f t="shared" si="18"/>
        <v>371109.43403200002</v>
      </c>
      <c r="J41" s="74">
        <f t="shared" si="13"/>
        <v>0</v>
      </c>
      <c r="K41" s="74">
        <f t="shared" si="7"/>
        <v>185936.29261027643</v>
      </c>
      <c r="L41" s="74">
        <f t="shared" si="8"/>
        <v>202702.7028</v>
      </c>
      <c r="M41" s="74">
        <v>0</v>
      </c>
      <c r="N41" s="74">
        <v>0</v>
      </c>
      <c r="O41" s="88"/>
      <c r="P41" s="413">
        <f t="shared" si="14"/>
        <v>748020.36</v>
      </c>
      <c r="Q41" s="413"/>
      <c r="R41" s="363">
        <f t="shared" si="15"/>
        <v>770708.36</v>
      </c>
      <c r="S41" s="82">
        <f t="shared" si="16"/>
        <v>0.36</v>
      </c>
      <c r="T41" s="60">
        <f t="shared" si="17"/>
        <v>36</v>
      </c>
      <c r="U41" s="13"/>
    </row>
    <row r="42" spans="1:21" ht="24.95" customHeight="1" x14ac:dyDescent="0.25">
      <c r="A42" s="16">
        <v>3</v>
      </c>
      <c r="B42" s="16">
        <v>37</v>
      </c>
      <c r="C42" s="16" t="s">
        <v>55</v>
      </c>
      <c r="D42" s="80">
        <v>4.4999999999999997E-3</v>
      </c>
      <c r="E42" s="214">
        <v>751234.37</v>
      </c>
      <c r="F42" s="98"/>
      <c r="G42" s="62">
        <f t="shared" si="0"/>
        <v>751234.37</v>
      </c>
      <c r="H42" s="81">
        <f t="shared" si="11"/>
        <v>23190.605001899999</v>
      </c>
      <c r="I42" s="74">
        <f t="shared" si="18"/>
        <v>363041.83763999998</v>
      </c>
      <c r="J42" s="74">
        <f t="shared" si="13"/>
        <v>0</v>
      </c>
      <c r="K42" s="74">
        <f t="shared" si="7"/>
        <v>185936.29261027643</v>
      </c>
      <c r="L42" s="74">
        <f t="shared" si="8"/>
        <v>202702.7028</v>
      </c>
      <c r="M42" s="74">
        <v>0</v>
      </c>
      <c r="N42" s="74">
        <v>0</v>
      </c>
      <c r="O42" s="88"/>
      <c r="P42" s="413">
        <f t="shared" si="14"/>
        <v>1526106.37</v>
      </c>
      <c r="Q42" s="413"/>
      <c r="R42" s="363">
        <f t="shared" si="15"/>
        <v>1572393.37</v>
      </c>
      <c r="S42" s="82">
        <f t="shared" si="16"/>
        <v>0.37</v>
      </c>
      <c r="T42" s="60">
        <f t="shared" si="17"/>
        <v>37</v>
      </c>
      <c r="U42" s="13"/>
    </row>
    <row r="43" spans="1:21" ht="24.95" customHeight="1" x14ac:dyDescent="0.25">
      <c r="A43" s="181">
        <v>4</v>
      </c>
      <c r="B43" s="16">
        <v>38</v>
      </c>
      <c r="C43" s="16" t="s">
        <v>56</v>
      </c>
      <c r="D43" s="80">
        <v>4.4999999999999997E-3</v>
      </c>
      <c r="E43" s="214">
        <v>736430.38</v>
      </c>
      <c r="F43" s="98">
        <f>363042.38+373388</f>
        <v>736430.38</v>
      </c>
      <c r="G43" s="61">
        <f t="shared" si="0"/>
        <v>0</v>
      </c>
      <c r="H43" s="21">
        <f t="shared" si="11"/>
        <v>0</v>
      </c>
      <c r="I43" s="22">
        <f t="shared" si="18"/>
        <v>363041.83763999998</v>
      </c>
      <c r="J43" s="22">
        <f t="shared" si="13"/>
        <v>0</v>
      </c>
      <c r="K43" s="22">
        <f t="shared" si="7"/>
        <v>185936.29261027643</v>
      </c>
      <c r="L43" s="22">
        <f t="shared" si="8"/>
        <v>202702.7028</v>
      </c>
      <c r="M43" s="74">
        <v>0</v>
      </c>
      <c r="N43" s="74">
        <v>0</v>
      </c>
      <c r="O43" s="88"/>
      <c r="P43" s="413">
        <f t="shared" si="14"/>
        <v>751681.38</v>
      </c>
      <c r="Q43" s="413"/>
      <c r="R43" s="363">
        <f t="shared" si="15"/>
        <v>774480.38</v>
      </c>
      <c r="S43" s="13">
        <f t="shared" si="16"/>
        <v>0.38</v>
      </c>
      <c r="T43" s="1">
        <f t="shared" si="17"/>
        <v>38</v>
      </c>
      <c r="U43" t="s">
        <v>241</v>
      </c>
    </row>
    <row r="44" spans="1:21" ht="24.95" customHeight="1" x14ac:dyDescent="0.25">
      <c r="A44" s="16">
        <v>5</v>
      </c>
      <c r="B44" s="16">
        <v>39</v>
      </c>
      <c r="C44" s="16" t="s">
        <v>245</v>
      </c>
      <c r="D44" s="80">
        <v>4.4999999999999997E-3</v>
      </c>
      <c r="E44" s="214">
        <v>1724153.39</v>
      </c>
      <c r="F44" s="98">
        <f>750500+750000+28259+29121+48822</f>
        <v>1606702</v>
      </c>
      <c r="G44" s="61">
        <f t="shared" si="0"/>
        <v>117451.3899999999</v>
      </c>
      <c r="H44" s="21">
        <f t="shared" si="11"/>
        <v>3625.7244092999972</v>
      </c>
      <c r="I44" s="22">
        <f t="shared" si="18"/>
        <v>363041.83763999998</v>
      </c>
      <c r="J44" s="22">
        <f t="shared" si="13"/>
        <v>0</v>
      </c>
      <c r="K44" s="22">
        <f t="shared" si="7"/>
        <v>185936.29261027643</v>
      </c>
      <c r="L44" s="22">
        <f t="shared" si="8"/>
        <v>202702.7028</v>
      </c>
      <c r="M44" s="74">
        <v>0</v>
      </c>
      <c r="N44" s="74">
        <v>0</v>
      </c>
      <c r="O44" s="88"/>
      <c r="P44" s="413">
        <f t="shared" si="14"/>
        <v>872758.39</v>
      </c>
      <c r="Q44" s="413"/>
      <c r="R44" s="363">
        <f t="shared" si="15"/>
        <v>899229.39</v>
      </c>
      <c r="S44" s="13">
        <f t="shared" si="16"/>
        <v>0.39</v>
      </c>
      <c r="T44" s="1">
        <f t="shared" si="17"/>
        <v>39</v>
      </c>
      <c r="U44" t="s">
        <v>226</v>
      </c>
    </row>
    <row r="45" spans="1:21" ht="24.95" customHeight="1" x14ac:dyDescent="0.25">
      <c r="A45" s="16">
        <v>6</v>
      </c>
      <c r="B45" s="16">
        <v>40</v>
      </c>
      <c r="C45" s="16" t="s">
        <v>57</v>
      </c>
      <c r="D45" s="80">
        <v>4.4999999999999997E-3</v>
      </c>
      <c r="E45" s="214">
        <v>761227.4</v>
      </c>
      <c r="F45" s="98">
        <v>784315.4</v>
      </c>
      <c r="G45" s="61">
        <f t="shared" si="0"/>
        <v>-23088</v>
      </c>
      <c r="H45" s="21">
        <f t="shared" si="11"/>
        <v>0</v>
      </c>
      <c r="I45" s="22">
        <f t="shared" si="18"/>
        <v>363041.83763999998</v>
      </c>
      <c r="J45" s="22">
        <f t="shared" si="13"/>
        <v>0</v>
      </c>
      <c r="K45" s="22">
        <f t="shared" si="7"/>
        <v>185936.29261027643</v>
      </c>
      <c r="L45" s="22">
        <f t="shared" si="8"/>
        <v>202702.7028</v>
      </c>
      <c r="M45" s="74">
        <v>0</v>
      </c>
      <c r="N45" s="74">
        <v>0</v>
      </c>
      <c r="O45" s="88"/>
      <c r="P45" s="413">
        <f t="shared" si="14"/>
        <v>728593.4</v>
      </c>
      <c r="Q45" s="413"/>
      <c r="R45" s="363">
        <f t="shared" si="15"/>
        <v>750692.4</v>
      </c>
      <c r="S45" s="13">
        <f t="shared" si="16"/>
        <v>0.4</v>
      </c>
      <c r="T45" s="1">
        <f t="shared" si="17"/>
        <v>40</v>
      </c>
    </row>
    <row r="46" spans="1:21" ht="24.95" customHeight="1" x14ac:dyDescent="0.25">
      <c r="A46" s="16">
        <v>7</v>
      </c>
      <c r="B46" s="16">
        <v>41</v>
      </c>
      <c r="C46" s="16" t="s">
        <v>58</v>
      </c>
      <c r="D46" s="80">
        <v>4.4999999999999997E-3</v>
      </c>
      <c r="E46" s="214">
        <v>751681.41</v>
      </c>
      <c r="F46" s="98">
        <v>774480.41</v>
      </c>
      <c r="G46" s="61">
        <f t="shared" si="0"/>
        <v>-22799</v>
      </c>
      <c r="H46" s="21">
        <f t="shared" si="11"/>
        <v>0</v>
      </c>
      <c r="I46" s="22">
        <f t="shared" si="18"/>
        <v>363041.83763999998</v>
      </c>
      <c r="J46" s="22">
        <f t="shared" si="13"/>
        <v>0</v>
      </c>
      <c r="K46" s="22">
        <f t="shared" si="7"/>
        <v>185936.29261027643</v>
      </c>
      <c r="L46" s="22">
        <f t="shared" si="8"/>
        <v>202702.7028</v>
      </c>
      <c r="M46" s="74">
        <v>0</v>
      </c>
      <c r="N46" s="74">
        <v>0</v>
      </c>
      <c r="O46" s="88"/>
      <c r="P46" s="413">
        <f t="shared" si="14"/>
        <v>728882.41</v>
      </c>
      <c r="Q46" s="413"/>
      <c r="R46" s="363">
        <f t="shared" si="15"/>
        <v>750989.41</v>
      </c>
      <c r="S46" s="13">
        <f t="shared" si="16"/>
        <v>0.41</v>
      </c>
      <c r="T46" s="1">
        <f t="shared" si="17"/>
        <v>41</v>
      </c>
      <c r="U46" s="65" t="s">
        <v>219</v>
      </c>
    </row>
    <row r="47" spans="1:21" ht="24.95" customHeight="1" x14ac:dyDescent="0.25">
      <c r="A47" s="16">
        <v>8</v>
      </c>
      <c r="B47" s="16">
        <v>42</v>
      </c>
      <c r="C47" s="16" t="s">
        <v>59</v>
      </c>
      <c r="D47" s="80">
        <v>4.4999999999999997E-3</v>
      </c>
      <c r="E47" s="214">
        <v>751681.42</v>
      </c>
      <c r="F47" s="98">
        <v>774480.42</v>
      </c>
      <c r="G47" s="61">
        <f t="shared" si="0"/>
        <v>-22799</v>
      </c>
      <c r="H47" s="21">
        <f t="shared" si="11"/>
        <v>0</v>
      </c>
      <c r="I47" s="22">
        <f t="shared" si="18"/>
        <v>363041.83763999998</v>
      </c>
      <c r="J47" s="22">
        <f t="shared" si="13"/>
        <v>0</v>
      </c>
      <c r="K47" s="22">
        <f t="shared" si="7"/>
        <v>185936.29261027643</v>
      </c>
      <c r="L47" s="22">
        <f t="shared" si="8"/>
        <v>202702.7028</v>
      </c>
      <c r="M47" s="74">
        <v>0</v>
      </c>
      <c r="N47" s="74">
        <v>0</v>
      </c>
      <c r="O47" s="88"/>
      <c r="P47" s="413">
        <f t="shared" si="14"/>
        <v>728882.42</v>
      </c>
      <c r="Q47" s="413"/>
      <c r="R47" s="363">
        <f t="shared" si="15"/>
        <v>750989.42</v>
      </c>
      <c r="S47" s="13">
        <f t="shared" si="16"/>
        <v>0.42</v>
      </c>
      <c r="T47" s="1">
        <f t="shared" si="17"/>
        <v>42</v>
      </c>
      <c r="U47" t="s">
        <v>284</v>
      </c>
    </row>
    <row r="48" spans="1:21" ht="24.95" customHeight="1" x14ac:dyDescent="0.25">
      <c r="A48" s="16">
        <v>1</v>
      </c>
      <c r="B48" s="16">
        <v>43</v>
      </c>
      <c r="C48" s="16" t="s">
        <v>60</v>
      </c>
      <c r="D48" s="80">
        <v>3.5999999999999999E-3</v>
      </c>
      <c r="E48" s="214">
        <v>679072.43</v>
      </c>
      <c r="F48" s="98">
        <f>E48</f>
        <v>679072.43</v>
      </c>
      <c r="G48" s="61">
        <f t="shared" si="0"/>
        <v>0</v>
      </c>
      <c r="H48" s="21">
        <f t="shared" si="11"/>
        <v>0</v>
      </c>
      <c r="I48" s="22">
        <f t="shared" si="18"/>
        <v>290433.47011200001</v>
      </c>
      <c r="J48" s="22">
        <f t="shared" si="13"/>
        <v>0</v>
      </c>
      <c r="K48" s="22">
        <f t="shared" si="7"/>
        <v>185936.29261027643</v>
      </c>
      <c r="L48" s="22">
        <f t="shared" si="8"/>
        <v>202702.7028</v>
      </c>
      <c r="M48" s="74">
        <v>0</v>
      </c>
      <c r="N48" s="74">
        <v>0</v>
      </c>
      <c r="O48" s="88"/>
      <c r="P48" s="413">
        <f t="shared" si="14"/>
        <v>679072.43</v>
      </c>
      <c r="Q48" s="413"/>
      <c r="R48" s="363">
        <f t="shared" si="15"/>
        <v>699669.43</v>
      </c>
      <c r="S48" s="13">
        <f t="shared" si="16"/>
        <v>0.43</v>
      </c>
      <c r="T48" s="1">
        <f t="shared" si="17"/>
        <v>43</v>
      </c>
    </row>
    <row r="49" spans="1:21" ht="24.95" customHeight="1" x14ac:dyDescent="0.25">
      <c r="A49" s="16">
        <v>1</v>
      </c>
      <c r="B49" s="16">
        <v>44</v>
      </c>
      <c r="C49" s="16" t="s">
        <v>61</v>
      </c>
      <c r="D49" s="80">
        <v>4.1000000000000003E-3</v>
      </c>
      <c r="E49" s="214">
        <v>2171209.44</v>
      </c>
      <c r="F49" s="98">
        <v>2000000</v>
      </c>
      <c r="G49" s="61">
        <f t="shared" si="0"/>
        <v>171209.43999999994</v>
      </c>
      <c r="H49" s="21">
        <f t="shared" si="11"/>
        <v>5285.2354127999988</v>
      </c>
      <c r="I49" s="22">
        <f t="shared" si="18"/>
        <v>330771.45207200001</v>
      </c>
      <c r="J49" s="22">
        <f t="shared" si="13"/>
        <v>0</v>
      </c>
      <c r="K49" s="22">
        <f t="shared" si="7"/>
        <v>185936.29261027643</v>
      </c>
      <c r="L49" s="22">
        <f t="shared" si="8"/>
        <v>202702.7028</v>
      </c>
      <c r="M49" s="74">
        <v>0</v>
      </c>
      <c r="N49" s="74">
        <v>0</v>
      </c>
      <c r="O49" s="88"/>
      <c r="P49" s="413">
        <f t="shared" si="14"/>
        <v>895905.44</v>
      </c>
      <c r="Q49" s="413"/>
      <c r="R49" s="363">
        <f t="shared" si="15"/>
        <v>923078.44</v>
      </c>
      <c r="S49" s="13">
        <f t="shared" si="16"/>
        <v>0.44</v>
      </c>
      <c r="T49" s="1">
        <f t="shared" si="17"/>
        <v>44</v>
      </c>
      <c r="U49" t="s">
        <v>307</v>
      </c>
    </row>
    <row r="50" spans="1:21" ht="24.95" customHeight="1" x14ac:dyDescent="0.25">
      <c r="A50" s="16">
        <v>2</v>
      </c>
      <c r="B50" s="16">
        <v>45</v>
      </c>
      <c r="C50" s="16" t="s">
        <v>62</v>
      </c>
      <c r="D50" s="80">
        <v>4.8999999999999998E-3</v>
      </c>
      <c r="E50" s="214">
        <v>783951.45</v>
      </c>
      <c r="F50" s="98"/>
      <c r="G50" s="61">
        <f t="shared" si="0"/>
        <v>783951.45</v>
      </c>
      <c r="H50" s="21">
        <f t="shared" si="11"/>
        <v>24200.5812615</v>
      </c>
      <c r="I50" s="22">
        <f t="shared" si="18"/>
        <v>395312.22320800001</v>
      </c>
      <c r="J50" s="22">
        <f t="shared" si="13"/>
        <v>0</v>
      </c>
      <c r="K50" s="22">
        <f t="shared" si="7"/>
        <v>185936.29261027643</v>
      </c>
      <c r="L50" s="22">
        <f t="shared" si="8"/>
        <v>202702.7028</v>
      </c>
      <c r="M50" s="74">
        <v>0</v>
      </c>
      <c r="N50" s="74">
        <f>I50</f>
        <v>395312.22320800001</v>
      </c>
      <c r="O50" s="88"/>
      <c r="P50" s="413">
        <f t="shared" si="14"/>
        <v>1987415.45</v>
      </c>
      <c r="Q50" s="413"/>
      <c r="R50" s="363">
        <f t="shared" si="15"/>
        <v>2047694.45</v>
      </c>
      <c r="S50" s="13">
        <f t="shared" si="16"/>
        <v>0.45</v>
      </c>
      <c r="T50" s="1">
        <f t="shared" si="17"/>
        <v>45</v>
      </c>
    </row>
    <row r="51" spans="1:21" ht="24.95" customHeight="1" x14ac:dyDescent="0.25">
      <c r="A51" s="16">
        <v>2</v>
      </c>
      <c r="B51" s="16">
        <v>46</v>
      </c>
      <c r="C51" s="16" t="s">
        <v>63</v>
      </c>
      <c r="D51" s="80">
        <v>3.8999999999999998E-3</v>
      </c>
      <c r="E51" s="214">
        <v>1451802.46</v>
      </c>
      <c r="F51" s="98">
        <v>726112.46</v>
      </c>
      <c r="G51" s="61">
        <f t="shared" si="0"/>
        <v>725690</v>
      </c>
      <c r="H51" s="21">
        <f t="shared" si="11"/>
        <v>22402.050300000003</v>
      </c>
      <c r="I51" s="22">
        <f t="shared" si="18"/>
        <v>314636.259288</v>
      </c>
      <c r="J51" s="22">
        <f t="shared" si="13"/>
        <v>0</v>
      </c>
      <c r="K51" s="22">
        <f t="shared" si="7"/>
        <v>185936.29261027643</v>
      </c>
      <c r="L51" s="22">
        <f t="shared" si="8"/>
        <v>202702.7028</v>
      </c>
      <c r="M51" s="74">
        <v>0</v>
      </c>
      <c r="N51" s="74">
        <v>0</v>
      </c>
      <c r="O51" s="88"/>
      <c r="P51" s="413">
        <f t="shared" si="14"/>
        <v>1451367.46</v>
      </c>
      <c r="Q51" s="413"/>
      <c r="R51" s="363">
        <f t="shared" si="15"/>
        <v>1495387.46</v>
      </c>
      <c r="S51" s="13">
        <f t="shared" si="16"/>
        <v>0.46</v>
      </c>
      <c r="T51" s="1">
        <f t="shared" si="17"/>
        <v>46</v>
      </c>
      <c r="U51" t="s">
        <v>193</v>
      </c>
    </row>
    <row r="52" spans="1:21" ht="24.95" customHeight="1" x14ac:dyDescent="0.25">
      <c r="A52" s="16">
        <v>3</v>
      </c>
      <c r="B52" s="16">
        <v>47</v>
      </c>
      <c r="C52" s="16" t="s">
        <v>64</v>
      </c>
      <c r="D52" s="80">
        <v>4.4999999999999997E-3</v>
      </c>
      <c r="E52" s="214">
        <v>2334438.4700000002</v>
      </c>
      <c r="F52" s="98"/>
      <c r="G52" s="61">
        <f t="shared" si="0"/>
        <v>2334438.4700000002</v>
      </c>
      <c r="H52" s="21">
        <f t="shared" si="11"/>
        <v>72064.115568900015</v>
      </c>
      <c r="I52" s="22">
        <f t="shared" si="18"/>
        <v>363041.83763999998</v>
      </c>
      <c r="J52" s="22">
        <f t="shared" si="13"/>
        <v>0</v>
      </c>
      <c r="K52" s="22">
        <f t="shared" si="7"/>
        <v>185936.29261027643</v>
      </c>
      <c r="L52" s="22">
        <f t="shared" si="8"/>
        <v>202702.7028</v>
      </c>
      <c r="M52" s="74">
        <v>0</v>
      </c>
      <c r="N52" s="74">
        <v>0</v>
      </c>
      <c r="O52" s="88"/>
      <c r="P52" s="413">
        <f t="shared" si="14"/>
        <v>3158183.47</v>
      </c>
      <c r="Q52" s="413"/>
      <c r="R52" s="363">
        <f t="shared" si="15"/>
        <v>3253971.47</v>
      </c>
      <c r="S52" s="13">
        <f t="shared" si="16"/>
        <v>0.47</v>
      </c>
      <c r="T52" s="1">
        <f t="shared" si="17"/>
        <v>47</v>
      </c>
      <c r="U52" t="s">
        <v>310</v>
      </c>
    </row>
    <row r="53" spans="1:21" ht="24.95" customHeight="1" x14ac:dyDescent="0.25">
      <c r="A53" s="16">
        <v>3</v>
      </c>
      <c r="B53" s="16">
        <v>48</v>
      </c>
      <c r="C53" s="16" t="s">
        <v>188</v>
      </c>
      <c r="D53" s="80">
        <v>4.4999999999999997E-3</v>
      </c>
      <c r="E53" s="214">
        <v>-97796.52</v>
      </c>
      <c r="F53" s="98">
        <v>0</v>
      </c>
      <c r="G53" s="61">
        <f t="shared" si="0"/>
        <v>-97796.52</v>
      </c>
      <c r="H53" s="21">
        <f t="shared" si="11"/>
        <v>0</v>
      </c>
      <c r="I53" s="22">
        <f t="shared" si="18"/>
        <v>363041.83763999998</v>
      </c>
      <c r="J53" s="22">
        <f t="shared" si="13"/>
        <v>0</v>
      </c>
      <c r="K53" s="22">
        <f t="shared" si="7"/>
        <v>185936.29261027643</v>
      </c>
      <c r="L53" s="22">
        <f t="shared" si="8"/>
        <v>202702.7028</v>
      </c>
      <c r="M53" s="74">
        <v>0</v>
      </c>
      <c r="N53" s="74">
        <f>(I53)</f>
        <v>363041.83763999998</v>
      </c>
      <c r="O53" s="367">
        <f>I53*0.1</f>
        <v>36304.183764000001</v>
      </c>
      <c r="P53" s="413">
        <f t="shared" si="14"/>
        <v>1053230.48</v>
      </c>
      <c r="Q53" s="413"/>
      <c r="R53" s="363">
        <f t="shared" si="15"/>
        <v>1085175.48</v>
      </c>
      <c r="S53" s="13">
        <f t="shared" si="16"/>
        <v>0.48</v>
      </c>
      <c r="T53" s="1">
        <f t="shared" si="17"/>
        <v>48</v>
      </c>
      <c r="U53" s="12"/>
    </row>
    <row r="54" spans="1:21" ht="24.95" customHeight="1" x14ac:dyDescent="0.25">
      <c r="A54" s="16">
        <v>4</v>
      </c>
      <c r="B54" s="16">
        <v>49</v>
      </c>
      <c r="C54" s="16" t="s">
        <v>65</v>
      </c>
      <c r="D54" s="80">
        <v>4.4999999999999997E-3</v>
      </c>
      <c r="E54" s="214">
        <v>751681.49</v>
      </c>
      <c r="F54" s="98">
        <v>774480.49</v>
      </c>
      <c r="G54" s="61">
        <f t="shared" si="0"/>
        <v>-22799</v>
      </c>
      <c r="H54" s="21">
        <f t="shared" si="11"/>
        <v>0</v>
      </c>
      <c r="I54" s="22">
        <f t="shared" si="18"/>
        <v>363041.83763999998</v>
      </c>
      <c r="J54" s="22">
        <f t="shared" si="13"/>
        <v>0</v>
      </c>
      <c r="K54" s="22">
        <f t="shared" si="7"/>
        <v>185936.29261027643</v>
      </c>
      <c r="L54" s="22">
        <f t="shared" si="8"/>
        <v>202702.7028</v>
      </c>
      <c r="M54" s="74">
        <v>0</v>
      </c>
      <c r="N54" s="74">
        <v>0</v>
      </c>
      <c r="O54" s="88"/>
      <c r="P54" s="413">
        <f t="shared" si="14"/>
        <v>728882.49</v>
      </c>
      <c r="Q54" s="413"/>
      <c r="R54" s="363">
        <f t="shared" si="15"/>
        <v>750989.49</v>
      </c>
      <c r="S54" s="13">
        <f t="shared" si="16"/>
        <v>0.49</v>
      </c>
      <c r="T54" s="1">
        <f t="shared" si="17"/>
        <v>49</v>
      </c>
      <c r="U54" t="s">
        <v>209</v>
      </c>
    </row>
    <row r="55" spans="1:21" ht="24.95" customHeight="1" x14ac:dyDescent="0.25">
      <c r="A55" s="16">
        <v>4</v>
      </c>
      <c r="B55" s="16">
        <v>50</v>
      </c>
      <c r="C55" s="16" t="s">
        <v>66</v>
      </c>
      <c r="D55" s="80">
        <v>4.4999999999999997E-3</v>
      </c>
      <c r="E55" s="214">
        <v>751681.5</v>
      </c>
      <c r="F55" s="98">
        <v>774480</v>
      </c>
      <c r="G55" s="61">
        <f t="shared" si="0"/>
        <v>-22798.5</v>
      </c>
      <c r="H55" s="21">
        <f t="shared" si="11"/>
        <v>0</v>
      </c>
      <c r="I55" s="22">
        <f t="shared" si="18"/>
        <v>363041.83763999998</v>
      </c>
      <c r="J55" s="22">
        <f t="shared" si="13"/>
        <v>0</v>
      </c>
      <c r="K55" s="22">
        <f t="shared" si="7"/>
        <v>185936.29261027643</v>
      </c>
      <c r="L55" s="22">
        <f t="shared" si="8"/>
        <v>202702.7028</v>
      </c>
      <c r="M55" s="74">
        <v>0</v>
      </c>
      <c r="N55" s="74">
        <v>0</v>
      </c>
      <c r="O55" s="88"/>
      <c r="P55" s="413">
        <f t="shared" si="14"/>
        <v>728882.5</v>
      </c>
      <c r="Q55" s="413"/>
      <c r="R55" s="363">
        <f t="shared" si="15"/>
        <v>750990.5</v>
      </c>
      <c r="S55" s="13">
        <f t="shared" si="16"/>
        <v>0.5</v>
      </c>
      <c r="T55" s="1">
        <f t="shared" si="17"/>
        <v>50</v>
      </c>
      <c r="U55" t="s">
        <v>313</v>
      </c>
    </row>
    <row r="56" spans="1:21" ht="24.95" customHeight="1" x14ac:dyDescent="0.25">
      <c r="A56" s="16">
        <v>5</v>
      </c>
      <c r="B56" s="16">
        <v>51</v>
      </c>
      <c r="C56" s="16" t="s">
        <v>67</v>
      </c>
      <c r="D56" s="80">
        <v>4.4999999999999997E-3</v>
      </c>
      <c r="E56" s="214">
        <v>1026170.51</v>
      </c>
      <c r="F56" s="98"/>
      <c r="G56" s="61">
        <f t="shared" si="0"/>
        <v>1026170.51</v>
      </c>
      <c r="H56" s="21">
        <f t="shared" si="11"/>
        <v>31677.883643700003</v>
      </c>
      <c r="I56" s="22">
        <f t="shared" si="18"/>
        <v>363041.83763999998</v>
      </c>
      <c r="J56" s="22">
        <f t="shared" si="13"/>
        <v>0</v>
      </c>
      <c r="K56" s="22">
        <f t="shared" si="7"/>
        <v>185936.29261027643</v>
      </c>
      <c r="L56" s="22">
        <f t="shared" si="8"/>
        <v>202702.7028</v>
      </c>
      <c r="M56" s="74">
        <v>0</v>
      </c>
      <c r="N56" s="74">
        <f>(I56)</f>
        <v>363041.83763999998</v>
      </c>
      <c r="O56" s="88"/>
      <c r="P56" s="413">
        <f t="shared" si="14"/>
        <v>2172571.5099999998</v>
      </c>
      <c r="Q56" s="413"/>
      <c r="R56" s="363">
        <f t="shared" si="15"/>
        <v>2238466.5099999998</v>
      </c>
      <c r="S56" s="13">
        <f t="shared" si="16"/>
        <v>0.51</v>
      </c>
      <c r="T56" s="1">
        <f t="shared" si="17"/>
        <v>51</v>
      </c>
      <c r="U56" t="s">
        <v>253</v>
      </c>
    </row>
    <row r="57" spans="1:21" ht="24.95" customHeight="1" x14ac:dyDescent="0.25">
      <c r="A57" s="16">
        <v>5</v>
      </c>
      <c r="B57" s="16">
        <v>52</v>
      </c>
      <c r="C57" s="16" t="s">
        <v>68</v>
      </c>
      <c r="D57" s="80">
        <v>4.5999999999999999E-3</v>
      </c>
      <c r="E57" s="214">
        <v>1542951.52</v>
      </c>
      <c r="F57" s="98">
        <f>815269.03+774480.49</f>
        <v>1589749.52</v>
      </c>
      <c r="G57" s="62">
        <f t="shared" si="0"/>
        <v>-46798</v>
      </c>
      <c r="H57" s="21">
        <f t="shared" si="11"/>
        <v>0</v>
      </c>
      <c r="I57" s="22">
        <f t="shared" si="18"/>
        <v>371109.43403200002</v>
      </c>
      <c r="J57" s="22">
        <f t="shared" si="13"/>
        <v>0</v>
      </c>
      <c r="K57" s="22">
        <f t="shared" si="7"/>
        <v>185936.29261027643</v>
      </c>
      <c r="L57" s="22">
        <f t="shared" si="8"/>
        <v>202702.7028</v>
      </c>
      <c r="M57" s="74">
        <v>0</v>
      </c>
      <c r="N57" s="74">
        <v>0</v>
      </c>
      <c r="O57" s="88"/>
      <c r="P57" s="413">
        <f t="shared" si="14"/>
        <v>712950.52</v>
      </c>
      <c r="Q57" s="413"/>
      <c r="R57" s="363">
        <f t="shared" si="15"/>
        <v>734574.52</v>
      </c>
      <c r="S57" s="13">
        <f t="shared" si="16"/>
        <v>0.52</v>
      </c>
      <c r="T57" s="1">
        <f t="shared" si="17"/>
        <v>52</v>
      </c>
      <c r="U57" t="s">
        <v>334</v>
      </c>
    </row>
    <row r="58" spans="1:21" ht="24.95" customHeight="1" x14ac:dyDescent="0.25">
      <c r="A58" s="16">
        <v>6</v>
      </c>
      <c r="B58" s="16">
        <v>53</v>
      </c>
      <c r="C58" s="16" t="s">
        <v>69</v>
      </c>
      <c r="D58" s="80">
        <v>4.4999999999999997E-3</v>
      </c>
      <c r="E58" s="214">
        <v>2568956.5299999998</v>
      </c>
      <c r="F58" s="98"/>
      <c r="G58" s="61">
        <f t="shared" si="0"/>
        <v>2568956.5299999998</v>
      </c>
      <c r="H58" s="21">
        <f t="shared" si="11"/>
        <v>79303.688081100001</v>
      </c>
      <c r="I58" s="22">
        <f t="shared" si="18"/>
        <v>363041.83763999998</v>
      </c>
      <c r="J58" s="22">
        <f t="shared" si="13"/>
        <v>0</v>
      </c>
      <c r="K58" s="22">
        <f t="shared" si="7"/>
        <v>185936.29261027643</v>
      </c>
      <c r="L58" s="22">
        <f t="shared" si="8"/>
        <v>202702.7028</v>
      </c>
      <c r="M58" s="74">
        <v>0</v>
      </c>
      <c r="N58" s="74">
        <v>0</v>
      </c>
      <c r="O58" s="88"/>
      <c r="P58" s="413">
        <f t="shared" si="14"/>
        <v>3399941.53</v>
      </c>
      <c r="Q58" s="413"/>
      <c r="R58" s="363">
        <f t="shared" si="15"/>
        <v>3503062.53</v>
      </c>
      <c r="S58" s="13">
        <f t="shared" si="16"/>
        <v>0.53</v>
      </c>
      <c r="T58" s="1">
        <f t="shared" si="17"/>
        <v>53</v>
      </c>
    </row>
    <row r="59" spans="1:21" ht="24.95" customHeight="1" x14ac:dyDescent="0.25">
      <c r="A59" s="16">
        <v>6</v>
      </c>
      <c r="B59" s="16">
        <v>54</v>
      </c>
      <c r="C59" s="16" t="s">
        <v>70</v>
      </c>
      <c r="D59" s="80">
        <v>4.4999999999999997E-3</v>
      </c>
      <c r="E59" s="214">
        <v>751681.54</v>
      </c>
      <c r="F59" s="98">
        <f>E59</f>
        <v>751681.54</v>
      </c>
      <c r="G59" s="61">
        <f t="shared" si="0"/>
        <v>0</v>
      </c>
      <c r="H59" s="21">
        <f t="shared" si="11"/>
        <v>0</v>
      </c>
      <c r="I59" s="22">
        <f t="shared" si="18"/>
        <v>363041.83763999998</v>
      </c>
      <c r="J59" s="22">
        <f t="shared" si="13"/>
        <v>0</v>
      </c>
      <c r="K59" s="22">
        <f t="shared" si="7"/>
        <v>185936.29261027643</v>
      </c>
      <c r="L59" s="22">
        <f t="shared" si="8"/>
        <v>202702.7028</v>
      </c>
      <c r="M59" s="74">
        <v>0</v>
      </c>
      <c r="N59" s="74">
        <v>0</v>
      </c>
      <c r="O59" s="88"/>
      <c r="P59" s="413">
        <f t="shared" si="14"/>
        <v>751681.54</v>
      </c>
      <c r="Q59" s="413"/>
      <c r="R59" s="363">
        <f t="shared" si="15"/>
        <v>774480.54</v>
      </c>
      <c r="S59" s="13">
        <f t="shared" si="16"/>
        <v>0.54</v>
      </c>
      <c r="T59" s="1">
        <f t="shared" si="17"/>
        <v>54</v>
      </c>
      <c r="U59" t="s">
        <v>207</v>
      </c>
    </row>
    <row r="60" spans="1:21" ht="24.95" customHeight="1" x14ac:dyDescent="0.25">
      <c r="A60" s="16">
        <v>7</v>
      </c>
      <c r="B60" s="16">
        <v>55</v>
      </c>
      <c r="C60" s="16" t="s">
        <v>71</v>
      </c>
      <c r="D60" s="80">
        <v>4.4999999999999997E-3</v>
      </c>
      <c r="E60" s="214">
        <v>751681.55</v>
      </c>
      <c r="F60" s="215">
        <v>774480.55</v>
      </c>
      <c r="G60" s="61">
        <f t="shared" si="0"/>
        <v>-22799</v>
      </c>
      <c r="H60" s="21">
        <f t="shared" si="11"/>
        <v>0</v>
      </c>
      <c r="I60" s="22">
        <f t="shared" si="18"/>
        <v>363041.83763999998</v>
      </c>
      <c r="J60" s="22">
        <f t="shared" si="13"/>
        <v>0</v>
      </c>
      <c r="K60" s="22">
        <f t="shared" si="7"/>
        <v>185936.29261027643</v>
      </c>
      <c r="L60" s="22">
        <f t="shared" si="8"/>
        <v>202702.7028</v>
      </c>
      <c r="M60" s="74">
        <v>0</v>
      </c>
      <c r="N60" s="74">
        <v>0</v>
      </c>
      <c r="O60" s="88"/>
      <c r="P60" s="413">
        <f t="shared" si="14"/>
        <v>728882.55</v>
      </c>
      <c r="Q60" s="413"/>
      <c r="R60" s="363">
        <f t="shared" si="15"/>
        <v>750990.55</v>
      </c>
      <c r="S60" s="13">
        <f t="shared" si="16"/>
        <v>0.55000000000000004</v>
      </c>
      <c r="T60" s="1">
        <f t="shared" si="17"/>
        <v>55</v>
      </c>
      <c r="U60" t="s">
        <v>268</v>
      </c>
    </row>
    <row r="61" spans="1:21" ht="24.95" customHeight="1" x14ac:dyDescent="0.25">
      <c r="A61" s="16">
        <v>7</v>
      </c>
      <c r="B61" s="16">
        <v>56</v>
      </c>
      <c r="C61" s="16" t="s">
        <v>72</v>
      </c>
      <c r="D61" s="80">
        <v>4.4999999999999997E-3</v>
      </c>
      <c r="E61" s="214">
        <v>1135082.56</v>
      </c>
      <c r="F61" s="98">
        <v>1169510.56</v>
      </c>
      <c r="G61" s="61">
        <f t="shared" si="0"/>
        <v>-34428</v>
      </c>
      <c r="H61" s="21">
        <f t="shared" si="11"/>
        <v>0</v>
      </c>
      <c r="I61" s="22">
        <f t="shared" si="18"/>
        <v>363041.83763999998</v>
      </c>
      <c r="J61" s="22">
        <f t="shared" si="13"/>
        <v>0</v>
      </c>
      <c r="K61" s="22">
        <f t="shared" si="7"/>
        <v>185936.29261027643</v>
      </c>
      <c r="L61" s="22">
        <f t="shared" si="8"/>
        <v>202702.7028</v>
      </c>
      <c r="M61" s="74">
        <v>0</v>
      </c>
      <c r="N61" s="74">
        <f>(I61)</f>
        <v>363041.83763999998</v>
      </c>
      <c r="O61" s="366">
        <f>(I61*0.1)*2</f>
        <v>72608.367528000002</v>
      </c>
      <c r="P61" s="413">
        <f t="shared" si="14"/>
        <v>1152903.56</v>
      </c>
      <c r="Q61" s="413"/>
      <c r="R61" s="363">
        <f t="shared" si="15"/>
        <v>1187871.56</v>
      </c>
      <c r="S61" s="13">
        <f t="shared" si="16"/>
        <v>0.56000000000000005</v>
      </c>
      <c r="T61" s="1">
        <f t="shared" si="17"/>
        <v>56</v>
      </c>
      <c r="U61" t="s">
        <v>197</v>
      </c>
    </row>
    <row r="62" spans="1:21" ht="24.95" customHeight="1" x14ac:dyDescent="0.25">
      <c r="A62" s="16">
        <v>8</v>
      </c>
      <c r="B62" s="16">
        <v>57</v>
      </c>
      <c r="C62" s="16" t="s">
        <v>73</v>
      </c>
      <c r="D62" s="80">
        <v>4.4999999999999997E-3</v>
      </c>
      <c r="E62" s="214">
        <v>751681.57</v>
      </c>
      <c r="F62" s="98"/>
      <c r="G62" s="61">
        <f t="shared" si="0"/>
        <v>751681.57</v>
      </c>
      <c r="H62" s="21">
        <f t="shared" si="11"/>
        <v>23204.4100659</v>
      </c>
      <c r="I62" s="22">
        <f t="shared" si="18"/>
        <v>363041.83763999998</v>
      </c>
      <c r="J62" s="22">
        <f t="shared" si="13"/>
        <v>0</v>
      </c>
      <c r="K62" s="22">
        <f t="shared" si="7"/>
        <v>185936.29261027643</v>
      </c>
      <c r="L62" s="22">
        <f t="shared" si="8"/>
        <v>202702.7028</v>
      </c>
      <c r="M62" s="74">
        <v>0</v>
      </c>
      <c r="N62" s="74">
        <v>0</v>
      </c>
      <c r="O62" s="88"/>
      <c r="P62" s="413">
        <f t="shared" si="14"/>
        <v>1526567.57</v>
      </c>
      <c r="Q62" s="413"/>
      <c r="R62" s="363">
        <f t="shared" si="15"/>
        <v>1572868.57</v>
      </c>
      <c r="S62" s="13">
        <f t="shared" si="16"/>
        <v>0.56999999999999995</v>
      </c>
      <c r="T62" s="1">
        <f t="shared" si="17"/>
        <v>57</v>
      </c>
    </row>
    <row r="63" spans="1:21" ht="24.95" customHeight="1" x14ac:dyDescent="0.25">
      <c r="A63" s="16">
        <v>8</v>
      </c>
      <c r="B63" s="16">
        <v>58</v>
      </c>
      <c r="C63" s="16" t="s">
        <v>43</v>
      </c>
      <c r="D63" s="80">
        <v>4.4999999999999997E-3</v>
      </c>
      <c r="E63" s="214">
        <v>751681.58</v>
      </c>
      <c r="F63" s="215">
        <v>774480.58</v>
      </c>
      <c r="G63" s="61">
        <f t="shared" si="0"/>
        <v>-22799</v>
      </c>
      <c r="H63" s="21">
        <f t="shared" si="11"/>
        <v>0</v>
      </c>
      <c r="I63" s="22">
        <f t="shared" si="18"/>
        <v>363041.83763999998</v>
      </c>
      <c r="J63" s="22">
        <f t="shared" si="13"/>
        <v>0</v>
      </c>
      <c r="K63" s="22">
        <f t="shared" si="7"/>
        <v>185936.29261027643</v>
      </c>
      <c r="L63" s="22">
        <f t="shared" si="8"/>
        <v>202702.7028</v>
      </c>
      <c r="M63" s="74">
        <v>0</v>
      </c>
      <c r="N63" s="74">
        <v>0</v>
      </c>
      <c r="O63" s="88"/>
      <c r="P63" s="413">
        <f t="shared" si="14"/>
        <v>728882.58</v>
      </c>
      <c r="Q63" s="413"/>
      <c r="R63" s="363">
        <f t="shared" si="15"/>
        <v>750990.58</v>
      </c>
      <c r="S63" s="13">
        <f t="shared" si="16"/>
        <v>0.57999999999999996</v>
      </c>
      <c r="T63" s="1">
        <f t="shared" si="17"/>
        <v>58</v>
      </c>
    </row>
    <row r="64" spans="1:21" ht="24.95" customHeight="1" x14ac:dyDescent="0.25">
      <c r="A64" s="255">
        <v>9</v>
      </c>
      <c r="B64" s="16">
        <v>59</v>
      </c>
      <c r="C64" s="16" t="s">
        <v>74</v>
      </c>
      <c r="D64" s="80">
        <v>4.1000000000000003E-3</v>
      </c>
      <c r="E64" s="214">
        <v>1452057.59</v>
      </c>
      <c r="F64" s="98">
        <v>1480000</v>
      </c>
      <c r="G64" s="61">
        <f t="shared" si="0"/>
        <v>-27942.409999999916</v>
      </c>
      <c r="H64" s="21">
        <f t="shared" si="11"/>
        <v>0</v>
      </c>
      <c r="I64" s="22">
        <f t="shared" si="18"/>
        <v>330771.45207200001</v>
      </c>
      <c r="J64" s="22">
        <f t="shared" si="13"/>
        <v>0</v>
      </c>
      <c r="K64" s="22">
        <f t="shared" si="7"/>
        <v>185936.29261027643</v>
      </c>
      <c r="L64" s="22">
        <f t="shared" si="8"/>
        <v>202702.7028</v>
      </c>
      <c r="M64" s="74">
        <v>0</v>
      </c>
      <c r="N64" s="74">
        <v>0</v>
      </c>
      <c r="O64" s="88"/>
      <c r="P64" s="413">
        <f t="shared" si="14"/>
        <v>691468.59</v>
      </c>
      <c r="Q64" s="413"/>
      <c r="R64" s="363">
        <f t="shared" si="15"/>
        <v>712441.59</v>
      </c>
      <c r="S64" s="13">
        <f t="shared" si="16"/>
        <v>0.59</v>
      </c>
      <c r="T64" s="1">
        <f t="shared" si="17"/>
        <v>59</v>
      </c>
      <c r="U64" t="s">
        <v>269</v>
      </c>
    </row>
    <row r="65" spans="1:21" ht="24.95" customHeight="1" x14ac:dyDescent="0.25">
      <c r="A65" s="178">
        <v>9</v>
      </c>
      <c r="B65" s="16">
        <v>60</v>
      </c>
      <c r="C65" s="16" t="s">
        <v>75</v>
      </c>
      <c r="D65" s="80">
        <v>4.4999999999999997E-3</v>
      </c>
      <c r="E65" s="214">
        <v>774146.61</v>
      </c>
      <c r="F65" s="98">
        <v>775000</v>
      </c>
      <c r="G65" s="61">
        <f>E65-F65</f>
        <v>-853.39000000001397</v>
      </c>
      <c r="H65" s="21">
        <f t="shared" si="11"/>
        <v>0</v>
      </c>
      <c r="I65" s="22">
        <f t="shared" si="18"/>
        <v>363041.83763999998</v>
      </c>
      <c r="J65" s="22">
        <f t="shared" si="13"/>
        <v>0</v>
      </c>
      <c r="K65" s="22">
        <f t="shared" si="7"/>
        <v>185936.29261027643</v>
      </c>
      <c r="L65" s="22">
        <f t="shared" si="8"/>
        <v>202702.7028</v>
      </c>
      <c r="M65" s="74">
        <v>0</v>
      </c>
      <c r="N65" s="74">
        <v>0</v>
      </c>
      <c r="O65" s="88"/>
      <c r="P65" s="413">
        <f t="shared" si="14"/>
        <v>750827.6</v>
      </c>
      <c r="Q65" s="413"/>
      <c r="R65" s="363">
        <f t="shared" si="15"/>
        <v>773600.6</v>
      </c>
      <c r="S65" s="13">
        <f t="shared" si="16"/>
        <v>0.6</v>
      </c>
      <c r="T65" s="1">
        <f t="shared" si="17"/>
        <v>60</v>
      </c>
      <c r="U65" t="s">
        <v>216</v>
      </c>
    </row>
    <row r="66" spans="1:21" ht="24.95" customHeight="1" x14ac:dyDescent="0.25">
      <c r="A66" s="181">
        <v>10</v>
      </c>
      <c r="B66" s="16">
        <v>61</v>
      </c>
      <c r="C66" s="16" t="s">
        <v>76</v>
      </c>
      <c r="D66" s="80">
        <v>4.4999999999999997E-3</v>
      </c>
      <c r="E66" s="214">
        <v>751357.61</v>
      </c>
      <c r="F66" s="98">
        <f>500000+252000</f>
        <v>752000</v>
      </c>
      <c r="G66" s="61">
        <f t="shared" si="0"/>
        <v>-642.39000000001397</v>
      </c>
      <c r="H66" s="21">
        <f t="shared" si="11"/>
        <v>0</v>
      </c>
      <c r="I66" s="22">
        <f t="shared" si="18"/>
        <v>363041.83763999998</v>
      </c>
      <c r="J66" s="22">
        <f t="shared" si="13"/>
        <v>0</v>
      </c>
      <c r="K66" s="22">
        <f t="shared" si="7"/>
        <v>185936.29261027643</v>
      </c>
      <c r="L66" s="22">
        <f t="shared" si="8"/>
        <v>202702.7028</v>
      </c>
      <c r="M66" s="74">
        <v>0</v>
      </c>
      <c r="N66" s="74">
        <v>0</v>
      </c>
      <c r="O66" s="88"/>
      <c r="P66" s="413">
        <f t="shared" si="14"/>
        <v>751038.61</v>
      </c>
      <c r="Q66" s="413"/>
      <c r="R66" s="363">
        <f t="shared" si="15"/>
        <v>773818.61</v>
      </c>
      <c r="S66" s="13">
        <f t="shared" si="16"/>
        <v>0.61</v>
      </c>
      <c r="T66" s="1">
        <f t="shared" si="17"/>
        <v>61</v>
      </c>
      <c r="U66" s="65" t="s">
        <v>215</v>
      </c>
    </row>
    <row r="67" spans="1:21" ht="24.95" customHeight="1" x14ac:dyDescent="0.25">
      <c r="A67" s="16">
        <v>10</v>
      </c>
      <c r="B67" s="16">
        <v>62</v>
      </c>
      <c r="C67" s="16" t="s">
        <v>77</v>
      </c>
      <c r="D67" s="80">
        <v>4.1000000000000003E-3</v>
      </c>
      <c r="E67" s="214">
        <v>977764.62</v>
      </c>
      <c r="F67" s="98">
        <f>1007420.62</f>
        <v>1007420.62</v>
      </c>
      <c r="G67" s="61">
        <f t="shared" si="0"/>
        <v>-29656</v>
      </c>
      <c r="H67" s="21">
        <f t="shared" si="11"/>
        <v>0</v>
      </c>
      <c r="I67" s="22">
        <f t="shared" si="18"/>
        <v>330771.45207200001</v>
      </c>
      <c r="J67" s="22">
        <f t="shared" si="13"/>
        <v>0</v>
      </c>
      <c r="K67" s="22">
        <f t="shared" si="7"/>
        <v>185936.29261027643</v>
      </c>
      <c r="L67" s="22">
        <f t="shared" si="8"/>
        <v>202702.7028</v>
      </c>
      <c r="M67" s="74">
        <v>0</v>
      </c>
      <c r="N67" s="74">
        <v>0</v>
      </c>
      <c r="O67" s="224">
        <f>I67/2</f>
        <v>165385.72603600001</v>
      </c>
      <c r="P67" s="413">
        <f t="shared" si="14"/>
        <v>855140.62</v>
      </c>
      <c r="Q67" s="413"/>
      <c r="R67" s="363">
        <f t="shared" si="15"/>
        <v>881077.62</v>
      </c>
      <c r="S67" s="13">
        <f t="shared" si="16"/>
        <v>0.62</v>
      </c>
      <c r="T67" s="1">
        <f t="shared" si="17"/>
        <v>62</v>
      </c>
    </row>
    <row r="68" spans="1:21" ht="24.95" customHeight="1" x14ac:dyDescent="0.25">
      <c r="A68" s="16">
        <v>11</v>
      </c>
      <c r="B68" s="16">
        <v>63</v>
      </c>
      <c r="C68" s="16" t="s">
        <v>78</v>
      </c>
      <c r="D68" s="80">
        <v>4.4999999999999997E-3</v>
      </c>
      <c r="E68" s="214">
        <v>751681.63</v>
      </c>
      <c r="F68" s="98">
        <f t="shared" ref="F68:F70" si="19">E68</f>
        <v>751681.63</v>
      </c>
      <c r="G68" s="61">
        <f>E68-F68</f>
        <v>0</v>
      </c>
      <c r="H68" s="21">
        <f t="shared" si="11"/>
        <v>0</v>
      </c>
      <c r="I68" s="22">
        <f t="shared" si="18"/>
        <v>363041.83763999998</v>
      </c>
      <c r="J68" s="22">
        <f t="shared" si="13"/>
        <v>0</v>
      </c>
      <c r="K68" s="22">
        <f t="shared" si="7"/>
        <v>185936.29261027643</v>
      </c>
      <c r="L68" s="22">
        <f t="shared" si="8"/>
        <v>202702.7028</v>
      </c>
      <c r="M68" s="74">
        <v>0</v>
      </c>
      <c r="N68" s="74">
        <v>0</v>
      </c>
      <c r="O68" s="88"/>
      <c r="P68" s="413">
        <f t="shared" si="14"/>
        <v>751681.63</v>
      </c>
      <c r="Q68" s="413"/>
      <c r="R68" s="363">
        <f t="shared" si="15"/>
        <v>774480.63</v>
      </c>
      <c r="S68" s="13">
        <f t="shared" si="16"/>
        <v>0.63</v>
      </c>
      <c r="T68" s="1">
        <f t="shared" si="17"/>
        <v>63</v>
      </c>
      <c r="U68" t="s">
        <v>200</v>
      </c>
    </row>
    <row r="69" spans="1:21" ht="24.95" customHeight="1" x14ac:dyDescent="0.25">
      <c r="A69" s="16">
        <v>11</v>
      </c>
      <c r="B69" s="16">
        <v>64</v>
      </c>
      <c r="C69" s="16" t="s">
        <v>79</v>
      </c>
      <c r="D69" s="80">
        <v>4.4999999999999997E-3</v>
      </c>
      <c r="E69" s="214">
        <v>1475023.64</v>
      </c>
      <c r="F69" s="98">
        <f>800000+719761.64</f>
        <v>1519761.6400000001</v>
      </c>
      <c r="G69" s="61">
        <f t="shared" si="0"/>
        <v>-44738.000000000233</v>
      </c>
      <c r="H69" s="21">
        <f t="shared" si="11"/>
        <v>0</v>
      </c>
      <c r="I69" s="22">
        <f t="shared" si="18"/>
        <v>363041.83763999998</v>
      </c>
      <c r="J69" s="22">
        <f t="shared" si="13"/>
        <v>0</v>
      </c>
      <c r="K69" s="22">
        <f t="shared" si="7"/>
        <v>185936.29261027643</v>
      </c>
      <c r="L69" s="22">
        <f t="shared" si="8"/>
        <v>202702.7028</v>
      </c>
      <c r="M69" s="74">
        <v>0</v>
      </c>
      <c r="N69" s="74">
        <v>0</v>
      </c>
      <c r="O69" s="88"/>
      <c r="P69" s="413">
        <f t="shared" si="14"/>
        <v>706943.64</v>
      </c>
      <c r="Q69" s="413"/>
      <c r="R69" s="363">
        <f t="shared" si="15"/>
        <v>728385.64</v>
      </c>
      <c r="S69" s="13">
        <f t="shared" si="16"/>
        <v>0.64</v>
      </c>
      <c r="T69" s="1">
        <f t="shared" si="17"/>
        <v>64</v>
      </c>
      <c r="U69" t="s">
        <v>228</v>
      </c>
    </row>
    <row r="70" spans="1:21" ht="24.95" customHeight="1" x14ac:dyDescent="0.25">
      <c r="A70" s="16">
        <v>12</v>
      </c>
      <c r="B70" s="16">
        <v>65</v>
      </c>
      <c r="C70" s="16" t="s">
        <v>80</v>
      </c>
      <c r="D70" s="80">
        <v>4.4999999999999997E-3</v>
      </c>
      <c r="E70" s="214">
        <v>751681.65</v>
      </c>
      <c r="F70" s="98">
        <f t="shared" si="19"/>
        <v>751681.65</v>
      </c>
      <c r="G70" s="61">
        <f t="shared" ref="G70:G158" si="20">E70-F70</f>
        <v>0</v>
      </c>
      <c r="H70" s="21">
        <f t="shared" si="11"/>
        <v>0</v>
      </c>
      <c r="I70" s="22">
        <f t="shared" si="18"/>
        <v>363041.83763999998</v>
      </c>
      <c r="J70" s="22">
        <f t="shared" ref="J70:J101" si="21">P$2*D70</f>
        <v>0</v>
      </c>
      <c r="K70" s="22">
        <f t="shared" si="7"/>
        <v>185936.29261027643</v>
      </c>
      <c r="L70" s="22">
        <f t="shared" si="8"/>
        <v>202702.7028</v>
      </c>
      <c r="M70" s="74">
        <v>0</v>
      </c>
      <c r="N70" s="74">
        <v>0</v>
      </c>
      <c r="O70" s="88"/>
      <c r="P70" s="413">
        <f t="shared" ref="P70:P101" si="22">ROUND(SUM(G70:O70),0) + S70</f>
        <v>751681.65</v>
      </c>
      <c r="Q70" s="413"/>
      <c r="R70" s="363">
        <f t="shared" ref="R70:R101" si="23">ROUND(P70+P70*3.033%,0) + S70</f>
        <v>774480.65</v>
      </c>
      <c r="S70" s="13">
        <f t="shared" ref="S70:S101" si="24">ROUND(0.001+B70/100,2)</f>
        <v>0.65</v>
      </c>
      <c r="T70" s="1">
        <f t="shared" ref="T70:T101" si="25">B70</f>
        <v>65</v>
      </c>
    </row>
    <row r="71" spans="1:21" ht="24.95" customHeight="1" x14ac:dyDescent="0.25">
      <c r="A71" s="16">
        <v>12</v>
      </c>
      <c r="B71" s="16">
        <v>66</v>
      </c>
      <c r="C71" s="16" t="s">
        <v>81</v>
      </c>
      <c r="D71" s="80">
        <v>4.4999999999999997E-3</v>
      </c>
      <c r="E71" s="214">
        <v>751681.66</v>
      </c>
      <c r="F71" s="98">
        <v>774480.66</v>
      </c>
      <c r="G71" s="61">
        <f t="shared" si="20"/>
        <v>-22799</v>
      </c>
      <c r="H71" s="21">
        <f t="shared" si="11"/>
        <v>0</v>
      </c>
      <c r="I71" s="22">
        <f t="shared" si="18"/>
        <v>363041.83763999998</v>
      </c>
      <c r="J71" s="22">
        <f t="shared" si="21"/>
        <v>0</v>
      </c>
      <c r="K71" s="22">
        <f t="shared" ref="K71:K134" si="26">G$2*0.675675676%</f>
        <v>185936.29261027643</v>
      </c>
      <c r="L71" s="22">
        <f t="shared" ref="L71:L134" si="27">P$1*0.675675676%</f>
        <v>202702.7028</v>
      </c>
      <c r="M71" s="74">
        <v>0</v>
      </c>
      <c r="N71" s="74">
        <v>0</v>
      </c>
      <c r="O71" s="88"/>
      <c r="P71" s="413">
        <f t="shared" si="22"/>
        <v>728882.66</v>
      </c>
      <c r="Q71" s="413"/>
      <c r="R71" s="363">
        <f t="shared" si="23"/>
        <v>750990.66</v>
      </c>
      <c r="S71" s="13">
        <f t="shared" si="24"/>
        <v>0.66</v>
      </c>
      <c r="T71" s="1">
        <f t="shared" si="25"/>
        <v>66</v>
      </c>
      <c r="U71" t="s">
        <v>255</v>
      </c>
    </row>
    <row r="72" spans="1:21" ht="24.95" customHeight="1" x14ac:dyDescent="0.25">
      <c r="A72" s="16">
        <v>1</v>
      </c>
      <c r="B72" s="16">
        <v>67</v>
      </c>
      <c r="C72" s="16" t="s">
        <v>82</v>
      </c>
      <c r="D72" s="80">
        <v>4.4999999999999997E-3</v>
      </c>
      <c r="E72" s="214">
        <v>743635.67</v>
      </c>
      <c r="F72" s="98"/>
      <c r="G72" s="61">
        <f t="shared" si="20"/>
        <v>743635.67</v>
      </c>
      <c r="H72" s="21">
        <f t="shared" ref="H72:H135" si="28">IF(G72&gt;0,G72*3.087%,0)</f>
        <v>22956.033132900004</v>
      </c>
      <c r="I72" s="22">
        <f t="shared" si="18"/>
        <v>363041.83763999998</v>
      </c>
      <c r="J72" s="22">
        <f t="shared" si="21"/>
        <v>0</v>
      </c>
      <c r="K72" s="22">
        <f t="shared" si="26"/>
        <v>185936.29261027643</v>
      </c>
      <c r="L72" s="22">
        <f t="shared" si="27"/>
        <v>202702.7028</v>
      </c>
      <c r="M72" s="74">
        <v>0</v>
      </c>
      <c r="N72" s="74">
        <v>0</v>
      </c>
      <c r="O72" s="88"/>
      <c r="P72" s="413">
        <f t="shared" si="22"/>
        <v>1518273.67</v>
      </c>
      <c r="Q72" s="413"/>
      <c r="R72" s="363">
        <f t="shared" si="23"/>
        <v>1564323.67</v>
      </c>
      <c r="S72" s="13">
        <f t="shared" si="24"/>
        <v>0.67</v>
      </c>
      <c r="T72" s="1">
        <f t="shared" si="25"/>
        <v>67</v>
      </c>
      <c r="U72" t="s">
        <v>272</v>
      </c>
    </row>
    <row r="73" spans="1:21" ht="24.95" customHeight="1" x14ac:dyDescent="0.25">
      <c r="A73" s="16"/>
      <c r="B73" s="16">
        <f>B72+1</f>
        <v>68</v>
      </c>
      <c r="C73" s="16" t="s">
        <v>86</v>
      </c>
      <c r="D73" s="80">
        <v>4.4999999999999997E-3</v>
      </c>
      <c r="E73" s="214">
        <v>3270958.68</v>
      </c>
      <c r="F73" s="98"/>
      <c r="G73" s="61">
        <f t="shared" si="20"/>
        <v>3270958.68</v>
      </c>
      <c r="H73" s="21">
        <f t="shared" si="28"/>
        <v>100974.49445160001</v>
      </c>
      <c r="I73" s="22">
        <f t="shared" si="18"/>
        <v>363041.83763999998</v>
      </c>
      <c r="J73" s="22">
        <f t="shared" si="21"/>
        <v>0</v>
      </c>
      <c r="K73" s="22">
        <f t="shared" si="26"/>
        <v>185936.29261027643</v>
      </c>
      <c r="L73" s="22">
        <f t="shared" si="27"/>
        <v>202702.7028</v>
      </c>
      <c r="M73" s="74">
        <v>0</v>
      </c>
      <c r="N73" s="74">
        <f>I73</f>
        <v>363041.83763999998</v>
      </c>
      <c r="O73" s="88"/>
      <c r="P73" s="413">
        <f t="shared" si="22"/>
        <v>4486656.68</v>
      </c>
      <c r="Q73" s="413"/>
      <c r="R73" s="363">
        <f t="shared" si="23"/>
        <v>4622737.68</v>
      </c>
      <c r="S73" s="13">
        <f t="shared" si="24"/>
        <v>0.68</v>
      </c>
      <c r="T73" s="1">
        <f t="shared" si="25"/>
        <v>68</v>
      </c>
    </row>
    <row r="74" spans="1:21" ht="24.95" customHeight="1" x14ac:dyDescent="0.25">
      <c r="A74" s="181"/>
      <c r="B74" s="16">
        <f t="shared" ref="B74:B137" si="29">B73+1</f>
        <v>69</v>
      </c>
      <c r="C74" s="16" t="s">
        <v>87</v>
      </c>
      <c r="D74" s="80">
        <v>3.5999999999999999E-3</v>
      </c>
      <c r="E74" s="214">
        <v>679072.69</v>
      </c>
      <c r="F74" s="98">
        <v>699669.69</v>
      </c>
      <c r="G74" s="61">
        <f t="shared" si="20"/>
        <v>-20597</v>
      </c>
      <c r="H74" s="21">
        <f t="shared" si="28"/>
        <v>0</v>
      </c>
      <c r="I74" s="22">
        <f t="shared" si="18"/>
        <v>290433.47011200001</v>
      </c>
      <c r="J74" s="22">
        <f t="shared" si="21"/>
        <v>0</v>
      </c>
      <c r="K74" s="22">
        <f t="shared" si="26"/>
        <v>185936.29261027643</v>
      </c>
      <c r="L74" s="22">
        <f t="shared" si="27"/>
        <v>202702.7028</v>
      </c>
      <c r="M74" s="74">
        <v>0</v>
      </c>
      <c r="N74" s="74">
        <v>0</v>
      </c>
      <c r="O74" s="36"/>
      <c r="P74" s="413">
        <f t="shared" si="22"/>
        <v>658475.68999999994</v>
      </c>
      <c r="Q74" s="413"/>
      <c r="R74" s="363">
        <f t="shared" si="23"/>
        <v>678447.69</v>
      </c>
      <c r="S74" s="13">
        <f t="shared" si="24"/>
        <v>0.69</v>
      </c>
      <c r="T74" s="1">
        <f t="shared" si="25"/>
        <v>69</v>
      </c>
      <c r="U74" t="s">
        <v>213</v>
      </c>
    </row>
    <row r="75" spans="1:21" ht="24.95" customHeight="1" x14ac:dyDescent="0.25">
      <c r="A75" s="16"/>
      <c r="B75" s="16">
        <f t="shared" si="29"/>
        <v>70</v>
      </c>
      <c r="C75" s="16" t="s">
        <v>88</v>
      </c>
      <c r="D75" s="80">
        <v>4.4000000000000003E-3</v>
      </c>
      <c r="E75" s="214">
        <v>2310403.7000000002</v>
      </c>
      <c r="F75" s="98">
        <v>1700000</v>
      </c>
      <c r="G75" s="61">
        <f t="shared" si="20"/>
        <v>610403.70000000019</v>
      </c>
      <c r="H75" s="21">
        <f t="shared" si="28"/>
        <v>18843.162219000005</v>
      </c>
      <c r="I75" s="22">
        <f t="shared" si="18"/>
        <v>354974.24124800001</v>
      </c>
      <c r="J75" s="22">
        <f t="shared" si="21"/>
        <v>0</v>
      </c>
      <c r="K75" s="22">
        <f t="shared" si="26"/>
        <v>185936.29261027643</v>
      </c>
      <c r="L75" s="22">
        <f t="shared" si="27"/>
        <v>202702.7028</v>
      </c>
      <c r="M75" s="74">
        <v>0</v>
      </c>
      <c r="N75" s="74">
        <v>0</v>
      </c>
      <c r="O75" s="88"/>
      <c r="P75" s="413">
        <f t="shared" si="22"/>
        <v>1372860.7</v>
      </c>
      <c r="Q75" s="413"/>
      <c r="R75" s="363">
        <f t="shared" si="23"/>
        <v>1414500.7</v>
      </c>
      <c r="S75" s="13">
        <f t="shared" si="24"/>
        <v>0.7</v>
      </c>
      <c r="T75" s="1">
        <f t="shared" si="25"/>
        <v>70</v>
      </c>
      <c r="U75" t="s">
        <v>258</v>
      </c>
    </row>
    <row r="76" spans="1:21" ht="24.95" customHeight="1" x14ac:dyDescent="0.25">
      <c r="A76" s="16"/>
      <c r="B76" s="16">
        <f t="shared" si="29"/>
        <v>71</v>
      </c>
      <c r="C76" s="16" t="s">
        <v>89</v>
      </c>
      <c r="D76" s="80">
        <v>4.0000000000000001E-3</v>
      </c>
      <c r="E76" s="214">
        <v>3217540.71</v>
      </c>
      <c r="F76" s="98"/>
      <c r="G76" s="61">
        <f t="shared" si="20"/>
        <v>3217540.71</v>
      </c>
      <c r="H76" s="21">
        <f t="shared" si="28"/>
        <v>99325.481717700008</v>
      </c>
      <c r="I76" s="22">
        <f t="shared" si="18"/>
        <v>322703.85568000004</v>
      </c>
      <c r="J76" s="22">
        <f t="shared" si="21"/>
        <v>0</v>
      </c>
      <c r="K76" s="22">
        <f t="shared" si="26"/>
        <v>185936.29261027643</v>
      </c>
      <c r="L76" s="22">
        <f t="shared" si="27"/>
        <v>202702.7028</v>
      </c>
      <c r="M76" s="74">
        <v>0</v>
      </c>
      <c r="N76" s="74">
        <v>0</v>
      </c>
      <c r="O76" s="88"/>
      <c r="P76" s="413">
        <f t="shared" si="22"/>
        <v>4028209.71</v>
      </c>
      <c r="Q76" s="413"/>
      <c r="R76" s="363">
        <f t="shared" si="23"/>
        <v>4150385.71</v>
      </c>
      <c r="S76" s="13">
        <f t="shared" si="24"/>
        <v>0.71</v>
      </c>
      <c r="T76" s="1">
        <f t="shared" si="25"/>
        <v>71</v>
      </c>
      <c r="U76" t="s">
        <v>314</v>
      </c>
    </row>
    <row r="77" spans="1:21" ht="24.95" customHeight="1" x14ac:dyDescent="0.25">
      <c r="A77" s="16"/>
      <c r="B77" s="16">
        <f t="shared" si="29"/>
        <v>72</v>
      </c>
      <c r="C77" s="16" t="s">
        <v>90</v>
      </c>
      <c r="D77" s="80">
        <v>4.0000000000000001E-3</v>
      </c>
      <c r="E77" s="214">
        <v>701991.72</v>
      </c>
      <c r="F77" s="98">
        <v>723284</v>
      </c>
      <c r="G77" s="61">
        <f t="shared" si="20"/>
        <v>-21292.280000000028</v>
      </c>
      <c r="H77" s="21">
        <f t="shared" si="28"/>
        <v>0</v>
      </c>
      <c r="I77" s="22">
        <f t="shared" si="18"/>
        <v>322703.85568000004</v>
      </c>
      <c r="J77" s="22">
        <f t="shared" si="21"/>
        <v>0</v>
      </c>
      <c r="K77" s="22">
        <f t="shared" si="26"/>
        <v>185936.29261027643</v>
      </c>
      <c r="L77" s="22">
        <f t="shared" si="27"/>
        <v>202702.7028</v>
      </c>
      <c r="M77" s="74">
        <v>0</v>
      </c>
      <c r="N77" s="74">
        <v>0</v>
      </c>
      <c r="O77" s="88"/>
      <c r="P77" s="413">
        <f t="shared" si="22"/>
        <v>690051.72</v>
      </c>
      <c r="Q77" s="413"/>
      <c r="R77" s="363">
        <f t="shared" si="23"/>
        <v>710981.72</v>
      </c>
      <c r="S77" s="13">
        <f t="shared" si="24"/>
        <v>0.72</v>
      </c>
      <c r="T77" s="1">
        <f t="shared" si="25"/>
        <v>72</v>
      </c>
      <c r="U77" t="s">
        <v>198</v>
      </c>
    </row>
    <row r="78" spans="1:21" ht="24.95" customHeight="1" x14ac:dyDescent="0.25">
      <c r="A78" s="338"/>
      <c r="B78" s="16">
        <f t="shared" si="29"/>
        <v>73</v>
      </c>
      <c r="C78" s="16" t="s">
        <v>91</v>
      </c>
      <c r="D78" s="80">
        <v>4.0000000000000001E-3</v>
      </c>
      <c r="E78" s="214">
        <v>710485.73</v>
      </c>
      <c r="F78" s="215">
        <f>E78</f>
        <v>710485.73</v>
      </c>
      <c r="G78" s="61">
        <f t="shared" si="20"/>
        <v>0</v>
      </c>
      <c r="H78" s="21">
        <f t="shared" si="28"/>
        <v>0</v>
      </c>
      <c r="I78" s="22">
        <f t="shared" si="18"/>
        <v>322703.85568000004</v>
      </c>
      <c r="J78" s="22">
        <f t="shared" si="21"/>
        <v>0</v>
      </c>
      <c r="K78" s="22">
        <f t="shared" si="26"/>
        <v>185936.29261027643</v>
      </c>
      <c r="L78" s="22">
        <f t="shared" si="27"/>
        <v>202702.7028</v>
      </c>
      <c r="M78" s="74">
        <v>0</v>
      </c>
      <c r="N78" s="74">
        <v>0</v>
      </c>
      <c r="O78" s="88"/>
      <c r="P78" s="413">
        <f t="shared" si="22"/>
        <v>711343.73</v>
      </c>
      <c r="Q78" s="413"/>
      <c r="R78" s="363">
        <f t="shared" si="23"/>
        <v>732919.73</v>
      </c>
      <c r="S78" s="13">
        <f t="shared" si="24"/>
        <v>0.73</v>
      </c>
      <c r="T78" s="1">
        <f t="shared" si="25"/>
        <v>73</v>
      </c>
    </row>
    <row r="79" spans="1:21" ht="24.95" customHeight="1" x14ac:dyDescent="0.25">
      <c r="A79" s="16"/>
      <c r="B79" s="16">
        <f t="shared" si="29"/>
        <v>74</v>
      </c>
      <c r="C79" s="16" t="s">
        <v>92</v>
      </c>
      <c r="D79" s="80">
        <v>4.4000000000000003E-3</v>
      </c>
      <c r="E79" s="214">
        <v>2310402.7400000002</v>
      </c>
      <c r="F79" s="98">
        <f>746613+1520000+43790</f>
        <v>2310403</v>
      </c>
      <c r="G79" s="61">
        <f t="shared" si="20"/>
        <v>-0.25999999977648258</v>
      </c>
      <c r="H79" s="21">
        <f t="shared" si="28"/>
        <v>0</v>
      </c>
      <c r="I79" s="22">
        <f t="shared" si="18"/>
        <v>354974.24124800001</v>
      </c>
      <c r="J79" s="22">
        <f t="shared" si="21"/>
        <v>0</v>
      </c>
      <c r="K79" s="22">
        <f t="shared" si="26"/>
        <v>185936.29261027643</v>
      </c>
      <c r="L79" s="22">
        <f t="shared" si="27"/>
        <v>202702.7028</v>
      </c>
      <c r="M79" s="74">
        <v>0</v>
      </c>
      <c r="N79" s="74">
        <v>0</v>
      </c>
      <c r="O79" s="88"/>
      <c r="P79" s="413">
        <f t="shared" si="22"/>
        <v>743613.74</v>
      </c>
      <c r="Q79" s="413"/>
      <c r="R79" s="363">
        <f t="shared" si="23"/>
        <v>766168.74</v>
      </c>
      <c r="S79" s="13">
        <f t="shared" si="24"/>
        <v>0.74</v>
      </c>
      <c r="T79" s="1">
        <f t="shared" si="25"/>
        <v>74</v>
      </c>
    </row>
    <row r="80" spans="1:21" ht="24.95" customHeight="1" x14ac:dyDescent="0.25">
      <c r="A80" s="16"/>
      <c r="B80" s="16">
        <f t="shared" si="29"/>
        <v>75</v>
      </c>
      <c r="C80" s="16" t="s">
        <v>246</v>
      </c>
      <c r="D80" s="80">
        <v>4.1000000000000003E-3</v>
      </c>
      <c r="E80" s="214">
        <v>741230.75</v>
      </c>
      <c r="F80" s="98">
        <f>E80</f>
        <v>741230.75</v>
      </c>
      <c r="G80" s="61">
        <f t="shared" si="20"/>
        <v>0</v>
      </c>
      <c r="H80" s="21">
        <f t="shared" si="28"/>
        <v>0</v>
      </c>
      <c r="I80" s="22">
        <f t="shared" si="18"/>
        <v>330771.45207200001</v>
      </c>
      <c r="J80" s="22">
        <f t="shared" si="21"/>
        <v>0</v>
      </c>
      <c r="K80" s="22">
        <f t="shared" si="26"/>
        <v>185936.29261027643</v>
      </c>
      <c r="L80" s="22">
        <f t="shared" si="27"/>
        <v>202702.7028</v>
      </c>
      <c r="M80" s="74">
        <v>0</v>
      </c>
      <c r="N80" s="74">
        <v>0</v>
      </c>
      <c r="O80" s="224">
        <f>I80/2</f>
        <v>165385.72603600001</v>
      </c>
      <c r="P80" s="413">
        <f t="shared" si="22"/>
        <v>884796.75</v>
      </c>
      <c r="Q80" s="413"/>
      <c r="R80" s="363">
        <f t="shared" si="23"/>
        <v>911633.75</v>
      </c>
      <c r="S80" s="13">
        <f t="shared" si="24"/>
        <v>0.75</v>
      </c>
      <c r="T80" s="1">
        <f t="shared" si="25"/>
        <v>75</v>
      </c>
      <c r="U80" t="s">
        <v>211</v>
      </c>
    </row>
    <row r="81" spans="1:25" ht="24.95" customHeight="1" x14ac:dyDescent="0.25">
      <c r="A81" s="16"/>
      <c r="B81" s="16">
        <f t="shared" si="29"/>
        <v>76</v>
      </c>
      <c r="C81" s="16" t="s">
        <v>84</v>
      </c>
      <c r="D81" s="80">
        <v>4.4999999999999997E-3</v>
      </c>
      <c r="E81" s="214">
        <v>1526567.76</v>
      </c>
      <c r="F81" s="98">
        <f>751681.76+751681.76+23204</f>
        <v>1526567.52</v>
      </c>
      <c r="G81" s="61">
        <f t="shared" si="20"/>
        <v>0.23999999999068677</v>
      </c>
      <c r="H81" s="21">
        <f t="shared" si="28"/>
        <v>7.4087999997125009E-3</v>
      </c>
      <c r="I81" s="22">
        <f t="shared" si="18"/>
        <v>363041.83763999998</v>
      </c>
      <c r="J81" s="22">
        <f t="shared" si="21"/>
        <v>0</v>
      </c>
      <c r="K81" s="22">
        <f t="shared" si="26"/>
        <v>185936.29261027643</v>
      </c>
      <c r="L81" s="22">
        <f t="shared" si="27"/>
        <v>202702.7028</v>
      </c>
      <c r="M81" s="74">
        <v>0</v>
      </c>
      <c r="N81" s="74">
        <v>0</v>
      </c>
      <c r="O81" s="88"/>
      <c r="P81" s="413">
        <f t="shared" si="22"/>
        <v>751681.76</v>
      </c>
      <c r="Q81" s="413"/>
      <c r="R81" s="363">
        <f t="shared" si="23"/>
        <v>774480.76</v>
      </c>
      <c r="S81" s="13">
        <f t="shared" si="24"/>
        <v>0.76</v>
      </c>
      <c r="T81" s="1">
        <f t="shared" si="25"/>
        <v>76</v>
      </c>
    </row>
    <row r="82" spans="1:25" ht="24.95" customHeight="1" x14ac:dyDescent="0.25">
      <c r="A82" s="16"/>
      <c r="B82" s="16">
        <f t="shared" si="29"/>
        <v>77</v>
      </c>
      <c r="C82" s="16" t="s">
        <v>93</v>
      </c>
      <c r="D82" s="80">
        <v>6.1000000000000004E-3</v>
      </c>
      <c r="E82" s="214">
        <v>880762.77</v>
      </c>
      <c r="F82" s="98">
        <v>907476.77</v>
      </c>
      <c r="G82" s="61">
        <f t="shared" si="20"/>
        <v>-26714</v>
      </c>
      <c r="H82" s="21">
        <f t="shared" si="28"/>
        <v>0</v>
      </c>
      <c r="I82" s="22">
        <f t="shared" si="18"/>
        <v>492123.37991200003</v>
      </c>
      <c r="J82" s="22">
        <f t="shared" si="21"/>
        <v>0</v>
      </c>
      <c r="K82" s="22">
        <f t="shared" si="26"/>
        <v>185936.29261027643</v>
      </c>
      <c r="L82" s="22">
        <f t="shared" si="27"/>
        <v>202702.7028</v>
      </c>
      <c r="M82" s="74">
        <v>0</v>
      </c>
      <c r="N82" s="74">
        <v>0</v>
      </c>
      <c r="O82" s="88"/>
      <c r="P82" s="413">
        <f t="shared" si="22"/>
        <v>854048.77</v>
      </c>
      <c r="Q82" s="413"/>
      <c r="R82" s="363">
        <f t="shared" si="23"/>
        <v>879952.77</v>
      </c>
      <c r="S82" s="13">
        <f t="shared" si="24"/>
        <v>0.77</v>
      </c>
      <c r="T82" s="1">
        <f t="shared" si="25"/>
        <v>77</v>
      </c>
      <c r="U82" t="s">
        <v>270</v>
      </c>
    </row>
    <row r="83" spans="1:25" ht="24.95" customHeight="1" x14ac:dyDescent="0.25">
      <c r="A83" s="180"/>
      <c r="B83" s="16">
        <f t="shared" si="29"/>
        <v>78</v>
      </c>
      <c r="C83" s="16" t="s">
        <v>94</v>
      </c>
      <c r="D83" s="80">
        <v>4.7999999999999996E-3</v>
      </c>
      <c r="E83" s="214">
        <v>775596.78</v>
      </c>
      <c r="F83" s="98">
        <v>800000</v>
      </c>
      <c r="G83" s="61">
        <f t="shared" si="20"/>
        <v>-24403.219999999972</v>
      </c>
      <c r="H83" s="21">
        <f t="shared" si="28"/>
        <v>0</v>
      </c>
      <c r="I83" s="22">
        <f t="shared" si="18"/>
        <v>387244.62681599997</v>
      </c>
      <c r="J83" s="22">
        <f t="shared" si="21"/>
        <v>0</v>
      </c>
      <c r="K83" s="22">
        <f t="shared" si="26"/>
        <v>185936.29261027643</v>
      </c>
      <c r="L83" s="22">
        <f t="shared" si="27"/>
        <v>202702.7028</v>
      </c>
      <c r="M83" s="74">
        <v>0</v>
      </c>
      <c r="N83" s="74">
        <v>0</v>
      </c>
      <c r="O83" s="88"/>
      <c r="P83" s="413">
        <f t="shared" si="22"/>
        <v>751480.78</v>
      </c>
      <c r="Q83" s="413"/>
      <c r="R83" s="363">
        <f t="shared" si="23"/>
        <v>774273.78</v>
      </c>
      <c r="S83" s="13">
        <f t="shared" si="24"/>
        <v>0.78</v>
      </c>
      <c r="T83" s="1">
        <f t="shared" si="25"/>
        <v>78</v>
      </c>
      <c r="U83" t="s">
        <v>247</v>
      </c>
    </row>
    <row r="84" spans="1:25" ht="24.95" customHeight="1" x14ac:dyDescent="0.25">
      <c r="A84" s="16"/>
      <c r="B84" s="16">
        <f t="shared" si="29"/>
        <v>79</v>
      </c>
      <c r="C84" s="16" t="s">
        <v>95</v>
      </c>
      <c r="D84" s="80">
        <v>4.4999999999999997E-3</v>
      </c>
      <c r="E84" s="214">
        <v>1588934.79</v>
      </c>
      <c r="F84" s="98">
        <f>500000+761700.79</f>
        <v>1261700.79</v>
      </c>
      <c r="G84" s="62">
        <f t="shared" si="20"/>
        <v>327234</v>
      </c>
      <c r="H84" s="81">
        <f t="shared" si="28"/>
        <v>10101.71358</v>
      </c>
      <c r="I84" s="74">
        <f t="shared" si="18"/>
        <v>363041.83763999998</v>
      </c>
      <c r="J84" s="74">
        <f t="shared" si="21"/>
        <v>0</v>
      </c>
      <c r="K84" s="74">
        <f t="shared" si="26"/>
        <v>185936.29261027643</v>
      </c>
      <c r="L84" s="74">
        <f t="shared" si="27"/>
        <v>202702.7028</v>
      </c>
      <c r="M84" s="74">
        <v>0</v>
      </c>
      <c r="N84" s="74">
        <v>0</v>
      </c>
      <c r="O84" s="88"/>
      <c r="P84" s="413">
        <f t="shared" si="22"/>
        <v>1089017.79</v>
      </c>
      <c r="Q84" s="413"/>
      <c r="R84" s="363">
        <f t="shared" si="23"/>
        <v>1122048.79</v>
      </c>
      <c r="S84" s="82">
        <f t="shared" si="24"/>
        <v>0.79</v>
      </c>
      <c r="T84" s="60">
        <f t="shared" si="25"/>
        <v>79</v>
      </c>
      <c r="U84" s="36" t="s">
        <v>323</v>
      </c>
      <c r="Y84" t="s">
        <v>249</v>
      </c>
    </row>
    <row r="85" spans="1:25" ht="24.95" customHeight="1" x14ac:dyDescent="0.25">
      <c r="A85" s="337"/>
      <c r="B85" s="16">
        <f t="shared" si="29"/>
        <v>80</v>
      </c>
      <c r="C85" s="16" t="s">
        <v>96</v>
      </c>
      <c r="D85" s="80">
        <v>4.4999999999999997E-3</v>
      </c>
      <c r="E85" s="214">
        <v>751681.8</v>
      </c>
      <c r="F85" s="98">
        <v>775300</v>
      </c>
      <c r="G85" s="61">
        <f t="shared" si="20"/>
        <v>-23618.199999999953</v>
      </c>
      <c r="H85" s="21">
        <f t="shared" si="28"/>
        <v>0</v>
      </c>
      <c r="I85" s="22">
        <f t="shared" si="18"/>
        <v>363041.83763999998</v>
      </c>
      <c r="J85" s="22">
        <f t="shared" si="21"/>
        <v>0</v>
      </c>
      <c r="K85" s="22">
        <f t="shared" si="26"/>
        <v>185936.29261027643</v>
      </c>
      <c r="L85" s="22">
        <f t="shared" si="27"/>
        <v>202702.7028</v>
      </c>
      <c r="M85" s="74">
        <v>0</v>
      </c>
      <c r="N85" s="74">
        <v>0</v>
      </c>
      <c r="O85" s="88"/>
      <c r="P85" s="413">
        <f t="shared" si="22"/>
        <v>728063.8</v>
      </c>
      <c r="Q85" s="413"/>
      <c r="R85" s="363">
        <f t="shared" si="23"/>
        <v>750146.8</v>
      </c>
      <c r="S85" s="13">
        <f t="shared" si="24"/>
        <v>0.8</v>
      </c>
      <c r="T85" s="1">
        <f t="shared" si="25"/>
        <v>80</v>
      </c>
      <c r="U85" t="s">
        <v>293</v>
      </c>
    </row>
    <row r="86" spans="1:25" ht="24.95" customHeight="1" x14ac:dyDescent="0.25">
      <c r="A86" s="16"/>
      <c r="B86" s="16">
        <f t="shared" si="29"/>
        <v>81</v>
      </c>
      <c r="C86" s="16" t="s">
        <v>97</v>
      </c>
      <c r="D86" s="80">
        <v>4.4999999999999997E-3</v>
      </c>
      <c r="E86" s="214">
        <v>774480.81</v>
      </c>
      <c r="F86" s="215">
        <f>E86</f>
        <v>774480.81</v>
      </c>
      <c r="G86" s="61">
        <f t="shared" si="20"/>
        <v>0</v>
      </c>
      <c r="H86" s="21">
        <f t="shared" si="28"/>
        <v>0</v>
      </c>
      <c r="I86" s="22">
        <f t="shared" si="18"/>
        <v>363041.83763999998</v>
      </c>
      <c r="J86" s="22">
        <f t="shared" si="21"/>
        <v>0</v>
      </c>
      <c r="K86" s="22">
        <f t="shared" si="26"/>
        <v>185936.29261027643</v>
      </c>
      <c r="L86" s="22">
        <f t="shared" si="27"/>
        <v>202702.7028</v>
      </c>
      <c r="M86" s="74">
        <v>0</v>
      </c>
      <c r="N86" s="74">
        <v>0</v>
      </c>
      <c r="O86" s="88"/>
      <c r="P86" s="413">
        <f t="shared" si="22"/>
        <v>751681.81</v>
      </c>
      <c r="Q86" s="413"/>
      <c r="R86" s="363">
        <f t="shared" si="23"/>
        <v>774480.81</v>
      </c>
      <c r="S86" s="13">
        <f t="shared" si="24"/>
        <v>0.81</v>
      </c>
      <c r="T86" s="1">
        <f t="shared" si="25"/>
        <v>81</v>
      </c>
      <c r="U86" t="s">
        <v>240</v>
      </c>
    </row>
    <row r="87" spans="1:25" ht="24.95" customHeight="1" x14ac:dyDescent="0.25">
      <c r="A87" s="16"/>
      <c r="B87" s="16">
        <f t="shared" si="29"/>
        <v>82</v>
      </c>
      <c r="C87" s="16" t="s">
        <v>98</v>
      </c>
      <c r="D87" s="80">
        <v>4.1999999999999997E-3</v>
      </c>
      <c r="E87" s="214">
        <v>1477414.82</v>
      </c>
      <c r="F87" s="98">
        <v>1522225.82</v>
      </c>
      <c r="G87" s="61">
        <f t="shared" si="20"/>
        <v>-44811</v>
      </c>
      <c r="H87" s="21">
        <f t="shared" si="28"/>
        <v>0</v>
      </c>
      <c r="I87" s="22">
        <f t="shared" si="18"/>
        <v>338839.04846399999</v>
      </c>
      <c r="J87" s="22">
        <f t="shared" si="21"/>
        <v>0</v>
      </c>
      <c r="K87" s="22">
        <f t="shared" si="26"/>
        <v>185936.29261027643</v>
      </c>
      <c r="L87" s="22">
        <f t="shared" si="27"/>
        <v>202702.7028</v>
      </c>
      <c r="M87" s="74">
        <v>0</v>
      </c>
      <c r="N87" s="74">
        <v>0</v>
      </c>
      <c r="O87" s="74"/>
      <c r="P87" s="413">
        <f t="shared" si="22"/>
        <v>682667.82</v>
      </c>
      <c r="Q87" s="413"/>
      <c r="R87" s="363">
        <f t="shared" si="23"/>
        <v>703373.82</v>
      </c>
      <c r="S87" s="13">
        <f t="shared" si="24"/>
        <v>0.82</v>
      </c>
      <c r="T87" s="1">
        <f t="shared" si="25"/>
        <v>82</v>
      </c>
      <c r="U87" t="s">
        <v>278</v>
      </c>
      <c r="W87" s="16"/>
    </row>
    <row r="88" spans="1:25" ht="24.95" customHeight="1" x14ac:dyDescent="0.25">
      <c r="A88" s="16"/>
      <c r="B88" s="16">
        <f t="shared" si="29"/>
        <v>83</v>
      </c>
      <c r="C88" s="16" t="s">
        <v>99</v>
      </c>
      <c r="D88" s="80">
        <v>4.7999999999999996E-3</v>
      </c>
      <c r="E88" s="214">
        <v>775884.83</v>
      </c>
      <c r="F88" s="98">
        <v>799417.83</v>
      </c>
      <c r="G88" s="61">
        <f t="shared" si="20"/>
        <v>-23533</v>
      </c>
      <c r="H88" s="21">
        <f t="shared" si="28"/>
        <v>0</v>
      </c>
      <c r="I88" s="22">
        <f t="shared" si="18"/>
        <v>387244.62681599997</v>
      </c>
      <c r="J88" s="22">
        <f t="shared" si="21"/>
        <v>0</v>
      </c>
      <c r="K88" s="22">
        <f t="shared" si="26"/>
        <v>185936.29261027643</v>
      </c>
      <c r="L88" s="22">
        <f t="shared" si="27"/>
        <v>202702.7028</v>
      </c>
      <c r="M88" s="74">
        <v>0</v>
      </c>
      <c r="N88" s="74">
        <v>0</v>
      </c>
      <c r="O88" s="88"/>
      <c r="P88" s="413">
        <f t="shared" si="22"/>
        <v>752351.83</v>
      </c>
      <c r="Q88" s="413"/>
      <c r="R88" s="363">
        <f t="shared" si="23"/>
        <v>775171.83</v>
      </c>
      <c r="S88" s="13">
        <f t="shared" si="24"/>
        <v>0.83</v>
      </c>
      <c r="T88" s="1">
        <f t="shared" si="25"/>
        <v>83</v>
      </c>
    </row>
    <row r="89" spans="1:25" ht="24.95" customHeight="1" x14ac:dyDescent="0.25">
      <c r="A89" s="16"/>
      <c r="B89" s="16">
        <f t="shared" si="29"/>
        <v>84</v>
      </c>
      <c r="C89" s="16" t="s">
        <v>99</v>
      </c>
      <c r="D89" s="80">
        <v>4.7999999999999996E-3</v>
      </c>
      <c r="E89" s="214">
        <v>775884.84</v>
      </c>
      <c r="F89" s="98">
        <v>799417.84</v>
      </c>
      <c r="G89" s="61">
        <f t="shared" si="20"/>
        <v>-23533</v>
      </c>
      <c r="H89" s="21">
        <f t="shared" si="28"/>
        <v>0</v>
      </c>
      <c r="I89" s="22">
        <f t="shared" si="18"/>
        <v>387244.62681599997</v>
      </c>
      <c r="J89" s="22">
        <f t="shared" si="21"/>
        <v>0</v>
      </c>
      <c r="K89" s="22">
        <f t="shared" si="26"/>
        <v>185936.29261027643</v>
      </c>
      <c r="L89" s="22">
        <f t="shared" si="27"/>
        <v>202702.7028</v>
      </c>
      <c r="M89" s="74">
        <v>0</v>
      </c>
      <c r="N89" s="74">
        <v>0</v>
      </c>
      <c r="O89" s="88"/>
      <c r="P89" s="413">
        <f t="shared" si="22"/>
        <v>752351.84</v>
      </c>
      <c r="Q89" s="413"/>
      <c r="R89" s="363">
        <f t="shared" si="23"/>
        <v>775171.84</v>
      </c>
      <c r="S89" s="13">
        <f t="shared" si="24"/>
        <v>0.84</v>
      </c>
      <c r="T89" s="1">
        <f t="shared" si="25"/>
        <v>84</v>
      </c>
    </row>
    <row r="90" spans="1:25" ht="24.95" customHeight="1" x14ac:dyDescent="0.25">
      <c r="A90" s="16"/>
      <c r="B90" s="16">
        <f t="shared" si="29"/>
        <v>85</v>
      </c>
      <c r="C90" s="16" t="s">
        <v>100</v>
      </c>
      <c r="D90" s="80">
        <v>4.7999999999999996E-3</v>
      </c>
      <c r="E90" s="214">
        <v>775884.85</v>
      </c>
      <c r="F90" s="98">
        <f t="shared" ref="F90:F91" si="30">E90</f>
        <v>775884.85</v>
      </c>
      <c r="G90" s="61">
        <f t="shared" si="20"/>
        <v>0</v>
      </c>
      <c r="H90" s="21">
        <f t="shared" si="28"/>
        <v>0</v>
      </c>
      <c r="I90" s="22">
        <f t="shared" si="18"/>
        <v>387244.62681599997</v>
      </c>
      <c r="J90" s="22">
        <f t="shared" si="21"/>
        <v>0</v>
      </c>
      <c r="K90" s="22">
        <f t="shared" si="26"/>
        <v>185936.29261027643</v>
      </c>
      <c r="L90" s="22">
        <f t="shared" si="27"/>
        <v>202702.7028</v>
      </c>
      <c r="M90" s="74">
        <v>0</v>
      </c>
      <c r="N90" s="74">
        <v>0</v>
      </c>
      <c r="O90" s="88"/>
      <c r="P90" s="413">
        <f t="shared" si="22"/>
        <v>775884.85</v>
      </c>
      <c r="Q90" s="413"/>
      <c r="R90" s="363">
        <f t="shared" si="23"/>
        <v>799417.85</v>
      </c>
      <c r="S90" s="13">
        <f t="shared" si="24"/>
        <v>0.85</v>
      </c>
      <c r="T90" s="1">
        <f t="shared" si="25"/>
        <v>85</v>
      </c>
      <c r="U90" t="s">
        <v>227</v>
      </c>
    </row>
    <row r="91" spans="1:25" ht="24.95" customHeight="1" x14ac:dyDescent="0.25">
      <c r="A91" s="16"/>
      <c r="B91" s="16">
        <f t="shared" si="29"/>
        <v>86</v>
      </c>
      <c r="C91" s="16" t="s">
        <v>173</v>
      </c>
      <c r="D91" s="80">
        <v>4.7999999999999996E-3</v>
      </c>
      <c r="E91" s="214">
        <v>1062474.8600000001</v>
      </c>
      <c r="F91" s="98">
        <f t="shared" si="30"/>
        <v>1062474.8600000001</v>
      </c>
      <c r="G91" s="61">
        <f t="shared" si="20"/>
        <v>0</v>
      </c>
      <c r="H91" s="21">
        <f t="shared" si="28"/>
        <v>0</v>
      </c>
      <c r="I91" s="22">
        <f t="shared" si="18"/>
        <v>387244.62681599997</v>
      </c>
      <c r="J91" s="22">
        <f t="shared" si="21"/>
        <v>0</v>
      </c>
      <c r="K91" s="22">
        <f t="shared" si="26"/>
        <v>185936.29261027643</v>
      </c>
      <c r="L91" s="22">
        <f t="shared" si="27"/>
        <v>202702.7028</v>
      </c>
      <c r="M91" s="74">
        <v>0</v>
      </c>
      <c r="N91" s="74">
        <f>I91</f>
        <v>387244.62681599997</v>
      </c>
      <c r="O91" s="88"/>
      <c r="P91" s="413">
        <f t="shared" si="22"/>
        <v>1163128.8600000001</v>
      </c>
      <c r="Q91" s="413"/>
      <c r="R91" s="363">
        <f t="shared" si="23"/>
        <v>1198407.8600000001</v>
      </c>
      <c r="S91" s="13">
        <f t="shared" si="24"/>
        <v>0.86</v>
      </c>
      <c r="T91" s="1">
        <f t="shared" si="25"/>
        <v>86</v>
      </c>
    </row>
    <row r="92" spans="1:25" ht="24.95" customHeight="1" x14ac:dyDescent="0.25">
      <c r="A92" s="16"/>
      <c r="B92" s="16">
        <f t="shared" si="29"/>
        <v>87</v>
      </c>
      <c r="C92" s="16" t="s">
        <v>101</v>
      </c>
      <c r="D92" s="80">
        <v>4.7999999999999996E-3</v>
      </c>
      <c r="E92" s="214">
        <v>775884.87</v>
      </c>
      <c r="F92" s="98">
        <v>799417.87</v>
      </c>
      <c r="G92" s="61">
        <f t="shared" si="20"/>
        <v>-23533</v>
      </c>
      <c r="H92" s="21">
        <f t="shared" si="28"/>
        <v>0</v>
      </c>
      <c r="I92" s="22">
        <f t="shared" si="18"/>
        <v>387244.62681599997</v>
      </c>
      <c r="J92" s="22">
        <f t="shared" si="21"/>
        <v>0</v>
      </c>
      <c r="K92" s="22">
        <f t="shared" si="26"/>
        <v>185936.29261027643</v>
      </c>
      <c r="L92" s="22">
        <f t="shared" si="27"/>
        <v>202702.7028</v>
      </c>
      <c r="M92" s="74">
        <v>0</v>
      </c>
      <c r="N92" s="74">
        <v>0</v>
      </c>
      <c r="O92" s="88"/>
      <c r="P92" s="413">
        <f t="shared" si="22"/>
        <v>752351.87</v>
      </c>
      <c r="Q92" s="413"/>
      <c r="R92" s="363">
        <f t="shared" si="23"/>
        <v>775171.87</v>
      </c>
      <c r="S92" s="13">
        <f t="shared" si="24"/>
        <v>0.87</v>
      </c>
      <c r="T92" s="1">
        <f t="shared" si="25"/>
        <v>87</v>
      </c>
    </row>
    <row r="93" spans="1:25" ht="24.95" customHeight="1" x14ac:dyDescent="0.25">
      <c r="A93" s="158"/>
      <c r="B93" s="158">
        <f t="shared" si="29"/>
        <v>88</v>
      </c>
      <c r="C93" s="158" t="s">
        <v>102</v>
      </c>
      <c r="D93" s="80">
        <v>4.7999999999999996E-3</v>
      </c>
      <c r="E93" s="214">
        <v>775884.88</v>
      </c>
      <c r="F93" s="215">
        <f>E93</f>
        <v>775884.88</v>
      </c>
      <c r="G93" s="61">
        <f t="shared" si="20"/>
        <v>0</v>
      </c>
      <c r="H93" s="21">
        <f t="shared" si="28"/>
        <v>0</v>
      </c>
      <c r="I93" s="22">
        <f t="shared" si="18"/>
        <v>387244.62681599997</v>
      </c>
      <c r="J93" s="22">
        <f t="shared" si="21"/>
        <v>0</v>
      </c>
      <c r="K93" s="22">
        <f t="shared" si="26"/>
        <v>185936.29261027643</v>
      </c>
      <c r="L93" s="22">
        <f t="shared" si="27"/>
        <v>202702.7028</v>
      </c>
      <c r="M93" s="74">
        <v>0</v>
      </c>
      <c r="N93" s="74">
        <v>0</v>
      </c>
      <c r="O93" s="88"/>
      <c r="P93" s="413">
        <f t="shared" si="22"/>
        <v>775884.88</v>
      </c>
      <c r="Q93" s="413"/>
      <c r="R93" s="363">
        <f t="shared" si="23"/>
        <v>799417.88</v>
      </c>
      <c r="S93" s="13">
        <f t="shared" si="24"/>
        <v>0.88</v>
      </c>
      <c r="T93" s="1">
        <f t="shared" si="25"/>
        <v>88</v>
      </c>
    </row>
    <row r="94" spans="1:25" ht="24.95" customHeight="1" x14ac:dyDescent="0.25">
      <c r="A94" s="16"/>
      <c r="B94" s="16">
        <f t="shared" si="29"/>
        <v>89</v>
      </c>
      <c r="C94" s="16" t="s">
        <v>225</v>
      </c>
      <c r="D94" s="80">
        <v>4.7999999999999996E-3</v>
      </c>
      <c r="E94" s="214">
        <v>775884.89</v>
      </c>
      <c r="F94" s="215">
        <v>799417.89</v>
      </c>
      <c r="G94" s="62">
        <f t="shared" si="20"/>
        <v>-23533</v>
      </c>
      <c r="H94" s="81">
        <f t="shared" si="28"/>
        <v>0</v>
      </c>
      <c r="I94" s="74">
        <f t="shared" si="18"/>
        <v>387244.62681599997</v>
      </c>
      <c r="J94" s="74">
        <f t="shared" si="21"/>
        <v>0</v>
      </c>
      <c r="K94" s="74">
        <f t="shared" si="26"/>
        <v>185936.29261027643</v>
      </c>
      <c r="L94" s="74">
        <f t="shared" si="27"/>
        <v>202702.7028</v>
      </c>
      <c r="M94" s="74">
        <v>0</v>
      </c>
      <c r="N94" s="74">
        <v>0</v>
      </c>
      <c r="O94" s="88"/>
      <c r="P94" s="413">
        <f t="shared" si="22"/>
        <v>752351.89</v>
      </c>
      <c r="Q94" s="413"/>
      <c r="R94" s="363">
        <f t="shared" si="23"/>
        <v>775171.89</v>
      </c>
      <c r="S94" s="82">
        <f t="shared" si="24"/>
        <v>0.89</v>
      </c>
      <c r="T94" s="60">
        <f t="shared" si="25"/>
        <v>89</v>
      </c>
      <c r="U94" t="s">
        <v>291</v>
      </c>
    </row>
    <row r="95" spans="1:25" ht="24.95" customHeight="1" x14ac:dyDescent="0.25">
      <c r="A95" s="16"/>
      <c r="B95" s="16">
        <f t="shared" si="29"/>
        <v>90</v>
      </c>
      <c r="C95" s="16" t="s">
        <v>103</v>
      </c>
      <c r="D95" s="80">
        <v>4.7999999999999996E-3</v>
      </c>
      <c r="E95" s="214">
        <v>1087991.8999999999</v>
      </c>
      <c r="F95" s="98">
        <v>1120000</v>
      </c>
      <c r="G95" s="61">
        <f t="shared" si="20"/>
        <v>-32008.100000000093</v>
      </c>
      <c r="H95" s="21">
        <f t="shared" si="28"/>
        <v>0</v>
      </c>
      <c r="I95" s="22">
        <f t="shared" si="18"/>
        <v>387244.62681599997</v>
      </c>
      <c r="J95" s="22">
        <f t="shared" si="21"/>
        <v>0</v>
      </c>
      <c r="K95" s="22">
        <f t="shared" si="26"/>
        <v>185936.29261027643</v>
      </c>
      <c r="L95" s="22">
        <f t="shared" si="27"/>
        <v>202702.7028</v>
      </c>
      <c r="M95" s="74">
        <v>0</v>
      </c>
      <c r="N95" s="74">
        <v>0</v>
      </c>
      <c r="O95" s="88"/>
      <c r="P95" s="413">
        <f t="shared" si="22"/>
        <v>743876.9</v>
      </c>
      <c r="Q95" s="413"/>
      <c r="R95" s="363">
        <f t="shared" si="23"/>
        <v>766439.9</v>
      </c>
      <c r="S95" s="13">
        <f t="shared" si="24"/>
        <v>0.9</v>
      </c>
      <c r="T95" s="1">
        <f t="shared" si="25"/>
        <v>90</v>
      </c>
      <c r="U95" t="s">
        <v>250</v>
      </c>
    </row>
    <row r="96" spans="1:25" ht="24.95" customHeight="1" x14ac:dyDescent="0.25">
      <c r="A96" s="16"/>
      <c r="B96" s="16">
        <f t="shared" si="29"/>
        <v>91</v>
      </c>
      <c r="C96" s="16" t="s">
        <v>104</v>
      </c>
      <c r="D96" s="80">
        <v>4.7999999999999996E-3</v>
      </c>
      <c r="E96" s="214">
        <v>775884.91</v>
      </c>
      <c r="F96" s="98">
        <v>799417.91</v>
      </c>
      <c r="G96" s="61">
        <f t="shared" si="20"/>
        <v>-23533</v>
      </c>
      <c r="H96" s="21">
        <f t="shared" si="28"/>
        <v>0</v>
      </c>
      <c r="I96" s="22">
        <f t="shared" si="18"/>
        <v>387244.62681599997</v>
      </c>
      <c r="J96" s="22">
        <f t="shared" si="21"/>
        <v>0</v>
      </c>
      <c r="K96" s="22">
        <f t="shared" si="26"/>
        <v>185936.29261027643</v>
      </c>
      <c r="L96" s="22">
        <f t="shared" si="27"/>
        <v>202702.7028</v>
      </c>
      <c r="M96" s="74">
        <v>0</v>
      </c>
      <c r="N96" s="74">
        <v>0</v>
      </c>
      <c r="O96" s="88"/>
      <c r="P96" s="413">
        <f t="shared" si="22"/>
        <v>752351.91</v>
      </c>
      <c r="Q96" s="413"/>
      <c r="R96" s="363">
        <f t="shared" si="23"/>
        <v>775171.91</v>
      </c>
      <c r="S96" s="13">
        <f t="shared" si="24"/>
        <v>0.91</v>
      </c>
      <c r="T96" s="1">
        <f t="shared" si="25"/>
        <v>91</v>
      </c>
      <c r="U96" t="s">
        <v>201</v>
      </c>
    </row>
    <row r="97" spans="1:22" ht="24.95" customHeight="1" x14ac:dyDescent="0.25">
      <c r="A97" s="16"/>
      <c r="B97" s="172">
        <f t="shared" si="29"/>
        <v>92</v>
      </c>
      <c r="C97" s="172" t="s">
        <v>338</v>
      </c>
      <c r="D97" s="173">
        <v>4.7999999999999996E-3</v>
      </c>
      <c r="E97" s="214">
        <v>1829165.92</v>
      </c>
      <c r="F97" s="98">
        <v>969506.92</v>
      </c>
      <c r="G97" s="61">
        <f t="shared" si="20"/>
        <v>859658.99999999988</v>
      </c>
      <c r="H97" s="81">
        <f t="shared" si="28"/>
        <v>26537.673329999998</v>
      </c>
      <c r="I97" s="74">
        <f t="shared" si="18"/>
        <v>387244.62681599997</v>
      </c>
      <c r="J97" s="74">
        <f t="shared" si="21"/>
        <v>0</v>
      </c>
      <c r="K97" s="74">
        <f t="shared" si="26"/>
        <v>185936.29261027643</v>
      </c>
      <c r="L97" s="74">
        <f t="shared" si="27"/>
        <v>202702.7028</v>
      </c>
      <c r="M97" s="74">
        <v>0</v>
      </c>
      <c r="N97" s="74">
        <v>0</v>
      </c>
      <c r="O97" s="468">
        <f>1780*100</f>
        <v>178000</v>
      </c>
      <c r="P97" s="413">
        <f t="shared" si="22"/>
        <v>1840080.92</v>
      </c>
      <c r="Q97" s="413"/>
      <c r="R97" s="363">
        <f t="shared" si="23"/>
        <v>1895891.92</v>
      </c>
      <c r="S97" s="82">
        <f t="shared" si="24"/>
        <v>0.92</v>
      </c>
      <c r="T97" s="60">
        <f t="shared" si="25"/>
        <v>92</v>
      </c>
      <c r="U97" t="s">
        <v>324</v>
      </c>
    </row>
    <row r="98" spans="1:22" ht="24.95" customHeight="1" x14ac:dyDescent="0.25">
      <c r="A98" s="16"/>
      <c r="B98" s="16">
        <f t="shared" si="29"/>
        <v>93</v>
      </c>
      <c r="C98" s="53" t="s">
        <v>174</v>
      </c>
      <c r="D98" s="80">
        <v>4.5999999999999999E-3</v>
      </c>
      <c r="E98" s="214">
        <v>-11477.07</v>
      </c>
      <c r="F98" s="98">
        <v>509400</v>
      </c>
      <c r="G98" s="61">
        <f>E98-F98</f>
        <v>-520877.07</v>
      </c>
      <c r="H98" s="21">
        <f t="shared" si="28"/>
        <v>0</v>
      </c>
      <c r="I98" s="22">
        <f t="shared" si="18"/>
        <v>371109.43403200002</v>
      </c>
      <c r="J98" s="22">
        <f t="shared" si="21"/>
        <v>0</v>
      </c>
      <c r="K98" s="22">
        <f t="shared" si="26"/>
        <v>185936.29261027643</v>
      </c>
      <c r="L98" s="22">
        <f t="shared" si="27"/>
        <v>202702.7028</v>
      </c>
      <c r="M98" s="74">
        <v>0</v>
      </c>
      <c r="N98" s="74">
        <v>0</v>
      </c>
      <c r="O98" s="60"/>
      <c r="P98" s="413">
        <f t="shared" si="22"/>
        <v>238871.93</v>
      </c>
      <c r="Q98" s="413"/>
      <c r="R98" s="363">
        <f t="shared" si="23"/>
        <v>246117.93</v>
      </c>
      <c r="S98" s="13">
        <f t="shared" si="24"/>
        <v>0.93</v>
      </c>
      <c r="T98" s="1">
        <f t="shared" si="25"/>
        <v>93</v>
      </c>
      <c r="U98" t="s">
        <v>311</v>
      </c>
    </row>
    <row r="99" spans="1:22" ht="24.95" customHeight="1" x14ac:dyDescent="0.25">
      <c r="A99" s="16"/>
      <c r="B99" s="16">
        <f t="shared" si="29"/>
        <v>94</v>
      </c>
      <c r="C99" s="16" t="s">
        <v>175</v>
      </c>
      <c r="D99" s="80">
        <v>4.7999999999999996E-3</v>
      </c>
      <c r="E99" s="214">
        <v>775884.94</v>
      </c>
      <c r="F99" s="98">
        <f>E99</f>
        <v>775884.94</v>
      </c>
      <c r="G99" s="61">
        <f t="shared" si="20"/>
        <v>0</v>
      </c>
      <c r="H99" s="21">
        <f t="shared" si="28"/>
        <v>0</v>
      </c>
      <c r="I99" s="22">
        <f t="shared" si="18"/>
        <v>387244.62681599997</v>
      </c>
      <c r="J99" s="22">
        <f t="shared" si="21"/>
        <v>0</v>
      </c>
      <c r="K99" s="22">
        <f t="shared" si="26"/>
        <v>185936.29261027643</v>
      </c>
      <c r="L99" s="22">
        <f t="shared" si="27"/>
        <v>202702.7028</v>
      </c>
      <c r="M99" s="74">
        <v>0</v>
      </c>
      <c r="N99" s="74">
        <v>0</v>
      </c>
      <c r="O99" s="60"/>
      <c r="P99" s="413">
        <f t="shared" si="22"/>
        <v>775884.94</v>
      </c>
      <c r="Q99" s="413"/>
      <c r="R99" s="363">
        <f t="shared" si="23"/>
        <v>799418.94</v>
      </c>
      <c r="S99" s="13">
        <f t="shared" si="24"/>
        <v>0.94</v>
      </c>
      <c r="T99" s="1">
        <f t="shared" si="25"/>
        <v>94</v>
      </c>
      <c r="U99" t="s">
        <v>194</v>
      </c>
    </row>
    <row r="100" spans="1:22" ht="24.95" customHeight="1" x14ac:dyDescent="0.25">
      <c r="A100" s="16"/>
      <c r="B100" s="16">
        <f t="shared" si="29"/>
        <v>95</v>
      </c>
      <c r="C100" s="16" t="s">
        <v>105</v>
      </c>
      <c r="D100" s="80">
        <v>4.7999999999999996E-3</v>
      </c>
      <c r="E100" s="214">
        <v>3875178.95</v>
      </c>
      <c r="F100" s="98">
        <v>700000</v>
      </c>
      <c r="G100" s="61">
        <f t="shared" si="20"/>
        <v>3175178.95</v>
      </c>
      <c r="H100" s="21">
        <f t="shared" si="28"/>
        <v>98017.774186500013</v>
      </c>
      <c r="I100" s="22">
        <f t="shared" si="18"/>
        <v>387244.62681599997</v>
      </c>
      <c r="J100" s="22">
        <f t="shared" si="21"/>
        <v>0</v>
      </c>
      <c r="K100" s="22">
        <f t="shared" si="26"/>
        <v>185936.29261027643</v>
      </c>
      <c r="L100" s="22">
        <f t="shared" si="27"/>
        <v>202702.7028</v>
      </c>
      <c r="M100" s="74">
        <v>0</v>
      </c>
      <c r="N100" s="74">
        <v>0</v>
      </c>
      <c r="O100" s="88"/>
      <c r="P100" s="413">
        <f t="shared" si="22"/>
        <v>4049080.95</v>
      </c>
      <c r="Q100" s="413"/>
      <c r="R100" s="363">
        <f t="shared" si="23"/>
        <v>4171890.95</v>
      </c>
      <c r="S100" s="13">
        <f t="shared" si="24"/>
        <v>0.95</v>
      </c>
      <c r="T100" s="1">
        <f t="shared" si="25"/>
        <v>95</v>
      </c>
    </row>
    <row r="101" spans="1:22" ht="24.95" customHeight="1" x14ac:dyDescent="0.25">
      <c r="A101" s="16"/>
      <c r="B101" s="16">
        <f t="shared" si="29"/>
        <v>96</v>
      </c>
      <c r="C101" s="16" t="s">
        <v>106</v>
      </c>
      <c r="D101" s="80">
        <v>4.7999999999999996E-3</v>
      </c>
      <c r="E101" s="214">
        <v>774637.96</v>
      </c>
      <c r="F101" s="98">
        <v>798133.96</v>
      </c>
      <c r="G101" s="61">
        <f t="shared" si="20"/>
        <v>-23496</v>
      </c>
      <c r="H101" s="21">
        <f t="shared" si="28"/>
        <v>0</v>
      </c>
      <c r="I101" s="22">
        <f t="shared" si="18"/>
        <v>387244.62681599997</v>
      </c>
      <c r="J101" s="22">
        <f t="shared" si="21"/>
        <v>0</v>
      </c>
      <c r="K101" s="22">
        <f t="shared" si="26"/>
        <v>185936.29261027643</v>
      </c>
      <c r="L101" s="22">
        <f t="shared" si="27"/>
        <v>202702.7028</v>
      </c>
      <c r="M101" s="74">
        <v>0</v>
      </c>
      <c r="N101" s="74">
        <v>0</v>
      </c>
      <c r="O101" s="88"/>
      <c r="P101" s="413">
        <f t="shared" si="22"/>
        <v>752388.96</v>
      </c>
      <c r="Q101" s="413"/>
      <c r="R101" s="363">
        <f t="shared" si="23"/>
        <v>775209.96</v>
      </c>
      <c r="S101" s="13">
        <f t="shared" si="24"/>
        <v>0.96</v>
      </c>
      <c r="T101" s="1">
        <f t="shared" si="25"/>
        <v>96</v>
      </c>
      <c r="U101" t="s">
        <v>206</v>
      </c>
    </row>
    <row r="102" spans="1:22" ht="24.95" customHeight="1" x14ac:dyDescent="0.25">
      <c r="A102" s="16"/>
      <c r="B102" s="16">
        <f t="shared" si="29"/>
        <v>97</v>
      </c>
      <c r="C102" s="16" t="s">
        <v>107</v>
      </c>
      <c r="D102" s="80">
        <v>4.7999999999999996E-3</v>
      </c>
      <c r="E102" s="214">
        <v>775884.97</v>
      </c>
      <c r="F102" s="98">
        <v>799500</v>
      </c>
      <c r="G102" s="61">
        <f t="shared" si="20"/>
        <v>-23615.030000000028</v>
      </c>
      <c r="H102" s="21">
        <f t="shared" si="28"/>
        <v>0</v>
      </c>
      <c r="I102" s="22">
        <f t="shared" si="18"/>
        <v>387244.62681599997</v>
      </c>
      <c r="J102" s="22">
        <f t="shared" ref="J102:J133" si="31">P$2*D102</f>
        <v>0</v>
      </c>
      <c r="K102" s="22">
        <f t="shared" si="26"/>
        <v>185936.29261027643</v>
      </c>
      <c r="L102" s="22">
        <f t="shared" si="27"/>
        <v>202702.7028</v>
      </c>
      <c r="M102" s="74">
        <v>0</v>
      </c>
      <c r="N102" s="74">
        <v>0</v>
      </c>
      <c r="O102" s="88"/>
      <c r="P102" s="413">
        <f t="shared" ref="P102:P133" si="32">ROUND(SUM(G102:O102),0) + S102</f>
        <v>752269.97</v>
      </c>
      <c r="Q102" s="413"/>
      <c r="R102" s="363">
        <f t="shared" ref="R102:R133" si="33">ROUND(P102+P102*3.033%,0) + S102</f>
        <v>775086.97</v>
      </c>
      <c r="S102" s="13">
        <f t="shared" ref="S102:S133" si="34">ROUND(0.001+B102/100,2)</f>
        <v>0.97</v>
      </c>
      <c r="T102" s="1">
        <f t="shared" ref="T102:T133" si="35">B102</f>
        <v>97</v>
      </c>
      <c r="U102" t="s">
        <v>221</v>
      </c>
    </row>
    <row r="103" spans="1:22" ht="24.95" customHeight="1" x14ac:dyDescent="0.25">
      <c r="A103" s="16"/>
      <c r="B103" s="16">
        <f t="shared" si="29"/>
        <v>98</v>
      </c>
      <c r="C103" s="16" t="s">
        <v>108</v>
      </c>
      <c r="D103" s="80">
        <v>4.7999999999999996E-3</v>
      </c>
      <c r="E103" s="214">
        <v>775884.98</v>
      </c>
      <c r="F103" s="98">
        <v>799418.98</v>
      </c>
      <c r="G103" s="61">
        <f t="shared" si="20"/>
        <v>-23534</v>
      </c>
      <c r="H103" s="21">
        <f t="shared" si="28"/>
        <v>0</v>
      </c>
      <c r="I103" s="22">
        <f t="shared" ref="I103:I158" si="36">K$2*D103</f>
        <v>387244.62681599997</v>
      </c>
      <c r="J103" s="22">
        <f t="shared" si="31"/>
        <v>0</v>
      </c>
      <c r="K103" s="22">
        <f t="shared" si="26"/>
        <v>185936.29261027643</v>
      </c>
      <c r="L103" s="22">
        <f t="shared" si="27"/>
        <v>202702.7028</v>
      </c>
      <c r="M103" s="74">
        <v>0</v>
      </c>
      <c r="N103" s="74">
        <v>0</v>
      </c>
      <c r="O103" s="88"/>
      <c r="P103" s="413">
        <f t="shared" si="32"/>
        <v>752350.98</v>
      </c>
      <c r="Q103" s="413"/>
      <c r="R103" s="363">
        <f t="shared" si="33"/>
        <v>775170.98</v>
      </c>
      <c r="S103" s="13">
        <f t="shared" si="34"/>
        <v>0.98</v>
      </c>
      <c r="T103" s="1">
        <f t="shared" si="35"/>
        <v>98</v>
      </c>
    </row>
    <row r="104" spans="1:22" ht="24.95" customHeight="1" x14ac:dyDescent="0.25">
      <c r="A104" s="16"/>
      <c r="B104" s="16">
        <f t="shared" si="29"/>
        <v>99</v>
      </c>
      <c r="C104" s="16" t="s">
        <v>109</v>
      </c>
      <c r="D104" s="80">
        <v>4.7999999999999996E-3</v>
      </c>
      <c r="E104" s="214">
        <v>799418.99</v>
      </c>
      <c r="F104" s="98">
        <f>E104</f>
        <v>799418.99</v>
      </c>
      <c r="G104" s="61">
        <f t="shared" si="20"/>
        <v>0</v>
      </c>
      <c r="H104" s="21">
        <f t="shared" si="28"/>
        <v>0</v>
      </c>
      <c r="I104" s="22">
        <f t="shared" si="36"/>
        <v>387244.62681599997</v>
      </c>
      <c r="J104" s="22">
        <f t="shared" si="31"/>
        <v>0</v>
      </c>
      <c r="K104" s="22">
        <f t="shared" si="26"/>
        <v>185936.29261027643</v>
      </c>
      <c r="L104" s="22">
        <f t="shared" si="27"/>
        <v>202702.7028</v>
      </c>
      <c r="M104" s="74">
        <v>0</v>
      </c>
      <c r="N104" s="74">
        <v>0</v>
      </c>
      <c r="O104" s="88"/>
      <c r="P104" s="413">
        <f t="shared" si="32"/>
        <v>775884.99</v>
      </c>
      <c r="Q104" s="413"/>
      <c r="R104" s="363">
        <f t="shared" si="33"/>
        <v>799418.99</v>
      </c>
      <c r="S104" s="13">
        <f t="shared" si="34"/>
        <v>0.99</v>
      </c>
      <c r="T104" s="1">
        <f t="shared" si="35"/>
        <v>99</v>
      </c>
      <c r="U104" s="10" t="s">
        <v>220</v>
      </c>
    </row>
    <row r="105" spans="1:22" ht="24.95" customHeight="1" x14ac:dyDescent="0.25">
      <c r="A105" s="16"/>
      <c r="B105" s="16">
        <f t="shared" si="29"/>
        <v>100</v>
      </c>
      <c r="C105" s="16" t="s">
        <v>110</v>
      </c>
      <c r="D105" s="80">
        <v>4.7999999999999996E-3</v>
      </c>
      <c r="E105" s="214">
        <v>775885</v>
      </c>
      <c r="F105" s="98">
        <v>799419</v>
      </c>
      <c r="G105" s="61">
        <f t="shared" si="20"/>
        <v>-23534</v>
      </c>
      <c r="H105" s="21">
        <f t="shared" si="28"/>
        <v>0</v>
      </c>
      <c r="I105" s="22">
        <f t="shared" si="36"/>
        <v>387244.62681599997</v>
      </c>
      <c r="J105" s="22">
        <f t="shared" si="31"/>
        <v>0</v>
      </c>
      <c r="K105" s="22">
        <f t="shared" si="26"/>
        <v>185936.29261027643</v>
      </c>
      <c r="L105" s="22">
        <f t="shared" si="27"/>
        <v>202702.7028</v>
      </c>
      <c r="M105" s="74">
        <v>0</v>
      </c>
      <c r="N105" s="74">
        <v>0</v>
      </c>
      <c r="O105" s="88"/>
      <c r="P105" s="413">
        <f t="shared" si="32"/>
        <v>752351</v>
      </c>
      <c r="Q105" s="413"/>
      <c r="R105" s="363">
        <f t="shared" si="33"/>
        <v>775171</v>
      </c>
      <c r="S105" s="13">
        <f t="shared" si="34"/>
        <v>1</v>
      </c>
      <c r="T105" s="1">
        <f t="shared" si="35"/>
        <v>100</v>
      </c>
    </row>
    <row r="106" spans="1:22" ht="24.95" customHeight="1" x14ac:dyDescent="0.25">
      <c r="A106" s="172"/>
      <c r="B106" s="16">
        <f t="shared" si="29"/>
        <v>101</v>
      </c>
      <c r="C106" s="16" t="s">
        <v>111</v>
      </c>
      <c r="D106" s="80">
        <v>4.7999999999999996E-3</v>
      </c>
      <c r="E106" s="214">
        <v>775884.01</v>
      </c>
      <c r="F106" s="98">
        <v>799418.01</v>
      </c>
      <c r="G106" s="61">
        <f t="shared" si="20"/>
        <v>-23534</v>
      </c>
      <c r="H106" s="21">
        <f t="shared" si="28"/>
        <v>0</v>
      </c>
      <c r="I106" s="22">
        <f t="shared" si="36"/>
        <v>387244.62681599997</v>
      </c>
      <c r="J106" s="22">
        <f t="shared" si="31"/>
        <v>0</v>
      </c>
      <c r="K106" s="22">
        <f t="shared" si="26"/>
        <v>185936.29261027643</v>
      </c>
      <c r="L106" s="22">
        <f t="shared" si="27"/>
        <v>202702.7028</v>
      </c>
      <c r="M106" s="74">
        <v>0</v>
      </c>
      <c r="N106" s="74">
        <v>0</v>
      </c>
      <c r="O106" s="88"/>
      <c r="P106" s="413">
        <f t="shared" si="32"/>
        <v>752351.01</v>
      </c>
      <c r="Q106" s="413"/>
      <c r="R106" s="363">
        <f t="shared" si="33"/>
        <v>775171.01</v>
      </c>
      <c r="S106" s="13">
        <f t="shared" si="34"/>
        <v>1.01</v>
      </c>
      <c r="T106" s="1">
        <f t="shared" si="35"/>
        <v>101</v>
      </c>
    </row>
    <row r="107" spans="1:22" ht="24.95" customHeight="1" x14ac:dyDescent="0.25">
      <c r="A107" s="16"/>
      <c r="B107" s="16">
        <f t="shared" si="29"/>
        <v>102</v>
      </c>
      <c r="C107" s="16" t="s">
        <v>112</v>
      </c>
      <c r="D107" s="80">
        <v>4.7999999999999996E-3</v>
      </c>
      <c r="E107" s="214">
        <v>771233.02</v>
      </c>
      <c r="F107" s="98">
        <v>772000</v>
      </c>
      <c r="G107" s="61">
        <f t="shared" si="20"/>
        <v>-766.97999999998137</v>
      </c>
      <c r="H107" s="21">
        <f t="shared" si="28"/>
        <v>0</v>
      </c>
      <c r="I107" s="22">
        <f t="shared" si="36"/>
        <v>387244.62681599997</v>
      </c>
      <c r="J107" s="22">
        <f t="shared" si="31"/>
        <v>0</v>
      </c>
      <c r="K107" s="22">
        <f t="shared" si="26"/>
        <v>185936.29261027643</v>
      </c>
      <c r="L107" s="22">
        <f t="shared" si="27"/>
        <v>202702.7028</v>
      </c>
      <c r="M107" s="74">
        <v>0</v>
      </c>
      <c r="N107" s="74">
        <v>0</v>
      </c>
      <c r="O107" s="88"/>
      <c r="P107" s="413">
        <f t="shared" si="32"/>
        <v>775118.02</v>
      </c>
      <c r="Q107" s="413"/>
      <c r="R107" s="363">
        <f t="shared" si="33"/>
        <v>798628.02</v>
      </c>
      <c r="S107" s="13">
        <f t="shared" si="34"/>
        <v>1.02</v>
      </c>
      <c r="T107" s="1">
        <f t="shared" si="35"/>
        <v>102</v>
      </c>
      <c r="U107" t="s">
        <v>280</v>
      </c>
    </row>
    <row r="108" spans="1:22" ht="24.95" customHeight="1" x14ac:dyDescent="0.25">
      <c r="A108" s="16"/>
      <c r="B108" s="16">
        <f t="shared" si="29"/>
        <v>103</v>
      </c>
      <c r="C108" s="16" t="s">
        <v>113</v>
      </c>
      <c r="D108" s="80">
        <v>4.7999999999999996E-3</v>
      </c>
      <c r="E108" s="214">
        <v>1575721.03</v>
      </c>
      <c r="F108" s="98">
        <v>1623514.03</v>
      </c>
      <c r="G108" s="61">
        <f t="shared" si="20"/>
        <v>-47793</v>
      </c>
      <c r="H108" s="21">
        <f t="shared" si="28"/>
        <v>0</v>
      </c>
      <c r="I108" s="22">
        <f t="shared" si="36"/>
        <v>387244.62681599997</v>
      </c>
      <c r="J108" s="22">
        <f t="shared" si="31"/>
        <v>0</v>
      </c>
      <c r="K108" s="22">
        <f t="shared" si="26"/>
        <v>185936.29261027643</v>
      </c>
      <c r="L108" s="22">
        <f t="shared" si="27"/>
        <v>202702.7028</v>
      </c>
      <c r="M108" s="74">
        <v>0</v>
      </c>
      <c r="N108" s="74">
        <v>0</v>
      </c>
      <c r="O108" s="88"/>
      <c r="P108" s="413">
        <f t="shared" si="32"/>
        <v>728092.03</v>
      </c>
      <c r="Q108" s="413"/>
      <c r="R108" s="363">
        <f t="shared" si="33"/>
        <v>750176.03</v>
      </c>
      <c r="S108" s="13">
        <f t="shared" si="34"/>
        <v>1.03</v>
      </c>
      <c r="T108" s="1">
        <f t="shared" si="35"/>
        <v>103</v>
      </c>
    </row>
    <row r="109" spans="1:22" ht="24.95" customHeight="1" x14ac:dyDescent="0.25">
      <c r="A109" s="263"/>
      <c r="B109" s="16">
        <f t="shared" si="29"/>
        <v>104</v>
      </c>
      <c r="C109" s="16" t="s">
        <v>114</v>
      </c>
      <c r="D109" s="80">
        <v>4.7000000000000002E-3</v>
      </c>
      <c r="E109" s="214">
        <v>1559337.04</v>
      </c>
      <c r="F109" s="215">
        <f>767817.04+767817+23703</f>
        <v>1559337.04</v>
      </c>
      <c r="G109" s="61">
        <f t="shared" si="20"/>
        <v>0</v>
      </c>
      <c r="H109" s="21">
        <f t="shared" si="28"/>
        <v>0</v>
      </c>
      <c r="I109" s="22">
        <f t="shared" si="36"/>
        <v>379177.030424</v>
      </c>
      <c r="J109" s="22">
        <f t="shared" si="31"/>
        <v>0</v>
      </c>
      <c r="K109" s="22">
        <f t="shared" si="26"/>
        <v>185936.29261027643</v>
      </c>
      <c r="L109" s="22">
        <f t="shared" si="27"/>
        <v>202702.7028</v>
      </c>
      <c r="M109" s="74">
        <v>0</v>
      </c>
      <c r="N109" s="74">
        <v>0</v>
      </c>
      <c r="O109" s="88"/>
      <c r="P109" s="413">
        <f t="shared" si="32"/>
        <v>767817.04</v>
      </c>
      <c r="Q109" s="413"/>
      <c r="R109" s="363">
        <f t="shared" si="33"/>
        <v>791106.04</v>
      </c>
      <c r="S109" s="13">
        <f t="shared" si="34"/>
        <v>1.04</v>
      </c>
      <c r="T109" s="1">
        <f t="shared" si="35"/>
        <v>104</v>
      </c>
      <c r="U109" t="s">
        <v>455</v>
      </c>
    </row>
    <row r="110" spans="1:22" ht="24.95" customHeight="1" x14ac:dyDescent="0.25">
      <c r="A110" s="179"/>
      <c r="B110" s="16">
        <f t="shared" si="29"/>
        <v>105</v>
      </c>
      <c r="C110" s="16" t="s">
        <v>115</v>
      </c>
      <c r="D110" s="80">
        <v>4.1999999999999997E-3</v>
      </c>
      <c r="E110" s="214">
        <v>727479.05</v>
      </c>
      <c r="F110" s="98">
        <v>749544</v>
      </c>
      <c r="G110" s="62">
        <f t="shared" si="20"/>
        <v>-22064.949999999953</v>
      </c>
      <c r="H110" s="81">
        <f t="shared" si="28"/>
        <v>0</v>
      </c>
      <c r="I110" s="74">
        <f t="shared" si="36"/>
        <v>338839.04846399999</v>
      </c>
      <c r="J110" s="74">
        <f t="shared" si="31"/>
        <v>0</v>
      </c>
      <c r="K110" s="74">
        <f t="shared" si="26"/>
        <v>185936.29261027643</v>
      </c>
      <c r="L110" s="74">
        <f t="shared" si="27"/>
        <v>202702.7028</v>
      </c>
      <c r="M110" s="74">
        <v>0</v>
      </c>
      <c r="N110" s="74">
        <v>0</v>
      </c>
      <c r="O110" s="88"/>
      <c r="P110" s="413">
        <f t="shared" si="32"/>
        <v>705414.05</v>
      </c>
      <c r="Q110" s="413"/>
      <c r="R110" s="363">
        <f t="shared" si="33"/>
        <v>726810.05</v>
      </c>
      <c r="S110" s="82">
        <f t="shared" si="34"/>
        <v>1.05</v>
      </c>
      <c r="T110" s="60">
        <f t="shared" si="35"/>
        <v>105</v>
      </c>
      <c r="U110" s="157" t="s">
        <v>316</v>
      </c>
      <c r="V110" s="36"/>
    </row>
    <row r="111" spans="1:22" ht="24.95" customHeight="1" x14ac:dyDescent="0.25">
      <c r="A111" s="279"/>
      <c r="B111" s="16">
        <f t="shared" si="29"/>
        <v>106</v>
      </c>
      <c r="C111" s="16" t="s">
        <v>116</v>
      </c>
      <c r="D111" s="80">
        <v>4.4000000000000003E-3</v>
      </c>
      <c r="E111" s="214">
        <v>1052935.06</v>
      </c>
      <c r="F111" s="98">
        <f>117600+271370</f>
        <v>388970</v>
      </c>
      <c r="G111" s="62">
        <f t="shared" si="20"/>
        <v>663965.06000000006</v>
      </c>
      <c r="H111" s="81">
        <f t="shared" si="28"/>
        <v>20496.601402200002</v>
      </c>
      <c r="I111" s="74">
        <f t="shared" si="36"/>
        <v>354974.24124800001</v>
      </c>
      <c r="J111" s="74">
        <f t="shared" si="31"/>
        <v>0</v>
      </c>
      <c r="K111" s="74">
        <f t="shared" si="26"/>
        <v>185936.29261027643</v>
      </c>
      <c r="L111" s="74">
        <f t="shared" si="27"/>
        <v>202702.7028</v>
      </c>
      <c r="M111" s="74">
        <v>0</v>
      </c>
      <c r="N111" s="74">
        <f>(I111+K111)/2</f>
        <v>270455.26692913822</v>
      </c>
      <c r="O111" s="88"/>
      <c r="P111" s="413">
        <f t="shared" si="32"/>
        <v>1698531.06</v>
      </c>
      <c r="Q111" s="413"/>
      <c r="R111" s="363">
        <f t="shared" si="33"/>
        <v>1750049.06</v>
      </c>
      <c r="S111" s="82">
        <f t="shared" si="34"/>
        <v>1.06</v>
      </c>
      <c r="T111" s="60">
        <f t="shared" si="35"/>
        <v>106</v>
      </c>
      <c r="U111" t="s">
        <v>336</v>
      </c>
    </row>
    <row r="112" spans="1:22" ht="24.95" customHeight="1" x14ac:dyDescent="0.25">
      <c r="A112" s="16"/>
      <c r="B112" s="16">
        <f t="shared" si="29"/>
        <v>107</v>
      </c>
      <c r="C112" s="16" t="s">
        <v>117</v>
      </c>
      <c r="D112" s="80">
        <v>4.4000000000000003E-3</v>
      </c>
      <c r="E112" s="214">
        <v>766169.07</v>
      </c>
      <c r="F112" s="215">
        <v>743614.07</v>
      </c>
      <c r="G112" s="61">
        <f t="shared" si="20"/>
        <v>22555</v>
      </c>
      <c r="H112" s="21">
        <f t="shared" si="28"/>
        <v>696.27285000000006</v>
      </c>
      <c r="I112" s="22">
        <f t="shared" si="36"/>
        <v>354974.24124800001</v>
      </c>
      <c r="J112" s="22">
        <f t="shared" si="31"/>
        <v>0</v>
      </c>
      <c r="K112" s="22">
        <f t="shared" si="26"/>
        <v>185936.29261027643</v>
      </c>
      <c r="L112" s="22">
        <f t="shared" si="27"/>
        <v>202702.7028</v>
      </c>
      <c r="M112" s="74">
        <v>0</v>
      </c>
      <c r="N112" s="74">
        <v>0</v>
      </c>
      <c r="O112" s="88"/>
      <c r="P112" s="413">
        <f t="shared" si="32"/>
        <v>766866.07</v>
      </c>
      <c r="Q112" s="413"/>
      <c r="R112" s="363">
        <f t="shared" si="33"/>
        <v>790126.07</v>
      </c>
      <c r="S112" s="13">
        <f t="shared" si="34"/>
        <v>1.07</v>
      </c>
      <c r="T112" s="1">
        <f t="shared" si="35"/>
        <v>107</v>
      </c>
      <c r="U112" t="s">
        <v>252</v>
      </c>
    </row>
    <row r="113" spans="1:25" ht="24.95" customHeight="1" x14ac:dyDescent="0.25">
      <c r="A113" s="16"/>
      <c r="B113" s="16">
        <f t="shared" si="29"/>
        <v>108</v>
      </c>
      <c r="C113" s="16" t="s">
        <v>118</v>
      </c>
      <c r="D113" s="80">
        <v>4.4000000000000003E-3</v>
      </c>
      <c r="E113" s="214">
        <v>743614.08</v>
      </c>
      <c r="F113" s="98">
        <v>766169.08</v>
      </c>
      <c r="G113" s="61">
        <f t="shared" si="20"/>
        <v>-22555</v>
      </c>
      <c r="H113" s="21">
        <f t="shared" si="28"/>
        <v>0</v>
      </c>
      <c r="I113" s="22">
        <f t="shared" si="36"/>
        <v>354974.24124800001</v>
      </c>
      <c r="J113" s="22">
        <f t="shared" si="31"/>
        <v>0</v>
      </c>
      <c r="K113" s="22">
        <f t="shared" si="26"/>
        <v>185936.29261027643</v>
      </c>
      <c r="L113" s="22">
        <f t="shared" si="27"/>
        <v>202702.7028</v>
      </c>
      <c r="M113" s="74">
        <v>0</v>
      </c>
      <c r="N113" s="74">
        <v>0</v>
      </c>
      <c r="O113" s="88"/>
      <c r="P113" s="413">
        <f t="shared" si="32"/>
        <v>721059.08</v>
      </c>
      <c r="Q113" s="413"/>
      <c r="R113" s="363">
        <f t="shared" si="33"/>
        <v>742930.08</v>
      </c>
      <c r="S113" s="13">
        <f t="shared" si="34"/>
        <v>1.08</v>
      </c>
      <c r="T113" s="1">
        <f t="shared" si="35"/>
        <v>108</v>
      </c>
    </row>
    <row r="114" spans="1:25" ht="24.95" customHeight="1" x14ac:dyDescent="0.25">
      <c r="A114" s="181"/>
      <c r="B114" s="16">
        <f t="shared" si="29"/>
        <v>109</v>
      </c>
      <c r="C114" s="16" t="s">
        <v>119</v>
      </c>
      <c r="D114" s="80">
        <v>4.4999999999999997E-3</v>
      </c>
      <c r="E114" s="214">
        <v>1537008.09</v>
      </c>
      <c r="F114" s="98">
        <v>800000</v>
      </c>
      <c r="G114" s="61">
        <f t="shared" si="20"/>
        <v>737008.09000000008</v>
      </c>
      <c r="H114" s="21">
        <f t="shared" si="28"/>
        <v>22751.439738300003</v>
      </c>
      <c r="I114" s="22">
        <f t="shared" si="36"/>
        <v>363041.83763999998</v>
      </c>
      <c r="J114" s="22">
        <f t="shared" si="31"/>
        <v>0</v>
      </c>
      <c r="K114" s="22">
        <f t="shared" si="26"/>
        <v>185936.29261027643</v>
      </c>
      <c r="L114" s="22">
        <f t="shared" si="27"/>
        <v>202702.7028</v>
      </c>
      <c r="M114" s="74">
        <v>0</v>
      </c>
      <c r="N114" s="74">
        <v>0</v>
      </c>
      <c r="O114" s="88"/>
      <c r="P114" s="413">
        <f t="shared" si="32"/>
        <v>1511441.09</v>
      </c>
      <c r="Q114" s="413"/>
      <c r="R114" s="363">
        <f t="shared" si="33"/>
        <v>1557284.09</v>
      </c>
      <c r="S114" s="13">
        <f t="shared" si="34"/>
        <v>1.0900000000000001</v>
      </c>
      <c r="T114" s="1">
        <f t="shared" si="35"/>
        <v>109</v>
      </c>
      <c r="U114" t="s">
        <v>248</v>
      </c>
    </row>
    <row r="115" spans="1:25" ht="24.95" customHeight="1" x14ac:dyDescent="0.25">
      <c r="A115" s="16"/>
      <c r="B115" s="16">
        <f t="shared" si="29"/>
        <v>110</v>
      </c>
      <c r="C115" s="16" t="s">
        <v>120</v>
      </c>
      <c r="D115" s="80">
        <v>4.5999999999999999E-3</v>
      </c>
      <c r="E115" s="214">
        <v>1542293.1</v>
      </c>
      <c r="F115" s="98">
        <v>800000</v>
      </c>
      <c r="G115" s="61">
        <f t="shared" si="20"/>
        <v>742293.10000000009</v>
      </c>
      <c r="H115" s="21">
        <f t="shared" si="28"/>
        <v>22914.587997000002</v>
      </c>
      <c r="I115" s="22">
        <f t="shared" si="36"/>
        <v>371109.43403200002</v>
      </c>
      <c r="J115" s="22">
        <f t="shared" si="31"/>
        <v>0</v>
      </c>
      <c r="K115" s="22">
        <f t="shared" si="26"/>
        <v>185936.29261027643</v>
      </c>
      <c r="L115" s="22">
        <f t="shared" si="27"/>
        <v>202702.7028</v>
      </c>
      <c r="M115" s="74">
        <v>0</v>
      </c>
      <c r="N115" s="74">
        <v>0</v>
      </c>
      <c r="O115" s="88"/>
      <c r="P115" s="413">
        <f t="shared" si="32"/>
        <v>1524957.1</v>
      </c>
      <c r="Q115" s="413"/>
      <c r="R115" s="363">
        <f t="shared" si="33"/>
        <v>1571210.1</v>
      </c>
      <c r="S115" s="13">
        <f t="shared" si="34"/>
        <v>1.1000000000000001</v>
      </c>
      <c r="T115" s="1">
        <f t="shared" si="35"/>
        <v>110</v>
      </c>
      <c r="U115" t="s">
        <v>256</v>
      </c>
      <c r="Y115" s="41"/>
    </row>
    <row r="116" spans="1:25" ht="24.95" customHeight="1" x14ac:dyDescent="0.25">
      <c r="A116" s="16"/>
      <c r="B116" s="16">
        <f t="shared" si="29"/>
        <v>111</v>
      </c>
      <c r="C116" s="16" t="s">
        <v>121</v>
      </c>
      <c r="D116" s="80">
        <v>4.4999999999999997E-3</v>
      </c>
      <c r="E116" s="214">
        <v>751682.11</v>
      </c>
      <c r="F116" s="98">
        <f>E116</f>
        <v>751682.11</v>
      </c>
      <c r="G116" s="61">
        <f t="shared" si="20"/>
        <v>0</v>
      </c>
      <c r="H116" s="21">
        <f t="shared" si="28"/>
        <v>0</v>
      </c>
      <c r="I116" s="22">
        <f t="shared" si="36"/>
        <v>363041.83763999998</v>
      </c>
      <c r="J116" s="22">
        <f t="shared" si="31"/>
        <v>0</v>
      </c>
      <c r="K116" s="22">
        <f t="shared" si="26"/>
        <v>185936.29261027643</v>
      </c>
      <c r="L116" s="22">
        <f t="shared" si="27"/>
        <v>202702.7028</v>
      </c>
      <c r="M116" s="74">
        <v>0</v>
      </c>
      <c r="N116" s="74">
        <v>0</v>
      </c>
      <c r="O116" s="88"/>
      <c r="P116" s="413">
        <f t="shared" si="32"/>
        <v>751682.11</v>
      </c>
      <c r="Q116" s="413"/>
      <c r="R116" s="363">
        <f t="shared" si="33"/>
        <v>774482.11</v>
      </c>
      <c r="S116" s="13">
        <f t="shared" si="34"/>
        <v>1.1100000000000001</v>
      </c>
      <c r="T116" s="1">
        <f t="shared" si="35"/>
        <v>111</v>
      </c>
    </row>
    <row r="117" spans="1:25" ht="24.95" customHeight="1" x14ac:dyDescent="0.25">
      <c r="A117" s="181"/>
      <c r="B117" s="16">
        <f t="shared" si="29"/>
        <v>112</v>
      </c>
      <c r="C117" s="16" t="s">
        <v>122</v>
      </c>
      <c r="D117" s="80">
        <v>4.4999999999999997E-3</v>
      </c>
      <c r="E117" s="214">
        <v>758432.12</v>
      </c>
      <c r="F117" s="98">
        <v>785000</v>
      </c>
      <c r="G117" s="61">
        <f t="shared" si="20"/>
        <v>-26567.880000000005</v>
      </c>
      <c r="H117" s="21">
        <f t="shared" si="28"/>
        <v>0</v>
      </c>
      <c r="I117" s="22">
        <f t="shared" si="36"/>
        <v>363041.83763999998</v>
      </c>
      <c r="J117" s="22">
        <f t="shared" si="31"/>
        <v>0</v>
      </c>
      <c r="K117" s="22">
        <f t="shared" si="26"/>
        <v>185936.29261027643</v>
      </c>
      <c r="L117" s="22">
        <f t="shared" si="27"/>
        <v>202702.7028</v>
      </c>
      <c r="M117" s="74">
        <v>0</v>
      </c>
      <c r="N117" s="74">
        <v>0</v>
      </c>
      <c r="O117" s="88"/>
      <c r="P117" s="413">
        <f t="shared" si="32"/>
        <v>725114.12</v>
      </c>
      <c r="Q117" s="413"/>
      <c r="R117" s="363">
        <f t="shared" si="33"/>
        <v>747108.12</v>
      </c>
      <c r="S117" s="13">
        <f t="shared" si="34"/>
        <v>1.1200000000000001</v>
      </c>
      <c r="T117" s="1">
        <f t="shared" si="35"/>
        <v>112</v>
      </c>
      <c r="U117" t="s">
        <v>205</v>
      </c>
    </row>
    <row r="118" spans="1:25" ht="24.95" customHeight="1" x14ac:dyDescent="0.25">
      <c r="A118" s="16"/>
      <c r="B118" s="16">
        <f t="shared" si="29"/>
        <v>113</v>
      </c>
      <c r="C118" s="16" t="s">
        <v>123</v>
      </c>
      <c r="D118" s="80">
        <v>4.7000000000000002E-3</v>
      </c>
      <c r="E118" s="214">
        <v>767817.13</v>
      </c>
      <c r="F118" s="98">
        <v>791106.13</v>
      </c>
      <c r="G118" s="61">
        <f t="shared" si="20"/>
        <v>-23289</v>
      </c>
      <c r="H118" s="21">
        <f t="shared" si="28"/>
        <v>0</v>
      </c>
      <c r="I118" s="22">
        <f t="shared" si="36"/>
        <v>379177.030424</v>
      </c>
      <c r="J118" s="22">
        <f t="shared" si="31"/>
        <v>0</v>
      </c>
      <c r="K118" s="22">
        <f t="shared" si="26"/>
        <v>185936.29261027643</v>
      </c>
      <c r="L118" s="22">
        <f t="shared" si="27"/>
        <v>202702.7028</v>
      </c>
      <c r="M118" s="74">
        <v>0</v>
      </c>
      <c r="N118" s="74">
        <v>0</v>
      </c>
      <c r="O118" s="88"/>
      <c r="P118" s="413">
        <f t="shared" si="32"/>
        <v>744528.13</v>
      </c>
      <c r="Q118" s="413"/>
      <c r="R118" s="363">
        <f t="shared" si="33"/>
        <v>767111.13</v>
      </c>
      <c r="S118" s="13">
        <f t="shared" si="34"/>
        <v>1.1299999999999999</v>
      </c>
      <c r="T118" s="1">
        <f t="shared" si="35"/>
        <v>113</v>
      </c>
    </row>
    <row r="119" spans="1:25" ht="24.95" customHeight="1" x14ac:dyDescent="0.25">
      <c r="A119" s="16"/>
      <c r="B119" s="16">
        <f t="shared" si="29"/>
        <v>114</v>
      </c>
      <c r="C119" s="16" t="s">
        <v>124</v>
      </c>
      <c r="D119" s="80">
        <v>4.4999999999999997E-3</v>
      </c>
      <c r="E119" s="214">
        <v>751682.14</v>
      </c>
      <c r="F119" s="98">
        <v>774482.14</v>
      </c>
      <c r="G119" s="61">
        <f t="shared" si="20"/>
        <v>-22800</v>
      </c>
      <c r="H119" s="21">
        <f t="shared" si="28"/>
        <v>0</v>
      </c>
      <c r="I119" s="22">
        <f t="shared" si="36"/>
        <v>363041.83763999998</v>
      </c>
      <c r="J119" s="22">
        <f t="shared" si="31"/>
        <v>0</v>
      </c>
      <c r="K119" s="22">
        <f t="shared" si="26"/>
        <v>185936.29261027643</v>
      </c>
      <c r="L119" s="22">
        <f t="shared" si="27"/>
        <v>202702.7028</v>
      </c>
      <c r="M119" s="74">
        <v>0</v>
      </c>
      <c r="N119" s="74">
        <v>0</v>
      </c>
      <c r="O119" s="88"/>
      <c r="P119" s="413">
        <f t="shared" si="32"/>
        <v>728882.14</v>
      </c>
      <c r="Q119" s="413"/>
      <c r="R119" s="363">
        <f t="shared" si="33"/>
        <v>750990.14</v>
      </c>
      <c r="S119" s="13">
        <f t="shared" si="34"/>
        <v>1.1399999999999999</v>
      </c>
      <c r="T119" s="1">
        <f t="shared" si="35"/>
        <v>114</v>
      </c>
    </row>
    <row r="120" spans="1:25" ht="24.95" customHeight="1" x14ac:dyDescent="0.25">
      <c r="A120" s="16"/>
      <c r="B120" s="16">
        <f t="shared" si="29"/>
        <v>115</v>
      </c>
      <c r="C120" s="16" t="s">
        <v>125</v>
      </c>
      <c r="D120" s="80">
        <v>6.4000000000000003E-3</v>
      </c>
      <c r="E120" s="214">
        <v>1837869.15</v>
      </c>
      <c r="F120" s="98">
        <f>1893613.15</f>
        <v>1893613.15</v>
      </c>
      <c r="G120" s="61">
        <f t="shared" si="20"/>
        <v>-55744</v>
      </c>
      <c r="H120" s="21">
        <f t="shared" si="28"/>
        <v>0</v>
      </c>
      <c r="I120" s="22">
        <f t="shared" si="36"/>
        <v>516326.16908800002</v>
      </c>
      <c r="J120" s="22">
        <f t="shared" si="31"/>
        <v>0</v>
      </c>
      <c r="K120" s="22">
        <f t="shared" si="26"/>
        <v>185936.29261027643</v>
      </c>
      <c r="L120" s="22">
        <f t="shared" si="27"/>
        <v>202702.7028</v>
      </c>
      <c r="M120" s="74">
        <v>0</v>
      </c>
      <c r="N120" s="74">
        <v>0</v>
      </c>
      <c r="O120" s="88"/>
      <c r="P120" s="413">
        <f t="shared" si="32"/>
        <v>849222.15</v>
      </c>
      <c r="Q120" s="413"/>
      <c r="R120" s="363">
        <f t="shared" si="33"/>
        <v>874980.15</v>
      </c>
      <c r="S120" s="13">
        <f t="shared" si="34"/>
        <v>1.1499999999999999</v>
      </c>
      <c r="T120" s="1">
        <f t="shared" si="35"/>
        <v>115</v>
      </c>
      <c r="U120" t="s">
        <v>308</v>
      </c>
    </row>
    <row r="121" spans="1:25" ht="24.95" customHeight="1" x14ac:dyDescent="0.25">
      <c r="A121" s="16"/>
      <c r="B121" s="16">
        <f t="shared" si="29"/>
        <v>116</v>
      </c>
      <c r="C121" s="16" t="s">
        <v>126</v>
      </c>
      <c r="D121" s="80">
        <v>5.7999999999999996E-3</v>
      </c>
      <c r="E121" s="214">
        <v>1739564.16</v>
      </c>
      <c r="F121" s="98">
        <f>1792326.16</f>
        <v>1792326.16</v>
      </c>
      <c r="G121" s="61">
        <f t="shared" si="20"/>
        <v>-52762</v>
      </c>
      <c r="H121" s="21">
        <f t="shared" si="28"/>
        <v>0</v>
      </c>
      <c r="I121" s="22">
        <f t="shared" si="36"/>
        <v>467920.59073599998</v>
      </c>
      <c r="J121" s="22">
        <f t="shared" si="31"/>
        <v>0</v>
      </c>
      <c r="K121" s="22">
        <f t="shared" si="26"/>
        <v>185936.29261027643</v>
      </c>
      <c r="L121" s="22">
        <f t="shared" si="27"/>
        <v>202702.7028</v>
      </c>
      <c r="M121" s="74">
        <v>0</v>
      </c>
      <c r="N121" s="74">
        <v>0</v>
      </c>
      <c r="O121" s="88"/>
      <c r="P121" s="413">
        <f t="shared" si="32"/>
        <v>803799.16</v>
      </c>
      <c r="Q121" s="413"/>
      <c r="R121" s="363">
        <f t="shared" si="33"/>
        <v>828179.16</v>
      </c>
      <c r="S121" s="13">
        <f t="shared" si="34"/>
        <v>1.1599999999999999</v>
      </c>
      <c r="T121" s="1">
        <f t="shared" si="35"/>
        <v>116</v>
      </c>
    </row>
    <row r="122" spans="1:25" ht="24.95" customHeight="1" x14ac:dyDescent="0.25">
      <c r="A122" s="16"/>
      <c r="B122" s="16">
        <f t="shared" si="29"/>
        <v>117</v>
      </c>
      <c r="C122" s="16" t="s">
        <v>127</v>
      </c>
      <c r="D122" s="80">
        <v>6.1000000000000004E-3</v>
      </c>
      <c r="E122" s="214">
        <v>880763.17</v>
      </c>
      <c r="F122" s="98">
        <v>907478.17</v>
      </c>
      <c r="G122" s="61">
        <f t="shared" si="20"/>
        <v>-26715</v>
      </c>
      <c r="H122" s="21">
        <f t="shared" si="28"/>
        <v>0</v>
      </c>
      <c r="I122" s="22">
        <f t="shared" si="36"/>
        <v>492123.37991200003</v>
      </c>
      <c r="J122" s="22">
        <f t="shared" si="31"/>
        <v>0</v>
      </c>
      <c r="K122" s="22">
        <f t="shared" si="26"/>
        <v>185936.29261027643</v>
      </c>
      <c r="L122" s="22">
        <f t="shared" si="27"/>
        <v>202702.7028</v>
      </c>
      <c r="M122" s="74">
        <v>0</v>
      </c>
      <c r="N122" s="74">
        <v>0</v>
      </c>
      <c r="O122" s="88"/>
      <c r="P122" s="413">
        <f t="shared" si="32"/>
        <v>854048.17</v>
      </c>
      <c r="Q122" s="413"/>
      <c r="R122" s="363">
        <f t="shared" si="33"/>
        <v>879952.17</v>
      </c>
      <c r="S122" s="13">
        <f t="shared" si="34"/>
        <v>1.17</v>
      </c>
      <c r="T122" s="1">
        <f t="shared" si="35"/>
        <v>117</v>
      </c>
      <c r="U122" t="s">
        <v>281</v>
      </c>
    </row>
    <row r="123" spans="1:25" ht="24.95" customHeight="1" x14ac:dyDescent="0.25">
      <c r="A123" s="16"/>
      <c r="B123" s="16">
        <f t="shared" si="29"/>
        <v>118</v>
      </c>
      <c r="C123" s="16" t="s">
        <v>128</v>
      </c>
      <c r="D123" s="80">
        <v>5.7999999999999996E-3</v>
      </c>
      <c r="E123" s="214">
        <v>881572.18</v>
      </c>
      <c r="F123" s="98">
        <f>2447160-F125-F126</f>
        <v>881573.59000000008</v>
      </c>
      <c r="G123" s="61">
        <f t="shared" si="20"/>
        <v>-1.4100000000325963</v>
      </c>
      <c r="H123" s="21">
        <f t="shared" si="28"/>
        <v>0</v>
      </c>
      <c r="I123" s="22">
        <f t="shared" si="36"/>
        <v>467920.59073599998</v>
      </c>
      <c r="J123" s="22">
        <f t="shared" si="31"/>
        <v>0</v>
      </c>
      <c r="K123" s="22">
        <f t="shared" si="26"/>
        <v>185936.29261027643</v>
      </c>
      <c r="L123" s="22">
        <f t="shared" si="27"/>
        <v>202702.7028</v>
      </c>
      <c r="M123" s="74">
        <v>0</v>
      </c>
      <c r="N123" s="74">
        <v>0</v>
      </c>
      <c r="O123" s="88"/>
      <c r="P123" s="413">
        <f t="shared" si="32"/>
        <v>856559.18</v>
      </c>
      <c r="Q123" s="413"/>
      <c r="R123" s="363">
        <f t="shared" si="33"/>
        <v>882540.18</v>
      </c>
      <c r="S123" s="13">
        <f t="shared" si="34"/>
        <v>1.18</v>
      </c>
      <c r="T123" s="1">
        <f t="shared" si="35"/>
        <v>118</v>
      </c>
      <c r="U123" t="s">
        <v>304</v>
      </c>
    </row>
    <row r="124" spans="1:25" ht="24.95" customHeight="1" x14ac:dyDescent="0.25">
      <c r="A124" s="331"/>
      <c r="B124" s="16">
        <f t="shared" si="29"/>
        <v>119</v>
      </c>
      <c r="C124" s="16" t="s">
        <v>129</v>
      </c>
      <c r="D124" s="80">
        <v>5.4000000000000003E-3</v>
      </c>
      <c r="E124" s="214">
        <v>824556.19</v>
      </c>
      <c r="F124" s="98">
        <v>821000</v>
      </c>
      <c r="G124" s="61">
        <f t="shared" si="20"/>
        <v>3556.1899999999441</v>
      </c>
      <c r="H124" s="21">
        <f t="shared" si="28"/>
        <v>109.77958529999827</v>
      </c>
      <c r="I124" s="22">
        <f t="shared" si="36"/>
        <v>435650.20516800001</v>
      </c>
      <c r="J124" s="22">
        <f t="shared" si="31"/>
        <v>0</v>
      </c>
      <c r="K124" s="22">
        <f t="shared" si="26"/>
        <v>185936.29261027643</v>
      </c>
      <c r="L124" s="22">
        <f t="shared" si="27"/>
        <v>202702.7028</v>
      </c>
      <c r="M124" s="74">
        <v>0</v>
      </c>
      <c r="N124" s="74">
        <v>0</v>
      </c>
      <c r="O124" s="88"/>
      <c r="P124" s="413">
        <f t="shared" si="32"/>
        <v>827956.19</v>
      </c>
      <c r="Q124" s="413"/>
      <c r="R124" s="363">
        <f t="shared" si="33"/>
        <v>853069.19</v>
      </c>
      <c r="S124" s="13">
        <f t="shared" si="34"/>
        <v>1.19</v>
      </c>
      <c r="T124" s="1">
        <f t="shared" si="35"/>
        <v>119</v>
      </c>
      <c r="U124" t="s">
        <v>210</v>
      </c>
    </row>
    <row r="125" spans="1:25" ht="24.6" customHeight="1" x14ac:dyDescent="0.25">
      <c r="A125" s="16"/>
      <c r="B125" s="16">
        <f t="shared" si="29"/>
        <v>120</v>
      </c>
      <c r="C125" s="16" t="s">
        <v>128</v>
      </c>
      <c r="D125" s="80">
        <v>4.5999999999999999E-3</v>
      </c>
      <c r="E125" s="214">
        <v>782793.2</v>
      </c>
      <c r="F125" s="215">
        <f>E125</f>
        <v>782793.2</v>
      </c>
      <c r="G125" s="61">
        <f t="shared" si="20"/>
        <v>0</v>
      </c>
      <c r="H125" s="21">
        <f t="shared" si="28"/>
        <v>0</v>
      </c>
      <c r="I125" s="22">
        <f t="shared" si="36"/>
        <v>371109.43403200002</v>
      </c>
      <c r="J125" s="22">
        <f t="shared" si="31"/>
        <v>0</v>
      </c>
      <c r="K125" s="22">
        <f t="shared" si="26"/>
        <v>185936.29261027643</v>
      </c>
      <c r="L125" s="22">
        <f t="shared" si="27"/>
        <v>202702.7028</v>
      </c>
      <c r="M125" s="74">
        <v>0</v>
      </c>
      <c r="N125" s="74">
        <v>0</v>
      </c>
      <c r="O125" s="88"/>
      <c r="P125" s="413">
        <f t="shared" si="32"/>
        <v>759749.2</v>
      </c>
      <c r="Q125" s="413"/>
      <c r="R125" s="363">
        <f t="shared" si="33"/>
        <v>782793.2</v>
      </c>
      <c r="S125" s="13">
        <f t="shared" si="34"/>
        <v>1.2</v>
      </c>
      <c r="T125" s="1">
        <f t="shared" si="35"/>
        <v>120</v>
      </c>
      <c r="U125" t="s">
        <v>305</v>
      </c>
    </row>
    <row r="126" spans="1:25" ht="24.95" customHeight="1" x14ac:dyDescent="0.25">
      <c r="A126" s="16"/>
      <c r="B126" s="16">
        <f t="shared" si="29"/>
        <v>121</v>
      </c>
      <c r="C126" s="16" t="s">
        <v>128</v>
      </c>
      <c r="D126" s="80">
        <v>4.5999999999999999E-3</v>
      </c>
      <c r="E126" s="214">
        <v>782793.21</v>
      </c>
      <c r="F126" s="215">
        <f>E126</f>
        <v>782793.21</v>
      </c>
      <c r="G126" s="61">
        <f t="shared" si="20"/>
        <v>0</v>
      </c>
      <c r="H126" s="21">
        <f t="shared" si="28"/>
        <v>0</v>
      </c>
      <c r="I126" s="22">
        <f t="shared" si="36"/>
        <v>371109.43403200002</v>
      </c>
      <c r="J126" s="22">
        <f t="shared" si="31"/>
        <v>0</v>
      </c>
      <c r="K126" s="22">
        <f t="shared" si="26"/>
        <v>185936.29261027643</v>
      </c>
      <c r="L126" s="22">
        <f t="shared" si="27"/>
        <v>202702.7028</v>
      </c>
      <c r="M126" s="74">
        <v>0</v>
      </c>
      <c r="N126" s="74">
        <v>0</v>
      </c>
      <c r="O126" s="88"/>
      <c r="P126" s="413">
        <f t="shared" si="32"/>
        <v>759749.21</v>
      </c>
      <c r="Q126" s="413"/>
      <c r="R126" s="363">
        <f t="shared" si="33"/>
        <v>782793.21</v>
      </c>
      <c r="S126" s="13">
        <f t="shared" si="34"/>
        <v>1.21</v>
      </c>
      <c r="T126" s="1">
        <f t="shared" si="35"/>
        <v>121</v>
      </c>
      <c r="U126" t="s">
        <v>305</v>
      </c>
    </row>
    <row r="127" spans="1:25" ht="24.95" customHeight="1" x14ac:dyDescent="0.25">
      <c r="A127" s="16"/>
      <c r="B127" s="16">
        <f t="shared" si="29"/>
        <v>122</v>
      </c>
      <c r="C127" s="16" t="s">
        <v>130</v>
      </c>
      <c r="D127" s="80">
        <v>4.5999999999999999E-3</v>
      </c>
      <c r="E127" s="214">
        <v>759749.22</v>
      </c>
      <c r="F127" s="98">
        <v>782793.22</v>
      </c>
      <c r="G127" s="61">
        <f t="shared" si="20"/>
        <v>-23044</v>
      </c>
      <c r="H127" s="21">
        <f t="shared" si="28"/>
        <v>0</v>
      </c>
      <c r="I127" s="22">
        <f t="shared" si="36"/>
        <v>371109.43403200002</v>
      </c>
      <c r="J127" s="22">
        <f t="shared" si="31"/>
        <v>0</v>
      </c>
      <c r="K127" s="22">
        <f t="shared" si="26"/>
        <v>185936.29261027643</v>
      </c>
      <c r="L127" s="22">
        <f t="shared" si="27"/>
        <v>202702.7028</v>
      </c>
      <c r="M127" s="74">
        <v>0</v>
      </c>
      <c r="N127" s="74">
        <v>0</v>
      </c>
      <c r="O127" s="74"/>
      <c r="P127" s="413">
        <f t="shared" si="32"/>
        <v>736705.22</v>
      </c>
      <c r="Q127" s="413"/>
      <c r="R127" s="363">
        <f t="shared" si="33"/>
        <v>759050.22</v>
      </c>
      <c r="S127" s="13">
        <f t="shared" si="34"/>
        <v>1.22</v>
      </c>
      <c r="T127" s="1">
        <f t="shared" si="35"/>
        <v>122</v>
      </c>
    </row>
    <row r="128" spans="1:25" ht="24.95" customHeight="1" x14ac:dyDescent="0.25">
      <c r="A128" s="16"/>
      <c r="B128" s="16">
        <f t="shared" si="29"/>
        <v>123</v>
      </c>
      <c r="C128" s="16" t="s">
        <v>131</v>
      </c>
      <c r="D128" s="80">
        <v>4.5999999999999999E-3</v>
      </c>
      <c r="E128" s="214">
        <v>782793.23</v>
      </c>
      <c r="F128" s="98">
        <f t="shared" ref="F128:F130" si="37">E128</f>
        <v>782793.23</v>
      </c>
      <c r="G128" s="61">
        <f t="shared" si="20"/>
        <v>0</v>
      </c>
      <c r="H128" s="21">
        <f t="shared" si="28"/>
        <v>0</v>
      </c>
      <c r="I128" s="22">
        <f t="shared" si="36"/>
        <v>371109.43403200002</v>
      </c>
      <c r="J128" s="22">
        <f t="shared" si="31"/>
        <v>0</v>
      </c>
      <c r="K128" s="22">
        <f t="shared" si="26"/>
        <v>185936.29261027643</v>
      </c>
      <c r="L128" s="22">
        <f t="shared" si="27"/>
        <v>202702.7028</v>
      </c>
      <c r="M128" s="74">
        <v>0</v>
      </c>
      <c r="N128" s="74">
        <v>0</v>
      </c>
      <c r="O128" s="88"/>
      <c r="P128" s="413">
        <f t="shared" si="32"/>
        <v>759749.23</v>
      </c>
      <c r="Q128" s="413"/>
      <c r="R128" s="363">
        <f t="shared" si="33"/>
        <v>782793.23</v>
      </c>
      <c r="S128" s="13">
        <f t="shared" si="34"/>
        <v>1.23</v>
      </c>
      <c r="T128" s="1">
        <f t="shared" si="35"/>
        <v>123</v>
      </c>
      <c r="U128" t="s">
        <v>282</v>
      </c>
    </row>
    <row r="129" spans="1:21" ht="24.95" customHeight="1" x14ac:dyDescent="0.25">
      <c r="A129" s="16"/>
      <c r="B129" s="16">
        <f t="shared" si="29"/>
        <v>124</v>
      </c>
      <c r="C129" s="16" t="s">
        <v>132</v>
      </c>
      <c r="D129" s="80">
        <v>4.5999999999999999E-3</v>
      </c>
      <c r="E129" s="214">
        <v>759749.24</v>
      </c>
      <c r="F129" s="98">
        <v>782793.24</v>
      </c>
      <c r="G129" s="61">
        <f t="shared" si="20"/>
        <v>-23044</v>
      </c>
      <c r="H129" s="21">
        <f t="shared" si="28"/>
        <v>0</v>
      </c>
      <c r="I129" s="22">
        <f t="shared" si="36"/>
        <v>371109.43403200002</v>
      </c>
      <c r="J129" s="22">
        <f t="shared" si="31"/>
        <v>0</v>
      </c>
      <c r="K129" s="22">
        <f t="shared" si="26"/>
        <v>185936.29261027643</v>
      </c>
      <c r="L129" s="22">
        <f t="shared" si="27"/>
        <v>202702.7028</v>
      </c>
      <c r="M129" s="74">
        <v>0</v>
      </c>
      <c r="N129" s="74">
        <v>0</v>
      </c>
      <c r="O129" s="88"/>
      <c r="P129" s="413">
        <f t="shared" si="32"/>
        <v>736705.24</v>
      </c>
      <c r="Q129" s="413"/>
      <c r="R129" s="363">
        <f t="shared" si="33"/>
        <v>759051.24</v>
      </c>
      <c r="S129" s="13">
        <f t="shared" si="34"/>
        <v>1.24</v>
      </c>
      <c r="T129" s="1">
        <f t="shared" si="35"/>
        <v>124</v>
      </c>
    </row>
    <row r="130" spans="1:21" ht="24.95" customHeight="1" x14ac:dyDescent="0.25">
      <c r="A130" s="16"/>
      <c r="B130" s="16">
        <f t="shared" si="29"/>
        <v>125</v>
      </c>
      <c r="C130" s="16" t="s">
        <v>133</v>
      </c>
      <c r="D130" s="80">
        <v>4.5999999999999999E-3</v>
      </c>
      <c r="E130" s="214">
        <v>759749.25</v>
      </c>
      <c r="F130" s="98">
        <f t="shared" si="37"/>
        <v>759749.25</v>
      </c>
      <c r="G130" s="61">
        <f t="shared" si="20"/>
        <v>0</v>
      </c>
      <c r="H130" s="21">
        <f t="shared" si="28"/>
        <v>0</v>
      </c>
      <c r="I130" s="22">
        <f t="shared" si="36"/>
        <v>371109.43403200002</v>
      </c>
      <c r="J130" s="22">
        <f t="shared" si="31"/>
        <v>0</v>
      </c>
      <c r="K130" s="22">
        <f t="shared" si="26"/>
        <v>185936.29261027643</v>
      </c>
      <c r="L130" s="22">
        <f t="shared" si="27"/>
        <v>202702.7028</v>
      </c>
      <c r="M130" s="74">
        <v>0</v>
      </c>
      <c r="N130" s="74">
        <v>0</v>
      </c>
      <c r="O130" s="88"/>
      <c r="P130" s="413">
        <f t="shared" si="32"/>
        <v>759749.25</v>
      </c>
      <c r="Q130" s="413"/>
      <c r="R130" s="363">
        <f t="shared" si="33"/>
        <v>782793.25</v>
      </c>
      <c r="S130" s="13">
        <f t="shared" si="34"/>
        <v>1.25</v>
      </c>
      <c r="T130" s="1">
        <f t="shared" si="35"/>
        <v>125</v>
      </c>
      <c r="U130" t="s">
        <v>260</v>
      </c>
    </row>
    <row r="131" spans="1:21" ht="24.95" customHeight="1" x14ac:dyDescent="0.25">
      <c r="A131" s="16"/>
      <c r="B131" s="16">
        <f t="shared" si="29"/>
        <v>126</v>
      </c>
      <c r="C131" s="16" t="s">
        <v>134</v>
      </c>
      <c r="D131" s="80">
        <v>4.5999999999999999E-3</v>
      </c>
      <c r="E131" s="214">
        <v>782793.26</v>
      </c>
      <c r="F131" s="98">
        <f>E131</f>
        <v>782793.26</v>
      </c>
      <c r="G131" s="61">
        <f t="shared" si="20"/>
        <v>0</v>
      </c>
      <c r="H131" s="21">
        <f t="shared" si="28"/>
        <v>0</v>
      </c>
      <c r="I131" s="22">
        <f t="shared" si="36"/>
        <v>371109.43403200002</v>
      </c>
      <c r="J131" s="22">
        <f t="shared" si="31"/>
        <v>0</v>
      </c>
      <c r="K131" s="22">
        <f t="shared" si="26"/>
        <v>185936.29261027643</v>
      </c>
      <c r="L131" s="22">
        <f t="shared" si="27"/>
        <v>202702.7028</v>
      </c>
      <c r="M131" s="74">
        <v>0</v>
      </c>
      <c r="N131" s="74">
        <v>0</v>
      </c>
      <c r="O131" s="88"/>
      <c r="P131" s="413">
        <f t="shared" si="32"/>
        <v>759749.26</v>
      </c>
      <c r="Q131" s="413"/>
      <c r="R131" s="363">
        <f t="shared" si="33"/>
        <v>782793.26</v>
      </c>
      <c r="S131" s="13">
        <f t="shared" si="34"/>
        <v>1.26</v>
      </c>
      <c r="T131" s="1">
        <f t="shared" si="35"/>
        <v>126</v>
      </c>
    </row>
    <row r="132" spans="1:21" ht="24.95" customHeight="1" x14ac:dyDescent="0.25">
      <c r="A132" s="16"/>
      <c r="B132" s="16">
        <f t="shared" si="29"/>
        <v>127</v>
      </c>
      <c r="C132" s="16" t="s">
        <v>135</v>
      </c>
      <c r="D132" s="80">
        <v>5.5999999999999999E-3</v>
      </c>
      <c r="E132" s="214">
        <v>814512.27</v>
      </c>
      <c r="F132" s="98"/>
      <c r="G132" s="61">
        <f t="shared" si="20"/>
        <v>814512.27</v>
      </c>
      <c r="H132" s="21">
        <f t="shared" si="28"/>
        <v>25143.993774900002</v>
      </c>
      <c r="I132" s="22">
        <f t="shared" si="36"/>
        <v>451785.39795200003</v>
      </c>
      <c r="J132" s="22">
        <f t="shared" si="31"/>
        <v>0</v>
      </c>
      <c r="K132" s="22">
        <f t="shared" si="26"/>
        <v>185936.29261027643</v>
      </c>
      <c r="L132" s="22">
        <f t="shared" si="27"/>
        <v>202702.7028</v>
      </c>
      <c r="M132" s="74">
        <v>0</v>
      </c>
      <c r="N132" s="74">
        <v>0</v>
      </c>
      <c r="O132" s="88"/>
      <c r="P132" s="413">
        <f t="shared" si="32"/>
        <v>1680082.27</v>
      </c>
      <c r="Q132" s="413"/>
      <c r="R132" s="363">
        <f t="shared" si="33"/>
        <v>1731040.27</v>
      </c>
      <c r="S132" s="13">
        <f t="shared" si="34"/>
        <v>1.27</v>
      </c>
      <c r="T132" s="1">
        <f t="shared" si="35"/>
        <v>127</v>
      </c>
      <c r="U132" t="s">
        <v>217</v>
      </c>
    </row>
    <row r="133" spans="1:21" ht="24.95" customHeight="1" x14ac:dyDescent="0.25">
      <c r="A133" s="16"/>
      <c r="B133" s="16">
        <f t="shared" si="29"/>
        <v>128</v>
      </c>
      <c r="C133" s="16" t="s">
        <v>136</v>
      </c>
      <c r="D133" s="80">
        <v>6.1000000000000004E-3</v>
      </c>
      <c r="E133" s="214">
        <v>8880018.2799999993</v>
      </c>
      <c r="F133" s="98">
        <v>880762.28</v>
      </c>
      <c r="G133" s="62">
        <f t="shared" si="20"/>
        <v>7999255.9999999991</v>
      </c>
      <c r="H133" s="81">
        <f t="shared" si="28"/>
        <v>246937.03271999999</v>
      </c>
      <c r="I133" s="74">
        <f t="shared" si="36"/>
        <v>492123.37991200003</v>
      </c>
      <c r="J133" s="74">
        <f t="shared" si="31"/>
        <v>0</v>
      </c>
      <c r="K133" s="74">
        <f t="shared" si="26"/>
        <v>185936.29261027643</v>
      </c>
      <c r="L133" s="74">
        <f t="shared" si="27"/>
        <v>202702.7028</v>
      </c>
      <c r="M133" s="74">
        <v>0</v>
      </c>
      <c r="N133" s="74">
        <f>(I133+K133)/2</f>
        <v>339029.8362611382</v>
      </c>
      <c r="O133" s="88"/>
      <c r="P133" s="413">
        <f t="shared" si="32"/>
        <v>9465986.2799999993</v>
      </c>
      <c r="Q133" s="413"/>
      <c r="R133" s="363">
        <f t="shared" si="33"/>
        <v>9753091.2799999993</v>
      </c>
      <c r="S133" s="82">
        <f t="shared" si="34"/>
        <v>1.28</v>
      </c>
      <c r="T133" s="60">
        <f t="shared" si="35"/>
        <v>128</v>
      </c>
    </row>
    <row r="134" spans="1:21" ht="24.95" customHeight="1" x14ac:dyDescent="0.25">
      <c r="A134" s="16"/>
      <c r="B134" s="16">
        <f>B133+1</f>
        <v>129</v>
      </c>
      <c r="C134" s="16" t="s">
        <v>137</v>
      </c>
      <c r="D134" s="80">
        <v>6.1000000000000004E-3</v>
      </c>
      <c r="E134" s="214">
        <v>880763.29</v>
      </c>
      <c r="F134" s="98">
        <v>907478.29</v>
      </c>
      <c r="G134" s="61">
        <f t="shared" si="20"/>
        <v>-26715</v>
      </c>
      <c r="H134" s="21">
        <f t="shared" si="28"/>
        <v>0</v>
      </c>
      <c r="I134" s="22">
        <f t="shared" si="36"/>
        <v>492123.37991200003</v>
      </c>
      <c r="J134" s="22">
        <f t="shared" ref="J134:J144" si="38">P$2*D134</f>
        <v>0</v>
      </c>
      <c r="K134" s="22">
        <f t="shared" si="26"/>
        <v>185936.29261027643</v>
      </c>
      <c r="L134" s="22">
        <f t="shared" si="27"/>
        <v>202702.7028</v>
      </c>
      <c r="M134" s="74">
        <v>0</v>
      </c>
      <c r="N134" s="74">
        <v>0</v>
      </c>
      <c r="O134" s="88"/>
      <c r="P134" s="413">
        <f t="shared" ref="P134:P144" si="39">ROUND(SUM(G134:O134),0) + S134</f>
        <v>854048.29</v>
      </c>
      <c r="Q134" s="413"/>
      <c r="R134" s="363">
        <f t="shared" ref="R134:R144" si="40">ROUND(P134+P134*3.033%,0) + S134</f>
        <v>879953.29</v>
      </c>
      <c r="S134" s="13">
        <f t="shared" ref="S134:S158" si="41">ROUND(0.001+B134/100,2)</f>
        <v>1.29</v>
      </c>
      <c r="T134" s="1">
        <f t="shared" ref="T134:T158" si="42">B134</f>
        <v>129</v>
      </c>
      <c r="U134" t="s">
        <v>195</v>
      </c>
    </row>
    <row r="135" spans="1:21" ht="24.95" customHeight="1" x14ac:dyDescent="0.25">
      <c r="A135" s="338"/>
      <c r="B135" s="16">
        <f t="shared" si="29"/>
        <v>130</v>
      </c>
      <c r="C135" s="16" t="s">
        <v>138</v>
      </c>
      <c r="D135" s="80">
        <v>5.7000000000000002E-3</v>
      </c>
      <c r="E135" s="214">
        <v>820316.3</v>
      </c>
      <c r="F135" s="98">
        <v>821000</v>
      </c>
      <c r="G135" s="61">
        <f t="shared" si="20"/>
        <v>-683.69999999995343</v>
      </c>
      <c r="H135" s="21">
        <f t="shared" si="28"/>
        <v>0</v>
      </c>
      <c r="I135" s="22">
        <f t="shared" si="36"/>
        <v>459852.99434400001</v>
      </c>
      <c r="J135" s="22">
        <f t="shared" si="38"/>
        <v>0</v>
      </c>
      <c r="K135" s="22">
        <f t="shared" ref="K135:K144" si="43">G$2*0.675675676%</f>
        <v>185936.29261027643</v>
      </c>
      <c r="L135" s="22">
        <f t="shared" ref="L135:L143" si="44">P$1*0.675675676%</f>
        <v>202702.7028</v>
      </c>
      <c r="M135" s="74">
        <v>0</v>
      </c>
      <c r="N135" s="74">
        <v>0</v>
      </c>
      <c r="O135" s="88"/>
      <c r="P135" s="413">
        <f t="shared" si="39"/>
        <v>847809.3</v>
      </c>
      <c r="Q135" s="413"/>
      <c r="R135" s="363">
        <f t="shared" si="40"/>
        <v>873524.3</v>
      </c>
      <c r="S135" s="13">
        <f t="shared" si="41"/>
        <v>1.3</v>
      </c>
      <c r="T135" s="1">
        <f t="shared" si="42"/>
        <v>130</v>
      </c>
      <c r="U135" t="s">
        <v>214</v>
      </c>
    </row>
    <row r="136" spans="1:21" ht="24.95" customHeight="1" x14ac:dyDescent="0.25">
      <c r="A136" s="16"/>
      <c r="B136" s="16">
        <f t="shared" si="29"/>
        <v>131</v>
      </c>
      <c r="C136" s="16" t="s">
        <v>139</v>
      </c>
      <c r="D136" s="80">
        <v>6.1000000000000004E-3</v>
      </c>
      <c r="E136" s="214">
        <v>907478.31</v>
      </c>
      <c r="F136" s="98">
        <f>E136</f>
        <v>907478.31</v>
      </c>
      <c r="G136" s="61">
        <f t="shared" si="20"/>
        <v>0</v>
      </c>
      <c r="H136" s="21">
        <f t="shared" ref="H136:H158" si="45">IF(G136&gt;0,G136*3.087%,0)</f>
        <v>0</v>
      </c>
      <c r="I136" s="22">
        <f t="shared" si="36"/>
        <v>492123.37991200003</v>
      </c>
      <c r="J136" s="22">
        <f t="shared" si="38"/>
        <v>0</v>
      </c>
      <c r="K136" s="22">
        <f t="shared" si="43"/>
        <v>185936.29261027643</v>
      </c>
      <c r="L136" s="22">
        <f t="shared" si="44"/>
        <v>202702.7028</v>
      </c>
      <c r="M136" s="74">
        <v>0</v>
      </c>
      <c r="N136" s="74">
        <v>0</v>
      </c>
      <c r="O136" s="88"/>
      <c r="P136" s="413">
        <f t="shared" si="39"/>
        <v>880763.31</v>
      </c>
      <c r="Q136" s="413"/>
      <c r="R136" s="363">
        <f t="shared" si="40"/>
        <v>907478.31</v>
      </c>
      <c r="S136" s="13">
        <f t="shared" si="41"/>
        <v>1.31</v>
      </c>
      <c r="T136" s="1">
        <f t="shared" si="42"/>
        <v>131</v>
      </c>
      <c r="U136" t="s">
        <v>297</v>
      </c>
    </row>
    <row r="137" spans="1:21" ht="24.95" customHeight="1" x14ac:dyDescent="0.25">
      <c r="A137" s="16"/>
      <c r="B137" s="16">
        <f t="shared" si="29"/>
        <v>132</v>
      </c>
      <c r="C137" s="16" t="s">
        <v>140</v>
      </c>
      <c r="D137" s="80">
        <v>6.0000000000000001E-3</v>
      </c>
      <c r="E137" s="214">
        <v>872696.31999999995</v>
      </c>
      <c r="F137" s="98">
        <v>899166.32</v>
      </c>
      <c r="G137" s="61">
        <f t="shared" si="20"/>
        <v>-26470</v>
      </c>
      <c r="H137" s="21">
        <f t="shared" si="45"/>
        <v>0</v>
      </c>
      <c r="I137" s="22">
        <f t="shared" si="36"/>
        <v>484055.78352</v>
      </c>
      <c r="J137" s="22">
        <f t="shared" si="38"/>
        <v>0</v>
      </c>
      <c r="K137" s="22">
        <f t="shared" si="43"/>
        <v>185936.29261027643</v>
      </c>
      <c r="L137" s="22">
        <f t="shared" si="44"/>
        <v>202702.7028</v>
      </c>
      <c r="M137" s="74">
        <v>0</v>
      </c>
      <c r="N137" s="74">
        <v>0</v>
      </c>
      <c r="O137" s="88"/>
      <c r="P137" s="413">
        <f t="shared" si="39"/>
        <v>846226.32</v>
      </c>
      <c r="Q137" s="413"/>
      <c r="R137" s="363">
        <f t="shared" si="40"/>
        <v>871893.32</v>
      </c>
      <c r="S137" s="13">
        <f t="shared" si="41"/>
        <v>1.32</v>
      </c>
      <c r="T137" s="1">
        <f t="shared" si="42"/>
        <v>132</v>
      </c>
      <c r="U137" t="s">
        <v>257</v>
      </c>
    </row>
    <row r="138" spans="1:21" ht="24.95" customHeight="1" x14ac:dyDescent="0.25">
      <c r="A138" s="16"/>
      <c r="B138" s="16">
        <f t="shared" ref="B138:B146" si="46">B137+1</f>
        <v>133</v>
      </c>
      <c r="C138" s="16" t="s">
        <v>141</v>
      </c>
      <c r="D138" s="80">
        <v>6.4000000000000003E-3</v>
      </c>
      <c r="E138" s="214">
        <v>904966.33</v>
      </c>
      <c r="F138" s="98">
        <f>904966.33</f>
        <v>904966.33</v>
      </c>
      <c r="G138" s="61">
        <f t="shared" si="20"/>
        <v>0</v>
      </c>
      <c r="H138" s="21">
        <f t="shared" si="45"/>
        <v>0</v>
      </c>
      <c r="I138" s="22">
        <f t="shared" si="36"/>
        <v>516326.16908800002</v>
      </c>
      <c r="J138" s="22">
        <f t="shared" si="38"/>
        <v>0</v>
      </c>
      <c r="K138" s="22">
        <f t="shared" si="43"/>
        <v>185936.29261027643</v>
      </c>
      <c r="L138" s="22">
        <f t="shared" si="44"/>
        <v>202702.7028</v>
      </c>
      <c r="M138" s="74">
        <v>0</v>
      </c>
      <c r="N138" s="74">
        <v>0</v>
      </c>
      <c r="O138" s="88"/>
      <c r="P138" s="413">
        <f t="shared" si="39"/>
        <v>904966.33</v>
      </c>
      <c r="Q138" s="413"/>
      <c r="R138" s="363">
        <f t="shared" si="40"/>
        <v>932415.33</v>
      </c>
      <c r="S138" s="13">
        <f t="shared" si="41"/>
        <v>1.33</v>
      </c>
      <c r="T138" s="1">
        <f t="shared" si="42"/>
        <v>133</v>
      </c>
      <c r="U138" t="s">
        <v>222</v>
      </c>
    </row>
    <row r="139" spans="1:21" ht="24.95" customHeight="1" x14ac:dyDescent="0.25">
      <c r="A139" s="16"/>
      <c r="B139" s="16">
        <f t="shared" si="46"/>
        <v>134</v>
      </c>
      <c r="C139" s="16" t="s">
        <v>142</v>
      </c>
      <c r="D139" s="80">
        <v>5.3E-3</v>
      </c>
      <c r="E139" s="214">
        <v>816223.34</v>
      </c>
      <c r="F139" s="98">
        <v>840980.34</v>
      </c>
      <c r="G139" s="61">
        <f t="shared" si="20"/>
        <v>-24757</v>
      </c>
      <c r="H139" s="21">
        <f t="shared" si="45"/>
        <v>0</v>
      </c>
      <c r="I139" s="22">
        <f t="shared" si="36"/>
        <v>427582.60877600004</v>
      </c>
      <c r="J139" s="22">
        <f t="shared" si="38"/>
        <v>0</v>
      </c>
      <c r="K139" s="22">
        <f t="shared" si="43"/>
        <v>185936.29261027643</v>
      </c>
      <c r="L139" s="22">
        <f t="shared" si="44"/>
        <v>202702.7028</v>
      </c>
      <c r="M139" s="74">
        <v>0</v>
      </c>
      <c r="N139" s="74">
        <v>0</v>
      </c>
      <c r="O139" s="88"/>
      <c r="P139" s="413">
        <f t="shared" si="39"/>
        <v>791466.34</v>
      </c>
      <c r="Q139" s="413"/>
      <c r="R139" s="363">
        <f t="shared" si="40"/>
        <v>815473.34</v>
      </c>
      <c r="S139" s="13">
        <f t="shared" si="41"/>
        <v>1.34</v>
      </c>
      <c r="T139" s="1">
        <f t="shared" si="42"/>
        <v>134</v>
      </c>
      <c r="U139" t="s">
        <v>202</v>
      </c>
    </row>
    <row r="140" spans="1:21" ht="24.95" customHeight="1" x14ac:dyDescent="0.25">
      <c r="A140" s="16"/>
      <c r="B140" s="16">
        <f t="shared" si="46"/>
        <v>135</v>
      </c>
      <c r="C140" s="16" t="s">
        <v>142</v>
      </c>
      <c r="D140" s="80">
        <v>6.1000000000000004E-3</v>
      </c>
      <c r="E140" s="214">
        <v>880763.35</v>
      </c>
      <c r="F140" s="98">
        <v>907478.35</v>
      </c>
      <c r="G140" s="61">
        <f t="shared" si="20"/>
        <v>-26715</v>
      </c>
      <c r="H140" s="21">
        <f t="shared" si="45"/>
        <v>0</v>
      </c>
      <c r="I140" s="22">
        <f t="shared" si="36"/>
        <v>492123.37991200003</v>
      </c>
      <c r="J140" s="22">
        <f t="shared" si="38"/>
        <v>0</v>
      </c>
      <c r="K140" s="22">
        <f t="shared" si="43"/>
        <v>185936.29261027643</v>
      </c>
      <c r="L140" s="22">
        <f t="shared" si="44"/>
        <v>202702.7028</v>
      </c>
      <c r="M140" s="74">
        <v>0</v>
      </c>
      <c r="N140" s="74">
        <v>0</v>
      </c>
      <c r="O140" s="88"/>
      <c r="P140" s="413">
        <f t="shared" si="39"/>
        <v>854048.35</v>
      </c>
      <c r="Q140" s="413"/>
      <c r="R140" s="363">
        <f t="shared" si="40"/>
        <v>879953.35</v>
      </c>
      <c r="S140" s="13">
        <f t="shared" si="41"/>
        <v>1.35</v>
      </c>
      <c r="T140" s="1">
        <f t="shared" si="42"/>
        <v>135</v>
      </c>
      <c r="U140" s="63" t="s">
        <v>202</v>
      </c>
    </row>
    <row r="141" spans="1:21" ht="24.95" customHeight="1" x14ac:dyDescent="0.25">
      <c r="A141" s="16"/>
      <c r="B141" s="16">
        <f t="shared" si="46"/>
        <v>136</v>
      </c>
      <c r="C141" s="16" t="s">
        <v>143</v>
      </c>
      <c r="D141" s="80">
        <v>6.1999999999999998E-3</v>
      </c>
      <c r="E141" s="214">
        <v>2777194.36</v>
      </c>
      <c r="F141" s="98"/>
      <c r="G141" s="61">
        <f t="shared" si="20"/>
        <v>2777194.36</v>
      </c>
      <c r="H141" s="21">
        <f t="shared" si="45"/>
        <v>85731.989893200007</v>
      </c>
      <c r="I141" s="22">
        <f t="shared" si="36"/>
        <v>500190.97630400001</v>
      </c>
      <c r="J141" s="22">
        <f t="shared" si="38"/>
        <v>0</v>
      </c>
      <c r="K141" s="22">
        <f t="shared" si="43"/>
        <v>185936.29261027643</v>
      </c>
      <c r="L141" s="22">
        <f t="shared" si="44"/>
        <v>202702.7028</v>
      </c>
      <c r="M141" s="74">
        <v>0</v>
      </c>
      <c r="N141" s="74">
        <v>0</v>
      </c>
      <c r="O141" s="88"/>
      <c r="P141" s="413">
        <f t="shared" si="39"/>
        <v>3751757.36</v>
      </c>
      <c r="Q141" s="413"/>
      <c r="R141" s="363">
        <f t="shared" si="40"/>
        <v>3865549.36</v>
      </c>
      <c r="S141" s="13">
        <f t="shared" si="41"/>
        <v>1.36</v>
      </c>
      <c r="T141" s="1">
        <f t="shared" si="42"/>
        <v>136</v>
      </c>
      <c r="U141" t="s">
        <v>276</v>
      </c>
    </row>
    <row r="142" spans="1:21" ht="24.95" customHeight="1" x14ac:dyDescent="0.25">
      <c r="A142" s="16"/>
      <c r="B142" s="16">
        <f t="shared" si="46"/>
        <v>137</v>
      </c>
      <c r="C142" s="16" t="s">
        <v>144</v>
      </c>
      <c r="D142" s="80">
        <v>5.4000000000000003E-3</v>
      </c>
      <c r="E142" s="214">
        <v>824290.37</v>
      </c>
      <c r="F142" s="98">
        <v>849292.37</v>
      </c>
      <c r="G142" s="61">
        <f t="shared" si="20"/>
        <v>-25002</v>
      </c>
      <c r="H142" s="21">
        <f t="shared" si="45"/>
        <v>0</v>
      </c>
      <c r="I142" s="22">
        <f t="shared" si="36"/>
        <v>435650.20516800001</v>
      </c>
      <c r="J142" s="22">
        <f t="shared" si="38"/>
        <v>0</v>
      </c>
      <c r="K142" s="22">
        <f t="shared" si="43"/>
        <v>185936.29261027643</v>
      </c>
      <c r="L142" s="22">
        <f t="shared" si="44"/>
        <v>202702.7028</v>
      </c>
      <c r="M142" s="74">
        <v>0</v>
      </c>
      <c r="N142" s="74">
        <v>0</v>
      </c>
      <c r="O142" s="88"/>
      <c r="P142" s="413">
        <f t="shared" si="39"/>
        <v>799288.37</v>
      </c>
      <c r="Q142" s="413"/>
      <c r="R142" s="363">
        <f t="shared" si="40"/>
        <v>823532.37</v>
      </c>
      <c r="S142" s="13">
        <f t="shared" si="41"/>
        <v>1.37</v>
      </c>
      <c r="T142" s="1">
        <f t="shared" si="42"/>
        <v>137</v>
      </c>
    </row>
    <row r="143" spans="1:21" ht="24.95" customHeight="1" x14ac:dyDescent="0.25">
      <c r="A143" s="16"/>
      <c r="B143" s="16">
        <f t="shared" si="46"/>
        <v>138</v>
      </c>
      <c r="C143" s="16" t="s">
        <v>145</v>
      </c>
      <c r="D143" s="80">
        <v>6.4999999999999997E-3</v>
      </c>
      <c r="E143" s="214">
        <v>913034.38</v>
      </c>
      <c r="F143" s="98">
        <v>940728.38</v>
      </c>
      <c r="G143" s="61">
        <f t="shared" si="20"/>
        <v>-27694</v>
      </c>
      <c r="H143" s="21">
        <f t="shared" si="45"/>
        <v>0</v>
      </c>
      <c r="I143" s="22">
        <f t="shared" si="36"/>
        <v>524393.76547999994</v>
      </c>
      <c r="J143" s="22">
        <f t="shared" si="38"/>
        <v>0</v>
      </c>
      <c r="K143" s="22">
        <f t="shared" si="43"/>
        <v>185936.29261027643</v>
      </c>
      <c r="L143" s="22">
        <f t="shared" si="44"/>
        <v>202702.7028</v>
      </c>
      <c r="M143" s="74">
        <v>0</v>
      </c>
      <c r="N143" s="74">
        <v>0</v>
      </c>
      <c r="O143" s="88"/>
      <c r="P143" s="413">
        <f t="shared" si="39"/>
        <v>885340.38</v>
      </c>
      <c r="Q143" s="413"/>
      <c r="R143" s="363">
        <f t="shared" si="40"/>
        <v>912194.38</v>
      </c>
      <c r="S143" s="13">
        <f t="shared" si="41"/>
        <v>1.38</v>
      </c>
      <c r="T143" s="1">
        <f t="shared" si="42"/>
        <v>138</v>
      </c>
      <c r="U143" t="s">
        <v>285</v>
      </c>
    </row>
    <row r="144" spans="1:21" ht="24.95" customHeight="1" x14ac:dyDescent="0.25">
      <c r="A144" s="16"/>
      <c r="B144" s="16">
        <f t="shared" si="46"/>
        <v>139</v>
      </c>
      <c r="C144" s="16" t="s">
        <v>146</v>
      </c>
      <c r="D144" s="80">
        <v>6.1000000000000004E-3</v>
      </c>
      <c r="E144" s="214">
        <v>880527.39</v>
      </c>
      <c r="F144" s="98">
        <v>880600</v>
      </c>
      <c r="G144" s="61">
        <f t="shared" si="20"/>
        <v>-72.60999999998603</v>
      </c>
      <c r="H144" s="21">
        <f t="shared" si="45"/>
        <v>0</v>
      </c>
      <c r="I144" s="22">
        <f t="shared" si="36"/>
        <v>492123.37991200003</v>
      </c>
      <c r="J144" s="22">
        <f t="shared" si="38"/>
        <v>0</v>
      </c>
      <c r="K144" s="22">
        <f t="shared" si="43"/>
        <v>185936.29261027643</v>
      </c>
      <c r="L144" s="22">
        <f>P$1*0.675675676%</f>
        <v>202702.7028</v>
      </c>
      <c r="M144" s="74">
        <v>0</v>
      </c>
      <c r="N144" s="74">
        <v>0</v>
      </c>
      <c r="O144" s="88"/>
      <c r="P144" s="413">
        <f t="shared" si="39"/>
        <v>880691.39</v>
      </c>
      <c r="Q144" s="413"/>
      <c r="R144" s="363">
        <f t="shared" si="40"/>
        <v>907404.39</v>
      </c>
      <c r="S144" s="13">
        <f t="shared" si="41"/>
        <v>1.39</v>
      </c>
      <c r="T144" s="1">
        <f t="shared" si="42"/>
        <v>139</v>
      </c>
      <c r="U144" t="s">
        <v>277</v>
      </c>
    </row>
    <row r="145" spans="1:22" ht="24.95" customHeight="1" x14ac:dyDescent="0.25">
      <c r="A145" s="16"/>
      <c r="B145" s="16">
        <f t="shared" si="46"/>
        <v>140</v>
      </c>
      <c r="C145" s="16" t="s">
        <v>147</v>
      </c>
      <c r="D145" s="80">
        <v>0.18509999999999999</v>
      </c>
      <c r="E145" s="98"/>
      <c r="F145" s="98"/>
      <c r="G145" s="61"/>
      <c r="H145" s="21"/>
      <c r="I145" s="22"/>
      <c r="J145" s="22"/>
      <c r="K145" s="22"/>
      <c r="L145" s="22"/>
      <c r="M145" s="74"/>
      <c r="N145" s="74"/>
      <c r="O145" s="88"/>
      <c r="P145" s="413"/>
      <c r="Q145" s="413"/>
      <c r="R145" s="364"/>
      <c r="S145" s="13">
        <f t="shared" si="41"/>
        <v>1.4</v>
      </c>
      <c r="T145" s="1">
        <f t="shared" si="42"/>
        <v>140</v>
      </c>
    </row>
    <row r="146" spans="1:22" ht="24.95" customHeight="1" x14ac:dyDescent="0.25">
      <c r="A146" s="16"/>
      <c r="B146" s="16">
        <f t="shared" si="46"/>
        <v>141</v>
      </c>
      <c r="C146" s="16" t="s">
        <v>147</v>
      </c>
      <c r="D146" s="80">
        <v>0.156</v>
      </c>
      <c r="E146" s="98"/>
      <c r="F146" s="98"/>
      <c r="G146" s="61"/>
      <c r="H146" s="21"/>
      <c r="I146" s="22"/>
      <c r="J146" s="22"/>
      <c r="K146" s="22"/>
      <c r="L146" s="22"/>
      <c r="M146" s="74"/>
      <c r="N146" s="74"/>
      <c r="O146" s="88"/>
      <c r="P146" s="413"/>
      <c r="Q146" s="413"/>
      <c r="R146" s="364"/>
      <c r="S146" s="13">
        <f t="shared" si="41"/>
        <v>1.41</v>
      </c>
      <c r="T146" s="1">
        <f t="shared" si="42"/>
        <v>141</v>
      </c>
    </row>
    <row r="147" spans="1:22" ht="24.95" customHeight="1" x14ac:dyDescent="0.25">
      <c r="A147" s="16"/>
      <c r="B147" s="16"/>
      <c r="C147" s="16"/>
      <c r="D147" s="80"/>
      <c r="E147" s="98"/>
      <c r="F147" s="98"/>
      <c r="G147" s="61"/>
      <c r="H147" s="21"/>
      <c r="I147" s="22"/>
      <c r="J147" s="22"/>
      <c r="K147" s="22"/>
      <c r="L147" s="22"/>
      <c r="M147" s="74"/>
      <c r="N147" s="74"/>
      <c r="O147" s="88"/>
      <c r="P147" s="413"/>
      <c r="Q147" s="413"/>
      <c r="R147" s="364"/>
      <c r="S147" s="13">
        <f t="shared" si="41"/>
        <v>0</v>
      </c>
      <c r="T147" s="1">
        <f t="shared" si="42"/>
        <v>0</v>
      </c>
    </row>
    <row r="148" spans="1:22" ht="24.95" customHeight="1" x14ac:dyDescent="0.25">
      <c r="A148" s="16"/>
      <c r="B148" s="16"/>
      <c r="C148" s="16"/>
      <c r="D148" s="80"/>
      <c r="E148" s="98"/>
      <c r="F148" s="98"/>
      <c r="G148" s="61"/>
      <c r="H148" s="21"/>
      <c r="I148" s="22"/>
      <c r="J148" s="22"/>
      <c r="K148" s="22"/>
      <c r="L148" s="22"/>
      <c r="M148" s="74"/>
      <c r="N148" s="74"/>
      <c r="O148" s="88"/>
      <c r="P148" s="413"/>
      <c r="Q148" s="413"/>
      <c r="R148" s="364"/>
      <c r="S148" s="13">
        <f t="shared" si="41"/>
        <v>0</v>
      </c>
      <c r="T148" s="1">
        <f t="shared" si="42"/>
        <v>0</v>
      </c>
    </row>
    <row r="149" spans="1:22" ht="24.95" customHeight="1" x14ac:dyDescent="0.25">
      <c r="A149" s="16"/>
      <c r="B149" s="16">
        <v>146</v>
      </c>
      <c r="C149" s="16" t="s">
        <v>83</v>
      </c>
      <c r="D149" s="80">
        <v>3.8E-3</v>
      </c>
      <c r="E149" s="215">
        <v>941461.46</v>
      </c>
      <c r="F149" s="215">
        <v>1000000</v>
      </c>
      <c r="G149" s="61">
        <f t="shared" si="20"/>
        <v>-58538.540000000037</v>
      </c>
      <c r="H149" s="21">
        <f t="shared" si="45"/>
        <v>0</v>
      </c>
      <c r="I149" s="22">
        <f t="shared" si="36"/>
        <v>306568.66289600002</v>
      </c>
      <c r="J149" s="22">
        <f t="shared" ref="J149:J158" si="47">P$2*D149</f>
        <v>0</v>
      </c>
      <c r="K149" s="22">
        <f t="shared" ref="K149:K158" si="48">G$2*0.675675676%</f>
        <v>185936.29261027643</v>
      </c>
      <c r="L149" s="22">
        <f>P$1*0.675675676%</f>
        <v>202702.7028</v>
      </c>
      <c r="M149" s="74">
        <v>0</v>
      </c>
      <c r="N149" s="74">
        <f>(I149+K149)/2</f>
        <v>246252.47775313823</v>
      </c>
      <c r="O149" s="88"/>
      <c r="P149" s="413">
        <f t="shared" ref="P149:P158" si="49">ROUND(SUM(G149:O149),0) + S149</f>
        <v>882923.46</v>
      </c>
      <c r="Q149" s="413"/>
      <c r="R149" s="363">
        <f t="shared" ref="R149:R158" si="50">ROUND(P149+P149*3.033%,0) + S149</f>
        <v>909704.46</v>
      </c>
      <c r="S149" s="13">
        <f t="shared" si="41"/>
        <v>1.46</v>
      </c>
      <c r="T149" s="1">
        <f t="shared" si="42"/>
        <v>146</v>
      </c>
    </row>
    <row r="150" spans="1:22" ht="24.95" customHeight="1" x14ac:dyDescent="0.25">
      <c r="A150" s="16"/>
      <c r="B150" s="16">
        <v>155</v>
      </c>
      <c r="C150" s="16" t="s">
        <v>294</v>
      </c>
      <c r="D150" s="80">
        <v>4.2300000000000003E-3</v>
      </c>
      <c r="E150" s="215">
        <v>729899.55</v>
      </c>
      <c r="F150" s="215">
        <f>752038.55</f>
        <v>752038.55</v>
      </c>
      <c r="G150" s="61">
        <f t="shared" si="20"/>
        <v>-22139</v>
      </c>
      <c r="H150" s="21">
        <f t="shared" si="45"/>
        <v>0</v>
      </c>
      <c r="I150" s="22">
        <f t="shared" si="36"/>
        <v>341259.32738160004</v>
      </c>
      <c r="J150" s="22"/>
      <c r="K150" s="22">
        <f t="shared" si="48"/>
        <v>185936.29261027643</v>
      </c>
      <c r="L150" s="22">
        <f>P$1*0.675675676%</f>
        <v>202702.7028</v>
      </c>
      <c r="M150" s="22">
        <f t="shared" ref="M150:M158" si="51">G$1*D150</f>
        <v>0</v>
      </c>
      <c r="N150" s="74">
        <v>0</v>
      </c>
      <c r="O150" s="88"/>
      <c r="P150" s="413">
        <f t="shared" si="49"/>
        <v>707760.55</v>
      </c>
      <c r="Q150" s="413"/>
      <c r="R150" s="363">
        <f t="shared" si="50"/>
        <v>729228.55</v>
      </c>
      <c r="S150" s="13">
        <f t="shared" si="41"/>
        <v>1.55</v>
      </c>
      <c r="T150" s="1">
        <f t="shared" si="42"/>
        <v>155</v>
      </c>
      <c r="U150" t="s">
        <v>303</v>
      </c>
    </row>
    <row r="151" spans="1:22" ht="24.95" customHeight="1" x14ac:dyDescent="0.25">
      <c r="A151" s="16"/>
      <c r="B151" s="16">
        <v>158</v>
      </c>
      <c r="C151" s="16" t="s">
        <v>52</v>
      </c>
      <c r="D151" s="80">
        <v>4.5999999999999999E-3</v>
      </c>
      <c r="E151" s="215">
        <v>759749.58</v>
      </c>
      <c r="F151" s="98">
        <f t="shared" ref="F151:F154" si="52">E151</f>
        <v>759749.58</v>
      </c>
      <c r="G151" s="61">
        <f t="shared" si="20"/>
        <v>0</v>
      </c>
      <c r="H151" s="21">
        <f t="shared" si="45"/>
        <v>0</v>
      </c>
      <c r="I151" s="22">
        <f t="shared" si="36"/>
        <v>371109.43403200002</v>
      </c>
      <c r="J151" s="22">
        <f t="shared" si="47"/>
        <v>0</v>
      </c>
      <c r="K151" s="22">
        <f t="shared" si="48"/>
        <v>185936.29261027643</v>
      </c>
      <c r="L151" s="22">
        <f t="shared" ref="L151:L158" si="53">P$1*0.675675676%</f>
        <v>202702.7028</v>
      </c>
      <c r="M151" s="22">
        <f t="shared" si="51"/>
        <v>0</v>
      </c>
      <c r="N151" s="74">
        <v>0</v>
      </c>
      <c r="O151" s="74"/>
      <c r="P151" s="413">
        <f t="shared" si="49"/>
        <v>759749.58</v>
      </c>
      <c r="Q151" s="413"/>
      <c r="R151" s="363">
        <f t="shared" si="50"/>
        <v>782794.58</v>
      </c>
      <c r="S151" s="13">
        <f t="shared" si="41"/>
        <v>1.58</v>
      </c>
      <c r="T151" s="1">
        <f t="shared" si="42"/>
        <v>158</v>
      </c>
    </row>
    <row r="152" spans="1:22" ht="24.95" customHeight="1" x14ac:dyDescent="0.25">
      <c r="A152" s="16"/>
      <c r="B152" s="16">
        <v>159</v>
      </c>
      <c r="C152" s="16" t="s">
        <v>52</v>
      </c>
      <c r="D152" s="80">
        <v>4.5999999999999999E-3</v>
      </c>
      <c r="E152" s="215">
        <v>759749.59</v>
      </c>
      <c r="F152" s="98">
        <f t="shared" si="52"/>
        <v>759749.59</v>
      </c>
      <c r="G152" s="61">
        <f t="shared" si="20"/>
        <v>0</v>
      </c>
      <c r="H152" s="21">
        <f t="shared" si="45"/>
        <v>0</v>
      </c>
      <c r="I152" s="22">
        <f t="shared" si="36"/>
        <v>371109.43403200002</v>
      </c>
      <c r="J152" s="22">
        <f t="shared" si="47"/>
        <v>0</v>
      </c>
      <c r="K152" s="22">
        <f t="shared" si="48"/>
        <v>185936.29261027643</v>
      </c>
      <c r="L152" s="22">
        <f t="shared" si="53"/>
        <v>202702.7028</v>
      </c>
      <c r="M152" s="22">
        <f t="shared" si="51"/>
        <v>0</v>
      </c>
      <c r="N152" s="22">
        <v>0</v>
      </c>
      <c r="O152" s="74"/>
      <c r="P152" s="413">
        <f t="shared" si="49"/>
        <v>759749.59</v>
      </c>
      <c r="Q152" s="413"/>
      <c r="R152" s="363">
        <f t="shared" si="50"/>
        <v>782794.59</v>
      </c>
      <c r="S152" s="13">
        <f t="shared" si="41"/>
        <v>1.59</v>
      </c>
      <c r="T152" s="1">
        <f t="shared" si="42"/>
        <v>159</v>
      </c>
    </row>
    <row r="153" spans="1:22" ht="24.95" customHeight="1" x14ac:dyDescent="0.25">
      <c r="A153" s="16"/>
      <c r="B153" s="16">
        <v>163</v>
      </c>
      <c r="C153" s="16" t="s">
        <v>84</v>
      </c>
      <c r="D153" s="80">
        <v>4.5999999999999999E-3</v>
      </c>
      <c r="E153" s="215">
        <v>1542953.63</v>
      </c>
      <c r="F153" s="98">
        <f>759749.63+759761.63+23442</f>
        <v>1542953.26</v>
      </c>
      <c r="G153" s="61">
        <f t="shared" si="20"/>
        <v>0.36999999987892807</v>
      </c>
      <c r="H153" s="21">
        <f t="shared" si="45"/>
        <v>1.1421899996262509E-2</v>
      </c>
      <c r="I153" s="22">
        <f t="shared" si="36"/>
        <v>371109.43403200002</v>
      </c>
      <c r="J153" s="22">
        <f t="shared" si="47"/>
        <v>0</v>
      </c>
      <c r="K153" s="22">
        <f t="shared" si="48"/>
        <v>185936.29261027643</v>
      </c>
      <c r="L153" s="22">
        <f t="shared" si="53"/>
        <v>202702.7028</v>
      </c>
      <c r="M153" s="22">
        <f t="shared" si="51"/>
        <v>0</v>
      </c>
      <c r="N153" s="22">
        <v>0</v>
      </c>
      <c r="O153" s="74"/>
      <c r="P153" s="413">
        <f t="shared" si="49"/>
        <v>759750.63</v>
      </c>
      <c r="Q153" s="413"/>
      <c r="R153" s="363">
        <f t="shared" si="50"/>
        <v>782795.63</v>
      </c>
      <c r="S153" s="13">
        <f t="shared" si="41"/>
        <v>1.63</v>
      </c>
      <c r="T153" s="1">
        <f t="shared" si="42"/>
        <v>163</v>
      </c>
    </row>
    <row r="154" spans="1:22" ht="24.95" customHeight="1" x14ac:dyDescent="0.25">
      <c r="A154" s="16"/>
      <c r="B154" s="16">
        <v>168</v>
      </c>
      <c r="C154" s="16" t="s">
        <v>52</v>
      </c>
      <c r="D154" s="80">
        <v>4.4000000000000003E-3</v>
      </c>
      <c r="E154" s="215">
        <v>743614.68</v>
      </c>
      <c r="F154" s="98">
        <f t="shared" si="52"/>
        <v>743614.68</v>
      </c>
      <c r="G154" s="61">
        <f t="shared" si="20"/>
        <v>0</v>
      </c>
      <c r="H154" s="21">
        <f t="shared" si="45"/>
        <v>0</v>
      </c>
      <c r="I154" s="22">
        <f t="shared" si="36"/>
        <v>354974.24124800001</v>
      </c>
      <c r="J154" s="22">
        <f t="shared" si="47"/>
        <v>0</v>
      </c>
      <c r="K154" s="22">
        <f t="shared" si="48"/>
        <v>185936.29261027643</v>
      </c>
      <c r="L154" s="22">
        <f t="shared" si="53"/>
        <v>202702.7028</v>
      </c>
      <c r="M154" s="22">
        <f t="shared" si="51"/>
        <v>0</v>
      </c>
      <c r="N154" s="22">
        <v>0</v>
      </c>
      <c r="O154" s="74"/>
      <c r="P154" s="413">
        <f t="shared" si="49"/>
        <v>743614.68</v>
      </c>
      <c r="Q154" s="413"/>
      <c r="R154" s="363">
        <f t="shared" si="50"/>
        <v>766170.68</v>
      </c>
      <c r="S154" s="13">
        <f t="shared" si="41"/>
        <v>1.68</v>
      </c>
      <c r="T154" s="1">
        <f t="shared" si="42"/>
        <v>168</v>
      </c>
    </row>
    <row r="155" spans="1:22" ht="24.95" customHeight="1" x14ac:dyDescent="0.25">
      <c r="A155" s="16"/>
      <c r="B155" s="16">
        <v>173</v>
      </c>
      <c r="C155" s="16" t="s">
        <v>85</v>
      </c>
      <c r="D155" s="80">
        <v>4.5999999999999999E-3</v>
      </c>
      <c r="E155" s="215">
        <v>759749.73</v>
      </c>
      <c r="F155" s="98">
        <v>782794.73</v>
      </c>
      <c r="G155" s="61">
        <f t="shared" si="20"/>
        <v>-23045</v>
      </c>
      <c r="H155" s="21">
        <f t="shared" si="45"/>
        <v>0</v>
      </c>
      <c r="I155" s="22">
        <f t="shared" si="36"/>
        <v>371109.43403200002</v>
      </c>
      <c r="J155" s="22">
        <f t="shared" si="47"/>
        <v>0</v>
      </c>
      <c r="K155" s="22">
        <f t="shared" si="48"/>
        <v>185936.29261027643</v>
      </c>
      <c r="L155" s="22">
        <f t="shared" si="53"/>
        <v>202702.7028</v>
      </c>
      <c r="M155" s="22">
        <f t="shared" si="51"/>
        <v>0</v>
      </c>
      <c r="N155" s="22">
        <v>0</v>
      </c>
      <c r="O155" s="74"/>
      <c r="P155" s="413">
        <f t="shared" si="49"/>
        <v>736704.73</v>
      </c>
      <c r="Q155" s="413"/>
      <c r="R155" s="363">
        <f t="shared" si="50"/>
        <v>759050.73</v>
      </c>
      <c r="S155" s="13">
        <f t="shared" si="41"/>
        <v>1.73</v>
      </c>
      <c r="T155" s="1">
        <f t="shared" si="42"/>
        <v>173</v>
      </c>
      <c r="V155" t="s">
        <v>224</v>
      </c>
    </row>
    <row r="156" spans="1:22" ht="24.95" customHeight="1" x14ac:dyDescent="0.25">
      <c r="A156" s="16"/>
      <c r="B156" s="16">
        <v>175</v>
      </c>
      <c r="C156" s="16" t="s">
        <v>85</v>
      </c>
      <c r="D156" s="80">
        <v>4.5999999999999999E-3</v>
      </c>
      <c r="E156" s="215">
        <v>759749.75</v>
      </c>
      <c r="F156" s="98">
        <v>782794.75</v>
      </c>
      <c r="G156" s="61">
        <f t="shared" si="20"/>
        <v>-23045</v>
      </c>
      <c r="H156" s="21">
        <f t="shared" si="45"/>
        <v>0</v>
      </c>
      <c r="I156" s="22">
        <f t="shared" si="36"/>
        <v>371109.43403200002</v>
      </c>
      <c r="J156" s="22">
        <f t="shared" si="47"/>
        <v>0</v>
      </c>
      <c r="K156" s="22">
        <f t="shared" si="48"/>
        <v>185936.29261027643</v>
      </c>
      <c r="L156" s="22">
        <f t="shared" si="53"/>
        <v>202702.7028</v>
      </c>
      <c r="M156" s="22">
        <f t="shared" si="51"/>
        <v>0</v>
      </c>
      <c r="N156" s="22">
        <v>0</v>
      </c>
      <c r="O156" s="74"/>
      <c r="P156" s="413">
        <f t="shared" si="49"/>
        <v>736704.75</v>
      </c>
      <c r="Q156" s="413"/>
      <c r="R156" s="363">
        <f t="shared" si="50"/>
        <v>759050.75</v>
      </c>
      <c r="S156" s="13">
        <f t="shared" si="41"/>
        <v>1.75</v>
      </c>
      <c r="T156" s="1">
        <f t="shared" si="42"/>
        <v>175</v>
      </c>
      <c r="V156" t="s">
        <v>224</v>
      </c>
    </row>
    <row r="157" spans="1:22" ht="24.95" customHeight="1" x14ac:dyDescent="0.25">
      <c r="A157" s="16"/>
      <c r="B157" s="16">
        <v>176</v>
      </c>
      <c r="C157" s="16" t="s">
        <v>84</v>
      </c>
      <c r="D157" s="80">
        <v>4.5999999999999999E-3</v>
      </c>
      <c r="E157" s="215">
        <v>1542953.76</v>
      </c>
      <c r="F157" s="98">
        <f>759749.76+759761.56+23442</f>
        <v>1542953.32</v>
      </c>
      <c r="G157" s="61">
        <f t="shared" si="20"/>
        <v>0.43999999994412065</v>
      </c>
      <c r="H157" s="21">
        <f t="shared" si="45"/>
        <v>1.3582799998275006E-2</v>
      </c>
      <c r="I157" s="22">
        <f t="shared" si="36"/>
        <v>371109.43403200002</v>
      </c>
      <c r="J157" s="22">
        <f t="shared" si="47"/>
        <v>0</v>
      </c>
      <c r="K157" s="22">
        <f t="shared" si="48"/>
        <v>185936.29261027643</v>
      </c>
      <c r="L157" s="22">
        <f t="shared" si="53"/>
        <v>202702.7028</v>
      </c>
      <c r="M157" s="22">
        <f t="shared" si="51"/>
        <v>0</v>
      </c>
      <c r="N157" s="22">
        <v>0</v>
      </c>
      <c r="O157" s="74"/>
      <c r="P157" s="413">
        <f t="shared" si="49"/>
        <v>759750.76</v>
      </c>
      <c r="Q157" s="413"/>
      <c r="R157" s="363">
        <f t="shared" si="50"/>
        <v>782795.76</v>
      </c>
      <c r="S157" s="13">
        <f t="shared" si="41"/>
        <v>1.76</v>
      </c>
      <c r="T157" s="1">
        <f t="shared" si="42"/>
        <v>176</v>
      </c>
    </row>
    <row r="158" spans="1:22" ht="24.95" customHeight="1" x14ac:dyDescent="0.25">
      <c r="A158" s="16"/>
      <c r="B158" s="16">
        <v>204</v>
      </c>
      <c r="C158" s="16" t="s">
        <v>42</v>
      </c>
      <c r="D158" s="19">
        <v>4.8999999999999998E-3</v>
      </c>
      <c r="E158" s="216">
        <v>815893.04</v>
      </c>
      <c r="F158" s="215">
        <f>815893</f>
        <v>815893</v>
      </c>
      <c r="G158" s="61">
        <f t="shared" si="20"/>
        <v>4.0000000037252903E-2</v>
      </c>
      <c r="H158" s="21">
        <f t="shared" si="45"/>
        <v>1.2348000011499971E-3</v>
      </c>
      <c r="I158" s="22">
        <f t="shared" si="36"/>
        <v>395312.22320800001</v>
      </c>
      <c r="J158" s="22">
        <f t="shared" si="47"/>
        <v>0</v>
      </c>
      <c r="K158" s="22">
        <f t="shared" si="48"/>
        <v>185936.29261027643</v>
      </c>
      <c r="L158" s="22">
        <f t="shared" si="53"/>
        <v>202702.7028</v>
      </c>
      <c r="M158" s="22">
        <f t="shared" si="51"/>
        <v>0</v>
      </c>
      <c r="N158" s="22">
        <v>0</v>
      </c>
      <c r="O158" s="74"/>
      <c r="P158" s="413">
        <f t="shared" si="49"/>
        <v>783953.04</v>
      </c>
      <c r="Q158" s="413"/>
      <c r="R158" s="363">
        <f t="shared" si="50"/>
        <v>807732.04</v>
      </c>
      <c r="S158" s="13">
        <f t="shared" si="41"/>
        <v>2.04</v>
      </c>
      <c r="T158" s="1">
        <f t="shared" si="42"/>
        <v>204</v>
      </c>
      <c r="U158" t="s">
        <v>290</v>
      </c>
    </row>
    <row r="159" spans="1:22" ht="24.95" customHeight="1" x14ac:dyDescent="0.25">
      <c r="A159" s="17"/>
      <c r="B159" s="16"/>
      <c r="C159" s="16"/>
      <c r="D159" s="19"/>
      <c r="E159" s="20"/>
      <c r="F159" s="35"/>
      <c r="G159" s="21"/>
      <c r="H159" s="21"/>
      <c r="I159" s="22"/>
      <c r="J159" s="22"/>
      <c r="K159" s="22"/>
      <c r="L159" s="22"/>
      <c r="M159" s="22"/>
      <c r="N159" s="22"/>
      <c r="O159" s="74"/>
      <c r="P159" s="418"/>
      <c r="Q159" s="418"/>
      <c r="R159" s="183"/>
      <c r="S159" s="13"/>
      <c r="T159" s="1"/>
    </row>
    <row r="160" spans="1:22" ht="24.95" customHeight="1" thickBot="1" x14ac:dyDescent="0.3">
      <c r="A160" s="17"/>
      <c r="B160" s="188"/>
      <c r="C160" s="188"/>
      <c r="D160" s="189"/>
      <c r="E160" s="190"/>
      <c r="F160" s="191"/>
      <c r="G160" s="192"/>
      <c r="H160" s="192"/>
      <c r="I160" s="193"/>
      <c r="J160" s="194"/>
      <c r="K160" s="194"/>
      <c r="L160" s="194"/>
      <c r="M160" s="194"/>
      <c r="N160" s="194"/>
      <c r="O160" s="360"/>
      <c r="P160" s="419"/>
      <c r="Q160" s="419"/>
      <c r="R160" s="186"/>
      <c r="S160" s="13"/>
      <c r="T160" s="195"/>
    </row>
    <row r="161" spans="1:20" ht="24.95" customHeight="1" thickBot="1" x14ac:dyDescent="0.3">
      <c r="A161" s="23"/>
      <c r="B161" s="196"/>
      <c r="C161" s="196"/>
      <c r="D161" s="197">
        <f t="shared" ref="D161:O161" si="54">SUM(D6:D160)</f>
        <v>1.0449300000000001</v>
      </c>
      <c r="E161" s="198">
        <f t="shared" si="54"/>
        <v>164859859.08000001</v>
      </c>
      <c r="F161" s="199">
        <f>SUM(F6:F160)</f>
        <v>116669002.52</v>
      </c>
      <c r="G161" s="200">
        <f t="shared" si="54"/>
        <v>48190856.560000002</v>
      </c>
      <c r="H161" s="201"/>
      <c r="I161" s="201">
        <f t="shared" si="54"/>
        <v>56782163.685813546</v>
      </c>
      <c r="J161" s="201">
        <f t="shared" si="54"/>
        <v>0</v>
      </c>
      <c r="K161" s="202">
        <f t="shared" si="54"/>
        <v>27704507.598931193</v>
      </c>
      <c r="L161" s="203">
        <f t="shared" si="54"/>
        <v>30202702.717199888</v>
      </c>
      <c r="M161" s="202">
        <f t="shared" si="54"/>
        <v>0</v>
      </c>
      <c r="N161" s="202">
        <f t="shared" si="54"/>
        <v>3469638.8119514147</v>
      </c>
      <c r="O161" s="202">
        <f t="shared" si="54"/>
        <v>799204.92218400002</v>
      </c>
      <c r="P161" s="416">
        <f>SUM(P6:P160)</f>
        <v>168716264.07000002</v>
      </c>
      <c r="Q161" s="417"/>
      <c r="R161" s="187">
        <f>SUM(R6:R160)</f>
        <v>173833550.07000002</v>
      </c>
      <c r="S161" s="416"/>
      <c r="T161" s="417"/>
    </row>
    <row r="162" spans="1:20" ht="15" customHeight="1" x14ac:dyDescent="0.25">
      <c r="B162" s="414" t="s">
        <v>327</v>
      </c>
      <c r="C162" s="414"/>
      <c r="D162" s="414"/>
      <c r="E162" s="414"/>
      <c r="F162" s="414"/>
      <c r="G162" s="414"/>
      <c r="H162" s="414"/>
      <c r="I162" s="414"/>
      <c r="J162" s="414"/>
      <c r="K162" s="414"/>
      <c r="L162" s="414"/>
      <c r="M162" s="414"/>
      <c r="N162" s="414"/>
      <c r="O162" s="414"/>
      <c r="P162" s="414"/>
      <c r="Q162" s="414"/>
      <c r="R162" s="414"/>
      <c r="S162" s="414"/>
      <c r="T162" s="414"/>
    </row>
    <row r="163" spans="1:20" ht="49.7" customHeight="1" x14ac:dyDescent="0.25">
      <c r="B163" s="415"/>
      <c r="C163" s="415"/>
      <c r="D163" s="415"/>
      <c r="E163" s="415"/>
      <c r="F163" s="415"/>
      <c r="G163" s="415"/>
      <c r="H163" s="415"/>
      <c r="I163" s="415"/>
      <c r="J163" s="415"/>
      <c r="K163" s="415"/>
      <c r="L163" s="415"/>
      <c r="M163" s="415"/>
      <c r="N163" s="415"/>
      <c r="O163" s="415"/>
      <c r="P163" s="415"/>
      <c r="Q163" s="415"/>
      <c r="R163" s="415"/>
      <c r="S163" s="415"/>
      <c r="T163" s="415"/>
    </row>
    <row r="164" spans="1:20" ht="13.7" hidden="1" customHeight="1" x14ac:dyDescent="0.25">
      <c r="B164" s="415" t="s">
        <v>264</v>
      </c>
      <c r="C164" s="415"/>
      <c r="D164" s="415"/>
      <c r="E164" s="415"/>
      <c r="F164" s="415"/>
      <c r="G164" s="415"/>
      <c r="H164" s="415"/>
      <c r="I164" s="415"/>
      <c r="J164" s="415"/>
      <c r="K164" s="415"/>
      <c r="L164" s="415"/>
      <c r="M164" s="415"/>
      <c r="N164" s="415"/>
      <c r="O164" s="415"/>
      <c r="P164" s="415"/>
      <c r="Q164" s="415"/>
      <c r="R164" s="415"/>
      <c r="S164" s="415"/>
      <c r="T164" s="415"/>
    </row>
    <row r="165" spans="1:20" ht="15" hidden="1" customHeight="1" x14ac:dyDescent="0.25">
      <c r="B165" s="415"/>
      <c r="C165" s="415"/>
      <c r="D165" s="415"/>
      <c r="E165" s="415"/>
      <c r="F165" s="415"/>
      <c r="G165" s="415"/>
      <c r="H165" s="415"/>
      <c r="I165" s="415"/>
      <c r="J165" s="415"/>
      <c r="K165" s="415"/>
      <c r="L165" s="415"/>
      <c r="M165" s="415"/>
      <c r="N165" s="415"/>
      <c r="O165" s="415"/>
      <c r="P165" s="415"/>
      <c r="Q165" s="415"/>
      <c r="R165" s="415"/>
      <c r="S165" s="415"/>
      <c r="T165" s="415"/>
    </row>
    <row r="166" spans="1:20" ht="3.6" customHeight="1" x14ac:dyDescent="0.25">
      <c r="B166" s="415"/>
      <c r="C166" s="415"/>
      <c r="D166" s="415"/>
      <c r="E166" s="415"/>
      <c r="F166" s="415"/>
      <c r="G166" s="415"/>
      <c r="H166" s="415"/>
      <c r="I166" s="415"/>
      <c r="J166" s="415"/>
      <c r="K166" s="415"/>
      <c r="L166" s="415"/>
      <c r="M166" s="415"/>
      <c r="N166" s="415"/>
      <c r="O166" s="415"/>
      <c r="P166" s="415"/>
      <c r="Q166" s="415"/>
      <c r="R166" s="415"/>
      <c r="S166" s="415"/>
      <c r="T166" s="415"/>
    </row>
    <row r="167" spans="1:20" ht="128.25" customHeight="1" x14ac:dyDescent="0.25">
      <c r="B167" s="415"/>
      <c r="C167" s="415"/>
      <c r="D167" s="415"/>
      <c r="E167" s="415"/>
      <c r="F167" s="415"/>
      <c r="G167" s="415"/>
      <c r="H167" s="415"/>
      <c r="I167" s="415"/>
      <c r="J167" s="415"/>
      <c r="K167" s="415"/>
      <c r="L167" s="415"/>
      <c r="M167" s="415"/>
      <c r="N167" s="415"/>
      <c r="O167" s="415"/>
      <c r="P167" s="415"/>
      <c r="Q167" s="415"/>
      <c r="R167" s="415"/>
      <c r="S167" s="415"/>
      <c r="T167" s="415"/>
    </row>
  </sheetData>
  <mergeCells count="186">
    <mergeCell ref="I4:I5"/>
    <mergeCell ref="J4:J5"/>
    <mergeCell ref="P6:Q6"/>
    <mergeCell ref="P7:Q7"/>
    <mergeCell ref="P8:Q8"/>
    <mergeCell ref="P9:Q9"/>
    <mergeCell ref="P10:Q10"/>
    <mergeCell ref="P26:Q26"/>
    <mergeCell ref="P21:Q21"/>
    <mergeCell ref="P16:Q16"/>
    <mergeCell ref="P17:Q17"/>
    <mergeCell ref="P18:Q18"/>
    <mergeCell ref="P19:Q19"/>
    <mergeCell ref="P20:Q20"/>
    <mergeCell ref="P11:Q11"/>
    <mergeCell ref="P12:Q12"/>
    <mergeCell ref="P13:Q13"/>
    <mergeCell ref="P14:Q14"/>
    <mergeCell ref="P15:Q15"/>
    <mergeCell ref="L4:L5"/>
    <mergeCell ref="P22:Q22"/>
    <mergeCell ref="P23:Q23"/>
    <mergeCell ref="P24:Q24"/>
    <mergeCell ref="K2:L2"/>
    <mergeCell ref="M4:M5"/>
    <mergeCell ref="P1:Q1"/>
    <mergeCell ref="P2:Q2"/>
    <mergeCell ref="G2:H2"/>
    <mergeCell ref="N4:N5"/>
    <mergeCell ref="O4:O5"/>
    <mergeCell ref="C2:E2"/>
    <mergeCell ref="C1:L1"/>
    <mergeCell ref="N1:O1"/>
    <mergeCell ref="P4:Q4"/>
    <mergeCell ref="P5:Q5"/>
    <mergeCell ref="A3:T3"/>
    <mergeCell ref="R4:S5"/>
    <mergeCell ref="T4:T5"/>
    <mergeCell ref="A4:A5"/>
    <mergeCell ref="B4:B5"/>
    <mergeCell ref="C4:C5"/>
    <mergeCell ref="D4:D5"/>
    <mergeCell ref="K4:K5"/>
    <mergeCell ref="H4:H5"/>
    <mergeCell ref="E4:E5"/>
    <mergeCell ref="F4:F5"/>
    <mergeCell ref="G4:G5"/>
    <mergeCell ref="P25:Q25"/>
    <mergeCell ref="P36:Q36"/>
    <mergeCell ref="P37:Q37"/>
    <mergeCell ref="P38:Q38"/>
    <mergeCell ref="P39:Q39"/>
    <mergeCell ref="P40:Q40"/>
    <mergeCell ref="P31:Q31"/>
    <mergeCell ref="P32:Q32"/>
    <mergeCell ref="P33:Q33"/>
    <mergeCell ref="P34:Q34"/>
    <mergeCell ref="P35:Q35"/>
    <mergeCell ref="P27:Q27"/>
    <mergeCell ref="P28:Q28"/>
    <mergeCell ref="P29:Q29"/>
    <mergeCell ref="P30:Q30"/>
    <mergeCell ref="P46:Q46"/>
    <mergeCell ref="P47:Q47"/>
    <mergeCell ref="P48:Q48"/>
    <mergeCell ref="P49:Q49"/>
    <mergeCell ref="P50:Q50"/>
    <mergeCell ref="P41:Q41"/>
    <mergeCell ref="P42:Q42"/>
    <mergeCell ref="P43:Q43"/>
    <mergeCell ref="P44:Q44"/>
    <mergeCell ref="P45:Q45"/>
    <mergeCell ref="P56:Q56"/>
    <mergeCell ref="P57:Q57"/>
    <mergeCell ref="P58:Q58"/>
    <mergeCell ref="P59:Q59"/>
    <mergeCell ref="P60:Q60"/>
    <mergeCell ref="P51:Q51"/>
    <mergeCell ref="P52:Q52"/>
    <mergeCell ref="P53:Q53"/>
    <mergeCell ref="P54:Q54"/>
    <mergeCell ref="P55:Q55"/>
    <mergeCell ref="P66:Q66"/>
    <mergeCell ref="P67:Q67"/>
    <mergeCell ref="P68:Q68"/>
    <mergeCell ref="P69:Q69"/>
    <mergeCell ref="P70:Q70"/>
    <mergeCell ref="P61:Q61"/>
    <mergeCell ref="P62:Q62"/>
    <mergeCell ref="P63:Q63"/>
    <mergeCell ref="P64:Q64"/>
    <mergeCell ref="P65:Q65"/>
    <mergeCell ref="P76:Q76"/>
    <mergeCell ref="P77:Q77"/>
    <mergeCell ref="P78:Q78"/>
    <mergeCell ref="P79:Q79"/>
    <mergeCell ref="P80:Q80"/>
    <mergeCell ref="P71:Q71"/>
    <mergeCell ref="P72:Q72"/>
    <mergeCell ref="P73:Q73"/>
    <mergeCell ref="P74:Q74"/>
    <mergeCell ref="P75:Q75"/>
    <mergeCell ref="P86:Q86"/>
    <mergeCell ref="P87:Q87"/>
    <mergeCell ref="P88:Q88"/>
    <mergeCell ref="P89:Q89"/>
    <mergeCell ref="P90:Q90"/>
    <mergeCell ref="P81:Q81"/>
    <mergeCell ref="P82:Q82"/>
    <mergeCell ref="P83:Q83"/>
    <mergeCell ref="P84:Q84"/>
    <mergeCell ref="P85:Q85"/>
    <mergeCell ref="P96:Q96"/>
    <mergeCell ref="P97:Q97"/>
    <mergeCell ref="P98:Q98"/>
    <mergeCell ref="P99:Q99"/>
    <mergeCell ref="P100:Q100"/>
    <mergeCell ref="P91:Q91"/>
    <mergeCell ref="P92:Q92"/>
    <mergeCell ref="P93:Q93"/>
    <mergeCell ref="P94:Q94"/>
    <mergeCell ref="P95:Q95"/>
    <mergeCell ref="P106:Q106"/>
    <mergeCell ref="P107:Q107"/>
    <mergeCell ref="P108:Q108"/>
    <mergeCell ref="P109:Q109"/>
    <mergeCell ref="P110:Q110"/>
    <mergeCell ref="P101:Q101"/>
    <mergeCell ref="P102:Q102"/>
    <mergeCell ref="P103:Q103"/>
    <mergeCell ref="P104:Q104"/>
    <mergeCell ref="P105:Q105"/>
    <mergeCell ref="P116:Q116"/>
    <mergeCell ref="P117:Q117"/>
    <mergeCell ref="P118:Q118"/>
    <mergeCell ref="P119:Q119"/>
    <mergeCell ref="P120:Q120"/>
    <mergeCell ref="P111:Q111"/>
    <mergeCell ref="P112:Q112"/>
    <mergeCell ref="P113:Q113"/>
    <mergeCell ref="P114:Q114"/>
    <mergeCell ref="P115:Q115"/>
    <mergeCell ref="P126:Q126"/>
    <mergeCell ref="P127:Q127"/>
    <mergeCell ref="P128:Q128"/>
    <mergeCell ref="P129:Q129"/>
    <mergeCell ref="P130:Q130"/>
    <mergeCell ref="P121:Q121"/>
    <mergeCell ref="P122:Q122"/>
    <mergeCell ref="P123:Q123"/>
    <mergeCell ref="P124:Q124"/>
    <mergeCell ref="P125:Q125"/>
    <mergeCell ref="P136:Q136"/>
    <mergeCell ref="P137:Q137"/>
    <mergeCell ref="P138:Q138"/>
    <mergeCell ref="P139:Q139"/>
    <mergeCell ref="P140:Q140"/>
    <mergeCell ref="P131:Q131"/>
    <mergeCell ref="P132:Q132"/>
    <mergeCell ref="P133:Q133"/>
    <mergeCell ref="P134:Q134"/>
    <mergeCell ref="P135:Q135"/>
    <mergeCell ref="B162:T163"/>
    <mergeCell ref="B164:T167"/>
    <mergeCell ref="P157:Q157"/>
    <mergeCell ref="P158:Q158"/>
    <mergeCell ref="P161:Q161"/>
    <mergeCell ref="P159:Q159"/>
    <mergeCell ref="P160:Q160"/>
    <mergeCell ref="P152:Q152"/>
    <mergeCell ref="P153:Q153"/>
    <mergeCell ref="P154:Q154"/>
    <mergeCell ref="P155:Q155"/>
    <mergeCell ref="P156:Q156"/>
    <mergeCell ref="S161:T161"/>
    <mergeCell ref="P146:Q146"/>
    <mergeCell ref="P147:Q147"/>
    <mergeCell ref="P148:Q148"/>
    <mergeCell ref="P149:Q149"/>
    <mergeCell ref="P151:Q151"/>
    <mergeCell ref="P141:Q141"/>
    <mergeCell ref="P142:Q142"/>
    <mergeCell ref="P143:Q143"/>
    <mergeCell ref="P144:Q144"/>
    <mergeCell ref="P145:Q145"/>
    <mergeCell ref="P150:Q150"/>
  </mergeCells>
  <hyperlinks>
    <hyperlink ref="U66" r:id="rId1" xr:uid="{60CCA824-04D7-4098-BB5B-CC4EC0E5DE92}"/>
    <hyperlink ref="U46" r:id="rId2" xr:uid="{FB3F0167-0D80-4D0E-9747-86680AF517F7}"/>
    <hyperlink ref="U36" r:id="rId3" xr:uid="{DC64E9EF-0CAF-49C3-B4C2-A955ADDB9423}"/>
    <hyperlink ref="U39" r:id="rId4" xr:uid="{74F85CC2-F097-4DDA-B018-43C3E1E7AED4}"/>
  </hyperlinks>
  <pageMargins left="0.23622047244094491" right="0.23622047244094491" top="0.74803149606299213" bottom="0.74803149606299213" header="0.31496062992125984" footer="0.31496062992125984"/>
  <pageSetup paperSize="3" scale="80" orientation="landscape"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69DBA-AA88-413A-80A7-A9BAAE7F2C32}">
  <dimension ref="C2:O253"/>
  <sheetViews>
    <sheetView topLeftCell="A84" zoomScale="110" zoomScaleNormal="110" workbookViewId="0">
      <selection activeCell="C43" sqref="C43:J45"/>
    </sheetView>
  </sheetViews>
  <sheetFormatPr baseColWidth="10" defaultColWidth="10.85546875" defaultRowHeight="15" x14ac:dyDescent="0.25"/>
  <cols>
    <col min="11" max="11" width="11.42578125" bestFit="1" customWidth="1"/>
    <col min="14" max="14" width="13" bestFit="1" customWidth="1"/>
  </cols>
  <sheetData>
    <row r="2" spans="3:14" ht="15.75" thickBot="1" x14ac:dyDescent="0.3"/>
    <row r="3" spans="3:14" x14ac:dyDescent="0.25">
      <c r="C3" s="220" t="s">
        <v>160</v>
      </c>
      <c r="D3" s="64">
        <v>1</v>
      </c>
      <c r="E3" s="64"/>
      <c r="F3" s="64"/>
      <c r="G3" s="64"/>
      <c r="H3" s="64"/>
      <c r="I3" s="64"/>
      <c r="J3" s="66"/>
      <c r="K3" s="454" t="s">
        <v>337</v>
      </c>
      <c r="L3" s="455"/>
      <c r="M3" s="455"/>
      <c r="N3" s="455"/>
    </row>
    <row r="4" spans="3:14" x14ac:dyDescent="0.25">
      <c r="C4" s="147" t="s">
        <v>161</v>
      </c>
      <c r="D4" s="36"/>
      <c r="E4" s="221">
        <v>45945</v>
      </c>
      <c r="F4" s="36"/>
      <c r="G4" s="36" t="s">
        <v>166</v>
      </c>
      <c r="H4" s="90" t="s">
        <v>321</v>
      </c>
      <c r="I4" s="67"/>
      <c r="J4" s="68"/>
      <c r="K4" s="454"/>
      <c r="L4" s="455"/>
      <c r="M4" s="455"/>
      <c r="N4" s="455"/>
    </row>
    <row r="5" spans="3:14" x14ac:dyDescent="0.25">
      <c r="C5" s="147" t="s">
        <v>162</v>
      </c>
      <c r="D5" s="36" t="s">
        <v>163</v>
      </c>
      <c r="E5" s="36" t="s">
        <v>164</v>
      </c>
      <c r="F5" s="36"/>
      <c r="G5" s="36" t="s">
        <v>167</v>
      </c>
      <c r="H5" s="67">
        <v>136</v>
      </c>
      <c r="I5" s="67"/>
      <c r="J5" s="68"/>
      <c r="K5" s="454"/>
      <c r="L5" s="455"/>
      <c r="M5" s="455"/>
      <c r="N5" s="455"/>
    </row>
    <row r="6" spans="3:14" ht="15.75" thickBot="1" x14ac:dyDescent="0.3">
      <c r="C6" s="147" t="s">
        <v>165</v>
      </c>
      <c r="D6" s="36"/>
      <c r="E6" s="36"/>
      <c r="F6" s="36"/>
      <c r="G6" s="36"/>
      <c r="H6" s="36"/>
      <c r="I6" s="36"/>
      <c r="J6" s="69"/>
      <c r="K6" s="454"/>
      <c r="L6" s="455"/>
      <c r="M6" s="455"/>
      <c r="N6" s="455"/>
    </row>
    <row r="7" spans="3:14" x14ac:dyDescent="0.25">
      <c r="C7" s="443" t="s">
        <v>322</v>
      </c>
      <c r="D7" s="444"/>
      <c r="E7" s="444"/>
      <c r="F7" s="444"/>
      <c r="G7" s="444"/>
      <c r="H7" s="444"/>
      <c r="I7" s="444"/>
      <c r="J7" s="445"/>
      <c r="K7" s="456" t="s">
        <v>362</v>
      </c>
      <c r="L7" s="457"/>
      <c r="M7" s="457"/>
      <c r="N7" s="457"/>
    </row>
    <row r="8" spans="3:14" x14ac:dyDescent="0.25">
      <c r="C8" s="446"/>
      <c r="D8" s="447"/>
      <c r="E8" s="447"/>
      <c r="F8" s="447"/>
      <c r="G8" s="447"/>
      <c r="H8" s="447"/>
      <c r="I8" s="447"/>
      <c r="J8" s="448"/>
      <c r="K8" s="456"/>
      <c r="L8" s="457"/>
      <c r="M8" s="457"/>
      <c r="N8" s="457"/>
    </row>
    <row r="9" spans="3:14" ht="15.75" thickBot="1" x14ac:dyDescent="0.3">
      <c r="C9" s="449"/>
      <c r="D9" s="450"/>
      <c r="E9" s="450"/>
      <c r="F9" s="450"/>
      <c r="G9" s="450"/>
      <c r="H9" s="450"/>
      <c r="I9" s="450"/>
      <c r="J9" s="451"/>
      <c r="K9" s="456"/>
      <c r="L9" s="457"/>
      <c r="M9" s="457"/>
      <c r="N9" s="457"/>
    </row>
    <row r="11" spans="3:14" ht="15.75" thickBot="1" x14ac:dyDescent="0.3"/>
    <row r="12" spans="3:14" x14ac:dyDescent="0.25">
      <c r="C12" s="260" t="s">
        <v>160</v>
      </c>
      <c r="D12" s="261">
        <f>D3+1</f>
        <v>2</v>
      </c>
      <c r="E12" s="64"/>
      <c r="F12" s="64"/>
      <c r="G12" s="64"/>
      <c r="H12" s="64"/>
      <c r="I12" s="64"/>
      <c r="J12" s="66"/>
      <c r="K12" s="347"/>
      <c r="L12" s="347"/>
      <c r="M12" s="347"/>
    </row>
    <row r="13" spans="3:14" x14ac:dyDescent="0.25">
      <c r="C13" s="262" t="s">
        <v>161</v>
      </c>
      <c r="D13" s="218"/>
      <c r="E13" s="221">
        <v>45945</v>
      </c>
      <c r="F13" s="36"/>
      <c r="G13" s="36" t="s">
        <v>166</v>
      </c>
      <c r="H13" s="90" t="s">
        <v>340</v>
      </c>
      <c r="I13" s="67"/>
      <c r="J13" s="68"/>
      <c r="K13" s="347"/>
      <c r="L13" s="347"/>
      <c r="M13" s="347"/>
    </row>
    <row r="14" spans="3:14" x14ac:dyDescent="0.25">
      <c r="C14" s="262" t="s">
        <v>162</v>
      </c>
      <c r="D14" s="218" t="s">
        <v>163</v>
      </c>
      <c r="E14" s="36" t="s">
        <v>164</v>
      </c>
      <c r="F14" s="36"/>
      <c r="G14" s="36" t="s">
        <v>167</v>
      </c>
      <c r="H14" s="67">
        <v>110</v>
      </c>
      <c r="I14" s="67"/>
      <c r="J14" s="68"/>
      <c r="K14" s="347"/>
      <c r="L14" s="347"/>
      <c r="M14" s="347"/>
    </row>
    <row r="15" spans="3:14" ht="15.75" thickBot="1" x14ac:dyDescent="0.3">
      <c r="C15" s="147" t="s">
        <v>165</v>
      </c>
      <c r="D15" s="36"/>
      <c r="E15" s="36"/>
      <c r="F15" s="36"/>
      <c r="G15" s="36"/>
      <c r="H15" s="36"/>
      <c r="I15" s="36"/>
      <c r="J15" s="69"/>
      <c r="K15" s="347"/>
      <c r="L15" s="347"/>
      <c r="M15" s="347"/>
    </row>
    <row r="16" spans="3:14" x14ac:dyDescent="0.25">
      <c r="C16" s="443" t="s">
        <v>341</v>
      </c>
      <c r="D16" s="444"/>
      <c r="E16" s="444"/>
      <c r="F16" s="444"/>
      <c r="G16" s="444"/>
      <c r="H16" s="444"/>
      <c r="I16" s="444"/>
      <c r="J16" s="445"/>
      <c r="K16" s="347"/>
      <c r="L16" s="347"/>
      <c r="M16" s="347"/>
    </row>
    <row r="17" spans="3:13" x14ac:dyDescent="0.25">
      <c r="C17" s="446"/>
      <c r="D17" s="447"/>
      <c r="E17" s="447"/>
      <c r="F17" s="447"/>
      <c r="G17" s="447"/>
      <c r="H17" s="447"/>
      <c r="I17" s="447"/>
      <c r="J17" s="448"/>
      <c r="K17" s="347"/>
      <c r="L17" s="347"/>
      <c r="M17" s="347"/>
    </row>
    <row r="18" spans="3:13" ht="15.75" thickBot="1" x14ac:dyDescent="0.3">
      <c r="C18" s="449"/>
      <c r="D18" s="450"/>
      <c r="E18" s="450"/>
      <c r="F18" s="450"/>
      <c r="G18" s="450"/>
      <c r="H18" s="450"/>
      <c r="I18" s="450"/>
      <c r="J18" s="451"/>
    </row>
    <row r="20" spans="3:13" ht="15.75" thickBot="1" x14ac:dyDescent="0.3">
      <c r="C20" s="256"/>
      <c r="D20" s="256"/>
    </row>
    <row r="21" spans="3:13" x14ac:dyDescent="0.25">
      <c r="C21" s="257" t="s">
        <v>160</v>
      </c>
      <c r="D21" s="258">
        <f>D12+1</f>
        <v>3</v>
      </c>
      <c r="E21" s="64"/>
      <c r="F21" s="64"/>
      <c r="G21" s="64"/>
      <c r="H21" s="64"/>
      <c r="I21" s="64"/>
      <c r="J21" s="66"/>
      <c r="K21" s="347"/>
      <c r="L21" s="347"/>
    </row>
    <row r="22" spans="3:13" x14ac:dyDescent="0.25">
      <c r="C22" s="259" t="s">
        <v>161</v>
      </c>
      <c r="D22" s="256"/>
      <c r="E22" s="221">
        <v>45945</v>
      </c>
      <c r="F22" s="36"/>
      <c r="G22" s="36" t="s">
        <v>166</v>
      </c>
      <c r="H22" s="90" t="s">
        <v>342</v>
      </c>
      <c r="I22" s="67"/>
      <c r="J22" s="68"/>
      <c r="K22" s="347"/>
      <c r="L22" s="347"/>
    </row>
    <row r="23" spans="3:13" x14ac:dyDescent="0.25">
      <c r="C23" s="259" t="s">
        <v>162</v>
      </c>
      <c r="D23" s="256" t="s">
        <v>163</v>
      </c>
      <c r="E23" s="36" t="s">
        <v>164</v>
      </c>
      <c r="F23" s="36"/>
      <c r="G23" s="36" t="s">
        <v>167</v>
      </c>
      <c r="H23" s="67">
        <v>14</v>
      </c>
      <c r="I23" s="67"/>
      <c r="J23" s="68"/>
      <c r="K23" s="347"/>
      <c r="L23" s="347"/>
    </row>
    <row r="24" spans="3:13" ht="15.75" thickBot="1" x14ac:dyDescent="0.3">
      <c r="C24" s="147" t="s">
        <v>165</v>
      </c>
      <c r="D24" s="36"/>
      <c r="E24" s="36"/>
      <c r="F24" s="36"/>
      <c r="G24" s="36"/>
      <c r="H24" s="36"/>
      <c r="I24" s="36"/>
      <c r="J24" s="69"/>
      <c r="K24" s="347"/>
      <c r="L24" s="347"/>
    </row>
    <row r="25" spans="3:13" x14ac:dyDescent="0.25">
      <c r="C25" s="443" t="s">
        <v>371</v>
      </c>
      <c r="D25" s="444"/>
      <c r="E25" s="444"/>
      <c r="F25" s="444"/>
      <c r="G25" s="444"/>
      <c r="H25" s="444"/>
      <c r="I25" s="444"/>
      <c r="J25" s="445"/>
      <c r="K25" s="347"/>
      <c r="L25" s="347"/>
    </row>
    <row r="26" spans="3:13" x14ac:dyDescent="0.25">
      <c r="C26" s="446"/>
      <c r="D26" s="447"/>
      <c r="E26" s="447"/>
      <c r="F26" s="447"/>
      <c r="G26" s="447"/>
      <c r="H26" s="447"/>
      <c r="I26" s="447"/>
      <c r="J26" s="448"/>
      <c r="K26" s="347"/>
      <c r="L26" s="347"/>
    </row>
    <row r="27" spans="3:13" ht="15.75" thickBot="1" x14ac:dyDescent="0.3">
      <c r="C27" s="449"/>
      <c r="D27" s="450"/>
      <c r="E27" s="450"/>
      <c r="F27" s="450"/>
      <c r="G27" s="450"/>
      <c r="H27" s="450"/>
      <c r="I27" s="450"/>
      <c r="J27" s="451"/>
      <c r="K27" s="347"/>
      <c r="L27" s="347"/>
    </row>
    <row r="28" spans="3:13" x14ac:dyDescent="0.25">
      <c r="K28" s="347"/>
      <c r="L28" s="347"/>
    </row>
    <row r="29" spans="3:13" ht="15.75" thickBot="1" x14ac:dyDescent="0.3"/>
    <row r="30" spans="3:13" x14ac:dyDescent="0.25">
      <c r="C30" s="250" t="s">
        <v>160</v>
      </c>
      <c r="D30" s="251">
        <f>D21+1</f>
        <v>4</v>
      </c>
      <c r="E30" s="251"/>
      <c r="F30" s="64"/>
      <c r="G30" s="64"/>
      <c r="H30" s="64"/>
      <c r="I30" s="64"/>
      <c r="J30" s="66"/>
      <c r="K30" s="347"/>
      <c r="L30" s="347"/>
      <c r="M30" s="347"/>
    </row>
    <row r="31" spans="3:13" x14ac:dyDescent="0.25">
      <c r="C31" s="252" t="s">
        <v>161</v>
      </c>
      <c r="D31" s="253"/>
      <c r="E31" s="254">
        <v>45945</v>
      </c>
      <c r="F31" s="36"/>
      <c r="G31" s="36" t="s">
        <v>166</v>
      </c>
      <c r="H31" s="90" t="s">
        <v>343</v>
      </c>
      <c r="I31" s="67"/>
      <c r="J31" s="68"/>
      <c r="K31" s="347"/>
      <c r="L31" s="347"/>
      <c r="M31" s="347"/>
    </row>
    <row r="32" spans="3:13" x14ac:dyDescent="0.25">
      <c r="C32" s="252" t="s">
        <v>162</v>
      </c>
      <c r="D32" s="253" t="s">
        <v>163</v>
      </c>
      <c r="E32" s="253" t="s">
        <v>164</v>
      </c>
      <c r="F32" s="36"/>
      <c r="G32" s="36" t="s">
        <v>167</v>
      </c>
      <c r="H32" s="67">
        <v>59</v>
      </c>
      <c r="I32" s="67"/>
      <c r="J32" s="68"/>
      <c r="K32" s="347"/>
      <c r="L32" s="347"/>
      <c r="M32" s="347"/>
    </row>
    <row r="33" spans="3:13" ht="15.75" thickBot="1" x14ac:dyDescent="0.3">
      <c r="C33" s="147" t="s">
        <v>165</v>
      </c>
      <c r="D33" s="36"/>
      <c r="E33" s="36"/>
      <c r="F33" s="36"/>
      <c r="G33" s="36"/>
      <c r="H33" s="36"/>
      <c r="I33" s="36"/>
      <c r="J33" s="69"/>
      <c r="K33" s="347"/>
      <c r="L33" s="347"/>
      <c r="M33" s="347"/>
    </row>
    <row r="34" spans="3:13" x14ac:dyDescent="0.25">
      <c r="C34" s="443" t="s">
        <v>344</v>
      </c>
      <c r="D34" s="444"/>
      <c r="E34" s="444"/>
      <c r="F34" s="444"/>
      <c r="G34" s="444"/>
      <c r="H34" s="444"/>
      <c r="I34" s="444"/>
      <c r="J34" s="445"/>
      <c r="K34" s="347"/>
      <c r="L34" s="347"/>
      <c r="M34" s="347"/>
    </row>
    <row r="35" spans="3:13" x14ac:dyDescent="0.25">
      <c r="C35" s="446"/>
      <c r="D35" s="447"/>
      <c r="E35" s="447"/>
      <c r="F35" s="447"/>
      <c r="G35" s="447"/>
      <c r="H35" s="447"/>
      <c r="I35" s="447"/>
      <c r="J35" s="448"/>
      <c r="K35" s="347"/>
      <c r="L35" s="347"/>
      <c r="M35" s="347"/>
    </row>
    <row r="36" spans="3:13" ht="15.75" thickBot="1" x14ac:dyDescent="0.3">
      <c r="C36" s="449"/>
      <c r="D36" s="450"/>
      <c r="E36" s="450"/>
      <c r="F36" s="450"/>
      <c r="G36" s="450"/>
      <c r="H36" s="450"/>
      <c r="I36" s="450"/>
      <c r="J36" s="451"/>
      <c r="K36" s="347"/>
      <c r="L36" s="347"/>
      <c r="M36" s="347"/>
    </row>
    <row r="38" spans="3:13" ht="15.75" thickBot="1" x14ac:dyDescent="0.3"/>
    <row r="39" spans="3:13" x14ac:dyDescent="0.25">
      <c r="C39" s="264" t="s">
        <v>160</v>
      </c>
      <c r="D39" s="265">
        <f>D30+1</f>
        <v>5</v>
      </c>
      <c r="E39" s="265"/>
      <c r="F39" s="64"/>
      <c r="G39" s="64"/>
      <c r="H39" s="64"/>
      <c r="I39" s="64"/>
      <c r="J39" s="66"/>
    </row>
    <row r="40" spans="3:13" x14ac:dyDescent="0.25">
      <c r="C40" s="266" t="s">
        <v>161</v>
      </c>
      <c r="D40" s="267"/>
      <c r="E40" s="268">
        <v>45945</v>
      </c>
      <c r="F40" s="36"/>
      <c r="G40" s="36" t="s">
        <v>166</v>
      </c>
      <c r="H40" s="90" t="s">
        <v>345</v>
      </c>
      <c r="I40" s="67"/>
      <c r="J40" s="68"/>
      <c r="K40" s="347"/>
      <c r="L40" s="347"/>
      <c r="M40" s="347"/>
    </row>
    <row r="41" spans="3:13" x14ac:dyDescent="0.25">
      <c r="C41" s="266" t="s">
        <v>162</v>
      </c>
      <c r="D41" s="267" t="s">
        <v>163</v>
      </c>
      <c r="E41" s="267" t="s">
        <v>164</v>
      </c>
      <c r="F41" s="36"/>
      <c r="G41" s="36" t="s">
        <v>167</v>
      </c>
      <c r="H41" s="67">
        <v>104</v>
      </c>
      <c r="I41" s="67"/>
      <c r="J41" s="68"/>
      <c r="K41" s="347"/>
      <c r="L41" s="347"/>
      <c r="M41" s="347"/>
    </row>
    <row r="42" spans="3:13" ht="15.75" thickBot="1" x14ac:dyDescent="0.3">
      <c r="C42" s="147" t="s">
        <v>165</v>
      </c>
      <c r="D42" s="36"/>
      <c r="E42" s="36"/>
      <c r="F42" s="36"/>
      <c r="G42" s="36"/>
      <c r="H42" s="36"/>
      <c r="I42" s="36"/>
      <c r="J42" s="69"/>
      <c r="K42" s="347"/>
      <c r="L42" s="347"/>
      <c r="M42" s="347"/>
    </row>
    <row r="43" spans="3:13" x14ac:dyDescent="0.25">
      <c r="C43" s="443" t="s">
        <v>359</v>
      </c>
      <c r="D43" s="444"/>
      <c r="E43" s="444"/>
      <c r="F43" s="444"/>
      <c r="G43" s="444"/>
      <c r="H43" s="444"/>
      <c r="I43" s="444"/>
      <c r="J43" s="445"/>
      <c r="K43" s="347"/>
      <c r="L43" s="347"/>
      <c r="M43" s="347"/>
    </row>
    <row r="44" spans="3:13" x14ac:dyDescent="0.25">
      <c r="C44" s="446"/>
      <c r="D44" s="447"/>
      <c r="E44" s="447"/>
      <c r="F44" s="447"/>
      <c r="G44" s="447"/>
      <c r="H44" s="447"/>
      <c r="I44" s="447"/>
      <c r="J44" s="448"/>
      <c r="K44" s="347"/>
      <c r="L44" s="347"/>
      <c r="M44" s="347"/>
    </row>
    <row r="45" spans="3:13" ht="15.75" thickBot="1" x14ac:dyDescent="0.3">
      <c r="C45" s="449"/>
      <c r="D45" s="450"/>
      <c r="E45" s="450"/>
      <c r="F45" s="450"/>
      <c r="G45" s="450"/>
      <c r="H45" s="450"/>
      <c r="I45" s="450"/>
      <c r="J45" s="451"/>
    </row>
    <row r="47" spans="3:13" ht="15.75" thickBot="1" x14ac:dyDescent="0.3"/>
    <row r="48" spans="3:13" x14ac:dyDescent="0.25">
      <c r="C48" s="269" t="s">
        <v>160</v>
      </c>
      <c r="D48" s="270">
        <f>D39+1</f>
        <v>6</v>
      </c>
      <c r="E48" s="270"/>
      <c r="F48" s="64"/>
      <c r="G48" s="64"/>
      <c r="H48" s="64"/>
      <c r="I48" s="64"/>
      <c r="J48" s="66"/>
      <c r="K48" s="347"/>
      <c r="L48" s="347"/>
    </row>
    <row r="49" spans="3:12" x14ac:dyDescent="0.25">
      <c r="C49" s="271" t="s">
        <v>161</v>
      </c>
      <c r="D49" s="272"/>
      <c r="E49" s="273">
        <v>45945</v>
      </c>
      <c r="F49" s="36"/>
      <c r="G49" s="36" t="s">
        <v>166</v>
      </c>
      <c r="H49" s="90"/>
      <c r="I49" s="67"/>
      <c r="J49" s="68"/>
      <c r="K49" s="347"/>
      <c r="L49" s="347"/>
    </row>
    <row r="50" spans="3:12" x14ac:dyDescent="0.25">
      <c r="C50" s="271" t="s">
        <v>162</v>
      </c>
      <c r="D50" s="272" t="s">
        <v>163</v>
      </c>
      <c r="E50" s="272" t="s">
        <v>164</v>
      </c>
      <c r="F50" s="36"/>
      <c r="G50" s="36" t="s">
        <v>167</v>
      </c>
      <c r="H50" s="67">
        <v>74</v>
      </c>
      <c r="I50" s="67"/>
      <c r="J50" s="68"/>
      <c r="K50" s="347"/>
      <c r="L50" s="347"/>
    </row>
    <row r="51" spans="3:12" ht="15.75" thickBot="1" x14ac:dyDescent="0.3">
      <c r="C51" s="147" t="s">
        <v>165</v>
      </c>
      <c r="D51" s="36"/>
      <c r="E51" s="36"/>
      <c r="F51" s="36"/>
      <c r="G51" s="36"/>
      <c r="H51" s="36"/>
      <c r="I51" s="36"/>
      <c r="J51" s="69"/>
      <c r="K51" s="347"/>
      <c r="L51" s="347"/>
    </row>
    <row r="52" spans="3:12" x14ac:dyDescent="0.25">
      <c r="C52" s="443" t="s">
        <v>357</v>
      </c>
      <c r="D52" s="444"/>
      <c r="E52" s="444"/>
      <c r="F52" s="444"/>
      <c r="G52" s="444"/>
      <c r="H52" s="444"/>
      <c r="I52" s="444"/>
      <c r="J52" s="445"/>
      <c r="K52" s="347"/>
      <c r="L52" s="347"/>
    </row>
    <row r="53" spans="3:12" x14ac:dyDescent="0.25">
      <c r="C53" s="446"/>
      <c r="D53" s="447"/>
      <c r="E53" s="447"/>
      <c r="F53" s="447"/>
      <c r="G53" s="447"/>
      <c r="H53" s="447"/>
      <c r="I53" s="447"/>
      <c r="J53" s="448"/>
      <c r="K53" s="347"/>
      <c r="L53" s="347"/>
    </row>
    <row r="54" spans="3:12" ht="15.75" thickBot="1" x14ac:dyDescent="0.3">
      <c r="C54" s="449"/>
      <c r="D54" s="450"/>
      <c r="E54" s="450"/>
      <c r="F54" s="450"/>
      <c r="G54" s="450"/>
      <c r="H54" s="450"/>
      <c r="I54" s="450"/>
      <c r="J54" s="451"/>
      <c r="K54" s="347"/>
      <c r="L54" s="347"/>
    </row>
    <row r="56" spans="3:12" ht="15.75" thickBot="1" x14ac:dyDescent="0.3"/>
    <row r="57" spans="3:12" x14ac:dyDescent="0.25">
      <c r="C57" s="274" t="s">
        <v>160</v>
      </c>
      <c r="D57" s="275">
        <f>D48+1</f>
        <v>7</v>
      </c>
      <c r="E57" s="275"/>
      <c r="F57" s="64"/>
      <c r="G57" s="64"/>
      <c r="H57" s="64"/>
      <c r="I57" s="64"/>
      <c r="J57" s="66"/>
    </row>
    <row r="58" spans="3:12" x14ac:dyDescent="0.25">
      <c r="C58" s="276" t="s">
        <v>161</v>
      </c>
      <c r="D58" s="277"/>
      <c r="E58" s="278">
        <v>45945</v>
      </c>
      <c r="F58" s="36"/>
      <c r="G58" s="36" t="s">
        <v>166</v>
      </c>
      <c r="H58" s="90"/>
      <c r="I58" s="67"/>
      <c r="J58" s="68"/>
      <c r="K58" s="347"/>
      <c r="L58" s="347"/>
    </row>
    <row r="59" spans="3:12" x14ac:dyDescent="0.25">
      <c r="C59" s="276" t="s">
        <v>162</v>
      </c>
      <c r="D59" s="277" t="s">
        <v>163</v>
      </c>
      <c r="E59" s="277" t="s">
        <v>164</v>
      </c>
      <c r="F59" s="36"/>
      <c r="G59" s="36" t="s">
        <v>167</v>
      </c>
      <c r="H59" s="67">
        <v>106</v>
      </c>
      <c r="I59" s="67"/>
      <c r="J59" s="68"/>
      <c r="K59" s="347"/>
      <c r="L59" s="347"/>
    </row>
    <row r="60" spans="3:12" ht="15.75" thickBot="1" x14ac:dyDescent="0.3">
      <c r="C60" s="147" t="s">
        <v>165</v>
      </c>
      <c r="D60" s="36"/>
      <c r="E60" s="36"/>
      <c r="F60" s="36"/>
      <c r="G60" s="36"/>
      <c r="H60" s="36"/>
      <c r="I60" s="36"/>
      <c r="J60" s="69"/>
      <c r="K60" s="347"/>
      <c r="L60" s="347"/>
    </row>
    <row r="61" spans="3:12" x14ac:dyDescent="0.25">
      <c r="C61" s="443" t="s">
        <v>358</v>
      </c>
      <c r="D61" s="444"/>
      <c r="E61" s="444"/>
      <c r="F61" s="444"/>
      <c r="G61" s="444"/>
      <c r="H61" s="444"/>
      <c r="I61" s="444"/>
      <c r="J61" s="445"/>
      <c r="K61" s="347"/>
      <c r="L61" s="347"/>
    </row>
    <row r="62" spans="3:12" x14ac:dyDescent="0.25">
      <c r="C62" s="446"/>
      <c r="D62" s="447"/>
      <c r="E62" s="447"/>
      <c r="F62" s="447"/>
      <c r="G62" s="447"/>
      <c r="H62" s="447"/>
      <c r="I62" s="447"/>
      <c r="J62" s="448"/>
      <c r="K62" s="347"/>
      <c r="L62" s="347"/>
    </row>
    <row r="63" spans="3:12" ht="15.75" thickBot="1" x14ac:dyDescent="0.3">
      <c r="C63" s="449"/>
      <c r="D63" s="450"/>
      <c r="E63" s="450"/>
      <c r="F63" s="450"/>
      <c r="G63" s="450"/>
      <c r="H63" s="450"/>
      <c r="I63" s="450"/>
      <c r="J63" s="451"/>
    </row>
    <row r="65" spans="3:12" ht="15.75" thickBot="1" x14ac:dyDescent="0.3"/>
    <row r="66" spans="3:12" x14ac:dyDescent="0.25">
      <c r="C66" s="280" t="s">
        <v>160</v>
      </c>
      <c r="D66" s="281">
        <f>D57+1</f>
        <v>8</v>
      </c>
      <c r="E66" s="281"/>
      <c r="F66" s="64"/>
      <c r="G66" s="64"/>
      <c r="H66" s="64"/>
      <c r="I66" s="64"/>
      <c r="J66" s="66"/>
      <c r="K66" s="347"/>
      <c r="L66" s="347"/>
    </row>
    <row r="67" spans="3:12" x14ac:dyDescent="0.25">
      <c r="C67" s="282" t="s">
        <v>161</v>
      </c>
      <c r="D67" s="283"/>
      <c r="E67" s="284">
        <v>45945</v>
      </c>
      <c r="F67" s="36"/>
      <c r="G67" s="36" t="s">
        <v>166</v>
      </c>
      <c r="H67" s="90"/>
      <c r="I67" s="67"/>
      <c r="J67" s="68"/>
      <c r="K67" s="347"/>
      <c r="L67" s="347"/>
    </row>
    <row r="68" spans="3:12" x14ac:dyDescent="0.25">
      <c r="C68" s="282" t="s">
        <v>162</v>
      </c>
      <c r="D68" s="283" t="s">
        <v>163</v>
      </c>
      <c r="E68" s="283" t="s">
        <v>164</v>
      </c>
      <c r="F68" s="36"/>
      <c r="G68" s="36" t="s">
        <v>167</v>
      </c>
      <c r="H68" s="67">
        <v>78</v>
      </c>
      <c r="I68" s="67"/>
      <c r="J68" s="68"/>
      <c r="K68" s="347"/>
      <c r="L68" s="347"/>
    </row>
    <row r="69" spans="3:12" ht="15.75" thickBot="1" x14ac:dyDescent="0.3">
      <c r="C69" s="147" t="s">
        <v>165</v>
      </c>
      <c r="D69" s="36"/>
      <c r="E69" s="36"/>
      <c r="F69" s="36"/>
      <c r="G69" s="36"/>
      <c r="H69" s="36"/>
      <c r="I69" s="36"/>
      <c r="J69" s="69"/>
      <c r="K69" s="347"/>
      <c r="L69" s="347"/>
    </row>
    <row r="70" spans="3:12" x14ac:dyDescent="0.25">
      <c r="C70" s="443" t="s">
        <v>346</v>
      </c>
      <c r="D70" s="444"/>
      <c r="E70" s="444"/>
      <c r="F70" s="444"/>
      <c r="G70" s="444"/>
      <c r="H70" s="444"/>
      <c r="I70" s="444"/>
      <c r="J70" s="445"/>
      <c r="K70" s="347"/>
      <c r="L70" s="347"/>
    </row>
    <row r="71" spans="3:12" x14ac:dyDescent="0.25">
      <c r="C71" s="446"/>
      <c r="D71" s="447"/>
      <c r="E71" s="447"/>
      <c r="F71" s="447"/>
      <c r="G71" s="447"/>
      <c r="H71" s="447"/>
      <c r="I71" s="447"/>
      <c r="J71" s="448"/>
      <c r="K71" s="347"/>
      <c r="L71" s="347"/>
    </row>
    <row r="72" spans="3:12" ht="15.75" thickBot="1" x14ac:dyDescent="0.3">
      <c r="C72" s="449"/>
      <c r="D72" s="450"/>
      <c r="E72" s="450"/>
      <c r="F72" s="450"/>
      <c r="G72" s="450"/>
      <c r="H72" s="450"/>
      <c r="I72" s="450"/>
      <c r="J72" s="451"/>
    </row>
    <row r="74" spans="3:12" ht="15.75" thickBot="1" x14ac:dyDescent="0.3"/>
    <row r="75" spans="3:12" x14ac:dyDescent="0.25">
      <c r="C75" s="264" t="s">
        <v>160</v>
      </c>
      <c r="D75" s="265">
        <f>D66+1</f>
        <v>9</v>
      </c>
      <c r="E75" s="265"/>
      <c r="F75" s="64"/>
      <c r="G75" s="64"/>
      <c r="H75" s="64"/>
      <c r="I75" s="64"/>
      <c r="J75" s="66"/>
      <c r="K75" s="347"/>
      <c r="L75" s="347"/>
    </row>
    <row r="76" spans="3:12" x14ac:dyDescent="0.25">
      <c r="C76" s="266" t="s">
        <v>161</v>
      </c>
      <c r="D76" s="267"/>
      <c r="E76" s="268">
        <v>45945</v>
      </c>
      <c r="F76" s="36"/>
      <c r="G76" s="36" t="s">
        <v>166</v>
      </c>
      <c r="H76" s="90"/>
      <c r="I76" s="67"/>
      <c r="J76" s="68"/>
      <c r="K76" s="347"/>
      <c r="L76" s="347"/>
    </row>
    <row r="77" spans="3:12" x14ac:dyDescent="0.25">
      <c r="C77" s="266" t="s">
        <v>162</v>
      </c>
      <c r="D77" s="267" t="s">
        <v>163</v>
      </c>
      <c r="E77" s="267" t="s">
        <v>164</v>
      </c>
      <c r="F77" s="36"/>
      <c r="G77" s="36" t="s">
        <v>167</v>
      </c>
      <c r="H77" s="67">
        <v>13</v>
      </c>
      <c r="I77" s="67"/>
      <c r="J77" s="68"/>
      <c r="K77" s="347"/>
      <c r="L77" s="347"/>
    </row>
    <row r="78" spans="3:12" ht="15.75" thickBot="1" x14ac:dyDescent="0.3">
      <c r="C78" s="147" t="s">
        <v>165</v>
      </c>
      <c r="D78" s="36"/>
      <c r="E78" s="36"/>
      <c r="F78" s="36"/>
      <c r="G78" s="36"/>
      <c r="H78" s="36"/>
      <c r="I78" s="36"/>
      <c r="J78" s="69"/>
      <c r="K78" s="347"/>
      <c r="L78" s="347"/>
    </row>
    <row r="79" spans="3:12" x14ac:dyDescent="0.25">
      <c r="C79" s="443" t="s">
        <v>347</v>
      </c>
      <c r="D79" s="444"/>
      <c r="E79" s="444"/>
      <c r="F79" s="444"/>
      <c r="G79" s="444"/>
      <c r="H79" s="444"/>
      <c r="I79" s="444"/>
      <c r="J79" s="445"/>
      <c r="K79" s="347"/>
      <c r="L79" s="347"/>
    </row>
    <row r="80" spans="3:12" x14ac:dyDescent="0.25">
      <c r="C80" s="446"/>
      <c r="D80" s="447"/>
      <c r="E80" s="447"/>
      <c r="F80" s="447"/>
      <c r="G80" s="447"/>
      <c r="H80" s="447"/>
      <c r="I80" s="447"/>
      <c r="J80" s="448"/>
      <c r="K80" s="347"/>
      <c r="L80" s="347"/>
    </row>
    <row r="81" spans="3:12" ht="15.75" thickBot="1" x14ac:dyDescent="0.3">
      <c r="C81" s="449"/>
      <c r="D81" s="450"/>
      <c r="E81" s="450"/>
      <c r="F81" s="450"/>
      <c r="G81" s="450"/>
      <c r="H81" s="450"/>
      <c r="I81" s="450"/>
      <c r="J81" s="451"/>
      <c r="K81" s="347"/>
      <c r="L81" s="347"/>
    </row>
    <row r="83" spans="3:12" ht="15.75" thickBot="1" x14ac:dyDescent="0.3"/>
    <row r="84" spans="3:12" x14ac:dyDescent="0.25">
      <c r="C84" s="285" t="s">
        <v>160</v>
      </c>
      <c r="D84" s="286">
        <f>D75+1</f>
        <v>10</v>
      </c>
      <c r="E84" s="286"/>
      <c r="F84" s="64"/>
      <c r="G84" s="64"/>
      <c r="H84" s="64"/>
      <c r="I84" s="64"/>
      <c r="J84" s="66"/>
    </row>
    <row r="85" spans="3:12" x14ac:dyDescent="0.25">
      <c r="C85" s="287" t="s">
        <v>161</v>
      </c>
      <c r="D85" s="288"/>
      <c r="E85" s="289">
        <v>45945</v>
      </c>
      <c r="F85" s="36"/>
      <c r="G85" s="36" t="s">
        <v>166</v>
      </c>
      <c r="H85" s="90"/>
      <c r="I85" s="67"/>
      <c r="J85" s="68"/>
      <c r="K85" s="347"/>
      <c r="L85" s="347"/>
    </row>
    <row r="86" spans="3:12" x14ac:dyDescent="0.25">
      <c r="C86" s="287" t="s">
        <v>162</v>
      </c>
      <c r="D86" s="288" t="s">
        <v>163</v>
      </c>
      <c r="E86" s="288" t="s">
        <v>164</v>
      </c>
      <c r="F86" s="36"/>
      <c r="G86" s="36" t="s">
        <v>167</v>
      </c>
      <c r="H86" s="67">
        <v>72</v>
      </c>
      <c r="I86" s="67"/>
      <c r="J86" s="68"/>
      <c r="K86" s="347"/>
      <c r="L86" s="347"/>
    </row>
    <row r="87" spans="3:12" ht="15.75" thickBot="1" x14ac:dyDescent="0.3">
      <c r="C87" s="147" t="s">
        <v>165</v>
      </c>
      <c r="D87" s="36"/>
      <c r="E87" s="36"/>
      <c r="F87" s="36"/>
      <c r="G87" s="36"/>
      <c r="H87" s="36"/>
      <c r="I87" s="36"/>
      <c r="J87" s="69"/>
      <c r="K87" s="347"/>
      <c r="L87" s="347"/>
    </row>
    <row r="88" spans="3:12" x14ac:dyDescent="0.25">
      <c r="C88" s="443" t="s">
        <v>348</v>
      </c>
      <c r="D88" s="444"/>
      <c r="E88" s="444"/>
      <c r="F88" s="444"/>
      <c r="G88" s="444"/>
      <c r="H88" s="444"/>
      <c r="I88" s="444"/>
      <c r="J88" s="445"/>
      <c r="K88" s="347"/>
      <c r="L88" s="347"/>
    </row>
    <row r="89" spans="3:12" x14ac:dyDescent="0.25">
      <c r="C89" s="446"/>
      <c r="D89" s="447"/>
      <c r="E89" s="447"/>
      <c r="F89" s="447"/>
      <c r="G89" s="447"/>
      <c r="H89" s="447"/>
      <c r="I89" s="447"/>
      <c r="J89" s="448"/>
      <c r="K89" s="347"/>
      <c r="L89" s="347"/>
    </row>
    <row r="90" spans="3:12" ht="15.75" thickBot="1" x14ac:dyDescent="0.3">
      <c r="C90" s="449"/>
      <c r="D90" s="450"/>
      <c r="E90" s="450"/>
      <c r="F90" s="450"/>
      <c r="G90" s="450"/>
      <c r="H90" s="450"/>
      <c r="I90" s="450"/>
      <c r="J90" s="451"/>
    </row>
    <row r="91" spans="3:12" x14ac:dyDescent="0.25">
      <c r="C91" s="320"/>
      <c r="D91" s="320"/>
      <c r="E91" s="320"/>
      <c r="F91" s="320"/>
      <c r="G91" s="320"/>
      <c r="H91" s="320"/>
      <c r="I91" s="320"/>
      <c r="J91" s="320"/>
    </row>
    <row r="92" spans="3:12" x14ac:dyDescent="0.25">
      <c r="C92" s="320"/>
      <c r="D92" s="320"/>
      <c r="E92" s="320"/>
      <c r="F92" s="320"/>
      <c r="G92" s="320"/>
      <c r="H92" s="320"/>
      <c r="I92" s="320"/>
      <c r="J92" s="320"/>
    </row>
    <row r="95" spans="3:12" ht="15.75" thickBot="1" x14ac:dyDescent="0.3"/>
    <row r="96" spans="3:12" x14ac:dyDescent="0.25">
      <c r="C96" s="290" t="s">
        <v>160</v>
      </c>
      <c r="D96" s="291">
        <f>D84+1</f>
        <v>11</v>
      </c>
      <c r="E96" s="291"/>
      <c r="F96" s="64"/>
      <c r="G96" s="64"/>
      <c r="H96" s="64"/>
      <c r="I96" s="64"/>
      <c r="J96" s="66"/>
    </row>
    <row r="97" spans="3:15" x14ac:dyDescent="0.25">
      <c r="C97" s="292" t="s">
        <v>161</v>
      </c>
      <c r="D97" s="293"/>
      <c r="E97" s="294">
        <v>45945</v>
      </c>
      <c r="F97" s="36"/>
      <c r="G97" s="36" t="s">
        <v>166</v>
      </c>
      <c r="H97" s="90" t="s">
        <v>349</v>
      </c>
      <c r="I97" s="67"/>
      <c r="J97" s="68"/>
      <c r="K97" s="347"/>
      <c r="L97" s="347"/>
    </row>
    <row r="98" spans="3:15" x14ac:dyDescent="0.25">
      <c r="C98" s="292" t="s">
        <v>162</v>
      </c>
      <c r="D98" s="293" t="s">
        <v>163</v>
      </c>
      <c r="E98" s="293" t="s">
        <v>164</v>
      </c>
      <c r="F98" s="36"/>
      <c r="G98" s="36" t="s">
        <v>167</v>
      </c>
      <c r="H98" s="67">
        <v>39</v>
      </c>
      <c r="I98" s="67"/>
      <c r="J98" s="68"/>
      <c r="K98" s="347"/>
      <c r="L98" s="347"/>
    </row>
    <row r="99" spans="3:15" ht="15.75" thickBot="1" x14ac:dyDescent="0.3">
      <c r="C99" s="147" t="s">
        <v>165</v>
      </c>
      <c r="D99" s="36"/>
      <c r="E99" s="36"/>
      <c r="F99" s="36"/>
      <c r="G99" s="36"/>
      <c r="H99" s="36"/>
      <c r="I99" s="36"/>
      <c r="J99" s="69"/>
      <c r="K99" s="347"/>
      <c r="L99" s="347"/>
    </row>
    <row r="100" spans="3:15" x14ac:dyDescent="0.25">
      <c r="C100" s="443" t="s">
        <v>360</v>
      </c>
      <c r="D100" s="444"/>
      <c r="E100" s="444"/>
      <c r="F100" s="444"/>
      <c r="G100" s="444"/>
      <c r="H100" s="444"/>
      <c r="I100" s="444"/>
      <c r="J100" s="445"/>
      <c r="K100" s="347"/>
      <c r="L100" s="347"/>
      <c r="O100">
        <f>867451.39</f>
        <v>867451.39</v>
      </c>
    </row>
    <row r="101" spans="3:15" x14ac:dyDescent="0.25">
      <c r="C101" s="446"/>
      <c r="D101" s="447"/>
      <c r="E101" s="447"/>
      <c r="F101" s="447"/>
      <c r="G101" s="447"/>
      <c r="H101" s="447"/>
      <c r="I101" s="447"/>
      <c r="J101" s="448"/>
      <c r="K101" s="347"/>
      <c r="L101" s="347"/>
      <c r="O101">
        <f>O100-750000</f>
        <v>117451.39000000001</v>
      </c>
    </row>
    <row r="102" spans="3:15" ht="15.75" thickBot="1" x14ac:dyDescent="0.3">
      <c r="C102" s="449"/>
      <c r="D102" s="450"/>
      <c r="E102" s="450"/>
      <c r="F102" s="450"/>
      <c r="G102" s="450"/>
      <c r="H102" s="450"/>
      <c r="I102" s="450"/>
      <c r="J102" s="451"/>
      <c r="K102" s="347"/>
      <c r="L102" s="347"/>
    </row>
    <row r="103" spans="3:15" x14ac:dyDescent="0.25">
      <c r="O103" s="41">
        <f>N104-O101</f>
        <v>48821.999999999884</v>
      </c>
    </row>
    <row r="104" spans="3:15" ht="15.75" thickBot="1" x14ac:dyDescent="0.3">
      <c r="N104" s="61">
        <v>166273.3899999999</v>
      </c>
    </row>
    <row r="105" spans="3:15" x14ac:dyDescent="0.25">
      <c r="C105" s="295" t="s">
        <v>160</v>
      </c>
      <c r="D105" s="296">
        <f>D96+1</f>
        <v>12</v>
      </c>
      <c r="E105" s="296"/>
      <c r="F105" s="64"/>
      <c r="G105" s="64"/>
      <c r="H105" s="64"/>
      <c r="I105" s="64"/>
      <c r="J105" s="66"/>
      <c r="K105" s="347"/>
      <c r="L105" s="347"/>
    </row>
    <row r="106" spans="3:15" x14ac:dyDescent="0.25">
      <c r="C106" s="297" t="s">
        <v>161</v>
      </c>
      <c r="D106" s="298"/>
      <c r="E106" s="299">
        <v>45945</v>
      </c>
      <c r="F106" s="36"/>
      <c r="G106" s="36" t="s">
        <v>166</v>
      </c>
      <c r="H106" s="90" t="s">
        <v>349</v>
      </c>
      <c r="I106" s="67"/>
      <c r="J106" s="68"/>
      <c r="K106" s="347"/>
      <c r="L106" s="347"/>
    </row>
    <row r="107" spans="3:15" x14ac:dyDescent="0.25">
      <c r="C107" s="297" t="s">
        <v>162</v>
      </c>
      <c r="D107" s="298" t="s">
        <v>163</v>
      </c>
      <c r="E107" s="298" t="s">
        <v>164</v>
      </c>
      <c r="F107" s="36"/>
      <c r="G107" s="36" t="s">
        <v>167</v>
      </c>
      <c r="H107" s="67">
        <v>133</v>
      </c>
      <c r="I107" s="67"/>
      <c r="J107" s="68"/>
      <c r="K107" s="347"/>
      <c r="L107" s="347"/>
    </row>
    <row r="108" spans="3:15" ht="15.75" thickBot="1" x14ac:dyDescent="0.3">
      <c r="C108" s="147" t="s">
        <v>165</v>
      </c>
      <c r="D108" s="36"/>
      <c r="E108" s="36"/>
      <c r="F108" s="36"/>
      <c r="G108" s="36"/>
      <c r="H108" s="36"/>
      <c r="I108" s="36"/>
      <c r="J108" s="69"/>
      <c r="K108" s="347"/>
      <c r="L108" s="347"/>
    </row>
    <row r="109" spans="3:15" x14ac:dyDescent="0.25">
      <c r="C109" s="443" t="s">
        <v>350</v>
      </c>
      <c r="D109" s="444"/>
      <c r="E109" s="444"/>
      <c r="F109" s="444"/>
      <c r="G109" s="444"/>
      <c r="H109" s="444"/>
      <c r="I109" s="444"/>
      <c r="J109" s="445"/>
      <c r="K109" s="347"/>
      <c r="L109" s="347"/>
    </row>
    <row r="110" spans="3:15" x14ac:dyDescent="0.25">
      <c r="C110" s="446"/>
      <c r="D110" s="447"/>
      <c r="E110" s="447"/>
      <c r="F110" s="447"/>
      <c r="G110" s="447"/>
      <c r="H110" s="447"/>
      <c r="I110" s="447"/>
      <c r="J110" s="448"/>
      <c r="K110" s="347"/>
      <c r="L110" s="347"/>
    </row>
    <row r="111" spans="3:15" ht="15.75" thickBot="1" x14ac:dyDescent="0.3">
      <c r="C111" s="449"/>
      <c r="D111" s="450"/>
      <c r="E111" s="450"/>
      <c r="F111" s="450"/>
      <c r="G111" s="450"/>
      <c r="H111" s="450"/>
      <c r="I111" s="450"/>
      <c r="J111" s="451"/>
    </row>
    <row r="113" spans="3:12" ht="15.75" thickBot="1" x14ac:dyDescent="0.3"/>
    <row r="114" spans="3:12" x14ac:dyDescent="0.25">
      <c r="C114" s="274" t="s">
        <v>160</v>
      </c>
      <c r="D114" s="275">
        <f>D105+1</f>
        <v>13</v>
      </c>
      <c r="E114" s="275"/>
      <c r="F114" s="64"/>
      <c r="G114" s="64"/>
      <c r="H114" s="64"/>
      <c r="I114" s="64"/>
      <c r="J114" s="66"/>
    </row>
    <row r="115" spans="3:12" x14ac:dyDescent="0.25">
      <c r="C115" s="276" t="s">
        <v>161</v>
      </c>
      <c r="D115" s="277"/>
      <c r="E115" s="278">
        <v>45945</v>
      </c>
      <c r="F115" s="36"/>
      <c r="G115" s="36" t="s">
        <v>166</v>
      </c>
      <c r="H115" s="90"/>
      <c r="I115" s="67"/>
      <c r="J115" s="68"/>
      <c r="K115" s="347"/>
      <c r="L115" s="347"/>
    </row>
    <row r="116" spans="3:12" x14ac:dyDescent="0.25">
      <c r="C116" s="276" t="s">
        <v>162</v>
      </c>
      <c r="D116" s="277" t="s">
        <v>163</v>
      </c>
      <c r="E116" s="277" t="s">
        <v>164</v>
      </c>
      <c r="F116" s="36"/>
      <c r="G116" s="36" t="s">
        <v>167</v>
      </c>
      <c r="H116" s="67">
        <v>52</v>
      </c>
      <c r="I116" s="67"/>
      <c r="J116" s="68"/>
      <c r="K116" s="347"/>
      <c r="L116" s="347"/>
    </row>
    <row r="117" spans="3:12" ht="15.75" thickBot="1" x14ac:dyDescent="0.3">
      <c r="C117" s="147" t="s">
        <v>165</v>
      </c>
      <c r="D117" s="36"/>
      <c r="E117" s="36"/>
      <c r="F117" s="36"/>
      <c r="G117" s="36"/>
      <c r="H117" s="36"/>
      <c r="I117" s="36"/>
      <c r="J117" s="69"/>
      <c r="K117" s="358"/>
      <c r="L117" s="347"/>
    </row>
    <row r="118" spans="3:12" x14ac:dyDescent="0.25">
      <c r="C118" s="443" t="s">
        <v>351</v>
      </c>
      <c r="D118" s="444"/>
      <c r="E118" s="444"/>
      <c r="F118" s="444"/>
      <c r="G118" s="444"/>
      <c r="H118" s="444"/>
      <c r="I118" s="444"/>
      <c r="J118" s="445"/>
      <c r="K118" s="347"/>
      <c r="L118" s="347"/>
    </row>
    <row r="119" spans="3:12" x14ac:dyDescent="0.25">
      <c r="C119" s="446"/>
      <c r="D119" s="447"/>
      <c r="E119" s="447"/>
      <c r="F119" s="447"/>
      <c r="G119" s="447"/>
      <c r="H119" s="447"/>
      <c r="I119" s="447"/>
      <c r="J119" s="448"/>
      <c r="K119" s="347"/>
      <c r="L119" s="347"/>
    </row>
    <row r="120" spans="3:12" ht="15.75" thickBot="1" x14ac:dyDescent="0.3">
      <c r="C120" s="449"/>
      <c r="D120" s="450"/>
      <c r="E120" s="450"/>
      <c r="F120" s="450"/>
      <c r="G120" s="450"/>
      <c r="H120" s="450"/>
      <c r="I120" s="450"/>
      <c r="J120" s="451"/>
    </row>
    <row r="122" spans="3:12" ht="15.75" thickBot="1" x14ac:dyDescent="0.3"/>
    <row r="123" spans="3:12" x14ac:dyDescent="0.25">
      <c r="C123" s="300" t="s">
        <v>160</v>
      </c>
      <c r="D123" s="301">
        <f>D114+1</f>
        <v>14</v>
      </c>
      <c r="E123" s="301"/>
      <c r="F123" s="64"/>
      <c r="G123" s="64"/>
      <c r="H123" s="64"/>
      <c r="I123" s="64"/>
      <c r="J123" s="66"/>
    </row>
    <row r="124" spans="3:12" x14ac:dyDescent="0.25">
      <c r="C124" s="302" t="s">
        <v>161</v>
      </c>
      <c r="D124" s="303"/>
      <c r="E124" s="304">
        <v>45945</v>
      </c>
      <c r="F124" s="36"/>
      <c r="G124" s="36" t="s">
        <v>166</v>
      </c>
      <c r="H124" s="90"/>
      <c r="I124" s="67"/>
      <c r="J124" s="68"/>
      <c r="K124" s="347"/>
      <c r="L124" s="347"/>
    </row>
    <row r="125" spans="3:12" x14ac:dyDescent="0.25">
      <c r="C125" s="302" t="s">
        <v>162</v>
      </c>
      <c r="D125" s="303" t="s">
        <v>163</v>
      </c>
      <c r="E125" s="303" t="s">
        <v>164</v>
      </c>
      <c r="F125" s="36"/>
      <c r="G125" s="36" t="s">
        <v>167</v>
      </c>
      <c r="H125" s="67">
        <v>8</v>
      </c>
      <c r="I125" s="67"/>
      <c r="J125" s="68"/>
      <c r="K125" s="347"/>
      <c r="L125" s="347"/>
    </row>
    <row r="126" spans="3:12" ht="15.75" thickBot="1" x14ac:dyDescent="0.3">
      <c r="C126" s="147" t="s">
        <v>165</v>
      </c>
      <c r="D126" s="36"/>
      <c r="E126" s="36"/>
      <c r="F126" s="36"/>
      <c r="G126" s="36"/>
      <c r="H126" s="36"/>
      <c r="I126" s="36"/>
      <c r="J126" s="69"/>
      <c r="K126" s="347"/>
      <c r="L126" s="347"/>
    </row>
    <row r="127" spans="3:12" x14ac:dyDescent="0.25">
      <c r="C127" s="443" t="s">
        <v>352</v>
      </c>
      <c r="D127" s="444"/>
      <c r="E127" s="444"/>
      <c r="F127" s="444"/>
      <c r="G127" s="444"/>
      <c r="H127" s="444"/>
      <c r="I127" s="444"/>
      <c r="J127" s="445"/>
      <c r="K127" s="347"/>
      <c r="L127" s="347"/>
    </row>
    <row r="128" spans="3:12" x14ac:dyDescent="0.25">
      <c r="C128" s="446"/>
      <c r="D128" s="447"/>
      <c r="E128" s="447"/>
      <c r="F128" s="447"/>
      <c r="G128" s="447"/>
      <c r="H128" s="447"/>
      <c r="I128" s="447"/>
      <c r="J128" s="448"/>
      <c r="K128" s="347"/>
      <c r="L128" s="347"/>
    </row>
    <row r="129" spans="3:12" ht="15.75" thickBot="1" x14ac:dyDescent="0.3">
      <c r="C129" s="449"/>
      <c r="D129" s="450"/>
      <c r="E129" s="450"/>
      <c r="F129" s="450"/>
      <c r="G129" s="450"/>
      <c r="H129" s="450"/>
      <c r="I129" s="450"/>
      <c r="J129" s="451"/>
    </row>
    <row r="131" spans="3:12" ht="15.75" thickBot="1" x14ac:dyDescent="0.3"/>
    <row r="132" spans="3:12" x14ac:dyDescent="0.25">
      <c r="C132" s="305" t="s">
        <v>160</v>
      </c>
      <c r="D132" s="306">
        <f>D123+1</f>
        <v>15</v>
      </c>
      <c r="E132" s="306"/>
      <c r="F132" s="64"/>
      <c r="G132" s="64"/>
      <c r="H132" s="64"/>
      <c r="I132" s="64"/>
      <c r="J132" s="66"/>
    </row>
    <row r="133" spans="3:12" x14ac:dyDescent="0.25">
      <c r="C133" s="307" t="s">
        <v>161</v>
      </c>
      <c r="D133" s="308"/>
      <c r="E133" s="309">
        <v>45945</v>
      </c>
      <c r="F133" s="36"/>
      <c r="G133" s="36" t="s">
        <v>166</v>
      </c>
      <c r="H133" s="90"/>
      <c r="I133" s="67"/>
      <c r="J133" s="68"/>
      <c r="K133" s="347"/>
      <c r="L133" s="347"/>
    </row>
    <row r="134" spans="3:12" x14ac:dyDescent="0.25">
      <c r="C134" s="307" t="s">
        <v>162</v>
      </c>
      <c r="D134" s="308" t="s">
        <v>163</v>
      </c>
      <c r="E134" s="308" t="s">
        <v>164</v>
      </c>
      <c r="F134" s="36"/>
      <c r="G134" s="36" t="s">
        <v>167</v>
      </c>
      <c r="H134" s="67">
        <v>105</v>
      </c>
      <c r="I134" s="67"/>
      <c r="J134" s="68"/>
      <c r="K134" s="347"/>
      <c r="L134" s="347"/>
    </row>
    <row r="135" spans="3:12" ht="15.75" thickBot="1" x14ac:dyDescent="0.3">
      <c r="C135" s="147" t="s">
        <v>165</v>
      </c>
      <c r="D135" s="36"/>
      <c r="E135" s="36"/>
      <c r="F135" s="36"/>
      <c r="G135" s="36"/>
      <c r="H135" s="36"/>
      <c r="I135" s="36"/>
      <c r="J135" s="69"/>
      <c r="K135" s="359"/>
      <c r="L135" s="347"/>
    </row>
    <row r="136" spans="3:12" x14ac:dyDescent="0.25">
      <c r="C136" s="443" t="s">
        <v>353</v>
      </c>
      <c r="D136" s="444"/>
      <c r="E136" s="444"/>
      <c r="F136" s="444"/>
      <c r="G136" s="444"/>
      <c r="H136" s="444"/>
      <c r="I136" s="444"/>
      <c r="J136" s="445"/>
      <c r="K136" s="347"/>
      <c r="L136" s="347"/>
    </row>
    <row r="137" spans="3:12" x14ac:dyDescent="0.25">
      <c r="C137" s="446"/>
      <c r="D137" s="447"/>
      <c r="E137" s="447"/>
      <c r="F137" s="447"/>
      <c r="G137" s="447"/>
      <c r="H137" s="447"/>
      <c r="I137" s="447"/>
      <c r="J137" s="448"/>
      <c r="K137" s="347"/>
      <c r="L137" s="347"/>
    </row>
    <row r="138" spans="3:12" ht="15.75" thickBot="1" x14ac:dyDescent="0.3">
      <c r="C138" s="449"/>
      <c r="D138" s="450"/>
      <c r="E138" s="450"/>
      <c r="F138" s="450"/>
      <c r="G138" s="450"/>
      <c r="H138" s="450"/>
      <c r="I138" s="450"/>
      <c r="J138" s="451"/>
    </row>
    <row r="140" spans="3:12" ht="15.75" thickBot="1" x14ac:dyDescent="0.3"/>
    <row r="141" spans="3:12" x14ac:dyDescent="0.25">
      <c r="C141" s="310" t="s">
        <v>160</v>
      </c>
      <c r="D141" s="311">
        <f>D132+1</f>
        <v>16</v>
      </c>
      <c r="E141" s="311"/>
      <c r="F141" s="64"/>
      <c r="G141" s="64"/>
      <c r="H141" s="64"/>
      <c r="I141" s="64"/>
      <c r="J141" s="66"/>
    </row>
    <row r="142" spans="3:12" x14ac:dyDescent="0.25">
      <c r="C142" s="312" t="s">
        <v>161</v>
      </c>
      <c r="D142" s="313"/>
      <c r="E142" s="314">
        <v>45945</v>
      </c>
      <c r="F142" s="36"/>
      <c r="G142" s="36" t="s">
        <v>166</v>
      </c>
      <c r="H142" s="90"/>
      <c r="I142" s="67"/>
      <c r="J142" s="68"/>
      <c r="K142" s="347"/>
      <c r="L142" s="347"/>
    </row>
    <row r="143" spans="3:12" x14ac:dyDescent="0.25">
      <c r="C143" s="312" t="s">
        <v>162</v>
      </c>
      <c r="D143" s="313" t="s">
        <v>163</v>
      </c>
      <c r="E143" s="313" t="s">
        <v>164</v>
      </c>
      <c r="F143" s="36"/>
      <c r="G143" s="36" t="s">
        <v>167</v>
      </c>
      <c r="H143" s="67">
        <v>102</v>
      </c>
      <c r="I143" s="67"/>
      <c r="J143" s="68"/>
      <c r="K143" s="347"/>
      <c r="L143" s="347"/>
    </row>
    <row r="144" spans="3:12" ht="15.75" thickBot="1" x14ac:dyDescent="0.3">
      <c r="C144" s="147" t="s">
        <v>165</v>
      </c>
      <c r="D144" s="36"/>
      <c r="E144" s="36"/>
      <c r="F144" s="36"/>
      <c r="G144" s="36"/>
      <c r="H144" s="36"/>
      <c r="I144" s="36"/>
      <c r="J144" s="69"/>
      <c r="K144" s="347"/>
      <c r="L144" s="347"/>
    </row>
    <row r="145" spans="3:12" x14ac:dyDescent="0.25">
      <c r="C145" s="443" t="s">
        <v>354</v>
      </c>
      <c r="D145" s="444"/>
      <c r="E145" s="444"/>
      <c r="F145" s="444"/>
      <c r="G145" s="444"/>
      <c r="H145" s="444"/>
      <c r="I145" s="444"/>
      <c r="J145" s="445"/>
      <c r="K145" s="347"/>
      <c r="L145" s="347"/>
    </row>
    <row r="146" spans="3:12" x14ac:dyDescent="0.25">
      <c r="C146" s="446"/>
      <c r="D146" s="447"/>
      <c r="E146" s="447"/>
      <c r="F146" s="447"/>
      <c r="G146" s="447"/>
      <c r="H146" s="447"/>
      <c r="I146" s="447"/>
      <c r="J146" s="448"/>
      <c r="K146" s="347"/>
      <c r="L146" s="347"/>
    </row>
    <row r="147" spans="3:12" ht="15.75" thickBot="1" x14ac:dyDescent="0.3">
      <c r="C147" s="449"/>
      <c r="D147" s="450"/>
      <c r="E147" s="450"/>
      <c r="F147" s="450"/>
      <c r="G147" s="450"/>
      <c r="H147" s="450"/>
      <c r="I147" s="450"/>
      <c r="J147" s="451"/>
    </row>
    <row r="148" spans="3:12" ht="15.75" thickBot="1" x14ac:dyDescent="0.3"/>
    <row r="149" spans="3:12" x14ac:dyDescent="0.25">
      <c r="C149" s="315" t="s">
        <v>160</v>
      </c>
      <c r="D149" s="316">
        <f>D141+1</f>
        <v>17</v>
      </c>
      <c r="E149" s="316"/>
      <c r="F149" s="64"/>
      <c r="G149" s="64"/>
      <c r="H149" s="64"/>
      <c r="I149" s="64"/>
      <c r="J149" s="66"/>
      <c r="K149" s="347"/>
      <c r="L149" s="347"/>
    </row>
    <row r="150" spans="3:12" x14ac:dyDescent="0.25">
      <c r="C150" s="317" t="s">
        <v>161</v>
      </c>
      <c r="D150" s="318"/>
      <c r="E150" s="319">
        <v>45945</v>
      </c>
      <c r="F150" s="36"/>
      <c r="G150" s="36" t="s">
        <v>166</v>
      </c>
      <c r="H150" s="90"/>
      <c r="I150" s="67"/>
      <c r="J150" s="68"/>
      <c r="K150" s="347"/>
      <c r="L150" s="347"/>
    </row>
    <row r="151" spans="3:12" x14ac:dyDescent="0.25">
      <c r="C151" s="317" t="s">
        <v>162</v>
      </c>
      <c r="D151" s="318" t="s">
        <v>163</v>
      </c>
      <c r="E151" s="318" t="s">
        <v>164</v>
      </c>
      <c r="F151" s="36"/>
      <c r="G151" s="36" t="s">
        <v>167</v>
      </c>
      <c r="H151" s="452" t="s">
        <v>356</v>
      </c>
      <c r="I151" s="452"/>
      <c r="J151" s="453"/>
      <c r="K151" s="347"/>
      <c r="L151" s="347"/>
    </row>
    <row r="152" spans="3:12" ht="15.75" thickBot="1" x14ac:dyDescent="0.3">
      <c r="C152" s="147" t="s">
        <v>165</v>
      </c>
      <c r="D152" s="36"/>
      <c r="E152" s="36"/>
      <c r="F152" s="36"/>
      <c r="G152" s="36"/>
      <c r="H152" s="36"/>
      <c r="I152" s="36"/>
      <c r="J152" s="69"/>
      <c r="K152" s="347"/>
      <c r="L152" s="347"/>
    </row>
    <row r="153" spans="3:12" x14ac:dyDescent="0.25">
      <c r="C153" s="443" t="s">
        <v>355</v>
      </c>
      <c r="D153" s="444"/>
      <c r="E153" s="444"/>
      <c r="F153" s="444"/>
      <c r="G153" s="444"/>
      <c r="H153" s="444"/>
      <c r="I153" s="444"/>
      <c r="J153" s="445"/>
      <c r="K153" s="347"/>
      <c r="L153" s="347"/>
    </row>
    <row r="154" spans="3:12" x14ac:dyDescent="0.25">
      <c r="C154" s="446"/>
      <c r="D154" s="447"/>
      <c r="E154" s="447"/>
      <c r="F154" s="447"/>
      <c r="G154" s="447"/>
      <c r="H154" s="447"/>
      <c r="I154" s="447"/>
      <c r="J154" s="448"/>
      <c r="K154" s="347"/>
      <c r="L154" s="347"/>
    </row>
    <row r="155" spans="3:12" ht="15.75" thickBot="1" x14ac:dyDescent="0.3">
      <c r="C155" s="449"/>
      <c r="D155" s="450"/>
      <c r="E155" s="450"/>
      <c r="F155" s="450"/>
      <c r="G155" s="450"/>
      <c r="H155" s="450"/>
      <c r="I155" s="450"/>
      <c r="J155" s="451"/>
      <c r="K155" s="347"/>
      <c r="L155" s="347"/>
    </row>
    <row r="156" spans="3:12" x14ac:dyDescent="0.25">
      <c r="C156" s="320"/>
      <c r="D156" s="320"/>
      <c r="E156" s="320"/>
      <c r="F156" s="320"/>
      <c r="G156" s="320"/>
      <c r="H156" s="320"/>
      <c r="I156" s="320"/>
      <c r="J156" s="320"/>
    </row>
    <row r="157" spans="3:12" ht="15.75" thickBot="1" x14ac:dyDescent="0.3">
      <c r="C157" s="320"/>
      <c r="D157" s="320"/>
      <c r="E157" s="320"/>
      <c r="F157" s="320"/>
      <c r="G157" s="320"/>
      <c r="H157" s="320"/>
      <c r="I157" s="320"/>
      <c r="J157" s="320"/>
    </row>
    <row r="158" spans="3:12" x14ac:dyDescent="0.25">
      <c r="C158" s="326" t="s">
        <v>160</v>
      </c>
      <c r="D158" s="327">
        <f>D150+1</f>
        <v>1</v>
      </c>
      <c r="E158" s="327"/>
      <c r="F158" s="64"/>
      <c r="G158" s="64"/>
      <c r="H158" s="64"/>
      <c r="I158" s="64"/>
      <c r="J158" s="66"/>
      <c r="K158" s="347"/>
      <c r="L158" s="347"/>
    </row>
    <row r="159" spans="3:12" x14ac:dyDescent="0.25">
      <c r="C159" s="328" t="s">
        <v>161</v>
      </c>
      <c r="D159" s="329"/>
      <c r="E159" s="330">
        <v>45945</v>
      </c>
      <c r="F159" s="36"/>
      <c r="G159" s="36" t="s">
        <v>166</v>
      </c>
      <c r="H159" s="90"/>
      <c r="I159" s="67"/>
      <c r="J159" s="68"/>
      <c r="K159" s="347"/>
      <c r="L159" s="347"/>
    </row>
    <row r="160" spans="3:12" x14ac:dyDescent="0.25">
      <c r="C160" s="328" t="s">
        <v>162</v>
      </c>
      <c r="D160" s="329" t="s">
        <v>163</v>
      </c>
      <c r="E160" s="329" t="s">
        <v>164</v>
      </c>
      <c r="F160" s="36"/>
      <c r="G160" s="36" t="s">
        <v>167</v>
      </c>
      <c r="H160" s="452">
        <v>119</v>
      </c>
      <c r="I160" s="452"/>
      <c r="J160" s="453"/>
      <c r="K160" s="347"/>
      <c r="L160" s="347"/>
    </row>
    <row r="161" spans="3:12" ht="15.75" thickBot="1" x14ac:dyDescent="0.3">
      <c r="C161" s="147" t="s">
        <v>165</v>
      </c>
      <c r="D161" s="36"/>
      <c r="E161" s="36"/>
      <c r="F161" s="36"/>
      <c r="G161" s="36"/>
      <c r="H161" s="36"/>
      <c r="I161" s="36"/>
      <c r="J161" s="69"/>
      <c r="K161" s="347"/>
      <c r="L161" s="347"/>
    </row>
    <row r="162" spans="3:12" x14ac:dyDescent="0.25">
      <c r="C162" s="443" t="s">
        <v>363</v>
      </c>
      <c r="D162" s="444"/>
      <c r="E162" s="444"/>
      <c r="F162" s="444"/>
      <c r="G162" s="444"/>
      <c r="H162" s="444"/>
      <c r="I162" s="444"/>
      <c r="J162" s="445"/>
      <c r="K162" s="347"/>
      <c r="L162" s="347"/>
    </row>
    <row r="163" spans="3:12" x14ac:dyDescent="0.25">
      <c r="C163" s="446"/>
      <c r="D163" s="447"/>
      <c r="E163" s="447"/>
      <c r="F163" s="447"/>
      <c r="G163" s="447"/>
      <c r="H163" s="447"/>
      <c r="I163" s="447"/>
      <c r="J163" s="448"/>
      <c r="K163" s="347"/>
      <c r="L163" s="347"/>
    </row>
    <row r="164" spans="3:12" ht="15.75" thickBot="1" x14ac:dyDescent="0.3">
      <c r="C164" s="449"/>
      <c r="D164" s="450"/>
      <c r="E164" s="450"/>
      <c r="F164" s="450"/>
      <c r="G164" s="450"/>
      <c r="H164" s="450"/>
      <c r="I164" s="450"/>
      <c r="J164" s="451"/>
    </row>
    <row r="165" spans="3:12" x14ac:dyDescent="0.25">
      <c r="C165" s="320"/>
      <c r="D165" s="320"/>
      <c r="E165" s="320"/>
      <c r="F165" s="320"/>
      <c r="G165" s="320"/>
      <c r="H165" s="320"/>
      <c r="I165" s="320"/>
      <c r="J165" s="320"/>
    </row>
    <row r="166" spans="3:12" ht="15.75" thickBot="1" x14ac:dyDescent="0.3">
      <c r="C166" s="320"/>
      <c r="D166" s="320"/>
      <c r="E166" s="320"/>
      <c r="F166" s="320"/>
      <c r="G166" s="320"/>
      <c r="H166" s="320"/>
      <c r="I166" s="320"/>
      <c r="J166" s="320"/>
    </row>
    <row r="167" spans="3:12" x14ac:dyDescent="0.25">
      <c r="C167" s="332" t="s">
        <v>160</v>
      </c>
      <c r="D167" s="333">
        <f>D159+1</f>
        <v>1</v>
      </c>
      <c r="E167" s="333"/>
      <c r="F167" s="64"/>
      <c r="G167" s="64"/>
      <c r="H167" s="64"/>
      <c r="I167" s="64"/>
      <c r="J167" s="66"/>
      <c r="K167" s="347"/>
      <c r="L167" s="347"/>
    </row>
    <row r="168" spans="3:12" x14ac:dyDescent="0.25">
      <c r="C168" s="334" t="s">
        <v>161</v>
      </c>
      <c r="D168" s="335"/>
      <c r="E168" s="336">
        <v>45945</v>
      </c>
      <c r="F168" s="36"/>
      <c r="G168" s="36" t="s">
        <v>166</v>
      </c>
      <c r="H168" s="90"/>
      <c r="I168" s="67"/>
      <c r="J168" s="68"/>
      <c r="K168" s="347"/>
      <c r="L168" s="347"/>
    </row>
    <row r="169" spans="3:12" x14ac:dyDescent="0.25">
      <c r="C169" s="334" t="s">
        <v>162</v>
      </c>
      <c r="D169" s="335" t="s">
        <v>163</v>
      </c>
      <c r="E169" s="335" t="s">
        <v>164</v>
      </c>
      <c r="F169" s="36"/>
      <c r="G169" s="36" t="s">
        <v>167</v>
      </c>
      <c r="H169" s="452">
        <v>80</v>
      </c>
      <c r="I169" s="452"/>
      <c r="J169" s="453"/>
      <c r="K169" s="347"/>
      <c r="L169" s="347"/>
    </row>
    <row r="170" spans="3:12" ht="15.75" thickBot="1" x14ac:dyDescent="0.3">
      <c r="C170" s="147" t="s">
        <v>165</v>
      </c>
      <c r="D170" s="36"/>
      <c r="E170" s="36"/>
      <c r="F170" s="36"/>
      <c r="G170" s="36"/>
      <c r="H170" s="36"/>
      <c r="I170" s="36"/>
      <c r="J170" s="69"/>
      <c r="K170" s="347"/>
      <c r="L170" s="347"/>
    </row>
    <row r="171" spans="3:12" x14ac:dyDescent="0.25">
      <c r="C171" s="443" t="s">
        <v>364</v>
      </c>
      <c r="D171" s="444"/>
      <c r="E171" s="444"/>
      <c r="F171" s="444"/>
      <c r="G171" s="444"/>
      <c r="H171" s="444"/>
      <c r="I171" s="444"/>
      <c r="J171" s="445"/>
      <c r="K171" s="347"/>
      <c r="L171" s="347"/>
    </row>
    <row r="172" spans="3:12" x14ac:dyDescent="0.25">
      <c r="C172" s="446"/>
      <c r="D172" s="447"/>
      <c r="E172" s="447"/>
      <c r="F172" s="447"/>
      <c r="G172" s="447"/>
      <c r="H172" s="447"/>
      <c r="I172" s="447"/>
      <c r="J172" s="448"/>
      <c r="K172" s="347"/>
      <c r="L172" s="347"/>
    </row>
    <row r="173" spans="3:12" ht="15.6" customHeight="1" thickBot="1" x14ac:dyDescent="0.3">
      <c r="C173" s="449"/>
      <c r="D173" s="450"/>
      <c r="E173" s="450"/>
      <c r="F173" s="450"/>
      <c r="G173" s="450"/>
      <c r="H173" s="450"/>
      <c r="I173" s="450"/>
      <c r="J173" s="451"/>
      <c r="K173" s="347"/>
      <c r="L173" s="347"/>
    </row>
    <row r="174" spans="3:12" ht="15.75" thickBot="1" x14ac:dyDescent="0.3"/>
    <row r="175" spans="3:12" x14ac:dyDescent="0.25">
      <c r="C175" s="321" t="s">
        <v>160</v>
      </c>
      <c r="D175" s="322">
        <f>D149+1</f>
        <v>18</v>
      </c>
      <c r="E175" s="322"/>
      <c r="F175" s="64"/>
      <c r="G175" s="64"/>
      <c r="H175" s="64"/>
      <c r="I175" s="64"/>
      <c r="J175" s="66"/>
      <c r="K175" s="347"/>
      <c r="L175" s="347"/>
    </row>
    <row r="176" spans="3:12" x14ac:dyDescent="0.25">
      <c r="C176" s="323" t="s">
        <v>161</v>
      </c>
      <c r="D176" s="324"/>
      <c r="E176" s="325">
        <v>45945</v>
      </c>
      <c r="F176" s="36"/>
      <c r="G176" s="36" t="s">
        <v>166</v>
      </c>
      <c r="H176" s="90"/>
      <c r="I176" s="67"/>
      <c r="J176" s="68"/>
      <c r="K176" s="347"/>
      <c r="L176" s="347"/>
    </row>
    <row r="177" spans="3:12" x14ac:dyDescent="0.25">
      <c r="C177" s="323" t="s">
        <v>162</v>
      </c>
      <c r="D177" s="324" t="s">
        <v>163</v>
      </c>
      <c r="E177" s="324" t="s">
        <v>164</v>
      </c>
      <c r="F177" s="36"/>
      <c r="G177" s="36" t="s">
        <v>167</v>
      </c>
      <c r="H177" s="452">
        <v>64</v>
      </c>
      <c r="I177" s="452"/>
      <c r="J177" s="453"/>
      <c r="K177" s="347"/>
      <c r="L177" s="347"/>
    </row>
    <row r="178" spans="3:12" ht="15.75" thickBot="1" x14ac:dyDescent="0.3">
      <c r="C178" s="147" t="s">
        <v>165</v>
      </c>
      <c r="D178" s="36"/>
      <c r="E178" s="36"/>
      <c r="F178" s="36"/>
      <c r="G178" s="36"/>
      <c r="H178" s="36"/>
      <c r="I178" s="36"/>
      <c r="J178" s="69"/>
      <c r="K178" s="347"/>
      <c r="L178" s="347"/>
    </row>
    <row r="179" spans="3:12" x14ac:dyDescent="0.25">
      <c r="C179" s="443" t="s">
        <v>361</v>
      </c>
      <c r="D179" s="444"/>
      <c r="E179" s="444"/>
      <c r="F179" s="444"/>
      <c r="G179" s="444"/>
      <c r="H179" s="444"/>
      <c r="I179" s="444"/>
      <c r="J179" s="445"/>
      <c r="K179" s="347"/>
      <c r="L179" s="347"/>
    </row>
    <row r="180" spans="3:12" x14ac:dyDescent="0.25">
      <c r="C180" s="446"/>
      <c r="D180" s="447"/>
      <c r="E180" s="447"/>
      <c r="F180" s="447"/>
      <c r="G180" s="447"/>
      <c r="H180" s="447"/>
      <c r="I180" s="447"/>
      <c r="J180" s="448"/>
      <c r="K180" s="347"/>
      <c r="L180" s="347"/>
    </row>
    <row r="181" spans="3:12" ht="15.75" thickBot="1" x14ac:dyDescent="0.3">
      <c r="C181" s="449"/>
      <c r="D181" s="450"/>
      <c r="E181" s="450"/>
      <c r="F181" s="450"/>
      <c r="G181" s="450"/>
      <c r="H181" s="450"/>
      <c r="I181" s="450"/>
      <c r="J181" s="451"/>
      <c r="K181" s="347"/>
      <c r="L181" s="347"/>
    </row>
    <row r="183" spans="3:12" ht="15.75" thickBot="1" x14ac:dyDescent="0.3"/>
    <row r="184" spans="3:12" x14ac:dyDescent="0.25">
      <c r="C184" s="344" t="s">
        <v>160</v>
      </c>
      <c r="D184" s="345">
        <f>D175+1</f>
        <v>19</v>
      </c>
      <c r="E184" s="345"/>
      <c r="F184" s="64"/>
      <c r="G184" s="64"/>
      <c r="H184" s="64"/>
      <c r="I184" s="64"/>
      <c r="J184" s="66"/>
      <c r="K184" s="347"/>
      <c r="L184" s="347"/>
    </row>
    <row r="185" spans="3:12" x14ac:dyDescent="0.25">
      <c r="C185" s="346" t="s">
        <v>161</v>
      </c>
      <c r="D185" s="347"/>
      <c r="E185" s="348">
        <v>45945</v>
      </c>
      <c r="F185" s="36"/>
      <c r="G185" s="36" t="s">
        <v>166</v>
      </c>
      <c r="H185" s="90"/>
      <c r="I185" s="67"/>
      <c r="J185" s="68"/>
      <c r="K185" s="347"/>
      <c r="L185" s="347"/>
    </row>
    <row r="186" spans="3:12" x14ac:dyDescent="0.25">
      <c r="C186" s="346" t="s">
        <v>162</v>
      </c>
      <c r="D186" s="347" t="s">
        <v>163</v>
      </c>
      <c r="E186" s="347" t="s">
        <v>164</v>
      </c>
      <c r="F186" s="36"/>
      <c r="G186" s="36" t="s">
        <v>167</v>
      </c>
      <c r="H186" s="452">
        <v>28</v>
      </c>
      <c r="I186" s="452"/>
      <c r="J186" s="453"/>
      <c r="K186" s="347"/>
      <c r="L186" s="347"/>
    </row>
    <row r="187" spans="3:12" ht="15.75" thickBot="1" x14ac:dyDescent="0.3">
      <c r="C187" s="147" t="s">
        <v>165</v>
      </c>
      <c r="D187" s="36"/>
      <c r="E187" s="36"/>
      <c r="F187" s="36"/>
      <c r="G187" s="36"/>
      <c r="H187" s="36"/>
      <c r="I187" s="36"/>
      <c r="J187" s="69"/>
      <c r="K187" s="347"/>
      <c r="L187" s="347"/>
    </row>
    <row r="188" spans="3:12" x14ac:dyDescent="0.25">
      <c r="C188" s="443" t="s">
        <v>365</v>
      </c>
      <c r="D188" s="444"/>
      <c r="E188" s="444"/>
      <c r="F188" s="444"/>
      <c r="G188" s="444"/>
      <c r="H188" s="444"/>
      <c r="I188" s="444"/>
      <c r="J188" s="445"/>
      <c r="K188" s="347"/>
      <c r="L188" s="347"/>
    </row>
    <row r="189" spans="3:12" x14ac:dyDescent="0.25">
      <c r="C189" s="446"/>
      <c r="D189" s="447"/>
      <c r="E189" s="447"/>
      <c r="F189" s="447"/>
      <c r="G189" s="447"/>
      <c r="H189" s="447"/>
      <c r="I189" s="447"/>
      <c r="J189" s="448"/>
      <c r="K189" s="347"/>
      <c r="L189" s="347"/>
    </row>
    <row r="190" spans="3:12" ht="15.75" thickBot="1" x14ac:dyDescent="0.3">
      <c r="C190" s="449"/>
      <c r="D190" s="450"/>
      <c r="E190" s="450"/>
      <c r="F190" s="450"/>
      <c r="G190" s="450"/>
      <c r="H190" s="450"/>
      <c r="I190" s="450"/>
      <c r="J190" s="451"/>
      <c r="K190" s="347"/>
      <c r="L190" s="347"/>
    </row>
    <row r="192" spans="3:12" ht="15.75" thickBot="1" x14ac:dyDescent="0.3"/>
    <row r="193" spans="3:12" x14ac:dyDescent="0.25">
      <c r="C193" s="344" t="s">
        <v>160</v>
      </c>
      <c r="D193" s="345">
        <f>D184+1</f>
        <v>20</v>
      </c>
      <c r="E193" s="345"/>
      <c r="F193" s="64"/>
      <c r="G193" s="64"/>
      <c r="H193" s="64"/>
      <c r="I193" s="64"/>
      <c r="J193" s="66"/>
      <c r="K193" s="347"/>
      <c r="L193" s="347"/>
    </row>
    <row r="194" spans="3:12" x14ac:dyDescent="0.25">
      <c r="C194" s="346" t="s">
        <v>161</v>
      </c>
      <c r="D194" s="347"/>
      <c r="E194" s="348">
        <v>45945</v>
      </c>
      <c r="F194" s="36"/>
      <c r="G194" s="36" t="s">
        <v>166</v>
      </c>
      <c r="H194" s="90"/>
      <c r="I194" s="67"/>
      <c r="J194" s="68"/>
      <c r="K194" s="347"/>
      <c r="L194" s="347"/>
    </row>
    <row r="195" spans="3:12" x14ac:dyDescent="0.25">
      <c r="C195" s="346" t="s">
        <v>162</v>
      </c>
      <c r="D195" s="347" t="s">
        <v>163</v>
      </c>
      <c r="E195" s="347" t="s">
        <v>164</v>
      </c>
      <c r="F195" s="36"/>
      <c r="G195" s="36" t="s">
        <v>167</v>
      </c>
      <c r="H195" s="452">
        <v>61</v>
      </c>
      <c r="I195" s="452"/>
      <c r="J195" s="453"/>
      <c r="K195" s="347"/>
      <c r="L195" s="347"/>
    </row>
    <row r="196" spans="3:12" ht="15.75" thickBot="1" x14ac:dyDescent="0.3">
      <c r="C196" s="147" t="s">
        <v>165</v>
      </c>
      <c r="D196" s="36"/>
      <c r="E196" s="36"/>
      <c r="F196" s="36"/>
      <c r="G196" s="36"/>
      <c r="H196" s="36"/>
      <c r="I196" s="36"/>
      <c r="J196" s="69"/>
      <c r="K196" s="347"/>
      <c r="L196" s="347"/>
    </row>
    <row r="197" spans="3:12" x14ac:dyDescent="0.25">
      <c r="C197" s="443" t="s">
        <v>366</v>
      </c>
      <c r="D197" s="444"/>
      <c r="E197" s="444"/>
      <c r="F197" s="444"/>
      <c r="G197" s="444"/>
      <c r="H197" s="444"/>
      <c r="I197" s="444"/>
      <c r="J197" s="445"/>
      <c r="K197" s="347"/>
      <c r="L197" s="347"/>
    </row>
    <row r="198" spans="3:12" x14ac:dyDescent="0.25">
      <c r="C198" s="446"/>
      <c r="D198" s="447"/>
      <c r="E198" s="447"/>
      <c r="F198" s="447"/>
      <c r="G198" s="447"/>
      <c r="H198" s="447"/>
      <c r="I198" s="447"/>
      <c r="J198" s="448"/>
      <c r="K198" s="347"/>
      <c r="L198" s="347"/>
    </row>
    <row r="199" spans="3:12" ht="15.75" thickBot="1" x14ac:dyDescent="0.3">
      <c r="C199" s="449"/>
      <c r="D199" s="450"/>
      <c r="E199" s="450"/>
      <c r="F199" s="450"/>
      <c r="G199" s="450"/>
      <c r="H199" s="450"/>
      <c r="I199" s="450"/>
      <c r="J199" s="451"/>
      <c r="K199" s="347"/>
      <c r="L199" s="347"/>
    </row>
    <row r="201" spans="3:12" ht="15.75" thickBot="1" x14ac:dyDescent="0.3"/>
    <row r="202" spans="3:12" x14ac:dyDescent="0.25">
      <c r="C202" s="344" t="s">
        <v>160</v>
      </c>
      <c r="D202" s="345">
        <f>D193+1</f>
        <v>21</v>
      </c>
      <c r="E202" s="345"/>
      <c r="F202" s="64"/>
      <c r="G202" s="64"/>
      <c r="H202" s="64"/>
      <c r="I202" s="64"/>
      <c r="J202" s="66"/>
    </row>
    <row r="203" spans="3:12" x14ac:dyDescent="0.25">
      <c r="C203" s="346" t="s">
        <v>161</v>
      </c>
      <c r="D203" s="347"/>
      <c r="E203" s="348">
        <v>45945</v>
      </c>
      <c r="F203" s="36"/>
      <c r="G203" s="36" t="s">
        <v>166</v>
      </c>
      <c r="H203" s="90"/>
      <c r="I203" s="67"/>
      <c r="J203" s="68"/>
      <c r="K203" s="347"/>
    </row>
    <row r="204" spans="3:12" x14ac:dyDescent="0.25">
      <c r="C204" s="346" t="s">
        <v>162</v>
      </c>
      <c r="D204" s="347" t="s">
        <v>163</v>
      </c>
      <c r="E204" s="347" t="s">
        <v>164</v>
      </c>
      <c r="F204" s="36"/>
      <c r="G204" s="36" t="s">
        <v>167</v>
      </c>
      <c r="H204" s="452">
        <v>97</v>
      </c>
      <c r="I204" s="452"/>
      <c r="J204" s="453"/>
      <c r="K204" s="347"/>
    </row>
    <row r="205" spans="3:12" ht="15.75" thickBot="1" x14ac:dyDescent="0.3">
      <c r="C205" s="147" t="s">
        <v>165</v>
      </c>
      <c r="D205" s="36"/>
      <c r="E205" s="36"/>
      <c r="F205" s="36"/>
      <c r="G205" s="36"/>
      <c r="H205" s="36"/>
      <c r="I205" s="36"/>
      <c r="J205" s="69"/>
      <c r="K205" s="347"/>
    </row>
    <row r="206" spans="3:12" x14ac:dyDescent="0.25">
      <c r="C206" s="443" t="s">
        <v>367</v>
      </c>
      <c r="D206" s="444"/>
      <c r="E206" s="444"/>
      <c r="F206" s="444"/>
      <c r="G206" s="444"/>
      <c r="H206" s="444"/>
      <c r="I206" s="444"/>
      <c r="J206" s="445"/>
      <c r="K206" s="347"/>
    </row>
    <row r="207" spans="3:12" x14ac:dyDescent="0.25">
      <c r="C207" s="446"/>
      <c r="D207" s="447"/>
      <c r="E207" s="447"/>
      <c r="F207" s="447"/>
      <c r="G207" s="447"/>
      <c r="H207" s="447"/>
      <c r="I207" s="447"/>
      <c r="J207" s="448"/>
      <c r="K207" s="347"/>
    </row>
    <row r="208" spans="3:12" ht="15.75" thickBot="1" x14ac:dyDescent="0.3">
      <c r="C208" s="449"/>
      <c r="D208" s="450"/>
      <c r="E208" s="450"/>
      <c r="F208" s="450"/>
      <c r="G208" s="450"/>
      <c r="H208" s="450"/>
      <c r="I208" s="450"/>
      <c r="J208" s="451"/>
    </row>
    <row r="209" spans="3:12" x14ac:dyDescent="0.25">
      <c r="C209" s="347"/>
    </row>
    <row r="210" spans="3:12" ht="15.75" thickBot="1" x14ac:dyDescent="0.3"/>
    <row r="211" spans="3:12" x14ac:dyDescent="0.25">
      <c r="C211" s="339" t="s">
        <v>160</v>
      </c>
      <c r="D211" s="340">
        <f>D202+1</f>
        <v>22</v>
      </c>
      <c r="E211" s="340"/>
      <c r="F211" s="64"/>
      <c r="G211" s="64"/>
      <c r="H211" s="64"/>
      <c r="I211" s="64"/>
      <c r="J211" s="66"/>
    </row>
    <row r="212" spans="3:12" x14ac:dyDescent="0.25">
      <c r="C212" s="341" t="s">
        <v>161</v>
      </c>
      <c r="D212" s="342"/>
      <c r="E212" s="343">
        <v>45945</v>
      </c>
      <c r="F212" s="36"/>
      <c r="G212" s="36" t="s">
        <v>166</v>
      </c>
      <c r="H212" s="90"/>
      <c r="I212" s="67"/>
      <c r="J212" s="68"/>
      <c r="K212" s="347"/>
      <c r="L212" s="347"/>
    </row>
    <row r="213" spans="3:12" x14ac:dyDescent="0.25">
      <c r="C213" s="341" t="s">
        <v>162</v>
      </c>
      <c r="D213" s="342" t="s">
        <v>163</v>
      </c>
      <c r="E213" s="342" t="s">
        <v>164</v>
      </c>
      <c r="F213" s="36"/>
      <c r="G213" s="36" t="s">
        <v>167</v>
      </c>
      <c r="H213" s="67">
        <v>130</v>
      </c>
      <c r="I213" s="67"/>
      <c r="J213" s="68"/>
      <c r="K213" s="347"/>
      <c r="L213" s="347"/>
    </row>
    <row r="214" spans="3:12" ht="15.75" thickBot="1" x14ac:dyDescent="0.3">
      <c r="C214" s="147" t="s">
        <v>165</v>
      </c>
      <c r="D214" s="36"/>
      <c r="E214" s="36"/>
      <c r="F214" s="36"/>
      <c r="G214" s="36"/>
      <c r="H214" s="36"/>
      <c r="I214" s="36"/>
      <c r="J214" s="69"/>
      <c r="K214" s="347"/>
      <c r="L214" s="347"/>
    </row>
    <row r="215" spans="3:12" x14ac:dyDescent="0.25">
      <c r="C215" s="443" t="s">
        <v>368</v>
      </c>
      <c r="D215" s="444"/>
      <c r="E215" s="444"/>
      <c r="F215" s="444"/>
      <c r="G215" s="444"/>
      <c r="H215" s="444"/>
      <c r="I215" s="444"/>
      <c r="J215" s="445"/>
      <c r="K215" s="347"/>
      <c r="L215" s="347"/>
    </row>
    <row r="216" spans="3:12" x14ac:dyDescent="0.25">
      <c r="C216" s="446"/>
      <c r="D216" s="447"/>
      <c r="E216" s="447"/>
      <c r="F216" s="447"/>
      <c r="G216" s="447"/>
      <c r="H216" s="447"/>
      <c r="I216" s="447"/>
      <c r="J216" s="448"/>
      <c r="K216" s="347"/>
      <c r="L216" s="347"/>
    </row>
    <row r="217" spans="3:12" ht="15.75" thickBot="1" x14ac:dyDescent="0.3">
      <c r="C217" s="449"/>
      <c r="D217" s="450"/>
      <c r="E217" s="450"/>
      <c r="F217" s="450"/>
      <c r="G217" s="450"/>
      <c r="H217" s="450"/>
      <c r="I217" s="450"/>
      <c r="J217" s="451"/>
    </row>
    <row r="219" spans="3:12" ht="15.75" thickBot="1" x14ac:dyDescent="0.3"/>
    <row r="220" spans="3:12" x14ac:dyDescent="0.25">
      <c r="C220" s="344" t="s">
        <v>160</v>
      </c>
      <c r="D220" s="345">
        <f>D211+1</f>
        <v>23</v>
      </c>
      <c r="E220" s="345"/>
      <c r="F220" s="64"/>
      <c r="G220" s="64"/>
      <c r="H220" s="64"/>
      <c r="I220" s="64"/>
      <c r="J220" s="66"/>
    </row>
    <row r="221" spans="3:12" x14ac:dyDescent="0.25">
      <c r="C221" s="346" t="s">
        <v>161</v>
      </c>
      <c r="D221" s="347"/>
      <c r="E221" s="348">
        <v>45945</v>
      </c>
      <c r="F221" s="36"/>
      <c r="G221" s="36" t="s">
        <v>166</v>
      </c>
      <c r="H221" s="90" t="s">
        <v>369</v>
      </c>
      <c r="I221" s="67"/>
      <c r="J221" s="68"/>
      <c r="K221" s="347"/>
      <c r="L221" s="347"/>
    </row>
    <row r="222" spans="3:12" x14ac:dyDescent="0.25">
      <c r="C222" s="346" t="s">
        <v>162</v>
      </c>
      <c r="D222" s="347" t="s">
        <v>163</v>
      </c>
      <c r="E222" s="347" t="s">
        <v>164</v>
      </c>
      <c r="F222" s="36"/>
      <c r="G222" s="36" t="s">
        <v>167</v>
      </c>
      <c r="H222" s="67">
        <v>112</v>
      </c>
      <c r="I222" s="67"/>
      <c r="J222" s="68"/>
      <c r="K222" s="347"/>
      <c r="L222" s="347"/>
    </row>
    <row r="223" spans="3:12" ht="15.75" thickBot="1" x14ac:dyDescent="0.3">
      <c r="C223" s="346" t="s">
        <v>165</v>
      </c>
      <c r="D223" s="347"/>
      <c r="E223" s="347"/>
      <c r="F223" s="36"/>
      <c r="G223" s="36"/>
      <c r="H223" s="36"/>
      <c r="I223" s="36"/>
      <c r="J223" s="69"/>
      <c r="K223" s="347"/>
      <c r="L223" s="347"/>
    </row>
    <row r="224" spans="3:12" x14ac:dyDescent="0.25">
      <c r="C224" s="443" t="s">
        <v>370</v>
      </c>
      <c r="D224" s="444"/>
      <c r="E224" s="444"/>
      <c r="F224" s="444"/>
      <c r="G224" s="444"/>
      <c r="H224" s="444"/>
      <c r="I224" s="444"/>
      <c r="J224" s="445"/>
      <c r="K224" s="347"/>
      <c r="L224" s="347"/>
    </row>
    <row r="225" spans="3:12" x14ac:dyDescent="0.25">
      <c r="C225" s="446"/>
      <c r="D225" s="447"/>
      <c r="E225" s="447"/>
      <c r="F225" s="447"/>
      <c r="G225" s="447"/>
      <c r="H225" s="447"/>
      <c r="I225" s="447"/>
      <c r="J225" s="448"/>
      <c r="K225" s="347"/>
      <c r="L225" s="347"/>
    </row>
    <row r="226" spans="3:12" ht="15.75" thickBot="1" x14ac:dyDescent="0.3">
      <c r="C226" s="449"/>
      <c r="D226" s="450"/>
      <c r="E226" s="450"/>
      <c r="F226" s="450"/>
      <c r="G226" s="450"/>
      <c r="H226" s="450"/>
      <c r="I226" s="450"/>
      <c r="J226" s="451"/>
      <c r="K226" s="347"/>
      <c r="L226" s="347"/>
    </row>
    <row r="228" spans="3:12" ht="15.75" thickBot="1" x14ac:dyDescent="0.3"/>
    <row r="229" spans="3:12" x14ac:dyDescent="0.25">
      <c r="C229" s="349" t="s">
        <v>160</v>
      </c>
      <c r="D229" s="350">
        <f>D220+1</f>
        <v>24</v>
      </c>
      <c r="E229" s="350"/>
      <c r="F229" s="64"/>
      <c r="G229" s="64"/>
      <c r="H229" s="64"/>
      <c r="I229" s="64"/>
      <c r="J229" s="66"/>
    </row>
    <row r="230" spans="3:12" x14ac:dyDescent="0.25">
      <c r="C230" s="351" t="s">
        <v>161</v>
      </c>
      <c r="D230" s="352"/>
      <c r="E230" s="353">
        <v>45945</v>
      </c>
      <c r="F230" s="36"/>
      <c r="G230" s="36" t="s">
        <v>166</v>
      </c>
      <c r="H230" s="90" t="s">
        <v>372</v>
      </c>
      <c r="I230" s="67"/>
      <c r="J230" s="68"/>
      <c r="K230" s="347"/>
      <c r="L230" s="347"/>
    </row>
    <row r="231" spans="3:12" x14ac:dyDescent="0.25">
      <c r="C231" s="351" t="s">
        <v>162</v>
      </c>
      <c r="D231" s="352" t="s">
        <v>163</v>
      </c>
      <c r="E231" s="352" t="s">
        <v>164</v>
      </c>
      <c r="F231" s="36"/>
      <c r="G231" s="36" t="s">
        <v>167</v>
      </c>
      <c r="H231" s="67">
        <v>60</v>
      </c>
      <c r="I231" s="67"/>
      <c r="J231" s="68"/>
      <c r="K231" s="347"/>
      <c r="L231" s="347"/>
    </row>
    <row r="232" spans="3:12" ht="15.75" thickBot="1" x14ac:dyDescent="0.3">
      <c r="C232" s="351" t="s">
        <v>165</v>
      </c>
      <c r="D232" s="352"/>
      <c r="E232" s="352"/>
      <c r="F232" s="36"/>
      <c r="G232" s="36"/>
      <c r="H232" s="36"/>
      <c r="I232" s="36"/>
      <c r="J232" s="69"/>
      <c r="K232" s="347"/>
      <c r="L232" s="347"/>
    </row>
    <row r="233" spans="3:12" x14ac:dyDescent="0.25">
      <c r="C233" s="443" t="s">
        <v>373</v>
      </c>
      <c r="D233" s="444"/>
      <c r="E233" s="444"/>
      <c r="F233" s="444"/>
      <c r="G233" s="444"/>
      <c r="H233" s="444"/>
      <c r="I233" s="444"/>
      <c r="J233" s="445"/>
      <c r="K233" s="347"/>
      <c r="L233" s="347"/>
    </row>
    <row r="234" spans="3:12" x14ac:dyDescent="0.25">
      <c r="C234" s="446"/>
      <c r="D234" s="447"/>
      <c r="E234" s="447"/>
      <c r="F234" s="447"/>
      <c r="G234" s="447"/>
      <c r="H234" s="447"/>
      <c r="I234" s="447"/>
      <c r="J234" s="448"/>
      <c r="K234" s="347"/>
      <c r="L234" s="347"/>
    </row>
    <row r="235" spans="3:12" ht="15.75" thickBot="1" x14ac:dyDescent="0.3">
      <c r="C235" s="449"/>
      <c r="D235" s="450"/>
      <c r="E235" s="450"/>
      <c r="F235" s="450"/>
      <c r="G235" s="450"/>
      <c r="H235" s="450"/>
      <c r="I235" s="450"/>
      <c r="J235" s="451"/>
      <c r="K235" s="347"/>
      <c r="L235" s="347"/>
    </row>
    <row r="237" spans="3:12" ht="15.75" thickBot="1" x14ac:dyDescent="0.3"/>
    <row r="238" spans="3:12" x14ac:dyDescent="0.25">
      <c r="C238" s="344" t="s">
        <v>160</v>
      </c>
      <c r="D238" s="345">
        <f>D229+1</f>
        <v>25</v>
      </c>
      <c r="E238" s="345"/>
      <c r="F238" s="64"/>
      <c r="G238" s="64"/>
      <c r="H238" s="64"/>
      <c r="I238" s="64"/>
      <c r="J238" s="66"/>
    </row>
    <row r="239" spans="3:12" x14ac:dyDescent="0.25">
      <c r="C239" s="346" t="s">
        <v>161</v>
      </c>
      <c r="D239" s="347"/>
      <c r="E239" s="348">
        <v>45945</v>
      </c>
      <c r="F239" s="36"/>
      <c r="G239" s="36" t="s">
        <v>166</v>
      </c>
      <c r="H239" s="90"/>
      <c r="I239" s="67"/>
      <c r="J239" s="68"/>
      <c r="K239" s="347"/>
    </row>
    <row r="240" spans="3:12" x14ac:dyDescent="0.25">
      <c r="C240" s="346" t="s">
        <v>162</v>
      </c>
      <c r="D240" s="347" t="s">
        <v>163</v>
      </c>
      <c r="E240" s="347" t="s">
        <v>164</v>
      </c>
      <c r="F240" s="36"/>
      <c r="G240" s="36" t="s">
        <v>167</v>
      </c>
      <c r="H240" s="67">
        <v>70</v>
      </c>
      <c r="I240" s="67"/>
      <c r="J240" s="68"/>
      <c r="K240" s="347"/>
    </row>
    <row r="241" spans="3:12" ht="15.75" thickBot="1" x14ac:dyDescent="0.3">
      <c r="C241" s="346" t="s">
        <v>165</v>
      </c>
      <c r="D241" s="347"/>
      <c r="E241" s="347"/>
      <c r="F241" s="36"/>
      <c r="G241" s="36"/>
      <c r="H241" s="36"/>
      <c r="I241" s="36"/>
      <c r="J241" s="69"/>
      <c r="K241" s="347"/>
    </row>
    <row r="242" spans="3:12" x14ac:dyDescent="0.25">
      <c r="C242" s="443" t="s">
        <v>374</v>
      </c>
      <c r="D242" s="444"/>
      <c r="E242" s="444"/>
      <c r="F242" s="444"/>
      <c r="G242" s="444"/>
      <c r="H242" s="444"/>
      <c r="I242" s="444"/>
      <c r="J242" s="445"/>
      <c r="K242" s="347"/>
    </row>
    <row r="243" spans="3:12" x14ac:dyDescent="0.25">
      <c r="C243" s="446"/>
      <c r="D243" s="447"/>
      <c r="E243" s="447"/>
      <c r="F243" s="447"/>
      <c r="G243" s="447"/>
      <c r="H243" s="447"/>
      <c r="I243" s="447"/>
      <c r="J243" s="448"/>
      <c r="K243" s="347"/>
    </row>
    <row r="244" spans="3:12" ht="15.75" thickBot="1" x14ac:dyDescent="0.3">
      <c r="C244" s="449"/>
      <c r="D244" s="450"/>
      <c r="E244" s="450"/>
      <c r="F244" s="450"/>
      <c r="G244" s="450"/>
      <c r="H244" s="450"/>
      <c r="I244" s="450"/>
      <c r="J244" s="451"/>
    </row>
    <row r="246" spans="3:12" ht="15.75" thickBot="1" x14ac:dyDescent="0.3"/>
    <row r="247" spans="3:12" x14ac:dyDescent="0.25">
      <c r="C247" s="344" t="s">
        <v>160</v>
      </c>
      <c r="D247" s="345">
        <f>D238+1</f>
        <v>26</v>
      </c>
      <c r="E247" s="345"/>
      <c r="F247" s="64"/>
      <c r="G247" s="64"/>
      <c r="H247" s="64"/>
      <c r="I247" s="64"/>
      <c r="J247" s="66"/>
    </row>
    <row r="248" spans="3:12" x14ac:dyDescent="0.25">
      <c r="C248" s="346" t="s">
        <v>161</v>
      </c>
      <c r="D248" s="347"/>
      <c r="E248" s="348">
        <v>45945</v>
      </c>
      <c r="F248" s="36"/>
      <c r="G248" s="36" t="s">
        <v>166</v>
      </c>
      <c r="H248" s="90"/>
      <c r="I248" s="67"/>
      <c r="J248" s="68"/>
      <c r="K248" s="347"/>
      <c r="L248" s="347"/>
    </row>
    <row r="249" spans="3:12" x14ac:dyDescent="0.25">
      <c r="C249" s="346" t="s">
        <v>162</v>
      </c>
      <c r="D249" s="347" t="s">
        <v>163</v>
      </c>
      <c r="E249" s="347" t="s">
        <v>164</v>
      </c>
      <c r="F249" s="36"/>
      <c r="G249" s="36" t="s">
        <v>167</v>
      </c>
      <c r="H249" s="67">
        <v>109</v>
      </c>
      <c r="I249" s="67"/>
      <c r="J249" s="68"/>
      <c r="K249" s="347"/>
      <c r="L249" s="347"/>
    </row>
    <row r="250" spans="3:12" ht="15.75" thickBot="1" x14ac:dyDescent="0.3">
      <c r="C250" s="346" t="s">
        <v>165</v>
      </c>
      <c r="D250" s="347"/>
      <c r="E250" s="347"/>
      <c r="F250" s="36"/>
      <c r="G250" s="36"/>
      <c r="H250" s="36"/>
      <c r="I250" s="36"/>
      <c r="J250" s="69"/>
      <c r="K250" s="347"/>
      <c r="L250" s="347"/>
    </row>
    <row r="251" spans="3:12" x14ac:dyDescent="0.25">
      <c r="C251" s="443" t="s">
        <v>375</v>
      </c>
      <c r="D251" s="444"/>
      <c r="E251" s="444"/>
      <c r="F251" s="444"/>
      <c r="G251" s="444"/>
      <c r="H251" s="444"/>
      <c r="I251" s="444"/>
      <c r="J251" s="445"/>
      <c r="K251" s="347"/>
      <c r="L251" s="347"/>
    </row>
    <row r="252" spans="3:12" x14ac:dyDescent="0.25">
      <c r="C252" s="446"/>
      <c r="D252" s="447"/>
      <c r="E252" s="447"/>
      <c r="F252" s="447"/>
      <c r="G252" s="447"/>
      <c r="H252" s="447"/>
      <c r="I252" s="447"/>
      <c r="J252" s="448"/>
      <c r="K252" s="347"/>
      <c r="L252" s="347"/>
    </row>
    <row r="253" spans="3:12" ht="15.75" thickBot="1" x14ac:dyDescent="0.3">
      <c r="C253" s="449"/>
      <c r="D253" s="450"/>
      <c r="E253" s="450"/>
      <c r="F253" s="450"/>
      <c r="G253" s="450"/>
      <c r="H253" s="450"/>
      <c r="I253" s="450"/>
      <c r="J253" s="451"/>
      <c r="K253" s="347"/>
      <c r="L253" s="347"/>
    </row>
  </sheetData>
  <mergeCells count="37">
    <mergeCell ref="C251:J253"/>
    <mergeCell ref="C109:J111"/>
    <mergeCell ref="C100:J102"/>
    <mergeCell ref="C43:J45"/>
    <mergeCell ref="K3:N6"/>
    <mergeCell ref="C7:J9"/>
    <mergeCell ref="C16:J18"/>
    <mergeCell ref="C25:J27"/>
    <mergeCell ref="C34:J36"/>
    <mergeCell ref="C61:J63"/>
    <mergeCell ref="C70:J72"/>
    <mergeCell ref="C79:J81"/>
    <mergeCell ref="C88:J90"/>
    <mergeCell ref="C52:J54"/>
    <mergeCell ref="K7:N9"/>
    <mergeCell ref="C179:J181"/>
    <mergeCell ref="C118:J120"/>
    <mergeCell ref="C127:J129"/>
    <mergeCell ref="C136:J138"/>
    <mergeCell ref="C145:J147"/>
    <mergeCell ref="C153:J155"/>
    <mergeCell ref="H151:J151"/>
    <mergeCell ref="H160:J160"/>
    <mergeCell ref="C162:J164"/>
    <mergeCell ref="H169:J169"/>
    <mergeCell ref="C171:J173"/>
    <mergeCell ref="H177:J177"/>
    <mergeCell ref="C242:J244"/>
    <mergeCell ref="C206:J208"/>
    <mergeCell ref="C215:J217"/>
    <mergeCell ref="C224:J226"/>
    <mergeCell ref="H186:J186"/>
    <mergeCell ref="C188:J190"/>
    <mergeCell ref="H195:J195"/>
    <mergeCell ref="C197:J199"/>
    <mergeCell ref="H204:J204"/>
    <mergeCell ref="C233:J23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DBA02-AD99-46E4-9C09-63CE95AAFC09}">
  <dimension ref="C4:J24"/>
  <sheetViews>
    <sheetView topLeftCell="A8" workbookViewId="0">
      <selection activeCell="F24" sqref="F24"/>
    </sheetView>
  </sheetViews>
  <sheetFormatPr baseColWidth="10" defaultColWidth="10.85546875" defaultRowHeight="15" x14ac:dyDescent="0.25"/>
  <cols>
    <col min="4" max="4" width="15.42578125" bestFit="1" customWidth="1"/>
    <col min="6" max="6" width="15.140625" customWidth="1"/>
    <col min="7" max="7" width="14.42578125" bestFit="1" customWidth="1"/>
    <col min="10" max="10" width="14.42578125" bestFit="1" customWidth="1"/>
  </cols>
  <sheetData>
    <row r="4" spans="3:10" x14ac:dyDescent="0.25">
      <c r="C4" t="s">
        <v>466</v>
      </c>
    </row>
    <row r="6" spans="3:10" x14ac:dyDescent="0.25">
      <c r="C6" s="135" t="s">
        <v>467</v>
      </c>
      <c r="F6" s="135" t="s">
        <v>472</v>
      </c>
      <c r="I6" t="s">
        <v>477</v>
      </c>
    </row>
    <row r="7" spans="3:10" x14ac:dyDescent="0.25">
      <c r="C7" t="s">
        <v>468</v>
      </c>
      <c r="D7" s="11">
        <v>2700000</v>
      </c>
      <c r="F7" t="s">
        <v>468</v>
      </c>
      <c r="G7" s="13">
        <f>D11</f>
        <v>969506.92</v>
      </c>
      <c r="I7" t="s">
        <v>468</v>
      </c>
      <c r="J7" s="13">
        <f>G13</f>
        <v>1829165.92</v>
      </c>
    </row>
    <row r="8" spans="3:10" x14ac:dyDescent="0.25">
      <c r="C8" t="s">
        <v>469</v>
      </c>
      <c r="D8" s="11">
        <v>2700000</v>
      </c>
      <c r="F8" t="s">
        <v>469</v>
      </c>
      <c r="G8" s="11">
        <v>0</v>
      </c>
      <c r="I8" t="s">
        <v>469</v>
      </c>
      <c r="J8" s="13">
        <f>D11</f>
        <v>969506.92</v>
      </c>
    </row>
    <row r="9" spans="3:10" x14ac:dyDescent="0.25">
      <c r="C9" t="s">
        <v>470</v>
      </c>
      <c r="D9" s="11">
        <v>0</v>
      </c>
      <c r="F9" t="s">
        <v>470</v>
      </c>
      <c r="G9" s="13">
        <f>G7</f>
        <v>969506.92</v>
      </c>
      <c r="I9" t="s">
        <v>470</v>
      </c>
      <c r="J9" s="13">
        <f>J7-J8</f>
        <v>859658.99999999988</v>
      </c>
    </row>
    <row r="10" spans="3:10" x14ac:dyDescent="0.25">
      <c r="C10" t="s">
        <v>473</v>
      </c>
      <c r="D10" s="11"/>
      <c r="F10" t="s">
        <v>473</v>
      </c>
      <c r="G10" s="11">
        <v>29928.678620400002</v>
      </c>
      <c r="I10" t="s">
        <v>473</v>
      </c>
      <c r="J10" s="11">
        <v>26537.673329999998</v>
      </c>
    </row>
    <row r="11" spans="3:10" ht="43.7" customHeight="1" x14ac:dyDescent="0.25">
      <c r="C11" s="10" t="s">
        <v>471</v>
      </c>
      <c r="D11" s="11">
        <v>969506.92</v>
      </c>
      <c r="F11" s="10" t="s">
        <v>474</v>
      </c>
      <c r="G11" s="11">
        <f>387244.626816+185936.292610276+202702.7028</f>
        <v>775883.62222627597</v>
      </c>
      <c r="I11" s="10" t="s">
        <v>483</v>
      </c>
      <c r="J11" s="10" t="s">
        <v>480</v>
      </c>
    </row>
    <row r="12" spans="3:10" x14ac:dyDescent="0.25">
      <c r="C12" t="s">
        <v>475</v>
      </c>
      <c r="D12" s="13">
        <f>D11</f>
        <v>969506.92</v>
      </c>
      <c r="F12" t="s">
        <v>478</v>
      </c>
      <c r="G12" s="13">
        <f>G11+G10+G9</f>
        <v>1775319.220846676</v>
      </c>
      <c r="I12" t="s">
        <v>475</v>
      </c>
      <c r="J12" s="368" t="s">
        <v>481</v>
      </c>
    </row>
    <row r="13" spans="3:10" x14ac:dyDescent="0.25">
      <c r="F13" t="s">
        <v>479</v>
      </c>
      <c r="G13" s="11">
        <v>1829165.92</v>
      </c>
    </row>
    <row r="14" spans="3:10" x14ac:dyDescent="0.25">
      <c r="G14" s="11"/>
    </row>
    <row r="15" spans="3:10" x14ac:dyDescent="0.25">
      <c r="F15" s="458" t="s">
        <v>476</v>
      </c>
      <c r="G15" s="458"/>
      <c r="I15" s="458" t="s">
        <v>482</v>
      </c>
      <c r="J15" s="458"/>
    </row>
    <row r="16" spans="3:10" x14ac:dyDescent="0.25">
      <c r="F16" s="458"/>
      <c r="G16" s="458"/>
      <c r="I16" s="458"/>
      <c r="J16" s="458"/>
    </row>
    <row r="17" spans="3:10" ht="37.700000000000003" customHeight="1" x14ac:dyDescent="0.25">
      <c r="F17" s="458"/>
      <c r="G17" s="458"/>
      <c r="I17" s="458"/>
      <c r="J17" s="458"/>
    </row>
    <row r="18" spans="3:10" ht="15.75" thickBot="1" x14ac:dyDescent="0.3"/>
    <row r="19" spans="3:10" x14ac:dyDescent="0.25">
      <c r="C19" s="372" t="s">
        <v>487</v>
      </c>
      <c r="D19" s="373"/>
      <c r="E19" s="373"/>
      <c r="F19" s="374"/>
      <c r="G19" s="459" t="s">
        <v>489</v>
      </c>
      <c r="H19" s="460"/>
      <c r="I19" s="460"/>
      <c r="J19" s="461"/>
    </row>
    <row r="20" spans="3:10" x14ac:dyDescent="0.25">
      <c r="C20" s="375" t="s">
        <v>484</v>
      </c>
      <c r="F20" s="376">
        <v>859658.99999999988</v>
      </c>
      <c r="G20" s="462"/>
      <c r="H20" s="463"/>
      <c r="I20" s="463"/>
      <c r="J20" s="464"/>
    </row>
    <row r="21" spans="3:10" x14ac:dyDescent="0.25">
      <c r="C21" s="375" t="s">
        <v>485</v>
      </c>
      <c r="F21" s="376">
        <v>26537.673329999998</v>
      </c>
      <c r="G21" s="462"/>
      <c r="H21" s="463"/>
      <c r="I21" s="463"/>
      <c r="J21" s="464"/>
    </row>
    <row r="22" spans="3:10" x14ac:dyDescent="0.25">
      <c r="C22" s="375" t="s">
        <v>486</v>
      </c>
      <c r="F22" s="377">
        <v>850000</v>
      </c>
      <c r="G22" s="462"/>
      <c r="H22" s="463"/>
      <c r="I22" s="463"/>
      <c r="J22" s="464"/>
    </row>
    <row r="23" spans="3:10" ht="15.75" thickBot="1" x14ac:dyDescent="0.3">
      <c r="C23" s="375"/>
      <c r="F23" s="378"/>
      <c r="G23" s="462"/>
      <c r="H23" s="463"/>
      <c r="I23" s="463"/>
      <c r="J23" s="464"/>
    </row>
    <row r="24" spans="3:10" ht="15.75" thickBot="1" x14ac:dyDescent="0.3">
      <c r="C24" s="369" t="s">
        <v>488</v>
      </c>
      <c r="D24" s="370"/>
      <c r="E24" s="370"/>
      <c r="F24" s="371">
        <f>SUM(F20:F23)</f>
        <v>1736196.6733299999</v>
      </c>
      <c r="G24" s="465"/>
      <c r="H24" s="466"/>
      <c r="I24" s="466"/>
      <c r="J24" s="467"/>
    </row>
  </sheetData>
  <mergeCells count="3">
    <mergeCell ref="F15:G17"/>
    <mergeCell ref="I15:J17"/>
    <mergeCell ref="G19:J24"/>
  </mergeCells>
  <pageMargins left="0.23622047244094491" right="0.23622047244094491" top="0.74803149606299213" bottom="0.74803149606299213" header="0.31496062992125984" footer="0.31496062992125984"/>
  <pageSetup paperSize="9" scale="12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RESUMEN</vt:lpstr>
      <vt:lpstr>PRORRATEO</vt:lpstr>
      <vt:lpstr>anotaciones</vt:lpstr>
      <vt:lpstr>SITUACION LOTE 92</vt:lpstr>
      <vt:lpstr>PRORRATEO!Área_de_impresión</vt:lpstr>
      <vt:lpstr>RESUMEN!Área_de_impresión</vt:lpstr>
      <vt:lpstr>'SITUACION LOTE 92'!Área_de_impresión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2026-03-02T23:44:13Z</cp:lastPrinted>
  <dcterms:created xsi:type="dcterms:W3CDTF">2023-09-17T12:29:07Z</dcterms:created>
  <dcterms:modified xsi:type="dcterms:W3CDTF">2026-03-02T23:44:31Z</dcterms:modified>
</cp:coreProperties>
</file>