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USUARIOS\Downloads\BRISAS ENERO A ENTREGAR\"/>
    </mc:Choice>
  </mc:AlternateContent>
  <xr:revisionPtr revIDLastSave="0" documentId="13_ncr:1_{A011842A-8B89-4FC4-9DF8-A247023D531C}"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SITUACION LOTE 110" sheetId="7" r:id="rId3"/>
    <sheet name="anotaciones" sheetId="6" r:id="rId4"/>
  </sheets>
  <definedNames>
    <definedName name="_xlnm.Print_Area" localSheetId="1">PRORRATEO!$B$1:$T$166</definedName>
    <definedName name="_xlnm.Print_Area" localSheetId="0">RESUMEN!$A$1:$E$207</definedName>
  </definedNames>
  <calcPr calcId="181029"/>
</workbook>
</file>

<file path=xl/calcChain.xml><?xml version="1.0" encoding="utf-8"?>
<calcChain xmlns="http://schemas.openxmlformats.org/spreadsheetml/2006/main">
  <c r="D21" i="6" l="1"/>
  <c r="D12" i="6"/>
  <c r="G9" i="7"/>
  <c r="H9" i="7" s="1"/>
  <c r="I9" i="7" s="1"/>
  <c r="U9" i="7"/>
  <c r="C9" i="7"/>
  <c r="D99" i="1"/>
  <c r="F94" i="2"/>
  <c r="B158" i="1"/>
  <c r="F131" i="2"/>
  <c r="Q9" i="7" l="1"/>
  <c r="S9" i="7" s="1"/>
  <c r="F38" i="1"/>
  <c r="E93" i="1"/>
  <c r="E54" i="1"/>
  <c r="E58" i="1"/>
  <c r="E97" i="1"/>
  <c r="E115" i="1"/>
  <c r="B206" i="1"/>
  <c r="B151" i="1" s="1"/>
  <c r="E48" i="1"/>
  <c r="D41" i="1"/>
  <c r="D39" i="1"/>
  <c r="E42" i="1" s="1"/>
  <c r="B170" i="1"/>
  <c r="F17" i="2"/>
  <c r="O17" i="2"/>
  <c r="N132" i="2"/>
  <c r="N110" i="2"/>
  <c r="N66" i="2"/>
  <c r="N90" i="2"/>
  <c r="F137" i="2" l="1"/>
  <c r="F44" i="2"/>
  <c r="F73" i="2"/>
  <c r="F52" i="2"/>
  <c r="F65" i="2"/>
  <c r="F31" i="2"/>
  <c r="F128" i="2"/>
  <c r="F71" i="2"/>
  <c r="F111" i="2"/>
  <c r="F88" i="2"/>
  <c r="F85" i="2"/>
  <c r="F92" i="2"/>
  <c r="R149" i="2"/>
  <c r="R150" i="2"/>
  <c r="R151" i="2"/>
  <c r="R153" i="2"/>
  <c r="R154" i="2"/>
  <c r="R155" i="2"/>
  <c r="R157" i="2"/>
  <c r="R6" i="2"/>
  <c r="R7" i="2"/>
  <c r="R8" i="2"/>
  <c r="R9" i="2"/>
  <c r="R10" i="2"/>
  <c r="R11" i="2"/>
  <c r="R12" i="2"/>
  <c r="R5" i="2"/>
  <c r="P5" i="2"/>
  <c r="F101" i="2"/>
  <c r="F83" i="2"/>
  <c r="F149" i="2"/>
  <c r="F122" i="2"/>
  <c r="F41" i="2"/>
  <c r="F14" i="2"/>
  <c r="F105" i="2"/>
  <c r="F97" i="2"/>
  <c r="F30" i="2"/>
  <c r="F40" i="2"/>
  <c r="F42" i="2"/>
  <c r="F110" i="2"/>
  <c r="F76" i="2"/>
  <c r="F148" i="2"/>
  <c r="F36" i="2"/>
  <c r="F29" i="2"/>
  <c r="F93" i="2"/>
  <c r="F62" i="2"/>
  <c r="F59" i="2"/>
  <c r="F28" i="2"/>
  <c r="F114" i="2"/>
  <c r="F107" i="2"/>
  <c r="F56" i="2"/>
  <c r="F5" i="2"/>
  <c r="B192" i="1" l="1"/>
  <c r="D128" i="1"/>
  <c r="E134" i="1" s="1"/>
  <c r="P4" i="2" l="1"/>
  <c r="K2" i="2" l="1"/>
  <c r="B181" i="1"/>
  <c r="E73" i="1"/>
  <c r="F130" i="2" l="1"/>
  <c r="F22" i="2"/>
  <c r="F39" i="2"/>
  <c r="F117" i="2"/>
  <c r="F55" i="2"/>
  <c r="F102" i="2"/>
  <c r="F135" i="2"/>
  <c r="F7" i="2"/>
  <c r="F9" i="2"/>
  <c r="F10" i="2"/>
  <c r="F15" i="2"/>
  <c r="F19" i="2"/>
  <c r="F20" i="2"/>
  <c r="F23" i="2"/>
  <c r="F24" i="2"/>
  <c r="F25" i="2"/>
  <c r="F26" i="2"/>
  <c r="F33" i="2"/>
  <c r="F34" i="2"/>
  <c r="F37" i="2"/>
  <c r="F45" i="2"/>
  <c r="F46" i="2"/>
  <c r="F47" i="2"/>
  <c r="F49" i="2"/>
  <c r="F53" i="2"/>
  <c r="F54" i="2"/>
  <c r="F58" i="2"/>
  <c r="F60" i="2"/>
  <c r="F61" i="2"/>
  <c r="F66" i="2"/>
  <c r="F67" i="2"/>
  <c r="F69" i="2"/>
  <c r="F70" i="2"/>
  <c r="F79" i="2"/>
  <c r="F81" i="2"/>
  <c r="F84" i="2"/>
  <c r="F87" i="2"/>
  <c r="F89" i="2"/>
  <c r="F90" i="2"/>
  <c r="F91" i="2"/>
  <c r="F95" i="2"/>
  <c r="F98" i="2"/>
  <c r="F103" i="2"/>
  <c r="F104" i="2"/>
  <c r="F109" i="2"/>
  <c r="F112" i="2"/>
  <c r="F115" i="2"/>
  <c r="F118" i="2"/>
  <c r="F121" i="2"/>
  <c r="F124" i="2"/>
  <c r="F125" i="2"/>
  <c r="F126" i="2"/>
  <c r="F127" i="2"/>
  <c r="F129" i="2"/>
  <c r="F133" i="2"/>
  <c r="F136" i="2"/>
  <c r="F138" i="2"/>
  <c r="F139" i="2"/>
  <c r="F141" i="2"/>
  <c r="F142" i="2"/>
  <c r="E129" i="1" l="1"/>
  <c r="G149" i="2" l="1"/>
  <c r="E121" i="1"/>
  <c r="H149" i="2" l="1"/>
  <c r="E130" i="1"/>
  <c r="E131" i="1" s="1"/>
  <c r="E128" i="1"/>
  <c r="E133" i="1" l="1"/>
  <c r="E132" i="1"/>
  <c r="B152" i="1"/>
  <c r="E101" i="1" l="1"/>
  <c r="S149" i="2" l="1"/>
  <c r="T149" i="2"/>
  <c r="M149" i="2"/>
  <c r="L149" i="2"/>
  <c r="I149" i="2"/>
  <c r="E138" i="1" l="1"/>
  <c r="B171" i="1" s="1"/>
  <c r="F155" i="2" l="1"/>
  <c r="F154" i="2"/>
  <c r="F153" i="2"/>
  <c r="F151" i="2"/>
  <c r="F150" i="2"/>
  <c r="F160" i="2" l="1"/>
  <c r="E113" i="1"/>
  <c r="X2" i="2" l="1"/>
  <c r="G2" i="2" s="1"/>
  <c r="K149" i="2" s="1"/>
  <c r="P149" i="2" s="1"/>
  <c r="T37" i="2" l="1"/>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146" i="2"/>
  <c r="T147" i="2"/>
  <c r="T148" i="2"/>
  <c r="T150" i="2"/>
  <c r="T151" i="2"/>
  <c r="T152" i="2"/>
  <c r="T153" i="2"/>
  <c r="T154" i="2"/>
  <c r="T155" i="2"/>
  <c r="T156" i="2"/>
  <c r="T157" i="2"/>
  <c r="T5" i="2"/>
  <c r="G97" i="2" l="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50" i="2"/>
  <c r="J151" i="2"/>
  <c r="J152" i="2"/>
  <c r="J153" i="2"/>
  <c r="J154" i="2"/>
  <c r="J155" i="2"/>
  <c r="J156" i="2"/>
  <c r="J157" i="2"/>
  <c r="J5" i="2"/>
  <c r="L150" i="2"/>
  <c r="L151" i="2"/>
  <c r="L152" i="2"/>
  <c r="L153" i="2"/>
  <c r="L154" i="2"/>
  <c r="L155" i="2"/>
  <c r="L156" i="2"/>
  <c r="L157"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K150" i="2" l="1"/>
  <c r="K151" i="2"/>
  <c r="K152" i="2"/>
  <c r="K153" i="2"/>
  <c r="K154" i="2"/>
  <c r="K155" i="2"/>
  <c r="K156" i="2"/>
  <c r="K157"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50" i="2"/>
  <c r="M151" i="2"/>
  <c r="M152" i="2"/>
  <c r="M153" i="2"/>
  <c r="M154" i="2"/>
  <c r="M155" i="2"/>
  <c r="M156" i="2"/>
  <c r="M157"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H97" i="2"/>
  <c r="I97" i="2"/>
  <c r="G98" i="2"/>
  <c r="H98" i="2" s="1"/>
  <c r="I98" i="2"/>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50" i="2"/>
  <c r="G151" i="2"/>
  <c r="H151" i="2" s="1"/>
  <c r="I151" i="2"/>
  <c r="I152" i="2"/>
  <c r="G153" i="2"/>
  <c r="H153" i="2" s="1"/>
  <c r="I153" i="2"/>
  <c r="G154" i="2"/>
  <c r="H154" i="2" s="1"/>
  <c r="I154" i="2"/>
  <c r="G155" i="2"/>
  <c r="H155" i="2" s="1"/>
  <c r="I155" i="2"/>
  <c r="I156" i="2"/>
  <c r="E46" i="1"/>
  <c r="E125" i="1"/>
  <c r="B174" i="1" s="1"/>
  <c r="A46" i="1"/>
  <c r="A47" i="1" s="1"/>
  <c r="B143" i="1"/>
  <c r="S37" i="2"/>
  <c r="S146" i="2"/>
  <c r="S147" i="2"/>
  <c r="S148" i="2"/>
  <c r="S150" i="2"/>
  <c r="S151" i="2"/>
  <c r="S152" i="2"/>
  <c r="S153" i="2"/>
  <c r="S154" i="2"/>
  <c r="S155" i="2"/>
  <c r="S156" i="2"/>
  <c r="S157" i="2"/>
  <c r="I157" i="2"/>
  <c r="G157" i="2"/>
  <c r="H157" i="2" s="1"/>
  <c r="B72" i="2"/>
  <c r="D160" i="2"/>
  <c r="B6" i="2"/>
  <c r="E47" i="1" l="1"/>
  <c r="E104" i="1" s="1"/>
  <c r="N13" i="2"/>
  <c r="N20" i="2"/>
  <c r="N148" i="2"/>
  <c r="B73" i="2"/>
  <c r="T72" i="2"/>
  <c r="B7" i="2"/>
  <c r="T6" i="2"/>
  <c r="G17" i="2"/>
  <c r="H17" i="2" s="1"/>
  <c r="G122" i="2"/>
  <c r="H122" i="2" s="1"/>
  <c r="G139" i="2"/>
  <c r="H139" i="2" s="1"/>
  <c r="N55" i="2"/>
  <c r="N72" i="2"/>
  <c r="N60" i="2"/>
  <c r="K160" i="2"/>
  <c r="N52" i="2"/>
  <c r="L160" i="2"/>
  <c r="G152" i="2"/>
  <c r="H152" i="2" s="1"/>
  <c r="G124" i="2"/>
  <c r="H124" i="2" s="1"/>
  <c r="G36" i="2"/>
  <c r="H36" i="2" s="1"/>
  <c r="G156" i="2"/>
  <c r="H156" i="2" s="1"/>
  <c r="G150" i="2"/>
  <c r="H150" i="2" s="1"/>
  <c r="B172" i="1"/>
  <c r="S73" i="2"/>
  <c r="S72" i="2"/>
  <c r="S6" i="2"/>
  <c r="B8" i="2" l="1"/>
  <c r="T7" i="2"/>
  <c r="S7" i="2"/>
  <c r="B74" i="2"/>
  <c r="T73" i="2"/>
  <c r="N160" i="2"/>
  <c r="B75" i="2" l="1"/>
  <c r="T74" i="2"/>
  <c r="S74" i="2"/>
  <c r="B9" i="2"/>
  <c r="T8" i="2"/>
  <c r="S8" i="2"/>
  <c r="M160" i="2"/>
  <c r="B10" i="2" l="1"/>
  <c r="T9" i="2"/>
  <c r="S9" i="2"/>
  <c r="B76" i="2"/>
  <c r="T75" i="2"/>
  <c r="S75" i="2"/>
  <c r="P148" i="2"/>
  <c r="R148" i="2" s="1"/>
  <c r="P151" i="2"/>
  <c r="P150" i="2"/>
  <c r="P152" i="2"/>
  <c r="R152" i="2" s="1"/>
  <c r="P153" i="2"/>
  <c r="P154" i="2"/>
  <c r="P156" i="2"/>
  <c r="R156" i="2" s="1"/>
  <c r="P155" i="2"/>
  <c r="P157" i="2"/>
  <c r="B77" i="2" l="1"/>
  <c r="T76" i="2"/>
  <c r="S76" i="2"/>
  <c r="P76" i="2" s="1"/>
  <c r="R76" i="2" s="1"/>
  <c r="B11" i="2"/>
  <c r="T10" i="2"/>
  <c r="S10" i="2"/>
  <c r="P10" i="2" s="1"/>
  <c r="P6" i="2"/>
  <c r="P7" i="2"/>
  <c r="P37" i="2"/>
  <c r="R37" i="2" s="1"/>
  <c r="P74" i="2"/>
  <c r="R74" i="2" s="1"/>
  <c r="P9" i="2"/>
  <c r="P72" i="2"/>
  <c r="R72" i="2" s="1"/>
  <c r="P8" i="2"/>
  <c r="P75" i="2"/>
  <c r="R75" i="2" s="1"/>
  <c r="P73" i="2"/>
  <c r="R73" i="2" s="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5" i="2"/>
  <c r="B12" i="2" l="1"/>
  <c r="T11" i="2"/>
  <c r="S11" i="2"/>
  <c r="P11" i="2" s="1"/>
  <c r="B78" i="2"/>
  <c r="T77" i="2"/>
  <c r="S77" i="2"/>
  <c r="P77" i="2" s="1"/>
  <c r="R77" i="2" s="1"/>
  <c r="P48" i="2"/>
  <c r="R48" i="2" s="1"/>
  <c r="B79" i="2" l="1"/>
  <c r="T78" i="2"/>
  <c r="S78" i="2"/>
  <c r="P78" i="2" s="1"/>
  <c r="R78" i="2" s="1"/>
  <c r="B13" i="2"/>
  <c r="T12" i="2"/>
  <c r="S12" i="2"/>
  <c r="P12" i="2" s="1"/>
  <c r="B150" i="1"/>
  <c r="E160" i="2"/>
  <c r="B14" i="2" l="1"/>
  <c r="T13" i="2"/>
  <c r="S13" i="2"/>
  <c r="P13" i="2" s="1"/>
  <c r="R13" i="2" s="1"/>
  <c r="B80" i="2"/>
  <c r="T79" i="2"/>
  <c r="S79" i="2"/>
  <c r="P79" i="2" s="1"/>
  <c r="R79" i="2" s="1"/>
  <c r="P47" i="2"/>
  <c r="R47" i="2" s="1"/>
  <c r="P42" i="2"/>
  <c r="R42" i="2" s="1"/>
  <c r="P59" i="2"/>
  <c r="R59" i="2" s="1"/>
  <c r="P55" i="2"/>
  <c r="R55" i="2" s="1"/>
  <c r="P50" i="2"/>
  <c r="R50" i="2" s="1"/>
  <c r="P45" i="2"/>
  <c r="R45" i="2" s="1"/>
  <c r="P41" i="2"/>
  <c r="R41" i="2" s="1"/>
  <c r="P39" i="2"/>
  <c r="R39" i="2" s="1"/>
  <c r="P46" i="2"/>
  <c r="R46" i="2" s="1"/>
  <c r="P38" i="2"/>
  <c r="R38" i="2" s="1"/>
  <c r="P71" i="2"/>
  <c r="R71" i="2" s="1"/>
  <c r="P62" i="2"/>
  <c r="R62" i="2" s="1"/>
  <c r="P49" i="2"/>
  <c r="R49" i="2" s="1"/>
  <c r="P44" i="2"/>
  <c r="R44" i="2" s="1"/>
  <c r="P40" i="2"/>
  <c r="R40" i="2" s="1"/>
  <c r="B142" i="1"/>
  <c r="G160" i="2"/>
  <c r="P67" i="2"/>
  <c r="R67" i="2" s="1"/>
  <c r="P68" i="2"/>
  <c r="R68" i="2" s="1"/>
  <c r="P70" i="2"/>
  <c r="R70" i="2" s="1"/>
  <c r="P69" i="2"/>
  <c r="R69" i="2" s="1"/>
  <c r="P54" i="2"/>
  <c r="R54" i="2" s="1"/>
  <c r="P65" i="2"/>
  <c r="R65" i="2" s="1"/>
  <c r="P61" i="2"/>
  <c r="R61" i="2" s="1"/>
  <c r="P57" i="2"/>
  <c r="R57" i="2" s="1"/>
  <c r="P53" i="2"/>
  <c r="R53" i="2" s="1"/>
  <c r="P58" i="2"/>
  <c r="R58" i="2" s="1"/>
  <c r="P64" i="2"/>
  <c r="R64" i="2" s="1"/>
  <c r="P60" i="2"/>
  <c r="R60" i="2" s="1"/>
  <c r="P56" i="2"/>
  <c r="R56" i="2" s="1"/>
  <c r="P52" i="2"/>
  <c r="R52" i="2" s="1"/>
  <c r="P66" i="2"/>
  <c r="R66" i="2" s="1"/>
  <c r="P63" i="2"/>
  <c r="R63" i="2" s="1"/>
  <c r="P51" i="2"/>
  <c r="R51" i="2" s="1"/>
  <c r="I160" i="2"/>
  <c r="B81" i="2" l="1"/>
  <c r="T80" i="2"/>
  <c r="S80" i="2"/>
  <c r="P80" i="2" s="1"/>
  <c r="R80" i="2" s="1"/>
  <c r="B15" i="2"/>
  <c r="T14" i="2"/>
  <c r="S14" i="2"/>
  <c r="P14" i="2" s="1"/>
  <c r="R14" i="2" s="1"/>
  <c r="B173" i="1"/>
  <c r="B141" i="1"/>
  <c r="B144" i="1" s="1"/>
  <c r="J160" i="2"/>
  <c r="B175" i="1" l="1"/>
  <c r="B183" i="1" s="1"/>
  <c r="B16" i="2"/>
  <c r="T15" i="2"/>
  <c r="S15" i="2"/>
  <c r="P15" i="2" s="1"/>
  <c r="R15" i="2" s="1"/>
  <c r="B82" i="2"/>
  <c r="T81" i="2"/>
  <c r="S81" i="2"/>
  <c r="P81" i="2" s="1"/>
  <c r="R81" i="2" s="1"/>
  <c r="B83" i="2" l="1"/>
  <c r="T82" i="2"/>
  <c r="S82" i="2"/>
  <c r="P82" i="2" s="1"/>
  <c r="R82" i="2" s="1"/>
  <c r="B17" i="2"/>
  <c r="T16" i="2"/>
  <c r="S16" i="2"/>
  <c r="P16" i="2" s="1"/>
  <c r="R16" i="2" s="1"/>
  <c r="B18" i="2" l="1"/>
  <c r="T17" i="2"/>
  <c r="S17" i="2"/>
  <c r="P17" i="2" s="1"/>
  <c r="R17" i="2" s="1"/>
  <c r="B84" i="2"/>
  <c r="T83" i="2"/>
  <c r="S83" i="2"/>
  <c r="P83" i="2" s="1"/>
  <c r="R83" i="2" s="1"/>
  <c r="B19" i="2" l="1"/>
  <c r="T18" i="2"/>
  <c r="S18" i="2"/>
  <c r="P18" i="2" s="1"/>
  <c r="R18" i="2" s="1"/>
  <c r="B85" i="2"/>
  <c r="T84" i="2"/>
  <c r="S84" i="2"/>
  <c r="P84" i="2" s="1"/>
  <c r="R84" i="2" s="1"/>
  <c r="B86" i="2" l="1"/>
  <c r="T85" i="2"/>
  <c r="S85" i="2"/>
  <c r="P85" i="2" s="1"/>
  <c r="R85" i="2" s="1"/>
  <c r="B20" i="2"/>
  <c r="T19" i="2"/>
  <c r="S19" i="2"/>
  <c r="P19" i="2" s="1"/>
  <c r="R19" i="2" s="1"/>
  <c r="B21" i="2" l="1"/>
  <c r="T20" i="2"/>
  <c r="S20" i="2"/>
  <c r="P20" i="2" s="1"/>
  <c r="R20" i="2" s="1"/>
  <c r="B87" i="2"/>
  <c r="T86" i="2"/>
  <c r="S86" i="2"/>
  <c r="P86" i="2" s="1"/>
  <c r="R86" i="2" s="1"/>
  <c r="B88" i="2" l="1"/>
  <c r="T87" i="2"/>
  <c r="S87" i="2"/>
  <c r="P87" i="2" s="1"/>
  <c r="R87" i="2" s="1"/>
  <c r="B22" i="2"/>
  <c r="T21" i="2"/>
  <c r="S21" i="2"/>
  <c r="P21" i="2" s="1"/>
  <c r="R21" i="2" s="1"/>
  <c r="B23" i="2" l="1"/>
  <c r="T22" i="2"/>
  <c r="S22" i="2"/>
  <c r="P22" i="2" s="1"/>
  <c r="R22" i="2" s="1"/>
  <c r="B89" i="2"/>
  <c r="T88" i="2"/>
  <c r="S88" i="2"/>
  <c r="P88" i="2" s="1"/>
  <c r="R88" i="2" s="1"/>
  <c r="B90" i="2" l="1"/>
  <c r="T89" i="2"/>
  <c r="S89" i="2"/>
  <c r="P89" i="2" s="1"/>
  <c r="R89" i="2" s="1"/>
  <c r="B24" i="2"/>
  <c r="T23" i="2"/>
  <c r="S23" i="2"/>
  <c r="P23" i="2" s="1"/>
  <c r="R23" i="2" s="1"/>
  <c r="B25" i="2" l="1"/>
  <c r="T24" i="2"/>
  <c r="S24" i="2"/>
  <c r="P24" i="2" s="1"/>
  <c r="R24" i="2" s="1"/>
  <c r="B91" i="2"/>
  <c r="T90" i="2"/>
  <c r="S90" i="2"/>
  <c r="P90" i="2" s="1"/>
  <c r="R90" i="2" s="1"/>
  <c r="B26" i="2" l="1"/>
  <c r="T25" i="2"/>
  <c r="S25" i="2"/>
  <c r="P25" i="2" s="1"/>
  <c r="R25" i="2" s="1"/>
  <c r="B92" i="2"/>
  <c r="T91" i="2"/>
  <c r="S91" i="2"/>
  <c r="P91" i="2" s="1"/>
  <c r="R91" i="2" s="1"/>
  <c r="B93" i="2" l="1"/>
  <c r="T92" i="2"/>
  <c r="S92" i="2"/>
  <c r="P92" i="2" s="1"/>
  <c r="R92" i="2" s="1"/>
  <c r="B27" i="2"/>
  <c r="T26" i="2"/>
  <c r="S26" i="2"/>
  <c r="P26" i="2" s="1"/>
  <c r="R26" i="2" s="1"/>
  <c r="B28" i="2" l="1"/>
  <c r="T27" i="2"/>
  <c r="S27" i="2"/>
  <c r="P27" i="2" s="1"/>
  <c r="R27" i="2" s="1"/>
  <c r="B94" i="2"/>
  <c r="T93" i="2"/>
  <c r="S93" i="2"/>
  <c r="P93" i="2" s="1"/>
  <c r="R93" i="2" s="1"/>
  <c r="B95" i="2" l="1"/>
  <c r="T94" i="2"/>
  <c r="S94" i="2"/>
  <c r="P94" i="2" s="1"/>
  <c r="R94" i="2" s="1"/>
  <c r="B29" i="2"/>
  <c r="T28" i="2"/>
  <c r="S28" i="2"/>
  <c r="P28" i="2" s="1"/>
  <c r="R28" i="2" s="1"/>
  <c r="B30" i="2" l="1"/>
  <c r="T29" i="2"/>
  <c r="S29" i="2"/>
  <c r="P29" i="2" s="1"/>
  <c r="R29" i="2" s="1"/>
  <c r="B96" i="2"/>
  <c r="T95" i="2"/>
  <c r="S95" i="2"/>
  <c r="P95" i="2" s="1"/>
  <c r="R95" i="2" s="1"/>
  <c r="B97" i="2" l="1"/>
  <c r="T96" i="2"/>
  <c r="S96" i="2"/>
  <c r="P96" i="2" s="1"/>
  <c r="R96" i="2" s="1"/>
  <c r="B31" i="2"/>
  <c r="T30" i="2"/>
  <c r="S30" i="2"/>
  <c r="P30" i="2" s="1"/>
  <c r="R30" i="2" s="1"/>
  <c r="B32" i="2" l="1"/>
  <c r="T31" i="2"/>
  <c r="S31" i="2"/>
  <c r="P31" i="2" s="1"/>
  <c r="R31" i="2" s="1"/>
  <c r="B98" i="2"/>
  <c r="T97" i="2"/>
  <c r="S97" i="2"/>
  <c r="P97" i="2" s="1"/>
  <c r="R97" i="2" s="1"/>
  <c r="B99" i="2" l="1"/>
  <c r="T98" i="2"/>
  <c r="S98" i="2"/>
  <c r="P98" i="2" s="1"/>
  <c r="R98" i="2" s="1"/>
  <c r="B33" i="2"/>
  <c r="T32" i="2"/>
  <c r="S32" i="2"/>
  <c r="P32" i="2" s="1"/>
  <c r="R32" i="2" s="1"/>
  <c r="B34" i="2" l="1"/>
  <c r="T33" i="2"/>
  <c r="S33" i="2"/>
  <c r="P33" i="2" s="1"/>
  <c r="R33" i="2" s="1"/>
  <c r="B100" i="2"/>
  <c r="T99" i="2"/>
  <c r="S99" i="2"/>
  <c r="P99" i="2" s="1"/>
  <c r="R99" i="2" s="1"/>
  <c r="B101" i="2" l="1"/>
  <c r="T100" i="2"/>
  <c r="S100" i="2"/>
  <c r="P100" i="2" s="1"/>
  <c r="R100" i="2" s="1"/>
  <c r="B35" i="2"/>
  <c r="T34" i="2"/>
  <c r="S34" i="2"/>
  <c r="P34" i="2" s="1"/>
  <c r="R34" i="2" s="1"/>
  <c r="B36" i="2" l="1"/>
  <c r="T35" i="2"/>
  <c r="S35" i="2"/>
  <c r="P35" i="2" s="1"/>
  <c r="R35" i="2" s="1"/>
  <c r="B102" i="2"/>
  <c r="T101" i="2"/>
  <c r="S101" i="2"/>
  <c r="P101" i="2" s="1"/>
  <c r="R101" i="2" s="1"/>
  <c r="B103" i="2" l="1"/>
  <c r="T102" i="2"/>
  <c r="S102" i="2"/>
  <c r="P102" i="2" s="1"/>
  <c r="R102" i="2" s="1"/>
  <c r="S36" i="2"/>
  <c r="P36" i="2" s="1"/>
  <c r="R36" i="2" s="1"/>
  <c r="T36" i="2"/>
  <c r="B104" i="2" l="1"/>
  <c r="T103" i="2"/>
  <c r="S103" i="2"/>
  <c r="P103" i="2" s="1"/>
  <c r="R103" i="2" s="1"/>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S145" i="2" l="1"/>
  <c r="T145" i="2"/>
  <c r="P43" i="2"/>
  <c r="R43" i="2" s="1"/>
  <c r="O160" i="2"/>
  <c r="R160" i="2" l="1"/>
  <c r="P160" i="2"/>
</calcChain>
</file>

<file path=xl/sharedStrings.xml><?xml version="1.0" encoding="utf-8"?>
<sst xmlns="http://schemas.openxmlformats.org/spreadsheetml/2006/main" count="521" uniqueCount="443">
  <si>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</si>
  <si>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</si>
  <si>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</si>
  <si>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</si>
  <si>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</si>
  <si>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</si>
  <si>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</si>
  <si>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</si>
  <si>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</si>
  <si>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</si>
  <si>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</si>
  <si>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</si>
  <si>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</si>
  <si>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</si>
  <si>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</si>
  <si>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</si>
  <si>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</si>
  <si>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</si>
  <si>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</si>
  <si>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</si>
  <si>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</si>
  <si>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</si>
  <si>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</si>
  <si>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</si>
  <si>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</si>
  <si>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</si>
  <si>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</si>
  <si>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</si>
  <si>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</si>
  <si>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</si>
  <si>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</si>
  <si>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</si>
  <si>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</si>
  <si>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</si>
  <si>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</si>
  <si>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</si>
  <si>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</si>
  <si>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</si>
  <si>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</si>
  <si>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</si>
  <si>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</si>
  <si>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</si>
  <si>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</si>
  <si>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</si>
  <si>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</si>
  <si>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</si>
  <si>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</si>
  <si>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</si>
  <si>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</si>
  <si>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</si>
  <si>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</si>
  <si>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</si>
  <si>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</si>
  <si>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</si>
  <si>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</si>
  <si>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</si>
  <si>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</si>
  <si>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</si>
  <si>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</si>
  <si>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</si>
  <si>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</si>
  <si>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</si>
  <si>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</si>
  <si>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</si>
  <si>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</si>
  <si>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</si>
  <si>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</si>
  <si>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</si>
  <si>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</si>
  <si>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</si>
  <si>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</si>
  <si>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</si>
  <si>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</si>
  <si>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</si>
  <si>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</si>
  <si>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</si>
  <si>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</si>
  <si>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</si>
  <si>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</si>
  <si>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</si>
  <si>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</si>
  <si>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</si>
  <si>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</si>
  <si>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</si>
  <si>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</si>
  <si>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</si>
  <si>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</si>
  <si>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</si>
  <si>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</si>
  <si>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</si>
  <si>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</si>
  <si>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</si>
  <si>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</si>
  <si>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</si>
  <si>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</si>
  <si>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</si>
  <si>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</si>
  <si>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</si>
  <si>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</si>
  <si>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</si>
  <si>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</si>
  <si>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</si>
  <si>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</si>
  <si>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</si>
  <si>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</si>
  <si>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</si>
  <si>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</si>
  <si>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</si>
  <si>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</si>
  <si>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</si>
  <si>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</si>
  <si>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</si>
  <si>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</si>
  <si>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</si>
  <si>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</si>
  <si>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</si>
  <si>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</si>
  <si>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</si>
  <si>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</si>
  <si>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</si>
  <si>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</si>
  <si>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</si>
  <si>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</si>
  <si>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</si>
  <si>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</si>
  <si>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</si>
  <si>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</si>
  <si>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</si>
  <si>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</si>
  <si>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</si>
  <si>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</si>
  <si>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</si>
  <si>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</si>
  <si>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</si>
  <si>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</si>
  <si>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</si>
  <si>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</si>
  <si>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</si>
  <si>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</si>
  <si>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</si>
  <si>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</si>
  <si>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</si>
  <si>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</si>
  <si>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</si>
  <si>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</si>
  <si>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</si>
  <si>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</si>
  <si>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</si>
  <si>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</si>
  <si>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</si>
  <si>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</si>
  <si>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</si>
  <si>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</si>
  <si>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</si>
  <si>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</si>
  <si>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</si>
  <si>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</si>
  <si>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</si>
  <si>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</si>
  <si>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</si>
  <si>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</si>
  <si>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</si>
  <si>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</si>
  <si>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</si>
  <si>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</si>
  <si>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</si>
  <si>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</si>
  <si>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</si>
  <si>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</si>
  <si>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</si>
  <si>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</si>
  <si>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</si>
  <si>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</si>
  <si>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</si>
  <si>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</si>
  <si>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</si>
  <si>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</si>
  <si>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</si>
  <si>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</si>
  <si>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</si>
  <si>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</si>
  <si>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</si>
  <si>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</si>
  <si>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</si>
  <si>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</si>
  <si>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</si>
  <si>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</si>
  <si>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</si>
  <si>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</si>
  <si>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</si>
  <si>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</si>
  <si>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</si>
  <si>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</si>
  <si>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</si>
  <si>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</si>
  <si>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</si>
  <si>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</si>
  <si>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</si>
  <si>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</si>
  <si>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</si>
  <si>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</si>
  <si>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</si>
  <si>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</si>
  <si>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</si>
  <si>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</si>
  <si>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</si>
  <si>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</si>
  <si>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</si>
  <si>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</si>
  <si>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</si>
  <si>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</si>
  <si>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</si>
  <si>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</si>
  <si>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</si>
  <si>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</si>
  <si>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</si>
  <si>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</si>
  <si>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</si>
  <si>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</si>
  <si>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</si>
  <si>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</si>
  <si>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</si>
  <si>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</si>
  <si>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</si>
  <si>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</si>
  <si>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</si>
  <si>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</si>
  <si>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</si>
  <si>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</si>
  <si>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</si>
  <si>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</si>
  <si>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</si>
  <si>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</si>
  <si>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</si>
  <si>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</si>
  <si>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</si>
  <si>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 xml:space="preserve">FECHA DE INICIO - 21/04/2025 </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</si>
  <si>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</si>
  <si>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</si>
  <si>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</si>
  <si>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</si>
  <si>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</si>
  <si>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</si>
  <si>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</si>
  <si>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</si>
  <si>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</si>
  <si>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</si>
  <si>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</si>
  <si>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</si>
  <si>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</si>
  <si>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</si>
  <si>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</si>
  <si>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</si>
  <si>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</si>
  <si>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</si>
  <si>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</si>
  <si>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</si>
  <si>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</si>
  <si>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</si>
  <si>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</si>
  <si>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</si>
  <si>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</si>
  <si>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</si>
  <si>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</si>
  <si>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</si>
  <si>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</si>
  <si>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</si>
  <si>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</si>
  <si>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</si>
  <si>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</si>
  <si>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</si>
  <si>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</si>
  <si>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</si>
  <si>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PAGOS UNIVERSALES SA/  GLOBAL TT S.A. / GLOBAT</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</si>
  <si>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</si>
  <si>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</si>
  <si>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</si>
  <si>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</si>
  <si>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</si>
  <si>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</si>
  <si>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</si>
  <si>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</si>
  <si>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</si>
  <si>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</si>
  <si>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</si>
  <si>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</si>
  <si>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</si>
  <si>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</si>
  <si>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</si>
  <si>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Covelia SA - Recoleccion de ramas - CUIT: 30707242961</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</si>
  <si>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</si>
  <si>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</si>
  <si>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</si>
  <si>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</si>
  <si>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</si>
  <si>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</si>
  <si>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</si>
  <si>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</si>
  <si>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</si>
  <si>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</si>
  <si>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</si>
  <si>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</si>
  <si>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</si>
  <si>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</si>
  <si>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</si>
  <si>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</si>
  <si>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</si>
  <si>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</si>
  <si>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</si>
  <si>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QUERCIA LUCIO - QAM SRL - FLEBO TDR SRL - Grupo Logistico Srl</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</si>
  <si>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</si>
  <si>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</si>
  <si>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</si>
  <si>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</si>
  <si>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</si>
  <si>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Medizin Servicios - ProlijoLimp SA - COBRO EXPRESS BUENOS AIRES SA - Patricio Jose Delarrechea Muñoz</t>
  </si>
  <si>
    <t>Andrea Juarez Cecilia - Juan Isidoro Manuel Onorato</t>
  </si>
  <si>
    <t>Palubinskas Fernando Nestor - Bidones de Agua cimes de 20lts - Fc. 00001396</t>
  </si>
  <si>
    <t>Honorarios arquitectura - Srta. Burgos Oros Johanna Melanie - Fc. 00000094</t>
  </si>
  <si>
    <t>Baquiano Malvinas SRL</t>
  </si>
  <si>
    <t xml:space="preserve">Allianz (Cuit.: 30--50003721-7) - Seguro Técnico - Póliza N° 240210705270; </t>
  </si>
  <si>
    <t>Allianz (Cuit.: 30--50003721-7) - Seguro Técnico - Póliza N° 240210705270;</t>
  </si>
  <si>
    <t>Ingreso</t>
  </si>
  <si>
    <t>Fondo de reserva (30 Millones):</t>
  </si>
  <si>
    <t xml:space="preserve">PERÍODO: ENERO </t>
  </si>
  <si>
    <t>Deducciones mes de ENERO</t>
  </si>
  <si>
    <t>Redondeo mes de ENERO</t>
  </si>
  <si>
    <t>Grey Brick - Fc. 0000007595 - Certificacion de obra pavimento correspondiente a ENERO</t>
  </si>
  <si>
    <t>ARCA - Mes de DICIEMBRE</t>
  </si>
  <si>
    <t>Sindicatos mes de DICIEMBRE</t>
  </si>
  <si>
    <t>Carolina carena</t>
  </si>
  <si>
    <t>Cambia titularidad a Daniel Solis tlf 1141400840  nuevo dueño lote 136</t>
  </si>
  <si>
    <t>Diego Soto y Hernan Soto - Petrona Garcia Rocha</t>
  </si>
  <si>
    <t xml:space="preserve">Ines / Jorge o Ayestaran Melanie que es la inquilina </t>
  </si>
  <si>
    <t>Debito 09/1</t>
  </si>
  <si>
    <t>Transf 08/01</t>
  </si>
  <si>
    <t>Gabriel Demetrio Muzyka - Trabajo de herreria - Reparacion arco de futbol - Se suelda arco en los cuatro lados y se refuerza con angulo de una pulgada y media por un octavo</t>
  </si>
  <si>
    <t>Batista Da Silva Ramon - Fc. 000000067 - CUIT:20218630783 - Reparacion de caño de alta presion en entrada principal - Cambio de 5 llaves de paso + materiales - Reparacion de descargas de 5 inodoros - Remocion de inodoro y colocacion de sellos anti desborde</t>
  </si>
  <si>
    <t>Transf 07/01</t>
  </si>
  <si>
    <t>OMS (Cuit.: 30-71568933-9) - Fc.00002864 - Cambio de filtro spolador Repicky R1000</t>
  </si>
  <si>
    <t>Armella Cristian - CUIT: 20371419234 - Fc. 00056 - Fumigacion: 11/12-17/12-24/12-30/12</t>
  </si>
  <si>
    <t>Armella Cristian - CUIT: 20371419234 - Fc. 00059 - Mantenimiento espacios comunes</t>
  </si>
  <si>
    <t>El imperio RYL - Articulos de limpieza - Fc. 0000011794</t>
  </si>
  <si>
    <t xml:space="preserve">Matafuegos FIRE - CUIT: 33607414799 - Fc. 00024785 - Carga de matafuegos </t>
  </si>
  <si>
    <t>Servicio Polad - Mes de DICIEMBRE - Valor de la hora $6.415,59 (744hs en total)</t>
  </si>
  <si>
    <t>Transf 02/01</t>
  </si>
  <si>
    <t>GOLD (Cuit.: 33-71225773-9) - Fc.0000407 (Servicio de Seguridad DICIEMBRE 2025)</t>
  </si>
  <si>
    <t>Evento 07/12 - UF 11 - 16 a 20hs</t>
  </si>
  <si>
    <t>Evento 14/12 - UF 93 - 11 a 18hs</t>
  </si>
  <si>
    <t>Evento 16/12 - UF 69 - 17 a 20:30hs</t>
  </si>
  <si>
    <t>Evento 26/12 - UF 94 - 17 a 21hs</t>
  </si>
  <si>
    <t>Evento 29/12 - UF 91 - 11 a 18hs</t>
  </si>
  <si>
    <t>Bejarano Maquinas - CUT: 20349755115 - Fc. 000025505 - Gotero Regulables Riego Por Goteo 0 A 70 Lt/h X 500 Unidade</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</si>
  <si>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</si>
  <si>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</si>
  <si>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Giusto Alejandro - Honorarios pactados en autos caratulados (Juicio Sr. Suarez / Urbanfid) - Fc. 0000436 - CUIT:20171978948</t>
  </si>
  <si>
    <t>Debito 02/01</t>
  </si>
  <si>
    <t>Sueldo intendencia - Maximiliano Abbruzzese - DICIEMBRE</t>
  </si>
  <si>
    <t>Haberes mes de ENERO -  Maximiliano Abbruzzese</t>
  </si>
  <si>
    <t>Debito 05/02</t>
  </si>
  <si>
    <t>Transf 05/02</t>
  </si>
  <si>
    <t>Honorarios Sr. Federico Silvestre - Guardavidas colonia de verano - Mes de diciembre (Monto proporcional a los dias trabajados en dicho mes)</t>
  </si>
  <si>
    <t>Transf 07/02</t>
  </si>
  <si>
    <t>Debito 07/01</t>
  </si>
  <si>
    <t>Transf 26/01</t>
  </si>
  <si>
    <t>El imperio RYL - Articulos de limpieza - Fc. 0000010506</t>
  </si>
  <si>
    <t>OMS (Cuit.: 30-71568933-9) - Fc.00002826 (Abono mantenimiento planta de tratamiento)</t>
  </si>
  <si>
    <t>OMS (Cuit.: 30-71568933-9) - Fc.00002877 - Resto 50% - (Abono mantenimiento planta de tratamiento) - Mes anterior no se habia abonado</t>
  </si>
  <si>
    <t>Transf 09/01</t>
  </si>
  <si>
    <t>Debito 13/01</t>
  </si>
  <si>
    <t>Edesur (Cuit.: 30-65511652-1) - Vto 15/01</t>
  </si>
  <si>
    <t>Batista Da Silva Ramon - Fc. 000000069 - CUIT:20218630783 - Tendido de cableado subterraneo. Sintenax con sanjeao de 40mts lineales y proteccion del cable con conexión de ambos extremos</t>
  </si>
  <si>
    <t>Transf 15/01</t>
  </si>
  <si>
    <t>Batista Da Silva Ramon - Fc. 000000070 - CUIT:20218630783 - Tendido de cableado subterraneo. Sintenax con sanjeao de 13mts lineales y proteccion del cable con conexión en tablero, tomas, luces de garitas, con disyuntor y todas las protecciones.  Reparacion de tablero, cambio de tetrapolar, cable quemado desde NH hasta tablero y cambio de 2 NH</t>
  </si>
  <si>
    <t>Pinsur - CUIT: 20210522728 - Fc. 000297 - Final de obra colocacion de pisos - Pintura Gimnasio</t>
  </si>
  <si>
    <t>Entrega 05 de enero baldosones gimnasio</t>
  </si>
  <si>
    <t>Covelia SA - Servicio de recoleccion de residuos domiciliarios correspondientes al mes de DICIEMBRE  - CUIT: 30707242961 -Fc. 0000287</t>
  </si>
  <si>
    <t>Batista Da Silva Ramon - Fc. 000000072 - CUIT:20218630783 - Colocacion de 5 reflectores, una fotocelula, 5 socalos de cabezales de luces dicroicas de iluminacion de calles y colocacion de 10 reflectores en el fondo con cableado de 40mts y conexión a poste de luz del barrio</t>
  </si>
  <si>
    <t>Transf 20/01</t>
  </si>
  <si>
    <t>Compra de madera para entrada - Jardineria</t>
  </si>
  <si>
    <t>Transf 23/01</t>
  </si>
  <si>
    <t>Ramirez Francisco - Fc. 00000538 - Alquiler de volquetes</t>
  </si>
  <si>
    <t>Ramirez Francisco - Fc. 00000540 - Alquiler de volquetes</t>
  </si>
  <si>
    <t>Ramirez Francisco - Fc. 00000543 - Alquiler de volquetes</t>
  </si>
  <si>
    <t>Edesur (Cuit.: 30-65511652-1) - Nuevos medidores - Nro de cliente. 06107197 - Vto. 26/01</t>
  </si>
  <si>
    <t>Edesur (Cuit.: 30-65511652-1) - Nuevos medidores - Nro de cliente. 06107191- Vto. 26/01</t>
  </si>
  <si>
    <t>Edesur (Cuit.: 30-65511652-1) - Nuevos medidores - Nro de cliente. 06106720 - Vto. 26/01</t>
  </si>
  <si>
    <t>Agrocentral SRL - CUIT: 30-70345131-0  -Fc. 000047662 - HERBICIDA GLIFOSATO 66% POWER PLUS II 20LT ATANOR MATAYUYOS ATANOR + ENVIO</t>
  </si>
  <si>
    <t>Debito 27/01</t>
  </si>
  <si>
    <t>Bulonera Dimar - CUIT: 30715613707 - Fc. 707427 - Compra de mangueras, cuplas, canillas esfericas, etc</t>
  </si>
  <si>
    <t>Transf 28/01</t>
  </si>
  <si>
    <t>Honorarios administracion - Mes de ENERO Fc. 00000244</t>
  </si>
  <si>
    <t>Transf 29/01</t>
  </si>
  <si>
    <t>Maire Romer Wilson - CUIT 20949527027 - Fc. 000001 - Arreglo de muro ex lote 140</t>
  </si>
  <si>
    <t>Axin (Cuit.: 30-70858249-9)  - Cuota 50/60</t>
  </si>
  <si>
    <t>Pelex S.A - Fc. 000000017 - 6 cuota de 6 etapa 2 - Obra paredon Perimetal</t>
  </si>
  <si>
    <t>Transf 30/01</t>
  </si>
  <si>
    <t>Vazquez (Cuit.: 30-55987767-7) - Fc. 00000224 (Prestación servicio de contenedores  + Servicio de descarga) -  Se adeudaba mes 11 del 2025</t>
  </si>
  <si>
    <t>Vazquez (Cuit.: 30-55987767-7) - Fc. 00000227 (Prestación servicio de contenedores - DICIEMBRE + Servicio de descarga)</t>
  </si>
  <si>
    <t xml:space="preserve">Rumbo - Compra de pilas, controles aires acondicionados y articulos de librería </t>
  </si>
  <si>
    <t>Debito 30/01</t>
  </si>
  <si>
    <t>Batista Da Silva Ramon - Fc. 000000077 - CUIT:20218630783 - Reparacion de cañeria de alta presion con brida nueva y chicote</t>
  </si>
  <si>
    <t>Batista Da Silva Ramon - Fc. 000000074- CUIT:20218630783 - Camara 80x80 para traslado de fibra optica, junta inodoro SUM, Tecla de luz de baño, reparacion de mochila por perdida en canillas y llaves de paso</t>
  </si>
  <si>
    <t>Grafica tauge - Copias BYN</t>
  </si>
  <si>
    <t xml:space="preserve">Romanati Carlos - Certificacion de 2 firmas convenio Streger - Fc. 0000602 - CUIT: 20169144126 </t>
  </si>
  <si>
    <t>EN D1C y EN3R0 A FLOW LO PUSIMOS EN $0 YA QUE NO SE DEBITO</t>
  </si>
  <si>
    <t>Punitorios mal cobrados L69 (Pago 31/12)</t>
  </si>
  <si>
    <t>Punitorios mal cobrados L101 (Pago 31/12)</t>
  </si>
  <si>
    <t>Punitorios mal cobrados L48(Pago 31/12)</t>
  </si>
  <si>
    <t>Punitorios mal cobrados L38(Pago 31/12)</t>
  </si>
  <si>
    <t>Punitorios mal cobrados L10(Pago 31/12)</t>
  </si>
  <si>
    <t>ex Ezequiel De la calle - Ahora Patricia Sobol parece ser la nueva dueña</t>
  </si>
  <si>
    <t>Punitorios mal cobrados L40 (Pago 31/12)</t>
  </si>
  <si>
    <t>Punitorios mal cobrados L133 (Pago 31/12)</t>
  </si>
  <si>
    <t>Punitorios mal cobrados L124 (Pago 31/12)</t>
  </si>
  <si>
    <t>Punitorios mal cobrados L103 (Pago 31/12)</t>
  </si>
  <si>
    <t>Punitorios mal cobrados L27 (Pago 31/12)</t>
  </si>
  <si>
    <t>Deposito ya identificado mes anterior L110</t>
  </si>
  <si>
    <t>Punitorios mal cobrados L110</t>
  </si>
  <si>
    <t>De mela Innovaciones -Tambien tiene el 58</t>
  </si>
  <si>
    <t>ADRIAN CLAUDIO GIARMAN / JOSEFINA GIORDANI / Milagros Anahi Sanchez / Leonardo Alexis Fama / Maria Antonella Rodriguez / Raul Alejandro Davalos/ Agustina navarro / PERRUGORIA LUCIANO</t>
  </si>
  <si>
    <t>Deposito ya identificado mes anterior L36</t>
  </si>
  <si>
    <t>Punitorios mal cobrados L36</t>
  </si>
  <si>
    <t>Deposito efectivo 09/01</t>
  </si>
  <si>
    <t>Transferencia BinBay SaS</t>
  </si>
  <si>
    <t>LA UNIDAD FUNCIONAL 92 ACORDO UN PLAN DE PAGO CON LA ADMINISTRACION - EL MISMO CONSTA DE UN ADELANTO DE $2.700.000 Y  TRES CUOTA MENSUALES CONSECUTIVAS DE $850.00 SUMADO A LA OBLIGACION DE MANTENERSE AL DIA CON LAS EXPENSAS EN CURSO. DICHO PLAN DE PAGO INFORMADO EN LAS EXPENSAS DE DICIEMBRE DE 2025 NO FUE ABONADO EN ENERO 2026.</t>
  </si>
  <si>
    <t>Canon de obra mal cobrado L13</t>
  </si>
  <si>
    <t>PENDIENTE! FEBRERO</t>
  </si>
  <si>
    <t>Servicios arquitectura - Srita. Melanie Burgos Oros - Lotes 9 - 16 - 48 - 51 - 56 - 68 - 86 - 146 - 62 - 128 - 106 - Mes de Diciembre</t>
  </si>
  <si>
    <t>Aclaración sobre la columna “Gastos Particulares”
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Amarillo: acumulacion de material sobrante en lugar indebido.
Ante cualquier duda o consulta sobre los importes allí detallados, quedamos a disposición.</t>
  </si>
  <si>
    <t>-</t>
  </si>
  <si>
    <t>TOTAL AL 06/02/2026</t>
  </si>
  <si>
    <t>Punitorios mal cobrados L01  (Pago 31/12)</t>
  </si>
  <si>
    <t>Punitorios mal cobrados L52 (Pago 31/12)</t>
  </si>
  <si>
    <t>Punitorios mal cobrados L127 (Pago 31/12)</t>
  </si>
  <si>
    <t xml:space="preserve">Fino, Claudia </t>
  </si>
  <si>
    <t>1ERVTO 18/02</t>
  </si>
  <si>
    <t xml:space="preserve">Total a abonar antes del </t>
  </si>
  <si>
    <t>Recuerden que los dias previos al primer vencimiento hay un feriado largo. Si se transfiere durante el feriado y el pago se impacta posterior al 18/02 el mismo sera contabilizado como segundo vencimiento.</t>
  </si>
  <si>
    <t>Maria jose+</t>
  </si>
  <si>
    <t>Deposito el 03/02 $800.000 debe abonar $718.859,10 en primer vto.</t>
  </si>
  <si>
    <t>Sebastian De Lucas</t>
  </si>
  <si>
    <t>Transfirio el 03/02 $767.816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</si>
</sst>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20"/>
      <color theme="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CC6600"/>
        <bgColor indexed="64"/>
      </patternFill>
    </fill>
    <fill>
      <patternFill patternType="solid">
        <fgColor theme="5" tint="0.39997558519241921"/>
        <bgColor indexed="64"/>
      </patternFill>
    </fill>
    <fill>
      <patternFill patternType="solid">
        <fgColor rgb="FF000000"/>
        <bgColor indexed="64"/>
      </patternFill>
    </fill>
    <fill>
      <patternFill patternType="solid">
        <fgColor rgb="FF33669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350">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44" fontId="0" fillId="0" borderId="1" xfId="1" applyFont="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0" fontId="13" fillId="2" borderId="1" xfId="0" applyFont="1" applyFill="1" applyBorder="1" applyAlignment="1">
      <alignment wrapText="1"/>
    </xf>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5" xfId="0"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168" fontId="0" fillId="0" borderId="0" xfId="0" applyNumberFormat="1"/>
    <xf numFmtId="43" fontId="18"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8" borderId="13" xfId="0" applyFont="1" applyFill="1" applyBorder="1"/>
    <xf numFmtId="44" fontId="2" fillId="18" borderId="13" xfId="1" applyFont="1" applyFill="1" applyBorder="1"/>
    <xf numFmtId="0" fontId="24"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0" fontId="0" fillId="2" borderId="16" xfId="0" applyFill="1" applyBorder="1"/>
    <xf numFmtId="0" fontId="4" fillId="2" borderId="7" xfId="0" applyFont="1" applyFill="1" applyBorder="1" applyAlignment="1">
      <alignment horizontal="left" vertical="center" wrapText="1"/>
    </xf>
    <xf numFmtId="166" fontId="6" fillId="12" borderId="2" xfId="1" applyNumberFormat="1" applyFont="1" applyFill="1" applyBorder="1"/>
    <xf numFmtId="168" fontId="4" fillId="2" borderId="1" xfId="1" applyNumberFormat="1" applyFont="1" applyFill="1" applyBorder="1"/>
    <xf numFmtId="166" fontId="0" fillId="2" borderId="0" xfId="0" applyNumberFormat="1" applyFill="1"/>
    <xf numFmtId="167" fontId="0" fillId="2" borderId="0" xfId="0" applyNumberFormat="1" applyFill="1"/>
    <xf numFmtId="44" fontId="2" fillId="19" borderId="13" xfId="1" applyFont="1" applyFill="1" applyBorder="1"/>
    <xf numFmtId="0" fontId="6" fillId="19" borderId="13" xfId="0" applyFont="1" applyFill="1" applyBorder="1" applyAlignment="1">
      <alignment horizontal="left" vertical="center" wrapText="1"/>
    </xf>
    <xf numFmtId="166" fontId="6" fillId="5" borderId="25" xfId="0" applyNumberFormat="1" applyFont="1" applyFill="1" applyBorder="1"/>
    <xf numFmtId="169" fontId="23" fillId="3" borderId="8" xfId="0" applyNumberFormat="1" applyFont="1" applyFill="1" applyBorder="1" applyAlignment="1">
      <alignment horizontal="center"/>
    </xf>
    <xf numFmtId="169" fontId="23" fillId="3" borderId="0" xfId="0" applyNumberFormat="1" applyFont="1" applyFill="1"/>
    <xf numFmtId="169" fontId="23" fillId="3" borderId="8" xfId="0" applyNumberFormat="1" applyFont="1" applyFill="1" applyBorder="1" applyAlignment="1">
      <alignment horizontal="left"/>
    </xf>
    <xf numFmtId="44" fontId="20" fillId="2" borderId="3" xfId="1" applyFont="1" applyFill="1" applyBorder="1" applyAlignment="1">
      <alignment wrapText="1"/>
    </xf>
    <xf numFmtId="8" fontId="0" fillId="2" borderId="0" xfId="0" applyNumberFormat="1" applyFill="1"/>
    <xf numFmtId="0" fontId="18" fillId="2" borderId="1" xfId="0" applyFont="1" applyFill="1" applyBorder="1"/>
    <xf numFmtId="8" fontId="4" fillId="0" borderId="1" xfId="0" applyNumberFormat="1" applyFont="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20"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2" borderId="1" xfId="0" applyFont="1" applyFill="1" applyBorder="1"/>
    <xf numFmtId="0" fontId="13" fillId="22" borderId="1" xfId="0" applyFont="1" applyFill="1" applyBorder="1" applyAlignment="1">
      <alignment horizontal="center"/>
    </xf>
    <xf numFmtId="165" fontId="18" fillId="22" borderId="1" xfId="0" applyNumberFormat="1" applyFont="1" applyFill="1" applyBorder="1"/>
    <xf numFmtId="165" fontId="13" fillId="22" borderId="1" xfId="0" applyNumberFormat="1" applyFont="1" applyFill="1" applyBorder="1"/>
    <xf numFmtId="165" fontId="13" fillId="22" borderId="1" xfId="1" applyNumberFormat="1" applyFont="1" applyFill="1" applyBorder="1"/>
    <xf numFmtId="44" fontId="0" fillId="22" borderId="0" xfId="0" applyNumberFormat="1" applyFill="1"/>
    <xf numFmtId="0" fontId="0" fillId="22" borderId="1" xfId="0" applyFill="1" applyBorder="1"/>
    <xf numFmtId="0" fontId="13" fillId="21" borderId="1" xfId="0" applyFont="1" applyFill="1" applyBorder="1"/>
    <xf numFmtId="0" fontId="13" fillId="23" borderId="1" xfId="0" applyFont="1" applyFill="1" applyBorder="1"/>
    <xf numFmtId="0" fontId="13" fillId="20" borderId="1" xfId="0" applyFont="1" applyFill="1" applyBorder="1"/>
    <xf numFmtId="0" fontId="13" fillId="18" borderId="1" xfId="0" applyFont="1" applyFill="1" applyBorder="1"/>
    <xf numFmtId="0" fontId="13" fillId="24" borderId="1" xfId="0" applyFont="1" applyFill="1" applyBorder="1"/>
    <xf numFmtId="0" fontId="13" fillId="25" borderId="1" xfId="0" applyFont="1" applyFill="1" applyBorder="1"/>
    <xf numFmtId="0" fontId="13" fillId="26" borderId="1" xfId="0" applyFont="1" applyFill="1" applyBorder="1"/>
    <xf numFmtId="0" fontId="13" fillId="9" borderId="1" xfId="0" applyFont="1" applyFill="1" applyBorder="1"/>
    <xf numFmtId="0" fontId="13" fillId="8" borderId="1" xfId="0" applyFont="1" applyFill="1" applyBorder="1"/>
    <xf numFmtId="44" fontId="7" fillId="2" borderId="1" xfId="1" applyFont="1" applyFill="1" applyBorder="1"/>
    <xf numFmtId="0" fontId="4" fillId="0" borderId="7" xfId="0" applyFont="1" applyBorder="1" applyAlignment="1">
      <alignment horizontal="left" vertical="center" wrapText="1"/>
    </xf>
    <xf numFmtId="44" fontId="9" fillId="0" borderId="1" xfId="1" applyFont="1" applyBorder="1"/>
    <xf numFmtId="44" fontId="18" fillId="0" borderId="1" xfId="1" applyFont="1" applyBorder="1" applyAlignment="1">
      <alignment horizontal="center"/>
    </xf>
    <xf numFmtId="44" fontId="9" fillId="2" borderId="1" xfId="1" applyFont="1" applyFill="1" applyBorder="1"/>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8"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8"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7" borderId="3" xfId="0" applyFont="1" applyFill="1" applyBorder="1"/>
    <xf numFmtId="0" fontId="13" fillId="2" borderId="3" xfId="0" applyFont="1" applyFill="1" applyBorder="1" applyAlignment="1">
      <alignment horizontal="center"/>
    </xf>
    <xf numFmtId="165" fontId="18" fillId="0" borderId="3" xfId="0" applyNumberFormat="1" applyFont="1" applyBorder="1"/>
    <xf numFmtId="165" fontId="13" fillId="0" borderId="3" xfId="0" applyNumberFormat="1" applyFont="1" applyBorder="1"/>
    <xf numFmtId="165" fontId="13" fillId="0" borderId="3" xfId="1" applyNumberFormat="1" applyFont="1" applyBorder="1"/>
    <xf numFmtId="165" fontId="13" fillId="2" borderId="3" xfId="1" applyNumberFormat="1" applyFont="1" applyFill="1" applyBorder="1"/>
    <xf numFmtId="44" fontId="9" fillId="0" borderId="3" xfId="1" applyFont="1" applyBorder="1"/>
    <xf numFmtId="0" fontId="0" fillId="0" borderId="3" xfId="0" applyBorder="1"/>
    <xf numFmtId="0" fontId="4" fillId="0" borderId="1" xfId="0" applyFont="1" applyBorder="1" applyAlignment="1">
      <alignment vertical="center"/>
    </xf>
    <xf numFmtId="0" fontId="4" fillId="0" borderId="3" xfId="0" applyFont="1" applyBorder="1"/>
    <xf numFmtId="8" fontId="18" fillId="2" borderId="3" xfId="4" applyNumberFormat="1" applyFont="1" applyFill="1" applyBorder="1"/>
    <xf numFmtId="8" fontId="18" fillId="2" borderId="1" xfId="4" applyNumberFormat="1" applyFont="1" applyFill="1" applyBorder="1"/>
    <xf numFmtId="8" fontId="18" fillId="22" borderId="1" xfId="4" applyNumberFormat="1" applyFont="1" applyFill="1" applyBorder="1"/>
    <xf numFmtId="8" fontId="18" fillId="2" borderId="1" xfId="1" applyNumberFormat="1" applyFont="1" applyFill="1" applyBorder="1"/>
    <xf numFmtId="8" fontId="18" fillId="0" borderId="1" xfId="1" applyNumberFormat="1" applyFont="1" applyBorder="1"/>
    <xf numFmtId="0" fontId="13" fillId="2" borderId="3" xfId="0" applyFont="1" applyFill="1" applyBorder="1"/>
    <xf numFmtId="0" fontId="0" fillId="22" borderId="0" xfId="0" applyFill="1"/>
    <xf numFmtId="44" fontId="0" fillId="2" borderId="29" xfId="1" applyFont="1" applyFill="1" applyBorder="1"/>
    <xf numFmtId="0" fontId="0" fillId="2" borderId="14" xfId="0" applyFill="1" applyBorder="1"/>
    <xf numFmtId="16" fontId="0" fillId="2" borderId="0" xfId="0" applyNumberFormat="1" applyFill="1"/>
    <xf numFmtId="44" fontId="9" fillId="22" borderId="3" xfId="1" applyFont="1" applyFill="1" applyBorder="1"/>
    <xf numFmtId="43" fontId="18" fillId="2" borderId="3" xfId="1" applyNumberFormat="1" applyFont="1" applyFill="1" applyBorder="1"/>
    <xf numFmtId="44" fontId="18" fillId="2" borderId="1" xfId="1" applyFont="1" applyFill="1" applyBorder="1"/>
    <xf numFmtId="43" fontId="18" fillId="22" borderId="1" xfId="1" applyNumberFormat="1" applyFont="1" applyFill="1" applyBorder="1"/>
    <xf numFmtId="165" fontId="18" fillId="18" borderId="1" xfId="1" applyNumberFormat="1" applyFont="1" applyFill="1" applyBorder="1"/>
    <xf numFmtId="165" fontId="13" fillId="16" borderId="1" xfId="1" applyNumberFormat="1" applyFont="1" applyFill="1" applyBorder="1"/>
    <xf numFmtId="8" fontId="8" fillId="15" borderId="25" xfId="1" applyNumberFormat="1" applyFont="1" applyFill="1" applyBorder="1"/>
    <xf numFmtId="0" fontId="4" fillId="2" borderId="12" xfId="0" applyFont="1" applyFill="1" applyBorder="1"/>
    <xf numFmtId="8" fontId="4" fillId="2" borderId="1" xfId="0" applyNumberFormat="1" applyFont="1" applyFill="1" applyBorder="1"/>
    <xf numFmtId="8" fontId="17"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4" fillId="2" borderId="1" xfId="1" applyFont="1" applyFill="1" applyBorder="1" applyAlignment="1">
      <alignment wrapText="1"/>
    </xf>
    <xf numFmtId="44" fontId="4" fillId="2" borderId="1" xfId="1" applyFont="1" applyFill="1" applyBorder="1" applyAlignment="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168" fontId="4" fillId="2" borderId="1" xfId="0" applyNumberFormat="1" applyFont="1" applyFill="1" applyBorder="1"/>
    <xf numFmtId="8" fontId="6" fillId="12" borderId="5" xfId="0" applyNumberFormat="1" applyFont="1" applyFill="1" applyBorder="1"/>
    <xf numFmtId="44" fontId="4" fillId="2" borderId="6" xfId="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22" xfId="0" applyFont="1" applyFill="1" applyBorder="1" applyAlignment="1">
      <alignment horizontal="left" vertical="center" wrapText="1"/>
    </xf>
    <xf numFmtId="0" fontId="16" fillId="8" borderId="0" xfId="0" applyFont="1" applyFill="1" applyAlignment="1">
      <alignment horizontal="center" vertical="center"/>
    </xf>
    <xf numFmtId="0" fontId="23" fillId="7" borderId="0" xfId="0" applyFont="1" applyFill="1" applyAlignment="1">
      <alignment horizontal="left" vertical="center" wrapText="1"/>
    </xf>
    <xf numFmtId="0" fontId="6" fillId="8" borderId="0" xfId="0" applyFont="1" applyFill="1" applyAlignment="1">
      <alignment horizontal="left" vertical="center" wrapText="1"/>
    </xf>
    <xf numFmtId="0" fontId="6" fillId="8" borderId="0" xfId="0" applyFont="1" applyFill="1" applyAlignment="1">
      <alignment horizontal="lef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9" fillId="22" borderId="14" xfId="0" quotePrefix="1" applyFont="1" applyFill="1" applyBorder="1" applyAlignment="1">
      <alignment horizontal="left" vertical="center" wrapText="1"/>
    </xf>
    <xf numFmtId="0" fontId="9" fillId="22" borderId="15" xfId="0" applyFont="1" applyFill="1" applyBorder="1" applyAlignment="1">
      <alignment horizontal="left" vertical="center" wrapText="1"/>
    </xf>
    <xf numFmtId="0" fontId="9" fillId="22" borderId="16" xfId="0" applyFont="1" applyFill="1" applyBorder="1" applyAlignment="1">
      <alignment horizontal="left" vertical="center" wrapText="1"/>
    </xf>
    <xf numFmtId="0" fontId="9" fillId="22" borderId="17" xfId="0" applyFont="1" applyFill="1" applyBorder="1" applyAlignment="1">
      <alignment horizontal="left" vertical="center" wrapText="1"/>
    </xf>
    <xf numFmtId="0" fontId="9" fillId="22" borderId="24" xfId="0" applyFont="1" applyFill="1" applyBorder="1" applyAlignment="1">
      <alignment horizontal="left" vertical="center" wrapText="1"/>
    </xf>
    <xf numFmtId="0" fontId="9" fillId="22" borderId="25" xfId="0" applyFont="1" applyFill="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8" borderId="30" xfId="0" applyFont="1" applyFill="1" applyBorder="1" applyAlignment="1">
      <alignment horizontal="left"/>
    </xf>
    <xf numFmtId="0" fontId="2" fillId="18" borderId="31" xfId="0" applyFont="1" applyFill="1" applyBorder="1" applyAlignment="1">
      <alignment horizontal="left"/>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0" borderId="3" xfId="1" applyFont="1" applyBorder="1"/>
    <xf numFmtId="44" fontId="9" fillId="0" borderId="1" xfId="1" applyFont="1" applyBorder="1"/>
    <xf numFmtId="44" fontId="9" fillId="2" borderId="1" xfId="1" applyFont="1" applyFill="1" applyBorder="1"/>
    <xf numFmtId="169" fontId="23" fillId="3" borderId="8" xfId="0" applyNumberFormat="1" applyFont="1" applyFill="1" applyBorder="1" applyAlignment="1">
      <alignment horizontal="center"/>
    </xf>
    <xf numFmtId="169" fontId="23" fillId="3" borderId="0" xfId="1" applyNumberFormat="1" applyFont="1" applyFill="1" applyAlignment="1">
      <alignment horizontal="center"/>
    </xf>
    <xf numFmtId="169" fontId="23" fillId="3" borderId="8" xfId="1" applyNumberFormat="1" applyFont="1" applyFill="1" applyBorder="1" applyAlignment="1">
      <alignment horizontal="center" vertical="center"/>
    </xf>
    <xf numFmtId="44" fontId="15" fillId="3" borderId="8"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3"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44" fontId="9" fillId="22" borderId="1" xfId="1" applyFont="1" applyFill="1" applyBorder="1"/>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8" fillId="0" borderId="1" xfId="1" applyFont="1" applyBorder="1" applyAlignment="1">
      <alignment horizontal="center"/>
    </xf>
    <xf numFmtId="44" fontId="18" fillId="0" borderId="2" xfId="1" applyFont="1" applyBorder="1" applyAlignment="1">
      <alignment horizontal="center"/>
    </xf>
    <xf numFmtId="0" fontId="25" fillId="17" borderId="5" xfId="0" applyFont="1" applyFill="1" applyBorder="1" applyAlignment="1">
      <alignment horizontal="center" vertical="center"/>
    </xf>
    <xf numFmtId="0" fontId="25" fillId="17" borderId="0" xfId="0" applyFont="1" applyFill="1" applyAlignment="1">
      <alignment horizontal="center" vertic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44" fontId="4" fillId="0" borderId="0" xfId="0" applyNumberFormat="1" applyFont="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D95DD"/>
      <color rgb="FFFFFF99"/>
      <color rgb="FF336699"/>
      <color rgb="FF666633"/>
      <color rgb="FFCC6600"/>
      <color rgb="FF1CB0B0"/>
      <color rgb="FFCCFFCC"/>
      <color rgb="FF000000"/>
      <color rgb="FFFF00FF"/>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7"/>
  <sheetViews>
    <sheetView topLeftCell="A139" zoomScale="95" zoomScaleNormal="95" workbookViewId="0">
      <selection activeCell="D145" sqref="D145"/>
    </sheetView>
  </sheetViews>
  <sheetFormatPr baseColWidth="10" defaultColWidth="10.88671875" defaultRowHeight="14.4" x14ac:dyDescent="0.3"/>
  <cols>
    <col min="1" max="1" width="37.5546875" customWidth="1"/>
    <col min="2" max="2" width="24.6640625" customWidth="1"/>
    <col min="3" max="3" width="15.88671875" hidden="1" customWidth="1"/>
    <col min="4" max="4" width="21.33203125" customWidth="1"/>
    <col min="5" max="5" width="16.88671875" customWidth="1"/>
    <col min="6" max="6" width="16.44140625" bestFit="1" customWidth="1"/>
    <col min="7" max="8" width="15.44140625" bestFit="1" customWidth="1"/>
    <col min="9" max="9" width="14.109375" bestFit="1" customWidth="1"/>
    <col min="11" max="11" width="18" customWidth="1"/>
    <col min="12" max="12" width="18.33203125" customWidth="1"/>
  </cols>
  <sheetData>
    <row r="1" spans="1:5" ht="15" thickBot="1" x14ac:dyDescent="0.35">
      <c r="A1" s="296"/>
      <c r="B1" s="291" t="s">
        <v>157</v>
      </c>
      <c r="C1" s="292"/>
      <c r="D1" s="292"/>
      <c r="E1" s="293"/>
    </row>
    <row r="2" spans="1:5" ht="15" thickBot="1" x14ac:dyDescent="0.35">
      <c r="A2" s="297"/>
      <c r="B2" s="291" t="s">
        <v>159</v>
      </c>
      <c r="C2" s="292"/>
      <c r="D2" s="292"/>
      <c r="E2" s="293"/>
    </row>
    <row r="3" spans="1:5" ht="32.25" customHeight="1" thickBot="1" x14ac:dyDescent="0.35">
      <c r="A3" s="297"/>
      <c r="B3" s="288" t="s">
        <v>155</v>
      </c>
      <c r="C3" s="289"/>
      <c r="D3" s="289"/>
      <c r="E3" s="290"/>
    </row>
    <row r="4" spans="1:5" ht="15" thickBot="1" x14ac:dyDescent="0.35">
      <c r="A4" s="297"/>
      <c r="B4" s="48" t="s">
        <v>156</v>
      </c>
      <c r="C4" s="47"/>
      <c r="D4" s="47"/>
      <c r="E4" s="47"/>
    </row>
    <row r="5" spans="1:5" ht="16.95" customHeight="1" thickBot="1" x14ac:dyDescent="0.35">
      <c r="A5" s="297"/>
      <c r="B5" s="51" t="s">
        <v>324</v>
      </c>
      <c r="C5" s="49"/>
      <c r="D5" s="49"/>
      <c r="E5" s="50"/>
    </row>
    <row r="6" spans="1:5" ht="16.95" customHeight="1" thickBot="1" x14ac:dyDescent="0.35">
      <c r="A6" s="297"/>
      <c r="B6" s="52" t="s">
        <v>288</v>
      </c>
      <c r="C6" s="49"/>
      <c r="D6" s="49"/>
      <c r="E6" s="50"/>
    </row>
    <row r="7" spans="1:5" ht="16.95" customHeight="1" thickBot="1" x14ac:dyDescent="0.35">
      <c r="A7" s="297"/>
      <c r="B7" s="52" t="s">
        <v>287</v>
      </c>
      <c r="C7" s="49"/>
      <c r="D7" s="49"/>
      <c r="E7" s="50"/>
    </row>
    <row r="8" spans="1:5" ht="15" thickBot="1" x14ac:dyDescent="0.35">
      <c r="A8" s="298"/>
      <c r="B8" s="294" t="s">
        <v>158</v>
      </c>
      <c r="C8" s="294"/>
      <c r="D8" s="294"/>
      <c r="E8" s="295"/>
    </row>
    <row r="10" spans="1:5" ht="14.4" customHeight="1" x14ac:dyDescent="0.3">
      <c r="A10" s="284" t="s">
        <v>436</v>
      </c>
      <c r="B10" s="284"/>
      <c r="C10" s="284"/>
      <c r="D10" s="284"/>
      <c r="E10" s="284"/>
    </row>
    <row r="11" spans="1:5" ht="14.4" customHeight="1" x14ac:dyDescent="0.3">
      <c r="A11" s="284"/>
      <c r="B11" s="284"/>
      <c r="C11" s="284"/>
      <c r="D11" s="284"/>
      <c r="E11" s="284"/>
    </row>
    <row r="12" spans="1:5" ht="14.4" customHeight="1" x14ac:dyDescent="0.3">
      <c r="A12" s="284"/>
      <c r="B12" s="284"/>
      <c r="C12" s="284"/>
      <c r="D12" s="284"/>
      <c r="E12" s="284"/>
    </row>
    <row r="13" spans="1:5" x14ac:dyDescent="0.3">
      <c r="A13" s="33"/>
      <c r="B13" s="33"/>
      <c r="C13" s="33"/>
      <c r="D13" s="33"/>
      <c r="E13" s="33"/>
    </row>
    <row r="14" spans="1:5" x14ac:dyDescent="0.3">
      <c r="A14" s="286" t="s">
        <v>438</v>
      </c>
      <c r="B14" s="287"/>
      <c r="C14" s="287"/>
      <c r="D14" s="287"/>
      <c r="E14" s="287"/>
    </row>
    <row r="15" spans="1:5" x14ac:dyDescent="0.3">
      <c r="A15" s="287"/>
      <c r="B15" s="287"/>
      <c r="C15" s="287"/>
      <c r="D15" s="287"/>
      <c r="E15" s="287"/>
    </row>
    <row r="16" spans="1:5" x14ac:dyDescent="0.3">
      <c r="A16" s="287"/>
      <c r="B16" s="287"/>
      <c r="C16" s="287"/>
      <c r="D16" s="287"/>
      <c r="E16" s="287"/>
    </row>
    <row r="17" spans="1:5" x14ac:dyDescent="0.3">
      <c r="A17" s="287"/>
      <c r="B17" s="287"/>
      <c r="C17" s="287"/>
      <c r="D17" s="287"/>
      <c r="E17" s="287"/>
    </row>
    <row r="18" spans="1:5" x14ac:dyDescent="0.3">
      <c r="A18" s="287"/>
      <c r="B18" s="287"/>
      <c r="C18" s="287"/>
      <c r="D18" s="287"/>
      <c r="E18" s="287"/>
    </row>
    <row r="19" spans="1:5" x14ac:dyDescent="0.3">
      <c r="A19" s="287"/>
      <c r="B19" s="287"/>
      <c r="C19" s="287"/>
      <c r="D19" s="287"/>
      <c r="E19" s="287"/>
    </row>
    <row r="20" spans="1:5" ht="6" customHeight="1" x14ac:dyDescent="0.3">
      <c r="A20" s="287"/>
      <c r="B20" s="287"/>
      <c r="C20" s="287"/>
      <c r="D20" s="287"/>
      <c r="E20" s="287"/>
    </row>
    <row r="21" spans="1:5" hidden="1" x14ac:dyDescent="0.3">
      <c r="A21" s="287"/>
      <c r="B21" s="287"/>
      <c r="C21" s="287"/>
      <c r="D21" s="287"/>
      <c r="E21" s="287"/>
    </row>
    <row r="22" spans="1:5" hidden="1" x14ac:dyDescent="0.3">
      <c r="A22" s="287"/>
      <c r="B22" s="287"/>
      <c r="C22" s="287"/>
      <c r="D22" s="287"/>
      <c r="E22" s="287"/>
    </row>
    <row r="23" spans="1:5" hidden="1" x14ac:dyDescent="0.3">
      <c r="A23" s="287"/>
      <c r="B23" s="287"/>
      <c r="C23" s="287"/>
      <c r="D23" s="287"/>
      <c r="E23" s="287"/>
    </row>
    <row r="24" spans="1:5" ht="23.25" customHeight="1" x14ac:dyDescent="0.3">
      <c r="A24" s="287"/>
      <c r="B24" s="287"/>
      <c r="C24" s="287"/>
      <c r="D24" s="287"/>
      <c r="E24" s="287"/>
    </row>
    <row r="25" spans="1:5" x14ac:dyDescent="0.3">
      <c r="A25" s="33"/>
      <c r="B25" s="33"/>
      <c r="C25" s="33"/>
      <c r="D25" s="33"/>
      <c r="E25" s="33"/>
    </row>
    <row r="26" spans="1:5" ht="15" customHeight="1" x14ac:dyDescent="0.3">
      <c r="A26" s="285" t="s">
        <v>244</v>
      </c>
      <c r="B26" s="285"/>
      <c r="C26" s="285"/>
      <c r="D26" s="285"/>
      <c r="E26" s="285"/>
    </row>
    <row r="27" spans="1:5" ht="15" customHeight="1" x14ac:dyDescent="0.3">
      <c r="A27" s="285"/>
      <c r="B27" s="285"/>
      <c r="C27" s="285"/>
      <c r="D27" s="285"/>
      <c r="E27" s="285"/>
    </row>
    <row r="28" spans="1:5" ht="15" customHeight="1" x14ac:dyDescent="0.3">
      <c r="A28" s="285"/>
      <c r="B28" s="285"/>
      <c r="C28" s="285"/>
      <c r="D28" s="285"/>
      <c r="E28" s="285"/>
    </row>
    <row r="29" spans="1:5" ht="243" customHeight="1" x14ac:dyDescent="0.3">
      <c r="A29" s="285"/>
      <c r="B29" s="285"/>
      <c r="C29" s="285"/>
      <c r="D29" s="285"/>
      <c r="E29" s="285"/>
    </row>
    <row r="30" spans="1:5" ht="14.25" customHeight="1" thickBot="1" x14ac:dyDescent="0.35">
      <c r="A30" s="33"/>
      <c r="B30" s="33"/>
      <c r="C30" s="33"/>
      <c r="D30" s="33"/>
      <c r="E30" s="33"/>
    </row>
    <row r="31" spans="1:5" ht="14.4" hidden="1" customHeight="1" x14ac:dyDescent="0.3">
      <c r="A31" s="102"/>
      <c r="B31" s="33"/>
      <c r="C31" s="33"/>
      <c r="D31" s="33"/>
      <c r="E31" s="33"/>
    </row>
    <row r="32" spans="1:5" ht="15" hidden="1" customHeight="1" thickBot="1" x14ac:dyDescent="0.35">
      <c r="A32" s="33"/>
      <c r="B32" s="33"/>
      <c r="C32" s="33"/>
      <c r="D32" s="33"/>
      <c r="E32" s="33"/>
    </row>
    <row r="33" spans="1:8" x14ac:dyDescent="0.3">
      <c r="A33" s="103" t="s">
        <v>5</v>
      </c>
      <c r="B33" s="104"/>
      <c r="C33" s="105"/>
      <c r="D33" s="106"/>
      <c r="E33" s="107"/>
    </row>
    <row r="34" spans="1:8" x14ac:dyDescent="0.3">
      <c r="A34" s="8" t="s">
        <v>18</v>
      </c>
      <c r="B34" s="8"/>
      <c r="C34" s="8"/>
      <c r="D34" s="8"/>
      <c r="E34" s="8"/>
    </row>
    <row r="35" spans="1:8" ht="20.25" customHeight="1" x14ac:dyDescent="0.3">
      <c r="A35" s="281" t="s">
        <v>357</v>
      </c>
      <c r="B35" s="282"/>
      <c r="C35" s="25"/>
      <c r="D35" s="246">
        <v>1769676</v>
      </c>
      <c r="E35" s="164" t="s">
        <v>345</v>
      </c>
      <c r="G35" s="80"/>
    </row>
    <row r="36" spans="1:8" ht="18" customHeight="1" x14ac:dyDescent="0.3">
      <c r="A36" s="226" t="s">
        <v>358</v>
      </c>
      <c r="B36" s="194"/>
      <c r="C36" s="25"/>
      <c r="D36" s="246">
        <v>2045519.6</v>
      </c>
      <c r="E36" s="164" t="s">
        <v>390</v>
      </c>
      <c r="G36" s="80"/>
    </row>
    <row r="37" spans="1:8" x14ac:dyDescent="0.3">
      <c r="A37" s="275" t="s">
        <v>325</v>
      </c>
      <c r="B37" s="276"/>
      <c r="C37" s="25"/>
      <c r="D37" s="246">
        <v>-444900.53</v>
      </c>
      <c r="E37" s="25"/>
      <c r="G37" s="4"/>
    </row>
    <row r="38" spans="1:8" ht="19.5" customHeight="1" x14ac:dyDescent="0.3">
      <c r="A38" s="277" t="s">
        <v>326</v>
      </c>
      <c r="B38" s="278"/>
      <c r="C38" s="25"/>
      <c r="D38" s="246">
        <v>0.93</v>
      </c>
      <c r="E38" s="25"/>
      <c r="F38" s="4">
        <f>D36+D37+D38</f>
        <v>1600620</v>
      </c>
      <c r="G38" s="4"/>
    </row>
    <row r="39" spans="1:8" x14ac:dyDescent="0.3">
      <c r="A39" s="108" t="s">
        <v>19</v>
      </c>
      <c r="B39" s="108"/>
      <c r="C39" s="108"/>
      <c r="D39" s="247">
        <f>SUM(D35:D38)</f>
        <v>3370296.0000000005</v>
      </c>
      <c r="E39" s="91"/>
      <c r="F39" s="4"/>
      <c r="G39" s="4"/>
      <c r="H39" s="80"/>
    </row>
    <row r="40" spans="1:8" ht="32.25" customHeight="1" x14ac:dyDescent="0.3">
      <c r="A40" s="281" t="s">
        <v>318</v>
      </c>
      <c r="B40" s="282"/>
      <c r="C40" s="25"/>
      <c r="D40" s="246">
        <v>920000</v>
      </c>
      <c r="E40" s="25" t="s">
        <v>368</v>
      </c>
      <c r="G40" s="4"/>
    </row>
    <row r="41" spans="1:8" x14ac:dyDescent="0.3">
      <c r="A41" s="108" t="s">
        <v>19</v>
      </c>
      <c r="B41" s="108"/>
      <c r="C41" s="108"/>
      <c r="D41" s="247">
        <f>SUM(D40:D40)</f>
        <v>920000</v>
      </c>
      <c r="E41" s="26"/>
      <c r="G41" s="4"/>
    </row>
    <row r="42" spans="1:8" ht="18" customHeight="1" thickBot="1" x14ac:dyDescent="0.35">
      <c r="A42" s="109" t="s">
        <v>170</v>
      </c>
      <c r="B42" s="109"/>
      <c r="C42" s="109"/>
      <c r="D42" s="248"/>
      <c r="E42" s="94">
        <f>D39+D41</f>
        <v>4290296</v>
      </c>
      <c r="F42" s="4"/>
    </row>
    <row r="43" spans="1:8" x14ac:dyDescent="0.3">
      <c r="A43" s="8" t="s">
        <v>176</v>
      </c>
      <c r="B43" s="9"/>
      <c r="C43" s="9"/>
      <c r="D43" s="249"/>
      <c r="E43" s="19"/>
    </row>
    <row r="44" spans="1:8" s="11" customFormat="1" ht="15" customHeight="1" x14ac:dyDescent="0.3">
      <c r="A44" s="25" t="s">
        <v>328</v>
      </c>
      <c r="B44" s="25"/>
      <c r="C44" s="110"/>
      <c r="D44" s="250">
        <v>1597671.6</v>
      </c>
      <c r="E44" s="85" t="s">
        <v>334</v>
      </c>
      <c r="G44" s="43"/>
    </row>
    <row r="45" spans="1:8" s="11" customFormat="1" ht="15" customHeight="1" x14ac:dyDescent="0.3">
      <c r="A45" s="111" t="s">
        <v>329</v>
      </c>
      <c r="B45" s="25" t="s">
        <v>11</v>
      </c>
      <c r="C45" s="110"/>
      <c r="D45" s="250">
        <v>156599.73000000001</v>
      </c>
      <c r="E45" s="85" t="s">
        <v>369</v>
      </c>
      <c r="G45" s="43"/>
    </row>
    <row r="46" spans="1:8" s="11" customFormat="1" ht="15" customHeight="1" x14ac:dyDescent="0.3">
      <c r="A46" s="111" t="str">
        <f>A45</f>
        <v>Sindicatos mes de DICIEMBRE</v>
      </c>
      <c r="B46" s="25" t="s">
        <v>20</v>
      </c>
      <c r="C46" s="110"/>
      <c r="D46" s="250">
        <v>268259.59999999998</v>
      </c>
      <c r="E46" s="85" t="str">
        <f>E45</f>
        <v>Debito 13/01</v>
      </c>
      <c r="G46" s="43"/>
    </row>
    <row r="47" spans="1:8" ht="15" customHeight="1" x14ac:dyDescent="0.3">
      <c r="A47" s="111" t="str">
        <f>A46</f>
        <v>Sindicatos mes de DICIEMBRE</v>
      </c>
      <c r="B47" s="25" t="s">
        <v>10</v>
      </c>
      <c r="C47" s="110"/>
      <c r="D47" s="251">
        <v>17399.97</v>
      </c>
      <c r="E47" s="85" t="str">
        <f>E46</f>
        <v>Debito 13/01</v>
      </c>
      <c r="H47" s="37"/>
    </row>
    <row r="48" spans="1:8" ht="15" thickBot="1" x14ac:dyDescent="0.35">
      <c r="A48" s="109" t="s">
        <v>149</v>
      </c>
      <c r="B48" s="109"/>
      <c r="C48" s="109"/>
      <c r="D48" s="252"/>
      <c r="E48" s="93">
        <f>SUM(D44:D47)</f>
        <v>2039930.9000000001</v>
      </c>
    </row>
    <row r="49" spans="1:9" x14ac:dyDescent="0.3">
      <c r="A49" s="8" t="s">
        <v>169</v>
      </c>
      <c r="B49" s="112"/>
      <c r="C49" s="112"/>
      <c r="D49" s="253"/>
      <c r="E49" s="28"/>
    </row>
    <row r="50" spans="1:9" ht="31.95" customHeight="1" x14ac:dyDescent="0.3">
      <c r="A50" s="279" t="s">
        <v>274</v>
      </c>
      <c r="B50" s="280"/>
      <c r="C50" s="25"/>
      <c r="D50" s="254">
        <v>148964</v>
      </c>
      <c r="E50" s="86" t="s">
        <v>359</v>
      </c>
    </row>
    <row r="51" spans="1:9" ht="31.95" customHeight="1" x14ac:dyDescent="0.3">
      <c r="A51" s="279" t="s">
        <v>275</v>
      </c>
      <c r="B51" s="280"/>
      <c r="C51" s="25"/>
      <c r="D51" s="254">
        <v>6160</v>
      </c>
      <c r="E51" s="86" t="s">
        <v>356</v>
      </c>
    </row>
    <row r="52" spans="1:9" ht="31.95" customHeight="1" x14ac:dyDescent="0.3">
      <c r="A52" s="279" t="s">
        <v>321</v>
      </c>
      <c r="B52" s="280"/>
      <c r="C52" s="25"/>
      <c r="D52" s="254">
        <v>0</v>
      </c>
      <c r="E52" s="86" t="s">
        <v>430</v>
      </c>
    </row>
    <row r="53" spans="1:9" ht="31.95" customHeight="1" x14ac:dyDescent="0.3">
      <c r="A53" s="279" t="s">
        <v>320</v>
      </c>
      <c r="B53" s="280"/>
      <c r="C53" s="25"/>
      <c r="D53" s="254">
        <v>18195</v>
      </c>
      <c r="E53" s="86" t="s">
        <v>363</v>
      </c>
    </row>
    <row r="54" spans="1:9" ht="15" customHeight="1" thickBot="1" x14ac:dyDescent="0.35">
      <c r="A54" s="109" t="s">
        <v>150</v>
      </c>
      <c r="B54" s="113"/>
      <c r="C54" s="113"/>
      <c r="D54" s="255"/>
      <c r="E54" s="55">
        <f>SUM(D50:D53)</f>
        <v>173319</v>
      </c>
    </row>
    <row r="55" spans="1:9" ht="15" customHeight="1" thickBot="1" x14ac:dyDescent="0.35">
      <c r="A55" s="73" t="s">
        <v>177</v>
      </c>
      <c r="B55" s="9"/>
      <c r="C55" s="9"/>
      <c r="D55" s="256"/>
      <c r="E55" s="30"/>
    </row>
    <row r="56" spans="1:9" ht="42.75" customHeight="1" x14ac:dyDescent="0.3">
      <c r="A56" s="279" t="s">
        <v>346</v>
      </c>
      <c r="B56" s="283"/>
      <c r="C56" s="114"/>
      <c r="D56" s="254">
        <v>45116071.280000001</v>
      </c>
      <c r="E56" s="29" t="s">
        <v>345</v>
      </c>
      <c r="G56" s="14"/>
      <c r="I56" s="41"/>
    </row>
    <row r="57" spans="1:9" ht="41.25" customHeight="1" x14ac:dyDescent="0.3">
      <c r="A57" s="279" t="s">
        <v>344</v>
      </c>
      <c r="B57" s="283"/>
      <c r="C57" s="114"/>
      <c r="D57" s="254">
        <v>4773198.96</v>
      </c>
      <c r="E57" s="32" t="s">
        <v>362</v>
      </c>
      <c r="F57" s="14"/>
    </row>
    <row r="58" spans="1:9" ht="17.399999999999999" customHeight="1" x14ac:dyDescent="0.3">
      <c r="A58" s="109" t="s">
        <v>178</v>
      </c>
      <c r="B58" s="46"/>
      <c r="C58" s="46"/>
      <c r="D58" s="46"/>
      <c r="E58" s="56">
        <f>SUM(D56:D57)</f>
        <v>49889270.240000002</v>
      </c>
    </row>
    <row r="59" spans="1:9" ht="17.399999999999999" customHeight="1" x14ac:dyDescent="0.3">
      <c r="A59" s="73" t="s">
        <v>179</v>
      </c>
      <c r="B59" s="73"/>
      <c r="C59" s="73" t="s">
        <v>177</v>
      </c>
      <c r="D59" s="73"/>
      <c r="E59" s="73"/>
    </row>
    <row r="60" spans="1:9" ht="35.1" customHeight="1" x14ac:dyDescent="0.3">
      <c r="A60" s="279" t="s">
        <v>366</v>
      </c>
      <c r="B60" s="283"/>
      <c r="C60" s="114"/>
      <c r="D60" s="254">
        <v>1212341.6499999999</v>
      </c>
      <c r="E60" s="32" t="s">
        <v>338</v>
      </c>
    </row>
    <row r="61" spans="1:9" ht="48" customHeight="1" x14ac:dyDescent="0.3">
      <c r="A61" s="279" t="s">
        <v>367</v>
      </c>
      <c r="B61" s="283"/>
      <c r="C61" s="114"/>
      <c r="D61" s="254">
        <v>1212341.6499999999</v>
      </c>
      <c r="E61" s="32" t="s">
        <v>338</v>
      </c>
    </row>
    <row r="62" spans="1:9" ht="35.1" customHeight="1" x14ac:dyDescent="0.3">
      <c r="A62" s="279" t="s">
        <v>339</v>
      </c>
      <c r="B62" s="283"/>
      <c r="C62" s="114"/>
      <c r="D62" s="254">
        <v>80136</v>
      </c>
      <c r="E62" s="32" t="s">
        <v>338</v>
      </c>
    </row>
    <row r="63" spans="1:9" ht="49.5" customHeight="1" x14ac:dyDescent="0.3">
      <c r="A63" s="279" t="s">
        <v>340</v>
      </c>
      <c r="B63" s="280"/>
      <c r="C63" s="115"/>
      <c r="D63" s="254">
        <v>480000</v>
      </c>
      <c r="E63" s="32" t="s">
        <v>335</v>
      </c>
      <c r="G63" s="37"/>
    </row>
    <row r="64" spans="1:9" ht="35.1" customHeight="1" x14ac:dyDescent="0.3">
      <c r="A64" s="279" t="s">
        <v>341</v>
      </c>
      <c r="B64" s="280"/>
      <c r="C64" s="115"/>
      <c r="D64" s="254">
        <v>5500000</v>
      </c>
      <c r="E64" s="32" t="s">
        <v>335</v>
      </c>
    </row>
    <row r="65" spans="1:8" ht="60" customHeight="1" x14ac:dyDescent="0.3">
      <c r="A65" s="279" t="s">
        <v>404</v>
      </c>
      <c r="B65" s="280"/>
      <c r="C65" s="115"/>
      <c r="D65" s="254">
        <v>84700</v>
      </c>
      <c r="E65" s="32" t="s">
        <v>380</v>
      </c>
    </row>
    <row r="66" spans="1:8" ht="44.25" customHeight="1" x14ac:dyDescent="0.3">
      <c r="A66" s="279" t="s">
        <v>398</v>
      </c>
      <c r="B66" s="280"/>
      <c r="C66" s="115"/>
      <c r="D66" s="254">
        <v>262632.78000000003</v>
      </c>
      <c r="E66" s="32" t="s">
        <v>338</v>
      </c>
    </row>
    <row r="67" spans="1:8" ht="44.25" customHeight="1" x14ac:dyDescent="0.3">
      <c r="A67" s="279" t="s">
        <v>397</v>
      </c>
      <c r="B67" s="280"/>
      <c r="C67" s="115"/>
      <c r="D67" s="254">
        <v>223834</v>
      </c>
      <c r="E67" s="32" t="s">
        <v>396</v>
      </c>
    </row>
    <row r="68" spans="1:8" ht="37.5" customHeight="1" x14ac:dyDescent="0.3">
      <c r="A68" s="279" t="s">
        <v>382</v>
      </c>
      <c r="B68" s="280"/>
      <c r="C68" s="115"/>
      <c r="D68" s="254">
        <v>100000</v>
      </c>
      <c r="E68" s="87" t="s">
        <v>380</v>
      </c>
    </row>
    <row r="69" spans="1:8" ht="37.5" customHeight="1" x14ac:dyDescent="0.3">
      <c r="A69" s="279" t="s">
        <v>383</v>
      </c>
      <c r="B69" s="280"/>
      <c r="C69" s="115"/>
      <c r="D69" s="254">
        <v>100000</v>
      </c>
      <c r="E69" s="87" t="s">
        <v>380</v>
      </c>
    </row>
    <row r="70" spans="1:8" ht="35.1" customHeight="1" x14ac:dyDescent="0.3">
      <c r="A70" s="279" t="s">
        <v>381</v>
      </c>
      <c r="B70" s="280"/>
      <c r="C70" s="25"/>
      <c r="D70" s="152">
        <v>100000</v>
      </c>
      <c r="E70" s="87" t="s">
        <v>380</v>
      </c>
      <c r="G70" s="99"/>
      <c r="H70" s="99"/>
    </row>
    <row r="71" spans="1:8" ht="48" customHeight="1" x14ac:dyDescent="0.3">
      <c r="A71" s="279" t="s">
        <v>376</v>
      </c>
      <c r="B71" s="280"/>
      <c r="C71" s="25"/>
      <c r="D71" s="254">
        <v>2144590.69</v>
      </c>
      <c r="E71" s="87" t="s">
        <v>372</v>
      </c>
      <c r="G71" s="99"/>
      <c r="H71" s="99"/>
    </row>
    <row r="72" spans="1:8" ht="35.1" customHeight="1" x14ac:dyDescent="0.3">
      <c r="A72" s="279" t="s">
        <v>289</v>
      </c>
      <c r="B72" s="280"/>
      <c r="C72" s="25"/>
      <c r="D72" s="254">
        <v>350000</v>
      </c>
      <c r="E72" s="87" t="s">
        <v>390</v>
      </c>
      <c r="G72" s="99"/>
      <c r="H72" s="99"/>
    </row>
    <row r="73" spans="1:8" ht="15" thickBot="1" x14ac:dyDescent="0.35">
      <c r="A73" s="109" t="s">
        <v>180</v>
      </c>
      <c r="B73" s="46"/>
      <c r="C73" s="46"/>
      <c r="D73" s="46"/>
      <c r="E73" s="151">
        <f>SUM(D60:D72)</f>
        <v>11850576.77</v>
      </c>
    </row>
    <row r="74" spans="1:8" ht="15" thickBot="1" x14ac:dyDescent="0.35">
      <c r="A74" s="8" t="s">
        <v>181</v>
      </c>
      <c r="B74" s="116"/>
      <c r="C74" s="9"/>
      <c r="D74" s="257"/>
      <c r="E74" s="30"/>
    </row>
    <row r="75" spans="1:8" ht="35.1" customHeight="1" x14ac:dyDescent="0.3">
      <c r="A75" s="281" t="s">
        <v>393</v>
      </c>
      <c r="B75" s="282"/>
      <c r="C75" s="25"/>
      <c r="D75" s="152">
        <v>1500000</v>
      </c>
      <c r="E75" s="87" t="s">
        <v>392</v>
      </c>
    </row>
    <row r="76" spans="1:8" ht="68.25" customHeight="1" x14ac:dyDescent="0.3">
      <c r="A76" s="279" t="s">
        <v>371</v>
      </c>
      <c r="B76" s="280"/>
      <c r="C76" s="111"/>
      <c r="D76" s="152">
        <v>1200000</v>
      </c>
      <c r="E76" s="32" t="s">
        <v>372</v>
      </c>
    </row>
    <row r="77" spans="1:8" ht="85.5" customHeight="1" x14ac:dyDescent="0.3">
      <c r="A77" s="279" t="s">
        <v>377</v>
      </c>
      <c r="B77" s="280"/>
      <c r="C77" s="111"/>
      <c r="D77" s="152">
        <v>650000</v>
      </c>
      <c r="E77" s="32" t="s">
        <v>378</v>
      </c>
    </row>
    <row r="78" spans="1:8" ht="103.5" customHeight="1" x14ac:dyDescent="0.3">
      <c r="A78" s="279" t="s">
        <v>373</v>
      </c>
      <c r="B78" s="280"/>
      <c r="C78" s="111"/>
      <c r="D78" s="152">
        <v>480000</v>
      </c>
      <c r="E78" s="32" t="s">
        <v>372</v>
      </c>
    </row>
    <row r="79" spans="1:8" ht="103.5" customHeight="1" x14ac:dyDescent="0.3">
      <c r="A79" s="279" t="s">
        <v>337</v>
      </c>
      <c r="B79" s="280"/>
      <c r="C79" s="111"/>
      <c r="D79" s="152">
        <v>1150000</v>
      </c>
      <c r="E79" s="32" t="s">
        <v>335</v>
      </c>
    </row>
    <row r="80" spans="1:8" ht="63.75" customHeight="1" x14ac:dyDescent="0.3">
      <c r="A80" s="279" t="s">
        <v>402</v>
      </c>
      <c r="B80" s="280"/>
      <c r="C80" s="111"/>
      <c r="D80" s="152">
        <v>710000</v>
      </c>
      <c r="E80" s="32" t="s">
        <v>396</v>
      </c>
    </row>
    <row r="81" spans="1:5" ht="64.5" customHeight="1" x14ac:dyDescent="0.3">
      <c r="A81" s="279" t="s">
        <v>401</v>
      </c>
      <c r="B81" s="280"/>
      <c r="C81" s="111"/>
      <c r="D81" s="152">
        <v>750000</v>
      </c>
      <c r="E81" s="32" t="s">
        <v>396</v>
      </c>
    </row>
    <row r="82" spans="1:5" ht="54" customHeight="1" x14ac:dyDescent="0.3">
      <c r="A82" s="279" t="s">
        <v>336</v>
      </c>
      <c r="B82" s="280"/>
      <c r="C82" s="111"/>
      <c r="D82" s="152">
        <v>120000</v>
      </c>
      <c r="E82" s="161" t="s">
        <v>335</v>
      </c>
    </row>
    <row r="83" spans="1:5" ht="36.75" customHeight="1" x14ac:dyDescent="0.3">
      <c r="A83" s="279" t="s">
        <v>399</v>
      </c>
      <c r="B83" s="280"/>
      <c r="C83" s="111"/>
      <c r="D83" s="152">
        <v>25901</v>
      </c>
      <c r="E83" s="98" t="s">
        <v>400</v>
      </c>
    </row>
    <row r="84" spans="1:5" ht="35.1" customHeight="1" x14ac:dyDescent="0.3">
      <c r="A84" s="279" t="s">
        <v>342</v>
      </c>
      <c r="B84" s="280"/>
      <c r="C84" s="111"/>
      <c r="D84" s="152">
        <v>138700</v>
      </c>
      <c r="E84" s="161" t="s">
        <v>338</v>
      </c>
    </row>
    <row r="85" spans="1:5" ht="35.1" customHeight="1" x14ac:dyDescent="0.3">
      <c r="A85" s="279" t="s">
        <v>365</v>
      </c>
      <c r="B85" s="280"/>
      <c r="C85" s="111"/>
      <c r="D85" s="152">
        <v>115600</v>
      </c>
      <c r="E85" s="161" t="s">
        <v>364</v>
      </c>
    </row>
    <row r="86" spans="1:5" ht="45" customHeight="1" x14ac:dyDescent="0.3">
      <c r="A86" s="279" t="s">
        <v>343</v>
      </c>
      <c r="B86" s="280"/>
      <c r="C86" s="111"/>
      <c r="D86" s="152">
        <v>91130.75</v>
      </c>
      <c r="E86" s="161" t="s">
        <v>338</v>
      </c>
    </row>
    <row r="87" spans="1:5" ht="45" customHeight="1" x14ac:dyDescent="0.3">
      <c r="A87" s="279" t="s">
        <v>352</v>
      </c>
      <c r="B87" s="280"/>
      <c r="C87" s="111"/>
      <c r="D87" s="152">
        <v>49525</v>
      </c>
      <c r="E87" s="98" t="s">
        <v>388</v>
      </c>
    </row>
    <row r="88" spans="1:5" ht="45" customHeight="1" x14ac:dyDescent="0.3">
      <c r="A88" s="279" t="s">
        <v>387</v>
      </c>
      <c r="B88" s="280"/>
      <c r="C88" s="111"/>
      <c r="D88" s="152">
        <v>228475</v>
      </c>
      <c r="E88" s="98" t="s">
        <v>388</v>
      </c>
    </row>
    <row r="89" spans="1:5" ht="45" customHeight="1" x14ac:dyDescent="0.3">
      <c r="A89" s="281" t="s">
        <v>389</v>
      </c>
      <c r="B89" s="282"/>
      <c r="C89" s="111"/>
      <c r="D89" s="152">
        <v>371348</v>
      </c>
      <c r="E89" s="98" t="s">
        <v>390</v>
      </c>
    </row>
    <row r="90" spans="1:5" ht="34.950000000000003" customHeight="1" x14ac:dyDescent="0.3">
      <c r="A90" s="279" t="s">
        <v>355</v>
      </c>
      <c r="B90" s="280"/>
      <c r="C90" s="25"/>
      <c r="D90" s="152">
        <v>3000000</v>
      </c>
      <c r="E90" s="88" t="s">
        <v>345</v>
      </c>
    </row>
    <row r="91" spans="1:5" ht="34.950000000000003" customHeight="1" x14ac:dyDescent="0.3">
      <c r="A91" s="279" t="s">
        <v>374</v>
      </c>
      <c r="B91" s="280"/>
      <c r="C91" s="111"/>
      <c r="D91" s="152">
        <v>800000</v>
      </c>
      <c r="E91" s="88" t="s">
        <v>372</v>
      </c>
    </row>
    <row r="92" spans="1:5" ht="35.1" customHeight="1" x14ac:dyDescent="0.3">
      <c r="A92" s="279" t="s">
        <v>317</v>
      </c>
      <c r="B92" s="280"/>
      <c r="C92" s="111"/>
      <c r="D92" s="152">
        <v>344500</v>
      </c>
      <c r="E92" s="88" t="s">
        <v>338</v>
      </c>
    </row>
    <row r="93" spans="1:5" ht="15" thickBot="1" x14ac:dyDescent="0.35">
      <c r="A93" s="117" t="s">
        <v>182</v>
      </c>
      <c r="B93" s="117"/>
      <c r="C93" s="117"/>
      <c r="D93" s="258"/>
      <c r="E93" s="93">
        <f>SUM(D75:D92)</f>
        <v>11725179.75</v>
      </c>
    </row>
    <row r="94" spans="1:5" x14ac:dyDescent="0.3">
      <c r="A94" s="8" t="s">
        <v>12</v>
      </c>
      <c r="B94" s="8"/>
      <c r="C94" s="8"/>
      <c r="D94" s="259"/>
      <c r="E94" s="27"/>
    </row>
    <row r="95" spans="1:5" ht="35.1" customHeight="1" x14ac:dyDescent="0.3">
      <c r="A95" s="279" t="s">
        <v>391</v>
      </c>
      <c r="B95" s="280"/>
      <c r="C95" s="25"/>
      <c r="D95" s="260">
        <v>2800000</v>
      </c>
      <c r="E95" s="98" t="s">
        <v>390</v>
      </c>
    </row>
    <row r="96" spans="1:5" ht="54.75" customHeight="1" x14ac:dyDescent="0.3">
      <c r="A96" s="279" t="s">
        <v>361</v>
      </c>
      <c r="B96" s="280"/>
      <c r="C96" s="25"/>
      <c r="D96" s="260">
        <v>380000</v>
      </c>
      <c r="E96" s="98" t="s">
        <v>360</v>
      </c>
    </row>
    <row r="97" spans="1:7" ht="15" thickBot="1" x14ac:dyDescent="0.35">
      <c r="A97" s="109" t="s">
        <v>151</v>
      </c>
      <c r="B97" s="109"/>
      <c r="C97" s="109"/>
      <c r="D97" s="252"/>
      <c r="E97" s="94">
        <f>SUM(D95:D96)</f>
        <v>3180000</v>
      </c>
    </row>
    <row r="98" spans="1:7" ht="15" thickBot="1" x14ac:dyDescent="0.35">
      <c r="A98" s="8" t="s">
        <v>7</v>
      </c>
      <c r="B98" s="116"/>
      <c r="C98" s="9"/>
      <c r="D98" s="257"/>
      <c r="E98" s="30"/>
    </row>
    <row r="99" spans="1:7" x14ac:dyDescent="0.3">
      <c r="A99" s="25" t="s">
        <v>22</v>
      </c>
      <c r="B99" s="25"/>
      <c r="C99" s="25"/>
      <c r="D99" s="254">
        <f>1424509.47+315+66.15+720+151.2+1485+311.85+311.85+1485+311.85+1485+964</f>
        <v>1432116.37</v>
      </c>
      <c r="E99" s="32"/>
    </row>
    <row r="100" spans="1:7" x14ac:dyDescent="0.3">
      <c r="A100" s="25" t="s">
        <v>23</v>
      </c>
      <c r="B100" s="25"/>
      <c r="C100" s="25"/>
      <c r="D100" s="254">
        <v>57500</v>
      </c>
      <c r="E100" s="31"/>
    </row>
    <row r="101" spans="1:7" x14ac:dyDescent="0.3">
      <c r="A101" s="118" t="s">
        <v>152</v>
      </c>
      <c r="B101" s="118"/>
      <c r="C101" s="118"/>
      <c r="D101" s="261"/>
      <c r="E101" s="97">
        <f>SUM(D99:D100)</f>
        <v>1489616.37</v>
      </c>
    </row>
    <row r="102" spans="1:7" x14ac:dyDescent="0.3">
      <c r="A102" s="25"/>
      <c r="B102" s="25"/>
      <c r="C102" s="25"/>
      <c r="D102" s="25"/>
      <c r="E102" s="58"/>
    </row>
    <row r="103" spans="1:7" x14ac:dyDescent="0.3">
      <c r="A103" s="25"/>
      <c r="B103" s="25"/>
      <c r="C103" s="25"/>
      <c r="D103" s="25"/>
      <c r="E103" s="58"/>
      <c r="F103" s="14"/>
      <c r="G103" s="42"/>
    </row>
    <row r="104" spans="1:7" ht="15" thickBot="1" x14ac:dyDescent="0.35">
      <c r="A104" s="119" t="s">
        <v>8</v>
      </c>
      <c r="B104" s="120"/>
      <c r="C104" s="57"/>
      <c r="D104" s="57"/>
      <c r="E104" s="157">
        <f>(SUM(E42:E102))</f>
        <v>84638189.030000001</v>
      </c>
      <c r="F104" s="41"/>
    </row>
    <row r="105" spans="1:7" x14ac:dyDescent="0.3">
      <c r="A105" s="33"/>
      <c r="B105" s="33"/>
      <c r="C105" s="33"/>
      <c r="D105" s="33"/>
      <c r="E105" s="33"/>
    </row>
    <row r="106" spans="1:7" x14ac:dyDescent="0.3">
      <c r="A106" s="33"/>
      <c r="B106" s="33"/>
      <c r="C106" s="33"/>
      <c r="D106" s="33"/>
      <c r="E106" s="33"/>
    </row>
    <row r="107" spans="1:7" x14ac:dyDescent="0.3">
      <c r="A107" s="121" t="s">
        <v>9</v>
      </c>
      <c r="B107" s="45"/>
      <c r="C107" s="45"/>
      <c r="D107" s="45"/>
      <c r="E107" s="45"/>
    </row>
    <row r="108" spans="1:7" ht="31.5" customHeight="1" x14ac:dyDescent="0.3">
      <c r="A108" s="279" t="s">
        <v>370</v>
      </c>
      <c r="B108" s="280"/>
      <c r="C108" s="25"/>
      <c r="D108" s="254">
        <v>268734.69</v>
      </c>
      <c r="E108" s="25" t="s">
        <v>276</v>
      </c>
    </row>
    <row r="109" spans="1:7" ht="31.5" customHeight="1" x14ac:dyDescent="0.3">
      <c r="A109" s="279" t="s">
        <v>384</v>
      </c>
      <c r="B109" s="280"/>
      <c r="C109" s="25"/>
      <c r="D109" s="254">
        <v>201908.79</v>
      </c>
      <c r="E109" s="227" t="s">
        <v>364</v>
      </c>
    </row>
    <row r="110" spans="1:7" ht="31.5" customHeight="1" x14ac:dyDescent="0.3">
      <c r="A110" s="279" t="s">
        <v>385</v>
      </c>
      <c r="B110" s="280"/>
      <c r="C110" s="25"/>
      <c r="D110" s="254">
        <v>201908.79</v>
      </c>
      <c r="E110" s="227" t="s">
        <v>364</v>
      </c>
    </row>
    <row r="111" spans="1:7" ht="31.5" customHeight="1" x14ac:dyDescent="0.3">
      <c r="A111" s="279" t="s">
        <v>386</v>
      </c>
      <c r="B111" s="280"/>
      <c r="C111" s="25"/>
      <c r="D111" s="254">
        <v>201025.53</v>
      </c>
      <c r="E111" s="227" t="s">
        <v>364</v>
      </c>
    </row>
    <row r="112" spans="1:7" ht="30" customHeight="1" x14ac:dyDescent="0.3">
      <c r="A112" s="281" t="s">
        <v>394</v>
      </c>
      <c r="B112" s="282"/>
      <c r="C112" s="25"/>
      <c r="D112" s="254">
        <v>1114493.6200000001</v>
      </c>
      <c r="E112" s="88" t="s">
        <v>392</v>
      </c>
    </row>
    <row r="113" spans="1:7" ht="38.25" customHeight="1" x14ac:dyDescent="0.3">
      <c r="A113" s="281" t="s">
        <v>192</v>
      </c>
      <c r="B113" s="282"/>
      <c r="C113" s="25"/>
      <c r="D113" s="254">
        <v>5910.55</v>
      </c>
      <c r="E113" s="25" t="str">
        <f>E108</f>
        <v>Debito autom.</v>
      </c>
    </row>
    <row r="114" spans="1:7" ht="33.75" customHeight="1" x14ac:dyDescent="0.3">
      <c r="A114" s="281" t="s">
        <v>307</v>
      </c>
      <c r="B114" s="282"/>
      <c r="C114" s="25"/>
      <c r="D114" s="254"/>
      <c r="E114" s="25" t="s">
        <v>276</v>
      </c>
      <c r="G114" t="s">
        <v>405</v>
      </c>
    </row>
    <row r="115" spans="1:7" x14ac:dyDescent="0.3">
      <c r="A115" s="121" t="s">
        <v>4</v>
      </c>
      <c r="B115" s="45"/>
      <c r="C115" s="45"/>
      <c r="D115" s="45"/>
      <c r="E115" s="95">
        <f>SUM(D108:D114)</f>
        <v>1993981.9700000002</v>
      </c>
    </row>
    <row r="116" spans="1:7" ht="15" thickBot="1" x14ac:dyDescent="0.35">
      <c r="A116" s="33"/>
      <c r="B116" s="33"/>
      <c r="C116" s="33"/>
      <c r="D116" s="33"/>
      <c r="E116" s="33"/>
    </row>
    <row r="117" spans="1:7" x14ac:dyDescent="0.3">
      <c r="A117" s="122" t="s">
        <v>21</v>
      </c>
      <c r="B117" s="123"/>
      <c r="C117" s="124"/>
      <c r="D117" s="245"/>
      <c r="E117" s="53"/>
    </row>
    <row r="118" spans="1:7" ht="43.5" customHeight="1" x14ac:dyDescent="0.3">
      <c r="A118" s="279" t="s">
        <v>395</v>
      </c>
      <c r="B118" s="280"/>
      <c r="C118" s="115"/>
      <c r="D118" s="254">
        <v>16863793.07</v>
      </c>
      <c r="E118" s="31" t="s">
        <v>396</v>
      </c>
    </row>
    <row r="119" spans="1:7" ht="45" customHeight="1" x14ac:dyDescent="0.3">
      <c r="A119" s="281" t="s">
        <v>327</v>
      </c>
      <c r="B119" s="282"/>
      <c r="C119" s="25"/>
      <c r="D119" s="262">
        <v>5816279.9100000001</v>
      </c>
      <c r="E119" s="87" t="s">
        <v>335</v>
      </c>
    </row>
    <row r="120" spans="1:7" ht="43.5" customHeight="1" thickBot="1" x14ac:dyDescent="0.35">
      <c r="A120" s="281"/>
      <c r="B120" s="282"/>
      <c r="C120" s="25"/>
      <c r="D120" s="152"/>
      <c r="E120" s="87"/>
    </row>
    <row r="121" spans="1:7" ht="15" thickBot="1" x14ac:dyDescent="0.35">
      <c r="A121" s="125" t="s">
        <v>4</v>
      </c>
      <c r="B121" s="126"/>
      <c r="C121" s="126"/>
      <c r="D121" s="127"/>
      <c r="E121" s="96">
        <f>SUM(D118:D120)</f>
        <v>22680072.98</v>
      </c>
    </row>
    <row r="122" spans="1:7" ht="15" customHeight="1" x14ac:dyDescent="0.3">
      <c r="A122" s="33"/>
      <c r="B122" s="33"/>
      <c r="C122" s="33"/>
      <c r="D122" s="33"/>
      <c r="E122" s="33"/>
    </row>
    <row r="123" spans="1:7" ht="15" hidden="1" thickBot="1" x14ac:dyDescent="0.35">
      <c r="A123" s="33"/>
      <c r="B123" s="33"/>
      <c r="C123" s="33"/>
      <c r="D123" s="33"/>
      <c r="E123" s="33"/>
    </row>
    <row r="124" spans="1:7" ht="15" thickBot="1" x14ac:dyDescent="0.35">
      <c r="A124" s="33"/>
      <c r="B124" s="33"/>
      <c r="C124" s="33"/>
      <c r="D124" s="33"/>
      <c r="E124" s="33"/>
    </row>
    <row r="125" spans="1:7" ht="15" thickBot="1" x14ac:dyDescent="0.35">
      <c r="A125" s="125" t="s">
        <v>13</v>
      </c>
      <c r="B125" s="128"/>
      <c r="C125" s="129"/>
      <c r="D125" s="129"/>
      <c r="E125" s="130">
        <f>E121</f>
        <v>22680072.98</v>
      </c>
    </row>
    <row r="126" spans="1:7" ht="15" thickBot="1" x14ac:dyDescent="0.35">
      <c r="A126" s="33"/>
      <c r="B126" s="33"/>
      <c r="C126" s="33"/>
      <c r="D126" s="33"/>
      <c r="E126" s="33"/>
    </row>
    <row r="127" spans="1:7" x14ac:dyDescent="0.3">
      <c r="A127" s="131" t="s">
        <v>190</v>
      </c>
      <c r="B127" s="132"/>
      <c r="C127" s="133"/>
      <c r="D127" s="59"/>
      <c r="E127" s="60"/>
    </row>
    <row r="128" spans="1:7" ht="30" customHeight="1" x14ac:dyDescent="0.3">
      <c r="A128" s="306" t="s">
        <v>428</v>
      </c>
      <c r="B128" s="306"/>
      <c r="C128" s="25"/>
      <c r="D128" s="254">
        <f>1647200-920000</f>
        <v>727200</v>
      </c>
      <c r="E128" s="29" t="str">
        <f>E40</f>
        <v>Transf 09/01</v>
      </c>
    </row>
    <row r="129" spans="1:7" ht="30" customHeight="1" x14ac:dyDescent="0.3">
      <c r="A129" s="279" t="s">
        <v>347</v>
      </c>
      <c r="B129" s="280"/>
      <c r="C129" s="111"/>
      <c r="D129" s="254">
        <v>52097.08</v>
      </c>
      <c r="E129" s="29" t="str">
        <f>E56</f>
        <v>Transf 02/01</v>
      </c>
      <c r="G129" s="37"/>
    </row>
    <row r="130" spans="1:7" ht="30" customHeight="1" x14ac:dyDescent="0.3">
      <c r="A130" s="279" t="s">
        <v>348</v>
      </c>
      <c r="B130" s="283"/>
      <c r="C130" s="280"/>
      <c r="D130" s="254">
        <v>91169.89</v>
      </c>
      <c r="E130" s="29" t="str">
        <f t="shared" ref="E130:E131" si="0">E129</f>
        <v>Transf 02/01</v>
      </c>
      <c r="G130" s="37"/>
    </row>
    <row r="131" spans="1:7" ht="30" customHeight="1" x14ac:dyDescent="0.3">
      <c r="A131" s="279" t="s">
        <v>349</v>
      </c>
      <c r="B131" s="283"/>
      <c r="C131" s="280"/>
      <c r="D131" s="254">
        <v>45584.94</v>
      </c>
      <c r="E131" s="29" t="str">
        <f t="shared" si="0"/>
        <v>Transf 02/01</v>
      </c>
      <c r="G131" s="37"/>
    </row>
    <row r="132" spans="1:7" ht="30" customHeight="1" x14ac:dyDescent="0.3">
      <c r="A132" s="279" t="s">
        <v>350</v>
      </c>
      <c r="B132" s="280"/>
      <c r="C132" s="150"/>
      <c r="D132" s="254">
        <v>52097.08</v>
      </c>
      <c r="E132" s="29" t="str">
        <f>E131</f>
        <v>Transf 02/01</v>
      </c>
      <c r="G132" s="37"/>
    </row>
    <row r="133" spans="1:7" ht="30" customHeight="1" x14ac:dyDescent="0.3">
      <c r="A133" s="279" t="s">
        <v>351</v>
      </c>
      <c r="B133" s="280"/>
      <c r="C133" s="111"/>
      <c r="D133" s="254">
        <v>91169.89</v>
      </c>
      <c r="E133" s="29" t="str">
        <f>E131</f>
        <v>Transf 02/01</v>
      </c>
    </row>
    <row r="134" spans="1:7" x14ac:dyDescent="0.3">
      <c r="A134" s="263" t="s">
        <v>4</v>
      </c>
      <c r="B134" s="264"/>
      <c r="C134" s="264"/>
      <c r="D134" s="148"/>
      <c r="E134" s="265">
        <f>SUM(D128:D133)</f>
        <v>1059318.8799999999</v>
      </c>
    </row>
    <row r="135" spans="1:7" x14ac:dyDescent="0.3">
      <c r="A135" s="33"/>
      <c r="B135" s="33"/>
      <c r="C135" s="33"/>
      <c r="D135" s="33"/>
      <c r="E135" s="33"/>
    </row>
    <row r="136" spans="1:7" x14ac:dyDescent="0.3">
      <c r="A136" s="33"/>
      <c r="B136" s="33"/>
      <c r="C136" s="33"/>
      <c r="D136" s="33"/>
      <c r="E136" s="33"/>
    </row>
    <row r="137" spans="1:7" ht="15" thickBot="1" x14ac:dyDescent="0.35">
      <c r="A137" s="33"/>
      <c r="B137" s="33"/>
      <c r="C137" s="33"/>
      <c r="D137" s="33"/>
      <c r="E137" s="33"/>
    </row>
    <row r="138" spans="1:7" ht="17.25" customHeight="1" thickBot="1" x14ac:dyDescent="0.35">
      <c r="A138" s="266" t="s">
        <v>191</v>
      </c>
      <c r="B138" s="267"/>
      <c r="C138" s="268"/>
      <c r="D138" s="268"/>
      <c r="E138" s="269">
        <f>E134</f>
        <v>1059318.8799999999</v>
      </c>
    </row>
    <row r="139" spans="1:7" x14ac:dyDescent="0.3">
      <c r="A139" s="33"/>
      <c r="B139" s="33"/>
      <c r="C139" s="33"/>
      <c r="D139" s="33"/>
      <c r="E139" s="33"/>
    </row>
    <row r="140" spans="1:7" ht="15" thickBot="1" x14ac:dyDescent="0.35">
      <c r="A140" s="33"/>
      <c r="B140" s="33"/>
      <c r="C140" s="33"/>
      <c r="D140" s="33"/>
      <c r="E140" s="33"/>
    </row>
    <row r="141" spans="1:7" ht="15" thickBot="1" x14ac:dyDescent="0.35">
      <c r="A141" s="270" t="s">
        <v>183</v>
      </c>
      <c r="B141" s="271">
        <f>E104</f>
        <v>84638189.030000001</v>
      </c>
      <c r="C141" s="33"/>
      <c r="D141" s="33"/>
      <c r="E141" s="33"/>
    </row>
    <row r="142" spans="1:7" ht="15" thickBot="1" x14ac:dyDescent="0.35">
      <c r="A142" s="270" t="s">
        <v>21</v>
      </c>
      <c r="B142" s="271">
        <f>E125</f>
        <v>22680072.98</v>
      </c>
      <c r="C142" s="33"/>
      <c r="D142" s="33"/>
      <c r="E142" s="33"/>
    </row>
    <row r="143" spans="1:7" ht="15" thickBot="1" x14ac:dyDescent="0.35">
      <c r="A143" s="272" t="s">
        <v>153</v>
      </c>
      <c r="B143" s="273">
        <f>E115</f>
        <v>1993981.9700000002</v>
      </c>
      <c r="C143" s="33"/>
      <c r="D143" s="33"/>
      <c r="E143" s="33"/>
    </row>
    <row r="144" spans="1:7" ht="34.5" customHeight="1" thickBot="1" x14ac:dyDescent="0.35">
      <c r="A144" s="274" t="s">
        <v>230</v>
      </c>
      <c r="B144" s="273">
        <f>B143+B141</f>
        <v>86632171</v>
      </c>
      <c r="C144" s="33"/>
      <c r="D144" s="349"/>
      <c r="E144" s="33"/>
    </row>
    <row r="145" spans="1:5" ht="34.5" customHeight="1" x14ac:dyDescent="0.3">
      <c r="A145" s="299" t="s">
        <v>425</v>
      </c>
      <c r="B145" s="300"/>
      <c r="C145" s="33"/>
      <c r="D145" s="33"/>
      <c r="E145" s="33"/>
    </row>
    <row r="146" spans="1:5" ht="34.5" customHeight="1" x14ac:dyDescent="0.3">
      <c r="A146" s="301"/>
      <c r="B146" s="302"/>
      <c r="C146" s="33"/>
      <c r="D146" s="33"/>
      <c r="E146" s="33"/>
    </row>
    <row r="147" spans="1:5" ht="54.75" customHeight="1" thickBot="1" x14ac:dyDescent="0.35">
      <c r="A147" s="303"/>
      <c r="B147" s="304"/>
      <c r="C147" s="33"/>
      <c r="D147" s="33"/>
      <c r="E147" s="33"/>
    </row>
    <row r="148" spans="1:5" x14ac:dyDescent="0.3">
      <c r="A148" s="143" t="s">
        <v>238</v>
      </c>
      <c r="B148" s="134"/>
      <c r="C148" s="5"/>
    </row>
    <row r="149" spans="1:5" s="168" customFormat="1" x14ac:dyDescent="0.3">
      <c r="A149" s="165" t="s">
        <v>233</v>
      </c>
      <c r="B149" s="166">
        <v>79731698.529999956</v>
      </c>
      <c r="C149" s="167"/>
      <c r="E149" s="169"/>
    </row>
    <row r="150" spans="1:5" s="168" customFormat="1" x14ac:dyDescent="0.3">
      <c r="A150" s="170" t="s">
        <v>234</v>
      </c>
      <c r="B150" s="171">
        <f>PRORRATEO!F160</f>
        <v>123294125.95999999</v>
      </c>
      <c r="C150" s="172"/>
    </row>
    <row r="151" spans="1:5" s="168" customFormat="1" ht="36.75" customHeight="1" x14ac:dyDescent="0.3">
      <c r="A151" s="7" t="s">
        <v>243</v>
      </c>
      <c r="B151" s="173">
        <f>B206</f>
        <v>2287817</v>
      </c>
      <c r="C151" s="172"/>
      <c r="D151" s="169"/>
    </row>
    <row r="152" spans="1:5" s="168" customFormat="1" ht="16.5" customHeight="1" x14ac:dyDescent="0.3">
      <c r="A152" s="146" t="s">
        <v>301</v>
      </c>
      <c r="B152" s="174">
        <f>-B179</f>
        <v>-907604.59409999987</v>
      </c>
      <c r="C152" s="172"/>
      <c r="D152" s="169"/>
    </row>
    <row r="153" spans="1:5" s="168" customFormat="1" ht="16.5" customHeight="1" x14ac:dyDescent="0.3">
      <c r="A153" s="146" t="s">
        <v>407</v>
      </c>
      <c r="B153" s="174">
        <v>-24135</v>
      </c>
      <c r="C153" s="172"/>
      <c r="D153" s="169"/>
    </row>
    <row r="154" spans="1:5" s="168" customFormat="1" ht="16.5" customHeight="1" x14ac:dyDescent="0.3">
      <c r="A154" s="146" t="s">
        <v>406</v>
      </c>
      <c r="B154" s="174">
        <v>-21467</v>
      </c>
      <c r="C154" s="172"/>
      <c r="D154" s="169"/>
    </row>
    <row r="155" spans="1:5" s="168" customFormat="1" ht="16.5" customHeight="1" x14ac:dyDescent="0.3">
      <c r="A155" s="146" t="s">
        <v>408</v>
      </c>
      <c r="B155" s="174">
        <v>-33658</v>
      </c>
      <c r="C155" s="172"/>
      <c r="D155" s="169"/>
    </row>
    <row r="156" spans="1:5" s="168" customFormat="1" ht="16.5" customHeight="1" x14ac:dyDescent="0.3">
      <c r="A156" s="146" t="s">
        <v>409</v>
      </c>
      <c r="B156" s="174">
        <v>-15250</v>
      </c>
      <c r="C156" s="172"/>
      <c r="D156" s="169"/>
    </row>
    <row r="157" spans="1:5" s="168" customFormat="1" ht="16.5" customHeight="1" x14ac:dyDescent="0.3">
      <c r="A157" s="146" t="s">
        <v>410</v>
      </c>
      <c r="B157" s="174">
        <v>-23912</v>
      </c>
      <c r="C157" s="172"/>
      <c r="D157" s="169"/>
    </row>
    <row r="158" spans="1:5" s="168" customFormat="1" ht="16.5" customHeight="1" x14ac:dyDescent="0.3">
      <c r="A158" s="146" t="s">
        <v>432</v>
      </c>
      <c r="B158" s="174">
        <f>-23690-6000</f>
        <v>-29690</v>
      </c>
      <c r="C158" s="172"/>
      <c r="D158" s="169"/>
    </row>
    <row r="159" spans="1:5" s="168" customFormat="1" ht="16.5" customHeight="1" x14ac:dyDescent="0.3">
      <c r="A159" s="146" t="s">
        <v>433</v>
      </c>
      <c r="B159" s="174">
        <v>-23690</v>
      </c>
      <c r="C159" s="172"/>
      <c r="D159" s="169"/>
    </row>
    <row r="160" spans="1:5" s="168" customFormat="1" ht="16.5" customHeight="1" x14ac:dyDescent="0.3">
      <c r="A160" s="146" t="s">
        <v>434</v>
      </c>
      <c r="B160" s="174">
        <v>-25913</v>
      </c>
      <c r="C160" s="172"/>
      <c r="D160" s="169"/>
    </row>
    <row r="161" spans="1:6" s="168" customFormat="1" ht="16.5" customHeight="1" x14ac:dyDescent="0.3">
      <c r="A161" s="146" t="s">
        <v>412</v>
      </c>
      <c r="B161" s="174">
        <v>-23764</v>
      </c>
      <c r="C161" s="172"/>
      <c r="D161" s="169"/>
    </row>
    <row r="162" spans="1:6" s="168" customFormat="1" ht="16.5" customHeight="1" x14ac:dyDescent="0.3">
      <c r="A162" s="146" t="s">
        <v>413</v>
      </c>
      <c r="B162" s="174">
        <v>-50012</v>
      </c>
      <c r="C162" s="172"/>
      <c r="D162" s="169"/>
    </row>
    <row r="163" spans="1:6" s="168" customFormat="1" ht="16.5" customHeight="1" x14ac:dyDescent="0.3">
      <c r="A163" s="146" t="s">
        <v>415</v>
      </c>
      <c r="B163" s="174">
        <v>-49014</v>
      </c>
      <c r="C163" s="172"/>
      <c r="D163" s="169"/>
    </row>
    <row r="164" spans="1:6" s="168" customFormat="1" ht="16.5" customHeight="1" x14ac:dyDescent="0.3">
      <c r="A164" s="146" t="s">
        <v>416</v>
      </c>
      <c r="B164" s="174">
        <v>-24836</v>
      </c>
      <c r="C164" s="172"/>
      <c r="D164" s="169"/>
    </row>
    <row r="165" spans="1:6" s="168" customFormat="1" ht="16.5" customHeight="1" x14ac:dyDescent="0.3">
      <c r="A165" s="146" t="s">
        <v>414</v>
      </c>
      <c r="B165" s="174">
        <v>-23690</v>
      </c>
      <c r="C165" s="172"/>
      <c r="D165" s="169"/>
    </row>
    <row r="166" spans="1:6" s="168" customFormat="1" ht="16.5" customHeight="1" x14ac:dyDescent="0.3">
      <c r="A166" s="146" t="s">
        <v>417</v>
      </c>
      <c r="B166" s="174">
        <v>-700000</v>
      </c>
      <c r="C166" s="172"/>
      <c r="D166" s="169"/>
    </row>
    <row r="167" spans="1:6" s="168" customFormat="1" ht="16.5" customHeight="1" x14ac:dyDescent="0.3">
      <c r="A167" s="146" t="s">
        <v>418</v>
      </c>
      <c r="B167" s="174">
        <v>-48817</v>
      </c>
      <c r="C167" s="172"/>
      <c r="D167" s="169"/>
    </row>
    <row r="168" spans="1:6" s="168" customFormat="1" ht="16.5" customHeight="1" x14ac:dyDescent="0.3">
      <c r="A168" s="146" t="s">
        <v>421</v>
      </c>
      <c r="B168" s="174">
        <v>-1590000</v>
      </c>
      <c r="C168" s="172"/>
      <c r="D168" s="169"/>
    </row>
    <row r="169" spans="1:6" s="168" customFormat="1" ht="16.5" customHeight="1" x14ac:dyDescent="0.3">
      <c r="A169" s="146" t="s">
        <v>422</v>
      </c>
      <c r="B169" s="174">
        <v>-48111</v>
      </c>
      <c r="C169" s="172"/>
      <c r="D169" s="169"/>
    </row>
    <row r="170" spans="1:6" s="168" customFormat="1" ht="16.5" customHeight="1" x14ac:dyDescent="0.3">
      <c r="A170" s="146" t="s">
        <v>426</v>
      </c>
      <c r="B170" s="174">
        <f>-278523-58013</f>
        <v>-336536</v>
      </c>
      <c r="C170" s="172"/>
      <c r="D170" s="169"/>
    </row>
    <row r="171" spans="1:6" s="168" customFormat="1" ht="18" customHeight="1" x14ac:dyDescent="0.3">
      <c r="A171" s="35" t="s">
        <v>189</v>
      </c>
      <c r="B171" s="174">
        <f>-E138</f>
        <v>-1059318.8799999999</v>
      </c>
      <c r="C171" s="172"/>
      <c r="F171" s="175"/>
    </row>
    <row r="172" spans="1:6" s="168" customFormat="1" ht="18" customHeight="1" x14ac:dyDescent="0.3">
      <c r="A172" s="7" t="s">
        <v>154</v>
      </c>
      <c r="B172" s="174">
        <f>-E115</f>
        <v>-1993981.9700000002</v>
      </c>
      <c r="C172" s="172"/>
      <c r="D172" s="175"/>
    </row>
    <row r="173" spans="1:6" s="168" customFormat="1" ht="18" customHeight="1" x14ac:dyDescent="0.3">
      <c r="A173" s="7" t="s">
        <v>14</v>
      </c>
      <c r="B173" s="174">
        <f>-E104</f>
        <v>-84638189.030000001</v>
      </c>
      <c r="C173" s="172"/>
      <c r="D173" s="176"/>
      <c r="E173" s="176"/>
    </row>
    <row r="174" spans="1:6" s="168" customFormat="1" ht="18" customHeight="1" x14ac:dyDescent="0.3">
      <c r="A174" s="7" t="s">
        <v>262</v>
      </c>
      <c r="B174" s="174">
        <f>-E125</f>
        <v>-22680072.98</v>
      </c>
      <c r="C174" s="172"/>
      <c r="E174" s="176"/>
    </row>
    <row r="175" spans="1:6" x14ac:dyDescent="0.3">
      <c r="A175" s="144" t="s">
        <v>4</v>
      </c>
      <c r="B175" s="40">
        <f>SUM(B149:B174)</f>
        <v>90941979.035899952</v>
      </c>
      <c r="C175" s="6"/>
      <c r="D175" s="14"/>
      <c r="E175" s="41"/>
      <c r="F175" s="41"/>
    </row>
    <row r="176" spans="1:6" ht="15" thickBot="1" x14ac:dyDescent="0.35">
      <c r="A176" s="145"/>
      <c r="B176" s="12"/>
      <c r="C176" s="6"/>
      <c r="D176" s="14"/>
      <c r="E176" s="38"/>
      <c r="F176" s="84"/>
    </row>
    <row r="177" spans="1:6" x14ac:dyDescent="0.3">
      <c r="A177" s="307" t="s">
        <v>299</v>
      </c>
      <c r="B177" s="308"/>
      <c r="C177" s="6"/>
      <c r="D177" s="14"/>
      <c r="E177" s="38"/>
      <c r="F177" s="84"/>
    </row>
    <row r="178" spans="1:6" x14ac:dyDescent="0.3">
      <c r="A178" s="139" t="s">
        <v>300</v>
      </c>
      <c r="B178" s="140">
        <v>1299400</v>
      </c>
      <c r="C178" s="6"/>
      <c r="D178" s="14"/>
      <c r="E178" s="38"/>
      <c r="F178" s="84"/>
    </row>
    <row r="179" spans="1:6" x14ac:dyDescent="0.3">
      <c r="A179" s="139" t="s">
        <v>301</v>
      </c>
      <c r="B179" s="235">
        <v>907604.59409999987</v>
      </c>
      <c r="C179" s="6"/>
      <c r="D179" s="14"/>
      <c r="E179" s="38"/>
      <c r="F179" s="84"/>
    </row>
    <row r="180" spans="1:6" ht="15" thickBot="1" x14ac:dyDescent="0.35">
      <c r="A180" s="139"/>
      <c r="B180" s="140"/>
      <c r="C180" s="6"/>
      <c r="D180" s="14"/>
      <c r="E180" s="38"/>
      <c r="F180" s="84"/>
    </row>
    <row r="181" spans="1:6" ht="15" thickBot="1" x14ac:dyDescent="0.35">
      <c r="A181" s="141" t="s">
        <v>4</v>
      </c>
      <c r="B181" s="142">
        <f>SUM(B178:B180)</f>
        <v>2207004.5940999999</v>
      </c>
      <c r="C181" s="6"/>
      <c r="D181" s="14"/>
      <c r="E181" s="38"/>
      <c r="F181" s="84"/>
    </row>
    <row r="182" spans="1:6" ht="15" thickBot="1" x14ac:dyDescent="0.35">
      <c r="A182" s="137"/>
      <c r="B182" s="138"/>
      <c r="C182" s="6"/>
      <c r="D182" s="14"/>
      <c r="E182" s="38"/>
      <c r="F182" s="84"/>
    </row>
    <row r="183" spans="1:6" ht="33" customHeight="1" thickBot="1" x14ac:dyDescent="0.35">
      <c r="A183" s="156" t="s">
        <v>314</v>
      </c>
      <c r="B183" s="155">
        <f>B181+B175</f>
        <v>93148983.629999951</v>
      </c>
      <c r="C183" s="6"/>
      <c r="D183" s="14"/>
      <c r="E183" s="38"/>
      <c r="F183" s="84"/>
    </row>
    <row r="184" spans="1:6" x14ac:dyDescent="0.3">
      <c r="B184" s="12"/>
      <c r="C184" s="6"/>
      <c r="D184" s="14"/>
      <c r="E184" s="38"/>
      <c r="F184" s="84"/>
    </row>
    <row r="185" spans="1:6" x14ac:dyDescent="0.3">
      <c r="A185" s="78" t="s">
        <v>237</v>
      </c>
      <c r="B185" s="79"/>
      <c r="C185" s="6"/>
      <c r="D185" s="14"/>
      <c r="E185" s="38"/>
      <c r="F185" s="39"/>
    </row>
    <row r="186" spans="1:6" ht="22.5" customHeight="1" x14ac:dyDescent="0.3">
      <c r="A186" s="101" t="s">
        <v>300</v>
      </c>
      <c r="B186" s="147">
        <v>658626</v>
      </c>
      <c r="C186" s="6"/>
      <c r="D186" s="14"/>
      <c r="E186" s="38"/>
      <c r="F186" s="39"/>
    </row>
    <row r="187" spans="1:6" ht="31.5" customHeight="1" x14ac:dyDescent="0.3">
      <c r="A187" s="101" t="s">
        <v>379</v>
      </c>
      <c r="B187" s="193">
        <v>-57120</v>
      </c>
      <c r="C187" s="6"/>
      <c r="D187" s="14"/>
      <c r="E187" s="38"/>
      <c r="F187" s="39"/>
    </row>
    <row r="188" spans="1:6" ht="31.5" customHeight="1" x14ac:dyDescent="0.3">
      <c r="A188" s="101" t="s">
        <v>403</v>
      </c>
      <c r="B188" s="193">
        <v>-2000</v>
      </c>
      <c r="C188" s="6"/>
      <c r="D188" s="14"/>
      <c r="E188" s="38"/>
      <c r="F188" s="39"/>
    </row>
    <row r="189" spans="1:6" ht="31.5" customHeight="1" x14ac:dyDescent="0.3">
      <c r="A189" s="101" t="s">
        <v>403</v>
      </c>
      <c r="B189" s="193">
        <v>-6480</v>
      </c>
      <c r="C189" s="6"/>
      <c r="D189" s="14"/>
      <c r="E189" s="38"/>
      <c r="F189" s="39"/>
    </row>
    <row r="190" spans="1:6" ht="51.75" customHeight="1" x14ac:dyDescent="0.3">
      <c r="A190" s="101" t="s">
        <v>375</v>
      </c>
      <c r="B190" s="193">
        <v>-75000</v>
      </c>
      <c r="C190" s="6"/>
      <c r="D190" s="14"/>
      <c r="E190" s="38"/>
      <c r="F190" s="39"/>
    </row>
    <row r="191" spans="1:6" ht="22.5" customHeight="1" x14ac:dyDescent="0.3">
      <c r="A191" s="101" t="s">
        <v>322</v>
      </c>
      <c r="B191" s="147"/>
      <c r="C191" s="6"/>
      <c r="D191" s="14"/>
      <c r="E191" s="38"/>
      <c r="F191" s="39"/>
    </row>
    <row r="192" spans="1:6" x14ac:dyDescent="0.3">
      <c r="A192" s="78" t="s">
        <v>4</v>
      </c>
      <c r="B192" s="79">
        <f>SUM(B185:B191)</f>
        <v>518026</v>
      </c>
      <c r="C192" s="6"/>
      <c r="D192" s="14"/>
      <c r="E192" s="38"/>
      <c r="F192" s="39"/>
    </row>
    <row r="193" spans="1:15" ht="15" thickBot="1" x14ac:dyDescent="0.35">
      <c r="B193" s="12"/>
      <c r="C193" s="6"/>
      <c r="D193" s="14"/>
      <c r="E193" s="38"/>
      <c r="F193" s="39"/>
    </row>
    <row r="194" spans="1:15" x14ac:dyDescent="0.3">
      <c r="A194" s="135" t="s">
        <v>231</v>
      </c>
      <c r="B194" s="74"/>
      <c r="C194" s="6"/>
      <c r="D194" s="83"/>
      <c r="E194" s="153"/>
      <c r="F194" s="154"/>
      <c r="G194" s="37"/>
      <c r="H194" s="37"/>
      <c r="I194" s="37"/>
      <c r="J194" s="37"/>
      <c r="K194" s="37"/>
      <c r="L194" s="37"/>
      <c r="M194" s="37"/>
      <c r="N194" s="37"/>
      <c r="O194" s="37"/>
    </row>
    <row r="195" spans="1:15" x14ac:dyDescent="0.3">
      <c r="A195" s="76" t="s">
        <v>236</v>
      </c>
      <c r="B195" s="77">
        <v>30000000</v>
      </c>
      <c r="C195" s="6"/>
      <c r="D195" s="83"/>
      <c r="E195" s="153"/>
      <c r="F195" s="154"/>
      <c r="G195" s="37"/>
      <c r="H195" s="37"/>
      <c r="I195" s="37"/>
      <c r="J195" s="37"/>
      <c r="K195" s="37"/>
      <c r="L195" s="37"/>
      <c r="M195" s="37"/>
      <c r="N195" s="37"/>
      <c r="O195" s="37"/>
    </row>
    <row r="196" spans="1:15" x14ac:dyDescent="0.3">
      <c r="A196" s="1"/>
      <c r="B196" s="10"/>
      <c r="C196" s="6"/>
      <c r="D196" s="83"/>
      <c r="E196" s="153"/>
      <c r="F196" s="154"/>
      <c r="G196" s="37"/>
      <c r="H196" s="37"/>
      <c r="I196" s="37"/>
      <c r="J196" s="37"/>
      <c r="K196" s="37"/>
      <c r="L196" s="37"/>
      <c r="M196" s="37"/>
      <c r="N196" s="37"/>
      <c r="O196" s="37"/>
    </row>
    <row r="197" spans="1:15" x14ac:dyDescent="0.3">
      <c r="A197" s="1"/>
      <c r="B197" s="10"/>
      <c r="C197" s="6"/>
      <c r="D197" s="83"/>
      <c r="E197" s="153"/>
      <c r="F197" s="154"/>
      <c r="G197" s="37"/>
      <c r="H197" s="37"/>
      <c r="I197" s="37"/>
      <c r="J197" s="37"/>
      <c r="K197" s="37"/>
      <c r="L197" s="37"/>
      <c r="M197" s="37"/>
      <c r="N197" s="37"/>
      <c r="O197" s="37"/>
    </row>
    <row r="198" spans="1:15" ht="15" thickBot="1" x14ac:dyDescent="0.35">
      <c r="A198" s="136" t="s">
        <v>431</v>
      </c>
      <c r="B198" s="244">
        <v>38401012.82</v>
      </c>
      <c r="C198" s="6"/>
      <c r="D198" s="83"/>
      <c r="E198" s="153"/>
      <c r="F198" s="154"/>
      <c r="G198" s="37"/>
      <c r="H198" s="37"/>
      <c r="I198" s="37"/>
      <c r="J198" s="37"/>
      <c r="K198" s="37"/>
      <c r="L198" s="37"/>
      <c r="M198" s="37"/>
      <c r="N198" s="37"/>
      <c r="O198" s="37"/>
    </row>
    <row r="199" spans="1:15" x14ac:dyDescent="0.3">
      <c r="B199" s="12"/>
      <c r="C199" s="6"/>
      <c r="D199" s="83"/>
      <c r="E199" s="153"/>
      <c r="F199" s="154"/>
      <c r="G199" s="37"/>
      <c r="H199" s="37"/>
      <c r="I199" s="37"/>
      <c r="J199" s="37"/>
      <c r="K199" s="37"/>
      <c r="L199" s="37"/>
      <c r="M199" s="37"/>
      <c r="N199" s="37"/>
      <c r="O199" s="37"/>
    </row>
    <row r="200" spans="1:15" x14ac:dyDescent="0.3">
      <c r="B200" s="12"/>
      <c r="C200" s="6"/>
      <c r="D200" s="14"/>
      <c r="E200" s="38"/>
      <c r="F200" s="39"/>
    </row>
    <row r="201" spans="1:15" x14ac:dyDescent="0.3">
      <c r="B201" s="12"/>
      <c r="C201" s="6"/>
      <c r="D201" s="14"/>
      <c r="E201" s="38"/>
      <c r="F201" s="39"/>
    </row>
    <row r="202" spans="1:15" x14ac:dyDescent="0.3">
      <c r="A202" s="305" t="s">
        <v>17</v>
      </c>
      <c r="B202" s="305"/>
      <c r="C202" s="305"/>
    </row>
    <row r="203" spans="1:15" x14ac:dyDescent="0.3">
      <c r="A203" s="305"/>
      <c r="B203" s="305"/>
      <c r="C203" s="305"/>
    </row>
    <row r="204" spans="1:15" ht="33.75" customHeight="1" x14ac:dyDescent="0.3">
      <c r="A204" s="72" t="s">
        <v>423</v>
      </c>
      <c r="B204" s="44">
        <v>1520000</v>
      </c>
      <c r="C204" s="71"/>
    </row>
    <row r="205" spans="1:15" ht="33.75" customHeight="1" x14ac:dyDescent="0.3">
      <c r="A205" s="72" t="s">
        <v>424</v>
      </c>
      <c r="B205" s="44">
        <v>767817</v>
      </c>
      <c r="C205" s="71"/>
    </row>
    <row r="206" spans="1:15" x14ac:dyDescent="0.3">
      <c r="A206" s="15" t="s">
        <v>4</v>
      </c>
      <c r="B206" s="34">
        <f>SUM(B204:B205)</f>
        <v>2287817</v>
      </c>
      <c r="C206" s="16"/>
    </row>
    <row r="207" spans="1:15" x14ac:dyDescent="0.3">
      <c r="M207" s="3"/>
    </row>
  </sheetData>
  <mergeCells count="70">
    <mergeCell ref="A114:B114"/>
    <mergeCell ref="A112:B112"/>
    <mergeCell ref="A108:B108"/>
    <mergeCell ref="A96:B96"/>
    <mergeCell ref="A109:B109"/>
    <mergeCell ref="A110:B110"/>
    <mergeCell ref="A111:B111"/>
    <mergeCell ref="A82:B82"/>
    <mergeCell ref="A84:B84"/>
    <mergeCell ref="A83:B83"/>
    <mergeCell ref="A76:B76"/>
    <mergeCell ref="A81:B81"/>
    <mergeCell ref="A91:B91"/>
    <mergeCell ref="A86:B86"/>
    <mergeCell ref="A89:B89"/>
    <mergeCell ref="A87:B87"/>
    <mergeCell ref="A88:B88"/>
    <mergeCell ref="A145:B147"/>
    <mergeCell ref="A92:B92"/>
    <mergeCell ref="A90:B90"/>
    <mergeCell ref="A202:C203"/>
    <mergeCell ref="A128:B128"/>
    <mergeCell ref="A120:B120"/>
    <mergeCell ref="A119:B119"/>
    <mergeCell ref="A133:B133"/>
    <mergeCell ref="A177:B177"/>
    <mergeCell ref="A129:B129"/>
    <mergeCell ref="A130:C130"/>
    <mergeCell ref="A131:C131"/>
    <mergeCell ref="A132:B132"/>
    <mergeCell ref="A95:B95"/>
    <mergeCell ref="A118:B118"/>
    <mergeCell ref="A113:B113"/>
    <mergeCell ref="B3:E3"/>
    <mergeCell ref="B1:E1"/>
    <mergeCell ref="B2:E2"/>
    <mergeCell ref="B8:E8"/>
    <mergeCell ref="A1:A8"/>
    <mergeCell ref="A10:E12"/>
    <mergeCell ref="A71:B71"/>
    <mergeCell ref="A26:E29"/>
    <mergeCell ref="A65:B65"/>
    <mergeCell ref="A56:B56"/>
    <mergeCell ref="A64:B64"/>
    <mergeCell ref="A63:B63"/>
    <mergeCell ref="A35:B35"/>
    <mergeCell ref="A40:B40"/>
    <mergeCell ref="A60:B60"/>
    <mergeCell ref="A61:B61"/>
    <mergeCell ref="A50:B50"/>
    <mergeCell ref="A53:B53"/>
    <mergeCell ref="A14:E24"/>
    <mergeCell ref="A57:B57"/>
    <mergeCell ref="A52:B52"/>
    <mergeCell ref="A37:B37"/>
    <mergeCell ref="A38:B38"/>
    <mergeCell ref="A85:B85"/>
    <mergeCell ref="A78:B78"/>
    <mergeCell ref="A77:B77"/>
    <mergeCell ref="A68:B68"/>
    <mergeCell ref="A69:B69"/>
    <mergeCell ref="A67:B67"/>
    <mergeCell ref="A79:B79"/>
    <mergeCell ref="A80:B80"/>
    <mergeCell ref="A51:B51"/>
    <mergeCell ref="A75:B75"/>
    <mergeCell ref="A70:B70"/>
    <mergeCell ref="A72:B72"/>
    <mergeCell ref="A62:B62"/>
    <mergeCell ref="A66:B66"/>
  </mergeCells>
  <pageMargins left="0.25" right="0.25" top="0.75" bottom="0.75" header="0.3" footer="0.3"/>
  <pageSetup paperSize="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6"/>
  <sheetViews>
    <sheetView tabSelected="1" topLeftCell="B4" zoomScale="80" zoomScaleNormal="80" workbookViewId="0">
      <selection activeCell="O96" sqref="O96"/>
    </sheetView>
  </sheetViews>
  <sheetFormatPr baseColWidth="10" defaultColWidth="10.88671875" defaultRowHeight="14.4" x14ac:dyDescent="0.3"/>
  <cols>
    <col min="1" max="1" width="4.33203125" hidden="1" customWidth="1"/>
    <col min="2" max="2" width="4.33203125" customWidth="1"/>
    <col min="3" max="3" width="25.6640625" customWidth="1"/>
    <col min="4" max="4" width="8.109375" customWidth="1"/>
    <col min="5" max="5" width="14.109375" customWidth="1"/>
    <col min="6" max="6" width="12.44140625" customWidth="1"/>
    <col min="7" max="7" width="11.6640625" customWidth="1"/>
    <col min="8" max="8" width="9.5546875" customWidth="1"/>
    <col min="9" max="9" width="13.33203125" customWidth="1"/>
    <col min="10" max="10" width="6" hidden="1" customWidth="1"/>
    <col min="11" max="11" width="14.5546875" customWidth="1"/>
    <col min="12" max="12" width="14.44140625" customWidth="1"/>
    <col min="13" max="13" width="19.5546875" customWidth="1"/>
    <col min="14" max="15" width="12.6640625" customWidth="1"/>
    <col min="16" max="16" width="14.6640625" customWidth="1"/>
    <col min="17" max="17" width="10" customWidth="1"/>
    <col min="18" max="18" width="23.33203125" customWidth="1"/>
    <col min="19" max="19" width="8" hidden="1" customWidth="1"/>
    <col min="20" max="20" width="10.33203125" customWidth="1"/>
    <col min="21" max="21" width="13" bestFit="1" customWidth="1"/>
    <col min="24" max="24" width="16" bestFit="1" customWidth="1"/>
    <col min="25" max="25" width="11.88671875" bestFit="1" customWidth="1"/>
  </cols>
  <sheetData>
    <row r="1" spans="1:24" ht="141.75" customHeight="1" x14ac:dyDescent="0.3">
      <c r="A1" s="2"/>
      <c r="B1" s="2"/>
      <c r="C1" s="326" t="s">
        <v>429</v>
      </c>
      <c r="D1" s="327"/>
      <c r="E1" s="327"/>
      <c r="F1" s="327"/>
      <c r="G1" s="327"/>
      <c r="H1" s="327"/>
      <c r="I1" s="327"/>
      <c r="J1" s="327"/>
      <c r="K1" s="327"/>
      <c r="L1" s="327"/>
      <c r="M1" s="159"/>
      <c r="N1" s="328" t="s">
        <v>323</v>
      </c>
      <c r="O1" s="328"/>
      <c r="P1" s="323">
        <v>30000000</v>
      </c>
      <c r="Q1" s="323"/>
      <c r="R1" s="198"/>
      <c r="S1" s="4"/>
      <c r="T1" s="2"/>
      <c r="V1" t="s">
        <v>239</v>
      </c>
      <c r="W1">
        <v>80675963.920000002</v>
      </c>
    </row>
    <row r="2" spans="1:24" ht="30" customHeight="1" thickBot="1" x14ac:dyDescent="0.35">
      <c r="A2" s="2"/>
      <c r="B2" s="2"/>
      <c r="C2" s="325" t="s">
        <v>229</v>
      </c>
      <c r="D2" s="325"/>
      <c r="E2" s="325"/>
      <c r="F2" s="159"/>
      <c r="G2" s="322">
        <f>X2</f>
        <v>27518571.293111999</v>
      </c>
      <c r="H2" s="322"/>
      <c r="I2" s="159" t="s">
        <v>280</v>
      </c>
      <c r="J2" s="159"/>
      <c r="K2" s="322">
        <f>W1</f>
        <v>80675963.920000002</v>
      </c>
      <c r="L2" s="322"/>
      <c r="M2" s="158"/>
      <c r="N2" s="160" t="s">
        <v>265</v>
      </c>
      <c r="O2" s="158"/>
      <c r="P2" s="324">
        <v>0</v>
      </c>
      <c r="Q2" s="324"/>
      <c r="R2" s="199"/>
      <c r="T2" s="2"/>
      <c r="U2" t="s">
        <v>232</v>
      </c>
      <c r="X2" s="41">
        <f>((K2+P2)*D144)+((K2+P2)*D145)</f>
        <v>27518571.293111999</v>
      </c>
    </row>
    <row r="3" spans="1:24" ht="43.5" customHeight="1" x14ac:dyDescent="0.3">
      <c r="A3" s="313" t="s">
        <v>0</v>
      </c>
      <c r="B3" s="315" t="s">
        <v>1</v>
      </c>
      <c r="C3" s="315" t="s">
        <v>2</v>
      </c>
      <c r="D3" s="315" t="s">
        <v>6</v>
      </c>
      <c r="E3" s="309" t="s">
        <v>184</v>
      </c>
      <c r="F3" s="315" t="s">
        <v>3</v>
      </c>
      <c r="G3" s="317" t="s">
        <v>16</v>
      </c>
      <c r="H3" s="309" t="s">
        <v>235</v>
      </c>
      <c r="I3" s="309" t="s">
        <v>15</v>
      </c>
      <c r="J3" s="309"/>
      <c r="K3" s="309" t="s">
        <v>185</v>
      </c>
      <c r="L3" s="309" t="s">
        <v>148</v>
      </c>
      <c r="M3" s="309" t="s">
        <v>187</v>
      </c>
      <c r="N3" s="309" t="s">
        <v>186</v>
      </c>
      <c r="O3" s="309" t="s">
        <v>261</v>
      </c>
      <c r="P3" s="329" t="s">
        <v>437</v>
      </c>
      <c r="Q3" s="330"/>
      <c r="R3" s="329" t="s">
        <v>353</v>
      </c>
      <c r="S3" s="330"/>
      <c r="T3" s="309" t="s">
        <v>263</v>
      </c>
      <c r="U3" s="14"/>
    </row>
    <row r="4" spans="1:24" ht="25.5" customHeight="1" thickBot="1" x14ac:dyDescent="0.35">
      <c r="A4" s="314"/>
      <c r="B4" s="316"/>
      <c r="C4" s="316"/>
      <c r="D4" s="316"/>
      <c r="E4" s="310"/>
      <c r="F4" s="316"/>
      <c r="G4" s="318"/>
      <c r="H4" s="310"/>
      <c r="I4" s="310"/>
      <c r="J4" s="310"/>
      <c r="K4" s="310"/>
      <c r="L4" s="310"/>
      <c r="M4" s="310"/>
      <c r="N4" s="310"/>
      <c r="O4" s="310"/>
      <c r="P4" s="331" t="str">
        <f>RESUMEN!A10</f>
        <v>1ERVTO 18/02</v>
      </c>
      <c r="Q4" s="332"/>
      <c r="R4" s="331"/>
      <c r="S4" s="332"/>
      <c r="T4" s="310"/>
    </row>
    <row r="5" spans="1:24" ht="24.6" customHeight="1" x14ac:dyDescent="0.3">
      <c r="A5" s="218"/>
      <c r="B5" s="233">
        <v>1</v>
      </c>
      <c r="C5" s="233" t="s">
        <v>24</v>
      </c>
      <c r="D5" s="219">
        <v>4.5999999999999999E-3</v>
      </c>
      <c r="E5" s="228">
        <v>1550849.01</v>
      </c>
      <c r="F5" s="239">
        <f>767411.01+23690+783438</f>
        <v>1574539.01</v>
      </c>
      <c r="G5" s="220">
        <f t="shared" ref="G5:G68" si="0">E5-F5</f>
        <v>-23690</v>
      </c>
      <c r="H5" s="221">
        <f>IF(G5&gt;0,G5*3.087%,0)</f>
        <v>0</v>
      </c>
      <c r="I5" s="222">
        <f>K$2*D5</f>
        <v>371109.43403200002</v>
      </c>
      <c r="J5" s="222">
        <f t="shared" ref="J5:J36" si="1">P$2*D5</f>
        <v>0</v>
      </c>
      <c r="K5" s="222">
        <f>G$2*0.675675676%</f>
        <v>185936.29261027643</v>
      </c>
      <c r="L5" s="222">
        <f>P$1*0.675675676%</f>
        <v>202702.7028</v>
      </c>
      <c r="M5" s="223">
        <f>G$1*D5</f>
        <v>0</v>
      </c>
      <c r="N5" s="223">
        <v>0</v>
      </c>
      <c r="O5" s="223"/>
      <c r="P5" s="319">
        <f>ROUND(SUM(G5:O5),0) + S5</f>
        <v>736058.01</v>
      </c>
      <c r="Q5" s="319"/>
      <c r="R5" s="224">
        <f>ROUND(P5+P5*3.033%,0) + S5</f>
        <v>758383.01</v>
      </c>
      <c r="S5" s="14">
        <f t="shared" ref="S5:S36" si="2">ROUND(0.001+B5/100,2)</f>
        <v>0.01</v>
      </c>
      <c r="T5" s="225">
        <f>B5</f>
        <v>1</v>
      </c>
      <c r="U5" t="s">
        <v>218</v>
      </c>
    </row>
    <row r="6" spans="1:24" ht="24.6" customHeight="1" x14ac:dyDescent="0.3">
      <c r="A6" s="17"/>
      <c r="B6" s="17">
        <f>B5+1</f>
        <v>2</v>
      </c>
      <c r="C6" s="17" t="s">
        <v>25</v>
      </c>
      <c r="D6" s="81">
        <v>4.5999999999999999E-3</v>
      </c>
      <c r="E6" s="229">
        <v>759620.02</v>
      </c>
      <c r="F6" s="100">
        <v>760000</v>
      </c>
      <c r="G6" s="62">
        <f t="shared" si="0"/>
        <v>-379.97999999998137</v>
      </c>
      <c r="H6" s="22">
        <f>IF(G6&gt;0,G6*3.087%,0)</f>
        <v>0</v>
      </c>
      <c r="I6" s="23">
        <f t="shared" ref="I6:I37" si="3">K$2*D6</f>
        <v>371109.43403200002</v>
      </c>
      <c r="J6" s="23">
        <f t="shared" si="1"/>
        <v>0</v>
      </c>
      <c r="K6" s="23">
        <f t="shared" ref="K6:K69" si="4">G$2*0.675675676%</f>
        <v>185936.29261027643</v>
      </c>
      <c r="L6" s="23">
        <f t="shared" ref="L6:L69" si="5">P$1*0.675675676%</f>
        <v>202702.7028</v>
      </c>
      <c r="M6" s="75">
        <f t="shared" ref="M6:M12" si="6">G$1*D6</f>
        <v>0</v>
      </c>
      <c r="N6" s="75">
        <v>0</v>
      </c>
      <c r="O6" s="75"/>
      <c r="P6" s="320">
        <f t="shared" ref="P6:P36" si="7">ROUND(SUM(G6:O6),0) + S6</f>
        <v>759368.02</v>
      </c>
      <c r="Q6" s="320"/>
      <c r="R6" s="224">
        <f t="shared" ref="R6:R69" si="8">ROUND(P6+P6*3.033%,0) + S6</f>
        <v>782400.02</v>
      </c>
      <c r="S6" s="14">
        <f t="shared" si="2"/>
        <v>0.02</v>
      </c>
      <c r="T6" s="1">
        <f t="shared" ref="T6:T69" si="9">B6</f>
        <v>2</v>
      </c>
    </row>
    <row r="7" spans="1:24" ht="24.6" customHeight="1" x14ac:dyDescent="0.3">
      <c r="A7" s="17"/>
      <c r="B7" s="17">
        <f t="shared" ref="B7:B36" si="10">B6+1</f>
        <v>3</v>
      </c>
      <c r="C7" s="17" t="s">
        <v>26</v>
      </c>
      <c r="D7" s="81">
        <v>4.5999999999999999E-3</v>
      </c>
      <c r="E7" s="229">
        <v>759748.03</v>
      </c>
      <c r="F7" s="100">
        <f>E7</f>
        <v>759748.03</v>
      </c>
      <c r="G7" s="62">
        <f t="shared" si="0"/>
        <v>0</v>
      </c>
      <c r="H7" s="22">
        <f t="shared" ref="H7:H70" si="11">IF(G7&gt;0,G7*3.087%,0)</f>
        <v>0</v>
      </c>
      <c r="I7" s="23">
        <f t="shared" si="3"/>
        <v>371109.43403200002</v>
      </c>
      <c r="J7" s="23">
        <f t="shared" si="1"/>
        <v>0</v>
      </c>
      <c r="K7" s="23">
        <f t="shared" si="4"/>
        <v>185936.29261027643</v>
      </c>
      <c r="L7" s="23">
        <f t="shared" si="5"/>
        <v>202702.7028</v>
      </c>
      <c r="M7" s="75">
        <f t="shared" si="6"/>
        <v>0</v>
      </c>
      <c r="N7" s="75">
        <v>0</v>
      </c>
      <c r="O7" s="75"/>
      <c r="P7" s="320">
        <f t="shared" si="7"/>
        <v>759748.03</v>
      </c>
      <c r="Q7" s="320"/>
      <c r="R7" s="224">
        <f t="shared" si="8"/>
        <v>782791.03</v>
      </c>
      <c r="S7" s="14">
        <f t="shared" si="2"/>
        <v>0.03</v>
      </c>
      <c r="T7" s="1">
        <f t="shared" si="9"/>
        <v>3</v>
      </c>
      <c r="V7" t="s">
        <v>203</v>
      </c>
    </row>
    <row r="8" spans="1:24" ht="24.6" customHeight="1" x14ac:dyDescent="0.3">
      <c r="A8" s="17"/>
      <c r="B8" s="17">
        <f t="shared" si="10"/>
        <v>4</v>
      </c>
      <c r="C8" s="17" t="s">
        <v>168</v>
      </c>
      <c r="D8" s="81">
        <v>4.7000000000000002E-3</v>
      </c>
      <c r="E8" s="229">
        <v>1565363.04</v>
      </c>
      <c r="F8" s="100"/>
      <c r="G8" s="62">
        <f t="shared" si="0"/>
        <v>1565363.04</v>
      </c>
      <c r="H8" s="22">
        <f t="shared" si="11"/>
        <v>48322.757044800004</v>
      </c>
      <c r="I8" s="23">
        <f t="shared" si="3"/>
        <v>379177.030424</v>
      </c>
      <c r="J8" s="23">
        <f t="shared" si="1"/>
        <v>0</v>
      </c>
      <c r="K8" s="23">
        <f t="shared" si="4"/>
        <v>185936.29261027643</v>
      </c>
      <c r="L8" s="23">
        <f t="shared" si="5"/>
        <v>202702.7028</v>
      </c>
      <c r="M8" s="75">
        <f t="shared" si="6"/>
        <v>0</v>
      </c>
      <c r="N8" s="75">
        <v>0</v>
      </c>
      <c r="O8" s="75"/>
      <c r="P8" s="320">
        <f t="shared" si="7"/>
        <v>2381502.04</v>
      </c>
      <c r="Q8" s="320"/>
      <c r="R8" s="224">
        <f t="shared" si="8"/>
        <v>2453733.04</v>
      </c>
      <c r="S8" s="14">
        <f t="shared" si="2"/>
        <v>0.04</v>
      </c>
      <c r="T8" s="1">
        <f t="shared" si="9"/>
        <v>4</v>
      </c>
      <c r="U8" s="137"/>
      <c r="V8" t="s">
        <v>311</v>
      </c>
    </row>
    <row r="9" spans="1:24" ht="24.6" customHeight="1" x14ac:dyDescent="0.3">
      <c r="A9" s="17"/>
      <c r="B9" s="17">
        <f t="shared" si="10"/>
        <v>5</v>
      </c>
      <c r="C9" s="17" t="s">
        <v>27</v>
      </c>
      <c r="D9" s="81">
        <v>4.7000000000000002E-3</v>
      </c>
      <c r="E9" s="229">
        <v>767816.05</v>
      </c>
      <c r="F9" s="100">
        <f>E9</f>
        <v>767816.05</v>
      </c>
      <c r="G9" s="62">
        <f t="shared" si="0"/>
        <v>0</v>
      </c>
      <c r="H9" s="22">
        <f t="shared" si="11"/>
        <v>0</v>
      </c>
      <c r="I9" s="23">
        <f t="shared" si="3"/>
        <v>379177.030424</v>
      </c>
      <c r="J9" s="23">
        <f t="shared" si="1"/>
        <v>0</v>
      </c>
      <c r="K9" s="23">
        <f t="shared" si="4"/>
        <v>185936.29261027643</v>
      </c>
      <c r="L9" s="23">
        <f t="shared" si="5"/>
        <v>202702.7028</v>
      </c>
      <c r="M9" s="75">
        <f t="shared" si="6"/>
        <v>0</v>
      </c>
      <c r="N9" s="75">
        <v>0</v>
      </c>
      <c r="O9" s="75"/>
      <c r="P9" s="320">
        <f t="shared" si="7"/>
        <v>767816.05</v>
      </c>
      <c r="Q9" s="320"/>
      <c r="R9" s="224">
        <f t="shared" si="8"/>
        <v>791104.05</v>
      </c>
      <c r="S9" s="14">
        <f t="shared" si="2"/>
        <v>0.05</v>
      </c>
      <c r="T9" s="1">
        <f t="shared" si="9"/>
        <v>5</v>
      </c>
      <c r="U9" s="137"/>
    </row>
    <row r="10" spans="1:24" ht="24.6" customHeight="1" x14ac:dyDescent="0.3">
      <c r="A10" s="17"/>
      <c r="B10" s="17">
        <f t="shared" si="10"/>
        <v>6</v>
      </c>
      <c r="C10" s="17" t="s">
        <v>28</v>
      </c>
      <c r="D10" s="81">
        <v>4.4999999999999997E-3</v>
      </c>
      <c r="E10" s="229">
        <v>751681.06</v>
      </c>
      <c r="F10" s="100">
        <f>E10</f>
        <v>751681.06</v>
      </c>
      <c r="G10" s="62">
        <f t="shared" si="0"/>
        <v>0</v>
      </c>
      <c r="H10" s="22">
        <f t="shared" si="11"/>
        <v>0</v>
      </c>
      <c r="I10" s="23">
        <f t="shared" si="3"/>
        <v>363041.83763999998</v>
      </c>
      <c r="J10" s="23">
        <f t="shared" si="1"/>
        <v>0</v>
      </c>
      <c r="K10" s="23">
        <f t="shared" si="4"/>
        <v>185936.29261027643</v>
      </c>
      <c r="L10" s="23">
        <f t="shared" si="5"/>
        <v>202702.7028</v>
      </c>
      <c r="M10" s="75">
        <f t="shared" si="6"/>
        <v>0</v>
      </c>
      <c r="N10" s="75">
        <v>0</v>
      </c>
      <c r="O10" s="75"/>
      <c r="P10" s="320">
        <f t="shared" si="7"/>
        <v>751681.06</v>
      </c>
      <c r="Q10" s="320"/>
      <c r="R10" s="224">
        <f t="shared" si="8"/>
        <v>774480.06</v>
      </c>
      <c r="S10" s="14">
        <f t="shared" si="2"/>
        <v>0.06</v>
      </c>
      <c r="T10" s="1">
        <f t="shared" si="9"/>
        <v>6</v>
      </c>
      <c r="U10" t="s">
        <v>196</v>
      </c>
    </row>
    <row r="11" spans="1:24" ht="24.6" customHeight="1" x14ac:dyDescent="0.3">
      <c r="A11" s="17"/>
      <c r="B11" s="17">
        <f t="shared" si="10"/>
        <v>7</v>
      </c>
      <c r="C11" s="17" t="s">
        <v>29</v>
      </c>
      <c r="D11" s="81">
        <v>4.3E-3</v>
      </c>
      <c r="E11" s="229">
        <v>731206.07</v>
      </c>
      <c r="F11" s="100">
        <v>750000.07</v>
      </c>
      <c r="G11" s="62">
        <f t="shared" si="0"/>
        <v>-18794</v>
      </c>
      <c r="H11" s="22">
        <f t="shared" si="11"/>
        <v>0</v>
      </c>
      <c r="I11" s="23">
        <f t="shared" si="3"/>
        <v>346906.64485600003</v>
      </c>
      <c r="J11" s="23">
        <f t="shared" si="1"/>
        <v>0</v>
      </c>
      <c r="K11" s="23">
        <f t="shared" si="4"/>
        <v>185936.29261027643</v>
      </c>
      <c r="L11" s="23">
        <f t="shared" si="5"/>
        <v>202702.7028</v>
      </c>
      <c r="M11" s="75">
        <f t="shared" si="6"/>
        <v>0</v>
      </c>
      <c r="N11" s="75">
        <v>0</v>
      </c>
      <c r="O11" s="75"/>
      <c r="P11" s="320">
        <f t="shared" si="7"/>
        <v>716752.07</v>
      </c>
      <c r="Q11" s="320"/>
      <c r="R11" s="224">
        <f t="shared" si="8"/>
        <v>738491.07</v>
      </c>
      <c r="S11" s="14">
        <f t="shared" si="2"/>
        <v>7.0000000000000007E-2</v>
      </c>
      <c r="T11" s="1">
        <f t="shared" si="9"/>
        <v>7</v>
      </c>
      <c r="U11" t="s">
        <v>251</v>
      </c>
    </row>
    <row r="12" spans="1:24" ht="24.6" customHeight="1" x14ac:dyDescent="0.3">
      <c r="A12" s="187"/>
      <c r="B12" s="17">
        <f t="shared" si="10"/>
        <v>8</v>
      </c>
      <c r="C12" s="17" t="s">
        <v>30</v>
      </c>
      <c r="D12" s="81">
        <v>4.7000000000000002E-3</v>
      </c>
      <c r="E12" s="229">
        <v>767582.08</v>
      </c>
      <c r="F12" s="100">
        <v>768000</v>
      </c>
      <c r="G12" s="62">
        <f t="shared" si="0"/>
        <v>-417.92000000004191</v>
      </c>
      <c r="H12" s="22">
        <f t="shared" si="11"/>
        <v>0</v>
      </c>
      <c r="I12" s="23">
        <f t="shared" si="3"/>
        <v>379177.030424</v>
      </c>
      <c r="J12" s="23">
        <f t="shared" si="1"/>
        <v>0</v>
      </c>
      <c r="K12" s="23">
        <f t="shared" si="4"/>
        <v>185936.29261027643</v>
      </c>
      <c r="L12" s="23">
        <f t="shared" si="5"/>
        <v>202702.7028</v>
      </c>
      <c r="M12" s="75">
        <f t="shared" si="6"/>
        <v>0</v>
      </c>
      <c r="N12" s="75">
        <v>0</v>
      </c>
      <c r="O12" s="75"/>
      <c r="P12" s="320">
        <f t="shared" si="7"/>
        <v>767398.08</v>
      </c>
      <c r="Q12" s="320"/>
      <c r="R12" s="224">
        <f t="shared" si="8"/>
        <v>790673.08</v>
      </c>
      <c r="S12" s="14">
        <f t="shared" si="2"/>
        <v>0.08</v>
      </c>
      <c r="T12" s="1">
        <f t="shared" si="9"/>
        <v>8</v>
      </c>
      <c r="U12" t="s">
        <v>284</v>
      </c>
    </row>
    <row r="13" spans="1:24" ht="24.6" customHeight="1" x14ac:dyDescent="0.3">
      <c r="A13" s="17"/>
      <c r="B13" s="17">
        <f t="shared" si="10"/>
        <v>9</v>
      </c>
      <c r="C13" s="17" t="s">
        <v>31</v>
      </c>
      <c r="D13" s="81">
        <v>4.7000000000000002E-3</v>
      </c>
      <c r="E13" s="229">
        <v>1204641.0900000001</v>
      </c>
      <c r="F13" s="100"/>
      <c r="G13" s="62">
        <f t="shared" si="0"/>
        <v>1204641.0900000001</v>
      </c>
      <c r="H13" s="22">
        <f t="shared" si="11"/>
        <v>37187.270448300005</v>
      </c>
      <c r="I13" s="23">
        <f t="shared" si="3"/>
        <v>379177.030424</v>
      </c>
      <c r="J13" s="23">
        <f t="shared" si="1"/>
        <v>0</v>
      </c>
      <c r="K13" s="23">
        <f t="shared" si="4"/>
        <v>185936.29261027643</v>
      </c>
      <c r="L13" s="23">
        <f t="shared" si="5"/>
        <v>202702.7028</v>
      </c>
      <c r="M13" s="75">
        <v>0</v>
      </c>
      <c r="N13" s="75">
        <f>(I13+K13)/2</f>
        <v>282556.66151713824</v>
      </c>
      <c r="O13" s="75"/>
      <c r="P13" s="320">
        <f t="shared" si="7"/>
        <v>2292201.09</v>
      </c>
      <c r="Q13" s="320"/>
      <c r="R13" s="224">
        <f t="shared" si="8"/>
        <v>2361724.09</v>
      </c>
      <c r="S13" s="14">
        <f t="shared" si="2"/>
        <v>0.09</v>
      </c>
      <c r="T13" s="1">
        <f t="shared" si="9"/>
        <v>9</v>
      </c>
    </row>
    <row r="14" spans="1:24" ht="24.6" customHeight="1" x14ac:dyDescent="0.3">
      <c r="A14" s="184"/>
      <c r="B14" s="17">
        <f t="shared" si="10"/>
        <v>10</v>
      </c>
      <c r="C14" s="17" t="s">
        <v>32</v>
      </c>
      <c r="D14" s="81">
        <v>4.7000000000000002E-3</v>
      </c>
      <c r="E14" s="229">
        <v>1566339.1</v>
      </c>
      <c r="F14" s="100">
        <f>774611.1+23912+767816.1</f>
        <v>1566339.2</v>
      </c>
      <c r="G14" s="62">
        <f t="shared" si="0"/>
        <v>-9.9999999860301614E-2</v>
      </c>
      <c r="H14" s="22">
        <f t="shared" si="11"/>
        <v>0</v>
      </c>
      <c r="I14" s="23">
        <f t="shared" si="3"/>
        <v>379177.030424</v>
      </c>
      <c r="J14" s="23">
        <f t="shared" si="1"/>
        <v>0</v>
      </c>
      <c r="K14" s="23">
        <f t="shared" si="4"/>
        <v>185936.29261027643</v>
      </c>
      <c r="L14" s="23">
        <f t="shared" si="5"/>
        <v>202702.7028</v>
      </c>
      <c r="M14" s="75">
        <v>0</v>
      </c>
      <c r="N14" s="75">
        <v>0</v>
      </c>
      <c r="O14" s="75"/>
      <c r="P14" s="321">
        <f t="shared" si="7"/>
        <v>767816.1</v>
      </c>
      <c r="Q14" s="321"/>
      <c r="R14" s="224">
        <f t="shared" si="8"/>
        <v>791104.1</v>
      </c>
      <c r="S14" s="14">
        <f t="shared" si="2"/>
        <v>0.1</v>
      </c>
      <c r="T14" s="1">
        <f t="shared" si="9"/>
        <v>10</v>
      </c>
      <c r="U14" t="s">
        <v>242</v>
      </c>
    </row>
    <row r="15" spans="1:24" ht="24.6" customHeight="1" x14ac:dyDescent="0.3">
      <c r="A15" s="17"/>
      <c r="B15" s="17">
        <f t="shared" si="10"/>
        <v>11</v>
      </c>
      <c r="C15" s="17" t="s">
        <v>33</v>
      </c>
      <c r="D15" s="81">
        <v>4.7000000000000002E-3</v>
      </c>
      <c r="E15" s="229">
        <v>957405.11</v>
      </c>
      <c r="F15" s="100">
        <f>E15</f>
        <v>957405.11</v>
      </c>
      <c r="G15" s="63">
        <f t="shared" si="0"/>
        <v>0</v>
      </c>
      <c r="H15" s="82">
        <f t="shared" si="11"/>
        <v>0</v>
      </c>
      <c r="I15" s="75">
        <f t="shared" si="3"/>
        <v>379177.030424</v>
      </c>
      <c r="J15" s="75">
        <f t="shared" si="1"/>
        <v>0</v>
      </c>
      <c r="K15" s="75">
        <f t="shared" si="4"/>
        <v>185936.29261027643</v>
      </c>
      <c r="L15" s="75">
        <f t="shared" si="5"/>
        <v>202702.7028</v>
      </c>
      <c r="M15" s="75">
        <v>0</v>
      </c>
      <c r="N15" s="75">
        <v>0</v>
      </c>
      <c r="P15" s="321">
        <f t="shared" si="7"/>
        <v>767816.11</v>
      </c>
      <c r="Q15" s="321"/>
      <c r="R15" s="224">
        <f t="shared" si="8"/>
        <v>791104.11</v>
      </c>
      <c r="S15" s="83">
        <f t="shared" si="2"/>
        <v>0.11</v>
      </c>
      <c r="T15" s="61">
        <f t="shared" si="9"/>
        <v>11</v>
      </c>
      <c r="U15" t="s">
        <v>267</v>
      </c>
    </row>
    <row r="16" spans="1:24" ht="24.6" customHeight="1" x14ac:dyDescent="0.3">
      <c r="A16" s="17"/>
      <c r="B16" s="17">
        <f t="shared" si="10"/>
        <v>12</v>
      </c>
      <c r="C16" s="17" t="s">
        <v>34</v>
      </c>
      <c r="D16" s="81">
        <v>4.3E-3</v>
      </c>
      <c r="E16" s="229">
        <v>2753858.12</v>
      </c>
      <c r="F16" s="100"/>
      <c r="G16" s="63">
        <f t="shared" si="0"/>
        <v>2753858.12</v>
      </c>
      <c r="H16" s="82">
        <f t="shared" si="11"/>
        <v>85011.600164400006</v>
      </c>
      <c r="I16" s="75">
        <f t="shared" si="3"/>
        <v>346906.64485600003</v>
      </c>
      <c r="J16" s="75">
        <f t="shared" si="1"/>
        <v>0</v>
      </c>
      <c r="K16" s="75">
        <f t="shared" si="4"/>
        <v>185936.29261027643</v>
      </c>
      <c r="L16" s="75">
        <f t="shared" si="5"/>
        <v>202702.7028</v>
      </c>
      <c r="M16" s="75">
        <v>0</v>
      </c>
      <c r="N16" s="75">
        <v>0</v>
      </c>
      <c r="O16" s="75"/>
      <c r="P16" s="321">
        <f t="shared" si="7"/>
        <v>3574415.12</v>
      </c>
      <c r="Q16" s="321"/>
      <c r="R16" s="224">
        <f t="shared" si="8"/>
        <v>3682827.12</v>
      </c>
      <c r="S16" s="83">
        <f t="shared" si="2"/>
        <v>0.12</v>
      </c>
      <c r="T16" s="61">
        <f t="shared" si="9"/>
        <v>12</v>
      </c>
      <c r="U16" t="s">
        <v>259</v>
      </c>
    </row>
    <row r="17" spans="1:22" ht="24.6" customHeight="1" x14ac:dyDescent="0.3">
      <c r="A17" s="17"/>
      <c r="B17" s="17">
        <f t="shared" si="10"/>
        <v>13</v>
      </c>
      <c r="C17" s="17" t="s">
        <v>171</v>
      </c>
      <c r="D17" s="81">
        <v>4.5999999999999999E-3</v>
      </c>
      <c r="E17" s="229">
        <v>1096284.1299999999</v>
      </c>
      <c r="F17" s="231">
        <f>E17+278523+58013</f>
        <v>1432820.13</v>
      </c>
      <c r="G17" s="62">
        <f t="shared" si="0"/>
        <v>-336536</v>
      </c>
      <c r="H17" s="22">
        <f t="shared" si="11"/>
        <v>0</v>
      </c>
      <c r="I17" s="23">
        <f t="shared" si="3"/>
        <v>371109.43403200002</v>
      </c>
      <c r="J17" s="23">
        <f t="shared" si="1"/>
        <v>0</v>
      </c>
      <c r="K17" s="23">
        <f t="shared" si="4"/>
        <v>185936.29261027643</v>
      </c>
      <c r="L17" s="23">
        <f t="shared" si="5"/>
        <v>202702.7028</v>
      </c>
      <c r="M17" s="75">
        <v>0</v>
      </c>
      <c r="N17" s="75"/>
      <c r="O17" s="243">
        <f>I17/2</f>
        <v>185554.71701600001</v>
      </c>
      <c r="P17" s="320">
        <f t="shared" si="7"/>
        <v>608767.13</v>
      </c>
      <c r="Q17" s="320"/>
      <c r="R17" s="224">
        <f t="shared" si="8"/>
        <v>627231.13</v>
      </c>
      <c r="S17" s="14">
        <f t="shared" si="2"/>
        <v>0.13</v>
      </c>
      <c r="T17" s="1">
        <f t="shared" si="9"/>
        <v>13</v>
      </c>
    </row>
    <row r="18" spans="1:22" ht="24.6" customHeight="1" x14ac:dyDescent="0.3">
      <c r="A18" s="17"/>
      <c r="B18" s="17">
        <f t="shared" si="10"/>
        <v>14</v>
      </c>
      <c r="C18" s="17" t="s">
        <v>35</v>
      </c>
      <c r="D18" s="81">
        <v>4.7000000000000002E-3</v>
      </c>
      <c r="E18" s="229">
        <v>767816.14</v>
      </c>
      <c r="F18" s="100"/>
      <c r="G18" s="62">
        <f t="shared" si="0"/>
        <v>767816.14</v>
      </c>
      <c r="H18" s="22">
        <f t="shared" si="11"/>
        <v>23702.484241800001</v>
      </c>
      <c r="I18" s="23">
        <f t="shared" si="3"/>
        <v>379177.030424</v>
      </c>
      <c r="J18" s="23">
        <f t="shared" si="1"/>
        <v>0</v>
      </c>
      <c r="K18" s="23">
        <f t="shared" si="4"/>
        <v>185936.29261027643</v>
      </c>
      <c r="L18" s="23">
        <f t="shared" si="5"/>
        <v>202702.7028</v>
      </c>
      <c r="M18" s="75">
        <v>0</v>
      </c>
      <c r="N18" s="75">
        <v>0</v>
      </c>
      <c r="O18" s="75"/>
      <c r="P18" s="320">
        <f t="shared" si="7"/>
        <v>1559335.14</v>
      </c>
      <c r="Q18" s="320"/>
      <c r="R18" s="224">
        <f t="shared" si="8"/>
        <v>1606630.14</v>
      </c>
      <c r="S18" s="14">
        <f t="shared" si="2"/>
        <v>0.14000000000000001</v>
      </c>
      <c r="T18" s="1">
        <f t="shared" si="9"/>
        <v>14</v>
      </c>
      <c r="U18" t="s">
        <v>273</v>
      </c>
    </row>
    <row r="19" spans="1:22" ht="24.6" customHeight="1" x14ac:dyDescent="0.3">
      <c r="A19" s="17"/>
      <c r="B19" s="17">
        <f t="shared" si="10"/>
        <v>15</v>
      </c>
      <c r="C19" s="17" t="s">
        <v>296</v>
      </c>
      <c r="D19" s="81">
        <v>4.4000000000000003E-3</v>
      </c>
      <c r="E19" s="229">
        <v>743613.15</v>
      </c>
      <c r="F19" s="100">
        <f t="shared" ref="F19:F22" si="12">E19</f>
        <v>743613.15</v>
      </c>
      <c r="G19" s="63">
        <f t="shared" si="0"/>
        <v>0</v>
      </c>
      <c r="H19" s="82">
        <f t="shared" si="11"/>
        <v>0</v>
      </c>
      <c r="I19" s="75">
        <f t="shared" si="3"/>
        <v>354974.24124800001</v>
      </c>
      <c r="J19" s="75">
        <f t="shared" si="1"/>
        <v>0</v>
      </c>
      <c r="K19" s="75">
        <f t="shared" si="4"/>
        <v>185936.29261027643</v>
      </c>
      <c r="L19" s="75">
        <f t="shared" si="5"/>
        <v>202702.7028</v>
      </c>
      <c r="M19" s="75">
        <v>0</v>
      </c>
      <c r="N19" s="75">
        <v>0</v>
      </c>
      <c r="O19" s="75"/>
      <c r="P19" s="321">
        <f t="shared" si="7"/>
        <v>743613.15</v>
      </c>
      <c r="Q19" s="321"/>
      <c r="R19" s="224">
        <f t="shared" si="8"/>
        <v>766167.15</v>
      </c>
      <c r="S19" s="83">
        <f t="shared" si="2"/>
        <v>0.15</v>
      </c>
      <c r="T19" s="61">
        <f t="shared" si="9"/>
        <v>15</v>
      </c>
      <c r="U19" t="s">
        <v>297</v>
      </c>
    </row>
    <row r="20" spans="1:22" ht="24.6" customHeight="1" x14ac:dyDescent="0.3">
      <c r="A20" s="17"/>
      <c r="B20" s="17">
        <f t="shared" si="10"/>
        <v>16</v>
      </c>
      <c r="C20" s="17" t="s">
        <v>172</v>
      </c>
      <c r="D20" s="81">
        <v>4.5999999999999999E-3</v>
      </c>
      <c r="E20" s="229">
        <v>1096284.1599999999</v>
      </c>
      <c r="F20" s="100">
        <f t="shared" si="12"/>
        <v>1096284.1599999999</v>
      </c>
      <c r="G20" s="62">
        <f t="shared" si="0"/>
        <v>0</v>
      </c>
      <c r="H20" s="22">
        <f t="shared" si="11"/>
        <v>0</v>
      </c>
      <c r="I20" s="23">
        <f t="shared" si="3"/>
        <v>371109.43403200002</v>
      </c>
      <c r="J20" s="23">
        <f t="shared" si="1"/>
        <v>0</v>
      </c>
      <c r="K20" s="23">
        <f t="shared" si="4"/>
        <v>185936.29261027643</v>
      </c>
      <c r="L20" s="23">
        <f t="shared" si="5"/>
        <v>202702.7028</v>
      </c>
      <c r="M20" s="75">
        <v>0</v>
      </c>
      <c r="N20" s="75">
        <f>(I20+K20)/2</f>
        <v>278522.8633211382</v>
      </c>
      <c r="O20" s="75"/>
      <c r="P20" s="320">
        <f t="shared" si="7"/>
        <v>1038271.16</v>
      </c>
      <c r="Q20" s="320"/>
      <c r="R20" s="224">
        <f t="shared" si="8"/>
        <v>1069762.1599999999</v>
      </c>
      <c r="S20" s="14">
        <f t="shared" si="2"/>
        <v>0.16</v>
      </c>
      <c r="T20" s="1">
        <f t="shared" si="9"/>
        <v>16</v>
      </c>
    </row>
    <row r="21" spans="1:22" ht="24.6" customHeight="1" x14ac:dyDescent="0.3">
      <c r="A21" s="17"/>
      <c r="B21" s="17">
        <f t="shared" si="10"/>
        <v>17</v>
      </c>
      <c r="C21" s="17" t="s">
        <v>36</v>
      </c>
      <c r="D21" s="81">
        <v>4.5999999999999999E-3</v>
      </c>
      <c r="E21" s="229">
        <v>759748.17</v>
      </c>
      <c r="F21" s="100"/>
      <c r="G21" s="62">
        <f t="shared" si="0"/>
        <v>759748.17</v>
      </c>
      <c r="H21" s="22">
        <f t="shared" si="11"/>
        <v>23453.426007900001</v>
      </c>
      <c r="I21" s="23">
        <f t="shared" si="3"/>
        <v>371109.43403200002</v>
      </c>
      <c r="J21" s="23">
        <f t="shared" si="1"/>
        <v>0</v>
      </c>
      <c r="K21" s="23">
        <f t="shared" si="4"/>
        <v>185936.29261027643</v>
      </c>
      <c r="L21" s="23">
        <f t="shared" si="5"/>
        <v>202702.7028</v>
      </c>
      <c r="M21" s="75">
        <v>0</v>
      </c>
      <c r="N21" s="75">
        <v>0</v>
      </c>
      <c r="O21" s="75"/>
      <c r="P21" s="320">
        <f t="shared" si="7"/>
        <v>1542950.17</v>
      </c>
      <c r="Q21" s="320"/>
      <c r="R21" s="224">
        <f t="shared" si="8"/>
        <v>1589748.17</v>
      </c>
      <c r="S21" s="14">
        <f t="shared" si="2"/>
        <v>0.17</v>
      </c>
      <c r="T21" s="1">
        <f t="shared" si="9"/>
        <v>17</v>
      </c>
      <c r="U21" t="s">
        <v>212</v>
      </c>
    </row>
    <row r="22" spans="1:22" ht="24.6" customHeight="1" x14ac:dyDescent="0.3">
      <c r="A22" s="17"/>
      <c r="B22" s="17">
        <f t="shared" si="10"/>
        <v>18</v>
      </c>
      <c r="C22" s="17" t="s">
        <v>37</v>
      </c>
      <c r="D22" s="81">
        <v>4.5999999999999999E-3</v>
      </c>
      <c r="E22" s="229">
        <v>759748.18</v>
      </c>
      <c r="F22" s="100">
        <f t="shared" si="12"/>
        <v>759748.18</v>
      </c>
      <c r="G22" s="62">
        <f t="shared" si="0"/>
        <v>0</v>
      </c>
      <c r="H22" s="22">
        <f t="shared" si="11"/>
        <v>0</v>
      </c>
      <c r="I22" s="23">
        <f t="shared" si="3"/>
        <v>371109.43403200002</v>
      </c>
      <c r="J22" s="23">
        <f t="shared" si="1"/>
        <v>0</v>
      </c>
      <c r="K22" s="23">
        <f t="shared" si="4"/>
        <v>185936.29261027643</v>
      </c>
      <c r="L22" s="23">
        <f t="shared" si="5"/>
        <v>202702.7028</v>
      </c>
      <c r="M22" s="75">
        <v>0</v>
      </c>
      <c r="N22" s="75">
        <v>0</v>
      </c>
      <c r="O22" s="89"/>
      <c r="P22" s="320">
        <f t="shared" si="7"/>
        <v>759748.18</v>
      </c>
      <c r="Q22" s="320"/>
      <c r="R22" s="224">
        <f t="shared" si="8"/>
        <v>782791.18</v>
      </c>
      <c r="S22" s="14">
        <f t="shared" si="2"/>
        <v>0.18</v>
      </c>
      <c r="T22" s="1">
        <f t="shared" si="9"/>
        <v>18</v>
      </c>
      <c r="U22" t="s">
        <v>303</v>
      </c>
    </row>
    <row r="23" spans="1:22" ht="24.6" customHeight="1" x14ac:dyDescent="0.3">
      <c r="A23" s="17"/>
      <c r="B23" s="17">
        <f t="shared" si="10"/>
        <v>19</v>
      </c>
      <c r="C23" s="17" t="s">
        <v>38</v>
      </c>
      <c r="D23" s="81">
        <v>4.7000000000000002E-3</v>
      </c>
      <c r="E23" s="229">
        <v>767816.19</v>
      </c>
      <c r="F23" s="100">
        <f t="shared" ref="F23:F26" si="13">E23</f>
        <v>767816.19</v>
      </c>
      <c r="G23" s="62">
        <f t="shared" si="0"/>
        <v>0</v>
      </c>
      <c r="H23" s="22">
        <f t="shared" si="11"/>
        <v>0</v>
      </c>
      <c r="I23" s="23">
        <f t="shared" si="3"/>
        <v>379177.030424</v>
      </c>
      <c r="J23" s="23">
        <f t="shared" si="1"/>
        <v>0</v>
      </c>
      <c r="K23" s="23">
        <f t="shared" si="4"/>
        <v>185936.29261027643</v>
      </c>
      <c r="L23" s="23">
        <f t="shared" si="5"/>
        <v>202702.7028</v>
      </c>
      <c r="M23" s="75">
        <v>0</v>
      </c>
      <c r="N23" s="75">
        <v>0</v>
      </c>
      <c r="O23" s="89"/>
      <c r="P23" s="320">
        <f t="shared" si="7"/>
        <v>767816.19</v>
      </c>
      <c r="Q23" s="320"/>
      <c r="R23" s="224">
        <f t="shared" si="8"/>
        <v>791104.19</v>
      </c>
      <c r="S23" s="14">
        <f t="shared" si="2"/>
        <v>0.19</v>
      </c>
      <c r="T23" s="1">
        <f t="shared" si="9"/>
        <v>19</v>
      </c>
    </row>
    <row r="24" spans="1:22" ht="24.6" customHeight="1" x14ac:dyDescent="0.3">
      <c r="A24" s="17"/>
      <c r="B24" s="17">
        <f t="shared" si="10"/>
        <v>20</v>
      </c>
      <c r="C24" s="17" t="s">
        <v>39</v>
      </c>
      <c r="D24" s="81">
        <v>4.7000000000000002E-3</v>
      </c>
      <c r="E24" s="229">
        <v>767816.2</v>
      </c>
      <c r="F24" s="100">
        <f t="shared" si="13"/>
        <v>767816.2</v>
      </c>
      <c r="G24" s="62">
        <f t="shared" si="0"/>
        <v>0</v>
      </c>
      <c r="H24" s="22">
        <f t="shared" si="11"/>
        <v>0</v>
      </c>
      <c r="I24" s="23">
        <f t="shared" si="3"/>
        <v>379177.030424</v>
      </c>
      <c r="J24" s="23">
        <f t="shared" si="1"/>
        <v>0</v>
      </c>
      <c r="K24" s="23">
        <f t="shared" si="4"/>
        <v>185936.29261027643</v>
      </c>
      <c r="L24" s="23">
        <f t="shared" si="5"/>
        <v>202702.7028</v>
      </c>
      <c r="M24" s="75">
        <v>0</v>
      </c>
      <c r="N24" s="75">
        <v>0</v>
      </c>
      <c r="O24" s="89"/>
      <c r="P24" s="320">
        <f t="shared" si="7"/>
        <v>767816.2</v>
      </c>
      <c r="Q24" s="320"/>
      <c r="R24" s="224">
        <f t="shared" si="8"/>
        <v>791104.2</v>
      </c>
      <c r="S24" s="14">
        <f t="shared" si="2"/>
        <v>0.2</v>
      </c>
      <c r="T24" s="1">
        <f t="shared" si="9"/>
        <v>20</v>
      </c>
    </row>
    <row r="25" spans="1:22" ht="24.6" customHeight="1" x14ac:dyDescent="0.3">
      <c r="A25" s="17"/>
      <c r="B25" s="17">
        <f t="shared" si="10"/>
        <v>21</v>
      </c>
      <c r="C25" s="17" t="s">
        <v>40</v>
      </c>
      <c r="D25" s="81">
        <v>4.7000000000000002E-3</v>
      </c>
      <c r="E25" s="229">
        <v>767816.21</v>
      </c>
      <c r="F25" s="100">
        <f t="shared" si="13"/>
        <v>767816.21</v>
      </c>
      <c r="G25" s="62">
        <f t="shared" si="0"/>
        <v>0</v>
      </c>
      <c r="H25" s="22">
        <f t="shared" si="11"/>
        <v>0</v>
      </c>
      <c r="I25" s="23">
        <f t="shared" si="3"/>
        <v>379177.030424</v>
      </c>
      <c r="J25" s="23">
        <f t="shared" si="1"/>
        <v>0</v>
      </c>
      <c r="K25" s="23">
        <f t="shared" si="4"/>
        <v>185936.29261027643</v>
      </c>
      <c r="L25" s="23">
        <f t="shared" si="5"/>
        <v>202702.7028</v>
      </c>
      <c r="M25" s="75">
        <v>0</v>
      </c>
      <c r="N25" s="75">
        <v>0</v>
      </c>
      <c r="O25" s="89"/>
      <c r="P25" s="320">
        <f t="shared" si="7"/>
        <v>767816.21</v>
      </c>
      <c r="Q25" s="320"/>
      <c r="R25" s="224">
        <f t="shared" si="8"/>
        <v>791104.21</v>
      </c>
      <c r="S25" s="14">
        <f t="shared" si="2"/>
        <v>0.21</v>
      </c>
      <c r="T25" s="1">
        <f t="shared" si="9"/>
        <v>21</v>
      </c>
      <c r="U25" t="s">
        <v>204</v>
      </c>
      <c r="V25" t="s">
        <v>204</v>
      </c>
    </row>
    <row r="26" spans="1:22" ht="24.6" customHeight="1" x14ac:dyDescent="0.3">
      <c r="A26" s="17"/>
      <c r="B26" s="17">
        <f t="shared" si="10"/>
        <v>22</v>
      </c>
      <c r="C26" s="17" t="s">
        <v>41</v>
      </c>
      <c r="D26" s="81">
        <v>4.7000000000000002E-3</v>
      </c>
      <c r="E26" s="229">
        <v>767816.22</v>
      </c>
      <c r="F26" s="100">
        <f t="shared" si="13"/>
        <v>767816.22</v>
      </c>
      <c r="G26" s="62">
        <f t="shared" si="0"/>
        <v>0</v>
      </c>
      <c r="H26" s="22">
        <f t="shared" si="11"/>
        <v>0</v>
      </c>
      <c r="I26" s="23">
        <f t="shared" si="3"/>
        <v>379177.030424</v>
      </c>
      <c r="J26" s="23">
        <f t="shared" si="1"/>
        <v>0</v>
      </c>
      <c r="K26" s="23">
        <f t="shared" si="4"/>
        <v>185936.29261027643</v>
      </c>
      <c r="L26" s="23">
        <f t="shared" si="5"/>
        <v>202702.7028</v>
      </c>
      <c r="M26" s="75">
        <v>0</v>
      </c>
      <c r="N26" s="75">
        <v>0</v>
      </c>
      <c r="O26" s="89"/>
      <c r="P26" s="320">
        <f t="shared" si="7"/>
        <v>767816.22</v>
      </c>
      <c r="Q26" s="320"/>
      <c r="R26" s="224">
        <f t="shared" si="8"/>
        <v>791104.22</v>
      </c>
      <c r="S26" s="14">
        <f t="shared" si="2"/>
        <v>0.22</v>
      </c>
      <c r="T26" s="1">
        <f t="shared" si="9"/>
        <v>22</v>
      </c>
      <c r="U26" t="s">
        <v>293</v>
      </c>
    </row>
    <row r="27" spans="1:22" ht="24.6" customHeight="1" x14ac:dyDescent="0.3">
      <c r="A27" s="186"/>
      <c r="B27" s="17">
        <f t="shared" si="10"/>
        <v>23</v>
      </c>
      <c r="C27" s="17" t="s">
        <v>42</v>
      </c>
      <c r="D27" s="81">
        <v>4.7000000000000002E-3</v>
      </c>
      <c r="E27" s="229">
        <v>1566340.23</v>
      </c>
      <c r="F27" s="100">
        <v>1597323</v>
      </c>
      <c r="G27" s="62">
        <f t="shared" si="0"/>
        <v>-30982.770000000019</v>
      </c>
      <c r="H27" s="22">
        <f t="shared" si="11"/>
        <v>0</v>
      </c>
      <c r="I27" s="23">
        <f t="shared" si="3"/>
        <v>379177.030424</v>
      </c>
      <c r="J27" s="23">
        <f t="shared" si="1"/>
        <v>0</v>
      </c>
      <c r="K27" s="23">
        <f t="shared" si="4"/>
        <v>185936.29261027643</v>
      </c>
      <c r="L27" s="23">
        <f t="shared" si="5"/>
        <v>202702.7028</v>
      </c>
      <c r="M27" s="75">
        <v>0</v>
      </c>
      <c r="N27" s="75">
        <v>0</v>
      </c>
      <c r="O27" s="89"/>
      <c r="P27" s="320">
        <f t="shared" si="7"/>
        <v>736833.23</v>
      </c>
      <c r="Q27" s="320"/>
      <c r="R27" s="224">
        <f t="shared" si="8"/>
        <v>759181.23</v>
      </c>
      <c r="S27" s="14">
        <f t="shared" si="2"/>
        <v>0.23</v>
      </c>
      <c r="T27" s="1">
        <f t="shared" si="9"/>
        <v>23</v>
      </c>
      <c r="U27" t="s">
        <v>290</v>
      </c>
    </row>
    <row r="28" spans="1:22" ht="24.6" customHeight="1" x14ac:dyDescent="0.3">
      <c r="A28" s="17"/>
      <c r="B28" s="17">
        <f t="shared" si="10"/>
        <v>24</v>
      </c>
      <c r="C28" s="17" t="s">
        <v>43</v>
      </c>
      <c r="D28" s="81">
        <v>4.7000000000000002E-3</v>
      </c>
      <c r="E28" s="229">
        <v>1566340.24</v>
      </c>
      <c r="F28" s="231">
        <f>E28</f>
        <v>1566340.24</v>
      </c>
      <c r="G28" s="62">
        <f t="shared" si="0"/>
        <v>0</v>
      </c>
      <c r="H28" s="22">
        <f t="shared" si="11"/>
        <v>0</v>
      </c>
      <c r="I28" s="23">
        <f t="shared" si="3"/>
        <v>379177.030424</v>
      </c>
      <c r="J28" s="23">
        <f t="shared" si="1"/>
        <v>0</v>
      </c>
      <c r="K28" s="23">
        <f t="shared" si="4"/>
        <v>185936.29261027643</v>
      </c>
      <c r="L28" s="23">
        <f t="shared" si="5"/>
        <v>202702.7028</v>
      </c>
      <c r="M28" s="75">
        <v>0</v>
      </c>
      <c r="N28" s="75">
        <v>0</v>
      </c>
      <c r="O28" s="89"/>
      <c r="P28" s="320">
        <f t="shared" si="7"/>
        <v>767816.24</v>
      </c>
      <c r="Q28" s="320"/>
      <c r="R28" s="224">
        <f t="shared" si="8"/>
        <v>791104.24</v>
      </c>
      <c r="S28" s="14">
        <f t="shared" si="2"/>
        <v>0.24</v>
      </c>
      <c r="T28" s="1">
        <f t="shared" si="9"/>
        <v>24</v>
      </c>
      <c r="U28" t="s">
        <v>419</v>
      </c>
    </row>
    <row r="29" spans="1:22" ht="24.6" customHeight="1" x14ac:dyDescent="0.3">
      <c r="A29" s="17"/>
      <c r="B29" s="17">
        <f t="shared" si="10"/>
        <v>25</v>
      </c>
      <c r="C29" s="17" t="s">
        <v>44</v>
      </c>
      <c r="D29" s="81">
        <v>4.7999999999999996E-3</v>
      </c>
      <c r="E29" s="229">
        <v>2436788.25</v>
      </c>
      <c r="F29" s="231">
        <f>E29</f>
        <v>2436788.25</v>
      </c>
      <c r="G29" s="62">
        <f t="shared" si="0"/>
        <v>0</v>
      </c>
      <c r="H29" s="22">
        <f t="shared" si="11"/>
        <v>0</v>
      </c>
      <c r="I29" s="23">
        <f t="shared" si="3"/>
        <v>387244.62681599997</v>
      </c>
      <c r="J29" s="23">
        <f t="shared" si="1"/>
        <v>0</v>
      </c>
      <c r="K29" s="23">
        <f t="shared" si="4"/>
        <v>185936.29261027643</v>
      </c>
      <c r="L29" s="23">
        <f t="shared" si="5"/>
        <v>202702.7028</v>
      </c>
      <c r="M29" s="75">
        <v>0</v>
      </c>
      <c r="N29" s="75">
        <v>0</v>
      </c>
      <c r="O29" s="89"/>
      <c r="P29" s="320">
        <f t="shared" si="7"/>
        <v>775884.25</v>
      </c>
      <c r="Q29" s="320"/>
      <c r="R29" s="224">
        <f t="shared" si="8"/>
        <v>799417.25</v>
      </c>
      <c r="S29" s="14">
        <f t="shared" si="2"/>
        <v>0.25</v>
      </c>
      <c r="T29" s="1">
        <f t="shared" si="9"/>
        <v>25</v>
      </c>
      <c r="V29" t="s">
        <v>271</v>
      </c>
    </row>
    <row r="30" spans="1:22" ht="24.6" customHeight="1" x14ac:dyDescent="0.3">
      <c r="A30" s="185"/>
      <c r="B30" s="17">
        <f t="shared" si="10"/>
        <v>26</v>
      </c>
      <c r="C30" s="17" t="s">
        <v>45</v>
      </c>
      <c r="D30" s="81">
        <v>4.7999999999999996E-3</v>
      </c>
      <c r="E30" s="229">
        <v>775855.26</v>
      </c>
      <c r="F30" s="100">
        <f>776000</f>
        <v>776000</v>
      </c>
      <c r="G30" s="63">
        <f t="shared" si="0"/>
        <v>-144.73999999999069</v>
      </c>
      <c r="H30" s="82">
        <f t="shared" si="11"/>
        <v>0</v>
      </c>
      <c r="I30" s="75">
        <f t="shared" si="3"/>
        <v>387244.62681599997</v>
      </c>
      <c r="J30" s="75">
        <f t="shared" si="1"/>
        <v>0</v>
      </c>
      <c r="K30" s="75">
        <f t="shared" si="4"/>
        <v>185936.29261027643</v>
      </c>
      <c r="L30" s="75">
        <f t="shared" si="5"/>
        <v>202702.7028</v>
      </c>
      <c r="M30" s="75">
        <v>0</v>
      </c>
      <c r="N30" s="75">
        <v>0</v>
      </c>
      <c r="O30" s="89"/>
      <c r="P30" s="321">
        <f t="shared" si="7"/>
        <v>775739.26</v>
      </c>
      <c r="Q30" s="321"/>
      <c r="R30" s="224">
        <f t="shared" si="8"/>
        <v>799267.26</v>
      </c>
      <c r="S30" s="83">
        <f t="shared" si="2"/>
        <v>0.26</v>
      </c>
      <c r="T30" s="61">
        <f t="shared" si="9"/>
        <v>26</v>
      </c>
      <c r="V30" t="s">
        <v>199</v>
      </c>
    </row>
    <row r="31" spans="1:22" ht="24.6" customHeight="1" x14ac:dyDescent="0.3">
      <c r="A31" s="17"/>
      <c r="B31" s="17">
        <f t="shared" si="10"/>
        <v>27</v>
      </c>
      <c r="C31" s="17" t="s">
        <v>46</v>
      </c>
      <c r="D31" s="81">
        <v>4.7999999999999996E-3</v>
      </c>
      <c r="E31" s="229">
        <v>1605261.27</v>
      </c>
      <c r="F31" s="100">
        <f>804541.27+24836+825000.27</f>
        <v>1654377.54</v>
      </c>
      <c r="G31" s="62">
        <f t="shared" si="0"/>
        <v>-49116.270000000019</v>
      </c>
      <c r="H31" s="22">
        <f t="shared" si="11"/>
        <v>0</v>
      </c>
      <c r="I31" s="23">
        <f t="shared" si="3"/>
        <v>387244.62681599997</v>
      </c>
      <c r="J31" s="23">
        <f t="shared" si="1"/>
        <v>0</v>
      </c>
      <c r="K31" s="23">
        <f t="shared" si="4"/>
        <v>185936.29261027643</v>
      </c>
      <c r="L31" s="23">
        <f t="shared" si="5"/>
        <v>202702.7028</v>
      </c>
      <c r="M31" s="75">
        <v>0</v>
      </c>
      <c r="N31" s="75">
        <v>0</v>
      </c>
      <c r="O31" s="89"/>
      <c r="P31" s="320">
        <f t="shared" si="7"/>
        <v>726767.27</v>
      </c>
      <c r="Q31" s="320"/>
      <c r="R31" s="224">
        <f t="shared" si="8"/>
        <v>748810.27</v>
      </c>
      <c r="S31" s="14">
        <f t="shared" si="2"/>
        <v>0.27</v>
      </c>
      <c r="T31" s="1">
        <f t="shared" si="9"/>
        <v>27</v>
      </c>
    </row>
    <row r="32" spans="1:22" ht="24.6" customHeight="1" x14ac:dyDescent="0.3">
      <c r="A32" s="17"/>
      <c r="B32" s="17">
        <f t="shared" si="10"/>
        <v>28</v>
      </c>
      <c r="C32" s="17" t="s">
        <v>47</v>
      </c>
      <c r="D32" s="81">
        <v>4.4999999999999997E-3</v>
      </c>
      <c r="E32" s="229">
        <v>716230.28</v>
      </c>
      <c r="F32" s="100">
        <v>720000</v>
      </c>
      <c r="G32" s="62">
        <f t="shared" si="0"/>
        <v>-3769.7199999999721</v>
      </c>
      <c r="H32" s="22">
        <f t="shared" si="11"/>
        <v>0</v>
      </c>
      <c r="I32" s="23">
        <f t="shared" si="3"/>
        <v>363041.83763999998</v>
      </c>
      <c r="J32" s="23">
        <f t="shared" si="1"/>
        <v>0</v>
      </c>
      <c r="K32" s="23">
        <f t="shared" si="4"/>
        <v>185936.29261027643</v>
      </c>
      <c r="L32" s="23">
        <f t="shared" si="5"/>
        <v>202702.7028</v>
      </c>
      <c r="M32" s="75">
        <v>0</v>
      </c>
      <c r="N32" s="75">
        <v>0</v>
      </c>
      <c r="O32" s="89"/>
      <c r="P32" s="320">
        <f t="shared" si="7"/>
        <v>747911.28</v>
      </c>
      <c r="Q32" s="320"/>
      <c r="R32" s="224">
        <f t="shared" si="8"/>
        <v>770595.28</v>
      </c>
      <c r="S32" s="14">
        <f t="shared" si="2"/>
        <v>0.28000000000000003</v>
      </c>
      <c r="T32" s="1">
        <f t="shared" si="9"/>
        <v>28</v>
      </c>
      <c r="U32" t="s">
        <v>302</v>
      </c>
    </row>
    <row r="33" spans="1:21" ht="24.6" customHeight="1" x14ac:dyDescent="0.3">
      <c r="A33" s="17"/>
      <c r="B33" s="17">
        <f t="shared" si="10"/>
        <v>29</v>
      </c>
      <c r="C33" s="17" t="s">
        <v>48</v>
      </c>
      <c r="D33" s="81">
        <v>4.7999999999999996E-3</v>
      </c>
      <c r="E33" s="229">
        <v>775884.29</v>
      </c>
      <c r="F33" s="100">
        <f>E33</f>
        <v>775884.29</v>
      </c>
      <c r="G33" s="62">
        <f t="shared" si="0"/>
        <v>0</v>
      </c>
      <c r="H33" s="22">
        <f t="shared" si="11"/>
        <v>0</v>
      </c>
      <c r="I33" s="23">
        <f t="shared" si="3"/>
        <v>387244.62681599997</v>
      </c>
      <c r="J33" s="23">
        <f t="shared" si="1"/>
        <v>0</v>
      </c>
      <c r="K33" s="23">
        <f t="shared" si="4"/>
        <v>185936.29261027643</v>
      </c>
      <c r="L33" s="23">
        <f t="shared" si="5"/>
        <v>202702.7028</v>
      </c>
      <c r="M33" s="75">
        <v>0</v>
      </c>
      <c r="N33" s="75">
        <v>0</v>
      </c>
      <c r="O33" s="89"/>
      <c r="P33" s="320">
        <f t="shared" si="7"/>
        <v>775884.29</v>
      </c>
      <c r="Q33" s="320"/>
      <c r="R33" s="224">
        <f t="shared" si="8"/>
        <v>799417.29</v>
      </c>
      <c r="S33" s="14">
        <f t="shared" si="2"/>
        <v>0.28999999999999998</v>
      </c>
      <c r="T33" s="1">
        <f t="shared" si="9"/>
        <v>29</v>
      </c>
      <c r="U33" t="s">
        <v>208</v>
      </c>
    </row>
    <row r="34" spans="1:21" ht="24.6" customHeight="1" x14ac:dyDescent="0.3">
      <c r="A34" s="17"/>
      <c r="B34" s="17">
        <f t="shared" si="10"/>
        <v>30</v>
      </c>
      <c r="C34" s="17" t="s">
        <v>49</v>
      </c>
      <c r="D34" s="81">
        <v>4.4999999999999997E-3</v>
      </c>
      <c r="E34" s="229">
        <v>751681.3</v>
      </c>
      <c r="F34" s="100">
        <f>E34</f>
        <v>751681.3</v>
      </c>
      <c r="G34" s="62">
        <f t="shared" si="0"/>
        <v>0</v>
      </c>
      <c r="H34" s="22">
        <f t="shared" si="11"/>
        <v>0</v>
      </c>
      <c r="I34" s="23">
        <f t="shared" si="3"/>
        <v>363041.83763999998</v>
      </c>
      <c r="J34" s="23">
        <f t="shared" si="1"/>
        <v>0</v>
      </c>
      <c r="K34" s="23">
        <f t="shared" si="4"/>
        <v>185936.29261027643</v>
      </c>
      <c r="L34" s="23">
        <f t="shared" si="5"/>
        <v>202702.7028</v>
      </c>
      <c r="M34" s="75">
        <v>0</v>
      </c>
      <c r="N34" s="75">
        <v>0</v>
      </c>
      <c r="O34" s="89"/>
      <c r="P34" s="320">
        <f t="shared" si="7"/>
        <v>751681.3</v>
      </c>
      <c r="Q34" s="320"/>
      <c r="R34" s="224">
        <f t="shared" si="8"/>
        <v>774480.3</v>
      </c>
      <c r="S34" s="14">
        <f t="shared" si="2"/>
        <v>0.3</v>
      </c>
      <c r="T34" s="1">
        <f t="shared" si="9"/>
        <v>30</v>
      </c>
      <c r="U34" t="s">
        <v>254</v>
      </c>
    </row>
    <row r="35" spans="1:21" ht="24.6" customHeight="1" x14ac:dyDescent="0.3">
      <c r="A35" s="17"/>
      <c r="B35" s="17">
        <f t="shared" si="10"/>
        <v>31</v>
      </c>
      <c r="C35" s="17" t="s">
        <v>50</v>
      </c>
      <c r="D35" s="81">
        <v>4.4999999999999997E-3</v>
      </c>
      <c r="E35" s="229">
        <v>1050977.31</v>
      </c>
      <c r="F35" s="100"/>
      <c r="G35" s="62">
        <f t="shared" si="0"/>
        <v>1050977.31</v>
      </c>
      <c r="H35" s="22">
        <f t="shared" si="11"/>
        <v>32443.669559700003</v>
      </c>
      <c r="I35" s="23">
        <f t="shared" si="3"/>
        <v>363041.83763999998</v>
      </c>
      <c r="J35" s="23">
        <f t="shared" si="1"/>
        <v>0</v>
      </c>
      <c r="K35" s="23">
        <f t="shared" si="4"/>
        <v>185936.29261027643</v>
      </c>
      <c r="L35" s="23">
        <f t="shared" si="5"/>
        <v>202702.7028</v>
      </c>
      <c r="M35" s="75">
        <v>0</v>
      </c>
      <c r="N35" s="75">
        <v>0</v>
      </c>
      <c r="O35" s="89"/>
      <c r="P35" s="320">
        <f t="shared" si="7"/>
        <v>1835102.31</v>
      </c>
      <c r="Q35" s="320"/>
      <c r="R35" s="224">
        <f t="shared" si="8"/>
        <v>1890761.31</v>
      </c>
      <c r="S35" s="14">
        <f t="shared" si="2"/>
        <v>0.31</v>
      </c>
      <c r="T35" s="1">
        <f t="shared" si="9"/>
        <v>31</v>
      </c>
      <c r="U35" s="66" t="s">
        <v>266</v>
      </c>
    </row>
    <row r="36" spans="1:21" ht="24.6" customHeight="1" x14ac:dyDescent="0.3">
      <c r="A36" s="17"/>
      <c r="B36" s="17">
        <f t="shared" si="10"/>
        <v>32</v>
      </c>
      <c r="C36" s="17" t="s">
        <v>51</v>
      </c>
      <c r="D36" s="81">
        <v>4.4999999999999997E-3</v>
      </c>
      <c r="E36" s="229">
        <v>750747.32</v>
      </c>
      <c r="F36" s="240">
        <f>5637711.52-F20-F37-F90-F150-F151-F153</f>
        <v>750747.31999999948</v>
      </c>
      <c r="G36" s="63">
        <f t="shared" si="0"/>
        <v>0</v>
      </c>
      <c r="H36" s="82">
        <f t="shared" si="11"/>
        <v>0</v>
      </c>
      <c r="I36" s="75">
        <f t="shared" si="3"/>
        <v>363041.83763999998</v>
      </c>
      <c r="J36" s="75">
        <f t="shared" si="1"/>
        <v>0</v>
      </c>
      <c r="K36" s="75">
        <f t="shared" si="4"/>
        <v>185936.29261027643</v>
      </c>
      <c r="L36" s="75">
        <f t="shared" si="5"/>
        <v>202702.7028</v>
      </c>
      <c r="M36" s="75">
        <v>0</v>
      </c>
      <c r="N36" s="75">
        <v>0</v>
      </c>
      <c r="O36" s="89"/>
      <c r="P36" s="321">
        <f t="shared" si="7"/>
        <v>751681.32</v>
      </c>
      <c r="Q36" s="321"/>
      <c r="R36" s="224">
        <f t="shared" si="8"/>
        <v>774480.32</v>
      </c>
      <c r="S36" s="83">
        <f t="shared" si="2"/>
        <v>0.32</v>
      </c>
      <c r="T36" s="61">
        <f t="shared" si="9"/>
        <v>32</v>
      </c>
    </row>
    <row r="37" spans="1:21" ht="24.6" customHeight="1" x14ac:dyDescent="0.3">
      <c r="A37" s="17"/>
      <c r="B37" s="17">
        <v>33</v>
      </c>
      <c r="C37" s="17" t="s">
        <v>52</v>
      </c>
      <c r="D37" s="81">
        <v>4.4999999999999997E-3</v>
      </c>
      <c r="E37" s="229">
        <v>751681.33</v>
      </c>
      <c r="F37" s="100">
        <f>E37</f>
        <v>751681.33</v>
      </c>
      <c r="G37" s="62">
        <f t="shared" si="0"/>
        <v>0</v>
      </c>
      <c r="H37" s="22">
        <f t="shared" si="11"/>
        <v>0</v>
      </c>
      <c r="I37" s="23">
        <f t="shared" si="3"/>
        <v>363041.83763999998</v>
      </c>
      <c r="J37" s="23">
        <f t="shared" ref="J37:J68" si="14">P$2*D37</f>
        <v>0</v>
      </c>
      <c r="K37" s="23">
        <f t="shared" si="4"/>
        <v>185936.29261027643</v>
      </c>
      <c r="L37" s="23">
        <f t="shared" si="5"/>
        <v>202702.7028</v>
      </c>
      <c r="M37" s="75">
        <v>0</v>
      </c>
      <c r="N37" s="75">
        <v>0</v>
      </c>
      <c r="O37" s="89"/>
      <c r="P37" s="320">
        <f t="shared" ref="P37:P68" si="15">ROUND(SUM(G37:O37),0) + S37</f>
        <v>751681.33</v>
      </c>
      <c r="Q37" s="320"/>
      <c r="R37" s="224">
        <f t="shared" si="8"/>
        <v>774480.33</v>
      </c>
      <c r="S37" s="14">
        <f t="shared" ref="S37:S68" si="16">ROUND(0.001+B37/100,2)</f>
        <v>0.33</v>
      </c>
      <c r="T37" s="1">
        <f t="shared" si="9"/>
        <v>33</v>
      </c>
    </row>
    <row r="38" spans="1:21" ht="24.6" customHeight="1" x14ac:dyDescent="0.3">
      <c r="A38" s="17"/>
      <c r="B38" s="17">
        <v>34</v>
      </c>
      <c r="C38" s="17" t="s">
        <v>50</v>
      </c>
      <c r="D38" s="81">
        <v>4.4999999999999997E-3</v>
      </c>
      <c r="E38" s="229">
        <v>890986.34</v>
      </c>
      <c r="F38" s="100"/>
      <c r="G38" s="62">
        <f t="shared" si="0"/>
        <v>890986.34</v>
      </c>
      <c r="H38" s="22">
        <f t="shared" si="11"/>
        <v>27504.7483158</v>
      </c>
      <c r="I38" s="23">
        <f t="shared" ref="I38:I101" si="17">K$2*D38</f>
        <v>363041.83763999998</v>
      </c>
      <c r="J38" s="23">
        <f t="shared" si="14"/>
        <v>0</v>
      </c>
      <c r="K38" s="23">
        <f t="shared" si="4"/>
        <v>185936.29261027643</v>
      </c>
      <c r="L38" s="23">
        <f t="shared" si="5"/>
        <v>202702.7028</v>
      </c>
      <c r="M38" s="75">
        <v>0</v>
      </c>
      <c r="N38" s="75">
        <v>0</v>
      </c>
      <c r="O38" s="89"/>
      <c r="P38" s="320">
        <f t="shared" si="15"/>
        <v>1670172.34</v>
      </c>
      <c r="Q38" s="320"/>
      <c r="R38" s="224">
        <f t="shared" si="8"/>
        <v>1720829.34</v>
      </c>
      <c r="S38" s="14">
        <f t="shared" si="16"/>
        <v>0.34</v>
      </c>
      <c r="T38" s="1">
        <f t="shared" si="9"/>
        <v>34</v>
      </c>
      <c r="U38" s="66" t="s">
        <v>266</v>
      </c>
    </row>
    <row r="39" spans="1:21" ht="22.2" customHeight="1" x14ac:dyDescent="0.3">
      <c r="A39" s="17">
        <v>1</v>
      </c>
      <c r="B39" s="17">
        <v>35</v>
      </c>
      <c r="C39" s="17" t="s">
        <v>53</v>
      </c>
      <c r="D39" s="81">
        <v>4.5999999999999999E-3</v>
      </c>
      <c r="E39" s="229">
        <v>759748.35</v>
      </c>
      <c r="F39" s="100">
        <f>E39</f>
        <v>759748.35</v>
      </c>
      <c r="G39" s="62">
        <f t="shared" si="0"/>
        <v>0</v>
      </c>
      <c r="H39" s="22">
        <f t="shared" si="11"/>
        <v>0</v>
      </c>
      <c r="I39" s="23">
        <f t="shared" si="17"/>
        <v>371109.43403200002</v>
      </c>
      <c r="J39" s="23">
        <f t="shared" si="14"/>
        <v>0</v>
      </c>
      <c r="K39" s="23">
        <f t="shared" si="4"/>
        <v>185936.29261027643</v>
      </c>
      <c r="L39" s="23">
        <f t="shared" si="5"/>
        <v>202702.7028</v>
      </c>
      <c r="M39" s="75">
        <v>0</v>
      </c>
      <c r="N39" s="75">
        <v>0</v>
      </c>
      <c r="O39" s="89"/>
      <c r="P39" s="320">
        <f t="shared" si="15"/>
        <v>759748.35</v>
      </c>
      <c r="Q39" s="320"/>
      <c r="R39" s="224">
        <f t="shared" si="8"/>
        <v>782792.35</v>
      </c>
      <c r="S39" s="14">
        <f t="shared" si="16"/>
        <v>0.35</v>
      </c>
      <c r="T39" s="1">
        <f t="shared" si="9"/>
        <v>35</v>
      </c>
      <c r="U39" t="s">
        <v>223</v>
      </c>
    </row>
    <row r="40" spans="1:21" ht="24.9" customHeight="1" x14ac:dyDescent="0.3">
      <c r="A40" s="17">
        <v>2</v>
      </c>
      <c r="B40" s="17">
        <v>36</v>
      </c>
      <c r="C40" s="17" t="s">
        <v>54</v>
      </c>
      <c r="D40" s="81">
        <v>4.5999999999999999E-3</v>
      </c>
      <c r="E40" s="229">
        <v>2366372.36</v>
      </c>
      <c r="F40" s="100">
        <f>1590000+820000+48111</f>
        <v>2458111</v>
      </c>
      <c r="G40" s="63">
        <f t="shared" si="0"/>
        <v>-91738.64000000013</v>
      </c>
      <c r="H40" s="82">
        <f t="shared" si="11"/>
        <v>0</v>
      </c>
      <c r="I40" s="75">
        <f t="shared" si="17"/>
        <v>371109.43403200002</v>
      </c>
      <c r="J40" s="75">
        <f t="shared" si="14"/>
        <v>0</v>
      </c>
      <c r="K40" s="75">
        <f t="shared" si="4"/>
        <v>185936.29261027643</v>
      </c>
      <c r="L40" s="75">
        <f t="shared" si="5"/>
        <v>202702.7028</v>
      </c>
      <c r="M40" s="75">
        <v>0</v>
      </c>
      <c r="N40" s="75">
        <v>0</v>
      </c>
      <c r="O40" s="89"/>
      <c r="P40" s="321">
        <f t="shared" si="15"/>
        <v>668010.36</v>
      </c>
      <c r="Q40" s="321"/>
      <c r="R40" s="224">
        <f t="shared" si="8"/>
        <v>688271.35999999999</v>
      </c>
      <c r="S40" s="83">
        <f t="shared" si="16"/>
        <v>0.36</v>
      </c>
      <c r="T40" s="61">
        <f t="shared" si="9"/>
        <v>36</v>
      </c>
      <c r="U40" s="14"/>
    </row>
    <row r="41" spans="1:21" ht="24.9" customHeight="1" x14ac:dyDescent="0.3">
      <c r="A41" s="17">
        <v>3</v>
      </c>
      <c r="B41" s="17">
        <v>37</v>
      </c>
      <c r="C41" s="17" t="s">
        <v>55</v>
      </c>
      <c r="D41" s="81">
        <v>4.4999999999999997E-3</v>
      </c>
      <c r="E41" s="229">
        <v>1634553.37</v>
      </c>
      <c r="F41" s="100">
        <f>1635000</f>
        <v>1635000</v>
      </c>
      <c r="G41" s="63">
        <f t="shared" si="0"/>
        <v>-446.62999999988824</v>
      </c>
      <c r="H41" s="82">
        <f t="shared" si="11"/>
        <v>0</v>
      </c>
      <c r="I41" s="75">
        <f t="shared" si="17"/>
        <v>363041.83763999998</v>
      </c>
      <c r="J41" s="75">
        <f t="shared" si="14"/>
        <v>0</v>
      </c>
      <c r="K41" s="75">
        <f t="shared" si="4"/>
        <v>185936.29261027643</v>
      </c>
      <c r="L41" s="75">
        <f t="shared" si="5"/>
        <v>202702.7028</v>
      </c>
      <c r="M41" s="75">
        <v>0</v>
      </c>
      <c r="N41" s="75">
        <v>0</v>
      </c>
      <c r="O41" s="89"/>
      <c r="P41" s="321">
        <f t="shared" si="15"/>
        <v>751234.37</v>
      </c>
      <c r="Q41" s="321"/>
      <c r="R41" s="224">
        <f t="shared" si="8"/>
        <v>774019.37</v>
      </c>
      <c r="S41" s="83">
        <f t="shared" si="16"/>
        <v>0.37</v>
      </c>
      <c r="T41" s="61">
        <f t="shared" si="9"/>
        <v>37</v>
      </c>
      <c r="U41" s="14"/>
    </row>
    <row r="42" spans="1:21" ht="24.9" customHeight="1" x14ac:dyDescent="0.3">
      <c r="A42" s="192">
        <v>4</v>
      </c>
      <c r="B42" s="17">
        <v>38</v>
      </c>
      <c r="C42" s="17" t="s">
        <v>56</v>
      </c>
      <c r="D42" s="81">
        <v>4.4999999999999997E-3</v>
      </c>
      <c r="E42" s="229">
        <v>1260923.3799999999</v>
      </c>
      <c r="F42" s="100">
        <f>155200+338793+15250+378292.3+388639</f>
        <v>1276174.3</v>
      </c>
      <c r="G42" s="62">
        <f t="shared" si="0"/>
        <v>-15250.920000000158</v>
      </c>
      <c r="H42" s="22">
        <f t="shared" si="11"/>
        <v>0</v>
      </c>
      <c r="I42" s="23">
        <f t="shared" si="17"/>
        <v>363041.83763999998</v>
      </c>
      <c r="J42" s="23">
        <f t="shared" si="14"/>
        <v>0</v>
      </c>
      <c r="K42" s="23">
        <f t="shared" si="4"/>
        <v>185936.29261027643</v>
      </c>
      <c r="L42" s="23">
        <f t="shared" si="5"/>
        <v>202702.7028</v>
      </c>
      <c r="M42" s="75">
        <v>0</v>
      </c>
      <c r="N42" s="75">
        <v>0</v>
      </c>
      <c r="O42" s="89"/>
      <c r="P42" s="320">
        <f t="shared" si="15"/>
        <v>736430.38</v>
      </c>
      <c r="Q42" s="320"/>
      <c r="R42" s="224">
        <f t="shared" si="8"/>
        <v>758766.38</v>
      </c>
      <c r="S42" s="14">
        <f t="shared" si="16"/>
        <v>0.38</v>
      </c>
      <c r="T42" s="1">
        <f t="shared" si="9"/>
        <v>38</v>
      </c>
      <c r="U42" t="s">
        <v>241</v>
      </c>
    </row>
    <row r="43" spans="1:21" ht="24.9" customHeight="1" x14ac:dyDescent="0.3">
      <c r="A43" s="17">
        <v>5</v>
      </c>
      <c r="B43" s="17">
        <v>39</v>
      </c>
      <c r="C43" s="17" t="s">
        <v>245</v>
      </c>
      <c r="D43" s="81">
        <v>4.4999999999999997E-3</v>
      </c>
      <c r="E43" s="229">
        <v>1695351.39</v>
      </c>
      <c r="F43" s="100">
        <v>752000</v>
      </c>
      <c r="G43" s="62">
        <f t="shared" si="0"/>
        <v>943351.3899999999</v>
      </c>
      <c r="H43" s="22">
        <f t="shared" si="11"/>
        <v>29121.257409299997</v>
      </c>
      <c r="I43" s="23">
        <f t="shared" si="17"/>
        <v>363041.83763999998</v>
      </c>
      <c r="J43" s="23">
        <f t="shared" si="14"/>
        <v>0</v>
      </c>
      <c r="K43" s="23">
        <f t="shared" si="4"/>
        <v>185936.29261027643</v>
      </c>
      <c r="L43" s="23">
        <f t="shared" si="5"/>
        <v>202702.7028</v>
      </c>
      <c r="M43" s="75">
        <v>0</v>
      </c>
      <c r="N43" s="75">
        <v>0</v>
      </c>
      <c r="O43" s="89"/>
      <c r="P43" s="320">
        <f t="shared" si="15"/>
        <v>1724153.39</v>
      </c>
      <c r="Q43" s="320"/>
      <c r="R43" s="224">
        <f t="shared" si="8"/>
        <v>1776447.39</v>
      </c>
      <c r="S43" s="14">
        <f t="shared" si="16"/>
        <v>0.39</v>
      </c>
      <c r="T43" s="1">
        <f t="shared" si="9"/>
        <v>39</v>
      </c>
      <c r="U43" t="s">
        <v>226</v>
      </c>
    </row>
    <row r="44" spans="1:21" ht="24.9" customHeight="1" x14ac:dyDescent="0.3">
      <c r="A44" s="17">
        <v>6</v>
      </c>
      <c r="B44" s="17">
        <v>40</v>
      </c>
      <c r="C44" s="17" t="s">
        <v>57</v>
      </c>
      <c r="D44" s="81">
        <v>4.4999999999999997E-3</v>
      </c>
      <c r="E44" s="229">
        <v>1544907.4</v>
      </c>
      <c r="F44" s="100">
        <f>23754+760211.4+751681.4</f>
        <v>1535646.8</v>
      </c>
      <c r="G44" s="62">
        <f t="shared" si="0"/>
        <v>9260.5999999998603</v>
      </c>
      <c r="H44" s="22">
        <f t="shared" si="11"/>
        <v>285.8747219999957</v>
      </c>
      <c r="I44" s="23">
        <f t="shared" si="17"/>
        <v>363041.83763999998</v>
      </c>
      <c r="J44" s="23">
        <f t="shared" si="14"/>
        <v>0</v>
      </c>
      <c r="K44" s="23">
        <f t="shared" si="4"/>
        <v>185936.29261027643</v>
      </c>
      <c r="L44" s="23">
        <f t="shared" si="5"/>
        <v>202702.7028</v>
      </c>
      <c r="M44" s="75">
        <v>0</v>
      </c>
      <c r="N44" s="75">
        <v>0</v>
      </c>
      <c r="O44" s="89"/>
      <c r="P44" s="320">
        <f t="shared" si="15"/>
        <v>761227.4</v>
      </c>
      <c r="Q44" s="320"/>
      <c r="R44" s="224">
        <f t="shared" si="8"/>
        <v>784315.4</v>
      </c>
      <c r="S44" s="14">
        <f t="shared" si="16"/>
        <v>0.4</v>
      </c>
      <c r="T44" s="1">
        <f t="shared" si="9"/>
        <v>40</v>
      </c>
    </row>
    <row r="45" spans="1:21" ht="24.9" customHeight="1" x14ac:dyDescent="0.3">
      <c r="A45" s="17">
        <v>7</v>
      </c>
      <c r="B45" s="17">
        <v>41</v>
      </c>
      <c r="C45" s="17" t="s">
        <v>58</v>
      </c>
      <c r="D45" s="81">
        <v>4.4999999999999997E-3</v>
      </c>
      <c r="E45" s="229">
        <v>751681.41</v>
      </c>
      <c r="F45" s="100">
        <f>E45</f>
        <v>751681.41</v>
      </c>
      <c r="G45" s="62">
        <f t="shared" si="0"/>
        <v>0</v>
      </c>
      <c r="H45" s="22">
        <f t="shared" si="11"/>
        <v>0</v>
      </c>
      <c r="I45" s="23">
        <f t="shared" si="17"/>
        <v>363041.83763999998</v>
      </c>
      <c r="J45" s="23">
        <f t="shared" si="14"/>
        <v>0</v>
      </c>
      <c r="K45" s="23">
        <f t="shared" si="4"/>
        <v>185936.29261027643</v>
      </c>
      <c r="L45" s="23">
        <f t="shared" si="5"/>
        <v>202702.7028</v>
      </c>
      <c r="M45" s="75">
        <v>0</v>
      </c>
      <c r="N45" s="75">
        <v>0</v>
      </c>
      <c r="O45" s="89"/>
      <c r="P45" s="320">
        <f t="shared" si="15"/>
        <v>751681.41</v>
      </c>
      <c r="Q45" s="320"/>
      <c r="R45" s="224">
        <f t="shared" si="8"/>
        <v>774480.41</v>
      </c>
      <c r="S45" s="14">
        <f t="shared" si="16"/>
        <v>0.41</v>
      </c>
      <c r="T45" s="1">
        <f t="shared" si="9"/>
        <v>41</v>
      </c>
      <c r="U45" s="66" t="s">
        <v>219</v>
      </c>
    </row>
    <row r="46" spans="1:21" ht="24.9" customHeight="1" x14ac:dyDescent="0.3">
      <c r="A46" s="17">
        <v>8</v>
      </c>
      <c r="B46" s="17">
        <v>42</v>
      </c>
      <c r="C46" s="17" t="s">
        <v>59</v>
      </c>
      <c r="D46" s="81">
        <v>4.4999999999999997E-3</v>
      </c>
      <c r="E46" s="229">
        <v>751681.42</v>
      </c>
      <c r="F46" s="100">
        <f>E46</f>
        <v>751681.42</v>
      </c>
      <c r="G46" s="62">
        <f t="shared" si="0"/>
        <v>0</v>
      </c>
      <c r="H46" s="22">
        <f t="shared" si="11"/>
        <v>0</v>
      </c>
      <c r="I46" s="23">
        <f t="shared" si="17"/>
        <v>363041.83763999998</v>
      </c>
      <c r="J46" s="23">
        <f t="shared" si="14"/>
        <v>0</v>
      </c>
      <c r="K46" s="23">
        <f t="shared" si="4"/>
        <v>185936.29261027643</v>
      </c>
      <c r="L46" s="23">
        <f t="shared" si="5"/>
        <v>202702.7028</v>
      </c>
      <c r="M46" s="75">
        <v>0</v>
      </c>
      <c r="N46" s="75">
        <v>0</v>
      </c>
      <c r="O46" s="89"/>
      <c r="P46" s="320">
        <f t="shared" si="15"/>
        <v>751681.42</v>
      </c>
      <c r="Q46" s="320"/>
      <c r="R46" s="224">
        <f t="shared" si="8"/>
        <v>774480.42</v>
      </c>
      <c r="S46" s="14">
        <f t="shared" si="16"/>
        <v>0.42</v>
      </c>
      <c r="T46" s="1">
        <f t="shared" si="9"/>
        <v>42</v>
      </c>
      <c r="U46" t="s">
        <v>285</v>
      </c>
    </row>
    <row r="47" spans="1:21" ht="24.9" customHeight="1" x14ac:dyDescent="0.3">
      <c r="A47" s="17">
        <v>1</v>
      </c>
      <c r="B47" s="17">
        <v>43</v>
      </c>
      <c r="C47" s="17" t="s">
        <v>60</v>
      </c>
      <c r="D47" s="81">
        <v>3.5999999999999999E-3</v>
      </c>
      <c r="E47" s="229">
        <v>679072.43</v>
      </c>
      <c r="F47" s="100">
        <f>E47</f>
        <v>679072.43</v>
      </c>
      <c r="G47" s="62">
        <f t="shared" si="0"/>
        <v>0</v>
      </c>
      <c r="H47" s="22">
        <f t="shared" si="11"/>
        <v>0</v>
      </c>
      <c r="I47" s="23">
        <f t="shared" si="17"/>
        <v>290433.47011200001</v>
      </c>
      <c r="J47" s="23">
        <f t="shared" si="14"/>
        <v>0</v>
      </c>
      <c r="K47" s="23">
        <f t="shared" si="4"/>
        <v>185936.29261027643</v>
      </c>
      <c r="L47" s="23">
        <f t="shared" si="5"/>
        <v>202702.7028</v>
      </c>
      <c r="M47" s="75">
        <v>0</v>
      </c>
      <c r="N47" s="75">
        <v>0</v>
      </c>
      <c r="O47" s="89"/>
      <c r="P47" s="320">
        <f t="shared" si="15"/>
        <v>679072.43</v>
      </c>
      <c r="Q47" s="320"/>
      <c r="R47" s="224">
        <f t="shared" si="8"/>
        <v>699669.43</v>
      </c>
      <c r="S47" s="14">
        <f t="shared" si="16"/>
        <v>0.43</v>
      </c>
      <c r="T47" s="1">
        <f t="shared" si="9"/>
        <v>43</v>
      </c>
    </row>
    <row r="48" spans="1:21" ht="24.9" customHeight="1" x14ac:dyDescent="0.3">
      <c r="A48" s="17">
        <v>1</v>
      </c>
      <c r="B48" s="17">
        <v>44</v>
      </c>
      <c r="C48" s="17" t="s">
        <v>61</v>
      </c>
      <c r="D48" s="81">
        <v>4.1000000000000003E-3</v>
      </c>
      <c r="E48" s="229">
        <v>1408323.44</v>
      </c>
      <c r="F48" s="100"/>
      <c r="G48" s="62">
        <f t="shared" si="0"/>
        <v>1408323.44</v>
      </c>
      <c r="H48" s="22">
        <f t="shared" si="11"/>
        <v>43474.944592799999</v>
      </c>
      <c r="I48" s="23">
        <f t="shared" si="17"/>
        <v>330771.45207200001</v>
      </c>
      <c r="J48" s="23">
        <f t="shared" si="14"/>
        <v>0</v>
      </c>
      <c r="K48" s="23">
        <f t="shared" si="4"/>
        <v>185936.29261027643</v>
      </c>
      <c r="L48" s="23">
        <f t="shared" si="5"/>
        <v>202702.7028</v>
      </c>
      <c r="M48" s="75">
        <v>0</v>
      </c>
      <c r="N48" s="75">
        <v>0</v>
      </c>
      <c r="O48" s="89"/>
      <c r="P48" s="320">
        <f t="shared" si="15"/>
        <v>2171209.44</v>
      </c>
      <c r="Q48" s="320"/>
      <c r="R48" s="224">
        <f t="shared" si="8"/>
        <v>2237062.44</v>
      </c>
      <c r="S48" s="14">
        <f t="shared" si="16"/>
        <v>0.44</v>
      </c>
      <c r="T48" s="1">
        <f t="shared" si="9"/>
        <v>44</v>
      </c>
      <c r="U48" t="s">
        <v>308</v>
      </c>
    </row>
    <row r="49" spans="1:21" ht="24.9" customHeight="1" x14ac:dyDescent="0.3">
      <c r="A49" s="17">
        <v>2</v>
      </c>
      <c r="B49" s="17">
        <v>45</v>
      </c>
      <c r="C49" s="17" t="s">
        <v>62</v>
      </c>
      <c r="D49" s="81">
        <v>4.8999999999999998E-3</v>
      </c>
      <c r="E49" s="229">
        <v>783951.45</v>
      </c>
      <c r="F49" s="100">
        <f>E49</f>
        <v>783951.45</v>
      </c>
      <c r="G49" s="62">
        <f t="shared" si="0"/>
        <v>0</v>
      </c>
      <c r="H49" s="22">
        <f t="shared" si="11"/>
        <v>0</v>
      </c>
      <c r="I49" s="23">
        <f t="shared" si="17"/>
        <v>395312.22320800001</v>
      </c>
      <c r="J49" s="23">
        <f t="shared" si="14"/>
        <v>0</v>
      </c>
      <c r="K49" s="23">
        <f t="shared" si="4"/>
        <v>185936.29261027643</v>
      </c>
      <c r="L49" s="23">
        <f t="shared" si="5"/>
        <v>202702.7028</v>
      </c>
      <c r="M49" s="75">
        <v>0</v>
      </c>
      <c r="N49" s="75">
        <v>0</v>
      </c>
      <c r="O49" s="89"/>
      <c r="P49" s="320">
        <f t="shared" si="15"/>
        <v>783951.45</v>
      </c>
      <c r="Q49" s="320"/>
      <c r="R49" s="224">
        <f t="shared" si="8"/>
        <v>807729.45</v>
      </c>
      <c r="S49" s="14">
        <f t="shared" si="16"/>
        <v>0.45</v>
      </c>
      <c r="T49" s="1">
        <f t="shared" si="9"/>
        <v>45</v>
      </c>
    </row>
    <row r="50" spans="1:21" ht="24.9" customHeight="1" x14ac:dyDescent="0.3">
      <c r="A50" s="17">
        <v>2</v>
      </c>
      <c r="B50" s="17">
        <v>46</v>
      </c>
      <c r="C50" s="17" t="s">
        <v>63</v>
      </c>
      <c r="D50" s="81">
        <v>3.8999999999999998E-3</v>
      </c>
      <c r="E50" s="229">
        <v>1465896.46</v>
      </c>
      <c r="F50" s="100">
        <v>739784.46</v>
      </c>
      <c r="G50" s="62">
        <f t="shared" si="0"/>
        <v>726112</v>
      </c>
      <c r="H50" s="22">
        <f t="shared" si="11"/>
        <v>22415.077440000001</v>
      </c>
      <c r="I50" s="23">
        <f t="shared" si="17"/>
        <v>314636.259288</v>
      </c>
      <c r="J50" s="23">
        <f t="shared" si="14"/>
        <v>0</v>
      </c>
      <c r="K50" s="23">
        <f t="shared" si="4"/>
        <v>185936.29261027643</v>
      </c>
      <c r="L50" s="23">
        <f t="shared" si="5"/>
        <v>202702.7028</v>
      </c>
      <c r="M50" s="75">
        <v>0</v>
      </c>
      <c r="N50" s="75">
        <v>0</v>
      </c>
      <c r="O50" s="89"/>
      <c r="P50" s="320">
        <f t="shared" si="15"/>
        <v>1451802.46</v>
      </c>
      <c r="Q50" s="320"/>
      <c r="R50" s="224">
        <f t="shared" si="8"/>
        <v>1495836.46</v>
      </c>
      <c r="S50" s="14">
        <f t="shared" si="16"/>
        <v>0.46</v>
      </c>
      <c r="T50" s="1">
        <f t="shared" si="9"/>
        <v>46</v>
      </c>
      <c r="U50" t="s">
        <v>193</v>
      </c>
    </row>
    <row r="51" spans="1:21" ht="24.9" customHeight="1" x14ac:dyDescent="0.3">
      <c r="A51" s="17">
        <v>3</v>
      </c>
      <c r="B51" s="17">
        <v>47</v>
      </c>
      <c r="C51" s="17" t="s">
        <v>64</v>
      </c>
      <c r="D51" s="81">
        <v>4.4999999999999997E-3</v>
      </c>
      <c r="E51" s="229">
        <v>1535360.47</v>
      </c>
      <c r="F51" s="100"/>
      <c r="G51" s="62">
        <f t="shared" si="0"/>
        <v>1535360.47</v>
      </c>
      <c r="H51" s="22">
        <f t="shared" si="11"/>
        <v>47396.577708900004</v>
      </c>
      <c r="I51" s="23">
        <f t="shared" si="17"/>
        <v>363041.83763999998</v>
      </c>
      <c r="J51" s="23">
        <f t="shared" si="14"/>
        <v>0</v>
      </c>
      <c r="K51" s="23">
        <f t="shared" si="4"/>
        <v>185936.29261027643</v>
      </c>
      <c r="L51" s="23">
        <f t="shared" si="5"/>
        <v>202702.7028</v>
      </c>
      <c r="M51" s="75">
        <v>0</v>
      </c>
      <c r="N51" s="75">
        <v>0</v>
      </c>
      <c r="O51" s="89"/>
      <c r="P51" s="320">
        <f t="shared" si="15"/>
        <v>2334438.4700000002</v>
      </c>
      <c r="Q51" s="320"/>
      <c r="R51" s="224">
        <f t="shared" si="8"/>
        <v>2405242.4700000002</v>
      </c>
      <c r="S51" s="14">
        <f t="shared" si="16"/>
        <v>0.47</v>
      </c>
      <c r="T51" s="1">
        <f t="shared" si="9"/>
        <v>47</v>
      </c>
      <c r="U51" t="s">
        <v>312</v>
      </c>
    </row>
    <row r="52" spans="1:21" ht="24.9" customHeight="1" x14ac:dyDescent="0.3">
      <c r="A52" s="17">
        <v>3</v>
      </c>
      <c r="B52" s="17">
        <v>48</v>
      </c>
      <c r="C52" s="17" t="s">
        <v>188</v>
      </c>
      <c r="D52" s="81">
        <v>4.4999999999999997E-3</v>
      </c>
      <c r="E52" s="229">
        <v>2235263.48</v>
      </c>
      <c r="F52" s="100">
        <f>1090308.48+33658+2235263.48</f>
        <v>3359229.96</v>
      </c>
      <c r="G52" s="62">
        <f t="shared" si="0"/>
        <v>-1123966.48</v>
      </c>
      <c r="H52" s="22">
        <f t="shared" si="11"/>
        <v>0</v>
      </c>
      <c r="I52" s="23">
        <f t="shared" si="17"/>
        <v>363041.83763999998</v>
      </c>
      <c r="J52" s="23">
        <f t="shared" si="14"/>
        <v>0</v>
      </c>
      <c r="K52" s="23">
        <f t="shared" si="4"/>
        <v>185936.29261027643</v>
      </c>
      <c r="L52" s="23">
        <f t="shared" si="5"/>
        <v>202702.7028</v>
      </c>
      <c r="M52" s="75">
        <v>0</v>
      </c>
      <c r="N52" s="75">
        <f>(I52+K52)/2</f>
        <v>274489.06512513821</v>
      </c>
      <c r="O52" s="89"/>
      <c r="P52" s="320">
        <f t="shared" si="15"/>
        <v>-97796.52</v>
      </c>
      <c r="Q52" s="320"/>
      <c r="R52" s="224">
        <f t="shared" si="8"/>
        <v>-100762.52</v>
      </c>
      <c r="S52" s="14">
        <f t="shared" si="16"/>
        <v>0.48</v>
      </c>
      <c r="T52" s="1">
        <f t="shared" si="9"/>
        <v>48</v>
      </c>
      <c r="U52" s="13"/>
    </row>
    <row r="53" spans="1:21" ht="24.9" customHeight="1" x14ac:dyDescent="0.3">
      <c r="A53" s="17">
        <v>4</v>
      </c>
      <c r="B53" s="17">
        <v>49</v>
      </c>
      <c r="C53" s="17" t="s">
        <v>65</v>
      </c>
      <c r="D53" s="81">
        <v>4.4999999999999997E-3</v>
      </c>
      <c r="E53" s="229">
        <v>751681.49</v>
      </c>
      <c r="F53" s="100">
        <f t="shared" ref="F53:F54" si="18">E53</f>
        <v>751681.49</v>
      </c>
      <c r="G53" s="62">
        <f t="shared" si="0"/>
        <v>0</v>
      </c>
      <c r="H53" s="22">
        <f t="shared" si="11"/>
        <v>0</v>
      </c>
      <c r="I53" s="23">
        <f t="shared" si="17"/>
        <v>363041.83763999998</v>
      </c>
      <c r="J53" s="23">
        <f t="shared" si="14"/>
        <v>0</v>
      </c>
      <c r="K53" s="23">
        <f t="shared" si="4"/>
        <v>185936.29261027643</v>
      </c>
      <c r="L53" s="23">
        <f t="shared" si="5"/>
        <v>202702.7028</v>
      </c>
      <c r="M53" s="75">
        <v>0</v>
      </c>
      <c r="N53" s="75">
        <v>0</v>
      </c>
      <c r="O53" s="89"/>
      <c r="P53" s="320">
        <f t="shared" si="15"/>
        <v>751681.49</v>
      </c>
      <c r="Q53" s="320"/>
      <c r="R53" s="224">
        <f t="shared" si="8"/>
        <v>774480.49</v>
      </c>
      <c r="S53" s="14">
        <f t="shared" si="16"/>
        <v>0.49</v>
      </c>
      <c r="T53" s="1">
        <f t="shared" si="9"/>
        <v>49</v>
      </c>
      <c r="U53" t="s">
        <v>209</v>
      </c>
    </row>
    <row r="54" spans="1:21" ht="24.9" customHeight="1" x14ac:dyDescent="0.3">
      <c r="A54" s="17">
        <v>4</v>
      </c>
      <c r="B54" s="17">
        <v>50</v>
      </c>
      <c r="C54" s="17" t="s">
        <v>66</v>
      </c>
      <c r="D54" s="81">
        <v>4.4999999999999997E-3</v>
      </c>
      <c r="E54" s="229">
        <v>751681.5</v>
      </c>
      <c r="F54" s="100">
        <f t="shared" si="18"/>
        <v>751681.5</v>
      </c>
      <c r="G54" s="62">
        <f t="shared" si="0"/>
        <v>0</v>
      </c>
      <c r="H54" s="22">
        <f t="shared" si="11"/>
        <v>0</v>
      </c>
      <c r="I54" s="23">
        <f t="shared" si="17"/>
        <v>363041.83763999998</v>
      </c>
      <c r="J54" s="23">
        <f t="shared" si="14"/>
        <v>0</v>
      </c>
      <c r="K54" s="23">
        <f t="shared" si="4"/>
        <v>185936.29261027643</v>
      </c>
      <c r="L54" s="23">
        <f t="shared" si="5"/>
        <v>202702.7028</v>
      </c>
      <c r="M54" s="75">
        <v>0</v>
      </c>
      <c r="N54" s="75">
        <v>0</v>
      </c>
      <c r="O54" s="89"/>
      <c r="P54" s="320">
        <f t="shared" si="15"/>
        <v>751681.5</v>
      </c>
      <c r="Q54" s="320"/>
      <c r="R54" s="224">
        <f t="shared" si="8"/>
        <v>774480.5</v>
      </c>
      <c r="S54" s="14">
        <f t="shared" si="16"/>
        <v>0.5</v>
      </c>
      <c r="T54" s="1">
        <f t="shared" si="9"/>
        <v>50</v>
      </c>
      <c r="U54" t="s">
        <v>315</v>
      </c>
    </row>
    <row r="55" spans="1:21" ht="24.9" customHeight="1" x14ac:dyDescent="0.3">
      <c r="A55" s="17">
        <v>5</v>
      </c>
      <c r="B55" s="17">
        <v>51</v>
      </c>
      <c r="C55" s="17" t="s">
        <v>67</v>
      </c>
      <c r="D55" s="81">
        <v>4.4999999999999997E-3</v>
      </c>
      <c r="E55" s="229">
        <v>1082921.51</v>
      </c>
      <c r="F55" s="100">
        <f>E55</f>
        <v>1082921.51</v>
      </c>
      <c r="G55" s="62">
        <f t="shared" si="0"/>
        <v>0</v>
      </c>
      <c r="H55" s="22">
        <f t="shared" si="11"/>
        <v>0</v>
      </c>
      <c r="I55" s="23">
        <f t="shared" si="17"/>
        <v>363041.83763999998</v>
      </c>
      <c r="J55" s="23">
        <f t="shared" si="14"/>
        <v>0</v>
      </c>
      <c r="K55" s="23">
        <f t="shared" si="4"/>
        <v>185936.29261027643</v>
      </c>
      <c r="L55" s="23">
        <f t="shared" si="5"/>
        <v>202702.7028</v>
      </c>
      <c r="M55" s="75">
        <v>0</v>
      </c>
      <c r="N55" s="75">
        <f>(I55+K55)/2</f>
        <v>274489.06512513821</v>
      </c>
      <c r="O55" s="89"/>
      <c r="P55" s="320">
        <f t="shared" si="15"/>
        <v>1026170.51</v>
      </c>
      <c r="Q55" s="320"/>
      <c r="R55" s="224">
        <f t="shared" si="8"/>
        <v>1057294.51</v>
      </c>
      <c r="S55" s="14">
        <f t="shared" si="16"/>
        <v>0.51</v>
      </c>
      <c r="T55" s="1">
        <f t="shared" si="9"/>
        <v>51</v>
      </c>
      <c r="U55" t="s">
        <v>253</v>
      </c>
    </row>
    <row r="56" spans="1:21" ht="24.9" customHeight="1" x14ac:dyDescent="0.3">
      <c r="A56" s="17">
        <v>5</v>
      </c>
      <c r="B56" s="17">
        <v>52</v>
      </c>
      <c r="C56" s="17" t="s">
        <v>68</v>
      </c>
      <c r="D56" s="81">
        <v>4.5999999999999999E-3</v>
      </c>
      <c r="E56" s="229">
        <v>1550850.52</v>
      </c>
      <c r="F56" s="100">
        <f>767411.52+23690</f>
        <v>791101.52</v>
      </c>
      <c r="G56" s="63">
        <f t="shared" si="0"/>
        <v>759749</v>
      </c>
      <c r="H56" s="22">
        <f t="shared" si="11"/>
        <v>23453.45163</v>
      </c>
      <c r="I56" s="23">
        <f t="shared" si="17"/>
        <v>371109.43403200002</v>
      </c>
      <c r="J56" s="23">
        <f t="shared" si="14"/>
        <v>0</v>
      </c>
      <c r="K56" s="23">
        <f t="shared" si="4"/>
        <v>185936.29261027643</v>
      </c>
      <c r="L56" s="23">
        <f t="shared" si="5"/>
        <v>202702.7028</v>
      </c>
      <c r="M56" s="75">
        <v>0</v>
      </c>
      <c r="N56" s="75">
        <v>0</v>
      </c>
      <c r="O56" s="89"/>
      <c r="P56" s="320">
        <f t="shared" si="15"/>
        <v>1542951.52</v>
      </c>
      <c r="Q56" s="320"/>
      <c r="R56" s="224">
        <f t="shared" si="8"/>
        <v>1589749.52</v>
      </c>
      <c r="S56" s="14">
        <f t="shared" si="16"/>
        <v>0.52</v>
      </c>
      <c r="T56" s="1">
        <f t="shared" si="9"/>
        <v>52</v>
      </c>
      <c r="U56" t="s">
        <v>411</v>
      </c>
    </row>
    <row r="57" spans="1:21" ht="24.9" customHeight="1" x14ac:dyDescent="0.3">
      <c r="A57" s="17">
        <v>6</v>
      </c>
      <c r="B57" s="17">
        <v>53</v>
      </c>
      <c r="C57" s="17" t="s">
        <v>69</v>
      </c>
      <c r="D57" s="81">
        <v>4.4999999999999997E-3</v>
      </c>
      <c r="E57" s="229">
        <v>3102021.53</v>
      </c>
      <c r="F57" s="100">
        <v>1339166.2</v>
      </c>
      <c r="G57" s="62">
        <f t="shared" si="0"/>
        <v>1762855.3299999998</v>
      </c>
      <c r="H57" s="22">
        <f t="shared" si="11"/>
        <v>54419.344037099996</v>
      </c>
      <c r="I57" s="23">
        <f t="shared" si="17"/>
        <v>363041.83763999998</v>
      </c>
      <c r="J57" s="23">
        <f t="shared" si="14"/>
        <v>0</v>
      </c>
      <c r="K57" s="23">
        <f t="shared" si="4"/>
        <v>185936.29261027643</v>
      </c>
      <c r="L57" s="23">
        <f t="shared" si="5"/>
        <v>202702.7028</v>
      </c>
      <c r="M57" s="75">
        <v>0</v>
      </c>
      <c r="N57" s="75">
        <v>0</v>
      </c>
      <c r="O57" s="89"/>
      <c r="P57" s="320">
        <f t="shared" si="15"/>
        <v>2568956.5299999998</v>
      </c>
      <c r="Q57" s="320"/>
      <c r="R57" s="224">
        <f t="shared" si="8"/>
        <v>2646873.5299999998</v>
      </c>
      <c r="S57" s="14">
        <f t="shared" si="16"/>
        <v>0.53</v>
      </c>
      <c r="T57" s="1">
        <f t="shared" si="9"/>
        <v>53</v>
      </c>
    </row>
    <row r="58" spans="1:21" ht="24.9" customHeight="1" x14ac:dyDescent="0.3">
      <c r="A58" s="17">
        <v>6</v>
      </c>
      <c r="B58" s="17">
        <v>54</v>
      </c>
      <c r="C58" s="17" t="s">
        <v>70</v>
      </c>
      <c r="D58" s="81">
        <v>4.4999999999999997E-3</v>
      </c>
      <c r="E58" s="229">
        <v>751681.54</v>
      </c>
      <c r="F58" s="100">
        <f>E58</f>
        <v>751681.54</v>
      </c>
      <c r="G58" s="62">
        <f t="shared" si="0"/>
        <v>0</v>
      </c>
      <c r="H58" s="22">
        <f t="shared" si="11"/>
        <v>0</v>
      </c>
      <c r="I58" s="23">
        <f t="shared" si="17"/>
        <v>363041.83763999998</v>
      </c>
      <c r="J58" s="23">
        <f t="shared" si="14"/>
        <v>0</v>
      </c>
      <c r="K58" s="23">
        <f t="shared" si="4"/>
        <v>185936.29261027643</v>
      </c>
      <c r="L58" s="23">
        <f t="shared" si="5"/>
        <v>202702.7028</v>
      </c>
      <c r="M58" s="75">
        <v>0</v>
      </c>
      <c r="N58" s="75">
        <v>0</v>
      </c>
      <c r="O58" s="89"/>
      <c r="P58" s="320">
        <f t="shared" si="15"/>
        <v>751681.54</v>
      </c>
      <c r="Q58" s="320"/>
      <c r="R58" s="224">
        <f t="shared" si="8"/>
        <v>774480.54</v>
      </c>
      <c r="S58" s="14">
        <f t="shared" si="16"/>
        <v>0.54</v>
      </c>
      <c r="T58" s="1">
        <f t="shared" si="9"/>
        <v>54</v>
      </c>
      <c r="U58" t="s">
        <v>207</v>
      </c>
    </row>
    <row r="59" spans="1:21" ht="24.9" customHeight="1" x14ac:dyDescent="0.3">
      <c r="A59" s="17">
        <v>7</v>
      </c>
      <c r="B59" s="17">
        <v>55</v>
      </c>
      <c r="C59" s="17" t="s">
        <v>71</v>
      </c>
      <c r="D59" s="81">
        <v>4.4999999999999997E-3</v>
      </c>
      <c r="E59" s="229">
        <v>1535360.55</v>
      </c>
      <c r="F59" s="231">
        <f>E59</f>
        <v>1535360.55</v>
      </c>
      <c r="G59" s="62">
        <f t="shared" si="0"/>
        <v>0</v>
      </c>
      <c r="H59" s="22">
        <f t="shared" si="11"/>
        <v>0</v>
      </c>
      <c r="I59" s="23">
        <f t="shared" si="17"/>
        <v>363041.83763999998</v>
      </c>
      <c r="J59" s="23">
        <f t="shared" si="14"/>
        <v>0</v>
      </c>
      <c r="K59" s="23">
        <f t="shared" si="4"/>
        <v>185936.29261027643</v>
      </c>
      <c r="L59" s="23">
        <f t="shared" si="5"/>
        <v>202702.7028</v>
      </c>
      <c r="M59" s="75">
        <v>0</v>
      </c>
      <c r="N59" s="75">
        <v>0</v>
      </c>
      <c r="O59" s="89"/>
      <c r="P59" s="320">
        <f t="shared" si="15"/>
        <v>751681.55</v>
      </c>
      <c r="Q59" s="320"/>
      <c r="R59" s="224">
        <f t="shared" si="8"/>
        <v>774480.55</v>
      </c>
      <c r="S59" s="14">
        <f t="shared" si="16"/>
        <v>0.55000000000000004</v>
      </c>
      <c r="T59" s="1">
        <f t="shared" si="9"/>
        <v>55</v>
      </c>
      <c r="U59" t="s">
        <v>268</v>
      </c>
    </row>
    <row r="60" spans="1:21" ht="24.9" customHeight="1" x14ac:dyDescent="0.3">
      <c r="A60" s="17">
        <v>7</v>
      </c>
      <c r="B60" s="17">
        <v>56</v>
      </c>
      <c r="C60" s="17" t="s">
        <v>72</v>
      </c>
      <c r="D60" s="81">
        <v>4.4999999999999997E-3</v>
      </c>
      <c r="E60" s="229">
        <v>1082921.56</v>
      </c>
      <c r="F60" s="100">
        <f>E60</f>
        <v>1082921.56</v>
      </c>
      <c r="G60" s="62">
        <f t="shared" si="0"/>
        <v>0</v>
      </c>
      <c r="H60" s="22">
        <f t="shared" si="11"/>
        <v>0</v>
      </c>
      <c r="I60" s="23">
        <f t="shared" si="17"/>
        <v>363041.83763999998</v>
      </c>
      <c r="J60" s="23">
        <f t="shared" si="14"/>
        <v>0</v>
      </c>
      <c r="K60" s="23">
        <f t="shared" si="4"/>
        <v>185936.29261027643</v>
      </c>
      <c r="L60" s="23">
        <f t="shared" si="5"/>
        <v>202702.7028</v>
      </c>
      <c r="M60" s="75">
        <v>0</v>
      </c>
      <c r="N60" s="75">
        <f>(I60+K60)/2</f>
        <v>274489.06512513821</v>
      </c>
      <c r="O60" s="242"/>
      <c r="P60" s="320">
        <f t="shared" si="15"/>
        <v>1026170.56</v>
      </c>
      <c r="Q60" s="320"/>
      <c r="R60" s="224">
        <f t="shared" si="8"/>
        <v>1057294.56</v>
      </c>
      <c r="S60" s="14">
        <f t="shared" si="16"/>
        <v>0.56000000000000005</v>
      </c>
      <c r="T60" s="1">
        <f t="shared" si="9"/>
        <v>56</v>
      </c>
      <c r="U60" t="s">
        <v>197</v>
      </c>
    </row>
    <row r="61" spans="1:21" ht="24.9" customHeight="1" x14ac:dyDescent="0.3">
      <c r="A61" s="17">
        <v>8</v>
      </c>
      <c r="B61" s="17">
        <v>57</v>
      </c>
      <c r="C61" s="17" t="s">
        <v>73</v>
      </c>
      <c r="D61" s="81">
        <v>4.4999999999999997E-3</v>
      </c>
      <c r="E61" s="229">
        <v>751681.57</v>
      </c>
      <c r="F61" s="100">
        <f>E61</f>
        <v>751681.57</v>
      </c>
      <c r="G61" s="62">
        <f t="shared" si="0"/>
        <v>0</v>
      </c>
      <c r="H61" s="22">
        <f t="shared" si="11"/>
        <v>0</v>
      </c>
      <c r="I61" s="23">
        <f t="shared" si="17"/>
        <v>363041.83763999998</v>
      </c>
      <c r="J61" s="23">
        <f t="shared" si="14"/>
        <v>0</v>
      </c>
      <c r="K61" s="23">
        <f t="shared" si="4"/>
        <v>185936.29261027643</v>
      </c>
      <c r="L61" s="23">
        <f t="shared" si="5"/>
        <v>202702.7028</v>
      </c>
      <c r="M61" s="75">
        <v>0</v>
      </c>
      <c r="N61" s="75">
        <v>0</v>
      </c>
      <c r="O61" s="89"/>
      <c r="P61" s="320">
        <f t="shared" si="15"/>
        <v>751681.57</v>
      </c>
      <c r="Q61" s="320"/>
      <c r="R61" s="224">
        <f t="shared" si="8"/>
        <v>774480.57</v>
      </c>
      <c r="S61" s="14">
        <f t="shared" si="16"/>
        <v>0.56999999999999995</v>
      </c>
      <c r="T61" s="1">
        <f t="shared" si="9"/>
        <v>57</v>
      </c>
    </row>
    <row r="62" spans="1:21" ht="24.9" customHeight="1" x14ac:dyDescent="0.3">
      <c r="A62" s="17">
        <v>8</v>
      </c>
      <c r="B62" s="17">
        <v>58</v>
      </c>
      <c r="C62" s="17" t="s">
        <v>43</v>
      </c>
      <c r="D62" s="81">
        <v>4.4999999999999997E-3</v>
      </c>
      <c r="E62" s="229">
        <v>1535359.58</v>
      </c>
      <c r="F62" s="231">
        <f>E62</f>
        <v>1535359.58</v>
      </c>
      <c r="G62" s="62">
        <f t="shared" si="0"/>
        <v>0</v>
      </c>
      <c r="H62" s="22">
        <f t="shared" si="11"/>
        <v>0</v>
      </c>
      <c r="I62" s="23">
        <f t="shared" si="17"/>
        <v>363041.83763999998</v>
      </c>
      <c r="J62" s="23">
        <f t="shared" si="14"/>
        <v>0</v>
      </c>
      <c r="K62" s="23">
        <f t="shared" si="4"/>
        <v>185936.29261027643</v>
      </c>
      <c r="L62" s="23">
        <f t="shared" si="5"/>
        <v>202702.7028</v>
      </c>
      <c r="M62" s="75">
        <v>0</v>
      </c>
      <c r="N62" s="75">
        <v>0</v>
      </c>
      <c r="O62" s="89"/>
      <c r="P62" s="320">
        <f t="shared" si="15"/>
        <v>751681.58</v>
      </c>
      <c r="Q62" s="320"/>
      <c r="R62" s="224">
        <f t="shared" si="8"/>
        <v>774480.58</v>
      </c>
      <c r="S62" s="14">
        <f t="shared" si="16"/>
        <v>0.57999999999999996</v>
      </c>
      <c r="T62" s="1">
        <f t="shared" si="9"/>
        <v>58</v>
      </c>
    </row>
    <row r="63" spans="1:21" ht="24.9" customHeight="1" x14ac:dyDescent="0.3">
      <c r="A63" s="17">
        <v>9</v>
      </c>
      <c r="B63" s="17">
        <v>59</v>
      </c>
      <c r="C63" s="17" t="s">
        <v>74</v>
      </c>
      <c r="D63" s="81">
        <v>4.1000000000000003E-3</v>
      </c>
      <c r="E63" s="229">
        <v>710706.59</v>
      </c>
      <c r="F63" s="100"/>
      <c r="G63" s="62">
        <f t="shared" si="0"/>
        <v>710706.59</v>
      </c>
      <c r="H63" s="22">
        <f t="shared" si="11"/>
        <v>21939.512433299999</v>
      </c>
      <c r="I63" s="23">
        <f t="shared" si="17"/>
        <v>330771.45207200001</v>
      </c>
      <c r="J63" s="23">
        <f t="shared" si="14"/>
        <v>0</v>
      </c>
      <c r="K63" s="23">
        <f t="shared" si="4"/>
        <v>185936.29261027643</v>
      </c>
      <c r="L63" s="23">
        <f t="shared" si="5"/>
        <v>202702.7028</v>
      </c>
      <c r="M63" s="75">
        <v>0</v>
      </c>
      <c r="N63" s="75">
        <v>0</v>
      </c>
      <c r="O63" s="89"/>
      <c r="P63" s="320">
        <f t="shared" si="15"/>
        <v>1452057.59</v>
      </c>
      <c r="Q63" s="320"/>
      <c r="R63" s="224">
        <f t="shared" si="8"/>
        <v>1496098.59</v>
      </c>
      <c r="S63" s="14">
        <f t="shared" si="16"/>
        <v>0.59</v>
      </c>
      <c r="T63" s="1">
        <f t="shared" si="9"/>
        <v>59</v>
      </c>
      <c r="U63" t="s">
        <v>269</v>
      </c>
    </row>
    <row r="64" spans="1:21" ht="24.9" customHeight="1" x14ac:dyDescent="0.3">
      <c r="A64" s="188">
        <v>9</v>
      </c>
      <c r="B64" s="17">
        <v>60</v>
      </c>
      <c r="C64" s="17" t="s">
        <v>75</v>
      </c>
      <c r="D64" s="81">
        <v>4.4999999999999997E-3</v>
      </c>
      <c r="E64" s="229">
        <v>750427.6</v>
      </c>
      <c r="F64" s="100">
        <v>750500</v>
      </c>
      <c r="G64" s="62">
        <f>E64-F64</f>
        <v>-72.400000000023283</v>
      </c>
      <c r="H64" s="22">
        <f t="shared" si="11"/>
        <v>0</v>
      </c>
      <c r="I64" s="23">
        <f t="shared" si="17"/>
        <v>363041.83763999998</v>
      </c>
      <c r="J64" s="23">
        <f t="shared" si="14"/>
        <v>0</v>
      </c>
      <c r="K64" s="23">
        <f t="shared" si="4"/>
        <v>185936.29261027643</v>
      </c>
      <c r="L64" s="23">
        <f t="shared" si="5"/>
        <v>202702.7028</v>
      </c>
      <c r="M64" s="75">
        <v>0</v>
      </c>
      <c r="N64" s="75">
        <v>0</v>
      </c>
      <c r="O64" s="89"/>
      <c r="P64" s="320">
        <f t="shared" si="15"/>
        <v>751608.6</v>
      </c>
      <c r="Q64" s="320"/>
      <c r="R64" s="224">
        <f t="shared" si="8"/>
        <v>774405.6</v>
      </c>
      <c r="S64" s="14">
        <f t="shared" si="16"/>
        <v>0.6</v>
      </c>
      <c r="T64" s="1">
        <f t="shared" si="9"/>
        <v>60</v>
      </c>
      <c r="U64" t="s">
        <v>216</v>
      </c>
    </row>
    <row r="65" spans="1:21" ht="24.9" customHeight="1" x14ac:dyDescent="0.3">
      <c r="A65" s="192">
        <v>10</v>
      </c>
      <c r="B65" s="17">
        <v>61</v>
      </c>
      <c r="C65" s="17" t="s">
        <v>76</v>
      </c>
      <c r="D65" s="81">
        <v>4.4999999999999997E-3</v>
      </c>
      <c r="E65" s="229">
        <v>751676.61</v>
      </c>
      <c r="F65" s="100">
        <f>500000+252000</f>
        <v>752000</v>
      </c>
      <c r="G65" s="62">
        <f t="shared" si="0"/>
        <v>-323.39000000001397</v>
      </c>
      <c r="H65" s="22">
        <f t="shared" si="11"/>
        <v>0</v>
      </c>
      <c r="I65" s="23">
        <f t="shared" si="17"/>
        <v>363041.83763999998</v>
      </c>
      <c r="J65" s="23">
        <f t="shared" si="14"/>
        <v>0</v>
      </c>
      <c r="K65" s="23">
        <f t="shared" si="4"/>
        <v>185936.29261027643</v>
      </c>
      <c r="L65" s="23">
        <f t="shared" si="5"/>
        <v>202702.7028</v>
      </c>
      <c r="M65" s="75">
        <v>0</v>
      </c>
      <c r="N65" s="75">
        <v>0</v>
      </c>
      <c r="O65" s="89"/>
      <c r="P65" s="320">
        <f t="shared" si="15"/>
        <v>751357.61</v>
      </c>
      <c r="Q65" s="320"/>
      <c r="R65" s="224">
        <f t="shared" si="8"/>
        <v>774146.61</v>
      </c>
      <c r="S65" s="14">
        <f t="shared" si="16"/>
        <v>0.61</v>
      </c>
      <c r="T65" s="1">
        <f t="shared" si="9"/>
        <v>61</v>
      </c>
      <c r="U65" s="66" t="s">
        <v>215</v>
      </c>
    </row>
    <row r="66" spans="1:21" ht="24.9" customHeight="1" x14ac:dyDescent="0.3">
      <c r="A66" s="17">
        <v>10</v>
      </c>
      <c r="B66" s="17">
        <v>62</v>
      </c>
      <c r="C66" s="17" t="s">
        <v>77</v>
      </c>
      <c r="D66" s="81">
        <v>4.1000000000000003E-3</v>
      </c>
      <c r="E66" s="229">
        <v>1029471.62</v>
      </c>
      <c r="F66" s="100">
        <f t="shared" ref="F66:F70" si="19">E66</f>
        <v>1029471.62</v>
      </c>
      <c r="G66" s="62">
        <f t="shared" si="0"/>
        <v>0</v>
      </c>
      <c r="H66" s="22">
        <f t="shared" si="11"/>
        <v>0</v>
      </c>
      <c r="I66" s="23">
        <f t="shared" si="17"/>
        <v>330771.45207200001</v>
      </c>
      <c r="J66" s="23">
        <f t="shared" si="14"/>
        <v>0</v>
      </c>
      <c r="K66" s="23">
        <f t="shared" si="4"/>
        <v>185936.29261027643</v>
      </c>
      <c r="L66" s="23">
        <f t="shared" si="5"/>
        <v>202702.7028</v>
      </c>
      <c r="M66" s="75">
        <v>0</v>
      </c>
      <c r="N66" s="75">
        <f>(I66+K66)/2</f>
        <v>258353.87234113822</v>
      </c>
      <c r="O66" s="89"/>
      <c r="P66" s="320">
        <f t="shared" si="15"/>
        <v>977764.62</v>
      </c>
      <c r="Q66" s="320"/>
      <c r="R66" s="224">
        <f t="shared" si="8"/>
        <v>1007420.62</v>
      </c>
      <c r="S66" s="14">
        <f t="shared" si="16"/>
        <v>0.62</v>
      </c>
      <c r="T66" s="1">
        <f t="shared" si="9"/>
        <v>62</v>
      </c>
    </row>
    <row r="67" spans="1:21" ht="24.9" customHeight="1" x14ac:dyDescent="0.3">
      <c r="A67" s="17">
        <v>11</v>
      </c>
      <c r="B67" s="17">
        <v>63</v>
      </c>
      <c r="C67" s="17" t="s">
        <v>78</v>
      </c>
      <c r="D67" s="81">
        <v>4.4999999999999997E-3</v>
      </c>
      <c r="E67" s="229">
        <v>751681.63</v>
      </c>
      <c r="F67" s="100">
        <f t="shared" si="19"/>
        <v>751681.63</v>
      </c>
      <c r="G67" s="62">
        <f>E67-F67</f>
        <v>0</v>
      </c>
      <c r="H67" s="22">
        <f t="shared" si="11"/>
        <v>0</v>
      </c>
      <c r="I67" s="23">
        <f t="shared" si="17"/>
        <v>363041.83763999998</v>
      </c>
      <c r="J67" s="23">
        <f t="shared" si="14"/>
        <v>0</v>
      </c>
      <c r="K67" s="23">
        <f t="shared" si="4"/>
        <v>185936.29261027643</v>
      </c>
      <c r="L67" s="23">
        <f t="shared" si="5"/>
        <v>202702.7028</v>
      </c>
      <c r="M67" s="75">
        <v>0</v>
      </c>
      <c r="N67" s="75">
        <v>0</v>
      </c>
      <c r="O67" s="89"/>
      <c r="P67" s="320">
        <f t="shared" si="15"/>
        <v>751681.63</v>
      </c>
      <c r="Q67" s="320"/>
      <c r="R67" s="224">
        <f t="shared" si="8"/>
        <v>774480.63</v>
      </c>
      <c r="S67" s="14">
        <f t="shared" si="16"/>
        <v>0.63</v>
      </c>
      <c r="T67" s="1">
        <f t="shared" si="9"/>
        <v>63</v>
      </c>
      <c r="U67" t="s">
        <v>200</v>
      </c>
    </row>
    <row r="68" spans="1:21" ht="24.9" customHeight="1" x14ac:dyDescent="0.3">
      <c r="A68" s="17">
        <v>11</v>
      </c>
      <c r="B68" s="17">
        <v>64</v>
      </c>
      <c r="C68" s="17" t="s">
        <v>79</v>
      </c>
      <c r="D68" s="81">
        <v>4.4999999999999997E-3</v>
      </c>
      <c r="E68" s="229">
        <v>701681.64</v>
      </c>
      <c r="F68" s="100"/>
      <c r="G68" s="62">
        <f t="shared" si="0"/>
        <v>701681.64</v>
      </c>
      <c r="H68" s="22">
        <f t="shared" si="11"/>
        <v>21660.912226800003</v>
      </c>
      <c r="I68" s="23">
        <f t="shared" si="17"/>
        <v>363041.83763999998</v>
      </c>
      <c r="J68" s="23">
        <f t="shared" si="14"/>
        <v>0</v>
      </c>
      <c r="K68" s="23">
        <f t="shared" si="4"/>
        <v>185936.29261027643</v>
      </c>
      <c r="L68" s="23">
        <f t="shared" si="5"/>
        <v>202702.7028</v>
      </c>
      <c r="M68" s="75">
        <v>0</v>
      </c>
      <c r="N68" s="75">
        <v>0</v>
      </c>
      <c r="O68" s="89"/>
      <c r="P68" s="320">
        <f t="shared" si="15"/>
        <v>1475023.64</v>
      </c>
      <c r="Q68" s="320"/>
      <c r="R68" s="224">
        <f t="shared" si="8"/>
        <v>1519761.64</v>
      </c>
      <c r="S68" s="14">
        <f t="shared" si="16"/>
        <v>0.64</v>
      </c>
      <c r="T68" s="1">
        <f t="shared" si="9"/>
        <v>64</v>
      </c>
      <c r="U68" t="s">
        <v>228</v>
      </c>
    </row>
    <row r="69" spans="1:21" ht="24.9" customHeight="1" x14ac:dyDescent="0.3">
      <c r="A69" s="17">
        <v>12</v>
      </c>
      <c r="B69" s="17">
        <v>65</v>
      </c>
      <c r="C69" s="17" t="s">
        <v>80</v>
      </c>
      <c r="D69" s="81">
        <v>4.4999999999999997E-3</v>
      </c>
      <c r="E69" s="229">
        <v>751681.65</v>
      </c>
      <c r="F69" s="100">
        <f t="shared" si="19"/>
        <v>751681.65</v>
      </c>
      <c r="G69" s="62">
        <f t="shared" ref="G69:G157" si="20">E69-F69</f>
        <v>0</v>
      </c>
      <c r="H69" s="22">
        <f t="shared" si="11"/>
        <v>0</v>
      </c>
      <c r="I69" s="23">
        <f t="shared" si="17"/>
        <v>363041.83763999998</v>
      </c>
      <c r="J69" s="23">
        <f t="shared" ref="J69:J100" si="21">P$2*D69</f>
        <v>0</v>
      </c>
      <c r="K69" s="23">
        <f t="shared" si="4"/>
        <v>185936.29261027643</v>
      </c>
      <c r="L69" s="23">
        <f t="shared" si="5"/>
        <v>202702.7028</v>
      </c>
      <c r="M69" s="75">
        <v>0</v>
      </c>
      <c r="N69" s="75">
        <v>0</v>
      </c>
      <c r="O69" s="89"/>
      <c r="P69" s="320">
        <f t="shared" ref="P69:P100" si="22">ROUND(SUM(G69:O69),0) + S69</f>
        <v>751681.65</v>
      </c>
      <c r="Q69" s="320"/>
      <c r="R69" s="224">
        <f t="shared" si="8"/>
        <v>774480.65</v>
      </c>
      <c r="S69" s="14">
        <f t="shared" ref="S69:S100" si="23">ROUND(0.001+B69/100,2)</f>
        <v>0.65</v>
      </c>
      <c r="T69" s="1">
        <f t="shared" si="9"/>
        <v>65</v>
      </c>
    </row>
    <row r="70" spans="1:21" ht="24.9" customHeight="1" x14ac:dyDescent="0.3">
      <c r="A70" s="17">
        <v>12</v>
      </c>
      <c r="B70" s="17">
        <v>66</v>
      </c>
      <c r="C70" s="17" t="s">
        <v>81</v>
      </c>
      <c r="D70" s="81">
        <v>4.4999999999999997E-3</v>
      </c>
      <c r="E70" s="229">
        <v>751681.66</v>
      </c>
      <c r="F70" s="100">
        <f t="shared" si="19"/>
        <v>751681.66</v>
      </c>
      <c r="G70" s="62">
        <f t="shared" si="20"/>
        <v>0</v>
      </c>
      <c r="H70" s="22">
        <f t="shared" si="11"/>
        <v>0</v>
      </c>
      <c r="I70" s="23">
        <f t="shared" si="17"/>
        <v>363041.83763999998</v>
      </c>
      <c r="J70" s="23">
        <f t="shared" si="21"/>
        <v>0</v>
      </c>
      <c r="K70" s="23">
        <f t="shared" ref="K70:K133" si="24">G$2*0.675675676%</f>
        <v>185936.29261027643</v>
      </c>
      <c r="L70" s="23">
        <f t="shared" ref="L70:L133" si="25">P$1*0.675675676%</f>
        <v>202702.7028</v>
      </c>
      <c r="M70" s="75">
        <v>0</v>
      </c>
      <c r="N70" s="75">
        <v>0</v>
      </c>
      <c r="O70" s="89"/>
      <c r="P70" s="320">
        <f t="shared" si="22"/>
        <v>751681.66</v>
      </c>
      <c r="Q70" s="320"/>
      <c r="R70" s="224">
        <f t="shared" ref="R70:R133" si="26">ROUND(P70+P70*3.033%,0) + S70</f>
        <v>774480.66</v>
      </c>
      <c r="S70" s="14">
        <f t="shared" si="23"/>
        <v>0.66</v>
      </c>
      <c r="T70" s="1">
        <f t="shared" ref="T70:T133" si="27">B70</f>
        <v>66</v>
      </c>
      <c r="U70" t="s">
        <v>255</v>
      </c>
    </row>
    <row r="71" spans="1:21" ht="24.9" customHeight="1" x14ac:dyDescent="0.3">
      <c r="A71" s="17">
        <v>1</v>
      </c>
      <c r="B71" s="17">
        <v>67</v>
      </c>
      <c r="C71" s="17" t="s">
        <v>82</v>
      </c>
      <c r="D71" s="81">
        <v>4.4999999999999997E-3</v>
      </c>
      <c r="E71" s="229">
        <v>1535153.67</v>
      </c>
      <c r="F71" s="100">
        <f>1533200+10000</f>
        <v>1543200</v>
      </c>
      <c r="G71" s="62">
        <f t="shared" si="20"/>
        <v>-8046.3300000000745</v>
      </c>
      <c r="H71" s="22">
        <f t="shared" ref="H71:H134" si="28">IF(G71&gt;0,G71*3.087%,0)</f>
        <v>0</v>
      </c>
      <c r="I71" s="23">
        <f t="shared" si="17"/>
        <v>363041.83763999998</v>
      </c>
      <c r="J71" s="23">
        <f t="shared" si="21"/>
        <v>0</v>
      </c>
      <c r="K71" s="23">
        <f t="shared" si="24"/>
        <v>185936.29261027643</v>
      </c>
      <c r="L71" s="23">
        <f t="shared" si="25"/>
        <v>202702.7028</v>
      </c>
      <c r="M71" s="75">
        <v>0</v>
      </c>
      <c r="N71" s="75">
        <v>0</v>
      </c>
      <c r="O71" s="89"/>
      <c r="P71" s="320">
        <f t="shared" si="22"/>
        <v>743635.67</v>
      </c>
      <c r="Q71" s="320"/>
      <c r="R71" s="224">
        <f t="shared" si="26"/>
        <v>766190.67</v>
      </c>
      <c r="S71" s="14">
        <f t="shared" si="23"/>
        <v>0.67</v>
      </c>
      <c r="T71" s="1">
        <f t="shared" si="27"/>
        <v>67</v>
      </c>
      <c r="U71" t="s">
        <v>272</v>
      </c>
    </row>
    <row r="72" spans="1:21" ht="24.9" customHeight="1" x14ac:dyDescent="0.3">
      <c r="A72" s="17"/>
      <c r="B72" s="17">
        <f>B71+1</f>
        <v>68</v>
      </c>
      <c r="C72" s="17" t="s">
        <v>86</v>
      </c>
      <c r="D72" s="81">
        <v>4.4999999999999997E-3</v>
      </c>
      <c r="E72" s="229">
        <v>2177566.6800000002</v>
      </c>
      <c r="F72" s="100"/>
      <c r="G72" s="62">
        <f t="shared" si="20"/>
        <v>2177566.6800000002</v>
      </c>
      <c r="H72" s="22">
        <f t="shared" si="28"/>
        <v>67221.483411600013</v>
      </c>
      <c r="I72" s="23">
        <f t="shared" si="17"/>
        <v>363041.83763999998</v>
      </c>
      <c r="J72" s="23">
        <f t="shared" si="21"/>
        <v>0</v>
      </c>
      <c r="K72" s="23">
        <f t="shared" si="24"/>
        <v>185936.29261027643</v>
      </c>
      <c r="L72" s="23">
        <f t="shared" si="25"/>
        <v>202702.7028</v>
      </c>
      <c r="M72" s="75">
        <v>0</v>
      </c>
      <c r="N72" s="75">
        <f>(I72+K72)/2</f>
        <v>274489.06512513821</v>
      </c>
      <c r="O72" s="89"/>
      <c r="P72" s="320">
        <f t="shared" si="22"/>
        <v>3270958.68</v>
      </c>
      <c r="Q72" s="320"/>
      <c r="R72" s="224">
        <f t="shared" si="26"/>
        <v>3370167.68</v>
      </c>
      <c r="S72" s="14">
        <f t="shared" si="23"/>
        <v>0.68</v>
      </c>
      <c r="T72" s="1">
        <f t="shared" si="27"/>
        <v>68</v>
      </c>
    </row>
    <row r="73" spans="1:21" ht="24.9" customHeight="1" x14ac:dyDescent="0.3">
      <c r="A73" s="192"/>
      <c r="B73" s="17">
        <f t="shared" ref="B73:B136" si="29">B72+1</f>
        <v>69</v>
      </c>
      <c r="C73" s="17" t="s">
        <v>87</v>
      </c>
      <c r="D73" s="81">
        <v>3.5999999999999999E-3</v>
      </c>
      <c r="E73" s="229">
        <v>1541168.69</v>
      </c>
      <c r="F73" s="100">
        <f>695411.69+21467+824290</f>
        <v>1541168.69</v>
      </c>
      <c r="G73" s="62">
        <f t="shared" si="20"/>
        <v>0</v>
      </c>
      <c r="H73" s="22">
        <f t="shared" si="28"/>
        <v>0</v>
      </c>
      <c r="I73" s="23">
        <f t="shared" si="17"/>
        <v>290433.47011200001</v>
      </c>
      <c r="J73" s="23">
        <f t="shared" si="21"/>
        <v>0</v>
      </c>
      <c r="K73" s="23">
        <f t="shared" si="24"/>
        <v>185936.29261027643</v>
      </c>
      <c r="L73" s="23">
        <f t="shared" si="25"/>
        <v>202702.7028</v>
      </c>
      <c r="M73" s="75">
        <v>0</v>
      </c>
      <c r="N73" s="75">
        <v>0</v>
      </c>
      <c r="P73" s="320">
        <f t="shared" si="22"/>
        <v>679072.69</v>
      </c>
      <c r="Q73" s="320"/>
      <c r="R73" s="224">
        <f t="shared" si="26"/>
        <v>699669.69</v>
      </c>
      <c r="S73" s="14">
        <f t="shared" si="23"/>
        <v>0.69</v>
      </c>
      <c r="T73" s="1">
        <f t="shared" si="27"/>
        <v>69</v>
      </c>
      <c r="U73" t="s">
        <v>213</v>
      </c>
    </row>
    <row r="74" spans="1:21" ht="24.9" customHeight="1" x14ac:dyDescent="0.3">
      <c r="A74" s="17"/>
      <c r="B74" s="17">
        <f t="shared" si="29"/>
        <v>70</v>
      </c>
      <c r="C74" s="17" t="s">
        <v>88</v>
      </c>
      <c r="D74" s="81">
        <v>4.4000000000000003E-3</v>
      </c>
      <c r="E74" s="229">
        <v>1519871.7</v>
      </c>
      <c r="F74" s="100"/>
      <c r="G74" s="62">
        <f t="shared" si="20"/>
        <v>1519871.7</v>
      </c>
      <c r="H74" s="22">
        <f t="shared" si="28"/>
        <v>46918.439379000003</v>
      </c>
      <c r="I74" s="23">
        <f t="shared" si="17"/>
        <v>354974.24124800001</v>
      </c>
      <c r="J74" s="23">
        <f t="shared" si="21"/>
        <v>0</v>
      </c>
      <c r="K74" s="23">
        <f t="shared" si="24"/>
        <v>185936.29261027643</v>
      </c>
      <c r="L74" s="23">
        <f t="shared" si="25"/>
        <v>202702.7028</v>
      </c>
      <c r="M74" s="75">
        <v>0</v>
      </c>
      <c r="N74" s="75">
        <v>0</v>
      </c>
      <c r="O74" s="89"/>
      <c r="P74" s="320">
        <f t="shared" si="22"/>
        <v>2310403.7000000002</v>
      </c>
      <c r="Q74" s="320"/>
      <c r="R74" s="224">
        <f t="shared" si="26"/>
        <v>2380478.7000000002</v>
      </c>
      <c r="S74" s="14">
        <f t="shared" si="23"/>
        <v>0.7</v>
      </c>
      <c r="T74" s="1">
        <f t="shared" si="27"/>
        <v>70</v>
      </c>
      <c r="U74" t="s">
        <v>258</v>
      </c>
    </row>
    <row r="75" spans="1:21" ht="24.9" customHeight="1" x14ac:dyDescent="0.3">
      <c r="A75" s="17"/>
      <c r="B75" s="17">
        <f t="shared" si="29"/>
        <v>71</v>
      </c>
      <c r="C75" s="17" t="s">
        <v>89</v>
      </c>
      <c r="D75" s="81">
        <v>4.0000000000000001E-3</v>
      </c>
      <c r="E75" s="229">
        <v>2431147.71</v>
      </c>
      <c r="F75" s="100"/>
      <c r="G75" s="62">
        <f t="shared" si="20"/>
        <v>2431147.71</v>
      </c>
      <c r="H75" s="22">
        <f t="shared" si="28"/>
        <v>75049.529807700004</v>
      </c>
      <c r="I75" s="23">
        <f t="shared" si="17"/>
        <v>322703.85568000004</v>
      </c>
      <c r="J75" s="23">
        <f t="shared" si="21"/>
        <v>0</v>
      </c>
      <c r="K75" s="23">
        <f t="shared" si="24"/>
        <v>185936.29261027643</v>
      </c>
      <c r="L75" s="23">
        <f t="shared" si="25"/>
        <v>202702.7028</v>
      </c>
      <c r="M75" s="75">
        <v>0</v>
      </c>
      <c r="N75" s="75">
        <v>0</v>
      </c>
      <c r="O75" s="89"/>
      <c r="P75" s="320">
        <f t="shared" si="22"/>
        <v>3217540.71</v>
      </c>
      <c r="Q75" s="320"/>
      <c r="R75" s="224">
        <f t="shared" si="26"/>
        <v>3315129.71</v>
      </c>
      <c r="S75" s="14">
        <f t="shared" si="23"/>
        <v>0.71</v>
      </c>
      <c r="T75" s="1">
        <f t="shared" si="27"/>
        <v>71</v>
      </c>
      <c r="U75" t="s">
        <v>316</v>
      </c>
    </row>
    <row r="76" spans="1:21" ht="24.9" customHeight="1" x14ac:dyDescent="0.3">
      <c r="A76" s="17"/>
      <c r="B76" s="17">
        <f t="shared" si="29"/>
        <v>72</v>
      </c>
      <c r="C76" s="17" t="s">
        <v>90</v>
      </c>
      <c r="D76" s="81">
        <v>4.0000000000000001E-3</v>
      </c>
      <c r="E76" s="229">
        <v>710647.72</v>
      </c>
      <c r="F76" s="100">
        <f>210000+437000+27000+46000</f>
        <v>720000</v>
      </c>
      <c r="G76" s="62">
        <f t="shared" si="20"/>
        <v>-9352.2800000000279</v>
      </c>
      <c r="H76" s="22">
        <f t="shared" si="28"/>
        <v>0</v>
      </c>
      <c r="I76" s="23">
        <f t="shared" si="17"/>
        <v>322703.85568000004</v>
      </c>
      <c r="J76" s="23">
        <f t="shared" si="21"/>
        <v>0</v>
      </c>
      <c r="K76" s="23">
        <f t="shared" si="24"/>
        <v>185936.29261027643</v>
      </c>
      <c r="L76" s="23">
        <f t="shared" si="25"/>
        <v>202702.7028</v>
      </c>
      <c r="M76" s="75">
        <v>0</v>
      </c>
      <c r="N76" s="75">
        <v>0</v>
      </c>
      <c r="O76" s="89"/>
      <c r="P76" s="320">
        <f t="shared" si="22"/>
        <v>701991.72</v>
      </c>
      <c r="Q76" s="320"/>
      <c r="R76" s="224">
        <f t="shared" si="26"/>
        <v>723283.72</v>
      </c>
      <c r="S76" s="14">
        <f t="shared" si="23"/>
        <v>0.72</v>
      </c>
      <c r="T76" s="1">
        <f t="shared" si="27"/>
        <v>72</v>
      </c>
      <c r="U76" t="s">
        <v>198</v>
      </c>
    </row>
    <row r="77" spans="1:21" ht="24.9" customHeight="1" x14ac:dyDescent="0.3">
      <c r="A77" s="191"/>
      <c r="B77" s="17">
        <f t="shared" si="29"/>
        <v>73</v>
      </c>
      <c r="C77" s="17" t="s">
        <v>91</v>
      </c>
      <c r="D77" s="81">
        <v>4.0000000000000001E-3</v>
      </c>
      <c r="E77" s="229">
        <v>711141.73</v>
      </c>
      <c r="F77" s="100">
        <v>712000</v>
      </c>
      <c r="G77" s="62">
        <f t="shared" si="20"/>
        <v>-858.27000000001863</v>
      </c>
      <c r="H77" s="22">
        <f t="shared" si="28"/>
        <v>0</v>
      </c>
      <c r="I77" s="23">
        <f t="shared" si="17"/>
        <v>322703.85568000004</v>
      </c>
      <c r="J77" s="23">
        <f t="shared" si="21"/>
        <v>0</v>
      </c>
      <c r="K77" s="23">
        <f t="shared" si="24"/>
        <v>185936.29261027643</v>
      </c>
      <c r="L77" s="23">
        <f t="shared" si="25"/>
        <v>202702.7028</v>
      </c>
      <c r="M77" s="75">
        <v>0</v>
      </c>
      <c r="N77" s="75">
        <v>0</v>
      </c>
      <c r="O77" s="89"/>
      <c r="P77" s="320">
        <f t="shared" si="22"/>
        <v>710485.73</v>
      </c>
      <c r="Q77" s="320"/>
      <c r="R77" s="224">
        <f t="shared" si="26"/>
        <v>732035.73</v>
      </c>
      <c r="S77" s="14">
        <f t="shared" si="23"/>
        <v>0.73</v>
      </c>
      <c r="T77" s="1">
        <f t="shared" si="27"/>
        <v>73</v>
      </c>
    </row>
    <row r="78" spans="1:21" ht="24.9" customHeight="1" x14ac:dyDescent="0.3">
      <c r="A78" s="17"/>
      <c r="B78" s="17">
        <f t="shared" si="29"/>
        <v>74</v>
      </c>
      <c r="C78" s="17" t="s">
        <v>92</v>
      </c>
      <c r="D78" s="81">
        <v>4.4000000000000003E-3</v>
      </c>
      <c r="E78" s="229">
        <v>1519870.74</v>
      </c>
      <c r="F78" s="100"/>
      <c r="G78" s="62">
        <f t="shared" si="20"/>
        <v>1519870.74</v>
      </c>
      <c r="H78" s="22">
        <f t="shared" si="28"/>
        <v>46918.409743800003</v>
      </c>
      <c r="I78" s="23">
        <f t="shared" si="17"/>
        <v>354974.24124800001</v>
      </c>
      <c r="J78" s="23">
        <f t="shared" si="21"/>
        <v>0</v>
      </c>
      <c r="K78" s="23">
        <f t="shared" si="24"/>
        <v>185936.29261027643</v>
      </c>
      <c r="L78" s="23">
        <f t="shared" si="25"/>
        <v>202702.7028</v>
      </c>
      <c r="M78" s="75">
        <v>0</v>
      </c>
      <c r="N78" s="75">
        <v>0</v>
      </c>
      <c r="O78" s="89"/>
      <c r="P78" s="320">
        <f t="shared" si="22"/>
        <v>2310402.7400000002</v>
      </c>
      <c r="Q78" s="320"/>
      <c r="R78" s="224">
        <f t="shared" si="26"/>
        <v>2380477.7400000002</v>
      </c>
      <c r="S78" s="14">
        <f t="shared" si="23"/>
        <v>0.74</v>
      </c>
      <c r="T78" s="1">
        <f t="shared" si="27"/>
        <v>74</v>
      </c>
    </row>
    <row r="79" spans="1:21" ht="24.9" customHeight="1" x14ac:dyDescent="0.3">
      <c r="A79" s="17"/>
      <c r="B79" s="17">
        <f t="shared" si="29"/>
        <v>75</v>
      </c>
      <c r="C79" s="17" t="s">
        <v>246</v>
      </c>
      <c r="D79" s="81">
        <v>4.1000000000000003E-3</v>
      </c>
      <c r="E79" s="229">
        <v>719410.75</v>
      </c>
      <c r="F79" s="100">
        <f>E79</f>
        <v>719410.75</v>
      </c>
      <c r="G79" s="62">
        <f t="shared" si="20"/>
        <v>0</v>
      </c>
      <c r="H79" s="22">
        <f t="shared" si="28"/>
        <v>0</v>
      </c>
      <c r="I79" s="23">
        <f t="shared" si="17"/>
        <v>330771.45207200001</v>
      </c>
      <c r="J79" s="23">
        <f t="shared" si="21"/>
        <v>0</v>
      </c>
      <c r="K79" s="23">
        <f t="shared" si="24"/>
        <v>185936.29261027643</v>
      </c>
      <c r="L79" s="23">
        <f t="shared" si="25"/>
        <v>202702.7028</v>
      </c>
      <c r="M79" s="75">
        <v>0</v>
      </c>
      <c r="N79" s="75">
        <v>0</v>
      </c>
      <c r="O79" s="89"/>
      <c r="P79" s="320">
        <f t="shared" si="22"/>
        <v>719410.75</v>
      </c>
      <c r="Q79" s="320"/>
      <c r="R79" s="224">
        <f t="shared" si="26"/>
        <v>741230.75</v>
      </c>
      <c r="S79" s="14">
        <f t="shared" si="23"/>
        <v>0.75</v>
      </c>
      <c r="T79" s="1">
        <f t="shared" si="27"/>
        <v>75</v>
      </c>
      <c r="U79" t="s">
        <v>211</v>
      </c>
    </row>
    <row r="80" spans="1:21" ht="24.9" customHeight="1" x14ac:dyDescent="0.3">
      <c r="A80" s="17"/>
      <c r="B80" s="17">
        <f t="shared" si="29"/>
        <v>76</v>
      </c>
      <c r="C80" s="17" t="s">
        <v>84</v>
      </c>
      <c r="D80" s="81">
        <v>4.4999999999999997E-3</v>
      </c>
      <c r="E80" s="229">
        <v>751681.76</v>
      </c>
      <c r="F80" s="100"/>
      <c r="G80" s="62">
        <f t="shared" si="20"/>
        <v>751681.76</v>
      </c>
      <c r="H80" s="22">
        <f t="shared" si="28"/>
        <v>23204.415931200001</v>
      </c>
      <c r="I80" s="23">
        <f t="shared" si="17"/>
        <v>363041.83763999998</v>
      </c>
      <c r="J80" s="23">
        <f t="shared" si="21"/>
        <v>0</v>
      </c>
      <c r="K80" s="23">
        <f t="shared" si="24"/>
        <v>185936.29261027643</v>
      </c>
      <c r="L80" s="23">
        <f t="shared" si="25"/>
        <v>202702.7028</v>
      </c>
      <c r="M80" s="75">
        <v>0</v>
      </c>
      <c r="N80" s="75">
        <v>0</v>
      </c>
      <c r="O80" s="89"/>
      <c r="P80" s="320">
        <f t="shared" si="22"/>
        <v>1526567.76</v>
      </c>
      <c r="Q80" s="320"/>
      <c r="R80" s="224">
        <f t="shared" si="26"/>
        <v>1572869.76</v>
      </c>
      <c r="S80" s="14">
        <f t="shared" si="23"/>
        <v>0.76</v>
      </c>
      <c r="T80" s="1">
        <f t="shared" si="27"/>
        <v>76</v>
      </c>
    </row>
    <row r="81" spans="1:25" ht="24.9" customHeight="1" x14ac:dyDescent="0.3">
      <c r="A81" s="17"/>
      <c r="B81" s="17">
        <f t="shared" si="29"/>
        <v>77</v>
      </c>
      <c r="C81" s="17" t="s">
        <v>93</v>
      </c>
      <c r="D81" s="81">
        <v>6.1000000000000004E-3</v>
      </c>
      <c r="E81" s="229">
        <v>880762.77</v>
      </c>
      <c r="F81" s="100">
        <f>E81</f>
        <v>880762.77</v>
      </c>
      <c r="G81" s="62">
        <f t="shared" si="20"/>
        <v>0</v>
      </c>
      <c r="H81" s="22">
        <f t="shared" si="28"/>
        <v>0</v>
      </c>
      <c r="I81" s="23">
        <f t="shared" si="17"/>
        <v>492123.37991200003</v>
      </c>
      <c r="J81" s="23">
        <f t="shared" si="21"/>
        <v>0</v>
      </c>
      <c r="K81" s="23">
        <f t="shared" si="24"/>
        <v>185936.29261027643</v>
      </c>
      <c r="L81" s="23">
        <f t="shared" si="25"/>
        <v>202702.7028</v>
      </c>
      <c r="M81" s="75">
        <v>0</v>
      </c>
      <c r="N81" s="75">
        <v>0</v>
      </c>
      <c r="O81" s="89"/>
      <c r="P81" s="320">
        <f t="shared" si="22"/>
        <v>880762.77</v>
      </c>
      <c r="Q81" s="320"/>
      <c r="R81" s="224">
        <f t="shared" si="26"/>
        <v>907476.77</v>
      </c>
      <c r="S81" s="14">
        <f t="shared" si="23"/>
        <v>0.77</v>
      </c>
      <c r="T81" s="1">
        <f t="shared" si="27"/>
        <v>77</v>
      </c>
      <c r="U81" t="s">
        <v>270</v>
      </c>
    </row>
    <row r="82" spans="1:25" ht="24.9" customHeight="1" x14ac:dyDescent="0.3">
      <c r="A82" s="190"/>
      <c r="B82" s="17">
        <f t="shared" si="29"/>
        <v>78</v>
      </c>
      <c r="C82" s="17" t="s">
        <v>94</v>
      </c>
      <c r="D82" s="81">
        <v>4.7999999999999996E-3</v>
      </c>
      <c r="E82" s="229">
        <v>1605712.78</v>
      </c>
      <c r="F82" s="100">
        <v>1606000</v>
      </c>
      <c r="G82" s="62">
        <f t="shared" si="20"/>
        <v>-287.21999999997206</v>
      </c>
      <c r="H82" s="22">
        <f t="shared" si="28"/>
        <v>0</v>
      </c>
      <c r="I82" s="23">
        <f t="shared" si="17"/>
        <v>387244.62681599997</v>
      </c>
      <c r="J82" s="23">
        <f t="shared" si="21"/>
        <v>0</v>
      </c>
      <c r="K82" s="23">
        <f t="shared" si="24"/>
        <v>185936.29261027643</v>
      </c>
      <c r="L82" s="23">
        <f t="shared" si="25"/>
        <v>202702.7028</v>
      </c>
      <c r="M82" s="75">
        <v>0</v>
      </c>
      <c r="N82" s="75">
        <v>0</v>
      </c>
      <c r="O82" s="89"/>
      <c r="P82" s="320">
        <f t="shared" si="22"/>
        <v>775596.78</v>
      </c>
      <c r="Q82" s="320"/>
      <c r="R82" s="224">
        <f t="shared" si="26"/>
        <v>799121.78</v>
      </c>
      <c r="S82" s="14">
        <f t="shared" si="23"/>
        <v>0.78</v>
      </c>
      <c r="T82" s="1">
        <f t="shared" si="27"/>
        <v>78</v>
      </c>
      <c r="U82" t="s">
        <v>247</v>
      </c>
    </row>
    <row r="83" spans="1:25" ht="24.9" customHeight="1" x14ac:dyDescent="0.3">
      <c r="A83" s="17"/>
      <c r="B83" s="17">
        <f t="shared" si="29"/>
        <v>79</v>
      </c>
      <c r="C83" s="17" t="s">
        <v>95</v>
      </c>
      <c r="D83" s="81">
        <v>4.4999999999999997E-3</v>
      </c>
      <c r="E83" s="229">
        <v>1595182.79</v>
      </c>
      <c r="F83" s="100">
        <f>125000.79+658000.79</f>
        <v>783001.58000000007</v>
      </c>
      <c r="G83" s="63">
        <f t="shared" si="20"/>
        <v>812181.21</v>
      </c>
      <c r="H83" s="82">
        <f t="shared" si="28"/>
        <v>25072.0339527</v>
      </c>
      <c r="I83" s="75">
        <f t="shared" si="17"/>
        <v>363041.83763999998</v>
      </c>
      <c r="J83" s="75">
        <f t="shared" si="21"/>
        <v>0</v>
      </c>
      <c r="K83" s="75">
        <f t="shared" si="24"/>
        <v>185936.29261027643</v>
      </c>
      <c r="L83" s="75">
        <f t="shared" si="25"/>
        <v>202702.7028</v>
      </c>
      <c r="M83" s="75">
        <v>0</v>
      </c>
      <c r="N83" s="75">
        <v>0</v>
      </c>
      <c r="O83" s="89"/>
      <c r="P83" s="321">
        <f t="shared" si="22"/>
        <v>1588934.79</v>
      </c>
      <c r="Q83" s="321"/>
      <c r="R83" s="224">
        <f t="shared" si="26"/>
        <v>1637127.79</v>
      </c>
      <c r="S83" s="83">
        <f t="shared" si="23"/>
        <v>0.79</v>
      </c>
      <c r="T83" s="61">
        <f t="shared" si="27"/>
        <v>79</v>
      </c>
      <c r="U83" s="37" t="s">
        <v>332</v>
      </c>
      <c r="Y83" t="s">
        <v>249</v>
      </c>
    </row>
    <row r="84" spans="1:25" ht="24.9" customHeight="1" x14ac:dyDescent="0.3">
      <c r="A84" s="17"/>
      <c r="B84" s="17">
        <f t="shared" si="29"/>
        <v>80</v>
      </c>
      <c r="C84" s="17" t="s">
        <v>96</v>
      </c>
      <c r="D84" s="81">
        <v>4.4999999999999997E-3</v>
      </c>
      <c r="E84" s="229">
        <v>751681.8</v>
      </c>
      <c r="F84" s="100">
        <f>E84</f>
        <v>751681.8</v>
      </c>
      <c r="G84" s="62">
        <f t="shared" si="20"/>
        <v>0</v>
      </c>
      <c r="H84" s="22">
        <f t="shared" si="28"/>
        <v>0</v>
      </c>
      <c r="I84" s="23">
        <f t="shared" si="17"/>
        <v>363041.83763999998</v>
      </c>
      <c r="J84" s="23">
        <f t="shared" si="21"/>
        <v>0</v>
      </c>
      <c r="K84" s="23">
        <f t="shared" si="24"/>
        <v>185936.29261027643</v>
      </c>
      <c r="L84" s="23">
        <f t="shared" si="25"/>
        <v>202702.7028</v>
      </c>
      <c r="M84" s="75">
        <v>0</v>
      </c>
      <c r="N84" s="75">
        <v>0</v>
      </c>
      <c r="O84" s="89"/>
      <c r="P84" s="320">
        <f t="shared" si="22"/>
        <v>751681.8</v>
      </c>
      <c r="Q84" s="320"/>
      <c r="R84" s="224">
        <f t="shared" si="26"/>
        <v>774480.8</v>
      </c>
      <c r="S84" s="14">
        <f t="shared" si="23"/>
        <v>0.8</v>
      </c>
      <c r="T84" s="1">
        <f t="shared" si="27"/>
        <v>80</v>
      </c>
      <c r="U84" t="s">
        <v>294</v>
      </c>
    </row>
    <row r="85" spans="1:25" ht="24.9" customHeight="1" x14ac:dyDescent="0.3">
      <c r="A85" s="17"/>
      <c r="B85" s="17">
        <f t="shared" si="29"/>
        <v>81</v>
      </c>
      <c r="C85" s="17" t="s">
        <v>97</v>
      </c>
      <c r="D85" s="81">
        <v>4.4999999999999997E-3</v>
      </c>
      <c r="E85" s="229">
        <v>1582274.81</v>
      </c>
      <c r="F85" s="231">
        <f>E85</f>
        <v>1582274.81</v>
      </c>
      <c r="G85" s="62">
        <f t="shared" si="20"/>
        <v>0</v>
      </c>
      <c r="H85" s="22">
        <f t="shared" si="28"/>
        <v>0</v>
      </c>
      <c r="I85" s="23">
        <f t="shared" si="17"/>
        <v>363041.83763999998</v>
      </c>
      <c r="J85" s="23">
        <f t="shared" si="21"/>
        <v>0</v>
      </c>
      <c r="K85" s="23">
        <f t="shared" si="24"/>
        <v>185936.29261027643</v>
      </c>
      <c r="L85" s="23">
        <f t="shared" si="25"/>
        <v>202702.7028</v>
      </c>
      <c r="M85" s="75">
        <v>0</v>
      </c>
      <c r="N85" s="75">
        <v>0</v>
      </c>
      <c r="O85" s="89"/>
      <c r="P85" s="320">
        <f t="shared" si="22"/>
        <v>751681.81</v>
      </c>
      <c r="Q85" s="320"/>
      <c r="R85" s="224">
        <f t="shared" si="26"/>
        <v>774480.81</v>
      </c>
      <c r="S85" s="14">
        <f t="shared" si="23"/>
        <v>0.81</v>
      </c>
      <c r="T85" s="1">
        <f t="shared" si="27"/>
        <v>81</v>
      </c>
      <c r="U85" t="s">
        <v>240</v>
      </c>
    </row>
    <row r="86" spans="1:25" ht="24.9" customHeight="1" x14ac:dyDescent="0.3">
      <c r="A86" s="17"/>
      <c r="B86" s="17">
        <f t="shared" si="29"/>
        <v>82</v>
      </c>
      <c r="C86" s="17" t="s">
        <v>98</v>
      </c>
      <c r="D86" s="81">
        <v>4.1999999999999997E-3</v>
      </c>
      <c r="E86" s="229">
        <v>727478.82</v>
      </c>
      <c r="F86" s="100"/>
      <c r="G86" s="62">
        <f t="shared" si="20"/>
        <v>727478.82</v>
      </c>
      <c r="H86" s="22">
        <f t="shared" si="28"/>
        <v>22457.2711734</v>
      </c>
      <c r="I86" s="23">
        <f t="shared" si="17"/>
        <v>338839.04846399999</v>
      </c>
      <c r="J86" s="23">
        <f t="shared" si="21"/>
        <v>0</v>
      </c>
      <c r="K86" s="23">
        <f t="shared" si="24"/>
        <v>185936.29261027643</v>
      </c>
      <c r="L86" s="23">
        <f t="shared" si="25"/>
        <v>202702.7028</v>
      </c>
      <c r="M86" s="75">
        <v>0</v>
      </c>
      <c r="N86" s="75">
        <v>0</v>
      </c>
      <c r="O86" s="75"/>
      <c r="P86" s="320">
        <f t="shared" si="22"/>
        <v>1477414.82</v>
      </c>
      <c r="Q86" s="320"/>
      <c r="R86" s="224">
        <f t="shared" si="26"/>
        <v>1522225.82</v>
      </c>
      <c r="S86" s="14">
        <f t="shared" si="23"/>
        <v>0.82</v>
      </c>
      <c r="T86" s="1">
        <f t="shared" si="27"/>
        <v>82</v>
      </c>
      <c r="U86" t="s">
        <v>279</v>
      </c>
      <c r="W86" s="17"/>
    </row>
    <row r="87" spans="1:25" ht="24.9" customHeight="1" x14ac:dyDescent="0.3">
      <c r="A87" s="17"/>
      <c r="B87" s="17">
        <f t="shared" si="29"/>
        <v>83</v>
      </c>
      <c r="C87" s="17" t="s">
        <v>99</v>
      </c>
      <c r="D87" s="81">
        <v>4.7999999999999996E-3</v>
      </c>
      <c r="E87" s="229">
        <v>775884.83</v>
      </c>
      <c r="F87" s="100">
        <f t="shared" ref="F87:F91" si="30">E87</f>
        <v>775884.83</v>
      </c>
      <c r="G87" s="62">
        <f t="shared" si="20"/>
        <v>0</v>
      </c>
      <c r="H87" s="22">
        <f t="shared" si="28"/>
        <v>0</v>
      </c>
      <c r="I87" s="23">
        <f t="shared" si="17"/>
        <v>387244.62681599997</v>
      </c>
      <c r="J87" s="23">
        <f t="shared" si="21"/>
        <v>0</v>
      </c>
      <c r="K87" s="23">
        <f t="shared" si="24"/>
        <v>185936.29261027643</v>
      </c>
      <c r="L87" s="23">
        <f t="shared" si="25"/>
        <v>202702.7028</v>
      </c>
      <c r="M87" s="75">
        <v>0</v>
      </c>
      <c r="N87" s="75">
        <v>0</v>
      </c>
      <c r="O87" s="89"/>
      <c r="P87" s="320">
        <f t="shared" si="22"/>
        <v>775884.83</v>
      </c>
      <c r="Q87" s="320"/>
      <c r="R87" s="224">
        <f t="shared" si="26"/>
        <v>799417.83</v>
      </c>
      <c r="S87" s="14">
        <f t="shared" si="23"/>
        <v>0.83</v>
      </c>
      <c r="T87" s="1">
        <f t="shared" si="27"/>
        <v>83</v>
      </c>
    </row>
    <row r="88" spans="1:25" ht="24.9" customHeight="1" x14ac:dyDescent="0.3">
      <c r="A88" s="17"/>
      <c r="B88" s="17">
        <f t="shared" si="29"/>
        <v>84</v>
      </c>
      <c r="C88" s="17" t="s">
        <v>99</v>
      </c>
      <c r="D88" s="81">
        <v>4.7999999999999996E-3</v>
      </c>
      <c r="E88" s="229">
        <v>595884.84</v>
      </c>
      <c r="F88" s="231">
        <f>E88</f>
        <v>595884.84</v>
      </c>
      <c r="G88" s="62">
        <f t="shared" si="20"/>
        <v>0</v>
      </c>
      <c r="H88" s="22">
        <f t="shared" si="28"/>
        <v>0</v>
      </c>
      <c r="I88" s="23">
        <f t="shared" si="17"/>
        <v>387244.62681599997</v>
      </c>
      <c r="J88" s="23">
        <f t="shared" si="21"/>
        <v>0</v>
      </c>
      <c r="K88" s="23">
        <f t="shared" si="24"/>
        <v>185936.29261027643</v>
      </c>
      <c r="L88" s="23">
        <f t="shared" si="25"/>
        <v>202702.7028</v>
      </c>
      <c r="M88" s="75">
        <v>0</v>
      </c>
      <c r="N88" s="75">
        <v>0</v>
      </c>
      <c r="O88" s="89"/>
      <c r="P88" s="320">
        <f t="shared" si="22"/>
        <v>775884.84</v>
      </c>
      <c r="Q88" s="320"/>
      <c r="R88" s="224">
        <f t="shared" si="26"/>
        <v>799417.84</v>
      </c>
      <c r="S88" s="14">
        <f t="shared" si="23"/>
        <v>0.84</v>
      </c>
      <c r="T88" s="1">
        <f t="shared" si="27"/>
        <v>84</v>
      </c>
    </row>
    <row r="89" spans="1:25" ht="24.9" customHeight="1" x14ac:dyDescent="0.3">
      <c r="A89" s="17"/>
      <c r="B89" s="17">
        <f t="shared" si="29"/>
        <v>85</v>
      </c>
      <c r="C89" s="17" t="s">
        <v>100</v>
      </c>
      <c r="D89" s="81">
        <v>4.7999999999999996E-3</v>
      </c>
      <c r="E89" s="229">
        <v>775884.85</v>
      </c>
      <c r="F89" s="100">
        <f t="shared" si="30"/>
        <v>775884.85</v>
      </c>
      <c r="G89" s="62">
        <f t="shared" si="20"/>
        <v>0</v>
      </c>
      <c r="H89" s="22">
        <f t="shared" si="28"/>
        <v>0</v>
      </c>
      <c r="I89" s="23">
        <f t="shared" si="17"/>
        <v>387244.62681599997</v>
      </c>
      <c r="J89" s="23">
        <f t="shared" si="21"/>
        <v>0</v>
      </c>
      <c r="K89" s="23">
        <f t="shared" si="24"/>
        <v>185936.29261027643</v>
      </c>
      <c r="L89" s="23">
        <f t="shared" si="25"/>
        <v>202702.7028</v>
      </c>
      <c r="M89" s="75">
        <v>0</v>
      </c>
      <c r="N89" s="75">
        <v>0</v>
      </c>
      <c r="O89" s="89"/>
      <c r="P89" s="320">
        <f t="shared" si="22"/>
        <v>775884.85</v>
      </c>
      <c r="Q89" s="320"/>
      <c r="R89" s="224">
        <f t="shared" si="26"/>
        <v>799417.85</v>
      </c>
      <c r="S89" s="14">
        <f t="shared" si="23"/>
        <v>0.85</v>
      </c>
      <c r="T89" s="1">
        <f t="shared" si="27"/>
        <v>85</v>
      </c>
      <c r="U89" t="s">
        <v>227</v>
      </c>
    </row>
    <row r="90" spans="1:25" ht="24.9" customHeight="1" x14ac:dyDescent="0.3">
      <c r="A90" s="17"/>
      <c r="B90" s="17">
        <f t="shared" si="29"/>
        <v>86</v>
      </c>
      <c r="C90" s="17" t="s">
        <v>173</v>
      </c>
      <c r="D90" s="81">
        <v>4.7999999999999996E-3</v>
      </c>
      <c r="E90" s="229">
        <v>775884.86</v>
      </c>
      <c r="F90" s="100">
        <f t="shared" si="30"/>
        <v>775884.86</v>
      </c>
      <c r="G90" s="62">
        <f t="shared" si="20"/>
        <v>0</v>
      </c>
      <c r="H90" s="22">
        <f t="shared" si="28"/>
        <v>0</v>
      </c>
      <c r="I90" s="23">
        <f t="shared" si="17"/>
        <v>387244.62681599997</v>
      </c>
      <c r="J90" s="23">
        <f t="shared" si="21"/>
        <v>0</v>
      </c>
      <c r="K90" s="23">
        <f t="shared" si="24"/>
        <v>185936.29261027643</v>
      </c>
      <c r="L90" s="23">
        <f t="shared" si="25"/>
        <v>202702.7028</v>
      </c>
      <c r="M90" s="75">
        <v>0</v>
      </c>
      <c r="N90" s="75">
        <f>(I90+K90)/2</f>
        <v>286590.45971313817</v>
      </c>
      <c r="O90" s="89"/>
      <c r="P90" s="320">
        <f t="shared" si="22"/>
        <v>1062474.8600000001</v>
      </c>
      <c r="Q90" s="320"/>
      <c r="R90" s="224">
        <f t="shared" si="26"/>
        <v>1094700.8600000001</v>
      </c>
      <c r="S90" s="14">
        <f t="shared" si="23"/>
        <v>0.86</v>
      </c>
      <c r="T90" s="1">
        <f t="shared" si="27"/>
        <v>86</v>
      </c>
    </row>
    <row r="91" spans="1:25" ht="24.9" customHeight="1" x14ac:dyDescent="0.3">
      <c r="A91" s="17"/>
      <c r="B91" s="17">
        <f t="shared" si="29"/>
        <v>87</v>
      </c>
      <c r="C91" s="17" t="s">
        <v>101</v>
      </c>
      <c r="D91" s="81">
        <v>4.7999999999999996E-3</v>
      </c>
      <c r="E91" s="229">
        <v>775884.87</v>
      </c>
      <c r="F91" s="100">
        <f t="shared" si="30"/>
        <v>775884.87</v>
      </c>
      <c r="G91" s="62">
        <f t="shared" si="20"/>
        <v>0</v>
      </c>
      <c r="H91" s="22">
        <f t="shared" si="28"/>
        <v>0</v>
      </c>
      <c r="I91" s="23">
        <f t="shared" si="17"/>
        <v>387244.62681599997</v>
      </c>
      <c r="J91" s="23">
        <f t="shared" si="21"/>
        <v>0</v>
      </c>
      <c r="K91" s="23">
        <f t="shared" si="24"/>
        <v>185936.29261027643</v>
      </c>
      <c r="L91" s="23">
        <f t="shared" si="25"/>
        <v>202702.7028</v>
      </c>
      <c r="M91" s="75">
        <v>0</v>
      </c>
      <c r="N91" s="75">
        <v>0</v>
      </c>
      <c r="O91" s="89"/>
      <c r="P91" s="320">
        <f t="shared" si="22"/>
        <v>775884.87</v>
      </c>
      <c r="Q91" s="320"/>
      <c r="R91" s="224">
        <f t="shared" si="26"/>
        <v>799417.87</v>
      </c>
      <c r="S91" s="14">
        <f t="shared" si="23"/>
        <v>0.87</v>
      </c>
      <c r="T91" s="1">
        <f t="shared" si="27"/>
        <v>87</v>
      </c>
    </row>
    <row r="92" spans="1:25" ht="24.9" customHeight="1" x14ac:dyDescent="0.3">
      <c r="A92" s="163"/>
      <c r="B92" s="163">
        <f t="shared" si="29"/>
        <v>88</v>
      </c>
      <c r="C92" s="163" t="s">
        <v>102</v>
      </c>
      <c r="D92" s="81">
        <v>4.7999999999999996E-3</v>
      </c>
      <c r="E92" s="229">
        <v>775884.88</v>
      </c>
      <c r="F92" s="100">
        <f>75884.88+700000</f>
        <v>775884.88</v>
      </c>
      <c r="G92" s="62">
        <f t="shared" si="20"/>
        <v>0</v>
      </c>
      <c r="H92" s="22">
        <f t="shared" si="28"/>
        <v>0</v>
      </c>
      <c r="I92" s="23">
        <f t="shared" si="17"/>
        <v>387244.62681599997</v>
      </c>
      <c r="J92" s="23">
        <f t="shared" si="21"/>
        <v>0</v>
      </c>
      <c r="K92" s="23">
        <f t="shared" si="24"/>
        <v>185936.29261027643</v>
      </c>
      <c r="L92" s="23">
        <f t="shared" si="25"/>
        <v>202702.7028</v>
      </c>
      <c r="M92" s="75">
        <v>0</v>
      </c>
      <c r="N92" s="75">
        <v>0</v>
      </c>
      <c r="O92" s="89"/>
      <c r="P92" s="320">
        <f t="shared" si="22"/>
        <v>775884.88</v>
      </c>
      <c r="Q92" s="320"/>
      <c r="R92" s="224">
        <f t="shared" si="26"/>
        <v>799417.88</v>
      </c>
      <c r="S92" s="14">
        <f t="shared" si="23"/>
        <v>0.88</v>
      </c>
      <c r="T92" s="1">
        <f t="shared" si="27"/>
        <v>88</v>
      </c>
    </row>
    <row r="93" spans="1:25" ht="24.9" customHeight="1" x14ac:dyDescent="0.3">
      <c r="A93" s="17"/>
      <c r="B93" s="17">
        <f t="shared" si="29"/>
        <v>89</v>
      </c>
      <c r="C93" s="17" t="s">
        <v>225</v>
      </c>
      <c r="D93" s="81">
        <v>4.7999999999999996E-3</v>
      </c>
      <c r="E93" s="229">
        <v>775642.89</v>
      </c>
      <c r="F93" s="231">
        <f>E93</f>
        <v>775642.89</v>
      </c>
      <c r="G93" s="63">
        <f t="shared" si="20"/>
        <v>0</v>
      </c>
      <c r="H93" s="82">
        <f t="shared" si="28"/>
        <v>0</v>
      </c>
      <c r="I93" s="75">
        <f t="shared" si="17"/>
        <v>387244.62681599997</v>
      </c>
      <c r="J93" s="75">
        <f t="shared" si="21"/>
        <v>0</v>
      </c>
      <c r="K93" s="75">
        <f t="shared" si="24"/>
        <v>185936.29261027643</v>
      </c>
      <c r="L93" s="75">
        <f t="shared" si="25"/>
        <v>202702.7028</v>
      </c>
      <c r="M93" s="75">
        <v>0</v>
      </c>
      <c r="N93" s="75">
        <v>0</v>
      </c>
      <c r="O93" s="89"/>
      <c r="P93" s="321">
        <f t="shared" si="22"/>
        <v>775884.89</v>
      </c>
      <c r="Q93" s="321"/>
      <c r="R93" s="224">
        <f t="shared" si="26"/>
        <v>799417.89</v>
      </c>
      <c r="S93" s="83">
        <f t="shared" si="23"/>
        <v>0.89</v>
      </c>
      <c r="T93" s="61">
        <f t="shared" si="27"/>
        <v>89</v>
      </c>
      <c r="U93" t="s">
        <v>292</v>
      </c>
    </row>
    <row r="94" spans="1:25" ht="24.9" customHeight="1" x14ac:dyDescent="0.3">
      <c r="A94" s="17"/>
      <c r="B94" s="17">
        <f t="shared" si="29"/>
        <v>90</v>
      </c>
      <c r="C94" s="17" t="s">
        <v>103</v>
      </c>
      <c r="D94" s="81">
        <v>4.7999999999999996E-3</v>
      </c>
      <c r="E94" s="229">
        <v>1478644.9</v>
      </c>
      <c r="F94" s="100">
        <f>400000+775884</f>
        <v>1175884</v>
      </c>
      <c r="G94" s="62">
        <f t="shared" si="20"/>
        <v>302760.89999999991</v>
      </c>
      <c r="H94" s="22">
        <f t="shared" si="28"/>
        <v>9346.2289829999972</v>
      </c>
      <c r="I94" s="23">
        <f t="shared" si="17"/>
        <v>387244.62681599997</v>
      </c>
      <c r="J94" s="23">
        <f t="shared" si="21"/>
        <v>0</v>
      </c>
      <c r="K94" s="23">
        <f t="shared" si="24"/>
        <v>185936.29261027643</v>
      </c>
      <c r="L94" s="23">
        <f t="shared" si="25"/>
        <v>202702.7028</v>
      </c>
      <c r="M94" s="75">
        <v>0</v>
      </c>
      <c r="N94" s="75">
        <v>0</v>
      </c>
      <c r="O94" s="89"/>
      <c r="P94" s="320">
        <f t="shared" si="22"/>
        <v>1087991.8999999999</v>
      </c>
      <c r="Q94" s="320"/>
      <c r="R94" s="224">
        <f t="shared" si="26"/>
        <v>1120991.8999999999</v>
      </c>
      <c r="S94" s="14">
        <f t="shared" si="23"/>
        <v>0.9</v>
      </c>
      <c r="T94" s="1">
        <f t="shared" si="27"/>
        <v>90</v>
      </c>
      <c r="U94" t="s">
        <v>250</v>
      </c>
    </row>
    <row r="95" spans="1:25" ht="24.9" customHeight="1" x14ac:dyDescent="0.3">
      <c r="A95" s="17"/>
      <c r="B95" s="17">
        <f t="shared" si="29"/>
        <v>91</v>
      </c>
      <c r="C95" s="17" t="s">
        <v>104</v>
      </c>
      <c r="D95" s="81">
        <v>4.7999999999999996E-3</v>
      </c>
      <c r="E95" s="229">
        <v>775884.91</v>
      </c>
      <c r="F95" s="100">
        <f>E95</f>
        <v>775884.91</v>
      </c>
      <c r="G95" s="62">
        <f t="shared" si="20"/>
        <v>0</v>
      </c>
      <c r="H95" s="22">
        <f t="shared" si="28"/>
        <v>0</v>
      </c>
      <c r="I95" s="23">
        <f t="shared" si="17"/>
        <v>387244.62681599997</v>
      </c>
      <c r="J95" s="23">
        <f t="shared" si="21"/>
        <v>0</v>
      </c>
      <c r="K95" s="23">
        <f t="shared" si="24"/>
        <v>185936.29261027643</v>
      </c>
      <c r="L95" s="23">
        <f t="shared" si="25"/>
        <v>202702.7028</v>
      </c>
      <c r="M95" s="75">
        <v>0</v>
      </c>
      <c r="N95" s="75">
        <v>0</v>
      </c>
      <c r="O95" s="89"/>
      <c r="P95" s="320">
        <f t="shared" si="22"/>
        <v>775884.91</v>
      </c>
      <c r="Q95" s="320"/>
      <c r="R95" s="224">
        <f t="shared" si="26"/>
        <v>799417.91</v>
      </c>
      <c r="S95" s="14">
        <f t="shared" si="23"/>
        <v>0.91</v>
      </c>
      <c r="T95" s="1">
        <f t="shared" si="27"/>
        <v>91</v>
      </c>
      <c r="U95" t="s">
        <v>201</v>
      </c>
    </row>
    <row r="96" spans="1:25" ht="24.9" customHeight="1" x14ac:dyDescent="0.3">
      <c r="A96" s="17"/>
      <c r="B96" s="177">
        <f t="shared" si="29"/>
        <v>92</v>
      </c>
      <c r="C96" s="177" t="s">
        <v>435</v>
      </c>
      <c r="D96" s="178">
        <v>4.7999999999999996E-3</v>
      </c>
      <c r="E96" s="230">
        <v>969506.92</v>
      </c>
      <c r="F96" s="241"/>
      <c r="G96" s="179">
        <f t="shared" si="20"/>
        <v>969506.92</v>
      </c>
      <c r="H96" s="180">
        <f t="shared" si="28"/>
        <v>29928.678620400002</v>
      </c>
      <c r="I96" s="181">
        <f t="shared" si="17"/>
        <v>387244.62681599997</v>
      </c>
      <c r="J96" s="181">
        <f t="shared" si="21"/>
        <v>0</v>
      </c>
      <c r="K96" s="181">
        <f t="shared" si="24"/>
        <v>185936.29261027643</v>
      </c>
      <c r="L96" s="181">
        <f t="shared" si="25"/>
        <v>202702.7028</v>
      </c>
      <c r="M96" s="181">
        <v>0</v>
      </c>
      <c r="N96" s="181">
        <v>0</v>
      </c>
      <c r="O96" s="234"/>
      <c r="P96" s="333">
        <f t="shared" si="22"/>
        <v>1775319.92</v>
      </c>
      <c r="Q96" s="333"/>
      <c r="R96" s="238">
        <f t="shared" si="26"/>
        <v>1829165.92</v>
      </c>
      <c r="S96" s="182">
        <f t="shared" si="23"/>
        <v>0.92</v>
      </c>
      <c r="T96" s="183">
        <f t="shared" si="27"/>
        <v>92</v>
      </c>
      <c r="U96" t="s">
        <v>333</v>
      </c>
    </row>
    <row r="97" spans="1:22" ht="24.9" customHeight="1" x14ac:dyDescent="0.3">
      <c r="A97" s="17"/>
      <c r="B97" s="17">
        <f t="shared" si="29"/>
        <v>93</v>
      </c>
      <c r="C97" s="54" t="s">
        <v>174</v>
      </c>
      <c r="D97" s="81">
        <v>4.5999999999999999E-3</v>
      </c>
      <c r="E97" s="229">
        <v>1117883.93</v>
      </c>
      <c r="F97" s="100">
        <f>1889110</f>
        <v>1889110</v>
      </c>
      <c r="G97" s="62">
        <f>E97-F97</f>
        <v>-771226.07000000007</v>
      </c>
      <c r="H97" s="22">
        <f t="shared" si="28"/>
        <v>0</v>
      </c>
      <c r="I97" s="23">
        <f t="shared" si="17"/>
        <v>371109.43403200002</v>
      </c>
      <c r="J97" s="23">
        <f t="shared" si="21"/>
        <v>0</v>
      </c>
      <c r="K97" s="23">
        <f t="shared" si="24"/>
        <v>185936.29261027643</v>
      </c>
      <c r="L97" s="23">
        <f t="shared" si="25"/>
        <v>202702.7028</v>
      </c>
      <c r="M97" s="75">
        <v>0</v>
      </c>
      <c r="N97" s="75">
        <v>0</v>
      </c>
      <c r="P97" s="320">
        <f t="shared" si="22"/>
        <v>-11477.07</v>
      </c>
      <c r="Q97" s="320"/>
      <c r="R97" s="224">
        <f t="shared" si="26"/>
        <v>-11824.07</v>
      </c>
      <c r="S97" s="14">
        <f t="shared" si="23"/>
        <v>0.93</v>
      </c>
      <c r="T97" s="1">
        <f t="shared" si="27"/>
        <v>93</v>
      </c>
      <c r="U97" t="s">
        <v>313</v>
      </c>
    </row>
    <row r="98" spans="1:22" ht="24.9" customHeight="1" x14ac:dyDescent="0.3">
      <c r="A98" s="17"/>
      <c r="B98" s="17">
        <f t="shared" si="29"/>
        <v>94</v>
      </c>
      <c r="C98" s="17" t="s">
        <v>175</v>
      </c>
      <c r="D98" s="81">
        <v>4.7999999999999996E-3</v>
      </c>
      <c r="E98" s="229">
        <v>969506.94</v>
      </c>
      <c r="F98" s="100">
        <f>E98</f>
        <v>969506.94</v>
      </c>
      <c r="G98" s="62">
        <f t="shared" si="20"/>
        <v>0</v>
      </c>
      <c r="H98" s="22">
        <f t="shared" si="28"/>
        <v>0</v>
      </c>
      <c r="I98" s="23">
        <f t="shared" si="17"/>
        <v>387244.62681599997</v>
      </c>
      <c r="J98" s="23">
        <f t="shared" si="21"/>
        <v>0</v>
      </c>
      <c r="K98" s="23">
        <f t="shared" si="24"/>
        <v>185936.29261027643</v>
      </c>
      <c r="L98" s="23">
        <f t="shared" si="25"/>
        <v>202702.7028</v>
      </c>
      <c r="M98" s="75">
        <v>0</v>
      </c>
      <c r="N98" s="75">
        <v>0</v>
      </c>
      <c r="P98" s="320">
        <f t="shared" si="22"/>
        <v>775884.94</v>
      </c>
      <c r="Q98" s="320"/>
      <c r="R98" s="224">
        <f t="shared" si="26"/>
        <v>799418.94</v>
      </c>
      <c r="S98" s="14">
        <f t="shared" si="23"/>
        <v>0.94</v>
      </c>
      <c r="T98" s="1">
        <f t="shared" si="27"/>
        <v>94</v>
      </c>
      <c r="U98" t="s">
        <v>194</v>
      </c>
    </row>
    <row r="99" spans="1:22" ht="24.9" customHeight="1" x14ac:dyDescent="0.3">
      <c r="A99" s="17"/>
      <c r="B99" s="17">
        <f t="shared" si="29"/>
        <v>95</v>
      </c>
      <c r="C99" s="17" t="s">
        <v>105</v>
      </c>
      <c r="D99" s="81">
        <v>4.7999999999999996E-3</v>
      </c>
      <c r="E99" s="229">
        <v>3006483.95</v>
      </c>
      <c r="F99" s="100"/>
      <c r="G99" s="62">
        <f t="shared" si="20"/>
        <v>3006483.95</v>
      </c>
      <c r="H99" s="22">
        <f t="shared" si="28"/>
        <v>92810.15953650001</v>
      </c>
      <c r="I99" s="23">
        <f t="shared" si="17"/>
        <v>387244.62681599997</v>
      </c>
      <c r="J99" s="23">
        <f t="shared" si="21"/>
        <v>0</v>
      </c>
      <c r="K99" s="23">
        <f t="shared" si="24"/>
        <v>185936.29261027643</v>
      </c>
      <c r="L99" s="23">
        <f t="shared" si="25"/>
        <v>202702.7028</v>
      </c>
      <c r="M99" s="75">
        <v>0</v>
      </c>
      <c r="N99" s="75">
        <v>0</v>
      </c>
      <c r="O99" s="89"/>
      <c r="P99" s="320">
        <f t="shared" si="22"/>
        <v>3875178.95</v>
      </c>
      <c r="Q99" s="320"/>
      <c r="R99" s="224">
        <f t="shared" si="26"/>
        <v>3992713.95</v>
      </c>
      <c r="S99" s="14">
        <f t="shared" si="23"/>
        <v>0.95</v>
      </c>
      <c r="T99" s="1">
        <f t="shared" si="27"/>
        <v>95</v>
      </c>
    </row>
    <row r="100" spans="1:22" ht="24.9" customHeight="1" x14ac:dyDescent="0.3">
      <c r="A100" s="17"/>
      <c r="B100" s="17">
        <f t="shared" si="29"/>
        <v>96</v>
      </c>
      <c r="C100" s="17" t="s">
        <v>106</v>
      </c>
      <c r="D100" s="81">
        <v>4.7999999999999996E-3</v>
      </c>
      <c r="E100" s="229">
        <v>738752.96</v>
      </c>
      <c r="F100" s="100">
        <v>740000</v>
      </c>
      <c r="G100" s="62">
        <f t="shared" si="20"/>
        <v>-1247.0400000000373</v>
      </c>
      <c r="H100" s="22">
        <f t="shared" si="28"/>
        <v>0</v>
      </c>
      <c r="I100" s="23">
        <f t="shared" si="17"/>
        <v>387244.62681599997</v>
      </c>
      <c r="J100" s="23">
        <f t="shared" si="21"/>
        <v>0</v>
      </c>
      <c r="K100" s="23">
        <f t="shared" si="24"/>
        <v>185936.29261027643</v>
      </c>
      <c r="L100" s="23">
        <f t="shared" si="25"/>
        <v>202702.7028</v>
      </c>
      <c r="M100" s="75">
        <v>0</v>
      </c>
      <c r="N100" s="75">
        <v>0</v>
      </c>
      <c r="O100" s="89"/>
      <c r="P100" s="320">
        <f t="shared" si="22"/>
        <v>774637.96</v>
      </c>
      <c r="Q100" s="320"/>
      <c r="R100" s="224">
        <f t="shared" si="26"/>
        <v>798133.96</v>
      </c>
      <c r="S100" s="14">
        <f t="shared" si="23"/>
        <v>0.96</v>
      </c>
      <c r="T100" s="1">
        <f t="shared" si="27"/>
        <v>96</v>
      </c>
      <c r="U100" t="s">
        <v>206</v>
      </c>
    </row>
    <row r="101" spans="1:22" ht="24.9" customHeight="1" x14ac:dyDescent="0.3">
      <c r="A101" s="17"/>
      <c r="B101" s="17">
        <f t="shared" si="29"/>
        <v>97</v>
      </c>
      <c r="C101" s="17" t="s">
        <v>107</v>
      </c>
      <c r="D101" s="81">
        <v>4.7999999999999996E-3</v>
      </c>
      <c r="E101" s="229">
        <v>775884.97</v>
      </c>
      <c r="F101" s="100">
        <f>775885</f>
        <v>775885</v>
      </c>
      <c r="G101" s="62">
        <f t="shared" si="20"/>
        <v>-3.0000000027939677E-2</v>
      </c>
      <c r="H101" s="22">
        <f t="shared" si="28"/>
        <v>0</v>
      </c>
      <c r="I101" s="23">
        <f t="shared" si="17"/>
        <v>387244.62681599997</v>
      </c>
      <c r="J101" s="23">
        <f t="shared" ref="J101:J132" si="31">P$2*D101</f>
        <v>0</v>
      </c>
      <c r="K101" s="23">
        <f t="shared" si="24"/>
        <v>185936.29261027643</v>
      </c>
      <c r="L101" s="23">
        <f t="shared" si="25"/>
        <v>202702.7028</v>
      </c>
      <c r="M101" s="75">
        <v>0</v>
      </c>
      <c r="N101" s="75">
        <v>0</v>
      </c>
      <c r="O101" s="89"/>
      <c r="P101" s="320">
        <f t="shared" ref="P101:P132" si="32">ROUND(SUM(G101:O101),0) + S101</f>
        <v>775884.97</v>
      </c>
      <c r="Q101" s="320"/>
      <c r="R101" s="224">
        <f t="shared" si="26"/>
        <v>799418.97</v>
      </c>
      <c r="S101" s="14">
        <f t="shared" ref="S101:S132" si="33">ROUND(0.001+B101/100,2)</f>
        <v>0.97</v>
      </c>
      <c r="T101" s="1">
        <f t="shared" si="27"/>
        <v>97</v>
      </c>
      <c r="U101" t="s">
        <v>221</v>
      </c>
    </row>
    <row r="102" spans="1:22" ht="24.9" customHeight="1" x14ac:dyDescent="0.3">
      <c r="A102" s="17"/>
      <c r="B102" s="17">
        <f t="shared" si="29"/>
        <v>98</v>
      </c>
      <c r="C102" s="17" t="s">
        <v>108</v>
      </c>
      <c r="D102" s="81">
        <v>4.7999999999999996E-3</v>
      </c>
      <c r="E102" s="229">
        <v>775884.98</v>
      </c>
      <c r="F102" s="100">
        <f>E102</f>
        <v>775884.98</v>
      </c>
      <c r="G102" s="62">
        <f t="shared" si="20"/>
        <v>0</v>
      </c>
      <c r="H102" s="22">
        <f t="shared" si="28"/>
        <v>0</v>
      </c>
      <c r="I102" s="23">
        <f t="shared" ref="I102:I157" si="34">K$2*D102</f>
        <v>387244.62681599997</v>
      </c>
      <c r="J102" s="23">
        <f t="shared" si="31"/>
        <v>0</v>
      </c>
      <c r="K102" s="23">
        <f t="shared" si="24"/>
        <v>185936.29261027643</v>
      </c>
      <c r="L102" s="23">
        <f t="shared" si="25"/>
        <v>202702.7028</v>
      </c>
      <c r="M102" s="75">
        <v>0</v>
      </c>
      <c r="N102" s="75">
        <v>0</v>
      </c>
      <c r="O102" s="89"/>
      <c r="P102" s="320">
        <f t="shared" si="32"/>
        <v>775884.98</v>
      </c>
      <c r="Q102" s="320"/>
      <c r="R102" s="224">
        <f t="shared" si="26"/>
        <v>799418.98</v>
      </c>
      <c r="S102" s="14">
        <f t="shared" si="33"/>
        <v>0.98</v>
      </c>
      <c r="T102" s="1">
        <f t="shared" si="27"/>
        <v>98</v>
      </c>
    </row>
    <row r="103" spans="1:22" ht="24.9" customHeight="1" x14ac:dyDescent="0.3">
      <c r="A103" s="17"/>
      <c r="B103" s="17">
        <f t="shared" si="29"/>
        <v>99</v>
      </c>
      <c r="C103" s="17" t="s">
        <v>109</v>
      </c>
      <c r="D103" s="81">
        <v>4.7999999999999996E-3</v>
      </c>
      <c r="E103" s="229">
        <v>775884.99</v>
      </c>
      <c r="F103" s="100">
        <f>E103</f>
        <v>775884.99</v>
      </c>
      <c r="G103" s="62">
        <f t="shared" si="20"/>
        <v>0</v>
      </c>
      <c r="H103" s="22">
        <f t="shared" si="28"/>
        <v>0</v>
      </c>
      <c r="I103" s="23">
        <f t="shared" si="34"/>
        <v>387244.62681599997</v>
      </c>
      <c r="J103" s="23">
        <f t="shared" si="31"/>
        <v>0</v>
      </c>
      <c r="K103" s="23">
        <f t="shared" si="24"/>
        <v>185936.29261027643</v>
      </c>
      <c r="L103" s="23">
        <f t="shared" si="25"/>
        <v>202702.7028</v>
      </c>
      <c r="M103" s="75">
        <v>0</v>
      </c>
      <c r="N103" s="75">
        <v>0</v>
      </c>
      <c r="O103" s="89"/>
      <c r="P103" s="320">
        <f t="shared" si="32"/>
        <v>775884.99</v>
      </c>
      <c r="Q103" s="320"/>
      <c r="R103" s="224">
        <f t="shared" si="26"/>
        <v>799418.99</v>
      </c>
      <c r="S103" s="14">
        <f t="shared" si="33"/>
        <v>0.99</v>
      </c>
      <c r="T103" s="1">
        <f t="shared" si="27"/>
        <v>99</v>
      </c>
      <c r="U103" s="11" t="s">
        <v>220</v>
      </c>
    </row>
    <row r="104" spans="1:22" ht="24.9" customHeight="1" x14ac:dyDescent="0.3">
      <c r="A104" s="17"/>
      <c r="B104" s="17">
        <f t="shared" si="29"/>
        <v>100</v>
      </c>
      <c r="C104" s="17" t="s">
        <v>110</v>
      </c>
      <c r="D104" s="81">
        <v>4.7999999999999996E-3</v>
      </c>
      <c r="E104" s="229">
        <v>775885</v>
      </c>
      <c r="F104" s="100">
        <f>E104</f>
        <v>775885</v>
      </c>
      <c r="G104" s="62">
        <f t="shared" si="20"/>
        <v>0</v>
      </c>
      <c r="H104" s="22">
        <f t="shared" si="28"/>
        <v>0</v>
      </c>
      <c r="I104" s="23">
        <f t="shared" si="34"/>
        <v>387244.62681599997</v>
      </c>
      <c r="J104" s="23">
        <f t="shared" si="31"/>
        <v>0</v>
      </c>
      <c r="K104" s="23">
        <f t="shared" si="24"/>
        <v>185936.29261027643</v>
      </c>
      <c r="L104" s="23">
        <f t="shared" si="25"/>
        <v>202702.7028</v>
      </c>
      <c r="M104" s="75">
        <v>0</v>
      </c>
      <c r="N104" s="75">
        <v>0</v>
      </c>
      <c r="O104" s="89"/>
      <c r="P104" s="320">
        <f t="shared" si="32"/>
        <v>775885</v>
      </c>
      <c r="Q104" s="320"/>
      <c r="R104" s="224">
        <f t="shared" si="26"/>
        <v>799419</v>
      </c>
      <c r="S104" s="14">
        <f t="shared" si="33"/>
        <v>1</v>
      </c>
      <c r="T104" s="1">
        <f t="shared" si="27"/>
        <v>100</v>
      </c>
    </row>
    <row r="105" spans="1:22" ht="24.9" customHeight="1" x14ac:dyDescent="0.3">
      <c r="A105" s="177"/>
      <c r="B105" s="17">
        <f t="shared" si="29"/>
        <v>101</v>
      </c>
      <c r="C105" s="17" t="s">
        <v>111</v>
      </c>
      <c r="D105" s="81">
        <v>4.7999999999999996E-3</v>
      </c>
      <c r="E105" s="229">
        <v>1581831.01</v>
      </c>
      <c r="F105" s="100">
        <f>781812.01+24135+775885</f>
        <v>1581832.01</v>
      </c>
      <c r="G105" s="62">
        <f t="shared" si="20"/>
        <v>-1</v>
      </c>
      <c r="H105" s="22">
        <f t="shared" si="28"/>
        <v>0</v>
      </c>
      <c r="I105" s="23">
        <f t="shared" si="34"/>
        <v>387244.62681599997</v>
      </c>
      <c r="J105" s="23">
        <f t="shared" si="31"/>
        <v>0</v>
      </c>
      <c r="K105" s="23">
        <f t="shared" si="24"/>
        <v>185936.29261027643</v>
      </c>
      <c r="L105" s="23">
        <f t="shared" si="25"/>
        <v>202702.7028</v>
      </c>
      <c r="M105" s="75">
        <v>0</v>
      </c>
      <c r="N105" s="75">
        <v>0</v>
      </c>
      <c r="O105" s="89"/>
      <c r="P105" s="320">
        <f t="shared" si="32"/>
        <v>775884.01</v>
      </c>
      <c r="Q105" s="320"/>
      <c r="R105" s="224">
        <f t="shared" si="26"/>
        <v>799418.01</v>
      </c>
      <c r="S105" s="14">
        <f t="shared" si="33"/>
        <v>1.01</v>
      </c>
      <c r="T105" s="1">
        <f t="shared" si="27"/>
        <v>101</v>
      </c>
    </row>
    <row r="106" spans="1:22" ht="24.9" customHeight="1" x14ac:dyDescent="0.3">
      <c r="A106" s="17"/>
      <c r="B106" s="17">
        <f t="shared" si="29"/>
        <v>102</v>
      </c>
      <c r="C106" s="17" t="s">
        <v>112</v>
      </c>
      <c r="D106" s="81">
        <v>4.7999999999999996E-3</v>
      </c>
      <c r="E106" s="229">
        <v>775348.02</v>
      </c>
      <c r="F106" s="100">
        <v>780000</v>
      </c>
      <c r="G106" s="62">
        <f t="shared" si="20"/>
        <v>-4651.9799999999814</v>
      </c>
      <c r="H106" s="22">
        <f t="shared" si="28"/>
        <v>0</v>
      </c>
      <c r="I106" s="23">
        <f t="shared" si="34"/>
        <v>387244.62681599997</v>
      </c>
      <c r="J106" s="23">
        <f t="shared" si="31"/>
        <v>0</v>
      </c>
      <c r="K106" s="23">
        <f t="shared" si="24"/>
        <v>185936.29261027643</v>
      </c>
      <c r="L106" s="23">
        <f t="shared" si="25"/>
        <v>202702.7028</v>
      </c>
      <c r="M106" s="75">
        <v>0</v>
      </c>
      <c r="N106" s="75">
        <v>0</v>
      </c>
      <c r="O106" s="89"/>
      <c r="P106" s="320">
        <f t="shared" si="32"/>
        <v>771233.02</v>
      </c>
      <c r="Q106" s="320"/>
      <c r="R106" s="224">
        <f t="shared" si="26"/>
        <v>794626.02</v>
      </c>
      <c r="S106" s="14">
        <f t="shared" si="33"/>
        <v>1.02</v>
      </c>
      <c r="T106" s="1">
        <f t="shared" si="27"/>
        <v>102</v>
      </c>
      <c r="U106" t="s">
        <v>281</v>
      </c>
    </row>
    <row r="107" spans="1:22" ht="24.9" customHeight="1" x14ac:dyDescent="0.3">
      <c r="A107" s="17"/>
      <c r="B107" s="17">
        <f t="shared" si="29"/>
        <v>103</v>
      </c>
      <c r="C107" s="17" t="s">
        <v>113</v>
      </c>
      <c r="D107" s="81">
        <v>4.7999999999999996E-3</v>
      </c>
      <c r="E107" s="229">
        <v>2412657.0299999998</v>
      </c>
      <c r="F107" s="100">
        <f>1587758+49014</f>
        <v>1636772</v>
      </c>
      <c r="G107" s="62">
        <f t="shared" si="20"/>
        <v>775885.0299999998</v>
      </c>
      <c r="H107" s="22">
        <f t="shared" si="28"/>
        <v>23951.570876099995</v>
      </c>
      <c r="I107" s="23">
        <f t="shared" si="34"/>
        <v>387244.62681599997</v>
      </c>
      <c r="J107" s="23">
        <f t="shared" si="31"/>
        <v>0</v>
      </c>
      <c r="K107" s="23">
        <f t="shared" si="24"/>
        <v>185936.29261027643</v>
      </c>
      <c r="L107" s="23">
        <f t="shared" si="25"/>
        <v>202702.7028</v>
      </c>
      <c r="M107" s="75">
        <v>0</v>
      </c>
      <c r="N107" s="75">
        <v>0</v>
      </c>
      <c r="O107" s="89"/>
      <c r="P107" s="320">
        <f t="shared" si="32"/>
        <v>1575721.03</v>
      </c>
      <c r="Q107" s="320"/>
      <c r="R107" s="224">
        <f t="shared" si="26"/>
        <v>1623514.03</v>
      </c>
      <c r="S107" s="14">
        <f t="shared" si="33"/>
        <v>1.03</v>
      </c>
      <c r="T107" s="1">
        <f t="shared" si="27"/>
        <v>103</v>
      </c>
    </row>
    <row r="108" spans="1:22" ht="24.9" customHeight="1" x14ac:dyDescent="0.3">
      <c r="A108" s="17"/>
      <c r="B108" s="17">
        <f t="shared" si="29"/>
        <v>104</v>
      </c>
      <c r="C108" s="17" t="s">
        <v>114</v>
      </c>
      <c r="D108" s="81">
        <v>4.7000000000000002E-3</v>
      </c>
      <c r="E108" s="229">
        <v>767817.04</v>
      </c>
      <c r="F108" s="100"/>
      <c r="G108" s="62">
        <f t="shared" si="20"/>
        <v>767817.04</v>
      </c>
      <c r="H108" s="22">
        <f t="shared" si="28"/>
        <v>23702.512024800002</v>
      </c>
      <c r="I108" s="23">
        <f t="shared" si="34"/>
        <v>379177.030424</v>
      </c>
      <c r="J108" s="23">
        <f t="shared" si="31"/>
        <v>0</v>
      </c>
      <c r="K108" s="23">
        <f t="shared" si="24"/>
        <v>185936.29261027643</v>
      </c>
      <c r="L108" s="23">
        <f t="shared" si="25"/>
        <v>202702.7028</v>
      </c>
      <c r="M108" s="75">
        <v>0</v>
      </c>
      <c r="N108" s="75">
        <v>0</v>
      </c>
      <c r="O108" s="89"/>
      <c r="P108" s="320">
        <f t="shared" si="32"/>
        <v>1559337.04</v>
      </c>
      <c r="Q108" s="320"/>
      <c r="R108" s="224">
        <f t="shared" si="26"/>
        <v>1606633.04</v>
      </c>
      <c r="S108" s="14">
        <f t="shared" si="33"/>
        <v>1.04</v>
      </c>
      <c r="T108" s="1">
        <f t="shared" si="27"/>
        <v>104</v>
      </c>
      <c r="U108" t="s">
        <v>309</v>
      </c>
    </row>
    <row r="109" spans="1:22" ht="24.9" customHeight="1" x14ac:dyDescent="0.3">
      <c r="A109" s="189"/>
      <c r="B109" s="17">
        <f t="shared" si="29"/>
        <v>105</v>
      </c>
      <c r="C109" s="17" t="s">
        <v>115</v>
      </c>
      <c r="D109" s="81">
        <v>4.1999999999999997E-3</v>
      </c>
      <c r="E109" s="229">
        <v>727479.05</v>
      </c>
      <c r="F109" s="100">
        <f>E109</f>
        <v>727479.05</v>
      </c>
      <c r="G109" s="63">
        <f t="shared" si="20"/>
        <v>0</v>
      </c>
      <c r="H109" s="82">
        <f t="shared" si="28"/>
        <v>0</v>
      </c>
      <c r="I109" s="75">
        <f t="shared" si="34"/>
        <v>338839.04846399999</v>
      </c>
      <c r="J109" s="75">
        <f t="shared" si="31"/>
        <v>0</v>
      </c>
      <c r="K109" s="75">
        <f t="shared" si="24"/>
        <v>185936.29261027643</v>
      </c>
      <c r="L109" s="75">
        <f t="shared" si="25"/>
        <v>202702.7028</v>
      </c>
      <c r="M109" s="75">
        <v>0</v>
      </c>
      <c r="N109" s="75">
        <v>0</v>
      </c>
      <c r="O109" s="89"/>
      <c r="P109" s="321">
        <f t="shared" si="32"/>
        <v>727479.05</v>
      </c>
      <c r="Q109" s="321"/>
      <c r="R109" s="224">
        <f t="shared" si="26"/>
        <v>749544.05</v>
      </c>
      <c r="S109" s="83">
        <f t="shared" si="33"/>
        <v>1.05</v>
      </c>
      <c r="T109" s="61">
        <f t="shared" si="27"/>
        <v>105</v>
      </c>
      <c r="U109" s="162" t="s">
        <v>319</v>
      </c>
      <c r="V109" s="37"/>
    </row>
    <row r="110" spans="1:22" ht="24.9" customHeight="1" x14ac:dyDescent="0.3">
      <c r="A110" s="17"/>
      <c r="B110" s="17">
        <f t="shared" si="29"/>
        <v>106</v>
      </c>
      <c r="C110" s="17" t="s">
        <v>116</v>
      </c>
      <c r="D110" s="81">
        <v>4.4000000000000003E-3</v>
      </c>
      <c r="E110" s="229">
        <v>743502.06</v>
      </c>
      <c r="F110" s="100">
        <f>389000+316800</f>
        <v>705800</v>
      </c>
      <c r="G110" s="63">
        <f t="shared" si="20"/>
        <v>37702.060000000056</v>
      </c>
      <c r="H110" s="82">
        <f t="shared" si="28"/>
        <v>1163.8625922000017</v>
      </c>
      <c r="I110" s="75">
        <f t="shared" si="34"/>
        <v>354974.24124800001</v>
      </c>
      <c r="J110" s="75">
        <f t="shared" si="31"/>
        <v>0</v>
      </c>
      <c r="K110" s="75">
        <f t="shared" si="24"/>
        <v>185936.29261027643</v>
      </c>
      <c r="L110" s="75">
        <f t="shared" si="25"/>
        <v>202702.7028</v>
      </c>
      <c r="M110" s="75">
        <v>0</v>
      </c>
      <c r="N110" s="75">
        <f>(I110+K110)/2</f>
        <v>270455.26692913822</v>
      </c>
      <c r="O110" s="89"/>
      <c r="P110" s="321">
        <f t="shared" si="32"/>
        <v>1052935.06</v>
      </c>
      <c r="Q110" s="321"/>
      <c r="R110" s="224">
        <f t="shared" si="26"/>
        <v>1084872.06</v>
      </c>
      <c r="S110" s="83">
        <f t="shared" si="33"/>
        <v>1.06</v>
      </c>
      <c r="T110" s="61">
        <f t="shared" si="27"/>
        <v>106</v>
      </c>
      <c r="U110" t="s">
        <v>420</v>
      </c>
    </row>
    <row r="111" spans="1:22" ht="24.9" customHeight="1" x14ac:dyDescent="0.3">
      <c r="A111" s="17"/>
      <c r="B111" s="17">
        <f t="shared" si="29"/>
        <v>107</v>
      </c>
      <c r="C111" s="17" t="s">
        <v>117</v>
      </c>
      <c r="D111" s="81">
        <v>4.4000000000000003E-3</v>
      </c>
      <c r="E111" s="229">
        <v>743614.07</v>
      </c>
      <c r="F111" s="231">
        <f>E111</f>
        <v>743614.07</v>
      </c>
      <c r="G111" s="62">
        <f t="shared" si="20"/>
        <v>0</v>
      </c>
      <c r="H111" s="22">
        <f t="shared" si="28"/>
        <v>0</v>
      </c>
      <c r="I111" s="23">
        <f t="shared" si="34"/>
        <v>354974.24124800001</v>
      </c>
      <c r="J111" s="23">
        <f t="shared" si="31"/>
        <v>0</v>
      </c>
      <c r="K111" s="23">
        <f t="shared" si="24"/>
        <v>185936.29261027643</v>
      </c>
      <c r="L111" s="23">
        <f t="shared" si="25"/>
        <v>202702.7028</v>
      </c>
      <c r="M111" s="75">
        <v>0</v>
      </c>
      <c r="N111" s="75">
        <v>0</v>
      </c>
      <c r="O111" s="89"/>
      <c r="P111" s="320">
        <f t="shared" si="32"/>
        <v>743614.07</v>
      </c>
      <c r="Q111" s="320"/>
      <c r="R111" s="224">
        <f t="shared" si="26"/>
        <v>766169.07</v>
      </c>
      <c r="S111" s="14">
        <f t="shared" si="33"/>
        <v>1.07</v>
      </c>
      <c r="T111" s="1">
        <f t="shared" si="27"/>
        <v>107</v>
      </c>
      <c r="U111" t="s">
        <v>252</v>
      </c>
    </row>
    <row r="112" spans="1:22" ht="24.9" customHeight="1" x14ac:dyDescent="0.3">
      <c r="A112" s="17"/>
      <c r="B112" s="17">
        <f t="shared" si="29"/>
        <v>108</v>
      </c>
      <c r="C112" s="17" t="s">
        <v>118</v>
      </c>
      <c r="D112" s="81">
        <v>4.4000000000000003E-3</v>
      </c>
      <c r="E112" s="229">
        <v>743614.08</v>
      </c>
      <c r="F112" s="100">
        <f>E112</f>
        <v>743614.08</v>
      </c>
      <c r="G112" s="62">
        <f t="shared" si="20"/>
        <v>0</v>
      </c>
      <c r="H112" s="22">
        <f t="shared" si="28"/>
        <v>0</v>
      </c>
      <c r="I112" s="23">
        <f t="shared" si="34"/>
        <v>354974.24124800001</v>
      </c>
      <c r="J112" s="23">
        <f t="shared" si="31"/>
        <v>0</v>
      </c>
      <c r="K112" s="23">
        <f t="shared" si="24"/>
        <v>185936.29261027643</v>
      </c>
      <c r="L112" s="23">
        <f t="shared" si="25"/>
        <v>202702.7028</v>
      </c>
      <c r="M112" s="75">
        <v>0</v>
      </c>
      <c r="N112" s="75">
        <v>0</v>
      </c>
      <c r="O112" s="89"/>
      <c r="P112" s="320">
        <f t="shared" si="32"/>
        <v>743614.08</v>
      </c>
      <c r="Q112" s="320"/>
      <c r="R112" s="224">
        <f t="shared" si="26"/>
        <v>766169.08</v>
      </c>
      <c r="S112" s="14">
        <f t="shared" si="33"/>
        <v>1.08</v>
      </c>
      <c r="T112" s="1">
        <f t="shared" si="27"/>
        <v>108</v>
      </c>
    </row>
    <row r="113" spans="1:25" ht="24.9" customHeight="1" x14ac:dyDescent="0.3">
      <c r="A113" s="192"/>
      <c r="B113" s="17">
        <f t="shared" si="29"/>
        <v>109</v>
      </c>
      <c r="C113" s="17" t="s">
        <v>119</v>
      </c>
      <c r="D113" s="81">
        <v>4.4999999999999997E-3</v>
      </c>
      <c r="E113" s="229">
        <v>1523809.09</v>
      </c>
      <c r="F113" s="100">
        <v>762000</v>
      </c>
      <c r="G113" s="62">
        <f t="shared" si="20"/>
        <v>761809.09000000008</v>
      </c>
      <c r="H113" s="22">
        <f t="shared" si="28"/>
        <v>23517.046608300003</v>
      </c>
      <c r="I113" s="23">
        <f t="shared" si="34"/>
        <v>363041.83763999998</v>
      </c>
      <c r="J113" s="23">
        <f t="shared" si="31"/>
        <v>0</v>
      </c>
      <c r="K113" s="23">
        <f t="shared" si="24"/>
        <v>185936.29261027643</v>
      </c>
      <c r="L113" s="23">
        <f t="shared" si="25"/>
        <v>202702.7028</v>
      </c>
      <c r="M113" s="75">
        <v>0</v>
      </c>
      <c r="N113" s="75">
        <v>0</v>
      </c>
      <c r="O113" s="89"/>
      <c r="P113" s="320">
        <f t="shared" si="32"/>
        <v>1537008.09</v>
      </c>
      <c r="Q113" s="320"/>
      <c r="R113" s="224">
        <f t="shared" si="26"/>
        <v>1583627.09</v>
      </c>
      <c r="S113" s="14">
        <f t="shared" si="33"/>
        <v>1.0900000000000001</v>
      </c>
      <c r="T113" s="1">
        <f t="shared" si="27"/>
        <v>109</v>
      </c>
      <c r="U113" t="s">
        <v>248</v>
      </c>
    </row>
    <row r="114" spans="1:25" ht="24.9" customHeight="1" x14ac:dyDescent="0.3">
      <c r="A114" s="17"/>
      <c r="B114" s="17">
        <f t="shared" si="29"/>
        <v>110</v>
      </c>
      <c r="C114" s="17" t="s">
        <v>120</v>
      </c>
      <c r="D114" s="81">
        <v>4.5999999999999999E-3</v>
      </c>
      <c r="E114" s="229">
        <v>2389927.1</v>
      </c>
      <c r="F114" s="100">
        <f>882000+700000+48817</f>
        <v>1630817</v>
      </c>
      <c r="G114" s="62">
        <f t="shared" si="20"/>
        <v>759110.10000000009</v>
      </c>
      <c r="H114" s="22">
        <f t="shared" si="28"/>
        <v>23433.728787000004</v>
      </c>
      <c r="I114" s="23">
        <f t="shared" si="34"/>
        <v>371109.43403200002</v>
      </c>
      <c r="J114" s="23">
        <f t="shared" si="31"/>
        <v>0</v>
      </c>
      <c r="K114" s="23">
        <f t="shared" si="24"/>
        <v>185936.29261027643</v>
      </c>
      <c r="L114" s="23">
        <f t="shared" si="25"/>
        <v>202702.7028</v>
      </c>
      <c r="M114" s="75">
        <v>0</v>
      </c>
      <c r="N114" s="75">
        <v>0</v>
      </c>
      <c r="O114" s="89"/>
      <c r="P114" s="320">
        <f t="shared" si="32"/>
        <v>1542293.1</v>
      </c>
      <c r="Q114" s="320"/>
      <c r="R114" s="224">
        <f t="shared" si="26"/>
        <v>1589072.1</v>
      </c>
      <c r="S114" s="14">
        <f t="shared" si="33"/>
        <v>1.1000000000000001</v>
      </c>
      <c r="T114" s="1">
        <f t="shared" si="27"/>
        <v>110</v>
      </c>
      <c r="U114" t="s">
        <v>256</v>
      </c>
      <c r="Y114" s="42"/>
    </row>
    <row r="115" spans="1:25" ht="24.9" customHeight="1" x14ac:dyDescent="0.3">
      <c r="A115" s="17"/>
      <c r="B115" s="17">
        <f t="shared" si="29"/>
        <v>111</v>
      </c>
      <c r="C115" s="17" t="s">
        <v>121</v>
      </c>
      <c r="D115" s="81">
        <v>4.4999999999999997E-3</v>
      </c>
      <c r="E115" s="229">
        <v>751682.11</v>
      </c>
      <c r="F115" s="100">
        <f>E115</f>
        <v>751682.11</v>
      </c>
      <c r="G115" s="62">
        <f t="shared" si="20"/>
        <v>0</v>
      </c>
      <c r="H115" s="22">
        <f t="shared" si="28"/>
        <v>0</v>
      </c>
      <c r="I115" s="23">
        <f t="shared" si="34"/>
        <v>363041.83763999998</v>
      </c>
      <c r="J115" s="23">
        <f t="shared" si="31"/>
        <v>0</v>
      </c>
      <c r="K115" s="23">
        <f t="shared" si="24"/>
        <v>185936.29261027643</v>
      </c>
      <c r="L115" s="23">
        <f t="shared" si="25"/>
        <v>202702.7028</v>
      </c>
      <c r="M115" s="75">
        <v>0</v>
      </c>
      <c r="N115" s="75">
        <v>0</v>
      </c>
      <c r="O115" s="89"/>
      <c r="P115" s="320">
        <f t="shared" si="32"/>
        <v>751682.11</v>
      </c>
      <c r="Q115" s="320"/>
      <c r="R115" s="224">
        <f t="shared" si="26"/>
        <v>774482.11</v>
      </c>
      <c r="S115" s="14">
        <f t="shared" si="33"/>
        <v>1.1100000000000001</v>
      </c>
      <c r="T115" s="1">
        <f t="shared" si="27"/>
        <v>111</v>
      </c>
    </row>
    <row r="116" spans="1:25" ht="24.9" customHeight="1" x14ac:dyDescent="0.3">
      <c r="A116" s="17"/>
      <c r="B116" s="17">
        <f t="shared" si="29"/>
        <v>112</v>
      </c>
      <c r="C116" s="17" t="s">
        <v>122</v>
      </c>
      <c r="D116" s="81">
        <v>4.4999999999999997E-3</v>
      </c>
      <c r="E116" s="229">
        <v>766548.12</v>
      </c>
      <c r="F116" s="100">
        <v>760000</v>
      </c>
      <c r="G116" s="62">
        <f t="shared" si="20"/>
        <v>6548.1199999999953</v>
      </c>
      <c r="H116" s="22">
        <f t="shared" si="28"/>
        <v>202.14046439999987</v>
      </c>
      <c r="I116" s="23">
        <f t="shared" si="34"/>
        <v>363041.83763999998</v>
      </c>
      <c r="J116" s="23">
        <f t="shared" si="31"/>
        <v>0</v>
      </c>
      <c r="K116" s="23">
        <f t="shared" si="24"/>
        <v>185936.29261027643</v>
      </c>
      <c r="L116" s="23">
        <f t="shared" si="25"/>
        <v>202702.7028</v>
      </c>
      <c r="M116" s="75">
        <v>0</v>
      </c>
      <c r="N116" s="75">
        <v>0</v>
      </c>
      <c r="O116" s="89"/>
      <c r="P116" s="320">
        <f t="shared" si="32"/>
        <v>758432.12</v>
      </c>
      <c r="Q116" s="320"/>
      <c r="R116" s="224">
        <f t="shared" si="26"/>
        <v>781436.12</v>
      </c>
      <c r="S116" s="14">
        <f t="shared" si="33"/>
        <v>1.1200000000000001</v>
      </c>
      <c r="T116" s="1">
        <f t="shared" si="27"/>
        <v>112</v>
      </c>
      <c r="U116" t="s">
        <v>205</v>
      </c>
    </row>
    <row r="117" spans="1:25" ht="24.9" customHeight="1" x14ac:dyDescent="0.3">
      <c r="A117" s="17"/>
      <c r="B117" s="17">
        <f t="shared" si="29"/>
        <v>113</v>
      </c>
      <c r="C117" s="17" t="s">
        <v>123</v>
      </c>
      <c r="D117" s="81">
        <v>4.7000000000000002E-3</v>
      </c>
      <c r="E117" s="229">
        <v>767817.13</v>
      </c>
      <c r="F117" s="100">
        <f>E117</f>
        <v>767817.13</v>
      </c>
      <c r="G117" s="62">
        <f t="shared" si="20"/>
        <v>0</v>
      </c>
      <c r="H117" s="22">
        <f t="shared" si="28"/>
        <v>0</v>
      </c>
      <c r="I117" s="23">
        <f t="shared" si="34"/>
        <v>379177.030424</v>
      </c>
      <c r="J117" s="23">
        <f t="shared" si="31"/>
        <v>0</v>
      </c>
      <c r="K117" s="23">
        <f t="shared" si="24"/>
        <v>185936.29261027643</v>
      </c>
      <c r="L117" s="23">
        <f t="shared" si="25"/>
        <v>202702.7028</v>
      </c>
      <c r="M117" s="75">
        <v>0</v>
      </c>
      <c r="N117" s="75">
        <v>0</v>
      </c>
      <c r="O117" s="89"/>
      <c r="P117" s="320">
        <f t="shared" si="32"/>
        <v>767817.13</v>
      </c>
      <c r="Q117" s="320"/>
      <c r="R117" s="224">
        <f t="shared" si="26"/>
        <v>791106.13</v>
      </c>
      <c r="S117" s="14">
        <f t="shared" si="33"/>
        <v>1.1299999999999999</v>
      </c>
      <c r="T117" s="1">
        <f t="shared" si="27"/>
        <v>113</v>
      </c>
    </row>
    <row r="118" spans="1:25" ht="24.9" customHeight="1" x14ac:dyDescent="0.3">
      <c r="A118" s="17"/>
      <c r="B118" s="17">
        <f t="shared" si="29"/>
        <v>114</v>
      </c>
      <c r="C118" s="17" t="s">
        <v>124</v>
      </c>
      <c r="D118" s="81">
        <v>4.4999999999999997E-3</v>
      </c>
      <c r="E118" s="229">
        <v>751682.14</v>
      </c>
      <c r="F118" s="100">
        <f>E118</f>
        <v>751682.14</v>
      </c>
      <c r="G118" s="62">
        <f t="shared" si="20"/>
        <v>0</v>
      </c>
      <c r="H118" s="22">
        <f t="shared" si="28"/>
        <v>0</v>
      </c>
      <c r="I118" s="23">
        <f t="shared" si="34"/>
        <v>363041.83763999998</v>
      </c>
      <c r="J118" s="23">
        <f t="shared" si="31"/>
        <v>0</v>
      </c>
      <c r="K118" s="23">
        <f t="shared" si="24"/>
        <v>185936.29261027643</v>
      </c>
      <c r="L118" s="23">
        <f t="shared" si="25"/>
        <v>202702.7028</v>
      </c>
      <c r="M118" s="75">
        <v>0</v>
      </c>
      <c r="N118" s="75">
        <v>0</v>
      </c>
      <c r="O118" s="89"/>
      <c r="P118" s="320">
        <f t="shared" si="32"/>
        <v>751682.14</v>
      </c>
      <c r="Q118" s="320"/>
      <c r="R118" s="224">
        <f t="shared" si="26"/>
        <v>774482.14</v>
      </c>
      <c r="S118" s="14">
        <f t="shared" si="33"/>
        <v>1.1399999999999999</v>
      </c>
      <c r="T118" s="1">
        <f t="shared" si="27"/>
        <v>114</v>
      </c>
    </row>
    <row r="119" spans="1:25" ht="24.9" customHeight="1" x14ac:dyDescent="0.3">
      <c r="A119" s="17"/>
      <c r="B119" s="17">
        <f t="shared" si="29"/>
        <v>115</v>
      </c>
      <c r="C119" s="17" t="s">
        <v>125</v>
      </c>
      <c r="D119" s="81">
        <v>6.4000000000000003E-3</v>
      </c>
      <c r="E119" s="229">
        <v>904966.15</v>
      </c>
      <c r="F119" s="100"/>
      <c r="G119" s="62">
        <f t="shared" si="20"/>
        <v>904966.15</v>
      </c>
      <c r="H119" s="22">
        <f t="shared" si="28"/>
        <v>27936.305050500003</v>
      </c>
      <c r="I119" s="23">
        <f t="shared" si="34"/>
        <v>516326.16908800002</v>
      </c>
      <c r="J119" s="23">
        <f t="shared" si="31"/>
        <v>0</v>
      </c>
      <c r="K119" s="23">
        <f t="shared" si="24"/>
        <v>185936.29261027643</v>
      </c>
      <c r="L119" s="23">
        <f t="shared" si="25"/>
        <v>202702.7028</v>
      </c>
      <c r="M119" s="75">
        <v>0</v>
      </c>
      <c r="N119" s="75">
        <v>0</v>
      </c>
      <c r="O119" s="89"/>
      <c r="P119" s="320">
        <f t="shared" si="32"/>
        <v>1837869.15</v>
      </c>
      <c r="Q119" s="320"/>
      <c r="R119" s="224">
        <f t="shared" si="26"/>
        <v>1893613.15</v>
      </c>
      <c r="S119" s="14">
        <f t="shared" si="33"/>
        <v>1.1499999999999999</v>
      </c>
      <c r="T119" s="1">
        <f t="shared" si="27"/>
        <v>115</v>
      </c>
      <c r="U119" t="s">
        <v>310</v>
      </c>
    </row>
    <row r="120" spans="1:25" ht="24.9" customHeight="1" x14ac:dyDescent="0.3">
      <c r="A120" s="17"/>
      <c r="B120" s="17">
        <f t="shared" si="29"/>
        <v>116</v>
      </c>
      <c r="C120" s="17" t="s">
        <v>126</v>
      </c>
      <c r="D120" s="81">
        <v>5.7999999999999996E-3</v>
      </c>
      <c r="E120" s="229">
        <v>856561.16</v>
      </c>
      <c r="F120" s="100"/>
      <c r="G120" s="62">
        <f t="shared" si="20"/>
        <v>856561.16</v>
      </c>
      <c r="H120" s="22">
        <f t="shared" si="28"/>
        <v>26442.043009200002</v>
      </c>
      <c r="I120" s="23">
        <f t="shared" si="34"/>
        <v>467920.59073599998</v>
      </c>
      <c r="J120" s="23">
        <f t="shared" si="31"/>
        <v>0</v>
      </c>
      <c r="K120" s="23">
        <f t="shared" si="24"/>
        <v>185936.29261027643</v>
      </c>
      <c r="L120" s="23">
        <f t="shared" si="25"/>
        <v>202702.7028</v>
      </c>
      <c r="M120" s="75">
        <v>0</v>
      </c>
      <c r="N120" s="75">
        <v>0</v>
      </c>
      <c r="O120" s="89"/>
      <c r="P120" s="320">
        <f t="shared" si="32"/>
        <v>1739564.16</v>
      </c>
      <c r="Q120" s="320"/>
      <c r="R120" s="224">
        <f t="shared" si="26"/>
        <v>1792326.16</v>
      </c>
      <c r="S120" s="14">
        <f t="shared" si="33"/>
        <v>1.1599999999999999</v>
      </c>
      <c r="T120" s="1">
        <f t="shared" si="27"/>
        <v>116</v>
      </c>
    </row>
    <row r="121" spans="1:25" ht="24.9" customHeight="1" x14ac:dyDescent="0.3">
      <c r="A121" s="17"/>
      <c r="B121" s="17">
        <f t="shared" si="29"/>
        <v>117</v>
      </c>
      <c r="C121" s="17" t="s">
        <v>127</v>
      </c>
      <c r="D121" s="81">
        <v>6.1000000000000004E-3</v>
      </c>
      <c r="E121" s="229">
        <v>880763.17</v>
      </c>
      <c r="F121" s="100">
        <f>E121</f>
        <v>880763.17</v>
      </c>
      <c r="G121" s="62">
        <f t="shared" si="20"/>
        <v>0</v>
      </c>
      <c r="H121" s="22">
        <f t="shared" si="28"/>
        <v>0</v>
      </c>
      <c r="I121" s="23">
        <f t="shared" si="34"/>
        <v>492123.37991200003</v>
      </c>
      <c r="J121" s="23">
        <f t="shared" si="31"/>
        <v>0</v>
      </c>
      <c r="K121" s="23">
        <f t="shared" si="24"/>
        <v>185936.29261027643</v>
      </c>
      <c r="L121" s="23">
        <f t="shared" si="25"/>
        <v>202702.7028</v>
      </c>
      <c r="M121" s="75">
        <v>0</v>
      </c>
      <c r="N121" s="75">
        <v>0</v>
      </c>
      <c r="O121" s="89"/>
      <c r="P121" s="320">
        <f t="shared" si="32"/>
        <v>880763.17</v>
      </c>
      <c r="Q121" s="320"/>
      <c r="R121" s="224">
        <f t="shared" si="26"/>
        <v>907478.17</v>
      </c>
      <c r="S121" s="14">
        <f t="shared" si="33"/>
        <v>1.17</v>
      </c>
      <c r="T121" s="1">
        <f t="shared" si="27"/>
        <v>117</v>
      </c>
      <c r="U121" t="s">
        <v>282</v>
      </c>
    </row>
    <row r="122" spans="1:25" ht="24.9" customHeight="1" x14ac:dyDescent="0.3">
      <c r="A122" s="17"/>
      <c r="B122" s="17">
        <f t="shared" si="29"/>
        <v>118</v>
      </c>
      <c r="C122" s="17" t="s">
        <v>128</v>
      </c>
      <c r="D122" s="81">
        <v>5.7999999999999996E-3</v>
      </c>
      <c r="E122" s="229">
        <v>856560.18</v>
      </c>
      <c r="F122" s="100">
        <f>2377000-1-F124-F125</f>
        <v>857500.59000000008</v>
      </c>
      <c r="G122" s="62">
        <f t="shared" si="20"/>
        <v>-940.4100000000326</v>
      </c>
      <c r="H122" s="22">
        <f t="shared" si="28"/>
        <v>0</v>
      </c>
      <c r="I122" s="23">
        <f t="shared" si="34"/>
        <v>467920.59073599998</v>
      </c>
      <c r="J122" s="23">
        <f t="shared" si="31"/>
        <v>0</v>
      </c>
      <c r="K122" s="23">
        <f t="shared" si="24"/>
        <v>185936.29261027643</v>
      </c>
      <c r="L122" s="23">
        <f t="shared" si="25"/>
        <v>202702.7028</v>
      </c>
      <c r="M122" s="75">
        <v>0</v>
      </c>
      <c r="N122" s="75">
        <v>0</v>
      </c>
      <c r="O122" s="89"/>
      <c r="P122" s="320">
        <f t="shared" si="32"/>
        <v>855620.18</v>
      </c>
      <c r="Q122" s="320"/>
      <c r="R122" s="224">
        <f t="shared" si="26"/>
        <v>881572.18</v>
      </c>
      <c r="S122" s="14">
        <f t="shared" si="33"/>
        <v>1.18</v>
      </c>
      <c r="T122" s="1">
        <f t="shared" si="27"/>
        <v>118</v>
      </c>
      <c r="U122" t="s">
        <v>305</v>
      </c>
    </row>
    <row r="123" spans="1:25" ht="24.9" customHeight="1" x14ac:dyDescent="0.3">
      <c r="A123" s="17"/>
      <c r="B123" s="17">
        <f t="shared" si="29"/>
        <v>119</v>
      </c>
      <c r="C123" s="17" t="s">
        <v>129</v>
      </c>
      <c r="D123" s="81">
        <v>5.4000000000000003E-3</v>
      </c>
      <c r="E123" s="229">
        <v>824258.19</v>
      </c>
      <c r="F123" s="100">
        <v>824000</v>
      </c>
      <c r="G123" s="62">
        <f t="shared" si="20"/>
        <v>258.18999999994412</v>
      </c>
      <c r="H123" s="22">
        <f t="shared" si="28"/>
        <v>7.970325299998275</v>
      </c>
      <c r="I123" s="23">
        <f t="shared" si="34"/>
        <v>435650.20516800001</v>
      </c>
      <c r="J123" s="23">
        <f t="shared" si="31"/>
        <v>0</v>
      </c>
      <c r="K123" s="23">
        <f t="shared" si="24"/>
        <v>185936.29261027643</v>
      </c>
      <c r="L123" s="23">
        <f t="shared" si="25"/>
        <v>202702.7028</v>
      </c>
      <c r="M123" s="75">
        <v>0</v>
      </c>
      <c r="N123" s="75">
        <v>0</v>
      </c>
      <c r="O123" s="89"/>
      <c r="P123" s="320">
        <f t="shared" si="32"/>
        <v>824556.19</v>
      </c>
      <c r="Q123" s="320"/>
      <c r="R123" s="224">
        <f t="shared" si="26"/>
        <v>849566.19</v>
      </c>
      <c r="S123" s="14">
        <f t="shared" si="33"/>
        <v>1.19</v>
      </c>
      <c r="T123" s="1">
        <f t="shared" si="27"/>
        <v>119</v>
      </c>
      <c r="U123" t="s">
        <v>210</v>
      </c>
    </row>
    <row r="124" spans="1:25" ht="24.6" customHeight="1" x14ac:dyDescent="0.3">
      <c r="A124" s="17"/>
      <c r="B124" s="17">
        <f t="shared" si="29"/>
        <v>120</v>
      </c>
      <c r="C124" s="17" t="s">
        <v>128</v>
      </c>
      <c r="D124" s="81">
        <v>4.5999999999999999E-3</v>
      </c>
      <c r="E124" s="229">
        <v>759749.2</v>
      </c>
      <c r="F124" s="100">
        <f>E124</f>
        <v>759749.2</v>
      </c>
      <c r="G124" s="62">
        <f t="shared" si="20"/>
        <v>0</v>
      </c>
      <c r="H124" s="22">
        <f t="shared" si="28"/>
        <v>0</v>
      </c>
      <c r="I124" s="23">
        <f t="shared" si="34"/>
        <v>371109.43403200002</v>
      </c>
      <c r="J124" s="23">
        <f t="shared" si="31"/>
        <v>0</v>
      </c>
      <c r="K124" s="23">
        <f t="shared" si="24"/>
        <v>185936.29261027643</v>
      </c>
      <c r="L124" s="23">
        <f t="shared" si="25"/>
        <v>202702.7028</v>
      </c>
      <c r="M124" s="75">
        <v>0</v>
      </c>
      <c r="N124" s="75">
        <v>0</v>
      </c>
      <c r="O124" s="89"/>
      <c r="P124" s="320">
        <f t="shared" si="32"/>
        <v>759749.2</v>
      </c>
      <c r="Q124" s="320"/>
      <c r="R124" s="224">
        <f t="shared" si="26"/>
        <v>782793.2</v>
      </c>
      <c r="S124" s="14">
        <f t="shared" si="33"/>
        <v>1.2</v>
      </c>
      <c r="T124" s="1">
        <f t="shared" si="27"/>
        <v>120</v>
      </c>
      <c r="U124" t="s">
        <v>306</v>
      </c>
    </row>
    <row r="125" spans="1:25" ht="24.9" customHeight="1" x14ac:dyDescent="0.3">
      <c r="A125" s="17"/>
      <c r="B125" s="17">
        <f t="shared" si="29"/>
        <v>121</v>
      </c>
      <c r="C125" s="17" t="s">
        <v>128</v>
      </c>
      <c r="D125" s="81">
        <v>4.5999999999999999E-3</v>
      </c>
      <c r="E125" s="229">
        <v>759749.21</v>
      </c>
      <c r="F125" s="100">
        <f>E125</f>
        <v>759749.21</v>
      </c>
      <c r="G125" s="62">
        <f t="shared" si="20"/>
        <v>0</v>
      </c>
      <c r="H125" s="22">
        <f t="shared" si="28"/>
        <v>0</v>
      </c>
      <c r="I125" s="23">
        <f t="shared" si="34"/>
        <v>371109.43403200002</v>
      </c>
      <c r="J125" s="23">
        <f t="shared" si="31"/>
        <v>0</v>
      </c>
      <c r="K125" s="23">
        <f t="shared" si="24"/>
        <v>185936.29261027643</v>
      </c>
      <c r="L125" s="23">
        <f t="shared" si="25"/>
        <v>202702.7028</v>
      </c>
      <c r="M125" s="75">
        <v>0</v>
      </c>
      <c r="N125" s="75">
        <v>0</v>
      </c>
      <c r="O125" s="89"/>
      <c r="P125" s="320">
        <f t="shared" si="32"/>
        <v>759749.21</v>
      </c>
      <c r="Q125" s="320"/>
      <c r="R125" s="224">
        <f t="shared" si="26"/>
        <v>782793.21</v>
      </c>
      <c r="S125" s="14">
        <f t="shared" si="33"/>
        <v>1.21</v>
      </c>
      <c r="T125" s="1">
        <f t="shared" si="27"/>
        <v>121</v>
      </c>
      <c r="U125" t="s">
        <v>306</v>
      </c>
    </row>
    <row r="126" spans="1:25" ht="24.9" customHeight="1" x14ac:dyDescent="0.3">
      <c r="A126" s="17"/>
      <c r="B126" s="17">
        <f t="shared" si="29"/>
        <v>122</v>
      </c>
      <c r="C126" s="17" t="s">
        <v>130</v>
      </c>
      <c r="D126" s="81">
        <v>4.5999999999999999E-3</v>
      </c>
      <c r="E126" s="229">
        <v>759749.22</v>
      </c>
      <c r="F126" s="100">
        <f>E126</f>
        <v>759749.22</v>
      </c>
      <c r="G126" s="62">
        <f t="shared" si="20"/>
        <v>0</v>
      </c>
      <c r="H126" s="22">
        <f t="shared" si="28"/>
        <v>0</v>
      </c>
      <c r="I126" s="23">
        <f t="shared" si="34"/>
        <v>371109.43403200002</v>
      </c>
      <c r="J126" s="23">
        <f t="shared" si="31"/>
        <v>0</v>
      </c>
      <c r="K126" s="23">
        <f t="shared" si="24"/>
        <v>185936.29261027643</v>
      </c>
      <c r="L126" s="23">
        <f t="shared" si="25"/>
        <v>202702.7028</v>
      </c>
      <c r="M126" s="75">
        <v>0</v>
      </c>
      <c r="N126" s="75">
        <v>0</v>
      </c>
      <c r="O126" s="75"/>
      <c r="P126" s="320">
        <f t="shared" si="32"/>
        <v>759749.22</v>
      </c>
      <c r="Q126" s="320"/>
      <c r="R126" s="224">
        <f t="shared" si="26"/>
        <v>782793.22</v>
      </c>
      <c r="S126" s="14">
        <f t="shared" si="33"/>
        <v>1.22</v>
      </c>
      <c r="T126" s="1">
        <f t="shared" si="27"/>
        <v>122</v>
      </c>
    </row>
    <row r="127" spans="1:25" ht="24.9" customHeight="1" x14ac:dyDescent="0.3">
      <c r="A127" s="17"/>
      <c r="B127" s="17">
        <f t="shared" si="29"/>
        <v>123</v>
      </c>
      <c r="C127" s="17" t="s">
        <v>131</v>
      </c>
      <c r="D127" s="81">
        <v>4.5999999999999999E-3</v>
      </c>
      <c r="E127" s="229">
        <v>759749.23</v>
      </c>
      <c r="F127" s="100">
        <f t="shared" ref="F127:F129" si="35">E127</f>
        <v>759749.23</v>
      </c>
      <c r="G127" s="62">
        <f t="shared" si="20"/>
        <v>0</v>
      </c>
      <c r="H127" s="22">
        <f t="shared" si="28"/>
        <v>0</v>
      </c>
      <c r="I127" s="23">
        <f t="shared" si="34"/>
        <v>371109.43403200002</v>
      </c>
      <c r="J127" s="23">
        <f t="shared" si="31"/>
        <v>0</v>
      </c>
      <c r="K127" s="23">
        <f t="shared" si="24"/>
        <v>185936.29261027643</v>
      </c>
      <c r="L127" s="23">
        <f t="shared" si="25"/>
        <v>202702.7028</v>
      </c>
      <c r="M127" s="75">
        <v>0</v>
      </c>
      <c r="N127" s="75">
        <v>0</v>
      </c>
      <c r="O127" s="89"/>
      <c r="P127" s="320">
        <f t="shared" si="32"/>
        <v>759749.23</v>
      </c>
      <c r="Q127" s="320"/>
      <c r="R127" s="224">
        <f t="shared" si="26"/>
        <v>782793.23</v>
      </c>
      <c r="S127" s="14">
        <f t="shared" si="33"/>
        <v>1.23</v>
      </c>
      <c r="T127" s="1">
        <f t="shared" si="27"/>
        <v>123</v>
      </c>
      <c r="U127" t="s">
        <v>283</v>
      </c>
    </row>
    <row r="128" spans="1:25" ht="24.9" customHeight="1" x14ac:dyDescent="0.3">
      <c r="A128" s="17"/>
      <c r="B128" s="17">
        <f t="shared" si="29"/>
        <v>124</v>
      </c>
      <c r="C128" s="17" t="s">
        <v>132</v>
      </c>
      <c r="D128" s="81">
        <v>4.5999999999999999E-3</v>
      </c>
      <c r="E128" s="229">
        <v>1550852.24</v>
      </c>
      <c r="F128" s="100">
        <f>767413+23690+759749.23</f>
        <v>1550852.23</v>
      </c>
      <c r="G128" s="62">
        <f t="shared" si="20"/>
        <v>1.0000000009313226E-2</v>
      </c>
      <c r="H128" s="22">
        <f t="shared" si="28"/>
        <v>3.0870000028749927E-4</v>
      </c>
      <c r="I128" s="23">
        <f t="shared" si="34"/>
        <v>371109.43403200002</v>
      </c>
      <c r="J128" s="23">
        <f t="shared" si="31"/>
        <v>0</v>
      </c>
      <c r="K128" s="23">
        <f t="shared" si="24"/>
        <v>185936.29261027643</v>
      </c>
      <c r="L128" s="23">
        <f t="shared" si="25"/>
        <v>202702.7028</v>
      </c>
      <c r="M128" s="75">
        <v>0</v>
      </c>
      <c r="N128" s="75">
        <v>0</v>
      </c>
      <c r="O128" s="89"/>
      <c r="P128" s="320">
        <f t="shared" si="32"/>
        <v>759749.24</v>
      </c>
      <c r="Q128" s="320"/>
      <c r="R128" s="224">
        <f t="shared" si="26"/>
        <v>782793.24</v>
      </c>
      <c r="S128" s="14">
        <f t="shared" si="33"/>
        <v>1.24</v>
      </c>
      <c r="T128" s="1">
        <f t="shared" si="27"/>
        <v>124</v>
      </c>
    </row>
    <row r="129" spans="1:21" ht="24.9" customHeight="1" x14ac:dyDescent="0.3">
      <c r="A129" s="17"/>
      <c r="B129" s="17">
        <f t="shared" si="29"/>
        <v>125</v>
      </c>
      <c r="C129" s="17" t="s">
        <v>133</v>
      </c>
      <c r="D129" s="81">
        <v>4.5999999999999999E-3</v>
      </c>
      <c r="E129" s="229">
        <v>759749.25</v>
      </c>
      <c r="F129" s="100">
        <f t="shared" si="35"/>
        <v>759749.25</v>
      </c>
      <c r="G129" s="62">
        <f t="shared" si="20"/>
        <v>0</v>
      </c>
      <c r="H129" s="22">
        <f t="shared" si="28"/>
        <v>0</v>
      </c>
      <c r="I129" s="23">
        <f t="shared" si="34"/>
        <v>371109.43403200002</v>
      </c>
      <c r="J129" s="23">
        <f t="shared" si="31"/>
        <v>0</v>
      </c>
      <c r="K129" s="23">
        <f t="shared" si="24"/>
        <v>185936.29261027643</v>
      </c>
      <c r="L129" s="23">
        <f t="shared" si="25"/>
        <v>202702.7028</v>
      </c>
      <c r="M129" s="75">
        <v>0</v>
      </c>
      <c r="N129" s="75">
        <v>0</v>
      </c>
      <c r="O129" s="89"/>
      <c r="P129" s="320">
        <f t="shared" si="32"/>
        <v>759749.25</v>
      </c>
      <c r="Q129" s="320"/>
      <c r="R129" s="224">
        <f t="shared" si="26"/>
        <v>782793.25</v>
      </c>
      <c r="S129" s="14">
        <f t="shared" si="33"/>
        <v>1.25</v>
      </c>
      <c r="T129" s="1">
        <f t="shared" si="27"/>
        <v>125</v>
      </c>
      <c r="U129" t="s">
        <v>260</v>
      </c>
    </row>
    <row r="130" spans="1:21" ht="24.9" customHeight="1" x14ac:dyDescent="0.3">
      <c r="A130" s="17"/>
      <c r="B130" s="17">
        <f t="shared" si="29"/>
        <v>126</v>
      </c>
      <c r="C130" s="17" t="s">
        <v>134</v>
      </c>
      <c r="D130" s="81">
        <v>4.5999999999999999E-3</v>
      </c>
      <c r="E130" s="229">
        <v>759749.26</v>
      </c>
      <c r="F130" s="100">
        <f>E130</f>
        <v>759749.26</v>
      </c>
      <c r="G130" s="62">
        <f t="shared" si="20"/>
        <v>0</v>
      </c>
      <c r="H130" s="22">
        <f t="shared" si="28"/>
        <v>0</v>
      </c>
      <c r="I130" s="23">
        <f t="shared" si="34"/>
        <v>371109.43403200002</v>
      </c>
      <c r="J130" s="23">
        <f t="shared" si="31"/>
        <v>0</v>
      </c>
      <c r="K130" s="23">
        <f t="shared" si="24"/>
        <v>185936.29261027643</v>
      </c>
      <c r="L130" s="23">
        <f t="shared" si="25"/>
        <v>202702.7028</v>
      </c>
      <c r="M130" s="75">
        <v>0</v>
      </c>
      <c r="N130" s="75">
        <v>0</v>
      </c>
      <c r="O130" s="89"/>
      <c r="P130" s="320">
        <f t="shared" si="32"/>
        <v>759749.26</v>
      </c>
      <c r="Q130" s="320"/>
      <c r="R130" s="224">
        <f t="shared" si="26"/>
        <v>782793.26</v>
      </c>
      <c r="S130" s="14">
        <f t="shared" si="33"/>
        <v>1.26</v>
      </c>
      <c r="T130" s="1">
        <f t="shared" si="27"/>
        <v>126</v>
      </c>
    </row>
    <row r="131" spans="1:21" ht="24.9" customHeight="1" x14ac:dyDescent="0.3">
      <c r="A131" s="17"/>
      <c r="B131" s="17">
        <f t="shared" si="29"/>
        <v>127</v>
      </c>
      <c r="C131" s="17" t="s">
        <v>135</v>
      </c>
      <c r="D131" s="81">
        <v>5.5999999999999999E-3</v>
      </c>
      <c r="E131" s="229">
        <v>1705750.27</v>
      </c>
      <c r="F131" s="100">
        <f>839412.27+866338+25913</f>
        <v>1731663.27</v>
      </c>
      <c r="G131" s="62">
        <f t="shared" si="20"/>
        <v>-25913</v>
      </c>
      <c r="H131" s="22">
        <f t="shared" si="28"/>
        <v>0</v>
      </c>
      <c r="I131" s="23">
        <f t="shared" si="34"/>
        <v>451785.39795200003</v>
      </c>
      <c r="J131" s="23">
        <f t="shared" si="31"/>
        <v>0</v>
      </c>
      <c r="K131" s="23">
        <f t="shared" si="24"/>
        <v>185936.29261027643</v>
      </c>
      <c r="L131" s="23">
        <f t="shared" si="25"/>
        <v>202702.7028</v>
      </c>
      <c r="M131" s="75">
        <v>0</v>
      </c>
      <c r="N131" s="75">
        <v>0</v>
      </c>
      <c r="O131" s="90"/>
      <c r="P131" s="320">
        <f t="shared" si="32"/>
        <v>814512.27</v>
      </c>
      <c r="Q131" s="320"/>
      <c r="R131" s="224">
        <f t="shared" si="26"/>
        <v>839217.27</v>
      </c>
      <c r="S131" s="14">
        <f t="shared" si="33"/>
        <v>1.27</v>
      </c>
      <c r="T131" s="1">
        <f t="shared" si="27"/>
        <v>127</v>
      </c>
      <c r="U131" t="s">
        <v>217</v>
      </c>
    </row>
    <row r="132" spans="1:21" ht="24.9" customHeight="1" x14ac:dyDescent="0.3">
      <c r="A132" s="17"/>
      <c r="B132" s="17">
        <f t="shared" si="29"/>
        <v>128</v>
      </c>
      <c r="C132" s="17" t="s">
        <v>136</v>
      </c>
      <c r="D132" s="81">
        <v>6.1000000000000004E-3</v>
      </c>
      <c r="E132" s="229">
        <v>8311597.2800000003</v>
      </c>
      <c r="F132" s="100">
        <v>880762.28</v>
      </c>
      <c r="G132" s="63">
        <f t="shared" si="20"/>
        <v>7430835</v>
      </c>
      <c r="H132" s="82">
        <f t="shared" si="28"/>
        <v>229389.87645000001</v>
      </c>
      <c r="I132" s="75">
        <f t="shared" si="34"/>
        <v>492123.37991200003</v>
      </c>
      <c r="J132" s="75">
        <f t="shared" si="31"/>
        <v>0</v>
      </c>
      <c r="K132" s="75">
        <f t="shared" si="24"/>
        <v>185936.29261027643</v>
      </c>
      <c r="L132" s="75">
        <f t="shared" si="25"/>
        <v>202702.7028</v>
      </c>
      <c r="M132" s="75">
        <v>0</v>
      </c>
      <c r="N132" s="75">
        <f>(I132+K132)/2</f>
        <v>339029.8362611382</v>
      </c>
      <c r="O132" s="89"/>
      <c r="P132" s="321">
        <f t="shared" si="32"/>
        <v>8880018.2799999993</v>
      </c>
      <c r="Q132" s="321"/>
      <c r="R132" s="224">
        <f t="shared" si="26"/>
        <v>9149350.2799999993</v>
      </c>
      <c r="S132" s="83">
        <f t="shared" si="33"/>
        <v>1.28</v>
      </c>
      <c r="T132" s="61">
        <f t="shared" si="27"/>
        <v>128</v>
      </c>
    </row>
    <row r="133" spans="1:21" ht="24.9" customHeight="1" x14ac:dyDescent="0.3">
      <c r="A133" s="17"/>
      <c r="B133" s="17">
        <f>B132+1</f>
        <v>129</v>
      </c>
      <c r="C133" s="17" t="s">
        <v>137</v>
      </c>
      <c r="D133" s="81">
        <v>6.1000000000000004E-3</v>
      </c>
      <c r="E133" s="229">
        <v>880763.29</v>
      </c>
      <c r="F133" s="100">
        <f>E133</f>
        <v>880763.29</v>
      </c>
      <c r="G133" s="62">
        <f t="shared" si="20"/>
        <v>0</v>
      </c>
      <c r="H133" s="22">
        <f t="shared" si="28"/>
        <v>0</v>
      </c>
      <c r="I133" s="23">
        <f t="shared" si="34"/>
        <v>492123.37991200003</v>
      </c>
      <c r="J133" s="23">
        <f t="shared" ref="J133:J143" si="36">P$2*D133</f>
        <v>0</v>
      </c>
      <c r="K133" s="23">
        <f t="shared" si="24"/>
        <v>185936.29261027643</v>
      </c>
      <c r="L133" s="23">
        <f t="shared" si="25"/>
        <v>202702.7028</v>
      </c>
      <c r="M133" s="75">
        <v>0</v>
      </c>
      <c r="N133" s="75">
        <v>0</v>
      </c>
      <c r="O133" s="90"/>
      <c r="P133" s="320">
        <f t="shared" ref="P133:P143" si="37">ROUND(SUM(G133:O133),0) + S133</f>
        <v>880763.29</v>
      </c>
      <c r="Q133" s="320"/>
      <c r="R133" s="224">
        <f t="shared" si="26"/>
        <v>907478.29</v>
      </c>
      <c r="S133" s="14">
        <f t="shared" ref="S133:S157" si="38">ROUND(0.001+B133/100,2)</f>
        <v>1.29</v>
      </c>
      <c r="T133" s="1">
        <f t="shared" si="27"/>
        <v>129</v>
      </c>
      <c r="U133" t="s">
        <v>195</v>
      </c>
    </row>
    <row r="134" spans="1:21" ht="24.9" customHeight="1" x14ac:dyDescent="0.3">
      <c r="A134" s="17"/>
      <c r="B134" s="17">
        <f t="shared" si="29"/>
        <v>130</v>
      </c>
      <c r="C134" s="17" t="s">
        <v>138</v>
      </c>
      <c r="D134" s="81">
        <v>5.7000000000000002E-3</v>
      </c>
      <c r="E134" s="229">
        <v>847823.3</v>
      </c>
      <c r="F134" s="100">
        <v>876000</v>
      </c>
      <c r="G134" s="62">
        <f t="shared" si="20"/>
        <v>-28176.699999999953</v>
      </c>
      <c r="H134" s="22">
        <f t="shared" si="28"/>
        <v>0</v>
      </c>
      <c r="I134" s="23">
        <f t="shared" si="34"/>
        <v>459852.99434400001</v>
      </c>
      <c r="J134" s="23">
        <f t="shared" si="36"/>
        <v>0</v>
      </c>
      <c r="K134" s="23">
        <f t="shared" ref="K134:K143" si="39">G$2*0.675675676%</f>
        <v>185936.29261027643</v>
      </c>
      <c r="L134" s="23">
        <f t="shared" ref="L134:L142" si="40">P$1*0.675675676%</f>
        <v>202702.7028</v>
      </c>
      <c r="M134" s="75">
        <v>0</v>
      </c>
      <c r="N134" s="75">
        <v>0</v>
      </c>
      <c r="O134" s="90"/>
      <c r="P134" s="320">
        <f t="shared" si="37"/>
        <v>820316.3</v>
      </c>
      <c r="Q134" s="320"/>
      <c r="R134" s="224">
        <f t="shared" ref="R134:R143" si="41">ROUND(P134+P134*3.033%,0) + S134</f>
        <v>845197.3</v>
      </c>
      <c r="S134" s="14">
        <f t="shared" si="38"/>
        <v>1.3</v>
      </c>
      <c r="T134" s="1">
        <f t="shared" ref="T134:T157" si="42">B134</f>
        <v>130</v>
      </c>
      <c r="U134" t="s">
        <v>214</v>
      </c>
    </row>
    <row r="135" spans="1:21" ht="24.9" customHeight="1" x14ac:dyDescent="0.3">
      <c r="A135" s="17"/>
      <c r="B135" s="17">
        <f t="shared" si="29"/>
        <v>131</v>
      </c>
      <c r="C135" s="17" t="s">
        <v>139</v>
      </c>
      <c r="D135" s="81">
        <v>6.1000000000000004E-3</v>
      </c>
      <c r="E135" s="229">
        <v>880763.31</v>
      </c>
      <c r="F135" s="100">
        <f>E135</f>
        <v>880763.31</v>
      </c>
      <c r="G135" s="62">
        <f t="shared" si="20"/>
        <v>0</v>
      </c>
      <c r="H135" s="22">
        <f t="shared" ref="H135:H157" si="43">IF(G135&gt;0,G135*3.087%,0)</f>
        <v>0</v>
      </c>
      <c r="I135" s="23">
        <f t="shared" si="34"/>
        <v>492123.37991200003</v>
      </c>
      <c r="J135" s="23">
        <f t="shared" si="36"/>
        <v>0</v>
      </c>
      <c r="K135" s="23">
        <f t="shared" si="39"/>
        <v>185936.29261027643</v>
      </c>
      <c r="L135" s="23">
        <f t="shared" si="40"/>
        <v>202702.7028</v>
      </c>
      <c r="M135" s="75">
        <v>0</v>
      </c>
      <c r="N135" s="75">
        <v>0</v>
      </c>
      <c r="O135" s="90"/>
      <c r="P135" s="320">
        <f t="shared" si="37"/>
        <v>880763.31</v>
      </c>
      <c r="Q135" s="320"/>
      <c r="R135" s="224">
        <f t="shared" si="41"/>
        <v>907478.31</v>
      </c>
      <c r="S135" s="14">
        <f t="shared" si="38"/>
        <v>1.31</v>
      </c>
      <c r="T135" s="1">
        <f t="shared" si="42"/>
        <v>131</v>
      </c>
      <c r="U135" t="s">
        <v>298</v>
      </c>
    </row>
    <row r="136" spans="1:21" ht="24.9" customHeight="1" x14ac:dyDescent="0.3">
      <c r="A136" s="17"/>
      <c r="B136" s="17">
        <f t="shared" si="29"/>
        <v>132</v>
      </c>
      <c r="C136" s="17" t="s">
        <v>140</v>
      </c>
      <c r="D136" s="81">
        <v>6.0000000000000001E-3</v>
      </c>
      <c r="E136" s="229">
        <v>872696.31999999995</v>
      </c>
      <c r="F136" s="100">
        <f>E136</f>
        <v>872696.31999999995</v>
      </c>
      <c r="G136" s="62">
        <f t="shared" si="20"/>
        <v>0</v>
      </c>
      <c r="H136" s="22">
        <f t="shared" si="43"/>
        <v>0</v>
      </c>
      <c r="I136" s="23">
        <f t="shared" si="34"/>
        <v>484055.78352</v>
      </c>
      <c r="J136" s="23">
        <f t="shared" si="36"/>
        <v>0</v>
      </c>
      <c r="K136" s="23">
        <f t="shared" si="39"/>
        <v>185936.29261027643</v>
      </c>
      <c r="L136" s="23">
        <f t="shared" si="40"/>
        <v>202702.7028</v>
      </c>
      <c r="M136" s="75">
        <v>0</v>
      </c>
      <c r="N136" s="75">
        <v>0</v>
      </c>
      <c r="O136" s="90"/>
      <c r="P136" s="320">
        <f t="shared" si="37"/>
        <v>872696.31999999995</v>
      </c>
      <c r="Q136" s="320"/>
      <c r="R136" s="224">
        <f t="shared" si="41"/>
        <v>899166.32</v>
      </c>
      <c r="S136" s="14">
        <f t="shared" si="38"/>
        <v>1.32</v>
      </c>
      <c r="T136" s="1">
        <f t="shared" si="42"/>
        <v>132</v>
      </c>
      <c r="U136" t="s">
        <v>257</v>
      </c>
    </row>
    <row r="137" spans="1:21" ht="24.9" customHeight="1" x14ac:dyDescent="0.3">
      <c r="A137" s="17"/>
      <c r="B137" s="17">
        <f t="shared" ref="B137:B145" si="44">B136+1</f>
        <v>133</v>
      </c>
      <c r="C137" s="17" t="s">
        <v>141</v>
      </c>
      <c r="D137" s="81">
        <v>6.4000000000000003E-3</v>
      </c>
      <c r="E137" s="229">
        <v>956522.33</v>
      </c>
      <c r="F137" s="100">
        <f>50012+897012.33+904966.33</f>
        <v>1851990.66</v>
      </c>
      <c r="G137" s="62">
        <f t="shared" si="20"/>
        <v>-895468.33</v>
      </c>
      <c r="H137" s="22">
        <f t="shared" si="43"/>
        <v>0</v>
      </c>
      <c r="I137" s="23">
        <f t="shared" si="34"/>
        <v>516326.16908800002</v>
      </c>
      <c r="J137" s="23">
        <f t="shared" si="36"/>
        <v>0</v>
      </c>
      <c r="K137" s="23">
        <f t="shared" si="39"/>
        <v>185936.29261027643</v>
      </c>
      <c r="L137" s="23">
        <f t="shared" si="40"/>
        <v>202702.7028</v>
      </c>
      <c r="M137" s="75">
        <v>0</v>
      </c>
      <c r="N137" s="75">
        <v>0</v>
      </c>
      <c r="O137" s="90"/>
      <c r="P137" s="320">
        <f t="shared" si="37"/>
        <v>9498.33</v>
      </c>
      <c r="Q137" s="320"/>
      <c r="R137" s="224">
        <f t="shared" si="41"/>
        <v>9787.33</v>
      </c>
      <c r="S137" s="14">
        <f t="shared" si="38"/>
        <v>1.33</v>
      </c>
      <c r="T137" s="1">
        <f t="shared" si="42"/>
        <v>133</v>
      </c>
      <c r="U137" t="s">
        <v>222</v>
      </c>
    </row>
    <row r="138" spans="1:21" ht="24.9" customHeight="1" x14ac:dyDescent="0.3">
      <c r="A138" s="17"/>
      <c r="B138" s="17">
        <f t="shared" si="44"/>
        <v>134</v>
      </c>
      <c r="C138" s="17" t="s">
        <v>142</v>
      </c>
      <c r="D138" s="81">
        <v>5.3E-3</v>
      </c>
      <c r="E138" s="229">
        <v>816223.34</v>
      </c>
      <c r="F138" s="100">
        <f>E138</f>
        <v>816223.34</v>
      </c>
      <c r="G138" s="62">
        <f t="shared" si="20"/>
        <v>0</v>
      </c>
      <c r="H138" s="22">
        <f t="shared" si="43"/>
        <v>0</v>
      </c>
      <c r="I138" s="23">
        <f t="shared" si="34"/>
        <v>427582.60877600004</v>
      </c>
      <c r="J138" s="23">
        <f t="shared" si="36"/>
        <v>0</v>
      </c>
      <c r="K138" s="23">
        <f t="shared" si="39"/>
        <v>185936.29261027643</v>
      </c>
      <c r="L138" s="23">
        <f t="shared" si="40"/>
        <v>202702.7028</v>
      </c>
      <c r="M138" s="75">
        <v>0</v>
      </c>
      <c r="N138" s="75">
        <v>0</v>
      </c>
      <c r="O138" s="90"/>
      <c r="P138" s="320">
        <f t="shared" si="37"/>
        <v>816223.34</v>
      </c>
      <c r="Q138" s="320"/>
      <c r="R138" s="224">
        <f t="shared" si="41"/>
        <v>840980.34</v>
      </c>
      <c r="S138" s="14">
        <f t="shared" si="38"/>
        <v>1.34</v>
      </c>
      <c r="T138" s="1">
        <f t="shared" si="42"/>
        <v>134</v>
      </c>
      <c r="U138" t="s">
        <v>202</v>
      </c>
    </row>
    <row r="139" spans="1:21" ht="24.9" customHeight="1" x14ac:dyDescent="0.3">
      <c r="A139" s="17"/>
      <c r="B139" s="17">
        <f t="shared" si="44"/>
        <v>135</v>
      </c>
      <c r="C139" s="17" t="s">
        <v>142</v>
      </c>
      <c r="D139" s="81">
        <v>6.1000000000000004E-3</v>
      </c>
      <c r="E139" s="229">
        <v>880763.35</v>
      </c>
      <c r="F139" s="100">
        <f>E139</f>
        <v>880763.35</v>
      </c>
      <c r="G139" s="62">
        <f t="shared" si="20"/>
        <v>0</v>
      </c>
      <c r="H139" s="22">
        <f t="shared" si="43"/>
        <v>0</v>
      </c>
      <c r="I139" s="23">
        <f t="shared" si="34"/>
        <v>492123.37991200003</v>
      </c>
      <c r="J139" s="23">
        <f t="shared" si="36"/>
        <v>0</v>
      </c>
      <c r="K139" s="23">
        <f t="shared" si="39"/>
        <v>185936.29261027643</v>
      </c>
      <c r="L139" s="23">
        <f t="shared" si="40"/>
        <v>202702.7028</v>
      </c>
      <c r="M139" s="75">
        <v>0</v>
      </c>
      <c r="N139" s="75">
        <v>0</v>
      </c>
      <c r="O139" s="90"/>
      <c r="P139" s="320">
        <f t="shared" si="37"/>
        <v>880763.35</v>
      </c>
      <c r="Q139" s="320"/>
      <c r="R139" s="224">
        <f t="shared" si="41"/>
        <v>907478.35</v>
      </c>
      <c r="S139" s="14">
        <f t="shared" si="38"/>
        <v>1.35</v>
      </c>
      <c r="T139" s="1">
        <f t="shared" si="42"/>
        <v>135</v>
      </c>
      <c r="U139" s="64" t="s">
        <v>202</v>
      </c>
    </row>
    <row r="140" spans="1:21" ht="24.9" customHeight="1" x14ac:dyDescent="0.3">
      <c r="A140" s="17"/>
      <c r="B140" s="17">
        <f t="shared" si="44"/>
        <v>136</v>
      </c>
      <c r="C140" s="17" t="s">
        <v>143</v>
      </c>
      <c r="D140" s="81">
        <v>6.1999999999999998E-3</v>
      </c>
      <c r="E140" s="229">
        <v>1831815.36</v>
      </c>
      <c r="F140" s="100"/>
      <c r="G140" s="62">
        <f t="shared" si="20"/>
        <v>1831815.36</v>
      </c>
      <c r="H140" s="22">
        <f t="shared" si="43"/>
        <v>56548.140163200005</v>
      </c>
      <c r="I140" s="23">
        <f t="shared" si="34"/>
        <v>500190.97630400001</v>
      </c>
      <c r="J140" s="23">
        <f t="shared" si="36"/>
        <v>0</v>
      </c>
      <c r="K140" s="23">
        <f t="shared" si="39"/>
        <v>185936.29261027643</v>
      </c>
      <c r="L140" s="23">
        <f t="shared" si="40"/>
        <v>202702.7028</v>
      </c>
      <c r="M140" s="75">
        <v>0</v>
      </c>
      <c r="N140" s="75">
        <v>0</v>
      </c>
      <c r="O140" s="90"/>
      <c r="P140" s="320">
        <f t="shared" si="37"/>
        <v>2777194.36</v>
      </c>
      <c r="Q140" s="320"/>
      <c r="R140" s="224">
        <f t="shared" si="41"/>
        <v>2861428.36</v>
      </c>
      <c r="S140" s="14">
        <f t="shared" si="38"/>
        <v>1.36</v>
      </c>
      <c r="T140" s="1">
        <f t="shared" si="42"/>
        <v>136</v>
      </c>
      <c r="U140" t="s">
        <v>277</v>
      </c>
    </row>
    <row r="141" spans="1:21" ht="24.9" customHeight="1" x14ac:dyDescent="0.3">
      <c r="A141" s="17"/>
      <c r="B141" s="17">
        <f t="shared" si="44"/>
        <v>137</v>
      </c>
      <c r="C141" s="17" t="s">
        <v>144</v>
      </c>
      <c r="D141" s="81">
        <v>5.4000000000000003E-3</v>
      </c>
      <c r="E141" s="229">
        <v>824290.37</v>
      </c>
      <c r="F141" s="100">
        <f>E141</f>
        <v>824290.37</v>
      </c>
      <c r="G141" s="62">
        <f t="shared" si="20"/>
        <v>0</v>
      </c>
      <c r="H141" s="22">
        <f t="shared" si="43"/>
        <v>0</v>
      </c>
      <c r="I141" s="23">
        <f t="shared" si="34"/>
        <v>435650.20516800001</v>
      </c>
      <c r="J141" s="23">
        <f t="shared" si="36"/>
        <v>0</v>
      </c>
      <c r="K141" s="23">
        <f t="shared" si="39"/>
        <v>185936.29261027643</v>
      </c>
      <c r="L141" s="23">
        <f t="shared" si="40"/>
        <v>202702.7028</v>
      </c>
      <c r="M141" s="75">
        <v>0</v>
      </c>
      <c r="N141" s="75">
        <v>0</v>
      </c>
      <c r="O141" s="90"/>
      <c r="P141" s="320">
        <f t="shared" si="37"/>
        <v>824290.37</v>
      </c>
      <c r="Q141" s="320"/>
      <c r="R141" s="224">
        <f t="shared" si="41"/>
        <v>849292.37</v>
      </c>
      <c r="S141" s="14">
        <f t="shared" si="38"/>
        <v>1.37</v>
      </c>
      <c r="T141" s="1">
        <f t="shared" si="42"/>
        <v>137</v>
      </c>
    </row>
    <row r="142" spans="1:21" ht="24.9" customHeight="1" x14ac:dyDescent="0.3">
      <c r="A142" s="17"/>
      <c r="B142" s="17">
        <f t="shared" si="44"/>
        <v>138</v>
      </c>
      <c r="C142" s="17" t="s">
        <v>145</v>
      </c>
      <c r="D142" s="81">
        <v>6.4999999999999997E-3</v>
      </c>
      <c r="E142" s="229">
        <v>913034.38</v>
      </c>
      <c r="F142" s="100">
        <f>E142</f>
        <v>913034.38</v>
      </c>
      <c r="G142" s="62">
        <f t="shared" si="20"/>
        <v>0</v>
      </c>
      <c r="H142" s="22">
        <f t="shared" si="43"/>
        <v>0</v>
      </c>
      <c r="I142" s="23">
        <f t="shared" si="34"/>
        <v>524393.76547999994</v>
      </c>
      <c r="J142" s="23">
        <f t="shared" si="36"/>
        <v>0</v>
      </c>
      <c r="K142" s="23">
        <f t="shared" si="39"/>
        <v>185936.29261027643</v>
      </c>
      <c r="L142" s="23">
        <f t="shared" si="40"/>
        <v>202702.7028</v>
      </c>
      <c r="M142" s="75">
        <v>0</v>
      </c>
      <c r="N142" s="75">
        <v>0</v>
      </c>
      <c r="O142" s="90"/>
      <c r="P142" s="320">
        <f t="shared" si="37"/>
        <v>913034.38</v>
      </c>
      <c r="Q142" s="320"/>
      <c r="R142" s="224">
        <f t="shared" si="41"/>
        <v>940728.38</v>
      </c>
      <c r="S142" s="14">
        <f t="shared" si="38"/>
        <v>1.38</v>
      </c>
      <c r="T142" s="1">
        <f t="shared" si="42"/>
        <v>138</v>
      </c>
      <c r="U142" t="s">
        <v>286</v>
      </c>
    </row>
    <row r="143" spans="1:21" ht="24.9" customHeight="1" x14ac:dyDescent="0.3">
      <c r="A143" s="17"/>
      <c r="B143" s="17">
        <f t="shared" si="44"/>
        <v>139</v>
      </c>
      <c r="C143" s="17" t="s">
        <v>146</v>
      </c>
      <c r="D143" s="81">
        <v>6.1000000000000004E-3</v>
      </c>
      <c r="E143" s="229">
        <v>880763.39</v>
      </c>
      <c r="F143" s="100">
        <v>881000</v>
      </c>
      <c r="G143" s="62">
        <f t="shared" si="20"/>
        <v>-236.60999999998603</v>
      </c>
      <c r="H143" s="22">
        <f t="shared" si="43"/>
        <v>0</v>
      </c>
      <c r="I143" s="23">
        <f t="shared" si="34"/>
        <v>492123.37991200003</v>
      </c>
      <c r="J143" s="23">
        <f t="shared" si="36"/>
        <v>0</v>
      </c>
      <c r="K143" s="23">
        <f t="shared" si="39"/>
        <v>185936.29261027643</v>
      </c>
      <c r="L143" s="23">
        <f>P$1*0.675675676%</f>
        <v>202702.7028</v>
      </c>
      <c r="M143" s="75">
        <v>0</v>
      </c>
      <c r="N143" s="75">
        <v>0</v>
      </c>
      <c r="O143" s="90"/>
      <c r="P143" s="320">
        <f t="shared" si="37"/>
        <v>880527.39</v>
      </c>
      <c r="Q143" s="320"/>
      <c r="R143" s="224">
        <f t="shared" si="41"/>
        <v>907235.39</v>
      </c>
      <c r="S143" s="14">
        <f t="shared" si="38"/>
        <v>1.39</v>
      </c>
      <c r="T143" s="1">
        <f t="shared" si="42"/>
        <v>139</v>
      </c>
      <c r="U143" t="s">
        <v>278</v>
      </c>
    </row>
    <row r="144" spans="1:21" ht="24.9" customHeight="1" x14ac:dyDescent="0.3">
      <c r="A144" s="17"/>
      <c r="B144" s="17">
        <f t="shared" si="44"/>
        <v>140</v>
      </c>
      <c r="C144" s="17" t="s">
        <v>147</v>
      </c>
      <c r="D144" s="81">
        <v>0.18509999999999999</v>
      </c>
      <c r="E144" s="100"/>
      <c r="F144" s="100"/>
      <c r="G144" s="62"/>
      <c r="H144" s="22"/>
      <c r="I144" s="23"/>
      <c r="J144" s="23"/>
      <c r="K144" s="23"/>
      <c r="L144" s="23"/>
      <c r="M144" s="75"/>
      <c r="N144" s="75"/>
      <c r="O144" s="90"/>
      <c r="P144" s="320"/>
      <c r="Q144" s="320"/>
      <c r="R144" s="195"/>
      <c r="S144" s="14">
        <f t="shared" si="38"/>
        <v>1.4</v>
      </c>
      <c r="T144" s="1">
        <f t="shared" si="42"/>
        <v>140</v>
      </c>
    </row>
    <row r="145" spans="1:22" ht="24.9" customHeight="1" x14ac:dyDescent="0.3">
      <c r="A145" s="17"/>
      <c r="B145" s="17">
        <f t="shared" si="44"/>
        <v>141</v>
      </c>
      <c r="C145" s="17" t="s">
        <v>147</v>
      </c>
      <c r="D145" s="81">
        <v>0.156</v>
      </c>
      <c r="E145" s="100"/>
      <c r="F145" s="100"/>
      <c r="G145" s="62"/>
      <c r="H145" s="22"/>
      <c r="I145" s="23"/>
      <c r="J145" s="23"/>
      <c r="K145" s="23"/>
      <c r="L145" s="23"/>
      <c r="M145" s="75"/>
      <c r="N145" s="75"/>
      <c r="O145" s="90"/>
      <c r="P145" s="320"/>
      <c r="Q145" s="320"/>
      <c r="R145" s="195"/>
      <c r="S145" s="14">
        <f t="shared" si="38"/>
        <v>1.41</v>
      </c>
      <c r="T145" s="1">
        <f t="shared" si="42"/>
        <v>141</v>
      </c>
    </row>
    <row r="146" spans="1:22" ht="24.9" customHeight="1" x14ac:dyDescent="0.3">
      <c r="A146" s="17"/>
      <c r="B146" s="17"/>
      <c r="C146" s="17"/>
      <c r="D146" s="81"/>
      <c r="E146" s="100"/>
      <c r="F146" s="100"/>
      <c r="G146" s="62"/>
      <c r="H146" s="22"/>
      <c r="I146" s="23"/>
      <c r="J146" s="23"/>
      <c r="K146" s="23"/>
      <c r="L146" s="23"/>
      <c r="M146" s="75"/>
      <c r="N146" s="75"/>
      <c r="O146" s="90"/>
      <c r="P146" s="321"/>
      <c r="Q146" s="321"/>
      <c r="R146" s="197"/>
      <c r="S146" s="14">
        <f t="shared" si="38"/>
        <v>0</v>
      </c>
      <c r="T146" s="1">
        <f t="shared" si="42"/>
        <v>0</v>
      </c>
    </row>
    <row r="147" spans="1:22" ht="24.9" customHeight="1" x14ac:dyDescent="0.3">
      <c r="A147" s="17"/>
      <c r="B147" s="17"/>
      <c r="C147" s="17"/>
      <c r="D147" s="81"/>
      <c r="E147" s="100"/>
      <c r="F147" s="100"/>
      <c r="G147" s="62"/>
      <c r="H147" s="22"/>
      <c r="I147" s="23"/>
      <c r="J147" s="23"/>
      <c r="K147" s="23"/>
      <c r="L147" s="23"/>
      <c r="M147" s="75"/>
      <c r="N147" s="75"/>
      <c r="O147" s="90"/>
      <c r="P147" s="321"/>
      <c r="Q147" s="321"/>
      <c r="R147" s="197"/>
      <c r="S147" s="14">
        <f t="shared" si="38"/>
        <v>0</v>
      </c>
      <c r="T147" s="1">
        <f t="shared" si="42"/>
        <v>0</v>
      </c>
    </row>
    <row r="148" spans="1:22" ht="24.9" customHeight="1" x14ac:dyDescent="0.3">
      <c r="A148" s="17"/>
      <c r="B148" s="17">
        <v>146</v>
      </c>
      <c r="C148" s="17" t="s">
        <v>83</v>
      </c>
      <c r="D148" s="81">
        <v>3.8E-3</v>
      </c>
      <c r="E148" s="231">
        <v>989385.46</v>
      </c>
      <c r="F148" s="231">
        <f>743133.46+246252.46</f>
        <v>989385.91999999993</v>
      </c>
      <c r="G148" s="62">
        <f t="shared" si="20"/>
        <v>-0.4599999999627471</v>
      </c>
      <c r="H148" s="22">
        <f t="shared" si="43"/>
        <v>0</v>
      </c>
      <c r="I148" s="23">
        <f t="shared" si="34"/>
        <v>306568.66289600002</v>
      </c>
      <c r="J148" s="23">
        <f t="shared" ref="J148:J157" si="45">P$2*D148</f>
        <v>0</v>
      </c>
      <c r="K148" s="23">
        <f t="shared" ref="K148:K157" si="46">G$2*0.675675676%</f>
        <v>185936.29261027643</v>
      </c>
      <c r="L148" s="23">
        <f>P$1*0.675675676%</f>
        <v>202702.7028</v>
      </c>
      <c r="M148" s="75">
        <v>0</v>
      </c>
      <c r="N148" s="75">
        <f>(I148+K148)/2</f>
        <v>246252.47775313823</v>
      </c>
      <c r="O148" s="90"/>
      <c r="P148" s="320">
        <f t="shared" ref="P148:P157" si="47">ROUND(SUM(G148:O148),0) + S148</f>
        <v>941461.46</v>
      </c>
      <c r="Q148" s="320"/>
      <c r="R148" s="224">
        <f t="shared" ref="R148:R157" si="48">ROUND(P148+P148*3.033%,0) + S148</f>
        <v>970017.46</v>
      </c>
      <c r="S148" s="14">
        <f t="shared" si="38"/>
        <v>1.46</v>
      </c>
      <c r="T148" s="1">
        <f t="shared" si="42"/>
        <v>146</v>
      </c>
    </row>
    <row r="149" spans="1:22" ht="24.9" customHeight="1" x14ac:dyDescent="0.3">
      <c r="A149" s="17"/>
      <c r="B149" s="17">
        <v>155</v>
      </c>
      <c r="C149" s="17" t="s">
        <v>295</v>
      </c>
      <c r="D149" s="81">
        <v>4.2300000000000003E-3</v>
      </c>
      <c r="E149" s="231">
        <v>723999.55</v>
      </c>
      <c r="F149" s="231">
        <f>E149</f>
        <v>723999.55</v>
      </c>
      <c r="G149" s="62">
        <f t="shared" si="20"/>
        <v>0</v>
      </c>
      <c r="H149" s="22">
        <f t="shared" si="43"/>
        <v>0</v>
      </c>
      <c r="I149" s="23">
        <f t="shared" si="34"/>
        <v>341259.32738160004</v>
      </c>
      <c r="J149" s="23"/>
      <c r="K149" s="23">
        <f t="shared" si="46"/>
        <v>185936.29261027643</v>
      </c>
      <c r="L149" s="23">
        <f>P$1*0.675675676%</f>
        <v>202702.7028</v>
      </c>
      <c r="M149" s="23">
        <f t="shared" ref="M149:M157" si="49">G$1*D149</f>
        <v>0</v>
      </c>
      <c r="N149" s="75">
        <v>0</v>
      </c>
      <c r="O149" s="90"/>
      <c r="P149" s="320">
        <f>ROUND(SUM(G149:O149),0) + S149</f>
        <v>729899.55</v>
      </c>
      <c r="Q149" s="320"/>
      <c r="R149" s="224">
        <f t="shared" si="48"/>
        <v>752038.55</v>
      </c>
      <c r="S149" s="14">
        <f t="shared" si="38"/>
        <v>1.55</v>
      </c>
      <c r="T149" s="1">
        <f t="shared" si="42"/>
        <v>155</v>
      </c>
      <c r="U149" t="s">
        <v>304</v>
      </c>
    </row>
    <row r="150" spans="1:22" ht="24.9" customHeight="1" x14ac:dyDescent="0.3">
      <c r="A150" s="17"/>
      <c r="B150" s="17">
        <v>158</v>
      </c>
      <c r="C150" s="17" t="s">
        <v>52</v>
      </c>
      <c r="D150" s="81">
        <v>4.5999999999999999E-3</v>
      </c>
      <c r="E150" s="231">
        <v>759749.58</v>
      </c>
      <c r="F150" s="100">
        <f t="shared" ref="F150:F155" si="50">E150</f>
        <v>759749.58</v>
      </c>
      <c r="G150" s="62">
        <f t="shared" si="20"/>
        <v>0</v>
      </c>
      <c r="H150" s="22">
        <f t="shared" si="43"/>
        <v>0</v>
      </c>
      <c r="I150" s="23">
        <f t="shared" si="34"/>
        <v>371109.43403200002</v>
      </c>
      <c r="J150" s="23">
        <f t="shared" si="45"/>
        <v>0</v>
      </c>
      <c r="K150" s="23">
        <f t="shared" si="46"/>
        <v>185936.29261027643</v>
      </c>
      <c r="L150" s="23">
        <f t="shared" ref="L150:L157" si="51">P$1*0.675675676%</f>
        <v>202702.7028</v>
      </c>
      <c r="M150" s="23">
        <f t="shared" si="49"/>
        <v>0</v>
      </c>
      <c r="N150" s="75">
        <v>0</v>
      </c>
      <c r="O150" s="23"/>
      <c r="P150" s="320">
        <f t="shared" si="47"/>
        <v>759749.58</v>
      </c>
      <c r="Q150" s="320"/>
      <c r="R150" s="224">
        <f t="shared" si="48"/>
        <v>782794.58</v>
      </c>
      <c r="S150" s="14">
        <f t="shared" si="38"/>
        <v>1.58</v>
      </c>
      <c r="T150" s="1">
        <f t="shared" si="42"/>
        <v>158</v>
      </c>
    </row>
    <row r="151" spans="1:22" ht="24.9" customHeight="1" x14ac:dyDescent="0.3">
      <c r="A151" s="17"/>
      <c r="B151" s="17">
        <v>159</v>
      </c>
      <c r="C151" s="17" t="s">
        <v>52</v>
      </c>
      <c r="D151" s="81">
        <v>4.5999999999999999E-3</v>
      </c>
      <c r="E151" s="231">
        <v>759749.59</v>
      </c>
      <c r="F151" s="100">
        <f t="shared" si="50"/>
        <v>759749.59</v>
      </c>
      <c r="G151" s="62">
        <f t="shared" si="20"/>
        <v>0</v>
      </c>
      <c r="H151" s="22">
        <f t="shared" si="43"/>
        <v>0</v>
      </c>
      <c r="I151" s="23">
        <f t="shared" si="34"/>
        <v>371109.43403200002</v>
      </c>
      <c r="J151" s="23">
        <f t="shared" si="45"/>
        <v>0</v>
      </c>
      <c r="K151" s="23">
        <f t="shared" si="46"/>
        <v>185936.29261027643</v>
      </c>
      <c r="L151" s="23">
        <f t="shared" si="51"/>
        <v>202702.7028</v>
      </c>
      <c r="M151" s="23">
        <f t="shared" si="49"/>
        <v>0</v>
      </c>
      <c r="N151" s="23">
        <v>0</v>
      </c>
      <c r="O151" s="23"/>
      <c r="P151" s="320">
        <f t="shared" si="47"/>
        <v>759749.59</v>
      </c>
      <c r="Q151" s="320"/>
      <c r="R151" s="224">
        <f t="shared" si="48"/>
        <v>782794.59</v>
      </c>
      <c r="S151" s="14">
        <f t="shared" si="38"/>
        <v>1.59</v>
      </c>
      <c r="T151" s="1">
        <f t="shared" si="42"/>
        <v>159</v>
      </c>
    </row>
    <row r="152" spans="1:22" ht="24.9" customHeight="1" x14ac:dyDescent="0.3">
      <c r="A152" s="17"/>
      <c r="B152" s="17">
        <v>163</v>
      </c>
      <c r="C152" s="17" t="s">
        <v>84</v>
      </c>
      <c r="D152" s="81">
        <v>4.5999999999999999E-3</v>
      </c>
      <c r="E152" s="231">
        <v>759749.63</v>
      </c>
      <c r="F152" s="100"/>
      <c r="G152" s="62">
        <f t="shared" si="20"/>
        <v>759749.63</v>
      </c>
      <c r="H152" s="22">
        <f t="shared" si="43"/>
        <v>23453.471078100003</v>
      </c>
      <c r="I152" s="23">
        <f t="shared" si="34"/>
        <v>371109.43403200002</v>
      </c>
      <c r="J152" s="23">
        <f t="shared" si="45"/>
        <v>0</v>
      </c>
      <c r="K152" s="23">
        <f t="shared" si="46"/>
        <v>185936.29261027643</v>
      </c>
      <c r="L152" s="23">
        <f t="shared" si="51"/>
        <v>202702.7028</v>
      </c>
      <c r="M152" s="23">
        <f t="shared" si="49"/>
        <v>0</v>
      </c>
      <c r="N152" s="23">
        <v>0</v>
      </c>
      <c r="O152" s="23"/>
      <c r="P152" s="320">
        <f t="shared" si="47"/>
        <v>1542953.63</v>
      </c>
      <c r="Q152" s="320"/>
      <c r="R152" s="224">
        <f t="shared" si="48"/>
        <v>1589752.63</v>
      </c>
      <c r="S152" s="14">
        <f t="shared" si="38"/>
        <v>1.63</v>
      </c>
      <c r="T152" s="1">
        <f t="shared" si="42"/>
        <v>163</v>
      </c>
    </row>
    <row r="153" spans="1:22" ht="24.9" customHeight="1" x14ac:dyDescent="0.3">
      <c r="A153" s="17"/>
      <c r="B153" s="17">
        <v>168</v>
      </c>
      <c r="C153" s="17" t="s">
        <v>52</v>
      </c>
      <c r="D153" s="81">
        <v>4.4000000000000003E-3</v>
      </c>
      <c r="E153" s="231">
        <v>743614.68</v>
      </c>
      <c r="F153" s="100">
        <f t="shared" si="50"/>
        <v>743614.68</v>
      </c>
      <c r="G153" s="62">
        <f t="shared" si="20"/>
        <v>0</v>
      </c>
      <c r="H153" s="22">
        <f t="shared" si="43"/>
        <v>0</v>
      </c>
      <c r="I153" s="23">
        <f t="shared" si="34"/>
        <v>354974.24124800001</v>
      </c>
      <c r="J153" s="23">
        <f t="shared" si="45"/>
        <v>0</v>
      </c>
      <c r="K153" s="23">
        <f t="shared" si="46"/>
        <v>185936.29261027643</v>
      </c>
      <c r="L153" s="23">
        <f t="shared" si="51"/>
        <v>202702.7028</v>
      </c>
      <c r="M153" s="23">
        <f t="shared" si="49"/>
        <v>0</v>
      </c>
      <c r="N153" s="23">
        <v>0</v>
      </c>
      <c r="O153" s="23"/>
      <c r="P153" s="320">
        <f t="shared" si="47"/>
        <v>743614.68</v>
      </c>
      <c r="Q153" s="320"/>
      <c r="R153" s="224">
        <f t="shared" si="48"/>
        <v>766170.68</v>
      </c>
      <c r="S153" s="14">
        <f t="shared" si="38"/>
        <v>1.68</v>
      </c>
      <c r="T153" s="1">
        <f t="shared" si="42"/>
        <v>168</v>
      </c>
    </row>
    <row r="154" spans="1:22" ht="24.9" customHeight="1" x14ac:dyDescent="0.3">
      <c r="A154" s="17"/>
      <c r="B154" s="17">
        <v>173</v>
      </c>
      <c r="C154" s="17" t="s">
        <v>85</v>
      </c>
      <c r="D154" s="81">
        <v>4.5999999999999999E-3</v>
      </c>
      <c r="E154" s="231">
        <v>759749.73</v>
      </c>
      <c r="F154" s="100">
        <f t="shared" si="50"/>
        <v>759749.73</v>
      </c>
      <c r="G154" s="62">
        <f t="shared" si="20"/>
        <v>0</v>
      </c>
      <c r="H154" s="22">
        <f t="shared" si="43"/>
        <v>0</v>
      </c>
      <c r="I154" s="23">
        <f t="shared" si="34"/>
        <v>371109.43403200002</v>
      </c>
      <c r="J154" s="23">
        <f t="shared" si="45"/>
        <v>0</v>
      </c>
      <c r="K154" s="23">
        <f t="shared" si="46"/>
        <v>185936.29261027643</v>
      </c>
      <c r="L154" s="23">
        <f t="shared" si="51"/>
        <v>202702.7028</v>
      </c>
      <c r="M154" s="23">
        <f t="shared" si="49"/>
        <v>0</v>
      </c>
      <c r="N154" s="23">
        <v>0</v>
      </c>
      <c r="O154" s="23"/>
      <c r="P154" s="320">
        <f t="shared" si="47"/>
        <v>759749.73</v>
      </c>
      <c r="Q154" s="320"/>
      <c r="R154" s="224">
        <f t="shared" si="48"/>
        <v>782794.73</v>
      </c>
      <c r="S154" s="14">
        <f t="shared" si="38"/>
        <v>1.73</v>
      </c>
      <c r="T154" s="1">
        <f t="shared" si="42"/>
        <v>173</v>
      </c>
      <c r="V154" t="s">
        <v>224</v>
      </c>
    </row>
    <row r="155" spans="1:22" ht="24.9" customHeight="1" x14ac:dyDescent="0.3">
      <c r="A155" s="17"/>
      <c r="B155" s="17">
        <v>175</v>
      </c>
      <c r="C155" s="17" t="s">
        <v>85</v>
      </c>
      <c r="D155" s="81">
        <v>4.5999999999999999E-3</v>
      </c>
      <c r="E155" s="231">
        <v>759749.75</v>
      </c>
      <c r="F155" s="100">
        <f t="shared" si="50"/>
        <v>759749.75</v>
      </c>
      <c r="G155" s="62">
        <f t="shared" si="20"/>
        <v>0</v>
      </c>
      <c r="H155" s="22">
        <f t="shared" si="43"/>
        <v>0</v>
      </c>
      <c r="I155" s="23">
        <f t="shared" si="34"/>
        <v>371109.43403200002</v>
      </c>
      <c r="J155" s="23">
        <f t="shared" si="45"/>
        <v>0</v>
      </c>
      <c r="K155" s="23">
        <f t="shared" si="46"/>
        <v>185936.29261027643</v>
      </c>
      <c r="L155" s="23">
        <f t="shared" si="51"/>
        <v>202702.7028</v>
      </c>
      <c r="M155" s="23">
        <f t="shared" si="49"/>
        <v>0</v>
      </c>
      <c r="N155" s="23">
        <v>0</v>
      </c>
      <c r="O155" s="23"/>
      <c r="P155" s="320">
        <f t="shared" si="47"/>
        <v>759749.75</v>
      </c>
      <c r="Q155" s="320"/>
      <c r="R155" s="224">
        <f t="shared" si="48"/>
        <v>782794.75</v>
      </c>
      <c r="S155" s="14">
        <f t="shared" si="38"/>
        <v>1.75</v>
      </c>
      <c r="T155" s="1">
        <f t="shared" si="42"/>
        <v>175</v>
      </c>
      <c r="V155" t="s">
        <v>224</v>
      </c>
    </row>
    <row r="156" spans="1:22" ht="24.9" customHeight="1" x14ac:dyDescent="0.3">
      <c r="A156" s="17"/>
      <c r="B156" s="17">
        <v>176</v>
      </c>
      <c r="C156" s="17" t="s">
        <v>84</v>
      </c>
      <c r="D156" s="81">
        <v>4.5999999999999999E-3</v>
      </c>
      <c r="E156" s="231">
        <v>759749.76</v>
      </c>
      <c r="F156" s="100"/>
      <c r="G156" s="62">
        <f t="shared" si="20"/>
        <v>759749.76</v>
      </c>
      <c r="H156" s="22">
        <f t="shared" si="43"/>
        <v>23453.475091200002</v>
      </c>
      <c r="I156" s="23">
        <f t="shared" si="34"/>
        <v>371109.43403200002</v>
      </c>
      <c r="J156" s="23">
        <f t="shared" si="45"/>
        <v>0</v>
      </c>
      <c r="K156" s="23">
        <f t="shared" si="46"/>
        <v>185936.29261027643</v>
      </c>
      <c r="L156" s="23">
        <f t="shared" si="51"/>
        <v>202702.7028</v>
      </c>
      <c r="M156" s="23">
        <f t="shared" si="49"/>
        <v>0</v>
      </c>
      <c r="N156" s="23">
        <v>0</v>
      </c>
      <c r="O156" s="23"/>
      <c r="P156" s="320">
        <f t="shared" si="47"/>
        <v>1542953.76</v>
      </c>
      <c r="Q156" s="320"/>
      <c r="R156" s="224">
        <f t="shared" si="48"/>
        <v>1589753.76</v>
      </c>
      <c r="S156" s="14">
        <f t="shared" si="38"/>
        <v>1.76</v>
      </c>
      <c r="T156" s="1">
        <f t="shared" si="42"/>
        <v>176</v>
      </c>
    </row>
    <row r="157" spans="1:22" ht="24.9" customHeight="1" x14ac:dyDescent="0.3">
      <c r="A157" s="17"/>
      <c r="B157" s="17">
        <v>204</v>
      </c>
      <c r="C157" s="17" t="s">
        <v>42</v>
      </c>
      <c r="D157" s="20">
        <v>4.8999999999999998E-3</v>
      </c>
      <c r="E157" s="232">
        <v>1597323.04</v>
      </c>
      <c r="F157" s="231">
        <v>1566340</v>
      </c>
      <c r="G157" s="62">
        <f t="shared" si="20"/>
        <v>30983.040000000037</v>
      </c>
      <c r="H157" s="22">
        <f t="shared" si="43"/>
        <v>956.44644480000125</v>
      </c>
      <c r="I157" s="23">
        <f t="shared" si="34"/>
        <v>395312.22320800001</v>
      </c>
      <c r="J157" s="23">
        <f t="shared" si="45"/>
        <v>0</v>
      </c>
      <c r="K157" s="23">
        <f t="shared" si="46"/>
        <v>185936.29261027643</v>
      </c>
      <c r="L157" s="23">
        <f t="shared" si="51"/>
        <v>202702.7028</v>
      </c>
      <c r="M157" s="23">
        <f t="shared" si="49"/>
        <v>0</v>
      </c>
      <c r="N157" s="23">
        <v>0</v>
      </c>
      <c r="O157" s="23"/>
      <c r="P157" s="320">
        <f t="shared" si="47"/>
        <v>815893.04</v>
      </c>
      <c r="Q157" s="320"/>
      <c r="R157" s="224">
        <f t="shared" si="48"/>
        <v>840641.04</v>
      </c>
      <c r="S157" s="14">
        <f t="shared" si="38"/>
        <v>2.04</v>
      </c>
      <c r="T157" s="1">
        <f t="shared" si="42"/>
        <v>204</v>
      </c>
      <c r="U157" t="s">
        <v>291</v>
      </c>
    </row>
    <row r="158" spans="1:22" ht="24.9" customHeight="1" x14ac:dyDescent="0.3">
      <c r="A158" s="18"/>
      <c r="B158" s="17"/>
      <c r="C158" s="17"/>
      <c r="D158" s="20"/>
      <c r="E158" s="21"/>
      <c r="F158" s="36"/>
      <c r="G158" s="22"/>
      <c r="H158" s="22"/>
      <c r="I158" s="23"/>
      <c r="J158" s="23"/>
      <c r="K158" s="23"/>
      <c r="L158" s="23"/>
      <c r="M158" s="23"/>
      <c r="N158" s="23"/>
      <c r="O158" s="23"/>
      <c r="P158" s="336"/>
      <c r="Q158" s="336"/>
      <c r="R158" s="196"/>
      <c r="S158" s="14"/>
      <c r="T158" s="1"/>
    </row>
    <row r="159" spans="1:22" ht="24.9" customHeight="1" thickBot="1" x14ac:dyDescent="0.35">
      <c r="A159" s="18"/>
      <c r="B159" s="202"/>
      <c r="C159" s="202"/>
      <c r="D159" s="203"/>
      <c r="E159" s="204"/>
      <c r="F159" s="205"/>
      <c r="G159" s="206"/>
      <c r="H159" s="206"/>
      <c r="I159" s="207"/>
      <c r="J159" s="208"/>
      <c r="K159" s="208"/>
      <c r="L159" s="208"/>
      <c r="M159" s="208"/>
      <c r="N159" s="208"/>
      <c r="O159" s="208"/>
      <c r="P159" s="337"/>
      <c r="Q159" s="337"/>
      <c r="R159" s="200"/>
      <c r="S159" s="14"/>
      <c r="T159" s="209"/>
    </row>
    <row r="160" spans="1:22" ht="24.9" customHeight="1" thickBot="1" x14ac:dyDescent="0.35">
      <c r="A160" s="24"/>
      <c r="B160" s="210"/>
      <c r="C160" s="210"/>
      <c r="D160" s="211">
        <f t="shared" ref="D160:O160" si="52">SUM(D5:D159)</f>
        <v>1.0449300000000001</v>
      </c>
      <c r="E160" s="212">
        <f t="shared" si="52"/>
        <v>167305221.07000002</v>
      </c>
      <c r="F160" s="213">
        <f>SUM(F5:F159)</f>
        <v>123294125.95999999</v>
      </c>
      <c r="G160" s="214">
        <f t="shared" si="52"/>
        <v>44011095.109999999</v>
      </c>
      <c r="H160" s="215"/>
      <c r="I160" s="215">
        <f t="shared" si="52"/>
        <v>56782163.685813546</v>
      </c>
      <c r="J160" s="215">
        <f t="shared" si="52"/>
        <v>0</v>
      </c>
      <c r="K160" s="216">
        <f t="shared" si="52"/>
        <v>27704507.598931193</v>
      </c>
      <c r="L160" s="217">
        <f t="shared" si="52"/>
        <v>30202702.717199888</v>
      </c>
      <c r="M160" s="216">
        <f t="shared" si="52"/>
        <v>0</v>
      </c>
      <c r="N160" s="216">
        <f t="shared" si="52"/>
        <v>3059717.6983365212</v>
      </c>
      <c r="O160" s="216">
        <f t="shared" si="52"/>
        <v>185554.71701600001</v>
      </c>
      <c r="P160" s="311">
        <f>SUM(P5:P159)</f>
        <v>163410730.07000002</v>
      </c>
      <c r="Q160" s="312"/>
      <c r="R160" s="201">
        <f>SUM(R5:R159)</f>
        <v>168367088.07000002</v>
      </c>
      <c r="S160" s="311"/>
      <c r="T160" s="312"/>
    </row>
    <row r="161" spans="2:20" ht="15" customHeight="1" x14ac:dyDescent="0.3">
      <c r="B161" s="334" t="s">
        <v>354</v>
      </c>
      <c r="C161" s="334"/>
      <c r="D161" s="334"/>
      <c r="E161" s="334"/>
      <c r="F161" s="334"/>
      <c r="G161" s="334"/>
      <c r="H161" s="334"/>
      <c r="I161" s="334"/>
      <c r="J161" s="334"/>
      <c r="K161" s="334"/>
      <c r="L161" s="334"/>
      <c r="M161" s="334"/>
      <c r="N161" s="334"/>
      <c r="O161" s="334"/>
      <c r="P161" s="334"/>
      <c r="Q161" s="334"/>
      <c r="R161" s="334"/>
      <c r="S161" s="334"/>
      <c r="T161" s="334"/>
    </row>
    <row r="162" spans="2:20" ht="49.8" customHeight="1" x14ac:dyDescent="0.3">
      <c r="B162" s="335"/>
      <c r="C162" s="335"/>
      <c r="D162" s="335"/>
      <c r="E162" s="335"/>
      <c r="F162" s="335"/>
      <c r="G162" s="335"/>
      <c r="H162" s="335"/>
      <c r="I162" s="335"/>
      <c r="J162" s="335"/>
      <c r="K162" s="335"/>
      <c r="L162" s="335"/>
      <c r="M162" s="335"/>
      <c r="N162" s="335"/>
      <c r="O162" s="335"/>
      <c r="P162" s="335"/>
      <c r="Q162" s="335"/>
      <c r="R162" s="335"/>
      <c r="S162" s="335"/>
      <c r="T162" s="335"/>
    </row>
    <row r="163" spans="2:20" ht="13.8" hidden="1" customHeight="1" x14ac:dyDescent="0.3">
      <c r="B163" s="335" t="s">
        <v>264</v>
      </c>
      <c r="C163" s="335"/>
      <c r="D163" s="335"/>
      <c r="E163" s="335"/>
      <c r="F163" s="335"/>
      <c r="G163" s="335"/>
      <c r="H163" s="335"/>
      <c r="I163" s="335"/>
      <c r="J163" s="335"/>
      <c r="K163" s="335"/>
      <c r="L163" s="335"/>
      <c r="M163" s="335"/>
      <c r="N163" s="335"/>
      <c r="O163" s="335"/>
      <c r="P163" s="335"/>
      <c r="Q163" s="335"/>
      <c r="R163" s="335"/>
      <c r="S163" s="335"/>
      <c r="T163" s="335"/>
    </row>
    <row r="164" spans="2:20" ht="15" hidden="1" customHeight="1" x14ac:dyDescent="0.3">
      <c r="B164" s="335"/>
      <c r="C164" s="335"/>
      <c r="D164" s="335"/>
      <c r="E164" s="335"/>
      <c r="F164" s="335"/>
      <c r="G164" s="335"/>
      <c r="H164" s="335"/>
      <c r="I164" s="335"/>
      <c r="J164" s="335"/>
      <c r="K164" s="335"/>
      <c r="L164" s="335"/>
      <c r="M164" s="335"/>
      <c r="N164" s="335"/>
      <c r="O164" s="335"/>
      <c r="P164" s="335"/>
      <c r="Q164" s="335"/>
      <c r="R164" s="335"/>
      <c r="S164" s="335"/>
      <c r="T164" s="335"/>
    </row>
    <row r="165" spans="2:20" ht="3.6" customHeight="1" x14ac:dyDescent="0.3">
      <c r="B165" s="335"/>
      <c r="C165" s="335"/>
      <c r="D165" s="335"/>
      <c r="E165" s="335"/>
      <c r="F165" s="335"/>
      <c r="G165" s="335"/>
      <c r="H165" s="335"/>
      <c r="I165" s="335"/>
      <c r="J165" s="335"/>
      <c r="K165" s="335"/>
      <c r="L165" s="335"/>
      <c r="M165" s="335"/>
      <c r="N165" s="335"/>
      <c r="O165" s="335"/>
      <c r="P165" s="335"/>
      <c r="Q165" s="335"/>
      <c r="R165" s="335"/>
      <c r="S165" s="335"/>
      <c r="T165" s="335"/>
    </row>
    <row r="166" spans="2:20" ht="128.25" customHeight="1" x14ac:dyDescent="0.3">
      <c r="B166" s="335"/>
      <c r="C166" s="335"/>
      <c r="D166" s="335"/>
      <c r="E166" s="335"/>
      <c r="F166" s="335"/>
      <c r="G166" s="335"/>
      <c r="H166" s="335"/>
      <c r="I166" s="335"/>
      <c r="J166" s="335"/>
      <c r="K166" s="335"/>
      <c r="L166" s="335"/>
      <c r="M166" s="335"/>
      <c r="N166" s="335"/>
      <c r="O166" s="335"/>
      <c r="P166" s="335"/>
      <c r="Q166" s="335"/>
      <c r="R166" s="335"/>
      <c r="S166" s="335"/>
      <c r="T166" s="335"/>
    </row>
  </sheetData>
  <mergeCells count="185">
    <mergeCell ref="R3:S4"/>
    <mergeCell ref="B161:T162"/>
    <mergeCell ref="B163:T166"/>
    <mergeCell ref="P156:Q156"/>
    <mergeCell ref="P157:Q157"/>
    <mergeCell ref="P160:Q160"/>
    <mergeCell ref="P158:Q158"/>
    <mergeCell ref="P159:Q159"/>
    <mergeCell ref="P151:Q151"/>
    <mergeCell ref="P152:Q152"/>
    <mergeCell ref="P153:Q153"/>
    <mergeCell ref="P154:Q154"/>
    <mergeCell ref="P155:Q155"/>
    <mergeCell ref="P145:Q145"/>
    <mergeCell ref="P146:Q146"/>
    <mergeCell ref="P147:Q147"/>
    <mergeCell ref="P148:Q148"/>
    <mergeCell ref="P150:Q150"/>
    <mergeCell ref="P140:Q140"/>
    <mergeCell ref="P141:Q141"/>
    <mergeCell ref="P142:Q142"/>
    <mergeCell ref="P143:Q143"/>
    <mergeCell ref="P144:Q144"/>
    <mergeCell ref="P149:Q149"/>
    <mergeCell ref="P135:Q135"/>
    <mergeCell ref="P136:Q136"/>
    <mergeCell ref="P137:Q137"/>
    <mergeCell ref="P138:Q138"/>
    <mergeCell ref="P139:Q139"/>
    <mergeCell ref="P130:Q130"/>
    <mergeCell ref="P131:Q131"/>
    <mergeCell ref="P132:Q132"/>
    <mergeCell ref="P133:Q133"/>
    <mergeCell ref="P134:Q134"/>
    <mergeCell ref="P125:Q125"/>
    <mergeCell ref="P126:Q126"/>
    <mergeCell ref="P127:Q127"/>
    <mergeCell ref="P128:Q128"/>
    <mergeCell ref="P129:Q129"/>
    <mergeCell ref="P120:Q120"/>
    <mergeCell ref="P121:Q121"/>
    <mergeCell ref="P122:Q122"/>
    <mergeCell ref="P123:Q123"/>
    <mergeCell ref="P124:Q124"/>
    <mergeCell ref="P115:Q115"/>
    <mergeCell ref="P116:Q116"/>
    <mergeCell ref="P117:Q117"/>
    <mergeCell ref="P118:Q118"/>
    <mergeCell ref="P119:Q119"/>
    <mergeCell ref="P110:Q110"/>
    <mergeCell ref="P111:Q111"/>
    <mergeCell ref="P112:Q112"/>
    <mergeCell ref="P113:Q113"/>
    <mergeCell ref="P114:Q114"/>
    <mergeCell ref="P105:Q105"/>
    <mergeCell ref="P106:Q106"/>
    <mergeCell ref="P107:Q107"/>
    <mergeCell ref="P108:Q108"/>
    <mergeCell ref="P109:Q109"/>
    <mergeCell ref="P100:Q100"/>
    <mergeCell ref="P101:Q101"/>
    <mergeCell ref="P102:Q102"/>
    <mergeCell ref="P103:Q103"/>
    <mergeCell ref="P104:Q104"/>
    <mergeCell ref="P95:Q95"/>
    <mergeCell ref="P96:Q96"/>
    <mergeCell ref="P97:Q97"/>
    <mergeCell ref="P98:Q98"/>
    <mergeCell ref="P99:Q99"/>
    <mergeCell ref="P90:Q90"/>
    <mergeCell ref="P91:Q91"/>
    <mergeCell ref="P92:Q92"/>
    <mergeCell ref="P93:Q93"/>
    <mergeCell ref="P94:Q94"/>
    <mergeCell ref="P85:Q85"/>
    <mergeCell ref="P86:Q86"/>
    <mergeCell ref="P87:Q87"/>
    <mergeCell ref="P88:Q88"/>
    <mergeCell ref="P89:Q89"/>
    <mergeCell ref="P80:Q80"/>
    <mergeCell ref="P81:Q81"/>
    <mergeCell ref="P82:Q82"/>
    <mergeCell ref="P83:Q83"/>
    <mergeCell ref="P84:Q84"/>
    <mergeCell ref="P75:Q75"/>
    <mergeCell ref="P76:Q76"/>
    <mergeCell ref="P77:Q77"/>
    <mergeCell ref="P78:Q78"/>
    <mergeCell ref="P79:Q79"/>
    <mergeCell ref="P70:Q70"/>
    <mergeCell ref="P71:Q71"/>
    <mergeCell ref="P72:Q72"/>
    <mergeCell ref="P73:Q73"/>
    <mergeCell ref="P74:Q74"/>
    <mergeCell ref="P65:Q65"/>
    <mergeCell ref="P66:Q66"/>
    <mergeCell ref="P67:Q67"/>
    <mergeCell ref="P68:Q68"/>
    <mergeCell ref="P69:Q69"/>
    <mergeCell ref="P60:Q60"/>
    <mergeCell ref="P61:Q61"/>
    <mergeCell ref="P62:Q62"/>
    <mergeCell ref="P63:Q63"/>
    <mergeCell ref="P64:Q64"/>
    <mergeCell ref="P55:Q55"/>
    <mergeCell ref="P56:Q56"/>
    <mergeCell ref="P57:Q57"/>
    <mergeCell ref="P58:Q58"/>
    <mergeCell ref="P59:Q59"/>
    <mergeCell ref="P50:Q50"/>
    <mergeCell ref="P51:Q51"/>
    <mergeCell ref="P52:Q52"/>
    <mergeCell ref="P53:Q53"/>
    <mergeCell ref="P54:Q54"/>
    <mergeCell ref="P45:Q45"/>
    <mergeCell ref="P46:Q46"/>
    <mergeCell ref="P47:Q47"/>
    <mergeCell ref="P48:Q48"/>
    <mergeCell ref="P49:Q49"/>
    <mergeCell ref="P40:Q40"/>
    <mergeCell ref="P41:Q41"/>
    <mergeCell ref="P42:Q42"/>
    <mergeCell ref="P43:Q43"/>
    <mergeCell ref="P44:Q44"/>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L3:L4"/>
    <mergeCell ref="K2:L2"/>
    <mergeCell ref="M3:M4"/>
    <mergeCell ref="P1:Q1"/>
    <mergeCell ref="P2:Q2"/>
    <mergeCell ref="G2:H2"/>
    <mergeCell ref="N3:N4"/>
    <mergeCell ref="O3:O4"/>
    <mergeCell ref="C2:E2"/>
    <mergeCell ref="C1:L1"/>
    <mergeCell ref="N1:O1"/>
    <mergeCell ref="P3:Q3"/>
    <mergeCell ref="P4:Q4"/>
    <mergeCell ref="P15:Q15"/>
    <mergeCell ref="P16:Q16"/>
    <mergeCell ref="P17:Q17"/>
    <mergeCell ref="P18:Q18"/>
    <mergeCell ref="P19:Q19"/>
    <mergeCell ref="P10:Q10"/>
    <mergeCell ref="P11:Q11"/>
    <mergeCell ref="P12:Q12"/>
    <mergeCell ref="P13:Q13"/>
    <mergeCell ref="P14:Q14"/>
    <mergeCell ref="T3:T4"/>
    <mergeCell ref="S160:T16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s>
  <hyperlinks>
    <hyperlink ref="U65" r:id="rId1" xr:uid="{60CCA824-04D7-4098-BB5B-CC4EC0E5DE92}"/>
    <hyperlink ref="U45" r:id="rId2" xr:uid="{FB3F0167-0D80-4D0E-9747-86680AF517F7}"/>
    <hyperlink ref="U35" r:id="rId3" xr:uid="{DC64E9EF-0CAF-49C3-B4C2-A955ADDB9423}"/>
    <hyperlink ref="U38"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8124-0DFF-42B4-B6B5-F14CE640FD42}">
  <dimension ref="C9:U9"/>
  <sheetViews>
    <sheetView topLeftCell="B1" workbookViewId="0">
      <selection activeCell="Q9" sqref="Q9:R9"/>
    </sheetView>
  </sheetViews>
  <sheetFormatPr baseColWidth="10" defaultRowHeight="14.4" x14ac:dyDescent="0.3"/>
  <cols>
    <col min="19" max="19" width="14.77734375" customWidth="1"/>
  </cols>
  <sheetData>
    <row r="9" spans="3:21" x14ac:dyDescent="0.3">
      <c r="C9" s="17">
        <f t="shared" ref="C9" si="0">C8+1</f>
        <v>1</v>
      </c>
      <c r="D9" s="17" t="s">
        <v>120</v>
      </c>
      <c r="E9" s="81">
        <v>4.5999999999999999E-3</v>
      </c>
      <c r="F9" s="229">
        <v>2389927.1</v>
      </c>
      <c r="G9" s="100">
        <f>882000+700000+48817+800000</f>
        <v>2430817</v>
      </c>
      <c r="H9" s="62">
        <f t="shared" ref="H9" si="1">F9-G9</f>
        <v>-40889.899999999907</v>
      </c>
      <c r="I9" s="22">
        <f t="shared" ref="I9" si="2">IF(H9&gt;0,H9*3.087%,0)</f>
        <v>0</v>
      </c>
      <c r="J9" s="23">
        <v>371109.43403200002</v>
      </c>
      <c r="K9" s="23">
        <v>0</v>
      </c>
      <c r="L9" s="23">
        <v>185936.29261027643</v>
      </c>
      <c r="M9" s="23">
        <v>202702.7028</v>
      </c>
      <c r="N9" s="75">
        <v>0</v>
      </c>
      <c r="O9" s="75">
        <v>0</v>
      </c>
      <c r="P9" s="89"/>
      <c r="Q9" s="320">
        <f t="shared" ref="Q9" si="3">ROUND(SUM(H9:P9),0) + T9</f>
        <v>718859.1</v>
      </c>
      <c r="R9" s="320"/>
      <c r="S9" s="224">
        <f t="shared" ref="S9" si="4">ROUND(Q9+Q9*3.033%,0) + T9</f>
        <v>740662.1</v>
      </c>
      <c r="T9" s="14">
        <v>0.1</v>
      </c>
      <c r="U9" s="1">
        <f t="shared" ref="U9" si="5">C9</f>
        <v>1</v>
      </c>
    </row>
  </sheetData>
  <mergeCells count="1">
    <mergeCell ref="Q9:R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2:N27"/>
  <sheetViews>
    <sheetView topLeftCell="A4" workbookViewId="0">
      <selection activeCell="H28" sqref="H28"/>
    </sheetView>
  </sheetViews>
  <sheetFormatPr baseColWidth="10" defaultColWidth="10.88671875" defaultRowHeight="14.4" x14ac:dyDescent="0.3"/>
  <cols>
    <col min="11" max="11" width="11.44140625" bestFit="1" customWidth="1"/>
    <col min="14" max="14" width="13" bestFit="1" customWidth="1"/>
  </cols>
  <sheetData>
    <row r="2" spans="3:14" ht="15" thickBot="1" x14ac:dyDescent="0.35"/>
    <row r="3" spans="3:14" x14ac:dyDescent="0.3">
      <c r="C3" s="236" t="s">
        <v>160</v>
      </c>
      <c r="D3" s="65">
        <v>1</v>
      </c>
      <c r="E3" s="65"/>
      <c r="F3" s="65"/>
      <c r="G3" s="65"/>
      <c r="H3" s="65"/>
      <c r="I3" s="65"/>
      <c r="J3" s="67"/>
      <c r="K3" s="338" t="s">
        <v>427</v>
      </c>
      <c r="L3" s="339"/>
      <c r="M3" s="339"/>
      <c r="N3" s="339"/>
    </row>
    <row r="4" spans="3:14" x14ac:dyDescent="0.3">
      <c r="C4" s="149" t="s">
        <v>161</v>
      </c>
      <c r="D4" s="37"/>
      <c r="E4" s="237">
        <v>45945</v>
      </c>
      <c r="F4" s="37"/>
      <c r="G4" s="37" t="s">
        <v>166</v>
      </c>
      <c r="H4" s="92" t="s">
        <v>330</v>
      </c>
      <c r="I4" s="68"/>
      <c r="J4" s="69"/>
      <c r="K4" s="338"/>
      <c r="L4" s="339"/>
      <c r="M4" s="339"/>
      <c r="N4" s="339"/>
    </row>
    <row r="5" spans="3:14" x14ac:dyDescent="0.3">
      <c r="C5" s="149" t="s">
        <v>162</v>
      </c>
      <c r="D5" s="37" t="s">
        <v>163</v>
      </c>
      <c r="E5" s="37" t="s">
        <v>164</v>
      </c>
      <c r="F5" s="37"/>
      <c r="G5" s="37" t="s">
        <v>167</v>
      </c>
      <c r="H5" s="68">
        <v>136</v>
      </c>
      <c r="I5" s="68"/>
      <c r="J5" s="69"/>
      <c r="K5" s="338"/>
      <c r="L5" s="339"/>
      <c r="M5" s="339"/>
      <c r="N5" s="339"/>
    </row>
    <row r="6" spans="3:14" ht="15" thickBot="1" x14ac:dyDescent="0.35">
      <c r="C6" s="149" t="s">
        <v>165</v>
      </c>
      <c r="D6" s="37"/>
      <c r="E6" s="37"/>
      <c r="F6" s="37"/>
      <c r="G6" s="37"/>
      <c r="H6" s="37"/>
      <c r="I6" s="37"/>
      <c r="J6" s="70"/>
      <c r="K6" s="338"/>
      <c r="L6" s="339"/>
      <c r="M6" s="339"/>
      <c r="N6" s="339"/>
    </row>
    <row r="7" spans="3:14" x14ac:dyDescent="0.3">
      <c r="C7" s="340" t="s">
        <v>331</v>
      </c>
      <c r="D7" s="341"/>
      <c r="E7" s="341"/>
      <c r="F7" s="341"/>
      <c r="G7" s="341"/>
      <c r="H7" s="341"/>
      <c r="I7" s="341"/>
      <c r="J7" s="342"/>
    </row>
    <row r="8" spans="3:14" x14ac:dyDescent="0.3">
      <c r="C8" s="343"/>
      <c r="D8" s="344"/>
      <c r="E8" s="344"/>
      <c r="F8" s="344"/>
      <c r="G8" s="344"/>
      <c r="H8" s="344"/>
      <c r="I8" s="344"/>
      <c r="J8" s="345"/>
    </row>
    <row r="9" spans="3:14" ht="15" thickBot="1" x14ac:dyDescent="0.35">
      <c r="C9" s="346"/>
      <c r="D9" s="347"/>
      <c r="E9" s="347"/>
      <c r="F9" s="347"/>
      <c r="G9" s="347"/>
      <c r="H9" s="347"/>
      <c r="I9" s="347"/>
      <c r="J9" s="348"/>
    </row>
    <row r="11" spans="3:14" ht="15" thickBot="1" x14ac:dyDescent="0.35"/>
    <row r="12" spans="3:14" x14ac:dyDescent="0.3">
      <c r="C12" s="236" t="s">
        <v>160</v>
      </c>
      <c r="D12" s="65">
        <f>D3+1</f>
        <v>2</v>
      </c>
      <c r="E12" s="65"/>
      <c r="F12" s="65"/>
      <c r="G12" s="65"/>
      <c r="H12" s="65"/>
      <c r="I12" s="65"/>
      <c r="J12" s="67"/>
    </row>
    <row r="13" spans="3:14" x14ac:dyDescent="0.3">
      <c r="C13" s="149" t="s">
        <v>161</v>
      </c>
      <c r="D13" s="37"/>
      <c r="E13" s="237">
        <v>45945</v>
      </c>
      <c r="F13" s="37"/>
      <c r="G13" s="37" t="s">
        <v>166</v>
      </c>
      <c r="H13" s="92" t="s">
        <v>439</v>
      </c>
      <c r="I13" s="68"/>
      <c r="J13" s="69"/>
    </row>
    <row r="14" spans="3:14" x14ac:dyDescent="0.3">
      <c r="C14" s="149" t="s">
        <v>162</v>
      </c>
      <c r="D14" s="37" t="s">
        <v>163</v>
      </c>
      <c r="E14" s="37" t="s">
        <v>164</v>
      </c>
      <c r="F14" s="37"/>
      <c r="G14" s="37" t="s">
        <v>167</v>
      </c>
      <c r="H14" s="68">
        <v>110</v>
      </c>
      <c r="I14" s="68"/>
      <c r="J14" s="69"/>
    </row>
    <row r="15" spans="3:14" ht="15" thickBot="1" x14ac:dyDescent="0.35">
      <c r="C15" s="149" t="s">
        <v>165</v>
      </c>
      <c r="D15" s="37"/>
      <c r="E15" s="37"/>
      <c r="F15" s="37"/>
      <c r="G15" s="37"/>
      <c r="H15" s="37"/>
      <c r="I15" s="37"/>
      <c r="J15" s="70"/>
    </row>
    <row r="16" spans="3:14" x14ac:dyDescent="0.3">
      <c r="C16" s="340" t="s">
        <v>440</v>
      </c>
      <c r="D16" s="341"/>
      <c r="E16" s="341"/>
      <c r="F16" s="341"/>
      <c r="G16" s="341"/>
      <c r="H16" s="341"/>
      <c r="I16" s="341"/>
      <c r="J16" s="342"/>
    </row>
    <row r="17" spans="3:10" x14ac:dyDescent="0.3">
      <c r="C17" s="343"/>
      <c r="D17" s="344"/>
      <c r="E17" s="344"/>
      <c r="F17" s="344"/>
      <c r="G17" s="344"/>
      <c r="H17" s="344"/>
      <c r="I17" s="344"/>
      <c r="J17" s="345"/>
    </row>
    <row r="18" spans="3:10" ht="15" thickBot="1" x14ac:dyDescent="0.35">
      <c r="C18" s="346"/>
      <c r="D18" s="347"/>
      <c r="E18" s="347"/>
      <c r="F18" s="347"/>
      <c r="G18" s="347"/>
      <c r="H18" s="347"/>
      <c r="I18" s="347"/>
      <c r="J18" s="348"/>
    </row>
    <row r="20" spans="3:10" ht="15" thickBot="1" x14ac:dyDescent="0.35"/>
    <row r="21" spans="3:10" x14ac:dyDescent="0.3">
      <c r="C21" s="236" t="s">
        <v>160</v>
      </c>
      <c r="D21" s="65">
        <f>D12+1</f>
        <v>3</v>
      </c>
      <c r="E21" s="65"/>
      <c r="F21" s="65"/>
      <c r="G21" s="65"/>
      <c r="H21" s="65"/>
      <c r="I21" s="65"/>
      <c r="J21" s="67"/>
    </row>
    <row r="22" spans="3:10" x14ac:dyDescent="0.3">
      <c r="C22" s="149" t="s">
        <v>161</v>
      </c>
      <c r="D22" s="37"/>
      <c r="E22" s="237">
        <v>45945</v>
      </c>
      <c r="F22" s="37"/>
      <c r="G22" s="37" t="s">
        <v>166</v>
      </c>
      <c r="H22" s="92" t="s">
        <v>441</v>
      </c>
      <c r="I22" s="68"/>
      <c r="J22" s="69"/>
    </row>
    <row r="23" spans="3:10" x14ac:dyDescent="0.3">
      <c r="C23" s="149" t="s">
        <v>162</v>
      </c>
      <c r="D23" s="37" t="s">
        <v>163</v>
      </c>
      <c r="E23" s="37" t="s">
        <v>164</v>
      </c>
      <c r="F23" s="37"/>
      <c r="G23" s="37" t="s">
        <v>167</v>
      </c>
      <c r="H23" s="68">
        <v>14</v>
      </c>
      <c r="I23" s="68"/>
      <c r="J23" s="69"/>
    </row>
    <row r="24" spans="3:10" ht="15" thickBot="1" x14ac:dyDescent="0.35">
      <c r="C24" s="149" t="s">
        <v>165</v>
      </c>
      <c r="D24" s="37"/>
      <c r="E24" s="37"/>
      <c r="F24" s="37"/>
      <c r="G24" s="37"/>
      <c r="H24" s="37"/>
      <c r="I24" s="37"/>
      <c r="J24" s="70"/>
    </row>
    <row r="25" spans="3:10" x14ac:dyDescent="0.3">
      <c r="C25" s="340" t="s">
        <v>442</v>
      </c>
      <c r="D25" s="341"/>
      <c r="E25" s="341"/>
      <c r="F25" s="341"/>
      <c r="G25" s="341"/>
      <c r="H25" s="341"/>
      <c r="I25" s="341"/>
      <c r="J25" s="342"/>
    </row>
    <row r="26" spans="3:10" x14ac:dyDescent="0.3">
      <c r="C26" s="343"/>
      <c r="D26" s="344"/>
      <c r="E26" s="344"/>
      <c r="F26" s="344"/>
      <c r="G26" s="344"/>
      <c r="H26" s="344"/>
      <c r="I26" s="344"/>
      <c r="J26" s="345"/>
    </row>
    <row r="27" spans="3:10" ht="15" thickBot="1" x14ac:dyDescent="0.35">
      <c r="C27" s="346"/>
      <c r="D27" s="347"/>
      <c r="E27" s="347"/>
      <c r="F27" s="347"/>
      <c r="G27" s="347"/>
      <c r="H27" s="347"/>
      <c r="I27" s="347"/>
      <c r="J27" s="348"/>
    </row>
  </sheetData>
  <mergeCells count="4">
    <mergeCell ref="K3:N6"/>
    <mergeCell ref="C7:J9"/>
    <mergeCell ref="C16:J18"/>
    <mergeCell ref="C25:J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SITUACION LOTE 110</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2026-02-06T17:02:59Z</cp:lastPrinted>
  <dcterms:created xsi:type="dcterms:W3CDTF">2023-09-17T12:29:07Z</dcterms:created>
  <dcterms:modified xsi:type="dcterms:W3CDTF">2026-03-01T18:15:10Z</dcterms:modified>
</cp:coreProperties>
</file>