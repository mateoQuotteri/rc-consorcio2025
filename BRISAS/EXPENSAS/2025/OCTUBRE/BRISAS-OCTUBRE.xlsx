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D:\OneDrive\Desktop\BRISAS DE ADROGUE\EXPENSAS\OCTUBRE\"/>
    </mc:Choice>
  </mc:AlternateContent>
  <xr:revisionPtr revIDLastSave="0" documentId="8_{CDD3B325-4EDD-4816-8EAA-C04FF94C60C6}" xr6:coauthVersionLast="47" xr6:coauthVersionMax="47" xr10:uidLastSave="{00000000-0000-0000-0000-000000000000}"/>
  <bookViews>
    <workbookView xWindow="-120" yWindow="-120" windowWidth="20730" windowHeight="11160" tabRatio="850" xr2:uid="{00000000-000D-0000-FFFF-FFFF00000000}"/>
  </bookViews>
  <sheets>
    <sheet name="RESUMEN" sheetId="1" r:id="rId1"/>
    <sheet name="PRORRATEO" sheetId="2" r:id="rId2"/>
    <sheet name="anotaciones" sheetId="6" r:id="rId3"/>
    <sheet name="A RECUPERAR NOVIEMBRE" sheetId="7" r:id="rId4"/>
  </sheets>
  <definedNames>
    <definedName name="_xlnm.Print_Area" localSheetId="1">PRORRATEO!$B$1:$S$167</definedName>
    <definedName name="_xlnm.Print_Area" localSheetId="0">RESUMEN!$A$1:$E$187</definedName>
  </definedNames>
  <calcPr calcId="181029"/>
</workbook>
</file>

<file path=xl/calcChain.xml><?xml version="1.0" encoding="utf-8"?>
<calcChain xmlns="http://schemas.openxmlformats.org/spreadsheetml/2006/main">
  <c r="O60" i="2" l="1"/>
  <c r="O42" i="2"/>
  <c r="O62" i="2"/>
  <c r="O110" i="2"/>
  <c r="O43" i="2"/>
  <c r="O79" i="2"/>
  <c r="O35" i="2"/>
  <c r="O97" i="2"/>
  <c r="O55" i="2"/>
  <c r="O86" i="2"/>
  <c r="O18" i="2"/>
  <c r="E103" i="1"/>
  <c r="F40" i="2" l="1"/>
  <c r="F30" i="2"/>
  <c r="E96" i="1"/>
  <c r="B170" i="1"/>
  <c r="E92" i="1"/>
  <c r="B183" i="1"/>
  <c r="F101" i="2"/>
  <c r="F126" i="2"/>
  <c r="F42" i="2"/>
  <c r="F46" i="2"/>
  <c r="F111" i="2"/>
  <c r="F95" i="2"/>
  <c r="F68" i="2"/>
  <c r="F119" i="2"/>
  <c r="F61" i="2"/>
  <c r="F93" i="2"/>
  <c r="F72" i="2"/>
  <c r="F35" i="2"/>
  <c r="F38" i="2"/>
  <c r="F116" i="2"/>
  <c r="F141" i="2"/>
  <c r="F36" i="2"/>
  <c r="F149" i="2"/>
  <c r="F121" i="2"/>
  <c r="F59" i="2"/>
  <c r="F62" i="2"/>
  <c r="F56" i="2"/>
  <c r="F110" i="2"/>
  <c r="F32" i="2"/>
  <c r="F48" i="2"/>
  <c r="B150" i="1"/>
  <c r="F18" i="2"/>
  <c r="F5" i="2" l="1"/>
  <c r="F7" i="2"/>
  <c r="F9" i="2"/>
  <c r="F10" i="2"/>
  <c r="F14" i="2"/>
  <c r="F15" i="2"/>
  <c r="F17" i="2"/>
  <c r="F19" i="2"/>
  <c r="F20" i="2"/>
  <c r="F22" i="2"/>
  <c r="F23" i="2"/>
  <c r="F24" i="2"/>
  <c r="F25" i="2"/>
  <c r="F26" i="2"/>
  <c r="F27" i="2"/>
  <c r="F28" i="2"/>
  <c r="F33" i="2"/>
  <c r="F34" i="2"/>
  <c r="F37" i="2"/>
  <c r="F39" i="2"/>
  <c r="F44" i="2"/>
  <c r="F45" i="2"/>
  <c r="F47" i="2"/>
  <c r="F49" i="2"/>
  <c r="F52" i="2"/>
  <c r="F53" i="2"/>
  <c r="F54" i="2"/>
  <c r="F55" i="2"/>
  <c r="F60" i="2"/>
  <c r="F66" i="2"/>
  <c r="F67" i="2"/>
  <c r="F69" i="2"/>
  <c r="F70" i="2"/>
  <c r="F71" i="2"/>
  <c r="F73" i="2"/>
  <c r="F78" i="2"/>
  <c r="F79" i="2"/>
  <c r="F80" i="2"/>
  <c r="F84" i="2"/>
  <c r="F87" i="2"/>
  <c r="F88" i="2"/>
  <c r="F89" i="2"/>
  <c r="F90" i="2"/>
  <c r="F91" i="2"/>
  <c r="F98" i="2"/>
  <c r="F103" i="2"/>
  <c r="F104" i="2"/>
  <c r="F105" i="2"/>
  <c r="F107" i="2"/>
  <c r="F108" i="2"/>
  <c r="F109" i="2"/>
  <c r="F112" i="2"/>
  <c r="F115" i="2"/>
  <c r="F117" i="2"/>
  <c r="F118" i="2"/>
  <c r="F127" i="2"/>
  <c r="F129" i="2"/>
  <c r="F131" i="2"/>
  <c r="F133" i="2"/>
  <c r="F135" i="2"/>
  <c r="F136" i="2"/>
  <c r="F137" i="2"/>
  <c r="F138" i="2"/>
  <c r="F139" i="2"/>
  <c r="F142" i="2"/>
  <c r="D57" i="1"/>
  <c r="B165" i="1" l="1"/>
  <c r="G11" i="7"/>
  <c r="D12" i="6"/>
  <c r="D21" i="6" s="1"/>
  <c r="D30" i="6" s="1"/>
  <c r="D39" i="6" s="1"/>
  <c r="D48" i="6" s="1"/>
  <c r="D57" i="6" s="1"/>
  <c r="D66" i="6" s="1"/>
  <c r="D75" i="6" s="1"/>
  <c r="D84" i="6" s="1"/>
  <c r="D93" i="6" s="1"/>
  <c r="D102" i="6" s="1"/>
  <c r="D111" i="6" s="1"/>
  <c r="D120" i="6" s="1"/>
  <c r="D129" i="6" s="1"/>
  <c r="D138" i="6" s="1"/>
  <c r="D147" i="6" s="1"/>
  <c r="D156" i="6" s="1"/>
  <c r="D165" i="6" s="1"/>
  <c r="D174" i="6" s="1"/>
  <c r="D183" i="6" s="1"/>
  <c r="D192" i="6" s="1"/>
  <c r="D201" i="6" s="1"/>
  <c r="D247" i="6"/>
  <c r="D256" i="6" s="1"/>
  <c r="D265" i="6" s="1"/>
  <c r="D274" i="6" s="1"/>
  <c r="D283" i="6" s="1"/>
  <c r="D292" i="6" s="1"/>
  <c r="D300" i="6"/>
  <c r="D308" i="6"/>
  <c r="D316" i="6"/>
  <c r="D323" i="6"/>
  <c r="D125" i="1"/>
  <c r="E100" i="1"/>
  <c r="D27" i="1"/>
  <c r="E42" i="1"/>
  <c r="E118" i="1"/>
  <c r="E112" i="1"/>
  <c r="D210" i="6" l="1"/>
  <c r="D218" i="6"/>
  <c r="D227" i="6" s="1"/>
  <c r="D237" i="6" s="1"/>
  <c r="E36" i="1"/>
  <c r="E46" i="1"/>
  <c r="R149" i="2" l="1"/>
  <c r="S149" i="2"/>
  <c r="M149" i="2"/>
  <c r="L149" i="2"/>
  <c r="I149" i="2"/>
  <c r="E74" i="1" l="1"/>
  <c r="E128" i="1" l="1"/>
  <c r="E132" i="1" s="1"/>
  <c r="B186" i="1"/>
  <c r="F156" i="2"/>
  <c r="F152" i="2"/>
  <c r="F157" i="2" l="1"/>
  <c r="F155" i="2"/>
  <c r="F154" i="2"/>
  <c r="F153" i="2"/>
  <c r="F151" i="2"/>
  <c r="F150" i="2"/>
  <c r="F148" i="2"/>
  <c r="E125" i="1" l="1"/>
  <c r="E110" i="1"/>
  <c r="F160" i="2" l="1"/>
  <c r="W2" i="2"/>
  <c r="G2" i="2" s="1"/>
  <c r="K149" i="2" s="1"/>
  <c r="P149" i="2" s="1"/>
  <c r="S37" i="2" l="1"/>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146" i="2"/>
  <c r="S147" i="2"/>
  <c r="S148" i="2"/>
  <c r="S150" i="2"/>
  <c r="S151" i="2"/>
  <c r="S152" i="2"/>
  <c r="S153" i="2"/>
  <c r="S154" i="2"/>
  <c r="S155" i="2"/>
  <c r="S156" i="2"/>
  <c r="S157" i="2"/>
  <c r="S5" i="2"/>
  <c r="B171" i="1"/>
  <c r="G97" i="2" l="1"/>
  <c r="K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8" i="2"/>
  <c r="J150" i="2"/>
  <c r="J151" i="2"/>
  <c r="J152" i="2"/>
  <c r="J153" i="2"/>
  <c r="J154" i="2"/>
  <c r="J155" i="2"/>
  <c r="J156" i="2"/>
  <c r="J157" i="2"/>
  <c r="J5" i="2"/>
  <c r="D29" i="1"/>
  <c r="E30" i="1" s="1"/>
  <c r="L150" i="2"/>
  <c r="L151" i="2"/>
  <c r="L152" i="2"/>
  <c r="L153" i="2"/>
  <c r="L154" i="2"/>
  <c r="L155" i="2"/>
  <c r="L156" i="2"/>
  <c r="L157" i="2"/>
  <c r="L148" i="2"/>
  <c r="L143"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5" i="2"/>
  <c r="K150" i="2" l="1"/>
  <c r="K151" i="2"/>
  <c r="K152" i="2"/>
  <c r="K153" i="2"/>
  <c r="K154" i="2"/>
  <c r="K155" i="2"/>
  <c r="K156" i="2"/>
  <c r="K157" i="2"/>
  <c r="K148"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M6" i="2"/>
  <c r="M7" i="2"/>
  <c r="M8" i="2"/>
  <c r="M9" i="2"/>
  <c r="M10" i="2"/>
  <c r="M11" i="2"/>
  <c r="M12" i="2"/>
  <c r="M14" i="2"/>
  <c r="M15" i="2"/>
  <c r="M16" i="2"/>
  <c r="M18" i="2"/>
  <c r="M19"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3" i="2"/>
  <c r="M54" i="2"/>
  <c r="M56" i="2"/>
  <c r="M57" i="2"/>
  <c r="M58" i="2"/>
  <c r="M59" i="2"/>
  <c r="M61" i="2"/>
  <c r="M62" i="2"/>
  <c r="M63" i="2"/>
  <c r="M64" i="2"/>
  <c r="M65" i="2"/>
  <c r="M67" i="2"/>
  <c r="M68" i="2"/>
  <c r="M69" i="2"/>
  <c r="M70" i="2"/>
  <c r="M71"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50" i="2"/>
  <c r="M151" i="2"/>
  <c r="M152" i="2"/>
  <c r="M153" i="2"/>
  <c r="M154" i="2"/>
  <c r="M155" i="2"/>
  <c r="M156" i="2"/>
  <c r="M157" i="2"/>
  <c r="M5" i="2"/>
  <c r="G68" i="2"/>
  <c r="H68" i="2" s="1"/>
  <c r="G96" i="2"/>
  <c r="H96" i="2" s="1"/>
  <c r="G43" i="2"/>
  <c r="H43" i="2" s="1"/>
  <c r="G93" i="2"/>
  <c r="H93" i="2" s="1"/>
  <c r="G137" i="2"/>
  <c r="H137" i="2" s="1"/>
  <c r="G110" i="2"/>
  <c r="H110" i="2" s="1"/>
  <c r="G141" i="2"/>
  <c r="H141" i="2" s="1"/>
  <c r="G64" i="2"/>
  <c r="H64" i="2" s="1"/>
  <c r="G100" i="2"/>
  <c r="H100" i="2" s="1"/>
  <c r="G22" i="2"/>
  <c r="H22" i="2" s="1"/>
  <c r="G5" i="2"/>
  <c r="H5" i="2" s="1"/>
  <c r="I5" i="2"/>
  <c r="G6" i="2"/>
  <c r="H6" i="2" s="1"/>
  <c r="I6" i="2"/>
  <c r="G7" i="2"/>
  <c r="H7" i="2" s="1"/>
  <c r="I7" i="2"/>
  <c r="G8" i="2"/>
  <c r="H8" i="2" s="1"/>
  <c r="I8" i="2"/>
  <c r="G9" i="2"/>
  <c r="H9" i="2" s="1"/>
  <c r="I9" i="2"/>
  <c r="G10" i="2"/>
  <c r="H10" i="2" s="1"/>
  <c r="I10" i="2"/>
  <c r="G11" i="2"/>
  <c r="H11" i="2" s="1"/>
  <c r="I11" i="2"/>
  <c r="G12" i="2"/>
  <c r="H12" i="2" s="1"/>
  <c r="I12" i="2"/>
  <c r="G13" i="2"/>
  <c r="H13" i="2" s="1"/>
  <c r="I13" i="2"/>
  <c r="G14" i="2"/>
  <c r="H14" i="2" s="1"/>
  <c r="I14" i="2"/>
  <c r="G15" i="2"/>
  <c r="H15" i="2" s="1"/>
  <c r="I15" i="2"/>
  <c r="G16" i="2"/>
  <c r="H16" i="2" s="1"/>
  <c r="I16" i="2"/>
  <c r="I17" i="2"/>
  <c r="G18" i="2"/>
  <c r="H18" i="2" s="1"/>
  <c r="I18" i="2"/>
  <c r="G19" i="2"/>
  <c r="H19" i="2" s="1"/>
  <c r="I19" i="2"/>
  <c r="G20" i="2"/>
  <c r="H20" i="2" s="1"/>
  <c r="I20" i="2"/>
  <c r="G21" i="2"/>
  <c r="H21" i="2" s="1"/>
  <c r="I21" i="2"/>
  <c r="I22" i="2"/>
  <c r="G23" i="2"/>
  <c r="H23" i="2" s="1"/>
  <c r="I23" i="2"/>
  <c r="G24" i="2"/>
  <c r="H24" i="2" s="1"/>
  <c r="I24" i="2"/>
  <c r="G25" i="2"/>
  <c r="H25" i="2" s="1"/>
  <c r="I25" i="2"/>
  <c r="G26" i="2"/>
  <c r="H26" i="2" s="1"/>
  <c r="I26" i="2"/>
  <c r="G27" i="2"/>
  <c r="H27" i="2" s="1"/>
  <c r="I27" i="2"/>
  <c r="G28" i="2"/>
  <c r="H28" i="2" s="1"/>
  <c r="I28" i="2"/>
  <c r="G29" i="2"/>
  <c r="H29" i="2" s="1"/>
  <c r="I29" i="2"/>
  <c r="G30" i="2"/>
  <c r="H30" i="2" s="1"/>
  <c r="I30" i="2"/>
  <c r="G31" i="2"/>
  <c r="H31" i="2" s="1"/>
  <c r="I31" i="2"/>
  <c r="G32" i="2"/>
  <c r="H32" i="2" s="1"/>
  <c r="I32" i="2"/>
  <c r="G33" i="2"/>
  <c r="H33" i="2" s="1"/>
  <c r="I33" i="2"/>
  <c r="G34" i="2"/>
  <c r="H34" i="2" s="1"/>
  <c r="I34" i="2"/>
  <c r="G35" i="2"/>
  <c r="H35" i="2" s="1"/>
  <c r="I35" i="2"/>
  <c r="I36" i="2"/>
  <c r="G37" i="2"/>
  <c r="H37" i="2" s="1"/>
  <c r="I37" i="2"/>
  <c r="G38" i="2"/>
  <c r="H38" i="2" s="1"/>
  <c r="I38" i="2"/>
  <c r="G39" i="2"/>
  <c r="H39" i="2" s="1"/>
  <c r="I39" i="2"/>
  <c r="G40" i="2"/>
  <c r="H40" i="2" s="1"/>
  <c r="I40" i="2"/>
  <c r="G41" i="2"/>
  <c r="H41" i="2" s="1"/>
  <c r="I41" i="2"/>
  <c r="G42" i="2"/>
  <c r="H42" i="2" s="1"/>
  <c r="I42" i="2"/>
  <c r="I43" i="2"/>
  <c r="G44" i="2"/>
  <c r="H44" i="2" s="1"/>
  <c r="I44" i="2"/>
  <c r="G45" i="2"/>
  <c r="H45" i="2" s="1"/>
  <c r="I45" i="2"/>
  <c r="G46" i="2"/>
  <c r="H46" i="2" s="1"/>
  <c r="I46" i="2"/>
  <c r="G47" i="2"/>
  <c r="H47" i="2" s="1"/>
  <c r="I47" i="2"/>
  <c r="G48" i="2"/>
  <c r="H48" i="2" s="1"/>
  <c r="I48" i="2"/>
  <c r="G49" i="2"/>
  <c r="H49" i="2" s="1"/>
  <c r="I49" i="2"/>
  <c r="G50" i="2"/>
  <c r="H50" i="2" s="1"/>
  <c r="I50" i="2"/>
  <c r="G51" i="2"/>
  <c r="H51" i="2" s="1"/>
  <c r="I51" i="2"/>
  <c r="G52" i="2"/>
  <c r="H52" i="2" s="1"/>
  <c r="I52" i="2"/>
  <c r="G53" i="2"/>
  <c r="H53" i="2" s="1"/>
  <c r="I53" i="2"/>
  <c r="G54" i="2"/>
  <c r="H54" i="2" s="1"/>
  <c r="I54" i="2"/>
  <c r="G55" i="2"/>
  <c r="H55" i="2" s="1"/>
  <c r="I55" i="2"/>
  <c r="G56" i="2"/>
  <c r="H56" i="2" s="1"/>
  <c r="I56" i="2"/>
  <c r="G57" i="2"/>
  <c r="H57" i="2" s="1"/>
  <c r="I57" i="2"/>
  <c r="G58" i="2"/>
  <c r="H58" i="2" s="1"/>
  <c r="I58" i="2"/>
  <c r="G59" i="2"/>
  <c r="H59" i="2" s="1"/>
  <c r="I59" i="2"/>
  <c r="G60" i="2"/>
  <c r="H60" i="2" s="1"/>
  <c r="I60" i="2"/>
  <c r="G61" i="2"/>
  <c r="H61" i="2" s="1"/>
  <c r="I61" i="2"/>
  <c r="G62" i="2"/>
  <c r="H62" i="2" s="1"/>
  <c r="I62" i="2"/>
  <c r="G63" i="2"/>
  <c r="H63" i="2" s="1"/>
  <c r="I63" i="2"/>
  <c r="I64" i="2"/>
  <c r="G65" i="2"/>
  <c r="H65" i="2" s="1"/>
  <c r="I65" i="2"/>
  <c r="G66" i="2"/>
  <c r="H66" i="2" s="1"/>
  <c r="I66" i="2"/>
  <c r="N66" i="2" s="1"/>
  <c r="G67" i="2"/>
  <c r="H67" i="2" s="1"/>
  <c r="I67" i="2"/>
  <c r="I68" i="2"/>
  <c r="G69" i="2"/>
  <c r="H69" i="2" s="1"/>
  <c r="I69" i="2"/>
  <c r="G70" i="2"/>
  <c r="H70" i="2" s="1"/>
  <c r="I70" i="2"/>
  <c r="G71" i="2"/>
  <c r="H71" i="2" s="1"/>
  <c r="I71" i="2"/>
  <c r="G72" i="2"/>
  <c r="H72" i="2" s="1"/>
  <c r="I72" i="2"/>
  <c r="G73" i="2"/>
  <c r="H73" i="2" s="1"/>
  <c r="I73" i="2"/>
  <c r="G74" i="2"/>
  <c r="H74" i="2" s="1"/>
  <c r="I74" i="2"/>
  <c r="G75" i="2"/>
  <c r="H75" i="2" s="1"/>
  <c r="I75" i="2"/>
  <c r="G76" i="2"/>
  <c r="H76" i="2" s="1"/>
  <c r="I76" i="2"/>
  <c r="G77" i="2"/>
  <c r="H77" i="2" s="1"/>
  <c r="I77" i="2"/>
  <c r="G78" i="2"/>
  <c r="H78" i="2" s="1"/>
  <c r="I78" i="2"/>
  <c r="G79" i="2"/>
  <c r="H79" i="2" s="1"/>
  <c r="I79" i="2"/>
  <c r="G80" i="2"/>
  <c r="H80" i="2" s="1"/>
  <c r="I80" i="2"/>
  <c r="G81" i="2"/>
  <c r="H81" i="2" s="1"/>
  <c r="I81" i="2"/>
  <c r="G82" i="2"/>
  <c r="H82" i="2" s="1"/>
  <c r="I82" i="2"/>
  <c r="G83" i="2"/>
  <c r="H83" i="2" s="1"/>
  <c r="I83" i="2"/>
  <c r="G84" i="2"/>
  <c r="H84" i="2" s="1"/>
  <c r="I84" i="2"/>
  <c r="G85" i="2"/>
  <c r="H85" i="2" s="1"/>
  <c r="I85" i="2"/>
  <c r="G86" i="2"/>
  <c r="H86" i="2" s="1"/>
  <c r="I86" i="2"/>
  <c r="G87" i="2"/>
  <c r="H87" i="2" s="1"/>
  <c r="I87" i="2"/>
  <c r="G88" i="2"/>
  <c r="H88" i="2" s="1"/>
  <c r="I88" i="2"/>
  <c r="G89" i="2"/>
  <c r="H89" i="2" s="1"/>
  <c r="I89" i="2"/>
  <c r="G90" i="2"/>
  <c r="H90" i="2" s="1"/>
  <c r="I90" i="2"/>
  <c r="G91" i="2"/>
  <c r="H91" i="2" s="1"/>
  <c r="I91" i="2"/>
  <c r="G92" i="2"/>
  <c r="H92" i="2" s="1"/>
  <c r="I92" i="2"/>
  <c r="I93" i="2"/>
  <c r="G94" i="2"/>
  <c r="H94" i="2" s="1"/>
  <c r="I94" i="2"/>
  <c r="G95" i="2"/>
  <c r="H95" i="2" s="1"/>
  <c r="I95" i="2"/>
  <c r="I96" i="2"/>
  <c r="H97" i="2"/>
  <c r="I97" i="2"/>
  <c r="G98" i="2"/>
  <c r="H98" i="2" s="1"/>
  <c r="I98" i="2"/>
  <c r="G99" i="2"/>
  <c r="H99" i="2" s="1"/>
  <c r="I99" i="2"/>
  <c r="I100" i="2"/>
  <c r="G101" i="2"/>
  <c r="H101" i="2" s="1"/>
  <c r="I101" i="2"/>
  <c r="G102" i="2"/>
  <c r="H102" i="2" s="1"/>
  <c r="I102" i="2"/>
  <c r="G103" i="2"/>
  <c r="H103" i="2" s="1"/>
  <c r="I103" i="2"/>
  <c r="G104" i="2"/>
  <c r="H104" i="2" s="1"/>
  <c r="I104" i="2"/>
  <c r="G105" i="2"/>
  <c r="H105" i="2" s="1"/>
  <c r="I105" i="2"/>
  <c r="G106" i="2"/>
  <c r="H106" i="2" s="1"/>
  <c r="I106" i="2"/>
  <c r="G107" i="2"/>
  <c r="H107" i="2" s="1"/>
  <c r="I107" i="2"/>
  <c r="G108" i="2"/>
  <c r="H108" i="2" s="1"/>
  <c r="I108" i="2"/>
  <c r="G109" i="2"/>
  <c r="H109" i="2" s="1"/>
  <c r="I109" i="2"/>
  <c r="I110" i="2"/>
  <c r="G111" i="2"/>
  <c r="H111" i="2" s="1"/>
  <c r="I111" i="2"/>
  <c r="G112" i="2"/>
  <c r="H112" i="2" s="1"/>
  <c r="I112" i="2"/>
  <c r="G113" i="2"/>
  <c r="H113" i="2" s="1"/>
  <c r="I113" i="2"/>
  <c r="G114" i="2"/>
  <c r="H114" i="2" s="1"/>
  <c r="I114" i="2"/>
  <c r="G115" i="2"/>
  <c r="H115" i="2" s="1"/>
  <c r="I115" i="2"/>
  <c r="G116" i="2"/>
  <c r="H116" i="2" s="1"/>
  <c r="I116" i="2"/>
  <c r="G117" i="2"/>
  <c r="H117" i="2" s="1"/>
  <c r="I117" i="2"/>
  <c r="G118" i="2"/>
  <c r="H118" i="2" s="1"/>
  <c r="I118" i="2"/>
  <c r="G119" i="2"/>
  <c r="H119" i="2" s="1"/>
  <c r="I119" i="2"/>
  <c r="G120" i="2"/>
  <c r="H120" i="2" s="1"/>
  <c r="I120" i="2"/>
  <c r="G121" i="2"/>
  <c r="H121" i="2" s="1"/>
  <c r="I121" i="2"/>
  <c r="I122" i="2"/>
  <c r="G123" i="2"/>
  <c r="H123" i="2" s="1"/>
  <c r="I123" i="2"/>
  <c r="I124" i="2"/>
  <c r="G125" i="2"/>
  <c r="H125" i="2" s="1"/>
  <c r="I125" i="2"/>
  <c r="G126" i="2"/>
  <c r="H126" i="2" s="1"/>
  <c r="I126" i="2"/>
  <c r="G127" i="2"/>
  <c r="H127" i="2" s="1"/>
  <c r="I127" i="2"/>
  <c r="G128" i="2"/>
  <c r="H128" i="2" s="1"/>
  <c r="I128" i="2"/>
  <c r="G129" i="2"/>
  <c r="H129" i="2" s="1"/>
  <c r="I129" i="2"/>
  <c r="G130" i="2"/>
  <c r="H130" i="2" s="1"/>
  <c r="I130" i="2"/>
  <c r="G131" i="2"/>
  <c r="H131" i="2" s="1"/>
  <c r="I131" i="2"/>
  <c r="G132" i="2"/>
  <c r="H132" i="2" s="1"/>
  <c r="I132" i="2"/>
  <c r="G133" i="2"/>
  <c r="H133" i="2" s="1"/>
  <c r="I133" i="2"/>
  <c r="G134" i="2"/>
  <c r="H134" i="2" s="1"/>
  <c r="I134" i="2"/>
  <c r="G135" i="2"/>
  <c r="H135" i="2" s="1"/>
  <c r="I135" i="2"/>
  <c r="G136" i="2"/>
  <c r="H136" i="2" s="1"/>
  <c r="I136" i="2"/>
  <c r="I137" i="2"/>
  <c r="I138" i="2"/>
  <c r="G138" i="2"/>
  <c r="H138" i="2" s="1"/>
  <c r="I139" i="2"/>
  <c r="G140" i="2"/>
  <c r="H140" i="2" s="1"/>
  <c r="I140" i="2"/>
  <c r="I141" i="2"/>
  <c r="G142" i="2"/>
  <c r="H142" i="2" s="1"/>
  <c r="I142" i="2"/>
  <c r="G143" i="2"/>
  <c r="H143" i="2" s="1"/>
  <c r="I143" i="2"/>
  <c r="G148" i="2"/>
  <c r="H148" i="2" s="1"/>
  <c r="I148" i="2"/>
  <c r="I150" i="2"/>
  <c r="G151" i="2"/>
  <c r="H151" i="2" s="1"/>
  <c r="I151" i="2"/>
  <c r="I152" i="2"/>
  <c r="G153" i="2"/>
  <c r="H153" i="2" s="1"/>
  <c r="I153" i="2"/>
  <c r="G154" i="2"/>
  <c r="H154" i="2" s="1"/>
  <c r="I154" i="2"/>
  <c r="G155" i="2"/>
  <c r="H155" i="2" s="1"/>
  <c r="I155" i="2"/>
  <c r="I156" i="2"/>
  <c r="B154" i="1"/>
  <c r="E34" i="1"/>
  <c r="E122" i="1"/>
  <c r="B157" i="1" s="1"/>
  <c r="A34" i="1"/>
  <c r="A35" i="1" s="1"/>
  <c r="B137" i="1"/>
  <c r="R37" i="2"/>
  <c r="R146" i="2"/>
  <c r="R147" i="2"/>
  <c r="R148" i="2"/>
  <c r="R150" i="2"/>
  <c r="R151" i="2"/>
  <c r="R152" i="2"/>
  <c r="R153" i="2"/>
  <c r="R154" i="2"/>
  <c r="R155" i="2"/>
  <c r="R156" i="2"/>
  <c r="R157" i="2"/>
  <c r="I157" i="2"/>
  <c r="G157" i="2"/>
  <c r="H157" i="2" s="1"/>
  <c r="B72" i="2"/>
  <c r="D160" i="2"/>
  <c r="B6" i="2"/>
  <c r="E35" i="1" l="1"/>
  <c r="N13" i="2"/>
  <c r="N20" i="2"/>
  <c r="N148" i="2"/>
  <c r="O160" i="2"/>
  <c r="N17" i="2"/>
  <c r="B73" i="2"/>
  <c r="S72" i="2"/>
  <c r="B7" i="2"/>
  <c r="S6" i="2"/>
  <c r="G17" i="2"/>
  <c r="H17" i="2" s="1"/>
  <c r="G122" i="2"/>
  <c r="H122" i="2" s="1"/>
  <c r="G139" i="2"/>
  <c r="H139" i="2" s="1"/>
  <c r="N55" i="2"/>
  <c r="N72" i="2"/>
  <c r="N60" i="2"/>
  <c r="K160" i="2"/>
  <c r="N52" i="2"/>
  <c r="L160" i="2"/>
  <c r="G152" i="2"/>
  <c r="H152" i="2" s="1"/>
  <c r="G124" i="2"/>
  <c r="H124" i="2" s="1"/>
  <c r="G36" i="2"/>
  <c r="H36" i="2" s="1"/>
  <c r="G156" i="2"/>
  <c r="H156" i="2" s="1"/>
  <c r="G150" i="2"/>
  <c r="H150" i="2" s="1"/>
  <c r="B155" i="1"/>
  <c r="R73" i="2"/>
  <c r="R72" i="2"/>
  <c r="R6" i="2"/>
  <c r="B8" i="2" l="1"/>
  <c r="S7" i="2"/>
  <c r="R7" i="2"/>
  <c r="B74" i="2"/>
  <c r="S73" i="2"/>
  <c r="N160" i="2"/>
  <c r="B75" i="2" l="1"/>
  <c r="S74" i="2"/>
  <c r="R74" i="2"/>
  <c r="B9" i="2"/>
  <c r="S8" i="2"/>
  <c r="R8" i="2"/>
  <c r="M160" i="2"/>
  <c r="B145" i="1"/>
  <c r="B10" i="2" l="1"/>
  <c r="S9" i="2"/>
  <c r="R9" i="2"/>
  <c r="B76" i="2"/>
  <c r="S75" i="2"/>
  <c r="R75" i="2"/>
  <c r="P148" i="2"/>
  <c r="P151" i="2"/>
  <c r="P150" i="2"/>
  <c r="P152" i="2"/>
  <c r="P153" i="2"/>
  <c r="P154" i="2"/>
  <c r="P156" i="2"/>
  <c r="P155" i="2"/>
  <c r="P157" i="2"/>
  <c r="B77" i="2" l="1"/>
  <c r="S76" i="2"/>
  <c r="R76" i="2"/>
  <c r="P76" i="2" s="1"/>
  <c r="B11" i="2"/>
  <c r="S10" i="2"/>
  <c r="R10" i="2"/>
  <c r="P10" i="2" s="1"/>
  <c r="P6" i="2"/>
  <c r="P7" i="2"/>
  <c r="P37" i="2"/>
  <c r="P74" i="2"/>
  <c r="P9" i="2"/>
  <c r="P72" i="2"/>
  <c r="P8" i="2"/>
  <c r="P75" i="2"/>
  <c r="P73"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5" i="2"/>
  <c r="P5" i="2" s="1"/>
  <c r="B12" i="2" l="1"/>
  <c r="S11" i="2"/>
  <c r="R11" i="2"/>
  <c r="P11" i="2" s="1"/>
  <c r="B78" i="2"/>
  <c r="S77" i="2"/>
  <c r="R77" i="2"/>
  <c r="P77" i="2" s="1"/>
  <c r="P48" i="2"/>
  <c r="B79" i="2" l="1"/>
  <c r="S78" i="2"/>
  <c r="R78" i="2"/>
  <c r="P78" i="2" s="1"/>
  <c r="B13" i="2"/>
  <c r="S12" i="2"/>
  <c r="R12" i="2"/>
  <c r="P12" i="2" s="1"/>
  <c r="B144" i="1"/>
  <c r="E160" i="2"/>
  <c r="B14" i="2" l="1"/>
  <c r="S13" i="2"/>
  <c r="R13" i="2"/>
  <c r="P13" i="2" s="1"/>
  <c r="B80" i="2"/>
  <c r="S79" i="2"/>
  <c r="R79" i="2"/>
  <c r="P79" i="2" s="1"/>
  <c r="P47" i="2"/>
  <c r="P42" i="2"/>
  <c r="P59" i="2"/>
  <c r="P55" i="2"/>
  <c r="P50" i="2"/>
  <c r="P45" i="2"/>
  <c r="P41" i="2"/>
  <c r="P43" i="2"/>
  <c r="P39" i="2"/>
  <c r="P46" i="2"/>
  <c r="P38" i="2"/>
  <c r="P71" i="2"/>
  <c r="P62" i="2"/>
  <c r="P49" i="2"/>
  <c r="P44" i="2"/>
  <c r="P40" i="2"/>
  <c r="B136" i="1"/>
  <c r="G160" i="2"/>
  <c r="P67" i="2"/>
  <c r="P68" i="2"/>
  <c r="P70" i="2"/>
  <c r="P69" i="2"/>
  <c r="P54" i="2"/>
  <c r="P65" i="2"/>
  <c r="P61" i="2"/>
  <c r="P57" i="2"/>
  <c r="P53" i="2"/>
  <c r="P58" i="2"/>
  <c r="P64" i="2"/>
  <c r="P60" i="2"/>
  <c r="P56" i="2"/>
  <c r="P52" i="2"/>
  <c r="P66" i="2"/>
  <c r="P63" i="2"/>
  <c r="P51" i="2"/>
  <c r="I160" i="2"/>
  <c r="B81" i="2" l="1"/>
  <c r="S80" i="2"/>
  <c r="R80" i="2"/>
  <c r="P80" i="2" s="1"/>
  <c r="B15" i="2"/>
  <c r="S14" i="2"/>
  <c r="R14" i="2"/>
  <c r="P14" i="2" s="1"/>
  <c r="B156" i="1"/>
  <c r="B158" i="1" s="1"/>
  <c r="B135" i="1"/>
  <c r="B138" i="1" s="1"/>
  <c r="J160" i="2"/>
  <c r="B16" i="2" l="1"/>
  <c r="S15" i="2"/>
  <c r="R15" i="2"/>
  <c r="P15" i="2" s="1"/>
  <c r="B82" i="2"/>
  <c r="S81" i="2"/>
  <c r="R81" i="2"/>
  <c r="P81" i="2" s="1"/>
  <c r="B83" i="2" l="1"/>
  <c r="S82" i="2"/>
  <c r="R82" i="2"/>
  <c r="P82" i="2" s="1"/>
  <c r="B17" i="2"/>
  <c r="S16" i="2"/>
  <c r="R16" i="2"/>
  <c r="P16" i="2" s="1"/>
  <c r="B18" i="2" l="1"/>
  <c r="S17" i="2"/>
  <c r="R17" i="2"/>
  <c r="P17" i="2" s="1"/>
  <c r="B84" i="2"/>
  <c r="S83" i="2"/>
  <c r="R83" i="2"/>
  <c r="P83" i="2" s="1"/>
  <c r="B19" i="2" l="1"/>
  <c r="S18" i="2"/>
  <c r="R18" i="2"/>
  <c r="P18" i="2" s="1"/>
  <c r="B85" i="2"/>
  <c r="S84" i="2"/>
  <c r="R84" i="2"/>
  <c r="P84" i="2" s="1"/>
  <c r="B86" i="2" l="1"/>
  <c r="S85" i="2"/>
  <c r="R85" i="2"/>
  <c r="P85" i="2" s="1"/>
  <c r="B20" i="2"/>
  <c r="S19" i="2"/>
  <c r="R19" i="2"/>
  <c r="P19" i="2" s="1"/>
  <c r="B21" i="2" l="1"/>
  <c r="S20" i="2"/>
  <c r="R20" i="2"/>
  <c r="P20" i="2" s="1"/>
  <c r="B87" i="2"/>
  <c r="S86" i="2"/>
  <c r="R86" i="2"/>
  <c r="P86" i="2" s="1"/>
  <c r="B88" i="2" l="1"/>
  <c r="S87" i="2"/>
  <c r="R87" i="2"/>
  <c r="P87" i="2" s="1"/>
  <c r="B22" i="2"/>
  <c r="S21" i="2"/>
  <c r="R21" i="2"/>
  <c r="P21" i="2" s="1"/>
  <c r="B23" i="2" l="1"/>
  <c r="S22" i="2"/>
  <c r="R22" i="2"/>
  <c r="P22" i="2" s="1"/>
  <c r="B89" i="2"/>
  <c r="S88" i="2"/>
  <c r="R88" i="2"/>
  <c r="P88" i="2" s="1"/>
  <c r="B90" i="2" l="1"/>
  <c r="S89" i="2"/>
  <c r="R89" i="2"/>
  <c r="P89" i="2" s="1"/>
  <c r="B24" i="2"/>
  <c r="S23" i="2"/>
  <c r="R23" i="2"/>
  <c r="P23" i="2" s="1"/>
  <c r="B25" i="2" l="1"/>
  <c r="S24" i="2"/>
  <c r="R24" i="2"/>
  <c r="P24" i="2" s="1"/>
  <c r="B91" i="2"/>
  <c r="S90" i="2"/>
  <c r="R90" i="2"/>
  <c r="P90" i="2" s="1"/>
  <c r="B26" i="2" l="1"/>
  <c r="S25" i="2"/>
  <c r="R25" i="2"/>
  <c r="P25" i="2" s="1"/>
  <c r="B92" i="2"/>
  <c r="S91" i="2"/>
  <c r="R91" i="2"/>
  <c r="P91" i="2" s="1"/>
  <c r="B93" i="2" l="1"/>
  <c r="S92" i="2"/>
  <c r="R92" i="2"/>
  <c r="P92" i="2" s="1"/>
  <c r="B27" i="2"/>
  <c r="S26" i="2"/>
  <c r="R26" i="2"/>
  <c r="P26" i="2" s="1"/>
  <c r="B28" i="2" l="1"/>
  <c r="S27" i="2"/>
  <c r="R27" i="2"/>
  <c r="P27" i="2" s="1"/>
  <c r="B94" i="2"/>
  <c r="S93" i="2"/>
  <c r="R93" i="2"/>
  <c r="P93" i="2" s="1"/>
  <c r="B95" i="2" l="1"/>
  <c r="S94" i="2"/>
  <c r="R94" i="2"/>
  <c r="P94" i="2" s="1"/>
  <c r="B29" i="2"/>
  <c r="S28" i="2"/>
  <c r="R28" i="2"/>
  <c r="P28" i="2" s="1"/>
  <c r="B30" i="2" l="1"/>
  <c r="S29" i="2"/>
  <c r="R29" i="2"/>
  <c r="P29" i="2" s="1"/>
  <c r="B96" i="2"/>
  <c r="S95" i="2"/>
  <c r="R95" i="2"/>
  <c r="P95" i="2" s="1"/>
  <c r="B97" i="2" l="1"/>
  <c r="S96" i="2"/>
  <c r="R96" i="2"/>
  <c r="P96" i="2" s="1"/>
  <c r="B31" i="2"/>
  <c r="S30" i="2"/>
  <c r="R30" i="2"/>
  <c r="P30" i="2" s="1"/>
  <c r="B32" i="2" l="1"/>
  <c r="S31" i="2"/>
  <c r="R31" i="2"/>
  <c r="P31" i="2" s="1"/>
  <c r="B98" i="2"/>
  <c r="S97" i="2"/>
  <c r="R97" i="2"/>
  <c r="P97" i="2" s="1"/>
  <c r="B99" i="2" l="1"/>
  <c r="S98" i="2"/>
  <c r="R98" i="2"/>
  <c r="P98" i="2" s="1"/>
  <c r="B33" i="2"/>
  <c r="S32" i="2"/>
  <c r="R32" i="2"/>
  <c r="P32" i="2" s="1"/>
  <c r="B34" i="2" l="1"/>
  <c r="S33" i="2"/>
  <c r="R33" i="2"/>
  <c r="P33" i="2" s="1"/>
  <c r="B100" i="2"/>
  <c r="S99" i="2"/>
  <c r="R99" i="2"/>
  <c r="P99" i="2" s="1"/>
  <c r="B101" i="2" l="1"/>
  <c r="S100" i="2"/>
  <c r="R100" i="2"/>
  <c r="P100" i="2" s="1"/>
  <c r="B35" i="2"/>
  <c r="S34" i="2"/>
  <c r="R34" i="2"/>
  <c r="P34" i="2" s="1"/>
  <c r="B36" i="2" l="1"/>
  <c r="S35" i="2"/>
  <c r="R35" i="2"/>
  <c r="P35" i="2" s="1"/>
  <c r="B102" i="2"/>
  <c r="S101" i="2"/>
  <c r="R101" i="2"/>
  <c r="P101" i="2" s="1"/>
  <c r="B103" i="2" l="1"/>
  <c r="S102" i="2"/>
  <c r="R102" i="2"/>
  <c r="P102" i="2" s="1"/>
  <c r="R36" i="2"/>
  <c r="P36" i="2" s="1"/>
  <c r="S36" i="2"/>
  <c r="B104" i="2" l="1"/>
  <c r="S103" i="2"/>
  <c r="R103" i="2"/>
  <c r="P103" i="2" s="1"/>
  <c r="B105" i="2" l="1"/>
  <c r="S104" i="2"/>
  <c r="R104" i="2"/>
  <c r="P104" i="2" s="1"/>
  <c r="B106" i="2" l="1"/>
  <c r="S105" i="2"/>
  <c r="R105" i="2"/>
  <c r="P105" i="2" s="1"/>
  <c r="B107" i="2" l="1"/>
  <c r="S106" i="2"/>
  <c r="R106" i="2"/>
  <c r="P106" i="2" s="1"/>
  <c r="B108" i="2" l="1"/>
  <c r="S107" i="2"/>
  <c r="R107" i="2"/>
  <c r="P107" i="2" s="1"/>
  <c r="B109" i="2" l="1"/>
  <c r="S108" i="2"/>
  <c r="R108" i="2"/>
  <c r="P108" i="2" s="1"/>
  <c r="B110" i="2" l="1"/>
  <c r="S109" i="2"/>
  <c r="R109" i="2"/>
  <c r="P109" i="2" s="1"/>
  <c r="B111" i="2" l="1"/>
  <c r="S110" i="2"/>
  <c r="R110" i="2"/>
  <c r="P110" i="2" s="1"/>
  <c r="B112" i="2" l="1"/>
  <c r="S111" i="2"/>
  <c r="R111" i="2"/>
  <c r="P111" i="2" s="1"/>
  <c r="B113" i="2" l="1"/>
  <c r="S112" i="2"/>
  <c r="R112" i="2"/>
  <c r="P112" i="2" s="1"/>
  <c r="B114" i="2" l="1"/>
  <c r="S113" i="2"/>
  <c r="R113" i="2"/>
  <c r="P113" i="2" s="1"/>
  <c r="B115" i="2" l="1"/>
  <c r="S114" i="2"/>
  <c r="R114" i="2"/>
  <c r="P114" i="2" s="1"/>
  <c r="B116" i="2" l="1"/>
  <c r="S115" i="2"/>
  <c r="R115" i="2"/>
  <c r="P115" i="2" s="1"/>
  <c r="B117" i="2" l="1"/>
  <c r="S116" i="2"/>
  <c r="R116" i="2"/>
  <c r="P116" i="2" s="1"/>
  <c r="B118" i="2" l="1"/>
  <c r="S117" i="2"/>
  <c r="R117" i="2"/>
  <c r="P117" i="2" s="1"/>
  <c r="B119" i="2" l="1"/>
  <c r="S118" i="2"/>
  <c r="R118" i="2"/>
  <c r="P118" i="2" s="1"/>
  <c r="B120" i="2" l="1"/>
  <c r="S119" i="2"/>
  <c r="R119" i="2"/>
  <c r="P119" i="2" s="1"/>
  <c r="B121" i="2" l="1"/>
  <c r="S120" i="2"/>
  <c r="R120" i="2"/>
  <c r="P120" i="2" s="1"/>
  <c r="B122" i="2" l="1"/>
  <c r="S121" i="2"/>
  <c r="R121" i="2"/>
  <c r="P121" i="2" s="1"/>
  <c r="B123" i="2" l="1"/>
  <c r="S122" i="2"/>
  <c r="R122" i="2"/>
  <c r="P122" i="2" s="1"/>
  <c r="B124" i="2" l="1"/>
  <c r="S123" i="2"/>
  <c r="R123" i="2"/>
  <c r="P123" i="2" s="1"/>
  <c r="B125" i="2" l="1"/>
  <c r="S124" i="2"/>
  <c r="R124" i="2"/>
  <c r="P124" i="2" s="1"/>
  <c r="B126" i="2" l="1"/>
  <c r="S125" i="2"/>
  <c r="R125" i="2"/>
  <c r="P125" i="2" s="1"/>
  <c r="B127" i="2" l="1"/>
  <c r="S126" i="2"/>
  <c r="R126" i="2"/>
  <c r="P126" i="2" s="1"/>
  <c r="B128" i="2" l="1"/>
  <c r="S127" i="2"/>
  <c r="R127" i="2"/>
  <c r="P127" i="2" s="1"/>
  <c r="B129" i="2" l="1"/>
  <c r="S128" i="2"/>
  <c r="R128" i="2"/>
  <c r="P128" i="2" s="1"/>
  <c r="B130" i="2" l="1"/>
  <c r="S129" i="2"/>
  <c r="R129" i="2"/>
  <c r="P129" i="2" s="1"/>
  <c r="B131" i="2" l="1"/>
  <c r="S130" i="2"/>
  <c r="R130" i="2"/>
  <c r="P130" i="2" s="1"/>
  <c r="B132" i="2" l="1"/>
  <c r="S131" i="2"/>
  <c r="R131" i="2"/>
  <c r="P131" i="2" s="1"/>
  <c r="B133" i="2" l="1"/>
  <c r="S132" i="2"/>
  <c r="R132" i="2"/>
  <c r="P132" i="2" s="1"/>
  <c r="B134" i="2" l="1"/>
  <c r="S133" i="2"/>
  <c r="R133" i="2"/>
  <c r="P133" i="2" s="1"/>
  <c r="B135" i="2" l="1"/>
  <c r="S134" i="2"/>
  <c r="R134" i="2"/>
  <c r="P134" i="2" s="1"/>
  <c r="B136" i="2" l="1"/>
  <c r="S135" i="2"/>
  <c r="R135" i="2"/>
  <c r="P135" i="2" s="1"/>
  <c r="B137" i="2" l="1"/>
  <c r="S136" i="2"/>
  <c r="R136" i="2"/>
  <c r="P136" i="2" s="1"/>
  <c r="B138" i="2" l="1"/>
  <c r="S137" i="2"/>
  <c r="R137" i="2"/>
  <c r="P137" i="2" s="1"/>
  <c r="B139" i="2" l="1"/>
  <c r="S138" i="2"/>
  <c r="R138" i="2"/>
  <c r="P138" i="2" s="1"/>
  <c r="B140" i="2" l="1"/>
  <c r="S139" i="2"/>
  <c r="R139" i="2"/>
  <c r="P139" i="2" s="1"/>
  <c r="B141" i="2" l="1"/>
  <c r="S140" i="2"/>
  <c r="R140" i="2"/>
  <c r="P140" i="2" s="1"/>
  <c r="B142" i="2" l="1"/>
  <c r="S141" i="2"/>
  <c r="R141" i="2"/>
  <c r="P141" i="2" s="1"/>
  <c r="B143" i="2" l="1"/>
  <c r="S142" i="2"/>
  <c r="R142" i="2"/>
  <c r="P142" i="2" s="1"/>
  <c r="B144" i="2" l="1"/>
  <c r="S143" i="2"/>
  <c r="R143" i="2"/>
  <c r="P143" i="2" s="1"/>
  <c r="P160" i="2" s="1"/>
  <c r="B145" i="2" l="1"/>
  <c r="S144" i="2"/>
  <c r="R144" i="2"/>
  <c r="R145" i="2" l="1"/>
  <c r="S145" i="2"/>
</calcChain>
</file>

<file path=xl/sharedStrings.xml><?xml version="1.0" encoding="utf-8"?>
<sst xmlns="http://schemas.openxmlformats.org/spreadsheetml/2006/main" count="845" uniqueCount="488">
  <si>
    <t>Dpto.</t>
  </si>
  <si>
    <t>UF</t>
  </si>
  <si>
    <t>Propietario</t>
  </si>
  <si>
    <t xml:space="preserve">Ingreso </t>
  </si>
  <si>
    <t>TOTAL</t>
  </si>
  <si>
    <t>GASTOS ORDINARIOS UNIDADES FUNCIONALES:</t>
  </si>
  <si>
    <t xml:space="preserve"> (%)</t>
  </si>
  <si>
    <t>GASTOS BANCARIOS</t>
  </si>
  <si>
    <t xml:space="preserve">TOTAL ORDINARIOS </t>
  </si>
  <si>
    <t>ABONOS Y SERVICIOS</t>
  </si>
  <si>
    <t>Seracarh</t>
  </si>
  <si>
    <t>Fatheryh</t>
  </si>
  <si>
    <t>HONORARIOS</t>
  </si>
  <si>
    <t xml:space="preserve">TOTAL EXTRAORDINARIOS </t>
  </si>
  <si>
    <t>Egresos Ordinarios</t>
  </si>
  <si>
    <t>Expensas ord.</t>
  </si>
  <si>
    <t>Deuda o Saldo a favor</t>
  </si>
  <si>
    <t>DEPOSITOS NO IDENTIFICADOS</t>
  </si>
  <si>
    <t>HABERES ENCARGADOS</t>
  </si>
  <si>
    <t>Neto</t>
  </si>
  <si>
    <t>Suther</t>
  </si>
  <si>
    <t>GASTOS EXTRAORDINARIOS:</t>
  </si>
  <si>
    <t>Gastos banacarios</t>
  </si>
  <si>
    <t>Mantenimiento de cuenta</t>
  </si>
  <si>
    <t>Lettieri, Miguel Angel</t>
  </si>
  <si>
    <t>Basile, Santiago</t>
  </si>
  <si>
    <t>Garcia, Stella Maris</t>
  </si>
  <si>
    <t>Tamburrino, Javier</t>
  </si>
  <si>
    <t>Marquez, Florencia</t>
  </si>
  <si>
    <t>Olmedo, Alberto</t>
  </si>
  <si>
    <t>Troppelli, R. / Segura, J.</t>
  </si>
  <si>
    <t>Ferraris, Sergio</t>
  </si>
  <si>
    <t>Schunk, Andrea</t>
  </si>
  <si>
    <t>Arrom, Tamara</t>
  </si>
  <si>
    <t>ADVC SRL.</t>
  </si>
  <si>
    <t>De Lucas, S.</t>
  </si>
  <si>
    <t>Zacharias, Valeria</t>
  </si>
  <si>
    <t>De Nardi, Mario</t>
  </si>
  <si>
    <t>Oniszczuk, Sebastian</t>
  </si>
  <si>
    <t>Gomez, Jose Luis</t>
  </si>
  <si>
    <t>Carcioni, Jose</t>
  </si>
  <si>
    <t>Oniszczuk, Esteban</t>
  </si>
  <si>
    <t>Dominguez, Javier</t>
  </si>
  <si>
    <t>Calviño, Eduardo</t>
  </si>
  <si>
    <t>Cejas, Nicolas</t>
  </si>
  <si>
    <t>De Nardi, Karina</t>
  </si>
  <si>
    <t>Montero, Pablo</t>
  </si>
  <si>
    <t>Gariotto, Salvador</t>
  </si>
  <si>
    <t>Aducci, Marcelo</t>
  </si>
  <si>
    <t>Petrucchi, Hernan</t>
  </si>
  <si>
    <t>Rosi, Martin</t>
  </si>
  <si>
    <t>Bernardez, M. / Giordano, J.</t>
  </si>
  <si>
    <t>Giordano, Juan Pablo</t>
  </si>
  <si>
    <t>Di Biase, Diego</t>
  </si>
  <si>
    <t>Acosta, Claudio</t>
  </si>
  <si>
    <t>Caiz, Ariel</t>
  </si>
  <si>
    <t>Tortorisi, Antonio</t>
  </si>
  <si>
    <t>Olivero, Marcelo</t>
  </si>
  <si>
    <t>Papa, V. / Sotelo, E.</t>
  </si>
  <si>
    <t>Lopez Zevallo, Martin</t>
  </si>
  <si>
    <t>Gaspari, Federico</t>
  </si>
  <si>
    <t>Gutierrez, Maria Soledad</t>
  </si>
  <si>
    <t>Giallonardo, Ariel</t>
  </si>
  <si>
    <t>Orso, Graciela</t>
  </si>
  <si>
    <t>Topino, Maximiliano</t>
  </si>
  <si>
    <t>Pucci, C. / Celeiro, N.</t>
  </si>
  <si>
    <t>Varoli, Elina</t>
  </si>
  <si>
    <t>Picciuolo, Nicolas</t>
  </si>
  <si>
    <t>de la Calle, Miguel Angel</t>
  </si>
  <si>
    <t>Carrasco, Mariela</t>
  </si>
  <si>
    <t>Ruiz, Sebastian</t>
  </si>
  <si>
    <t>Itoiz, Juan Pablo</t>
  </si>
  <si>
    <t>Carderi, Damian</t>
  </si>
  <si>
    <t>Didio Bonasera, Gaston</t>
  </si>
  <si>
    <t>Korin, Alejandro</t>
  </si>
  <si>
    <t>Desantis, Julieta</t>
  </si>
  <si>
    <t>Dimunzio Ayaso, Ivana</t>
  </si>
  <si>
    <t>Kanhan, Carlos</t>
  </si>
  <si>
    <t>Rudi, Marcela</t>
  </si>
  <si>
    <t>Molina, Leonardo</t>
  </si>
  <si>
    <t>Sallaberry, Pablo</t>
  </si>
  <si>
    <t>Varela, E. / De Caria, S.</t>
  </si>
  <si>
    <t>Carnevale, Yesica</t>
  </si>
  <si>
    <t>Espinola, Leandro</t>
  </si>
  <si>
    <t>Hecimovic, Mariano</t>
  </si>
  <si>
    <t>Moraschi, Luis</t>
  </si>
  <si>
    <t>Agüero, Paula</t>
  </si>
  <si>
    <t>Fayanas, Santiago</t>
  </si>
  <si>
    <t>Amenta, Cristian</t>
  </si>
  <si>
    <t>Mon, Fernando</t>
  </si>
  <si>
    <t>Strianese, Marcos</t>
  </si>
  <si>
    <t>Toniutti, Silvana</t>
  </si>
  <si>
    <t>Morante, Julian</t>
  </si>
  <si>
    <t>Pantografos Master SRL.</t>
  </si>
  <si>
    <t>Gimenez, Martin</t>
  </si>
  <si>
    <t>Soto Hinojosa, Porfirio</t>
  </si>
  <si>
    <t>Mozzi, German</t>
  </si>
  <si>
    <t>De Nardi, Maria Rosa</t>
  </si>
  <si>
    <t>Castro, Alejandra</t>
  </si>
  <si>
    <t>Tapia, Sergio</t>
  </si>
  <si>
    <t>Albornoz, M. / Rodriguez, G.</t>
  </si>
  <si>
    <t>Repetto, Mariano</t>
  </si>
  <si>
    <t>Escudero, Ignacio</t>
  </si>
  <si>
    <t>Shunk, Dora</t>
  </si>
  <si>
    <t>Gutierrez, Nicolas</t>
  </si>
  <si>
    <t>Fino, Claudia</t>
  </si>
  <si>
    <t>Manzo, Dominguez</t>
  </si>
  <si>
    <t>Perri, Antonio</t>
  </si>
  <si>
    <t>Rosemberg, Alejandro</t>
  </si>
  <si>
    <t>Antunez, Mariano</t>
  </si>
  <si>
    <t>Ricciardo, M. / Leibson, G.</t>
  </si>
  <si>
    <t>Rodriguez, Cristian</t>
  </si>
  <si>
    <t>de Llano, Carolina</t>
  </si>
  <si>
    <t>Dombrosqui, Hector</t>
  </si>
  <si>
    <t>Vicini, Laura</t>
  </si>
  <si>
    <t>Perfumo, Daniel</t>
  </si>
  <si>
    <t>Santangelo, Hernan</t>
  </si>
  <si>
    <t>Rodoni, Sergio</t>
  </si>
  <si>
    <t>Maurino, Jorge Manuel</t>
  </si>
  <si>
    <t>Notarfrancesco, Gerado</t>
  </si>
  <si>
    <t>Blazquez, Sebastian</t>
  </si>
  <si>
    <t>Tosi, Gaston</t>
  </si>
  <si>
    <t>Santoro, Carlos</t>
  </si>
  <si>
    <t>Santangelo, Juan Ignacio</t>
  </si>
  <si>
    <t>Ojeda, Favio</t>
  </si>
  <si>
    <t>Grossi, Cristian</t>
  </si>
  <si>
    <t>Pells Richard, Nicolas</t>
  </si>
  <si>
    <t>Artigue, Rolando</t>
  </si>
  <si>
    <t>Broglio, M. / Albretch, A.</t>
  </si>
  <si>
    <t>Valiña, Suzel</t>
  </si>
  <si>
    <t>Campello, G. / Indarte, M.</t>
  </si>
  <si>
    <t>Dinardo, Pablo</t>
  </si>
  <si>
    <t>Giordano, P. / Tosi, G.</t>
  </si>
  <si>
    <t>Celano, Martina</t>
  </si>
  <si>
    <t>Cabral, D. / Blanco, J.</t>
  </si>
  <si>
    <t>Rito, Nicolas</t>
  </si>
  <si>
    <t>Lettieri, Fernando</t>
  </si>
  <si>
    <t>Streger, Javier</t>
  </si>
  <si>
    <t>De Lourdes Lopez, Sandra</t>
  </si>
  <si>
    <t>Papa, O. / Biondi, B.</t>
  </si>
  <si>
    <t>Bidart, L. / Reggi, V.</t>
  </si>
  <si>
    <t>De Nardi, Yanina</t>
  </si>
  <si>
    <t>Romero, Pablo</t>
  </si>
  <si>
    <t>Arrom, Jonatan</t>
  </si>
  <si>
    <t>Lopez Osornio, Alejandro</t>
  </si>
  <si>
    <t>Carreras, Pablo</t>
  </si>
  <si>
    <t>Hernandez, Diego</t>
  </si>
  <si>
    <t>Arrieta, Martin</t>
  </si>
  <si>
    <t>Urbanfid</t>
  </si>
  <si>
    <t>Fondo de reserva</t>
  </si>
  <si>
    <t>TOTAL  SEGUROS</t>
  </si>
  <si>
    <t>TOTAL APORTES Y CONTRIBUCIONES</t>
  </si>
  <si>
    <t>TOTAL HONORARIOS</t>
  </si>
  <si>
    <t>TOTAL  GASTOS BANCARIOS</t>
  </si>
  <si>
    <t>SUMA DE GASTOS - ABONOS DE SERVICIOS</t>
  </si>
  <si>
    <t>Egresos abonos y servicios</t>
  </si>
  <si>
    <t>Titular: CONSORCIO DE PROPIETARIOS LAS BRISAS - ADROGUE - Santander Río - Cuenta Corriente Nº 221-007370/9</t>
  </si>
  <si>
    <t>CBU.: 0720221820000000737090 * ALIAS: MARTES.POLO.IDEAL</t>
  </si>
  <si>
    <t xml:space="preserve">MAIL: brisasdeadroguerc@gmail.com
</t>
  </si>
  <si>
    <t>CONSORCIO DE PROPIETARIOS LAS BRISAS - ADROGUE</t>
  </si>
  <si>
    <t>CELULAR:  +54 9 11 2640-1829</t>
  </si>
  <si>
    <t xml:space="preserve">ANOTACION </t>
  </si>
  <si>
    <t>FECHA DE LA ANOTACION:</t>
  </si>
  <si>
    <t>QUEJA VIA:</t>
  </si>
  <si>
    <t>WHATSAPP</t>
  </si>
  <si>
    <t>MAIL</t>
  </si>
  <si>
    <t>MOTIVO DE LA QUEJA:</t>
  </si>
  <si>
    <t>NOMBRE:</t>
  </si>
  <si>
    <t>LOTE:</t>
  </si>
  <si>
    <t>Reyes, Damian</t>
  </si>
  <si>
    <t>SEGUROS</t>
  </si>
  <si>
    <t>TOTAL SUELDOS</t>
  </si>
  <si>
    <t xml:space="preserve">Huenchupan, Alejandro </t>
  </si>
  <si>
    <t xml:space="preserve">Giordano, Juan Pablo </t>
  </si>
  <si>
    <t xml:space="preserve">Bernardez, Diego </t>
  </si>
  <si>
    <t xml:space="preserve">Arderiu, Marcelo </t>
  </si>
  <si>
    <t>Loray, Ana Laura</t>
  </si>
  <si>
    <t>CARGAS SOCIALES - APORTES Y CONTRIBUCIONES</t>
  </si>
  <si>
    <t>Allianz (Cuit.: 30--50003721-7) - Seguro Técnico - Póliza N° 240210705270; Vto.01/09/2025</t>
  </si>
  <si>
    <t>SEGURIDAD</t>
  </si>
  <si>
    <t>TOTAL GASTOS SEGURIDAD</t>
  </si>
  <si>
    <t>LIMPIEZA - MANTENIMIENTO DE ALUMBRADO</t>
  </si>
  <si>
    <t>TOTAL GASTOS LIMPIEZA Y MANTENIMIENTO DE ALUMBRADO</t>
  </si>
  <si>
    <t>GASTOS DE MANTENIMIENTO GENERAL</t>
  </si>
  <si>
    <t>TOTAL  GASTOS DE MANTENIMIENTO GENERAL</t>
  </si>
  <si>
    <t>GASTOS ORDINARIOS:</t>
  </si>
  <si>
    <t xml:space="preserve">Saldo  </t>
  </si>
  <si>
    <t>Compensacion expensas lote 140/141</t>
  </si>
  <si>
    <t>Canon de obra</t>
  </si>
  <si>
    <t>Gastos exclusivos de lotes (honorarios arquitecturas, intimaciones, etc)</t>
  </si>
  <si>
    <t xml:space="preserve">Pucheta, Cristian Oscar </t>
  </si>
  <si>
    <t>Egresos particulares</t>
  </si>
  <si>
    <t>GASTOS PARTICULARES:</t>
  </si>
  <si>
    <t xml:space="preserve">TOTAL PARTICULARES </t>
  </si>
  <si>
    <t>Flow (Cuit: 30-63945373-8) - Fc.05443741 (Servicio de WIFI 2025)</t>
  </si>
  <si>
    <t>Telecom (Cuit.: 30-63945373-8) - (Abono celular Intendencia)</t>
  </si>
  <si>
    <t>HUANG (CHINO)</t>
  </si>
  <si>
    <t>Imsael Matta</t>
  </si>
  <si>
    <t>Noemi</t>
  </si>
  <si>
    <t>Fattorini sergio</t>
  </si>
  <si>
    <t>ROSSI PATRICIA</t>
  </si>
  <si>
    <t>RECAUDACIONES Y PAGOS SA</t>
  </si>
  <si>
    <t>Luis Grecco Y Karina</t>
  </si>
  <si>
    <t>Flores javier roberto</t>
  </si>
  <si>
    <t>Nicolas Esteban Gutierrez</t>
  </si>
  <si>
    <t>Avicola lanus a nombre de Tamara en el mail</t>
  </si>
  <si>
    <t>avicola lanus a nombre de tamara en el mail</t>
  </si>
  <si>
    <t>Suavenol</t>
  </si>
  <si>
    <t>Santangelo - Deposita</t>
  </si>
  <si>
    <t>Deposita - Andrea Iglesias</t>
  </si>
  <si>
    <t>LBEG SERO SRL</t>
  </si>
  <si>
    <t>IGLE SA</t>
  </si>
  <si>
    <t>Pablo huerta</t>
  </si>
  <si>
    <t>Maria Ines Indarte</t>
  </si>
  <si>
    <t>Fernando Rivero</t>
  </si>
  <si>
    <t>Deposita MECANICA VANDEN BOSCH &lt;mecanicavandenbosch@gmail.com&gt;</t>
  </si>
  <si>
    <t xml:space="preserve">Lucila Martinez Rey </t>
  </si>
  <si>
    <t>Viviana Papa &lt;vivibpapa@gmail.com&gt;</t>
  </si>
  <si>
    <t>polypeirano@yahoo.com</t>
  </si>
  <si>
    <t>Deposita, Julieta De Santis &lt;julietadesan@gmail.com&gt;</t>
  </si>
  <si>
    <t>Patricia Sobol &lt;patriciasobol@hotmail.com&gt; - tambien tiene lote 1</t>
  </si>
  <si>
    <t>Patricia Sobol &lt;patriciasobol@hotmail.com&gt; - - tambien tiene lote 127</t>
  </si>
  <si>
    <t>vivibpapa@gmail.com - Viviana papa</t>
  </si>
  <si>
    <t xml:space="preserve">
Gaston Leibson &lt;gastonleibson@hotmail.com&gt;</t>
  </si>
  <si>
    <t>PAYMENTS GROUP SA</t>
  </si>
  <si>
    <t>mercedes arias &lt;mercedesarias2005@hotmail.com&gt;</t>
  </si>
  <si>
    <t>Velazco Velasco Gisela</t>
  </si>
  <si>
    <t>Grey Brick SA</t>
  </si>
  <si>
    <t>Calabro, Evangelina</t>
  </si>
  <si>
    <t>Lorena Mazzeo</t>
  </si>
  <si>
    <t>Guillermo rodriguez</t>
  </si>
  <si>
    <t>Ines / Jorge o Ayestaran Melanie que es la inquilina</t>
  </si>
  <si>
    <t>Andrea Juarez Cecilia</t>
  </si>
  <si>
    <t>Maria Laura Lopez</t>
  </si>
  <si>
    <t>Compensacion expensas lote 140 - 141:</t>
  </si>
  <si>
    <t>TOTAL GASTOS ORDINARIOS + ABONOS Y SERVICIOS</t>
  </si>
  <si>
    <t>FONDO SUPER AHORRO PLUS</t>
  </si>
  <si>
    <t>COMPENSACION EXP. LOTE 140/141</t>
  </si>
  <si>
    <t>Saldo anterior total</t>
  </si>
  <si>
    <t>Ingreso total</t>
  </si>
  <si>
    <t>Interes</t>
  </si>
  <si>
    <t>Total</t>
  </si>
  <si>
    <t xml:space="preserve">FECHA DE INICIO - 21/04/2025 </t>
  </si>
  <si>
    <t>CAJA EFECTIVO</t>
  </si>
  <si>
    <t>RESUMEN CAJA GENERAL</t>
  </si>
  <si>
    <t xml:space="preserve"> </t>
  </si>
  <si>
    <t>Santiago Roman Ramirez</t>
  </si>
  <si>
    <t>Ezequiel De la calle</t>
  </si>
  <si>
    <t>Maria Ximena Vizzini / P Sur Srl</t>
  </si>
  <si>
    <t>Ariel Sposito</t>
  </si>
  <si>
    <t>Deposito sin identificar - correspondientes a estas expensas</t>
  </si>
  <si>
    <t>ESTIMADOS: LES RECORDAMOS QUE ES OBLIGATORIO INFORMAR POR CORREO ELECTRÓNICO EL PAGO DE LAS EXPENSAS. APROVECHAMOS LA OCASIÓN PARA REITERAR UN PUNTO CLAVE QUE AYUDA A EVITAR ERRORES EN LA IMPUTACIÓN DE LOS PAGOS. EL SISTEMA QUE UTILIZAMOS ASIGNA CENTAVOS ÚNICOS A CADA UNIDAD FUNCIONAL (UF) O LOTE, LO QUE NOS PERMITE IDENTIFICAR AUTOMÁTICAMENTE A CUÁL CORRESPONDE CADA TRANSFERENCIA. ES DECIR, CADA UF/LOTE TIENE UN NÚMERO ESPECÍFICO DE CENTAVOS QUE FUNCIONA COMO IDENTIFICADOR. POR EJEMPLO, SI SU LOTE ES EL 45, EL IMPORTE A ABONAR DEBERÁ TERMINAR EN $...,45.
EN CASO DE TENER MÁS DE UN LOTE (POR EJEMPLO, EL 3 Y EL 78), CADA UNO TENDRÁ SU PROPIO CÓDIGO DE CENTAVOS. EN ESTOS CASOS, LES PEDIMOS QUE REALICEN UNA TRANSFERENCIA INDIVIDUAL POR CADA LOTE, RESPETANDO LOS IMPORTES CON SUS CENTAVOS CORRESPONDIENTES.
SABEMOS QUE, POR COMODIDAD, A VECES SE OPTA POR ENVIAR TODO EN UNA ÚNICA TRANSFERENCIA, PERO ESTO PUEDE GENERAR CONFUSIÓN O ERRORES EN LA ASIGNACIÓN AUTOMÁTICA. SEPARAR LOS PAGOS NOS PERMITE ASEGURAR QUE CADA UNO SE IMPUTE CORRECTAMENTE.
AGRADECEMOS MUCHÍSIMO SU COLABORACIÓN PARA SEGUIR MANTENIENDO EL ORDEN. MUCHAS GRACIAS.</t>
  </si>
  <si>
    <t>Balghera, Lucas</t>
  </si>
  <si>
    <t>Fernando Rivero y Mónica Cádiz</t>
  </si>
  <si>
    <t>Honorarios arquitectura - Srta. Burgos Oros Johanna Melanie - Fc. 00000085</t>
  </si>
  <si>
    <t>Edesur (Cuit.: 30-65511652-1) - Periodo liquidado 2do tramo bimestre 3 del 2025</t>
  </si>
  <si>
    <t>Potes Paula Vanesa</t>
  </si>
  <si>
    <t>Teresa Angelica Agustin - Emiliano Piergiovanni</t>
  </si>
  <si>
    <t>Gergoff Ninoff Milagros Florencia / Diego soto / Profirio Soto</t>
  </si>
  <si>
    <t xml:space="preserve"> de nardi paula andrea</t>
  </si>
  <si>
    <t>Cristian Colson</t>
  </si>
  <si>
    <t>Noelia Franccini</t>
  </si>
  <si>
    <t>CAROLINA GIACCHETTI carolinagiacchetti@hotmail.com / Maria alejandra Ceballos</t>
  </si>
  <si>
    <t>ConstruHap - Veronica Laura Maggiot</t>
  </si>
  <si>
    <t>Sergio Decaira / De caira</t>
  </si>
  <si>
    <t>maria jose de la nativ penaloza gonzalez</t>
  </si>
  <si>
    <t>Deposita, tambien paga el lote 18 - Santiago Jorge Claps</t>
  </si>
  <si>
    <t>Horacio oscar brescia - Estefania Tortorisi</t>
  </si>
  <si>
    <t>Gustavo Kearney &lt;gkearney@batt.com.ar&gt; - maranata perfumeria</t>
  </si>
  <si>
    <t>Daniela Cabral</t>
  </si>
  <si>
    <t>Gastos particulares / Multas / SUM</t>
  </si>
  <si>
    <t>Egresos extraordinarios</t>
  </si>
  <si>
    <t>LOTE</t>
  </si>
  <si>
    <t>ESTIMADOS: LES RECORDAMOS QUE ES OBLIGATORIO INFORMAR POR CORREO ELECTRÓNICO EL PAGO DE LAS EXPENSAS. APROVECHAMOS LA OCASIÓN PARA REITERAR UN PUNTO CLAVE QUE AYUDA A EVITAR ERRORES EN LA IMPUTACIÓN DE LOS PAGOS. EL SISTEMA QUE UTILIZAMOS ASIGNA CENTAVOS ÚNICOS A CADA UNIDAD FUNCIONAL (UF) O LOTE, LO QUE NOS PERMITE IDENTIFICAR AUTOMÁTICAMENTE A CUÁL CORRESPONDE CADA TRANSFERENCIA. ES DECIR, CADA UF/LOTE TIENE UN NÚMERO ESPECÍFICO DE CENTAVOS QUE FUNCIONA COMO IDENTIFICADOR. POR EJEMPLO, SI SU LOTE ES EL 45, EL IMPORTE A ABONAR DEBERÁ TERMINAR EN $...,45. EN CASO DE TENER MÁS DE UN LOTE (POR EJEMPLO, EL 3 Y EL 78), CADA UNO TENDRÁ SU PROPIO CÓDIGO DE CENTAVOS. EN ESTOS CASOS, LES PEDIMOS QUE REALICEN UNA TRANSFERENCIA INDIVIDUAL POR CADA LOTE, RESPETANDO LOS IMPORTES CON SUS CENTAVOS CORRESPONDIENTES. SABEMOS QUE, POR COMODIDAD, A VECES SE OPTA POR ENVIAR TODO EN UNA ÚNICA TRANSFERENCIA, PERO ESTO PUEDE GENERAR CONFUSIÓN O ERRORES EN LA ASIGNACIÓN AUTOMÁTICA. SEPARAR LOS PAGOS NOS PERMITE ASEGURAR QUE CADA UNO SE IMPUTE CORRECTAMENTE. A QUIENES, EN LA COLUMNA “DEUDA O SALDO A FAVOR”, LES FIGURE UN MONTO NEGATIVO, SIGNIFICA QUE, AL MOMENTO DEL CIERRE DE LAS EXPENSAS, POSEEN DINERO A SU FAVOR. ESTE SALDO SERÁ IMPUTADO EN LAS PRÓXIMAS LIQUIDACIONES, REDUCIENDO EL IMPORTE A ABONAR RESPECTO DE LO QUE CORRESPONDERÍA PAGAR EN CASO DE NO CONTAR CON ESTE CRÉDITO. AGRADECEMOS MUCHÍSIMO SU COLABORACIÓN PARA SEGUIR MANTENIENDO EL ORDEN. MUCHAS GRACIAS.</t>
  </si>
  <si>
    <t>Extraordinarios:</t>
  </si>
  <si>
    <t>ventas@quimicaros.com.ar</t>
  </si>
  <si>
    <t xml:space="preserve"> maranata perfumeria</t>
  </si>
  <si>
    <t>Ad Premed SRL</t>
  </si>
  <si>
    <t xml:space="preserve"> De mela Innovaciones SRL tiene el 24 y 58</t>
  </si>
  <si>
    <t xml:space="preserve">Analía Celeste Cáceres </t>
  </si>
  <si>
    <t>Diego Damino</t>
  </si>
  <si>
    <t>Agustina Palermo</t>
  </si>
  <si>
    <t>Gonzalo Raul Fernandez - ivanalagolosinerasrl@gmail.com</t>
  </si>
  <si>
    <t>PAGOS UNIVERSALES SA/  GLOBAL TT S.A. / GLOBAT</t>
  </si>
  <si>
    <t>Federacion patronal -  Poliza nro. 1-2195343-0 - Riesgo integral de barrios privados</t>
  </si>
  <si>
    <t>Federacion patronal -  Poliza nro. 1-77459-6 - Seguro de vida obligatorio Sr. Maximiliano Abbruzzese</t>
  </si>
  <si>
    <t>Debito autom.</t>
  </si>
  <si>
    <t>OMS (Cuit.: 30-71568933-9) - Fc.00002637 (Abono mantenimiento planta de tratamiento)</t>
  </si>
  <si>
    <t>Cafrathela SA - Carolina Carena</t>
  </si>
  <si>
    <t>Diego Soto y Hernan Soto</t>
  </si>
  <si>
    <t>Cecilia Labala</t>
  </si>
  <si>
    <t>Medizin - ProlijoLimp SA - COBRO EXPRESS BUENOS AIRES SA</t>
  </si>
  <si>
    <t>Montenievas SRL</t>
  </si>
  <si>
    <t>Ordinarios:</t>
  </si>
  <si>
    <t>QUIENES EN LA COLUMNA DENOMINADA "DEUDA O SALDO A FAVOR" OBSERVEN UN NÚMERO NEGATIVO, SIGNIFICA QUE EN EXPENSAS ANTERIORES ABONARON DE MÁS Y CUENTAN CON DINERO A FAVOR. EL MONTO A ABONAR FIGURA EN LA COLUMNA DENOMINADA "TOTAL".</t>
  </si>
  <si>
    <t>Deposita siempre - Viviana Lusero</t>
  </si>
  <si>
    <t>albrech adrian -  Belén Brog</t>
  </si>
  <si>
    <t>Tosi german lucas o nitapaula0684@gmail.com / Ana Paula</t>
  </si>
  <si>
    <t>Romina Troppelli - Deposita o  si tansfiere informa por mail  desde rominita09@hotmail.com</t>
  </si>
  <si>
    <t xml:space="preserve">Maria Eugenia Bachratz - Martin francisco Lopez zavallo
</t>
  </si>
  <si>
    <t>Diego Humberto Hernandez</t>
  </si>
  <si>
    <t xml:space="preserve">Gastos a recuperar por la administracion - abonados en efectivo </t>
  </si>
  <si>
    <t>CUIT: 30-71618269-6</t>
  </si>
  <si>
    <t>ADMINISTRADORA: CAROLINA CANCIANI MP:1148</t>
  </si>
  <si>
    <t>Transf 08/09</t>
  </si>
  <si>
    <t xml:space="preserve">Servicios arquitectura - Srita. Melanie Burgos Oros - Lotes 9 - 13 - 16 - 48 - 51 - 56 - 68 - 146 - 62 </t>
  </si>
  <si>
    <t>Armella Cristian - CUIT: 20371419234 - Fc. 0016 - Mantenimiento espacios verdes</t>
  </si>
  <si>
    <t>Covelia SA - Recoleccion de ramas - CUIT: 30707242961</t>
  </si>
  <si>
    <t>TOTAL AL 30/09</t>
  </si>
  <si>
    <t>Recaudaciones y pagos -  Suzel Valiña &lt;valisule@gmail.com&gt; - Paga 118 , 120 y 121 - Pagos Rep. SA / AGIL PAGOS</t>
  </si>
  <si>
    <t xml:space="preserve"> JAVIER ALBERTO ANDRES - TAMBIEN TIENE EL LOTE 204</t>
  </si>
  <si>
    <t xml:space="preserve"> JAVIER ALBERTO ANDRES - TAMBIEN TIENE EL LOTE 23</t>
  </si>
  <si>
    <t>Vivienda Everhouse</t>
  </si>
  <si>
    <t>Nicolas / Cecilia Andrea</t>
  </si>
  <si>
    <t>ad RUIZ DIAZ - Maria agustina Falcone - Barbero Francisco</t>
  </si>
  <si>
    <t>Sandirs</t>
  </si>
  <si>
    <t>Cejas, Mariana/Petenello, Manuel</t>
  </si>
  <si>
    <t>Liliana Miravalle/Gustavo Di Biase</t>
  </si>
  <si>
    <t>Adminar SA y Lobison - Collectic Service - Liliana Andrea Miravalle y Gustavo Aníbal Di Biase</t>
  </si>
  <si>
    <t>VTO 30/11</t>
  </si>
  <si>
    <t xml:space="preserve">PERÍODO: OCTUBRE </t>
  </si>
  <si>
    <t>Sueldo intendencia - Maximiliano Abbruzzese - OCTUBRE</t>
  </si>
  <si>
    <t>Deducciones mes de OCTUBRE</t>
  </si>
  <si>
    <t>Redondeo mes de OCTUBRE</t>
  </si>
  <si>
    <t>Alonso Bado Javier - Alquiler mensual vehiculo electrico abierto con seguro incluido - Mes de OCTUBRE - Fc. 0001163</t>
  </si>
  <si>
    <t>Honorarios administracion - Mes de OCTUBRE Fc. 00000213</t>
  </si>
  <si>
    <t>Grey Brick - Fc. 000000921 - Certificacion de obra pavimento correspondiente a OCTUBRE</t>
  </si>
  <si>
    <t>ARCA - Mes de SEPTIEMBRE</t>
  </si>
  <si>
    <t>Sindicatos mes de SEPTIEMBRE</t>
  </si>
  <si>
    <t>GOLD (Cuit.: 33-71225773-9) - Fc.0000403 (Servicio de Seguridad SEPTIEMBRE 2025)</t>
  </si>
  <si>
    <t>Servicio Polad - Mes de SEPTIEMBRE - Valor de la hora $6.262,83 (726hs en total)</t>
  </si>
  <si>
    <t>Valiente Margio Jose - CUIT: 30716182696 - Fc. 0000176 - Servicio de asesoramiento y asistencia tecnica en materia de seguridad, higiene y medioambiente - SEPTIEMBRE</t>
  </si>
  <si>
    <t>Covelia SA - Servicio de recoleccion de residuos domiciliarios correspondientes al mes de SEPTIEMBRE  - CUIT: 30707242961 -Fc. 00004342</t>
  </si>
  <si>
    <t>Deposito el 15/10 a nombre del lote 110 $680.000 y exige algo de que no le cobren ciertos punitorios porque solo se atraso dos semanas. Leer su mail.</t>
  </si>
  <si>
    <t>lelu_12@hotmail.com</t>
  </si>
  <si>
    <t>Es maria Jose</t>
  </si>
  <si>
    <t>Damian Reyes</t>
  </si>
  <si>
    <t>4 y 47</t>
  </si>
  <si>
    <t>Pago $687.000 para el lote 4 y $505.000 para el lote 47</t>
  </si>
  <si>
    <t>Carolina Carena</t>
  </si>
  <si>
    <r>
      <t xml:space="preserve">El dia 03/10 transfiere $898.103 - </t>
    </r>
    <r>
      <rPr>
        <b/>
        <sz val="11"/>
        <color theme="1"/>
        <rFont val="Calibri"/>
        <family val="2"/>
        <scheme val="minor"/>
      </rPr>
      <t>LEER MAIL NUESTRA CADENA DE MAILS</t>
    </r>
  </si>
  <si>
    <t>Sebastian De Lucas</t>
  </si>
  <si>
    <t>Nicolas Pells Richards</t>
  </si>
  <si>
    <t>Deposito el 01/10 $806.000 - Debe pagar  828.796,15</t>
  </si>
  <si>
    <t>Transfririo el 20/10 $305.000</t>
  </si>
  <si>
    <t>Anto rodriguez</t>
  </si>
  <si>
    <t>Marcos straniese</t>
  </si>
  <si>
    <t>Deposito $650.000 el 20/10</t>
  </si>
  <si>
    <t>Hay depositos no identificados del mes 7 que son de el, son 4 - Buscar que carolina se lo envio a mateo por whatsapp y mateo los marco como favoritos para encontrarlos mas rapidos - hay que ponerselos en el lote 36 o 37 y descontarlos en la caja gral</t>
  </si>
  <si>
    <t>Luis y Karina Grecco</t>
  </si>
  <si>
    <t>Transfirio el 21/10 $714.220</t>
  </si>
  <si>
    <t>JP Giordano</t>
  </si>
  <si>
    <t> 13, 16, 32, 33, 86, 158, 159 y 168.</t>
  </si>
  <si>
    <t xml:space="preserve">Transfirio el 21/10 $6.197.000 </t>
  </si>
  <si>
    <t>Buenas tardes, estimada Carolina:
Le informamos que el importe que figuraba en las expensas enviadas correspondientes al lote 136 era de $2.554.718,36.
Dentro de dicho monto no estaban incluidos los $898.103 que usted ya había transferido, ni descontados los punitorios que no le correspondían abonar, según el siguiente detalle:
$52.096 → Septiembre
$26.893 → Agosto
$26.594 → Julio
$21.112 → Diferencial de expensas anteriores
Total a abonar realmente: $1.498.286,36
Lo ideal sería que pueda realizar el pago antes de finalizar octubre (viernes 31).
Saludos cordiales. 
Quedamos a su disposición.</t>
  </si>
  <si>
    <t>QUERCIA LUCIO - QAM SRL - FLEBO TDR SRL</t>
  </si>
  <si>
    <t>Daniel Perfumo</t>
  </si>
  <si>
    <t>Transfirio el 2210 $707.044 o 707,165.00 (no entiendo el comprobante)+</t>
  </si>
  <si>
    <t>Santangelo</t>
  </si>
  <si>
    <t>Deposito el 23/10 dos veces: $540.000 y $63.000</t>
  </si>
  <si>
    <t>Daiana casas</t>
  </si>
  <si>
    <t>deposito el 23/10 $650.000</t>
  </si>
  <si>
    <t>deposito el 24/10 $707.000</t>
  </si>
  <si>
    <t>Romina Tropelli</t>
  </si>
  <si>
    <t>Ignacio Escudero</t>
  </si>
  <si>
    <t>deposito el 24/10 $706.900,00</t>
  </si>
  <si>
    <t>Paula</t>
  </si>
  <si>
    <t>deposito el 24/10 $715.000</t>
  </si>
  <si>
    <t>Electro DRF - Pulsador aro metalico cromado/boton rasante verde - Caladora multiple - Fc. 00038190</t>
  </si>
  <si>
    <t>Transf 03/10</t>
  </si>
  <si>
    <t>Transf 16/10</t>
  </si>
  <si>
    <t>Recicla Brown- CUIT: 30-71633401-1 - Servicio de recoleccion de residuos solidos urbanos con frecuencia de un retiro a la semana correspondiente al mes de SEPTIEMBRE - Fc. 0000000067</t>
  </si>
  <si>
    <t>Batista Da Silva Ramon - Fc. 000000056 - CUIT:20218630783 - Cambio de luminarias en la calle y de fotocelula</t>
  </si>
  <si>
    <t>Vazquez (Cuit.: 30-55987767-7) - Fc. 00000216 (Prestación servicio de contenedores - SEPTIEMBRE + Servicio de descarga)</t>
  </si>
  <si>
    <t>Electro DRF - Luminaria para via publica lumaz macroled , 200W - Fc. 00038514</t>
  </si>
  <si>
    <t>Dimar Bulonera - Fc. 00006840 - CUIT: 30715613707 . Cable de acero, prensacable, guardacabo</t>
  </si>
  <si>
    <t>Ramirez Francisco - Fc. 00000502 - Alquiler de volquetes</t>
  </si>
  <si>
    <t>Transf 17/10</t>
  </si>
  <si>
    <t>SA seguridad - Fc. 00000431 - CUIT: 30716182696 - Correa para barrera vehicular</t>
  </si>
  <si>
    <t>Transf 02/10</t>
  </si>
  <si>
    <t>Evento 20/09/2025 - UF 92 de 11 a 17hs</t>
  </si>
  <si>
    <t>Evento 23/09/2025 - UF 90 de 14:30 a 18 hs</t>
  </si>
  <si>
    <t>Transf 01/10</t>
  </si>
  <si>
    <t>Palubinskas Fernando Nestor - Bidones de Agua cimes de 20lts - Fc. 01337</t>
  </si>
  <si>
    <t xml:space="preserve">Gestor 360 - Gestion firma digital juridica - Cuota 3/3 - De la gestion de la Sra. Mabel - Fc. 00012280 </t>
  </si>
  <si>
    <t>Transf 20/10</t>
  </si>
  <si>
    <t>Transf 14/10</t>
  </si>
  <si>
    <t>Taller 4 - Fc. 00000000256 - CUIT: 30715435175 - Ploteo de vallas</t>
  </si>
  <si>
    <t>Transf 06/10</t>
  </si>
  <si>
    <t xml:space="preserve">Carrefour - Ticket nro. 00062647 - Cable HDMI </t>
  </si>
  <si>
    <t>deposito el 24/10 $692.644</t>
  </si>
  <si>
    <t>Paula agüero</t>
  </si>
  <si>
    <t>deposito el 24/10$714.000</t>
  </si>
  <si>
    <t>Viviana Lusero</t>
  </si>
  <si>
    <t>Valeria Reggi</t>
  </si>
  <si>
    <t>deposito el 28/10 $690.000</t>
  </si>
  <si>
    <t>deposito el 27/10 $829.000</t>
  </si>
  <si>
    <t>deposito el 28/10 $757.500</t>
  </si>
  <si>
    <t>Gonzalo</t>
  </si>
  <si>
    <t>deposito el 29/10 $692.400</t>
  </si>
  <si>
    <t>poly</t>
  </si>
  <si>
    <t>Transfirio $700.000 el 29/10</t>
  </si>
  <si>
    <t>deposito el 28/10 $781.000</t>
  </si>
  <si>
    <t>Vivi papa</t>
  </si>
  <si>
    <t>Transfirio $1,937.000 el 30/10</t>
  </si>
  <si>
    <t>Deposito $694.000 el 30/10</t>
  </si>
  <si>
    <t>Julieta de santis</t>
  </si>
  <si>
    <t>Transfirio $670.000 el 30/10</t>
  </si>
  <si>
    <t>Deposito $800.200 - Nose cuando</t>
  </si>
  <si>
    <t>Transf 28/10</t>
  </si>
  <si>
    <t>Dimar Bulonera - Fc. 00006906 - CUIT: 30715613707- WD 40 , Guardacabo para cable, prensacable, cable</t>
  </si>
  <si>
    <t>Energia Grroup SRL - Grupo electrogeno LOGUS GL8500E Prem Gas - Fc. 0001111 - CUIT: 33714734089</t>
  </si>
  <si>
    <t>Recicladora Ecopiano SRL - Fc. 00000224 - CUIT: 33717708739 - Restante 70% por pisos de 20mm para el gimnasio</t>
  </si>
  <si>
    <t>Transf 23/10</t>
  </si>
  <si>
    <t>Transf 24/10</t>
  </si>
  <si>
    <t>Ramirez Francisco - Fc. 00000510 - Alquiler de volquetes</t>
  </si>
  <si>
    <t>Armella Cristian - CUIT: 20371419234 - Fc. 0033 - Extracciones de arboles de raiz 50% del presupuesto - Resta el otro 50%</t>
  </si>
  <si>
    <t>Transf 30/10</t>
  </si>
  <si>
    <t>Ramirez Francisco - Fc. 00000512 - Alquiler de volquetes</t>
  </si>
  <si>
    <t>Ramirez Francisco - Fc. 00000511 - Alquiler de volquetes</t>
  </si>
  <si>
    <t>Pago cualquier cosa : 30/10 $800.000 y $585.625,65</t>
  </si>
  <si>
    <t>Deposito el 30/10 $655.000</t>
  </si>
  <si>
    <t>Deposito $680.200 - el 13/10 -  $680.000 - El 31/10</t>
  </si>
  <si>
    <t>Transfirio el 30/10 $671.646</t>
  </si>
  <si>
    <t>Armella Cristian - CUIT: 20371419234 - Fc. 00030 - Extraccion de arbol</t>
  </si>
  <si>
    <t>Rojas Daniel - Fc. 000762 - CUIT:20224940719 - Servicio de flete de guernica a Adrogue - Entrega de baldosas</t>
  </si>
  <si>
    <t>Lacoz Ruben - Fc. 00000469 - CUIT: 20183061411 - Servicio de mantenimiento con uso de hidroagua (Colocacio luces jirafa)</t>
  </si>
  <si>
    <t>Electro DRF - Compra de cables subterraneos y flexibles - Fc. 00038196</t>
  </si>
  <si>
    <t>Axin (Cuit.: 30-70858249-9) - Cuota 1 de 3 - Servidor Lenovo - Trabajo aprobado por Sra. Mabel</t>
  </si>
  <si>
    <t>Batista Da Silva Ramon - Fc. 000000054 - CUIT:20218630783 - Costo de reparacion de placa con colocacion y armado + costo de mantenimiento</t>
  </si>
  <si>
    <t>Batista Da Silva Ramon - Fc. 000000057 - CUIT:20218630783 - Cambio de timer - Timer digital</t>
  </si>
  <si>
    <t>Ticket 02/10</t>
  </si>
  <si>
    <t>Rubber - Articulos para la pileta - Limpia fondo, sacahoja, canasta para skinner, etc</t>
  </si>
  <si>
    <t>Ticket 01/10</t>
  </si>
  <si>
    <t>JC Construcciones -  Trabajos realizados de plomeria agua exterior - Materiales y mano de obra - Lote 46 - Fc. 00000024 - CUIT: 30716202476</t>
  </si>
  <si>
    <t>Transf 31/10</t>
  </si>
  <si>
    <t>JC Construcciones -  Trabajos realizados de plomeria agua exterior - Materiales y mano de obra - Lote 87 - Fc. 00000025 - CUIT: 30716202476</t>
  </si>
  <si>
    <t>Transf 09/10</t>
  </si>
  <si>
    <t>Deposito $660.000 el 31/10</t>
  </si>
  <si>
    <t>Ale Korin</t>
  </si>
  <si>
    <t>Transfirio $324.000 el 31/10</t>
  </si>
  <si>
    <t>Ximena Vizzini</t>
  </si>
  <si>
    <t>Deposito $715.000 el 31/10</t>
  </si>
  <si>
    <t>Andrea Iglesias</t>
  </si>
  <si>
    <t>$686.029 Transfirio el 06/10 - Si de aca al 31/10 abona 707.043,14. su deuda queda en 0 - Lo transfirio el 29/10 - $707.043</t>
  </si>
  <si>
    <t>Cerradura electrica y 100 juegos de llaves (envio incluido)</t>
  </si>
  <si>
    <t>Envio garrafas</t>
  </si>
  <si>
    <t>2 garrafas</t>
  </si>
  <si>
    <t>Estos gastos se debitaron de la tarjeta de Carolina terminada en 5813</t>
  </si>
  <si>
    <t>MONTO</t>
  </si>
  <si>
    <t>GASTO</t>
  </si>
  <si>
    <t>CAJA DEL SUM</t>
  </si>
  <si>
    <t>Saldo inicial</t>
  </si>
  <si>
    <t>Ingreso que corresponde a CAJA SUM</t>
  </si>
  <si>
    <t>Efectivo</t>
  </si>
  <si>
    <t>Fotocopias BYN - Tauge - Fc.0000004268 - CUIT:20-21594345-4</t>
  </si>
  <si>
    <t xml:space="preserve">RYM Grup - Fc. 0000005 - CUIT: 20233294129 - Trabajo de herreria - Ultimo tramo </t>
  </si>
  <si>
    <t xml:space="preserve">RYM Grup - Fc. 0000004 - CUIT: 20233294129 -Adaptacion de soportes para los monitores en puesto 1 y 2 con colocacion hechos a medida </t>
  </si>
  <si>
    <t>Vivero Sumire - Fc. 000000313 - CUIT: 20-93356664-2 - Venenos</t>
  </si>
  <si>
    <t>Debito 06/10</t>
  </si>
  <si>
    <t>Debito 07/10</t>
  </si>
  <si>
    <t>Debito 13/10</t>
  </si>
  <si>
    <t>Transf 13/10</t>
  </si>
  <si>
    <t>Gastos recuperados por administracion - meses anteriores en efectivo</t>
  </si>
  <si>
    <t>Debito 16/10</t>
  </si>
  <si>
    <t>OMS (Cuit.: 30-71568933-9) - Fc.00002735 - Reparacion bomba desagote motoarg</t>
  </si>
  <si>
    <t>Efectivo 21/10</t>
  </si>
  <si>
    <t>Debito 02/10</t>
  </si>
  <si>
    <t>Debito 01/10</t>
  </si>
  <si>
    <t>GASTOS PENDIENTES A PASAR EN NOVEIEMBRE: LIBRERÍA Y ARTICULOS DE LIMPIEZA</t>
  </si>
  <si>
    <t>Deposita - pamela - manda por whatsapp</t>
  </si>
  <si>
    <t>ADRIAN CLAUDIO GIARMAN / JOSEFINA GIORDANI / Milagros Anahi Sanchez / Leonardo Alexis Fama / Maria Antonella Rodriguez / Raul Alejandro Davalos/ Agustina navarro</t>
  </si>
  <si>
    <t>Deposita, tambien paga el lote 132 - Santiago Jorge Claps</t>
  </si>
  <si>
    <t>Rodolfo manuel Petenello</t>
  </si>
  <si>
    <t>deposito el 24/10 $1.987.859,68</t>
  </si>
  <si>
    <t>Centurion Sergio Cesar - Florencia Volonte en el mail o pells nicolas</t>
  </si>
  <si>
    <t>JC Construcciones -  Trabajos realizados de plomeria y camara de inspeccion - Materiales y mano de obra - Rotonda  - Fc. 00000023 - CUIT: 30716202476</t>
  </si>
  <si>
    <t>Punitorios mal cobrados - Lote 115</t>
  </si>
  <si>
    <t>Punitorios mal cobrados - Lote 14</t>
  </si>
  <si>
    <t>Deposito ya identificado mes anterior - Mes de Julio - 04/07</t>
  </si>
  <si>
    <t>Depositos ya identificados identificado - Mes de Agosto - 26/08</t>
  </si>
  <si>
    <t>Punitorios mal cobrados - Lote 36</t>
  </si>
  <si>
    <t>Ramirez Francisco - Fc. 00000513 - Alquiler de volquetes</t>
  </si>
  <si>
    <t>La transferencia realizada el mes anterior al Sr. Gustavo Padrón, contador, corresponde a un pago a cuenta por el trabajo de conciliación de deuda, tema tratado en la última asamblea.</t>
  </si>
  <si>
    <t>Ramirez Francisco - Fc. 00000518 - Alquiler de volquetes</t>
  </si>
  <si>
    <t>Fondo de reserva (30 Millones) + Fondo juicio (10 Millones):</t>
  </si>
  <si>
    <t>Pelex S.A - Fc. 000000012 -3 cuota de 6 etapa 2 - Obra paredon Perimetal</t>
  </si>
  <si>
    <t>Axin (Cuit.: 30-70858249-9)  - Cuota 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</si>
</sst>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6" formatCode="&quot;$&quot;\ #,##0;[Red]\-&quot;$&quot;\ #,##0"/>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quot;$&quot;\ * #,##0.0_-;\-&quot;$&quot;\ * #,##0.0_-;_-&quot;$&quot;\ * &quot;-&quot;?_-;_-@_-"/>
    <numFmt numFmtId="168" formatCode="_-[$$-2C0A]\ * #,##0.00_-;\-[$$-2C0A]\ * #,##0.00_-;_-[$$-2C0A]\ * &quot;-&quot;??_-;_-@_-"/>
    <numFmt numFmtId="169" formatCode="_-[$$-2C0A]\ * #,##0.0_-;\-[$$-2C0A]\ * #,##0.0_-;_-[$$-2C0A]\ * &quot;-&quot;??_-;_-@_-"/>
    <numFmt numFmtId="170" formatCode="#,##0.00_ ;[Red]\-#,##0.00\ "/>
    <numFmt numFmtId="171" formatCode="_-&quot;$&quot;\ * #,##0.00_-;\-&quot;$&quot;\ * #,##0.00_-;_-&quot;$&quot;\ * &quot;-&quot;?_-;_-@_-"/>
    <numFmt numFmtId="172" formatCode="&quot;$&quot;\ #,##0.0;[Red]\-&quot;$&quot;\ #,##0.0"/>
  </numFmts>
  <fonts count="28"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sz val="9"/>
      <color theme="1"/>
      <name val="Calibri"/>
      <family val="2"/>
      <scheme val="minor"/>
    </font>
    <font>
      <sz val="10"/>
      <color rgb="FFFF0000"/>
      <name val="Calibri"/>
      <family val="2"/>
      <scheme val="minor"/>
    </font>
    <font>
      <sz val="8"/>
      <color theme="1"/>
      <name val="Calibri"/>
      <family val="2"/>
      <scheme val="minor"/>
    </font>
    <font>
      <sz val="9"/>
      <name val="Calibri"/>
      <family val="2"/>
      <scheme val="minor"/>
    </font>
    <font>
      <b/>
      <sz val="12"/>
      <color theme="1"/>
      <name val="Calibri"/>
      <family val="2"/>
      <scheme val="minor"/>
    </font>
    <font>
      <b/>
      <sz val="16"/>
      <color theme="1"/>
      <name val="Calibri"/>
      <family val="2"/>
      <scheme val="minor"/>
    </font>
    <font>
      <b/>
      <i/>
      <sz val="11"/>
      <name val="Calibri"/>
      <family val="2"/>
      <scheme val="minor"/>
    </font>
    <font>
      <sz val="8"/>
      <name val="Calibri"/>
      <family val="2"/>
      <scheme val="minor"/>
    </font>
    <font>
      <b/>
      <i/>
      <u/>
      <sz val="10"/>
      <name val="Calibri"/>
      <family val="2"/>
      <scheme val="minor"/>
    </font>
    <font>
      <sz val="10"/>
      <name val="Calibri"/>
      <family val="2"/>
      <scheme val="minor"/>
    </font>
    <font>
      <u/>
      <sz val="11"/>
      <color theme="10"/>
      <name val="Calibri"/>
      <family val="2"/>
      <scheme val="minor"/>
    </font>
    <font>
      <b/>
      <u/>
      <sz val="11"/>
      <name val="Calibri"/>
      <family val="2"/>
      <scheme val="minor"/>
    </font>
    <font>
      <sz val="12"/>
      <color theme="1"/>
      <name val="Calibri"/>
      <family val="2"/>
      <scheme val="minor"/>
    </font>
    <font>
      <sz val="12"/>
      <name val="Calibri"/>
      <family val="2"/>
      <scheme val="minor"/>
    </font>
    <font>
      <b/>
      <sz val="12"/>
      <name val="Calibri"/>
      <family val="2"/>
      <scheme val="minor"/>
    </font>
    <font>
      <sz val="12"/>
      <color rgb="FF222222"/>
      <name val="Arial"/>
      <family val="2"/>
    </font>
    <font>
      <b/>
      <sz val="10"/>
      <color theme="0"/>
      <name val="Calibri"/>
      <family val="2"/>
      <scheme val="minor"/>
    </font>
  </fonts>
  <fills count="41">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rgb="FFFFFF00"/>
        <bgColor indexed="64"/>
      </patternFill>
    </fill>
    <fill>
      <patternFill patternType="solid">
        <fgColor theme="4"/>
        <bgColor indexed="64"/>
      </patternFill>
    </fill>
    <fill>
      <patternFill patternType="solid">
        <fgColor theme="3" tint="0.59999389629810485"/>
        <bgColor indexed="64"/>
      </patternFill>
    </fill>
    <fill>
      <patternFill patternType="solid">
        <fgColor theme="5" tint="-0.249977111117893"/>
        <bgColor indexed="64"/>
      </patternFill>
    </fill>
    <fill>
      <patternFill patternType="solid">
        <fgColor theme="8"/>
        <bgColor indexed="64"/>
      </patternFill>
    </fill>
    <fill>
      <patternFill patternType="solid">
        <fgColor theme="6" tint="-0.249977111117893"/>
        <bgColor indexed="64"/>
      </patternFill>
    </fill>
    <fill>
      <patternFill patternType="solid">
        <fgColor theme="9"/>
        <bgColor indexed="64"/>
      </patternFill>
    </fill>
    <fill>
      <patternFill patternType="solid">
        <fgColor theme="7" tint="-0.249977111117893"/>
        <bgColor indexed="64"/>
      </patternFill>
    </fill>
    <fill>
      <patternFill patternType="solid">
        <fgColor theme="0" tint="-0.249977111117893"/>
        <bgColor indexed="64"/>
      </patternFill>
    </fill>
    <fill>
      <patternFill patternType="solid">
        <fgColor theme="3" tint="-0.499984740745262"/>
        <bgColor indexed="64"/>
      </patternFill>
    </fill>
    <fill>
      <patternFill patternType="solid">
        <fgColor theme="0" tint="-0.14999847407452621"/>
        <bgColor indexed="64"/>
      </patternFill>
    </fill>
    <fill>
      <patternFill patternType="solid">
        <fgColor rgb="FFCCFFCC"/>
        <bgColor indexed="64"/>
      </patternFill>
    </fill>
    <fill>
      <patternFill patternType="solid">
        <fgColor rgb="FFFF00FF"/>
        <bgColor indexed="64"/>
      </patternFill>
    </fill>
    <fill>
      <patternFill patternType="solid">
        <fgColor rgb="FF00CCFF"/>
        <bgColor indexed="64"/>
      </patternFill>
    </fill>
    <fill>
      <patternFill patternType="solid">
        <fgColor rgb="FFA50021"/>
        <bgColor indexed="64"/>
      </patternFill>
    </fill>
    <fill>
      <patternFill patternType="solid">
        <fgColor theme="2"/>
        <bgColor indexed="64"/>
      </patternFill>
    </fill>
    <fill>
      <patternFill patternType="solid">
        <fgColor rgb="FF00B0F0"/>
        <bgColor indexed="64"/>
      </patternFill>
    </fill>
    <fill>
      <patternFill patternType="solid">
        <fgColor theme="6"/>
        <bgColor indexed="64"/>
      </patternFill>
    </fill>
    <fill>
      <patternFill patternType="solid">
        <fgColor rgb="FFFF0000"/>
        <bgColor indexed="64"/>
      </patternFill>
    </fill>
    <fill>
      <patternFill patternType="solid">
        <fgColor theme="8" tint="-0.249977111117893"/>
        <bgColor indexed="64"/>
      </patternFill>
    </fill>
    <fill>
      <patternFill patternType="solid">
        <fgColor theme="5" tint="0.59999389629810485"/>
        <bgColor indexed="64"/>
      </patternFill>
    </fill>
    <fill>
      <patternFill patternType="solid">
        <fgColor theme="2" tint="-0.749992370372631"/>
        <bgColor indexed="64"/>
      </patternFill>
    </fill>
    <fill>
      <patternFill patternType="solid">
        <fgColor theme="0" tint="-0.499984740745262"/>
        <bgColor indexed="64"/>
      </patternFill>
    </fill>
    <fill>
      <patternFill patternType="solid">
        <fgColor rgb="FF000000"/>
        <bgColor indexed="64"/>
      </patternFill>
    </fill>
    <fill>
      <patternFill patternType="solid">
        <fgColor rgb="FF00B050"/>
        <bgColor indexed="64"/>
      </patternFill>
    </fill>
    <fill>
      <patternFill patternType="solid">
        <fgColor rgb="FF0070C0"/>
        <bgColor indexed="64"/>
      </patternFill>
    </fill>
    <fill>
      <patternFill patternType="solid">
        <fgColor rgb="FF800000"/>
        <bgColor indexed="64"/>
      </patternFill>
    </fill>
    <fill>
      <patternFill patternType="solid">
        <fgColor theme="7" tint="0.39997558519241921"/>
        <bgColor indexed="64"/>
      </patternFill>
    </fill>
    <fill>
      <patternFill patternType="solid">
        <fgColor theme="6" tint="-0.499984740745262"/>
        <bgColor indexed="64"/>
      </patternFill>
    </fill>
    <fill>
      <patternFill patternType="solid">
        <fgColor rgb="FF9999FF"/>
        <bgColor indexed="64"/>
      </patternFill>
    </fill>
    <fill>
      <patternFill patternType="solid">
        <fgColor rgb="FFCC6600"/>
        <bgColor indexed="64"/>
      </patternFill>
    </fill>
    <fill>
      <patternFill patternType="solid">
        <fgColor theme="6" tint="0.39997558519241921"/>
        <bgColor indexed="64"/>
      </patternFill>
    </fill>
    <fill>
      <patternFill patternType="solid">
        <fgColor rgb="FFFFFF99"/>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5">
    <xf numFmtId="0" fontId="0" fillId="0" borderId="0"/>
    <xf numFmtId="44" fontId="1" fillId="0" borderId="0" applyFont="0" applyFill="0" applyBorder="0" applyAlignment="0" applyProtection="0"/>
    <xf numFmtId="164" fontId="1" fillId="0" borderId="0" applyFont="0" applyFill="0" applyBorder="0" applyAlignment="0" applyProtection="0"/>
    <xf numFmtId="0" fontId="21" fillId="0" borderId="0" applyNumberFormat="0" applyFill="0" applyBorder="0" applyAlignment="0" applyProtection="0"/>
    <xf numFmtId="43" fontId="1" fillId="0" borderId="0" applyFont="0" applyFill="0" applyBorder="0" applyAlignment="0" applyProtection="0"/>
  </cellStyleXfs>
  <cellXfs count="455">
    <xf numFmtId="0" fontId="0" fillId="0" borderId="0" xfId="0"/>
    <xf numFmtId="0" fontId="0" fillId="0" borderId="1" xfId="0" applyBorder="1"/>
    <xf numFmtId="0" fontId="0" fillId="3" borderId="0" xfId="0" applyFill="1"/>
    <xf numFmtId="0" fontId="0" fillId="0" borderId="5" xfId="0" applyBorder="1"/>
    <xf numFmtId="8" fontId="0" fillId="0" borderId="0" xfId="0" applyNumberFormat="1"/>
    <xf numFmtId="164" fontId="3" fillId="0" borderId="0" xfId="0" applyNumberFormat="1" applyFont="1"/>
    <xf numFmtId="0" fontId="5" fillId="0" borderId="1" xfId="0" applyFont="1" applyBorder="1"/>
    <xf numFmtId="4" fontId="0" fillId="0" borderId="0" xfId="0" applyNumberFormat="1"/>
    <xf numFmtId="4" fontId="5" fillId="0" borderId="0" xfId="0" applyNumberFormat="1" applyFont="1"/>
    <xf numFmtId="0" fontId="5" fillId="0" borderId="1" xfId="0" applyFont="1" applyBorder="1" applyAlignment="1">
      <alignment vertical="center" wrapText="1"/>
    </xf>
    <xf numFmtId="8" fontId="6" fillId="4" borderId="6" xfId="0" applyNumberFormat="1" applyFont="1" applyFill="1" applyBorder="1"/>
    <xf numFmtId="0" fontId="9" fillId="2" borderId="0" xfId="0" applyFont="1" applyFill="1"/>
    <xf numFmtId="0" fontId="10" fillId="4" borderId="1" xfId="0" applyFont="1" applyFill="1" applyBorder="1"/>
    <xf numFmtId="0" fontId="6" fillId="4" borderId="1" xfId="0" applyFont="1" applyFill="1" applyBorder="1"/>
    <xf numFmtId="8" fontId="10" fillId="4" borderId="1" xfId="0" applyNumberFormat="1" applyFont="1" applyFill="1" applyBorder="1"/>
    <xf numFmtId="44" fontId="6" fillId="4" borderId="1" xfId="1" applyFont="1" applyFill="1" applyBorder="1"/>
    <xf numFmtId="44" fontId="0" fillId="0" borderId="1" xfId="1" applyFont="1" applyBorder="1"/>
    <xf numFmtId="44" fontId="6" fillId="4" borderId="6" xfId="1" applyFont="1" applyFill="1" applyBorder="1"/>
    <xf numFmtId="44" fontId="4" fillId="4" borderId="1" xfId="1" applyFont="1" applyFill="1" applyBorder="1"/>
    <xf numFmtId="0" fontId="0" fillId="0" borderId="0" xfId="0" applyAlignment="1">
      <alignment wrapText="1"/>
    </xf>
    <xf numFmtId="0" fontId="5" fillId="0" borderId="1" xfId="0" applyFont="1" applyBorder="1" applyAlignment="1">
      <alignment vertical="top" wrapText="1"/>
    </xf>
    <xf numFmtId="44" fontId="3" fillId="2" borderId="1" xfId="1" applyFont="1" applyFill="1" applyBorder="1"/>
    <xf numFmtId="44" fontId="0" fillId="0" borderId="0" xfId="1" applyFont="1"/>
    <xf numFmtId="0" fontId="7" fillId="2" borderId="0" xfId="0" applyFont="1" applyFill="1"/>
    <xf numFmtId="44" fontId="0" fillId="0" borderId="0" xfId="0" applyNumberFormat="1"/>
    <xf numFmtId="0" fontId="8" fillId="6" borderId="0" xfId="0" applyFont="1" applyFill="1"/>
    <xf numFmtId="44" fontId="8" fillId="6" borderId="0" xfId="1" applyFont="1" applyFill="1"/>
    <xf numFmtId="44" fontId="12" fillId="2" borderId="1" xfId="1" applyFont="1" applyFill="1" applyBorder="1"/>
    <xf numFmtId="0" fontId="13" fillId="2" borderId="1" xfId="0" applyFont="1" applyFill="1" applyBorder="1"/>
    <xf numFmtId="0" fontId="13" fillId="0" borderId="1" xfId="0" applyFont="1" applyBorder="1"/>
    <xf numFmtId="44" fontId="9" fillId="4" borderId="1" xfId="1" applyFont="1" applyFill="1" applyBorder="1"/>
    <xf numFmtId="0" fontId="13" fillId="0" borderId="1" xfId="0" applyFont="1" applyBorder="1" applyAlignment="1">
      <alignment horizontal="center"/>
    </xf>
    <xf numFmtId="44" fontId="18" fillId="0" borderId="1" xfId="1" applyFont="1" applyBorder="1"/>
    <xf numFmtId="165" fontId="13" fillId="0" borderId="1" xfId="0" applyNumberFormat="1" applyFont="1" applyBorder="1"/>
    <xf numFmtId="165" fontId="13" fillId="0" borderId="1" xfId="1" applyNumberFormat="1" applyFont="1" applyBorder="1"/>
    <xf numFmtId="0" fontId="13" fillId="9" borderId="21" xfId="0" applyFont="1" applyFill="1" applyBorder="1"/>
    <xf numFmtId="0" fontId="5" fillId="7" borderId="9" xfId="0" applyFont="1" applyFill="1" applyBorder="1"/>
    <xf numFmtId="44" fontId="5" fillId="7" borderId="11" xfId="0" applyNumberFormat="1" applyFont="1" applyFill="1" applyBorder="1"/>
    <xf numFmtId="0" fontId="4" fillId="0" borderId="1" xfId="0" applyFont="1" applyBorder="1"/>
    <xf numFmtId="0" fontId="4" fillId="10" borderId="1" xfId="0" applyFont="1" applyFill="1" applyBorder="1"/>
    <xf numFmtId="44" fontId="19" fillId="4" borderId="3" xfId="1" applyFont="1" applyFill="1" applyBorder="1"/>
    <xf numFmtId="44" fontId="20" fillId="4" borderId="3" xfId="1" applyFont="1" applyFill="1" applyBorder="1"/>
    <xf numFmtId="0" fontId="20" fillId="0" borderId="1" xfId="1" applyNumberFormat="1" applyFont="1" applyBorder="1" applyAlignment="1">
      <alignment horizontal="left"/>
    </xf>
    <xf numFmtId="44" fontId="9" fillId="4" borderId="13" xfId="1" applyFont="1" applyFill="1" applyBorder="1"/>
    <xf numFmtId="44" fontId="20" fillId="2" borderId="1" xfId="1" applyFont="1" applyFill="1" applyBorder="1"/>
    <xf numFmtId="44" fontId="20" fillId="2" borderId="3" xfId="1" applyFont="1" applyFill="1" applyBorder="1"/>
    <xf numFmtId="0" fontId="4" fillId="0" borderId="0" xfId="0" applyFont="1"/>
    <xf numFmtId="44" fontId="8" fillId="6" borderId="0" xfId="0" applyNumberFormat="1" applyFont="1" applyFill="1"/>
    <xf numFmtId="8" fontId="17" fillId="10" borderId="1" xfId="0" applyNumberFormat="1" applyFont="1" applyFill="1" applyBorder="1"/>
    <xf numFmtId="0" fontId="5" fillId="0" borderId="1" xfId="0" applyFont="1" applyBorder="1" applyAlignment="1">
      <alignment horizontal="left" vertical="center" wrapText="1"/>
    </xf>
    <xf numFmtId="166" fontId="18" fillId="2" borderId="1" xfId="1" applyNumberFormat="1" applyFont="1" applyFill="1" applyBorder="1"/>
    <xf numFmtId="0" fontId="0" fillId="2" borderId="0" xfId="0" applyFill="1"/>
    <xf numFmtId="166" fontId="0" fillId="0" borderId="0" xfId="0" applyNumberFormat="1"/>
    <xf numFmtId="167" fontId="0" fillId="0" borderId="0" xfId="0" applyNumberFormat="1"/>
    <xf numFmtId="44" fontId="6" fillId="7" borderId="1" xfId="1" applyFont="1" applyFill="1" applyBorder="1"/>
    <xf numFmtId="43" fontId="0" fillId="0" borderId="0" xfId="0" applyNumberFormat="1"/>
    <xf numFmtId="165" fontId="0" fillId="0" borderId="0" xfId="0" applyNumberFormat="1"/>
    <xf numFmtId="43" fontId="0" fillId="0" borderId="0" xfId="0" applyNumberFormat="1" applyAlignment="1">
      <alignment wrapText="1"/>
    </xf>
    <xf numFmtId="44" fontId="4" fillId="0" borderId="1" xfId="1" applyFont="1" applyBorder="1"/>
    <xf numFmtId="0" fontId="4" fillId="11" borderId="1" xfId="0" applyFont="1" applyFill="1" applyBorder="1"/>
    <xf numFmtId="44" fontId="6" fillId="12" borderId="6" xfId="1" applyFont="1" applyFill="1" applyBorder="1"/>
    <xf numFmtId="8" fontId="6" fillId="12" borderId="6" xfId="0" applyNumberFormat="1" applyFont="1" applyFill="1" applyBorder="1"/>
    <xf numFmtId="44" fontId="4" fillId="12" borderId="6" xfId="1" applyFont="1" applyFill="1" applyBorder="1"/>
    <xf numFmtId="0" fontId="10" fillId="12" borderId="1" xfId="0" applyFont="1" applyFill="1" applyBorder="1"/>
    <xf numFmtId="8" fontId="6" fillId="12" borderId="22" xfId="0" applyNumberFormat="1" applyFont="1" applyFill="1" applyBorder="1"/>
    <xf numFmtId="0" fontId="5" fillId="7" borderId="25" xfId="0" applyFont="1" applyFill="1" applyBorder="1"/>
    <xf numFmtId="44" fontId="5" fillId="7" borderId="26" xfId="0" applyNumberFormat="1" applyFont="1" applyFill="1" applyBorder="1"/>
    <xf numFmtId="0" fontId="2" fillId="3" borderId="13" xfId="0" applyFont="1" applyFill="1" applyBorder="1"/>
    <xf numFmtId="0" fontId="2" fillId="3" borderId="13" xfId="0" applyFont="1" applyFill="1" applyBorder="1" applyAlignment="1">
      <alignment horizontal="left"/>
    </xf>
    <xf numFmtId="0" fontId="2" fillId="3" borderId="10" xfId="0" applyFont="1" applyFill="1" applyBorder="1" applyAlignment="1">
      <alignment wrapText="1"/>
    </xf>
    <xf numFmtId="0" fontId="2" fillId="3" borderId="11" xfId="0" applyFont="1" applyFill="1" applyBorder="1" applyAlignment="1">
      <alignment wrapText="1"/>
    </xf>
    <xf numFmtId="0" fontId="2" fillId="3" borderId="9" xfId="0" applyFont="1" applyFill="1" applyBorder="1"/>
    <xf numFmtId="0" fontId="2" fillId="3" borderId="10" xfId="0" applyFont="1" applyFill="1" applyBorder="1"/>
    <xf numFmtId="0" fontId="4" fillId="13" borderId="12" xfId="0" applyFont="1" applyFill="1" applyBorder="1"/>
    <xf numFmtId="0" fontId="4" fillId="13" borderId="15" xfId="0" applyFont="1" applyFill="1" applyBorder="1"/>
    <xf numFmtId="0" fontId="13" fillId="2" borderId="1" xfId="0" applyFont="1" applyFill="1" applyBorder="1" applyAlignment="1">
      <alignment wrapText="1"/>
    </xf>
    <xf numFmtId="0" fontId="5" fillId="7" borderId="25" xfId="0" applyFont="1" applyFill="1" applyBorder="1" applyAlignment="1">
      <alignment horizontal="left" vertical="center" wrapText="1"/>
    </xf>
    <xf numFmtId="44" fontId="6" fillId="12" borderId="21" xfId="1" applyFont="1" applyFill="1" applyBorder="1"/>
    <xf numFmtId="165" fontId="6" fillId="12" borderId="2" xfId="1" applyNumberFormat="1" applyFont="1" applyFill="1" applyBorder="1"/>
    <xf numFmtId="8" fontId="6" fillId="12" borderId="5" xfId="0" applyNumberFormat="1" applyFont="1" applyFill="1" applyBorder="1"/>
    <xf numFmtId="0" fontId="6" fillId="5" borderId="8" xfId="0" applyFont="1" applyFill="1" applyBorder="1"/>
    <xf numFmtId="0" fontId="20" fillId="0" borderId="1" xfId="0" applyFont="1" applyBorder="1"/>
    <xf numFmtId="0" fontId="4" fillId="14" borderId="12" xfId="0" applyFont="1" applyFill="1" applyBorder="1"/>
    <xf numFmtId="0" fontId="4" fillId="14" borderId="15" xfId="0" applyFont="1" applyFill="1" applyBorder="1"/>
    <xf numFmtId="0" fontId="2" fillId="14" borderId="9" xfId="0" applyFont="1" applyFill="1" applyBorder="1"/>
    <xf numFmtId="0" fontId="2" fillId="14" borderId="27" xfId="0" applyFont="1" applyFill="1" applyBorder="1"/>
    <xf numFmtId="0" fontId="2" fillId="14" borderId="24" xfId="0" applyFont="1" applyFill="1" applyBorder="1"/>
    <xf numFmtId="166" fontId="5" fillId="14" borderId="28" xfId="0" applyNumberFormat="1" applyFont="1" applyFill="1" applyBorder="1"/>
    <xf numFmtId="0" fontId="0" fillId="2" borderId="1" xfId="0" applyFill="1" applyBorder="1"/>
    <xf numFmtId="165" fontId="18" fillId="0" borderId="1" xfId="0" applyNumberFormat="1" applyFont="1" applyBorder="1"/>
    <xf numFmtId="165" fontId="18" fillId="2" borderId="1" xfId="0" applyNumberFormat="1" applyFont="1" applyFill="1" applyBorder="1"/>
    <xf numFmtId="0" fontId="7" fillId="0" borderId="0" xfId="0" applyFont="1"/>
    <xf numFmtId="0" fontId="0" fillId="2" borderId="12" xfId="0" applyFill="1" applyBorder="1"/>
    <xf numFmtId="0" fontId="0" fillId="2" borderId="16" xfId="0" applyFill="1" applyBorder="1"/>
    <xf numFmtId="0" fontId="21" fillId="0" borderId="0" xfId="3"/>
    <xf numFmtId="0" fontId="0" fillId="2" borderId="15" xfId="0" applyFill="1" applyBorder="1"/>
    <xf numFmtId="16" fontId="0" fillId="2" borderId="0" xfId="0" applyNumberFormat="1" applyFill="1"/>
    <xf numFmtId="0" fontId="0" fillId="2" borderId="0" xfId="0" applyFill="1" applyAlignment="1">
      <alignment horizontal="center"/>
    </xf>
    <xf numFmtId="0" fontId="0" fillId="2" borderId="17" xfId="0" applyFill="1" applyBorder="1" applyAlignment="1">
      <alignment horizontal="center"/>
    </xf>
    <xf numFmtId="0" fontId="0" fillId="2" borderId="17" xfId="0" applyFill="1" applyBorder="1"/>
    <xf numFmtId="44" fontId="0" fillId="0" borderId="0" xfId="1" applyFont="1" applyBorder="1"/>
    <xf numFmtId="0" fontId="0" fillId="0" borderId="1" xfId="0" applyBorder="1" applyAlignment="1">
      <alignment horizontal="left" vertical="center" wrapText="1"/>
    </xf>
    <xf numFmtId="0" fontId="22" fillId="4" borderId="1" xfId="0" applyFont="1" applyFill="1" applyBorder="1"/>
    <xf numFmtId="44" fontId="6" fillId="2" borderId="1" xfId="1" applyFont="1" applyFill="1" applyBorder="1"/>
    <xf numFmtId="44" fontId="2" fillId="15" borderId="15" xfId="1" applyFont="1" applyFill="1" applyBorder="1"/>
    <xf numFmtId="0" fontId="13" fillId="4" borderId="21" xfId="0" applyFont="1" applyFill="1" applyBorder="1"/>
    <xf numFmtId="44" fontId="13" fillId="4" borderId="25" xfId="0" applyNumberFormat="1" applyFont="1" applyFill="1" applyBorder="1"/>
    <xf numFmtId="165" fontId="13" fillId="4" borderId="31" xfId="0" applyNumberFormat="1" applyFont="1" applyFill="1" applyBorder="1"/>
    <xf numFmtId="165" fontId="13" fillId="4" borderId="26" xfId="0" applyNumberFormat="1" applyFont="1" applyFill="1" applyBorder="1"/>
    <xf numFmtId="165" fontId="13" fillId="4" borderId="21" xfId="0" applyNumberFormat="1" applyFont="1" applyFill="1" applyBorder="1"/>
    <xf numFmtId="44" fontId="13" fillId="4" borderId="21" xfId="0" applyNumberFormat="1" applyFont="1" applyFill="1" applyBorder="1"/>
    <xf numFmtId="44" fontId="13" fillId="0" borderId="1" xfId="1" applyFont="1" applyBorder="1"/>
    <xf numFmtId="0" fontId="13" fillId="4" borderId="26" xfId="0" applyFont="1" applyFill="1" applyBorder="1"/>
    <xf numFmtId="165" fontId="13" fillId="2" borderId="1" xfId="1" applyNumberFormat="1" applyFont="1" applyFill="1" applyBorder="1"/>
    <xf numFmtId="165" fontId="13" fillId="4" borderId="21" xfId="0" applyNumberFormat="1" applyFont="1" applyFill="1" applyBorder="1" applyAlignment="1">
      <alignment horizontal="left"/>
    </xf>
    <xf numFmtId="0" fontId="2" fillId="0" borderId="1" xfId="0" applyFont="1" applyBorder="1"/>
    <xf numFmtId="44" fontId="2" fillId="0" borderId="1" xfId="1" applyFont="1" applyBorder="1"/>
    <xf numFmtId="169" fontId="24" fillId="3" borderId="0" xfId="0" applyNumberFormat="1" applyFont="1" applyFill="1"/>
    <xf numFmtId="169" fontId="24" fillId="3" borderId="8" xfId="0" applyNumberFormat="1" applyFont="1" applyFill="1" applyBorder="1" applyAlignment="1">
      <alignment horizontal="center"/>
    </xf>
    <xf numFmtId="169" fontId="24" fillId="3" borderId="8" xfId="0" applyNumberFormat="1" applyFont="1" applyFill="1" applyBorder="1" applyAlignment="1">
      <alignment horizontal="left"/>
    </xf>
    <xf numFmtId="1" fontId="13" fillId="4" borderId="21" xfId="0" applyNumberFormat="1" applyFont="1" applyFill="1" applyBorder="1" applyAlignment="1">
      <alignment horizontal="center"/>
    </xf>
    <xf numFmtId="0" fontId="2" fillId="16" borderId="1" xfId="0" applyFont="1" applyFill="1" applyBorder="1"/>
    <xf numFmtId="44" fontId="2" fillId="16" borderId="1" xfId="1" applyFont="1" applyFill="1" applyBorder="1"/>
    <xf numFmtId="165" fontId="6" fillId="5" borderId="26" xfId="0" applyNumberFormat="1" applyFont="1" applyFill="1" applyBorder="1"/>
    <xf numFmtId="170" fontId="0" fillId="0" borderId="0" xfId="0" applyNumberFormat="1"/>
    <xf numFmtId="0" fontId="13" fillId="2" borderId="1" xfId="0" applyFont="1" applyFill="1" applyBorder="1" applyAlignment="1">
      <alignment horizontal="center"/>
    </xf>
    <xf numFmtId="165" fontId="13" fillId="2" borderId="1" xfId="0" applyNumberFormat="1" applyFont="1" applyFill="1" applyBorder="1"/>
    <xf numFmtId="44" fontId="0" fillId="2" borderId="0" xfId="0" applyNumberFormat="1" applyFill="1"/>
    <xf numFmtId="171" fontId="0" fillId="0" borderId="0" xfId="0" applyNumberFormat="1"/>
    <xf numFmtId="168" fontId="4" fillId="2" borderId="1" xfId="1" applyNumberFormat="1" applyFont="1" applyFill="1" applyBorder="1"/>
    <xf numFmtId="44" fontId="20" fillId="2" borderId="1" xfId="1" applyFont="1" applyFill="1" applyBorder="1" applyAlignment="1">
      <alignment wrapText="1"/>
    </xf>
    <xf numFmtId="0" fontId="20" fillId="2" borderId="1" xfId="1" applyNumberFormat="1" applyFont="1" applyFill="1" applyBorder="1" applyAlignment="1"/>
    <xf numFmtId="44" fontId="20" fillId="0" borderId="1" xfId="1" applyFont="1" applyBorder="1" applyAlignment="1"/>
    <xf numFmtId="44" fontId="20" fillId="0" borderId="3" xfId="1" applyFont="1" applyBorder="1" applyAlignment="1"/>
    <xf numFmtId="165" fontId="18" fillId="2" borderId="1" xfId="1" applyNumberFormat="1" applyFont="1" applyFill="1" applyBorder="1"/>
    <xf numFmtId="165" fontId="18" fillId="0" borderId="1" xfId="1" applyNumberFormat="1" applyFont="1" applyBorder="1"/>
    <xf numFmtId="0" fontId="6" fillId="10" borderId="1" xfId="0" applyFont="1" applyFill="1" applyBorder="1"/>
    <xf numFmtId="0" fontId="21" fillId="2" borderId="0" xfId="3" applyFill="1" applyAlignment="1">
      <alignment horizontal="center"/>
    </xf>
    <xf numFmtId="0" fontId="13" fillId="17" borderId="1" xfId="0" applyFont="1" applyFill="1" applyBorder="1"/>
    <xf numFmtId="0" fontId="13" fillId="8" borderId="1" xfId="0" applyFont="1" applyFill="1" applyBorder="1"/>
    <xf numFmtId="0" fontId="13" fillId="5" borderId="1" xfId="0" applyFont="1" applyFill="1" applyBorder="1"/>
    <xf numFmtId="0" fontId="2" fillId="14" borderId="1" xfId="0" applyFont="1" applyFill="1" applyBorder="1"/>
    <xf numFmtId="0" fontId="13" fillId="12" borderId="1" xfId="0" applyFont="1" applyFill="1" applyBorder="1"/>
    <xf numFmtId="0" fontId="13" fillId="18" borderId="1" xfId="0" applyFont="1" applyFill="1" applyBorder="1"/>
    <xf numFmtId="12" fontId="0" fillId="2" borderId="0" xfId="0" applyNumberFormat="1" applyFill="1" applyAlignment="1">
      <alignment horizontal="center" vertical="center" wrapText="1"/>
    </xf>
    <xf numFmtId="166" fontId="6" fillId="12" borderId="21" xfId="1" applyNumberFormat="1" applyFont="1" applyFill="1" applyBorder="1"/>
    <xf numFmtId="172" fontId="6" fillId="12" borderId="21" xfId="1" applyNumberFormat="1" applyFont="1" applyFill="1" applyBorder="1"/>
    <xf numFmtId="166" fontId="6" fillId="11" borderId="1" xfId="1" applyNumberFormat="1" applyFont="1" applyFill="1" applyBorder="1"/>
    <xf numFmtId="165" fontId="6" fillId="13" borderId="11" xfId="1" applyNumberFormat="1" applyFont="1" applyFill="1" applyBorder="1"/>
    <xf numFmtId="166" fontId="6" fillId="12" borderId="19" xfId="1" applyNumberFormat="1" applyFont="1" applyFill="1" applyBorder="1"/>
    <xf numFmtId="44" fontId="20" fillId="2" borderId="3" xfId="1" applyFont="1" applyFill="1" applyBorder="1" applyAlignment="1"/>
    <xf numFmtId="0" fontId="0" fillId="14" borderId="1" xfId="0" applyFill="1" applyBorder="1"/>
    <xf numFmtId="44" fontId="2" fillId="14" borderId="1" xfId="1" applyFont="1" applyFill="1" applyBorder="1"/>
    <xf numFmtId="44" fontId="20" fillId="0" borderId="3" xfId="1" applyFont="1" applyBorder="1" applyAlignment="1">
      <alignment wrapText="1"/>
    </xf>
    <xf numFmtId="168" fontId="0" fillId="0" borderId="0" xfId="0" applyNumberFormat="1"/>
    <xf numFmtId="43" fontId="18" fillId="2" borderId="1" xfId="1" applyNumberFormat="1" applyFont="1" applyFill="1" applyBorder="1"/>
    <xf numFmtId="43" fontId="18" fillId="2" borderId="1" xfId="4" applyFont="1" applyFill="1" applyBorder="1"/>
    <xf numFmtId="43" fontId="18" fillId="0" borderId="1" xfId="1" applyNumberFormat="1" applyFont="1" applyBorder="1"/>
    <xf numFmtId="0" fontId="0" fillId="2" borderId="1" xfId="0" applyFill="1" applyBorder="1" applyAlignment="1">
      <alignment horizontal="left" vertical="center" wrapText="1"/>
    </xf>
    <xf numFmtId="0" fontId="6" fillId="0" borderId="0" xfId="0" applyFont="1"/>
    <xf numFmtId="0" fontId="6" fillId="5" borderId="14" xfId="0" applyFont="1" applyFill="1" applyBorder="1"/>
    <xf numFmtId="0" fontId="6" fillId="5" borderId="12" xfId="0" applyFont="1" applyFill="1" applyBorder="1"/>
    <xf numFmtId="10" fontId="6" fillId="5" borderId="12" xfId="0" applyNumberFormat="1" applyFont="1" applyFill="1" applyBorder="1"/>
    <xf numFmtId="0" fontId="4" fillId="5" borderId="12" xfId="0" applyFont="1" applyFill="1" applyBorder="1"/>
    <xf numFmtId="0" fontId="4" fillId="5" borderId="15" xfId="0" applyFont="1" applyFill="1" applyBorder="1"/>
    <xf numFmtId="0" fontId="17" fillId="10" borderId="1" xfId="0" applyFont="1" applyFill="1" applyBorder="1"/>
    <xf numFmtId="0" fontId="6" fillId="12" borderId="1" xfId="0" applyFont="1" applyFill="1" applyBorder="1"/>
    <xf numFmtId="0" fontId="4" fillId="0" borderId="1" xfId="0" applyFont="1" applyBorder="1" applyAlignment="1">
      <alignment vertical="center" wrapText="1"/>
    </xf>
    <xf numFmtId="0" fontId="4" fillId="2" borderId="1" xfId="0" applyFont="1" applyFill="1" applyBorder="1"/>
    <xf numFmtId="0" fontId="4" fillId="4" borderId="1" xfId="0" applyFont="1" applyFill="1" applyBorder="1"/>
    <xf numFmtId="0" fontId="4" fillId="12" borderId="1" xfId="0" applyFont="1" applyFill="1" applyBorder="1"/>
    <xf numFmtId="0" fontId="4" fillId="0" borderId="7" xfId="0" applyFont="1" applyBorder="1" applyAlignment="1">
      <alignment wrapText="1"/>
    </xf>
    <xf numFmtId="16" fontId="20" fillId="0" borderId="1" xfId="0" applyNumberFormat="1" applyFont="1" applyBorder="1"/>
    <xf numFmtId="0" fontId="6" fillId="4" borderId="1" xfId="0" applyFont="1" applyFill="1" applyBorder="1" applyAlignment="1">
      <alignment wrapText="1"/>
    </xf>
    <xf numFmtId="0" fontId="6" fillId="12" borderId="3" xfId="0" applyFont="1" applyFill="1" applyBorder="1"/>
    <xf numFmtId="0" fontId="6" fillId="12" borderId="4" xfId="0" applyFont="1" applyFill="1" applyBorder="1"/>
    <xf numFmtId="0" fontId="6" fillId="5" borderId="25" xfId="0" applyFont="1" applyFill="1" applyBorder="1"/>
    <xf numFmtId="10" fontId="6" fillId="5" borderId="8" xfId="0" applyNumberFormat="1" applyFont="1" applyFill="1" applyBorder="1"/>
    <xf numFmtId="0" fontId="6" fillId="11" borderId="1" xfId="0" applyFont="1" applyFill="1" applyBorder="1"/>
    <xf numFmtId="0" fontId="6" fillId="13" borderId="14" xfId="0" applyFont="1" applyFill="1" applyBorder="1"/>
    <xf numFmtId="0" fontId="6" fillId="13" borderId="12" xfId="0" applyFont="1" applyFill="1" applyBorder="1"/>
    <xf numFmtId="10" fontId="6" fillId="13" borderId="12" xfId="0" applyNumberFormat="1" applyFont="1" applyFill="1" applyBorder="1"/>
    <xf numFmtId="0" fontId="6" fillId="13" borderId="9" xfId="0" applyFont="1" applyFill="1" applyBorder="1"/>
    <xf numFmtId="0" fontId="4" fillId="13" borderId="10" xfId="0" applyFont="1" applyFill="1" applyBorder="1"/>
    <xf numFmtId="44" fontId="4" fillId="13" borderId="10" xfId="1" applyFont="1" applyFill="1" applyBorder="1"/>
    <xf numFmtId="0" fontId="6" fillId="13" borderId="27" xfId="0" applyFont="1" applyFill="1" applyBorder="1"/>
    <xf numFmtId="0" fontId="6" fillId="13" borderId="24" xfId="0" applyFont="1" applyFill="1" applyBorder="1"/>
    <xf numFmtId="165" fontId="6" fillId="13" borderId="28" xfId="0" applyNumberFormat="1" applyFont="1" applyFill="1" applyBorder="1"/>
    <xf numFmtId="0" fontId="6" fillId="14" borderId="14" xfId="0" applyFont="1" applyFill="1" applyBorder="1"/>
    <xf numFmtId="0" fontId="6" fillId="14" borderId="12" xfId="0" applyFont="1" applyFill="1" applyBorder="1"/>
    <xf numFmtId="10" fontId="6" fillId="14" borderId="12" xfId="0" applyNumberFormat="1" applyFont="1" applyFill="1" applyBorder="1"/>
    <xf numFmtId="0" fontId="0" fillId="19" borderId="14" xfId="0" applyFill="1" applyBorder="1"/>
    <xf numFmtId="0" fontId="0" fillId="19" borderId="12" xfId="0" applyFill="1" applyBorder="1"/>
    <xf numFmtId="0" fontId="0" fillId="19" borderId="16" xfId="0" applyFill="1" applyBorder="1"/>
    <xf numFmtId="0" fontId="0" fillId="19" borderId="0" xfId="0" applyFill="1"/>
    <xf numFmtId="0" fontId="0" fillId="20" borderId="14" xfId="0" applyFill="1" applyBorder="1"/>
    <xf numFmtId="0" fontId="0" fillId="20" borderId="12" xfId="0" applyFill="1" applyBorder="1"/>
    <xf numFmtId="0" fontId="0" fillId="20" borderId="16" xfId="0" applyFill="1" applyBorder="1"/>
    <xf numFmtId="0" fontId="0" fillId="20" borderId="0" xfId="0" applyFill="1"/>
    <xf numFmtId="16" fontId="0" fillId="20" borderId="0" xfId="0" applyNumberFormat="1" applyFill="1"/>
    <xf numFmtId="0" fontId="0" fillId="21" borderId="14" xfId="0" applyFill="1" applyBorder="1"/>
    <xf numFmtId="0" fontId="0" fillId="21" borderId="12" xfId="0" applyFill="1" applyBorder="1"/>
    <xf numFmtId="0" fontId="0" fillId="21" borderId="16" xfId="0" applyFill="1" applyBorder="1"/>
    <xf numFmtId="0" fontId="0" fillId="21" borderId="0" xfId="0" applyFill="1"/>
    <xf numFmtId="16" fontId="0" fillId="21" borderId="0" xfId="0" applyNumberFormat="1" applyFill="1"/>
    <xf numFmtId="0" fontId="0" fillId="22" borderId="14" xfId="0" applyFill="1" applyBorder="1"/>
    <xf numFmtId="0" fontId="0" fillId="22" borderId="12" xfId="0" applyFill="1" applyBorder="1"/>
    <xf numFmtId="0" fontId="0" fillId="22" borderId="16" xfId="0" applyFill="1" applyBorder="1"/>
    <xf numFmtId="0" fontId="0" fillId="22" borderId="0" xfId="0" applyFill="1"/>
    <xf numFmtId="16" fontId="0" fillId="22" borderId="0" xfId="0" applyNumberFormat="1" applyFill="1"/>
    <xf numFmtId="44" fontId="8" fillId="15" borderId="26" xfId="1" applyFont="1" applyFill="1" applyBorder="1"/>
    <xf numFmtId="44" fontId="5" fillId="6" borderId="3" xfId="1" applyFont="1" applyFill="1" applyBorder="1"/>
    <xf numFmtId="0" fontId="8" fillId="15" borderId="14" xfId="0" applyFont="1" applyFill="1" applyBorder="1"/>
    <xf numFmtId="0" fontId="8" fillId="15" borderId="25" xfId="0" applyFont="1" applyFill="1" applyBorder="1"/>
    <xf numFmtId="0" fontId="13" fillId="22" borderId="1" xfId="0" applyFont="1" applyFill="1" applyBorder="1"/>
    <xf numFmtId="0" fontId="13" fillId="23" borderId="1" xfId="0" applyFont="1" applyFill="1" applyBorder="1"/>
    <xf numFmtId="0" fontId="0" fillId="24" borderId="14" xfId="0" applyFill="1" applyBorder="1"/>
    <xf numFmtId="0" fontId="0" fillId="24" borderId="12" xfId="0" applyFill="1" applyBorder="1"/>
    <xf numFmtId="0" fontId="0" fillId="24" borderId="16" xfId="0" applyFill="1" applyBorder="1"/>
    <xf numFmtId="0" fontId="0" fillId="24" borderId="0" xfId="0" applyFill="1"/>
    <xf numFmtId="16" fontId="0" fillId="24" borderId="0" xfId="0" applyNumberFormat="1" applyFill="1"/>
    <xf numFmtId="0" fontId="0" fillId="25" borderId="14" xfId="0" applyFill="1" applyBorder="1"/>
    <xf numFmtId="0" fontId="0" fillId="25" borderId="12" xfId="0" applyFill="1" applyBorder="1"/>
    <xf numFmtId="0" fontId="0" fillId="25" borderId="16" xfId="0" applyFill="1" applyBorder="1"/>
    <xf numFmtId="0" fontId="0" fillId="25" borderId="0" xfId="0" applyFill="1"/>
    <xf numFmtId="16" fontId="0" fillId="25" borderId="0" xfId="0" applyNumberFormat="1" applyFill="1"/>
    <xf numFmtId="0" fontId="13" fillId="26" borderId="1" xfId="0" applyFont="1" applyFill="1" applyBorder="1"/>
    <xf numFmtId="0" fontId="0" fillId="26" borderId="0" xfId="0" applyFill="1"/>
    <xf numFmtId="0" fontId="0" fillId="26" borderId="14" xfId="0" applyFill="1" applyBorder="1"/>
    <xf numFmtId="0" fontId="0" fillId="26" borderId="12" xfId="0" applyFill="1" applyBorder="1"/>
    <xf numFmtId="0" fontId="0" fillId="26" borderId="16" xfId="0" applyFill="1" applyBorder="1"/>
    <xf numFmtId="16" fontId="0" fillId="26" borderId="0" xfId="0" applyNumberFormat="1" applyFill="1"/>
    <xf numFmtId="0" fontId="0" fillId="27" borderId="14" xfId="0" applyFill="1" applyBorder="1"/>
    <xf numFmtId="0" fontId="0" fillId="27" borderId="12" xfId="0" applyFill="1" applyBorder="1"/>
    <xf numFmtId="0" fontId="0" fillId="27" borderId="16" xfId="0" applyFill="1" applyBorder="1"/>
    <xf numFmtId="0" fontId="0" fillId="27" borderId="0" xfId="0" applyFill="1"/>
    <xf numFmtId="16" fontId="0" fillId="27" borderId="0" xfId="0" applyNumberFormat="1" applyFill="1"/>
    <xf numFmtId="0" fontId="0" fillId="28" borderId="14" xfId="0" applyFill="1" applyBorder="1"/>
    <xf numFmtId="0" fontId="0" fillId="28" borderId="12" xfId="0" applyFill="1" applyBorder="1"/>
    <xf numFmtId="0" fontId="0" fillId="28" borderId="16" xfId="0" applyFill="1" applyBorder="1"/>
    <xf numFmtId="0" fontId="0" fillId="28" borderId="0" xfId="0" applyFill="1"/>
    <xf numFmtId="16" fontId="0" fillId="28" borderId="0" xfId="0" applyNumberFormat="1" applyFill="1"/>
    <xf numFmtId="0" fontId="0" fillId="29" borderId="14" xfId="0" applyFill="1" applyBorder="1"/>
    <xf numFmtId="0" fontId="0" fillId="29" borderId="12" xfId="0" applyFill="1" applyBorder="1"/>
    <xf numFmtId="0" fontId="0" fillId="29" borderId="16" xfId="0" applyFill="1" applyBorder="1"/>
    <xf numFmtId="0" fontId="0" fillId="29" borderId="0" xfId="0" applyFill="1"/>
    <xf numFmtId="16" fontId="0" fillId="29" borderId="0" xfId="0" applyNumberFormat="1" applyFill="1"/>
    <xf numFmtId="0" fontId="26" fillId="0" borderId="0" xfId="0" applyFont="1"/>
    <xf numFmtId="0" fontId="13" fillId="29" borderId="1" xfId="0" applyFont="1" applyFill="1" applyBorder="1"/>
    <xf numFmtId="0" fontId="0" fillId="30" borderId="14" xfId="0" applyFill="1" applyBorder="1"/>
    <xf numFmtId="0" fontId="0" fillId="30" borderId="12" xfId="0" applyFill="1" applyBorder="1"/>
    <xf numFmtId="0" fontId="0" fillId="30" borderId="16" xfId="0" applyFill="1" applyBorder="1"/>
    <xf numFmtId="0" fontId="0" fillId="30" borderId="0" xfId="0" applyFill="1"/>
    <xf numFmtId="16" fontId="0" fillId="30" borderId="0" xfId="0" applyNumberFormat="1" applyFill="1"/>
    <xf numFmtId="0" fontId="13" fillId="31" borderId="1" xfId="0" applyFont="1" applyFill="1" applyBorder="1"/>
    <xf numFmtId="0" fontId="0" fillId="31" borderId="14" xfId="0" applyFill="1" applyBorder="1"/>
    <xf numFmtId="0" fontId="0" fillId="31" borderId="12" xfId="0" applyFill="1" applyBorder="1"/>
    <xf numFmtId="0" fontId="0" fillId="31" borderId="16" xfId="0" applyFill="1" applyBorder="1"/>
    <xf numFmtId="0" fontId="0" fillId="31" borderId="0" xfId="0" applyFill="1"/>
    <xf numFmtId="16" fontId="0" fillId="31" borderId="0" xfId="0" applyNumberFormat="1" applyFill="1"/>
    <xf numFmtId="0" fontId="0" fillId="32" borderId="14" xfId="0" applyFill="1" applyBorder="1"/>
    <xf numFmtId="0" fontId="0" fillId="32" borderId="12" xfId="0" applyFill="1" applyBorder="1"/>
    <xf numFmtId="0" fontId="0" fillId="32" borderId="16" xfId="0" applyFill="1" applyBorder="1"/>
    <xf numFmtId="0" fontId="0" fillId="32" borderId="0" xfId="0" applyFill="1"/>
    <xf numFmtId="16" fontId="0" fillId="32" borderId="0" xfId="0" applyNumberFormat="1" applyFill="1"/>
    <xf numFmtId="0" fontId="2" fillId="0" borderId="0" xfId="0" applyFont="1"/>
    <xf numFmtId="0" fontId="0" fillId="11" borderId="14" xfId="0" applyFill="1" applyBorder="1"/>
    <xf numFmtId="0" fontId="0" fillId="11" borderId="12" xfId="0" applyFill="1" applyBorder="1"/>
    <xf numFmtId="0" fontId="0" fillId="11" borderId="16" xfId="0" applyFill="1" applyBorder="1"/>
    <xf numFmtId="0" fontId="0" fillId="11" borderId="0" xfId="0" applyFill="1"/>
    <xf numFmtId="16" fontId="0" fillId="11" borderId="0" xfId="0" applyNumberFormat="1" applyFill="1"/>
    <xf numFmtId="0" fontId="13" fillId="11" borderId="1" xfId="0" applyFont="1" applyFill="1" applyBorder="1"/>
    <xf numFmtId="0" fontId="18" fillId="33" borderId="1" xfId="0" applyFont="1" applyFill="1" applyBorder="1"/>
    <xf numFmtId="0" fontId="0" fillId="33" borderId="14" xfId="0" applyFill="1" applyBorder="1"/>
    <xf numFmtId="0" fontId="0" fillId="33" borderId="12" xfId="0" applyFill="1" applyBorder="1"/>
    <xf numFmtId="0" fontId="0" fillId="33" borderId="16" xfId="0" applyFill="1" applyBorder="1"/>
    <xf numFmtId="0" fontId="0" fillId="33" borderId="0" xfId="0" applyFill="1"/>
    <xf numFmtId="16" fontId="0" fillId="33" borderId="0" xfId="0" applyNumberFormat="1" applyFill="1"/>
    <xf numFmtId="0" fontId="0" fillId="34" borderId="14" xfId="0" applyFill="1" applyBorder="1"/>
    <xf numFmtId="0" fontId="0" fillId="34" borderId="12" xfId="0" applyFill="1" applyBorder="1"/>
    <xf numFmtId="0" fontId="0" fillId="34" borderId="16" xfId="0" applyFill="1" applyBorder="1"/>
    <xf numFmtId="0" fontId="0" fillId="34" borderId="0" xfId="0" applyFill="1"/>
    <xf numFmtId="16" fontId="0" fillId="34" borderId="0" xfId="0" applyNumberFormat="1" applyFill="1"/>
    <xf numFmtId="0" fontId="13" fillId="35" borderId="1" xfId="0" applyFont="1" applyFill="1" applyBorder="1"/>
    <xf numFmtId="0" fontId="0" fillId="35" borderId="14" xfId="0" applyFill="1" applyBorder="1"/>
    <xf numFmtId="0" fontId="0" fillId="35" borderId="12" xfId="0" applyFill="1" applyBorder="1"/>
    <xf numFmtId="0" fontId="0" fillId="35" borderId="16" xfId="0" applyFill="1" applyBorder="1"/>
    <xf numFmtId="0" fontId="0" fillId="35" borderId="0" xfId="0" applyFill="1"/>
    <xf numFmtId="16" fontId="0" fillId="35" borderId="0" xfId="0" applyNumberFormat="1" applyFill="1"/>
    <xf numFmtId="0" fontId="0" fillId="36" borderId="14" xfId="0" applyFill="1" applyBorder="1"/>
    <xf numFmtId="0" fontId="0" fillId="36" borderId="12" xfId="0" applyFill="1" applyBorder="1"/>
    <xf numFmtId="0" fontId="0" fillId="36" borderId="16" xfId="0" applyFill="1" applyBorder="1"/>
    <xf numFmtId="0" fontId="0" fillId="36" borderId="0" xfId="0" applyFill="1"/>
    <xf numFmtId="16" fontId="0" fillId="36" borderId="0" xfId="0" applyNumberFormat="1" applyFill="1"/>
    <xf numFmtId="0" fontId="0" fillId="5" borderId="14" xfId="0" applyFill="1" applyBorder="1"/>
    <xf numFmtId="0" fontId="0" fillId="5" borderId="12" xfId="0" applyFill="1" applyBorder="1"/>
    <xf numFmtId="0" fontId="0" fillId="5" borderId="16" xfId="0" applyFill="1" applyBorder="1"/>
    <xf numFmtId="0" fontId="0" fillId="5" borderId="0" xfId="0" applyFill="1"/>
    <xf numFmtId="16" fontId="0" fillId="5" borderId="0" xfId="0" applyNumberFormat="1" applyFill="1"/>
    <xf numFmtId="0" fontId="0" fillId="4" borderId="14" xfId="0" applyFill="1" applyBorder="1"/>
    <xf numFmtId="0" fontId="0" fillId="4" borderId="12" xfId="0" applyFill="1" applyBorder="1"/>
    <xf numFmtId="0" fontId="0" fillId="4" borderId="16" xfId="0" applyFill="1" applyBorder="1"/>
    <xf numFmtId="0" fontId="0" fillId="4" borderId="0" xfId="0" applyFill="1"/>
    <xf numFmtId="16" fontId="0" fillId="4" borderId="0" xfId="0" applyNumberFormat="1" applyFill="1"/>
    <xf numFmtId="0" fontId="13" fillId="4" borderId="1" xfId="0" applyFont="1" applyFill="1" applyBorder="1"/>
    <xf numFmtId="0" fontId="13" fillId="37" borderId="1" xfId="0" applyFont="1" applyFill="1" applyBorder="1"/>
    <xf numFmtId="0" fontId="0" fillId="37" borderId="14" xfId="0" applyFill="1" applyBorder="1"/>
    <xf numFmtId="0" fontId="0" fillId="37" borderId="12" xfId="0" applyFill="1" applyBorder="1"/>
    <xf numFmtId="0" fontId="0" fillId="37" borderId="16" xfId="0" applyFill="1" applyBorder="1"/>
    <xf numFmtId="0" fontId="0" fillId="37" borderId="0" xfId="0" applyFill="1"/>
    <xf numFmtId="16" fontId="0" fillId="37" borderId="0" xfId="0" applyNumberFormat="1" applyFill="1"/>
    <xf numFmtId="0" fontId="0" fillId="14" borderId="14" xfId="0" applyFill="1" applyBorder="1"/>
    <xf numFmtId="0" fontId="0" fillId="14" borderId="12" xfId="0" applyFill="1" applyBorder="1"/>
    <xf numFmtId="0" fontId="0" fillId="14" borderId="16" xfId="0" applyFill="1" applyBorder="1"/>
    <xf numFmtId="0" fontId="0" fillId="14" borderId="0" xfId="0" applyFill="1"/>
    <xf numFmtId="16" fontId="0" fillId="14" borderId="0" xfId="0" applyNumberFormat="1" applyFill="1"/>
    <xf numFmtId="0" fontId="0" fillId="38" borderId="14" xfId="0" applyFill="1" applyBorder="1"/>
    <xf numFmtId="0" fontId="0" fillId="38" borderId="12" xfId="0" applyFill="1" applyBorder="1"/>
    <xf numFmtId="0" fontId="0" fillId="38" borderId="16" xfId="0" applyFill="1" applyBorder="1"/>
    <xf numFmtId="0" fontId="0" fillId="38" borderId="0" xfId="0" applyFill="1"/>
    <xf numFmtId="16" fontId="0" fillId="38" borderId="0" xfId="0" applyNumberFormat="1" applyFill="1"/>
    <xf numFmtId="0" fontId="0" fillId="23" borderId="14" xfId="0" applyFill="1" applyBorder="1"/>
    <xf numFmtId="0" fontId="0" fillId="23" borderId="12" xfId="0" applyFill="1" applyBorder="1"/>
    <xf numFmtId="0" fontId="0" fillId="23" borderId="16" xfId="0" applyFill="1" applyBorder="1"/>
    <xf numFmtId="0" fontId="0" fillId="23" borderId="0" xfId="0" applyFill="1"/>
    <xf numFmtId="16" fontId="0" fillId="23" borderId="0" xfId="0" applyNumberFormat="1" applyFill="1"/>
    <xf numFmtId="0" fontId="0" fillId="2" borderId="14" xfId="0" applyFill="1" applyBorder="1"/>
    <xf numFmtId="6" fontId="0" fillId="2" borderId="25" xfId="0" applyNumberFormat="1" applyFill="1" applyBorder="1" applyAlignment="1">
      <alignment horizontal="center" vertical="center" wrapText="1"/>
    </xf>
    <xf numFmtId="6" fontId="0" fillId="2" borderId="8" xfId="0" applyNumberFormat="1" applyFill="1" applyBorder="1" applyAlignment="1">
      <alignment horizontal="center" vertical="center" wrapText="1"/>
    </xf>
    <xf numFmtId="6" fontId="0" fillId="2" borderId="26" xfId="0" applyNumberFormat="1" applyFill="1" applyBorder="1" applyAlignment="1">
      <alignment horizontal="center" vertical="center" wrapText="1"/>
    </xf>
    <xf numFmtId="44" fontId="20" fillId="2" borderId="3" xfId="1" applyFont="1" applyFill="1" applyBorder="1" applyAlignment="1">
      <alignment wrapText="1"/>
    </xf>
    <xf numFmtId="44" fontId="2" fillId="0" borderId="13" xfId="0" applyNumberFormat="1" applyFont="1" applyBorder="1"/>
    <xf numFmtId="0" fontId="0" fillId="0" borderId="17" xfId="0" applyBorder="1"/>
    <xf numFmtId="44" fontId="0" fillId="0" borderId="17" xfId="1" applyFont="1" applyBorder="1"/>
    <xf numFmtId="0" fontId="2" fillId="39" borderId="11" xfId="0" applyFont="1" applyFill="1" applyBorder="1" applyAlignment="1">
      <alignment horizontal="center"/>
    </xf>
    <xf numFmtId="44" fontId="2" fillId="0" borderId="0" xfId="1" applyFont="1"/>
    <xf numFmtId="0" fontId="0" fillId="0" borderId="32" xfId="0" applyBorder="1"/>
    <xf numFmtId="44" fontId="0" fillId="0" borderId="33" xfId="1" applyFont="1" applyBorder="1"/>
    <xf numFmtId="0" fontId="0" fillId="0" borderId="36" xfId="0" applyBorder="1"/>
    <xf numFmtId="0" fontId="2" fillId="40" borderId="13" xfId="0" applyFont="1" applyFill="1" applyBorder="1"/>
    <xf numFmtId="44" fontId="0" fillId="0" borderId="37" xfId="1" applyFont="1" applyBorder="1"/>
    <xf numFmtId="44" fontId="2" fillId="40" borderId="13" xfId="1" applyFont="1" applyFill="1" applyBorder="1"/>
    <xf numFmtId="0" fontId="4" fillId="8" borderId="1" xfId="0" applyFont="1" applyFill="1" applyBorder="1"/>
    <xf numFmtId="0" fontId="0" fillId="8" borderId="0" xfId="0" applyFill="1"/>
    <xf numFmtId="8" fontId="2" fillId="2" borderId="0" xfId="0" applyNumberFormat="1" applyFont="1" applyFill="1"/>
    <xf numFmtId="0" fontId="0" fillId="0" borderId="0" xfId="0" applyAlignment="1">
      <alignment vertical="center" wrapText="1"/>
    </xf>
    <xf numFmtId="0" fontId="0" fillId="8" borderId="0" xfId="0" applyFill="1" applyAlignment="1">
      <alignment vertical="center" wrapText="1"/>
    </xf>
    <xf numFmtId="44" fontId="20" fillId="2" borderId="1" xfId="1" applyFont="1" applyFill="1" applyBorder="1" applyAlignment="1"/>
    <xf numFmtId="0" fontId="27" fillId="6" borderId="0" xfId="0" applyFont="1" applyFill="1"/>
    <xf numFmtId="0" fontId="5" fillId="7" borderId="1" xfId="0" applyFont="1" applyFill="1" applyBorder="1"/>
    <xf numFmtId="0" fontId="3" fillId="0" borderId="0" xfId="0" applyFont="1"/>
    <xf numFmtId="0" fontId="5" fillId="0" borderId="1" xfId="0" applyFont="1" applyBorder="1" applyAlignment="1">
      <alignment horizontal="left" vertical="center"/>
    </xf>
    <xf numFmtId="0" fontId="18" fillId="2" borderId="1" xfId="0" applyFont="1" applyFill="1" applyBorder="1"/>
    <xf numFmtId="44" fontId="0" fillId="2" borderId="1" xfId="1" applyFont="1" applyFill="1" applyBorder="1"/>
    <xf numFmtId="44" fontId="4" fillId="2" borderId="1" xfId="1" applyFont="1" applyFill="1" applyBorder="1"/>
    <xf numFmtId="44" fontId="0" fillId="8" borderId="0" xfId="0" applyNumberFormat="1" applyFill="1"/>
    <xf numFmtId="166" fontId="0" fillId="8" borderId="0" xfId="0" applyNumberFormat="1" applyFill="1"/>
    <xf numFmtId="167" fontId="0" fillId="8" borderId="0" xfId="0" applyNumberFormat="1" applyFill="1"/>
    <xf numFmtId="44" fontId="4" fillId="2" borderId="6" xfId="1" applyFont="1" applyFill="1" applyBorder="1"/>
    <xf numFmtId="44" fontId="18" fillId="2" borderId="1" xfId="1" applyFont="1" applyFill="1" applyBorder="1"/>
    <xf numFmtId="8" fontId="4" fillId="2" borderId="1" xfId="0" applyNumberFormat="1" applyFont="1" applyFill="1" applyBorder="1"/>
    <xf numFmtId="44" fontId="4" fillId="2" borderId="1" xfId="1" applyFont="1" applyFill="1" applyBorder="1" applyAlignment="1">
      <alignment wrapText="1"/>
    </xf>
    <xf numFmtId="44" fontId="4" fillId="2" borderId="1" xfId="1" applyFont="1" applyFill="1" applyBorder="1" applyAlignment="1"/>
    <xf numFmtId="168" fontId="4" fillId="2" borderId="1" xfId="0" applyNumberFormat="1" applyFont="1" applyFill="1" applyBorder="1"/>
    <xf numFmtId="44" fontId="4" fillId="14" borderId="1" xfId="1" applyFont="1" applyFill="1" applyBorder="1"/>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15" fillId="8" borderId="14" xfId="0" applyFont="1" applyFill="1" applyBorder="1" applyAlignment="1">
      <alignment horizontal="left" vertical="center" wrapText="1"/>
    </xf>
    <xf numFmtId="0" fontId="15" fillId="8" borderId="15" xfId="0" applyFont="1" applyFill="1" applyBorder="1" applyAlignment="1">
      <alignment horizontal="left" vertical="center" wrapText="1"/>
    </xf>
    <xf numFmtId="0" fontId="15" fillId="8" borderId="16" xfId="0" applyFont="1" applyFill="1" applyBorder="1" applyAlignment="1">
      <alignment horizontal="left" vertical="center" wrapText="1"/>
    </xf>
    <xf numFmtId="0" fontId="15" fillId="8" borderId="17" xfId="0" applyFont="1" applyFill="1" applyBorder="1" applyAlignment="1">
      <alignment horizontal="left" vertical="center" wrapText="1"/>
    </xf>
    <xf numFmtId="0" fontId="15" fillId="8" borderId="25" xfId="0" applyFont="1" applyFill="1" applyBorder="1" applyAlignment="1">
      <alignment horizontal="left" vertical="center" wrapText="1"/>
    </xf>
    <xf numFmtId="0" fontId="15" fillId="8" borderId="26" xfId="0" applyFont="1" applyFill="1" applyBorder="1" applyAlignment="1">
      <alignment horizontal="left" vertical="center" wrapText="1"/>
    </xf>
    <xf numFmtId="0" fontId="8" fillId="6" borderId="0" xfId="0" applyFont="1" applyFill="1" applyAlignment="1">
      <alignment horizontal="center" vertical="center"/>
    </xf>
    <xf numFmtId="0" fontId="4" fillId="0" borderId="1" xfId="0" applyFont="1" applyBorder="1" applyAlignment="1">
      <alignment horizontal="left" vertical="center" wrapText="1"/>
    </xf>
    <xf numFmtId="0" fontId="2" fillId="40" borderId="34" xfId="0" applyFont="1" applyFill="1" applyBorder="1" applyAlignment="1">
      <alignment horizontal="left"/>
    </xf>
    <xf numFmtId="0" fontId="2" fillId="40" borderId="35" xfId="0" applyFont="1" applyFill="1" applyBorder="1" applyAlignment="1">
      <alignment horizontal="left"/>
    </xf>
    <xf numFmtId="0" fontId="4" fillId="2" borderId="6" xfId="0" applyFont="1" applyFill="1" applyBorder="1" applyAlignment="1">
      <alignment horizontal="left" wrapText="1"/>
    </xf>
    <xf numFmtId="0" fontId="4" fillId="2" borderId="7" xfId="0" applyFont="1" applyFill="1" applyBorder="1" applyAlignment="1">
      <alignment horizontal="left" wrapText="1"/>
    </xf>
    <xf numFmtId="0" fontId="16" fillId="8" borderId="0" xfId="0" applyFont="1" applyFill="1" applyAlignment="1">
      <alignment horizontal="center" vertical="center"/>
    </xf>
    <xf numFmtId="0" fontId="4" fillId="2" borderId="23" xfId="0" applyFont="1" applyFill="1" applyBorder="1" applyAlignment="1">
      <alignment horizontal="left" vertical="center" wrapText="1"/>
    </xf>
    <xf numFmtId="0" fontId="25" fillId="7" borderId="0" xfId="0" applyFont="1" applyFill="1" applyAlignment="1">
      <alignment horizontal="left" vertical="center" wrapText="1"/>
    </xf>
    <xf numFmtId="0" fontId="4" fillId="0" borderId="6" xfId="0" applyFont="1" applyBorder="1" applyAlignment="1">
      <alignment horizontal="left" vertical="center"/>
    </xf>
    <xf numFmtId="0" fontId="4" fillId="0" borderId="7" xfId="0" applyFont="1" applyBorder="1" applyAlignment="1">
      <alignment horizontal="left" vertical="center"/>
    </xf>
    <xf numFmtId="0" fontId="5" fillId="3" borderId="9" xfId="0" applyFont="1" applyFill="1" applyBorder="1" applyAlignment="1">
      <alignment horizontal="left" vertical="center" wrapText="1"/>
    </xf>
    <xf numFmtId="0" fontId="5" fillId="3" borderId="10" xfId="0" applyFont="1" applyFill="1" applyBorder="1" applyAlignment="1">
      <alignment horizontal="left" vertical="center" wrapText="1"/>
    </xf>
    <xf numFmtId="0" fontId="5" fillId="3" borderId="11" xfId="0" applyFont="1" applyFill="1" applyBorder="1" applyAlignment="1">
      <alignment horizontal="left" vertical="center" wrapText="1"/>
    </xf>
    <xf numFmtId="0" fontId="5" fillId="3" borderId="9" xfId="0" applyFont="1" applyFill="1" applyBorder="1" applyAlignment="1">
      <alignment horizontal="left"/>
    </xf>
    <xf numFmtId="0" fontId="5" fillId="3" borderId="10" xfId="0" applyFont="1" applyFill="1" applyBorder="1" applyAlignment="1">
      <alignment horizontal="left"/>
    </xf>
    <xf numFmtId="0" fontId="5" fillId="3" borderId="11" xfId="0" applyFont="1" applyFill="1" applyBorder="1" applyAlignment="1">
      <alignment horizontal="left"/>
    </xf>
    <xf numFmtId="0" fontId="2" fillId="3" borderId="10" xfId="0" applyFont="1" applyFill="1" applyBorder="1" applyAlignment="1">
      <alignment horizontal="left"/>
    </xf>
    <xf numFmtId="0" fontId="2" fillId="3" borderId="11" xfId="0" applyFont="1" applyFill="1" applyBorder="1" applyAlignment="1">
      <alignment horizontal="left"/>
    </xf>
    <xf numFmtId="0" fontId="2" fillId="3" borderId="18" xfId="0" applyFont="1" applyFill="1" applyBorder="1" applyAlignment="1">
      <alignment horizontal="center"/>
    </xf>
    <xf numFmtId="0" fontId="2" fillId="3" borderId="19" xfId="0" applyFont="1" applyFill="1" applyBorder="1" applyAlignment="1">
      <alignment horizontal="center"/>
    </xf>
    <xf numFmtId="0" fontId="2" fillId="3" borderId="21" xfId="0" applyFont="1" applyFill="1" applyBorder="1" applyAlignment="1">
      <alignment horizontal="center"/>
    </xf>
    <xf numFmtId="0" fontId="15" fillId="8" borderId="12" xfId="0" applyFont="1" applyFill="1" applyBorder="1" applyAlignment="1">
      <alignment horizontal="left" vertical="center" wrapText="1"/>
    </xf>
    <xf numFmtId="0" fontId="15" fillId="8" borderId="0" xfId="0" applyFont="1" applyFill="1" applyAlignment="1">
      <alignment horizontal="left" vertical="center" wrapText="1"/>
    </xf>
    <xf numFmtId="0" fontId="15" fillId="8" borderId="8" xfId="0" applyFont="1" applyFill="1" applyBorder="1" applyAlignment="1">
      <alignment horizontal="left" vertical="center" wrapText="1"/>
    </xf>
    <xf numFmtId="44" fontId="9" fillId="0" borderId="1" xfId="1" applyFont="1" applyBorder="1"/>
    <xf numFmtId="44" fontId="13" fillId="4" borderId="25" xfId="0" applyNumberFormat="1" applyFont="1" applyFill="1" applyBorder="1" applyAlignment="1">
      <alignment horizontal="center"/>
    </xf>
    <xf numFmtId="44" fontId="13" fillId="4" borderId="26" xfId="0" applyNumberFormat="1" applyFont="1" applyFill="1" applyBorder="1" applyAlignment="1">
      <alignment horizontal="center"/>
    </xf>
    <xf numFmtId="44" fontId="18" fillId="0" borderId="1" xfId="1" applyFont="1" applyBorder="1" applyAlignment="1">
      <alignment horizontal="center"/>
    </xf>
    <xf numFmtId="44" fontId="9" fillId="2" borderId="1" xfId="1" applyFont="1" applyFill="1" applyBorder="1"/>
    <xf numFmtId="0" fontId="11" fillId="3" borderId="18" xfId="0" applyFont="1" applyFill="1" applyBorder="1" applyAlignment="1">
      <alignment horizontal="center" vertical="center" wrapText="1"/>
    </xf>
    <xf numFmtId="0" fontId="11" fillId="3" borderId="20" xfId="0" applyFont="1" applyFill="1" applyBorder="1" applyAlignment="1">
      <alignment horizontal="center" vertical="center" wrapText="1"/>
    </xf>
    <xf numFmtId="169" fontId="25" fillId="3" borderId="8" xfId="0" applyNumberFormat="1" applyFont="1" applyFill="1" applyBorder="1" applyAlignment="1">
      <alignment horizontal="center"/>
    </xf>
    <xf numFmtId="169" fontId="25" fillId="3" borderId="0" xfId="1" applyNumberFormat="1" applyFont="1" applyFill="1" applyAlignment="1">
      <alignment horizontal="center"/>
    </xf>
    <xf numFmtId="169" fontId="25" fillId="3" borderId="8" xfId="1" applyNumberFormat="1" applyFont="1" applyFill="1" applyBorder="1" applyAlignment="1">
      <alignment horizontal="center" vertical="center"/>
    </xf>
    <xf numFmtId="44" fontId="23" fillId="3" borderId="8" xfId="1" applyFont="1" applyFill="1" applyBorder="1" applyAlignment="1">
      <alignment horizontal="left"/>
    </xf>
    <xf numFmtId="0" fontId="14" fillId="3" borderId="14" xfId="0" applyFont="1" applyFill="1" applyBorder="1" applyAlignment="1">
      <alignment horizontal="center" vertical="center" wrapText="1"/>
    </xf>
    <xf numFmtId="0" fontId="14" fillId="3" borderId="15" xfId="0" applyFont="1" applyFill="1" applyBorder="1" applyAlignment="1">
      <alignment horizontal="center" vertical="center" wrapText="1"/>
    </xf>
    <xf numFmtId="0" fontId="14" fillId="3" borderId="29" xfId="0" applyFont="1" applyFill="1" applyBorder="1" applyAlignment="1">
      <alignment horizontal="center" vertical="center" wrapText="1"/>
    </xf>
    <xf numFmtId="0" fontId="14" fillId="3" borderId="30" xfId="0" applyFont="1" applyFill="1" applyBorder="1" applyAlignment="1">
      <alignment horizontal="center" vertical="center" wrapText="1"/>
    </xf>
    <xf numFmtId="0" fontId="23" fillId="3" borderId="0" xfId="0" applyFont="1" applyFill="1" applyAlignment="1">
      <alignment horizontal="center"/>
    </xf>
    <xf numFmtId="169" fontId="24" fillId="3" borderId="0" xfId="0" applyNumberFormat="1" applyFont="1" applyFill="1" applyAlignment="1">
      <alignment horizontal="left" wrapText="1"/>
    </xf>
    <xf numFmtId="0" fontId="11" fillId="3" borderId="14" xfId="0" applyFont="1" applyFill="1" applyBorder="1" applyAlignment="1">
      <alignment horizontal="center" vertical="center"/>
    </xf>
    <xf numFmtId="0" fontId="11" fillId="3" borderId="16" xfId="0" applyFont="1" applyFill="1" applyBorder="1" applyAlignment="1">
      <alignment horizontal="center" vertical="center"/>
    </xf>
    <xf numFmtId="0" fontId="11" fillId="3" borderId="18" xfId="0" applyFont="1" applyFill="1" applyBorder="1" applyAlignment="1">
      <alignment horizontal="center" vertical="center"/>
    </xf>
    <xf numFmtId="0" fontId="11" fillId="3" borderId="19" xfId="0" applyFont="1" applyFill="1" applyBorder="1" applyAlignment="1">
      <alignment horizontal="center" vertical="center"/>
    </xf>
    <xf numFmtId="0" fontId="13" fillId="3" borderId="18" xfId="0" applyFont="1" applyFill="1" applyBorder="1" applyAlignment="1">
      <alignment horizontal="center" vertical="center" wrapText="1"/>
    </xf>
    <xf numFmtId="0" fontId="13" fillId="3" borderId="20" xfId="0" applyFont="1" applyFill="1" applyBorder="1" applyAlignment="1">
      <alignment horizontal="center" vertical="center" wrapText="1"/>
    </xf>
    <xf numFmtId="6" fontId="0" fillId="2" borderId="14" xfId="0" applyNumberFormat="1" applyFill="1" applyBorder="1" applyAlignment="1">
      <alignment horizontal="center" vertical="center" wrapText="1"/>
    </xf>
    <xf numFmtId="6" fontId="0" fillId="2" borderId="12" xfId="0" applyNumberFormat="1" applyFill="1" applyBorder="1" applyAlignment="1">
      <alignment horizontal="center" vertical="center" wrapText="1"/>
    </xf>
    <xf numFmtId="6" fontId="0" fillId="2" borderId="15" xfId="0" applyNumberFormat="1" applyFill="1" applyBorder="1" applyAlignment="1">
      <alignment horizontal="center" vertical="center" wrapText="1"/>
    </xf>
    <xf numFmtId="6" fontId="0" fillId="2" borderId="16" xfId="0" applyNumberFormat="1" applyFill="1" applyBorder="1" applyAlignment="1">
      <alignment horizontal="center" vertical="center" wrapText="1"/>
    </xf>
    <xf numFmtId="6" fontId="0" fillId="2" borderId="0" xfId="0" applyNumberFormat="1" applyFill="1" applyAlignment="1">
      <alignment horizontal="center" vertical="center" wrapText="1"/>
    </xf>
    <xf numFmtId="6" fontId="0" fillId="2" borderId="17" xfId="0" applyNumberFormat="1" applyFill="1" applyBorder="1" applyAlignment="1">
      <alignment horizontal="center" vertical="center" wrapText="1"/>
    </xf>
    <xf numFmtId="6" fontId="0" fillId="2" borderId="25" xfId="0" applyNumberFormat="1" applyFill="1" applyBorder="1" applyAlignment="1">
      <alignment horizontal="center" vertical="center" wrapText="1"/>
    </xf>
    <xf numFmtId="6" fontId="0" fillId="2" borderId="8" xfId="0" applyNumberFormat="1" applyFill="1" applyBorder="1" applyAlignment="1">
      <alignment horizontal="center" vertical="center" wrapText="1"/>
    </xf>
    <xf numFmtId="6" fontId="0" fillId="2" borderId="26" xfId="0" applyNumberFormat="1" applyFill="1" applyBorder="1" applyAlignment="1">
      <alignment horizontal="center" vertical="center" wrapText="1"/>
    </xf>
    <xf numFmtId="0" fontId="0" fillId="8" borderId="16" xfId="0" applyFill="1" applyBorder="1" applyAlignment="1">
      <alignment horizontal="left" wrapText="1"/>
    </xf>
    <xf numFmtId="0" fontId="0" fillId="8" borderId="0" xfId="0" applyFill="1" applyAlignment="1">
      <alignment horizontal="left" wrapText="1"/>
    </xf>
    <xf numFmtId="0" fontId="0" fillId="8" borderId="16" xfId="0" applyFill="1" applyBorder="1" applyAlignment="1">
      <alignment horizontal="center" wrapText="1"/>
    </xf>
    <xf numFmtId="0" fontId="0" fillId="8" borderId="0" xfId="0" applyFill="1" applyAlignment="1">
      <alignment horizontal="center"/>
    </xf>
    <xf numFmtId="0" fontId="0" fillId="8" borderId="16" xfId="0" applyFill="1" applyBorder="1" applyAlignment="1">
      <alignment horizontal="center"/>
    </xf>
    <xf numFmtId="0" fontId="0" fillId="0" borderId="16" xfId="0" applyBorder="1"/>
    <xf numFmtId="0" fontId="0" fillId="0" borderId="0" xfId="0"/>
    <xf numFmtId="0" fontId="0" fillId="0" borderId="9" xfId="0" applyBorder="1"/>
    <xf numFmtId="0" fontId="0" fillId="0" borderId="10" xfId="0" applyBorder="1"/>
    <xf numFmtId="0" fontId="0" fillId="8" borderId="14" xfId="0" applyFill="1" applyBorder="1" applyAlignment="1">
      <alignment horizontal="center" vertical="center" wrapText="1"/>
    </xf>
    <xf numFmtId="0" fontId="0" fillId="8" borderId="12" xfId="0" applyFill="1" applyBorder="1" applyAlignment="1">
      <alignment horizontal="center" vertical="center" wrapText="1"/>
    </xf>
    <xf numFmtId="0" fontId="0" fillId="8" borderId="15" xfId="0" applyFill="1" applyBorder="1" applyAlignment="1">
      <alignment horizontal="center" vertical="center" wrapText="1"/>
    </xf>
    <xf numFmtId="0" fontId="0" fillId="8" borderId="16" xfId="0" applyFill="1" applyBorder="1" applyAlignment="1">
      <alignment horizontal="center" vertical="center" wrapText="1"/>
    </xf>
    <xf numFmtId="0" fontId="0" fillId="8" borderId="0" xfId="0" applyFill="1" applyAlignment="1">
      <alignment horizontal="center" vertical="center" wrapText="1"/>
    </xf>
    <xf numFmtId="0" fontId="0" fillId="8" borderId="17" xfId="0" applyFill="1" applyBorder="1" applyAlignment="1">
      <alignment horizontal="center" vertical="center" wrapText="1"/>
    </xf>
    <xf numFmtId="0" fontId="0" fillId="8" borderId="25" xfId="0" applyFill="1" applyBorder="1" applyAlignment="1">
      <alignment horizontal="center" vertical="center" wrapText="1"/>
    </xf>
    <xf numFmtId="0" fontId="0" fillId="8" borderId="8" xfId="0" applyFill="1" applyBorder="1" applyAlignment="1">
      <alignment horizontal="center" vertical="center" wrapText="1"/>
    </xf>
    <xf numFmtId="0" fontId="0" fillId="8" borderId="26" xfId="0" applyFill="1" applyBorder="1" applyAlignment="1">
      <alignment horizontal="center" vertical="center" wrapText="1"/>
    </xf>
    <xf numFmtId="0" fontId="2" fillId="39" borderId="9" xfId="0" applyFont="1" applyFill="1" applyBorder="1" applyAlignment="1">
      <alignment horizontal="center"/>
    </xf>
    <xf numFmtId="0" fontId="2" fillId="39" borderId="10" xfId="0" applyFont="1" applyFill="1" applyBorder="1" applyAlignment="1">
      <alignment horizontal="center"/>
    </xf>
    <xf numFmtId="0" fontId="2" fillId="39" borderId="11" xfId="0" applyFont="1" applyFill="1" applyBorder="1" applyAlignment="1">
      <alignment horizontal="center"/>
    </xf>
    <xf numFmtId="0" fontId="0" fillId="0" borderId="14" xfId="0" applyBorder="1"/>
    <xf numFmtId="0" fontId="0" fillId="0" borderId="12" xfId="0" applyBorder="1"/>
  </cellXfs>
  <cellStyles count="5">
    <cellStyle name="Hipervínculo" xfId="3" builtinId="8"/>
    <cellStyle name="Millares" xfId="4" builtinId="3"/>
    <cellStyle name="Moneda" xfId="1" builtinId="4"/>
    <cellStyle name="Moneda 2" xfId="2" xr:uid="{00000000-0005-0000-0000-000002000000}"/>
    <cellStyle name="Normal" xfId="0" builtinId="0"/>
  </cellStyles>
  <dxfs count="0"/>
  <tableStyles count="0" defaultTableStyle="TableStyleMedium2" defaultPivotStyle="PivotStyleLight16"/>
  <colors>
    <mruColors>
      <color rgb="FFFFFF99"/>
      <color rgb="FFCC6600"/>
      <color rgb="FF9999FF"/>
      <color rgb="FF800000"/>
      <color rgb="FFCCFFCC"/>
      <color rgb="FF000000"/>
      <color rgb="FFA50021"/>
      <color rgb="FF00CCFF"/>
      <color rgb="FFFF00FF"/>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80008</xdr:rowOff>
    </xdr:from>
    <xdr:to>
      <xdr:col>0</xdr:col>
      <xdr:colOff>2400300</xdr:colOff>
      <xdr:row>7</xdr:row>
      <xdr:rowOff>101599</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 y="80008"/>
          <a:ext cx="2362200" cy="1647191"/>
        </a:xfrm>
        <a:prstGeom prst="rect">
          <a:avLst/>
        </a:prstGeom>
        <a:noFill/>
        <a:ln>
          <a:solidFill>
            <a:schemeClr val="tx1"/>
          </a:solid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ventas@quimicaros.com.ar" TargetMode="External"/><Relationship Id="rId2" Type="http://schemas.openxmlformats.org/officeDocument/2006/relationships/hyperlink" Target="mailto:vivibpapa@gmail.com%20-%20Viviana%20papa" TargetMode="External"/><Relationship Id="rId1" Type="http://schemas.openxmlformats.org/officeDocument/2006/relationships/hyperlink" Target="mailto:polypeirano@yahoo.com" TargetMode="External"/><Relationship Id="rId5" Type="http://schemas.openxmlformats.org/officeDocument/2006/relationships/printerSettings" Target="../printerSettings/printerSettings2.bin"/><Relationship Id="rId4" Type="http://schemas.openxmlformats.org/officeDocument/2006/relationships/hyperlink" Target="mailto:ventas@quimicaros.com.ar"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lelu_12@hotmail.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7"/>
  <sheetViews>
    <sheetView tabSelected="1" zoomScale="80" zoomScaleNormal="80" workbookViewId="0">
      <selection activeCell="A15" sqref="A15:E18"/>
    </sheetView>
  </sheetViews>
  <sheetFormatPr baseColWidth="10" defaultColWidth="10.85546875" defaultRowHeight="15" x14ac:dyDescent="0.25"/>
  <cols>
    <col min="1" max="1" width="37.5703125" customWidth="1"/>
    <col min="2" max="2" width="24.7109375" customWidth="1"/>
    <col min="3" max="3" width="15.85546875" hidden="1" customWidth="1"/>
    <col min="4" max="4" width="21.28515625" customWidth="1"/>
    <col min="5" max="5" width="15.140625" customWidth="1"/>
    <col min="6" max="6" width="16.42578125" bestFit="1" customWidth="1"/>
    <col min="7" max="7" width="15.42578125" bestFit="1" customWidth="1"/>
    <col min="9" max="9" width="14.140625" bestFit="1" customWidth="1"/>
    <col min="11" max="11" width="18" customWidth="1"/>
    <col min="12" max="12" width="18.28515625" customWidth="1"/>
  </cols>
  <sheetData>
    <row r="1" spans="1:5" ht="15.75" thickBot="1" x14ac:dyDescent="0.3">
      <c r="A1" s="394"/>
      <c r="B1" s="389" t="s">
        <v>158</v>
      </c>
      <c r="C1" s="390"/>
      <c r="D1" s="390"/>
      <c r="E1" s="391"/>
    </row>
    <row r="2" spans="1:5" ht="15.75" thickBot="1" x14ac:dyDescent="0.3">
      <c r="A2" s="395"/>
      <c r="B2" s="389" t="s">
        <v>160</v>
      </c>
      <c r="C2" s="390"/>
      <c r="D2" s="390"/>
      <c r="E2" s="391"/>
    </row>
    <row r="3" spans="1:5" ht="32.25" customHeight="1" thickBot="1" x14ac:dyDescent="0.3">
      <c r="A3" s="395"/>
      <c r="B3" s="386" t="s">
        <v>156</v>
      </c>
      <c r="C3" s="387"/>
      <c r="D3" s="387"/>
      <c r="E3" s="388"/>
    </row>
    <row r="4" spans="1:5" ht="15.75" thickBot="1" x14ac:dyDescent="0.3">
      <c r="A4" s="395"/>
      <c r="B4" s="68" t="s">
        <v>157</v>
      </c>
      <c r="C4" s="67"/>
      <c r="D4" s="67"/>
      <c r="E4" s="67"/>
    </row>
    <row r="5" spans="1:5" ht="16.899999999999999" customHeight="1" thickBot="1" x14ac:dyDescent="0.3">
      <c r="A5" s="395"/>
      <c r="B5" s="71" t="s">
        <v>320</v>
      </c>
      <c r="C5" s="69"/>
      <c r="D5" s="69"/>
      <c r="E5" s="70"/>
    </row>
    <row r="6" spans="1:5" ht="16.899999999999999" customHeight="1" thickBot="1" x14ac:dyDescent="0.3">
      <c r="A6" s="395"/>
      <c r="B6" s="72" t="s">
        <v>303</v>
      </c>
      <c r="C6" s="69"/>
      <c r="D6" s="69"/>
      <c r="E6" s="70"/>
    </row>
    <row r="7" spans="1:5" ht="16.899999999999999" customHeight="1" thickBot="1" x14ac:dyDescent="0.3">
      <c r="A7" s="395"/>
      <c r="B7" s="72" t="s">
        <v>302</v>
      </c>
      <c r="C7" s="69"/>
      <c r="D7" s="69"/>
      <c r="E7" s="70"/>
    </row>
    <row r="8" spans="1:5" ht="15.75" thickBot="1" x14ac:dyDescent="0.3">
      <c r="A8" s="396"/>
      <c r="B8" s="392" t="s">
        <v>159</v>
      </c>
      <c r="C8" s="392"/>
      <c r="D8" s="392"/>
      <c r="E8" s="393"/>
    </row>
    <row r="10" spans="1:5" ht="14.45" customHeight="1" x14ac:dyDescent="0.25">
      <c r="A10" s="381" t="s">
        <v>319</v>
      </c>
      <c r="B10" s="381"/>
      <c r="C10" s="381"/>
      <c r="D10" s="381"/>
      <c r="E10" s="381"/>
    </row>
    <row r="11" spans="1:5" ht="14.45" customHeight="1" x14ac:dyDescent="0.25">
      <c r="A11" s="381"/>
      <c r="B11" s="381"/>
      <c r="C11" s="381"/>
      <c r="D11" s="381"/>
      <c r="E11" s="381"/>
    </row>
    <row r="12" spans="1:5" ht="14.45" customHeight="1" x14ac:dyDescent="0.25">
      <c r="A12" s="381"/>
      <c r="B12" s="381"/>
      <c r="C12" s="381"/>
      <c r="D12" s="381"/>
      <c r="E12" s="381"/>
    </row>
    <row r="13" spans="1:5" x14ac:dyDescent="0.25">
      <c r="A13" s="46"/>
      <c r="B13" s="46"/>
      <c r="C13" s="46"/>
      <c r="D13" s="46"/>
      <c r="E13" s="46"/>
    </row>
    <row r="14" spans="1:5" ht="14.45" hidden="1" customHeight="1" x14ac:dyDescent="0.25">
      <c r="A14" s="46"/>
      <c r="B14" s="46"/>
      <c r="C14" s="46"/>
      <c r="D14" s="46"/>
      <c r="E14" s="46"/>
    </row>
    <row r="15" spans="1:5" ht="15" customHeight="1" x14ac:dyDescent="0.25">
      <c r="A15" s="383" t="s">
        <v>251</v>
      </c>
      <c r="B15" s="383"/>
      <c r="C15" s="383"/>
      <c r="D15" s="383"/>
      <c r="E15" s="383"/>
    </row>
    <row r="16" spans="1:5" ht="15" customHeight="1" x14ac:dyDescent="0.25">
      <c r="A16" s="383"/>
      <c r="B16" s="383"/>
      <c r="C16" s="383"/>
      <c r="D16" s="383"/>
      <c r="E16" s="383"/>
    </row>
    <row r="17" spans="1:8" ht="15" customHeight="1" x14ac:dyDescent="0.25">
      <c r="A17" s="383"/>
      <c r="B17" s="383"/>
      <c r="C17" s="383"/>
      <c r="D17" s="383"/>
      <c r="E17" s="383"/>
    </row>
    <row r="18" spans="1:8" ht="243" customHeight="1" x14ac:dyDescent="0.25">
      <c r="A18" s="383"/>
      <c r="B18" s="383"/>
      <c r="C18" s="383"/>
      <c r="D18" s="383"/>
      <c r="E18" s="383"/>
    </row>
    <row r="19" spans="1:8" ht="14.25" customHeight="1" thickBot="1" x14ac:dyDescent="0.3">
      <c r="A19" s="46"/>
      <c r="B19" s="46"/>
      <c r="C19" s="46"/>
      <c r="D19" s="46"/>
      <c r="E19" s="46"/>
    </row>
    <row r="20" spans="1:8" ht="14.45" hidden="1" customHeight="1" x14ac:dyDescent="0.25">
      <c r="A20" s="159"/>
      <c r="B20" s="46"/>
      <c r="C20" s="46"/>
      <c r="D20" s="46"/>
      <c r="E20" s="46"/>
    </row>
    <row r="21" spans="1:8" ht="15" hidden="1" customHeight="1" thickBot="1" x14ac:dyDescent="0.3">
      <c r="A21" s="46"/>
      <c r="B21" s="46"/>
      <c r="C21" s="46"/>
      <c r="D21" s="46"/>
      <c r="E21" s="46"/>
    </row>
    <row r="22" spans="1:8" x14ac:dyDescent="0.25">
      <c r="A22" s="160" t="s">
        <v>5</v>
      </c>
      <c r="B22" s="161"/>
      <c r="C22" s="162"/>
      <c r="D22" s="163"/>
      <c r="E22" s="164"/>
    </row>
    <row r="23" spans="1:8" x14ac:dyDescent="0.25">
      <c r="A23" s="12" t="s">
        <v>18</v>
      </c>
      <c r="B23" s="12"/>
      <c r="C23" s="12"/>
      <c r="D23" s="12"/>
      <c r="E23" s="12"/>
    </row>
    <row r="24" spans="1:8" ht="20.25" customHeight="1" x14ac:dyDescent="0.25">
      <c r="A24" s="365" t="s">
        <v>321</v>
      </c>
      <c r="B24" s="366"/>
      <c r="C24" s="38"/>
      <c r="D24" s="360">
        <v>1905620.63</v>
      </c>
      <c r="E24" s="38"/>
      <c r="G24" s="124"/>
    </row>
    <row r="25" spans="1:8" x14ac:dyDescent="0.25">
      <c r="A25" s="38" t="s">
        <v>322</v>
      </c>
      <c r="B25" s="38"/>
      <c r="C25" s="38"/>
      <c r="D25" s="360">
        <v>-414472.49</v>
      </c>
      <c r="E25" s="38"/>
      <c r="G25" s="4"/>
    </row>
    <row r="26" spans="1:8" x14ac:dyDescent="0.25">
      <c r="A26" s="38" t="s">
        <v>323</v>
      </c>
      <c r="B26" s="38"/>
      <c r="C26" s="38"/>
      <c r="D26" s="360">
        <v>0.86</v>
      </c>
      <c r="E26" s="38"/>
      <c r="G26" s="4"/>
    </row>
    <row r="27" spans="1:8" x14ac:dyDescent="0.25">
      <c r="A27" s="165" t="s">
        <v>19</v>
      </c>
      <c r="B27" s="165"/>
      <c r="C27" s="165"/>
      <c r="D27" s="48">
        <f>SUM(D24:D26)</f>
        <v>1491149</v>
      </c>
      <c r="E27" s="136"/>
      <c r="F27" s="4"/>
      <c r="G27" s="4"/>
      <c r="H27" s="124"/>
    </row>
    <row r="28" spans="1:8" ht="32.25" customHeight="1" x14ac:dyDescent="0.25">
      <c r="A28" s="365" t="s">
        <v>254</v>
      </c>
      <c r="B28" s="366"/>
      <c r="C28" s="38"/>
      <c r="D28" s="360">
        <v>920000</v>
      </c>
      <c r="E28" s="38" t="s">
        <v>369</v>
      </c>
      <c r="G28" s="4"/>
    </row>
    <row r="29" spans="1:8" x14ac:dyDescent="0.25">
      <c r="A29" s="165" t="s">
        <v>19</v>
      </c>
      <c r="B29" s="165"/>
      <c r="C29" s="165"/>
      <c r="D29" s="48">
        <f>SUM(D28:D28)</f>
        <v>920000</v>
      </c>
      <c r="E29" s="39"/>
      <c r="G29" s="4"/>
    </row>
    <row r="30" spans="1:8" ht="18" customHeight="1" thickBot="1" x14ac:dyDescent="0.3">
      <c r="A30" s="166" t="s">
        <v>171</v>
      </c>
      <c r="B30" s="166"/>
      <c r="C30" s="166"/>
      <c r="D30" s="61"/>
      <c r="E30" s="146">
        <f>D27+D29</f>
        <v>2411149</v>
      </c>
      <c r="F30" s="4"/>
    </row>
    <row r="31" spans="1:8" x14ac:dyDescent="0.25">
      <c r="A31" s="12" t="s">
        <v>177</v>
      </c>
      <c r="B31" s="13"/>
      <c r="C31" s="13"/>
      <c r="D31" s="15"/>
      <c r="E31" s="30"/>
    </row>
    <row r="32" spans="1:8" s="19" customFormat="1" ht="15" customHeight="1" x14ac:dyDescent="0.25">
      <c r="A32" s="38" t="s">
        <v>327</v>
      </c>
      <c r="B32" s="38"/>
      <c r="C32" s="167"/>
      <c r="D32" s="361">
        <v>647028.12</v>
      </c>
      <c r="E32" s="130" t="s">
        <v>460</v>
      </c>
      <c r="G32" s="57"/>
    </row>
    <row r="33" spans="1:9" s="19" customFormat="1" ht="15" customHeight="1" x14ac:dyDescent="0.25">
      <c r="A33" s="168" t="s">
        <v>328</v>
      </c>
      <c r="B33" s="38" t="s">
        <v>11</v>
      </c>
      <c r="C33" s="167"/>
      <c r="D33" s="361">
        <v>63494.64</v>
      </c>
      <c r="E33" s="130" t="s">
        <v>461</v>
      </c>
      <c r="G33" s="57"/>
    </row>
    <row r="34" spans="1:9" s="19" customFormat="1" ht="15" customHeight="1" x14ac:dyDescent="0.25">
      <c r="A34" s="168" t="str">
        <f>A33</f>
        <v>Sindicatos mes de SEPTIEMBRE</v>
      </c>
      <c r="B34" s="38" t="s">
        <v>20</v>
      </c>
      <c r="C34" s="167"/>
      <c r="D34" s="361">
        <v>117134.48</v>
      </c>
      <c r="E34" s="130" t="str">
        <f>E33</f>
        <v>Debito 13/10</v>
      </c>
      <c r="G34" s="57"/>
    </row>
    <row r="35" spans="1:9" ht="15" customHeight="1" x14ac:dyDescent="0.25">
      <c r="A35" s="168" t="str">
        <f>A34</f>
        <v>Sindicatos mes de SEPTIEMBRE</v>
      </c>
      <c r="B35" s="38" t="s">
        <v>10</v>
      </c>
      <c r="C35" s="167"/>
      <c r="D35" s="362">
        <v>7054.96</v>
      </c>
      <c r="E35" s="130" t="str">
        <f>E34</f>
        <v>Debito 13/10</v>
      </c>
      <c r="H35" s="51"/>
    </row>
    <row r="36" spans="1:9" ht="15.75" thickBot="1" x14ac:dyDescent="0.3">
      <c r="A36" s="166" t="s">
        <v>150</v>
      </c>
      <c r="B36" s="166"/>
      <c r="C36" s="166"/>
      <c r="D36" s="60"/>
      <c r="E36" s="145">
        <f>SUM(D32:D35)</f>
        <v>834712.2</v>
      </c>
    </row>
    <row r="37" spans="1:9" x14ac:dyDescent="0.25">
      <c r="A37" s="12" t="s">
        <v>170</v>
      </c>
      <c r="B37" s="169"/>
      <c r="C37" s="169"/>
      <c r="D37" s="18"/>
      <c r="E37" s="41"/>
    </row>
    <row r="38" spans="1:9" ht="31.9" customHeight="1" x14ac:dyDescent="0.25">
      <c r="A38" s="367" t="s">
        <v>284</v>
      </c>
      <c r="B38" s="368"/>
      <c r="C38" s="38"/>
      <c r="D38" s="354">
        <v>148964</v>
      </c>
      <c r="E38" s="131" t="s">
        <v>467</v>
      </c>
    </row>
    <row r="39" spans="1:9" ht="31.9" customHeight="1" x14ac:dyDescent="0.25">
      <c r="A39" s="367" t="s">
        <v>285</v>
      </c>
      <c r="B39" s="368"/>
      <c r="C39" s="38"/>
      <c r="D39" s="354">
        <v>5619</v>
      </c>
      <c r="E39" s="131" t="s">
        <v>468</v>
      </c>
    </row>
    <row r="40" spans="1:9" ht="31.9" customHeight="1" x14ac:dyDescent="0.25">
      <c r="A40" s="367" t="s">
        <v>178</v>
      </c>
      <c r="B40" s="368"/>
      <c r="C40" s="38"/>
      <c r="D40" s="354">
        <v>14585.38</v>
      </c>
      <c r="E40" s="131" t="s">
        <v>464</v>
      </c>
    </row>
    <row r="41" spans="1:9" ht="31.9" customHeight="1" x14ac:dyDescent="0.25">
      <c r="A41" s="367" t="s">
        <v>178</v>
      </c>
      <c r="B41" s="368"/>
      <c r="C41" s="38"/>
      <c r="D41" s="354">
        <v>18195</v>
      </c>
      <c r="E41" s="131" t="s">
        <v>459</v>
      </c>
    </row>
    <row r="42" spans="1:9" ht="15" customHeight="1" thickBot="1" x14ac:dyDescent="0.3">
      <c r="A42" s="166" t="s">
        <v>151</v>
      </c>
      <c r="B42" s="170"/>
      <c r="C42" s="170"/>
      <c r="D42" s="62"/>
      <c r="E42" s="77">
        <f>SUM(D38:D41)</f>
        <v>187363.38</v>
      </c>
    </row>
    <row r="43" spans="1:9" ht="15" customHeight="1" thickBot="1" x14ac:dyDescent="0.3">
      <c r="A43" s="102" t="s">
        <v>179</v>
      </c>
      <c r="B43" s="13"/>
      <c r="C43" s="13"/>
      <c r="D43" s="17"/>
      <c r="E43" s="43"/>
    </row>
    <row r="44" spans="1:9" ht="33.950000000000003" customHeight="1" x14ac:dyDescent="0.25">
      <c r="A44" s="367" t="s">
        <v>329</v>
      </c>
      <c r="B44" s="382"/>
      <c r="C44" s="171"/>
      <c r="D44" s="354">
        <v>43345103.359999999</v>
      </c>
      <c r="E44" s="42" t="s">
        <v>382</v>
      </c>
      <c r="G44" t="s">
        <v>245</v>
      </c>
      <c r="I44" s="55"/>
    </row>
    <row r="45" spans="1:9" ht="33.950000000000003" customHeight="1" x14ac:dyDescent="0.25">
      <c r="A45" s="367" t="s">
        <v>330</v>
      </c>
      <c r="B45" s="382"/>
      <c r="C45" s="171"/>
      <c r="D45" s="354">
        <v>4509237.5999999996</v>
      </c>
      <c r="E45" s="131" t="s">
        <v>462</v>
      </c>
      <c r="F45" s="24"/>
    </row>
    <row r="46" spans="1:9" ht="17.45" customHeight="1" x14ac:dyDescent="0.25">
      <c r="A46" s="166" t="s">
        <v>180</v>
      </c>
      <c r="B46" s="63"/>
      <c r="C46" s="63"/>
      <c r="D46" s="63"/>
      <c r="E46" s="78">
        <f>SUM(D44:D45)</f>
        <v>47854340.960000001</v>
      </c>
    </row>
    <row r="47" spans="1:9" ht="17.45" customHeight="1" x14ac:dyDescent="0.25">
      <c r="A47" s="102" t="s">
        <v>181</v>
      </c>
      <c r="B47" s="102"/>
      <c r="C47" s="102" t="s">
        <v>179</v>
      </c>
      <c r="D47" s="102"/>
      <c r="E47" s="102"/>
    </row>
    <row r="48" spans="1:9" ht="35.1" customHeight="1" x14ac:dyDescent="0.25">
      <c r="A48" s="367" t="s">
        <v>287</v>
      </c>
      <c r="B48" s="382"/>
      <c r="C48" s="171"/>
      <c r="D48" s="354">
        <v>1110121.05</v>
      </c>
      <c r="E48" s="45" t="s">
        <v>382</v>
      </c>
    </row>
    <row r="49" spans="1:8" ht="35.1" customHeight="1" x14ac:dyDescent="0.25">
      <c r="A49" s="367" t="s">
        <v>465</v>
      </c>
      <c r="B49" s="382"/>
      <c r="C49" s="171"/>
      <c r="D49" s="354">
        <v>496499.3</v>
      </c>
      <c r="E49" s="45" t="s">
        <v>409</v>
      </c>
    </row>
    <row r="50" spans="1:8" ht="35.1" customHeight="1" x14ac:dyDescent="0.25">
      <c r="A50" s="367" t="s">
        <v>306</v>
      </c>
      <c r="B50" s="368"/>
      <c r="C50" s="172"/>
      <c r="D50" s="354">
        <v>5500000</v>
      </c>
      <c r="E50" s="45" t="s">
        <v>379</v>
      </c>
      <c r="G50" s="51"/>
    </row>
    <row r="51" spans="1:8" ht="35.1" customHeight="1" x14ac:dyDescent="0.25">
      <c r="A51" s="367" t="s">
        <v>416</v>
      </c>
      <c r="B51" s="368"/>
      <c r="C51" s="172"/>
      <c r="D51" s="354">
        <v>2400000</v>
      </c>
      <c r="E51" s="45" t="s">
        <v>414</v>
      </c>
    </row>
    <row r="52" spans="1:8" ht="35.1" customHeight="1" x14ac:dyDescent="0.25">
      <c r="A52" s="367" t="s">
        <v>424</v>
      </c>
      <c r="B52" s="368"/>
      <c r="C52" s="172"/>
      <c r="D52" s="354">
        <v>450000</v>
      </c>
      <c r="E52" s="45" t="s">
        <v>377</v>
      </c>
    </row>
    <row r="53" spans="1:8" ht="60" customHeight="1" x14ac:dyDescent="0.25">
      <c r="A53" s="367" t="s">
        <v>371</v>
      </c>
      <c r="B53" s="368"/>
      <c r="C53" s="172"/>
      <c r="D53" s="354">
        <v>228690</v>
      </c>
      <c r="E53" s="150" t="s">
        <v>370</v>
      </c>
    </row>
    <row r="54" spans="1:8" ht="44.25" customHeight="1" x14ac:dyDescent="0.25">
      <c r="A54" s="367" t="s">
        <v>373</v>
      </c>
      <c r="B54" s="368"/>
      <c r="C54" s="172"/>
      <c r="D54" s="354">
        <v>659227.31999999995</v>
      </c>
      <c r="E54" s="45" t="s">
        <v>370</v>
      </c>
    </row>
    <row r="55" spans="1:8" ht="35.1" customHeight="1" x14ac:dyDescent="0.25">
      <c r="A55" s="367" t="s">
        <v>378</v>
      </c>
      <c r="B55" s="382"/>
      <c r="C55" s="171"/>
      <c r="D55" s="354">
        <v>136125</v>
      </c>
      <c r="E55" s="132" t="s">
        <v>369</v>
      </c>
    </row>
    <row r="56" spans="1:8" ht="35.1" customHeight="1" x14ac:dyDescent="0.25">
      <c r="A56" s="367" t="s">
        <v>426</v>
      </c>
      <c r="B56" s="368"/>
      <c r="C56" s="38"/>
      <c r="D56" s="129">
        <v>650000</v>
      </c>
      <c r="E56" s="330" t="s">
        <v>386</v>
      </c>
    </row>
    <row r="57" spans="1:8" ht="35.1" customHeight="1" x14ac:dyDescent="0.25">
      <c r="A57" s="365" t="s">
        <v>456</v>
      </c>
      <c r="B57" s="366"/>
      <c r="C57" s="38"/>
      <c r="D57" s="129">
        <f>700000+878430</f>
        <v>1578430</v>
      </c>
      <c r="E57" s="153" t="s">
        <v>379</v>
      </c>
    </row>
    <row r="58" spans="1:8" ht="48" customHeight="1" x14ac:dyDescent="0.25">
      <c r="A58" s="365" t="s">
        <v>457</v>
      </c>
      <c r="B58" s="366"/>
      <c r="C58" s="38"/>
      <c r="D58" s="129">
        <v>260000</v>
      </c>
      <c r="E58" s="153" t="s">
        <v>379</v>
      </c>
    </row>
    <row r="59" spans="1:8" ht="35.1" customHeight="1" x14ac:dyDescent="0.25">
      <c r="A59" s="365" t="s">
        <v>376</v>
      </c>
      <c r="B59" s="366"/>
      <c r="C59" s="38"/>
      <c r="D59" s="129">
        <v>90000</v>
      </c>
      <c r="E59" s="132" t="s">
        <v>386</v>
      </c>
    </row>
    <row r="60" spans="1:8" ht="35.1" customHeight="1" x14ac:dyDescent="0.25">
      <c r="A60" s="365" t="s">
        <v>419</v>
      </c>
      <c r="B60" s="366"/>
      <c r="C60" s="38"/>
      <c r="D60" s="129">
        <v>90000</v>
      </c>
      <c r="E60" s="132" t="s">
        <v>377</v>
      </c>
    </row>
    <row r="61" spans="1:8" ht="35.1" customHeight="1" x14ac:dyDescent="0.25">
      <c r="A61" s="365" t="s">
        <v>415</v>
      </c>
      <c r="B61" s="366"/>
      <c r="C61" s="38"/>
      <c r="D61" s="129">
        <v>270000</v>
      </c>
      <c r="E61" s="132" t="s">
        <v>414</v>
      </c>
      <c r="G61" s="154"/>
      <c r="H61" s="154"/>
    </row>
    <row r="62" spans="1:8" ht="35.1" customHeight="1" x14ac:dyDescent="0.25">
      <c r="A62" s="365" t="s">
        <v>418</v>
      </c>
      <c r="B62" s="366"/>
      <c r="C62" s="38"/>
      <c r="D62" s="129">
        <v>180000</v>
      </c>
      <c r="E62" s="45" t="s">
        <v>417</v>
      </c>
      <c r="G62" s="154"/>
      <c r="H62" s="154"/>
    </row>
    <row r="63" spans="1:8" ht="35.1" customHeight="1" x14ac:dyDescent="0.25">
      <c r="A63" s="365" t="s">
        <v>482</v>
      </c>
      <c r="B63" s="366"/>
      <c r="C63" s="38"/>
      <c r="D63" s="129">
        <v>90000</v>
      </c>
      <c r="E63" s="45" t="s">
        <v>417</v>
      </c>
      <c r="G63" s="154"/>
      <c r="H63" s="154"/>
    </row>
    <row r="64" spans="1:8" ht="35.1" customHeight="1" x14ac:dyDescent="0.25">
      <c r="A64" s="367" t="s">
        <v>484</v>
      </c>
      <c r="B64" s="368"/>
      <c r="C64" s="168"/>
      <c r="D64" s="129">
        <v>90000</v>
      </c>
      <c r="E64" s="45" t="s">
        <v>417</v>
      </c>
      <c r="G64" s="154"/>
      <c r="H64" s="154"/>
    </row>
    <row r="65" spans="1:8" ht="35.1" customHeight="1" x14ac:dyDescent="0.25">
      <c r="A65" s="384" t="s">
        <v>387</v>
      </c>
      <c r="B65" s="385"/>
      <c r="C65" s="38"/>
      <c r="D65" s="129">
        <v>551518</v>
      </c>
      <c r="E65" s="45" t="s">
        <v>379</v>
      </c>
      <c r="G65" s="154"/>
      <c r="H65" s="154"/>
    </row>
    <row r="66" spans="1:8" ht="35.1" customHeight="1" x14ac:dyDescent="0.25">
      <c r="A66" s="365" t="s">
        <v>411</v>
      </c>
      <c r="B66" s="366"/>
      <c r="C66" s="38"/>
      <c r="D66" s="129">
        <v>2101503</v>
      </c>
      <c r="E66" s="153" t="s">
        <v>409</v>
      </c>
      <c r="G66" s="154"/>
      <c r="H66" s="154"/>
    </row>
    <row r="67" spans="1:8" ht="48" customHeight="1" x14ac:dyDescent="0.25">
      <c r="A67" s="365" t="s">
        <v>331</v>
      </c>
      <c r="B67" s="366"/>
      <c r="C67" s="38"/>
      <c r="D67" s="129">
        <v>780000</v>
      </c>
      <c r="E67" s="132" t="s">
        <v>304</v>
      </c>
      <c r="G67" s="154"/>
      <c r="H67" s="154"/>
    </row>
    <row r="68" spans="1:8" ht="35.1" customHeight="1" x14ac:dyDescent="0.25">
      <c r="A68" s="367" t="s">
        <v>324</v>
      </c>
      <c r="B68" s="368"/>
      <c r="C68" s="38"/>
      <c r="D68" s="354">
        <v>820380</v>
      </c>
      <c r="E68" s="132" t="s">
        <v>388</v>
      </c>
      <c r="G68" s="154"/>
      <c r="H68" s="154"/>
    </row>
    <row r="69" spans="1:8" ht="48" customHeight="1" x14ac:dyDescent="0.25">
      <c r="A69" s="367" t="s">
        <v>434</v>
      </c>
      <c r="B69" s="368"/>
      <c r="C69" s="38"/>
      <c r="D69" s="354">
        <v>335000</v>
      </c>
      <c r="E69" s="132" t="s">
        <v>414</v>
      </c>
      <c r="G69" s="154"/>
      <c r="H69" s="154"/>
    </row>
    <row r="70" spans="1:8" ht="48" customHeight="1" x14ac:dyDescent="0.25">
      <c r="A70" s="367" t="s">
        <v>436</v>
      </c>
      <c r="B70" s="368"/>
      <c r="C70" s="38"/>
      <c r="D70" s="354">
        <v>1100000</v>
      </c>
      <c r="E70" s="132" t="s">
        <v>435</v>
      </c>
      <c r="G70" s="154"/>
      <c r="H70" s="154"/>
    </row>
    <row r="71" spans="1:8" ht="48" customHeight="1" x14ac:dyDescent="0.25">
      <c r="A71" s="367" t="s">
        <v>476</v>
      </c>
      <c r="B71" s="368"/>
      <c r="C71" s="342"/>
      <c r="D71" s="354">
        <v>502800</v>
      </c>
      <c r="E71" s="347" t="s">
        <v>437</v>
      </c>
      <c r="G71" s="154"/>
      <c r="H71" s="154"/>
    </row>
    <row r="72" spans="1:8" ht="48" customHeight="1" x14ac:dyDescent="0.25">
      <c r="A72" s="367" t="s">
        <v>332</v>
      </c>
      <c r="B72" s="368"/>
      <c r="C72" s="38"/>
      <c r="D72" s="354">
        <v>2144590.69</v>
      </c>
      <c r="E72" s="132" t="s">
        <v>369</v>
      </c>
      <c r="G72" s="154"/>
      <c r="H72" s="154"/>
    </row>
    <row r="73" spans="1:8" ht="35.1" customHeight="1" x14ac:dyDescent="0.25">
      <c r="A73" s="367" t="s">
        <v>307</v>
      </c>
      <c r="B73" s="368"/>
      <c r="C73" s="38"/>
      <c r="D73" s="354">
        <v>200000</v>
      </c>
      <c r="E73" s="132" t="s">
        <v>386</v>
      </c>
      <c r="G73" s="154"/>
      <c r="H73" s="154"/>
    </row>
    <row r="74" spans="1:8" ht="15.75" thickBot="1" x14ac:dyDescent="0.3">
      <c r="A74" s="166" t="s">
        <v>182</v>
      </c>
      <c r="B74" s="63"/>
      <c r="C74" s="63"/>
      <c r="D74" s="63"/>
      <c r="E74" s="78">
        <f>SUM(D48:D73)</f>
        <v>22814884.360000003</v>
      </c>
    </row>
    <row r="75" spans="1:8" ht="15.75" thickBot="1" x14ac:dyDescent="0.3">
      <c r="A75" s="12" t="s">
        <v>183</v>
      </c>
      <c r="B75" s="173"/>
      <c r="C75" s="13"/>
      <c r="D75" s="10"/>
      <c r="E75" s="43"/>
    </row>
    <row r="76" spans="1:8" ht="35.1" customHeight="1" x14ac:dyDescent="0.25">
      <c r="A76" s="367" t="s">
        <v>458</v>
      </c>
      <c r="B76" s="368"/>
      <c r="C76" s="38"/>
      <c r="D76" s="129">
        <v>62200</v>
      </c>
      <c r="E76" s="133" t="s">
        <v>379</v>
      </c>
    </row>
    <row r="77" spans="1:8" ht="35.1" customHeight="1" x14ac:dyDescent="0.25">
      <c r="A77" s="365" t="s">
        <v>372</v>
      </c>
      <c r="B77" s="366"/>
      <c r="C77" s="38"/>
      <c r="D77" s="129">
        <v>250000</v>
      </c>
      <c r="E77" s="45" t="s">
        <v>370</v>
      </c>
    </row>
    <row r="78" spans="1:8" ht="35.1" customHeight="1" x14ac:dyDescent="0.25">
      <c r="A78" s="365" t="s">
        <v>430</v>
      </c>
      <c r="B78" s="366"/>
      <c r="C78" s="38"/>
      <c r="D78" s="129">
        <v>80000</v>
      </c>
      <c r="E78" s="45" t="s">
        <v>413</v>
      </c>
    </row>
    <row r="79" spans="1:8" ht="46.5" customHeight="1" x14ac:dyDescent="0.25">
      <c r="A79" s="365" t="s">
        <v>429</v>
      </c>
      <c r="B79" s="366"/>
      <c r="C79" s="38"/>
      <c r="D79" s="129">
        <v>250000</v>
      </c>
      <c r="E79" s="45" t="s">
        <v>388</v>
      </c>
    </row>
    <row r="80" spans="1:8" ht="35.1" customHeight="1" x14ac:dyDescent="0.25">
      <c r="A80" s="367" t="s">
        <v>427</v>
      </c>
      <c r="B80" s="368"/>
      <c r="C80" s="38"/>
      <c r="D80" s="129">
        <v>340242.8</v>
      </c>
      <c r="E80" s="45" t="s">
        <v>377</v>
      </c>
    </row>
    <row r="81" spans="1:5" ht="35.1" customHeight="1" x14ac:dyDescent="0.25">
      <c r="A81" s="367" t="s">
        <v>368</v>
      </c>
      <c r="B81" s="368"/>
      <c r="C81" s="38"/>
      <c r="D81" s="129">
        <v>115515.2</v>
      </c>
      <c r="E81" s="45" t="s">
        <v>377</v>
      </c>
    </row>
    <row r="82" spans="1:5" ht="35.1" customHeight="1" x14ac:dyDescent="0.25">
      <c r="A82" s="367" t="s">
        <v>374</v>
      </c>
      <c r="B82" s="368"/>
      <c r="C82" s="38"/>
      <c r="D82" s="129">
        <v>1288194.3899999999</v>
      </c>
      <c r="E82" s="45" t="s">
        <v>386</v>
      </c>
    </row>
    <row r="83" spans="1:5" ht="35.1" customHeight="1" x14ac:dyDescent="0.25">
      <c r="A83" s="367" t="s">
        <v>389</v>
      </c>
      <c r="B83" s="368"/>
      <c r="C83" s="168"/>
      <c r="D83" s="129">
        <v>16830</v>
      </c>
      <c r="E83" s="45" t="s">
        <v>431</v>
      </c>
    </row>
    <row r="84" spans="1:5" ht="35.1" customHeight="1" x14ac:dyDescent="0.25">
      <c r="A84" s="367" t="s">
        <v>432</v>
      </c>
      <c r="B84" s="368"/>
      <c r="C84" s="168"/>
      <c r="D84" s="129">
        <v>659177.81999999995</v>
      </c>
      <c r="E84" s="45" t="s">
        <v>433</v>
      </c>
    </row>
    <row r="85" spans="1:5" ht="35.1" customHeight="1" x14ac:dyDescent="0.25">
      <c r="A85" s="367" t="s">
        <v>375</v>
      </c>
      <c r="B85" s="368"/>
      <c r="C85" s="168"/>
      <c r="D85" s="129">
        <v>4646.3999999999996</v>
      </c>
      <c r="E85" s="45" t="s">
        <v>386</v>
      </c>
    </row>
    <row r="86" spans="1:5" ht="35.1" customHeight="1" x14ac:dyDescent="0.25">
      <c r="A86" s="367" t="s">
        <v>410</v>
      </c>
      <c r="B86" s="368"/>
      <c r="C86" s="168"/>
      <c r="D86" s="129">
        <v>9608.3700000000008</v>
      </c>
      <c r="E86" s="150" t="s">
        <v>409</v>
      </c>
    </row>
    <row r="87" spans="1:5" ht="35.1" customHeight="1" x14ac:dyDescent="0.25">
      <c r="A87" s="367" t="s">
        <v>412</v>
      </c>
      <c r="B87" s="368"/>
      <c r="C87" s="168"/>
      <c r="D87" s="129">
        <v>2039576</v>
      </c>
      <c r="E87" s="150" t="s">
        <v>413</v>
      </c>
    </row>
    <row r="88" spans="1:5" ht="35.1" customHeight="1" x14ac:dyDescent="0.25">
      <c r="A88" s="365" t="s">
        <v>425</v>
      </c>
      <c r="B88" s="366"/>
      <c r="C88" s="38"/>
      <c r="D88" s="129">
        <v>300000</v>
      </c>
      <c r="E88" s="150" t="s">
        <v>409</v>
      </c>
    </row>
    <row r="89" spans="1:5" ht="35.1" customHeight="1" x14ac:dyDescent="0.25">
      <c r="A89" s="367" t="s">
        <v>384</v>
      </c>
      <c r="B89" s="368"/>
      <c r="C89" s="168"/>
      <c r="D89" s="129">
        <v>78317.25</v>
      </c>
      <c r="E89" s="133" t="s">
        <v>385</v>
      </c>
    </row>
    <row r="90" spans="1:5" ht="35.1" customHeight="1" x14ac:dyDescent="0.25">
      <c r="A90" s="367" t="s">
        <v>455</v>
      </c>
      <c r="B90" s="368"/>
      <c r="C90" s="168"/>
      <c r="D90" s="129">
        <v>6000</v>
      </c>
      <c r="E90" s="133" t="s">
        <v>454</v>
      </c>
    </row>
    <row r="91" spans="1:5" ht="35.1" customHeight="1" x14ac:dyDescent="0.25">
      <c r="A91" s="367" t="s">
        <v>383</v>
      </c>
      <c r="B91" s="368"/>
      <c r="C91" s="168"/>
      <c r="D91" s="129">
        <v>208800</v>
      </c>
      <c r="E91" s="133" t="s">
        <v>379</v>
      </c>
    </row>
    <row r="92" spans="1:5" ht="15.75" thickBot="1" x14ac:dyDescent="0.3">
      <c r="A92" s="174" t="s">
        <v>184</v>
      </c>
      <c r="B92" s="174"/>
      <c r="C92" s="174"/>
      <c r="D92" s="64"/>
      <c r="E92" s="145">
        <f>SUM(D76:D91)</f>
        <v>5709108.2299999995</v>
      </c>
    </row>
    <row r="93" spans="1:5" x14ac:dyDescent="0.25">
      <c r="A93" s="12" t="s">
        <v>12</v>
      </c>
      <c r="B93" s="12"/>
      <c r="C93" s="12"/>
      <c r="D93" s="14"/>
      <c r="E93" s="40"/>
    </row>
    <row r="94" spans="1:5" ht="35.1" customHeight="1" x14ac:dyDescent="0.25">
      <c r="A94" s="367" t="s">
        <v>325</v>
      </c>
      <c r="B94" s="368"/>
      <c r="C94" s="38"/>
      <c r="D94" s="363">
        <v>1877790</v>
      </c>
      <c r="E94" s="150" t="s">
        <v>409</v>
      </c>
    </row>
    <row r="95" spans="1:5" ht="35.1" customHeight="1" x14ac:dyDescent="0.25">
      <c r="A95" s="367" t="s">
        <v>463</v>
      </c>
      <c r="B95" s="368"/>
      <c r="C95" s="38"/>
      <c r="D95" s="363">
        <v>374702</v>
      </c>
      <c r="E95" s="150" t="s">
        <v>386</v>
      </c>
    </row>
    <row r="96" spans="1:5" ht="15.75" thickBot="1" x14ac:dyDescent="0.3">
      <c r="A96" s="166" t="s">
        <v>152</v>
      </c>
      <c r="B96" s="166"/>
      <c r="C96" s="166"/>
      <c r="D96" s="60"/>
      <c r="E96" s="146">
        <f>SUM(D94:D95)</f>
        <v>2252492</v>
      </c>
    </row>
    <row r="97" spans="1:7" ht="15.75" thickBot="1" x14ac:dyDescent="0.3">
      <c r="A97" s="12" t="s">
        <v>7</v>
      </c>
      <c r="B97" s="173"/>
      <c r="C97" s="13"/>
      <c r="D97" s="10"/>
      <c r="E97" s="43"/>
    </row>
    <row r="98" spans="1:7" x14ac:dyDescent="0.25">
      <c r="A98" s="38" t="s">
        <v>22</v>
      </c>
      <c r="B98" s="38"/>
      <c r="C98" s="38"/>
      <c r="D98" s="354">
        <v>1367987.94</v>
      </c>
      <c r="E98" s="45"/>
    </row>
    <row r="99" spans="1:7" x14ac:dyDescent="0.25">
      <c r="A99" s="38" t="s">
        <v>23</v>
      </c>
      <c r="B99" s="38"/>
      <c r="C99" s="38"/>
      <c r="D99" s="354">
        <v>44400</v>
      </c>
      <c r="E99" s="44"/>
    </row>
    <row r="100" spans="1:7" x14ac:dyDescent="0.25">
      <c r="A100" s="175" t="s">
        <v>153</v>
      </c>
      <c r="B100" s="175"/>
      <c r="C100" s="175"/>
      <c r="D100" s="79"/>
      <c r="E100" s="149">
        <f>SUM(D98:D99)</f>
        <v>1412387.94</v>
      </c>
    </row>
    <row r="101" spans="1:7" x14ac:dyDescent="0.25">
      <c r="A101" s="38"/>
      <c r="B101" s="38"/>
      <c r="C101" s="38"/>
      <c r="D101" s="38"/>
      <c r="E101" s="81"/>
    </row>
    <row r="102" spans="1:7" x14ac:dyDescent="0.25">
      <c r="A102" s="38"/>
      <c r="B102" s="38"/>
      <c r="C102" s="38"/>
      <c r="D102" s="38"/>
      <c r="E102" s="81"/>
      <c r="F102" s="24"/>
      <c r="G102" s="56"/>
    </row>
    <row r="103" spans="1:7" ht="15.75" thickBot="1" x14ac:dyDescent="0.3">
      <c r="A103" s="176" t="s">
        <v>8</v>
      </c>
      <c r="B103" s="177"/>
      <c r="C103" s="80"/>
      <c r="D103" s="80"/>
      <c r="E103" s="123">
        <f>(SUM(E30:E101))</f>
        <v>83476438.070000008</v>
      </c>
      <c r="F103" s="55"/>
    </row>
    <row r="104" spans="1:7" x14ac:dyDescent="0.25">
      <c r="A104" s="46"/>
      <c r="B104" s="46"/>
      <c r="C104" s="46"/>
      <c r="D104" s="46"/>
      <c r="E104" s="46"/>
    </row>
    <row r="105" spans="1:7" x14ac:dyDescent="0.25">
      <c r="A105" s="46"/>
      <c r="B105" s="46"/>
      <c r="C105" s="46"/>
      <c r="D105" s="46"/>
      <c r="E105" s="46"/>
    </row>
    <row r="106" spans="1:7" x14ac:dyDescent="0.25">
      <c r="A106" s="178" t="s">
        <v>9</v>
      </c>
      <c r="B106" s="59"/>
      <c r="C106" s="59"/>
      <c r="D106" s="59"/>
      <c r="E106" s="59"/>
    </row>
    <row r="107" spans="1:7" ht="31.5" customHeight="1" x14ac:dyDescent="0.25">
      <c r="A107" s="379" t="s">
        <v>255</v>
      </c>
      <c r="B107" s="380"/>
      <c r="C107" s="38"/>
      <c r="D107" s="354">
        <v>365258.06</v>
      </c>
      <c r="E107" s="38" t="s">
        <v>286</v>
      </c>
    </row>
    <row r="108" spans="1:7" ht="30" customHeight="1" x14ac:dyDescent="0.25">
      <c r="A108" s="365" t="s">
        <v>487</v>
      </c>
      <c r="B108" s="366"/>
      <c r="C108" s="38"/>
      <c r="D108" s="354">
        <v>1041097.35</v>
      </c>
      <c r="E108" s="133" t="s">
        <v>379</v>
      </c>
    </row>
    <row r="109" spans="1:7" ht="30" customHeight="1" x14ac:dyDescent="0.25">
      <c r="A109" s="365" t="s">
        <v>428</v>
      </c>
      <c r="B109" s="366"/>
      <c r="C109" s="38"/>
      <c r="D109" s="354">
        <v>657937.5</v>
      </c>
      <c r="E109" s="133" t="s">
        <v>388</v>
      </c>
    </row>
    <row r="110" spans="1:7" ht="38.25" customHeight="1" x14ac:dyDescent="0.25">
      <c r="A110" s="365" t="s">
        <v>195</v>
      </c>
      <c r="B110" s="366"/>
      <c r="C110" s="38"/>
      <c r="D110" s="354">
        <v>5469.6</v>
      </c>
      <c r="E110" s="38" t="str">
        <f>E107</f>
        <v>Debito autom.</v>
      </c>
    </row>
    <row r="111" spans="1:7" ht="33.75" customHeight="1" x14ac:dyDescent="0.25">
      <c r="A111" s="365" t="s">
        <v>194</v>
      </c>
      <c r="B111" s="366"/>
      <c r="C111" s="38"/>
      <c r="D111" s="354">
        <v>90999.75</v>
      </c>
      <c r="E111" s="38" t="s">
        <v>466</v>
      </c>
    </row>
    <row r="112" spans="1:7" x14ac:dyDescent="0.25">
      <c r="A112" s="178" t="s">
        <v>4</v>
      </c>
      <c r="B112" s="59"/>
      <c r="C112" s="59"/>
      <c r="D112" s="59"/>
      <c r="E112" s="147">
        <f>SUM(D107:D111)</f>
        <v>2160762.2599999998</v>
      </c>
    </row>
    <row r="113" spans="1:5" ht="15.75" thickBot="1" x14ac:dyDescent="0.3">
      <c r="A113" s="46"/>
      <c r="B113" s="46"/>
      <c r="C113" s="46"/>
      <c r="D113" s="46"/>
      <c r="E113" s="46"/>
    </row>
    <row r="114" spans="1:5" x14ac:dyDescent="0.25">
      <c r="A114" s="179" t="s">
        <v>21</v>
      </c>
      <c r="B114" s="180"/>
      <c r="C114" s="181"/>
      <c r="D114" s="73"/>
      <c r="E114" s="74"/>
    </row>
    <row r="115" spans="1:5" ht="43.5" customHeight="1" x14ac:dyDescent="0.25">
      <c r="A115" s="367" t="s">
        <v>486</v>
      </c>
      <c r="B115" s="368"/>
      <c r="C115" s="172"/>
      <c r="D115" s="354">
        <v>16863793.07</v>
      </c>
      <c r="E115" s="44" t="s">
        <v>370</v>
      </c>
    </row>
    <row r="116" spans="1:5" ht="45" customHeight="1" x14ac:dyDescent="0.25">
      <c r="A116" s="365" t="s">
        <v>326</v>
      </c>
      <c r="B116" s="366"/>
      <c r="C116" s="38"/>
      <c r="D116" s="358">
        <v>8035496.3799999999</v>
      </c>
      <c r="E116" s="132" t="s">
        <v>369</v>
      </c>
    </row>
    <row r="117" spans="1:5" ht="33.75" customHeight="1" thickBot="1" x14ac:dyDescent="0.3">
      <c r="A117" s="365"/>
      <c r="B117" s="366"/>
      <c r="C117" s="38"/>
      <c r="D117" s="129"/>
      <c r="E117" s="45"/>
    </row>
    <row r="118" spans="1:5" ht="15.75" thickBot="1" x14ac:dyDescent="0.3">
      <c r="A118" s="182" t="s">
        <v>4</v>
      </c>
      <c r="B118" s="183"/>
      <c r="C118" s="183"/>
      <c r="D118" s="184"/>
      <c r="E118" s="148">
        <f>SUM(D115:D117)</f>
        <v>24899289.449999999</v>
      </c>
    </row>
    <row r="119" spans="1:5" ht="15" customHeight="1" x14ac:dyDescent="0.25">
      <c r="A119" s="46"/>
      <c r="B119" s="46"/>
      <c r="C119" s="46"/>
      <c r="D119" s="46"/>
      <c r="E119" s="46"/>
    </row>
    <row r="120" spans="1:5" ht="15.75" hidden="1" thickBot="1" x14ac:dyDescent="0.3">
      <c r="A120" s="46"/>
      <c r="B120" s="46"/>
      <c r="C120" s="46"/>
      <c r="D120" s="46"/>
      <c r="E120" s="46"/>
    </row>
    <row r="121" spans="1:5" ht="15.75" thickBot="1" x14ac:dyDescent="0.3">
      <c r="A121" s="46"/>
      <c r="B121" s="46"/>
      <c r="C121" s="46"/>
      <c r="D121" s="46"/>
      <c r="E121" s="46"/>
    </row>
    <row r="122" spans="1:5" ht="15.75" thickBot="1" x14ac:dyDescent="0.3">
      <c r="A122" s="182" t="s">
        <v>13</v>
      </c>
      <c r="B122" s="185"/>
      <c r="C122" s="186"/>
      <c r="D122" s="186"/>
      <c r="E122" s="187">
        <f>E118</f>
        <v>24899289.449999999</v>
      </c>
    </row>
    <row r="123" spans="1:5" ht="15.75" thickBot="1" x14ac:dyDescent="0.3">
      <c r="A123" s="46"/>
      <c r="B123" s="46"/>
      <c r="C123" s="46"/>
      <c r="D123" s="46"/>
      <c r="E123" s="46"/>
    </row>
    <row r="124" spans="1:5" x14ac:dyDescent="0.25">
      <c r="A124" s="188" t="s">
        <v>192</v>
      </c>
      <c r="B124" s="189"/>
      <c r="C124" s="190"/>
      <c r="D124" s="82"/>
      <c r="E124" s="83"/>
    </row>
    <row r="125" spans="1:5" ht="30" customHeight="1" x14ac:dyDescent="0.25">
      <c r="A125" s="376" t="s">
        <v>305</v>
      </c>
      <c r="B125" s="376"/>
      <c r="C125" s="38"/>
      <c r="D125" s="354">
        <f>1469240-920000</f>
        <v>549240</v>
      </c>
      <c r="E125" s="42" t="str">
        <f>E28</f>
        <v>Transf 03/10</v>
      </c>
    </row>
    <row r="126" spans="1:5" ht="30" customHeight="1" x14ac:dyDescent="0.25">
      <c r="A126" s="365" t="s">
        <v>380</v>
      </c>
      <c r="B126" s="366"/>
      <c r="C126" s="38"/>
      <c r="D126" s="354">
        <v>78146.22</v>
      </c>
      <c r="E126" s="42" t="s">
        <v>382</v>
      </c>
    </row>
    <row r="127" spans="1:5" ht="30" customHeight="1" x14ac:dyDescent="0.25">
      <c r="A127" s="365" t="s">
        <v>381</v>
      </c>
      <c r="B127" s="366"/>
      <c r="C127" s="38"/>
      <c r="D127" s="354">
        <v>52097.48</v>
      </c>
      <c r="E127" s="42" t="s">
        <v>382</v>
      </c>
    </row>
    <row r="128" spans="1:5" x14ac:dyDescent="0.25">
      <c r="A128" s="141" t="s">
        <v>4</v>
      </c>
      <c r="B128" s="151"/>
      <c r="C128" s="151"/>
      <c r="D128" s="364"/>
      <c r="E128" s="152">
        <f>SUM(D125:D127)</f>
        <v>679483.7</v>
      </c>
    </row>
    <row r="129" spans="1:5" x14ac:dyDescent="0.25">
      <c r="D129" s="46"/>
    </row>
    <row r="130" spans="1:5" x14ac:dyDescent="0.25">
      <c r="D130" s="46"/>
    </row>
    <row r="131" spans="1:5" ht="15.75" thickBot="1" x14ac:dyDescent="0.3"/>
    <row r="132" spans="1:5" ht="15.75" thickBot="1" x14ac:dyDescent="0.3">
      <c r="A132" s="84" t="s">
        <v>193</v>
      </c>
      <c r="B132" s="85"/>
      <c r="C132" s="86"/>
      <c r="D132" s="86"/>
      <c r="E132" s="87">
        <f>E128</f>
        <v>679483.7</v>
      </c>
    </row>
    <row r="134" spans="1:5" ht="15.75" thickBot="1" x14ac:dyDescent="0.3"/>
    <row r="135" spans="1:5" ht="15.75" thickBot="1" x14ac:dyDescent="0.3">
      <c r="A135" s="36" t="s">
        <v>185</v>
      </c>
      <c r="B135" s="37">
        <f>E103</f>
        <v>83476438.070000008</v>
      </c>
    </row>
    <row r="136" spans="1:5" ht="15.75" thickBot="1" x14ac:dyDescent="0.3">
      <c r="A136" s="36" t="s">
        <v>21</v>
      </c>
      <c r="B136" s="37">
        <f>E122</f>
        <v>24899289.449999999</v>
      </c>
    </row>
    <row r="137" spans="1:5" ht="15.75" thickBot="1" x14ac:dyDescent="0.3">
      <c r="A137" s="65" t="s">
        <v>154</v>
      </c>
      <c r="B137" s="66">
        <f>E112</f>
        <v>2160762.2599999998</v>
      </c>
    </row>
    <row r="138" spans="1:5" ht="34.5" customHeight="1" thickBot="1" x14ac:dyDescent="0.3">
      <c r="A138" s="76" t="s">
        <v>235</v>
      </c>
      <c r="B138" s="66">
        <f>B137+B135</f>
        <v>85637200.330000013</v>
      </c>
    </row>
    <row r="139" spans="1:5" ht="34.5" customHeight="1" x14ac:dyDescent="0.25">
      <c r="A139" s="369" t="s">
        <v>483</v>
      </c>
      <c r="B139" s="370"/>
    </row>
    <row r="140" spans="1:5" ht="34.5" customHeight="1" x14ac:dyDescent="0.25">
      <c r="A140" s="371"/>
      <c r="B140" s="372"/>
    </row>
    <row r="141" spans="1:5" ht="34.5" customHeight="1" thickBot="1" x14ac:dyDescent="0.3">
      <c r="A141" s="373"/>
      <c r="B141" s="374"/>
    </row>
    <row r="142" spans="1:5" x14ac:dyDescent="0.25">
      <c r="A142" s="348" t="s">
        <v>244</v>
      </c>
      <c r="B142" s="211"/>
      <c r="C142" s="5"/>
    </row>
    <row r="143" spans="1:5" x14ac:dyDescent="0.25">
      <c r="A143" s="11" t="s">
        <v>238</v>
      </c>
      <c r="B143" s="103">
        <v>84541370</v>
      </c>
      <c r="C143" s="7"/>
    </row>
    <row r="144" spans="1:5" x14ac:dyDescent="0.25">
      <c r="A144" s="6" t="s">
        <v>239</v>
      </c>
      <c r="B144" s="21">
        <f>PRORRATEO!F160</f>
        <v>108261027.03999998</v>
      </c>
      <c r="C144" s="5"/>
    </row>
    <row r="145" spans="1:6" ht="36.75" customHeight="1" x14ac:dyDescent="0.25">
      <c r="A145" s="9" t="s">
        <v>250</v>
      </c>
      <c r="B145" s="44">
        <f>B186</f>
        <v>2364605</v>
      </c>
      <c r="C145" s="5"/>
    </row>
    <row r="146" spans="1:6" ht="36.75" customHeight="1" x14ac:dyDescent="0.25">
      <c r="A146" s="9" t="s">
        <v>479</v>
      </c>
      <c r="B146" s="27">
        <v>-602000</v>
      </c>
      <c r="C146" s="5"/>
    </row>
    <row r="147" spans="1:6" ht="36.75" customHeight="1" x14ac:dyDescent="0.25">
      <c r="A147" s="9" t="s">
        <v>479</v>
      </c>
      <c r="B147" s="27">
        <v>-226000</v>
      </c>
      <c r="C147" s="5"/>
    </row>
    <row r="148" spans="1:6" ht="36.75" customHeight="1" x14ac:dyDescent="0.25">
      <c r="A148" s="9" t="s">
        <v>479</v>
      </c>
      <c r="B148" s="27">
        <v>-40000</v>
      </c>
      <c r="C148" s="5"/>
    </row>
    <row r="149" spans="1:6" ht="36.75" customHeight="1" x14ac:dyDescent="0.25">
      <c r="A149" s="9" t="s">
        <v>480</v>
      </c>
      <c r="B149" s="27">
        <v>-1400000</v>
      </c>
      <c r="C149" s="5"/>
    </row>
    <row r="150" spans="1:6" ht="16.5" customHeight="1" x14ac:dyDescent="0.25">
      <c r="A150" s="351" t="s">
        <v>453</v>
      </c>
      <c r="B150" s="27">
        <f>-B162</f>
        <v>0</v>
      </c>
      <c r="C150" s="5"/>
    </row>
    <row r="151" spans="1:6" ht="20.100000000000001" customHeight="1" x14ac:dyDescent="0.25">
      <c r="A151" s="351" t="s">
        <v>481</v>
      </c>
      <c r="B151" s="27">
        <v>-32384</v>
      </c>
      <c r="C151" s="5"/>
    </row>
    <row r="152" spans="1:6" ht="20.100000000000001" customHeight="1" x14ac:dyDescent="0.25">
      <c r="A152" s="351" t="s">
        <v>477</v>
      </c>
      <c r="B152" s="27">
        <v>-24658</v>
      </c>
      <c r="C152" s="5"/>
    </row>
    <row r="153" spans="1:6" ht="20.100000000000001" customHeight="1" x14ac:dyDescent="0.25">
      <c r="A153" s="351" t="s">
        <v>478</v>
      </c>
      <c r="B153" s="27">
        <v>-21178</v>
      </c>
      <c r="C153" s="5"/>
    </row>
    <row r="154" spans="1:6" ht="18" customHeight="1" x14ac:dyDescent="0.25">
      <c r="A154" s="49" t="s">
        <v>191</v>
      </c>
      <c r="B154" s="27">
        <f>-E132</f>
        <v>-679483.7</v>
      </c>
      <c r="C154" s="5"/>
    </row>
    <row r="155" spans="1:6" ht="18" customHeight="1" x14ac:dyDescent="0.25">
      <c r="A155" s="20" t="s">
        <v>155</v>
      </c>
      <c r="B155" s="27">
        <f>-E112</f>
        <v>-2160762.2599999998</v>
      </c>
      <c r="C155" s="5"/>
    </row>
    <row r="156" spans="1:6" ht="18" customHeight="1" x14ac:dyDescent="0.25">
      <c r="A156" s="20" t="s">
        <v>14</v>
      </c>
      <c r="B156" s="27">
        <f>-E103</f>
        <v>-83476438.070000008</v>
      </c>
      <c r="C156" s="5"/>
      <c r="D156" s="55"/>
      <c r="E156" s="55"/>
    </row>
    <row r="157" spans="1:6" ht="18" customHeight="1" x14ac:dyDescent="0.25">
      <c r="A157" s="9" t="s">
        <v>271</v>
      </c>
      <c r="B157" s="27">
        <f>-E122</f>
        <v>-24899289.449999999</v>
      </c>
      <c r="C157" s="5"/>
      <c r="E157" s="55"/>
    </row>
    <row r="158" spans="1:6" x14ac:dyDescent="0.25">
      <c r="A158" s="349" t="s">
        <v>4</v>
      </c>
      <c r="B158" s="54">
        <f>SUM(B143:B157)</f>
        <v>81604808.559999973</v>
      </c>
      <c r="C158" s="8"/>
      <c r="D158" s="24"/>
      <c r="E158" s="55"/>
      <c r="F158" s="55"/>
    </row>
    <row r="159" spans="1:6" ht="15.75" thickBot="1" x14ac:dyDescent="0.3">
      <c r="A159" s="350"/>
      <c r="B159" s="22"/>
      <c r="C159" s="8"/>
      <c r="D159" s="24"/>
      <c r="E159" s="52"/>
      <c r="F159" s="128"/>
    </row>
    <row r="160" spans="1:6" x14ac:dyDescent="0.25">
      <c r="A160" s="377" t="s">
        <v>451</v>
      </c>
      <c r="B160" s="378"/>
      <c r="C160" s="8"/>
      <c r="D160" s="24"/>
      <c r="E160" s="52"/>
      <c r="F160" s="128"/>
    </row>
    <row r="161" spans="1:14" x14ac:dyDescent="0.25">
      <c r="A161" s="336" t="s">
        <v>452</v>
      </c>
      <c r="B161" s="337">
        <v>0</v>
      </c>
      <c r="C161" s="8"/>
      <c r="D161" s="24"/>
      <c r="E161" s="52"/>
      <c r="F161" s="128"/>
    </row>
    <row r="162" spans="1:14" x14ac:dyDescent="0.25">
      <c r="A162" s="336" t="s">
        <v>453</v>
      </c>
      <c r="B162" s="337">
        <v>0</v>
      </c>
      <c r="C162" s="8"/>
      <c r="D162" s="24"/>
      <c r="E162" s="52"/>
      <c r="F162" s="128"/>
    </row>
    <row r="163" spans="1:14" x14ac:dyDescent="0.25">
      <c r="A163" s="336"/>
      <c r="B163" s="337"/>
      <c r="C163" s="8"/>
      <c r="D163" s="24"/>
      <c r="E163" s="52"/>
      <c r="F163" s="128"/>
    </row>
    <row r="164" spans="1:14" ht="15.75" thickBot="1" x14ac:dyDescent="0.3">
      <c r="A164" s="338"/>
      <c r="B164" s="340"/>
      <c r="C164" s="8"/>
      <c r="D164" s="24"/>
      <c r="E164" s="52"/>
      <c r="F164" s="128"/>
    </row>
    <row r="165" spans="1:14" ht="15.75" thickBot="1" x14ac:dyDescent="0.3">
      <c r="A165" s="339" t="s">
        <v>4</v>
      </c>
      <c r="B165" s="341">
        <f>SUM(B161:B164)</f>
        <v>0</v>
      </c>
      <c r="C165" s="8"/>
      <c r="D165" s="24"/>
      <c r="E165" s="52"/>
      <c r="F165" s="128"/>
    </row>
    <row r="166" spans="1:14" x14ac:dyDescent="0.25">
      <c r="A166" s="265"/>
      <c r="B166" s="335"/>
      <c r="C166" s="8"/>
      <c r="D166" s="24"/>
      <c r="E166" s="52"/>
      <c r="F166" s="128"/>
    </row>
    <row r="167" spans="1:14" x14ac:dyDescent="0.25">
      <c r="B167" s="22"/>
      <c r="C167" s="8"/>
      <c r="D167" s="24"/>
      <c r="E167" s="52"/>
      <c r="F167" s="128"/>
    </row>
    <row r="168" spans="1:14" x14ac:dyDescent="0.25">
      <c r="B168" s="22"/>
      <c r="C168" s="8"/>
      <c r="D168" s="24"/>
      <c r="E168" s="52"/>
      <c r="F168" s="128"/>
    </row>
    <row r="169" spans="1:14" x14ac:dyDescent="0.25">
      <c r="A169" s="121" t="s">
        <v>243</v>
      </c>
      <c r="B169" s="122">
        <v>0</v>
      </c>
      <c r="C169" s="8"/>
      <c r="D169" s="24"/>
      <c r="E169" s="52"/>
      <c r="F169" s="53"/>
    </row>
    <row r="170" spans="1:14" ht="72.75" customHeight="1" x14ac:dyDescent="0.25">
      <c r="A170" s="158" t="s">
        <v>301</v>
      </c>
      <c r="B170" s="353">
        <f>-D111-D90</f>
        <v>-96999.75</v>
      </c>
      <c r="C170" s="8"/>
      <c r="D170" s="24"/>
      <c r="E170" s="52"/>
      <c r="F170" s="53"/>
    </row>
    <row r="171" spans="1:14" x14ac:dyDescent="0.25">
      <c r="A171" s="121" t="s">
        <v>4</v>
      </c>
      <c r="B171" s="122">
        <f>SUM(B169:B170)</f>
        <v>-96999.75</v>
      </c>
      <c r="C171" s="8"/>
      <c r="D171" s="24"/>
      <c r="E171" s="52"/>
      <c r="F171" s="53"/>
    </row>
    <row r="172" spans="1:14" ht="15.75" thickBot="1" x14ac:dyDescent="0.3">
      <c r="B172" s="22"/>
      <c r="C172" s="8"/>
      <c r="D172" s="24"/>
      <c r="E172" s="52"/>
      <c r="F172" s="53"/>
    </row>
    <row r="173" spans="1:14" x14ac:dyDescent="0.25">
      <c r="A173" s="212" t="s">
        <v>236</v>
      </c>
      <c r="B173" s="104"/>
      <c r="C173" s="8"/>
      <c r="D173" s="355"/>
      <c r="E173" s="356"/>
      <c r="F173" s="357"/>
      <c r="G173" s="343"/>
      <c r="H173" s="343"/>
      <c r="I173" s="343"/>
      <c r="J173" s="343"/>
      <c r="K173" s="343"/>
      <c r="L173" s="343"/>
      <c r="M173" s="343"/>
      <c r="N173" s="343"/>
    </row>
    <row r="174" spans="1:14" x14ac:dyDescent="0.25">
      <c r="A174" s="115" t="s">
        <v>242</v>
      </c>
      <c r="B174" s="116">
        <v>30000000</v>
      </c>
      <c r="C174" s="8"/>
      <c r="D174" s="355"/>
      <c r="E174" s="356"/>
      <c r="F174" s="357"/>
      <c r="G174" s="343"/>
      <c r="H174" s="343"/>
      <c r="I174" s="343"/>
      <c r="J174" s="343"/>
      <c r="K174" s="343"/>
      <c r="L174" s="343"/>
      <c r="M174" s="343"/>
      <c r="N174" s="343"/>
    </row>
    <row r="175" spans="1:14" x14ac:dyDescent="0.25">
      <c r="A175" s="1"/>
      <c r="B175" s="16"/>
      <c r="C175" s="8"/>
      <c r="D175" s="355"/>
      <c r="E175" s="356"/>
      <c r="F175" s="357"/>
      <c r="G175" s="343"/>
      <c r="H175" s="343"/>
      <c r="I175" s="343"/>
      <c r="J175" s="343"/>
      <c r="K175" s="343"/>
      <c r="L175" s="343"/>
      <c r="M175" s="343"/>
      <c r="N175" s="343"/>
    </row>
    <row r="176" spans="1:14" x14ac:dyDescent="0.25">
      <c r="A176" s="1"/>
      <c r="B176" s="16"/>
      <c r="C176" s="8"/>
      <c r="D176" s="355"/>
      <c r="E176" s="356"/>
      <c r="F176" s="357"/>
      <c r="G176" s="343"/>
      <c r="H176" s="343"/>
      <c r="I176" s="343"/>
      <c r="J176" s="343"/>
      <c r="K176" s="343"/>
      <c r="L176" s="343"/>
      <c r="M176" s="343"/>
      <c r="N176" s="343"/>
    </row>
    <row r="177" spans="1:14" ht="15.75" thickBot="1" x14ac:dyDescent="0.3">
      <c r="A177" s="213" t="s">
        <v>308</v>
      </c>
      <c r="B177" s="210">
        <v>36035859.640000001</v>
      </c>
      <c r="C177" s="8"/>
      <c r="D177" s="355"/>
      <c r="E177" s="356"/>
      <c r="F177" s="357"/>
      <c r="G177" s="343"/>
      <c r="H177" s="343"/>
      <c r="I177" s="343"/>
      <c r="J177" s="343"/>
      <c r="K177" s="343"/>
      <c r="L177" s="343"/>
      <c r="M177" s="343"/>
      <c r="N177" s="343"/>
    </row>
    <row r="178" spans="1:14" x14ac:dyDescent="0.25">
      <c r="B178" s="22"/>
      <c r="C178" s="8"/>
      <c r="D178" s="355"/>
      <c r="E178" s="356"/>
      <c r="F178" s="357"/>
      <c r="G178" s="343"/>
      <c r="H178" s="343"/>
      <c r="I178" s="343"/>
      <c r="J178" s="343"/>
      <c r="K178" s="343"/>
      <c r="L178" s="343"/>
      <c r="M178" s="343"/>
      <c r="N178" s="343"/>
    </row>
    <row r="179" spans="1:14" x14ac:dyDescent="0.25">
      <c r="B179" s="22"/>
      <c r="C179" s="8"/>
      <c r="D179" s="24"/>
      <c r="E179" s="52"/>
      <c r="F179" s="53"/>
    </row>
    <row r="180" spans="1:14" x14ac:dyDescent="0.25">
      <c r="B180" s="22"/>
      <c r="C180" s="8"/>
      <c r="D180" s="24"/>
      <c r="E180" s="52"/>
      <c r="F180" s="53"/>
    </row>
    <row r="181" spans="1:14" x14ac:dyDescent="0.25">
      <c r="A181" s="375" t="s">
        <v>17</v>
      </c>
      <c r="B181" s="375"/>
      <c r="C181" s="375"/>
    </row>
    <row r="182" spans="1:14" x14ac:dyDescent="0.25">
      <c r="A182" s="375"/>
      <c r="B182" s="375"/>
      <c r="C182" s="375"/>
    </row>
    <row r="183" spans="1:14" ht="33.75" customHeight="1" x14ac:dyDescent="0.25">
      <c r="A183" s="101"/>
      <c r="B183" s="58">
        <f>527300+285150+241640+1310515</f>
        <v>2364605</v>
      </c>
      <c r="C183" s="100"/>
    </row>
    <row r="184" spans="1:14" ht="33.75" customHeight="1" x14ac:dyDescent="0.25">
      <c r="A184" s="101"/>
      <c r="B184" s="58"/>
      <c r="C184" s="100"/>
    </row>
    <row r="185" spans="1:14" ht="33.75" customHeight="1" x14ac:dyDescent="0.25">
      <c r="A185" s="101"/>
      <c r="B185" s="58"/>
      <c r="C185" s="100"/>
    </row>
    <row r="186" spans="1:14" x14ac:dyDescent="0.25">
      <c r="A186" s="25" t="s">
        <v>4</v>
      </c>
      <c r="B186" s="47">
        <f>SUM(B183:B185)</f>
        <v>2364605</v>
      </c>
      <c r="C186" s="26"/>
    </row>
    <row r="187" spans="1:14" x14ac:dyDescent="0.25">
      <c r="M187" s="3"/>
    </row>
  </sheetData>
  <mergeCells count="73">
    <mergeCell ref="A115:B115"/>
    <mergeCell ref="A110:B110"/>
    <mergeCell ref="A111:B111"/>
    <mergeCell ref="A87:B87"/>
    <mergeCell ref="A108:B108"/>
    <mergeCell ref="A109:B109"/>
    <mergeCell ref="A91:B91"/>
    <mergeCell ref="A89:B89"/>
    <mergeCell ref="A88:B88"/>
    <mergeCell ref="A95:B95"/>
    <mergeCell ref="A24:B24"/>
    <mergeCell ref="A38:B38"/>
    <mergeCell ref="A41:B41"/>
    <mergeCell ref="A45:B45"/>
    <mergeCell ref="A51:B51"/>
    <mergeCell ref="A39:B39"/>
    <mergeCell ref="A40:B40"/>
    <mergeCell ref="A28:B28"/>
    <mergeCell ref="A48:B48"/>
    <mergeCell ref="A59:B59"/>
    <mergeCell ref="A44:B44"/>
    <mergeCell ref="A52:B52"/>
    <mergeCell ref="A50:B50"/>
    <mergeCell ref="A54:B54"/>
    <mergeCell ref="A58:B58"/>
    <mergeCell ref="B3:E3"/>
    <mergeCell ref="B1:E1"/>
    <mergeCell ref="B2:E2"/>
    <mergeCell ref="B8:E8"/>
    <mergeCell ref="A1:A8"/>
    <mergeCell ref="A10:E12"/>
    <mergeCell ref="A49:B49"/>
    <mergeCell ref="A57:B57"/>
    <mergeCell ref="A72:B72"/>
    <mergeCell ref="A67:B67"/>
    <mergeCell ref="A70:B70"/>
    <mergeCell ref="A56:B56"/>
    <mergeCell ref="A66:B66"/>
    <mergeCell ref="A63:B63"/>
    <mergeCell ref="A69:B69"/>
    <mergeCell ref="A55:B55"/>
    <mergeCell ref="A15:E18"/>
    <mergeCell ref="A53:B53"/>
    <mergeCell ref="A68:B68"/>
    <mergeCell ref="A65:B65"/>
    <mergeCell ref="A61:B61"/>
    <mergeCell ref="A79:B79"/>
    <mergeCell ref="A71:B71"/>
    <mergeCell ref="A90:B90"/>
    <mergeCell ref="A76:B76"/>
    <mergeCell ref="A84:B84"/>
    <mergeCell ref="A83:B83"/>
    <mergeCell ref="A86:B86"/>
    <mergeCell ref="A78:B78"/>
    <mergeCell ref="A80:B80"/>
    <mergeCell ref="A85:B85"/>
    <mergeCell ref="A81:B81"/>
    <mergeCell ref="A60:B60"/>
    <mergeCell ref="A64:B64"/>
    <mergeCell ref="A139:B141"/>
    <mergeCell ref="A181:C182"/>
    <mergeCell ref="A125:B125"/>
    <mergeCell ref="A117:B117"/>
    <mergeCell ref="A116:B116"/>
    <mergeCell ref="A126:B126"/>
    <mergeCell ref="A127:B127"/>
    <mergeCell ref="A160:B160"/>
    <mergeCell ref="A62:B62"/>
    <mergeCell ref="A73:B73"/>
    <mergeCell ref="A94:B94"/>
    <mergeCell ref="A107:B107"/>
    <mergeCell ref="A77:B77"/>
    <mergeCell ref="A82:B82"/>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67"/>
  <sheetViews>
    <sheetView topLeftCell="B1" zoomScale="80" zoomScaleNormal="80" workbookViewId="0">
      <selection activeCell="N2" sqref="N2"/>
    </sheetView>
  </sheetViews>
  <sheetFormatPr baseColWidth="10" defaultColWidth="10.85546875" defaultRowHeight="15" x14ac:dyDescent="0.25"/>
  <cols>
    <col min="1" max="1" width="4.28515625" hidden="1" customWidth="1"/>
    <col min="2" max="2" width="4.28515625" customWidth="1"/>
    <col min="3" max="3" width="25.7109375" customWidth="1"/>
    <col min="4" max="4" width="8.140625" customWidth="1"/>
    <col min="5" max="5" width="14.140625" customWidth="1"/>
    <col min="6" max="6" width="12.42578125" customWidth="1"/>
    <col min="7" max="7" width="11.7109375" customWidth="1"/>
    <col min="8" max="8" width="9.5703125" customWidth="1"/>
    <col min="9" max="9" width="13.28515625" customWidth="1"/>
    <col min="10" max="10" width="6" hidden="1" customWidth="1"/>
    <col min="11" max="11" width="14" customWidth="1"/>
    <col min="12" max="12" width="13" customWidth="1"/>
    <col min="13" max="13" width="15" customWidth="1"/>
    <col min="14" max="15" width="12.7109375" customWidth="1"/>
    <col min="16" max="16" width="14.7109375" customWidth="1"/>
    <col min="17" max="17" width="5" customWidth="1"/>
    <col min="18" max="18" width="8" hidden="1" customWidth="1"/>
    <col min="19" max="19" width="10.28515625" customWidth="1"/>
    <col min="20" max="20" width="13" bestFit="1" customWidth="1"/>
    <col min="23" max="23" width="16" bestFit="1" customWidth="1"/>
    <col min="24" max="24" width="11.85546875" bestFit="1" customWidth="1"/>
  </cols>
  <sheetData>
    <row r="1" spans="1:23" ht="46.5" customHeight="1" x14ac:dyDescent="0.25">
      <c r="A1" s="2"/>
      <c r="B1" s="2"/>
      <c r="C1" s="415"/>
      <c r="D1" s="415"/>
      <c r="E1" s="415"/>
      <c r="F1" s="415"/>
      <c r="G1" s="415"/>
      <c r="H1" s="415"/>
      <c r="I1" s="415"/>
      <c r="J1" s="415"/>
      <c r="K1" s="415"/>
      <c r="L1" s="415"/>
      <c r="M1" s="117"/>
      <c r="N1" s="416" t="s">
        <v>485</v>
      </c>
      <c r="O1" s="416"/>
      <c r="P1" s="408">
        <v>40000000</v>
      </c>
      <c r="Q1" s="408"/>
      <c r="R1" s="4"/>
      <c r="S1" s="2"/>
      <c r="U1">
        <v>71243589.649999991</v>
      </c>
    </row>
    <row r="2" spans="1:23" ht="30" customHeight="1" thickBot="1" x14ac:dyDescent="0.3">
      <c r="A2" s="2"/>
      <c r="B2" s="2"/>
      <c r="C2" s="410" t="s">
        <v>234</v>
      </c>
      <c r="D2" s="410"/>
      <c r="E2" s="410"/>
      <c r="F2" s="117"/>
      <c r="G2" s="407">
        <f>W2</f>
        <v>24559200</v>
      </c>
      <c r="H2" s="407"/>
      <c r="I2" s="117" t="s">
        <v>293</v>
      </c>
      <c r="J2" s="117"/>
      <c r="K2" s="407">
        <v>72000000</v>
      </c>
      <c r="L2" s="407"/>
      <c r="M2" s="118"/>
      <c r="N2" s="119" t="s">
        <v>274</v>
      </c>
      <c r="O2" s="118"/>
      <c r="P2" s="409">
        <v>0</v>
      </c>
      <c r="Q2" s="409"/>
      <c r="S2" s="2"/>
      <c r="T2" t="s">
        <v>237</v>
      </c>
      <c r="W2" s="55">
        <f>((K2+P2)*D144)+((K2+P2)*D145)</f>
        <v>24559200</v>
      </c>
    </row>
    <row r="3" spans="1:23" ht="43.5" customHeight="1" x14ac:dyDescent="0.25">
      <c r="A3" s="417" t="s">
        <v>0</v>
      </c>
      <c r="B3" s="419" t="s">
        <v>1</v>
      </c>
      <c r="C3" s="419" t="s">
        <v>2</v>
      </c>
      <c r="D3" s="419" t="s">
        <v>6</v>
      </c>
      <c r="E3" s="405" t="s">
        <v>186</v>
      </c>
      <c r="F3" s="419" t="s">
        <v>3</v>
      </c>
      <c r="G3" s="421" t="s">
        <v>16</v>
      </c>
      <c r="H3" s="405" t="s">
        <v>240</v>
      </c>
      <c r="I3" s="405" t="s">
        <v>15</v>
      </c>
      <c r="J3" s="405"/>
      <c r="K3" s="405" t="s">
        <v>187</v>
      </c>
      <c r="L3" s="405" t="s">
        <v>149</v>
      </c>
      <c r="M3" s="405" t="s">
        <v>189</v>
      </c>
      <c r="N3" s="405" t="s">
        <v>188</v>
      </c>
      <c r="O3" s="405" t="s">
        <v>270</v>
      </c>
      <c r="P3" s="411" t="s">
        <v>241</v>
      </c>
      <c r="Q3" s="412"/>
      <c r="S3" s="405" t="s">
        <v>272</v>
      </c>
      <c r="T3" s="24"/>
    </row>
    <row r="4" spans="1:23" ht="44.25" customHeight="1" x14ac:dyDescent="0.25">
      <c r="A4" s="418"/>
      <c r="B4" s="420"/>
      <c r="C4" s="420"/>
      <c r="D4" s="420"/>
      <c r="E4" s="406"/>
      <c r="F4" s="420"/>
      <c r="G4" s="422"/>
      <c r="H4" s="406"/>
      <c r="I4" s="406"/>
      <c r="J4" s="406"/>
      <c r="K4" s="406"/>
      <c r="L4" s="406"/>
      <c r="M4" s="406"/>
      <c r="N4" s="406"/>
      <c r="O4" s="406"/>
      <c r="P4" s="413"/>
      <c r="Q4" s="414"/>
      <c r="S4" s="406"/>
    </row>
    <row r="5" spans="1:23" ht="24.6" customHeight="1" x14ac:dyDescent="0.25">
      <c r="A5" s="29"/>
      <c r="B5" s="28">
        <v>1</v>
      </c>
      <c r="C5" s="28" t="s">
        <v>24</v>
      </c>
      <c r="D5" s="125">
        <v>4.5999999999999999E-3</v>
      </c>
      <c r="E5" s="156">
        <v>699843.01</v>
      </c>
      <c r="F5" s="155">
        <f>E5</f>
        <v>699843.01</v>
      </c>
      <c r="G5" s="89">
        <f t="shared" ref="G5:G68" si="0">E5-F5</f>
        <v>0</v>
      </c>
      <c r="H5" s="33">
        <f>IF(G5&gt;0,G5*3.087%,0)</f>
        <v>0</v>
      </c>
      <c r="I5" s="34">
        <f>K$2*D5</f>
        <v>331200</v>
      </c>
      <c r="J5" s="34">
        <f t="shared" ref="J5:J36" si="1">P$2*D5</f>
        <v>0</v>
      </c>
      <c r="K5" s="34">
        <f>G$2*0.675675676%</f>
        <v>165940.54062019198</v>
      </c>
      <c r="L5" s="34">
        <f>P$1*0.675675676%</f>
        <v>270270.27039999998</v>
      </c>
      <c r="M5" s="113">
        <f>G$1*D5</f>
        <v>0</v>
      </c>
      <c r="N5" s="113">
        <v>0</v>
      </c>
      <c r="O5" s="113"/>
      <c r="P5" s="400">
        <f t="shared" ref="P5:P36" si="2">ROUND(SUM(G5:O5),0) + R5</f>
        <v>767411.01</v>
      </c>
      <c r="Q5" s="400"/>
      <c r="R5" s="24">
        <f t="shared" ref="R5:R36" si="3">ROUND(0.001+B5/100,2)</f>
        <v>0.01</v>
      </c>
      <c r="S5" s="1">
        <f>B5</f>
        <v>1</v>
      </c>
      <c r="T5" t="s">
        <v>221</v>
      </c>
    </row>
    <row r="6" spans="1:23" ht="24.6" customHeight="1" x14ac:dyDescent="0.25">
      <c r="A6" s="29"/>
      <c r="B6" s="28">
        <f>B5+1</f>
        <v>2</v>
      </c>
      <c r="C6" s="28" t="s">
        <v>25</v>
      </c>
      <c r="D6" s="125">
        <v>4.5999999999999999E-3</v>
      </c>
      <c r="E6" s="156">
        <v>2498420.02</v>
      </c>
      <c r="F6" s="155">
        <v>1000000</v>
      </c>
      <c r="G6" s="89">
        <f t="shared" si="0"/>
        <v>1498420.02</v>
      </c>
      <c r="H6" s="33">
        <f>IF(G6&gt;0,G6*3.087%,0)</f>
        <v>46256.226017400004</v>
      </c>
      <c r="I6" s="34">
        <f t="shared" ref="I6:I37" si="4">K$2*D6</f>
        <v>331200</v>
      </c>
      <c r="J6" s="34">
        <f t="shared" si="1"/>
        <v>0</v>
      </c>
      <c r="K6" s="34">
        <f t="shared" ref="K6:K69" si="5">G$2*0.675675676%</f>
        <v>165940.54062019198</v>
      </c>
      <c r="L6" s="34">
        <f t="shared" ref="L6:L69" si="6">P$1*0.675675676%</f>
        <v>270270.27039999998</v>
      </c>
      <c r="M6" s="113">
        <f t="shared" ref="M6:M69" si="7">G$1*D6</f>
        <v>0</v>
      </c>
      <c r="N6" s="113">
        <v>0</v>
      </c>
      <c r="O6" s="113"/>
      <c r="P6" s="400">
        <f t="shared" si="2"/>
        <v>2312087.02</v>
      </c>
      <c r="Q6" s="400"/>
      <c r="R6" s="24">
        <f t="shared" si="3"/>
        <v>0.02</v>
      </c>
      <c r="S6" s="1">
        <f t="shared" ref="S6:S69" si="8">B6</f>
        <v>2</v>
      </c>
    </row>
    <row r="7" spans="1:23" ht="24.6" customHeight="1" x14ac:dyDescent="0.25">
      <c r="A7" s="29"/>
      <c r="B7" s="28">
        <f t="shared" ref="B7:B36" si="9">B6+1</f>
        <v>3</v>
      </c>
      <c r="C7" s="28" t="s">
        <v>26</v>
      </c>
      <c r="D7" s="125">
        <v>4.5999999999999999E-3</v>
      </c>
      <c r="E7" s="156">
        <v>699843.03</v>
      </c>
      <c r="F7" s="155">
        <f>E7</f>
        <v>699843.03</v>
      </c>
      <c r="G7" s="89">
        <f t="shared" si="0"/>
        <v>0</v>
      </c>
      <c r="H7" s="33">
        <f t="shared" ref="H7:H70" si="10">IF(G7&gt;0,G7*3.087%,0)</f>
        <v>0</v>
      </c>
      <c r="I7" s="34">
        <f t="shared" si="4"/>
        <v>331200</v>
      </c>
      <c r="J7" s="34">
        <f t="shared" si="1"/>
        <v>0</v>
      </c>
      <c r="K7" s="34">
        <f t="shared" si="5"/>
        <v>165940.54062019198</v>
      </c>
      <c r="L7" s="34">
        <f t="shared" si="6"/>
        <v>270270.27039999998</v>
      </c>
      <c r="M7" s="113">
        <f t="shared" si="7"/>
        <v>0</v>
      </c>
      <c r="N7" s="113">
        <v>0</v>
      </c>
      <c r="O7" s="113"/>
      <c r="P7" s="400">
        <f t="shared" si="2"/>
        <v>767411.03</v>
      </c>
      <c r="Q7" s="400"/>
      <c r="R7" s="24">
        <f t="shared" si="3"/>
        <v>0.03</v>
      </c>
      <c r="S7" s="1">
        <f t="shared" si="8"/>
        <v>3</v>
      </c>
      <c r="U7" t="s">
        <v>206</v>
      </c>
    </row>
    <row r="8" spans="1:23" ht="24.6" customHeight="1" x14ac:dyDescent="0.25">
      <c r="A8" s="29"/>
      <c r="B8" s="28">
        <f t="shared" si="9"/>
        <v>4</v>
      </c>
      <c r="C8" s="28" t="s">
        <v>169</v>
      </c>
      <c r="D8" s="125">
        <v>4.7000000000000002E-3</v>
      </c>
      <c r="E8" s="156">
        <v>1414250.04</v>
      </c>
      <c r="F8" s="155">
        <v>687000</v>
      </c>
      <c r="G8" s="89">
        <f t="shared" si="0"/>
        <v>727250.04</v>
      </c>
      <c r="H8" s="33">
        <f t="shared" si="10"/>
        <v>22450.208734800002</v>
      </c>
      <c r="I8" s="34">
        <f t="shared" si="4"/>
        <v>338400</v>
      </c>
      <c r="J8" s="34">
        <f t="shared" si="1"/>
        <v>0</v>
      </c>
      <c r="K8" s="34">
        <f t="shared" si="5"/>
        <v>165940.54062019198</v>
      </c>
      <c r="L8" s="34">
        <f t="shared" si="6"/>
        <v>270270.27039999998</v>
      </c>
      <c r="M8" s="113">
        <f t="shared" si="7"/>
        <v>0</v>
      </c>
      <c r="N8" s="113">
        <v>0</v>
      </c>
      <c r="O8" s="113"/>
      <c r="P8" s="400">
        <f t="shared" si="2"/>
        <v>1524311.04</v>
      </c>
      <c r="Q8" s="400"/>
      <c r="R8" s="24">
        <f t="shared" si="3"/>
        <v>0.04</v>
      </c>
      <c r="S8" s="1">
        <f t="shared" si="8"/>
        <v>4</v>
      </c>
      <c r="T8" s="265"/>
      <c r="U8" t="s">
        <v>277</v>
      </c>
    </row>
    <row r="9" spans="1:23" ht="24.6" customHeight="1" x14ac:dyDescent="0.25">
      <c r="A9" s="29"/>
      <c r="B9" s="28">
        <f t="shared" si="9"/>
        <v>5</v>
      </c>
      <c r="C9" s="28" t="s">
        <v>27</v>
      </c>
      <c r="D9" s="125">
        <v>4.7000000000000002E-3</v>
      </c>
      <c r="E9" s="156">
        <v>707043.05</v>
      </c>
      <c r="F9" s="155">
        <f>E9</f>
        <v>707043.05</v>
      </c>
      <c r="G9" s="89">
        <f t="shared" si="0"/>
        <v>0</v>
      </c>
      <c r="H9" s="33">
        <f t="shared" si="10"/>
        <v>0</v>
      </c>
      <c r="I9" s="34">
        <f t="shared" si="4"/>
        <v>338400</v>
      </c>
      <c r="J9" s="34">
        <f t="shared" si="1"/>
        <v>0</v>
      </c>
      <c r="K9" s="34">
        <f t="shared" si="5"/>
        <v>165940.54062019198</v>
      </c>
      <c r="L9" s="34">
        <f t="shared" si="6"/>
        <v>270270.27039999998</v>
      </c>
      <c r="M9" s="113">
        <f t="shared" si="7"/>
        <v>0</v>
      </c>
      <c r="N9" s="113">
        <v>0</v>
      </c>
      <c r="O9" s="113"/>
      <c r="P9" s="400">
        <f t="shared" si="2"/>
        <v>774611.05</v>
      </c>
      <c r="Q9" s="400"/>
      <c r="R9" s="24">
        <f t="shared" si="3"/>
        <v>0.05</v>
      </c>
      <c r="S9" s="1">
        <f t="shared" si="8"/>
        <v>5</v>
      </c>
      <c r="T9" s="265"/>
    </row>
    <row r="10" spans="1:23" ht="24.6" customHeight="1" x14ac:dyDescent="0.25">
      <c r="A10" s="29"/>
      <c r="B10" s="28">
        <f t="shared" si="9"/>
        <v>6</v>
      </c>
      <c r="C10" s="28" t="s">
        <v>28</v>
      </c>
      <c r="D10" s="125">
        <v>4.4999999999999997E-3</v>
      </c>
      <c r="E10" s="156">
        <v>692643.06</v>
      </c>
      <c r="F10" s="155">
        <f>E10</f>
        <v>692643.06</v>
      </c>
      <c r="G10" s="89">
        <f t="shared" si="0"/>
        <v>0</v>
      </c>
      <c r="H10" s="33">
        <f t="shared" si="10"/>
        <v>0</v>
      </c>
      <c r="I10" s="34">
        <f t="shared" si="4"/>
        <v>324000</v>
      </c>
      <c r="J10" s="34">
        <f t="shared" si="1"/>
        <v>0</v>
      </c>
      <c r="K10" s="34">
        <f t="shared" si="5"/>
        <v>165940.54062019198</v>
      </c>
      <c r="L10" s="34">
        <f t="shared" si="6"/>
        <v>270270.27039999998</v>
      </c>
      <c r="M10" s="113">
        <f t="shared" si="7"/>
        <v>0</v>
      </c>
      <c r="N10" s="113">
        <v>0</v>
      </c>
      <c r="O10" s="113"/>
      <c r="P10" s="400">
        <f t="shared" si="2"/>
        <v>760211.06</v>
      </c>
      <c r="Q10" s="400"/>
      <c r="R10" s="24">
        <f t="shared" si="3"/>
        <v>0.06</v>
      </c>
      <c r="S10" s="1">
        <f t="shared" si="8"/>
        <v>6</v>
      </c>
      <c r="U10" t="s">
        <v>199</v>
      </c>
    </row>
    <row r="11" spans="1:23" ht="24.6" customHeight="1" x14ac:dyDescent="0.25">
      <c r="A11" s="29"/>
      <c r="B11" s="28">
        <f t="shared" si="9"/>
        <v>7</v>
      </c>
      <c r="C11" s="28" t="s">
        <v>29</v>
      </c>
      <c r="D11" s="125">
        <v>4.3E-3</v>
      </c>
      <c r="E11" s="156">
        <v>673917.07</v>
      </c>
      <c r="F11" s="155">
        <v>670000</v>
      </c>
      <c r="G11" s="89">
        <f t="shared" si="0"/>
        <v>3917.0699999999488</v>
      </c>
      <c r="H11" s="33">
        <f t="shared" si="10"/>
        <v>120.91995089999843</v>
      </c>
      <c r="I11" s="34">
        <f t="shared" si="4"/>
        <v>309600</v>
      </c>
      <c r="J11" s="34">
        <f t="shared" si="1"/>
        <v>0</v>
      </c>
      <c r="K11" s="34">
        <f t="shared" si="5"/>
        <v>165940.54062019198</v>
      </c>
      <c r="L11" s="34">
        <f t="shared" si="6"/>
        <v>270270.27039999998</v>
      </c>
      <c r="M11" s="113">
        <f t="shared" si="7"/>
        <v>0</v>
      </c>
      <c r="N11" s="113">
        <v>0</v>
      </c>
      <c r="O11" s="113"/>
      <c r="P11" s="400">
        <f t="shared" si="2"/>
        <v>749849.07</v>
      </c>
      <c r="Q11" s="400"/>
      <c r="R11" s="24">
        <f t="shared" si="3"/>
        <v>7.0000000000000007E-2</v>
      </c>
      <c r="S11" s="1">
        <f t="shared" si="8"/>
        <v>7</v>
      </c>
      <c r="T11" t="s">
        <v>260</v>
      </c>
    </row>
    <row r="12" spans="1:23" ht="24.6" customHeight="1" x14ac:dyDescent="0.25">
      <c r="A12" s="271"/>
      <c r="B12" s="28">
        <f t="shared" si="9"/>
        <v>8</v>
      </c>
      <c r="C12" s="28" t="s">
        <v>30</v>
      </c>
      <c r="D12" s="125">
        <v>4.7000000000000002E-3</v>
      </c>
      <c r="E12" s="156">
        <v>707043.08</v>
      </c>
      <c r="F12" s="155">
        <v>707000</v>
      </c>
      <c r="G12" s="89">
        <f t="shared" si="0"/>
        <v>43.07999999995809</v>
      </c>
      <c r="H12" s="33">
        <f t="shared" si="10"/>
        <v>1.3298795999987063</v>
      </c>
      <c r="I12" s="34">
        <f t="shared" si="4"/>
        <v>338400</v>
      </c>
      <c r="J12" s="34">
        <f t="shared" si="1"/>
        <v>0</v>
      </c>
      <c r="K12" s="34">
        <f t="shared" si="5"/>
        <v>165940.54062019198</v>
      </c>
      <c r="L12" s="34">
        <f t="shared" si="6"/>
        <v>270270.27039999998</v>
      </c>
      <c r="M12" s="113">
        <f t="shared" si="7"/>
        <v>0</v>
      </c>
      <c r="N12" s="113">
        <v>0</v>
      </c>
      <c r="O12" s="113"/>
      <c r="P12" s="400">
        <f t="shared" si="2"/>
        <v>774655.08</v>
      </c>
      <c r="Q12" s="400"/>
      <c r="R12" s="24">
        <f t="shared" si="3"/>
        <v>0.08</v>
      </c>
      <c r="S12" s="1">
        <f t="shared" si="8"/>
        <v>8</v>
      </c>
      <c r="T12" t="s">
        <v>298</v>
      </c>
    </row>
    <row r="13" spans="1:23" ht="24.6" customHeight="1" x14ac:dyDescent="0.25">
      <c r="A13" s="29"/>
      <c r="B13" s="28">
        <f t="shared" si="9"/>
        <v>9</v>
      </c>
      <c r="C13" s="28" t="s">
        <v>31</v>
      </c>
      <c r="D13" s="125">
        <v>4.7000000000000002E-3</v>
      </c>
      <c r="E13" s="156">
        <v>3015093.09</v>
      </c>
      <c r="F13" s="155">
        <v>1937000</v>
      </c>
      <c r="G13" s="89">
        <f t="shared" si="0"/>
        <v>1078093.0899999999</v>
      </c>
      <c r="H13" s="33">
        <f t="shared" si="10"/>
        <v>33280.733688299995</v>
      </c>
      <c r="I13" s="34">
        <f t="shared" si="4"/>
        <v>338400</v>
      </c>
      <c r="J13" s="34">
        <f t="shared" si="1"/>
        <v>0</v>
      </c>
      <c r="K13" s="34">
        <f t="shared" si="5"/>
        <v>165940.54062019198</v>
      </c>
      <c r="L13" s="34">
        <f t="shared" si="6"/>
        <v>270270.27039999998</v>
      </c>
      <c r="M13" s="113">
        <v>59274</v>
      </c>
      <c r="N13" s="113">
        <f>(I13+K13)/2</f>
        <v>252170.27031009598</v>
      </c>
      <c r="O13" s="113"/>
      <c r="P13" s="400">
        <f t="shared" si="2"/>
        <v>2197429.09</v>
      </c>
      <c r="Q13" s="400"/>
      <c r="R13" s="24">
        <f t="shared" si="3"/>
        <v>0.09</v>
      </c>
      <c r="S13" s="1">
        <f t="shared" si="8"/>
        <v>9</v>
      </c>
    </row>
    <row r="14" spans="1:23" ht="24.6" customHeight="1" x14ac:dyDescent="0.25">
      <c r="A14" s="29"/>
      <c r="B14" s="28">
        <f t="shared" si="9"/>
        <v>10</v>
      </c>
      <c r="C14" s="28" t="s">
        <v>32</v>
      </c>
      <c r="D14" s="125">
        <v>4.7000000000000002E-3</v>
      </c>
      <c r="E14" s="156">
        <v>707043.1</v>
      </c>
      <c r="F14" s="155">
        <f>E14</f>
        <v>707043.1</v>
      </c>
      <c r="G14" s="89">
        <f t="shared" si="0"/>
        <v>0</v>
      </c>
      <c r="H14" s="33">
        <f t="shared" si="10"/>
        <v>0</v>
      </c>
      <c r="I14" s="34">
        <f t="shared" si="4"/>
        <v>338400</v>
      </c>
      <c r="J14" s="34">
        <f t="shared" si="1"/>
        <v>0</v>
      </c>
      <c r="K14" s="34">
        <f t="shared" si="5"/>
        <v>165940.54062019198</v>
      </c>
      <c r="L14" s="34">
        <f t="shared" si="6"/>
        <v>270270.27039999998</v>
      </c>
      <c r="M14" s="113">
        <f t="shared" si="7"/>
        <v>0</v>
      </c>
      <c r="N14" s="113">
        <v>0</v>
      </c>
      <c r="O14" s="113"/>
      <c r="P14" s="400">
        <f t="shared" si="2"/>
        <v>774611.1</v>
      </c>
      <c r="Q14" s="400"/>
      <c r="R14" s="24">
        <f t="shared" si="3"/>
        <v>0.1</v>
      </c>
      <c r="S14" s="1">
        <f t="shared" si="8"/>
        <v>10</v>
      </c>
      <c r="T14" t="s">
        <v>249</v>
      </c>
    </row>
    <row r="15" spans="1:23" ht="24.6" customHeight="1" x14ac:dyDescent="0.25">
      <c r="A15" s="29"/>
      <c r="B15" s="28">
        <f t="shared" si="9"/>
        <v>11</v>
      </c>
      <c r="C15" s="28" t="s">
        <v>33</v>
      </c>
      <c r="D15" s="125">
        <v>4.7000000000000002E-3</v>
      </c>
      <c r="E15" s="156">
        <v>707043.11</v>
      </c>
      <c r="F15" s="155">
        <f>E15</f>
        <v>707043.11</v>
      </c>
      <c r="G15" s="90">
        <f t="shared" si="0"/>
        <v>0</v>
      </c>
      <c r="H15" s="126">
        <f t="shared" si="10"/>
        <v>0</v>
      </c>
      <c r="I15" s="113">
        <f t="shared" si="4"/>
        <v>338400</v>
      </c>
      <c r="J15" s="113">
        <f t="shared" si="1"/>
        <v>0</v>
      </c>
      <c r="K15" s="113">
        <f t="shared" si="5"/>
        <v>165940.54062019198</v>
      </c>
      <c r="L15" s="113">
        <f t="shared" si="6"/>
        <v>270270.27039999998</v>
      </c>
      <c r="M15" s="113">
        <f t="shared" si="7"/>
        <v>0</v>
      </c>
      <c r="N15" s="113">
        <v>0</v>
      </c>
      <c r="O15" s="113"/>
      <c r="P15" s="404">
        <f t="shared" si="2"/>
        <v>774611.11</v>
      </c>
      <c r="Q15" s="404"/>
      <c r="R15" s="127">
        <f t="shared" si="3"/>
        <v>0.11</v>
      </c>
      <c r="S15" s="88">
        <f t="shared" si="8"/>
        <v>11</v>
      </c>
      <c r="T15" t="s">
        <v>276</v>
      </c>
    </row>
    <row r="16" spans="1:23" ht="24.6" customHeight="1" x14ac:dyDescent="0.25">
      <c r="A16" s="29"/>
      <c r="B16" s="28">
        <f t="shared" si="9"/>
        <v>12</v>
      </c>
      <c r="C16" s="28" t="s">
        <v>34</v>
      </c>
      <c r="D16" s="125">
        <v>4.3E-3</v>
      </c>
      <c r="E16" s="156">
        <v>2637325.12</v>
      </c>
      <c r="F16" s="155"/>
      <c r="G16" s="90">
        <f t="shared" si="0"/>
        <v>2637325.12</v>
      </c>
      <c r="H16" s="126">
        <f t="shared" si="10"/>
        <v>81414.226454400006</v>
      </c>
      <c r="I16" s="113">
        <f t="shared" si="4"/>
        <v>309600</v>
      </c>
      <c r="J16" s="113">
        <f t="shared" si="1"/>
        <v>0</v>
      </c>
      <c r="K16" s="113">
        <f t="shared" si="5"/>
        <v>165940.54062019198</v>
      </c>
      <c r="L16" s="113">
        <f t="shared" si="6"/>
        <v>270270.27039999998</v>
      </c>
      <c r="M16" s="113">
        <f t="shared" si="7"/>
        <v>0</v>
      </c>
      <c r="N16" s="113">
        <v>0</v>
      </c>
      <c r="O16" s="113"/>
      <c r="P16" s="404">
        <f t="shared" si="2"/>
        <v>3464550.12</v>
      </c>
      <c r="Q16" s="404"/>
      <c r="R16" s="127">
        <f t="shared" si="3"/>
        <v>0.12</v>
      </c>
      <c r="S16" s="88">
        <f t="shared" si="8"/>
        <v>12</v>
      </c>
      <c r="T16" t="s">
        <v>268</v>
      </c>
    </row>
    <row r="17" spans="1:21" ht="24.6" customHeight="1" x14ac:dyDescent="0.25">
      <c r="A17" s="29"/>
      <c r="B17" s="28">
        <f t="shared" si="9"/>
        <v>13</v>
      </c>
      <c r="C17" s="28" t="s">
        <v>172</v>
      </c>
      <c r="D17" s="125">
        <v>4.5999999999999999E-3</v>
      </c>
      <c r="E17" s="156">
        <v>1006427.13</v>
      </c>
      <c r="F17" s="155">
        <f>E17</f>
        <v>1006427.13</v>
      </c>
      <c r="G17" s="89">
        <f t="shared" si="0"/>
        <v>0</v>
      </c>
      <c r="H17" s="33">
        <f t="shared" si="10"/>
        <v>0</v>
      </c>
      <c r="I17" s="34">
        <f t="shared" si="4"/>
        <v>331200</v>
      </c>
      <c r="J17" s="34">
        <f t="shared" si="1"/>
        <v>0</v>
      </c>
      <c r="K17" s="34">
        <f t="shared" si="5"/>
        <v>165940.54062019198</v>
      </c>
      <c r="L17" s="34">
        <f t="shared" si="6"/>
        <v>270270.27039999998</v>
      </c>
      <c r="M17" s="113">
        <v>58013</v>
      </c>
      <c r="N17" s="113">
        <f>(I17+K17)/2</f>
        <v>248570.27031009598</v>
      </c>
      <c r="O17" s="113"/>
      <c r="P17" s="400">
        <f t="shared" si="2"/>
        <v>1073994.1299999999</v>
      </c>
      <c r="Q17" s="400"/>
      <c r="R17" s="24">
        <f t="shared" si="3"/>
        <v>0.13</v>
      </c>
      <c r="S17" s="1">
        <f t="shared" si="8"/>
        <v>13</v>
      </c>
    </row>
    <row r="18" spans="1:21" ht="24.6" customHeight="1" x14ac:dyDescent="0.25">
      <c r="A18" s="29"/>
      <c r="B18" s="28">
        <f t="shared" si="9"/>
        <v>14</v>
      </c>
      <c r="C18" s="28" t="s">
        <v>35</v>
      </c>
      <c r="D18" s="125">
        <v>4.7000000000000002E-3</v>
      </c>
      <c r="E18" s="156">
        <v>1414250.14</v>
      </c>
      <c r="F18" s="155">
        <f>707043+686029+21178</f>
        <v>1414250</v>
      </c>
      <c r="G18" s="89">
        <f t="shared" si="0"/>
        <v>0.13999999989755452</v>
      </c>
      <c r="H18" s="33">
        <f t="shared" si="10"/>
        <v>4.3217999968375078E-3</v>
      </c>
      <c r="I18" s="34">
        <f t="shared" si="4"/>
        <v>338400</v>
      </c>
      <c r="J18" s="34">
        <f t="shared" si="1"/>
        <v>0</v>
      </c>
      <c r="K18" s="34">
        <f t="shared" si="5"/>
        <v>165940.54062019198</v>
      </c>
      <c r="L18" s="34">
        <f t="shared" si="6"/>
        <v>270270.27039999998</v>
      </c>
      <c r="M18" s="113">
        <f t="shared" si="7"/>
        <v>0</v>
      </c>
      <c r="N18" s="113">
        <v>0</v>
      </c>
      <c r="O18" s="113">
        <f>I18/2</f>
        <v>169200</v>
      </c>
      <c r="P18" s="400">
        <f t="shared" si="2"/>
        <v>943811.14</v>
      </c>
      <c r="Q18" s="400"/>
      <c r="R18" s="24">
        <f t="shared" si="3"/>
        <v>0.14000000000000001</v>
      </c>
      <c r="S18" s="1">
        <f t="shared" si="8"/>
        <v>14</v>
      </c>
      <c r="T18" t="s">
        <v>283</v>
      </c>
    </row>
    <row r="19" spans="1:21" ht="24.6" customHeight="1" x14ac:dyDescent="0.25">
      <c r="A19" s="29"/>
      <c r="B19" s="28">
        <f t="shared" si="9"/>
        <v>15</v>
      </c>
      <c r="C19" s="28" t="s">
        <v>317</v>
      </c>
      <c r="D19" s="125">
        <v>4.4000000000000003E-3</v>
      </c>
      <c r="E19" s="156">
        <v>685443.15</v>
      </c>
      <c r="F19" s="155">
        <f>E19</f>
        <v>685443.15</v>
      </c>
      <c r="G19" s="90">
        <f t="shared" si="0"/>
        <v>0</v>
      </c>
      <c r="H19" s="126">
        <f t="shared" si="10"/>
        <v>0</v>
      </c>
      <c r="I19" s="113">
        <f t="shared" si="4"/>
        <v>316800</v>
      </c>
      <c r="J19" s="113">
        <f t="shared" si="1"/>
        <v>0</v>
      </c>
      <c r="K19" s="113">
        <f t="shared" si="5"/>
        <v>165940.54062019198</v>
      </c>
      <c r="L19" s="113">
        <f t="shared" si="6"/>
        <v>270270.27039999998</v>
      </c>
      <c r="M19" s="113">
        <f t="shared" si="7"/>
        <v>0</v>
      </c>
      <c r="N19" s="113">
        <v>0</v>
      </c>
      <c r="O19" s="113"/>
      <c r="P19" s="404">
        <f t="shared" si="2"/>
        <v>753011.15</v>
      </c>
      <c r="Q19" s="404"/>
      <c r="R19" s="127">
        <f t="shared" si="3"/>
        <v>0.15</v>
      </c>
      <c r="S19" s="88">
        <f t="shared" si="8"/>
        <v>15</v>
      </c>
      <c r="T19" t="s">
        <v>318</v>
      </c>
    </row>
    <row r="20" spans="1:21" ht="24.6" customHeight="1" x14ac:dyDescent="0.25">
      <c r="A20" s="29"/>
      <c r="B20" s="28">
        <f t="shared" si="9"/>
        <v>16</v>
      </c>
      <c r="C20" s="28" t="s">
        <v>173</v>
      </c>
      <c r="D20" s="125">
        <v>4.5999999999999999E-3</v>
      </c>
      <c r="E20" s="156">
        <v>1006427.16</v>
      </c>
      <c r="F20" s="155">
        <f>E20</f>
        <v>1006427.16</v>
      </c>
      <c r="G20" s="89">
        <f t="shared" si="0"/>
        <v>0</v>
      </c>
      <c r="H20" s="33">
        <f t="shared" si="10"/>
        <v>0</v>
      </c>
      <c r="I20" s="34">
        <f t="shared" si="4"/>
        <v>331200</v>
      </c>
      <c r="J20" s="34">
        <f t="shared" si="1"/>
        <v>0</v>
      </c>
      <c r="K20" s="34">
        <f t="shared" si="5"/>
        <v>165940.54062019198</v>
      </c>
      <c r="L20" s="34">
        <f t="shared" si="6"/>
        <v>270270.27039999998</v>
      </c>
      <c r="M20" s="113">
        <v>58013</v>
      </c>
      <c r="N20" s="113">
        <f>(I20+K20)/2</f>
        <v>248570.27031009598</v>
      </c>
      <c r="O20" s="113"/>
      <c r="P20" s="400">
        <f t="shared" si="2"/>
        <v>1073994.1599999999</v>
      </c>
      <c r="Q20" s="400"/>
      <c r="R20" s="24">
        <f t="shared" si="3"/>
        <v>0.16</v>
      </c>
      <c r="S20" s="1">
        <f t="shared" si="8"/>
        <v>16</v>
      </c>
    </row>
    <row r="21" spans="1:21" ht="24.6" customHeight="1" x14ac:dyDescent="0.25">
      <c r="A21" s="29"/>
      <c r="B21" s="28">
        <f t="shared" si="9"/>
        <v>17</v>
      </c>
      <c r="C21" s="28" t="s">
        <v>36</v>
      </c>
      <c r="D21" s="125">
        <v>4.5999999999999999E-3</v>
      </c>
      <c r="E21" s="156">
        <v>2826222.17</v>
      </c>
      <c r="F21" s="155"/>
      <c r="G21" s="89">
        <f t="shared" si="0"/>
        <v>2826222.17</v>
      </c>
      <c r="H21" s="33">
        <f t="shared" si="10"/>
        <v>87245.478387900002</v>
      </c>
      <c r="I21" s="34">
        <f t="shared" si="4"/>
        <v>331200</v>
      </c>
      <c r="J21" s="34">
        <f t="shared" si="1"/>
        <v>0</v>
      </c>
      <c r="K21" s="34">
        <f t="shared" si="5"/>
        <v>165940.54062019198</v>
      </c>
      <c r="L21" s="34">
        <f t="shared" si="6"/>
        <v>270270.27039999998</v>
      </c>
      <c r="M21" s="113">
        <f t="shared" si="7"/>
        <v>0</v>
      </c>
      <c r="N21" s="113">
        <v>0</v>
      </c>
      <c r="O21" s="113"/>
      <c r="P21" s="400">
        <f t="shared" si="2"/>
        <v>3680878.17</v>
      </c>
      <c r="Q21" s="400"/>
      <c r="R21" s="24">
        <f t="shared" si="3"/>
        <v>0.17</v>
      </c>
      <c r="S21" s="1">
        <f t="shared" si="8"/>
        <v>17</v>
      </c>
      <c r="T21" t="s">
        <v>215</v>
      </c>
    </row>
    <row r="22" spans="1:21" ht="24.6" customHeight="1" x14ac:dyDescent="0.25">
      <c r="A22" s="29"/>
      <c r="B22" s="28">
        <f t="shared" si="9"/>
        <v>18</v>
      </c>
      <c r="C22" s="28" t="s">
        <v>37</v>
      </c>
      <c r="D22" s="125">
        <v>4.5999999999999999E-3</v>
      </c>
      <c r="E22" s="156">
        <v>699843.18</v>
      </c>
      <c r="F22" s="155">
        <f t="shared" ref="F22:F28" si="11">E22</f>
        <v>699843.18</v>
      </c>
      <c r="G22" s="89">
        <f t="shared" si="0"/>
        <v>0</v>
      </c>
      <c r="H22" s="33">
        <f t="shared" si="10"/>
        <v>0</v>
      </c>
      <c r="I22" s="34">
        <f t="shared" si="4"/>
        <v>331200</v>
      </c>
      <c r="J22" s="34">
        <f t="shared" si="1"/>
        <v>0</v>
      </c>
      <c r="K22" s="34">
        <f t="shared" si="5"/>
        <v>165940.54062019198</v>
      </c>
      <c r="L22" s="34">
        <f t="shared" si="6"/>
        <v>270270.27039999998</v>
      </c>
      <c r="M22" s="113">
        <f t="shared" si="7"/>
        <v>0</v>
      </c>
      <c r="N22" s="113">
        <v>0</v>
      </c>
      <c r="O22" s="134"/>
      <c r="P22" s="400">
        <f t="shared" si="2"/>
        <v>767411.18</v>
      </c>
      <c r="Q22" s="400"/>
      <c r="R22" s="24">
        <f t="shared" si="3"/>
        <v>0.18</v>
      </c>
      <c r="S22" s="1">
        <f t="shared" si="8"/>
        <v>18</v>
      </c>
      <c r="T22" t="s">
        <v>472</v>
      </c>
    </row>
    <row r="23" spans="1:21" ht="24.6" customHeight="1" x14ac:dyDescent="0.25">
      <c r="A23" s="29"/>
      <c r="B23" s="28">
        <f t="shared" si="9"/>
        <v>19</v>
      </c>
      <c r="C23" s="28" t="s">
        <v>38</v>
      </c>
      <c r="D23" s="125">
        <v>4.7000000000000002E-3</v>
      </c>
      <c r="E23" s="156">
        <v>707043.19</v>
      </c>
      <c r="F23" s="155">
        <f t="shared" si="11"/>
        <v>707043.19</v>
      </c>
      <c r="G23" s="89">
        <f t="shared" si="0"/>
        <v>0</v>
      </c>
      <c r="H23" s="33">
        <f t="shared" si="10"/>
        <v>0</v>
      </c>
      <c r="I23" s="34">
        <f t="shared" si="4"/>
        <v>338400</v>
      </c>
      <c r="J23" s="34">
        <f t="shared" si="1"/>
        <v>0</v>
      </c>
      <c r="K23" s="34">
        <f t="shared" si="5"/>
        <v>165940.54062019198</v>
      </c>
      <c r="L23" s="34">
        <f t="shared" si="6"/>
        <v>270270.27039999998</v>
      </c>
      <c r="M23" s="113">
        <f t="shared" si="7"/>
        <v>0</v>
      </c>
      <c r="N23" s="113">
        <v>0</v>
      </c>
      <c r="O23" s="134"/>
      <c r="P23" s="400">
        <f t="shared" si="2"/>
        <v>774611.19</v>
      </c>
      <c r="Q23" s="400"/>
      <c r="R23" s="24">
        <f t="shared" si="3"/>
        <v>0.19</v>
      </c>
      <c r="S23" s="1">
        <f t="shared" si="8"/>
        <v>19</v>
      </c>
    </row>
    <row r="24" spans="1:21" ht="24.6" customHeight="1" x14ac:dyDescent="0.25">
      <c r="A24" s="29"/>
      <c r="B24" s="28">
        <f t="shared" si="9"/>
        <v>20</v>
      </c>
      <c r="C24" s="28" t="s">
        <v>39</v>
      </c>
      <c r="D24" s="125">
        <v>4.7000000000000002E-3</v>
      </c>
      <c r="E24" s="156">
        <v>707043.2</v>
      </c>
      <c r="F24" s="155">
        <f t="shared" si="11"/>
        <v>707043.2</v>
      </c>
      <c r="G24" s="89">
        <f t="shared" si="0"/>
        <v>0</v>
      </c>
      <c r="H24" s="33">
        <f t="shared" si="10"/>
        <v>0</v>
      </c>
      <c r="I24" s="34">
        <f t="shared" si="4"/>
        <v>338400</v>
      </c>
      <c r="J24" s="34">
        <f t="shared" si="1"/>
        <v>0</v>
      </c>
      <c r="K24" s="34">
        <f t="shared" si="5"/>
        <v>165940.54062019198</v>
      </c>
      <c r="L24" s="34">
        <f t="shared" si="6"/>
        <v>270270.27039999998</v>
      </c>
      <c r="M24" s="113">
        <f t="shared" si="7"/>
        <v>0</v>
      </c>
      <c r="N24" s="113">
        <v>0</v>
      </c>
      <c r="O24" s="134"/>
      <c r="P24" s="400">
        <f t="shared" si="2"/>
        <v>774611.2</v>
      </c>
      <c r="Q24" s="400"/>
      <c r="R24" s="24">
        <f t="shared" si="3"/>
        <v>0.2</v>
      </c>
      <c r="S24" s="1">
        <f t="shared" si="8"/>
        <v>20</v>
      </c>
    </row>
    <row r="25" spans="1:21" ht="24.6" customHeight="1" x14ac:dyDescent="0.25">
      <c r="A25" s="29"/>
      <c r="B25" s="28">
        <f t="shared" si="9"/>
        <v>21</v>
      </c>
      <c r="C25" s="28" t="s">
        <v>40</v>
      </c>
      <c r="D25" s="125">
        <v>4.7000000000000002E-3</v>
      </c>
      <c r="E25" s="156">
        <v>707043.21</v>
      </c>
      <c r="F25" s="155">
        <f t="shared" si="11"/>
        <v>707043.21</v>
      </c>
      <c r="G25" s="89">
        <f t="shared" si="0"/>
        <v>0</v>
      </c>
      <c r="H25" s="33">
        <f t="shared" si="10"/>
        <v>0</v>
      </c>
      <c r="I25" s="34">
        <f t="shared" si="4"/>
        <v>338400</v>
      </c>
      <c r="J25" s="34">
        <f t="shared" si="1"/>
        <v>0</v>
      </c>
      <c r="K25" s="34">
        <f t="shared" si="5"/>
        <v>165940.54062019198</v>
      </c>
      <c r="L25" s="34">
        <f t="shared" si="6"/>
        <v>270270.27039999998</v>
      </c>
      <c r="M25" s="113">
        <f t="shared" si="7"/>
        <v>0</v>
      </c>
      <c r="N25" s="113">
        <v>0</v>
      </c>
      <c r="O25" s="134"/>
      <c r="P25" s="400">
        <f t="shared" si="2"/>
        <v>774611.21</v>
      </c>
      <c r="Q25" s="400"/>
      <c r="R25" s="24">
        <f t="shared" si="3"/>
        <v>0.21</v>
      </c>
      <c r="S25" s="1">
        <f t="shared" si="8"/>
        <v>21</v>
      </c>
      <c r="U25" t="s">
        <v>207</v>
      </c>
    </row>
    <row r="26" spans="1:21" ht="24.6" customHeight="1" x14ac:dyDescent="0.25">
      <c r="A26" s="29"/>
      <c r="B26" s="28">
        <f t="shared" si="9"/>
        <v>22</v>
      </c>
      <c r="C26" s="28" t="s">
        <v>41</v>
      </c>
      <c r="D26" s="125">
        <v>4.7000000000000002E-3</v>
      </c>
      <c r="E26" s="156">
        <v>707043.22</v>
      </c>
      <c r="F26" s="155">
        <f t="shared" si="11"/>
        <v>707043.22</v>
      </c>
      <c r="G26" s="89">
        <f t="shared" si="0"/>
        <v>0</v>
      </c>
      <c r="H26" s="33">
        <f t="shared" si="10"/>
        <v>0</v>
      </c>
      <c r="I26" s="34">
        <f t="shared" si="4"/>
        <v>338400</v>
      </c>
      <c r="J26" s="34">
        <f t="shared" si="1"/>
        <v>0</v>
      </c>
      <c r="K26" s="34">
        <f t="shared" si="5"/>
        <v>165940.54062019198</v>
      </c>
      <c r="L26" s="34">
        <f t="shared" si="6"/>
        <v>270270.27039999998</v>
      </c>
      <c r="M26" s="113">
        <f t="shared" si="7"/>
        <v>0</v>
      </c>
      <c r="N26" s="113">
        <v>0</v>
      </c>
      <c r="O26" s="134"/>
      <c r="P26" s="400">
        <f t="shared" si="2"/>
        <v>774611.22</v>
      </c>
      <c r="Q26" s="400"/>
      <c r="R26" s="24">
        <f t="shared" si="3"/>
        <v>0.22</v>
      </c>
      <c r="S26" s="1">
        <f t="shared" si="8"/>
        <v>22</v>
      </c>
      <c r="T26" t="s">
        <v>313</v>
      </c>
    </row>
    <row r="27" spans="1:21" ht="24.6" customHeight="1" x14ac:dyDescent="0.25">
      <c r="A27" s="29"/>
      <c r="B27" s="28">
        <f t="shared" si="9"/>
        <v>23</v>
      </c>
      <c r="C27" s="28" t="s">
        <v>42</v>
      </c>
      <c r="D27" s="125">
        <v>4.7000000000000002E-3</v>
      </c>
      <c r="E27" s="156">
        <v>707043.23</v>
      </c>
      <c r="F27" s="155">
        <f t="shared" si="11"/>
        <v>707043.23</v>
      </c>
      <c r="G27" s="89">
        <f t="shared" si="0"/>
        <v>0</v>
      </c>
      <c r="H27" s="33">
        <f t="shared" si="10"/>
        <v>0</v>
      </c>
      <c r="I27" s="34">
        <f t="shared" si="4"/>
        <v>338400</v>
      </c>
      <c r="J27" s="34">
        <f t="shared" si="1"/>
        <v>0</v>
      </c>
      <c r="K27" s="34">
        <f t="shared" si="5"/>
        <v>165940.54062019198</v>
      </c>
      <c r="L27" s="34">
        <f t="shared" si="6"/>
        <v>270270.27039999998</v>
      </c>
      <c r="M27" s="113">
        <f t="shared" si="7"/>
        <v>0</v>
      </c>
      <c r="N27" s="113">
        <v>0</v>
      </c>
      <c r="O27" s="134"/>
      <c r="P27" s="400">
        <f t="shared" si="2"/>
        <v>774611.23</v>
      </c>
      <c r="Q27" s="400"/>
      <c r="R27" s="24">
        <f t="shared" si="3"/>
        <v>0.23</v>
      </c>
      <c r="S27" s="1">
        <f t="shared" si="8"/>
        <v>23</v>
      </c>
      <c r="T27" t="s">
        <v>310</v>
      </c>
    </row>
    <row r="28" spans="1:21" ht="24.6" customHeight="1" x14ac:dyDescent="0.25">
      <c r="A28" s="28"/>
      <c r="B28" s="28">
        <f t="shared" si="9"/>
        <v>24</v>
      </c>
      <c r="C28" s="28" t="s">
        <v>43</v>
      </c>
      <c r="D28" s="125">
        <v>4.7000000000000002E-3</v>
      </c>
      <c r="E28" s="156">
        <v>707043.24</v>
      </c>
      <c r="F28" s="155">
        <f t="shared" si="11"/>
        <v>707043.24</v>
      </c>
      <c r="G28" s="89">
        <f t="shared" si="0"/>
        <v>0</v>
      </c>
      <c r="H28" s="33">
        <f t="shared" si="10"/>
        <v>0</v>
      </c>
      <c r="I28" s="34">
        <f t="shared" si="4"/>
        <v>338400</v>
      </c>
      <c r="J28" s="34">
        <f t="shared" si="1"/>
        <v>0</v>
      </c>
      <c r="K28" s="34">
        <f t="shared" si="5"/>
        <v>165940.54062019198</v>
      </c>
      <c r="L28" s="34">
        <f t="shared" si="6"/>
        <v>270270.27039999998</v>
      </c>
      <c r="M28" s="113">
        <f t="shared" si="7"/>
        <v>0</v>
      </c>
      <c r="N28" s="113">
        <v>0</v>
      </c>
      <c r="O28" s="134"/>
      <c r="P28" s="400">
        <f t="shared" si="2"/>
        <v>774611.24</v>
      </c>
      <c r="Q28" s="400"/>
      <c r="R28" s="24">
        <f t="shared" si="3"/>
        <v>0.24</v>
      </c>
      <c r="S28" s="1">
        <f t="shared" si="8"/>
        <v>24</v>
      </c>
    </row>
    <row r="29" spans="1:21" ht="24.6" customHeight="1" x14ac:dyDescent="0.25">
      <c r="A29" s="29"/>
      <c r="B29" s="28">
        <f t="shared" si="9"/>
        <v>25</v>
      </c>
      <c r="C29" s="28" t="s">
        <v>44</v>
      </c>
      <c r="D29" s="125">
        <v>4.7999999999999996E-3</v>
      </c>
      <c r="E29" s="156">
        <v>1428563.25</v>
      </c>
      <c r="F29" s="155">
        <v>692929.25</v>
      </c>
      <c r="G29" s="89">
        <f t="shared" si="0"/>
        <v>735634</v>
      </c>
      <c r="H29" s="33">
        <f t="shared" si="10"/>
        <v>22709.021580000001</v>
      </c>
      <c r="I29" s="34">
        <f t="shared" si="4"/>
        <v>345599.99999999994</v>
      </c>
      <c r="J29" s="34">
        <f t="shared" si="1"/>
        <v>0</v>
      </c>
      <c r="K29" s="34">
        <f t="shared" si="5"/>
        <v>165940.54062019198</v>
      </c>
      <c r="L29" s="34">
        <f t="shared" si="6"/>
        <v>270270.27039999998</v>
      </c>
      <c r="M29" s="113">
        <f t="shared" si="7"/>
        <v>0</v>
      </c>
      <c r="N29" s="113">
        <v>0</v>
      </c>
      <c r="O29" s="134"/>
      <c r="P29" s="400">
        <f t="shared" si="2"/>
        <v>1540154.25</v>
      </c>
      <c r="Q29" s="400"/>
      <c r="R29" s="24">
        <f t="shared" si="3"/>
        <v>0.25</v>
      </c>
      <c r="S29" s="1">
        <f t="shared" si="8"/>
        <v>25</v>
      </c>
      <c r="U29" t="s">
        <v>281</v>
      </c>
    </row>
    <row r="30" spans="1:21" ht="24.6" customHeight="1" x14ac:dyDescent="0.25">
      <c r="A30" s="28"/>
      <c r="B30" s="28">
        <f t="shared" si="9"/>
        <v>26</v>
      </c>
      <c r="C30" s="28" t="s">
        <v>45</v>
      </c>
      <c r="D30" s="125">
        <v>4.7999999999999996E-3</v>
      </c>
      <c r="E30" s="156">
        <v>714219.26</v>
      </c>
      <c r="F30" s="155">
        <f>E30+1</f>
        <v>714220.26</v>
      </c>
      <c r="G30" s="90">
        <f t="shared" si="0"/>
        <v>-1</v>
      </c>
      <c r="H30" s="126">
        <f t="shared" si="10"/>
        <v>0</v>
      </c>
      <c r="I30" s="113">
        <f t="shared" si="4"/>
        <v>345599.99999999994</v>
      </c>
      <c r="J30" s="113">
        <f t="shared" si="1"/>
        <v>0</v>
      </c>
      <c r="K30" s="113">
        <f t="shared" si="5"/>
        <v>165940.54062019198</v>
      </c>
      <c r="L30" s="113">
        <f t="shared" si="6"/>
        <v>270270.27039999998</v>
      </c>
      <c r="M30" s="113">
        <f t="shared" si="7"/>
        <v>0</v>
      </c>
      <c r="N30" s="113">
        <v>0</v>
      </c>
      <c r="O30" s="134"/>
      <c r="P30" s="404">
        <f t="shared" si="2"/>
        <v>781810.26</v>
      </c>
      <c r="Q30" s="404"/>
      <c r="R30" s="127">
        <f t="shared" si="3"/>
        <v>0.26</v>
      </c>
      <c r="S30" s="88">
        <f t="shared" si="8"/>
        <v>26</v>
      </c>
      <c r="U30" t="s">
        <v>202</v>
      </c>
    </row>
    <row r="31" spans="1:21" ht="24.6" customHeight="1" x14ac:dyDescent="0.25">
      <c r="A31" s="29"/>
      <c r="B31" s="28">
        <f t="shared" si="9"/>
        <v>27</v>
      </c>
      <c r="C31" s="28" t="s">
        <v>46</v>
      </c>
      <c r="D31" s="125">
        <v>4.7999999999999996E-3</v>
      </c>
      <c r="E31" s="156">
        <v>714243.27</v>
      </c>
      <c r="F31" s="155"/>
      <c r="G31" s="89">
        <f t="shared" si="0"/>
        <v>714243.27</v>
      </c>
      <c r="H31" s="33">
        <f t="shared" si="10"/>
        <v>22048.689744900003</v>
      </c>
      <c r="I31" s="34">
        <f t="shared" si="4"/>
        <v>345599.99999999994</v>
      </c>
      <c r="J31" s="34">
        <f t="shared" si="1"/>
        <v>0</v>
      </c>
      <c r="K31" s="34">
        <f t="shared" si="5"/>
        <v>165940.54062019198</v>
      </c>
      <c r="L31" s="34">
        <f t="shared" si="6"/>
        <v>270270.27039999998</v>
      </c>
      <c r="M31" s="113">
        <f t="shared" si="7"/>
        <v>0</v>
      </c>
      <c r="N31" s="113">
        <v>0</v>
      </c>
      <c r="O31" s="134"/>
      <c r="P31" s="400">
        <f t="shared" si="2"/>
        <v>1518103.27</v>
      </c>
      <c r="Q31" s="400"/>
      <c r="R31" s="24">
        <f t="shared" si="3"/>
        <v>0.27</v>
      </c>
      <c r="S31" s="1">
        <f t="shared" si="8"/>
        <v>27</v>
      </c>
    </row>
    <row r="32" spans="1:21" ht="24.6" customHeight="1" x14ac:dyDescent="0.25">
      <c r="A32" s="29"/>
      <c r="B32" s="28">
        <f t="shared" si="9"/>
        <v>28</v>
      </c>
      <c r="C32" s="28" t="s">
        <v>47</v>
      </c>
      <c r="D32" s="125">
        <v>4.4999999999999997E-3</v>
      </c>
      <c r="E32" s="156">
        <v>1383604.28</v>
      </c>
      <c r="F32" s="155">
        <f>680000+680200</f>
        <v>1360200</v>
      </c>
      <c r="G32" s="89">
        <f t="shared" si="0"/>
        <v>23404.280000000028</v>
      </c>
      <c r="H32" s="33">
        <f t="shared" si="10"/>
        <v>722.49012360000086</v>
      </c>
      <c r="I32" s="34">
        <f t="shared" si="4"/>
        <v>324000</v>
      </c>
      <c r="J32" s="34">
        <f t="shared" si="1"/>
        <v>0</v>
      </c>
      <c r="K32" s="34">
        <f t="shared" si="5"/>
        <v>165940.54062019198</v>
      </c>
      <c r="L32" s="34">
        <f t="shared" si="6"/>
        <v>270270.27039999998</v>
      </c>
      <c r="M32" s="113">
        <f t="shared" si="7"/>
        <v>0</v>
      </c>
      <c r="N32" s="113">
        <v>0</v>
      </c>
      <c r="O32" s="134"/>
      <c r="P32" s="400">
        <f t="shared" si="2"/>
        <v>784338.28</v>
      </c>
      <c r="Q32" s="400"/>
      <c r="R32" s="24">
        <f t="shared" si="3"/>
        <v>0.28000000000000003</v>
      </c>
      <c r="S32" s="1">
        <f t="shared" si="8"/>
        <v>28</v>
      </c>
      <c r="T32" t="s">
        <v>470</v>
      </c>
    </row>
    <row r="33" spans="1:20" ht="24.6" customHeight="1" x14ac:dyDescent="0.25">
      <c r="A33" s="29"/>
      <c r="B33" s="28">
        <f t="shared" si="9"/>
        <v>29</v>
      </c>
      <c r="C33" s="28" t="s">
        <v>48</v>
      </c>
      <c r="D33" s="125">
        <v>4.7999999999999996E-3</v>
      </c>
      <c r="E33" s="156">
        <v>714243.29</v>
      </c>
      <c r="F33" s="155">
        <f>E33</f>
        <v>714243.29</v>
      </c>
      <c r="G33" s="89">
        <f t="shared" si="0"/>
        <v>0</v>
      </c>
      <c r="H33" s="33">
        <f t="shared" si="10"/>
        <v>0</v>
      </c>
      <c r="I33" s="34">
        <f t="shared" si="4"/>
        <v>345599.99999999994</v>
      </c>
      <c r="J33" s="34">
        <f t="shared" si="1"/>
        <v>0</v>
      </c>
      <c r="K33" s="34">
        <f t="shared" si="5"/>
        <v>165940.54062019198</v>
      </c>
      <c r="L33" s="34">
        <f t="shared" si="6"/>
        <v>270270.27039999998</v>
      </c>
      <c r="M33" s="113">
        <f t="shared" si="7"/>
        <v>0</v>
      </c>
      <c r="N33" s="113">
        <v>0</v>
      </c>
      <c r="O33" s="134"/>
      <c r="P33" s="400">
        <f t="shared" si="2"/>
        <v>781811.29</v>
      </c>
      <c r="Q33" s="400"/>
      <c r="R33" s="24">
        <f t="shared" si="3"/>
        <v>0.28999999999999998</v>
      </c>
      <c r="S33" s="1">
        <f t="shared" si="8"/>
        <v>29</v>
      </c>
      <c r="T33" t="s">
        <v>211</v>
      </c>
    </row>
    <row r="34" spans="1:20" ht="24.6" customHeight="1" x14ac:dyDescent="0.25">
      <c r="A34" s="29"/>
      <c r="B34" s="28">
        <f t="shared" si="9"/>
        <v>30</v>
      </c>
      <c r="C34" s="28" t="s">
        <v>49</v>
      </c>
      <c r="D34" s="125">
        <v>4.4999999999999997E-3</v>
      </c>
      <c r="E34" s="156">
        <v>692643.3</v>
      </c>
      <c r="F34" s="155">
        <f>E34</f>
        <v>692643.3</v>
      </c>
      <c r="G34" s="89">
        <f t="shared" si="0"/>
        <v>0</v>
      </c>
      <c r="H34" s="33">
        <f t="shared" si="10"/>
        <v>0</v>
      </c>
      <c r="I34" s="34">
        <f t="shared" si="4"/>
        <v>324000</v>
      </c>
      <c r="J34" s="34">
        <f t="shared" si="1"/>
        <v>0</v>
      </c>
      <c r="K34" s="34">
        <f t="shared" si="5"/>
        <v>165940.54062019198</v>
      </c>
      <c r="L34" s="34">
        <f t="shared" si="6"/>
        <v>270270.27039999998</v>
      </c>
      <c r="M34" s="113">
        <f t="shared" si="7"/>
        <v>0</v>
      </c>
      <c r="N34" s="113">
        <v>0</v>
      </c>
      <c r="O34" s="134"/>
      <c r="P34" s="400">
        <f t="shared" si="2"/>
        <v>760211.3</v>
      </c>
      <c r="Q34" s="400"/>
      <c r="R34" s="24">
        <f t="shared" si="3"/>
        <v>0.3</v>
      </c>
      <c r="S34" s="1">
        <f t="shared" si="8"/>
        <v>30</v>
      </c>
      <c r="T34" t="s">
        <v>263</v>
      </c>
    </row>
    <row r="35" spans="1:20" ht="24.6" customHeight="1" x14ac:dyDescent="0.25">
      <c r="A35" s="283"/>
      <c r="B35" s="28">
        <f t="shared" si="9"/>
        <v>31</v>
      </c>
      <c r="C35" s="28" t="s">
        <v>50</v>
      </c>
      <c r="D35" s="125">
        <v>4.4999999999999997E-3</v>
      </c>
      <c r="E35" s="156">
        <v>692643.31</v>
      </c>
      <c r="F35" s="155">
        <f>692644*3</f>
        <v>2077932</v>
      </c>
      <c r="G35" s="89">
        <f t="shared" si="0"/>
        <v>-1385288.69</v>
      </c>
      <c r="H35" s="33">
        <f t="shared" si="10"/>
        <v>0</v>
      </c>
      <c r="I35" s="34">
        <f t="shared" si="4"/>
        <v>324000</v>
      </c>
      <c r="J35" s="34">
        <f t="shared" si="1"/>
        <v>0</v>
      </c>
      <c r="K35" s="34">
        <f t="shared" si="5"/>
        <v>165940.54062019198</v>
      </c>
      <c r="L35" s="34">
        <f t="shared" si="6"/>
        <v>270270.27039999998</v>
      </c>
      <c r="M35" s="113">
        <f t="shared" si="7"/>
        <v>0</v>
      </c>
      <c r="N35" s="113">
        <v>0</v>
      </c>
      <c r="O35" s="134">
        <f>1552*100</f>
        <v>155200</v>
      </c>
      <c r="P35" s="400">
        <f t="shared" si="2"/>
        <v>-469877.69</v>
      </c>
      <c r="Q35" s="400"/>
      <c r="R35" s="24">
        <f t="shared" si="3"/>
        <v>0.31</v>
      </c>
      <c r="S35" s="1">
        <f t="shared" si="8"/>
        <v>31</v>
      </c>
      <c r="T35" s="94" t="s">
        <v>275</v>
      </c>
    </row>
    <row r="36" spans="1:20" ht="24.6" customHeight="1" x14ac:dyDescent="0.25">
      <c r="A36" s="248"/>
      <c r="B36" s="28">
        <f t="shared" si="9"/>
        <v>32</v>
      </c>
      <c r="C36" s="28" t="s">
        <v>51</v>
      </c>
      <c r="D36" s="125">
        <v>4.4999999999999997E-3</v>
      </c>
      <c r="E36" s="156">
        <v>692094.32</v>
      </c>
      <c r="F36" s="359">
        <f>6197000-F17-F20-F37-F90-F150-F151-F153</f>
        <v>692124.67</v>
      </c>
      <c r="G36" s="90">
        <f t="shared" si="0"/>
        <v>-30.350000000093132</v>
      </c>
      <c r="H36" s="126">
        <f t="shared" si="10"/>
        <v>0</v>
      </c>
      <c r="I36" s="113">
        <f t="shared" si="4"/>
        <v>324000</v>
      </c>
      <c r="J36" s="113">
        <f t="shared" si="1"/>
        <v>0</v>
      </c>
      <c r="K36" s="113">
        <f t="shared" si="5"/>
        <v>165940.54062019198</v>
      </c>
      <c r="L36" s="113">
        <f t="shared" si="6"/>
        <v>270270.27039999998</v>
      </c>
      <c r="M36" s="113">
        <f t="shared" si="7"/>
        <v>0</v>
      </c>
      <c r="N36" s="113">
        <v>0</v>
      </c>
      <c r="O36" s="134"/>
      <c r="P36" s="404">
        <f t="shared" si="2"/>
        <v>760180.32</v>
      </c>
      <c r="Q36" s="404"/>
      <c r="R36" s="127">
        <f t="shared" si="3"/>
        <v>0.32</v>
      </c>
      <c r="S36" s="88">
        <f t="shared" si="8"/>
        <v>32</v>
      </c>
    </row>
    <row r="37" spans="1:20" ht="24.6" customHeight="1" x14ac:dyDescent="0.25">
      <c r="A37" s="28"/>
      <c r="B37" s="28">
        <v>33</v>
      </c>
      <c r="C37" s="28" t="s">
        <v>52</v>
      </c>
      <c r="D37" s="125">
        <v>4.4999999999999997E-3</v>
      </c>
      <c r="E37" s="156">
        <v>692643.33</v>
      </c>
      <c r="F37" s="155">
        <f>E37</f>
        <v>692643.33</v>
      </c>
      <c r="G37" s="89">
        <f t="shared" si="0"/>
        <v>0</v>
      </c>
      <c r="H37" s="33">
        <f t="shared" si="10"/>
        <v>0</v>
      </c>
      <c r="I37" s="34">
        <f t="shared" si="4"/>
        <v>324000</v>
      </c>
      <c r="J37" s="34">
        <f t="shared" ref="J37:J68" si="12">P$2*D37</f>
        <v>0</v>
      </c>
      <c r="K37" s="34">
        <f t="shared" si="5"/>
        <v>165940.54062019198</v>
      </c>
      <c r="L37" s="34">
        <f t="shared" si="6"/>
        <v>270270.27039999998</v>
      </c>
      <c r="M37" s="113">
        <f t="shared" si="7"/>
        <v>0</v>
      </c>
      <c r="N37" s="113">
        <v>0</v>
      </c>
      <c r="O37" s="134"/>
      <c r="P37" s="400">
        <f t="shared" ref="P37:P68" si="13">ROUND(SUM(G37:O37),0) + R37</f>
        <v>760211.33</v>
      </c>
      <c r="Q37" s="400"/>
      <c r="R37" s="24">
        <f t="shared" ref="R37:R68" si="14">ROUND(0.001+B37/100,2)</f>
        <v>0.33</v>
      </c>
      <c r="S37" s="1">
        <f t="shared" si="8"/>
        <v>33</v>
      </c>
    </row>
    <row r="38" spans="1:20" ht="24.6" customHeight="1" x14ac:dyDescent="0.25">
      <c r="A38" s="29"/>
      <c r="B38" s="28">
        <v>34</v>
      </c>
      <c r="C38" s="28" t="s">
        <v>50</v>
      </c>
      <c r="D38" s="125">
        <v>4.4999999999999997E-3</v>
      </c>
      <c r="E38" s="156">
        <v>692643.34</v>
      </c>
      <c r="F38" s="155">
        <f>692644*3</f>
        <v>2077932</v>
      </c>
      <c r="G38" s="89">
        <f t="shared" si="0"/>
        <v>-1385288.6600000001</v>
      </c>
      <c r="H38" s="33">
        <f t="shared" si="10"/>
        <v>0</v>
      </c>
      <c r="I38" s="34">
        <f t="shared" ref="I38:I101" si="15">K$2*D38</f>
        <v>324000</v>
      </c>
      <c r="J38" s="34">
        <f t="shared" si="12"/>
        <v>0</v>
      </c>
      <c r="K38" s="34">
        <f t="shared" si="5"/>
        <v>165940.54062019198</v>
      </c>
      <c r="L38" s="34">
        <f t="shared" si="6"/>
        <v>270270.27039999998</v>
      </c>
      <c r="M38" s="113">
        <f t="shared" si="7"/>
        <v>0</v>
      </c>
      <c r="N38" s="113">
        <v>0</v>
      </c>
      <c r="O38" s="134"/>
      <c r="P38" s="400">
        <f t="shared" si="13"/>
        <v>-625077.66</v>
      </c>
      <c r="Q38" s="400"/>
      <c r="R38" s="24">
        <f t="shared" si="14"/>
        <v>0.34</v>
      </c>
      <c r="S38" s="1">
        <f t="shared" si="8"/>
        <v>34</v>
      </c>
      <c r="T38" s="94" t="s">
        <v>275</v>
      </c>
    </row>
    <row r="39" spans="1:20" ht="22.15" customHeight="1" x14ac:dyDescent="0.25">
      <c r="A39" s="29">
        <v>1</v>
      </c>
      <c r="B39" s="28">
        <v>35</v>
      </c>
      <c r="C39" s="28" t="s">
        <v>53</v>
      </c>
      <c r="D39" s="125">
        <v>4.5999999999999999E-3</v>
      </c>
      <c r="E39" s="156">
        <v>699843.35</v>
      </c>
      <c r="F39" s="155">
        <f>E39</f>
        <v>699843.35</v>
      </c>
      <c r="G39" s="89">
        <f t="shared" si="0"/>
        <v>0</v>
      </c>
      <c r="H39" s="33">
        <f t="shared" si="10"/>
        <v>0</v>
      </c>
      <c r="I39" s="34">
        <f t="shared" si="15"/>
        <v>331200</v>
      </c>
      <c r="J39" s="34">
        <f t="shared" si="12"/>
        <v>0</v>
      </c>
      <c r="K39" s="34">
        <f t="shared" si="5"/>
        <v>165940.54062019198</v>
      </c>
      <c r="L39" s="34">
        <f t="shared" si="6"/>
        <v>270270.27039999998</v>
      </c>
      <c r="M39" s="113">
        <f t="shared" si="7"/>
        <v>0</v>
      </c>
      <c r="N39" s="113">
        <v>0</v>
      </c>
      <c r="O39" s="134"/>
      <c r="P39" s="400">
        <f t="shared" si="13"/>
        <v>767411.35</v>
      </c>
      <c r="Q39" s="400"/>
      <c r="R39" s="24">
        <f t="shared" si="14"/>
        <v>0.35</v>
      </c>
      <c r="S39" s="1">
        <f t="shared" si="8"/>
        <v>35</v>
      </c>
      <c r="T39" t="s">
        <v>226</v>
      </c>
    </row>
    <row r="40" spans="1:20" ht="24.95" customHeight="1" x14ac:dyDescent="0.25">
      <c r="A40" s="28">
        <v>2</v>
      </c>
      <c r="B40" s="28">
        <v>36</v>
      </c>
      <c r="C40" s="28" t="s">
        <v>54</v>
      </c>
      <c r="D40" s="125">
        <v>4.5999999999999999E-3</v>
      </c>
      <c r="E40" s="156">
        <v>3586384.36</v>
      </c>
      <c r="F40" s="155">
        <f>1284000+2000+1400000+226000+602000+40000+32384</f>
        <v>3586384</v>
      </c>
      <c r="G40" s="90">
        <f t="shared" si="0"/>
        <v>0.35999999986961484</v>
      </c>
      <c r="H40" s="126">
        <f t="shared" si="10"/>
        <v>1.1113199995975011E-2</v>
      </c>
      <c r="I40" s="113">
        <f t="shared" si="15"/>
        <v>331200</v>
      </c>
      <c r="J40" s="113">
        <f t="shared" si="12"/>
        <v>0</v>
      </c>
      <c r="K40" s="113">
        <f t="shared" si="5"/>
        <v>165940.54062019198</v>
      </c>
      <c r="L40" s="113">
        <f t="shared" si="6"/>
        <v>270270.27039999998</v>
      </c>
      <c r="M40" s="113">
        <f t="shared" si="7"/>
        <v>0</v>
      </c>
      <c r="N40" s="113">
        <v>0</v>
      </c>
      <c r="O40" s="134"/>
      <c r="P40" s="404">
        <f t="shared" si="13"/>
        <v>767411.36</v>
      </c>
      <c r="Q40" s="404"/>
      <c r="R40" s="127">
        <f t="shared" si="14"/>
        <v>0.36</v>
      </c>
      <c r="S40" s="88">
        <f t="shared" si="8"/>
        <v>36</v>
      </c>
      <c r="T40" s="24"/>
    </row>
    <row r="41" spans="1:20" ht="24.95" customHeight="1" x14ac:dyDescent="0.25">
      <c r="A41" s="28">
        <v>3</v>
      </c>
      <c r="B41" s="28">
        <v>37</v>
      </c>
      <c r="C41" s="28" t="s">
        <v>55</v>
      </c>
      <c r="D41" s="125">
        <v>4.4999999999999997E-3</v>
      </c>
      <c r="E41" s="156">
        <v>2064608.37</v>
      </c>
      <c r="F41" s="155">
        <v>1300000</v>
      </c>
      <c r="G41" s="90">
        <f t="shared" si="0"/>
        <v>764608.37000000011</v>
      </c>
      <c r="H41" s="126">
        <f t="shared" si="10"/>
        <v>23603.460381900004</v>
      </c>
      <c r="I41" s="113">
        <f t="shared" si="15"/>
        <v>324000</v>
      </c>
      <c r="J41" s="113">
        <f t="shared" si="12"/>
        <v>0</v>
      </c>
      <c r="K41" s="113">
        <f t="shared" si="5"/>
        <v>165940.54062019198</v>
      </c>
      <c r="L41" s="113">
        <f t="shared" si="6"/>
        <v>270270.27039999998</v>
      </c>
      <c r="M41" s="113">
        <f t="shared" si="7"/>
        <v>0</v>
      </c>
      <c r="N41" s="113">
        <v>0</v>
      </c>
      <c r="O41" s="134"/>
      <c r="P41" s="404">
        <f t="shared" si="13"/>
        <v>1548423.37</v>
      </c>
      <c r="Q41" s="404"/>
      <c r="R41" s="127">
        <f t="shared" si="14"/>
        <v>0.37</v>
      </c>
      <c r="S41" s="88">
        <f t="shared" si="8"/>
        <v>37</v>
      </c>
      <c r="T41" s="24"/>
    </row>
    <row r="42" spans="1:20" ht="24.95" customHeight="1" x14ac:dyDescent="0.25">
      <c r="A42" s="28">
        <v>4</v>
      </c>
      <c r="B42" s="28">
        <v>38</v>
      </c>
      <c r="C42" s="28" t="s">
        <v>56</v>
      </c>
      <c r="D42" s="125">
        <v>4.4999999999999997E-3</v>
      </c>
      <c r="E42" s="156">
        <v>797936.38</v>
      </c>
      <c r="F42" s="155">
        <f>473937+324000</f>
        <v>797937</v>
      </c>
      <c r="G42" s="89">
        <f t="shared" si="0"/>
        <v>-0.61999999999534339</v>
      </c>
      <c r="H42" s="33">
        <f t="shared" si="10"/>
        <v>0</v>
      </c>
      <c r="I42" s="34">
        <f t="shared" si="15"/>
        <v>324000</v>
      </c>
      <c r="J42" s="34">
        <f t="shared" si="12"/>
        <v>0</v>
      </c>
      <c r="K42" s="34">
        <f t="shared" si="5"/>
        <v>165940.54062019198</v>
      </c>
      <c r="L42" s="34">
        <f t="shared" si="6"/>
        <v>270270.27039999998</v>
      </c>
      <c r="M42" s="113">
        <f t="shared" si="7"/>
        <v>0</v>
      </c>
      <c r="N42" s="113">
        <v>0</v>
      </c>
      <c r="O42" s="134">
        <f>1552*100</f>
        <v>155200</v>
      </c>
      <c r="P42" s="400">
        <f t="shared" si="13"/>
        <v>915410.38</v>
      </c>
      <c r="Q42" s="400"/>
      <c r="R42" s="24">
        <f t="shared" si="14"/>
        <v>0.38</v>
      </c>
      <c r="S42" s="1">
        <f t="shared" si="8"/>
        <v>38</v>
      </c>
      <c r="T42" t="s">
        <v>248</v>
      </c>
    </row>
    <row r="43" spans="1:20" ht="24.95" customHeight="1" x14ac:dyDescent="0.25">
      <c r="A43" s="305">
        <v>5</v>
      </c>
      <c r="B43" s="28">
        <v>39</v>
      </c>
      <c r="C43" s="28" t="s">
        <v>252</v>
      </c>
      <c r="D43" s="125">
        <v>4.4999999999999997E-3</v>
      </c>
      <c r="E43" s="156">
        <v>684746.39</v>
      </c>
      <c r="F43" s="155">
        <v>690000</v>
      </c>
      <c r="G43" s="89">
        <f t="shared" si="0"/>
        <v>-5253.609999999986</v>
      </c>
      <c r="H43" s="33">
        <f t="shared" si="10"/>
        <v>0</v>
      </c>
      <c r="I43" s="34">
        <f t="shared" si="15"/>
        <v>324000</v>
      </c>
      <c r="J43" s="34">
        <f t="shared" si="12"/>
        <v>0</v>
      </c>
      <c r="K43" s="34">
        <f t="shared" si="5"/>
        <v>165940.54062019198</v>
      </c>
      <c r="L43" s="34">
        <f t="shared" si="6"/>
        <v>270270.27039999998</v>
      </c>
      <c r="M43" s="113">
        <f t="shared" si="7"/>
        <v>0</v>
      </c>
      <c r="N43" s="113">
        <v>0</v>
      </c>
      <c r="O43" s="134">
        <f>1552*100</f>
        <v>155200</v>
      </c>
      <c r="P43" s="400">
        <f t="shared" si="13"/>
        <v>910157.39</v>
      </c>
      <c r="Q43" s="400"/>
      <c r="R43" s="24">
        <f t="shared" si="14"/>
        <v>0.39</v>
      </c>
      <c r="S43" s="1">
        <f t="shared" si="8"/>
        <v>39</v>
      </c>
      <c r="T43" t="s">
        <v>229</v>
      </c>
    </row>
    <row r="44" spans="1:20" ht="24.95" customHeight="1" x14ac:dyDescent="0.25">
      <c r="A44" s="29">
        <v>6</v>
      </c>
      <c r="B44" s="28">
        <v>40</v>
      </c>
      <c r="C44" s="28" t="s">
        <v>57</v>
      </c>
      <c r="D44" s="125">
        <v>4.4999999999999997E-3</v>
      </c>
      <c r="E44" s="156">
        <v>692643.4</v>
      </c>
      <c r="F44" s="155">
        <f>E44</f>
        <v>692643.4</v>
      </c>
      <c r="G44" s="89">
        <f t="shared" si="0"/>
        <v>0</v>
      </c>
      <c r="H44" s="33">
        <f t="shared" si="10"/>
        <v>0</v>
      </c>
      <c r="I44" s="34">
        <f t="shared" si="15"/>
        <v>324000</v>
      </c>
      <c r="J44" s="34">
        <f t="shared" si="12"/>
        <v>0</v>
      </c>
      <c r="K44" s="34">
        <f t="shared" si="5"/>
        <v>165940.54062019198</v>
      </c>
      <c r="L44" s="34">
        <f t="shared" si="6"/>
        <v>270270.27039999998</v>
      </c>
      <c r="M44" s="113">
        <f t="shared" si="7"/>
        <v>0</v>
      </c>
      <c r="N44" s="113">
        <v>0</v>
      </c>
      <c r="O44" s="134"/>
      <c r="P44" s="400">
        <f t="shared" si="13"/>
        <v>760211.4</v>
      </c>
      <c r="Q44" s="400"/>
      <c r="R44" s="24">
        <f t="shared" si="14"/>
        <v>0.4</v>
      </c>
      <c r="S44" s="1">
        <f t="shared" si="8"/>
        <v>40</v>
      </c>
    </row>
    <row r="45" spans="1:20" ht="24.95" customHeight="1" x14ac:dyDescent="0.25">
      <c r="A45" s="29">
        <v>7</v>
      </c>
      <c r="B45" s="28">
        <v>41</v>
      </c>
      <c r="C45" s="28" t="s">
        <v>58</v>
      </c>
      <c r="D45" s="125">
        <v>4.4999999999999997E-3</v>
      </c>
      <c r="E45" s="156">
        <v>692643.41</v>
      </c>
      <c r="F45" s="155">
        <f>E45</f>
        <v>692643.41</v>
      </c>
      <c r="G45" s="89">
        <f t="shared" si="0"/>
        <v>0</v>
      </c>
      <c r="H45" s="33">
        <f t="shared" si="10"/>
        <v>0</v>
      </c>
      <c r="I45" s="34">
        <f t="shared" si="15"/>
        <v>324000</v>
      </c>
      <c r="J45" s="34">
        <f t="shared" si="12"/>
        <v>0</v>
      </c>
      <c r="K45" s="34">
        <f t="shared" si="5"/>
        <v>165940.54062019198</v>
      </c>
      <c r="L45" s="34">
        <f t="shared" si="6"/>
        <v>270270.27039999998</v>
      </c>
      <c r="M45" s="113">
        <f t="shared" si="7"/>
        <v>0</v>
      </c>
      <c r="N45" s="113">
        <v>0</v>
      </c>
      <c r="O45" s="134"/>
      <c r="P45" s="400">
        <f t="shared" si="13"/>
        <v>760211.41</v>
      </c>
      <c r="Q45" s="400"/>
      <c r="R45" s="24">
        <f t="shared" si="14"/>
        <v>0.41</v>
      </c>
      <c r="S45" s="1">
        <f t="shared" si="8"/>
        <v>41</v>
      </c>
      <c r="T45" s="94" t="s">
        <v>222</v>
      </c>
    </row>
    <row r="46" spans="1:20" ht="24.95" customHeight="1" x14ac:dyDescent="0.25">
      <c r="A46" s="28">
        <v>8</v>
      </c>
      <c r="B46" s="28">
        <v>42</v>
      </c>
      <c r="C46" s="28" t="s">
        <v>59</v>
      </c>
      <c r="D46" s="125">
        <v>4.4999999999999997E-3</v>
      </c>
      <c r="E46" s="156">
        <v>692643.42</v>
      </c>
      <c r="F46" s="155">
        <f>E46</f>
        <v>692643.42</v>
      </c>
      <c r="G46" s="89">
        <f t="shared" si="0"/>
        <v>0</v>
      </c>
      <c r="H46" s="33">
        <f t="shared" si="10"/>
        <v>0</v>
      </c>
      <c r="I46" s="34">
        <f t="shared" si="15"/>
        <v>324000</v>
      </c>
      <c r="J46" s="34">
        <f t="shared" si="12"/>
        <v>0</v>
      </c>
      <c r="K46" s="34">
        <f t="shared" si="5"/>
        <v>165940.54062019198</v>
      </c>
      <c r="L46" s="34">
        <f t="shared" si="6"/>
        <v>270270.27039999998</v>
      </c>
      <c r="M46" s="113">
        <f t="shared" si="7"/>
        <v>0</v>
      </c>
      <c r="N46" s="113">
        <v>0</v>
      </c>
      <c r="O46" s="134"/>
      <c r="P46" s="400">
        <f t="shared" si="13"/>
        <v>760211.42</v>
      </c>
      <c r="Q46" s="400"/>
      <c r="R46" s="24">
        <f t="shared" si="14"/>
        <v>0.42</v>
      </c>
      <c r="S46" s="1">
        <f t="shared" si="8"/>
        <v>42</v>
      </c>
      <c r="T46" t="s">
        <v>299</v>
      </c>
    </row>
    <row r="47" spans="1:20" ht="24.95" customHeight="1" x14ac:dyDescent="0.25">
      <c r="A47" s="29">
        <v>1</v>
      </c>
      <c r="B47" s="28">
        <v>43</v>
      </c>
      <c r="C47" s="28" t="s">
        <v>60</v>
      </c>
      <c r="D47" s="125">
        <v>3.5999999999999999E-3</v>
      </c>
      <c r="E47" s="156">
        <v>627843.43000000005</v>
      </c>
      <c r="F47" s="155">
        <f>E47</f>
        <v>627843.43000000005</v>
      </c>
      <c r="G47" s="89">
        <f t="shared" si="0"/>
        <v>0</v>
      </c>
      <c r="H47" s="33">
        <f t="shared" si="10"/>
        <v>0</v>
      </c>
      <c r="I47" s="34">
        <f t="shared" si="15"/>
        <v>259200</v>
      </c>
      <c r="J47" s="34">
        <f t="shared" si="12"/>
        <v>0</v>
      </c>
      <c r="K47" s="34">
        <f t="shared" si="5"/>
        <v>165940.54062019198</v>
      </c>
      <c r="L47" s="34">
        <f t="shared" si="6"/>
        <v>270270.27039999998</v>
      </c>
      <c r="M47" s="113">
        <f t="shared" si="7"/>
        <v>0</v>
      </c>
      <c r="N47" s="113">
        <v>0</v>
      </c>
      <c r="O47" s="134"/>
      <c r="P47" s="400">
        <f t="shared" si="13"/>
        <v>695411.43</v>
      </c>
      <c r="Q47" s="400"/>
      <c r="R47" s="24">
        <f t="shared" si="14"/>
        <v>0.43</v>
      </c>
      <c r="S47" s="1">
        <f t="shared" si="8"/>
        <v>43</v>
      </c>
    </row>
    <row r="48" spans="1:20" ht="24.95" customHeight="1" x14ac:dyDescent="0.25">
      <c r="A48" s="28">
        <v>1</v>
      </c>
      <c r="B48" s="28">
        <v>44</v>
      </c>
      <c r="C48" s="28" t="s">
        <v>61</v>
      </c>
      <c r="D48" s="125">
        <v>4.1000000000000003E-3</v>
      </c>
      <c r="E48" s="156">
        <v>1328963.44</v>
      </c>
      <c r="F48" s="155">
        <f>644629</f>
        <v>644629</v>
      </c>
      <c r="G48" s="89">
        <f t="shared" si="0"/>
        <v>684334.44</v>
      </c>
      <c r="H48" s="33">
        <f t="shared" si="10"/>
        <v>21125.404162799998</v>
      </c>
      <c r="I48" s="34">
        <f t="shared" si="15"/>
        <v>295200</v>
      </c>
      <c r="J48" s="34">
        <f t="shared" si="12"/>
        <v>0</v>
      </c>
      <c r="K48" s="34">
        <f t="shared" si="5"/>
        <v>165940.54062019198</v>
      </c>
      <c r="L48" s="34">
        <f t="shared" si="6"/>
        <v>270270.27039999998</v>
      </c>
      <c r="M48" s="113">
        <f t="shared" si="7"/>
        <v>0</v>
      </c>
      <c r="N48" s="113">
        <v>0</v>
      </c>
      <c r="O48" s="134"/>
      <c r="P48" s="400">
        <f t="shared" si="13"/>
        <v>1436871.44</v>
      </c>
      <c r="Q48" s="400"/>
      <c r="R48" s="24">
        <f t="shared" si="14"/>
        <v>0.44</v>
      </c>
      <c r="S48" s="1">
        <f t="shared" si="8"/>
        <v>44</v>
      </c>
      <c r="T48" t="s">
        <v>315</v>
      </c>
    </row>
    <row r="49" spans="1:20" ht="24.95" customHeight="1" x14ac:dyDescent="0.25">
      <c r="A49" s="29">
        <v>2</v>
      </c>
      <c r="B49" s="28">
        <v>45</v>
      </c>
      <c r="C49" s="28" t="s">
        <v>62</v>
      </c>
      <c r="D49" s="125">
        <v>4.8999999999999998E-3</v>
      </c>
      <c r="E49" s="156">
        <v>721443.45</v>
      </c>
      <c r="F49" s="155">
        <f>E49</f>
        <v>721443.45</v>
      </c>
      <c r="G49" s="89">
        <f t="shared" si="0"/>
        <v>0</v>
      </c>
      <c r="H49" s="33">
        <f t="shared" si="10"/>
        <v>0</v>
      </c>
      <c r="I49" s="34">
        <f t="shared" si="15"/>
        <v>352800</v>
      </c>
      <c r="J49" s="34">
        <f t="shared" si="12"/>
        <v>0</v>
      </c>
      <c r="K49" s="34">
        <f t="shared" si="5"/>
        <v>165940.54062019198</v>
      </c>
      <c r="L49" s="34">
        <f t="shared" si="6"/>
        <v>270270.27039999998</v>
      </c>
      <c r="M49" s="113">
        <f t="shared" si="7"/>
        <v>0</v>
      </c>
      <c r="N49" s="113">
        <v>0</v>
      </c>
      <c r="O49" s="134"/>
      <c r="P49" s="400">
        <f t="shared" si="13"/>
        <v>789011.45</v>
      </c>
      <c r="Q49" s="400"/>
      <c r="R49" s="24">
        <f t="shared" si="14"/>
        <v>0.45</v>
      </c>
      <c r="S49" s="1">
        <f t="shared" si="8"/>
        <v>45</v>
      </c>
    </row>
    <row r="50" spans="1:20" ht="24.95" customHeight="1" x14ac:dyDescent="0.25">
      <c r="A50" s="29">
        <v>2</v>
      </c>
      <c r="B50" s="28">
        <v>46</v>
      </c>
      <c r="C50" s="28" t="s">
        <v>63</v>
      </c>
      <c r="D50" s="125">
        <v>3.8999999999999998E-3</v>
      </c>
      <c r="E50" s="156">
        <v>1340736.46</v>
      </c>
      <c r="F50" s="155">
        <v>670592.46</v>
      </c>
      <c r="G50" s="89">
        <f t="shared" si="0"/>
        <v>670144</v>
      </c>
      <c r="H50" s="33">
        <f t="shared" si="10"/>
        <v>20687.345280000001</v>
      </c>
      <c r="I50" s="34">
        <f t="shared" si="15"/>
        <v>280800</v>
      </c>
      <c r="J50" s="34">
        <f t="shared" si="12"/>
        <v>0</v>
      </c>
      <c r="K50" s="34">
        <f t="shared" si="5"/>
        <v>165940.54062019198</v>
      </c>
      <c r="L50" s="34">
        <f t="shared" si="6"/>
        <v>270270.27039999998</v>
      </c>
      <c r="M50" s="113">
        <f t="shared" si="7"/>
        <v>0</v>
      </c>
      <c r="N50" s="113">
        <v>0</v>
      </c>
      <c r="O50" s="134"/>
      <c r="P50" s="400">
        <f t="shared" si="13"/>
        <v>1407842.46</v>
      </c>
      <c r="Q50" s="400"/>
      <c r="R50" s="24">
        <f t="shared" si="14"/>
        <v>0.46</v>
      </c>
      <c r="S50" s="1">
        <f t="shared" si="8"/>
        <v>46</v>
      </c>
      <c r="T50" t="s">
        <v>196</v>
      </c>
    </row>
    <row r="51" spans="1:20" ht="24.95" customHeight="1" x14ac:dyDescent="0.25">
      <c r="A51" s="29">
        <v>3</v>
      </c>
      <c r="B51" s="28">
        <v>47</v>
      </c>
      <c r="C51" s="28" t="s">
        <v>64</v>
      </c>
      <c r="D51" s="125">
        <v>4.4999999999999997E-3</v>
      </c>
      <c r="E51" s="156">
        <v>1212684.47</v>
      </c>
      <c r="F51" s="155">
        <v>505000</v>
      </c>
      <c r="G51" s="89">
        <f t="shared" si="0"/>
        <v>707684.47</v>
      </c>
      <c r="H51" s="33">
        <f t="shared" si="10"/>
        <v>21846.2195889</v>
      </c>
      <c r="I51" s="34">
        <f t="shared" si="15"/>
        <v>324000</v>
      </c>
      <c r="J51" s="34">
        <f t="shared" si="12"/>
        <v>0</v>
      </c>
      <c r="K51" s="34">
        <f t="shared" si="5"/>
        <v>165940.54062019198</v>
      </c>
      <c r="L51" s="34">
        <f t="shared" si="6"/>
        <v>270270.27039999998</v>
      </c>
      <c r="M51" s="113">
        <f t="shared" si="7"/>
        <v>0</v>
      </c>
      <c r="N51" s="113">
        <v>0</v>
      </c>
      <c r="O51" s="134"/>
      <c r="P51" s="400">
        <f t="shared" si="13"/>
        <v>1489742.47</v>
      </c>
      <c r="Q51" s="400"/>
      <c r="R51" s="24">
        <f t="shared" si="14"/>
        <v>0.47</v>
      </c>
      <c r="S51" s="1">
        <f t="shared" si="8"/>
        <v>47</v>
      </c>
      <c r="T51" t="s">
        <v>277</v>
      </c>
    </row>
    <row r="52" spans="1:20" ht="24.95" customHeight="1" x14ac:dyDescent="0.25">
      <c r="A52" s="29">
        <v>3</v>
      </c>
      <c r="B52" s="28">
        <v>48</v>
      </c>
      <c r="C52" s="28" t="s">
        <v>190</v>
      </c>
      <c r="D52" s="125">
        <v>4.4999999999999997E-3</v>
      </c>
      <c r="E52" s="156">
        <v>1022741.48</v>
      </c>
      <c r="F52" s="155">
        <f>E52</f>
        <v>1022741.48</v>
      </c>
      <c r="G52" s="89">
        <f t="shared" si="0"/>
        <v>0</v>
      </c>
      <c r="H52" s="33">
        <f t="shared" si="10"/>
        <v>0</v>
      </c>
      <c r="I52" s="34">
        <f t="shared" si="15"/>
        <v>324000</v>
      </c>
      <c r="J52" s="34">
        <f t="shared" si="12"/>
        <v>0</v>
      </c>
      <c r="K52" s="34">
        <f t="shared" si="5"/>
        <v>165940.54062019198</v>
      </c>
      <c r="L52" s="34">
        <f t="shared" si="6"/>
        <v>270270.27039999998</v>
      </c>
      <c r="M52" s="113">
        <v>85127</v>
      </c>
      <c r="N52" s="113">
        <f>(I52+K52)/2</f>
        <v>244970.27031009598</v>
      </c>
      <c r="O52" s="134"/>
      <c r="P52" s="400">
        <f t="shared" si="13"/>
        <v>1090308.48</v>
      </c>
      <c r="Q52" s="400"/>
      <c r="R52" s="24">
        <f t="shared" si="14"/>
        <v>0.48</v>
      </c>
      <c r="S52" s="1">
        <f t="shared" si="8"/>
        <v>48</v>
      </c>
      <c r="T52" s="23"/>
    </row>
    <row r="53" spans="1:20" ht="24.95" customHeight="1" x14ac:dyDescent="0.25">
      <c r="A53" s="29">
        <v>4</v>
      </c>
      <c r="B53" s="28">
        <v>49</v>
      </c>
      <c r="C53" s="28" t="s">
        <v>65</v>
      </c>
      <c r="D53" s="125">
        <v>4.4999999999999997E-3</v>
      </c>
      <c r="E53" s="156">
        <v>692643.49</v>
      </c>
      <c r="F53" s="155">
        <f>E53</f>
        <v>692643.49</v>
      </c>
      <c r="G53" s="89">
        <f t="shared" si="0"/>
        <v>0</v>
      </c>
      <c r="H53" s="33">
        <f t="shared" si="10"/>
        <v>0</v>
      </c>
      <c r="I53" s="34">
        <f t="shared" si="15"/>
        <v>324000</v>
      </c>
      <c r="J53" s="34">
        <f t="shared" si="12"/>
        <v>0</v>
      </c>
      <c r="K53" s="34">
        <f t="shared" si="5"/>
        <v>165940.54062019198</v>
      </c>
      <c r="L53" s="34">
        <f t="shared" si="6"/>
        <v>270270.27039999998</v>
      </c>
      <c r="M53" s="113">
        <f t="shared" si="7"/>
        <v>0</v>
      </c>
      <c r="N53" s="113">
        <v>0</v>
      </c>
      <c r="O53" s="134"/>
      <c r="P53" s="400">
        <f t="shared" si="13"/>
        <v>760211.49</v>
      </c>
      <c r="Q53" s="400"/>
      <c r="R53" s="24">
        <f t="shared" si="14"/>
        <v>0.49</v>
      </c>
      <c r="S53" s="1">
        <f t="shared" si="8"/>
        <v>49</v>
      </c>
      <c r="T53" t="s">
        <v>212</v>
      </c>
    </row>
    <row r="54" spans="1:20" ht="24.95" customHeight="1" x14ac:dyDescent="0.25">
      <c r="A54" s="29">
        <v>4</v>
      </c>
      <c r="B54" s="28">
        <v>50</v>
      </c>
      <c r="C54" s="28" t="s">
        <v>66</v>
      </c>
      <c r="D54" s="125">
        <v>4.4999999999999997E-3</v>
      </c>
      <c r="E54" s="156">
        <v>692643.5</v>
      </c>
      <c r="F54" s="155">
        <f>E54</f>
        <v>692643.5</v>
      </c>
      <c r="G54" s="89">
        <f t="shared" si="0"/>
        <v>0</v>
      </c>
      <c r="H54" s="33">
        <f t="shared" si="10"/>
        <v>0</v>
      </c>
      <c r="I54" s="34">
        <f t="shared" si="15"/>
        <v>324000</v>
      </c>
      <c r="J54" s="34">
        <f t="shared" si="12"/>
        <v>0</v>
      </c>
      <c r="K54" s="34">
        <f t="shared" si="5"/>
        <v>165940.54062019198</v>
      </c>
      <c r="L54" s="34">
        <f t="shared" si="6"/>
        <v>270270.27039999998</v>
      </c>
      <c r="M54" s="113">
        <f t="shared" si="7"/>
        <v>0</v>
      </c>
      <c r="N54" s="113">
        <v>0</v>
      </c>
      <c r="O54" s="134"/>
      <c r="P54" s="400">
        <f t="shared" si="13"/>
        <v>760211.5</v>
      </c>
      <c r="Q54" s="400"/>
      <c r="R54" s="24">
        <f t="shared" si="14"/>
        <v>0.5</v>
      </c>
      <c r="S54" s="1">
        <f t="shared" si="8"/>
        <v>50</v>
      </c>
      <c r="T54" t="s">
        <v>291</v>
      </c>
    </row>
    <row r="55" spans="1:20" ht="24.95" customHeight="1" x14ac:dyDescent="0.25">
      <c r="A55" s="28">
        <v>5</v>
      </c>
      <c r="B55" s="28">
        <v>51</v>
      </c>
      <c r="C55" s="28" t="s">
        <v>67</v>
      </c>
      <c r="D55" s="125">
        <v>4.4999999999999997E-3</v>
      </c>
      <c r="E55" s="156">
        <v>994365.51</v>
      </c>
      <c r="F55" s="155">
        <f>E55</f>
        <v>994365.51</v>
      </c>
      <c r="G55" s="89">
        <f t="shared" si="0"/>
        <v>0</v>
      </c>
      <c r="H55" s="33">
        <f t="shared" si="10"/>
        <v>0</v>
      </c>
      <c r="I55" s="34">
        <f t="shared" si="15"/>
        <v>324000</v>
      </c>
      <c r="J55" s="34">
        <f t="shared" si="12"/>
        <v>0</v>
      </c>
      <c r="K55" s="34">
        <f t="shared" si="5"/>
        <v>165940.54062019198</v>
      </c>
      <c r="L55" s="34">
        <f t="shared" si="6"/>
        <v>270270.27039999998</v>
      </c>
      <c r="M55" s="113">
        <v>56751</v>
      </c>
      <c r="N55" s="113">
        <f>(I55+K55)/2</f>
        <v>244970.27031009598</v>
      </c>
      <c r="O55" s="113">
        <f>I55/2</f>
        <v>162000</v>
      </c>
      <c r="P55" s="400">
        <f t="shared" si="13"/>
        <v>1223932.51</v>
      </c>
      <c r="Q55" s="400"/>
      <c r="R55" s="24">
        <f t="shared" si="14"/>
        <v>0.51</v>
      </c>
      <c r="S55" s="1">
        <f t="shared" si="8"/>
        <v>51</v>
      </c>
      <c r="T55" t="s">
        <v>262</v>
      </c>
    </row>
    <row r="56" spans="1:20" ht="24.95" customHeight="1" x14ac:dyDescent="0.25">
      <c r="A56" s="29">
        <v>5</v>
      </c>
      <c r="B56" s="28">
        <v>52</v>
      </c>
      <c r="C56" s="28" t="s">
        <v>68</v>
      </c>
      <c r="D56" s="125">
        <v>4.5999999999999999E-3</v>
      </c>
      <c r="E56" s="156">
        <v>699889.52</v>
      </c>
      <c r="F56" s="155">
        <f>E56</f>
        <v>699889.52</v>
      </c>
      <c r="G56" s="90">
        <f t="shared" si="0"/>
        <v>0</v>
      </c>
      <c r="H56" s="33">
        <f t="shared" si="10"/>
        <v>0</v>
      </c>
      <c r="I56" s="34">
        <f t="shared" si="15"/>
        <v>331200</v>
      </c>
      <c r="J56" s="34">
        <f t="shared" si="12"/>
        <v>0</v>
      </c>
      <c r="K56" s="34">
        <f t="shared" si="5"/>
        <v>165940.54062019198</v>
      </c>
      <c r="L56" s="34">
        <f t="shared" si="6"/>
        <v>270270.27039999998</v>
      </c>
      <c r="M56" s="113">
        <f t="shared" si="7"/>
        <v>0</v>
      </c>
      <c r="N56" s="113">
        <v>0</v>
      </c>
      <c r="O56" s="134"/>
      <c r="P56" s="400">
        <f t="shared" si="13"/>
        <v>767411.52</v>
      </c>
      <c r="Q56" s="400"/>
      <c r="R56" s="24">
        <f t="shared" si="14"/>
        <v>0.52</v>
      </c>
      <c r="S56" s="1">
        <f t="shared" si="8"/>
        <v>52</v>
      </c>
      <c r="T56" t="s">
        <v>247</v>
      </c>
    </row>
    <row r="57" spans="1:20" ht="24.95" customHeight="1" x14ac:dyDescent="0.25">
      <c r="A57" s="29">
        <v>6</v>
      </c>
      <c r="B57" s="28">
        <v>53</v>
      </c>
      <c r="C57" s="28" t="s">
        <v>69</v>
      </c>
      <c r="D57" s="125">
        <v>4.4999999999999997E-3</v>
      </c>
      <c r="E57" s="156">
        <v>692643.53</v>
      </c>
      <c r="F57" s="155"/>
      <c r="G57" s="89">
        <f t="shared" si="0"/>
        <v>692643.53</v>
      </c>
      <c r="H57" s="33">
        <f t="shared" si="10"/>
        <v>21381.905771100002</v>
      </c>
      <c r="I57" s="34">
        <f t="shared" si="15"/>
        <v>324000</v>
      </c>
      <c r="J57" s="34">
        <f t="shared" si="12"/>
        <v>0</v>
      </c>
      <c r="K57" s="34">
        <f t="shared" si="5"/>
        <v>165940.54062019198</v>
      </c>
      <c r="L57" s="34">
        <f t="shared" si="6"/>
        <v>270270.27039999998</v>
      </c>
      <c r="M57" s="113">
        <f t="shared" si="7"/>
        <v>0</v>
      </c>
      <c r="N57" s="113">
        <v>0</v>
      </c>
      <c r="O57" s="134"/>
      <c r="P57" s="400">
        <f t="shared" si="13"/>
        <v>1474236.53</v>
      </c>
      <c r="Q57" s="400"/>
      <c r="R57" s="24">
        <f t="shared" si="14"/>
        <v>0.53</v>
      </c>
      <c r="S57" s="1">
        <f t="shared" si="8"/>
        <v>53</v>
      </c>
    </row>
    <row r="58" spans="1:20" ht="24.95" customHeight="1" x14ac:dyDescent="0.25">
      <c r="A58" s="29">
        <v>6</v>
      </c>
      <c r="B58" s="28">
        <v>54</v>
      </c>
      <c r="C58" s="28" t="s">
        <v>70</v>
      </c>
      <c r="D58" s="125">
        <v>4.4999999999999997E-3</v>
      </c>
      <c r="E58" s="156">
        <v>692644.54</v>
      </c>
      <c r="F58" s="155"/>
      <c r="G58" s="89">
        <f t="shared" si="0"/>
        <v>692644.54</v>
      </c>
      <c r="H58" s="33">
        <f t="shared" si="10"/>
        <v>21381.936949800001</v>
      </c>
      <c r="I58" s="34">
        <f t="shared" si="15"/>
        <v>324000</v>
      </c>
      <c r="J58" s="34">
        <f t="shared" si="12"/>
        <v>0</v>
      </c>
      <c r="K58" s="34">
        <f t="shared" si="5"/>
        <v>165940.54062019198</v>
      </c>
      <c r="L58" s="34">
        <f t="shared" si="6"/>
        <v>270270.27039999998</v>
      </c>
      <c r="M58" s="113">
        <f t="shared" si="7"/>
        <v>0</v>
      </c>
      <c r="N58" s="113">
        <v>0</v>
      </c>
      <c r="O58" s="134"/>
      <c r="P58" s="400">
        <f t="shared" si="13"/>
        <v>1474237.54</v>
      </c>
      <c r="Q58" s="400"/>
      <c r="R58" s="24">
        <f t="shared" si="14"/>
        <v>0.54</v>
      </c>
      <c r="S58" s="1">
        <f t="shared" si="8"/>
        <v>54</v>
      </c>
      <c r="T58" t="s">
        <v>210</v>
      </c>
    </row>
    <row r="59" spans="1:20" ht="24.95" customHeight="1" x14ac:dyDescent="0.25">
      <c r="A59" s="29">
        <v>7</v>
      </c>
      <c r="B59" s="28">
        <v>55</v>
      </c>
      <c r="C59" s="28" t="s">
        <v>71</v>
      </c>
      <c r="D59" s="125">
        <v>4.4999999999999997E-3</v>
      </c>
      <c r="E59" s="156">
        <v>692643.55</v>
      </c>
      <c r="F59" s="155">
        <f>3463615.36-1-F62-F28</f>
        <v>692643.5399999998</v>
      </c>
      <c r="G59" s="89">
        <f t="shared" si="0"/>
        <v>1.0000000242143869E-2</v>
      </c>
      <c r="H59" s="33">
        <f t="shared" si="10"/>
        <v>3.0870000747498127E-4</v>
      </c>
      <c r="I59" s="34">
        <f t="shared" si="15"/>
        <v>324000</v>
      </c>
      <c r="J59" s="34">
        <f t="shared" si="12"/>
        <v>0</v>
      </c>
      <c r="K59" s="34">
        <f t="shared" si="5"/>
        <v>165940.54062019198</v>
      </c>
      <c r="L59" s="34">
        <f t="shared" si="6"/>
        <v>270270.27039999998</v>
      </c>
      <c r="M59" s="113">
        <f t="shared" si="7"/>
        <v>0</v>
      </c>
      <c r="N59" s="113">
        <v>0</v>
      </c>
      <c r="O59" s="134"/>
      <c r="P59" s="400">
        <f t="shared" si="13"/>
        <v>760211.55</v>
      </c>
      <c r="Q59" s="400"/>
      <c r="R59" s="24">
        <f t="shared" si="14"/>
        <v>0.55000000000000004</v>
      </c>
      <c r="S59" s="1">
        <f t="shared" si="8"/>
        <v>55</v>
      </c>
      <c r="T59" t="s">
        <v>278</v>
      </c>
    </row>
    <row r="60" spans="1:20" ht="24.95" customHeight="1" x14ac:dyDescent="0.25">
      <c r="A60" s="29">
        <v>7</v>
      </c>
      <c r="B60" s="28">
        <v>56</v>
      </c>
      <c r="C60" s="28" t="s">
        <v>72</v>
      </c>
      <c r="D60" s="125">
        <v>4.4999999999999997E-3</v>
      </c>
      <c r="E60" s="156">
        <v>994365.56</v>
      </c>
      <c r="F60" s="155">
        <f>E60</f>
        <v>994365.56</v>
      </c>
      <c r="G60" s="89">
        <f t="shared" si="0"/>
        <v>0</v>
      </c>
      <c r="H60" s="33">
        <f t="shared" si="10"/>
        <v>0</v>
      </c>
      <c r="I60" s="34">
        <f t="shared" si="15"/>
        <v>324000</v>
      </c>
      <c r="J60" s="34">
        <f t="shared" si="12"/>
        <v>0</v>
      </c>
      <c r="K60" s="34">
        <f t="shared" si="5"/>
        <v>165940.54062019198</v>
      </c>
      <c r="L60" s="34">
        <f t="shared" si="6"/>
        <v>270270.27039999998</v>
      </c>
      <c r="M60" s="113">
        <v>56751</v>
      </c>
      <c r="N60" s="113">
        <f>(I60+K60)/2</f>
        <v>244970.27031009598</v>
      </c>
      <c r="O60" s="134">
        <f>I60*0.1</f>
        <v>32400</v>
      </c>
      <c r="P60" s="400">
        <f t="shared" si="13"/>
        <v>1094332.56</v>
      </c>
      <c r="Q60" s="400"/>
      <c r="R60" s="24">
        <f t="shared" si="14"/>
        <v>0.56000000000000005</v>
      </c>
      <c r="S60" s="1">
        <f t="shared" si="8"/>
        <v>56</v>
      </c>
      <c r="T60" t="s">
        <v>200</v>
      </c>
    </row>
    <row r="61" spans="1:20" ht="24.95" customHeight="1" x14ac:dyDescent="0.25">
      <c r="A61" s="29">
        <v>8</v>
      </c>
      <c r="B61" s="28">
        <v>57</v>
      </c>
      <c r="C61" s="28" t="s">
        <v>73</v>
      </c>
      <c r="D61" s="125">
        <v>4.4999999999999997E-3</v>
      </c>
      <c r="E61" s="156">
        <v>33948.57</v>
      </c>
      <c r="F61" s="155">
        <f>E61</f>
        <v>33948.57</v>
      </c>
      <c r="G61" s="89">
        <f t="shared" si="0"/>
        <v>0</v>
      </c>
      <c r="H61" s="33">
        <f t="shared" si="10"/>
        <v>0</v>
      </c>
      <c r="I61" s="34">
        <f t="shared" si="15"/>
        <v>324000</v>
      </c>
      <c r="J61" s="34">
        <f t="shared" si="12"/>
        <v>0</v>
      </c>
      <c r="K61" s="34">
        <f t="shared" si="5"/>
        <v>165940.54062019198</v>
      </c>
      <c r="L61" s="34">
        <f t="shared" si="6"/>
        <v>270270.27039999998</v>
      </c>
      <c r="M61" s="113">
        <f t="shared" si="7"/>
        <v>0</v>
      </c>
      <c r="N61" s="113">
        <v>0</v>
      </c>
      <c r="O61" s="134"/>
      <c r="P61" s="400">
        <f t="shared" si="13"/>
        <v>760211.57</v>
      </c>
      <c r="Q61" s="400"/>
      <c r="R61" s="24">
        <f t="shared" si="14"/>
        <v>0.56999999999999995</v>
      </c>
      <c r="S61" s="1">
        <f t="shared" si="8"/>
        <v>57</v>
      </c>
    </row>
    <row r="62" spans="1:20" ht="24.95" customHeight="1" x14ac:dyDescent="0.25">
      <c r="A62" s="140">
        <v>8</v>
      </c>
      <c r="B62" s="28">
        <v>58</v>
      </c>
      <c r="C62" s="28" t="s">
        <v>43</v>
      </c>
      <c r="D62" s="125">
        <v>4.4999999999999997E-3</v>
      </c>
      <c r="E62" s="156">
        <v>2063927.58</v>
      </c>
      <c r="F62" s="155">
        <f>E62</f>
        <v>2063927.58</v>
      </c>
      <c r="G62" s="89">
        <f t="shared" si="0"/>
        <v>0</v>
      </c>
      <c r="H62" s="33">
        <f t="shared" si="10"/>
        <v>0</v>
      </c>
      <c r="I62" s="34">
        <f t="shared" si="15"/>
        <v>324000</v>
      </c>
      <c r="J62" s="34">
        <f t="shared" si="12"/>
        <v>0</v>
      </c>
      <c r="K62" s="34">
        <f t="shared" si="5"/>
        <v>165940.54062019198</v>
      </c>
      <c r="L62" s="34">
        <f t="shared" si="6"/>
        <v>270270.27039999998</v>
      </c>
      <c r="M62" s="113">
        <f t="shared" si="7"/>
        <v>0</v>
      </c>
      <c r="N62" s="113">
        <v>0</v>
      </c>
      <c r="O62" s="134">
        <f>1552*100</f>
        <v>155200</v>
      </c>
      <c r="P62" s="400">
        <f t="shared" si="13"/>
        <v>915411.58</v>
      </c>
      <c r="Q62" s="400"/>
      <c r="R62" s="24">
        <f t="shared" si="14"/>
        <v>0.57999999999999996</v>
      </c>
      <c r="S62" s="1">
        <f t="shared" si="8"/>
        <v>58</v>
      </c>
    </row>
    <row r="63" spans="1:20" ht="24.95" customHeight="1" x14ac:dyDescent="0.25">
      <c r="A63" s="29">
        <v>9</v>
      </c>
      <c r="B63" s="28">
        <v>59</v>
      </c>
      <c r="C63" s="28" t="s">
        <v>74</v>
      </c>
      <c r="D63" s="125">
        <v>4.1000000000000003E-3</v>
      </c>
      <c r="E63" s="156">
        <v>658473.59</v>
      </c>
      <c r="F63" s="155">
        <v>660000</v>
      </c>
      <c r="G63" s="89">
        <f t="shared" si="0"/>
        <v>-1526.4100000000326</v>
      </c>
      <c r="H63" s="33">
        <f t="shared" si="10"/>
        <v>0</v>
      </c>
      <c r="I63" s="34">
        <f t="shared" si="15"/>
        <v>295200</v>
      </c>
      <c r="J63" s="34">
        <f t="shared" si="12"/>
        <v>0</v>
      </c>
      <c r="K63" s="34">
        <f t="shared" si="5"/>
        <v>165940.54062019198</v>
      </c>
      <c r="L63" s="34">
        <f t="shared" si="6"/>
        <v>270270.27039999998</v>
      </c>
      <c r="M63" s="113">
        <f t="shared" si="7"/>
        <v>0</v>
      </c>
      <c r="N63" s="113">
        <v>0</v>
      </c>
      <c r="O63" s="134"/>
      <c r="P63" s="400">
        <f t="shared" si="13"/>
        <v>729884.59</v>
      </c>
      <c r="Q63" s="400"/>
      <c r="R63" s="24">
        <f t="shared" si="14"/>
        <v>0.59</v>
      </c>
      <c r="S63" s="1">
        <f t="shared" si="8"/>
        <v>59</v>
      </c>
      <c r="T63" t="s">
        <v>279</v>
      </c>
    </row>
    <row r="64" spans="1:20" ht="24.95" customHeight="1" x14ac:dyDescent="0.25">
      <c r="A64" s="28">
        <v>9</v>
      </c>
      <c r="B64" s="28">
        <v>60</v>
      </c>
      <c r="C64" s="28" t="s">
        <v>75</v>
      </c>
      <c r="D64" s="125">
        <v>4.4999999999999997E-3</v>
      </c>
      <c r="E64" s="156">
        <v>692324.6</v>
      </c>
      <c r="F64" s="155">
        <v>694000</v>
      </c>
      <c r="G64" s="89">
        <f>E64-F64</f>
        <v>-1675.4000000000233</v>
      </c>
      <c r="H64" s="33">
        <f t="shared" si="10"/>
        <v>0</v>
      </c>
      <c r="I64" s="34">
        <f t="shared" si="15"/>
        <v>324000</v>
      </c>
      <c r="J64" s="34">
        <f t="shared" si="12"/>
        <v>0</v>
      </c>
      <c r="K64" s="34">
        <f t="shared" si="5"/>
        <v>165940.54062019198</v>
      </c>
      <c r="L64" s="34">
        <f t="shared" si="6"/>
        <v>270270.27039999998</v>
      </c>
      <c r="M64" s="113">
        <f t="shared" si="7"/>
        <v>0</v>
      </c>
      <c r="N64" s="113">
        <v>0</v>
      </c>
      <c r="O64" s="134"/>
      <c r="P64" s="400">
        <f t="shared" si="13"/>
        <v>758535.6</v>
      </c>
      <c r="Q64" s="400"/>
      <c r="R64" s="24">
        <f t="shared" si="14"/>
        <v>0.6</v>
      </c>
      <c r="S64" s="1">
        <f t="shared" si="8"/>
        <v>60</v>
      </c>
      <c r="T64" t="s">
        <v>219</v>
      </c>
    </row>
    <row r="65" spans="1:20" ht="24.95" customHeight="1" x14ac:dyDescent="0.25">
      <c r="A65" s="215">
        <v>10</v>
      </c>
      <c r="B65" s="28">
        <v>61</v>
      </c>
      <c r="C65" s="28" t="s">
        <v>76</v>
      </c>
      <c r="D65" s="125">
        <v>4.4999999999999997E-3</v>
      </c>
      <c r="E65" s="156">
        <v>692373.61</v>
      </c>
      <c r="F65" s="155">
        <v>692400</v>
      </c>
      <c r="G65" s="89">
        <f t="shared" si="0"/>
        <v>-26.39000000001397</v>
      </c>
      <c r="H65" s="33">
        <f t="shared" si="10"/>
        <v>0</v>
      </c>
      <c r="I65" s="34">
        <f t="shared" si="15"/>
        <v>324000</v>
      </c>
      <c r="J65" s="34">
        <f t="shared" si="12"/>
        <v>0</v>
      </c>
      <c r="K65" s="34">
        <f t="shared" si="5"/>
        <v>165940.54062019198</v>
      </c>
      <c r="L65" s="34">
        <f t="shared" si="6"/>
        <v>270270.27039999998</v>
      </c>
      <c r="M65" s="113">
        <f t="shared" si="7"/>
        <v>0</v>
      </c>
      <c r="N65" s="113">
        <v>0</v>
      </c>
      <c r="O65" s="134"/>
      <c r="P65" s="400">
        <f t="shared" si="13"/>
        <v>760184.61</v>
      </c>
      <c r="Q65" s="400"/>
      <c r="R65" s="24">
        <f t="shared" si="14"/>
        <v>0.61</v>
      </c>
      <c r="S65" s="1">
        <f t="shared" si="8"/>
        <v>61</v>
      </c>
      <c r="T65" s="94" t="s">
        <v>218</v>
      </c>
    </row>
    <row r="66" spans="1:20" ht="24.95" customHeight="1" x14ac:dyDescent="0.25">
      <c r="A66" s="29">
        <v>10</v>
      </c>
      <c r="B66" s="28">
        <v>62</v>
      </c>
      <c r="C66" s="28" t="s">
        <v>77</v>
      </c>
      <c r="D66" s="125">
        <v>4.1000000000000003E-3</v>
      </c>
      <c r="E66" s="156">
        <v>946121.62</v>
      </c>
      <c r="F66" s="155">
        <f t="shared" ref="F66:F73" si="16">E66</f>
        <v>946121.62</v>
      </c>
      <c r="G66" s="89">
        <f t="shared" si="0"/>
        <v>0</v>
      </c>
      <c r="H66" s="33">
        <f t="shared" si="10"/>
        <v>0</v>
      </c>
      <c r="I66" s="34">
        <f t="shared" si="15"/>
        <v>295200</v>
      </c>
      <c r="J66" s="34">
        <f t="shared" si="12"/>
        <v>0</v>
      </c>
      <c r="K66" s="34">
        <f t="shared" si="5"/>
        <v>165940.54062019198</v>
      </c>
      <c r="L66" s="34">
        <f t="shared" si="6"/>
        <v>270270.27039999998</v>
      </c>
      <c r="M66" s="113">
        <v>51707</v>
      </c>
      <c r="N66" s="113">
        <f>(I66+K66)/2</f>
        <v>230570.27031009598</v>
      </c>
      <c r="O66" s="134"/>
      <c r="P66" s="400">
        <f t="shared" si="13"/>
        <v>1013688.62</v>
      </c>
      <c r="Q66" s="400"/>
      <c r="R66" s="24">
        <f t="shared" si="14"/>
        <v>0.62</v>
      </c>
      <c r="S66" s="1">
        <f t="shared" si="8"/>
        <v>62</v>
      </c>
    </row>
    <row r="67" spans="1:20" ht="24.95" customHeight="1" x14ac:dyDescent="0.25">
      <c r="A67" s="29">
        <v>11</v>
      </c>
      <c r="B67" s="28">
        <v>63</v>
      </c>
      <c r="C67" s="28" t="s">
        <v>78</v>
      </c>
      <c r="D67" s="125">
        <v>4.4999999999999997E-3</v>
      </c>
      <c r="E67" s="156">
        <v>692643.63</v>
      </c>
      <c r="F67" s="155">
        <f t="shared" si="16"/>
        <v>692643.63</v>
      </c>
      <c r="G67" s="89">
        <f>E67-F67</f>
        <v>0</v>
      </c>
      <c r="H67" s="33">
        <f t="shared" si="10"/>
        <v>0</v>
      </c>
      <c r="I67" s="34">
        <f t="shared" si="15"/>
        <v>324000</v>
      </c>
      <c r="J67" s="34">
        <f t="shared" si="12"/>
        <v>0</v>
      </c>
      <c r="K67" s="34">
        <f t="shared" si="5"/>
        <v>165940.54062019198</v>
      </c>
      <c r="L67" s="34">
        <f t="shared" si="6"/>
        <v>270270.27039999998</v>
      </c>
      <c r="M67" s="113">
        <f t="shared" si="7"/>
        <v>0</v>
      </c>
      <c r="N67" s="113">
        <v>0</v>
      </c>
      <c r="O67" s="134"/>
      <c r="P67" s="400">
        <f t="shared" si="13"/>
        <v>760211.63</v>
      </c>
      <c r="Q67" s="400"/>
      <c r="R67" s="24">
        <f t="shared" si="14"/>
        <v>0.63</v>
      </c>
      <c r="S67" s="1">
        <f t="shared" si="8"/>
        <v>63</v>
      </c>
      <c r="T67" t="s">
        <v>203</v>
      </c>
    </row>
    <row r="68" spans="1:20" ht="24.95" customHeight="1" x14ac:dyDescent="0.25">
      <c r="A68" s="29">
        <v>11</v>
      </c>
      <c r="B68" s="28">
        <v>64</v>
      </c>
      <c r="C68" s="28" t="s">
        <v>79</v>
      </c>
      <c r="D68" s="125">
        <v>4.4999999999999997E-3</v>
      </c>
      <c r="E68" s="156">
        <v>1385625.64</v>
      </c>
      <c r="F68" s="155">
        <f>800000+585625.65</f>
        <v>1385625.65</v>
      </c>
      <c r="G68" s="89">
        <f t="shared" si="0"/>
        <v>-1.0000000009313226E-2</v>
      </c>
      <c r="H68" s="33">
        <f t="shared" si="10"/>
        <v>0</v>
      </c>
      <c r="I68" s="34">
        <f t="shared" si="15"/>
        <v>324000</v>
      </c>
      <c r="J68" s="34">
        <f t="shared" si="12"/>
        <v>0</v>
      </c>
      <c r="K68" s="34">
        <f t="shared" si="5"/>
        <v>165940.54062019198</v>
      </c>
      <c r="L68" s="34">
        <f t="shared" si="6"/>
        <v>270270.27039999998</v>
      </c>
      <c r="M68" s="113">
        <f t="shared" si="7"/>
        <v>0</v>
      </c>
      <c r="N68" s="113">
        <v>0</v>
      </c>
      <c r="O68" s="134"/>
      <c r="P68" s="400">
        <f t="shared" si="13"/>
        <v>760211.64</v>
      </c>
      <c r="Q68" s="400"/>
      <c r="R68" s="24">
        <f t="shared" si="14"/>
        <v>0.64</v>
      </c>
      <c r="S68" s="1">
        <f t="shared" si="8"/>
        <v>64</v>
      </c>
      <c r="T68" t="s">
        <v>233</v>
      </c>
    </row>
    <row r="69" spans="1:20" ht="24.95" customHeight="1" x14ac:dyDescent="0.25">
      <c r="A69" s="29">
        <v>12</v>
      </c>
      <c r="B69" s="28">
        <v>65</v>
      </c>
      <c r="C69" s="28" t="s">
        <v>80</v>
      </c>
      <c r="D69" s="125">
        <v>4.4999999999999997E-3</v>
      </c>
      <c r="E69" s="156">
        <v>692643.65</v>
      </c>
      <c r="F69" s="155">
        <f t="shared" si="16"/>
        <v>692643.65</v>
      </c>
      <c r="G69" s="89">
        <f t="shared" ref="G69:G157" si="17">E69-F69</f>
        <v>0</v>
      </c>
      <c r="H69" s="33">
        <f t="shared" si="10"/>
        <v>0</v>
      </c>
      <c r="I69" s="34">
        <f t="shared" si="15"/>
        <v>324000</v>
      </c>
      <c r="J69" s="34">
        <f t="shared" ref="J69:J100" si="18">P$2*D69</f>
        <v>0</v>
      </c>
      <c r="K69" s="34">
        <f t="shared" si="5"/>
        <v>165940.54062019198</v>
      </c>
      <c r="L69" s="34">
        <f t="shared" si="6"/>
        <v>270270.27039999998</v>
      </c>
      <c r="M69" s="113">
        <f t="shared" si="7"/>
        <v>0</v>
      </c>
      <c r="N69" s="113">
        <v>0</v>
      </c>
      <c r="O69" s="134"/>
      <c r="P69" s="400">
        <f t="shared" ref="P69:P100" si="19">ROUND(SUM(G69:O69),0) + R69</f>
        <v>760211.65</v>
      </c>
      <c r="Q69" s="400"/>
      <c r="R69" s="24">
        <f t="shared" ref="R69:R100" si="20">ROUND(0.001+B69/100,2)</f>
        <v>0.65</v>
      </c>
      <c r="S69" s="1">
        <f t="shared" si="8"/>
        <v>65</v>
      </c>
    </row>
    <row r="70" spans="1:20" ht="24.95" customHeight="1" x14ac:dyDescent="0.25">
      <c r="A70" s="29">
        <v>12</v>
      </c>
      <c r="B70" s="28">
        <v>66</v>
      </c>
      <c r="C70" s="28" t="s">
        <v>81</v>
      </c>
      <c r="D70" s="125">
        <v>4.4999999999999997E-3</v>
      </c>
      <c r="E70" s="156">
        <v>692643.66</v>
      </c>
      <c r="F70" s="155">
        <f t="shared" si="16"/>
        <v>692643.66</v>
      </c>
      <c r="G70" s="89">
        <f t="shared" si="17"/>
        <v>0</v>
      </c>
      <c r="H70" s="33">
        <f t="shared" si="10"/>
        <v>0</v>
      </c>
      <c r="I70" s="34">
        <f t="shared" si="15"/>
        <v>324000</v>
      </c>
      <c r="J70" s="34">
        <f t="shared" si="18"/>
        <v>0</v>
      </c>
      <c r="K70" s="34">
        <f t="shared" ref="K70:K133" si="21">G$2*0.675675676%</f>
        <v>165940.54062019198</v>
      </c>
      <c r="L70" s="34">
        <f t="shared" ref="L70:L133" si="22">P$1*0.675675676%</f>
        <v>270270.27039999998</v>
      </c>
      <c r="M70" s="113">
        <f t="shared" ref="M70:M133" si="23">G$1*D70</f>
        <v>0</v>
      </c>
      <c r="N70" s="113">
        <v>0</v>
      </c>
      <c r="O70" s="134"/>
      <c r="P70" s="400">
        <f t="shared" si="19"/>
        <v>760211.66</v>
      </c>
      <c r="Q70" s="400"/>
      <c r="R70" s="24">
        <f t="shared" si="20"/>
        <v>0.66</v>
      </c>
      <c r="S70" s="1">
        <f t="shared" ref="S70:S133" si="24">B70</f>
        <v>66</v>
      </c>
      <c r="T70" t="s">
        <v>264</v>
      </c>
    </row>
    <row r="71" spans="1:20" ht="24.95" customHeight="1" x14ac:dyDescent="0.25">
      <c r="A71" s="29">
        <v>1</v>
      </c>
      <c r="B71" s="28">
        <v>67</v>
      </c>
      <c r="C71" s="28" t="s">
        <v>82</v>
      </c>
      <c r="D71" s="125">
        <v>4.4999999999999997E-3</v>
      </c>
      <c r="E71" s="156">
        <v>692643.67</v>
      </c>
      <c r="F71" s="155">
        <f t="shared" si="16"/>
        <v>692643.67</v>
      </c>
      <c r="G71" s="89">
        <f t="shared" si="17"/>
        <v>0</v>
      </c>
      <c r="H71" s="33">
        <f t="shared" ref="H71:H134" si="25">IF(G71&gt;0,G71*3.087%,0)</f>
        <v>0</v>
      </c>
      <c r="I71" s="34">
        <f t="shared" si="15"/>
        <v>324000</v>
      </c>
      <c r="J71" s="34">
        <f t="shared" si="18"/>
        <v>0</v>
      </c>
      <c r="K71" s="34">
        <f t="shared" si="21"/>
        <v>165940.54062019198</v>
      </c>
      <c r="L71" s="34">
        <f t="shared" si="22"/>
        <v>270270.27039999998</v>
      </c>
      <c r="M71" s="113">
        <f t="shared" si="23"/>
        <v>0</v>
      </c>
      <c r="N71" s="113">
        <v>0</v>
      </c>
      <c r="O71" s="134"/>
      <c r="P71" s="400">
        <f t="shared" si="19"/>
        <v>760211.67</v>
      </c>
      <c r="Q71" s="400"/>
      <c r="R71" s="24">
        <f t="shared" si="20"/>
        <v>0.67</v>
      </c>
      <c r="S71" s="1">
        <f t="shared" si="24"/>
        <v>67</v>
      </c>
      <c r="T71" t="s">
        <v>282</v>
      </c>
    </row>
    <row r="72" spans="1:20" ht="24.95" customHeight="1" x14ac:dyDescent="0.25">
      <c r="A72" s="29"/>
      <c r="B72" s="28">
        <f>B71+1</f>
        <v>68</v>
      </c>
      <c r="C72" s="28" t="s">
        <v>86</v>
      </c>
      <c r="D72" s="125">
        <v>4.4999999999999997E-3</v>
      </c>
      <c r="E72" s="156">
        <v>1987859.68</v>
      </c>
      <c r="F72" s="155">
        <f>E72</f>
        <v>1987859.68</v>
      </c>
      <c r="G72" s="89">
        <f t="shared" si="17"/>
        <v>0</v>
      </c>
      <c r="H72" s="33">
        <f t="shared" si="25"/>
        <v>0</v>
      </c>
      <c r="I72" s="34">
        <f t="shared" si="15"/>
        <v>324000</v>
      </c>
      <c r="J72" s="34">
        <f t="shared" si="18"/>
        <v>0</v>
      </c>
      <c r="K72" s="34">
        <f t="shared" si="21"/>
        <v>165940.54062019198</v>
      </c>
      <c r="L72" s="34">
        <f t="shared" si="22"/>
        <v>270270.27039999998</v>
      </c>
      <c r="M72" s="113">
        <v>56751</v>
      </c>
      <c r="N72" s="113">
        <f>(I72+K72)/2</f>
        <v>244970.27031009598</v>
      </c>
      <c r="O72" s="134"/>
      <c r="P72" s="400">
        <f t="shared" si="19"/>
        <v>1061932.68</v>
      </c>
      <c r="Q72" s="400"/>
      <c r="R72" s="24">
        <f t="shared" si="20"/>
        <v>0.68</v>
      </c>
      <c r="S72" s="1">
        <f t="shared" si="24"/>
        <v>68</v>
      </c>
    </row>
    <row r="73" spans="1:20" ht="24.95" customHeight="1" x14ac:dyDescent="0.25">
      <c r="A73" s="29"/>
      <c r="B73" s="28">
        <f t="shared" ref="B73:B136" si="26">B72+1</f>
        <v>69</v>
      </c>
      <c r="C73" s="28" t="s">
        <v>87</v>
      </c>
      <c r="D73" s="125">
        <v>3.5999999999999999E-3</v>
      </c>
      <c r="E73" s="156">
        <v>627843.68999999994</v>
      </c>
      <c r="F73" s="155">
        <f t="shared" si="16"/>
        <v>627843.68999999994</v>
      </c>
      <c r="G73" s="89">
        <f t="shared" si="17"/>
        <v>0</v>
      </c>
      <c r="H73" s="33">
        <f t="shared" si="25"/>
        <v>0</v>
      </c>
      <c r="I73" s="34">
        <f t="shared" si="15"/>
        <v>259200</v>
      </c>
      <c r="J73" s="34">
        <f t="shared" si="18"/>
        <v>0</v>
      </c>
      <c r="K73" s="34">
        <f t="shared" si="21"/>
        <v>165940.54062019198</v>
      </c>
      <c r="L73" s="34">
        <f t="shared" si="22"/>
        <v>270270.27039999998</v>
      </c>
      <c r="M73" s="113">
        <f t="shared" si="23"/>
        <v>0</v>
      </c>
      <c r="N73" s="113">
        <v>0</v>
      </c>
      <c r="O73" s="134"/>
      <c r="P73" s="400">
        <f t="shared" si="19"/>
        <v>695411.69</v>
      </c>
      <c r="Q73" s="400"/>
      <c r="R73" s="24">
        <f t="shared" si="20"/>
        <v>0.69</v>
      </c>
      <c r="S73" s="1">
        <f t="shared" si="24"/>
        <v>69</v>
      </c>
      <c r="T73" t="s">
        <v>216</v>
      </c>
    </row>
    <row r="74" spans="1:20" ht="24.95" customHeight="1" x14ac:dyDescent="0.25">
      <c r="A74" s="29"/>
      <c r="B74" s="28">
        <f t="shared" si="26"/>
        <v>70</v>
      </c>
      <c r="C74" s="28" t="s">
        <v>88</v>
      </c>
      <c r="D74" s="125">
        <v>4.4000000000000003E-3</v>
      </c>
      <c r="E74" s="156">
        <v>827094.7</v>
      </c>
      <c r="F74" s="155">
        <v>700000</v>
      </c>
      <c r="G74" s="89">
        <f t="shared" si="17"/>
        <v>127094.69999999995</v>
      </c>
      <c r="H74" s="33">
        <f t="shared" si="25"/>
        <v>3923.4133889999989</v>
      </c>
      <c r="I74" s="34">
        <f t="shared" si="15"/>
        <v>316800</v>
      </c>
      <c r="J74" s="34">
        <f t="shared" si="18"/>
        <v>0</v>
      </c>
      <c r="K74" s="34">
        <f t="shared" si="21"/>
        <v>165940.54062019198</v>
      </c>
      <c r="L74" s="34">
        <f t="shared" si="22"/>
        <v>270270.27039999998</v>
      </c>
      <c r="M74" s="113">
        <f t="shared" si="23"/>
        <v>0</v>
      </c>
      <c r="N74" s="113">
        <v>0</v>
      </c>
      <c r="O74" s="134"/>
      <c r="P74" s="400">
        <f t="shared" si="19"/>
        <v>884029.7</v>
      </c>
      <c r="Q74" s="400"/>
      <c r="R74" s="24">
        <f t="shared" si="20"/>
        <v>0.7</v>
      </c>
      <c r="S74" s="1">
        <f t="shared" si="24"/>
        <v>70</v>
      </c>
      <c r="T74" t="s">
        <v>267</v>
      </c>
    </row>
    <row r="75" spans="1:20" ht="24.95" customHeight="1" x14ac:dyDescent="0.25">
      <c r="A75" s="28"/>
      <c r="B75" s="28">
        <f t="shared" si="26"/>
        <v>71</v>
      </c>
      <c r="C75" s="28" t="s">
        <v>89</v>
      </c>
      <c r="D75" s="125">
        <v>4.0000000000000001E-3</v>
      </c>
      <c r="E75" s="156">
        <v>656373.71</v>
      </c>
      <c r="F75" s="155"/>
      <c r="G75" s="89">
        <f t="shared" si="17"/>
        <v>656373.71</v>
      </c>
      <c r="H75" s="33">
        <f t="shared" si="25"/>
        <v>20262.256427699998</v>
      </c>
      <c r="I75" s="34">
        <f t="shared" si="15"/>
        <v>288000</v>
      </c>
      <c r="J75" s="34">
        <f t="shared" si="18"/>
        <v>0</v>
      </c>
      <c r="K75" s="34">
        <f t="shared" si="21"/>
        <v>165940.54062019198</v>
      </c>
      <c r="L75" s="34">
        <f t="shared" si="22"/>
        <v>270270.27039999998</v>
      </c>
      <c r="M75" s="113">
        <f t="shared" si="23"/>
        <v>0</v>
      </c>
      <c r="N75" s="113">
        <v>0</v>
      </c>
      <c r="O75" s="134"/>
      <c r="P75" s="400">
        <f t="shared" si="19"/>
        <v>1400847.71</v>
      </c>
      <c r="Q75" s="400"/>
      <c r="R75" s="24">
        <f t="shared" si="20"/>
        <v>0.71</v>
      </c>
      <c r="S75" s="1">
        <f t="shared" si="24"/>
        <v>71</v>
      </c>
      <c r="T75" t="s">
        <v>232</v>
      </c>
    </row>
    <row r="76" spans="1:20" ht="24.95" customHeight="1" x14ac:dyDescent="0.25">
      <c r="A76" s="226"/>
      <c r="B76" s="28">
        <f t="shared" si="26"/>
        <v>72</v>
      </c>
      <c r="C76" s="28" t="s">
        <v>90</v>
      </c>
      <c r="D76" s="125">
        <v>4.0000000000000001E-3</v>
      </c>
      <c r="E76" s="156">
        <v>640879.72</v>
      </c>
      <c r="F76" s="155">
        <v>650000</v>
      </c>
      <c r="G76" s="89">
        <f t="shared" si="17"/>
        <v>-9120.2800000000279</v>
      </c>
      <c r="H76" s="33">
        <f t="shared" si="25"/>
        <v>0</v>
      </c>
      <c r="I76" s="34">
        <f t="shared" si="15"/>
        <v>288000</v>
      </c>
      <c r="J76" s="34">
        <f t="shared" si="18"/>
        <v>0</v>
      </c>
      <c r="K76" s="34">
        <f t="shared" si="21"/>
        <v>165940.54062019198</v>
      </c>
      <c r="L76" s="34">
        <f t="shared" si="22"/>
        <v>270270.27039999998</v>
      </c>
      <c r="M76" s="113">
        <f t="shared" si="23"/>
        <v>0</v>
      </c>
      <c r="N76" s="113">
        <v>0</v>
      </c>
      <c r="O76" s="134"/>
      <c r="P76" s="400">
        <f t="shared" si="19"/>
        <v>715091.72</v>
      </c>
      <c r="Q76" s="400"/>
      <c r="R76" s="24">
        <f t="shared" si="20"/>
        <v>0.72</v>
      </c>
      <c r="S76" s="1">
        <f t="shared" si="24"/>
        <v>72</v>
      </c>
      <c r="T76" t="s">
        <v>201</v>
      </c>
    </row>
    <row r="77" spans="1:20" ht="24.95" customHeight="1" x14ac:dyDescent="0.25">
      <c r="A77" s="142"/>
      <c r="B77" s="28">
        <f t="shared" si="26"/>
        <v>73</v>
      </c>
      <c r="C77" s="28" t="s">
        <v>91</v>
      </c>
      <c r="D77" s="125">
        <v>4.0000000000000001E-3</v>
      </c>
      <c r="E77" s="156">
        <v>654373.73</v>
      </c>
      <c r="F77" s="155">
        <v>655000</v>
      </c>
      <c r="G77" s="89">
        <f t="shared" si="17"/>
        <v>-626.27000000001863</v>
      </c>
      <c r="H77" s="33">
        <f t="shared" si="25"/>
        <v>0</v>
      </c>
      <c r="I77" s="34">
        <f t="shared" si="15"/>
        <v>288000</v>
      </c>
      <c r="J77" s="34">
        <f t="shared" si="18"/>
        <v>0</v>
      </c>
      <c r="K77" s="34">
        <f t="shared" si="21"/>
        <v>165940.54062019198</v>
      </c>
      <c r="L77" s="34">
        <f t="shared" si="22"/>
        <v>270270.27039999998</v>
      </c>
      <c r="M77" s="113">
        <f t="shared" si="23"/>
        <v>0</v>
      </c>
      <c r="N77" s="113">
        <v>0</v>
      </c>
      <c r="O77" s="134"/>
      <c r="P77" s="400">
        <f t="shared" si="19"/>
        <v>723585.73</v>
      </c>
      <c r="Q77" s="400"/>
      <c r="R77" s="24">
        <f t="shared" si="20"/>
        <v>0.73</v>
      </c>
      <c r="S77" s="1">
        <f t="shared" si="24"/>
        <v>73</v>
      </c>
    </row>
    <row r="78" spans="1:20" ht="24.95" customHeight="1" x14ac:dyDescent="0.25">
      <c r="A78" s="29"/>
      <c r="B78" s="28">
        <f t="shared" si="26"/>
        <v>74</v>
      </c>
      <c r="C78" s="28" t="s">
        <v>92</v>
      </c>
      <c r="D78" s="125">
        <v>4.4000000000000003E-3</v>
      </c>
      <c r="E78" s="156">
        <v>685443.74</v>
      </c>
      <c r="F78" s="155">
        <f>E78</f>
        <v>685443.74</v>
      </c>
      <c r="G78" s="89">
        <f t="shared" si="17"/>
        <v>0</v>
      </c>
      <c r="H78" s="33">
        <f t="shared" si="25"/>
        <v>0</v>
      </c>
      <c r="I78" s="34">
        <f t="shared" si="15"/>
        <v>316800</v>
      </c>
      <c r="J78" s="34">
        <f t="shared" si="18"/>
        <v>0</v>
      </c>
      <c r="K78" s="34">
        <f t="shared" si="21"/>
        <v>165940.54062019198</v>
      </c>
      <c r="L78" s="34">
        <f t="shared" si="22"/>
        <v>270270.27039999998</v>
      </c>
      <c r="M78" s="113">
        <f t="shared" si="23"/>
        <v>0</v>
      </c>
      <c r="N78" s="113">
        <v>0</v>
      </c>
      <c r="O78" s="134"/>
      <c r="P78" s="400">
        <f t="shared" si="19"/>
        <v>753011.74</v>
      </c>
      <c r="Q78" s="400"/>
      <c r="R78" s="24">
        <f t="shared" si="20"/>
        <v>0.74</v>
      </c>
      <c r="S78" s="1">
        <f t="shared" si="24"/>
        <v>74</v>
      </c>
    </row>
    <row r="79" spans="1:20" ht="24.95" customHeight="1" x14ac:dyDescent="0.25">
      <c r="A79" s="29"/>
      <c r="B79" s="28">
        <f t="shared" si="26"/>
        <v>75</v>
      </c>
      <c r="C79" s="28" t="s">
        <v>253</v>
      </c>
      <c r="D79" s="125">
        <v>4.1000000000000003E-3</v>
      </c>
      <c r="E79" s="156">
        <v>663843.75</v>
      </c>
      <c r="F79" s="155">
        <f>E79</f>
        <v>663843.75</v>
      </c>
      <c r="G79" s="89">
        <f t="shared" si="17"/>
        <v>0</v>
      </c>
      <c r="H79" s="33">
        <f t="shared" si="25"/>
        <v>0</v>
      </c>
      <c r="I79" s="34">
        <f t="shared" si="15"/>
        <v>295200</v>
      </c>
      <c r="J79" s="34">
        <f t="shared" si="18"/>
        <v>0</v>
      </c>
      <c r="K79" s="34">
        <f t="shared" si="21"/>
        <v>165940.54062019198</v>
      </c>
      <c r="L79" s="34">
        <f t="shared" si="22"/>
        <v>270270.27039999998</v>
      </c>
      <c r="M79" s="113">
        <f t="shared" si="23"/>
        <v>0</v>
      </c>
      <c r="N79" s="113">
        <v>0</v>
      </c>
      <c r="O79" s="134">
        <f>1552*100</f>
        <v>155200</v>
      </c>
      <c r="P79" s="400">
        <f t="shared" si="19"/>
        <v>886611.75</v>
      </c>
      <c r="Q79" s="400"/>
      <c r="R79" s="24">
        <f t="shared" si="20"/>
        <v>0.75</v>
      </c>
      <c r="S79" s="1">
        <f t="shared" si="24"/>
        <v>75</v>
      </c>
      <c r="T79" t="s">
        <v>214</v>
      </c>
    </row>
    <row r="80" spans="1:20" ht="24.95" customHeight="1" x14ac:dyDescent="0.25">
      <c r="A80" s="29"/>
      <c r="B80" s="28">
        <f t="shared" si="26"/>
        <v>76</v>
      </c>
      <c r="C80" s="28" t="s">
        <v>84</v>
      </c>
      <c r="D80" s="125">
        <v>4.4999999999999997E-3</v>
      </c>
      <c r="E80" s="156">
        <v>692643.76</v>
      </c>
      <c r="F80" s="155">
        <f>E80</f>
        <v>692643.76</v>
      </c>
      <c r="G80" s="89">
        <f t="shared" si="17"/>
        <v>0</v>
      </c>
      <c r="H80" s="33">
        <f t="shared" si="25"/>
        <v>0</v>
      </c>
      <c r="I80" s="34">
        <f t="shared" si="15"/>
        <v>324000</v>
      </c>
      <c r="J80" s="34">
        <f t="shared" si="18"/>
        <v>0</v>
      </c>
      <c r="K80" s="34">
        <f t="shared" si="21"/>
        <v>165940.54062019198</v>
      </c>
      <c r="L80" s="34">
        <f t="shared" si="22"/>
        <v>270270.27039999998</v>
      </c>
      <c r="M80" s="113">
        <f t="shared" si="23"/>
        <v>0</v>
      </c>
      <c r="N80" s="113">
        <v>0</v>
      </c>
      <c r="O80" s="134"/>
      <c r="P80" s="400">
        <f t="shared" si="19"/>
        <v>760211.76</v>
      </c>
      <c r="Q80" s="400"/>
      <c r="R80" s="24">
        <f t="shared" si="20"/>
        <v>0.76</v>
      </c>
      <c r="S80" s="1">
        <f t="shared" si="24"/>
        <v>76</v>
      </c>
    </row>
    <row r="81" spans="1:24" ht="24.95" customHeight="1" x14ac:dyDescent="0.25">
      <c r="A81" s="29"/>
      <c r="B81" s="28">
        <f t="shared" si="26"/>
        <v>77</v>
      </c>
      <c r="C81" s="28" t="s">
        <v>93</v>
      </c>
      <c r="D81" s="125">
        <v>6.1000000000000004E-3</v>
      </c>
      <c r="E81" s="156">
        <v>807843.77</v>
      </c>
      <c r="F81" s="155"/>
      <c r="G81" s="89">
        <f t="shared" si="17"/>
        <v>807843.77</v>
      </c>
      <c r="H81" s="33">
        <f t="shared" si="25"/>
        <v>24938.137179900001</v>
      </c>
      <c r="I81" s="34">
        <f t="shared" si="15"/>
        <v>439200</v>
      </c>
      <c r="J81" s="34">
        <f t="shared" si="18"/>
        <v>0</v>
      </c>
      <c r="K81" s="34">
        <f t="shared" si="21"/>
        <v>165940.54062019198</v>
      </c>
      <c r="L81" s="34">
        <f t="shared" si="22"/>
        <v>270270.27039999998</v>
      </c>
      <c r="M81" s="113">
        <f t="shared" si="23"/>
        <v>0</v>
      </c>
      <c r="N81" s="113">
        <v>0</v>
      </c>
      <c r="O81" s="134"/>
      <c r="P81" s="400">
        <f t="shared" si="19"/>
        <v>1708193.77</v>
      </c>
      <c r="Q81" s="400"/>
      <c r="R81" s="24">
        <f t="shared" si="20"/>
        <v>0.77</v>
      </c>
      <c r="S81" s="1">
        <f t="shared" si="24"/>
        <v>77</v>
      </c>
      <c r="T81" t="s">
        <v>280</v>
      </c>
    </row>
    <row r="82" spans="1:24" ht="24.95" customHeight="1" x14ac:dyDescent="0.25">
      <c r="A82" s="29"/>
      <c r="B82" s="28">
        <f t="shared" si="26"/>
        <v>78</v>
      </c>
      <c r="C82" s="28" t="s">
        <v>94</v>
      </c>
      <c r="D82" s="125">
        <v>4.7999999999999996E-3</v>
      </c>
      <c r="E82" s="156">
        <v>714243.78</v>
      </c>
      <c r="F82" s="155">
        <v>715000</v>
      </c>
      <c r="G82" s="89">
        <f t="shared" si="17"/>
        <v>-756.21999999997206</v>
      </c>
      <c r="H82" s="33">
        <f t="shared" si="25"/>
        <v>0</v>
      </c>
      <c r="I82" s="34">
        <f t="shared" si="15"/>
        <v>345599.99999999994</v>
      </c>
      <c r="J82" s="34">
        <f t="shared" si="18"/>
        <v>0</v>
      </c>
      <c r="K82" s="34">
        <f t="shared" si="21"/>
        <v>165940.54062019198</v>
      </c>
      <c r="L82" s="34">
        <f t="shared" si="22"/>
        <v>270270.27039999998</v>
      </c>
      <c r="M82" s="113">
        <f t="shared" si="23"/>
        <v>0</v>
      </c>
      <c r="N82" s="113">
        <v>0</v>
      </c>
      <c r="O82" s="134"/>
      <c r="P82" s="400">
        <f t="shared" si="19"/>
        <v>781055.78</v>
      </c>
      <c r="Q82" s="400"/>
      <c r="R82" s="24">
        <f t="shared" si="20"/>
        <v>0.78</v>
      </c>
      <c r="S82" s="1">
        <f t="shared" si="24"/>
        <v>78</v>
      </c>
      <c r="T82" t="s">
        <v>256</v>
      </c>
    </row>
    <row r="83" spans="1:24" ht="24.95" customHeight="1" x14ac:dyDescent="0.25">
      <c r="A83" s="29"/>
      <c r="B83" s="28">
        <f t="shared" si="26"/>
        <v>79</v>
      </c>
      <c r="C83" s="28" t="s">
        <v>95</v>
      </c>
      <c r="D83" s="125">
        <v>4.4999999999999997E-3</v>
      </c>
      <c r="E83" s="156">
        <v>1111674.79</v>
      </c>
      <c r="F83" s="155">
        <v>407000</v>
      </c>
      <c r="G83" s="90">
        <f t="shared" si="17"/>
        <v>704674.79</v>
      </c>
      <c r="H83" s="126">
        <f t="shared" si="25"/>
        <v>21753.310767300001</v>
      </c>
      <c r="I83" s="113">
        <f t="shared" si="15"/>
        <v>324000</v>
      </c>
      <c r="J83" s="113">
        <f t="shared" si="18"/>
        <v>0</v>
      </c>
      <c r="K83" s="113">
        <f t="shared" si="21"/>
        <v>165940.54062019198</v>
      </c>
      <c r="L83" s="113">
        <f t="shared" si="22"/>
        <v>270270.27039999998</v>
      </c>
      <c r="M83" s="113">
        <f t="shared" si="23"/>
        <v>0</v>
      </c>
      <c r="N83" s="113">
        <v>0</v>
      </c>
      <c r="O83" s="134"/>
      <c r="P83" s="404">
        <f t="shared" si="19"/>
        <v>1486639.79</v>
      </c>
      <c r="Q83" s="404"/>
      <c r="R83" s="127">
        <f t="shared" si="20"/>
        <v>0.79</v>
      </c>
      <c r="S83" s="88">
        <f t="shared" si="24"/>
        <v>79</v>
      </c>
      <c r="T83" s="51" t="s">
        <v>289</v>
      </c>
      <c r="X83" t="s">
        <v>258</v>
      </c>
    </row>
    <row r="84" spans="1:24" ht="24.95" customHeight="1" x14ac:dyDescent="0.25">
      <c r="A84" s="29"/>
      <c r="B84" s="28">
        <f t="shared" si="26"/>
        <v>80</v>
      </c>
      <c r="C84" s="28" t="s">
        <v>96</v>
      </c>
      <c r="D84" s="125">
        <v>4.4999999999999997E-3</v>
      </c>
      <c r="E84" s="156">
        <v>692643.8</v>
      </c>
      <c r="F84" s="155">
        <f>E84</f>
        <v>692643.8</v>
      </c>
      <c r="G84" s="89">
        <f t="shared" si="17"/>
        <v>0</v>
      </c>
      <c r="H84" s="33">
        <f t="shared" si="25"/>
        <v>0</v>
      </c>
      <c r="I84" s="34">
        <f t="shared" si="15"/>
        <v>324000</v>
      </c>
      <c r="J84" s="34">
        <f t="shared" si="18"/>
        <v>0</v>
      </c>
      <c r="K84" s="34">
        <f t="shared" si="21"/>
        <v>165940.54062019198</v>
      </c>
      <c r="L84" s="34">
        <f t="shared" si="22"/>
        <v>270270.27039999998</v>
      </c>
      <c r="M84" s="113">
        <f t="shared" si="23"/>
        <v>0</v>
      </c>
      <c r="N84" s="113">
        <v>0</v>
      </c>
      <c r="O84" s="134"/>
      <c r="P84" s="400">
        <f t="shared" si="19"/>
        <v>760211.8</v>
      </c>
      <c r="Q84" s="400"/>
      <c r="R84" s="24">
        <f t="shared" si="20"/>
        <v>0.8</v>
      </c>
      <c r="S84" s="1">
        <f t="shared" si="24"/>
        <v>80</v>
      </c>
      <c r="T84" t="s">
        <v>314</v>
      </c>
    </row>
    <row r="85" spans="1:24" ht="24.95" customHeight="1" x14ac:dyDescent="0.25">
      <c r="A85" s="29"/>
      <c r="B85" s="28">
        <f t="shared" si="26"/>
        <v>81</v>
      </c>
      <c r="C85" s="28" t="s">
        <v>97</v>
      </c>
      <c r="D85" s="125">
        <v>4.4999999999999997E-3</v>
      </c>
      <c r="E85" s="156">
        <v>692642.81</v>
      </c>
      <c r="F85" s="155"/>
      <c r="G85" s="89">
        <f t="shared" si="17"/>
        <v>692642.81</v>
      </c>
      <c r="H85" s="33">
        <f t="shared" si="25"/>
        <v>21381.883544700002</v>
      </c>
      <c r="I85" s="34">
        <f t="shared" si="15"/>
        <v>324000</v>
      </c>
      <c r="J85" s="34">
        <f t="shared" si="18"/>
        <v>0</v>
      </c>
      <c r="K85" s="34">
        <f t="shared" si="21"/>
        <v>165940.54062019198</v>
      </c>
      <c r="L85" s="34">
        <f t="shared" si="22"/>
        <v>270270.27039999998</v>
      </c>
      <c r="M85" s="113">
        <f t="shared" si="23"/>
        <v>0</v>
      </c>
      <c r="N85" s="113">
        <v>0</v>
      </c>
      <c r="O85" s="134"/>
      <c r="P85" s="400">
        <f t="shared" si="19"/>
        <v>1474236.81</v>
      </c>
      <c r="Q85" s="400"/>
      <c r="R85" s="24">
        <f t="shared" si="20"/>
        <v>0.81</v>
      </c>
      <c r="S85" s="1">
        <f t="shared" si="24"/>
        <v>81</v>
      </c>
      <c r="T85" t="s">
        <v>246</v>
      </c>
    </row>
    <row r="86" spans="1:24" ht="24.95" customHeight="1" x14ac:dyDescent="0.25">
      <c r="A86" s="138"/>
      <c r="B86" s="28">
        <f t="shared" si="26"/>
        <v>82</v>
      </c>
      <c r="C86" s="28" t="s">
        <v>98</v>
      </c>
      <c r="D86" s="125">
        <v>4.1999999999999997E-3</v>
      </c>
      <c r="E86" s="156">
        <v>671043.81999999995</v>
      </c>
      <c r="F86" s="155"/>
      <c r="G86" s="89">
        <f t="shared" si="17"/>
        <v>671043.81999999995</v>
      </c>
      <c r="H86" s="33">
        <f t="shared" si="25"/>
        <v>20715.1227234</v>
      </c>
      <c r="I86" s="34">
        <f t="shared" si="15"/>
        <v>302400</v>
      </c>
      <c r="J86" s="34">
        <f t="shared" si="18"/>
        <v>0</v>
      </c>
      <c r="K86" s="34">
        <f t="shared" si="21"/>
        <v>165940.54062019198</v>
      </c>
      <c r="L86" s="34">
        <f t="shared" si="22"/>
        <v>270270.27039999998</v>
      </c>
      <c r="M86" s="113">
        <f t="shared" si="23"/>
        <v>0</v>
      </c>
      <c r="N86" s="113">
        <v>0</v>
      </c>
      <c r="O86" s="113">
        <f>I86/2</f>
        <v>151200</v>
      </c>
      <c r="P86" s="400">
        <f t="shared" si="19"/>
        <v>1581570.82</v>
      </c>
      <c r="Q86" s="400"/>
      <c r="R86" s="24">
        <f t="shared" si="20"/>
        <v>0.82</v>
      </c>
      <c r="S86" s="1">
        <f t="shared" si="24"/>
        <v>82</v>
      </c>
      <c r="T86" t="s">
        <v>292</v>
      </c>
      <c r="V86" s="28"/>
    </row>
    <row r="87" spans="1:24" ht="24.95" customHeight="1" x14ac:dyDescent="0.25">
      <c r="A87" s="29"/>
      <c r="B87" s="28">
        <f t="shared" si="26"/>
        <v>83</v>
      </c>
      <c r="C87" s="28" t="s">
        <v>99</v>
      </c>
      <c r="D87" s="125">
        <v>4.7999999999999996E-3</v>
      </c>
      <c r="E87" s="156">
        <v>714243.83</v>
      </c>
      <c r="F87" s="155">
        <f t="shared" ref="F87:F91" si="27">E87</f>
        <v>714243.83</v>
      </c>
      <c r="G87" s="89">
        <f t="shared" si="17"/>
        <v>0</v>
      </c>
      <c r="H87" s="33">
        <f t="shared" si="25"/>
        <v>0</v>
      </c>
      <c r="I87" s="34">
        <f t="shared" si="15"/>
        <v>345599.99999999994</v>
      </c>
      <c r="J87" s="34">
        <f t="shared" si="18"/>
        <v>0</v>
      </c>
      <c r="K87" s="34">
        <f t="shared" si="21"/>
        <v>165940.54062019198</v>
      </c>
      <c r="L87" s="34">
        <f t="shared" si="22"/>
        <v>270270.27039999998</v>
      </c>
      <c r="M87" s="113">
        <f t="shared" si="23"/>
        <v>0</v>
      </c>
      <c r="N87" s="113">
        <v>0</v>
      </c>
      <c r="O87" s="134"/>
      <c r="P87" s="400">
        <f t="shared" si="19"/>
        <v>781811.83</v>
      </c>
      <c r="Q87" s="400"/>
      <c r="R87" s="24">
        <f t="shared" si="20"/>
        <v>0.83</v>
      </c>
      <c r="S87" s="1">
        <f t="shared" si="24"/>
        <v>83</v>
      </c>
    </row>
    <row r="88" spans="1:24" ht="24.95" customHeight="1" x14ac:dyDescent="0.25">
      <c r="A88" s="29"/>
      <c r="B88" s="28">
        <f t="shared" si="26"/>
        <v>84</v>
      </c>
      <c r="C88" s="28" t="s">
        <v>99</v>
      </c>
      <c r="D88" s="125">
        <v>4.7999999999999996E-3</v>
      </c>
      <c r="E88" s="156">
        <v>714243.84</v>
      </c>
      <c r="F88" s="155">
        <f t="shared" si="27"/>
        <v>714243.84</v>
      </c>
      <c r="G88" s="89">
        <f t="shared" si="17"/>
        <v>0</v>
      </c>
      <c r="H88" s="33">
        <f t="shared" si="25"/>
        <v>0</v>
      </c>
      <c r="I88" s="34">
        <f t="shared" si="15"/>
        <v>345599.99999999994</v>
      </c>
      <c r="J88" s="34">
        <f t="shared" si="18"/>
        <v>0</v>
      </c>
      <c r="K88" s="34">
        <f t="shared" si="21"/>
        <v>165940.54062019198</v>
      </c>
      <c r="L88" s="34">
        <f t="shared" si="22"/>
        <v>270270.27039999998</v>
      </c>
      <c r="M88" s="113">
        <f t="shared" si="23"/>
        <v>0</v>
      </c>
      <c r="N88" s="113">
        <v>0</v>
      </c>
      <c r="O88" s="134"/>
      <c r="P88" s="400">
        <f t="shared" si="19"/>
        <v>781811.84</v>
      </c>
      <c r="Q88" s="400"/>
      <c r="R88" s="24">
        <f t="shared" si="20"/>
        <v>0.84</v>
      </c>
      <c r="S88" s="1">
        <f t="shared" si="24"/>
        <v>84</v>
      </c>
    </row>
    <row r="89" spans="1:24" ht="24.95" customHeight="1" x14ac:dyDescent="0.25">
      <c r="A89" s="29"/>
      <c r="B89" s="28">
        <f t="shared" si="26"/>
        <v>85</v>
      </c>
      <c r="C89" s="28" t="s">
        <v>100</v>
      </c>
      <c r="D89" s="125">
        <v>4.7999999999999996E-3</v>
      </c>
      <c r="E89" s="156">
        <v>714243.85</v>
      </c>
      <c r="F89" s="155">
        <f t="shared" si="27"/>
        <v>714243.85</v>
      </c>
      <c r="G89" s="89">
        <f t="shared" si="17"/>
        <v>0</v>
      </c>
      <c r="H89" s="33">
        <f t="shared" si="25"/>
        <v>0</v>
      </c>
      <c r="I89" s="34">
        <f t="shared" si="15"/>
        <v>345599.99999999994</v>
      </c>
      <c r="J89" s="34">
        <f t="shared" si="18"/>
        <v>0</v>
      </c>
      <c r="K89" s="34">
        <f t="shared" si="21"/>
        <v>165940.54062019198</v>
      </c>
      <c r="L89" s="34">
        <f t="shared" si="22"/>
        <v>270270.27039999998</v>
      </c>
      <c r="M89" s="113">
        <f t="shared" si="23"/>
        <v>0</v>
      </c>
      <c r="N89" s="113">
        <v>0</v>
      </c>
      <c r="O89" s="134"/>
      <c r="P89" s="400">
        <f t="shared" si="19"/>
        <v>781811.85</v>
      </c>
      <c r="Q89" s="400"/>
      <c r="R89" s="24">
        <f t="shared" si="20"/>
        <v>0.85</v>
      </c>
      <c r="S89" s="1">
        <f t="shared" si="24"/>
        <v>85</v>
      </c>
      <c r="T89" t="s">
        <v>230</v>
      </c>
    </row>
    <row r="90" spans="1:24" ht="24.95" customHeight="1" x14ac:dyDescent="0.25">
      <c r="A90" s="29"/>
      <c r="B90" s="28">
        <f t="shared" si="26"/>
        <v>86</v>
      </c>
      <c r="C90" s="28" t="s">
        <v>174</v>
      </c>
      <c r="D90" s="125">
        <v>4.7999999999999996E-3</v>
      </c>
      <c r="E90" s="156">
        <v>714243.86</v>
      </c>
      <c r="F90" s="155">
        <f t="shared" si="27"/>
        <v>714243.86</v>
      </c>
      <c r="G90" s="89">
        <f t="shared" si="17"/>
        <v>0</v>
      </c>
      <c r="H90" s="33">
        <f t="shared" si="25"/>
        <v>0</v>
      </c>
      <c r="I90" s="34">
        <f t="shared" si="15"/>
        <v>345599.99999999994</v>
      </c>
      <c r="J90" s="34">
        <f t="shared" si="18"/>
        <v>0</v>
      </c>
      <c r="K90" s="34">
        <f t="shared" si="21"/>
        <v>165940.54062019198</v>
      </c>
      <c r="L90" s="34">
        <f t="shared" si="22"/>
        <v>270270.27039999998</v>
      </c>
      <c r="M90" s="113">
        <f t="shared" si="23"/>
        <v>0</v>
      </c>
      <c r="N90" s="113">
        <v>0</v>
      </c>
      <c r="O90" s="134"/>
      <c r="P90" s="400">
        <f t="shared" si="19"/>
        <v>781811.86</v>
      </c>
      <c r="Q90" s="400"/>
      <c r="R90" s="24">
        <f t="shared" si="20"/>
        <v>0.86</v>
      </c>
      <c r="S90" s="1">
        <f t="shared" si="24"/>
        <v>86</v>
      </c>
    </row>
    <row r="91" spans="1:24" ht="24.95" customHeight="1" x14ac:dyDescent="0.25">
      <c r="A91" s="29"/>
      <c r="B91" s="28">
        <f t="shared" si="26"/>
        <v>87</v>
      </c>
      <c r="C91" s="28" t="s">
        <v>101</v>
      </c>
      <c r="D91" s="125">
        <v>4.7999999999999996E-3</v>
      </c>
      <c r="E91" s="156">
        <v>714243.87</v>
      </c>
      <c r="F91" s="155">
        <f t="shared" si="27"/>
        <v>714243.87</v>
      </c>
      <c r="G91" s="89">
        <f t="shared" si="17"/>
        <v>0</v>
      </c>
      <c r="H91" s="33">
        <f t="shared" si="25"/>
        <v>0</v>
      </c>
      <c r="I91" s="34">
        <f t="shared" si="15"/>
        <v>345599.99999999994</v>
      </c>
      <c r="J91" s="34">
        <f t="shared" si="18"/>
        <v>0</v>
      </c>
      <c r="K91" s="34">
        <f t="shared" si="21"/>
        <v>165940.54062019198</v>
      </c>
      <c r="L91" s="34">
        <f t="shared" si="22"/>
        <v>270270.27039999998</v>
      </c>
      <c r="M91" s="113">
        <f t="shared" si="23"/>
        <v>0</v>
      </c>
      <c r="N91" s="113">
        <v>0</v>
      </c>
      <c r="O91" s="134"/>
      <c r="P91" s="400">
        <f t="shared" si="19"/>
        <v>781811.87</v>
      </c>
      <c r="Q91" s="400"/>
      <c r="R91" s="24">
        <f t="shared" si="20"/>
        <v>0.87</v>
      </c>
      <c r="S91" s="1">
        <f t="shared" si="24"/>
        <v>87</v>
      </c>
    </row>
    <row r="92" spans="1:24" ht="24.95" customHeight="1" x14ac:dyDescent="0.25">
      <c r="A92" s="272"/>
      <c r="B92" s="352">
        <f t="shared" si="26"/>
        <v>88</v>
      </c>
      <c r="C92" s="352" t="s">
        <v>102</v>
      </c>
      <c r="D92" s="125">
        <v>4.7999999999999996E-3</v>
      </c>
      <c r="E92" s="156">
        <v>706811.88</v>
      </c>
      <c r="F92" s="155">
        <v>706900</v>
      </c>
      <c r="G92" s="89">
        <f t="shared" si="17"/>
        <v>-88.119999999995343</v>
      </c>
      <c r="H92" s="33">
        <f t="shared" si="25"/>
        <v>0</v>
      </c>
      <c r="I92" s="34">
        <f t="shared" si="15"/>
        <v>345599.99999999994</v>
      </c>
      <c r="J92" s="34">
        <f t="shared" si="18"/>
        <v>0</v>
      </c>
      <c r="K92" s="34">
        <f t="shared" si="21"/>
        <v>165940.54062019198</v>
      </c>
      <c r="L92" s="34">
        <f t="shared" si="22"/>
        <v>270270.27039999998</v>
      </c>
      <c r="M92" s="113">
        <f t="shared" si="23"/>
        <v>0</v>
      </c>
      <c r="N92" s="113">
        <v>0</v>
      </c>
      <c r="O92" s="134"/>
      <c r="P92" s="400">
        <f t="shared" si="19"/>
        <v>781723.88</v>
      </c>
      <c r="Q92" s="400"/>
      <c r="R92" s="24">
        <f t="shared" si="20"/>
        <v>0.88</v>
      </c>
      <c r="S92" s="1">
        <f t="shared" si="24"/>
        <v>88</v>
      </c>
    </row>
    <row r="93" spans="1:24" ht="24.95" customHeight="1" x14ac:dyDescent="0.25">
      <c r="A93" s="29"/>
      <c r="B93" s="28">
        <f t="shared" si="26"/>
        <v>89</v>
      </c>
      <c r="C93" s="28" t="s">
        <v>228</v>
      </c>
      <c r="D93" s="125">
        <v>4.7999999999999996E-3</v>
      </c>
      <c r="E93" s="156">
        <v>714243.89</v>
      </c>
      <c r="F93" s="155">
        <f>E93</f>
        <v>714243.89</v>
      </c>
      <c r="G93" s="90">
        <f t="shared" si="17"/>
        <v>0</v>
      </c>
      <c r="H93" s="126">
        <f t="shared" si="25"/>
        <v>0</v>
      </c>
      <c r="I93" s="113">
        <f t="shared" si="15"/>
        <v>345599.99999999994</v>
      </c>
      <c r="J93" s="113">
        <f t="shared" si="18"/>
        <v>0</v>
      </c>
      <c r="K93" s="113">
        <f t="shared" si="21"/>
        <v>165940.54062019198</v>
      </c>
      <c r="L93" s="113">
        <f t="shared" si="22"/>
        <v>270270.27039999998</v>
      </c>
      <c r="M93" s="113">
        <f t="shared" si="23"/>
        <v>0</v>
      </c>
      <c r="N93" s="113">
        <v>0</v>
      </c>
      <c r="O93" s="134"/>
      <c r="P93" s="404">
        <f t="shared" si="19"/>
        <v>781811.89</v>
      </c>
      <c r="Q93" s="404"/>
      <c r="R93" s="127">
        <f t="shared" si="20"/>
        <v>0.89</v>
      </c>
      <c r="S93" s="88">
        <f t="shared" si="24"/>
        <v>89</v>
      </c>
      <c r="T93" t="s">
        <v>312</v>
      </c>
    </row>
    <row r="94" spans="1:24" ht="24.95" customHeight="1" x14ac:dyDescent="0.25">
      <c r="A94" s="29"/>
      <c r="B94" s="28">
        <f t="shared" si="26"/>
        <v>90</v>
      </c>
      <c r="C94" s="28" t="s">
        <v>103</v>
      </c>
      <c r="D94" s="125">
        <v>4.7999999999999996E-3</v>
      </c>
      <c r="E94" s="156">
        <v>1671894.9</v>
      </c>
      <c r="F94" s="155">
        <v>900000</v>
      </c>
      <c r="G94" s="89">
        <f t="shared" si="17"/>
        <v>771894.89999999991</v>
      </c>
      <c r="H94" s="33">
        <f t="shared" si="25"/>
        <v>23828.395562999998</v>
      </c>
      <c r="I94" s="34">
        <f t="shared" si="15"/>
        <v>345599.99999999994</v>
      </c>
      <c r="J94" s="34">
        <f t="shared" si="18"/>
        <v>0</v>
      </c>
      <c r="K94" s="34">
        <f t="shared" si="21"/>
        <v>165940.54062019198</v>
      </c>
      <c r="L94" s="34">
        <f t="shared" si="22"/>
        <v>270270.27039999998</v>
      </c>
      <c r="M94" s="113">
        <f t="shared" si="23"/>
        <v>0</v>
      </c>
      <c r="N94" s="113">
        <v>0</v>
      </c>
      <c r="O94" s="134"/>
      <c r="P94" s="400">
        <f t="shared" si="19"/>
        <v>1577534.9</v>
      </c>
      <c r="Q94" s="400"/>
      <c r="R94" s="24">
        <f t="shared" si="20"/>
        <v>0.9</v>
      </c>
      <c r="S94" s="1">
        <f t="shared" si="24"/>
        <v>90</v>
      </c>
      <c r="T94" t="s">
        <v>259</v>
      </c>
    </row>
    <row r="95" spans="1:24" ht="24.95" customHeight="1" x14ac:dyDescent="0.25">
      <c r="A95" s="29"/>
      <c r="B95" s="28">
        <f t="shared" si="26"/>
        <v>91</v>
      </c>
      <c r="C95" s="28" t="s">
        <v>104</v>
      </c>
      <c r="D95" s="125">
        <v>4.7999999999999996E-3</v>
      </c>
      <c r="E95" s="156">
        <v>714243.91</v>
      </c>
      <c r="F95" s="155">
        <f>E95</f>
        <v>714243.91</v>
      </c>
      <c r="G95" s="89">
        <f t="shared" si="17"/>
        <v>0</v>
      </c>
      <c r="H95" s="33">
        <f t="shared" si="25"/>
        <v>0</v>
      </c>
      <c r="I95" s="34">
        <f t="shared" si="15"/>
        <v>345599.99999999994</v>
      </c>
      <c r="J95" s="34">
        <f t="shared" si="18"/>
        <v>0</v>
      </c>
      <c r="K95" s="34">
        <f t="shared" si="21"/>
        <v>165940.54062019198</v>
      </c>
      <c r="L95" s="34">
        <f t="shared" si="22"/>
        <v>270270.27039999998</v>
      </c>
      <c r="M95" s="113">
        <f t="shared" si="23"/>
        <v>0</v>
      </c>
      <c r="N95" s="113">
        <v>0</v>
      </c>
      <c r="O95" s="134"/>
      <c r="P95" s="400">
        <f t="shared" si="19"/>
        <v>781811.91</v>
      </c>
      <c r="Q95" s="400"/>
      <c r="R95" s="24">
        <f t="shared" si="20"/>
        <v>0.91</v>
      </c>
      <c r="S95" s="1">
        <f t="shared" si="24"/>
        <v>91</v>
      </c>
      <c r="T95" t="s">
        <v>204</v>
      </c>
    </row>
    <row r="96" spans="1:24" ht="24.95" customHeight="1" x14ac:dyDescent="0.25">
      <c r="A96" s="29"/>
      <c r="B96" s="28">
        <f t="shared" si="26"/>
        <v>92</v>
      </c>
      <c r="C96" s="28" t="s">
        <v>105</v>
      </c>
      <c r="D96" s="125">
        <v>4.7999999999999996E-3</v>
      </c>
      <c r="E96" s="156">
        <v>4743541.92</v>
      </c>
      <c r="F96" s="155"/>
      <c r="G96" s="89">
        <f t="shared" si="17"/>
        <v>4743541.92</v>
      </c>
      <c r="H96" s="33">
        <f t="shared" si="25"/>
        <v>146433.13907040001</v>
      </c>
      <c r="I96" s="34">
        <f t="shared" si="15"/>
        <v>345599.99999999994</v>
      </c>
      <c r="J96" s="34">
        <f t="shared" si="18"/>
        <v>0</v>
      </c>
      <c r="K96" s="34">
        <f t="shared" si="21"/>
        <v>165940.54062019198</v>
      </c>
      <c r="L96" s="34">
        <f t="shared" si="22"/>
        <v>270270.27039999998</v>
      </c>
      <c r="M96" s="113">
        <f t="shared" si="23"/>
        <v>0</v>
      </c>
      <c r="N96" s="113">
        <v>0</v>
      </c>
      <c r="O96" s="134"/>
      <c r="P96" s="400">
        <f t="shared" si="19"/>
        <v>5671786.9199999999</v>
      </c>
      <c r="Q96" s="400"/>
      <c r="R96" s="24">
        <f t="shared" si="20"/>
        <v>0.92</v>
      </c>
      <c r="S96" s="1">
        <f t="shared" si="24"/>
        <v>92</v>
      </c>
      <c r="T96" t="s">
        <v>231</v>
      </c>
    </row>
    <row r="97" spans="1:21" ht="24.95" customHeight="1" x14ac:dyDescent="0.25">
      <c r="A97" s="29"/>
      <c r="B97" s="28">
        <f t="shared" si="26"/>
        <v>93</v>
      </c>
      <c r="C97" s="75" t="s">
        <v>175</v>
      </c>
      <c r="D97" s="125">
        <v>4.5999999999999999E-3</v>
      </c>
      <c r="E97" s="156">
        <v>1399258.93</v>
      </c>
      <c r="F97" s="155"/>
      <c r="G97" s="89">
        <f>E97-F97</f>
        <v>1399258.93</v>
      </c>
      <c r="H97" s="33">
        <f t="shared" si="25"/>
        <v>43195.123169099999</v>
      </c>
      <c r="I97" s="34">
        <f t="shared" si="15"/>
        <v>331200</v>
      </c>
      <c r="J97" s="34">
        <f t="shared" si="18"/>
        <v>0</v>
      </c>
      <c r="K97" s="34">
        <f t="shared" si="21"/>
        <v>165940.54062019198</v>
      </c>
      <c r="L97" s="34">
        <f t="shared" si="22"/>
        <v>270270.27039999998</v>
      </c>
      <c r="M97" s="113">
        <f t="shared" si="23"/>
        <v>0</v>
      </c>
      <c r="N97" s="113">
        <v>0</v>
      </c>
      <c r="O97" s="113">
        <f>I97/2</f>
        <v>165600</v>
      </c>
      <c r="P97" s="400">
        <f t="shared" si="19"/>
        <v>2375465.9300000002</v>
      </c>
      <c r="Q97" s="400"/>
      <c r="R97" s="24">
        <f t="shared" si="20"/>
        <v>0.93</v>
      </c>
      <c r="S97" s="1">
        <f t="shared" si="24"/>
        <v>93</v>
      </c>
    </row>
    <row r="98" spans="1:21" ht="24.95" customHeight="1" x14ac:dyDescent="0.25">
      <c r="A98" s="29"/>
      <c r="B98" s="28">
        <f t="shared" si="26"/>
        <v>94</v>
      </c>
      <c r="C98" s="28" t="s">
        <v>176</v>
      </c>
      <c r="D98" s="125">
        <v>4.7999999999999996E-3</v>
      </c>
      <c r="E98" s="156">
        <v>805413.94</v>
      </c>
      <c r="F98" s="155">
        <f>E98</f>
        <v>805413.94</v>
      </c>
      <c r="G98" s="89">
        <f t="shared" si="17"/>
        <v>0</v>
      </c>
      <c r="H98" s="33">
        <f t="shared" si="25"/>
        <v>0</v>
      </c>
      <c r="I98" s="34">
        <f t="shared" si="15"/>
        <v>345599.99999999994</v>
      </c>
      <c r="J98" s="34">
        <f t="shared" si="18"/>
        <v>0</v>
      </c>
      <c r="K98" s="34">
        <f t="shared" si="21"/>
        <v>165940.54062019198</v>
      </c>
      <c r="L98" s="34">
        <f t="shared" si="22"/>
        <v>270270.27039999998</v>
      </c>
      <c r="M98" s="113">
        <f t="shared" si="23"/>
        <v>0</v>
      </c>
      <c r="N98" s="113">
        <v>0</v>
      </c>
      <c r="O98" s="113"/>
      <c r="P98" s="400">
        <f t="shared" si="19"/>
        <v>781811.94</v>
      </c>
      <c r="Q98" s="400"/>
      <c r="R98" s="24">
        <f t="shared" si="20"/>
        <v>0.94</v>
      </c>
      <c r="S98" s="1">
        <f t="shared" si="24"/>
        <v>94</v>
      </c>
      <c r="T98" t="s">
        <v>197</v>
      </c>
    </row>
    <row r="99" spans="1:21" ht="24.95" customHeight="1" x14ac:dyDescent="0.25">
      <c r="A99" s="28"/>
      <c r="B99" s="28">
        <f t="shared" si="26"/>
        <v>95</v>
      </c>
      <c r="C99" s="28" t="s">
        <v>106</v>
      </c>
      <c r="D99" s="125">
        <v>4.7999999999999996E-3</v>
      </c>
      <c r="E99" s="156">
        <v>1953569.95</v>
      </c>
      <c r="F99" s="155"/>
      <c r="G99" s="89">
        <f t="shared" si="17"/>
        <v>1953569.95</v>
      </c>
      <c r="H99" s="33">
        <f t="shared" si="25"/>
        <v>60306.704356499999</v>
      </c>
      <c r="I99" s="34">
        <f t="shared" si="15"/>
        <v>345599.99999999994</v>
      </c>
      <c r="J99" s="34">
        <f t="shared" si="18"/>
        <v>0</v>
      </c>
      <c r="K99" s="34">
        <f t="shared" si="21"/>
        <v>165940.54062019198</v>
      </c>
      <c r="L99" s="34">
        <f t="shared" si="22"/>
        <v>270270.27039999998</v>
      </c>
      <c r="M99" s="113">
        <f t="shared" si="23"/>
        <v>0</v>
      </c>
      <c r="N99" s="113">
        <v>0</v>
      </c>
      <c r="O99" s="134"/>
      <c r="P99" s="400">
        <f t="shared" si="19"/>
        <v>2795687.95</v>
      </c>
      <c r="Q99" s="400"/>
      <c r="R99" s="24">
        <f t="shared" si="20"/>
        <v>0.95</v>
      </c>
      <c r="S99" s="1">
        <f t="shared" si="24"/>
        <v>95</v>
      </c>
    </row>
    <row r="100" spans="1:21" ht="24.95" customHeight="1" x14ac:dyDescent="0.25">
      <c r="A100" s="28"/>
      <c r="B100" s="28">
        <f t="shared" si="26"/>
        <v>96</v>
      </c>
      <c r="C100" s="28" t="s">
        <v>107</v>
      </c>
      <c r="D100" s="125">
        <v>4.7999999999999996E-3</v>
      </c>
      <c r="E100" s="156">
        <v>714243.96</v>
      </c>
      <c r="F100" s="155">
        <v>715000</v>
      </c>
      <c r="G100" s="89">
        <f t="shared" si="17"/>
        <v>-756.04000000003725</v>
      </c>
      <c r="H100" s="33">
        <f t="shared" si="25"/>
        <v>0</v>
      </c>
      <c r="I100" s="34">
        <f t="shared" si="15"/>
        <v>345599.99999999994</v>
      </c>
      <c r="J100" s="34">
        <f t="shared" si="18"/>
        <v>0</v>
      </c>
      <c r="K100" s="34">
        <f t="shared" si="21"/>
        <v>165940.54062019198</v>
      </c>
      <c r="L100" s="34">
        <f t="shared" si="22"/>
        <v>270270.27039999998</v>
      </c>
      <c r="M100" s="113">
        <f t="shared" si="23"/>
        <v>0</v>
      </c>
      <c r="N100" s="113">
        <v>0</v>
      </c>
      <c r="O100" s="134"/>
      <c r="P100" s="400">
        <f t="shared" si="19"/>
        <v>781055.96</v>
      </c>
      <c r="Q100" s="400"/>
      <c r="R100" s="24">
        <f t="shared" si="20"/>
        <v>0.96</v>
      </c>
      <c r="S100" s="1">
        <f t="shared" si="24"/>
        <v>96</v>
      </c>
      <c r="T100" t="s">
        <v>209</v>
      </c>
    </row>
    <row r="101" spans="1:21" ht="24.95" customHeight="1" x14ac:dyDescent="0.25">
      <c r="A101" s="29"/>
      <c r="B101" s="28">
        <f t="shared" si="26"/>
        <v>97</v>
      </c>
      <c r="C101" s="28" t="s">
        <v>108</v>
      </c>
      <c r="D101" s="125">
        <v>4.7999999999999996E-3</v>
      </c>
      <c r="E101" s="156">
        <v>714173.97</v>
      </c>
      <c r="F101" s="155">
        <f>714200</f>
        <v>714200</v>
      </c>
      <c r="G101" s="89">
        <f t="shared" si="17"/>
        <v>-26.03000000002794</v>
      </c>
      <c r="H101" s="33">
        <f t="shared" si="25"/>
        <v>0</v>
      </c>
      <c r="I101" s="34">
        <f t="shared" si="15"/>
        <v>345599.99999999994</v>
      </c>
      <c r="J101" s="34">
        <f t="shared" ref="J101:J132" si="28">P$2*D101</f>
        <v>0</v>
      </c>
      <c r="K101" s="34">
        <f t="shared" si="21"/>
        <v>165940.54062019198</v>
      </c>
      <c r="L101" s="34">
        <f t="shared" si="22"/>
        <v>270270.27039999998</v>
      </c>
      <c r="M101" s="113">
        <f t="shared" si="23"/>
        <v>0</v>
      </c>
      <c r="N101" s="113">
        <v>0</v>
      </c>
      <c r="O101" s="134"/>
      <c r="P101" s="400">
        <f t="shared" ref="P101:P132" si="29">ROUND(SUM(G101:O101),0) + R101</f>
        <v>781785.97</v>
      </c>
      <c r="Q101" s="400"/>
      <c r="R101" s="24">
        <f t="shared" ref="R101:R132" si="30">ROUND(0.001+B101/100,2)</f>
        <v>0.97</v>
      </c>
      <c r="S101" s="1">
        <f t="shared" si="24"/>
        <v>97</v>
      </c>
      <c r="T101" t="s">
        <v>224</v>
      </c>
    </row>
    <row r="102" spans="1:21" ht="24.95" customHeight="1" x14ac:dyDescent="0.25">
      <c r="A102" s="29"/>
      <c r="B102" s="28">
        <f t="shared" si="26"/>
        <v>98</v>
      </c>
      <c r="C102" s="28" t="s">
        <v>109</v>
      </c>
      <c r="D102" s="125">
        <v>4.7999999999999996E-3</v>
      </c>
      <c r="E102" s="156">
        <v>714243.98</v>
      </c>
      <c r="F102" s="155"/>
      <c r="G102" s="89">
        <f t="shared" si="17"/>
        <v>714243.98</v>
      </c>
      <c r="H102" s="33">
        <f t="shared" si="25"/>
        <v>22048.711662599999</v>
      </c>
      <c r="I102" s="34">
        <f t="shared" ref="I102:I157" si="31">K$2*D102</f>
        <v>345599.99999999994</v>
      </c>
      <c r="J102" s="34">
        <f t="shared" si="28"/>
        <v>0</v>
      </c>
      <c r="K102" s="34">
        <f t="shared" si="21"/>
        <v>165940.54062019198</v>
      </c>
      <c r="L102" s="34">
        <f t="shared" si="22"/>
        <v>270270.27039999998</v>
      </c>
      <c r="M102" s="113">
        <f t="shared" si="23"/>
        <v>0</v>
      </c>
      <c r="N102" s="113">
        <v>0</v>
      </c>
      <c r="O102" s="134"/>
      <c r="P102" s="400">
        <f t="shared" si="29"/>
        <v>1518104.98</v>
      </c>
      <c r="Q102" s="400"/>
      <c r="R102" s="24">
        <f t="shared" si="30"/>
        <v>0.98</v>
      </c>
      <c r="S102" s="1">
        <f t="shared" si="24"/>
        <v>98</v>
      </c>
    </row>
    <row r="103" spans="1:21" ht="24.95" customHeight="1" x14ac:dyDescent="0.25">
      <c r="A103" s="29"/>
      <c r="B103" s="28">
        <f t="shared" si="26"/>
        <v>99</v>
      </c>
      <c r="C103" s="28" t="s">
        <v>110</v>
      </c>
      <c r="D103" s="125">
        <v>4.7999999999999996E-3</v>
      </c>
      <c r="E103" s="156">
        <v>714243.99</v>
      </c>
      <c r="F103" s="155">
        <f>E103</f>
        <v>714243.99</v>
      </c>
      <c r="G103" s="89">
        <f t="shared" si="17"/>
        <v>0</v>
      </c>
      <c r="H103" s="33">
        <f t="shared" si="25"/>
        <v>0</v>
      </c>
      <c r="I103" s="34">
        <f t="shared" si="31"/>
        <v>345599.99999999994</v>
      </c>
      <c r="J103" s="34">
        <f t="shared" si="28"/>
        <v>0</v>
      </c>
      <c r="K103" s="34">
        <f t="shared" si="21"/>
        <v>165940.54062019198</v>
      </c>
      <c r="L103" s="34">
        <f t="shared" si="22"/>
        <v>270270.27039999998</v>
      </c>
      <c r="M103" s="113">
        <f t="shared" si="23"/>
        <v>0</v>
      </c>
      <c r="N103" s="113">
        <v>0</v>
      </c>
      <c r="O103" s="134"/>
      <c r="P103" s="400">
        <f t="shared" si="29"/>
        <v>781811.99</v>
      </c>
      <c r="Q103" s="400"/>
      <c r="R103" s="24">
        <f t="shared" si="30"/>
        <v>0.99</v>
      </c>
      <c r="S103" s="1">
        <f t="shared" si="24"/>
        <v>99</v>
      </c>
      <c r="T103" s="19" t="s">
        <v>223</v>
      </c>
    </row>
    <row r="104" spans="1:21" ht="24.95" customHeight="1" x14ac:dyDescent="0.25">
      <c r="A104" s="29"/>
      <c r="B104" s="28">
        <f t="shared" si="26"/>
        <v>100</v>
      </c>
      <c r="C104" s="28" t="s">
        <v>111</v>
      </c>
      <c r="D104" s="125">
        <v>4.7999999999999996E-3</v>
      </c>
      <c r="E104" s="156">
        <v>714244</v>
      </c>
      <c r="F104" s="155">
        <f>E104</f>
        <v>714244</v>
      </c>
      <c r="G104" s="89">
        <f t="shared" si="17"/>
        <v>0</v>
      </c>
      <c r="H104" s="33">
        <f t="shared" si="25"/>
        <v>0</v>
      </c>
      <c r="I104" s="34">
        <f t="shared" si="31"/>
        <v>345599.99999999994</v>
      </c>
      <c r="J104" s="34">
        <f t="shared" si="28"/>
        <v>0</v>
      </c>
      <c r="K104" s="34">
        <f t="shared" si="21"/>
        <v>165940.54062019198</v>
      </c>
      <c r="L104" s="34">
        <f t="shared" si="22"/>
        <v>270270.27039999998</v>
      </c>
      <c r="M104" s="113">
        <f t="shared" si="23"/>
        <v>0</v>
      </c>
      <c r="N104" s="113">
        <v>0</v>
      </c>
      <c r="O104" s="134"/>
      <c r="P104" s="400">
        <f t="shared" si="29"/>
        <v>781812</v>
      </c>
      <c r="Q104" s="400"/>
      <c r="R104" s="24">
        <f t="shared" si="30"/>
        <v>1</v>
      </c>
      <c r="S104" s="1">
        <f t="shared" si="24"/>
        <v>100</v>
      </c>
    </row>
    <row r="105" spans="1:21" ht="24.95" customHeight="1" x14ac:dyDescent="0.25">
      <c r="A105" s="29"/>
      <c r="B105" s="28">
        <f t="shared" si="26"/>
        <v>101</v>
      </c>
      <c r="C105" s="28" t="s">
        <v>112</v>
      </c>
      <c r="D105" s="125">
        <v>4.7999999999999996E-3</v>
      </c>
      <c r="E105" s="156">
        <v>714244.01</v>
      </c>
      <c r="F105" s="155">
        <f>E105</f>
        <v>714244.01</v>
      </c>
      <c r="G105" s="89">
        <f t="shared" si="17"/>
        <v>0</v>
      </c>
      <c r="H105" s="33">
        <f t="shared" si="25"/>
        <v>0</v>
      </c>
      <c r="I105" s="34">
        <f t="shared" si="31"/>
        <v>345599.99999999994</v>
      </c>
      <c r="J105" s="34">
        <f t="shared" si="28"/>
        <v>0</v>
      </c>
      <c r="K105" s="34">
        <f t="shared" si="21"/>
        <v>165940.54062019198</v>
      </c>
      <c r="L105" s="34">
        <f t="shared" si="22"/>
        <v>270270.27039999998</v>
      </c>
      <c r="M105" s="113">
        <v>0</v>
      </c>
      <c r="N105" s="113">
        <v>0</v>
      </c>
      <c r="O105" s="135"/>
      <c r="P105" s="400">
        <f t="shared" si="29"/>
        <v>781812.01</v>
      </c>
      <c r="Q105" s="400"/>
      <c r="R105" s="24">
        <f t="shared" si="30"/>
        <v>1.01</v>
      </c>
      <c r="S105" s="1">
        <f t="shared" si="24"/>
        <v>101</v>
      </c>
    </row>
    <row r="106" spans="1:21" ht="24.95" customHeight="1" x14ac:dyDescent="0.25">
      <c r="A106" s="304"/>
      <c r="B106" s="28">
        <f t="shared" si="26"/>
        <v>102</v>
      </c>
      <c r="C106" s="28" t="s">
        <v>113</v>
      </c>
      <c r="D106" s="125">
        <v>4.7999999999999996E-3</v>
      </c>
      <c r="E106" s="156">
        <v>713839.02</v>
      </c>
      <c r="F106" s="155">
        <v>714000</v>
      </c>
      <c r="G106" s="89">
        <f t="shared" si="17"/>
        <v>-160.97999999998137</v>
      </c>
      <c r="H106" s="33">
        <f t="shared" si="25"/>
        <v>0</v>
      </c>
      <c r="I106" s="34">
        <f t="shared" si="31"/>
        <v>345599.99999999994</v>
      </c>
      <c r="J106" s="34">
        <f t="shared" si="28"/>
        <v>0</v>
      </c>
      <c r="K106" s="34">
        <f t="shared" si="21"/>
        <v>165940.54062019198</v>
      </c>
      <c r="L106" s="34">
        <f t="shared" si="22"/>
        <v>270270.27039999998</v>
      </c>
      <c r="M106" s="113">
        <f t="shared" si="23"/>
        <v>0</v>
      </c>
      <c r="N106" s="113">
        <v>0</v>
      </c>
      <c r="O106" s="135"/>
      <c r="P106" s="400">
        <f t="shared" si="29"/>
        <v>781651.02</v>
      </c>
      <c r="Q106" s="400"/>
      <c r="R106" s="24">
        <f t="shared" si="30"/>
        <v>1.02</v>
      </c>
      <c r="S106" s="1">
        <f t="shared" si="24"/>
        <v>102</v>
      </c>
      <c r="T106" t="s">
        <v>295</v>
      </c>
    </row>
    <row r="107" spans="1:21" ht="24.95" customHeight="1" x14ac:dyDescent="0.25">
      <c r="A107" s="29"/>
      <c r="B107" s="28">
        <f t="shared" si="26"/>
        <v>103</v>
      </c>
      <c r="C107" s="28" t="s">
        <v>114</v>
      </c>
      <c r="D107" s="125">
        <v>4.7999999999999996E-3</v>
      </c>
      <c r="E107" s="156">
        <v>714244.03</v>
      </c>
      <c r="F107" s="155">
        <f>E107</f>
        <v>714244.03</v>
      </c>
      <c r="G107" s="89">
        <f t="shared" si="17"/>
        <v>0</v>
      </c>
      <c r="H107" s="33">
        <f t="shared" si="25"/>
        <v>0</v>
      </c>
      <c r="I107" s="34">
        <f t="shared" si="31"/>
        <v>345599.99999999994</v>
      </c>
      <c r="J107" s="34">
        <f t="shared" si="28"/>
        <v>0</v>
      </c>
      <c r="K107" s="34">
        <f t="shared" si="21"/>
        <v>165940.54062019198</v>
      </c>
      <c r="L107" s="34">
        <f t="shared" si="22"/>
        <v>270270.27039999998</v>
      </c>
      <c r="M107" s="113">
        <f t="shared" si="23"/>
        <v>0</v>
      </c>
      <c r="N107" s="113">
        <v>0</v>
      </c>
      <c r="O107" s="135"/>
      <c r="P107" s="400">
        <f t="shared" si="29"/>
        <v>781812.03</v>
      </c>
      <c r="Q107" s="400"/>
      <c r="R107" s="24">
        <f t="shared" si="30"/>
        <v>1.03</v>
      </c>
      <c r="S107" s="1">
        <f t="shared" si="24"/>
        <v>103</v>
      </c>
    </row>
    <row r="108" spans="1:21" ht="24.95" customHeight="1" x14ac:dyDescent="0.25">
      <c r="A108" s="29"/>
      <c r="B108" s="28">
        <f t="shared" si="26"/>
        <v>104</v>
      </c>
      <c r="C108" s="28" t="s">
        <v>115</v>
      </c>
      <c r="D108" s="125">
        <v>4.7000000000000002E-3</v>
      </c>
      <c r="E108" s="156">
        <v>707044.04</v>
      </c>
      <c r="F108" s="155">
        <f>E108</f>
        <v>707044.04</v>
      </c>
      <c r="G108" s="89">
        <f t="shared" si="17"/>
        <v>0</v>
      </c>
      <c r="H108" s="33">
        <f t="shared" si="25"/>
        <v>0</v>
      </c>
      <c r="I108" s="34">
        <f t="shared" si="31"/>
        <v>338400</v>
      </c>
      <c r="J108" s="34">
        <f t="shared" si="28"/>
        <v>0</v>
      </c>
      <c r="K108" s="34">
        <f t="shared" si="21"/>
        <v>165940.54062019198</v>
      </c>
      <c r="L108" s="34">
        <f t="shared" si="22"/>
        <v>270270.27039999998</v>
      </c>
      <c r="M108" s="113">
        <f t="shared" si="23"/>
        <v>0</v>
      </c>
      <c r="N108" s="113">
        <v>0</v>
      </c>
      <c r="O108" s="135"/>
      <c r="P108" s="400">
        <f t="shared" si="29"/>
        <v>774612.04</v>
      </c>
      <c r="Q108" s="400"/>
      <c r="R108" s="24">
        <f t="shared" si="30"/>
        <v>1.04</v>
      </c>
      <c r="S108" s="1">
        <f t="shared" si="24"/>
        <v>104</v>
      </c>
      <c r="T108" t="s">
        <v>355</v>
      </c>
    </row>
    <row r="109" spans="1:21" ht="24.95" customHeight="1" x14ac:dyDescent="0.25">
      <c r="A109" s="139"/>
      <c r="B109" s="28">
        <f t="shared" si="26"/>
        <v>105</v>
      </c>
      <c r="C109" s="28" t="s">
        <v>116</v>
      </c>
      <c r="D109" s="125">
        <v>4.1999999999999997E-3</v>
      </c>
      <c r="E109" s="156">
        <v>671044.05000000005</v>
      </c>
      <c r="F109" s="155">
        <f>E109</f>
        <v>671044.05000000005</v>
      </c>
      <c r="G109" s="90">
        <f t="shared" si="17"/>
        <v>0</v>
      </c>
      <c r="H109" s="126">
        <f t="shared" si="25"/>
        <v>0</v>
      </c>
      <c r="I109" s="113">
        <f t="shared" si="31"/>
        <v>302400</v>
      </c>
      <c r="J109" s="113">
        <f t="shared" si="28"/>
        <v>0</v>
      </c>
      <c r="K109" s="113">
        <f t="shared" si="21"/>
        <v>165940.54062019198</v>
      </c>
      <c r="L109" s="113">
        <f t="shared" si="22"/>
        <v>270270.27039999998</v>
      </c>
      <c r="M109" s="113">
        <f t="shared" si="23"/>
        <v>0</v>
      </c>
      <c r="N109" s="113">
        <v>0</v>
      </c>
      <c r="O109" s="134"/>
      <c r="P109" s="404">
        <f t="shared" si="29"/>
        <v>738612.05</v>
      </c>
      <c r="Q109" s="404"/>
      <c r="R109" s="127">
        <f t="shared" si="30"/>
        <v>1.05</v>
      </c>
      <c r="S109" s="88">
        <f t="shared" si="24"/>
        <v>105</v>
      </c>
      <c r="T109" s="344"/>
      <c r="U109" s="51"/>
    </row>
    <row r="110" spans="1:21" ht="24.95" customHeight="1" x14ac:dyDescent="0.25">
      <c r="A110" s="28"/>
      <c r="B110" s="28">
        <f t="shared" si="26"/>
        <v>106</v>
      </c>
      <c r="C110" s="28" t="s">
        <v>117</v>
      </c>
      <c r="D110" s="125">
        <v>4.4000000000000003E-3</v>
      </c>
      <c r="E110" s="156">
        <v>1462037.06</v>
      </c>
      <c r="F110" s="155">
        <f>368700+305000</f>
        <v>673700</v>
      </c>
      <c r="G110" s="90">
        <f t="shared" si="17"/>
        <v>788337.06</v>
      </c>
      <c r="H110" s="126">
        <f t="shared" si="25"/>
        <v>24335.965042200001</v>
      </c>
      <c r="I110" s="113">
        <f t="shared" si="31"/>
        <v>316800</v>
      </c>
      <c r="J110" s="113">
        <f t="shared" si="28"/>
        <v>0</v>
      </c>
      <c r="K110" s="113">
        <f t="shared" si="21"/>
        <v>165940.54062019198</v>
      </c>
      <c r="L110" s="113">
        <f t="shared" si="22"/>
        <v>270270.27039999998</v>
      </c>
      <c r="M110" s="113">
        <f t="shared" si="23"/>
        <v>0</v>
      </c>
      <c r="N110" s="113">
        <v>0</v>
      </c>
      <c r="O110" s="134">
        <f>1552*100</f>
        <v>155200</v>
      </c>
      <c r="P110" s="404">
        <f t="shared" si="29"/>
        <v>1720885.06</v>
      </c>
      <c r="Q110" s="404"/>
      <c r="R110" s="127">
        <f t="shared" si="30"/>
        <v>1.06</v>
      </c>
      <c r="S110" s="88">
        <f t="shared" si="24"/>
        <v>106</v>
      </c>
      <c r="T110" t="s">
        <v>471</v>
      </c>
    </row>
    <row r="111" spans="1:21" ht="24.95" customHeight="1" x14ac:dyDescent="0.25">
      <c r="A111" s="29"/>
      <c r="B111" s="28">
        <f t="shared" si="26"/>
        <v>107</v>
      </c>
      <c r="C111" s="28" t="s">
        <v>118</v>
      </c>
      <c r="D111" s="125">
        <v>4.4000000000000003E-3</v>
      </c>
      <c r="E111" s="156">
        <v>671645.07</v>
      </c>
      <c r="F111" s="155">
        <f>E111</f>
        <v>671645.07</v>
      </c>
      <c r="G111" s="89">
        <f t="shared" si="17"/>
        <v>0</v>
      </c>
      <c r="H111" s="33">
        <f t="shared" si="25"/>
        <v>0</v>
      </c>
      <c r="I111" s="34">
        <f t="shared" si="31"/>
        <v>316800</v>
      </c>
      <c r="J111" s="34">
        <f t="shared" si="28"/>
        <v>0</v>
      </c>
      <c r="K111" s="34">
        <f t="shared" si="21"/>
        <v>165940.54062019198</v>
      </c>
      <c r="L111" s="34">
        <f t="shared" si="22"/>
        <v>270270.27039999998</v>
      </c>
      <c r="M111" s="113">
        <f t="shared" si="23"/>
        <v>0</v>
      </c>
      <c r="N111" s="113">
        <v>0</v>
      </c>
      <c r="O111" s="135"/>
      <c r="P111" s="400">
        <f t="shared" si="29"/>
        <v>753012.07</v>
      </c>
      <c r="Q111" s="400"/>
      <c r="R111" s="24">
        <f t="shared" si="30"/>
        <v>1.07</v>
      </c>
      <c r="S111" s="1">
        <f t="shared" si="24"/>
        <v>107</v>
      </c>
      <c r="T111" t="s">
        <v>261</v>
      </c>
    </row>
    <row r="112" spans="1:21" ht="24.95" customHeight="1" x14ac:dyDescent="0.25">
      <c r="A112" s="29"/>
      <c r="B112" s="28">
        <f t="shared" si="26"/>
        <v>108</v>
      </c>
      <c r="C112" s="28" t="s">
        <v>119</v>
      </c>
      <c r="D112" s="125">
        <v>4.4000000000000003E-3</v>
      </c>
      <c r="E112" s="156">
        <v>685444.08</v>
      </c>
      <c r="F112" s="155">
        <f>E112</f>
        <v>685444.08</v>
      </c>
      <c r="G112" s="89">
        <f t="shared" si="17"/>
        <v>0</v>
      </c>
      <c r="H112" s="33">
        <f t="shared" si="25"/>
        <v>0</v>
      </c>
      <c r="I112" s="34">
        <f t="shared" si="31"/>
        <v>316800</v>
      </c>
      <c r="J112" s="34">
        <f t="shared" si="28"/>
        <v>0</v>
      </c>
      <c r="K112" s="34">
        <f t="shared" si="21"/>
        <v>165940.54062019198</v>
      </c>
      <c r="L112" s="34">
        <f t="shared" si="22"/>
        <v>270270.27039999998</v>
      </c>
      <c r="M112" s="113">
        <f t="shared" si="23"/>
        <v>0</v>
      </c>
      <c r="N112" s="113">
        <v>0</v>
      </c>
      <c r="O112" s="135"/>
      <c r="P112" s="400">
        <f t="shared" si="29"/>
        <v>753012.08</v>
      </c>
      <c r="Q112" s="400"/>
      <c r="R112" s="24">
        <f t="shared" si="30"/>
        <v>1.08</v>
      </c>
      <c r="S112" s="1">
        <f t="shared" si="24"/>
        <v>108</v>
      </c>
    </row>
    <row r="113" spans="1:24" ht="24.95" customHeight="1" x14ac:dyDescent="0.25">
      <c r="A113" s="28"/>
      <c r="B113" s="28">
        <f t="shared" si="26"/>
        <v>109</v>
      </c>
      <c r="C113" s="28" t="s">
        <v>120</v>
      </c>
      <c r="D113" s="125">
        <v>4.4999999999999997E-3</v>
      </c>
      <c r="E113" s="156">
        <v>1280580.0900000001</v>
      </c>
      <c r="F113" s="155">
        <v>650000</v>
      </c>
      <c r="G113" s="89">
        <f t="shared" si="17"/>
        <v>630580.09000000008</v>
      </c>
      <c r="H113" s="33">
        <f t="shared" si="25"/>
        <v>19466.007378300004</v>
      </c>
      <c r="I113" s="34">
        <f t="shared" si="31"/>
        <v>324000</v>
      </c>
      <c r="J113" s="34">
        <f t="shared" si="28"/>
        <v>0</v>
      </c>
      <c r="K113" s="34">
        <f t="shared" si="21"/>
        <v>165940.54062019198</v>
      </c>
      <c r="L113" s="34">
        <f t="shared" si="22"/>
        <v>270270.27039999998</v>
      </c>
      <c r="M113" s="113">
        <f t="shared" si="23"/>
        <v>0</v>
      </c>
      <c r="N113" s="113">
        <v>0</v>
      </c>
      <c r="O113" s="135"/>
      <c r="P113" s="400">
        <f t="shared" si="29"/>
        <v>1410258.09</v>
      </c>
      <c r="Q113" s="400"/>
      <c r="R113" s="24">
        <f t="shared" si="30"/>
        <v>1.0900000000000001</v>
      </c>
      <c r="S113" s="1">
        <f t="shared" si="24"/>
        <v>109</v>
      </c>
      <c r="T113" t="s">
        <v>257</v>
      </c>
    </row>
    <row r="114" spans="1:24" ht="24.95" customHeight="1" x14ac:dyDescent="0.25">
      <c r="A114" s="29"/>
      <c r="B114" s="28">
        <f t="shared" si="26"/>
        <v>110</v>
      </c>
      <c r="C114" s="28" t="s">
        <v>121</v>
      </c>
      <c r="D114" s="125">
        <v>4.5999999999999999E-3</v>
      </c>
      <c r="E114" s="156">
        <v>1399939.1</v>
      </c>
      <c r="F114" s="155">
        <v>680000</v>
      </c>
      <c r="G114" s="89">
        <f t="shared" si="17"/>
        <v>719939.10000000009</v>
      </c>
      <c r="H114" s="33">
        <f t="shared" si="25"/>
        <v>22224.520017000003</v>
      </c>
      <c r="I114" s="34">
        <f t="shared" si="31"/>
        <v>331200</v>
      </c>
      <c r="J114" s="34">
        <f t="shared" si="28"/>
        <v>0</v>
      </c>
      <c r="K114" s="34">
        <f t="shared" si="21"/>
        <v>165940.54062019198</v>
      </c>
      <c r="L114" s="34">
        <f t="shared" si="22"/>
        <v>270270.27039999998</v>
      </c>
      <c r="M114" s="113">
        <f t="shared" si="23"/>
        <v>0</v>
      </c>
      <c r="N114" s="113">
        <v>0</v>
      </c>
      <c r="O114" s="135"/>
      <c r="P114" s="400">
        <f t="shared" si="29"/>
        <v>1509575.1</v>
      </c>
      <c r="Q114" s="400"/>
      <c r="R114" s="24">
        <f t="shared" si="30"/>
        <v>1.1000000000000001</v>
      </c>
      <c r="S114" s="1">
        <f t="shared" si="24"/>
        <v>110</v>
      </c>
      <c r="T114" t="s">
        <v>265</v>
      </c>
      <c r="X114" s="56"/>
    </row>
    <row r="115" spans="1:24" ht="24.95" customHeight="1" x14ac:dyDescent="0.25">
      <c r="A115" s="28"/>
      <c r="B115" s="28">
        <f t="shared" si="26"/>
        <v>111</v>
      </c>
      <c r="C115" s="28" t="s">
        <v>122</v>
      </c>
      <c r="D115" s="125">
        <v>4.4999999999999997E-3</v>
      </c>
      <c r="E115" s="156">
        <v>692644.11</v>
      </c>
      <c r="F115" s="155">
        <f>E115</f>
        <v>692644.11</v>
      </c>
      <c r="G115" s="89">
        <f t="shared" si="17"/>
        <v>0</v>
      </c>
      <c r="H115" s="33">
        <f t="shared" si="25"/>
        <v>0</v>
      </c>
      <c r="I115" s="34">
        <f t="shared" si="31"/>
        <v>324000</v>
      </c>
      <c r="J115" s="34">
        <f t="shared" si="28"/>
        <v>0</v>
      </c>
      <c r="K115" s="34">
        <f t="shared" si="21"/>
        <v>165940.54062019198</v>
      </c>
      <c r="L115" s="34">
        <f t="shared" si="22"/>
        <v>270270.27039999998</v>
      </c>
      <c r="M115" s="113">
        <f t="shared" si="23"/>
        <v>0</v>
      </c>
      <c r="N115" s="113">
        <v>0</v>
      </c>
      <c r="O115" s="135"/>
      <c r="P115" s="400">
        <f t="shared" si="29"/>
        <v>760212.11</v>
      </c>
      <c r="Q115" s="400"/>
      <c r="R115" s="24">
        <f t="shared" si="30"/>
        <v>1.1100000000000001</v>
      </c>
      <c r="S115" s="1">
        <f t="shared" si="24"/>
        <v>111</v>
      </c>
    </row>
    <row r="116" spans="1:24" ht="24.95" customHeight="1" x14ac:dyDescent="0.25">
      <c r="A116" s="254"/>
      <c r="B116" s="28">
        <f t="shared" si="26"/>
        <v>112</v>
      </c>
      <c r="C116" s="28" t="s">
        <v>123</v>
      </c>
      <c r="D116" s="125">
        <v>4.4999999999999997E-3</v>
      </c>
      <c r="E116" s="156">
        <v>692608.12</v>
      </c>
      <c r="F116" s="155">
        <f>540000+63000</f>
        <v>603000</v>
      </c>
      <c r="G116" s="89">
        <f t="shared" si="17"/>
        <v>89608.12</v>
      </c>
      <c r="H116" s="33">
        <f t="shared" si="25"/>
        <v>2766.2026643999998</v>
      </c>
      <c r="I116" s="34">
        <f t="shared" si="31"/>
        <v>324000</v>
      </c>
      <c r="J116" s="34">
        <f t="shared" si="28"/>
        <v>0</v>
      </c>
      <c r="K116" s="34">
        <f t="shared" si="21"/>
        <v>165940.54062019198</v>
      </c>
      <c r="L116" s="34">
        <f t="shared" si="22"/>
        <v>270270.27039999998</v>
      </c>
      <c r="M116" s="113">
        <f t="shared" si="23"/>
        <v>0</v>
      </c>
      <c r="N116" s="113">
        <v>0</v>
      </c>
      <c r="O116" s="135"/>
      <c r="P116" s="400">
        <f t="shared" si="29"/>
        <v>852586.12</v>
      </c>
      <c r="Q116" s="400"/>
      <c r="R116" s="24">
        <f t="shared" si="30"/>
        <v>1.1200000000000001</v>
      </c>
      <c r="S116" s="1">
        <f t="shared" si="24"/>
        <v>112</v>
      </c>
      <c r="T116" t="s">
        <v>208</v>
      </c>
    </row>
    <row r="117" spans="1:24" ht="24.95" customHeight="1" x14ac:dyDescent="0.25">
      <c r="A117" s="29"/>
      <c r="B117" s="28">
        <f t="shared" si="26"/>
        <v>113</v>
      </c>
      <c r="C117" s="28" t="s">
        <v>124</v>
      </c>
      <c r="D117" s="125">
        <v>4.7000000000000002E-3</v>
      </c>
      <c r="E117" s="156">
        <v>707044.13</v>
      </c>
      <c r="F117" s="155">
        <f>E117</f>
        <v>707044.13</v>
      </c>
      <c r="G117" s="89">
        <f t="shared" si="17"/>
        <v>0</v>
      </c>
      <c r="H117" s="33">
        <f t="shared" si="25"/>
        <v>0</v>
      </c>
      <c r="I117" s="34">
        <f t="shared" si="31"/>
        <v>338400</v>
      </c>
      <c r="J117" s="34">
        <f t="shared" si="28"/>
        <v>0</v>
      </c>
      <c r="K117" s="34">
        <f t="shared" si="21"/>
        <v>165940.54062019198</v>
      </c>
      <c r="L117" s="34">
        <f t="shared" si="22"/>
        <v>270270.27039999998</v>
      </c>
      <c r="M117" s="113">
        <f t="shared" si="23"/>
        <v>0</v>
      </c>
      <c r="N117" s="113">
        <v>0</v>
      </c>
      <c r="O117" s="135"/>
      <c r="P117" s="400">
        <f t="shared" si="29"/>
        <v>774612.13</v>
      </c>
      <c r="Q117" s="400"/>
      <c r="R117" s="24">
        <f t="shared" si="30"/>
        <v>1.1299999999999999</v>
      </c>
      <c r="S117" s="1">
        <f t="shared" si="24"/>
        <v>113</v>
      </c>
    </row>
    <row r="118" spans="1:24" ht="24.95" customHeight="1" x14ac:dyDescent="0.25">
      <c r="A118" s="29"/>
      <c r="B118" s="28">
        <f t="shared" si="26"/>
        <v>114</v>
      </c>
      <c r="C118" s="28" t="s">
        <v>125</v>
      </c>
      <c r="D118" s="125">
        <v>4.4999999999999997E-3</v>
      </c>
      <c r="E118" s="156">
        <v>692644.14</v>
      </c>
      <c r="F118" s="155">
        <f>E118</f>
        <v>692644.14</v>
      </c>
      <c r="G118" s="89">
        <f t="shared" si="17"/>
        <v>0</v>
      </c>
      <c r="H118" s="33">
        <f t="shared" si="25"/>
        <v>0</v>
      </c>
      <c r="I118" s="34">
        <f t="shared" si="31"/>
        <v>324000</v>
      </c>
      <c r="J118" s="34">
        <f t="shared" si="28"/>
        <v>0</v>
      </c>
      <c r="K118" s="34">
        <f t="shared" si="21"/>
        <v>165940.54062019198</v>
      </c>
      <c r="L118" s="34">
        <f t="shared" si="22"/>
        <v>270270.27039999998</v>
      </c>
      <c r="M118" s="113">
        <f t="shared" si="23"/>
        <v>0</v>
      </c>
      <c r="N118" s="113">
        <v>0</v>
      </c>
      <c r="O118" s="135"/>
      <c r="P118" s="400">
        <f t="shared" si="29"/>
        <v>760212.14</v>
      </c>
      <c r="Q118" s="400"/>
      <c r="R118" s="24">
        <f t="shared" si="30"/>
        <v>1.1399999999999999</v>
      </c>
      <c r="S118" s="1">
        <f t="shared" si="24"/>
        <v>114</v>
      </c>
    </row>
    <row r="119" spans="1:24" ht="24.95" customHeight="1" x14ac:dyDescent="0.25">
      <c r="A119" s="143"/>
      <c r="B119" s="28">
        <f t="shared" si="26"/>
        <v>115</v>
      </c>
      <c r="C119" s="28" t="s">
        <v>126</v>
      </c>
      <c r="D119" s="125">
        <v>6.4000000000000003E-3</v>
      </c>
      <c r="E119" s="156">
        <v>1659658.15</v>
      </c>
      <c r="F119" s="155">
        <f>806000+829000+24658</f>
        <v>1659658</v>
      </c>
      <c r="G119" s="89">
        <f t="shared" si="17"/>
        <v>0.14999999990686774</v>
      </c>
      <c r="H119" s="33">
        <f t="shared" si="25"/>
        <v>4.6304999971250073E-3</v>
      </c>
      <c r="I119" s="34">
        <f t="shared" si="31"/>
        <v>460800</v>
      </c>
      <c r="J119" s="34">
        <f t="shared" si="28"/>
        <v>0</v>
      </c>
      <c r="K119" s="34">
        <f t="shared" si="21"/>
        <v>165940.54062019198</v>
      </c>
      <c r="L119" s="34">
        <f t="shared" si="22"/>
        <v>270270.27039999998</v>
      </c>
      <c r="M119" s="113">
        <f t="shared" si="23"/>
        <v>0</v>
      </c>
      <c r="N119" s="113">
        <v>0</v>
      </c>
      <c r="O119" s="135"/>
      <c r="P119" s="400">
        <f t="shared" si="29"/>
        <v>897012.15</v>
      </c>
      <c r="Q119" s="400"/>
      <c r="R119" s="24">
        <f t="shared" si="30"/>
        <v>1.1499999999999999</v>
      </c>
      <c r="S119" s="1">
        <f t="shared" si="24"/>
        <v>115</v>
      </c>
      <c r="T119" t="s">
        <v>475</v>
      </c>
    </row>
    <row r="120" spans="1:24" ht="24.95" customHeight="1" x14ac:dyDescent="0.25">
      <c r="A120" s="29"/>
      <c r="B120" s="28">
        <f t="shared" si="26"/>
        <v>116</v>
      </c>
      <c r="C120" s="28" t="s">
        <v>127</v>
      </c>
      <c r="D120" s="125">
        <v>5.7999999999999996E-3</v>
      </c>
      <c r="E120" s="156">
        <v>786244.16</v>
      </c>
      <c r="F120" s="155"/>
      <c r="G120" s="89">
        <f t="shared" si="17"/>
        <v>786244.16</v>
      </c>
      <c r="H120" s="33">
        <f t="shared" si="25"/>
        <v>24271.357219200003</v>
      </c>
      <c r="I120" s="34">
        <f t="shared" si="31"/>
        <v>417600</v>
      </c>
      <c r="J120" s="34">
        <f t="shared" si="28"/>
        <v>0</v>
      </c>
      <c r="K120" s="34">
        <f t="shared" si="21"/>
        <v>165940.54062019198</v>
      </c>
      <c r="L120" s="34">
        <f t="shared" si="22"/>
        <v>270270.27039999998</v>
      </c>
      <c r="M120" s="113">
        <f t="shared" si="23"/>
        <v>0</v>
      </c>
      <c r="N120" s="113">
        <v>0</v>
      </c>
      <c r="O120" s="135"/>
      <c r="P120" s="400">
        <f t="shared" si="29"/>
        <v>1664327.16</v>
      </c>
      <c r="Q120" s="400"/>
      <c r="R120" s="24">
        <f t="shared" si="30"/>
        <v>1.1599999999999999</v>
      </c>
      <c r="S120" s="1">
        <f t="shared" si="24"/>
        <v>116</v>
      </c>
    </row>
    <row r="121" spans="1:24" ht="24.95" customHeight="1" x14ac:dyDescent="0.25">
      <c r="A121" s="29"/>
      <c r="B121" s="28">
        <f t="shared" si="26"/>
        <v>117</v>
      </c>
      <c r="C121" s="28" t="s">
        <v>128</v>
      </c>
      <c r="D121" s="125">
        <v>6.1000000000000004E-3</v>
      </c>
      <c r="E121" s="156">
        <v>807844.17</v>
      </c>
      <c r="F121" s="155">
        <f>E121</f>
        <v>807844.17</v>
      </c>
      <c r="G121" s="89">
        <f t="shared" si="17"/>
        <v>0</v>
      </c>
      <c r="H121" s="33">
        <f t="shared" si="25"/>
        <v>0</v>
      </c>
      <c r="I121" s="34">
        <f t="shared" si="31"/>
        <v>439200</v>
      </c>
      <c r="J121" s="34">
        <f t="shared" si="28"/>
        <v>0</v>
      </c>
      <c r="K121" s="34">
        <f t="shared" si="21"/>
        <v>165940.54062019198</v>
      </c>
      <c r="L121" s="34">
        <f t="shared" si="22"/>
        <v>270270.27039999998</v>
      </c>
      <c r="M121" s="113">
        <f t="shared" si="23"/>
        <v>0</v>
      </c>
      <c r="N121" s="113">
        <v>0</v>
      </c>
      <c r="O121" s="135"/>
      <c r="P121" s="400">
        <f t="shared" si="29"/>
        <v>875412.17</v>
      </c>
      <c r="Q121" s="400"/>
      <c r="R121" s="24">
        <f t="shared" si="30"/>
        <v>1.17</v>
      </c>
      <c r="S121" s="1">
        <f t="shared" si="24"/>
        <v>117</v>
      </c>
      <c r="T121" t="s">
        <v>296</v>
      </c>
    </row>
    <row r="122" spans="1:24" ht="24.95" customHeight="1" x14ac:dyDescent="0.25">
      <c r="A122" s="29"/>
      <c r="B122" s="28">
        <f t="shared" si="26"/>
        <v>118</v>
      </c>
      <c r="C122" s="28" t="s">
        <v>129</v>
      </c>
      <c r="D122" s="125">
        <v>5.7999999999999996E-3</v>
      </c>
      <c r="E122" s="156">
        <v>-624141.81999999995</v>
      </c>
      <c r="F122" s="155"/>
      <c r="G122" s="89">
        <f t="shared" si="17"/>
        <v>-624141.81999999995</v>
      </c>
      <c r="H122" s="33">
        <f t="shared" si="25"/>
        <v>0</v>
      </c>
      <c r="I122" s="34">
        <f t="shared" si="31"/>
        <v>417600</v>
      </c>
      <c r="J122" s="34">
        <f t="shared" si="28"/>
        <v>0</v>
      </c>
      <c r="K122" s="34">
        <f t="shared" si="21"/>
        <v>165940.54062019198</v>
      </c>
      <c r="L122" s="34">
        <f t="shared" si="22"/>
        <v>270270.27039999998</v>
      </c>
      <c r="M122" s="113">
        <f t="shared" si="23"/>
        <v>0</v>
      </c>
      <c r="N122" s="113">
        <v>0</v>
      </c>
      <c r="O122" s="135"/>
      <c r="P122" s="400">
        <f t="shared" si="29"/>
        <v>229670.18</v>
      </c>
      <c r="Q122" s="400"/>
      <c r="R122" s="24">
        <f t="shared" si="30"/>
        <v>1.18</v>
      </c>
      <c r="S122" s="1">
        <f t="shared" si="24"/>
        <v>118</v>
      </c>
      <c r="T122" t="s">
        <v>309</v>
      </c>
    </row>
    <row r="123" spans="1:24" ht="24.95" customHeight="1" x14ac:dyDescent="0.25">
      <c r="A123" s="29"/>
      <c r="B123" s="28">
        <f t="shared" si="26"/>
        <v>119</v>
      </c>
      <c r="C123" s="28" t="s">
        <v>130</v>
      </c>
      <c r="D123" s="125">
        <v>5.4000000000000003E-3</v>
      </c>
      <c r="E123" s="156">
        <v>757444.19</v>
      </c>
      <c r="F123" s="155">
        <v>757500</v>
      </c>
      <c r="G123" s="89">
        <f t="shared" si="17"/>
        <v>-55.810000000055879</v>
      </c>
      <c r="H123" s="33">
        <f t="shared" si="25"/>
        <v>0</v>
      </c>
      <c r="I123" s="34">
        <f t="shared" si="31"/>
        <v>388800</v>
      </c>
      <c r="J123" s="34">
        <f t="shared" si="28"/>
        <v>0</v>
      </c>
      <c r="K123" s="34">
        <f t="shared" si="21"/>
        <v>165940.54062019198</v>
      </c>
      <c r="L123" s="34">
        <f t="shared" si="22"/>
        <v>270270.27039999998</v>
      </c>
      <c r="M123" s="113">
        <f t="shared" si="23"/>
        <v>0</v>
      </c>
      <c r="N123" s="113">
        <v>0</v>
      </c>
      <c r="O123" s="135"/>
      <c r="P123" s="400">
        <f t="shared" si="29"/>
        <v>824956.19</v>
      </c>
      <c r="Q123" s="400"/>
      <c r="R123" s="24">
        <f t="shared" si="30"/>
        <v>1.19</v>
      </c>
      <c r="S123" s="1">
        <f t="shared" si="24"/>
        <v>119</v>
      </c>
      <c r="T123" t="s">
        <v>213</v>
      </c>
    </row>
    <row r="124" spans="1:24" ht="24.95" customHeight="1" x14ac:dyDescent="0.25">
      <c r="A124" s="29"/>
      <c r="B124" s="28">
        <f t="shared" si="26"/>
        <v>120</v>
      </c>
      <c r="C124" s="28" t="s">
        <v>129</v>
      </c>
      <c r="D124" s="125">
        <v>4.5999999999999999E-3</v>
      </c>
      <c r="E124" s="156">
        <v>699844.2</v>
      </c>
      <c r="F124" s="155"/>
      <c r="G124" s="89">
        <f t="shared" si="17"/>
        <v>699844.2</v>
      </c>
      <c r="H124" s="33">
        <f t="shared" si="25"/>
        <v>21604.190454</v>
      </c>
      <c r="I124" s="34">
        <f t="shared" si="31"/>
        <v>331200</v>
      </c>
      <c r="J124" s="34">
        <f t="shared" si="28"/>
        <v>0</v>
      </c>
      <c r="K124" s="34">
        <f t="shared" si="21"/>
        <v>165940.54062019198</v>
      </c>
      <c r="L124" s="34">
        <f t="shared" si="22"/>
        <v>270270.27039999998</v>
      </c>
      <c r="M124" s="113">
        <f t="shared" si="23"/>
        <v>0</v>
      </c>
      <c r="N124" s="113">
        <v>0</v>
      </c>
      <c r="O124" s="135"/>
      <c r="P124" s="400">
        <f t="shared" si="29"/>
        <v>1488860.2</v>
      </c>
      <c r="Q124" s="400"/>
      <c r="R124" s="24">
        <f t="shared" si="30"/>
        <v>1.2</v>
      </c>
      <c r="S124" s="1">
        <f t="shared" si="24"/>
        <v>120</v>
      </c>
      <c r="T124" t="s">
        <v>309</v>
      </c>
    </row>
    <row r="125" spans="1:24" ht="24.95" customHeight="1" x14ac:dyDescent="0.25">
      <c r="A125" s="29"/>
      <c r="B125" s="28">
        <f t="shared" si="26"/>
        <v>121</v>
      </c>
      <c r="C125" s="28" t="s">
        <v>129</v>
      </c>
      <c r="D125" s="125">
        <v>4.5999999999999999E-3</v>
      </c>
      <c r="E125" s="156">
        <v>699844.21</v>
      </c>
      <c r="F125" s="155"/>
      <c r="G125" s="89">
        <f t="shared" si="17"/>
        <v>699844.21</v>
      </c>
      <c r="H125" s="33">
        <f t="shared" si="25"/>
        <v>21604.1907627</v>
      </c>
      <c r="I125" s="34">
        <f t="shared" si="31"/>
        <v>331200</v>
      </c>
      <c r="J125" s="34">
        <f t="shared" si="28"/>
        <v>0</v>
      </c>
      <c r="K125" s="34">
        <f t="shared" si="21"/>
        <v>165940.54062019198</v>
      </c>
      <c r="L125" s="34">
        <f t="shared" si="22"/>
        <v>270270.27039999998</v>
      </c>
      <c r="M125" s="113">
        <f t="shared" si="23"/>
        <v>0</v>
      </c>
      <c r="N125" s="113">
        <v>0</v>
      </c>
      <c r="O125" s="135"/>
      <c r="P125" s="400">
        <f t="shared" si="29"/>
        <v>1488860.21</v>
      </c>
      <c r="Q125" s="400"/>
      <c r="R125" s="24">
        <f t="shared" si="30"/>
        <v>1.21</v>
      </c>
      <c r="S125" s="1">
        <f t="shared" si="24"/>
        <v>121</v>
      </c>
      <c r="T125" t="s">
        <v>309</v>
      </c>
    </row>
    <row r="126" spans="1:24" ht="24.95" customHeight="1" x14ac:dyDescent="0.25">
      <c r="A126" s="29"/>
      <c r="B126" s="28">
        <f t="shared" si="26"/>
        <v>122</v>
      </c>
      <c r="C126" s="28" t="s">
        <v>131</v>
      </c>
      <c r="D126" s="125">
        <v>4.5999999999999999E-3</v>
      </c>
      <c r="E126" s="156">
        <v>1646523.22</v>
      </c>
      <c r="F126" s="155">
        <f>829890.22+829890.22</f>
        <v>1659780.44</v>
      </c>
      <c r="G126" s="89">
        <f t="shared" si="17"/>
        <v>-13257.219999999972</v>
      </c>
      <c r="H126" s="33">
        <f t="shared" si="25"/>
        <v>0</v>
      </c>
      <c r="I126" s="34">
        <f t="shared" si="31"/>
        <v>331200</v>
      </c>
      <c r="J126" s="34">
        <f t="shared" si="28"/>
        <v>0</v>
      </c>
      <c r="K126" s="34">
        <f t="shared" si="21"/>
        <v>165940.54062019198</v>
      </c>
      <c r="L126" s="34">
        <f t="shared" si="22"/>
        <v>270270.27039999998</v>
      </c>
      <c r="M126" s="113">
        <f t="shared" si="23"/>
        <v>0</v>
      </c>
      <c r="N126" s="113">
        <v>0</v>
      </c>
      <c r="O126" s="113"/>
      <c r="P126" s="400">
        <f t="shared" si="29"/>
        <v>754155.22</v>
      </c>
      <c r="Q126" s="400"/>
      <c r="R126" s="24">
        <f t="shared" si="30"/>
        <v>1.22</v>
      </c>
      <c r="S126" s="1">
        <f t="shared" si="24"/>
        <v>122</v>
      </c>
    </row>
    <row r="127" spans="1:24" ht="24.95" customHeight="1" x14ac:dyDescent="0.25">
      <c r="A127" s="29"/>
      <c r="B127" s="28">
        <f t="shared" si="26"/>
        <v>123</v>
      </c>
      <c r="C127" s="28" t="s">
        <v>132</v>
      </c>
      <c r="D127" s="125">
        <v>4.5999999999999999E-3</v>
      </c>
      <c r="E127" s="156">
        <v>699844.23</v>
      </c>
      <c r="F127" s="155">
        <f t="shared" ref="F127:F129" si="32">E127</f>
        <v>699844.23</v>
      </c>
      <c r="G127" s="89">
        <f t="shared" si="17"/>
        <v>0</v>
      </c>
      <c r="H127" s="33">
        <f t="shared" si="25"/>
        <v>0</v>
      </c>
      <c r="I127" s="34">
        <f t="shared" si="31"/>
        <v>331200</v>
      </c>
      <c r="J127" s="34">
        <f t="shared" si="28"/>
        <v>0</v>
      </c>
      <c r="K127" s="34">
        <f t="shared" si="21"/>
        <v>165940.54062019198</v>
      </c>
      <c r="L127" s="34">
        <f t="shared" si="22"/>
        <v>270270.27039999998</v>
      </c>
      <c r="M127" s="113">
        <f t="shared" si="23"/>
        <v>0</v>
      </c>
      <c r="N127" s="113">
        <v>0</v>
      </c>
      <c r="O127" s="135"/>
      <c r="P127" s="400">
        <f t="shared" si="29"/>
        <v>767412.23</v>
      </c>
      <c r="Q127" s="400"/>
      <c r="R127" s="24">
        <f t="shared" si="30"/>
        <v>1.23</v>
      </c>
      <c r="S127" s="1">
        <f t="shared" si="24"/>
        <v>123</v>
      </c>
      <c r="T127" t="s">
        <v>297</v>
      </c>
    </row>
    <row r="128" spans="1:24" ht="24.95" customHeight="1" x14ac:dyDescent="0.25">
      <c r="A128" s="28"/>
      <c r="B128" s="28">
        <f t="shared" si="26"/>
        <v>124</v>
      </c>
      <c r="C128" s="28" t="s">
        <v>133</v>
      </c>
      <c r="D128" s="125">
        <v>4.5999999999999999E-3</v>
      </c>
      <c r="E128" s="156">
        <v>699844.24</v>
      </c>
      <c r="F128" s="155">
        <v>665353.24</v>
      </c>
      <c r="G128" s="89">
        <f t="shared" si="17"/>
        <v>34491</v>
      </c>
      <c r="H128" s="33">
        <f t="shared" si="25"/>
        <v>1064.7371700000001</v>
      </c>
      <c r="I128" s="34">
        <f t="shared" si="31"/>
        <v>331200</v>
      </c>
      <c r="J128" s="34">
        <f t="shared" si="28"/>
        <v>0</v>
      </c>
      <c r="K128" s="34">
        <f t="shared" si="21"/>
        <v>165940.54062019198</v>
      </c>
      <c r="L128" s="34">
        <f t="shared" si="22"/>
        <v>270270.27039999998</v>
      </c>
      <c r="M128" s="113">
        <f t="shared" si="23"/>
        <v>0</v>
      </c>
      <c r="N128" s="113">
        <v>0</v>
      </c>
      <c r="O128" s="135"/>
      <c r="P128" s="400">
        <f t="shared" si="29"/>
        <v>802968.24</v>
      </c>
      <c r="Q128" s="400"/>
      <c r="R128" s="24">
        <f t="shared" si="30"/>
        <v>1.24</v>
      </c>
      <c r="S128" s="1">
        <f t="shared" si="24"/>
        <v>124</v>
      </c>
    </row>
    <row r="129" spans="1:20" ht="24.95" customHeight="1" x14ac:dyDescent="0.25">
      <c r="A129" s="28"/>
      <c r="B129" s="28">
        <f t="shared" si="26"/>
        <v>125</v>
      </c>
      <c r="C129" s="28" t="s">
        <v>134</v>
      </c>
      <c r="D129" s="125">
        <v>4.5999999999999999E-3</v>
      </c>
      <c r="E129" s="156">
        <v>699844.25</v>
      </c>
      <c r="F129" s="155">
        <f t="shared" si="32"/>
        <v>699844.25</v>
      </c>
      <c r="G129" s="89">
        <f t="shared" si="17"/>
        <v>0</v>
      </c>
      <c r="H129" s="33">
        <f t="shared" si="25"/>
        <v>0</v>
      </c>
      <c r="I129" s="34">
        <f t="shared" si="31"/>
        <v>331200</v>
      </c>
      <c r="J129" s="34">
        <f t="shared" si="28"/>
        <v>0</v>
      </c>
      <c r="K129" s="34">
        <f t="shared" si="21"/>
        <v>165940.54062019198</v>
      </c>
      <c r="L129" s="34">
        <f t="shared" si="22"/>
        <v>270270.27039999998</v>
      </c>
      <c r="M129" s="113">
        <f t="shared" si="23"/>
        <v>0</v>
      </c>
      <c r="N129" s="113">
        <v>0</v>
      </c>
      <c r="O129" s="135"/>
      <c r="P129" s="400">
        <f t="shared" si="29"/>
        <v>767412.25</v>
      </c>
      <c r="Q129" s="400"/>
      <c r="R129" s="24">
        <f t="shared" si="30"/>
        <v>1.25</v>
      </c>
      <c r="S129" s="1">
        <f t="shared" si="24"/>
        <v>125</v>
      </c>
      <c r="T129" t="s">
        <v>269</v>
      </c>
    </row>
    <row r="130" spans="1:20" ht="24.95" customHeight="1" x14ac:dyDescent="0.25">
      <c r="A130" s="28"/>
      <c r="B130" s="28">
        <f t="shared" si="26"/>
        <v>126</v>
      </c>
      <c r="C130" s="28" t="s">
        <v>135</v>
      </c>
      <c r="D130" s="125">
        <v>4.5999999999999999E-3</v>
      </c>
      <c r="E130" s="156">
        <v>699844.26</v>
      </c>
      <c r="F130" s="155"/>
      <c r="G130" s="89">
        <f t="shared" si="17"/>
        <v>699844.26</v>
      </c>
      <c r="H130" s="33">
        <f t="shared" si="25"/>
        <v>21604.192306200002</v>
      </c>
      <c r="I130" s="34">
        <f t="shared" si="31"/>
        <v>331200</v>
      </c>
      <c r="J130" s="34">
        <f t="shared" si="28"/>
        <v>0</v>
      </c>
      <c r="K130" s="34">
        <f t="shared" si="21"/>
        <v>165940.54062019198</v>
      </c>
      <c r="L130" s="34">
        <f t="shared" si="22"/>
        <v>270270.27039999998</v>
      </c>
      <c r="M130" s="113">
        <f t="shared" si="23"/>
        <v>0</v>
      </c>
      <c r="N130" s="113">
        <v>0</v>
      </c>
      <c r="O130" s="135"/>
      <c r="P130" s="400">
        <f t="shared" si="29"/>
        <v>1488860.26</v>
      </c>
      <c r="Q130" s="400"/>
      <c r="R130" s="24">
        <f t="shared" si="30"/>
        <v>1.26</v>
      </c>
      <c r="S130" s="1">
        <f t="shared" si="24"/>
        <v>126</v>
      </c>
    </row>
    <row r="131" spans="1:20" ht="24.95" customHeight="1" x14ac:dyDescent="0.25">
      <c r="A131" s="28"/>
      <c r="B131" s="28">
        <f t="shared" si="26"/>
        <v>127</v>
      </c>
      <c r="C131" s="28" t="s">
        <v>136</v>
      </c>
      <c r="D131" s="125">
        <v>5.5999999999999999E-3</v>
      </c>
      <c r="E131" s="156">
        <v>771844.27</v>
      </c>
      <c r="F131" s="155">
        <f>E131</f>
        <v>771844.27</v>
      </c>
      <c r="G131" s="89">
        <f t="shared" si="17"/>
        <v>0</v>
      </c>
      <c r="H131" s="33">
        <f t="shared" si="25"/>
        <v>0</v>
      </c>
      <c r="I131" s="34">
        <f t="shared" si="31"/>
        <v>403200</v>
      </c>
      <c r="J131" s="34">
        <f t="shared" si="28"/>
        <v>0</v>
      </c>
      <c r="K131" s="34">
        <f t="shared" si="21"/>
        <v>165940.54062019198</v>
      </c>
      <c r="L131" s="34">
        <f t="shared" si="22"/>
        <v>270270.27039999998</v>
      </c>
      <c r="M131" s="113">
        <f t="shared" si="23"/>
        <v>0</v>
      </c>
      <c r="N131" s="113">
        <v>0</v>
      </c>
      <c r="O131" s="135"/>
      <c r="P131" s="400">
        <f t="shared" si="29"/>
        <v>839412.27</v>
      </c>
      <c r="Q131" s="400"/>
      <c r="R131" s="24">
        <f t="shared" si="30"/>
        <v>1.27</v>
      </c>
      <c r="S131" s="1">
        <f t="shared" si="24"/>
        <v>127</v>
      </c>
      <c r="T131" t="s">
        <v>220</v>
      </c>
    </row>
    <row r="132" spans="1:20" ht="24.95" customHeight="1" x14ac:dyDescent="0.25">
      <c r="A132" s="28"/>
      <c r="B132" s="28">
        <f t="shared" si="26"/>
        <v>128</v>
      </c>
      <c r="C132" s="28" t="s">
        <v>137</v>
      </c>
      <c r="D132" s="125">
        <v>6.1000000000000004E-3</v>
      </c>
      <c r="E132" s="156">
        <v>7590905.2800000003</v>
      </c>
      <c r="F132" s="155">
        <v>807844</v>
      </c>
      <c r="G132" s="89">
        <f t="shared" si="17"/>
        <v>6783061.2800000003</v>
      </c>
      <c r="H132" s="33">
        <f t="shared" si="25"/>
        <v>209393.10171360002</v>
      </c>
      <c r="I132" s="34">
        <f t="shared" si="31"/>
        <v>439200</v>
      </c>
      <c r="J132" s="34">
        <f t="shared" si="28"/>
        <v>0</v>
      </c>
      <c r="K132" s="34">
        <f t="shared" si="21"/>
        <v>165940.54062019198</v>
      </c>
      <c r="L132" s="34">
        <f t="shared" si="22"/>
        <v>270270.27039999998</v>
      </c>
      <c r="M132" s="34">
        <f t="shared" si="23"/>
        <v>0</v>
      </c>
      <c r="N132" s="113">
        <v>0</v>
      </c>
      <c r="O132" s="135"/>
      <c r="P132" s="400">
        <f t="shared" si="29"/>
        <v>7867866.2800000003</v>
      </c>
      <c r="Q132" s="400"/>
      <c r="R132" s="24">
        <f t="shared" si="30"/>
        <v>1.28</v>
      </c>
      <c r="S132" s="1">
        <f t="shared" si="24"/>
        <v>128</v>
      </c>
    </row>
    <row r="133" spans="1:20" ht="24.95" customHeight="1" x14ac:dyDescent="0.25">
      <c r="A133" s="28"/>
      <c r="B133" s="28">
        <f>B132+1</f>
        <v>129</v>
      </c>
      <c r="C133" s="28" t="s">
        <v>138</v>
      </c>
      <c r="D133" s="125">
        <v>6.1000000000000004E-3</v>
      </c>
      <c r="E133" s="156">
        <v>807844.29</v>
      </c>
      <c r="F133" s="155">
        <f>E133</f>
        <v>807844.29</v>
      </c>
      <c r="G133" s="89">
        <f t="shared" si="17"/>
        <v>0</v>
      </c>
      <c r="H133" s="33">
        <f t="shared" si="25"/>
        <v>0</v>
      </c>
      <c r="I133" s="34">
        <f t="shared" si="31"/>
        <v>439200</v>
      </c>
      <c r="J133" s="34">
        <f t="shared" ref="J133:J143" si="33">P$2*D133</f>
        <v>0</v>
      </c>
      <c r="K133" s="34">
        <f t="shared" si="21"/>
        <v>165940.54062019198</v>
      </c>
      <c r="L133" s="34">
        <f t="shared" si="22"/>
        <v>270270.27039999998</v>
      </c>
      <c r="M133" s="34">
        <f t="shared" si="23"/>
        <v>0</v>
      </c>
      <c r="N133" s="113">
        <v>0</v>
      </c>
      <c r="O133" s="135"/>
      <c r="P133" s="400">
        <f t="shared" ref="P133:P143" si="34">ROUND(SUM(G133:O133),0) + R133</f>
        <v>875412.29</v>
      </c>
      <c r="Q133" s="400"/>
      <c r="R133" s="24">
        <f t="shared" ref="R133:R157" si="35">ROUND(0.001+B133/100,2)</f>
        <v>1.29</v>
      </c>
      <c r="S133" s="1">
        <f t="shared" si="24"/>
        <v>129</v>
      </c>
      <c r="T133" t="s">
        <v>198</v>
      </c>
    </row>
    <row r="134" spans="1:20" ht="24.95" customHeight="1" x14ac:dyDescent="0.25">
      <c r="A134" s="28"/>
      <c r="B134" s="28">
        <f t="shared" si="26"/>
        <v>130</v>
      </c>
      <c r="C134" s="28" t="s">
        <v>139</v>
      </c>
      <c r="D134" s="125">
        <v>5.7000000000000002E-3</v>
      </c>
      <c r="E134" s="156">
        <v>781103.3</v>
      </c>
      <c r="F134" s="155">
        <v>781000</v>
      </c>
      <c r="G134" s="89">
        <f t="shared" si="17"/>
        <v>103.30000000004657</v>
      </c>
      <c r="H134" s="33">
        <f t="shared" si="25"/>
        <v>3.1888710000014377</v>
      </c>
      <c r="I134" s="34">
        <f t="shared" si="31"/>
        <v>410400</v>
      </c>
      <c r="J134" s="34">
        <f t="shared" si="33"/>
        <v>0</v>
      </c>
      <c r="K134" s="34">
        <f t="shared" ref="K134:K143" si="36">G$2*0.675675676%</f>
        <v>165940.54062019198</v>
      </c>
      <c r="L134" s="34">
        <f t="shared" ref="L134:L142" si="37">P$1*0.675675676%</f>
        <v>270270.27039999998</v>
      </c>
      <c r="M134" s="34">
        <f t="shared" ref="M134:M157" si="38">G$1*D134</f>
        <v>0</v>
      </c>
      <c r="N134" s="113">
        <v>0</v>
      </c>
      <c r="O134" s="135"/>
      <c r="P134" s="400">
        <f t="shared" si="34"/>
        <v>846718.3</v>
      </c>
      <c r="Q134" s="400"/>
      <c r="R134" s="24">
        <f t="shared" si="35"/>
        <v>1.3</v>
      </c>
      <c r="S134" s="1">
        <f t="shared" ref="S134:S157" si="39">B134</f>
        <v>130</v>
      </c>
      <c r="T134" t="s">
        <v>217</v>
      </c>
    </row>
    <row r="135" spans="1:20" ht="24.95" customHeight="1" x14ac:dyDescent="0.25">
      <c r="A135" s="28"/>
      <c r="B135" s="28">
        <f t="shared" si="26"/>
        <v>131</v>
      </c>
      <c r="C135" s="28" t="s">
        <v>140</v>
      </c>
      <c r="D135" s="125">
        <v>6.1000000000000004E-3</v>
      </c>
      <c r="E135" s="156">
        <v>807844.31</v>
      </c>
      <c r="F135" s="155">
        <f>E135</f>
        <v>807844.31</v>
      </c>
      <c r="G135" s="89">
        <f t="shared" si="17"/>
        <v>0</v>
      </c>
      <c r="H135" s="33">
        <f t="shared" ref="H135:H157" si="40">IF(G135&gt;0,G135*3.087%,0)</f>
        <v>0</v>
      </c>
      <c r="I135" s="34">
        <f t="shared" si="31"/>
        <v>439200</v>
      </c>
      <c r="J135" s="34">
        <f t="shared" si="33"/>
        <v>0</v>
      </c>
      <c r="K135" s="34">
        <f t="shared" si="36"/>
        <v>165940.54062019198</v>
      </c>
      <c r="L135" s="34">
        <f t="shared" si="37"/>
        <v>270270.27039999998</v>
      </c>
      <c r="M135" s="34">
        <f t="shared" si="38"/>
        <v>0</v>
      </c>
      <c r="N135" s="113">
        <v>0</v>
      </c>
      <c r="O135" s="135"/>
      <c r="P135" s="400">
        <f t="shared" si="34"/>
        <v>875412.31</v>
      </c>
      <c r="Q135" s="400"/>
      <c r="R135" s="24">
        <f t="shared" si="35"/>
        <v>1.31</v>
      </c>
      <c r="S135" s="1">
        <f t="shared" si="39"/>
        <v>131</v>
      </c>
      <c r="T135" t="s">
        <v>394</v>
      </c>
    </row>
    <row r="136" spans="1:20" ht="24.95" customHeight="1" x14ac:dyDescent="0.25">
      <c r="A136" s="28"/>
      <c r="B136" s="28">
        <f t="shared" si="26"/>
        <v>132</v>
      </c>
      <c r="C136" s="28" t="s">
        <v>141</v>
      </c>
      <c r="D136" s="125">
        <v>6.0000000000000001E-3</v>
      </c>
      <c r="E136" s="156">
        <v>800644.32</v>
      </c>
      <c r="F136" s="155">
        <f>E136</f>
        <v>800644.32</v>
      </c>
      <c r="G136" s="89">
        <f t="shared" si="17"/>
        <v>0</v>
      </c>
      <c r="H136" s="33">
        <f t="shared" si="40"/>
        <v>0</v>
      </c>
      <c r="I136" s="34">
        <f t="shared" si="31"/>
        <v>432000</v>
      </c>
      <c r="J136" s="34">
        <f t="shared" si="33"/>
        <v>0</v>
      </c>
      <c r="K136" s="34">
        <f t="shared" si="36"/>
        <v>165940.54062019198</v>
      </c>
      <c r="L136" s="34">
        <f t="shared" si="37"/>
        <v>270270.27039999998</v>
      </c>
      <c r="M136" s="34">
        <f t="shared" si="38"/>
        <v>0</v>
      </c>
      <c r="N136" s="113">
        <v>0</v>
      </c>
      <c r="O136" s="135"/>
      <c r="P136" s="400">
        <f t="shared" si="34"/>
        <v>868212.32</v>
      </c>
      <c r="Q136" s="400"/>
      <c r="R136" s="24">
        <f t="shared" si="35"/>
        <v>1.32</v>
      </c>
      <c r="S136" s="1">
        <f t="shared" si="39"/>
        <v>132</v>
      </c>
      <c r="T136" t="s">
        <v>266</v>
      </c>
    </row>
    <row r="137" spans="1:20" ht="24.95" customHeight="1" x14ac:dyDescent="0.25">
      <c r="A137" s="28"/>
      <c r="B137" s="28">
        <f t="shared" ref="B137:B145" si="41">B136+1</f>
        <v>133</v>
      </c>
      <c r="C137" s="28" t="s">
        <v>142</v>
      </c>
      <c r="D137" s="125">
        <v>6.4000000000000003E-3</v>
      </c>
      <c r="E137" s="156">
        <v>829444.33</v>
      </c>
      <c r="F137" s="155">
        <f>E137</f>
        <v>829444.33</v>
      </c>
      <c r="G137" s="89">
        <f t="shared" si="17"/>
        <v>0</v>
      </c>
      <c r="H137" s="33">
        <f t="shared" si="40"/>
        <v>0</v>
      </c>
      <c r="I137" s="34">
        <f t="shared" si="31"/>
        <v>460800</v>
      </c>
      <c r="J137" s="34">
        <f t="shared" si="33"/>
        <v>0</v>
      </c>
      <c r="K137" s="34">
        <f t="shared" si="36"/>
        <v>165940.54062019198</v>
      </c>
      <c r="L137" s="34">
        <f t="shared" si="37"/>
        <v>270270.27039999998</v>
      </c>
      <c r="M137" s="34">
        <f t="shared" si="38"/>
        <v>0</v>
      </c>
      <c r="N137" s="113">
        <v>0</v>
      </c>
      <c r="O137" s="135"/>
      <c r="P137" s="400">
        <f t="shared" si="34"/>
        <v>897012.33</v>
      </c>
      <c r="Q137" s="400"/>
      <c r="R137" s="24">
        <f t="shared" si="35"/>
        <v>1.33</v>
      </c>
      <c r="S137" s="1">
        <f t="shared" si="39"/>
        <v>133</v>
      </c>
      <c r="T137" t="s">
        <v>225</v>
      </c>
    </row>
    <row r="138" spans="1:20" ht="24.95" customHeight="1" x14ac:dyDescent="0.25">
      <c r="A138" s="28"/>
      <c r="B138" s="28">
        <f t="shared" si="41"/>
        <v>134</v>
      </c>
      <c r="C138" s="28" t="s">
        <v>143</v>
      </c>
      <c r="D138" s="125">
        <v>5.3E-3</v>
      </c>
      <c r="E138" s="156">
        <v>750244.34</v>
      </c>
      <c r="F138" s="155">
        <f>E138</f>
        <v>750244.34</v>
      </c>
      <c r="G138" s="89">
        <f t="shared" si="17"/>
        <v>0</v>
      </c>
      <c r="H138" s="33">
        <f t="shared" si="40"/>
        <v>0</v>
      </c>
      <c r="I138" s="34">
        <f t="shared" si="31"/>
        <v>381600</v>
      </c>
      <c r="J138" s="34">
        <f t="shared" si="33"/>
        <v>0</v>
      </c>
      <c r="K138" s="34">
        <f t="shared" si="36"/>
        <v>165940.54062019198</v>
      </c>
      <c r="L138" s="34">
        <f t="shared" si="37"/>
        <v>270270.27039999998</v>
      </c>
      <c r="M138" s="34">
        <f t="shared" si="38"/>
        <v>0</v>
      </c>
      <c r="N138" s="113">
        <v>0</v>
      </c>
      <c r="O138" s="135"/>
      <c r="P138" s="400">
        <f t="shared" si="34"/>
        <v>817812.34</v>
      </c>
      <c r="Q138" s="400"/>
      <c r="R138" s="24">
        <f t="shared" si="35"/>
        <v>1.34</v>
      </c>
      <c r="S138" s="1">
        <f t="shared" si="39"/>
        <v>134</v>
      </c>
      <c r="T138" t="s">
        <v>205</v>
      </c>
    </row>
    <row r="139" spans="1:20" ht="24.95" customHeight="1" x14ac:dyDescent="0.25">
      <c r="A139" s="28"/>
      <c r="B139" s="28">
        <f t="shared" si="41"/>
        <v>135</v>
      </c>
      <c r="C139" s="28" t="s">
        <v>143</v>
      </c>
      <c r="D139" s="125">
        <v>6.1000000000000004E-3</v>
      </c>
      <c r="E139" s="156">
        <v>807844.35</v>
      </c>
      <c r="F139" s="155">
        <f>E139</f>
        <v>807844.35</v>
      </c>
      <c r="G139" s="89">
        <f t="shared" si="17"/>
        <v>0</v>
      </c>
      <c r="H139" s="33">
        <f t="shared" si="40"/>
        <v>0</v>
      </c>
      <c r="I139" s="34">
        <f t="shared" si="31"/>
        <v>439200</v>
      </c>
      <c r="J139" s="34">
        <f t="shared" si="33"/>
        <v>0</v>
      </c>
      <c r="K139" s="34">
        <f t="shared" si="36"/>
        <v>165940.54062019198</v>
      </c>
      <c r="L139" s="34">
        <f t="shared" si="37"/>
        <v>270270.27039999998</v>
      </c>
      <c r="M139" s="34">
        <f t="shared" si="38"/>
        <v>0</v>
      </c>
      <c r="N139" s="113">
        <v>0</v>
      </c>
      <c r="O139" s="135"/>
      <c r="P139" s="400">
        <f t="shared" si="34"/>
        <v>875412.35</v>
      </c>
      <c r="Q139" s="400"/>
      <c r="R139" s="24">
        <f t="shared" si="35"/>
        <v>1.35</v>
      </c>
      <c r="S139" s="1">
        <f t="shared" si="39"/>
        <v>135</v>
      </c>
      <c r="T139" s="91" t="s">
        <v>205</v>
      </c>
    </row>
    <row r="140" spans="1:20" ht="24.95" customHeight="1" x14ac:dyDescent="0.25">
      <c r="A140" s="214"/>
      <c r="B140" s="28">
        <f t="shared" si="41"/>
        <v>136</v>
      </c>
      <c r="C140" s="28" t="s">
        <v>144</v>
      </c>
      <c r="D140" s="125">
        <v>6.1999999999999998E-3</v>
      </c>
      <c r="E140" s="156">
        <v>2554718.36</v>
      </c>
      <c r="F140" s="155">
        <v>898103</v>
      </c>
      <c r="G140" s="89">
        <f t="shared" si="17"/>
        <v>1656615.3599999999</v>
      </c>
      <c r="H140" s="33">
        <f t="shared" si="40"/>
        <v>51139.716163199999</v>
      </c>
      <c r="I140" s="34">
        <f t="shared" si="31"/>
        <v>446400</v>
      </c>
      <c r="J140" s="34">
        <f t="shared" si="33"/>
        <v>0</v>
      </c>
      <c r="K140" s="34">
        <f t="shared" si="36"/>
        <v>165940.54062019198</v>
      </c>
      <c r="L140" s="34">
        <f t="shared" si="37"/>
        <v>270270.27039999998</v>
      </c>
      <c r="M140" s="34">
        <f t="shared" si="38"/>
        <v>0</v>
      </c>
      <c r="N140" s="113">
        <v>0</v>
      </c>
      <c r="O140" s="135"/>
      <c r="P140" s="400">
        <f t="shared" si="34"/>
        <v>2590367.36</v>
      </c>
      <c r="Q140" s="400"/>
      <c r="R140" s="24">
        <f t="shared" si="35"/>
        <v>1.36</v>
      </c>
      <c r="S140" s="1">
        <f t="shared" si="39"/>
        <v>136</v>
      </c>
      <c r="T140" t="s">
        <v>288</v>
      </c>
    </row>
    <row r="141" spans="1:20" ht="24.95" customHeight="1" x14ac:dyDescent="0.25">
      <c r="A141" s="28"/>
      <c r="B141" s="28">
        <f t="shared" si="41"/>
        <v>137</v>
      </c>
      <c r="C141" s="28" t="s">
        <v>145</v>
      </c>
      <c r="D141" s="125">
        <v>5.4000000000000003E-3</v>
      </c>
      <c r="E141" s="156">
        <v>757444.37</v>
      </c>
      <c r="F141" s="155">
        <f>E141</f>
        <v>757444.37</v>
      </c>
      <c r="G141" s="89">
        <f t="shared" si="17"/>
        <v>0</v>
      </c>
      <c r="H141" s="33">
        <f t="shared" si="40"/>
        <v>0</v>
      </c>
      <c r="I141" s="34">
        <f t="shared" si="31"/>
        <v>388800</v>
      </c>
      <c r="J141" s="34">
        <f t="shared" si="33"/>
        <v>0</v>
      </c>
      <c r="K141" s="34">
        <f t="shared" si="36"/>
        <v>165940.54062019198</v>
      </c>
      <c r="L141" s="34">
        <f t="shared" si="37"/>
        <v>270270.27039999998</v>
      </c>
      <c r="M141" s="34">
        <f t="shared" si="38"/>
        <v>0</v>
      </c>
      <c r="N141" s="113">
        <v>0</v>
      </c>
      <c r="O141" s="135"/>
      <c r="P141" s="400">
        <f t="shared" si="34"/>
        <v>825012.37</v>
      </c>
      <c r="Q141" s="400"/>
      <c r="R141" s="24">
        <f t="shared" si="35"/>
        <v>1.37</v>
      </c>
      <c r="S141" s="1">
        <f t="shared" si="39"/>
        <v>137</v>
      </c>
    </row>
    <row r="142" spans="1:20" ht="24.95" customHeight="1" x14ac:dyDescent="0.25">
      <c r="A142" s="28"/>
      <c r="B142" s="28">
        <f t="shared" si="41"/>
        <v>138</v>
      </c>
      <c r="C142" s="28" t="s">
        <v>146</v>
      </c>
      <c r="D142" s="125">
        <v>6.4999999999999997E-3</v>
      </c>
      <c r="E142" s="156">
        <v>836644.38</v>
      </c>
      <c r="F142" s="155">
        <f>E142</f>
        <v>836644.38</v>
      </c>
      <c r="G142" s="89">
        <f t="shared" si="17"/>
        <v>0</v>
      </c>
      <c r="H142" s="33">
        <f t="shared" si="40"/>
        <v>0</v>
      </c>
      <c r="I142" s="34">
        <f t="shared" si="31"/>
        <v>468000</v>
      </c>
      <c r="J142" s="34">
        <f t="shared" si="33"/>
        <v>0</v>
      </c>
      <c r="K142" s="34">
        <f t="shared" si="36"/>
        <v>165940.54062019198</v>
      </c>
      <c r="L142" s="34">
        <f t="shared" si="37"/>
        <v>270270.27039999998</v>
      </c>
      <c r="M142" s="34">
        <f t="shared" si="38"/>
        <v>0</v>
      </c>
      <c r="N142" s="113">
        <v>0</v>
      </c>
      <c r="O142" s="135"/>
      <c r="P142" s="400">
        <f t="shared" si="34"/>
        <v>904212.38</v>
      </c>
      <c r="Q142" s="400"/>
      <c r="R142" s="24">
        <f t="shared" si="35"/>
        <v>1.38</v>
      </c>
      <c r="S142" s="1">
        <f t="shared" si="39"/>
        <v>138</v>
      </c>
      <c r="T142" t="s">
        <v>300</v>
      </c>
    </row>
    <row r="143" spans="1:20" ht="24.95" customHeight="1" x14ac:dyDescent="0.25">
      <c r="A143" s="28"/>
      <c r="B143" s="28">
        <f t="shared" si="41"/>
        <v>139</v>
      </c>
      <c r="C143" s="28" t="s">
        <v>147</v>
      </c>
      <c r="D143" s="125">
        <v>6.1000000000000004E-3</v>
      </c>
      <c r="E143" s="156">
        <v>800138.39</v>
      </c>
      <c r="F143" s="155">
        <v>800200</v>
      </c>
      <c r="G143" s="89">
        <f t="shared" si="17"/>
        <v>-61.60999999998603</v>
      </c>
      <c r="H143" s="33">
        <f t="shared" si="40"/>
        <v>0</v>
      </c>
      <c r="I143" s="34">
        <f t="shared" si="31"/>
        <v>439200</v>
      </c>
      <c r="J143" s="34">
        <f t="shared" si="33"/>
        <v>0</v>
      </c>
      <c r="K143" s="34">
        <f t="shared" si="36"/>
        <v>165940.54062019198</v>
      </c>
      <c r="L143" s="34">
        <f>P$1*0.675675676%</f>
        <v>270270.27039999998</v>
      </c>
      <c r="M143" s="34">
        <f t="shared" si="38"/>
        <v>0</v>
      </c>
      <c r="N143" s="113">
        <v>0</v>
      </c>
      <c r="O143" s="135"/>
      <c r="P143" s="400">
        <f t="shared" si="34"/>
        <v>875350.39</v>
      </c>
      <c r="Q143" s="400"/>
      <c r="R143" s="24">
        <f t="shared" si="35"/>
        <v>1.39</v>
      </c>
      <c r="S143" s="1">
        <f t="shared" si="39"/>
        <v>139</v>
      </c>
      <c r="T143" t="s">
        <v>290</v>
      </c>
    </row>
    <row r="144" spans="1:20" ht="24.95" customHeight="1" x14ac:dyDescent="0.25">
      <c r="A144" s="28"/>
      <c r="B144" s="28">
        <f t="shared" si="41"/>
        <v>140</v>
      </c>
      <c r="C144" s="28" t="s">
        <v>148</v>
      </c>
      <c r="D144" s="125">
        <v>0.18509999999999999</v>
      </c>
      <c r="E144" s="155"/>
      <c r="F144" s="155"/>
      <c r="G144" s="89"/>
      <c r="H144" s="33"/>
      <c r="I144" s="34"/>
      <c r="J144" s="34"/>
      <c r="K144" s="34"/>
      <c r="L144" s="34"/>
      <c r="M144" s="34"/>
      <c r="N144" s="113"/>
      <c r="O144" s="135"/>
      <c r="P144" s="400"/>
      <c r="Q144" s="400"/>
      <c r="R144" s="24">
        <f t="shared" si="35"/>
        <v>1.4</v>
      </c>
      <c r="S144" s="1">
        <f t="shared" si="39"/>
        <v>140</v>
      </c>
    </row>
    <row r="145" spans="1:21" ht="24.95" customHeight="1" x14ac:dyDescent="0.25">
      <c r="A145" s="28"/>
      <c r="B145" s="28">
        <f t="shared" si="41"/>
        <v>141</v>
      </c>
      <c r="C145" s="28" t="s">
        <v>148</v>
      </c>
      <c r="D145" s="125">
        <v>0.156</v>
      </c>
      <c r="E145" s="155"/>
      <c r="F145" s="155"/>
      <c r="G145" s="89"/>
      <c r="H145" s="33"/>
      <c r="I145" s="34"/>
      <c r="J145" s="34"/>
      <c r="K145" s="34"/>
      <c r="L145" s="34"/>
      <c r="M145" s="34"/>
      <c r="N145" s="113"/>
      <c r="O145" s="135"/>
      <c r="P145" s="400"/>
      <c r="Q145" s="400"/>
      <c r="R145" s="24">
        <f t="shared" si="35"/>
        <v>1.41</v>
      </c>
      <c r="S145" s="1">
        <f t="shared" si="39"/>
        <v>141</v>
      </c>
    </row>
    <row r="146" spans="1:21" ht="24.95" customHeight="1" x14ac:dyDescent="0.25">
      <c r="A146" s="28"/>
      <c r="B146" s="28"/>
      <c r="C146" s="28"/>
      <c r="D146" s="125"/>
      <c r="E146" s="155"/>
      <c r="F146" s="155"/>
      <c r="G146" s="89"/>
      <c r="H146" s="33"/>
      <c r="I146" s="34"/>
      <c r="J146" s="34"/>
      <c r="K146" s="34"/>
      <c r="L146" s="34"/>
      <c r="M146" s="34"/>
      <c r="N146" s="113"/>
      <c r="O146" s="135"/>
      <c r="P146" s="404"/>
      <c r="Q146" s="404"/>
      <c r="R146" s="24">
        <f t="shared" si="35"/>
        <v>0</v>
      </c>
      <c r="S146" s="1">
        <f t="shared" si="39"/>
        <v>0</v>
      </c>
    </row>
    <row r="147" spans="1:21" ht="24.95" customHeight="1" x14ac:dyDescent="0.25">
      <c r="A147" s="28"/>
      <c r="B147" s="28"/>
      <c r="C147" s="28"/>
      <c r="D147" s="125"/>
      <c r="E147" s="155"/>
      <c r="F147" s="155"/>
      <c r="G147" s="89"/>
      <c r="H147" s="33"/>
      <c r="I147" s="34"/>
      <c r="J147" s="34"/>
      <c r="K147" s="34"/>
      <c r="L147" s="34"/>
      <c r="M147" s="34"/>
      <c r="N147" s="113"/>
      <c r="O147" s="135"/>
      <c r="P147" s="404"/>
      <c r="Q147" s="404"/>
      <c r="R147" s="24">
        <f t="shared" si="35"/>
        <v>0</v>
      </c>
      <c r="S147" s="1">
        <f t="shared" si="39"/>
        <v>0</v>
      </c>
    </row>
    <row r="148" spans="1:21" ht="24.95" customHeight="1" x14ac:dyDescent="0.25">
      <c r="A148" s="28"/>
      <c r="B148" s="28">
        <v>146</v>
      </c>
      <c r="C148" s="28" t="s">
        <v>83</v>
      </c>
      <c r="D148" s="125">
        <v>3.8E-3</v>
      </c>
      <c r="E148" s="155">
        <v>909939.46</v>
      </c>
      <c r="F148" s="155">
        <f t="shared" ref="F148:F157" si="42">E148</f>
        <v>909939.46</v>
      </c>
      <c r="G148" s="89">
        <f t="shared" si="17"/>
        <v>0</v>
      </c>
      <c r="H148" s="33">
        <f t="shared" si="40"/>
        <v>0</v>
      </c>
      <c r="I148" s="34">
        <f t="shared" si="31"/>
        <v>273600</v>
      </c>
      <c r="J148" s="34">
        <f t="shared" ref="J148:J157" si="43">P$2*D148</f>
        <v>0</v>
      </c>
      <c r="K148" s="34">
        <f t="shared" ref="K148:K157" si="44">G$2*0.675675676%</f>
        <v>165940.54062019198</v>
      </c>
      <c r="L148" s="34">
        <f>P$1*0.675675676%</f>
        <v>270270.27039999998</v>
      </c>
      <c r="M148" s="34">
        <v>47924</v>
      </c>
      <c r="N148" s="113">
        <f>(I148+K148)/2</f>
        <v>219770.27031009598</v>
      </c>
      <c r="O148" s="135"/>
      <c r="P148" s="400">
        <f t="shared" ref="P148:P157" si="45">ROUND(SUM(G148:O148),0) + R148</f>
        <v>977506.46</v>
      </c>
      <c r="Q148" s="400"/>
      <c r="R148" s="24">
        <f t="shared" si="35"/>
        <v>1.46</v>
      </c>
      <c r="S148" s="1">
        <f t="shared" si="39"/>
        <v>146</v>
      </c>
    </row>
    <row r="149" spans="1:21" ht="24.95" customHeight="1" x14ac:dyDescent="0.25">
      <c r="A149" s="28"/>
      <c r="B149" s="28">
        <v>155</v>
      </c>
      <c r="C149" s="28" t="s">
        <v>316</v>
      </c>
      <c r="D149" s="125">
        <v>4.2300000000000003E-3</v>
      </c>
      <c r="E149" s="155">
        <v>673204.55</v>
      </c>
      <c r="F149" s="155">
        <f>E149</f>
        <v>673204.55</v>
      </c>
      <c r="G149" s="89"/>
      <c r="H149" s="33"/>
      <c r="I149" s="34">
        <f t="shared" si="31"/>
        <v>304560</v>
      </c>
      <c r="J149" s="34"/>
      <c r="K149" s="34">
        <f t="shared" si="44"/>
        <v>165940.54062019198</v>
      </c>
      <c r="L149" s="34">
        <f>P$1*0.675675676%</f>
        <v>270270.27039999998</v>
      </c>
      <c r="M149" s="34">
        <f t="shared" si="38"/>
        <v>0</v>
      </c>
      <c r="N149" s="113">
        <v>0</v>
      </c>
      <c r="O149" s="135"/>
      <c r="P149" s="400">
        <f>ROUND(SUM(G149:O149),0) + R149</f>
        <v>740772.55</v>
      </c>
      <c r="Q149" s="400"/>
      <c r="R149" s="24">
        <f t="shared" si="35"/>
        <v>1.55</v>
      </c>
      <c r="S149" s="1">
        <f t="shared" si="39"/>
        <v>155</v>
      </c>
      <c r="T149" t="s">
        <v>473</v>
      </c>
    </row>
    <row r="150" spans="1:21" ht="24.95" customHeight="1" x14ac:dyDescent="0.25">
      <c r="A150" s="28"/>
      <c r="B150" s="28">
        <v>158</v>
      </c>
      <c r="C150" s="28" t="s">
        <v>52</v>
      </c>
      <c r="D150" s="125">
        <v>4.5999999999999999E-3</v>
      </c>
      <c r="E150" s="155">
        <v>699844.58</v>
      </c>
      <c r="F150" s="155">
        <f t="shared" si="42"/>
        <v>699844.58</v>
      </c>
      <c r="G150" s="89">
        <f t="shared" si="17"/>
        <v>0</v>
      </c>
      <c r="H150" s="33">
        <f t="shared" si="40"/>
        <v>0</v>
      </c>
      <c r="I150" s="34">
        <f t="shared" si="31"/>
        <v>331200</v>
      </c>
      <c r="J150" s="34">
        <f t="shared" si="43"/>
        <v>0</v>
      </c>
      <c r="K150" s="34">
        <f t="shared" si="44"/>
        <v>165940.54062019198</v>
      </c>
      <c r="L150" s="34">
        <f t="shared" ref="L150:L157" si="46">P$1*0.675675676%</f>
        <v>270270.27039999998</v>
      </c>
      <c r="M150" s="34">
        <f t="shared" si="38"/>
        <v>0</v>
      </c>
      <c r="N150" s="113">
        <v>0</v>
      </c>
      <c r="O150" s="34"/>
      <c r="P150" s="400">
        <f t="shared" si="45"/>
        <v>767412.58</v>
      </c>
      <c r="Q150" s="400"/>
      <c r="R150" s="24">
        <f t="shared" si="35"/>
        <v>1.58</v>
      </c>
      <c r="S150" s="1">
        <f t="shared" si="39"/>
        <v>158</v>
      </c>
    </row>
    <row r="151" spans="1:21" ht="24.95" customHeight="1" x14ac:dyDescent="0.25">
      <c r="A151" s="28"/>
      <c r="B151" s="28">
        <v>159</v>
      </c>
      <c r="C151" s="28" t="s">
        <v>52</v>
      </c>
      <c r="D151" s="125">
        <v>4.5999999999999999E-3</v>
      </c>
      <c r="E151" s="155">
        <v>699844.59</v>
      </c>
      <c r="F151" s="155">
        <f t="shared" si="42"/>
        <v>699844.59</v>
      </c>
      <c r="G151" s="89">
        <f t="shared" si="17"/>
        <v>0</v>
      </c>
      <c r="H151" s="33">
        <f t="shared" si="40"/>
        <v>0</v>
      </c>
      <c r="I151" s="34">
        <f t="shared" si="31"/>
        <v>331200</v>
      </c>
      <c r="J151" s="34">
        <f t="shared" si="43"/>
        <v>0</v>
      </c>
      <c r="K151" s="34">
        <f t="shared" si="44"/>
        <v>165940.54062019198</v>
      </c>
      <c r="L151" s="34">
        <f t="shared" si="46"/>
        <v>270270.27039999998</v>
      </c>
      <c r="M151" s="34">
        <f t="shared" si="38"/>
        <v>0</v>
      </c>
      <c r="N151" s="34">
        <v>0</v>
      </c>
      <c r="O151" s="34"/>
      <c r="P151" s="400">
        <f t="shared" si="45"/>
        <v>767412.59</v>
      </c>
      <c r="Q151" s="400"/>
      <c r="R151" s="24">
        <f t="shared" si="35"/>
        <v>1.59</v>
      </c>
      <c r="S151" s="1">
        <f t="shared" si="39"/>
        <v>159</v>
      </c>
    </row>
    <row r="152" spans="1:21" ht="24.95" customHeight="1" x14ac:dyDescent="0.25">
      <c r="A152" s="29"/>
      <c r="B152" s="28">
        <v>163</v>
      </c>
      <c r="C152" s="28" t="s">
        <v>84</v>
      </c>
      <c r="D152" s="125">
        <v>4.5999999999999999E-3</v>
      </c>
      <c r="E152" s="155">
        <v>699844.63</v>
      </c>
      <c r="F152" s="155">
        <f t="shared" si="42"/>
        <v>699844.63</v>
      </c>
      <c r="G152" s="89">
        <f t="shared" si="17"/>
        <v>0</v>
      </c>
      <c r="H152" s="33">
        <f t="shared" si="40"/>
        <v>0</v>
      </c>
      <c r="I152" s="34">
        <f t="shared" si="31"/>
        <v>331200</v>
      </c>
      <c r="J152" s="34">
        <f t="shared" si="43"/>
        <v>0</v>
      </c>
      <c r="K152" s="34">
        <f t="shared" si="44"/>
        <v>165940.54062019198</v>
      </c>
      <c r="L152" s="34">
        <f t="shared" si="46"/>
        <v>270270.27039999998</v>
      </c>
      <c r="M152" s="34">
        <f t="shared" si="38"/>
        <v>0</v>
      </c>
      <c r="N152" s="34">
        <v>0</v>
      </c>
      <c r="O152" s="34"/>
      <c r="P152" s="400">
        <f t="shared" si="45"/>
        <v>767412.63</v>
      </c>
      <c r="Q152" s="400"/>
      <c r="R152" s="24">
        <f t="shared" si="35"/>
        <v>1.63</v>
      </c>
      <c r="S152" s="1">
        <f t="shared" si="39"/>
        <v>163</v>
      </c>
    </row>
    <row r="153" spans="1:21" ht="24.95" customHeight="1" x14ac:dyDescent="0.25">
      <c r="A153" s="29"/>
      <c r="B153" s="28">
        <v>168</v>
      </c>
      <c r="C153" s="28" t="s">
        <v>52</v>
      </c>
      <c r="D153" s="125">
        <v>4.4000000000000003E-3</v>
      </c>
      <c r="E153" s="155">
        <v>685444.68</v>
      </c>
      <c r="F153" s="155">
        <f t="shared" si="42"/>
        <v>685444.68</v>
      </c>
      <c r="G153" s="89">
        <f t="shared" si="17"/>
        <v>0</v>
      </c>
      <c r="H153" s="33">
        <f t="shared" si="40"/>
        <v>0</v>
      </c>
      <c r="I153" s="34">
        <f t="shared" si="31"/>
        <v>316800</v>
      </c>
      <c r="J153" s="34">
        <f t="shared" si="43"/>
        <v>0</v>
      </c>
      <c r="K153" s="34">
        <f t="shared" si="44"/>
        <v>165940.54062019198</v>
      </c>
      <c r="L153" s="34">
        <f t="shared" si="46"/>
        <v>270270.27039999998</v>
      </c>
      <c r="M153" s="34">
        <f t="shared" si="38"/>
        <v>0</v>
      </c>
      <c r="N153" s="34">
        <v>0</v>
      </c>
      <c r="O153" s="34"/>
      <c r="P153" s="400">
        <f t="shared" si="45"/>
        <v>753012.68</v>
      </c>
      <c r="Q153" s="400"/>
      <c r="R153" s="24">
        <f t="shared" si="35"/>
        <v>1.68</v>
      </c>
      <c r="S153" s="1">
        <f t="shared" si="39"/>
        <v>168</v>
      </c>
    </row>
    <row r="154" spans="1:21" ht="24.95" customHeight="1" x14ac:dyDescent="0.25">
      <c r="A154" s="29"/>
      <c r="B154" s="28">
        <v>173</v>
      </c>
      <c r="C154" s="28" t="s">
        <v>85</v>
      </c>
      <c r="D154" s="125">
        <v>4.5999999999999999E-3</v>
      </c>
      <c r="E154" s="155">
        <v>699844.73</v>
      </c>
      <c r="F154" s="155">
        <f t="shared" si="42"/>
        <v>699844.73</v>
      </c>
      <c r="G154" s="89">
        <f t="shared" si="17"/>
        <v>0</v>
      </c>
      <c r="H154" s="33">
        <f t="shared" si="40"/>
        <v>0</v>
      </c>
      <c r="I154" s="34">
        <f t="shared" si="31"/>
        <v>331200</v>
      </c>
      <c r="J154" s="34">
        <f t="shared" si="43"/>
        <v>0</v>
      </c>
      <c r="K154" s="34">
        <f t="shared" si="44"/>
        <v>165940.54062019198</v>
      </c>
      <c r="L154" s="34">
        <f t="shared" si="46"/>
        <v>270270.27039999998</v>
      </c>
      <c r="M154" s="34">
        <f t="shared" si="38"/>
        <v>0</v>
      </c>
      <c r="N154" s="34">
        <v>0</v>
      </c>
      <c r="O154" s="34"/>
      <c r="P154" s="400">
        <f t="shared" si="45"/>
        <v>767412.73</v>
      </c>
      <c r="Q154" s="400"/>
      <c r="R154" s="24">
        <f t="shared" si="35"/>
        <v>1.73</v>
      </c>
      <c r="S154" s="1">
        <f t="shared" si="39"/>
        <v>173</v>
      </c>
    </row>
    <row r="155" spans="1:21" ht="24.95" customHeight="1" x14ac:dyDescent="0.25">
      <c r="A155" s="29"/>
      <c r="B155" s="28">
        <v>175</v>
      </c>
      <c r="C155" s="28" t="s">
        <v>85</v>
      </c>
      <c r="D155" s="125">
        <v>4.5999999999999999E-3</v>
      </c>
      <c r="E155" s="155">
        <v>699844.75</v>
      </c>
      <c r="F155" s="155">
        <f t="shared" si="42"/>
        <v>699844.75</v>
      </c>
      <c r="G155" s="89">
        <f t="shared" si="17"/>
        <v>0</v>
      </c>
      <c r="H155" s="33">
        <f t="shared" si="40"/>
        <v>0</v>
      </c>
      <c r="I155" s="34">
        <f t="shared" si="31"/>
        <v>331200</v>
      </c>
      <c r="J155" s="34">
        <f t="shared" si="43"/>
        <v>0</v>
      </c>
      <c r="K155" s="34">
        <f t="shared" si="44"/>
        <v>165940.54062019198</v>
      </c>
      <c r="L155" s="34">
        <f t="shared" si="46"/>
        <v>270270.27039999998</v>
      </c>
      <c r="M155" s="34">
        <f t="shared" si="38"/>
        <v>0</v>
      </c>
      <c r="N155" s="34">
        <v>0</v>
      </c>
      <c r="O155" s="34"/>
      <c r="P155" s="400">
        <f t="shared" si="45"/>
        <v>767412.75</v>
      </c>
      <c r="Q155" s="400"/>
      <c r="R155" s="24">
        <f t="shared" si="35"/>
        <v>1.75</v>
      </c>
      <c r="S155" s="1">
        <f t="shared" si="39"/>
        <v>175</v>
      </c>
      <c r="U155" t="s">
        <v>227</v>
      </c>
    </row>
    <row r="156" spans="1:21" ht="24.95" customHeight="1" x14ac:dyDescent="0.25">
      <c r="A156" s="29"/>
      <c r="B156" s="28">
        <v>176</v>
      </c>
      <c r="C156" s="28" t="s">
        <v>84</v>
      </c>
      <c r="D156" s="125">
        <v>4.5999999999999999E-3</v>
      </c>
      <c r="E156" s="155">
        <v>699844.76</v>
      </c>
      <c r="F156" s="155">
        <f t="shared" si="42"/>
        <v>699844.76</v>
      </c>
      <c r="G156" s="89">
        <f t="shared" si="17"/>
        <v>0</v>
      </c>
      <c r="H156" s="33">
        <f t="shared" si="40"/>
        <v>0</v>
      </c>
      <c r="I156" s="34">
        <f t="shared" si="31"/>
        <v>331200</v>
      </c>
      <c r="J156" s="34">
        <f t="shared" si="43"/>
        <v>0</v>
      </c>
      <c r="K156" s="34">
        <f t="shared" si="44"/>
        <v>165940.54062019198</v>
      </c>
      <c r="L156" s="34">
        <f t="shared" si="46"/>
        <v>270270.27039999998</v>
      </c>
      <c r="M156" s="34">
        <f t="shared" si="38"/>
        <v>0</v>
      </c>
      <c r="N156" s="34">
        <v>0</v>
      </c>
      <c r="O156" s="34"/>
      <c r="P156" s="400">
        <f t="shared" si="45"/>
        <v>767412.76</v>
      </c>
      <c r="Q156" s="400"/>
      <c r="R156" s="24">
        <f t="shared" si="35"/>
        <v>1.76</v>
      </c>
      <c r="S156" s="1">
        <f t="shared" si="39"/>
        <v>176</v>
      </c>
    </row>
    <row r="157" spans="1:21" ht="24.95" customHeight="1" x14ac:dyDescent="0.25">
      <c r="A157" s="29"/>
      <c r="B157" s="29">
        <v>204</v>
      </c>
      <c r="C157" s="28" t="s">
        <v>42</v>
      </c>
      <c r="D157" s="31">
        <v>4.8999999999999998E-3</v>
      </c>
      <c r="E157" s="157">
        <v>721445.04</v>
      </c>
      <c r="F157" s="155">
        <f t="shared" si="42"/>
        <v>721445.04</v>
      </c>
      <c r="G157" s="89">
        <f t="shared" si="17"/>
        <v>0</v>
      </c>
      <c r="H157" s="33">
        <f t="shared" si="40"/>
        <v>0</v>
      </c>
      <c r="I157" s="34">
        <f t="shared" si="31"/>
        <v>352800</v>
      </c>
      <c r="J157" s="34">
        <f t="shared" si="43"/>
        <v>0</v>
      </c>
      <c r="K157" s="34">
        <f t="shared" si="44"/>
        <v>165940.54062019198</v>
      </c>
      <c r="L157" s="34">
        <f t="shared" si="46"/>
        <v>270270.27039999998</v>
      </c>
      <c r="M157" s="34">
        <f t="shared" si="38"/>
        <v>0</v>
      </c>
      <c r="N157" s="34">
        <v>0</v>
      </c>
      <c r="O157" s="34"/>
      <c r="P157" s="400">
        <f t="shared" si="45"/>
        <v>789013.04</v>
      </c>
      <c r="Q157" s="400"/>
      <c r="R157" s="24">
        <f t="shared" si="35"/>
        <v>2.04</v>
      </c>
      <c r="S157" s="1">
        <f t="shared" si="39"/>
        <v>204</v>
      </c>
      <c r="T157" t="s">
        <v>311</v>
      </c>
    </row>
    <row r="158" spans="1:21" ht="24.95" customHeight="1" x14ac:dyDescent="0.25">
      <c r="A158" s="29"/>
      <c r="B158" s="29"/>
      <c r="C158" s="28"/>
      <c r="D158" s="31"/>
      <c r="E158" s="32"/>
      <c r="F158" s="50"/>
      <c r="G158" s="33"/>
      <c r="H158" s="33"/>
      <c r="I158" s="34"/>
      <c r="J158" s="34"/>
      <c r="K158" s="34"/>
      <c r="L158" s="34"/>
      <c r="M158" s="34"/>
      <c r="N158" s="34"/>
      <c r="O158" s="34"/>
      <c r="P158" s="403"/>
      <c r="Q158" s="403"/>
      <c r="R158" s="24"/>
      <c r="S158" s="1"/>
    </row>
    <row r="159" spans="1:21" ht="24.95" customHeight="1" x14ac:dyDescent="0.25">
      <c r="A159" s="29"/>
      <c r="B159" s="29"/>
      <c r="C159" s="29"/>
      <c r="D159" s="31"/>
      <c r="E159" s="32"/>
      <c r="F159" s="38"/>
      <c r="G159" s="33"/>
      <c r="H159" s="33"/>
      <c r="I159" s="111"/>
      <c r="J159" s="34"/>
      <c r="K159" s="34"/>
      <c r="L159" s="34"/>
      <c r="M159" s="34"/>
      <c r="N159" s="34"/>
      <c r="O159" s="34"/>
      <c r="P159" s="403"/>
      <c r="Q159" s="403"/>
      <c r="R159" s="24"/>
      <c r="S159" s="1"/>
    </row>
    <row r="160" spans="1:21" ht="24.95" customHeight="1" thickBot="1" x14ac:dyDescent="0.3">
      <c r="A160" s="35"/>
      <c r="B160" s="112"/>
      <c r="C160" s="105"/>
      <c r="D160" s="120">
        <f t="shared" ref="D160:O160" si="47">SUM(D5:D159)</f>
        <v>1.0449300000000001</v>
      </c>
      <c r="E160" s="106">
        <f t="shared" si="47"/>
        <v>146120193.06999999</v>
      </c>
      <c r="F160" s="107">
        <f>SUM(F5:F159)</f>
        <v>108261027.03999998</v>
      </c>
      <c r="G160" s="108">
        <f t="shared" si="47"/>
        <v>37859166.029999994</v>
      </c>
      <c r="H160" s="109"/>
      <c r="I160" s="109">
        <f t="shared" si="47"/>
        <v>50675760</v>
      </c>
      <c r="J160" s="109">
        <f t="shared" si="47"/>
        <v>0</v>
      </c>
      <c r="K160" s="110">
        <f t="shared" si="47"/>
        <v>24725140.552408691</v>
      </c>
      <c r="L160" s="114">
        <f t="shared" si="47"/>
        <v>40270270.289600015</v>
      </c>
      <c r="M160" s="110">
        <f t="shared" si="47"/>
        <v>530311</v>
      </c>
      <c r="N160" s="110">
        <f t="shared" si="47"/>
        <v>2179532.4327908638</v>
      </c>
      <c r="O160" s="110">
        <f t="shared" si="47"/>
        <v>1611600</v>
      </c>
      <c r="P160" s="401">
        <f>SUM(P5:P159)</f>
        <v>159126449.07000002</v>
      </c>
      <c r="Q160" s="402"/>
      <c r="R160" s="401"/>
      <c r="S160" s="402"/>
    </row>
    <row r="161" spans="3:16" ht="12" customHeight="1" thickBot="1" x14ac:dyDescent="0.3">
      <c r="F161" s="51"/>
    </row>
    <row r="162" spans="3:16" ht="15" customHeight="1" x14ac:dyDescent="0.25">
      <c r="C162" s="369" t="s">
        <v>294</v>
      </c>
      <c r="D162" s="397"/>
      <c r="E162" s="397"/>
      <c r="F162" s="397"/>
      <c r="G162" s="397"/>
      <c r="H162" s="397"/>
      <c r="I162" s="397"/>
      <c r="J162" s="397"/>
      <c r="K162" s="397"/>
      <c r="L162" s="397"/>
      <c r="M162" s="397"/>
      <c r="N162" s="397"/>
      <c r="O162" s="397"/>
      <c r="P162" s="370"/>
    </row>
    <row r="163" spans="3:16" ht="26.25" customHeight="1" thickBot="1" x14ac:dyDescent="0.3">
      <c r="C163" s="373"/>
      <c r="D163" s="399"/>
      <c r="E163" s="399"/>
      <c r="F163" s="399"/>
      <c r="G163" s="399"/>
      <c r="H163" s="399"/>
      <c r="I163" s="399"/>
      <c r="J163" s="399"/>
      <c r="K163" s="399"/>
      <c r="L163" s="399"/>
      <c r="M163" s="399"/>
      <c r="N163" s="399"/>
      <c r="O163" s="399"/>
      <c r="P163" s="374"/>
    </row>
    <row r="164" spans="3:16" ht="10.5" hidden="1" customHeight="1" x14ac:dyDescent="0.25">
      <c r="C164" s="369" t="s">
        <v>273</v>
      </c>
      <c r="D164" s="397"/>
      <c r="E164" s="397"/>
      <c r="F164" s="397"/>
      <c r="G164" s="397"/>
      <c r="H164" s="397"/>
      <c r="I164" s="397"/>
      <c r="J164" s="397"/>
      <c r="K164" s="397"/>
      <c r="L164" s="397"/>
      <c r="M164" s="397"/>
      <c r="N164" s="397"/>
      <c r="O164" s="397"/>
      <c r="P164" s="370"/>
    </row>
    <row r="165" spans="3:16" ht="15" hidden="1" customHeight="1" x14ac:dyDescent="0.25">
      <c r="C165" s="371"/>
      <c r="D165" s="398"/>
      <c r="E165" s="398"/>
      <c r="F165" s="398"/>
      <c r="G165" s="398"/>
      <c r="H165" s="398"/>
      <c r="I165" s="398"/>
      <c r="J165" s="398"/>
      <c r="K165" s="398"/>
      <c r="L165" s="398"/>
      <c r="M165" s="398"/>
      <c r="N165" s="398"/>
      <c r="O165" s="398"/>
      <c r="P165" s="372"/>
    </row>
    <row r="166" spans="3:16" ht="6" customHeight="1" x14ac:dyDescent="0.25">
      <c r="C166" s="371"/>
      <c r="D166" s="398"/>
      <c r="E166" s="398"/>
      <c r="F166" s="398"/>
      <c r="G166" s="398"/>
      <c r="H166" s="398"/>
      <c r="I166" s="398"/>
      <c r="J166" s="398"/>
      <c r="K166" s="398"/>
      <c r="L166" s="398"/>
      <c r="M166" s="398"/>
      <c r="N166" s="398"/>
      <c r="O166" s="398"/>
      <c r="P166" s="372"/>
    </row>
    <row r="167" spans="3:16" ht="164.25" customHeight="1" thickBot="1" x14ac:dyDescent="0.3">
      <c r="C167" s="373"/>
      <c r="D167" s="399"/>
      <c r="E167" s="399"/>
      <c r="F167" s="399"/>
      <c r="G167" s="399"/>
      <c r="H167" s="399"/>
      <c r="I167" s="399"/>
      <c r="J167" s="399"/>
      <c r="K167" s="399"/>
      <c r="L167" s="399"/>
      <c r="M167" s="399"/>
      <c r="N167" s="399"/>
      <c r="O167" s="399"/>
      <c r="P167" s="374"/>
    </row>
  </sheetData>
  <mergeCells count="183">
    <mergeCell ref="S3:S4"/>
    <mergeCell ref="R160:S160"/>
    <mergeCell ref="A3:A4"/>
    <mergeCell ref="B3:B4"/>
    <mergeCell ref="C3:C4"/>
    <mergeCell ref="D3:D4"/>
    <mergeCell ref="K3:K4"/>
    <mergeCell ref="H3:H4"/>
    <mergeCell ref="E3:E4"/>
    <mergeCell ref="F3:F4"/>
    <mergeCell ref="G3:G4"/>
    <mergeCell ref="I3:I4"/>
    <mergeCell ref="J3:J4"/>
    <mergeCell ref="P5:Q5"/>
    <mergeCell ref="P6:Q6"/>
    <mergeCell ref="P7:Q7"/>
    <mergeCell ref="P8:Q8"/>
    <mergeCell ref="P9:Q9"/>
    <mergeCell ref="P25:Q25"/>
    <mergeCell ref="P26:Q26"/>
    <mergeCell ref="P27:Q27"/>
    <mergeCell ref="P28:Q28"/>
    <mergeCell ref="P29:Q29"/>
    <mergeCell ref="P20:Q20"/>
    <mergeCell ref="P15:Q15"/>
    <mergeCell ref="P16:Q16"/>
    <mergeCell ref="P17:Q17"/>
    <mergeCell ref="P18:Q18"/>
    <mergeCell ref="P19:Q19"/>
    <mergeCell ref="P10:Q10"/>
    <mergeCell ref="P11:Q11"/>
    <mergeCell ref="P12:Q12"/>
    <mergeCell ref="P13:Q13"/>
    <mergeCell ref="P14:Q14"/>
    <mergeCell ref="L3:L4"/>
    <mergeCell ref="K2:L2"/>
    <mergeCell ref="M3:M4"/>
    <mergeCell ref="P1:Q1"/>
    <mergeCell ref="P2:Q2"/>
    <mergeCell ref="G2:H2"/>
    <mergeCell ref="N3:N4"/>
    <mergeCell ref="O3:O4"/>
    <mergeCell ref="C2:E2"/>
    <mergeCell ref="P3:Q4"/>
    <mergeCell ref="C1:L1"/>
    <mergeCell ref="N1:O1"/>
    <mergeCell ref="P21:Q21"/>
    <mergeCell ref="P22:Q22"/>
    <mergeCell ref="P23:Q23"/>
    <mergeCell ref="P24:Q24"/>
    <mergeCell ref="P35:Q35"/>
    <mergeCell ref="P36:Q36"/>
    <mergeCell ref="P37:Q37"/>
    <mergeCell ref="P38:Q38"/>
    <mergeCell ref="P39:Q39"/>
    <mergeCell ref="P30:Q30"/>
    <mergeCell ref="P31:Q31"/>
    <mergeCell ref="P32:Q32"/>
    <mergeCell ref="P33:Q33"/>
    <mergeCell ref="P34:Q34"/>
    <mergeCell ref="P45:Q45"/>
    <mergeCell ref="P46:Q46"/>
    <mergeCell ref="P47:Q47"/>
    <mergeCell ref="P48:Q48"/>
    <mergeCell ref="P49:Q49"/>
    <mergeCell ref="P40:Q40"/>
    <mergeCell ref="P41:Q41"/>
    <mergeCell ref="P42:Q42"/>
    <mergeCell ref="P43:Q43"/>
    <mergeCell ref="P44:Q44"/>
    <mergeCell ref="P55:Q55"/>
    <mergeCell ref="P56:Q56"/>
    <mergeCell ref="P57:Q57"/>
    <mergeCell ref="P58:Q58"/>
    <mergeCell ref="P59:Q59"/>
    <mergeCell ref="P50:Q50"/>
    <mergeCell ref="P51:Q51"/>
    <mergeCell ref="P52:Q52"/>
    <mergeCell ref="P53:Q53"/>
    <mergeCell ref="P54:Q54"/>
    <mergeCell ref="P65:Q65"/>
    <mergeCell ref="P66:Q66"/>
    <mergeCell ref="P67:Q67"/>
    <mergeCell ref="P68:Q68"/>
    <mergeCell ref="P69:Q69"/>
    <mergeCell ref="P60:Q60"/>
    <mergeCell ref="P61:Q61"/>
    <mergeCell ref="P62:Q62"/>
    <mergeCell ref="P63:Q63"/>
    <mergeCell ref="P64:Q64"/>
    <mergeCell ref="P75:Q75"/>
    <mergeCell ref="P76:Q76"/>
    <mergeCell ref="P77:Q77"/>
    <mergeCell ref="P78:Q78"/>
    <mergeCell ref="P79:Q79"/>
    <mergeCell ref="P70:Q70"/>
    <mergeCell ref="P71:Q71"/>
    <mergeCell ref="P72:Q72"/>
    <mergeCell ref="P73:Q73"/>
    <mergeCell ref="P74:Q74"/>
    <mergeCell ref="P85:Q85"/>
    <mergeCell ref="P86:Q86"/>
    <mergeCell ref="P87:Q87"/>
    <mergeCell ref="P88:Q88"/>
    <mergeCell ref="P89:Q89"/>
    <mergeCell ref="P80:Q80"/>
    <mergeCell ref="P81:Q81"/>
    <mergeCell ref="P82:Q82"/>
    <mergeCell ref="P83:Q83"/>
    <mergeCell ref="P84:Q84"/>
    <mergeCell ref="P95:Q95"/>
    <mergeCell ref="P96:Q96"/>
    <mergeCell ref="P97:Q97"/>
    <mergeCell ref="P98:Q98"/>
    <mergeCell ref="P99:Q99"/>
    <mergeCell ref="P90:Q90"/>
    <mergeCell ref="P91:Q91"/>
    <mergeCell ref="P92:Q92"/>
    <mergeCell ref="P93:Q93"/>
    <mergeCell ref="P94:Q94"/>
    <mergeCell ref="P105:Q105"/>
    <mergeCell ref="P106:Q106"/>
    <mergeCell ref="P107:Q107"/>
    <mergeCell ref="P108:Q108"/>
    <mergeCell ref="P109:Q109"/>
    <mergeCell ref="P100:Q100"/>
    <mergeCell ref="P101:Q101"/>
    <mergeCell ref="P102:Q102"/>
    <mergeCell ref="P103:Q103"/>
    <mergeCell ref="P104:Q104"/>
    <mergeCell ref="P115:Q115"/>
    <mergeCell ref="P116:Q116"/>
    <mergeCell ref="P117:Q117"/>
    <mergeCell ref="P118:Q118"/>
    <mergeCell ref="P119:Q119"/>
    <mergeCell ref="P110:Q110"/>
    <mergeCell ref="P111:Q111"/>
    <mergeCell ref="P112:Q112"/>
    <mergeCell ref="P113:Q113"/>
    <mergeCell ref="P114:Q114"/>
    <mergeCell ref="P125:Q125"/>
    <mergeCell ref="P126:Q126"/>
    <mergeCell ref="P127:Q127"/>
    <mergeCell ref="P128:Q128"/>
    <mergeCell ref="P129:Q129"/>
    <mergeCell ref="P120:Q120"/>
    <mergeCell ref="P121:Q121"/>
    <mergeCell ref="P122:Q122"/>
    <mergeCell ref="P123:Q123"/>
    <mergeCell ref="P124:Q124"/>
    <mergeCell ref="P135:Q135"/>
    <mergeCell ref="P136:Q136"/>
    <mergeCell ref="P137:Q137"/>
    <mergeCell ref="P138:Q138"/>
    <mergeCell ref="P139:Q139"/>
    <mergeCell ref="P130:Q130"/>
    <mergeCell ref="P131:Q131"/>
    <mergeCell ref="P132:Q132"/>
    <mergeCell ref="P133:Q133"/>
    <mergeCell ref="P134:Q134"/>
    <mergeCell ref="P145:Q145"/>
    <mergeCell ref="P146:Q146"/>
    <mergeCell ref="P147:Q147"/>
    <mergeCell ref="P148:Q148"/>
    <mergeCell ref="P150:Q150"/>
    <mergeCell ref="P140:Q140"/>
    <mergeCell ref="P141:Q141"/>
    <mergeCell ref="P142:Q142"/>
    <mergeCell ref="P143:Q143"/>
    <mergeCell ref="P144:Q144"/>
    <mergeCell ref="P149:Q149"/>
    <mergeCell ref="C164:P167"/>
    <mergeCell ref="C162:P163"/>
    <mergeCell ref="P156:Q156"/>
    <mergeCell ref="P157:Q157"/>
    <mergeCell ref="P160:Q160"/>
    <mergeCell ref="P158:Q158"/>
    <mergeCell ref="P159:Q159"/>
    <mergeCell ref="P151:Q151"/>
    <mergeCell ref="P152:Q152"/>
    <mergeCell ref="P153:Q153"/>
    <mergeCell ref="P154:Q154"/>
    <mergeCell ref="P155:Q155"/>
  </mergeCells>
  <hyperlinks>
    <hyperlink ref="T65" r:id="rId1" xr:uid="{60CCA824-04D7-4098-BB5B-CC4EC0E5DE92}"/>
    <hyperlink ref="T45" r:id="rId2" xr:uid="{FB3F0167-0D80-4D0E-9747-86680AF517F7}"/>
    <hyperlink ref="T35" r:id="rId3" xr:uid="{DC64E9EF-0CAF-49C3-B4C2-A955ADDB9423}"/>
    <hyperlink ref="T38" r:id="rId4" xr:uid="{74F85CC2-F097-4DDA-B018-43C3E1E7AED4}"/>
  </hyperlinks>
  <pageMargins left="0.23622047244094491" right="0.23622047244094491" top="0.74803149606299213" bottom="0.74803149606299213" header="0.31496062992125984" footer="0.31496062992125984"/>
  <pageSetup paperSize="3" orientation="landscape"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69DBA-AA88-413A-80A7-A9BAAE7F2C32}">
  <dimension ref="C1:R328"/>
  <sheetViews>
    <sheetView topLeftCell="A115" workbookViewId="0">
      <selection activeCell="K66" sqref="K66:N72"/>
    </sheetView>
  </sheetViews>
  <sheetFormatPr baseColWidth="10" defaultColWidth="10.85546875" defaultRowHeight="15" x14ac:dyDescent="0.25"/>
  <cols>
    <col min="14" max="14" width="13" bestFit="1" customWidth="1"/>
  </cols>
  <sheetData>
    <row r="1" spans="3:18" x14ac:dyDescent="0.25">
      <c r="C1" s="144"/>
      <c r="D1" s="144"/>
      <c r="E1" s="144"/>
      <c r="F1" s="144"/>
      <c r="G1" s="144"/>
      <c r="H1" s="144"/>
      <c r="I1" s="144"/>
      <c r="J1" s="144"/>
    </row>
    <row r="2" spans="3:18" ht="15.75" thickBot="1" x14ac:dyDescent="0.3">
      <c r="C2" s="144"/>
      <c r="D2" s="144"/>
      <c r="E2" s="144"/>
      <c r="F2" s="144"/>
      <c r="G2" s="144"/>
      <c r="H2" s="144"/>
      <c r="I2" s="144"/>
      <c r="J2" s="144"/>
    </row>
    <row r="3" spans="3:18" x14ac:dyDescent="0.25">
      <c r="C3" s="200" t="s">
        <v>161</v>
      </c>
      <c r="D3" s="201">
        <v>1</v>
      </c>
      <c r="E3" s="201"/>
      <c r="F3" s="92"/>
      <c r="G3" s="92"/>
      <c r="H3" s="92"/>
      <c r="I3" s="92"/>
      <c r="J3" s="95"/>
    </row>
    <row r="4" spans="3:18" x14ac:dyDescent="0.25">
      <c r="C4" s="202" t="s">
        <v>162</v>
      </c>
      <c r="D4" s="203"/>
      <c r="E4" s="204">
        <v>45945</v>
      </c>
      <c r="F4" s="51"/>
      <c r="G4" s="51" t="s">
        <v>167</v>
      </c>
      <c r="H4" s="137" t="s">
        <v>336</v>
      </c>
      <c r="I4" s="97"/>
      <c r="J4" s="98"/>
      <c r="K4" s="432"/>
      <c r="L4" s="433"/>
      <c r="M4" s="433"/>
    </row>
    <row r="5" spans="3:18" x14ac:dyDescent="0.25">
      <c r="C5" s="202" t="s">
        <v>163</v>
      </c>
      <c r="D5" s="203" t="s">
        <v>164</v>
      </c>
      <c r="E5" s="203" t="s">
        <v>165</v>
      </c>
      <c r="F5" s="51"/>
      <c r="G5" s="51" t="s">
        <v>168</v>
      </c>
      <c r="H5" s="97" t="s">
        <v>337</v>
      </c>
      <c r="I5" s="97"/>
      <c r="J5" s="98"/>
      <c r="K5" s="432"/>
      <c r="L5" s="433"/>
      <c r="M5" s="433"/>
    </row>
    <row r="6" spans="3:18" ht="15.75" thickBot="1" x14ac:dyDescent="0.3">
      <c r="C6" s="202" t="s">
        <v>166</v>
      </c>
      <c r="D6" s="203"/>
      <c r="E6" s="203"/>
      <c r="F6" s="51"/>
      <c r="G6" s="51"/>
      <c r="H6" s="51"/>
      <c r="I6" s="51"/>
      <c r="J6" s="99"/>
      <c r="K6" s="432"/>
      <c r="L6" s="433"/>
      <c r="M6" s="433"/>
    </row>
    <row r="7" spans="3:18" ht="14.45" customHeight="1" x14ac:dyDescent="0.25">
      <c r="C7" s="423" t="s">
        <v>338</v>
      </c>
      <c r="D7" s="424"/>
      <c r="E7" s="424"/>
      <c r="F7" s="424"/>
      <c r="G7" s="424"/>
      <c r="H7" s="424"/>
      <c r="I7" s="424"/>
      <c r="J7" s="425"/>
      <c r="K7" s="432"/>
      <c r="L7" s="433"/>
      <c r="M7" s="433"/>
    </row>
    <row r="8" spans="3:18" ht="13.9" customHeight="1" x14ac:dyDescent="0.25">
      <c r="C8" s="426"/>
      <c r="D8" s="427"/>
      <c r="E8" s="427"/>
      <c r="F8" s="427"/>
      <c r="G8" s="427"/>
      <c r="H8" s="427"/>
      <c r="I8" s="427"/>
      <c r="J8" s="428"/>
      <c r="K8" s="432"/>
      <c r="L8" s="433"/>
      <c r="M8" s="433"/>
    </row>
    <row r="9" spans="3:18" ht="15.75" thickBot="1" x14ac:dyDescent="0.3">
      <c r="C9" s="429"/>
      <c r="D9" s="430"/>
      <c r="E9" s="430"/>
      <c r="F9" s="430"/>
      <c r="G9" s="430"/>
      <c r="H9" s="430"/>
      <c r="I9" s="430"/>
      <c r="J9" s="431"/>
      <c r="K9" s="51"/>
      <c r="L9" s="51"/>
      <c r="M9" s="51"/>
    </row>
    <row r="10" spans="3:18" x14ac:dyDescent="0.25">
      <c r="K10" s="51"/>
      <c r="L10" s="51"/>
      <c r="M10" s="51"/>
    </row>
    <row r="11" spans="3:18" ht="15.75" thickBot="1" x14ac:dyDescent="0.3"/>
    <row r="12" spans="3:18" x14ac:dyDescent="0.25">
      <c r="C12" s="205" t="s">
        <v>161</v>
      </c>
      <c r="D12" s="206">
        <f>D3+1</f>
        <v>2</v>
      </c>
      <c r="E12" s="206"/>
      <c r="F12" s="92"/>
      <c r="G12" s="92"/>
      <c r="H12" s="92"/>
      <c r="I12" s="92"/>
      <c r="J12" s="95"/>
    </row>
    <row r="13" spans="3:18" x14ac:dyDescent="0.25">
      <c r="C13" s="207" t="s">
        <v>162</v>
      </c>
      <c r="D13" s="208"/>
      <c r="E13" s="209"/>
      <c r="F13" s="51"/>
      <c r="G13" s="51" t="s">
        <v>167</v>
      </c>
      <c r="H13" s="137" t="s">
        <v>339</v>
      </c>
      <c r="I13" s="97"/>
      <c r="J13" s="98"/>
      <c r="K13" s="434" t="s">
        <v>354</v>
      </c>
      <c r="L13" s="435"/>
      <c r="M13" s="435"/>
      <c r="N13" s="435"/>
      <c r="O13" s="435"/>
      <c r="P13" s="435"/>
      <c r="Q13" s="435"/>
      <c r="R13" s="435"/>
    </row>
    <row r="14" spans="3:18" x14ac:dyDescent="0.25">
      <c r="C14" s="207" t="s">
        <v>163</v>
      </c>
      <c r="D14" s="208" t="s">
        <v>164</v>
      </c>
      <c r="E14" s="208" t="s">
        <v>165</v>
      </c>
      <c r="F14" s="51"/>
      <c r="G14" s="51" t="s">
        <v>168</v>
      </c>
      <c r="H14" s="97">
        <v>136</v>
      </c>
      <c r="I14" s="97"/>
      <c r="J14" s="98"/>
      <c r="K14" s="436"/>
      <c r="L14" s="435"/>
      <c r="M14" s="435"/>
      <c r="N14" s="435"/>
      <c r="O14" s="435"/>
      <c r="P14" s="435"/>
      <c r="Q14" s="435"/>
      <c r="R14" s="435"/>
    </row>
    <row r="15" spans="3:18" ht="15.75" thickBot="1" x14ac:dyDescent="0.3">
      <c r="C15" s="93" t="s">
        <v>166</v>
      </c>
      <c r="D15" s="51"/>
      <c r="E15" s="51"/>
      <c r="F15" s="51"/>
      <c r="G15" s="51"/>
      <c r="H15" s="51"/>
      <c r="I15" s="51"/>
      <c r="J15" s="99"/>
      <c r="K15" s="436"/>
      <c r="L15" s="435"/>
      <c r="M15" s="435"/>
      <c r="N15" s="435"/>
      <c r="O15" s="435"/>
      <c r="P15" s="435"/>
      <c r="Q15" s="435"/>
      <c r="R15" s="435"/>
    </row>
    <row r="16" spans="3:18" x14ac:dyDescent="0.25">
      <c r="C16" s="423" t="s">
        <v>340</v>
      </c>
      <c r="D16" s="424"/>
      <c r="E16" s="424"/>
      <c r="F16" s="424"/>
      <c r="G16" s="424"/>
      <c r="H16" s="424"/>
      <c r="I16" s="424"/>
      <c r="J16" s="425"/>
      <c r="K16" s="436"/>
      <c r="L16" s="435"/>
      <c r="M16" s="435"/>
      <c r="N16" s="435"/>
      <c r="O16" s="435"/>
      <c r="P16" s="435"/>
      <c r="Q16" s="435"/>
      <c r="R16" s="435"/>
    </row>
    <row r="17" spans="3:18" x14ac:dyDescent="0.25">
      <c r="C17" s="426"/>
      <c r="D17" s="427"/>
      <c r="E17" s="427"/>
      <c r="F17" s="427"/>
      <c r="G17" s="427"/>
      <c r="H17" s="427"/>
      <c r="I17" s="427"/>
      <c r="J17" s="428"/>
      <c r="K17" s="436"/>
      <c r="L17" s="435"/>
      <c r="M17" s="435"/>
      <c r="N17" s="435"/>
      <c r="O17" s="435"/>
      <c r="P17" s="435"/>
      <c r="Q17" s="435"/>
      <c r="R17" s="435"/>
    </row>
    <row r="18" spans="3:18" ht="15.75" thickBot="1" x14ac:dyDescent="0.3">
      <c r="C18" s="429"/>
      <c r="D18" s="430"/>
      <c r="E18" s="430"/>
      <c r="F18" s="430"/>
      <c r="G18" s="430"/>
      <c r="H18" s="430"/>
      <c r="I18" s="430"/>
      <c r="J18" s="431"/>
      <c r="K18" s="436"/>
      <c r="L18" s="435"/>
      <c r="M18" s="435"/>
      <c r="N18" s="435"/>
      <c r="O18" s="435"/>
      <c r="P18" s="435"/>
      <c r="Q18" s="435"/>
      <c r="R18" s="435"/>
    </row>
    <row r="20" spans="3:18" ht="15.75" thickBot="1" x14ac:dyDescent="0.3"/>
    <row r="21" spans="3:18" x14ac:dyDescent="0.25">
      <c r="C21" s="191" t="s">
        <v>161</v>
      </c>
      <c r="D21" s="192">
        <f>D12+1</f>
        <v>3</v>
      </c>
      <c r="E21" s="92"/>
      <c r="F21" s="92"/>
      <c r="G21" s="92"/>
      <c r="H21" s="92"/>
      <c r="I21" s="92"/>
      <c r="J21" s="95"/>
    </row>
    <row r="22" spans="3:18" x14ac:dyDescent="0.25">
      <c r="C22" s="193" t="s">
        <v>162</v>
      </c>
      <c r="D22" s="194"/>
      <c r="E22" s="96"/>
      <c r="F22" s="51"/>
      <c r="G22" s="51" t="s">
        <v>167</v>
      </c>
      <c r="H22" s="137" t="s">
        <v>341</v>
      </c>
      <c r="I22" s="97"/>
      <c r="J22" s="98"/>
      <c r="K22" s="343"/>
      <c r="L22" s="343"/>
      <c r="M22" s="343"/>
      <c r="N22" s="343"/>
    </row>
    <row r="23" spans="3:18" x14ac:dyDescent="0.25">
      <c r="C23" s="193" t="s">
        <v>163</v>
      </c>
      <c r="D23" s="194" t="s">
        <v>164</v>
      </c>
      <c r="E23" s="51" t="s">
        <v>165</v>
      </c>
      <c r="F23" s="51"/>
      <c r="G23" s="51" t="s">
        <v>168</v>
      </c>
      <c r="H23" s="97">
        <v>14</v>
      </c>
      <c r="I23" s="97"/>
      <c r="J23" s="98"/>
      <c r="K23" s="343"/>
      <c r="L23" s="343"/>
      <c r="M23" s="343"/>
      <c r="N23" s="343"/>
    </row>
    <row r="24" spans="3:18" ht="15.75" thickBot="1" x14ac:dyDescent="0.3">
      <c r="C24" s="93" t="s">
        <v>166</v>
      </c>
      <c r="D24" s="51"/>
      <c r="E24" s="51"/>
      <c r="F24" s="51"/>
      <c r="G24" s="51"/>
      <c r="H24" s="51"/>
      <c r="I24" s="51"/>
      <c r="J24" s="99"/>
      <c r="K24" s="343"/>
      <c r="L24" s="343"/>
      <c r="M24" s="343"/>
      <c r="N24" s="343"/>
    </row>
    <row r="25" spans="3:18" x14ac:dyDescent="0.25">
      <c r="C25" s="423" t="s">
        <v>444</v>
      </c>
      <c r="D25" s="424"/>
      <c r="E25" s="424"/>
      <c r="F25" s="424"/>
      <c r="G25" s="424"/>
      <c r="H25" s="424"/>
      <c r="I25" s="424"/>
      <c r="J25" s="425"/>
      <c r="K25" s="343"/>
      <c r="L25" s="343"/>
      <c r="M25" s="343"/>
      <c r="N25" s="343"/>
    </row>
    <row r="26" spans="3:18" x14ac:dyDescent="0.25">
      <c r="C26" s="426"/>
      <c r="D26" s="427"/>
      <c r="E26" s="427"/>
      <c r="F26" s="427"/>
      <c r="G26" s="427"/>
      <c r="H26" s="427"/>
      <c r="I26" s="427"/>
      <c r="J26" s="428"/>
    </row>
    <row r="27" spans="3:18" ht="15.75" thickBot="1" x14ac:dyDescent="0.3">
      <c r="C27" s="429"/>
      <c r="D27" s="430"/>
      <c r="E27" s="430"/>
      <c r="F27" s="430"/>
      <c r="G27" s="430"/>
      <c r="H27" s="430"/>
      <c r="I27" s="430"/>
      <c r="J27" s="431"/>
    </row>
    <row r="29" spans="3:18" ht="15.75" thickBot="1" x14ac:dyDescent="0.3"/>
    <row r="30" spans="3:18" x14ac:dyDescent="0.25">
      <c r="C30" s="195" t="s">
        <v>161</v>
      </c>
      <c r="D30" s="196">
        <f>D21+1</f>
        <v>4</v>
      </c>
      <c r="E30" s="196"/>
      <c r="F30" s="92"/>
      <c r="G30" s="92"/>
      <c r="H30" s="92"/>
      <c r="I30" s="92"/>
      <c r="J30" s="95"/>
      <c r="K30" s="343"/>
      <c r="L30" s="343"/>
      <c r="M30" s="343"/>
      <c r="N30" s="343"/>
    </row>
    <row r="31" spans="3:18" x14ac:dyDescent="0.25">
      <c r="C31" s="197" t="s">
        <v>162</v>
      </c>
      <c r="D31" s="198"/>
      <c r="E31" s="199">
        <v>45946</v>
      </c>
      <c r="F31" s="51"/>
      <c r="G31" s="51" t="s">
        <v>167</v>
      </c>
      <c r="H31" s="137" t="s">
        <v>334</v>
      </c>
      <c r="I31" s="97"/>
      <c r="J31" s="98" t="s">
        <v>335</v>
      </c>
      <c r="K31" s="343"/>
      <c r="L31" s="343"/>
      <c r="M31" s="343"/>
      <c r="N31" s="343"/>
    </row>
    <row r="32" spans="3:18" x14ac:dyDescent="0.25">
      <c r="C32" s="197" t="s">
        <v>163</v>
      </c>
      <c r="D32" s="198" t="s">
        <v>164</v>
      </c>
      <c r="E32" s="198" t="s">
        <v>165</v>
      </c>
      <c r="F32" s="51"/>
      <c r="G32" s="51" t="s">
        <v>168</v>
      </c>
      <c r="H32" s="97">
        <v>110</v>
      </c>
      <c r="I32" s="97"/>
      <c r="J32" s="98"/>
      <c r="K32" s="343"/>
      <c r="L32" s="343"/>
      <c r="M32" s="343"/>
      <c r="N32" s="343"/>
    </row>
    <row r="33" spans="3:14" ht="15.75" thickBot="1" x14ac:dyDescent="0.3">
      <c r="C33" s="93" t="s">
        <v>166</v>
      </c>
      <c r="D33" s="51"/>
      <c r="E33" s="51"/>
      <c r="F33" s="51"/>
      <c r="G33" s="51"/>
      <c r="H33" s="51"/>
      <c r="I33" s="51"/>
      <c r="J33" s="99"/>
      <c r="K33" s="343"/>
      <c r="L33" s="343"/>
      <c r="M33" s="343"/>
      <c r="N33" s="343"/>
    </row>
    <row r="34" spans="3:14" x14ac:dyDescent="0.25">
      <c r="C34" s="423" t="s">
        <v>333</v>
      </c>
      <c r="D34" s="424"/>
      <c r="E34" s="424"/>
      <c r="F34" s="424"/>
      <c r="G34" s="424"/>
      <c r="H34" s="424"/>
      <c r="I34" s="424"/>
      <c r="J34" s="425"/>
      <c r="K34" s="343"/>
      <c r="L34" s="343"/>
      <c r="M34" s="343"/>
      <c r="N34" s="343"/>
    </row>
    <row r="35" spans="3:14" x14ac:dyDescent="0.25">
      <c r="C35" s="426"/>
      <c r="D35" s="427"/>
      <c r="E35" s="427"/>
      <c r="F35" s="427"/>
      <c r="G35" s="427"/>
      <c r="H35" s="427"/>
      <c r="I35" s="427"/>
      <c r="J35" s="428"/>
      <c r="K35" s="343"/>
      <c r="L35" s="343"/>
      <c r="M35" s="343"/>
      <c r="N35" s="343"/>
    </row>
    <row r="36" spans="3:14" ht="15.75" thickBot="1" x14ac:dyDescent="0.3">
      <c r="C36" s="429"/>
      <c r="D36" s="430"/>
      <c r="E36" s="430"/>
      <c r="F36" s="430"/>
      <c r="G36" s="430"/>
      <c r="H36" s="430"/>
      <c r="I36" s="430"/>
      <c r="J36" s="431"/>
    </row>
    <row r="38" spans="3:14" ht="15.75" thickBot="1" x14ac:dyDescent="0.3"/>
    <row r="39" spans="3:14" x14ac:dyDescent="0.25">
      <c r="C39" s="216" t="s">
        <v>161</v>
      </c>
      <c r="D39" s="217">
        <f>D30+1</f>
        <v>5</v>
      </c>
      <c r="E39" s="217"/>
      <c r="F39" s="217"/>
      <c r="G39" s="92"/>
      <c r="H39" s="92"/>
      <c r="I39" s="92"/>
      <c r="J39" s="95"/>
    </row>
    <row r="40" spans="3:14" x14ac:dyDescent="0.25">
      <c r="C40" s="218" t="s">
        <v>162</v>
      </c>
      <c r="D40" s="219"/>
      <c r="E40" s="220"/>
      <c r="F40" s="219"/>
      <c r="G40" s="51" t="s">
        <v>167</v>
      </c>
      <c r="H40" s="137" t="s">
        <v>342</v>
      </c>
      <c r="I40" s="97"/>
      <c r="J40" s="98"/>
      <c r="K40" s="343"/>
      <c r="L40" s="343"/>
      <c r="M40" s="343"/>
    </row>
    <row r="41" spans="3:14" x14ac:dyDescent="0.25">
      <c r="C41" s="218" t="s">
        <v>163</v>
      </c>
      <c r="D41" s="219" t="s">
        <v>164</v>
      </c>
      <c r="E41" s="219" t="s">
        <v>165</v>
      </c>
      <c r="F41" s="219"/>
      <c r="G41" s="51" t="s">
        <v>168</v>
      </c>
      <c r="H41" s="97">
        <v>115</v>
      </c>
      <c r="I41" s="97"/>
      <c r="J41" s="98"/>
      <c r="K41" s="343"/>
      <c r="L41" s="343"/>
      <c r="M41" s="343"/>
    </row>
    <row r="42" spans="3:14" ht="15.75" thickBot="1" x14ac:dyDescent="0.3">
      <c r="C42" s="218" t="s">
        <v>166</v>
      </c>
      <c r="D42" s="219"/>
      <c r="E42" s="219"/>
      <c r="F42" s="219"/>
      <c r="G42" s="51"/>
      <c r="H42" s="51"/>
      <c r="I42" s="51"/>
      <c r="J42" s="99"/>
      <c r="K42" s="343"/>
      <c r="L42" s="343"/>
      <c r="M42" s="343"/>
    </row>
    <row r="43" spans="3:14" x14ac:dyDescent="0.25">
      <c r="C43" s="423" t="s">
        <v>343</v>
      </c>
      <c r="D43" s="424"/>
      <c r="E43" s="424"/>
      <c r="F43" s="424"/>
      <c r="G43" s="424"/>
      <c r="H43" s="424"/>
      <c r="I43" s="424"/>
      <c r="J43" s="425"/>
      <c r="K43" s="343"/>
      <c r="L43" s="343"/>
      <c r="M43" s="343"/>
    </row>
    <row r="44" spans="3:14" x14ac:dyDescent="0.25">
      <c r="C44" s="426"/>
      <c r="D44" s="427"/>
      <c r="E44" s="427"/>
      <c r="F44" s="427"/>
      <c r="G44" s="427"/>
      <c r="H44" s="427"/>
      <c r="I44" s="427"/>
      <c r="J44" s="428"/>
      <c r="K44" s="343"/>
      <c r="L44" s="343"/>
      <c r="M44" s="343"/>
    </row>
    <row r="45" spans="3:14" ht="15.75" thickBot="1" x14ac:dyDescent="0.3">
      <c r="C45" s="429"/>
      <c r="D45" s="430"/>
      <c r="E45" s="430"/>
      <c r="F45" s="430"/>
      <c r="G45" s="430"/>
      <c r="H45" s="430"/>
      <c r="I45" s="430"/>
      <c r="J45" s="431"/>
    </row>
    <row r="47" spans="3:14" ht="15.75" thickBot="1" x14ac:dyDescent="0.3"/>
    <row r="48" spans="3:14" x14ac:dyDescent="0.25">
      <c r="C48" s="221" t="s">
        <v>161</v>
      </c>
      <c r="D48" s="222">
        <f>D39+1</f>
        <v>6</v>
      </c>
      <c r="E48" s="222"/>
      <c r="F48" s="92"/>
      <c r="G48" s="92"/>
      <c r="H48" s="92"/>
      <c r="I48" s="92"/>
      <c r="J48" s="95"/>
    </row>
    <row r="49" spans="3:14" x14ac:dyDescent="0.25">
      <c r="C49" s="223" t="s">
        <v>162</v>
      </c>
      <c r="D49" s="224"/>
      <c r="E49" s="225"/>
      <c r="F49" s="51"/>
      <c r="G49" s="51" t="s">
        <v>167</v>
      </c>
      <c r="H49" s="137" t="s">
        <v>345</v>
      </c>
      <c r="I49" s="97"/>
      <c r="J49" s="98"/>
      <c r="K49" s="343"/>
      <c r="L49" s="343"/>
      <c r="M49" s="343"/>
      <c r="N49" s="343"/>
    </row>
    <row r="50" spans="3:14" x14ac:dyDescent="0.25">
      <c r="C50" s="223" t="s">
        <v>163</v>
      </c>
      <c r="D50" s="224" t="s">
        <v>164</v>
      </c>
      <c r="E50" s="224" t="s">
        <v>165</v>
      </c>
      <c r="F50" s="51"/>
      <c r="G50" s="51" t="s">
        <v>168</v>
      </c>
      <c r="H50" s="97">
        <v>106</v>
      </c>
      <c r="I50" s="97"/>
      <c r="J50" s="98"/>
      <c r="K50" s="343"/>
      <c r="L50" s="343"/>
      <c r="M50" s="343"/>
      <c r="N50" s="343"/>
    </row>
    <row r="51" spans="3:14" ht="15.75" thickBot="1" x14ac:dyDescent="0.3">
      <c r="C51" s="93" t="s">
        <v>166</v>
      </c>
      <c r="D51" s="51"/>
      <c r="E51" s="51"/>
      <c r="F51" s="51"/>
      <c r="G51" s="51"/>
      <c r="H51" s="51"/>
      <c r="I51" s="51"/>
      <c r="J51" s="99"/>
      <c r="K51" s="343"/>
      <c r="L51" s="343"/>
      <c r="M51" s="343"/>
      <c r="N51" s="343"/>
    </row>
    <row r="52" spans="3:14" x14ac:dyDescent="0.25">
      <c r="C52" s="423" t="s">
        <v>344</v>
      </c>
      <c r="D52" s="424"/>
      <c r="E52" s="424"/>
      <c r="F52" s="424"/>
      <c r="G52" s="424"/>
      <c r="H52" s="424"/>
      <c r="I52" s="424"/>
      <c r="J52" s="425"/>
      <c r="K52" s="343"/>
      <c r="L52" s="343"/>
      <c r="M52" s="343"/>
      <c r="N52" s="343"/>
    </row>
    <row r="53" spans="3:14" x14ac:dyDescent="0.25">
      <c r="C53" s="426"/>
      <c r="D53" s="427"/>
      <c r="E53" s="427"/>
      <c r="F53" s="427"/>
      <c r="G53" s="427"/>
      <c r="H53" s="427"/>
      <c r="I53" s="427"/>
      <c r="J53" s="428"/>
      <c r="K53" s="343"/>
      <c r="L53" s="343"/>
      <c r="M53" s="343"/>
      <c r="N53" s="343"/>
    </row>
    <row r="54" spans="3:14" ht="15.75" thickBot="1" x14ac:dyDescent="0.3">
      <c r="C54" s="429"/>
      <c r="D54" s="430"/>
      <c r="E54" s="430"/>
      <c r="F54" s="430"/>
      <c r="G54" s="430"/>
      <c r="H54" s="430"/>
      <c r="I54" s="430"/>
      <c r="J54" s="431"/>
      <c r="K54" s="343"/>
      <c r="L54" s="343"/>
      <c r="M54" s="343"/>
      <c r="N54" s="343"/>
    </row>
    <row r="56" spans="3:14" ht="15.75" thickBot="1" x14ac:dyDescent="0.3">
      <c r="C56" s="227"/>
      <c r="D56" s="227"/>
      <c r="E56" s="227"/>
    </row>
    <row r="57" spans="3:14" x14ac:dyDescent="0.25">
      <c r="C57" s="228" t="s">
        <v>161</v>
      </c>
      <c r="D57" s="229">
        <f>D48+1</f>
        <v>7</v>
      </c>
      <c r="E57" s="229"/>
      <c r="F57" s="92"/>
      <c r="G57" s="92"/>
      <c r="H57" s="92"/>
      <c r="I57" s="92"/>
      <c r="J57" s="95"/>
      <c r="K57" s="343"/>
      <c r="L57" s="343"/>
      <c r="M57" s="343"/>
      <c r="N57" s="343"/>
    </row>
    <row r="58" spans="3:14" x14ac:dyDescent="0.25">
      <c r="C58" s="230" t="s">
        <v>162</v>
      </c>
      <c r="D58" s="227"/>
      <c r="E58" s="231"/>
      <c r="F58" s="51"/>
      <c r="G58" s="51" t="s">
        <v>167</v>
      </c>
      <c r="H58" s="137" t="s">
        <v>346</v>
      </c>
      <c r="I58" s="97"/>
      <c r="J58" s="98"/>
      <c r="K58" s="343"/>
      <c r="L58" s="343"/>
      <c r="M58" s="343"/>
      <c r="N58" s="343"/>
    </row>
    <row r="59" spans="3:14" x14ac:dyDescent="0.25">
      <c r="C59" s="230" t="s">
        <v>163</v>
      </c>
      <c r="D59" s="227" t="s">
        <v>164</v>
      </c>
      <c r="E59" s="227" t="s">
        <v>165</v>
      </c>
      <c r="F59" s="51"/>
      <c r="G59" s="51" t="s">
        <v>168</v>
      </c>
      <c r="H59" s="97">
        <v>72</v>
      </c>
      <c r="I59" s="97"/>
      <c r="J59" s="98"/>
      <c r="K59" s="343"/>
      <c r="L59" s="343"/>
      <c r="M59" s="343"/>
      <c r="N59" s="343"/>
    </row>
    <row r="60" spans="3:14" ht="15.75" thickBot="1" x14ac:dyDescent="0.3">
      <c r="C60" s="93" t="s">
        <v>166</v>
      </c>
      <c r="D60" s="51"/>
      <c r="E60" s="51"/>
      <c r="F60" s="51"/>
      <c r="G60" s="51"/>
      <c r="H60" s="51"/>
      <c r="I60" s="51"/>
      <c r="J60" s="99"/>
      <c r="K60" s="343"/>
      <c r="L60" s="343"/>
      <c r="M60" s="343"/>
      <c r="N60" s="343"/>
    </row>
    <row r="61" spans="3:14" x14ac:dyDescent="0.25">
      <c r="C61" s="423" t="s">
        <v>347</v>
      </c>
      <c r="D61" s="424"/>
      <c r="E61" s="424"/>
      <c r="F61" s="424"/>
      <c r="G61" s="424"/>
      <c r="H61" s="424"/>
      <c r="I61" s="424"/>
      <c r="J61" s="425"/>
      <c r="K61" s="343"/>
      <c r="L61" s="343"/>
      <c r="M61" s="343"/>
      <c r="N61" s="343"/>
    </row>
    <row r="62" spans="3:14" x14ac:dyDescent="0.25">
      <c r="C62" s="426"/>
      <c r="D62" s="427"/>
      <c r="E62" s="427"/>
      <c r="F62" s="427"/>
      <c r="G62" s="427"/>
      <c r="H62" s="427"/>
      <c r="I62" s="427"/>
      <c r="J62" s="428"/>
      <c r="K62" s="343"/>
      <c r="L62" s="343"/>
      <c r="M62" s="343"/>
      <c r="N62" s="343"/>
    </row>
    <row r="63" spans="3:14" ht="15.75" thickBot="1" x14ac:dyDescent="0.3">
      <c r="C63" s="429"/>
      <c r="D63" s="430"/>
      <c r="E63" s="430"/>
      <c r="F63" s="430"/>
      <c r="G63" s="430"/>
      <c r="H63" s="430"/>
      <c r="I63" s="430"/>
      <c r="J63" s="431"/>
      <c r="K63" s="343"/>
      <c r="L63" s="343"/>
      <c r="M63" s="343"/>
      <c r="N63" s="343"/>
    </row>
    <row r="65" spans="3:14" ht="15.75" thickBot="1" x14ac:dyDescent="0.3"/>
    <row r="66" spans="3:14" x14ac:dyDescent="0.25">
      <c r="C66" s="232" t="s">
        <v>161</v>
      </c>
      <c r="D66" s="233">
        <f>D57+1</f>
        <v>8</v>
      </c>
      <c r="E66" s="233"/>
      <c r="F66" s="92"/>
      <c r="G66" s="92"/>
      <c r="H66" s="92"/>
      <c r="I66" s="92"/>
      <c r="J66" s="95"/>
      <c r="K66" s="343"/>
      <c r="L66" s="343"/>
      <c r="M66" s="343"/>
      <c r="N66" s="343"/>
    </row>
    <row r="67" spans="3:14" x14ac:dyDescent="0.25">
      <c r="C67" s="234" t="s">
        <v>162</v>
      </c>
      <c r="D67" s="235"/>
      <c r="E67" s="236"/>
      <c r="F67" s="51"/>
      <c r="G67" s="51" t="s">
        <v>167</v>
      </c>
      <c r="H67" s="137"/>
      <c r="I67" s="97"/>
      <c r="J67" s="98"/>
      <c r="K67" s="343"/>
      <c r="L67" s="343"/>
      <c r="M67" s="343"/>
      <c r="N67" s="343"/>
    </row>
    <row r="68" spans="3:14" x14ac:dyDescent="0.25">
      <c r="C68" s="234" t="s">
        <v>163</v>
      </c>
      <c r="D68" s="235" t="s">
        <v>164</v>
      </c>
      <c r="E68" s="235" t="s">
        <v>165</v>
      </c>
      <c r="F68" s="51"/>
      <c r="G68" s="51" t="s">
        <v>168</v>
      </c>
      <c r="H68" s="97">
        <v>36</v>
      </c>
      <c r="I68" s="97"/>
      <c r="J68" s="98"/>
      <c r="K68" s="343"/>
      <c r="L68" s="343"/>
      <c r="M68" s="343"/>
      <c r="N68" s="343"/>
    </row>
    <row r="69" spans="3:14" ht="15.75" thickBot="1" x14ac:dyDescent="0.3">
      <c r="C69" s="93" t="s">
        <v>166</v>
      </c>
      <c r="D69" s="51"/>
      <c r="E69" s="51"/>
      <c r="F69" s="51"/>
      <c r="G69" s="51"/>
      <c r="H69" s="51"/>
      <c r="I69" s="51"/>
      <c r="J69" s="99"/>
      <c r="K69" s="343"/>
      <c r="L69" s="343"/>
      <c r="M69" s="343"/>
      <c r="N69" s="343"/>
    </row>
    <row r="70" spans="3:14" x14ac:dyDescent="0.25">
      <c r="C70" s="423" t="s">
        <v>348</v>
      </c>
      <c r="D70" s="424"/>
      <c r="E70" s="424"/>
      <c r="F70" s="424"/>
      <c r="G70" s="424"/>
      <c r="H70" s="424"/>
      <c r="I70" s="424"/>
      <c r="J70" s="425"/>
      <c r="K70" s="343"/>
      <c r="L70" s="343"/>
      <c r="M70" s="343"/>
      <c r="N70" s="343"/>
    </row>
    <row r="71" spans="3:14" x14ac:dyDescent="0.25">
      <c r="C71" s="426"/>
      <c r="D71" s="427"/>
      <c r="E71" s="427"/>
      <c r="F71" s="427"/>
      <c r="G71" s="427"/>
      <c r="H71" s="427"/>
      <c r="I71" s="427"/>
      <c r="J71" s="428"/>
      <c r="K71" s="343"/>
      <c r="L71" s="343"/>
      <c r="M71" s="343"/>
      <c r="N71" s="343"/>
    </row>
    <row r="72" spans="3:14" ht="15.75" thickBot="1" x14ac:dyDescent="0.3">
      <c r="C72" s="429"/>
      <c r="D72" s="430"/>
      <c r="E72" s="430"/>
      <c r="F72" s="430"/>
      <c r="G72" s="430"/>
      <c r="H72" s="430"/>
      <c r="I72" s="430"/>
      <c r="J72" s="431"/>
      <c r="K72" s="343"/>
      <c r="L72" s="343"/>
      <c r="M72" s="343"/>
      <c r="N72" s="343"/>
    </row>
    <row r="74" spans="3:14" ht="15.75" thickBot="1" x14ac:dyDescent="0.3"/>
    <row r="75" spans="3:14" x14ac:dyDescent="0.25">
      <c r="C75" s="237" t="s">
        <v>161</v>
      </c>
      <c r="D75" s="238">
        <f>D66+1</f>
        <v>9</v>
      </c>
      <c r="E75" s="238"/>
      <c r="F75" s="92"/>
      <c r="G75" s="92"/>
      <c r="H75" s="92"/>
      <c r="I75" s="92"/>
      <c r="J75" s="95"/>
      <c r="K75" s="343"/>
      <c r="L75" s="343"/>
      <c r="M75" s="343"/>
    </row>
    <row r="76" spans="3:14" x14ac:dyDescent="0.25">
      <c r="C76" s="239" t="s">
        <v>162</v>
      </c>
      <c r="D76" s="240"/>
      <c r="E76" s="241"/>
      <c r="F76" s="51"/>
      <c r="G76" s="51" t="s">
        <v>167</v>
      </c>
      <c r="H76" s="137" t="s">
        <v>349</v>
      </c>
      <c r="I76" s="97"/>
      <c r="J76" s="98"/>
      <c r="K76" s="343"/>
      <c r="L76" s="343"/>
      <c r="M76" s="343"/>
    </row>
    <row r="77" spans="3:14" x14ac:dyDescent="0.25">
      <c r="C77" s="239" t="s">
        <v>163</v>
      </c>
      <c r="D77" s="240" t="s">
        <v>164</v>
      </c>
      <c r="E77" s="240" t="s">
        <v>165</v>
      </c>
      <c r="F77" s="51"/>
      <c r="G77" s="51" t="s">
        <v>168</v>
      </c>
      <c r="H77" s="97">
        <v>26</v>
      </c>
      <c r="I77" s="97"/>
      <c r="J77" s="98"/>
      <c r="K77" s="343"/>
      <c r="L77" s="343"/>
      <c r="M77" s="343"/>
    </row>
    <row r="78" spans="3:14" ht="15.75" thickBot="1" x14ac:dyDescent="0.3">
      <c r="C78" s="93" t="s">
        <v>166</v>
      </c>
      <c r="D78" s="51"/>
      <c r="E78" s="51"/>
      <c r="F78" s="51"/>
      <c r="G78" s="51"/>
      <c r="H78" s="51"/>
      <c r="I78" s="51"/>
      <c r="J78" s="99"/>
      <c r="K78" s="343"/>
      <c r="L78" s="343"/>
      <c r="M78" s="343"/>
    </row>
    <row r="79" spans="3:14" x14ac:dyDescent="0.25">
      <c r="C79" s="423" t="s">
        <v>350</v>
      </c>
      <c r="D79" s="424"/>
      <c r="E79" s="424"/>
      <c r="F79" s="424"/>
      <c r="G79" s="424"/>
      <c r="H79" s="424"/>
      <c r="I79" s="424"/>
      <c r="J79" s="425"/>
      <c r="K79" s="343"/>
      <c r="L79" s="343"/>
      <c r="M79" s="343"/>
    </row>
    <row r="80" spans="3:14" x14ac:dyDescent="0.25">
      <c r="C80" s="426"/>
      <c r="D80" s="427"/>
      <c r="E80" s="427"/>
      <c r="F80" s="427"/>
      <c r="G80" s="427"/>
      <c r="H80" s="427"/>
      <c r="I80" s="427"/>
      <c r="J80" s="428"/>
      <c r="K80" s="343"/>
      <c r="L80" s="343"/>
      <c r="M80" s="343"/>
    </row>
    <row r="81" spans="3:14" ht="15.75" thickBot="1" x14ac:dyDescent="0.3">
      <c r="C81" s="429"/>
      <c r="D81" s="430"/>
      <c r="E81" s="430"/>
      <c r="F81" s="430"/>
      <c r="G81" s="430"/>
      <c r="H81" s="430"/>
      <c r="I81" s="430"/>
      <c r="J81" s="431"/>
    </row>
    <row r="83" spans="3:14" ht="15.75" thickBot="1" x14ac:dyDescent="0.3"/>
    <row r="84" spans="3:14" x14ac:dyDescent="0.25">
      <c r="C84" s="242" t="s">
        <v>161</v>
      </c>
      <c r="D84" s="243">
        <f>D75+1</f>
        <v>10</v>
      </c>
      <c r="E84" s="243"/>
      <c r="F84" s="92"/>
      <c r="G84" s="92"/>
      <c r="H84" s="92"/>
      <c r="I84" s="92"/>
      <c r="J84" s="95"/>
    </row>
    <row r="85" spans="3:14" x14ac:dyDescent="0.25">
      <c r="C85" s="244" t="s">
        <v>162</v>
      </c>
      <c r="D85" s="245"/>
      <c r="E85" s="246"/>
      <c r="F85" s="51"/>
      <c r="G85" s="51" t="s">
        <v>167</v>
      </c>
      <c r="H85" s="137" t="s">
        <v>351</v>
      </c>
      <c r="I85" s="97"/>
      <c r="J85" s="98"/>
      <c r="K85" s="343"/>
      <c r="L85" s="343"/>
      <c r="M85" s="343"/>
    </row>
    <row r="86" spans="3:14" ht="15.75" x14ac:dyDescent="0.25">
      <c r="C86" s="244" t="s">
        <v>163</v>
      </c>
      <c r="D86" s="245" t="s">
        <v>164</v>
      </c>
      <c r="E86" s="245" t="s">
        <v>165</v>
      </c>
      <c r="F86" s="51"/>
      <c r="G86" s="51" t="s">
        <v>168</v>
      </c>
      <c r="H86" s="247" t="s">
        <v>352</v>
      </c>
      <c r="I86" s="97"/>
      <c r="J86" s="98"/>
      <c r="K86" s="343"/>
      <c r="L86" s="343"/>
      <c r="M86" s="343"/>
    </row>
    <row r="87" spans="3:14" ht="15.75" thickBot="1" x14ac:dyDescent="0.3">
      <c r="C87" s="93" t="s">
        <v>166</v>
      </c>
      <c r="D87" s="51"/>
      <c r="E87" s="51"/>
      <c r="F87" s="51"/>
      <c r="G87" s="51"/>
      <c r="H87" s="51"/>
      <c r="I87" s="51"/>
      <c r="J87" s="99"/>
      <c r="K87" s="343"/>
      <c r="L87" s="343"/>
      <c r="M87" s="343"/>
    </row>
    <row r="88" spans="3:14" x14ac:dyDescent="0.25">
      <c r="C88" s="423" t="s">
        <v>353</v>
      </c>
      <c r="D88" s="424"/>
      <c r="E88" s="424"/>
      <c r="F88" s="424"/>
      <c r="G88" s="424"/>
      <c r="H88" s="424"/>
      <c r="I88" s="424"/>
      <c r="J88" s="425"/>
      <c r="K88" s="343"/>
      <c r="L88" s="343"/>
      <c r="M88" s="343"/>
    </row>
    <row r="89" spans="3:14" x14ac:dyDescent="0.25">
      <c r="C89" s="426"/>
      <c r="D89" s="427"/>
      <c r="E89" s="427"/>
      <c r="F89" s="427"/>
      <c r="G89" s="427"/>
      <c r="H89" s="427"/>
      <c r="I89" s="427"/>
      <c r="J89" s="428"/>
      <c r="K89" s="343"/>
      <c r="L89" s="343"/>
      <c r="M89" s="343"/>
    </row>
    <row r="90" spans="3:14" ht="15.75" thickBot="1" x14ac:dyDescent="0.3">
      <c r="C90" s="429"/>
      <c r="D90" s="430"/>
      <c r="E90" s="430"/>
      <c r="F90" s="430"/>
      <c r="G90" s="430"/>
      <c r="H90" s="430"/>
      <c r="I90" s="430"/>
      <c r="J90" s="431"/>
    </row>
    <row r="92" spans="3:14" ht="15.75" thickBot="1" x14ac:dyDescent="0.3"/>
    <row r="93" spans="3:14" x14ac:dyDescent="0.25">
      <c r="C93" s="249" t="s">
        <v>161</v>
      </c>
      <c r="D93" s="250">
        <f>D84+1</f>
        <v>11</v>
      </c>
      <c r="E93" s="250"/>
      <c r="F93" s="92"/>
      <c r="G93" s="92"/>
      <c r="H93" s="92"/>
      <c r="I93" s="92"/>
      <c r="J93" s="95"/>
    </row>
    <row r="94" spans="3:14" x14ac:dyDescent="0.25">
      <c r="C94" s="251" t="s">
        <v>162</v>
      </c>
      <c r="D94" s="252"/>
      <c r="E94" s="253"/>
      <c r="F94" s="51"/>
      <c r="G94" s="51" t="s">
        <v>167</v>
      </c>
      <c r="H94" s="137" t="s">
        <v>356</v>
      </c>
      <c r="I94" s="97"/>
      <c r="J94" s="98"/>
      <c r="K94" s="343"/>
      <c r="L94" s="343"/>
      <c r="M94" s="343"/>
      <c r="N94" s="343"/>
    </row>
    <row r="95" spans="3:14" ht="15.75" x14ac:dyDescent="0.25">
      <c r="C95" s="251" t="s">
        <v>163</v>
      </c>
      <c r="D95" s="252" t="s">
        <v>164</v>
      </c>
      <c r="E95" s="252" t="s">
        <v>165</v>
      </c>
      <c r="F95" s="51"/>
      <c r="G95" s="51" t="s">
        <v>168</v>
      </c>
      <c r="H95" s="247">
        <v>104</v>
      </c>
      <c r="I95" s="97"/>
      <c r="J95" s="98"/>
      <c r="K95" s="343"/>
      <c r="L95" s="343"/>
      <c r="M95" s="343"/>
      <c r="N95" s="343"/>
    </row>
    <row r="96" spans="3:14" ht="15.75" thickBot="1" x14ac:dyDescent="0.3">
      <c r="C96" s="93" t="s">
        <v>166</v>
      </c>
      <c r="D96" s="51"/>
      <c r="E96" s="51"/>
      <c r="F96" s="51"/>
      <c r="G96" s="51"/>
      <c r="H96" s="51"/>
      <c r="I96" s="51"/>
      <c r="J96" s="99"/>
      <c r="K96" s="343"/>
      <c r="L96" s="343"/>
      <c r="M96" s="343"/>
      <c r="N96" s="343"/>
    </row>
    <row r="97" spans="3:14" x14ac:dyDescent="0.25">
      <c r="C97" s="423" t="s">
        <v>357</v>
      </c>
      <c r="D97" s="424"/>
      <c r="E97" s="424"/>
      <c r="F97" s="424"/>
      <c r="G97" s="424"/>
      <c r="H97" s="424"/>
      <c r="I97" s="424"/>
      <c r="J97" s="425"/>
      <c r="K97" s="343"/>
      <c r="L97" s="343"/>
      <c r="M97" s="343"/>
      <c r="N97" s="343"/>
    </row>
    <row r="98" spans="3:14" x14ac:dyDescent="0.25">
      <c r="C98" s="426"/>
      <c r="D98" s="427"/>
      <c r="E98" s="427"/>
      <c r="F98" s="427"/>
      <c r="G98" s="427"/>
      <c r="H98" s="427"/>
      <c r="I98" s="427"/>
      <c r="J98" s="428"/>
      <c r="K98" s="343"/>
      <c r="L98" s="343"/>
      <c r="M98" s="343"/>
      <c r="N98" s="343"/>
    </row>
    <row r="99" spans="3:14" ht="15.75" thickBot="1" x14ac:dyDescent="0.3">
      <c r="C99" s="429"/>
      <c r="D99" s="430"/>
      <c r="E99" s="430"/>
      <c r="F99" s="430"/>
      <c r="G99" s="430"/>
      <c r="H99" s="430"/>
      <c r="I99" s="430"/>
      <c r="J99" s="431"/>
      <c r="K99" s="343"/>
      <c r="L99" s="343"/>
      <c r="M99" s="343"/>
      <c r="N99" s="343"/>
    </row>
    <row r="101" spans="3:14" ht="15.75" thickBot="1" x14ac:dyDescent="0.3"/>
    <row r="102" spans="3:14" x14ac:dyDescent="0.25">
      <c r="C102" s="255" t="s">
        <v>161</v>
      </c>
      <c r="D102" s="256">
        <f>D93+1</f>
        <v>12</v>
      </c>
      <c r="E102" s="256"/>
      <c r="F102" s="92"/>
      <c r="G102" s="92"/>
      <c r="H102" s="92"/>
      <c r="I102" s="92"/>
      <c r="J102" s="95"/>
    </row>
    <row r="103" spans="3:14" x14ac:dyDescent="0.25">
      <c r="C103" s="257" t="s">
        <v>162</v>
      </c>
      <c r="D103" s="258"/>
      <c r="E103" s="259"/>
      <c r="F103" s="51"/>
      <c r="G103" s="51" t="s">
        <v>167</v>
      </c>
      <c r="H103" s="137" t="s">
        <v>358</v>
      </c>
      <c r="I103" s="97"/>
      <c r="J103" s="98"/>
      <c r="K103" s="343"/>
      <c r="L103" s="343"/>
      <c r="M103" s="343"/>
    </row>
    <row r="104" spans="3:14" ht="15.75" x14ac:dyDescent="0.25">
      <c r="C104" s="257" t="s">
        <v>163</v>
      </c>
      <c r="D104" s="258" t="s">
        <v>164</v>
      </c>
      <c r="E104" s="258" t="s">
        <v>165</v>
      </c>
      <c r="F104" s="51"/>
      <c r="G104" s="51" t="s">
        <v>168</v>
      </c>
      <c r="H104" s="247">
        <v>112</v>
      </c>
      <c r="I104" s="97"/>
      <c r="J104" s="98"/>
      <c r="K104" s="343"/>
      <c r="L104" s="343"/>
      <c r="M104" s="343"/>
    </row>
    <row r="105" spans="3:14" ht="15.75" thickBot="1" x14ac:dyDescent="0.3">
      <c r="C105" s="93" t="s">
        <v>166</v>
      </c>
      <c r="D105" s="51"/>
      <c r="E105" s="51"/>
      <c r="F105" s="51"/>
      <c r="G105" s="51"/>
      <c r="H105" s="51"/>
      <c r="I105" s="51"/>
      <c r="J105" s="99"/>
      <c r="K105" s="343"/>
      <c r="L105" s="343"/>
      <c r="M105" s="343"/>
    </row>
    <row r="106" spans="3:14" x14ac:dyDescent="0.25">
      <c r="C106" s="423" t="s">
        <v>359</v>
      </c>
      <c r="D106" s="424"/>
      <c r="E106" s="424"/>
      <c r="F106" s="424"/>
      <c r="G106" s="424"/>
      <c r="H106" s="424"/>
      <c r="I106" s="424"/>
      <c r="J106" s="425"/>
      <c r="K106" s="343"/>
      <c r="L106" s="343"/>
      <c r="M106" s="343"/>
    </row>
    <row r="107" spans="3:14" x14ac:dyDescent="0.25">
      <c r="C107" s="426"/>
      <c r="D107" s="427"/>
      <c r="E107" s="427"/>
      <c r="F107" s="427"/>
      <c r="G107" s="427"/>
      <c r="H107" s="427"/>
      <c r="I107" s="427"/>
      <c r="J107" s="428"/>
      <c r="K107" s="343"/>
      <c r="L107" s="343"/>
      <c r="M107" s="343"/>
    </row>
    <row r="108" spans="3:14" ht="15.75" thickBot="1" x14ac:dyDescent="0.3">
      <c r="C108" s="429"/>
      <c r="D108" s="430"/>
      <c r="E108" s="430"/>
      <c r="F108" s="430"/>
      <c r="G108" s="430"/>
      <c r="H108" s="430"/>
      <c r="I108" s="430"/>
      <c r="J108" s="431"/>
    </row>
    <row r="110" spans="3:14" ht="15.75" thickBot="1" x14ac:dyDescent="0.3"/>
    <row r="111" spans="3:14" x14ac:dyDescent="0.25">
      <c r="C111" s="260" t="s">
        <v>161</v>
      </c>
      <c r="D111" s="261">
        <f>D102+1</f>
        <v>13</v>
      </c>
      <c r="E111" s="261"/>
      <c r="F111" s="92"/>
      <c r="G111" s="92"/>
      <c r="H111" s="92"/>
      <c r="I111" s="92"/>
      <c r="J111" s="95"/>
      <c r="K111" s="343"/>
      <c r="L111" s="343"/>
      <c r="M111" s="343"/>
    </row>
    <row r="112" spans="3:14" x14ac:dyDescent="0.25">
      <c r="C112" s="262" t="s">
        <v>162</v>
      </c>
      <c r="D112" s="263"/>
      <c r="E112" s="264"/>
      <c r="F112" s="51"/>
      <c r="G112" s="51" t="s">
        <v>167</v>
      </c>
      <c r="H112" s="137" t="s">
        <v>360</v>
      </c>
      <c r="I112" s="97"/>
      <c r="J112" s="98"/>
      <c r="K112" s="343"/>
      <c r="L112" s="343"/>
      <c r="M112" s="343"/>
    </row>
    <row r="113" spans="3:13" ht="15.75" x14ac:dyDescent="0.25">
      <c r="C113" s="262" t="s">
        <v>163</v>
      </c>
      <c r="D113" s="263" t="s">
        <v>164</v>
      </c>
      <c r="E113" s="263" t="s">
        <v>165</v>
      </c>
      <c r="F113" s="51"/>
      <c r="G113" s="51" t="s">
        <v>168</v>
      </c>
      <c r="H113" s="247">
        <v>109</v>
      </c>
      <c r="I113" s="97"/>
      <c r="J113" s="98"/>
      <c r="K113" s="343"/>
      <c r="L113" s="343"/>
      <c r="M113" s="343"/>
    </row>
    <row r="114" spans="3:13" ht="15.75" thickBot="1" x14ac:dyDescent="0.3">
      <c r="C114" s="93" t="s">
        <v>166</v>
      </c>
      <c r="D114" s="51"/>
      <c r="E114" s="51"/>
      <c r="F114" s="51"/>
      <c r="G114" s="51"/>
      <c r="H114" s="51"/>
      <c r="I114" s="51"/>
      <c r="J114" s="99"/>
      <c r="K114" s="343"/>
      <c r="L114" s="343"/>
      <c r="M114" s="343"/>
    </row>
    <row r="115" spans="3:13" x14ac:dyDescent="0.25">
      <c r="C115" s="423" t="s">
        <v>361</v>
      </c>
      <c r="D115" s="424"/>
      <c r="E115" s="424"/>
      <c r="F115" s="424"/>
      <c r="G115" s="424"/>
      <c r="H115" s="424"/>
      <c r="I115" s="424"/>
      <c r="J115" s="425"/>
      <c r="K115" s="343"/>
      <c r="L115" s="343"/>
      <c r="M115" s="343"/>
    </row>
    <row r="116" spans="3:13" x14ac:dyDescent="0.25">
      <c r="C116" s="426"/>
      <c r="D116" s="427"/>
      <c r="E116" s="427"/>
      <c r="F116" s="427"/>
      <c r="G116" s="427"/>
      <c r="H116" s="427"/>
      <c r="I116" s="427"/>
      <c r="J116" s="428"/>
      <c r="K116" s="343"/>
      <c r="L116" s="343"/>
      <c r="M116" s="343"/>
    </row>
    <row r="117" spans="3:13" ht="15.75" thickBot="1" x14ac:dyDescent="0.3">
      <c r="C117" s="429"/>
      <c r="D117" s="430"/>
      <c r="E117" s="430"/>
      <c r="F117" s="430"/>
      <c r="G117" s="430"/>
      <c r="H117" s="430"/>
      <c r="I117" s="430"/>
      <c r="J117" s="431"/>
    </row>
    <row r="119" spans="3:13" ht="15.75" thickBot="1" x14ac:dyDescent="0.3"/>
    <row r="120" spans="3:13" x14ac:dyDescent="0.25">
      <c r="C120" s="266" t="s">
        <v>161</v>
      </c>
      <c r="D120" s="267">
        <f>D111+1</f>
        <v>14</v>
      </c>
      <c r="E120" s="267"/>
      <c r="F120" s="92"/>
      <c r="G120" s="92"/>
      <c r="H120" s="92"/>
      <c r="I120" s="92"/>
      <c r="J120" s="95"/>
    </row>
    <row r="121" spans="3:13" x14ac:dyDescent="0.25">
      <c r="C121" s="268" t="s">
        <v>162</v>
      </c>
      <c r="D121" s="269"/>
      <c r="E121" s="270"/>
      <c r="F121" s="51"/>
      <c r="G121" s="51" t="s">
        <v>167</v>
      </c>
      <c r="H121" s="137" t="s">
        <v>363</v>
      </c>
      <c r="I121" s="97"/>
      <c r="J121" s="98"/>
      <c r="K121" s="343"/>
      <c r="L121" s="343"/>
      <c r="M121" s="343"/>
    </row>
    <row r="122" spans="3:13" ht="15.75" x14ac:dyDescent="0.25">
      <c r="C122" s="268" t="s">
        <v>163</v>
      </c>
      <c r="D122" s="269" t="s">
        <v>164</v>
      </c>
      <c r="E122" s="269" t="s">
        <v>165</v>
      </c>
      <c r="F122" s="51"/>
      <c r="G122" s="51" t="s">
        <v>168</v>
      </c>
      <c r="H122" s="247">
        <v>8</v>
      </c>
      <c r="I122" s="97"/>
      <c r="J122" s="98"/>
      <c r="K122" s="343"/>
      <c r="L122" s="343"/>
      <c r="M122" s="343"/>
    </row>
    <row r="123" spans="3:13" ht="15.75" thickBot="1" x14ac:dyDescent="0.3">
      <c r="C123" s="93" t="s">
        <v>166</v>
      </c>
      <c r="D123" s="51"/>
      <c r="E123" s="51"/>
      <c r="F123" s="51"/>
      <c r="G123" s="51"/>
      <c r="H123" s="51"/>
      <c r="I123" s="51"/>
      <c r="J123" s="99"/>
      <c r="K123" s="343"/>
      <c r="L123" s="343"/>
      <c r="M123" s="343"/>
    </row>
    <row r="124" spans="3:13" x14ac:dyDescent="0.25">
      <c r="C124" s="423" t="s">
        <v>362</v>
      </c>
      <c r="D124" s="424"/>
      <c r="E124" s="424"/>
      <c r="F124" s="424"/>
      <c r="G124" s="424"/>
      <c r="H124" s="424"/>
      <c r="I124" s="424"/>
      <c r="J124" s="425"/>
      <c r="K124" s="343"/>
      <c r="L124" s="343"/>
      <c r="M124" s="343"/>
    </row>
    <row r="125" spans="3:13" x14ac:dyDescent="0.25">
      <c r="C125" s="426"/>
      <c r="D125" s="427"/>
      <c r="E125" s="427"/>
      <c r="F125" s="427"/>
      <c r="G125" s="427"/>
      <c r="H125" s="427"/>
      <c r="I125" s="427"/>
      <c r="J125" s="428"/>
      <c r="K125" s="343"/>
      <c r="L125" s="343"/>
      <c r="M125" s="343"/>
    </row>
    <row r="126" spans="3:13" ht="15.75" thickBot="1" x14ac:dyDescent="0.3">
      <c r="C126" s="429"/>
      <c r="D126" s="430"/>
      <c r="E126" s="430"/>
      <c r="F126" s="430"/>
      <c r="G126" s="430"/>
      <c r="H126" s="430"/>
      <c r="I126" s="430"/>
      <c r="J126" s="431"/>
      <c r="K126" s="343"/>
      <c r="L126" s="343"/>
      <c r="M126" s="343"/>
    </row>
    <row r="128" spans="3:13" ht="15.75" thickBot="1" x14ac:dyDescent="0.3"/>
    <row r="129" spans="3:13" x14ac:dyDescent="0.25">
      <c r="C129" s="273" t="s">
        <v>161</v>
      </c>
      <c r="D129" s="274">
        <f>D120+1</f>
        <v>15</v>
      </c>
      <c r="E129" s="274"/>
      <c r="F129" s="92"/>
      <c r="G129" s="92"/>
      <c r="H129" s="92"/>
      <c r="I129" s="92"/>
      <c r="J129" s="95"/>
    </row>
    <row r="130" spans="3:13" x14ac:dyDescent="0.25">
      <c r="C130" s="275" t="s">
        <v>162</v>
      </c>
      <c r="D130" s="276"/>
      <c r="E130" s="277"/>
      <c r="F130" s="51"/>
      <c r="G130" s="51" t="s">
        <v>167</v>
      </c>
      <c r="H130" s="137" t="s">
        <v>364</v>
      </c>
      <c r="I130" s="97"/>
      <c r="J130" s="98"/>
      <c r="K130" s="343"/>
      <c r="L130" s="343"/>
      <c r="M130" s="343"/>
    </row>
    <row r="131" spans="3:13" ht="15.75" x14ac:dyDescent="0.25">
      <c r="C131" s="275" t="s">
        <v>163</v>
      </c>
      <c r="D131" s="276" t="s">
        <v>164</v>
      </c>
      <c r="E131" s="276" t="s">
        <v>165</v>
      </c>
      <c r="F131" s="51"/>
      <c r="G131" s="51" t="s">
        <v>168</v>
      </c>
      <c r="H131" s="247">
        <v>88</v>
      </c>
      <c r="I131" s="97"/>
      <c r="J131" s="98"/>
      <c r="K131" s="343"/>
      <c r="L131" s="343"/>
      <c r="M131" s="343"/>
    </row>
    <row r="132" spans="3:13" ht="15.75" thickBot="1" x14ac:dyDescent="0.3">
      <c r="C132" s="93" t="s">
        <v>166</v>
      </c>
      <c r="D132" s="51"/>
      <c r="E132" s="51"/>
      <c r="F132" s="51"/>
      <c r="G132" s="51"/>
      <c r="H132" s="51"/>
      <c r="I132" s="51"/>
      <c r="J132" s="99"/>
      <c r="K132" s="343"/>
      <c r="L132" s="343"/>
      <c r="M132" s="343"/>
    </row>
    <row r="133" spans="3:13" x14ac:dyDescent="0.25">
      <c r="C133" s="423" t="s">
        <v>365</v>
      </c>
      <c r="D133" s="424"/>
      <c r="E133" s="424"/>
      <c r="F133" s="424"/>
      <c r="G133" s="424"/>
      <c r="H133" s="424"/>
      <c r="I133" s="424"/>
      <c r="J133" s="425"/>
      <c r="K133" s="343"/>
      <c r="L133" s="343"/>
      <c r="M133" s="343"/>
    </row>
    <row r="134" spans="3:13" x14ac:dyDescent="0.25">
      <c r="C134" s="426"/>
      <c r="D134" s="427"/>
      <c r="E134" s="427"/>
      <c r="F134" s="427"/>
      <c r="G134" s="427"/>
      <c r="H134" s="427"/>
      <c r="I134" s="427"/>
      <c r="J134" s="428"/>
    </row>
    <row r="135" spans="3:13" ht="15.75" thickBot="1" x14ac:dyDescent="0.3">
      <c r="C135" s="429"/>
      <c r="D135" s="430"/>
      <c r="E135" s="430"/>
      <c r="F135" s="430"/>
      <c r="G135" s="430"/>
      <c r="H135" s="430"/>
      <c r="I135" s="430"/>
      <c r="J135" s="431"/>
    </row>
    <row r="137" spans="3:13" ht="15.75" thickBot="1" x14ac:dyDescent="0.3"/>
    <row r="138" spans="3:13" x14ac:dyDescent="0.25">
      <c r="C138" s="278" t="s">
        <v>161</v>
      </c>
      <c r="D138" s="279">
        <f>D129+1</f>
        <v>16</v>
      </c>
      <c r="E138" s="279"/>
      <c r="F138" s="92"/>
      <c r="G138" s="92"/>
      <c r="H138" s="92"/>
      <c r="I138" s="92"/>
      <c r="J138" s="95"/>
    </row>
    <row r="139" spans="3:13" x14ac:dyDescent="0.25">
      <c r="C139" s="280" t="s">
        <v>162</v>
      </c>
      <c r="D139" s="281"/>
      <c r="E139" s="282"/>
      <c r="F139" s="51"/>
      <c r="G139" s="51" t="s">
        <v>167</v>
      </c>
      <c r="H139" s="137" t="s">
        <v>366</v>
      </c>
      <c r="I139" s="97"/>
      <c r="J139" s="98"/>
      <c r="K139" s="343"/>
      <c r="L139" s="343"/>
      <c r="M139" s="343"/>
    </row>
    <row r="140" spans="3:13" ht="15.75" x14ac:dyDescent="0.25">
      <c r="C140" s="280" t="s">
        <v>163</v>
      </c>
      <c r="D140" s="281" t="s">
        <v>164</v>
      </c>
      <c r="E140" s="281" t="s">
        <v>165</v>
      </c>
      <c r="F140" s="51"/>
      <c r="G140" s="51" t="s">
        <v>168</v>
      </c>
      <c r="H140" s="247">
        <v>78</v>
      </c>
      <c r="I140" s="97"/>
      <c r="J140" s="98"/>
      <c r="K140" s="343"/>
      <c r="L140" s="343"/>
      <c r="M140" s="343"/>
    </row>
    <row r="141" spans="3:13" ht="15.75" thickBot="1" x14ac:dyDescent="0.3">
      <c r="C141" s="93" t="s">
        <v>166</v>
      </c>
      <c r="D141" s="51"/>
      <c r="E141" s="51"/>
      <c r="F141" s="51"/>
      <c r="G141" s="51"/>
      <c r="H141" s="51"/>
      <c r="I141" s="51"/>
      <c r="J141" s="99"/>
      <c r="K141" s="343"/>
      <c r="L141" s="343"/>
      <c r="M141" s="343"/>
    </row>
    <row r="142" spans="3:13" x14ac:dyDescent="0.25">
      <c r="C142" s="423" t="s">
        <v>367</v>
      </c>
      <c r="D142" s="424"/>
      <c r="E142" s="424"/>
      <c r="F142" s="424"/>
      <c r="G142" s="424"/>
      <c r="H142" s="424"/>
      <c r="I142" s="424"/>
      <c r="J142" s="425"/>
      <c r="K142" s="343"/>
      <c r="L142" s="343"/>
      <c r="M142" s="343"/>
    </row>
    <row r="143" spans="3:13" x14ac:dyDescent="0.25">
      <c r="C143" s="426"/>
      <c r="D143" s="427"/>
      <c r="E143" s="427"/>
      <c r="F143" s="427"/>
      <c r="G143" s="427"/>
      <c r="H143" s="427"/>
      <c r="I143" s="427"/>
      <c r="J143" s="428"/>
      <c r="K143" s="343"/>
      <c r="L143" s="343"/>
      <c r="M143" s="343"/>
    </row>
    <row r="144" spans="3:13" ht="15.75" thickBot="1" x14ac:dyDescent="0.3">
      <c r="C144" s="429"/>
      <c r="D144" s="430"/>
      <c r="E144" s="430"/>
      <c r="F144" s="430"/>
      <c r="G144" s="430"/>
      <c r="H144" s="430"/>
      <c r="I144" s="430"/>
      <c r="J144" s="431"/>
    </row>
    <row r="146" spans="3:13" ht="15.75" thickBot="1" x14ac:dyDescent="0.3"/>
    <row r="147" spans="3:13" x14ac:dyDescent="0.25">
      <c r="C147" s="284" t="s">
        <v>161</v>
      </c>
      <c r="D147" s="285">
        <f>D138+1</f>
        <v>17</v>
      </c>
      <c r="E147" s="285"/>
      <c r="F147" s="92"/>
      <c r="G147" s="92"/>
      <c r="H147" s="92"/>
      <c r="I147" s="92"/>
      <c r="J147" s="95"/>
      <c r="K147" s="346"/>
      <c r="L147" s="346"/>
      <c r="M147" s="346"/>
    </row>
    <row r="148" spans="3:13" x14ac:dyDescent="0.25">
      <c r="C148" s="286" t="s">
        <v>162</v>
      </c>
      <c r="D148" s="287"/>
      <c r="E148" s="288"/>
      <c r="F148" s="51"/>
      <c r="G148" s="51" t="s">
        <v>167</v>
      </c>
      <c r="H148" s="137"/>
      <c r="I148" s="97"/>
      <c r="J148" s="98"/>
      <c r="K148" s="346"/>
      <c r="L148" s="346"/>
      <c r="M148" s="346"/>
    </row>
    <row r="149" spans="3:13" ht="15.75" x14ac:dyDescent="0.25">
      <c r="C149" s="286" t="s">
        <v>163</v>
      </c>
      <c r="D149" s="287" t="s">
        <v>164</v>
      </c>
      <c r="E149" s="287" t="s">
        <v>165</v>
      </c>
      <c r="F149" s="51"/>
      <c r="G149" s="51" t="s">
        <v>168</v>
      </c>
      <c r="H149" s="247">
        <v>31</v>
      </c>
      <c r="I149" s="97"/>
      <c r="J149" s="98"/>
      <c r="K149" s="346"/>
      <c r="L149" s="346"/>
      <c r="M149" s="346"/>
    </row>
    <row r="150" spans="3:13" ht="15.75" thickBot="1" x14ac:dyDescent="0.3">
      <c r="C150" s="93" t="s">
        <v>166</v>
      </c>
      <c r="D150" s="51"/>
      <c r="E150" s="51"/>
      <c r="F150" s="51"/>
      <c r="G150" s="51"/>
      <c r="H150" s="51"/>
      <c r="I150" s="51"/>
      <c r="J150" s="99"/>
      <c r="K150" s="346"/>
      <c r="L150" s="346"/>
      <c r="M150" s="346"/>
    </row>
    <row r="151" spans="3:13" x14ac:dyDescent="0.25">
      <c r="C151" s="423" t="s">
        <v>390</v>
      </c>
      <c r="D151" s="424"/>
      <c r="E151" s="424"/>
      <c r="F151" s="424"/>
      <c r="G151" s="424"/>
      <c r="H151" s="424"/>
      <c r="I151" s="424"/>
      <c r="J151" s="425"/>
      <c r="K151" s="346"/>
      <c r="L151" s="346"/>
      <c r="M151" s="346"/>
    </row>
    <row r="152" spans="3:13" x14ac:dyDescent="0.25">
      <c r="C152" s="426"/>
      <c r="D152" s="427"/>
      <c r="E152" s="427"/>
      <c r="F152" s="427"/>
      <c r="G152" s="427"/>
      <c r="H152" s="427"/>
      <c r="I152" s="427"/>
      <c r="J152" s="428"/>
      <c r="K152" s="346"/>
      <c r="L152" s="346"/>
      <c r="M152" s="346"/>
    </row>
    <row r="153" spans="3:13" ht="15.75" thickBot="1" x14ac:dyDescent="0.3">
      <c r="C153" s="429"/>
      <c r="D153" s="430"/>
      <c r="E153" s="430"/>
      <c r="F153" s="430"/>
      <c r="G153" s="430"/>
      <c r="H153" s="430"/>
      <c r="I153" s="430"/>
      <c r="J153" s="431"/>
      <c r="K153" s="345"/>
      <c r="L153" s="345"/>
      <c r="M153" s="345"/>
    </row>
    <row r="154" spans="3:13" x14ac:dyDescent="0.25">
      <c r="K154" s="345"/>
      <c r="L154" s="345"/>
      <c r="M154" s="345"/>
    </row>
    <row r="155" spans="3:13" ht="15.75" thickBot="1" x14ac:dyDescent="0.3">
      <c r="K155" s="345"/>
      <c r="L155" s="345"/>
      <c r="M155" s="345"/>
    </row>
    <row r="156" spans="3:13" x14ac:dyDescent="0.25">
      <c r="C156" s="289" t="s">
        <v>161</v>
      </c>
      <c r="D156" s="290">
        <f>D147+1</f>
        <v>18</v>
      </c>
      <c r="E156" s="290"/>
      <c r="F156" s="92"/>
      <c r="G156" s="92"/>
      <c r="H156" s="92"/>
      <c r="I156" s="92"/>
      <c r="J156" s="95"/>
      <c r="K156" s="345"/>
      <c r="L156" s="345"/>
      <c r="M156" s="345"/>
    </row>
    <row r="157" spans="3:13" x14ac:dyDescent="0.25">
      <c r="C157" s="291" t="s">
        <v>162</v>
      </c>
      <c r="D157" s="292"/>
      <c r="E157" s="293"/>
      <c r="F157" s="51"/>
      <c r="G157" s="51" t="s">
        <v>167</v>
      </c>
      <c r="H157" s="137"/>
      <c r="I157" s="97"/>
      <c r="J157" s="98"/>
      <c r="K157" s="346"/>
      <c r="L157" s="346"/>
      <c r="M157" s="345"/>
    </row>
    <row r="158" spans="3:13" ht="15.75" x14ac:dyDescent="0.25">
      <c r="C158" s="291" t="s">
        <v>163</v>
      </c>
      <c r="D158" s="292" t="s">
        <v>164</v>
      </c>
      <c r="E158" s="292" t="s">
        <v>165</v>
      </c>
      <c r="F158" s="51"/>
      <c r="G158" s="51" t="s">
        <v>168</v>
      </c>
      <c r="H158" s="247">
        <v>34</v>
      </c>
      <c r="I158" s="97"/>
      <c r="J158" s="98"/>
      <c r="K158" s="346"/>
      <c r="L158" s="346"/>
      <c r="M158" s="345"/>
    </row>
    <row r="159" spans="3:13" ht="15.75" thickBot="1" x14ac:dyDescent="0.3">
      <c r="C159" s="93" t="s">
        <v>166</v>
      </c>
      <c r="D159" s="51"/>
      <c r="E159" s="51"/>
      <c r="F159" s="51"/>
      <c r="G159" s="51"/>
      <c r="H159" s="51"/>
      <c r="I159" s="51"/>
      <c r="J159" s="99"/>
      <c r="K159" s="346"/>
      <c r="L159" s="346"/>
      <c r="M159" s="345"/>
    </row>
    <row r="160" spans="3:13" x14ac:dyDescent="0.25">
      <c r="C160" s="423" t="s">
        <v>390</v>
      </c>
      <c r="D160" s="424"/>
      <c r="E160" s="424"/>
      <c r="F160" s="424"/>
      <c r="G160" s="424"/>
      <c r="H160" s="424"/>
      <c r="I160" s="424"/>
      <c r="J160" s="425"/>
      <c r="K160" s="346"/>
      <c r="L160" s="346"/>
      <c r="M160" s="345"/>
    </row>
    <row r="161" spans="3:13" x14ac:dyDescent="0.25">
      <c r="C161" s="426"/>
      <c r="D161" s="427"/>
      <c r="E161" s="427"/>
      <c r="F161" s="427"/>
      <c r="G161" s="427"/>
      <c r="H161" s="427"/>
      <c r="I161" s="427"/>
      <c r="J161" s="428"/>
      <c r="K161" s="346"/>
      <c r="L161" s="346"/>
      <c r="M161" s="345"/>
    </row>
    <row r="162" spans="3:13" ht="15.75" thickBot="1" x14ac:dyDescent="0.3">
      <c r="C162" s="429"/>
      <c r="D162" s="430"/>
      <c r="E162" s="430"/>
      <c r="F162" s="430"/>
      <c r="G162" s="430"/>
      <c r="H162" s="430"/>
      <c r="I162" s="430"/>
      <c r="J162" s="431"/>
      <c r="K162" s="346"/>
      <c r="L162" s="346"/>
      <c r="M162" s="345"/>
    </row>
    <row r="164" spans="3:13" ht="15.75" thickBot="1" x14ac:dyDescent="0.3"/>
    <row r="165" spans="3:13" x14ac:dyDescent="0.25">
      <c r="C165" s="294" t="s">
        <v>161</v>
      </c>
      <c r="D165" s="295">
        <f>D156+1</f>
        <v>19</v>
      </c>
      <c r="E165" s="295"/>
      <c r="F165" s="92"/>
      <c r="G165" s="92"/>
      <c r="H165" s="92"/>
      <c r="I165" s="92"/>
      <c r="J165" s="95"/>
      <c r="K165" s="343"/>
      <c r="L165" s="343"/>
      <c r="M165" s="343"/>
    </row>
    <row r="166" spans="3:13" x14ac:dyDescent="0.25">
      <c r="C166" s="296" t="s">
        <v>162</v>
      </c>
      <c r="D166" s="297"/>
      <c r="E166" s="298"/>
      <c r="F166" s="51"/>
      <c r="G166" s="51" t="s">
        <v>167</v>
      </c>
      <c r="H166" s="137" t="s">
        <v>391</v>
      </c>
      <c r="I166" s="97"/>
      <c r="J166" s="98"/>
      <c r="K166" s="343"/>
      <c r="L166" s="343"/>
      <c r="M166" s="343"/>
    </row>
    <row r="167" spans="3:13" ht="15.75" x14ac:dyDescent="0.25">
      <c r="C167" s="296" t="s">
        <v>163</v>
      </c>
      <c r="D167" s="297" t="s">
        <v>164</v>
      </c>
      <c r="E167" s="297" t="s">
        <v>165</v>
      </c>
      <c r="F167" s="51"/>
      <c r="G167" s="51" t="s">
        <v>168</v>
      </c>
      <c r="H167" s="247">
        <v>68</v>
      </c>
      <c r="I167" s="97"/>
      <c r="J167" s="98"/>
      <c r="K167" s="343"/>
      <c r="L167" s="343"/>
      <c r="M167" s="343"/>
    </row>
    <row r="168" spans="3:13" ht="15.75" thickBot="1" x14ac:dyDescent="0.3">
      <c r="C168" s="93" t="s">
        <v>166</v>
      </c>
      <c r="D168" s="51"/>
      <c r="E168" s="51"/>
      <c r="F168" s="51"/>
      <c r="G168" s="51"/>
      <c r="H168" s="51"/>
      <c r="I168" s="51"/>
      <c r="J168" s="99"/>
      <c r="K168" s="343"/>
      <c r="L168" s="343"/>
      <c r="M168" s="343"/>
    </row>
    <row r="169" spans="3:13" x14ac:dyDescent="0.25">
      <c r="C169" s="423" t="s">
        <v>474</v>
      </c>
      <c r="D169" s="424"/>
      <c r="E169" s="424"/>
      <c r="F169" s="424"/>
      <c r="G169" s="424"/>
      <c r="H169" s="424"/>
      <c r="I169" s="424"/>
      <c r="J169" s="425"/>
      <c r="K169" s="343"/>
      <c r="L169" s="343"/>
      <c r="M169" s="343"/>
    </row>
    <row r="170" spans="3:13" x14ac:dyDescent="0.25">
      <c r="C170" s="426"/>
      <c r="D170" s="427"/>
      <c r="E170" s="427"/>
      <c r="F170" s="427"/>
      <c r="G170" s="427"/>
      <c r="H170" s="427"/>
      <c r="I170" s="427"/>
      <c r="J170" s="428"/>
      <c r="K170" s="343"/>
      <c r="L170" s="343"/>
      <c r="M170" s="343"/>
    </row>
    <row r="171" spans="3:13" ht="15.75" thickBot="1" x14ac:dyDescent="0.3">
      <c r="C171" s="429"/>
      <c r="D171" s="430"/>
      <c r="E171" s="430"/>
      <c r="F171" s="430"/>
      <c r="G171" s="430"/>
      <c r="H171" s="430"/>
      <c r="I171" s="430"/>
      <c r="J171" s="431"/>
    </row>
    <row r="173" spans="3:13" ht="15.75" thickBot="1" x14ac:dyDescent="0.3"/>
    <row r="174" spans="3:13" x14ac:dyDescent="0.25">
      <c r="C174" s="299" t="s">
        <v>161</v>
      </c>
      <c r="D174" s="300">
        <f>D165+1</f>
        <v>20</v>
      </c>
      <c r="E174" s="300"/>
      <c r="F174" s="92"/>
      <c r="G174" s="92"/>
      <c r="H174" s="92"/>
      <c r="I174" s="92"/>
      <c r="J174" s="95"/>
    </row>
    <row r="175" spans="3:13" x14ac:dyDescent="0.25">
      <c r="C175" s="301" t="s">
        <v>162</v>
      </c>
      <c r="D175" s="302"/>
      <c r="E175" s="303"/>
      <c r="F175" s="51"/>
      <c r="G175" s="51" t="s">
        <v>167</v>
      </c>
      <c r="H175" s="137" t="s">
        <v>393</v>
      </c>
      <c r="I175" s="97"/>
      <c r="J175" s="98"/>
      <c r="K175" s="343"/>
      <c r="L175" s="343"/>
      <c r="M175" s="343"/>
    </row>
    <row r="176" spans="3:13" ht="15.75" x14ac:dyDescent="0.25">
      <c r="C176" s="301" t="s">
        <v>163</v>
      </c>
      <c r="D176" s="302" t="s">
        <v>164</v>
      </c>
      <c r="E176" s="302" t="s">
        <v>165</v>
      </c>
      <c r="F176" s="51"/>
      <c r="G176" s="51" t="s">
        <v>168</v>
      </c>
      <c r="H176" s="247">
        <v>102</v>
      </c>
      <c r="I176" s="97"/>
      <c r="J176" s="98"/>
      <c r="K176" s="343"/>
      <c r="L176" s="343"/>
      <c r="M176" s="343"/>
    </row>
    <row r="177" spans="3:13" ht="15.75" thickBot="1" x14ac:dyDescent="0.3">
      <c r="C177" s="93" t="s">
        <v>166</v>
      </c>
      <c r="D177" s="51"/>
      <c r="E177" s="51"/>
      <c r="F177" s="51"/>
      <c r="G177" s="51"/>
      <c r="H177" s="51"/>
      <c r="I177" s="51"/>
      <c r="J177" s="99"/>
      <c r="K177" s="343"/>
      <c r="L177" s="343"/>
      <c r="M177" s="343"/>
    </row>
    <row r="178" spans="3:13" x14ac:dyDescent="0.25">
      <c r="C178" s="423" t="s">
        <v>392</v>
      </c>
      <c r="D178" s="424"/>
      <c r="E178" s="424"/>
      <c r="F178" s="424"/>
      <c r="G178" s="424"/>
      <c r="H178" s="424"/>
      <c r="I178" s="424"/>
      <c r="J178" s="425"/>
      <c r="K178" s="343"/>
      <c r="L178" s="343"/>
      <c r="M178" s="343"/>
    </row>
    <row r="179" spans="3:13" x14ac:dyDescent="0.25">
      <c r="C179" s="426"/>
      <c r="D179" s="427"/>
      <c r="E179" s="427"/>
      <c r="F179" s="427"/>
      <c r="G179" s="427"/>
      <c r="H179" s="427"/>
      <c r="I179" s="427"/>
      <c r="J179" s="428"/>
      <c r="K179" s="343"/>
      <c r="L179" s="343"/>
      <c r="M179" s="343"/>
    </row>
    <row r="180" spans="3:13" ht="15.75" thickBot="1" x14ac:dyDescent="0.3">
      <c r="C180" s="429"/>
      <c r="D180" s="430"/>
      <c r="E180" s="430"/>
      <c r="F180" s="430"/>
      <c r="G180" s="430"/>
      <c r="H180" s="430"/>
      <c r="I180" s="430"/>
      <c r="J180" s="431"/>
    </row>
    <row r="182" spans="3:13" ht="15.75" thickBot="1" x14ac:dyDescent="0.3"/>
    <row r="183" spans="3:13" x14ac:dyDescent="0.25">
      <c r="C183" s="306" t="s">
        <v>161</v>
      </c>
      <c r="D183" s="307">
        <f>D174+1</f>
        <v>21</v>
      </c>
      <c r="E183" s="307"/>
      <c r="F183" s="92"/>
      <c r="G183" s="92"/>
      <c r="H183" s="92"/>
      <c r="I183" s="92"/>
      <c r="J183" s="95"/>
      <c r="K183" s="343"/>
      <c r="L183" s="343"/>
      <c r="M183" s="343"/>
    </row>
    <row r="184" spans="3:13" x14ac:dyDescent="0.25">
      <c r="C184" s="308" t="s">
        <v>162</v>
      </c>
      <c r="D184" s="309"/>
      <c r="E184" s="310"/>
      <c r="F184" s="51"/>
      <c r="G184" s="51" t="s">
        <v>167</v>
      </c>
      <c r="H184" s="137" t="s">
        <v>252</v>
      </c>
      <c r="I184" s="97"/>
      <c r="J184" s="98"/>
      <c r="K184" s="343"/>
      <c r="L184" s="343"/>
      <c r="M184" s="343"/>
    </row>
    <row r="185" spans="3:13" ht="15.75" x14ac:dyDescent="0.25">
      <c r="C185" s="308" t="s">
        <v>163</v>
      </c>
      <c r="D185" s="309" t="s">
        <v>164</v>
      </c>
      <c r="E185" s="309" t="s">
        <v>165</v>
      </c>
      <c r="F185" s="51"/>
      <c r="G185" s="51" t="s">
        <v>168</v>
      </c>
      <c r="H185" s="247">
        <v>39</v>
      </c>
      <c r="I185" s="97"/>
      <c r="J185" s="98"/>
      <c r="K185" s="343"/>
      <c r="L185" s="343"/>
      <c r="M185" s="343"/>
    </row>
    <row r="186" spans="3:13" ht="15.75" thickBot="1" x14ac:dyDescent="0.3">
      <c r="C186" s="93" t="s">
        <v>166</v>
      </c>
      <c r="D186" s="51"/>
      <c r="E186" s="51"/>
      <c r="F186" s="51"/>
      <c r="G186" s="51"/>
      <c r="H186" s="51"/>
      <c r="I186" s="51"/>
      <c r="J186" s="99"/>
      <c r="K186" s="343"/>
      <c r="L186" s="343"/>
      <c r="M186" s="343"/>
    </row>
    <row r="187" spans="3:13" x14ac:dyDescent="0.25">
      <c r="C187" s="423" t="s">
        <v>395</v>
      </c>
      <c r="D187" s="424"/>
      <c r="E187" s="424"/>
      <c r="F187" s="424"/>
      <c r="G187" s="424"/>
      <c r="H187" s="424"/>
      <c r="I187" s="424"/>
      <c r="J187" s="425"/>
      <c r="K187" s="343"/>
      <c r="L187" s="343"/>
      <c r="M187" s="343"/>
    </row>
    <row r="188" spans="3:13" x14ac:dyDescent="0.25">
      <c r="C188" s="426"/>
      <c r="D188" s="427"/>
      <c r="E188" s="427"/>
      <c r="F188" s="427"/>
      <c r="G188" s="427"/>
      <c r="H188" s="427"/>
      <c r="I188" s="427"/>
      <c r="J188" s="428"/>
      <c r="K188" s="343"/>
      <c r="L188" s="343"/>
      <c r="M188" s="343"/>
    </row>
    <row r="189" spans="3:13" ht="15.75" thickBot="1" x14ac:dyDescent="0.3">
      <c r="C189" s="429"/>
      <c r="D189" s="430"/>
      <c r="E189" s="430"/>
      <c r="F189" s="430"/>
      <c r="G189" s="430"/>
      <c r="H189" s="430"/>
      <c r="I189" s="430"/>
      <c r="J189" s="431"/>
    </row>
    <row r="191" spans="3:13" ht="15.75" thickBot="1" x14ac:dyDescent="0.3"/>
    <row r="192" spans="3:13" x14ac:dyDescent="0.25">
      <c r="C192" s="311" t="s">
        <v>161</v>
      </c>
      <c r="D192" s="312">
        <f>D183+1</f>
        <v>22</v>
      </c>
      <c r="E192" s="312"/>
      <c r="F192" s="92"/>
      <c r="G192" s="92"/>
      <c r="H192" s="92"/>
      <c r="I192" s="92"/>
      <c r="J192" s="95"/>
    </row>
    <row r="193" spans="3:13" x14ac:dyDescent="0.25">
      <c r="C193" s="313" t="s">
        <v>162</v>
      </c>
      <c r="D193" s="314"/>
      <c r="E193" s="315"/>
      <c r="F193" s="51"/>
      <c r="G193" s="51" t="s">
        <v>167</v>
      </c>
      <c r="H193" s="137"/>
      <c r="I193" s="97"/>
      <c r="J193" s="98"/>
    </row>
    <row r="194" spans="3:13" ht="15.75" x14ac:dyDescent="0.25">
      <c r="C194" s="313" t="s">
        <v>163</v>
      </c>
      <c r="D194" s="314" t="s">
        <v>164</v>
      </c>
      <c r="E194" s="314" t="s">
        <v>165</v>
      </c>
      <c r="F194" s="51"/>
      <c r="G194" s="51" t="s">
        <v>168</v>
      </c>
      <c r="H194" s="247">
        <v>115</v>
      </c>
      <c r="I194" s="97"/>
      <c r="J194" s="98"/>
      <c r="K194" s="343"/>
      <c r="L194" s="343"/>
      <c r="M194" s="343"/>
    </row>
    <row r="195" spans="3:13" ht="15.75" thickBot="1" x14ac:dyDescent="0.3">
      <c r="C195" s="93" t="s">
        <v>166</v>
      </c>
      <c r="D195" s="51"/>
      <c r="E195" s="51"/>
      <c r="F195" s="51"/>
      <c r="G195" s="51"/>
      <c r="H195" s="51"/>
      <c r="I195" s="51"/>
      <c r="J195" s="99"/>
      <c r="K195" s="343"/>
      <c r="L195" s="343"/>
      <c r="M195" s="343"/>
    </row>
    <row r="196" spans="3:13" x14ac:dyDescent="0.25">
      <c r="C196" s="423" t="s">
        <v>396</v>
      </c>
      <c r="D196" s="424"/>
      <c r="E196" s="424"/>
      <c r="F196" s="424"/>
      <c r="G196" s="424"/>
      <c r="H196" s="424"/>
      <c r="I196" s="424"/>
      <c r="J196" s="425"/>
      <c r="K196" s="343"/>
      <c r="L196" s="343"/>
      <c r="M196" s="343"/>
    </row>
    <row r="197" spans="3:13" x14ac:dyDescent="0.25">
      <c r="C197" s="426"/>
      <c r="D197" s="427"/>
      <c r="E197" s="427"/>
      <c r="F197" s="427"/>
      <c r="G197" s="427"/>
      <c r="H197" s="427"/>
      <c r="I197" s="427"/>
      <c r="J197" s="428"/>
      <c r="K197" s="343"/>
      <c r="L197" s="343"/>
      <c r="M197" s="343"/>
    </row>
    <row r="198" spans="3:13" ht="15.75" thickBot="1" x14ac:dyDescent="0.3">
      <c r="C198" s="429"/>
      <c r="D198" s="430"/>
      <c r="E198" s="430"/>
      <c r="F198" s="430"/>
      <c r="G198" s="430"/>
      <c r="H198" s="430"/>
      <c r="I198" s="430"/>
      <c r="J198" s="431"/>
    </row>
    <row r="200" spans="3:13" ht="15.75" thickBot="1" x14ac:dyDescent="0.3"/>
    <row r="201" spans="3:13" x14ac:dyDescent="0.25">
      <c r="C201" s="316" t="s">
        <v>161</v>
      </c>
      <c r="D201" s="317">
        <f>D192+1</f>
        <v>23</v>
      </c>
      <c r="E201" s="317"/>
      <c r="F201" s="92"/>
      <c r="G201" s="92"/>
      <c r="H201" s="92"/>
      <c r="I201" s="92"/>
      <c r="J201" s="95"/>
      <c r="K201" s="343"/>
      <c r="L201" s="343"/>
      <c r="M201" s="343"/>
    </row>
    <row r="202" spans="3:13" x14ac:dyDescent="0.25">
      <c r="C202" s="318" t="s">
        <v>162</v>
      </c>
      <c r="D202" s="319"/>
      <c r="E202" s="320"/>
      <c r="F202" s="51"/>
      <c r="G202" s="51" t="s">
        <v>167</v>
      </c>
      <c r="H202" s="137" t="s">
        <v>398</v>
      </c>
      <c r="I202" s="97"/>
      <c r="J202" s="98"/>
      <c r="K202" s="343"/>
      <c r="L202" s="343"/>
      <c r="M202" s="343"/>
    </row>
    <row r="203" spans="3:13" ht="15.75" x14ac:dyDescent="0.25">
      <c r="C203" s="318" t="s">
        <v>163</v>
      </c>
      <c r="D203" s="319" t="s">
        <v>164</v>
      </c>
      <c r="E203" s="319" t="s">
        <v>165</v>
      </c>
      <c r="F203" s="51"/>
      <c r="G203" s="51" t="s">
        <v>168</v>
      </c>
      <c r="H203" s="247">
        <v>119</v>
      </c>
      <c r="I203" s="97"/>
      <c r="J203" s="98"/>
      <c r="K203" s="343"/>
      <c r="L203" s="343"/>
      <c r="M203" s="343"/>
    </row>
    <row r="204" spans="3:13" ht="15.75" thickBot="1" x14ac:dyDescent="0.3">
      <c r="C204" s="93" t="s">
        <v>166</v>
      </c>
      <c r="D204" s="51"/>
      <c r="E204" s="51"/>
      <c r="F204" s="51"/>
      <c r="G204" s="51"/>
      <c r="H204" s="51"/>
      <c r="I204" s="51"/>
      <c r="J204" s="99"/>
      <c r="K204" s="343"/>
      <c r="L204" s="343"/>
      <c r="M204" s="343"/>
    </row>
    <row r="205" spans="3:13" x14ac:dyDescent="0.25">
      <c r="C205" s="423" t="s">
        <v>397</v>
      </c>
      <c r="D205" s="424"/>
      <c r="E205" s="424"/>
      <c r="F205" s="424"/>
      <c r="G205" s="424"/>
      <c r="H205" s="424"/>
      <c r="I205" s="424"/>
      <c r="J205" s="425"/>
      <c r="K205" s="343"/>
      <c r="L205" s="343"/>
      <c r="M205" s="343"/>
    </row>
    <row r="206" spans="3:13" x14ac:dyDescent="0.25">
      <c r="C206" s="426"/>
      <c r="D206" s="427"/>
      <c r="E206" s="427"/>
      <c r="F206" s="427"/>
      <c r="G206" s="427"/>
      <c r="H206" s="427"/>
      <c r="I206" s="427"/>
      <c r="J206" s="428"/>
      <c r="K206" s="343"/>
      <c r="L206" s="343"/>
      <c r="M206" s="343"/>
    </row>
    <row r="207" spans="3:13" ht="15.75" thickBot="1" x14ac:dyDescent="0.3">
      <c r="C207" s="429"/>
      <c r="D207" s="430"/>
      <c r="E207" s="430"/>
      <c r="F207" s="430"/>
      <c r="G207" s="430"/>
      <c r="H207" s="430"/>
      <c r="I207" s="430"/>
      <c r="J207" s="431"/>
      <c r="K207" s="343"/>
      <c r="L207" s="343"/>
      <c r="M207" s="343"/>
    </row>
    <row r="209" spans="3:13" ht="15.75" thickBot="1" x14ac:dyDescent="0.3"/>
    <row r="210" spans="3:13" x14ac:dyDescent="0.25">
      <c r="C210" s="326" t="s">
        <v>161</v>
      </c>
      <c r="D210" s="92">
        <f>D201+1</f>
        <v>24</v>
      </c>
      <c r="E210" s="92"/>
      <c r="F210" s="92"/>
      <c r="G210" s="92"/>
      <c r="H210" s="92"/>
      <c r="I210" s="92"/>
      <c r="J210" s="95"/>
    </row>
    <row r="211" spans="3:13" x14ac:dyDescent="0.25">
      <c r="C211" s="93" t="s">
        <v>162</v>
      </c>
      <c r="D211" s="51"/>
      <c r="E211" s="96"/>
      <c r="F211" s="51"/>
      <c r="G211" s="51" t="s">
        <v>167</v>
      </c>
      <c r="H211" s="137" t="s">
        <v>403</v>
      </c>
      <c r="I211" s="97"/>
      <c r="J211" s="98"/>
      <c r="K211" s="343"/>
      <c r="L211" s="343"/>
      <c r="M211" s="343"/>
    </row>
    <row r="212" spans="3:13" ht="15.75" x14ac:dyDescent="0.25">
      <c r="C212" s="93" t="s">
        <v>163</v>
      </c>
      <c r="D212" s="51" t="s">
        <v>164</v>
      </c>
      <c r="E212" s="51" t="s">
        <v>165</v>
      </c>
      <c r="F212" s="51"/>
      <c r="G212" s="51" t="s">
        <v>168</v>
      </c>
      <c r="H212" s="247">
        <v>130</v>
      </c>
      <c r="I212" s="97"/>
      <c r="J212" s="98"/>
      <c r="K212" s="343"/>
      <c r="L212" s="343"/>
      <c r="M212" s="343"/>
    </row>
    <row r="213" spans="3:13" ht="15.75" thickBot="1" x14ac:dyDescent="0.3">
      <c r="C213" s="93" t="s">
        <v>166</v>
      </c>
      <c r="D213" s="51"/>
      <c r="E213" s="51"/>
      <c r="F213" s="51"/>
      <c r="G213" s="51"/>
      <c r="H213" s="51"/>
      <c r="I213" s="51"/>
      <c r="J213" s="99"/>
      <c r="K213" s="343"/>
      <c r="L213" s="343"/>
      <c r="M213" s="343"/>
    </row>
    <row r="214" spans="3:13" x14ac:dyDescent="0.25">
      <c r="C214" s="423" t="s">
        <v>402</v>
      </c>
      <c r="D214" s="424"/>
      <c r="E214" s="424"/>
      <c r="F214" s="424"/>
      <c r="G214" s="424"/>
      <c r="H214" s="424"/>
      <c r="I214" s="424"/>
      <c r="J214" s="425"/>
      <c r="K214" s="343"/>
      <c r="L214" s="343"/>
      <c r="M214" s="343"/>
    </row>
    <row r="215" spans="3:13" x14ac:dyDescent="0.25">
      <c r="C215" s="426"/>
      <c r="D215" s="427"/>
      <c r="E215" s="427"/>
      <c r="F215" s="427"/>
      <c r="G215" s="427"/>
      <c r="H215" s="427"/>
      <c r="I215" s="427"/>
      <c r="J215" s="428"/>
      <c r="K215" s="343"/>
      <c r="L215" s="343"/>
      <c r="M215" s="343"/>
    </row>
    <row r="216" spans="3:13" ht="15.75" thickBot="1" x14ac:dyDescent="0.3">
      <c r="C216" s="429"/>
      <c r="D216" s="430"/>
      <c r="E216" s="430"/>
      <c r="F216" s="430"/>
      <c r="G216" s="430"/>
      <c r="H216" s="430"/>
      <c r="I216" s="430"/>
      <c r="J216" s="431"/>
      <c r="K216" s="343"/>
      <c r="L216" s="343"/>
      <c r="M216" s="343"/>
    </row>
    <row r="217" spans="3:13" ht="15.75" thickBot="1" x14ac:dyDescent="0.3"/>
    <row r="218" spans="3:13" x14ac:dyDescent="0.25">
      <c r="C218" s="321" t="s">
        <v>161</v>
      </c>
      <c r="D218" s="322">
        <f>D201+1</f>
        <v>24</v>
      </c>
      <c r="E218" s="322"/>
      <c r="F218" s="92"/>
      <c r="G218" s="92"/>
      <c r="H218" s="92"/>
      <c r="I218" s="92"/>
      <c r="J218" s="95"/>
    </row>
    <row r="219" spans="3:13" x14ac:dyDescent="0.25">
      <c r="C219" s="323" t="s">
        <v>162</v>
      </c>
      <c r="D219" s="324"/>
      <c r="E219" s="325"/>
      <c r="F219" s="51"/>
      <c r="G219" s="51" t="s">
        <v>167</v>
      </c>
      <c r="H219" s="137" t="s">
        <v>400</v>
      </c>
      <c r="I219" s="97"/>
      <c r="J219" s="98"/>
      <c r="K219" s="343"/>
      <c r="L219" s="343"/>
      <c r="M219" s="343"/>
    </row>
    <row r="220" spans="3:13" ht="15.75" x14ac:dyDescent="0.25">
      <c r="C220" s="323" t="s">
        <v>163</v>
      </c>
      <c r="D220" s="324" t="s">
        <v>164</v>
      </c>
      <c r="E220" s="324" t="s">
        <v>165</v>
      </c>
      <c r="F220" s="51"/>
      <c r="G220" s="51" t="s">
        <v>168</v>
      </c>
      <c r="H220" s="247">
        <v>61</v>
      </c>
      <c r="I220" s="97"/>
      <c r="J220" s="98"/>
      <c r="K220" s="343"/>
      <c r="L220" s="343"/>
      <c r="M220" s="343"/>
    </row>
    <row r="221" spans="3:13" ht="15.75" thickBot="1" x14ac:dyDescent="0.3">
      <c r="C221" s="323" t="s">
        <v>166</v>
      </c>
      <c r="D221" s="324"/>
      <c r="E221" s="324"/>
      <c r="F221" s="51"/>
      <c r="G221" s="51"/>
      <c r="H221" s="51"/>
      <c r="I221" s="51"/>
      <c r="J221" s="99"/>
      <c r="K221" s="343"/>
      <c r="L221" s="343"/>
      <c r="M221" s="343"/>
    </row>
    <row r="222" spans="3:13" x14ac:dyDescent="0.25">
      <c r="C222" s="423" t="s">
        <v>399</v>
      </c>
      <c r="D222" s="424"/>
      <c r="E222" s="424"/>
      <c r="F222" s="424"/>
      <c r="G222" s="424"/>
      <c r="H222" s="424"/>
      <c r="I222" s="424"/>
      <c r="J222" s="425"/>
      <c r="K222" s="343"/>
      <c r="L222" s="343"/>
      <c r="M222" s="343"/>
    </row>
    <row r="223" spans="3:13" x14ac:dyDescent="0.25">
      <c r="C223" s="426"/>
      <c r="D223" s="427"/>
      <c r="E223" s="427"/>
      <c r="F223" s="427"/>
      <c r="G223" s="427"/>
      <c r="H223" s="427"/>
      <c r="I223" s="427"/>
      <c r="J223" s="428"/>
      <c r="K223" s="343"/>
      <c r="L223" s="343"/>
      <c r="M223" s="343"/>
    </row>
    <row r="224" spans="3:13" ht="15.75" thickBot="1" x14ac:dyDescent="0.3">
      <c r="C224" s="429"/>
      <c r="D224" s="430"/>
      <c r="E224" s="430"/>
      <c r="F224" s="430"/>
      <c r="G224" s="430"/>
      <c r="H224" s="430"/>
      <c r="I224" s="430"/>
      <c r="J224" s="431"/>
      <c r="K224" s="343"/>
      <c r="L224" s="343"/>
      <c r="M224" s="343"/>
    </row>
    <row r="226" spans="3:13" ht="15.75" thickBot="1" x14ac:dyDescent="0.3"/>
    <row r="227" spans="3:13" x14ac:dyDescent="0.25">
      <c r="C227" s="326" t="s">
        <v>161</v>
      </c>
      <c r="D227" s="92">
        <f>D218+1</f>
        <v>25</v>
      </c>
      <c r="E227" s="92"/>
      <c r="F227" s="92"/>
      <c r="G227" s="92"/>
      <c r="H227" s="92"/>
      <c r="I227" s="92"/>
      <c r="J227" s="95"/>
      <c r="K227" s="343"/>
      <c r="L227" s="343"/>
      <c r="M227" s="343"/>
    </row>
    <row r="228" spans="3:13" x14ac:dyDescent="0.25">
      <c r="C228" s="93" t="s">
        <v>162</v>
      </c>
      <c r="D228" s="51"/>
      <c r="E228" s="96"/>
      <c r="F228" s="51"/>
      <c r="G228" s="51" t="s">
        <v>167</v>
      </c>
      <c r="H228" s="137"/>
      <c r="I228" s="97"/>
      <c r="J228" s="98"/>
      <c r="K228" s="343"/>
      <c r="L228" s="343"/>
      <c r="M228" s="343"/>
    </row>
    <row r="229" spans="3:13" ht="15.75" x14ac:dyDescent="0.25">
      <c r="C229" s="93" t="s">
        <v>163</v>
      </c>
      <c r="D229" s="51" t="s">
        <v>164</v>
      </c>
      <c r="E229" s="51" t="s">
        <v>165</v>
      </c>
      <c r="F229" s="51"/>
      <c r="G229" s="51" t="s">
        <v>168</v>
      </c>
      <c r="H229" s="247">
        <v>70</v>
      </c>
      <c r="I229" s="97"/>
      <c r="J229" s="98"/>
      <c r="K229" s="343"/>
      <c r="L229" s="343"/>
      <c r="M229" s="343"/>
    </row>
    <row r="230" spans="3:13" ht="15.75" thickBot="1" x14ac:dyDescent="0.3">
      <c r="C230" s="93" t="s">
        <v>166</v>
      </c>
      <c r="D230" s="51"/>
      <c r="E230" s="51"/>
      <c r="F230" s="51"/>
      <c r="G230" s="51"/>
      <c r="H230" s="51"/>
      <c r="I230" s="51"/>
      <c r="J230" s="99"/>
      <c r="K230" s="343"/>
      <c r="L230" s="343"/>
      <c r="M230" s="343"/>
    </row>
    <row r="231" spans="3:13" x14ac:dyDescent="0.25">
      <c r="C231" s="423" t="s">
        <v>401</v>
      </c>
      <c r="D231" s="424"/>
      <c r="E231" s="424"/>
      <c r="F231" s="424"/>
      <c r="G231" s="424"/>
      <c r="H231" s="424"/>
      <c r="I231" s="424"/>
      <c r="J231" s="425"/>
      <c r="K231" s="343"/>
      <c r="L231" s="343"/>
      <c r="M231" s="343"/>
    </row>
    <row r="232" spans="3:13" x14ac:dyDescent="0.25">
      <c r="C232" s="426"/>
      <c r="D232" s="427"/>
      <c r="E232" s="427"/>
      <c r="F232" s="427"/>
      <c r="G232" s="427"/>
      <c r="H232" s="427"/>
      <c r="I232" s="427"/>
      <c r="J232" s="428"/>
      <c r="K232" s="343"/>
      <c r="L232" s="343"/>
      <c r="M232" s="343"/>
    </row>
    <row r="233" spans="3:13" ht="15.75" thickBot="1" x14ac:dyDescent="0.3">
      <c r="C233" s="429"/>
      <c r="D233" s="430"/>
      <c r="E233" s="430"/>
      <c r="F233" s="430"/>
      <c r="G233" s="430"/>
      <c r="H233" s="430"/>
      <c r="I233" s="430"/>
      <c r="J233" s="431"/>
      <c r="K233" s="343"/>
      <c r="L233" s="343"/>
      <c r="M233" s="343"/>
    </row>
    <row r="236" spans="3:13" ht="15.75" thickBot="1" x14ac:dyDescent="0.3"/>
    <row r="237" spans="3:13" x14ac:dyDescent="0.25">
      <c r="C237" s="326" t="s">
        <v>161</v>
      </c>
      <c r="D237" s="92">
        <f>D227+1</f>
        <v>26</v>
      </c>
      <c r="E237" s="92"/>
      <c r="F237" s="92"/>
      <c r="G237" s="92"/>
      <c r="H237" s="92"/>
      <c r="I237" s="92"/>
      <c r="J237" s="95"/>
      <c r="K237" s="343"/>
      <c r="L237" s="343"/>
      <c r="M237" s="343"/>
    </row>
    <row r="238" spans="3:13" x14ac:dyDescent="0.25">
      <c r="C238" s="93" t="s">
        <v>162</v>
      </c>
      <c r="D238" s="51"/>
      <c r="E238" s="96"/>
      <c r="F238" s="51"/>
      <c r="G238" s="51" t="s">
        <v>167</v>
      </c>
      <c r="H238" s="137"/>
      <c r="I238" s="97"/>
      <c r="J238" s="98"/>
      <c r="K238" s="343"/>
      <c r="L238" s="343"/>
      <c r="M238" s="343"/>
    </row>
    <row r="239" spans="3:13" ht="15.75" x14ac:dyDescent="0.25">
      <c r="C239" s="93" t="s">
        <v>163</v>
      </c>
      <c r="D239" s="51" t="s">
        <v>164</v>
      </c>
      <c r="E239" s="51" t="s">
        <v>165</v>
      </c>
      <c r="F239" s="51"/>
      <c r="G239" s="51" t="s">
        <v>168</v>
      </c>
      <c r="H239" s="247">
        <v>9</v>
      </c>
      <c r="I239" s="97"/>
      <c r="J239" s="98"/>
      <c r="K239" s="343"/>
      <c r="L239" s="343"/>
      <c r="M239" s="343"/>
    </row>
    <row r="240" spans="3:13" ht="15.75" thickBot="1" x14ac:dyDescent="0.3">
      <c r="C240" s="93" t="s">
        <v>166</v>
      </c>
      <c r="D240" s="51"/>
      <c r="E240" s="51"/>
      <c r="F240" s="51"/>
      <c r="G240" s="51"/>
      <c r="H240" s="51"/>
      <c r="I240" s="51"/>
      <c r="J240" s="99"/>
      <c r="K240" s="343"/>
      <c r="L240" s="343"/>
      <c r="M240" s="343"/>
    </row>
    <row r="241" spans="3:14" x14ac:dyDescent="0.25">
      <c r="C241" s="423" t="s">
        <v>404</v>
      </c>
      <c r="D241" s="424"/>
      <c r="E241" s="424"/>
      <c r="F241" s="424"/>
      <c r="G241" s="424"/>
      <c r="H241" s="424"/>
      <c r="I241" s="424"/>
      <c r="J241" s="425"/>
      <c r="K241" s="343"/>
      <c r="L241" s="343"/>
      <c r="M241" s="343"/>
    </row>
    <row r="242" spans="3:14" x14ac:dyDescent="0.25">
      <c r="C242" s="426"/>
      <c r="D242" s="427"/>
      <c r="E242" s="427"/>
      <c r="F242" s="427"/>
      <c r="G242" s="427"/>
      <c r="H242" s="427"/>
      <c r="I242" s="427"/>
      <c r="J242" s="428"/>
      <c r="K242" s="343"/>
      <c r="L242" s="343"/>
      <c r="M242" s="343"/>
    </row>
    <row r="243" spans="3:14" ht="15.75" thickBot="1" x14ac:dyDescent="0.3">
      <c r="C243" s="429"/>
      <c r="D243" s="430"/>
      <c r="E243" s="430"/>
      <c r="F243" s="430"/>
      <c r="G243" s="430"/>
      <c r="H243" s="430"/>
      <c r="I243" s="430"/>
      <c r="J243" s="431"/>
    </row>
    <row r="246" spans="3:14" ht="15.75" thickBot="1" x14ac:dyDescent="0.3"/>
    <row r="247" spans="3:14" x14ac:dyDescent="0.25">
      <c r="C247" s="326" t="s">
        <v>161</v>
      </c>
      <c r="D247" s="92" t="e">
        <f>#REF!+1</f>
        <v>#REF!</v>
      </c>
      <c r="E247" s="92"/>
      <c r="F247" s="92"/>
      <c r="G247" s="92"/>
      <c r="H247" s="92"/>
      <c r="I247" s="92"/>
      <c r="J247" s="95"/>
    </row>
    <row r="248" spans="3:14" x14ac:dyDescent="0.25">
      <c r="C248" s="93" t="s">
        <v>162</v>
      </c>
      <c r="D248" s="51"/>
      <c r="E248" s="96"/>
      <c r="F248" s="51"/>
      <c r="G248" s="51" t="s">
        <v>167</v>
      </c>
      <c r="H248" s="137" t="s">
        <v>406</v>
      </c>
      <c r="I248" s="97"/>
      <c r="J248" s="98"/>
    </row>
    <row r="249" spans="3:14" ht="15.75" x14ac:dyDescent="0.25">
      <c r="C249" s="93" t="s">
        <v>163</v>
      </c>
      <c r="D249" s="51" t="s">
        <v>164</v>
      </c>
      <c r="E249" s="51" t="s">
        <v>165</v>
      </c>
      <c r="F249" s="51"/>
      <c r="G249" s="51" t="s">
        <v>168</v>
      </c>
      <c r="H249" s="247">
        <v>60</v>
      </c>
      <c r="I249" s="97"/>
      <c r="J249" s="98"/>
      <c r="K249" s="343"/>
      <c r="L249" s="343"/>
      <c r="M249" s="343"/>
    </row>
    <row r="250" spans="3:14" ht="15.75" thickBot="1" x14ac:dyDescent="0.3">
      <c r="C250" s="93" t="s">
        <v>166</v>
      </c>
      <c r="D250" s="51"/>
      <c r="E250" s="51"/>
      <c r="F250" s="51"/>
      <c r="G250" s="51"/>
      <c r="H250" s="51"/>
      <c r="I250" s="51"/>
      <c r="J250" s="99"/>
      <c r="K250" s="343"/>
      <c r="L250" s="343"/>
      <c r="M250" s="343"/>
    </row>
    <row r="251" spans="3:14" x14ac:dyDescent="0.25">
      <c r="C251" s="423" t="s">
        <v>405</v>
      </c>
      <c r="D251" s="424"/>
      <c r="E251" s="424"/>
      <c r="F251" s="424"/>
      <c r="G251" s="424"/>
      <c r="H251" s="424"/>
      <c r="I251" s="424"/>
      <c r="J251" s="425"/>
      <c r="K251" s="343"/>
      <c r="L251" s="343"/>
      <c r="M251" s="343"/>
    </row>
    <row r="252" spans="3:14" x14ac:dyDescent="0.25">
      <c r="C252" s="426"/>
      <c r="D252" s="427"/>
      <c r="E252" s="427"/>
      <c r="F252" s="427"/>
      <c r="G252" s="427"/>
      <c r="H252" s="427"/>
      <c r="I252" s="427"/>
      <c r="J252" s="428"/>
      <c r="K252" s="343"/>
      <c r="L252" s="343"/>
      <c r="M252" s="343"/>
    </row>
    <row r="253" spans="3:14" ht="15.75" thickBot="1" x14ac:dyDescent="0.3">
      <c r="C253" s="429"/>
      <c r="D253" s="430"/>
      <c r="E253" s="430"/>
      <c r="F253" s="430"/>
      <c r="G253" s="430"/>
      <c r="H253" s="430"/>
      <c r="I253" s="430"/>
      <c r="J253" s="431"/>
      <c r="K253" s="343"/>
      <c r="L253" s="343"/>
      <c r="M253" s="343"/>
    </row>
    <row r="255" spans="3:14" ht="15.75" thickBot="1" x14ac:dyDescent="0.3"/>
    <row r="256" spans="3:14" x14ac:dyDescent="0.25">
      <c r="C256" s="326" t="s">
        <v>161</v>
      </c>
      <c r="D256" s="92" t="e">
        <f>D247+1</f>
        <v>#REF!</v>
      </c>
      <c r="E256" s="92"/>
      <c r="F256" s="92"/>
      <c r="G256" s="92"/>
      <c r="H256" s="92"/>
      <c r="I256" s="92"/>
      <c r="J256" s="95"/>
      <c r="K256" s="343"/>
      <c r="L256" s="343"/>
      <c r="M256" s="343"/>
      <c r="N256" s="343"/>
    </row>
    <row r="257" spans="3:14" x14ac:dyDescent="0.25">
      <c r="C257" s="93" t="s">
        <v>162</v>
      </c>
      <c r="D257" s="51"/>
      <c r="E257" s="96"/>
      <c r="F257" s="51"/>
      <c r="G257" s="51" t="s">
        <v>167</v>
      </c>
      <c r="H257" s="137" t="s">
        <v>260</v>
      </c>
      <c r="I257" s="97"/>
      <c r="J257" s="98"/>
      <c r="K257" s="343"/>
      <c r="L257" s="343"/>
      <c r="M257" s="343"/>
      <c r="N257" s="343"/>
    </row>
    <row r="258" spans="3:14" ht="15.75" x14ac:dyDescent="0.25">
      <c r="C258" s="93" t="s">
        <v>163</v>
      </c>
      <c r="D258" s="51" t="s">
        <v>164</v>
      </c>
      <c r="E258" s="51" t="s">
        <v>165</v>
      </c>
      <c r="F258" s="51"/>
      <c r="G258" s="51" t="s">
        <v>168</v>
      </c>
      <c r="H258" s="247">
        <v>7</v>
      </c>
      <c r="I258" s="97"/>
      <c r="J258" s="98"/>
      <c r="K258" s="343"/>
      <c r="L258" s="343"/>
      <c r="M258" s="343"/>
      <c r="N258" s="343"/>
    </row>
    <row r="259" spans="3:14" ht="15.75" thickBot="1" x14ac:dyDescent="0.3">
      <c r="C259" s="93" t="s">
        <v>166</v>
      </c>
      <c r="D259" s="51"/>
      <c r="E259" s="51"/>
      <c r="F259" s="51"/>
      <c r="G259" s="51"/>
      <c r="H259" s="51"/>
      <c r="I259" s="51"/>
      <c r="J259" s="99"/>
      <c r="K259" s="343"/>
      <c r="L259" s="343"/>
      <c r="M259" s="343"/>
      <c r="N259" s="343"/>
    </row>
    <row r="260" spans="3:14" x14ac:dyDescent="0.25">
      <c r="C260" s="423" t="s">
        <v>407</v>
      </c>
      <c r="D260" s="424"/>
      <c r="E260" s="424"/>
      <c r="F260" s="424"/>
      <c r="G260" s="424"/>
      <c r="H260" s="424"/>
      <c r="I260" s="424"/>
      <c r="J260" s="425"/>
      <c r="K260" s="343"/>
      <c r="L260" s="343"/>
      <c r="M260" s="343"/>
      <c r="N260" s="343"/>
    </row>
    <row r="261" spans="3:14" x14ac:dyDescent="0.25">
      <c r="C261" s="426"/>
      <c r="D261" s="427"/>
      <c r="E261" s="427"/>
      <c r="F261" s="427"/>
      <c r="G261" s="427"/>
      <c r="H261" s="427"/>
      <c r="I261" s="427"/>
      <c r="J261" s="428"/>
      <c r="K261" s="343"/>
      <c r="L261" s="343"/>
      <c r="M261" s="343"/>
      <c r="N261" s="343"/>
    </row>
    <row r="262" spans="3:14" ht="15.75" thickBot="1" x14ac:dyDescent="0.3">
      <c r="C262" s="429"/>
      <c r="D262" s="430"/>
      <c r="E262" s="430"/>
      <c r="F262" s="430"/>
      <c r="G262" s="430"/>
      <c r="H262" s="430"/>
      <c r="I262" s="430"/>
      <c r="J262" s="431"/>
      <c r="K262" s="343"/>
      <c r="L262" s="343"/>
      <c r="M262" s="343"/>
      <c r="N262" s="343"/>
    </row>
    <row r="263" spans="3:14" x14ac:dyDescent="0.25">
      <c r="K263" s="343"/>
      <c r="L263" s="343"/>
      <c r="M263" s="343"/>
      <c r="N263" s="343"/>
    </row>
    <row r="264" spans="3:14" ht="15.75" thickBot="1" x14ac:dyDescent="0.3"/>
    <row r="265" spans="3:14" x14ac:dyDescent="0.25">
      <c r="C265" s="326" t="s">
        <v>161</v>
      </c>
      <c r="D265" s="92" t="e">
        <f>D256+1</f>
        <v>#REF!</v>
      </c>
      <c r="E265" s="92"/>
      <c r="F265" s="92"/>
      <c r="G265" s="92"/>
      <c r="H265" s="92"/>
      <c r="I265" s="92"/>
      <c r="J265" s="95"/>
    </row>
    <row r="266" spans="3:14" x14ac:dyDescent="0.25">
      <c r="C266" s="93" t="s">
        <v>162</v>
      </c>
      <c r="D266" s="51"/>
      <c r="E266" s="96"/>
      <c r="F266" s="51"/>
      <c r="G266" s="51" t="s">
        <v>167</v>
      </c>
      <c r="H266" s="137"/>
      <c r="I266" s="97"/>
      <c r="J266" s="98"/>
      <c r="K266" s="343"/>
      <c r="L266" s="343"/>
      <c r="M266" s="343"/>
      <c r="N266" s="343"/>
    </row>
    <row r="267" spans="3:14" ht="15.75" x14ac:dyDescent="0.25">
      <c r="C267" s="93" t="s">
        <v>163</v>
      </c>
      <c r="D267" s="51" t="s">
        <v>164</v>
      </c>
      <c r="E267" s="51" t="s">
        <v>165</v>
      </c>
      <c r="F267" s="51"/>
      <c r="G267" s="51" t="s">
        <v>168</v>
      </c>
      <c r="H267" s="247">
        <v>139</v>
      </c>
      <c r="I267" s="97"/>
      <c r="J267" s="98"/>
      <c r="K267" s="343"/>
      <c r="L267" s="343"/>
      <c r="M267" s="343"/>
      <c r="N267" s="343"/>
    </row>
    <row r="268" spans="3:14" ht="15.75" thickBot="1" x14ac:dyDescent="0.3">
      <c r="C268" s="93" t="s">
        <v>166</v>
      </c>
      <c r="D268" s="51"/>
      <c r="E268" s="51"/>
      <c r="F268" s="51"/>
      <c r="G268" s="51"/>
      <c r="H268" s="51"/>
      <c r="I268" s="51"/>
      <c r="J268" s="99"/>
      <c r="K268" s="343"/>
      <c r="L268" s="343"/>
      <c r="M268" s="343"/>
      <c r="N268" s="343"/>
    </row>
    <row r="269" spans="3:14" x14ac:dyDescent="0.25">
      <c r="C269" s="423" t="s">
        <v>408</v>
      </c>
      <c r="D269" s="424"/>
      <c r="E269" s="424"/>
      <c r="F269" s="424"/>
      <c r="G269" s="424"/>
      <c r="H269" s="424"/>
      <c r="I269" s="424"/>
      <c r="J269" s="425"/>
      <c r="K269" s="343"/>
      <c r="L269" s="343"/>
      <c r="M269" s="343"/>
      <c r="N269" s="343"/>
    </row>
    <row r="270" spans="3:14" x14ac:dyDescent="0.25">
      <c r="C270" s="426"/>
      <c r="D270" s="427"/>
      <c r="E270" s="427"/>
      <c r="F270" s="427"/>
      <c r="G270" s="427"/>
      <c r="H270" s="427"/>
      <c r="I270" s="427"/>
      <c r="J270" s="428"/>
      <c r="K270" s="343"/>
      <c r="L270" s="343"/>
      <c r="M270" s="343"/>
      <c r="N270" s="343"/>
    </row>
    <row r="271" spans="3:14" ht="15.75" thickBot="1" x14ac:dyDescent="0.3">
      <c r="C271" s="429"/>
      <c r="D271" s="430"/>
      <c r="E271" s="430"/>
      <c r="F271" s="430"/>
      <c r="G271" s="430"/>
      <c r="H271" s="430"/>
      <c r="I271" s="430"/>
      <c r="J271" s="431"/>
      <c r="K271" s="343"/>
      <c r="L271" s="343"/>
      <c r="M271" s="343"/>
      <c r="N271" s="343"/>
    </row>
    <row r="273" spans="3:14" ht="15.75" thickBot="1" x14ac:dyDescent="0.3"/>
    <row r="274" spans="3:14" x14ac:dyDescent="0.25">
      <c r="C274" s="326" t="s">
        <v>161</v>
      </c>
      <c r="D274" s="92" t="e">
        <f>D265+1</f>
        <v>#REF!</v>
      </c>
      <c r="E274" s="92"/>
      <c r="F274" s="92"/>
      <c r="G274" s="92"/>
      <c r="H274" s="92"/>
      <c r="I274" s="92"/>
      <c r="J274" s="95"/>
    </row>
    <row r="275" spans="3:14" x14ac:dyDescent="0.25">
      <c r="C275" s="93" t="s">
        <v>162</v>
      </c>
      <c r="D275" s="51"/>
      <c r="E275" s="96"/>
      <c r="F275" s="51"/>
      <c r="G275" s="51" t="s">
        <v>167</v>
      </c>
      <c r="H275" s="137"/>
      <c r="I275" s="97"/>
      <c r="J275" s="98"/>
      <c r="K275" s="343"/>
      <c r="L275" s="343"/>
      <c r="M275" s="343"/>
      <c r="N275" s="343"/>
    </row>
    <row r="276" spans="3:14" ht="15.75" x14ac:dyDescent="0.25">
      <c r="C276" s="93" t="s">
        <v>163</v>
      </c>
      <c r="D276" s="51" t="s">
        <v>164</v>
      </c>
      <c r="E276" s="51" t="s">
        <v>165</v>
      </c>
      <c r="F276" s="51"/>
      <c r="G276" s="51" t="s">
        <v>168</v>
      </c>
      <c r="H276" s="247">
        <v>28</v>
      </c>
      <c r="I276" s="97"/>
      <c r="J276" s="98"/>
      <c r="K276" s="343"/>
      <c r="L276" s="343"/>
      <c r="M276" s="343"/>
      <c r="N276" s="343"/>
    </row>
    <row r="277" spans="3:14" ht="15.75" thickBot="1" x14ac:dyDescent="0.3">
      <c r="C277" s="93" t="s">
        <v>166</v>
      </c>
      <c r="D277" s="51"/>
      <c r="E277" s="51"/>
      <c r="F277" s="51"/>
      <c r="G277" s="51"/>
      <c r="H277" s="51"/>
      <c r="I277" s="51"/>
      <c r="J277" s="99"/>
      <c r="K277" s="343"/>
      <c r="L277" s="343"/>
      <c r="M277" s="343"/>
      <c r="N277" s="343"/>
    </row>
    <row r="278" spans="3:14" ht="14.45" customHeight="1" x14ac:dyDescent="0.25">
      <c r="C278" s="423" t="s">
        <v>422</v>
      </c>
      <c r="D278" s="424"/>
      <c r="E278" s="424"/>
      <c r="F278" s="424"/>
      <c r="G278" s="424"/>
      <c r="H278" s="424"/>
      <c r="I278" s="424"/>
      <c r="J278" s="425"/>
      <c r="K278" s="343"/>
      <c r="L278" s="343"/>
      <c r="M278" s="343"/>
      <c r="N278" s="343"/>
    </row>
    <row r="279" spans="3:14" x14ac:dyDescent="0.25">
      <c r="C279" s="426"/>
      <c r="D279" s="427"/>
      <c r="E279" s="427"/>
      <c r="F279" s="427"/>
      <c r="G279" s="427"/>
      <c r="H279" s="427"/>
      <c r="I279" s="427"/>
      <c r="J279" s="428"/>
      <c r="K279" s="343"/>
      <c r="L279" s="343"/>
      <c r="M279" s="343"/>
      <c r="N279" s="343"/>
    </row>
    <row r="280" spans="3:14" ht="15.75" thickBot="1" x14ac:dyDescent="0.3">
      <c r="C280" s="429"/>
      <c r="D280" s="430"/>
      <c r="E280" s="430"/>
      <c r="F280" s="430"/>
      <c r="G280" s="430"/>
      <c r="H280" s="430"/>
      <c r="I280" s="430"/>
      <c r="J280" s="431"/>
    </row>
    <row r="282" spans="3:14" ht="15.75" thickBot="1" x14ac:dyDescent="0.3"/>
    <row r="283" spans="3:14" x14ac:dyDescent="0.25">
      <c r="C283" s="326" t="s">
        <v>161</v>
      </c>
      <c r="D283" s="92" t="e">
        <f>D274+1</f>
        <v>#REF!</v>
      </c>
      <c r="E283" s="92"/>
      <c r="F283" s="92"/>
      <c r="G283" s="92"/>
      <c r="H283" s="92"/>
      <c r="I283" s="92"/>
      <c r="J283" s="95"/>
    </row>
    <row r="284" spans="3:14" x14ac:dyDescent="0.25">
      <c r="C284" s="93" t="s">
        <v>162</v>
      </c>
      <c r="D284" s="51"/>
      <c r="E284" s="96"/>
      <c r="F284" s="51"/>
      <c r="G284" s="51" t="s">
        <v>167</v>
      </c>
      <c r="H284" s="137"/>
      <c r="I284" s="97"/>
      <c r="J284" s="98"/>
      <c r="K284" s="343"/>
      <c r="L284" s="343"/>
      <c r="M284" s="343"/>
    </row>
    <row r="285" spans="3:14" ht="15.75" x14ac:dyDescent="0.25">
      <c r="C285" s="93" t="s">
        <v>163</v>
      </c>
      <c r="D285" s="51" t="s">
        <v>164</v>
      </c>
      <c r="E285" s="51" t="s">
        <v>165</v>
      </c>
      <c r="F285" s="51"/>
      <c r="G285" s="51" t="s">
        <v>168</v>
      </c>
      <c r="H285" s="247">
        <v>64</v>
      </c>
      <c r="I285" s="97"/>
      <c r="J285" s="98"/>
      <c r="K285" s="343"/>
      <c r="L285" s="343"/>
      <c r="M285" s="343"/>
    </row>
    <row r="286" spans="3:14" ht="15.75" thickBot="1" x14ac:dyDescent="0.3">
      <c r="C286" s="93" t="s">
        <v>166</v>
      </c>
      <c r="D286" s="51"/>
      <c r="E286" s="51"/>
      <c r="F286" s="51"/>
      <c r="G286" s="51"/>
      <c r="H286" s="51"/>
      <c r="I286" s="51"/>
      <c r="J286" s="99"/>
      <c r="K286" s="343"/>
      <c r="L286" s="343"/>
      <c r="M286" s="343"/>
    </row>
    <row r="287" spans="3:14" ht="39.6" customHeight="1" x14ac:dyDescent="0.25">
      <c r="C287" s="423" t="s">
        <v>420</v>
      </c>
      <c r="D287" s="424"/>
      <c r="E287" s="424"/>
      <c r="F287" s="424"/>
      <c r="G287" s="424"/>
      <c r="H287" s="424"/>
      <c r="I287" s="424"/>
      <c r="J287" s="425"/>
      <c r="K287" s="343"/>
      <c r="L287" s="343"/>
      <c r="M287" s="343"/>
    </row>
    <row r="288" spans="3:14" x14ac:dyDescent="0.25">
      <c r="C288" s="426"/>
      <c r="D288" s="427"/>
      <c r="E288" s="427"/>
      <c r="F288" s="427"/>
      <c r="G288" s="427"/>
      <c r="H288" s="427"/>
      <c r="I288" s="427"/>
      <c r="J288" s="428"/>
    </row>
    <row r="289" spans="3:13" ht="0.6" customHeight="1" thickBot="1" x14ac:dyDescent="0.3">
      <c r="C289" s="327"/>
      <c r="D289" s="328"/>
      <c r="E289" s="328"/>
      <c r="F289" s="328"/>
      <c r="G289" s="328"/>
      <c r="H289" s="328"/>
      <c r="I289" s="328"/>
      <c r="J289" s="329"/>
    </row>
    <row r="291" spans="3:13" ht="15.75" thickBot="1" x14ac:dyDescent="0.3"/>
    <row r="292" spans="3:13" x14ac:dyDescent="0.25">
      <c r="C292" s="326" t="s">
        <v>161</v>
      </c>
      <c r="D292" s="92" t="e">
        <f>D283+1</f>
        <v>#REF!</v>
      </c>
      <c r="E292" s="92"/>
      <c r="F292" s="92"/>
      <c r="G292" s="92"/>
      <c r="H292" s="92"/>
      <c r="I292" s="92"/>
      <c r="J292" s="95"/>
    </row>
    <row r="293" spans="3:13" x14ac:dyDescent="0.25">
      <c r="C293" s="93" t="s">
        <v>162</v>
      </c>
      <c r="D293" s="51"/>
      <c r="E293" s="96"/>
      <c r="F293" s="51"/>
      <c r="G293" s="51" t="s">
        <v>167</v>
      </c>
      <c r="H293" s="137"/>
      <c r="I293" s="97"/>
      <c r="J293" s="98"/>
      <c r="K293" s="343"/>
      <c r="L293" s="343"/>
      <c r="M293" s="343"/>
    </row>
    <row r="294" spans="3:13" ht="15.75" x14ac:dyDescent="0.25">
      <c r="C294" s="93" t="s">
        <v>163</v>
      </c>
      <c r="D294" s="51" t="s">
        <v>164</v>
      </c>
      <c r="E294" s="51" t="s">
        <v>165</v>
      </c>
      <c r="F294" s="51"/>
      <c r="G294" s="51" t="s">
        <v>168</v>
      </c>
      <c r="H294" s="247">
        <v>73</v>
      </c>
      <c r="I294" s="97"/>
      <c r="J294" s="98"/>
      <c r="K294" s="343"/>
      <c r="L294" s="343"/>
      <c r="M294" s="343"/>
    </row>
    <row r="295" spans="3:13" ht="15.75" thickBot="1" x14ac:dyDescent="0.3">
      <c r="C295" s="93" t="s">
        <v>166</v>
      </c>
      <c r="D295" s="51"/>
      <c r="E295" s="51"/>
      <c r="F295" s="51"/>
      <c r="G295" s="51"/>
      <c r="H295" s="51"/>
      <c r="I295" s="51"/>
      <c r="J295" s="99"/>
      <c r="K295" s="343"/>
      <c r="L295" s="343"/>
      <c r="M295" s="343"/>
    </row>
    <row r="296" spans="3:13" x14ac:dyDescent="0.25">
      <c r="C296" s="423" t="s">
        <v>421</v>
      </c>
      <c r="D296" s="424"/>
      <c r="E296" s="424"/>
      <c r="F296" s="424"/>
      <c r="G296" s="424"/>
      <c r="H296" s="424"/>
      <c r="I296" s="424"/>
      <c r="J296" s="425"/>
      <c r="K296" s="343"/>
      <c r="L296" s="343"/>
      <c r="M296" s="343"/>
    </row>
    <row r="297" spans="3:13" x14ac:dyDescent="0.25">
      <c r="C297" s="426"/>
      <c r="D297" s="427"/>
      <c r="E297" s="427"/>
      <c r="F297" s="427"/>
      <c r="G297" s="427"/>
      <c r="H297" s="427"/>
      <c r="I297" s="427"/>
      <c r="J297" s="428"/>
      <c r="K297" s="343"/>
      <c r="L297" s="343"/>
      <c r="M297" s="343"/>
    </row>
    <row r="299" spans="3:13" ht="15.75" thickBot="1" x14ac:dyDescent="0.3"/>
    <row r="300" spans="3:13" x14ac:dyDescent="0.25">
      <c r="C300" s="326" t="s">
        <v>161</v>
      </c>
      <c r="D300" s="92">
        <f>D291+1</f>
        <v>1</v>
      </c>
      <c r="E300" s="92"/>
      <c r="F300" s="92"/>
      <c r="G300" s="92"/>
      <c r="H300" s="92"/>
      <c r="I300" s="92"/>
      <c r="J300" s="95"/>
      <c r="K300" s="343"/>
      <c r="L300" s="343"/>
      <c r="M300" s="343"/>
    </row>
    <row r="301" spans="3:13" x14ac:dyDescent="0.25">
      <c r="C301" s="93" t="s">
        <v>162</v>
      </c>
      <c r="D301" s="51"/>
      <c r="E301" s="96"/>
      <c r="F301" s="51"/>
      <c r="G301" s="51" t="s">
        <v>167</v>
      </c>
      <c r="H301" s="137"/>
      <c r="I301" s="97"/>
      <c r="J301" s="98"/>
      <c r="K301" s="343"/>
      <c r="L301" s="343"/>
      <c r="M301" s="343"/>
    </row>
    <row r="302" spans="3:13" ht="15.75" x14ac:dyDescent="0.25">
      <c r="C302" s="93" t="s">
        <v>163</v>
      </c>
      <c r="D302" s="51" t="s">
        <v>164</v>
      </c>
      <c r="E302" s="51" t="s">
        <v>165</v>
      </c>
      <c r="F302" s="51"/>
      <c r="G302" s="51" t="s">
        <v>168</v>
      </c>
      <c r="H302" s="247">
        <v>107</v>
      </c>
      <c r="I302" s="97"/>
      <c r="J302" s="98"/>
      <c r="K302" s="343"/>
      <c r="L302" s="343"/>
      <c r="M302" s="343"/>
    </row>
    <row r="303" spans="3:13" ht="15.75" thickBot="1" x14ac:dyDescent="0.3">
      <c r="C303" s="93" t="s">
        <v>166</v>
      </c>
      <c r="D303" s="51"/>
      <c r="E303" s="51"/>
      <c r="F303" s="51"/>
      <c r="G303" s="51"/>
      <c r="H303" s="51"/>
      <c r="I303" s="51"/>
      <c r="J303" s="99"/>
      <c r="K303" s="343"/>
      <c r="L303" s="343"/>
      <c r="M303" s="343"/>
    </row>
    <row r="304" spans="3:13" x14ac:dyDescent="0.25">
      <c r="C304" s="423" t="s">
        <v>423</v>
      </c>
      <c r="D304" s="424"/>
      <c r="E304" s="424"/>
      <c r="F304" s="424"/>
      <c r="G304" s="424"/>
      <c r="H304" s="424"/>
      <c r="I304" s="424"/>
      <c r="J304" s="425"/>
      <c r="K304" s="343"/>
      <c r="L304" s="343"/>
      <c r="M304" s="343"/>
    </row>
    <row r="305" spans="3:13" x14ac:dyDescent="0.25">
      <c r="C305" s="426"/>
      <c r="D305" s="427"/>
      <c r="E305" s="427"/>
      <c r="F305" s="427"/>
      <c r="G305" s="427"/>
      <c r="H305" s="427"/>
      <c r="I305" s="427"/>
      <c r="J305" s="428"/>
      <c r="K305" s="343"/>
      <c r="L305" s="343"/>
      <c r="M305" s="343"/>
    </row>
    <row r="306" spans="3:13" x14ac:dyDescent="0.25">
      <c r="K306" s="343"/>
      <c r="L306" s="343"/>
      <c r="M306" s="343"/>
    </row>
    <row r="307" spans="3:13" ht="15.75" thickBot="1" x14ac:dyDescent="0.3"/>
    <row r="308" spans="3:13" x14ac:dyDescent="0.25">
      <c r="C308" s="326" t="s">
        <v>161</v>
      </c>
      <c r="D308" s="92">
        <f>D299+1</f>
        <v>1</v>
      </c>
      <c r="E308" s="92"/>
      <c r="F308" s="92"/>
      <c r="G308" s="92"/>
      <c r="H308" s="92"/>
      <c r="I308" s="92"/>
      <c r="J308" s="95"/>
    </row>
    <row r="309" spans="3:13" x14ac:dyDescent="0.25">
      <c r="C309" s="93" t="s">
        <v>162</v>
      </c>
      <c r="D309" s="51"/>
      <c r="E309" s="96"/>
      <c r="F309" s="51"/>
      <c r="G309" s="51" t="s">
        <v>167</v>
      </c>
      <c r="H309" s="137" t="s">
        <v>443</v>
      </c>
      <c r="I309" s="97"/>
      <c r="J309" s="98"/>
      <c r="K309" s="343"/>
      <c r="L309" s="343"/>
      <c r="M309" s="343"/>
    </row>
    <row r="310" spans="3:13" ht="15.75" x14ac:dyDescent="0.25">
      <c r="C310" s="93" t="s">
        <v>163</v>
      </c>
      <c r="D310" s="51" t="s">
        <v>164</v>
      </c>
      <c r="E310" s="51" t="s">
        <v>165</v>
      </c>
      <c r="F310" s="51"/>
      <c r="G310" s="51" t="s">
        <v>168</v>
      </c>
      <c r="H310" s="247">
        <v>96</v>
      </c>
      <c r="I310" s="97"/>
      <c r="J310" s="98"/>
      <c r="K310" s="343"/>
      <c r="L310" s="343"/>
      <c r="M310" s="343"/>
    </row>
    <row r="311" spans="3:13" ht="15.75" thickBot="1" x14ac:dyDescent="0.3">
      <c r="C311" s="93" t="s">
        <v>166</v>
      </c>
      <c r="D311" s="51"/>
      <c r="E311" s="51"/>
      <c r="F311" s="51"/>
      <c r="G311" s="51"/>
      <c r="H311" s="51"/>
      <c r="I311" s="51"/>
      <c r="J311" s="99"/>
      <c r="K311" s="343"/>
      <c r="L311" s="343"/>
      <c r="M311" s="343"/>
    </row>
    <row r="312" spans="3:13" x14ac:dyDescent="0.25">
      <c r="C312" s="423" t="s">
        <v>442</v>
      </c>
      <c r="D312" s="424"/>
      <c r="E312" s="424"/>
      <c r="F312" s="424"/>
      <c r="G312" s="424"/>
      <c r="H312" s="424"/>
      <c r="I312" s="424"/>
      <c r="J312" s="425"/>
      <c r="K312" s="343"/>
      <c r="L312" s="343"/>
      <c r="M312" s="343"/>
    </row>
    <row r="313" spans="3:13" x14ac:dyDescent="0.25">
      <c r="C313" s="426"/>
      <c r="D313" s="427"/>
      <c r="E313" s="427"/>
      <c r="F313" s="427"/>
      <c r="G313" s="427"/>
      <c r="H313" s="427"/>
      <c r="I313" s="427"/>
      <c r="J313" s="428"/>
      <c r="K313" s="343"/>
      <c r="L313" s="343"/>
      <c r="M313" s="343"/>
    </row>
    <row r="315" spans="3:13" ht="15.75" thickBot="1" x14ac:dyDescent="0.3"/>
    <row r="316" spans="3:13" x14ac:dyDescent="0.25">
      <c r="C316" s="326" t="s">
        <v>161</v>
      </c>
      <c r="D316" s="92">
        <f>D307+1</f>
        <v>1</v>
      </c>
      <c r="E316" s="92"/>
      <c r="F316" s="92"/>
      <c r="G316" s="92"/>
      <c r="H316" s="92"/>
      <c r="I316" s="92"/>
      <c r="J316" s="95"/>
    </row>
    <row r="317" spans="3:13" x14ac:dyDescent="0.25">
      <c r="C317" s="93" t="s">
        <v>162</v>
      </c>
      <c r="D317" s="51"/>
      <c r="E317" s="96"/>
      <c r="F317" s="51"/>
      <c r="G317" s="51" t="s">
        <v>167</v>
      </c>
      <c r="H317" s="137" t="s">
        <v>441</v>
      </c>
      <c r="I317" s="97"/>
      <c r="J317" s="98"/>
      <c r="K317" s="343"/>
      <c r="L317" s="343"/>
      <c r="M317" s="343"/>
    </row>
    <row r="318" spans="3:13" ht="15.75" x14ac:dyDescent="0.25">
      <c r="C318" s="93" t="s">
        <v>163</v>
      </c>
      <c r="D318" s="51" t="s">
        <v>164</v>
      </c>
      <c r="E318" s="51" t="s">
        <v>165</v>
      </c>
      <c r="F318" s="51"/>
      <c r="G318" s="51" t="s">
        <v>168</v>
      </c>
      <c r="H318" s="247">
        <v>38</v>
      </c>
      <c r="I318" s="97"/>
      <c r="J318" s="98"/>
      <c r="K318" s="343"/>
      <c r="L318" s="343"/>
      <c r="M318" s="343"/>
    </row>
    <row r="319" spans="3:13" ht="15.75" thickBot="1" x14ac:dyDescent="0.3">
      <c r="C319" s="93" t="s">
        <v>166</v>
      </c>
      <c r="D319" s="51"/>
      <c r="E319" s="51"/>
      <c r="F319" s="51"/>
      <c r="G319" s="51"/>
      <c r="H319" s="51"/>
      <c r="I319" s="51"/>
      <c r="J319" s="99"/>
      <c r="K319" s="343"/>
      <c r="L319" s="343"/>
      <c r="M319" s="343"/>
    </row>
    <row r="320" spans="3:13" x14ac:dyDescent="0.25">
      <c r="C320" s="423" t="s">
        <v>440</v>
      </c>
      <c r="D320" s="424"/>
      <c r="E320" s="424"/>
      <c r="F320" s="424"/>
      <c r="G320" s="424"/>
      <c r="H320" s="424"/>
      <c r="I320" s="424"/>
      <c r="J320" s="425"/>
      <c r="K320" s="343"/>
      <c r="L320" s="343"/>
      <c r="M320" s="343"/>
    </row>
    <row r="321" spans="3:14" x14ac:dyDescent="0.25">
      <c r="C321" s="426"/>
      <c r="D321" s="427"/>
      <c r="E321" s="427"/>
      <c r="F321" s="427"/>
      <c r="G321" s="427"/>
      <c r="H321" s="427"/>
      <c r="I321" s="427"/>
      <c r="J321" s="428"/>
    </row>
    <row r="322" spans="3:14" ht="15.75" thickBot="1" x14ac:dyDescent="0.3"/>
    <row r="323" spans="3:14" x14ac:dyDescent="0.25">
      <c r="C323" s="326" t="s">
        <v>161</v>
      </c>
      <c r="D323" s="92">
        <f>D314+1</f>
        <v>1</v>
      </c>
      <c r="E323" s="92"/>
      <c r="F323" s="92"/>
      <c r="G323" s="92"/>
      <c r="H323" s="92"/>
      <c r="I323" s="92"/>
      <c r="J323" s="95"/>
    </row>
    <row r="324" spans="3:14" x14ac:dyDescent="0.25">
      <c r="C324" s="93" t="s">
        <v>162</v>
      </c>
      <c r="D324" s="51"/>
      <c r="E324" s="96"/>
      <c r="F324" s="51"/>
      <c r="G324" s="51" t="s">
        <v>167</v>
      </c>
      <c r="H324" s="137" t="s">
        <v>439</v>
      </c>
      <c r="I324" s="97"/>
      <c r="J324" s="98"/>
      <c r="K324" s="343"/>
      <c r="L324" s="343"/>
      <c r="M324" s="343"/>
      <c r="N324" s="343"/>
    </row>
    <row r="325" spans="3:14" ht="15.75" x14ac:dyDescent="0.25">
      <c r="C325" s="93" t="s">
        <v>163</v>
      </c>
      <c r="D325" s="51" t="s">
        <v>164</v>
      </c>
      <c r="E325" s="51" t="s">
        <v>165</v>
      </c>
      <c r="F325" s="51"/>
      <c r="G325" s="51" t="s">
        <v>168</v>
      </c>
      <c r="H325" s="247">
        <v>59</v>
      </c>
      <c r="I325" s="97"/>
      <c r="J325" s="98"/>
      <c r="K325" s="343"/>
      <c r="L325" s="343"/>
      <c r="M325" s="343"/>
      <c r="N325" s="343"/>
    </row>
    <row r="326" spans="3:14" ht="15.75" thickBot="1" x14ac:dyDescent="0.3">
      <c r="C326" s="93" t="s">
        <v>166</v>
      </c>
      <c r="D326" s="51"/>
      <c r="E326" s="51"/>
      <c r="F326" s="51"/>
      <c r="G326" s="51"/>
      <c r="H326" s="51"/>
      <c r="I326" s="51"/>
      <c r="J326" s="99"/>
      <c r="K326" s="343"/>
      <c r="L326" s="343"/>
      <c r="M326" s="343"/>
      <c r="N326" s="343"/>
    </row>
    <row r="327" spans="3:14" ht="14.45" customHeight="1" x14ac:dyDescent="0.25">
      <c r="C327" s="423" t="s">
        <v>438</v>
      </c>
      <c r="D327" s="424"/>
      <c r="E327" s="424"/>
      <c r="F327" s="424"/>
      <c r="G327" s="424"/>
      <c r="H327" s="424"/>
      <c r="I327" s="424"/>
      <c r="J327" s="425"/>
      <c r="K327" s="343"/>
      <c r="L327" s="343"/>
      <c r="M327" s="343"/>
      <c r="N327" s="343"/>
    </row>
    <row r="328" spans="3:14" x14ac:dyDescent="0.25">
      <c r="C328" s="426"/>
      <c r="D328" s="427"/>
      <c r="E328" s="427"/>
      <c r="F328" s="427"/>
      <c r="G328" s="427"/>
      <c r="H328" s="427"/>
      <c r="I328" s="427"/>
      <c r="J328" s="428"/>
    </row>
  </sheetData>
  <mergeCells count="39">
    <mergeCell ref="C312:J313"/>
    <mergeCell ref="C320:J321"/>
    <mergeCell ref="C327:J328"/>
    <mergeCell ref="C304:J305"/>
    <mergeCell ref="C287:J288"/>
    <mergeCell ref="C296:J297"/>
    <mergeCell ref="C269:J271"/>
    <mergeCell ref="C278:J280"/>
    <mergeCell ref="C260:J262"/>
    <mergeCell ref="C187:J189"/>
    <mergeCell ref="C196:J198"/>
    <mergeCell ref="C205:J207"/>
    <mergeCell ref="C222:J224"/>
    <mergeCell ref="C231:J233"/>
    <mergeCell ref="C214:J216"/>
    <mergeCell ref="C241:J243"/>
    <mergeCell ref="C251:J253"/>
    <mergeCell ref="C169:J171"/>
    <mergeCell ref="C178:J180"/>
    <mergeCell ref="K4:M8"/>
    <mergeCell ref="C7:J9"/>
    <mergeCell ref="C61:J63"/>
    <mergeCell ref="C16:J18"/>
    <mergeCell ref="C25:J27"/>
    <mergeCell ref="C34:J36"/>
    <mergeCell ref="K13:R18"/>
    <mergeCell ref="C43:J45"/>
    <mergeCell ref="C52:J54"/>
    <mergeCell ref="C70:J72"/>
    <mergeCell ref="C151:J153"/>
    <mergeCell ref="C160:J162"/>
    <mergeCell ref="C124:J126"/>
    <mergeCell ref="C133:J135"/>
    <mergeCell ref="C142:J144"/>
    <mergeCell ref="C106:J108"/>
    <mergeCell ref="C115:J117"/>
    <mergeCell ref="C97:J99"/>
    <mergeCell ref="C79:J81"/>
    <mergeCell ref="C88:J90"/>
  </mergeCells>
  <hyperlinks>
    <hyperlink ref="H31" r:id="rId1" xr:uid="{F3E56303-A321-4242-A950-E067E133F5F8}"/>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0B536-E8B8-412C-AFF3-25DF24083D3B}">
  <dimension ref="A3:L11"/>
  <sheetViews>
    <sheetView topLeftCell="B1" workbookViewId="0">
      <selection activeCell="L6" sqref="L6"/>
    </sheetView>
  </sheetViews>
  <sheetFormatPr baseColWidth="10" defaultRowHeight="15" x14ac:dyDescent="0.25"/>
  <cols>
    <col min="1" max="1" width="11.5703125" hidden="1" customWidth="1"/>
    <col min="5" max="5" width="11.42578125" customWidth="1"/>
    <col min="6" max="6" width="1.7109375" customWidth="1"/>
    <col min="7" max="7" width="12.7109375" bestFit="1" customWidth="1"/>
  </cols>
  <sheetData>
    <row r="3" spans="2:12" ht="15.75" thickBot="1" x14ac:dyDescent="0.3"/>
    <row r="4" spans="2:12" ht="15.75" thickBot="1" x14ac:dyDescent="0.3">
      <c r="B4" s="450" t="s">
        <v>450</v>
      </c>
      <c r="C4" s="451"/>
      <c r="D4" s="451"/>
      <c r="E4" s="451"/>
      <c r="F4" s="452"/>
      <c r="G4" s="334" t="s">
        <v>449</v>
      </c>
      <c r="H4" s="441" t="s">
        <v>448</v>
      </c>
      <c r="I4" s="442"/>
      <c r="J4" s="443"/>
    </row>
    <row r="5" spans="2:12" x14ac:dyDescent="0.25">
      <c r="B5" s="453" t="s">
        <v>447</v>
      </c>
      <c r="C5" s="454"/>
      <c r="D5" s="454"/>
      <c r="E5" s="454"/>
      <c r="F5" s="454"/>
      <c r="G5" s="333">
        <v>319000</v>
      </c>
      <c r="H5" s="444"/>
      <c r="I5" s="445"/>
      <c r="J5" s="446"/>
      <c r="L5" t="s">
        <v>469</v>
      </c>
    </row>
    <row r="6" spans="2:12" x14ac:dyDescent="0.25">
      <c r="B6" s="437" t="s">
        <v>446</v>
      </c>
      <c r="C6" s="438"/>
      <c r="D6" s="438"/>
      <c r="E6" s="438"/>
      <c r="F6" s="438"/>
      <c r="G6" s="333">
        <v>15000</v>
      </c>
      <c r="H6" s="444"/>
      <c r="I6" s="445"/>
      <c r="J6" s="446"/>
    </row>
    <row r="7" spans="2:12" x14ac:dyDescent="0.25">
      <c r="B7" s="437" t="s">
        <v>445</v>
      </c>
      <c r="C7" s="438"/>
      <c r="D7" s="438"/>
      <c r="E7" s="438"/>
      <c r="F7" s="438"/>
      <c r="G7" s="333">
        <v>208419</v>
      </c>
      <c r="H7" s="444"/>
      <c r="I7" s="445"/>
      <c r="J7" s="446"/>
    </row>
    <row r="8" spans="2:12" x14ac:dyDescent="0.25">
      <c r="B8" s="437"/>
      <c r="C8" s="438"/>
      <c r="D8" s="438"/>
      <c r="E8" s="438"/>
      <c r="F8" s="438"/>
      <c r="G8" s="332"/>
      <c r="H8" s="444"/>
      <c r="I8" s="445"/>
      <c r="J8" s="446"/>
    </row>
    <row r="9" spans="2:12" x14ac:dyDescent="0.25">
      <c r="B9" s="437"/>
      <c r="C9" s="438"/>
      <c r="D9" s="438"/>
      <c r="E9" s="438"/>
      <c r="F9" s="438"/>
      <c r="G9" s="332"/>
      <c r="H9" s="444"/>
      <c r="I9" s="445"/>
      <c r="J9" s="446"/>
    </row>
    <row r="10" spans="2:12" ht="15.75" thickBot="1" x14ac:dyDescent="0.3">
      <c r="B10" s="437"/>
      <c r="C10" s="438"/>
      <c r="D10" s="438"/>
      <c r="E10" s="438"/>
      <c r="F10" s="438"/>
      <c r="G10" s="332"/>
      <c r="H10" s="444"/>
      <c r="I10" s="445"/>
      <c r="J10" s="446"/>
    </row>
    <row r="11" spans="2:12" ht="15.75" thickBot="1" x14ac:dyDescent="0.3">
      <c r="B11" s="439"/>
      <c r="C11" s="440"/>
      <c r="D11" s="440"/>
      <c r="E11" s="440"/>
      <c r="F11" s="440"/>
      <c r="G11" s="331">
        <f>SUM(G5:G10)</f>
        <v>542419</v>
      </c>
      <c r="H11" s="447"/>
      <c r="I11" s="448"/>
      <c r="J11" s="449"/>
    </row>
  </sheetData>
  <mergeCells count="9">
    <mergeCell ref="B10:F10"/>
    <mergeCell ref="B11:F11"/>
    <mergeCell ref="H4:J11"/>
    <mergeCell ref="B4:F4"/>
    <mergeCell ref="B5:F5"/>
    <mergeCell ref="B6:F6"/>
    <mergeCell ref="B7:F7"/>
    <mergeCell ref="B8:F8"/>
    <mergeCell ref="B9:F9"/>
  </mergeCells>
  <pageMargins left="0.25" right="0.25" top="0.75" bottom="0.75" header="0.3" footer="0.3"/>
  <pageSetup paperSize="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RESUMEN</vt:lpstr>
      <vt:lpstr>PRORRATEO</vt:lpstr>
      <vt:lpstr>anotaciones</vt:lpstr>
      <vt:lpstr>A RECUPERAR NOVIEMBRE</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2025-11-12T13:53:25Z</cp:lastPrinted>
  <dcterms:created xsi:type="dcterms:W3CDTF">2023-09-17T12:29:07Z</dcterms:created>
  <dcterms:modified xsi:type="dcterms:W3CDTF">2025-11-12T21:38:20Z</dcterms:modified>
</cp:coreProperties>
</file>