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BRISAS DE ADROGUE\EXPENSAS\JULIO\"/>
    </mc:Choice>
  </mc:AlternateContent>
  <xr:revisionPtr revIDLastSave="0" documentId="13_ncr:1_{4F4F9E38-FD7C-4CDB-BF09-A6A598EE5FF8}" xr6:coauthVersionLast="47" xr6:coauthVersionMax="47" xr10:uidLastSave="{00000000-0000-0000-0000-000000000000}"/>
  <bookViews>
    <workbookView xWindow="-120" yWindow="-120" windowWidth="20730" windowHeight="11160" tabRatio="850" activeTab="1" xr2:uid="{00000000-000D-0000-FFFF-FFFF00000000}"/>
  </bookViews>
  <sheets>
    <sheet name="RESUMEN" sheetId="1" r:id="rId1"/>
    <sheet name="PRORRATEO" sheetId="2" r:id="rId2"/>
    <sheet name="anotaciones" sheetId="3" r:id="rId3"/>
  </sheets>
  <definedNames>
    <definedName name="_xlnm.Print_Area" localSheetId="1">PRORRATEO!$A$1:$S$167</definedName>
    <definedName name="_xlnm.Print_Area" localSheetId="0">RESUMEN!$A$1:$E$182</definedName>
  </definedNames>
  <calcPr calcId="181029"/>
</workbook>
</file>

<file path=xl/calcChain.xml><?xml version="1.0" encoding="utf-8"?>
<calcChain xmlns="http://schemas.openxmlformats.org/spreadsheetml/2006/main">
  <c r="O42" i="2" l="1"/>
  <c r="F110" i="2"/>
  <c r="F46" i="2"/>
  <c r="E67" i="1"/>
  <c r="B181" i="1" l="1"/>
  <c r="E89" i="1"/>
  <c r="F159" i="2"/>
  <c r="W2" i="2"/>
  <c r="F83" i="2" l="1"/>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146" i="2"/>
  <c r="S147" i="2"/>
  <c r="S148" i="2"/>
  <c r="S149" i="2"/>
  <c r="S150" i="2"/>
  <c r="S151" i="2"/>
  <c r="S152" i="2"/>
  <c r="S153" i="2"/>
  <c r="S154" i="2"/>
  <c r="S155" i="2"/>
  <c r="S156" i="2"/>
  <c r="S5" i="2"/>
  <c r="F117" i="2"/>
  <c r="B157" i="1"/>
  <c r="B158" i="1" s="1"/>
  <c r="B141" i="1"/>
  <c r="B146" i="1"/>
  <c r="F140" i="2"/>
  <c r="F44" i="2" l="1"/>
  <c r="F151" i="2"/>
  <c r="F42" i="2"/>
  <c r="F73" i="2"/>
  <c r="F130" i="2"/>
  <c r="F15" i="2"/>
  <c r="F85" i="2"/>
  <c r="F109" i="2"/>
  <c r="F26" i="2"/>
  <c r="F52" i="2"/>
  <c r="F64" i="2"/>
  <c r="F129" i="2"/>
  <c r="F43" i="2"/>
  <c r="F78" i="2"/>
  <c r="F31" i="2"/>
  <c r="F136" i="2"/>
  <c r="F22" i="2"/>
  <c r="F82" i="2"/>
  <c r="F134" i="2"/>
  <c r="F77" i="2"/>
  <c r="F106" i="2"/>
  <c r="F65" i="2"/>
  <c r="F79" i="2"/>
  <c r="F123" i="2"/>
  <c r="F141" i="2"/>
  <c r="F92" i="2"/>
  <c r="F63" i="2"/>
  <c r="F9" i="2"/>
  <c r="F66" i="2"/>
  <c r="F116" i="2"/>
  <c r="F101" i="2"/>
  <c r="F112" i="2"/>
  <c r="F113" i="2"/>
  <c r="F49" i="2"/>
  <c r="F10" i="2"/>
  <c r="F60" i="2"/>
  <c r="F135" i="2"/>
  <c r="F54" i="2"/>
  <c r="F12" i="2"/>
  <c r="F128" i="2"/>
  <c r="F119" i="2"/>
  <c r="F98" i="2"/>
  <c r="F91" i="2"/>
  <c r="F70" i="2"/>
  <c r="F133" i="2"/>
  <c r="F67" i="2"/>
  <c r="F88" i="2"/>
  <c r="F87" i="2"/>
  <c r="F50" i="2"/>
  <c r="F69" i="2"/>
  <c r="F24" i="2"/>
  <c r="F148" i="2"/>
  <c r="F120" i="2"/>
  <c r="F121" i="2"/>
  <c r="F118" i="2"/>
  <c r="F34" i="2"/>
  <c r="F41" i="2"/>
  <c r="F89" i="2"/>
  <c r="F132" i="2"/>
  <c r="F111" i="2"/>
  <c r="F6" i="2"/>
  <c r="F56" i="2"/>
  <c r="F5" i="2" l="1"/>
  <c r="F7" i="2"/>
  <c r="F14" i="2"/>
  <c r="F17" i="2"/>
  <c r="F20" i="2"/>
  <c r="F25" i="2"/>
  <c r="F33" i="2"/>
  <c r="F37" i="2"/>
  <c r="F39" i="2"/>
  <c r="F45" i="2"/>
  <c r="F47" i="2"/>
  <c r="F53" i="2"/>
  <c r="F61" i="2"/>
  <c r="F68" i="2"/>
  <c r="F80" i="2"/>
  <c r="F84" i="2"/>
  <c r="F90" i="2"/>
  <c r="F93" i="2"/>
  <c r="F95" i="2"/>
  <c r="F102" i="2"/>
  <c r="F103" i="2"/>
  <c r="F104" i="2"/>
  <c r="F105" i="2"/>
  <c r="F107" i="2"/>
  <c r="F115" i="2"/>
  <c r="F124" i="2"/>
  <c r="F125" i="2"/>
  <c r="F126" i="2"/>
  <c r="F127" i="2"/>
  <c r="F131" i="2"/>
  <c r="F139" i="2"/>
  <c r="F138" i="2" s="1"/>
  <c r="F142" i="2"/>
  <c r="F122" i="2" l="1"/>
  <c r="D122" i="1"/>
  <c r="E123" i="1" s="1"/>
  <c r="G97" i="2"/>
  <c r="D26" i="1"/>
  <c r="B145" i="1"/>
  <c r="G2" i="2"/>
  <c r="K5" i="2" s="1"/>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8" i="2"/>
  <c r="J149" i="2"/>
  <c r="J150" i="2"/>
  <c r="J151" i="2"/>
  <c r="J152" i="2"/>
  <c r="J153" i="2"/>
  <c r="J154" i="2"/>
  <c r="J155" i="2"/>
  <c r="J156" i="2"/>
  <c r="J5" i="2"/>
  <c r="E107" i="1"/>
  <c r="E96" i="1"/>
  <c r="E92" i="1"/>
  <c r="E36" i="1"/>
  <c r="D28" i="1"/>
  <c r="B149" i="1"/>
  <c r="E115" i="1"/>
  <c r="E44" i="1"/>
  <c r="E40" i="1"/>
  <c r="L149" i="2"/>
  <c r="L150" i="2"/>
  <c r="L151" i="2"/>
  <c r="L152" i="2"/>
  <c r="L153" i="2"/>
  <c r="L154" i="2"/>
  <c r="L155" i="2"/>
  <c r="L156" i="2"/>
  <c r="L148" i="2"/>
  <c r="L143"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5" i="2"/>
  <c r="E29" i="1" l="1"/>
  <c r="K149" i="2"/>
  <c r="K150" i="2"/>
  <c r="K151" i="2"/>
  <c r="K152" i="2"/>
  <c r="K153" i="2"/>
  <c r="K154" i="2"/>
  <c r="K155" i="2"/>
  <c r="K156" i="2"/>
  <c r="K148"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M6" i="2"/>
  <c r="M7" i="2"/>
  <c r="M8" i="2"/>
  <c r="M9" i="2"/>
  <c r="M10" i="2"/>
  <c r="M11" i="2"/>
  <c r="M12" i="2"/>
  <c r="M14" i="2"/>
  <c r="M15" i="2"/>
  <c r="M16" i="2"/>
  <c r="M18" i="2"/>
  <c r="M19"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3" i="2"/>
  <c r="M54" i="2"/>
  <c r="M56" i="2"/>
  <c r="M57" i="2"/>
  <c r="M58" i="2"/>
  <c r="M59" i="2"/>
  <c r="M61" i="2"/>
  <c r="M62" i="2"/>
  <c r="M63" i="2"/>
  <c r="M64" i="2"/>
  <c r="M65" i="2"/>
  <c r="M67" i="2"/>
  <c r="M68" i="2"/>
  <c r="M69" i="2"/>
  <c r="M70" i="2"/>
  <c r="M71"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9" i="2"/>
  <c r="M150" i="2"/>
  <c r="M151" i="2"/>
  <c r="M152" i="2"/>
  <c r="M153" i="2"/>
  <c r="M154" i="2"/>
  <c r="M155" i="2"/>
  <c r="M156" i="2"/>
  <c r="M5" i="2"/>
  <c r="G68" i="2"/>
  <c r="H68" i="2" s="1"/>
  <c r="G96" i="2"/>
  <c r="H96" i="2" s="1"/>
  <c r="G43" i="2"/>
  <c r="H43" i="2" s="1"/>
  <c r="G93" i="2"/>
  <c r="H93" i="2" s="1"/>
  <c r="G137" i="2"/>
  <c r="H137" i="2" s="1"/>
  <c r="G110" i="2"/>
  <c r="H110" i="2" s="1"/>
  <c r="G141" i="2"/>
  <c r="H141" i="2" s="1"/>
  <c r="G64" i="2"/>
  <c r="H64" i="2" s="1"/>
  <c r="G100" i="2"/>
  <c r="H100" i="2" s="1"/>
  <c r="G22" i="2"/>
  <c r="H22" i="2" s="1"/>
  <c r="G5" i="2"/>
  <c r="H5" i="2" s="1"/>
  <c r="I5" i="2"/>
  <c r="G6" i="2"/>
  <c r="H6" i="2" s="1"/>
  <c r="I6" i="2"/>
  <c r="G7" i="2"/>
  <c r="H7" i="2" s="1"/>
  <c r="I7" i="2"/>
  <c r="G8" i="2"/>
  <c r="H8" i="2" s="1"/>
  <c r="I8" i="2"/>
  <c r="G9" i="2"/>
  <c r="H9" i="2" s="1"/>
  <c r="I9" i="2"/>
  <c r="G10" i="2"/>
  <c r="H10" i="2" s="1"/>
  <c r="I10" i="2"/>
  <c r="G11" i="2"/>
  <c r="H11" i="2" s="1"/>
  <c r="I11" i="2"/>
  <c r="G12" i="2"/>
  <c r="H12" i="2" s="1"/>
  <c r="I12" i="2"/>
  <c r="G13" i="2"/>
  <c r="H13" i="2" s="1"/>
  <c r="I13" i="2"/>
  <c r="N13" i="2" s="1"/>
  <c r="G14" i="2"/>
  <c r="H14" i="2" s="1"/>
  <c r="I14" i="2"/>
  <c r="G15" i="2"/>
  <c r="H15" i="2" s="1"/>
  <c r="I15" i="2"/>
  <c r="G16" i="2"/>
  <c r="H16" i="2" s="1"/>
  <c r="I16" i="2"/>
  <c r="I17" i="2"/>
  <c r="G18" i="2"/>
  <c r="H18" i="2" s="1"/>
  <c r="I18" i="2"/>
  <c r="G19" i="2"/>
  <c r="H19" i="2" s="1"/>
  <c r="I19" i="2"/>
  <c r="G20" i="2"/>
  <c r="H20" i="2" s="1"/>
  <c r="I20" i="2"/>
  <c r="N20" i="2" s="1"/>
  <c r="G21" i="2"/>
  <c r="H21" i="2" s="1"/>
  <c r="I21" i="2"/>
  <c r="I22" i="2"/>
  <c r="G23" i="2"/>
  <c r="H23" i="2" s="1"/>
  <c r="I23" i="2"/>
  <c r="G24" i="2"/>
  <c r="H24" i="2" s="1"/>
  <c r="I24" i="2"/>
  <c r="G25" i="2"/>
  <c r="H25" i="2" s="1"/>
  <c r="I25" i="2"/>
  <c r="G26" i="2"/>
  <c r="H26" i="2" s="1"/>
  <c r="I26" i="2"/>
  <c r="G27" i="2"/>
  <c r="H27" i="2" s="1"/>
  <c r="I27" i="2"/>
  <c r="O27" i="2" s="1"/>
  <c r="G28" i="2"/>
  <c r="H28" i="2" s="1"/>
  <c r="I28" i="2"/>
  <c r="G29" i="2"/>
  <c r="H29" i="2" s="1"/>
  <c r="I29" i="2"/>
  <c r="G30" i="2"/>
  <c r="H30" i="2" s="1"/>
  <c r="I30" i="2"/>
  <c r="G31" i="2"/>
  <c r="H31" i="2" s="1"/>
  <c r="I31" i="2"/>
  <c r="G32" i="2"/>
  <c r="H32" i="2" s="1"/>
  <c r="I32" i="2"/>
  <c r="G33" i="2"/>
  <c r="H33" i="2" s="1"/>
  <c r="I33" i="2"/>
  <c r="G34" i="2"/>
  <c r="H34" i="2" s="1"/>
  <c r="I34" i="2"/>
  <c r="G35" i="2"/>
  <c r="H35" i="2" s="1"/>
  <c r="I35" i="2"/>
  <c r="I36" i="2"/>
  <c r="G37" i="2"/>
  <c r="H37" i="2" s="1"/>
  <c r="I37" i="2"/>
  <c r="G38" i="2"/>
  <c r="H38" i="2" s="1"/>
  <c r="I38" i="2"/>
  <c r="G39" i="2"/>
  <c r="H39" i="2" s="1"/>
  <c r="I39" i="2"/>
  <c r="G40" i="2"/>
  <c r="H40" i="2" s="1"/>
  <c r="I40" i="2"/>
  <c r="G41" i="2"/>
  <c r="H41" i="2" s="1"/>
  <c r="I41" i="2"/>
  <c r="G42" i="2"/>
  <c r="H42" i="2" s="1"/>
  <c r="I42" i="2"/>
  <c r="I43" i="2"/>
  <c r="G44" i="2"/>
  <c r="H44" i="2" s="1"/>
  <c r="I44" i="2"/>
  <c r="G45" i="2"/>
  <c r="H45" i="2" s="1"/>
  <c r="I45" i="2"/>
  <c r="G46" i="2"/>
  <c r="H46" i="2" s="1"/>
  <c r="I46" i="2"/>
  <c r="G47" i="2"/>
  <c r="H47" i="2" s="1"/>
  <c r="I47" i="2"/>
  <c r="G48" i="2"/>
  <c r="H48" i="2" s="1"/>
  <c r="I48" i="2"/>
  <c r="G49" i="2"/>
  <c r="H49" i="2" s="1"/>
  <c r="I49" i="2"/>
  <c r="G50" i="2"/>
  <c r="H50" i="2" s="1"/>
  <c r="I50" i="2"/>
  <c r="G51" i="2"/>
  <c r="H51" i="2" s="1"/>
  <c r="I51" i="2"/>
  <c r="G52" i="2"/>
  <c r="H52" i="2" s="1"/>
  <c r="I52" i="2"/>
  <c r="G53" i="2"/>
  <c r="H53" i="2" s="1"/>
  <c r="I53" i="2"/>
  <c r="G54" i="2"/>
  <c r="H54" i="2" s="1"/>
  <c r="I54" i="2"/>
  <c r="G55" i="2"/>
  <c r="H55" i="2" s="1"/>
  <c r="I55" i="2"/>
  <c r="G56" i="2"/>
  <c r="H56" i="2" s="1"/>
  <c r="I56" i="2"/>
  <c r="G57" i="2"/>
  <c r="H57" i="2" s="1"/>
  <c r="I57" i="2"/>
  <c r="G58" i="2"/>
  <c r="H58" i="2" s="1"/>
  <c r="I58" i="2"/>
  <c r="G59" i="2"/>
  <c r="H59" i="2" s="1"/>
  <c r="I59" i="2"/>
  <c r="G60" i="2"/>
  <c r="H60" i="2" s="1"/>
  <c r="I60" i="2"/>
  <c r="G61" i="2"/>
  <c r="H61" i="2" s="1"/>
  <c r="I61" i="2"/>
  <c r="G62" i="2"/>
  <c r="H62" i="2" s="1"/>
  <c r="I62" i="2"/>
  <c r="G63" i="2"/>
  <c r="H63" i="2" s="1"/>
  <c r="I63" i="2"/>
  <c r="I64" i="2"/>
  <c r="G65" i="2"/>
  <c r="H65" i="2" s="1"/>
  <c r="I65" i="2"/>
  <c r="G66" i="2"/>
  <c r="H66" i="2" s="1"/>
  <c r="I66" i="2"/>
  <c r="G67" i="2"/>
  <c r="H67" i="2" s="1"/>
  <c r="I67" i="2"/>
  <c r="I68" i="2"/>
  <c r="G69" i="2"/>
  <c r="H69" i="2" s="1"/>
  <c r="I69" i="2"/>
  <c r="G70" i="2"/>
  <c r="H70" i="2" s="1"/>
  <c r="I70" i="2"/>
  <c r="G71" i="2"/>
  <c r="H71" i="2" s="1"/>
  <c r="I71" i="2"/>
  <c r="G72" i="2"/>
  <c r="H72" i="2" s="1"/>
  <c r="I72" i="2"/>
  <c r="G73" i="2"/>
  <c r="H73" i="2" s="1"/>
  <c r="I73" i="2"/>
  <c r="G74" i="2"/>
  <c r="H74" i="2" s="1"/>
  <c r="I74" i="2"/>
  <c r="G75" i="2"/>
  <c r="H75" i="2" s="1"/>
  <c r="I75" i="2"/>
  <c r="G76" i="2"/>
  <c r="H76" i="2" s="1"/>
  <c r="I76" i="2"/>
  <c r="G77" i="2"/>
  <c r="H77" i="2" s="1"/>
  <c r="I77" i="2"/>
  <c r="G78" i="2"/>
  <c r="H78" i="2" s="1"/>
  <c r="I78" i="2"/>
  <c r="G79" i="2"/>
  <c r="H79" i="2" s="1"/>
  <c r="I79" i="2"/>
  <c r="G80" i="2"/>
  <c r="H80" i="2" s="1"/>
  <c r="I80" i="2"/>
  <c r="G81" i="2"/>
  <c r="H81" i="2" s="1"/>
  <c r="I81" i="2"/>
  <c r="G82" i="2"/>
  <c r="H82" i="2" s="1"/>
  <c r="I82" i="2"/>
  <c r="G83" i="2"/>
  <c r="H83" i="2" s="1"/>
  <c r="I83" i="2"/>
  <c r="G84" i="2"/>
  <c r="H84" i="2" s="1"/>
  <c r="I84" i="2"/>
  <c r="G85" i="2"/>
  <c r="H85" i="2" s="1"/>
  <c r="I85" i="2"/>
  <c r="G86" i="2"/>
  <c r="H86" i="2" s="1"/>
  <c r="I86" i="2"/>
  <c r="G87" i="2"/>
  <c r="H87" i="2" s="1"/>
  <c r="I87" i="2"/>
  <c r="G88" i="2"/>
  <c r="H88" i="2" s="1"/>
  <c r="I88" i="2"/>
  <c r="G89" i="2"/>
  <c r="H89" i="2" s="1"/>
  <c r="I89" i="2"/>
  <c r="G90" i="2"/>
  <c r="H90" i="2" s="1"/>
  <c r="I90" i="2"/>
  <c r="G91" i="2"/>
  <c r="H91" i="2" s="1"/>
  <c r="I91" i="2"/>
  <c r="G92" i="2"/>
  <c r="H92" i="2" s="1"/>
  <c r="I92" i="2"/>
  <c r="I93" i="2"/>
  <c r="G94" i="2"/>
  <c r="H94" i="2" s="1"/>
  <c r="I94" i="2"/>
  <c r="G95" i="2"/>
  <c r="H95" i="2" s="1"/>
  <c r="I95" i="2"/>
  <c r="I96" i="2"/>
  <c r="H97" i="2"/>
  <c r="I97" i="2"/>
  <c r="G98" i="2"/>
  <c r="H98" i="2" s="1"/>
  <c r="I98" i="2"/>
  <c r="O98" i="2" s="1"/>
  <c r="G99" i="2"/>
  <c r="H99" i="2" s="1"/>
  <c r="I99" i="2"/>
  <c r="I100" i="2"/>
  <c r="G101" i="2"/>
  <c r="H101" i="2" s="1"/>
  <c r="I101" i="2"/>
  <c r="G102" i="2"/>
  <c r="H102" i="2" s="1"/>
  <c r="I102" i="2"/>
  <c r="G103" i="2"/>
  <c r="H103" i="2" s="1"/>
  <c r="I103" i="2"/>
  <c r="G104" i="2"/>
  <c r="H104" i="2" s="1"/>
  <c r="I104" i="2"/>
  <c r="G105" i="2"/>
  <c r="H105" i="2" s="1"/>
  <c r="I105" i="2"/>
  <c r="G106" i="2"/>
  <c r="H106" i="2" s="1"/>
  <c r="I106" i="2"/>
  <c r="G107" i="2"/>
  <c r="H107" i="2" s="1"/>
  <c r="I107" i="2"/>
  <c r="G108" i="2"/>
  <c r="H108" i="2" s="1"/>
  <c r="I108" i="2"/>
  <c r="G109" i="2"/>
  <c r="H109" i="2" s="1"/>
  <c r="I109" i="2"/>
  <c r="I110" i="2"/>
  <c r="G111" i="2"/>
  <c r="H111" i="2" s="1"/>
  <c r="I111" i="2"/>
  <c r="G112" i="2"/>
  <c r="H112" i="2" s="1"/>
  <c r="I112" i="2"/>
  <c r="G113" i="2"/>
  <c r="H113" i="2" s="1"/>
  <c r="I113" i="2"/>
  <c r="G114" i="2"/>
  <c r="H114" i="2" s="1"/>
  <c r="I114" i="2"/>
  <c r="G115" i="2"/>
  <c r="H115" i="2" s="1"/>
  <c r="I115" i="2"/>
  <c r="G116" i="2"/>
  <c r="H116" i="2" s="1"/>
  <c r="I116" i="2"/>
  <c r="O116" i="2" s="1"/>
  <c r="G117" i="2"/>
  <c r="H117" i="2" s="1"/>
  <c r="I117" i="2"/>
  <c r="G118" i="2"/>
  <c r="H118" i="2" s="1"/>
  <c r="I118" i="2"/>
  <c r="G119" i="2"/>
  <c r="H119" i="2" s="1"/>
  <c r="I119" i="2"/>
  <c r="G120" i="2"/>
  <c r="H120" i="2" s="1"/>
  <c r="I120" i="2"/>
  <c r="G121" i="2"/>
  <c r="H121" i="2" s="1"/>
  <c r="I121" i="2"/>
  <c r="I122" i="2"/>
  <c r="G123" i="2"/>
  <c r="H123" i="2" s="1"/>
  <c r="I123" i="2"/>
  <c r="I124" i="2"/>
  <c r="G125" i="2"/>
  <c r="H125" i="2" s="1"/>
  <c r="I125" i="2"/>
  <c r="G126" i="2"/>
  <c r="H126" i="2" s="1"/>
  <c r="I126" i="2"/>
  <c r="G127" i="2"/>
  <c r="H127" i="2" s="1"/>
  <c r="I127" i="2"/>
  <c r="G128" i="2"/>
  <c r="H128" i="2" s="1"/>
  <c r="I128" i="2"/>
  <c r="G129" i="2"/>
  <c r="H129" i="2" s="1"/>
  <c r="I129" i="2"/>
  <c r="G130" i="2"/>
  <c r="H130" i="2" s="1"/>
  <c r="I130" i="2"/>
  <c r="G131" i="2"/>
  <c r="H131" i="2" s="1"/>
  <c r="I131" i="2"/>
  <c r="G132" i="2"/>
  <c r="H132" i="2" s="1"/>
  <c r="I132" i="2"/>
  <c r="G133" i="2"/>
  <c r="H133" i="2" s="1"/>
  <c r="I133" i="2"/>
  <c r="G134" i="2"/>
  <c r="H134" i="2" s="1"/>
  <c r="I134" i="2"/>
  <c r="G135" i="2"/>
  <c r="H135" i="2" s="1"/>
  <c r="I135" i="2"/>
  <c r="G136" i="2"/>
  <c r="H136" i="2" s="1"/>
  <c r="I136" i="2"/>
  <c r="I137" i="2"/>
  <c r="I138" i="2"/>
  <c r="G138" i="2"/>
  <c r="H138" i="2" s="1"/>
  <c r="I139" i="2"/>
  <c r="G140" i="2"/>
  <c r="H140" i="2" s="1"/>
  <c r="I140" i="2"/>
  <c r="I141" i="2"/>
  <c r="G142" i="2"/>
  <c r="H142" i="2" s="1"/>
  <c r="I142" i="2"/>
  <c r="G143" i="2"/>
  <c r="H143" i="2" s="1"/>
  <c r="I143" i="2"/>
  <c r="G148" i="2"/>
  <c r="H148" i="2" s="1"/>
  <c r="I148" i="2"/>
  <c r="N148" i="2" s="1"/>
  <c r="F149" i="2"/>
  <c r="I149" i="2"/>
  <c r="F150" i="2"/>
  <c r="G150" i="2" s="1"/>
  <c r="H150" i="2" s="1"/>
  <c r="I150" i="2"/>
  <c r="I151" i="2"/>
  <c r="F152" i="2"/>
  <c r="G152" i="2" s="1"/>
  <c r="H152" i="2" s="1"/>
  <c r="I152" i="2"/>
  <c r="G153" i="2"/>
  <c r="H153" i="2" s="1"/>
  <c r="I153" i="2"/>
  <c r="G154" i="2"/>
  <c r="H154" i="2" s="1"/>
  <c r="I154" i="2"/>
  <c r="F155" i="2"/>
  <c r="I155" i="2"/>
  <c r="E127" i="1"/>
  <c r="B142" i="1" s="1"/>
  <c r="E34" i="1"/>
  <c r="E35" i="1" s="1"/>
  <c r="E119" i="1"/>
  <c r="B150" i="1" s="1"/>
  <c r="A34" i="1"/>
  <c r="A35" i="1" s="1"/>
  <c r="D14" i="3"/>
  <c r="D24" i="3" s="1"/>
  <c r="D34" i="3" s="1"/>
  <c r="D44" i="3" s="1"/>
  <c r="D54" i="3" s="1"/>
  <c r="D64" i="3" s="1"/>
  <c r="D74" i="3" s="1"/>
  <c r="D84" i="3" s="1"/>
  <c r="D94" i="3" s="1"/>
  <c r="B132" i="1"/>
  <c r="R37" i="2"/>
  <c r="R146" i="2"/>
  <c r="R147" i="2"/>
  <c r="R148" i="2"/>
  <c r="R149" i="2"/>
  <c r="R150" i="2"/>
  <c r="R151" i="2"/>
  <c r="R152" i="2"/>
  <c r="R153" i="2"/>
  <c r="R154" i="2"/>
  <c r="R155" i="2"/>
  <c r="R156" i="2"/>
  <c r="I156" i="2"/>
  <c r="G156" i="2"/>
  <c r="H156" i="2" s="1"/>
  <c r="B72" i="2"/>
  <c r="D159" i="2"/>
  <c r="B6" i="2"/>
  <c r="O159" i="2" l="1"/>
  <c r="N17" i="2"/>
  <c r="B73" i="2"/>
  <c r="S72" i="2"/>
  <c r="F36" i="2"/>
  <c r="B7" i="2"/>
  <c r="S6" i="2"/>
  <c r="E99" i="1"/>
  <c r="G17" i="2"/>
  <c r="H17" i="2" s="1"/>
  <c r="G122" i="2"/>
  <c r="H122" i="2" s="1"/>
  <c r="G139" i="2"/>
  <c r="H139" i="2" s="1"/>
  <c r="N66" i="2"/>
  <c r="N55" i="2"/>
  <c r="N72" i="2"/>
  <c r="N60" i="2"/>
  <c r="K159" i="2"/>
  <c r="N52" i="2"/>
  <c r="L159" i="2"/>
  <c r="G151" i="2"/>
  <c r="H151" i="2" s="1"/>
  <c r="G124" i="2"/>
  <c r="H124" i="2" s="1"/>
  <c r="G36" i="2"/>
  <c r="H36" i="2" s="1"/>
  <c r="G155" i="2"/>
  <c r="H155" i="2" s="1"/>
  <c r="G149" i="2"/>
  <c r="H149" i="2" s="1"/>
  <c r="B143" i="1"/>
  <c r="R73" i="2"/>
  <c r="R72" i="2"/>
  <c r="R6" i="2"/>
  <c r="B8" i="2" l="1"/>
  <c r="S7" i="2"/>
  <c r="R7" i="2"/>
  <c r="B74" i="2"/>
  <c r="S73" i="2"/>
  <c r="N159" i="2"/>
  <c r="B75" i="2" l="1"/>
  <c r="S74" i="2"/>
  <c r="R74" i="2"/>
  <c r="B9" i="2"/>
  <c r="S8" i="2"/>
  <c r="R8" i="2"/>
  <c r="M159" i="2"/>
  <c r="B138" i="1"/>
  <c r="B10" i="2" l="1"/>
  <c r="S9" i="2"/>
  <c r="R9" i="2"/>
  <c r="B76" i="2"/>
  <c r="S75" i="2"/>
  <c r="R75" i="2"/>
  <c r="P148" i="2"/>
  <c r="P150" i="2"/>
  <c r="P149" i="2"/>
  <c r="P151" i="2"/>
  <c r="P152" i="2"/>
  <c r="P153" i="2"/>
  <c r="P155" i="2"/>
  <c r="P154" i="2"/>
  <c r="P156" i="2"/>
  <c r="B77" i="2" l="1"/>
  <c r="S76" i="2"/>
  <c r="R76" i="2"/>
  <c r="B11" i="2"/>
  <c r="S10" i="2"/>
  <c r="R10" i="2"/>
  <c r="P6" i="2"/>
  <c r="P76" i="2"/>
  <c r="P7" i="2"/>
  <c r="P37" i="2"/>
  <c r="P74" i="2"/>
  <c r="P10" i="2"/>
  <c r="P9" i="2"/>
  <c r="P72" i="2"/>
  <c r="P8" i="2"/>
  <c r="P75" i="2"/>
  <c r="P73"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5" i="2"/>
  <c r="P5" i="2" s="1"/>
  <c r="B12" i="2" l="1"/>
  <c r="S11" i="2"/>
  <c r="R11" i="2"/>
  <c r="P11" i="2" s="1"/>
  <c r="B78" i="2"/>
  <c r="S77" i="2"/>
  <c r="R77" i="2"/>
  <c r="P77" i="2" s="1"/>
  <c r="P48" i="2"/>
  <c r="B79" i="2" l="1"/>
  <c r="S78" i="2"/>
  <c r="R78" i="2"/>
  <c r="P78" i="2" s="1"/>
  <c r="B13" i="2"/>
  <c r="S12" i="2"/>
  <c r="R12" i="2"/>
  <c r="P12" i="2" s="1"/>
  <c r="B137" i="1"/>
  <c r="E159" i="2"/>
  <c r="B14" i="2" l="1"/>
  <c r="S13" i="2"/>
  <c r="R13" i="2"/>
  <c r="P13" i="2" s="1"/>
  <c r="B80" i="2"/>
  <c r="S79" i="2"/>
  <c r="R79" i="2"/>
  <c r="P79" i="2" s="1"/>
  <c r="P47" i="2"/>
  <c r="P42" i="2"/>
  <c r="P59" i="2"/>
  <c r="P55" i="2"/>
  <c r="P50" i="2"/>
  <c r="P45" i="2"/>
  <c r="P41" i="2"/>
  <c r="P43" i="2"/>
  <c r="P39" i="2"/>
  <c r="P46" i="2"/>
  <c r="P38" i="2"/>
  <c r="P71" i="2"/>
  <c r="P62" i="2"/>
  <c r="P49" i="2"/>
  <c r="P44" i="2"/>
  <c r="P40" i="2"/>
  <c r="B131" i="1"/>
  <c r="G159" i="2"/>
  <c r="P67" i="2"/>
  <c r="P68" i="2"/>
  <c r="P70" i="2"/>
  <c r="P69" i="2"/>
  <c r="P54" i="2"/>
  <c r="P65" i="2"/>
  <c r="P61" i="2"/>
  <c r="P57" i="2"/>
  <c r="P53" i="2"/>
  <c r="P58" i="2"/>
  <c r="P64" i="2"/>
  <c r="P60" i="2"/>
  <c r="P56" i="2"/>
  <c r="P52" i="2"/>
  <c r="P66" i="2"/>
  <c r="P63" i="2"/>
  <c r="P51" i="2"/>
  <c r="I159" i="2"/>
  <c r="B81" i="2" l="1"/>
  <c r="S80" i="2"/>
  <c r="R80" i="2"/>
  <c r="P80" i="2" s="1"/>
  <c r="B15" i="2"/>
  <c r="S14" i="2"/>
  <c r="R14" i="2"/>
  <c r="P14" i="2" s="1"/>
  <c r="B144" i="1"/>
  <c r="B151" i="1" s="1"/>
  <c r="B130" i="1"/>
  <c r="B133" i="1" s="1"/>
  <c r="J159" i="2"/>
  <c r="B16" i="2" l="1"/>
  <c r="S15" i="2"/>
  <c r="R15" i="2"/>
  <c r="P15" i="2" s="1"/>
  <c r="B82" i="2"/>
  <c r="S81" i="2"/>
  <c r="R81" i="2"/>
  <c r="P81" i="2" s="1"/>
  <c r="B83" i="2" l="1"/>
  <c r="S82" i="2"/>
  <c r="R82" i="2"/>
  <c r="P82" i="2" s="1"/>
  <c r="B17" i="2"/>
  <c r="S16" i="2"/>
  <c r="R16" i="2"/>
  <c r="P16" i="2" s="1"/>
  <c r="B18" i="2" l="1"/>
  <c r="S17" i="2"/>
  <c r="R17" i="2"/>
  <c r="P17" i="2" s="1"/>
  <c r="B84" i="2"/>
  <c r="S83" i="2"/>
  <c r="R83" i="2"/>
  <c r="P83" i="2" s="1"/>
  <c r="B19" i="2" l="1"/>
  <c r="S18" i="2"/>
  <c r="R18" i="2"/>
  <c r="P18" i="2" s="1"/>
  <c r="B85" i="2"/>
  <c r="S84" i="2"/>
  <c r="R84" i="2"/>
  <c r="P84" i="2" s="1"/>
  <c r="B86" i="2" l="1"/>
  <c r="S85" i="2"/>
  <c r="R85" i="2"/>
  <c r="P85" i="2" s="1"/>
  <c r="B20" i="2"/>
  <c r="S19" i="2"/>
  <c r="R19" i="2"/>
  <c r="P19" i="2" s="1"/>
  <c r="B21" i="2" l="1"/>
  <c r="S20" i="2"/>
  <c r="R20" i="2"/>
  <c r="P20" i="2" s="1"/>
  <c r="B87" i="2"/>
  <c r="S86" i="2"/>
  <c r="R86" i="2"/>
  <c r="P86" i="2" s="1"/>
  <c r="B88" i="2" l="1"/>
  <c r="S87" i="2"/>
  <c r="R87" i="2"/>
  <c r="P87" i="2" s="1"/>
  <c r="B22" i="2"/>
  <c r="S21" i="2"/>
  <c r="R21" i="2"/>
  <c r="P21" i="2" s="1"/>
  <c r="B23" i="2" l="1"/>
  <c r="S22" i="2"/>
  <c r="R22" i="2"/>
  <c r="P22" i="2" s="1"/>
  <c r="B89" i="2"/>
  <c r="S88" i="2"/>
  <c r="R88" i="2"/>
  <c r="P88" i="2" s="1"/>
  <c r="B90" i="2" l="1"/>
  <c r="S89" i="2"/>
  <c r="R89" i="2"/>
  <c r="P89" i="2" s="1"/>
  <c r="B24" i="2"/>
  <c r="S23" i="2"/>
  <c r="R23" i="2"/>
  <c r="P23" i="2" s="1"/>
  <c r="B25" i="2" l="1"/>
  <c r="S24" i="2"/>
  <c r="R24" i="2"/>
  <c r="P24" i="2" s="1"/>
  <c r="B91" i="2"/>
  <c r="S90" i="2"/>
  <c r="R90" i="2"/>
  <c r="P90" i="2" s="1"/>
  <c r="B26" i="2" l="1"/>
  <c r="S25" i="2"/>
  <c r="R25" i="2"/>
  <c r="P25" i="2" s="1"/>
  <c r="B92" i="2"/>
  <c r="S91" i="2"/>
  <c r="R91" i="2"/>
  <c r="P91" i="2" s="1"/>
  <c r="B93" i="2" l="1"/>
  <c r="S92" i="2"/>
  <c r="R92" i="2"/>
  <c r="P92" i="2" s="1"/>
  <c r="B27" i="2"/>
  <c r="S26" i="2"/>
  <c r="R26" i="2"/>
  <c r="P26" i="2" s="1"/>
  <c r="B28" i="2" l="1"/>
  <c r="S27" i="2"/>
  <c r="R27" i="2"/>
  <c r="P27" i="2" s="1"/>
  <c r="B94" i="2"/>
  <c r="S93" i="2"/>
  <c r="R93" i="2"/>
  <c r="P93" i="2" s="1"/>
  <c r="B95" i="2" l="1"/>
  <c r="S94" i="2"/>
  <c r="R94" i="2"/>
  <c r="P94" i="2" s="1"/>
  <c r="B29" i="2"/>
  <c r="S28" i="2"/>
  <c r="R28" i="2"/>
  <c r="P28" i="2" s="1"/>
  <c r="B30" i="2" l="1"/>
  <c r="S29" i="2"/>
  <c r="R29" i="2"/>
  <c r="P29" i="2" s="1"/>
  <c r="B96" i="2"/>
  <c r="S95" i="2"/>
  <c r="R95" i="2"/>
  <c r="P95" i="2" s="1"/>
  <c r="B97" i="2" l="1"/>
  <c r="S96" i="2"/>
  <c r="R96" i="2"/>
  <c r="P96" i="2" s="1"/>
  <c r="B31" i="2"/>
  <c r="S30" i="2"/>
  <c r="R30" i="2"/>
  <c r="P30" i="2" s="1"/>
  <c r="B32" i="2" l="1"/>
  <c r="S31" i="2"/>
  <c r="R31" i="2"/>
  <c r="P31" i="2" s="1"/>
  <c r="B98" i="2"/>
  <c r="S97" i="2"/>
  <c r="R97" i="2"/>
  <c r="P97" i="2" s="1"/>
  <c r="B99" i="2" l="1"/>
  <c r="S98" i="2"/>
  <c r="R98" i="2"/>
  <c r="P98" i="2" s="1"/>
  <c r="B33" i="2"/>
  <c r="S32" i="2"/>
  <c r="R32" i="2"/>
  <c r="P32" i="2" s="1"/>
  <c r="B34" i="2" l="1"/>
  <c r="S33" i="2"/>
  <c r="R33" i="2"/>
  <c r="P33" i="2" s="1"/>
  <c r="B100" i="2"/>
  <c r="S99" i="2"/>
  <c r="R99" i="2"/>
  <c r="P99" i="2" s="1"/>
  <c r="B101" i="2" l="1"/>
  <c r="S100" i="2"/>
  <c r="R100" i="2"/>
  <c r="P100" i="2" s="1"/>
  <c r="B35" i="2"/>
  <c r="S34" i="2"/>
  <c r="R34" i="2"/>
  <c r="P34" i="2" s="1"/>
  <c r="B36" i="2" l="1"/>
  <c r="S35" i="2"/>
  <c r="R35" i="2"/>
  <c r="P35" i="2" s="1"/>
  <c r="B102" i="2"/>
  <c r="S101" i="2"/>
  <c r="R101" i="2"/>
  <c r="P101" i="2" s="1"/>
  <c r="B103" i="2" l="1"/>
  <c r="S102" i="2"/>
  <c r="R102" i="2"/>
  <c r="P102" i="2" s="1"/>
  <c r="R36" i="2"/>
  <c r="P36" i="2" s="1"/>
  <c r="S36" i="2"/>
  <c r="B104" i="2" l="1"/>
  <c r="S103" i="2"/>
  <c r="R103" i="2"/>
  <c r="P103" i="2" s="1"/>
  <c r="B105" i="2" l="1"/>
  <c r="S104" i="2"/>
  <c r="R104" i="2"/>
  <c r="P104" i="2" s="1"/>
  <c r="B106" i="2" l="1"/>
  <c r="S105" i="2"/>
  <c r="R105" i="2"/>
  <c r="P105" i="2" s="1"/>
  <c r="B107" i="2" l="1"/>
  <c r="S106" i="2"/>
  <c r="R106" i="2"/>
  <c r="P106" i="2" s="1"/>
  <c r="B108" i="2" l="1"/>
  <c r="S107" i="2"/>
  <c r="R107" i="2"/>
  <c r="P107" i="2" s="1"/>
  <c r="B109" i="2" l="1"/>
  <c r="S108" i="2"/>
  <c r="R108" i="2"/>
  <c r="P108" i="2" s="1"/>
  <c r="B110" i="2" l="1"/>
  <c r="S109" i="2"/>
  <c r="R109" i="2"/>
  <c r="P109" i="2" s="1"/>
  <c r="B111" i="2" l="1"/>
  <c r="S110" i="2"/>
  <c r="R110" i="2"/>
  <c r="P110" i="2" s="1"/>
  <c r="B112" i="2" l="1"/>
  <c r="S111" i="2"/>
  <c r="R111" i="2"/>
  <c r="P111" i="2" s="1"/>
  <c r="B113" i="2" l="1"/>
  <c r="S112" i="2"/>
  <c r="R112" i="2"/>
  <c r="P112" i="2" s="1"/>
  <c r="B114" i="2" l="1"/>
  <c r="S113" i="2"/>
  <c r="R113" i="2"/>
  <c r="P113" i="2" s="1"/>
  <c r="B115" i="2" l="1"/>
  <c r="S114" i="2"/>
  <c r="R114" i="2"/>
  <c r="P114" i="2" s="1"/>
  <c r="B116" i="2" l="1"/>
  <c r="S115" i="2"/>
  <c r="R115" i="2"/>
  <c r="P115" i="2" s="1"/>
  <c r="B117" i="2" l="1"/>
  <c r="S116" i="2"/>
  <c r="R116" i="2"/>
  <c r="P116" i="2" s="1"/>
  <c r="B118" i="2" l="1"/>
  <c r="S117" i="2"/>
  <c r="R117" i="2"/>
  <c r="P117" i="2" s="1"/>
  <c r="B119" i="2" l="1"/>
  <c r="S118" i="2"/>
  <c r="R118" i="2"/>
  <c r="P118" i="2" s="1"/>
  <c r="B120" i="2" l="1"/>
  <c r="S119" i="2"/>
  <c r="R119" i="2"/>
  <c r="P119" i="2" s="1"/>
  <c r="B121" i="2" l="1"/>
  <c r="S120" i="2"/>
  <c r="R120" i="2"/>
  <c r="P120" i="2" s="1"/>
  <c r="B122" i="2" l="1"/>
  <c r="S121" i="2"/>
  <c r="R121" i="2"/>
  <c r="P121" i="2" s="1"/>
  <c r="B123" i="2" l="1"/>
  <c r="S122" i="2"/>
  <c r="R122" i="2"/>
  <c r="P122" i="2" s="1"/>
  <c r="B124" i="2" l="1"/>
  <c r="S123" i="2"/>
  <c r="R123" i="2"/>
  <c r="P123" i="2" s="1"/>
  <c r="B125" i="2" l="1"/>
  <c r="S124" i="2"/>
  <c r="R124" i="2"/>
  <c r="P124" i="2" s="1"/>
  <c r="B126" i="2" l="1"/>
  <c r="S125" i="2"/>
  <c r="R125" i="2"/>
  <c r="P125" i="2" s="1"/>
  <c r="B127" i="2" l="1"/>
  <c r="S126" i="2"/>
  <c r="R126" i="2"/>
  <c r="P126" i="2" s="1"/>
  <c r="B128" i="2" l="1"/>
  <c r="S127" i="2"/>
  <c r="R127" i="2"/>
  <c r="P127" i="2" s="1"/>
  <c r="B129" i="2" l="1"/>
  <c r="S128" i="2"/>
  <c r="R128" i="2"/>
  <c r="P128" i="2" s="1"/>
  <c r="B130" i="2" l="1"/>
  <c r="S129" i="2"/>
  <c r="R129" i="2"/>
  <c r="P129" i="2" s="1"/>
  <c r="B131" i="2" l="1"/>
  <c r="S130" i="2"/>
  <c r="R130" i="2"/>
  <c r="P130" i="2" s="1"/>
  <c r="B132" i="2" l="1"/>
  <c r="S131" i="2"/>
  <c r="R131" i="2"/>
  <c r="P131" i="2" s="1"/>
  <c r="B133" i="2" l="1"/>
  <c r="S132" i="2"/>
  <c r="R132" i="2"/>
  <c r="P132" i="2" s="1"/>
  <c r="B134" i="2" l="1"/>
  <c r="S133" i="2"/>
  <c r="R133" i="2"/>
  <c r="P133" i="2" s="1"/>
  <c r="B135" i="2" l="1"/>
  <c r="S134" i="2"/>
  <c r="R134" i="2"/>
  <c r="P134" i="2" s="1"/>
  <c r="B136" i="2" l="1"/>
  <c r="S135" i="2"/>
  <c r="R135" i="2"/>
  <c r="P135" i="2" s="1"/>
  <c r="B137" i="2" l="1"/>
  <c r="S136" i="2"/>
  <c r="R136" i="2"/>
  <c r="P136" i="2" s="1"/>
  <c r="B138" i="2" l="1"/>
  <c r="S137" i="2"/>
  <c r="R137" i="2"/>
  <c r="P137" i="2" s="1"/>
  <c r="B139" i="2" l="1"/>
  <c r="S138" i="2"/>
  <c r="R138" i="2"/>
  <c r="P138" i="2" s="1"/>
  <c r="B140" i="2" l="1"/>
  <c r="S139" i="2"/>
  <c r="R139" i="2"/>
  <c r="P139" i="2" s="1"/>
  <c r="B141" i="2" l="1"/>
  <c r="S140" i="2"/>
  <c r="R140" i="2"/>
  <c r="P140" i="2" s="1"/>
  <c r="B142" i="2" l="1"/>
  <c r="S141" i="2"/>
  <c r="R141" i="2"/>
  <c r="P141" i="2" s="1"/>
  <c r="B143" i="2" l="1"/>
  <c r="S142" i="2"/>
  <c r="R142" i="2"/>
  <c r="P142" i="2" s="1"/>
  <c r="B144" i="2" l="1"/>
  <c r="S143" i="2"/>
  <c r="R143" i="2"/>
  <c r="P143" i="2" s="1"/>
  <c r="P159" i="2" s="1"/>
  <c r="B145" i="2" l="1"/>
  <c r="S144" i="2"/>
  <c r="R144" i="2"/>
  <c r="R145" i="2" l="1"/>
  <c r="S145" i="2"/>
</calcChain>
</file>

<file path=xl/sharedStrings.xml><?xml version="1.0" encoding="utf-8"?>
<sst xmlns="http://schemas.openxmlformats.org/spreadsheetml/2006/main" count="608" uniqueCount="404">
  <si>
    <t>Gastos Ordinarios:</t>
  </si>
  <si>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</si>
  <si>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</si>
  <si>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</si>
  <si>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</si>
  <si>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</si>
  <si>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</si>
  <si>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</si>
  <si>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</si>
  <si>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</si>
  <si>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</si>
  <si>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</si>
  <si>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</si>
  <si>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</si>
  <si>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</si>
  <si>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</si>
  <si>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</si>
  <si>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</si>
  <si>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</si>
  <si>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</si>
  <si>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</si>
  <si>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</si>
  <si>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</si>
  <si>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Gastos banacarios</t>
  </si>
  <si>
    <t>Mantenimiento de cuenta</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</si>
  <si>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</si>
  <si>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</si>
  <si>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</si>
  <si>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</si>
  <si>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</si>
  <si>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</si>
  <si>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</si>
  <si>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</si>
  <si>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</si>
  <si>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</si>
  <si>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</si>
  <si>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</si>
  <si>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Berlotti, Maria Laura</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</si>
  <si>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</si>
  <si>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</si>
  <si>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</si>
  <si>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</si>
  <si>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</si>
  <si>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</si>
  <si>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</si>
  <si>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</si>
  <si>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</si>
  <si>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</si>
  <si>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</si>
  <si>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</si>
  <si>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</si>
  <si>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</si>
  <si>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</si>
  <si>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</si>
  <si>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</si>
  <si>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</si>
  <si>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</si>
  <si>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</si>
  <si>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</si>
  <si>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</si>
  <si>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</si>
  <si>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</si>
  <si>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</si>
  <si>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</si>
  <si>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</si>
  <si>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</si>
  <si>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</si>
  <si>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</si>
  <si>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</si>
  <si>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</si>
  <si>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</si>
  <si>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</si>
  <si>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</si>
  <si>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</si>
  <si>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</si>
  <si>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</si>
  <si>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</si>
  <si>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</si>
  <si>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</si>
  <si>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</si>
  <si>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</si>
  <si>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</si>
  <si>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</si>
  <si>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</si>
  <si>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</si>
  <si>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</si>
  <si>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</si>
  <si>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</si>
  <si>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</si>
  <si>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</si>
  <si>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</si>
  <si>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</si>
  <si>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</si>
  <si>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</si>
  <si>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</si>
  <si>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</si>
  <si>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</si>
  <si>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</si>
  <si>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</si>
  <si>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</si>
  <si>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</si>
  <si>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</si>
  <si>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</si>
  <si>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</si>
  <si>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</si>
  <si>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</si>
  <si>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</si>
  <si>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Fino, Claudia</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</si>
  <si>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</si>
  <si>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</si>
  <si>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</si>
  <si>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</si>
  <si>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</si>
  <si>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</si>
  <si>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</si>
  <si>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</si>
  <si>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</si>
  <si>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</si>
  <si>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</si>
  <si>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Rodoni, Sergio</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</si>
  <si>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</si>
  <si>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</si>
  <si>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</si>
  <si>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</si>
  <si>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</si>
  <si>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</si>
  <si>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</si>
  <si>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</si>
  <si>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</si>
  <si>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</si>
  <si>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</si>
  <si>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</si>
  <si>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</si>
  <si>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</si>
  <si>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</si>
  <si>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</si>
  <si>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</si>
  <si>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</si>
  <si>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</si>
  <si>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Streger, Javier</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</si>
  <si>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</si>
  <si>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</si>
  <si>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</si>
  <si>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</si>
  <si>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</si>
  <si>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</si>
  <si>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</si>
  <si>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</si>
  <si>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</si>
  <si>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</si>
  <si>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</si>
  <si>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</si>
  <si>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Fondo de reserva</t>
  </si>
  <si>
    <t>TOTAL  SEGUROS</t>
  </si>
  <si>
    <t>TOTAL APORTES Y CONTRIBUCIONES</t>
  </si>
  <si>
    <t>TOTAL HONORARIOS</t>
  </si>
  <si>
    <t>TOTAL  GASTOS BANCARIOS</t>
  </si>
  <si>
    <t>SUMA DE GASTOS - ABONOS DE SERVICIOS</t>
  </si>
  <si>
    <t>Egresos abonos y servicios</t>
  </si>
  <si>
    <t>CUIT.: 30-71618269-6</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</si>
  <si>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</si>
  <si>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</si>
  <si>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</si>
  <si>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</si>
  <si>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</si>
  <si>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 xml:space="preserve">ANOTACION </t>
  </si>
  <si>
    <t>FECHA DE LA ANOTACION:</t>
  </si>
  <si>
    <t>QUEJA VIA:</t>
  </si>
  <si>
    <t>WHATSAPP</t>
  </si>
  <si>
    <t>MAIL</t>
  </si>
  <si>
    <t>FECHA DE LA QUEJA:</t>
  </si>
  <si>
    <t>MOTIVO DE LA QUEJA:</t>
  </si>
  <si>
    <t>NOMBRE:</t>
  </si>
  <si>
    <t>LOTE:</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</si>
  <si>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</si>
  <si>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</si>
  <si>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</si>
  <si>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</si>
  <si>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</si>
  <si>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</si>
  <si>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</si>
  <si>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</si>
  <si>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</si>
  <si>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Allianz (Cuit.: 30--50003721-7) - Seguro Técnico - Póliza N° 240210705270; Vto.01/09/2025</t>
  </si>
  <si>
    <t>Allianz (Cuit.: 30--50003721-7) - Seguro Integral Consorcio - Póliza N° 240230745475; Vto.01/09/2025</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</si>
  <si>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</si>
  <si>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</si>
  <si>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</si>
  <si>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</si>
  <si>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</si>
  <si>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</si>
  <si>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</si>
  <si>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</si>
  <si>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</si>
  <si>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</si>
  <si>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</si>
  <si>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</si>
  <si>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Egresos particulares</t>
  </si>
  <si>
    <t>GASTOS PARTICULARES:</t>
  </si>
  <si>
    <t xml:space="preserve">TOTAL PARTICULARES </t>
  </si>
  <si>
    <t>Flow (Cuit: 30-63945373-8) - Fc.05443741 (Servicio de WIFI 2025)</t>
  </si>
  <si>
    <t>Debito autom</t>
  </si>
  <si>
    <t>Telecom (Cuit.: 30-63945373-8) - (Abono celular Intendencia)</t>
  </si>
  <si>
    <t>HUANG (CHINO)</t>
  </si>
  <si>
    <t>Imsael Matta</t>
  </si>
  <si>
    <t>Noemi</t>
  </si>
  <si>
    <t>Fattorini sergio</t>
  </si>
  <si>
    <t>albrech adrian</t>
  </si>
  <si>
    <t>QUERCIA LUCIO</t>
  </si>
  <si>
    <t>ROSSI PATRICIA</t>
  </si>
  <si>
    <t>GLOBAL TT S.A. / GLOBAT</t>
  </si>
  <si>
    <t>RECAUDACIONES Y PAGOS SA</t>
  </si>
  <si>
    <t>Luis Grecco Y Karina</t>
  </si>
  <si>
    <t>Flores javier roberto</t>
  </si>
  <si>
    <t xml:space="preserve">Deposita </t>
  </si>
  <si>
    <t>Deposita</t>
  </si>
  <si>
    <t>Nicolas Esteban Gutierrez</t>
  </si>
  <si>
    <t>Avicola lanus a nombre de Tamara en el mail</t>
  </si>
  <si>
    <t>avicola lanus a nombre de tamara en el mail</t>
  </si>
  <si>
    <t>Suavenol</t>
  </si>
  <si>
    <t>Deposita, tambien paga el 132</t>
  </si>
  <si>
    <t>Santangelo - Deposita</t>
  </si>
  <si>
    <t>Deposita - Andrea Iglesias</t>
  </si>
  <si>
    <t>Tosi german lucas o nitapaula0684@gmail.com</t>
  </si>
  <si>
    <t>LBEG SERO SRL</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</si>
  <si>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</si>
  <si>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</si>
  <si>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</si>
  <si>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</si>
  <si>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</si>
  <si>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</si>
  <si>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</si>
  <si>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</si>
  <si>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</si>
  <si>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</si>
  <si>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</si>
  <si>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</si>
  <si>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</si>
  <si>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PAYMENTS GROUP SA</t>
  </si>
  <si>
    <t>mercedes arias &lt;mercedesarias2005@hotmail.com&gt;</t>
  </si>
  <si>
    <t>Velazco Velasco Gisela</t>
  </si>
  <si>
    <t>Grey Brick SA</t>
  </si>
  <si>
    <t>Adminar SA y Lobison</t>
  </si>
  <si>
    <t>Recaudaciones y pagos -  Suzel Valiña &lt;valisule@gmail.com&gt; - Paga 118 , 120 y 121</t>
  </si>
  <si>
    <t>Calabro, Evangelina</t>
  </si>
  <si>
    <t>Lorena Mazzeo</t>
  </si>
  <si>
    <t>Guillermo rodriguez</t>
  </si>
  <si>
    <t>Ines / Jorge o Ayestaran Melanie que es la inquilina</t>
  </si>
  <si>
    <t>Andrea Juarez Cecilia</t>
  </si>
  <si>
    <t>Maria Laura Lopez</t>
  </si>
  <si>
    <t>Compensacion expensas lote 140 - 141:</t>
  </si>
  <si>
    <t>TOTAL GASTOS ORDINARIOS + ABONOS Y SERVICIOS</t>
  </si>
  <si>
    <t>FONDO SUPER AHORRO PLUS</t>
  </si>
  <si>
    <t>COMPENSACION EXP. LOTE 140/141</t>
  </si>
  <si>
    <t>Saldo anterior total</t>
  </si>
  <si>
    <t>Ingreso total</t>
  </si>
  <si>
    <t>Interes</t>
  </si>
  <si>
    <t>Total</t>
  </si>
  <si>
    <t xml:space="preserve">FECHA DE INICIO - 21/04/2025 </t>
  </si>
  <si>
    <t>CAJA EFECTIVO</t>
  </si>
  <si>
    <t>Egresos ya descontados en la caja que corresponde al efectivo - Se retiran de la caja general para no doble contabilizarlos</t>
  </si>
  <si>
    <t>RESUMEN CAJA GENERAL</t>
  </si>
  <si>
    <t xml:space="preserve"> </t>
  </si>
  <si>
    <t>Santiago Roman Ramirez</t>
  </si>
  <si>
    <t>Ezequiel De la calle</t>
  </si>
  <si>
    <t>Maria Ximena Vizzini / P Sur Srl</t>
  </si>
  <si>
    <t>Ariel Sposito</t>
  </si>
  <si>
    <t>Depositos sin identificar liquidaciones anteriores</t>
  </si>
  <si>
    <t>Deposito sin identificar - correspondientes a estas expensas</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</si>
  <si>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</si>
  <si>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Balghera, Lucas</t>
  </si>
  <si>
    <t>PENDIENTE PARA CERRAR AGOST0</t>
  </si>
  <si>
    <t>PERÍODO: JULIO - ADMINISTRADORA: CAROLINA CANCIANI MP:1148</t>
  </si>
  <si>
    <t>Deducciones mes de JULIO</t>
  </si>
  <si>
    <t>Redondeo mes de JULIO</t>
  </si>
  <si>
    <t>Honorarios administracion - Mes de JULIO</t>
  </si>
  <si>
    <t>Sindicatos mes de JUNIO</t>
  </si>
  <si>
    <t>Vazquez (Cuit.: 30-55987767-7) - Fc.00000197 (Prestación servicio de contenedores - JUNIO)</t>
  </si>
  <si>
    <t>Un monto no identificado de junio es de ella, el de  Transferencia bancaria - 30/06 - Cafrathela SA 808505,45</t>
  </si>
  <si>
    <t>Daiana Casas</t>
  </si>
  <si>
    <t>Deposito el 05/08 $722.000</t>
  </si>
  <si>
    <t>Marcos Strianese</t>
  </si>
  <si>
    <t>Deposito 650 mil el 5/8</t>
  </si>
  <si>
    <t>Fernando Rivero y Mónica Cádiz</t>
  </si>
  <si>
    <t>ECOT - Fc. 00000641 - Caño redondo 1" 3/4 X 1,6mm 6MTS</t>
  </si>
  <si>
    <t>Mirez Segio - Fc. 00000035 - Reparacion de 4 farolas negras en calles internas - Cambio de termicas unipolares y 1 termica tetrapolar en tbalero luminaria frente al lote 1 - Detencion de cortocircuito en cable en Sintenax y puesta en funcionamiento de luminaria tipo jirafa en ingreso puesto 2</t>
  </si>
  <si>
    <t>Grafica Tauge - Fotocopias blanco y negro - Fc. 00004132</t>
  </si>
  <si>
    <t>Plex S.A - Fc. 000000010 - 20% adelanto etapa 2 - Obra paredon perimetral</t>
  </si>
  <si>
    <t>Transf 03/07</t>
  </si>
  <si>
    <t>JC construcciones (Cuit.: 30-71620247-6) -  (5°/6 Etapa 1 Paredon Calle Pino)</t>
  </si>
  <si>
    <t>Transf 07/07</t>
  </si>
  <si>
    <t>Mirez Segio - Fc. 00000030 - Reparacion de farolas negras cambio de lamparas - Reparacion de corto circuito alimentacion principal puesto 1</t>
  </si>
  <si>
    <t>Transf 04/07</t>
  </si>
  <si>
    <t>Mirez Segio - Fc. 00000031 - Recambio de 6 reflectores en rotonda de lote 28 y sector de parrilla club house - Reparacion de artefactos de iluminacion farolas negras - Cambi de reflector a media altura (club house) - Cambio de cerradura en 5 tableros - Cambio toma corriente puesto 2 - Agregado de toma para obra en muro perimetral</t>
  </si>
  <si>
    <t>Mirez Segio - Fc. 00000034 - Reacondicionado de tablero seccional puesto 1 - Colocacion de nuevos tomacorriente - Toma corriente para obra construccion de muro perimetral</t>
  </si>
  <si>
    <t>Ramirez Francisco - Fc. 00000463 - Alquiler de volquetes</t>
  </si>
  <si>
    <t>Efectivo 22/07</t>
  </si>
  <si>
    <t>Transf 15/07</t>
  </si>
  <si>
    <t>Servicio Polad - Mes de JUNIO - Valor de la hora $5.887,90 (720hs en total)</t>
  </si>
  <si>
    <t>Servicios arquitectura - Srita. Melanie Burgos Oros - Lotes 9 - 13 - 16 - 48 - 51 - 56 - 68 - 146 - 62</t>
  </si>
  <si>
    <t>Honorarios arquitectura - Srta. Burgos Oros Johanna Melanie - Fc. 00000085</t>
  </si>
  <si>
    <t>Romanatti Carlos Maria - Fc.00000578 Certificacion de dos firmas (fojas, aporte, honorarios e iva)</t>
  </si>
  <si>
    <t>GOLD (Cuit.: 33-71225773-9) - Fc.0000401 (Servicio de Seguridad JUNIO 2025)</t>
  </si>
  <si>
    <t>OMS (Cuit.: 30-71568933-9) - Fc.00002507 (Abono mantenimiento planta de tratamiento)</t>
  </si>
  <si>
    <t>Transf 02/07</t>
  </si>
  <si>
    <t>Mirez Segio - Fc. 00000036 - Reparacion de farolas negras y cambio de termica en acometida de alimentacion por cortocircuito en la misma</t>
  </si>
  <si>
    <t>Transf 24/07</t>
  </si>
  <si>
    <t>Transf 30/07</t>
  </si>
  <si>
    <t>Transf 29/07</t>
  </si>
  <si>
    <t xml:space="preserve">Hesurmet (Cuit.: 33-70871302-9)  - Servicio de recoleccion de residuos y traslado - Junio </t>
  </si>
  <si>
    <t xml:space="preserve">Hesurmet (Cuit.: 33-70871302-9)  - Servicio de recoleccion de residuos y traslado - Mayo </t>
  </si>
  <si>
    <t>Mirez Segio - Fc. 00000038 - Colocacion de nuevos tomacorriente para transformadores de camaras de seguridad en puesto 1</t>
  </si>
  <si>
    <t>Transf 22/07</t>
  </si>
  <si>
    <t>Valiente Margio Jose - Fc. 00000166 - Honorarios profesionales en concepto de realizacion PLAN GRISU para el barrio - Res ministerio de ambiente 190/24 - 50% actualizado IPC junio - Factura adeudada por la Sra. Mabel</t>
  </si>
  <si>
    <t>Electro DRF - Compra de materiales (Fotocelula, cable tipo taller, tomas binormas con bastidor, abrazaderas, tapas) - Fc. 35057</t>
  </si>
  <si>
    <t>Electro DRF - Enchufes, lamparas, cables, cintas - Fc. 35360</t>
  </si>
  <si>
    <t>Electro DRF - Tapas con bastidores para enchufes, cajas rectangulares, cables taller - Fc. 35587</t>
  </si>
  <si>
    <t>Electro DRF - Compra de interruptor tetrapolar - Fc. 00779</t>
  </si>
  <si>
    <t>Electro DRF - Compra de materiales (Proyectores led, cinta de caucho, interrupor, dicroicas) - Fc. 00777</t>
  </si>
  <si>
    <t>Serviplagas (Cuit.: 27-28067012-5) - Fc. 00000501 (Servicio fumigación JUNIO 2025 y remocion de dos panales)</t>
  </si>
  <si>
    <t>Alonso Bado Javier - Alquiler mensual vehiculo electrico abierto con seguro incluido - Mes de Julio - Fc. 0001152</t>
  </si>
  <si>
    <t>Alonso Bado Javier - Alquiler mensual vehiculo electrico abierto con seguro incluido - Mes de junio - Fc. 0001143</t>
  </si>
  <si>
    <t>Ramirez Francisco - Fc. 00000527 - Alquiler de volquetes</t>
  </si>
  <si>
    <t>Ramirez Francisco - Fc. 00000530 - Alquiler de volquetes</t>
  </si>
  <si>
    <t>Ramirez Francisco - Fc. 000004610 -Doble alquiler de volquetes</t>
  </si>
  <si>
    <t>Mirez Segio - Fc. 00000029 - Cambio de reflectores en el barrio</t>
  </si>
  <si>
    <t>Edesur (Cuit.: 30-65511652-1) - Periodo liquidado 2do tramo bimestre 3 del 2025</t>
  </si>
  <si>
    <t>Debito 17/07</t>
  </si>
  <si>
    <t>Axin (Cuit.: 30-70858249-9) - Fc. 0001255 (Cuotas 44°/60 Leasing Sistma Open Key)</t>
  </si>
  <si>
    <t>Grey Brick - Fc. 000000921 - Certificacion de ibra pavimento correspondiente a Junio y Julio</t>
  </si>
  <si>
    <t>Taller 4 - Ploteos de vallas - Fc. 00000011 - CUIT: 30-71543517-5</t>
  </si>
  <si>
    <t>Palubinskas Fernando Nestor - 39 Bidones de Agua cimes de 20lts - Fc. 0001305</t>
  </si>
  <si>
    <t>Doartero Julio Cesar - CUIT 30-71618269-6 - Fc. 00000119 - Puesta en marcha y mano de obra grupo electrogeno - Materiales y mano de obra</t>
  </si>
  <si>
    <t>Doartero Julio Cesar - CUIT 30-71618269-6 - Fc. 00000119 - Reparacion de dos baños puesto 1 y carga de aire acondicionado - Mano de obra</t>
  </si>
  <si>
    <t>Mantbrown (Cuit.: 30-71814188-1) - Extraccion de dos arboles sobre calle pino - Fc. 0059</t>
  </si>
  <si>
    <t>Mantbrown (Cuit.: 30-71814188-1) - Fc. 0001</t>
  </si>
  <si>
    <t>Mantbrown (Cuit.: 30-71814188-1)  - Fc. 0002 - Extraccion de 2 arboles sobre muro etapa 2</t>
  </si>
  <si>
    <t>Mantbrown (Cuit.: 30-71814188-1) - Fc. 0003 - Extraccion de arbol sobre muro etapa 1</t>
  </si>
  <si>
    <t>El imperio RYL - Fc. 000006432 - Articulos de limpieza</t>
  </si>
  <si>
    <t xml:space="preserve">Veateu SU S.A - CUIT: 30-64631576-6 - Compra de Gasoil (Nafta Super) </t>
  </si>
  <si>
    <t>Efect</t>
  </si>
  <si>
    <t xml:space="preserve">Crispe Paula Andrea - Compra secavidrio </t>
  </si>
  <si>
    <t>ARCA - Intereses del mes de Mayo generados por traspaso de administracion</t>
  </si>
  <si>
    <t>ARCA - Mes de Junio</t>
  </si>
  <si>
    <t>Recicla Brown- CUIT: 30-71633401-1 - Servicio de recoleccion de residuos solidos urbanos con frecuencia de un retiro a la semana correspondiente al mes de mayo - Fc. 0047</t>
  </si>
  <si>
    <t>Recicla Brown- CUIT: 30-71633401-1 - Servicio de recoleccion de residuos solidos urbanos con frecuencia de un retiro a la semana correspondiente al mes de junio - Fc. 0048</t>
  </si>
  <si>
    <t>Herreria GMD - Gabriel Muzyka - Arreglo barrera puesto 1 - Materiales y mano de obra</t>
  </si>
  <si>
    <t>Transf 23/07</t>
  </si>
  <si>
    <t>Debito 04/07</t>
  </si>
  <si>
    <t>Debito 10/07</t>
  </si>
  <si>
    <t>Transf 11/07</t>
  </si>
  <si>
    <t>Transf 14/07</t>
  </si>
  <si>
    <t>Debito 16/07</t>
  </si>
  <si>
    <t>Transf 17/07</t>
  </si>
  <si>
    <t>Sueldo intendencia - Maximiliano Abbruzzese - JULIO</t>
  </si>
  <si>
    <t>Potes Paula Vanesa</t>
  </si>
  <si>
    <t>Teresa Angelica Agustin - Emiliano Piergiovanni</t>
  </si>
  <si>
    <t>Gergoff Ninoff Milagros Florencia / Diego soto / Profirio Soto</t>
  </si>
  <si>
    <t>Tiene dos transferencias no puestas por la administracion anterior - hay que chequearlas</t>
  </si>
  <si>
    <t>Nicolas Cecilia Andrea</t>
  </si>
  <si>
    <t xml:space="preserve">Gonzalo Fernandez. </t>
  </si>
  <si>
    <t>ADRIAN CLAUDIO GIARMAN / JOSEFINA GIORDANI / Milagros Anahi Sanchez / Leonardo Alexis Fama / Maria Antonella Rodriguez</t>
  </si>
  <si>
    <t xml:space="preserve"> de nardi paula andrea</t>
  </si>
  <si>
    <t>Cristian Colson</t>
  </si>
  <si>
    <t>Noelia Franccini</t>
  </si>
  <si>
    <t>Deposito el 02/08 $1.915.000</t>
  </si>
  <si>
    <t xml:space="preserve">
ALEJANDRA CASTRO</t>
  </si>
  <si>
    <t>CAROLINA GIACCHETTI carolinagiacchetti@hotmail.com / Maria alejandra Ceballos</t>
  </si>
  <si>
    <t>ConstruHap - Veronica Laura Maggiot</t>
  </si>
  <si>
    <t>Sergio Decaira / De caira</t>
  </si>
  <si>
    <t>Centurion Sergio Cesar</t>
  </si>
  <si>
    <t>Romina Troppelli - Deposita</t>
  </si>
  <si>
    <t>Medizin - ProlijoLimp SA</t>
  </si>
  <si>
    <t>maria jose de la nativ penaloza gonzalez</t>
  </si>
  <si>
    <t>Deposita, tambien paga el lote 18 - Santiago Jorge Claps</t>
  </si>
  <si>
    <t>Horacio oscar brescia - Estefania Tortorisi</t>
  </si>
  <si>
    <t>Gustavo Kearney &lt;gkearney@batt.com.ar&gt; - maranata perfumeria</t>
  </si>
  <si>
    <t>Punitorios mal cobrados lote 11</t>
  </si>
  <si>
    <t>Pago ya identificado de lote 11 - Liquidacion anterior</t>
  </si>
  <si>
    <t>Daniela Cabral</t>
  </si>
  <si>
    <t>ad RUIZ DIAZ - Maria agustina Falcone</t>
  </si>
  <si>
    <t>Cafrathela SA</t>
  </si>
  <si>
    <t>Punitorios mal cobrados lote 136</t>
  </si>
  <si>
    <t>Pago ya identificado de lote 136 - Liquidacion anterior</t>
  </si>
  <si>
    <t>Transferencia sin identificar 01/07 - De mela Innovaciones SRL</t>
  </si>
  <si>
    <t>Deposito en efectivo - 04/07</t>
  </si>
  <si>
    <t>Deposito en efectivo - 05/07</t>
  </si>
  <si>
    <t>Transferencia sin identificar 22/07 - Ad Premed SRL</t>
  </si>
  <si>
    <t>Transferencia sin identificar 30/07 - JCN Importaciones SRL</t>
  </si>
  <si>
    <t>Deposito en efectivo - 30/07</t>
  </si>
  <si>
    <t>SUM mal cobrado lote 113</t>
  </si>
  <si>
    <t>Gastos particulares / Multas / SUM</t>
  </si>
  <si>
    <t>Egresos extraordinarios</t>
  </si>
  <si>
    <t>LOTE</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</si>
  <si>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 QUIENES, EN LA COLUMNA “DEUDA O SALDO A FAVOR”, LES FIGURE UN MONTO NEGATIVO, SIGNIFICA QUE, AL MOMENTO DEL CIERRE DE LAS EXPENSAS, POSEEN DINERO A SU FAVOR. ESTE SALDO SERÁ IMPUTADO EN LAS PRÓXIMAS LIQUIDACIONES, REDUCIENDO EL IMPORTE A ABONAR RESPECTO DE LO QUE CORRESPONDERÍA PAGAR EN CASO DE NO CONTAR CON ESTE CRÉDITO. AGRADECEMOS MUCHÍSIMO SU COLABORACIÓN PARA SEGUIR MANTENIENDO EL ORDEN. MUCHAS GRACIAS.</t>
  </si>
  <si>
    <t>TOTAL AL 31/07</t>
  </si>
  <si>
    <t>Extraordinarios:</t>
  </si>
  <si>
    <t>VTO 31/08</t>
  </si>
  <si>
    <t>Aun no se transf</t>
  </si>
  <si>
    <t>Gastos a recuperar por la administracion - abonados en efectivo - Aun no se transfirio los gastos a recuperar de este mes ni los del mes pasado</t>
  </si>
  <si>
    <t>Punitorios mal cobrados lote 106</t>
  </si>
  <si>
    <t>La caja del Excel arroja un saldo restante de $86.876.529,28, mientras que el saldo bancario es de $89.868.396,69.
La diferencia se debe a que, al momento del cierre de la cuenta bancaria, aún no se habían depositado el sueldo del Sr. Intendente, los honorarios de la administración y los pagos realizados en efectivo (pendientes de recuperar por la administración) correspondientes tanto al mes en curso como al anterior.
Al saldo bancario ($89.868.396,69), si se le restan estos montos, se obtiene el saldo coincidente con el registrado en Excel ($86.876.529,28).</t>
  </si>
  <si>
    <t>AL LOTE 38 SE LE APLICA LA MULTA CORRESPONDIENTE AL COMPORTAMIENTO DE SUS MASCOTAS CIRCULANDO POR CALLES Y CAMINOS PEATONALES SIN SUPERVISION DEL RESPONSABLE (NI BOZAL, NI CORREA). DENTRO DEL DRIVE SE ADJUNTA LA FOTOGRAFIA COMO PRUEBA.</t>
  </si>
  <si>
    <t>streger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</si>
</sst>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 numFmtId="171" formatCode="_-&quot;$&quot;\ * #,##0.00_-;\-&quot;$&quot;\ * #,##0.00_-;_-&quot;$&quot;\ * &quot;-&quot;?_-;_-@_-"/>
  </numFmts>
  <fonts count="28"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color theme="1"/>
      <name val="Calibri"/>
      <family val="2"/>
      <scheme val="minor"/>
    </font>
    <font>
      <b/>
      <u/>
      <sz val="11"/>
      <name val="Calibri"/>
      <family val="2"/>
      <scheme val="minor"/>
    </font>
    <font>
      <sz val="12"/>
      <color theme="1"/>
      <name val="Calibri"/>
      <family val="2"/>
      <scheme val="minor"/>
    </font>
    <font>
      <sz val="12"/>
      <name val="Calibri"/>
      <family val="2"/>
      <scheme val="minor"/>
    </font>
  </fonts>
  <fills count="1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rgb="FF0000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0" fontId="23" fillId="0" borderId="0" applyNumberFormat="0" applyFill="0" applyBorder="0" applyAlignment="0" applyProtection="0"/>
  </cellStyleXfs>
  <cellXfs count="362">
    <xf numFmtId="0" fontId="0" fillId="0" borderId="0" xfId="0"/>
    <xf numFmtId="0" fontId="0" fillId="0" borderId="16" xfId="0" applyBorder="1"/>
    <xf numFmtId="0" fontId="2" fillId="0" borderId="0" xfId="0" applyFont="1"/>
    <xf numFmtId="0" fontId="0" fillId="0" borderId="1" xfId="0" applyBorder="1"/>
    <xf numFmtId="0" fontId="0" fillId="3" borderId="0" xfId="0" applyFill="1"/>
    <xf numFmtId="0" fontId="0" fillId="0" borderId="5" xfId="0" applyBorder="1"/>
    <xf numFmtId="0" fontId="0" fillId="5" borderId="12" xfId="0"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8" fontId="0" fillId="0" borderId="0" xfId="0" applyNumberFormat="1"/>
    <xf numFmtId="164" fontId="3" fillId="0" borderId="0" xfId="0" applyNumberFormat="1" applyFont="1"/>
    <xf numFmtId="0" fontId="5" fillId="0" borderId="1" xfId="0" applyFont="1" applyBorder="1"/>
    <xf numFmtId="4" fontId="0" fillId="0" borderId="0" xfId="0" applyNumberFormat="1"/>
    <xf numFmtId="4" fontId="5" fillId="0" borderId="0" xfId="0" applyNumberFormat="1" applyFont="1"/>
    <xf numFmtId="0" fontId="5" fillId="0" borderId="1" xfId="0" applyFont="1" applyBorder="1" applyAlignment="1">
      <alignment vertical="center" wrapText="1"/>
    </xf>
    <xf numFmtId="0" fontId="2" fillId="4" borderId="1" xfId="0" applyFont="1" applyFill="1" applyBorder="1"/>
    <xf numFmtId="0" fontId="0" fillId="4" borderId="1" xfId="0" applyFill="1" applyBorder="1"/>
    <xf numFmtId="8" fontId="6" fillId="4" borderId="6" xfId="0" applyNumberFormat="1" applyFont="1" applyFill="1" applyBorder="1"/>
    <xf numFmtId="0" fontId="9" fillId="2" borderId="0" xfId="0" applyFont="1" applyFill="1"/>
    <xf numFmtId="0" fontId="10" fillId="4" borderId="1" xfId="0" applyFont="1" applyFill="1" applyBorder="1"/>
    <xf numFmtId="0" fontId="6" fillId="4" borderId="1" xfId="0" applyFont="1" applyFill="1" applyBorder="1"/>
    <xf numFmtId="0" fontId="11" fillId="4" borderId="1" xfId="0" applyFont="1" applyFill="1" applyBorder="1"/>
    <xf numFmtId="8" fontId="10" fillId="4" borderId="1" xfId="0" applyNumberFormat="1" applyFont="1" applyFill="1" applyBorder="1"/>
    <xf numFmtId="44" fontId="6" fillId="4" borderId="1" xfId="1" applyFont="1" applyFill="1" applyBorder="1"/>
    <xf numFmtId="44" fontId="0" fillId="0" borderId="1" xfId="1" applyFont="1" applyBorder="1"/>
    <xf numFmtId="44" fontId="6" fillId="4" borderId="6" xfId="1" applyFont="1" applyFill="1" applyBorder="1"/>
    <xf numFmtId="44" fontId="4" fillId="4" borderId="1" xfId="1" applyFont="1" applyFill="1" applyBorder="1"/>
    <xf numFmtId="0" fontId="0" fillId="0" borderId="0" xfId="0" applyAlignment="1">
      <alignment wrapText="1"/>
    </xf>
    <xf numFmtId="0" fontId="5" fillId="0" borderId="1" xfId="0" applyFont="1" applyBorder="1" applyAlignment="1">
      <alignment vertical="top" wrapText="1"/>
    </xf>
    <xf numFmtId="44" fontId="3" fillId="2" borderId="1" xfId="1" applyFont="1" applyFill="1" applyBorder="1"/>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44" fontId="13" fillId="2" borderId="1" xfId="1" applyFont="1" applyFill="1" applyBorder="1"/>
    <xf numFmtId="0" fontId="0" fillId="0" borderId="1" xfId="0" applyBorder="1" applyAlignment="1">
      <alignment vertical="center" wrapText="1"/>
    </xf>
    <xf numFmtId="16" fontId="3" fillId="0" borderId="1" xfId="0" applyNumberFormat="1" applyFont="1" applyBorder="1"/>
    <xf numFmtId="0" fontId="18" fillId="10" borderId="1" xfId="0" applyFont="1" applyFill="1" applyBorder="1"/>
    <xf numFmtId="0" fontId="14" fillId="2" borderId="1" xfId="0" applyFont="1" applyFill="1" applyBorder="1"/>
    <xf numFmtId="0" fontId="14" fillId="0" borderId="1" xfId="0" applyFont="1" applyBorder="1"/>
    <xf numFmtId="0" fontId="0" fillId="0" borderId="7" xfId="0" applyBorder="1" applyAlignment="1">
      <alignment wrapText="1"/>
    </xf>
    <xf numFmtId="0" fontId="2" fillId="4" borderId="1" xfId="0" applyFont="1" applyFill="1" applyBorder="1" applyAlignment="1">
      <alignment wrapText="1"/>
    </xf>
    <xf numFmtId="44" fontId="9" fillId="4" borderId="1" xfId="1" applyFont="1" applyFill="1" applyBorder="1"/>
    <xf numFmtId="0" fontId="14" fillId="0" borderId="1" xfId="0" applyFont="1" applyBorder="1" applyAlignment="1">
      <alignment horizontal="center"/>
    </xf>
    <xf numFmtId="44" fontId="20" fillId="0" borderId="1" xfId="1" applyFont="1" applyBorder="1"/>
    <xf numFmtId="165" fontId="14" fillId="0" borderId="1" xfId="0" applyNumberFormat="1" applyFont="1" applyBorder="1"/>
    <xf numFmtId="165" fontId="14" fillId="0" borderId="1" xfId="1" applyNumberFormat="1" applyFont="1" applyBorder="1"/>
    <xf numFmtId="0" fontId="14" fillId="9" borderId="21" xfId="0" applyFont="1" applyFill="1" applyBorder="1"/>
    <xf numFmtId="0" fontId="5" fillId="7" borderId="9" xfId="0" applyFont="1" applyFill="1" applyBorder="1"/>
    <xf numFmtId="44" fontId="5" fillId="7" borderId="11" xfId="0" applyNumberFormat="1" applyFont="1" applyFill="1" applyBorder="1"/>
    <xf numFmtId="0" fontId="4" fillId="0" borderId="1" xfId="0" applyFont="1" applyBorder="1"/>
    <xf numFmtId="0" fontId="4" fillId="10" borderId="1" xfId="0" applyFont="1" applyFill="1" applyBorder="1"/>
    <xf numFmtId="44" fontId="21" fillId="4" borderId="3" xfId="1" applyFont="1" applyFill="1" applyBorder="1"/>
    <xf numFmtId="44" fontId="22" fillId="0" borderId="3" xfId="1" applyFont="1" applyBorder="1"/>
    <xf numFmtId="44" fontId="22" fillId="4" borderId="3" xfId="1" applyFont="1" applyFill="1" applyBorder="1"/>
    <xf numFmtId="0" fontId="22" fillId="0" borderId="1" xfId="1" applyNumberFormat="1" applyFont="1" applyBorder="1" applyAlignment="1">
      <alignment horizontal="left"/>
    </xf>
    <xf numFmtId="44" fontId="9" fillId="4" borderId="13" xfId="1" applyFont="1" applyFill="1" applyBorder="1"/>
    <xf numFmtId="44" fontId="22" fillId="2" borderId="1" xfId="1" applyFont="1" applyFill="1" applyBorder="1"/>
    <xf numFmtId="44" fontId="22" fillId="2" borderId="3" xfId="1" applyFont="1" applyFill="1" applyBorder="1"/>
    <xf numFmtId="0" fontId="4" fillId="0" borderId="0" xfId="0" applyFont="1"/>
    <xf numFmtId="44" fontId="8" fillId="6" borderId="0" xfId="0" applyNumberFormat="1" applyFont="1" applyFill="1"/>
    <xf numFmtId="8" fontId="19" fillId="10" borderId="1" xfId="0" applyNumberFormat="1" applyFont="1" applyFill="1" applyBorder="1"/>
    <xf numFmtId="0" fontId="5" fillId="0" borderId="1" xfId="0" applyFont="1" applyBorder="1" applyAlignment="1">
      <alignment horizontal="left" vertical="center" wrapText="1"/>
    </xf>
    <xf numFmtId="166" fontId="20" fillId="2" borderId="1" xfId="1" applyNumberFormat="1" applyFont="1" applyFill="1" applyBorder="1"/>
    <xf numFmtId="0" fontId="0" fillId="2" borderId="0" xfId="0" applyFill="1"/>
    <xf numFmtId="44" fontId="5" fillId="6" borderId="1" xfId="1" applyFont="1" applyFill="1" applyBorder="1"/>
    <xf numFmtId="166" fontId="0" fillId="0" borderId="0" xfId="0" applyNumberFormat="1"/>
    <xf numFmtId="167" fontId="0" fillId="0" borderId="0" xfId="0" applyNumberFormat="1"/>
    <xf numFmtId="0" fontId="2" fillId="7" borderId="1" xfId="0" applyFont="1" applyFill="1" applyBorder="1"/>
    <xf numFmtId="44" fontId="6" fillId="7" borderId="1" xfId="1" applyFont="1" applyFill="1" applyBorder="1"/>
    <xf numFmtId="43" fontId="0" fillId="0" borderId="0" xfId="0" applyNumberFormat="1"/>
    <xf numFmtId="165" fontId="0" fillId="0" borderId="0" xfId="0" applyNumberFormat="1"/>
    <xf numFmtId="43" fontId="0" fillId="0" borderId="0" xfId="0" applyNumberFormat="1" applyAlignment="1">
      <alignment wrapText="1"/>
    </xf>
    <xf numFmtId="0" fontId="0" fillId="0" borderId="2" xfId="0" applyBorder="1"/>
    <xf numFmtId="44" fontId="4" fillId="0" borderId="1" xfId="1" applyFont="1" applyBorder="1"/>
    <xf numFmtId="0" fontId="2" fillId="11" borderId="1" xfId="0" applyFont="1" applyFill="1" applyBorder="1"/>
    <xf numFmtId="0" fontId="0" fillId="11" borderId="1" xfId="0" applyFill="1" applyBorder="1"/>
    <xf numFmtId="0" fontId="4" fillId="11" borderId="1" xfId="0" applyFont="1" applyFill="1" applyBorder="1"/>
    <xf numFmtId="44" fontId="6" fillId="11" borderId="1" xfId="1" applyFont="1" applyFill="1" applyBorder="1"/>
    <xf numFmtId="0" fontId="2" fillId="12" borderId="1" xfId="0" applyFont="1" applyFill="1" applyBorder="1"/>
    <xf numFmtId="44" fontId="6" fillId="12" borderId="6" xfId="1" applyFont="1" applyFill="1" applyBorder="1"/>
    <xf numFmtId="8" fontId="6" fillId="12" borderId="6" xfId="0" applyNumberFormat="1" applyFont="1" applyFill="1" applyBorder="1"/>
    <xf numFmtId="0" fontId="0" fillId="12" borderId="1" xfId="0" applyFill="1" applyBorder="1"/>
    <xf numFmtId="44" fontId="4" fillId="12" borderId="6" xfId="1" applyFont="1" applyFill="1" applyBorder="1"/>
    <xf numFmtId="0" fontId="11" fillId="12" borderId="1" xfId="0" applyFont="1" applyFill="1" applyBorder="1"/>
    <xf numFmtId="0" fontId="10" fillId="12" borderId="1" xfId="0" applyFont="1" applyFill="1" applyBorder="1"/>
    <xf numFmtId="0" fontId="2" fillId="12" borderId="3" xfId="0" applyFont="1" applyFill="1" applyBorder="1"/>
    <xf numFmtId="8" fontId="6" fillId="12" borderId="22" xfId="0" applyNumberFormat="1" applyFont="1" applyFill="1" applyBorder="1"/>
    <xf numFmtId="0" fontId="5" fillId="7" borderId="26" xfId="0" applyFont="1" applyFill="1" applyBorder="1"/>
    <xf numFmtId="44" fontId="5" fillId="7" borderId="27" xfId="0" applyNumberFormat="1" applyFont="1" applyFill="1" applyBorder="1"/>
    <xf numFmtId="0" fontId="2" fillId="3" borderId="13" xfId="0" applyFont="1" applyFill="1" applyBorder="1"/>
    <xf numFmtId="0" fontId="2" fillId="3" borderId="13" xfId="0" applyFont="1" applyFill="1" applyBorder="1" applyAlignment="1">
      <alignment horizontal="left"/>
    </xf>
    <xf numFmtId="0" fontId="2" fillId="3" borderId="10" xfId="0" applyFont="1" applyFill="1" applyBorder="1" applyAlignment="1">
      <alignment wrapText="1"/>
    </xf>
    <xf numFmtId="0" fontId="2" fillId="3" borderId="11" xfId="0" applyFont="1" applyFill="1" applyBorder="1" applyAlignment="1">
      <alignment wrapText="1"/>
    </xf>
    <xf numFmtId="0" fontId="2" fillId="3" borderId="9" xfId="0" applyFont="1" applyFill="1" applyBorder="1"/>
    <xf numFmtId="0" fontId="2" fillId="3" borderId="10" xfId="0" applyFont="1" applyFill="1" applyBorder="1"/>
    <xf numFmtId="0" fontId="0" fillId="0" borderId="12" xfId="0" applyBorder="1"/>
    <xf numFmtId="0" fontId="0" fillId="0" borderId="15" xfId="0" applyBorder="1"/>
    <xf numFmtId="0" fontId="0" fillId="0" borderId="17" xfId="0" applyBorder="1"/>
    <xf numFmtId="0" fontId="0" fillId="0" borderId="0" xfId="0" applyAlignment="1">
      <alignment horizontal="center"/>
    </xf>
    <xf numFmtId="0" fontId="0" fillId="0" borderId="17" xfId="0" applyBorder="1" applyAlignment="1">
      <alignment horizontal="center"/>
    </xf>
    <xf numFmtId="16" fontId="0" fillId="0" borderId="0" xfId="0" applyNumberFormat="1"/>
    <xf numFmtId="0" fontId="2" fillId="13" borderId="14" xfId="0" applyFont="1" applyFill="1" applyBorder="1"/>
    <xf numFmtId="0" fontId="2" fillId="13" borderId="12" xfId="0" applyFont="1" applyFill="1" applyBorder="1"/>
    <xf numFmtId="10" fontId="2" fillId="13" borderId="12" xfId="0" applyNumberFormat="1" applyFont="1" applyFill="1" applyBorder="1"/>
    <xf numFmtId="0" fontId="4" fillId="13" borderId="12" xfId="0" applyFont="1" applyFill="1" applyBorder="1"/>
    <xf numFmtId="0" fontId="4" fillId="13" borderId="15" xfId="0" applyFont="1" applyFill="1" applyBorder="1"/>
    <xf numFmtId="0" fontId="14" fillId="2" borderId="1" xfId="0" applyFont="1" applyFill="1" applyBorder="1" applyAlignment="1">
      <alignment wrapText="1"/>
    </xf>
    <xf numFmtId="0" fontId="0" fillId="0" borderId="6" xfId="0" applyBorder="1"/>
    <xf numFmtId="0" fontId="0" fillId="0" borderId="7" xfId="0" applyBorder="1"/>
    <xf numFmtId="0" fontId="24" fillId="4" borderId="1" xfId="0" applyFont="1" applyFill="1" applyBorder="1"/>
    <xf numFmtId="0" fontId="5" fillId="7" borderId="26" xfId="0" applyFont="1" applyFill="1" applyBorder="1" applyAlignment="1">
      <alignment horizontal="left" vertical="center" wrapText="1"/>
    </xf>
    <xf numFmtId="8" fontId="6" fillId="12" borderId="21" xfId="1" applyNumberFormat="1" applyFont="1" applyFill="1" applyBorder="1"/>
    <xf numFmtId="44" fontId="6" fillId="12" borderId="21" xfId="1" applyFont="1" applyFill="1" applyBorder="1"/>
    <xf numFmtId="165" fontId="6" fillId="12" borderId="2" xfId="1" applyNumberFormat="1" applyFont="1" applyFill="1" applyBorder="1"/>
    <xf numFmtId="8" fontId="6" fillId="12" borderId="13" xfId="1" applyNumberFormat="1" applyFont="1" applyFill="1" applyBorder="1"/>
    <xf numFmtId="0" fontId="2" fillId="12" borderId="4" xfId="0" applyFont="1" applyFill="1" applyBorder="1"/>
    <xf numFmtId="8" fontId="6" fillId="12" borderId="5" xfId="0" applyNumberFormat="1" applyFont="1" applyFill="1" applyBorder="1"/>
    <xf numFmtId="44" fontId="6" fillId="12" borderId="19" xfId="1" applyFont="1" applyFill="1" applyBorder="1"/>
    <xf numFmtId="0" fontId="2" fillId="5" borderId="26" xfId="0" applyFont="1" applyFill="1" applyBorder="1"/>
    <xf numFmtId="10" fontId="2" fillId="5" borderId="8" xfId="0" applyNumberFormat="1" applyFont="1" applyFill="1" applyBorder="1"/>
    <xf numFmtId="0" fontId="2" fillId="5" borderId="8" xfId="0" applyFont="1" applyFill="1" applyBorder="1"/>
    <xf numFmtId="0" fontId="6" fillId="5" borderId="8" xfId="0" applyFont="1" applyFill="1" applyBorder="1"/>
    <xf numFmtId="0" fontId="22" fillId="0" borderId="1" xfId="0" applyFont="1" applyBorder="1"/>
    <xf numFmtId="0" fontId="2" fillId="13" borderId="9" xfId="0" applyFont="1" applyFill="1" applyBorder="1"/>
    <xf numFmtId="0" fontId="2" fillId="13" borderId="28" xfId="0" applyFont="1" applyFill="1" applyBorder="1"/>
    <xf numFmtId="0" fontId="2" fillId="13" borderId="25" xfId="0" applyFont="1" applyFill="1" applyBorder="1"/>
    <xf numFmtId="166" fontId="5" fillId="13" borderId="29" xfId="0" applyNumberFormat="1" applyFont="1" applyFill="1" applyBorder="1"/>
    <xf numFmtId="0" fontId="2" fillId="14" borderId="14" xfId="0" applyFont="1" applyFill="1" applyBorder="1"/>
    <xf numFmtId="0" fontId="2" fillId="14" borderId="12" xfId="0" applyFont="1" applyFill="1" applyBorder="1"/>
    <xf numFmtId="10" fontId="2" fillId="14" borderId="12" xfId="0" applyNumberFormat="1" applyFont="1" applyFill="1" applyBorder="1"/>
    <xf numFmtId="0" fontId="4" fillId="14" borderId="12" xfId="0" applyFont="1" applyFill="1" applyBorder="1"/>
    <xf numFmtId="0" fontId="4" fillId="14" borderId="15" xfId="0" applyFont="1" applyFill="1" applyBorder="1"/>
    <xf numFmtId="0" fontId="2" fillId="14" borderId="0" xfId="0" applyFont="1" applyFill="1"/>
    <xf numFmtId="0" fontId="0" fillId="14" borderId="0" xfId="0" applyFill="1"/>
    <xf numFmtId="44" fontId="0" fillId="14" borderId="0" xfId="1" applyFont="1" applyFill="1"/>
    <xf numFmtId="0" fontId="2" fillId="14" borderId="9" xfId="0" applyFont="1" applyFill="1" applyBorder="1"/>
    <xf numFmtId="0" fontId="2" fillId="14" borderId="28" xfId="0" applyFont="1" applyFill="1" applyBorder="1"/>
    <xf numFmtId="0" fontId="2" fillId="14" borderId="25" xfId="0" applyFont="1" applyFill="1" applyBorder="1"/>
    <xf numFmtId="166" fontId="5" fillId="14" borderId="29" xfId="0" applyNumberFormat="1" applyFont="1" applyFill="1" applyBorder="1"/>
    <xf numFmtId="44" fontId="2" fillId="14" borderId="0" xfId="1" applyFont="1" applyFill="1"/>
    <xf numFmtId="0" fontId="0" fillId="2" borderId="1" xfId="0" applyFill="1" applyBorder="1"/>
    <xf numFmtId="0" fontId="0" fillId="0" borderId="24" xfId="0" applyBorder="1" applyAlignment="1">
      <alignment horizontal="left" vertical="center" wrapText="1"/>
    </xf>
    <xf numFmtId="0" fontId="0" fillId="0" borderId="30" xfId="0" applyBorder="1" applyAlignment="1">
      <alignment horizontal="left" vertical="center" wrapText="1"/>
    </xf>
    <xf numFmtId="44" fontId="4" fillId="2" borderId="24" xfId="1" applyFont="1" applyFill="1" applyBorder="1"/>
    <xf numFmtId="0" fontId="22" fillId="0" borderId="2" xfId="1" applyNumberFormat="1" applyFont="1" applyBorder="1" applyAlignment="1">
      <alignment horizontal="left"/>
    </xf>
    <xf numFmtId="0" fontId="0" fillId="13" borderId="10" xfId="0" applyFill="1" applyBorder="1"/>
    <xf numFmtId="44" fontId="0" fillId="13" borderId="10" xfId="1" applyFont="1" applyFill="1" applyBorder="1"/>
    <xf numFmtId="165" fontId="20" fillId="0" borderId="1" xfId="0" applyNumberFormat="1" applyFont="1" applyBorder="1"/>
    <xf numFmtId="165" fontId="20" fillId="2" borderId="1" xfId="0" applyNumberFormat="1" applyFont="1" applyFill="1" applyBorder="1"/>
    <xf numFmtId="0" fontId="7" fillId="0" borderId="0" xfId="0" applyFont="1"/>
    <xf numFmtId="0" fontId="0" fillId="2" borderId="14" xfId="0" applyFill="1" applyBorder="1"/>
    <xf numFmtId="0" fontId="0" fillId="2" borderId="12" xfId="0" applyFill="1" applyBorder="1"/>
    <xf numFmtId="0" fontId="0" fillId="2" borderId="16" xfId="0" applyFill="1" applyBorder="1"/>
    <xf numFmtId="0" fontId="23" fillId="0" borderId="0" xfId="3"/>
    <xf numFmtId="0" fontId="0" fillId="2" borderId="15" xfId="0" applyFill="1" applyBorder="1"/>
    <xf numFmtId="16" fontId="0" fillId="2" borderId="0" xfId="0" applyNumberFormat="1" applyFill="1"/>
    <xf numFmtId="0" fontId="0" fillId="2" borderId="0" xfId="0" applyFill="1" applyAlignment="1">
      <alignment horizontal="center"/>
    </xf>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14" fontId="0" fillId="0" borderId="1" xfId="0" applyNumberFormat="1" applyBorder="1" applyAlignment="1">
      <alignment horizontal="left" vertical="center" wrapText="1"/>
    </xf>
    <xf numFmtId="0" fontId="25" fillId="4" borderId="1" xfId="0" applyFont="1" applyFill="1" applyBorder="1"/>
    <xf numFmtId="44" fontId="6" fillId="2" borderId="1" xfId="1" applyFont="1" applyFill="1" applyBorder="1"/>
    <xf numFmtId="0" fontId="2" fillId="15" borderId="14" xfId="0" applyFont="1" applyFill="1" applyBorder="1"/>
    <xf numFmtId="44" fontId="2" fillId="15" borderId="15" xfId="1" applyFont="1" applyFill="1" applyBorder="1"/>
    <xf numFmtId="0" fontId="2" fillId="15" borderId="26" xfId="0" applyFont="1" applyFill="1" applyBorder="1"/>
    <xf numFmtId="0" fontId="14" fillId="4" borderId="21" xfId="0" applyFont="1" applyFill="1" applyBorder="1"/>
    <xf numFmtId="44" fontId="14" fillId="4" borderId="26" xfId="0" applyNumberFormat="1" applyFont="1" applyFill="1" applyBorder="1"/>
    <xf numFmtId="165" fontId="14" fillId="4" borderId="33" xfId="0" applyNumberFormat="1" applyFont="1" applyFill="1" applyBorder="1"/>
    <xf numFmtId="165" fontId="14" fillId="4" borderId="27" xfId="0" applyNumberFormat="1" applyFont="1" applyFill="1" applyBorder="1"/>
    <xf numFmtId="165" fontId="14" fillId="4" borderId="21" xfId="0" applyNumberFormat="1" applyFont="1" applyFill="1" applyBorder="1"/>
    <xf numFmtId="44" fontId="14" fillId="4" borderId="21" xfId="0" applyNumberFormat="1" applyFont="1" applyFill="1" applyBorder="1"/>
    <xf numFmtId="44" fontId="14" fillId="0" borderId="1" xfId="1" applyFont="1" applyBorder="1"/>
    <xf numFmtId="0" fontId="14" fillId="4" borderId="27" xfId="0" applyFont="1" applyFill="1" applyBorder="1"/>
    <xf numFmtId="165" fontId="14" fillId="2" borderId="1" xfId="1" applyNumberFormat="1" applyFont="1" applyFill="1" applyBorder="1"/>
    <xf numFmtId="165" fontId="14" fillId="4" borderId="21" xfId="0" applyNumberFormat="1" applyFont="1" applyFill="1" applyBorder="1" applyAlignment="1">
      <alignment horizontal="left"/>
    </xf>
    <xf numFmtId="0" fontId="2" fillId="0" borderId="1" xfId="0" applyFont="1" applyBorder="1"/>
    <xf numFmtId="44" fontId="2" fillId="0" borderId="1" xfId="1" applyFont="1" applyBorder="1"/>
    <xf numFmtId="0" fontId="26" fillId="3" borderId="0" xfId="0" applyFont="1" applyFill="1"/>
    <xf numFmtId="169" fontId="27" fillId="3" borderId="0" xfId="0" applyNumberFormat="1" applyFont="1" applyFill="1"/>
    <xf numFmtId="169" fontId="27" fillId="3" borderId="0" xfId="0" applyNumberFormat="1" applyFont="1" applyFill="1" applyAlignment="1">
      <alignment horizontal="center"/>
    </xf>
    <xf numFmtId="169" fontId="27" fillId="3" borderId="8" xfId="0" applyNumberFormat="1" applyFont="1" applyFill="1" applyBorder="1" applyAlignment="1">
      <alignment horizontal="center"/>
    </xf>
    <xf numFmtId="169" fontId="27" fillId="3" borderId="8" xfId="0" applyNumberFormat="1" applyFont="1" applyFill="1" applyBorder="1" applyAlignment="1">
      <alignment horizontal="left"/>
    </xf>
    <xf numFmtId="1" fontId="14" fillId="4" borderId="21" xfId="0" applyNumberFormat="1" applyFont="1" applyFill="1" applyBorder="1" applyAlignment="1">
      <alignment horizontal="center"/>
    </xf>
    <xf numFmtId="0" fontId="2" fillId="16" borderId="1" xfId="0" applyFont="1" applyFill="1" applyBorder="1"/>
    <xf numFmtId="44" fontId="2" fillId="16" borderId="1" xfId="1" applyFont="1" applyFill="1" applyBorder="1"/>
    <xf numFmtId="165" fontId="6" fillId="5" borderId="27" xfId="0" applyNumberFormat="1" applyFont="1" applyFill="1" applyBorder="1"/>
    <xf numFmtId="166" fontId="6" fillId="13" borderId="11" xfId="1" applyNumberFormat="1" applyFont="1" applyFill="1" applyBorder="1"/>
    <xf numFmtId="170" fontId="0" fillId="0" borderId="0" xfId="0" applyNumberFormat="1"/>
    <xf numFmtId="12" fontId="0" fillId="0" borderId="0" xfId="0" applyNumberFormat="1" applyAlignment="1">
      <alignment horizontal="center" vertical="center"/>
    </xf>
    <xf numFmtId="0" fontId="23" fillId="2" borderId="0" xfId="3" applyFill="1" applyAlignment="1">
      <alignment horizontal="left"/>
    </xf>
    <xf numFmtId="0" fontId="7" fillId="0" borderId="1" xfId="0" applyFont="1" applyBorder="1"/>
    <xf numFmtId="0" fontId="0" fillId="17" borderId="0" xfId="0" applyFill="1"/>
    <xf numFmtId="0" fontId="0" fillId="2" borderId="0" xfId="0" applyFill="1" applyAlignment="1">
      <alignment horizontal="center" wrapText="1"/>
    </xf>
    <xf numFmtId="44" fontId="20" fillId="2" borderId="1" xfId="1" applyFont="1" applyFill="1" applyBorder="1"/>
    <xf numFmtId="0" fontId="14" fillId="2" borderId="1" xfId="0" applyFont="1" applyFill="1" applyBorder="1" applyAlignment="1">
      <alignment horizontal="center"/>
    </xf>
    <xf numFmtId="165" fontId="14" fillId="2" borderId="1" xfId="0" applyNumberFormat="1" applyFont="1" applyFill="1" applyBorder="1"/>
    <xf numFmtId="44" fontId="0" fillId="2" borderId="0" xfId="0" applyNumberFormat="1" applyFill="1"/>
    <xf numFmtId="171" fontId="0" fillId="0" borderId="0" xfId="0" applyNumberFormat="1"/>
    <xf numFmtId="44" fontId="2" fillId="15" borderId="27" xfId="1" applyFont="1" applyFill="1" applyBorder="1"/>
    <xf numFmtId="8" fontId="4" fillId="2" borderId="1" xfId="0" applyNumberFormat="1" applyFont="1" applyFill="1" applyBorder="1"/>
    <xf numFmtId="44" fontId="4" fillId="2" borderId="1" xfId="1" applyFont="1" applyFill="1" applyBorder="1" applyAlignment="1">
      <alignment wrapText="1"/>
    </xf>
    <xf numFmtId="44" fontId="4" fillId="2" borderId="1" xfId="1" applyFont="1" applyFill="1" applyBorder="1" applyAlignment="1"/>
    <xf numFmtId="44" fontId="4" fillId="2" borderId="1" xfId="1" applyFont="1" applyFill="1" applyBorder="1"/>
    <xf numFmtId="168" fontId="4" fillId="2" borderId="1" xfId="1" applyNumberFormat="1" applyFont="1" applyFill="1" applyBorder="1"/>
    <xf numFmtId="168" fontId="4" fillId="2" borderId="1" xfId="0" applyNumberFormat="1" applyFont="1" applyFill="1" applyBorder="1"/>
    <xf numFmtId="44" fontId="22" fillId="2" borderId="1" xfId="1" applyFont="1" applyFill="1" applyBorder="1" applyAlignment="1">
      <alignment wrapText="1"/>
    </xf>
    <xf numFmtId="0" fontId="22" fillId="2" borderId="1" xfId="1" applyNumberFormat="1" applyFont="1" applyFill="1" applyBorder="1" applyAlignment="1"/>
    <xf numFmtId="0" fontId="22" fillId="2" borderId="2" xfId="1" applyNumberFormat="1" applyFont="1" applyFill="1" applyBorder="1" applyAlignment="1"/>
    <xf numFmtId="44" fontId="22" fillId="0" borderId="1" xfId="1" applyFont="1" applyBorder="1" applyAlignment="1"/>
    <xf numFmtId="0" fontId="22" fillId="0" borderId="1" xfId="1" applyNumberFormat="1" applyFont="1" applyBorder="1" applyAlignment="1"/>
    <xf numFmtId="44" fontId="22" fillId="2" borderId="1" xfId="1" applyFont="1" applyFill="1" applyBorder="1" applyAlignment="1"/>
    <xf numFmtId="44" fontId="22" fillId="0" borderId="3" xfId="1" applyFont="1" applyBorder="1" applyAlignment="1"/>
    <xf numFmtId="168" fontId="22" fillId="2" borderId="1" xfId="1" applyNumberFormat="1" applyFont="1" applyFill="1" applyBorder="1"/>
    <xf numFmtId="44" fontId="4" fillId="2" borderId="6" xfId="1" applyFont="1" applyFill="1" applyBorder="1"/>
    <xf numFmtId="165" fontId="20" fillId="2" borderId="1" xfId="1" applyNumberFormat="1" applyFont="1" applyFill="1" applyBorder="1"/>
    <xf numFmtId="165" fontId="20" fillId="0" borderId="1" xfId="1" applyNumberFormat="1" applyFont="1" applyBorder="1"/>
    <xf numFmtId="0" fontId="6" fillId="10" borderId="1" xfId="0" applyFont="1" applyFill="1" applyBorder="1"/>
    <xf numFmtId="0" fontId="2" fillId="8" borderId="0" xfId="0" applyFont="1" applyFill="1" applyAlignment="1">
      <alignment horizontal="left" vertical="center" wrapText="1"/>
    </xf>
    <xf numFmtId="0" fontId="17" fillId="8" borderId="0" xfId="0" applyFont="1" applyFill="1" applyAlignment="1">
      <alignment horizontal="center" vertical="center"/>
    </xf>
    <xf numFmtId="0" fontId="16" fillId="7" borderId="0" xfId="0" applyFont="1" applyFill="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0" borderId="6" xfId="0" applyBorder="1" applyAlignment="1">
      <alignment horizontal="left" wrapText="1"/>
    </xf>
    <xf numFmtId="0" fontId="0" fillId="0" borderId="7" xfId="0" applyBorder="1" applyAlignment="1">
      <alignment horizontal="left" wrapText="1"/>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11" xfId="0" applyFont="1" applyFill="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1" xfId="0" applyFont="1" applyFill="1" applyBorder="1" applyAlignment="1">
      <alignment horizontal="center"/>
    </xf>
    <xf numFmtId="0" fontId="0" fillId="2" borderId="23" xfId="0" applyFill="1" applyBorder="1" applyAlignment="1">
      <alignment horizontal="left" vertical="center" wrapText="1"/>
    </xf>
    <xf numFmtId="0" fontId="0" fillId="2" borderId="6" xfId="0" applyFill="1" applyBorder="1" applyAlignment="1">
      <alignment vertical="center" wrapText="1"/>
    </xf>
    <xf numFmtId="0" fontId="0" fillId="2" borderId="7" xfId="0" applyFill="1" applyBorder="1" applyAlignment="1">
      <alignmen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8" fillId="6" borderId="0" xfId="0" applyFont="1" applyFill="1" applyAlignment="1">
      <alignment horizontal="center" vertical="center"/>
    </xf>
    <xf numFmtId="0" fontId="0" fillId="2" borderId="6" xfId="0" applyFill="1" applyBorder="1" applyAlignment="1">
      <alignment horizontal="left" wrapText="1"/>
    </xf>
    <xf numFmtId="0" fontId="0" fillId="2" borderId="7" xfId="0" applyFill="1" applyBorder="1" applyAlignment="1">
      <alignment horizontal="left" wrapText="1"/>
    </xf>
    <xf numFmtId="0" fontId="12" fillId="3" borderId="18" xfId="0" applyFont="1" applyFill="1" applyBorder="1" applyAlignment="1">
      <alignment horizontal="center" vertical="center" wrapText="1"/>
    </xf>
    <xf numFmtId="0" fontId="12" fillId="3" borderId="20" xfId="0" applyFont="1" applyFill="1" applyBorder="1" applyAlignment="1">
      <alignment horizontal="center" vertical="center" wrapText="1"/>
    </xf>
    <xf numFmtId="44" fontId="14" fillId="4" borderId="26" xfId="0" applyNumberFormat="1" applyFont="1" applyFill="1" applyBorder="1" applyAlignment="1">
      <alignment horizontal="center"/>
    </xf>
    <xf numFmtId="44" fontId="14" fillId="4" borderId="27" xfId="0" applyNumberFormat="1" applyFont="1" applyFill="1" applyBorder="1" applyAlignment="1">
      <alignment horizontal="center"/>
    </xf>
    <xf numFmtId="0" fontId="12" fillId="3" borderId="14"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8" xfId="0" applyFont="1" applyFill="1" applyBorder="1" applyAlignment="1">
      <alignment horizontal="center" vertical="center"/>
    </xf>
    <xf numFmtId="0" fontId="12" fillId="3" borderId="19" xfId="0" applyFont="1" applyFill="1" applyBorder="1" applyAlignment="1">
      <alignment horizontal="center" vertical="center"/>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44" fontId="9" fillId="0" borderId="1" xfId="1" applyFont="1" applyBorder="1"/>
    <xf numFmtId="44" fontId="26" fillId="3" borderId="0" xfId="1" applyFont="1" applyFill="1" applyAlignment="1">
      <alignment horizontal="left"/>
    </xf>
    <xf numFmtId="169" fontId="27" fillId="3" borderId="0" xfId="0" applyNumberFormat="1" applyFont="1" applyFill="1" applyAlignment="1">
      <alignment horizontal="center"/>
    </xf>
    <xf numFmtId="169" fontId="27" fillId="3" borderId="8" xfId="0" applyNumberFormat="1" applyFont="1" applyFill="1" applyBorder="1" applyAlignment="1">
      <alignment horizontal="center"/>
    </xf>
    <xf numFmtId="169" fontId="27" fillId="3" borderId="0" xfId="1" applyNumberFormat="1" applyFont="1" applyFill="1" applyAlignment="1">
      <alignment horizontal="center"/>
    </xf>
    <xf numFmtId="169" fontId="27" fillId="3" borderId="8" xfId="1" applyNumberFormat="1" applyFont="1" applyFill="1" applyBorder="1" applyAlignment="1">
      <alignment horizontal="center" vertical="center"/>
    </xf>
    <xf numFmtId="44" fontId="26" fillId="3" borderId="8" xfId="1" applyFont="1" applyFill="1" applyBorder="1" applyAlignment="1">
      <alignment horizontal="left"/>
    </xf>
    <xf numFmtId="0" fontId="15" fillId="3" borderId="14" xfId="0" applyFont="1" applyFill="1" applyBorder="1" applyAlignment="1">
      <alignment horizontal="center" vertical="center" wrapText="1"/>
    </xf>
    <xf numFmtId="0" fontId="15" fillId="3" borderId="15" xfId="0" applyFont="1" applyFill="1" applyBorder="1" applyAlignment="1">
      <alignment horizontal="center" vertical="center" wrapText="1"/>
    </xf>
    <xf numFmtId="0" fontId="15" fillId="3" borderId="31" xfId="0" applyFont="1" applyFill="1" applyBorder="1" applyAlignment="1">
      <alignment horizontal="center" vertical="center" wrapText="1"/>
    </xf>
    <xf numFmtId="0" fontId="15" fillId="3" borderId="32" xfId="0" applyFont="1" applyFill="1" applyBorder="1" applyAlignment="1">
      <alignment horizontal="center" vertical="center" wrapText="1"/>
    </xf>
    <xf numFmtId="44" fontId="9" fillId="2" borderId="1" xfId="1" applyFont="1" applyFill="1" applyBorder="1"/>
    <xf numFmtId="0" fontId="16" fillId="8" borderId="14" xfId="0" applyFont="1" applyFill="1" applyBorder="1" applyAlignment="1">
      <alignment horizontal="left" vertical="center" wrapText="1"/>
    </xf>
    <xf numFmtId="0" fontId="16" fillId="8" borderId="12" xfId="0" applyFont="1" applyFill="1" applyBorder="1" applyAlignment="1">
      <alignment horizontal="left" vertical="center" wrapText="1"/>
    </xf>
    <xf numFmtId="0" fontId="16" fillId="8" borderId="15" xfId="0" applyFont="1" applyFill="1" applyBorder="1" applyAlignment="1">
      <alignment horizontal="left" vertical="center" wrapText="1"/>
    </xf>
    <xf numFmtId="0" fontId="16" fillId="8" borderId="16" xfId="0" applyFont="1" applyFill="1" applyBorder="1" applyAlignment="1">
      <alignment horizontal="left" vertical="center" wrapText="1"/>
    </xf>
    <xf numFmtId="0" fontId="16" fillId="8" borderId="0" xfId="0" applyFont="1" applyFill="1" applyAlignment="1">
      <alignment horizontal="left" vertical="center" wrapText="1"/>
    </xf>
    <xf numFmtId="0" fontId="16" fillId="8" borderId="17" xfId="0" applyFont="1" applyFill="1" applyBorder="1" applyAlignment="1">
      <alignment horizontal="left" vertical="center" wrapText="1"/>
    </xf>
    <xf numFmtId="0" fontId="16" fillId="8" borderId="26"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6" fillId="8" borderId="27" xfId="0" applyFont="1" applyFill="1" applyBorder="1" applyAlignment="1">
      <alignment horizontal="left" vertical="center" wrapText="1"/>
    </xf>
    <xf numFmtId="44" fontId="20" fillId="0" borderId="1" xfId="1" applyFont="1" applyBorder="1" applyAlignment="1">
      <alignment horizontal="center"/>
    </xf>
    <xf numFmtId="0" fontId="0" fillId="0" borderId="14" xfId="0" applyBorder="1" applyAlignment="1">
      <alignment horizontal="center" vertical="center" wrapText="1"/>
    </xf>
    <xf numFmtId="0" fontId="0" fillId="0" borderId="12"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26" xfId="0" applyBorder="1" applyAlignment="1">
      <alignment horizontal="center" vertical="center"/>
    </xf>
    <xf numFmtId="0" fontId="0" fillId="0" borderId="8" xfId="0" applyBorder="1" applyAlignment="1">
      <alignment horizontal="center" vertical="center"/>
    </xf>
    <xf numFmtId="0" fontId="0" fillId="0" borderId="27" xfId="0" applyBorder="1" applyAlignment="1">
      <alignment horizontal="center" vertical="center"/>
    </xf>
    <xf numFmtId="12" fontId="0" fillId="2" borderId="14" xfId="0" applyNumberFormat="1" applyFill="1" applyBorder="1" applyAlignment="1">
      <alignment horizontal="center" vertical="center" wrapText="1"/>
    </xf>
    <xf numFmtId="12" fontId="0" fillId="2" borderId="12" xfId="0" applyNumberFormat="1" applyFill="1" applyBorder="1" applyAlignment="1">
      <alignment horizontal="center" vertical="center" wrapText="1"/>
    </xf>
    <xf numFmtId="12" fontId="0" fillId="2" borderId="15" xfId="0" applyNumberFormat="1" applyFill="1" applyBorder="1" applyAlignment="1">
      <alignment horizontal="center" vertical="center" wrapText="1"/>
    </xf>
    <xf numFmtId="12" fontId="0" fillId="2" borderId="16" xfId="0" applyNumberFormat="1" applyFill="1" applyBorder="1" applyAlignment="1">
      <alignment horizontal="center" vertical="center" wrapText="1"/>
    </xf>
    <xf numFmtId="12" fontId="0" fillId="2" borderId="0" xfId="0" applyNumberFormat="1" applyFill="1" applyAlignment="1">
      <alignment horizontal="center" vertical="center" wrapText="1"/>
    </xf>
    <xf numFmtId="12" fontId="0" fillId="2" borderId="17" xfId="0" applyNumberFormat="1" applyFill="1" applyBorder="1" applyAlignment="1">
      <alignment horizontal="center" vertical="center" wrapText="1"/>
    </xf>
    <xf numFmtId="12" fontId="0" fillId="2" borderId="26" xfId="0" applyNumberFormat="1" applyFill="1" applyBorder="1" applyAlignment="1">
      <alignment horizontal="center" vertical="center" wrapText="1"/>
    </xf>
    <xf numFmtId="12" fontId="0" fillId="2" borderId="8" xfId="0" applyNumberFormat="1" applyFill="1" applyBorder="1" applyAlignment="1">
      <alignment horizontal="center" vertical="center" wrapText="1"/>
    </xf>
    <xf numFmtId="12" fontId="0" fillId="2" borderId="27" xfId="0" applyNumberFormat="1" applyFill="1" applyBorder="1" applyAlignment="1">
      <alignment horizontal="center" vertical="center" wrapText="1"/>
    </xf>
    <xf numFmtId="12" fontId="0" fillId="2" borderId="14" xfId="0" applyNumberFormat="1" applyFill="1" applyBorder="1" applyAlignment="1">
      <alignment horizontal="center" vertical="center"/>
    </xf>
    <xf numFmtId="12" fontId="0" fillId="2" borderId="12" xfId="0" applyNumberFormat="1" applyFill="1" applyBorder="1" applyAlignment="1">
      <alignment horizontal="center" vertical="center"/>
    </xf>
    <xf numFmtId="12" fontId="0" fillId="2" borderId="15" xfId="0" applyNumberFormat="1" applyFill="1" applyBorder="1" applyAlignment="1">
      <alignment horizontal="center" vertical="center"/>
    </xf>
    <xf numFmtId="12" fontId="0" fillId="2" borderId="16" xfId="0" applyNumberFormat="1" applyFill="1" applyBorder="1" applyAlignment="1">
      <alignment horizontal="center" vertical="center"/>
    </xf>
    <xf numFmtId="12" fontId="0" fillId="2" borderId="0" xfId="0" applyNumberFormat="1" applyFill="1" applyAlignment="1">
      <alignment horizontal="center" vertical="center"/>
    </xf>
    <xf numFmtId="12" fontId="0" fillId="2" borderId="17" xfId="0" applyNumberFormat="1" applyFill="1" applyBorder="1" applyAlignment="1">
      <alignment horizontal="center" vertical="center"/>
    </xf>
    <xf numFmtId="12" fontId="0" fillId="2" borderId="26" xfId="0" applyNumberFormat="1" applyFill="1" applyBorder="1" applyAlignment="1">
      <alignment horizontal="center" vertical="center"/>
    </xf>
    <xf numFmtId="12" fontId="0" fillId="2" borderId="8" xfId="0" applyNumberFormat="1" applyFill="1" applyBorder="1" applyAlignment="1">
      <alignment horizontal="center" vertical="center"/>
    </xf>
    <xf numFmtId="12" fontId="0" fillId="2" borderId="27" xfId="0" applyNumberFormat="1" applyFill="1" applyBorder="1" applyAlignment="1">
      <alignment horizontal="center" vertical="center"/>
    </xf>
    <xf numFmtId="0" fontId="0" fillId="2" borderId="0" xfId="0" applyFill="1" applyAlignment="1">
      <alignment horizontal="center"/>
    </xf>
    <xf numFmtId="0" fontId="0" fillId="2" borderId="17" xfId="0" applyFill="1" applyBorder="1" applyAlignment="1">
      <alignment horizontal="center"/>
    </xf>
    <xf numFmtId="0" fontId="0" fillId="2" borderId="14"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16" xfId="0" applyFill="1" applyBorder="1" applyAlignment="1">
      <alignment horizontal="center" vertical="center" wrapText="1"/>
    </xf>
    <xf numFmtId="0" fontId="0" fillId="2" borderId="0" xfId="0" applyFill="1" applyAlignment="1">
      <alignment horizontal="center" vertical="center" wrapText="1"/>
    </xf>
    <xf numFmtId="0" fontId="0" fillId="2" borderId="17" xfId="0" applyFill="1" applyBorder="1" applyAlignment="1">
      <alignment horizontal="center" vertical="center" wrapText="1"/>
    </xf>
    <xf numFmtId="0" fontId="0" fillId="2" borderId="26" xfId="0" applyFill="1" applyBorder="1" applyAlignment="1">
      <alignment horizontal="center" vertical="center" wrapText="1"/>
    </xf>
    <xf numFmtId="0" fontId="0" fillId="2" borderId="8"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12" xfId="0" applyFill="1" applyBorder="1" applyAlignment="1">
      <alignment horizontal="center" vertical="center"/>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0" fillId="2" borderId="0" xfId="0" applyFill="1" applyAlignment="1">
      <alignment horizontal="center" vertical="center"/>
    </xf>
    <xf numFmtId="0" fontId="0" fillId="2" borderId="17" xfId="0" applyFill="1" applyBorder="1" applyAlignment="1">
      <alignment horizontal="center" vertical="center"/>
    </xf>
    <xf numFmtId="0" fontId="0" fillId="2" borderId="26" xfId="0" applyFill="1" applyBorder="1" applyAlignment="1">
      <alignment horizontal="center" vertical="center"/>
    </xf>
    <xf numFmtId="0" fontId="0" fillId="2" borderId="8" xfId="0" applyFill="1" applyBorder="1" applyAlignment="1">
      <alignment horizontal="center" vertical="center"/>
    </xf>
    <xf numFmtId="0" fontId="0" fillId="2" borderId="27" xfId="0" applyFill="1" applyBorder="1" applyAlignment="1">
      <alignment horizontal="center" vertical="center"/>
    </xf>
    <xf numFmtId="0" fontId="23" fillId="2" borderId="0" xfId="3" applyFill="1" applyAlignment="1">
      <alignment horizontal="center"/>
    </xf>
    <xf numFmtId="0" fontId="0" fillId="0" borderId="0" xfId="0" applyAlignment="1">
      <alignment horizontal="center"/>
    </xf>
    <xf numFmtId="0" fontId="14" fillId="2" borderId="0" xfId="0" applyFont="1" applyFill="1" applyAlignment="1">
      <alignment horizontal="center"/>
    </xf>
    <xf numFmtId="0" fontId="14" fillId="2" borderId="17" xfId="0" applyFont="1" applyFill="1" applyBorder="1" applyAlignment="1">
      <alignment horizontal="center"/>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26" xfId="0" applyBorder="1" applyAlignment="1">
      <alignment horizontal="center" vertical="center" wrapText="1"/>
    </xf>
    <xf numFmtId="0" fontId="0" fillId="0" borderId="8" xfId="0" applyBorder="1" applyAlignment="1">
      <alignment horizontal="center" vertical="center" wrapText="1"/>
    </xf>
    <xf numFmtId="0" fontId="0" fillId="0" borderId="27" xfId="0" applyBorder="1" applyAlignment="1">
      <alignment horizontal="center" vertical="center" wrapText="1"/>
    </xf>
    <xf numFmtId="0" fontId="12" fillId="0" borderId="0" xfId="0" applyFont="1" applyAlignment="1">
      <alignment horizontal="center" wrapText="1"/>
    </xf>
    <xf numFmtId="0" fontId="12" fillId="0" borderId="0" xfId="0" applyFont="1" applyAlignment="1">
      <alignment horizontal="center"/>
    </xf>
    <xf numFmtId="0" fontId="12" fillId="0" borderId="17" xfId="0" applyFont="1" applyBorder="1" applyAlignment="1">
      <alignment horizontal="center"/>
    </xf>
    <xf numFmtId="12" fontId="0" fillId="0" borderId="14" xfId="0" applyNumberFormat="1" applyBorder="1" applyAlignment="1">
      <alignment horizontal="center" vertical="center" wrapText="1"/>
    </xf>
    <xf numFmtId="12" fontId="0" fillId="0" borderId="12" xfId="0" applyNumberFormat="1" applyBorder="1" applyAlignment="1">
      <alignment horizontal="center" vertical="center" wrapText="1"/>
    </xf>
    <xf numFmtId="12" fontId="0" fillId="0" borderId="15" xfId="0" applyNumberFormat="1" applyBorder="1" applyAlignment="1">
      <alignment horizontal="center" vertical="center" wrapText="1"/>
    </xf>
    <xf numFmtId="12" fontId="0" fillId="0" borderId="16" xfId="0" applyNumberFormat="1" applyBorder="1" applyAlignment="1">
      <alignment horizontal="center" vertical="center" wrapText="1"/>
    </xf>
    <xf numFmtId="12" fontId="0" fillId="0" borderId="0" xfId="0" applyNumberFormat="1" applyAlignment="1">
      <alignment horizontal="center" vertical="center" wrapText="1"/>
    </xf>
    <xf numFmtId="12" fontId="0" fillId="0" borderId="17" xfId="0" applyNumberFormat="1" applyBorder="1" applyAlignment="1">
      <alignment horizontal="center" vertical="center" wrapText="1"/>
    </xf>
    <xf numFmtId="12" fontId="0" fillId="0" borderId="26" xfId="0" applyNumberFormat="1" applyBorder="1" applyAlignment="1">
      <alignment horizontal="center" vertical="center" wrapText="1"/>
    </xf>
    <xf numFmtId="12" fontId="0" fillId="0" borderId="8" xfId="0" applyNumberFormat="1" applyBorder="1" applyAlignment="1">
      <alignment horizontal="center" vertical="center" wrapText="1"/>
    </xf>
    <xf numFmtId="12" fontId="0" fillId="0" borderId="27" xfId="0" applyNumberFormat="1" applyBorder="1" applyAlignment="1">
      <alignment horizontal="center" vertical="center" wrapText="1"/>
    </xf>
    <xf numFmtId="12" fontId="0" fillId="0" borderId="14" xfId="0" applyNumberFormat="1" applyBorder="1" applyAlignment="1">
      <alignment horizontal="center" vertical="center"/>
    </xf>
    <xf numFmtId="12" fontId="0" fillId="0" borderId="12" xfId="0" applyNumberFormat="1" applyBorder="1" applyAlignment="1">
      <alignment horizontal="center" vertical="center"/>
    </xf>
    <xf numFmtId="12" fontId="0" fillId="0" borderId="15" xfId="0" applyNumberFormat="1" applyBorder="1" applyAlignment="1">
      <alignment horizontal="center" vertical="center"/>
    </xf>
    <xf numFmtId="12" fontId="0" fillId="0" borderId="16" xfId="0" applyNumberFormat="1" applyBorder="1" applyAlignment="1">
      <alignment horizontal="center" vertical="center"/>
    </xf>
    <xf numFmtId="12" fontId="0" fillId="0" borderId="0" xfId="0" applyNumberFormat="1" applyAlignment="1">
      <alignment horizontal="center" vertical="center"/>
    </xf>
    <xf numFmtId="12" fontId="0" fillId="0" borderId="17" xfId="0" applyNumberFormat="1" applyBorder="1" applyAlignment="1">
      <alignment horizontal="center" vertical="center"/>
    </xf>
    <xf numFmtId="12" fontId="0" fillId="0" borderId="26" xfId="0" applyNumberFormat="1" applyBorder="1" applyAlignment="1">
      <alignment horizontal="center" vertical="center"/>
    </xf>
    <xf numFmtId="12" fontId="0" fillId="0" borderId="8" xfId="0" applyNumberFormat="1" applyBorder="1" applyAlignment="1">
      <alignment horizontal="center" vertical="center"/>
    </xf>
    <xf numFmtId="12" fontId="0" fillId="0" borderId="27" xfId="0" applyNumberFormat="1" applyBorder="1" applyAlignment="1">
      <alignment horizontal="center" vertical="center"/>
    </xf>
  </cellXfs>
  <cellStyles count="4">
    <cellStyle name="Hipervínculo" xfId="3" builtinId="8"/>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80009</xdr:rowOff>
    </xdr:from>
    <xdr:to>
      <xdr:col>0</xdr:col>
      <xdr:colOff>2400300</xdr:colOff>
      <xdr:row>6</xdr:row>
      <xdr:rowOff>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80009"/>
          <a:ext cx="2362200" cy="1348741"/>
        </a:xfrm>
        <a:prstGeom prst="rect">
          <a:avLst/>
        </a:prstGeom>
        <a:noFill/>
        <a:ln>
          <a:solidFill>
            <a:schemeClr val="tx1"/>
          </a:solid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2"/>
  <sheetViews>
    <sheetView topLeftCell="A142" zoomScale="90" zoomScaleNormal="90" workbookViewId="0">
      <selection activeCell="G145" sqref="G145"/>
    </sheetView>
  </sheetViews>
  <sheetFormatPr baseColWidth="10" defaultRowHeight="15" x14ac:dyDescent="0.25"/>
  <cols>
    <col min="1" max="1" width="37.5703125" customWidth="1"/>
    <col min="2" max="2" width="24.7109375" customWidth="1"/>
    <col min="3" max="3" width="15.85546875" hidden="1" customWidth="1"/>
    <col min="4" max="4" width="21.28515625" customWidth="1"/>
    <col min="5" max="5" width="15.140625" customWidth="1"/>
    <col min="6" max="6" width="16.42578125" bestFit="1" customWidth="1"/>
    <col min="7" max="7" width="13.140625" bestFit="1" customWidth="1"/>
    <col min="9" max="9" width="14.140625" bestFit="1" customWidth="1"/>
    <col min="11" max="11" width="18" customWidth="1"/>
    <col min="12" max="12" width="18.28515625" customWidth="1"/>
  </cols>
  <sheetData>
    <row r="1" spans="1:5" ht="15.75" thickBot="1" x14ac:dyDescent="0.3">
      <c r="A1" s="240"/>
      <c r="B1" s="235" t="s">
        <v>162</v>
      </c>
      <c r="C1" s="236"/>
      <c r="D1" s="236"/>
      <c r="E1" s="237"/>
    </row>
    <row r="2" spans="1:5" ht="15.75" thickBot="1" x14ac:dyDescent="0.3">
      <c r="A2" s="241"/>
      <c r="B2" s="235" t="s">
        <v>164</v>
      </c>
      <c r="C2" s="236"/>
      <c r="D2" s="236"/>
      <c r="E2" s="237"/>
    </row>
    <row r="3" spans="1:5" ht="32.25" customHeight="1" thickBot="1" x14ac:dyDescent="0.3">
      <c r="A3" s="241"/>
      <c r="B3" s="232" t="s">
        <v>160</v>
      </c>
      <c r="C3" s="233"/>
      <c r="D3" s="233"/>
      <c r="E3" s="234"/>
    </row>
    <row r="4" spans="1:5" ht="15.75" thickBot="1" x14ac:dyDescent="0.3">
      <c r="A4" s="241"/>
      <c r="B4" s="94" t="s">
        <v>161</v>
      </c>
      <c r="C4" s="93"/>
      <c r="D4" s="93"/>
      <c r="E4" s="93"/>
    </row>
    <row r="5" spans="1:5" ht="16.899999999999999" customHeight="1" thickBot="1" x14ac:dyDescent="0.3">
      <c r="A5" s="241"/>
      <c r="B5" s="97" t="s">
        <v>272</v>
      </c>
      <c r="C5" s="95"/>
      <c r="D5" s="95"/>
      <c r="E5" s="96"/>
    </row>
    <row r="6" spans="1:5" ht="16.899999999999999" customHeight="1" thickBot="1" x14ac:dyDescent="0.3">
      <c r="A6" s="241"/>
      <c r="B6" s="98" t="s">
        <v>159</v>
      </c>
      <c r="C6" s="95"/>
      <c r="D6" s="95"/>
      <c r="E6" s="96"/>
    </row>
    <row r="7" spans="1:5" ht="15.75" thickBot="1" x14ac:dyDescent="0.3">
      <c r="A7" s="242"/>
      <c r="B7" s="238" t="s">
        <v>163</v>
      </c>
      <c r="C7" s="238"/>
      <c r="D7" s="238"/>
      <c r="E7" s="239"/>
    </row>
    <row r="9" spans="1:5" ht="14.45" customHeight="1" x14ac:dyDescent="0.25">
      <c r="A9" s="224" t="s">
        <v>397</v>
      </c>
      <c r="B9" s="224"/>
      <c r="C9" s="224"/>
      <c r="D9" s="224"/>
      <c r="E9" s="224"/>
    </row>
    <row r="10" spans="1:5" ht="14.45" customHeight="1" x14ac:dyDescent="0.25">
      <c r="A10" s="224"/>
      <c r="B10" s="224"/>
      <c r="C10" s="224"/>
      <c r="D10" s="224"/>
      <c r="E10" s="224"/>
    </row>
    <row r="11" spans="1:5" ht="14.45" customHeight="1" x14ac:dyDescent="0.25">
      <c r="A11" s="224"/>
      <c r="B11" s="224"/>
      <c r="C11" s="224"/>
      <c r="D11" s="224"/>
      <c r="E11" s="224"/>
    </row>
    <row r="13" spans="1:5" ht="14.45" hidden="1" customHeight="1" x14ac:dyDescent="0.25"/>
    <row r="14" spans="1:5" ht="15" customHeight="1" x14ac:dyDescent="0.25">
      <c r="A14" s="225" t="s">
        <v>269</v>
      </c>
      <c r="B14" s="225"/>
      <c r="C14" s="225"/>
      <c r="D14" s="225"/>
      <c r="E14" s="225"/>
    </row>
    <row r="15" spans="1:5" ht="15" customHeight="1" x14ac:dyDescent="0.25">
      <c r="A15" s="225"/>
      <c r="B15" s="225"/>
      <c r="C15" s="225"/>
      <c r="D15" s="225"/>
      <c r="E15" s="225"/>
    </row>
    <row r="16" spans="1:5" ht="15" customHeight="1" x14ac:dyDescent="0.25">
      <c r="A16" s="225"/>
      <c r="B16" s="225"/>
      <c r="C16" s="225"/>
      <c r="D16" s="225"/>
      <c r="E16" s="225"/>
    </row>
    <row r="17" spans="1:8" ht="243" customHeight="1" x14ac:dyDescent="0.25">
      <c r="A17" s="225"/>
      <c r="B17" s="225"/>
      <c r="C17" s="225"/>
      <c r="D17" s="225"/>
      <c r="E17" s="225"/>
    </row>
    <row r="18" spans="1:8" ht="14.25" customHeight="1" thickBot="1" x14ac:dyDescent="0.3"/>
    <row r="19" spans="1:8" ht="14.45" hidden="1" customHeight="1" x14ac:dyDescent="0.25">
      <c r="A19" s="2"/>
    </row>
    <row r="20" spans="1:8" ht="15" hidden="1" customHeight="1" thickBot="1" x14ac:dyDescent="0.3"/>
    <row r="21" spans="1:8" x14ac:dyDescent="0.25">
      <c r="A21" s="7" t="s">
        <v>6</v>
      </c>
      <c r="B21" s="8"/>
      <c r="C21" s="9"/>
      <c r="D21" s="6"/>
      <c r="E21" s="10"/>
    </row>
    <row r="22" spans="1:8" x14ac:dyDescent="0.25">
      <c r="A22" s="23" t="s">
        <v>19</v>
      </c>
      <c r="B22" s="23"/>
      <c r="C22" s="23"/>
      <c r="D22" s="21"/>
      <c r="E22" s="21"/>
    </row>
    <row r="23" spans="1:8" ht="20.25" customHeight="1" x14ac:dyDescent="0.25">
      <c r="A23" s="226" t="s">
        <v>354</v>
      </c>
      <c r="B23" s="227"/>
      <c r="C23" s="3"/>
      <c r="D23" s="205">
        <v>1311455.5</v>
      </c>
      <c r="E23" s="53"/>
      <c r="G23" s="193"/>
    </row>
    <row r="24" spans="1:8" x14ac:dyDescent="0.25">
      <c r="A24" s="3" t="s">
        <v>273</v>
      </c>
      <c r="B24" s="3"/>
      <c r="C24" s="3"/>
      <c r="D24" s="205">
        <v>-285241.59999999998</v>
      </c>
      <c r="E24" s="53"/>
      <c r="G24" s="11"/>
    </row>
    <row r="25" spans="1:8" x14ac:dyDescent="0.25">
      <c r="A25" s="3" t="s">
        <v>274</v>
      </c>
      <c r="B25" s="3"/>
      <c r="C25" s="3"/>
      <c r="D25" s="205">
        <v>0.1</v>
      </c>
      <c r="E25" s="53"/>
      <c r="G25" s="11"/>
    </row>
    <row r="26" spans="1:8" x14ac:dyDescent="0.25">
      <c r="A26" s="40" t="s">
        <v>20</v>
      </c>
      <c r="B26" s="40"/>
      <c r="C26" s="40"/>
      <c r="D26" s="64">
        <f>SUM(D23:D25)</f>
        <v>1026214</v>
      </c>
      <c r="E26" s="222" t="s">
        <v>398</v>
      </c>
      <c r="G26" s="11"/>
      <c r="H26" s="193"/>
    </row>
    <row r="27" spans="1:8" ht="32.25" customHeight="1" x14ac:dyDescent="0.25">
      <c r="A27" s="226" t="s">
        <v>300</v>
      </c>
      <c r="B27" s="227"/>
      <c r="C27" s="3"/>
      <c r="D27" s="205">
        <v>630000</v>
      </c>
      <c r="E27" s="53" t="s">
        <v>288</v>
      </c>
      <c r="G27" s="11"/>
    </row>
    <row r="28" spans="1:8" x14ac:dyDescent="0.25">
      <c r="A28" s="40" t="s">
        <v>20</v>
      </c>
      <c r="B28" s="40"/>
      <c r="C28" s="40"/>
      <c r="D28" s="64">
        <f>SUM(D27:D27)</f>
        <v>630000</v>
      </c>
      <c r="E28" s="54"/>
      <c r="G28" s="11"/>
    </row>
    <row r="29" spans="1:8" ht="18" customHeight="1" thickBot="1" x14ac:dyDescent="0.3">
      <c r="A29" s="82" t="s">
        <v>176</v>
      </c>
      <c r="B29" s="82"/>
      <c r="C29" s="82"/>
      <c r="D29" s="84"/>
      <c r="E29" s="115">
        <f>D26+D28</f>
        <v>1656214</v>
      </c>
      <c r="F29" s="11"/>
    </row>
    <row r="30" spans="1:8" x14ac:dyDescent="0.25">
      <c r="A30" s="21" t="s">
        <v>182</v>
      </c>
      <c r="B30" s="22"/>
      <c r="C30" s="22"/>
      <c r="D30" s="25"/>
      <c r="E30" s="45"/>
    </row>
    <row r="31" spans="1:8" s="29" customFormat="1" ht="31.5" customHeight="1" x14ac:dyDescent="0.25">
      <c r="A31" s="226" t="s">
        <v>342</v>
      </c>
      <c r="B31" s="227"/>
      <c r="C31" s="38"/>
      <c r="D31" s="206">
        <v>3965.19</v>
      </c>
      <c r="E31" s="211" t="s">
        <v>349</v>
      </c>
      <c r="G31" s="75"/>
    </row>
    <row r="32" spans="1:8" s="29" customFormat="1" ht="15" customHeight="1" x14ac:dyDescent="0.25">
      <c r="A32" s="3" t="s">
        <v>343</v>
      </c>
      <c r="B32" s="3"/>
      <c r="C32" s="38"/>
      <c r="D32" s="206">
        <v>931797.07</v>
      </c>
      <c r="E32" s="211" t="s">
        <v>349</v>
      </c>
      <c r="G32" s="75"/>
    </row>
    <row r="33" spans="1:9" s="29" customFormat="1" ht="15" customHeight="1" x14ac:dyDescent="0.25">
      <c r="A33" s="144" t="s">
        <v>276</v>
      </c>
      <c r="B33" s="3" t="s">
        <v>12</v>
      </c>
      <c r="C33" s="38"/>
      <c r="D33" s="206">
        <v>91710.86</v>
      </c>
      <c r="E33" s="211" t="s">
        <v>327</v>
      </c>
      <c r="G33" s="75"/>
    </row>
    <row r="34" spans="1:9" s="29" customFormat="1" ht="15" customHeight="1" x14ac:dyDescent="0.25">
      <c r="A34" s="144" t="str">
        <f>A33</f>
        <v>Sindicatos mes de JUNIO</v>
      </c>
      <c r="B34" s="3" t="s">
        <v>21</v>
      </c>
      <c r="C34" s="38"/>
      <c r="D34" s="206">
        <v>168967.36</v>
      </c>
      <c r="E34" s="211" t="str">
        <f>E33</f>
        <v>Debito 17/07</v>
      </c>
      <c r="G34" s="75"/>
    </row>
    <row r="35" spans="1:9" ht="15" customHeight="1" x14ac:dyDescent="0.25">
      <c r="A35" s="144" t="str">
        <f>A34</f>
        <v>Sindicatos mes de JUNIO</v>
      </c>
      <c r="B35" s="3" t="s">
        <v>11</v>
      </c>
      <c r="C35" s="38"/>
      <c r="D35" s="207">
        <v>10190.1</v>
      </c>
      <c r="E35" s="211" t="str">
        <f>E34</f>
        <v>Debito 17/07</v>
      </c>
      <c r="H35" s="67"/>
    </row>
    <row r="36" spans="1:9" ht="15.75" thickBot="1" x14ac:dyDescent="0.3">
      <c r="A36" s="82" t="s">
        <v>153</v>
      </c>
      <c r="B36" s="82"/>
      <c r="C36" s="82"/>
      <c r="D36" s="83"/>
      <c r="E36" s="116">
        <f>SUM(D31:D35)</f>
        <v>1206630.58</v>
      </c>
    </row>
    <row r="37" spans="1:9" x14ac:dyDescent="0.25">
      <c r="A37" s="23" t="s">
        <v>175</v>
      </c>
      <c r="B37" s="18"/>
      <c r="C37" s="18"/>
      <c r="D37" s="28"/>
      <c r="E37" s="57"/>
    </row>
    <row r="38" spans="1:9" ht="31.9" customHeight="1" x14ac:dyDescent="0.25">
      <c r="A38" s="228" t="s">
        <v>183</v>
      </c>
      <c r="B38" s="229"/>
      <c r="C38" s="3"/>
      <c r="D38" s="208">
        <v>14585.38</v>
      </c>
      <c r="E38" s="212" t="s">
        <v>352</v>
      </c>
    </row>
    <row r="39" spans="1:9" ht="31.9" customHeight="1" x14ac:dyDescent="0.25">
      <c r="A39" s="228" t="s">
        <v>184</v>
      </c>
      <c r="B39" s="229"/>
      <c r="C39" s="3"/>
      <c r="D39" s="208">
        <v>3980.84</v>
      </c>
      <c r="E39" s="213" t="s">
        <v>348</v>
      </c>
    </row>
    <row r="40" spans="1:9" ht="15" customHeight="1" thickBot="1" x14ac:dyDescent="0.3">
      <c r="A40" s="82" t="s">
        <v>154</v>
      </c>
      <c r="B40" s="85"/>
      <c r="C40" s="85"/>
      <c r="D40" s="86"/>
      <c r="E40" s="116">
        <f>SUM(D38:D39)</f>
        <v>18566.22</v>
      </c>
    </row>
    <row r="41" spans="1:9" ht="15" customHeight="1" thickBot="1" x14ac:dyDescent="0.3">
      <c r="A41" s="113" t="s">
        <v>185</v>
      </c>
      <c r="B41" s="17"/>
      <c r="C41" s="17"/>
      <c r="D41" s="27"/>
      <c r="E41" s="59"/>
    </row>
    <row r="42" spans="1:9" ht="33.950000000000003" customHeight="1" x14ac:dyDescent="0.25">
      <c r="A42" s="228" t="s">
        <v>302</v>
      </c>
      <c r="B42" s="243"/>
      <c r="C42" s="43"/>
      <c r="D42" s="208">
        <v>39172945.600000001</v>
      </c>
      <c r="E42" s="214" t="s">
        <v>288</v>
      </c>
      <c r="G42" t="s">
        <v>262</v>
      </c>
      <c r="I42" s="73"/>
    </row>
    <row r="43" spans="1:9" ht="33.950000000000003" customHeight="1" x14ac:dyDescent="0.25">
      <c r="A43" s="228" t="s">
        <v>298</v>
      </c>
      <c r="B43" s="243"/>
      <c r="C43" s="43"/>
      <c r="D43" s="208">
        <v>4238288</v>
      </c>
      <c r="E43" s="215" t="s">
        <v>297</v>
      </c>
    </row>
    <row r="44" spans="1:9" ht="17.45" customHeight="1" x14ac:dyDescent="0.25">
      <c r="A44" s="82" t="s">
        <v>186</v>
      </c>
      <c r="B44" s="87"/>
      <c r="C44" s="87"/>
      <c r="D44" s="88"/>
      <c r="E44" s="117">
        <f>SUM(D42:D43)</f>
        <v>43411233.600000001</v>
      </c>
    </row>
    <row r="45" spans="1:9" ht="17.45" customHeight="1" x14ac:dyDescent="0.25">
      <c r="A45" s="113" t="s">
        <v>187</v>
      </c>
      <c r="B45" s="113"/>
      <c r="C45" s="113" t="s">
        <v>185</v>
      </c>
      <c r="D45" s="166"/>
      <c r="E45" s="166"/>
    </row>
    <row r="46" spans="1:9" ht="33.950000000000003" customHeight="1" x14ac:dyDescent="0.25">
      <c r="A46" s="228" t="s">
        <v>303</v>
      </c>
      <c r="B46" s="243"/>
      <c r="C46" s="43"/>
      <c r="D46" s="208">
        <v>984869.82</v>
      </c>
      <c r="E46" s="214" t="s">
        <v>288</v>
      </c>
    </row>
    <row r="47" spans="1:9" ht="33.950000000000003" customHeight="1" x14ac:dyDescent="0.25">
      <c r="A47" s="228" t="s">
        <v>334</v>
      </c>
      <c r="B47" s="229"/>
      <c r="C47" s="43"/>
      <c r="D47" s="208">
        <v>900000</v>
      </c>
      <c r="E47" s="61" t="s">
        <v>290</v>
      </c>
    </row>
    <row r="48" spans="1:9" ht="33.950000000000003" customHeight="1" x14ac:dyDescent="0.25">
      <c r="A48" s="228" t="s">
        <v>335</v>
      </c>
      <c r="B48" s="229"/>
      <c r="C48" s="39"/>
      <c r="D48" s="208">
        <v>4800000</v>
      </c>
      <c r="E48" s="61" t="s">
        <v>290</v>
      </c>
      <c r="G48" s="67"/>
    </row>
    <row r="49" spans="1:5" ht="33.950000000000003" customHeight="1" x14ac:dyDescent="0.25">
      <c r="A49" s="244" t="s">
        <v>336</v>
      </c>
      <c r="B49" s="245"/>
      <c r="C49" s="39"/>
      <c r="D49" s="208">
        <v>900000</v>
      </c>
      <c r="E49" s="61" t="s">
        <v>312</v>
      </c>
    </row>
    <row r="50" spans="1:5" ht="33.950000000000003" customHeight="1" x14ac:dyDescent="0.25">
      <c r="A50" s="244" t="s">
        <v>337</v>
      </c>
      <c r="B50" s="245"/>
      <c r="C50" s="39"/>
      <c r="D50" s="208">
        <v>600000</v>
      </c>
      <c r="E50" s="61" t="s">
        <v>312</v>
      </c>
    </row>
    <row r="51" spans="1:5" ht="52.5" customHeight="1" x14ac:dyDescent="0.25">
      <c r="A51" s="228" t="s">
        <v>344</v>
      </c>
      <c r="B51" s="229"/>
      <c r="C51" s="39"/>
      <c r="D51" s="208">
        <v>101640</v>
      </c>
      <c r="E51" s="61" t="s">
        <v>351</v>
      </c>
    </row>
    <row r="52" spans="1:5" ht="54.75" customHeight="1" x14ac:dyDescent="0.25">
      <c r="A52" s="228" t="s">
        <v>345</v>
      </c>
      <c r="B52" s="229"/>
      <c r="C52" s="39"/>
      <c r="D52" s="208">
        <v>228690</v>
      </c>
      <c r="E52" s="61" t="s">
        <v>351</v>
      </c>
    </row>
    <row r="53" spans="1:5" ht="33.950000000000003" customHeight="1" x14ac:dyDescent="0.25">
      <c r="A53" s="228" t="s">
        <v>338</v>
      </c>
      <c r="B53" s="229"/>
      <c r="C53" s="3"/>
      <c r="D53" s="209">
        <v>251900</v>
      </c>
      <c r="E53" s="216" t="s">
        <v>288</v>
      </c>
    </row>
    <row r="54" spans="1:5" ht="33.950000000000003" customHeight="1" x14ac:dyDescent="0.25">
      <c r="A54" s="228" t="s">
        <v>277</v>
      </c>
      <c r="B54" s="229"/>
      <c r="C54" s="39"/>
      <c r="D54" s="208">
        <v>425776.63</v>
      </c>
      <c r="E54" s="61" t="s">
        <v>351</v>
      </c>
    </row>
    <row r="55" spans="1:5" ht="33.950000000000003" customHeight="1" x14ac:dyDescent="0.25">
      <c r="A55" s="228" t="s">
        <v>330</v>
      </c>
      <c r="B55" s="229"/>
      <c r="C55" s="39"/>
      <c r="D55" s="208">
        <v>427846.95</v>
      </c>
      <c r="E55" s="61" t="s">
        <v>351</v>
      </c>
    </row>
    <row r="56" spans="1:5" ht="54" customHeight="1" x14ac:dyDescent="0.25">
      <c r="A56" s="226" t="s">
        <v>333</v>
      </c>
      <c r="B56" s="227"/>
      <c r="C56" s="39"/>
      <c r="D56" s="208">
        <v>380000</v>
      </c>
      <c r="E56" s="61" t="s">
        <v>290</v>
      </c>
    </row>
    <row r="57" spans="1:5" ht="51.75" customHeight="1" x14ac:dyDescent="0.25">
      <c r="A57" s="226" t="s">
        <v>332</v>
      </c>
      <c r="B57" s="227"/>
      <c r="C57" s="3"/>
      <c r="D57" s="209">
        <v>100000</v>
      </c>
      <c r="E57" s="61" t="s">
        <v>290</v>
      </c>
    </row>
    <row r="58" spans="1:5" ht="33.950000000000003" customHeight="1" x14ac:dyDescent="0.25">
      <c r="A58" s="226" t="s">
        <v>322</v>
      </c>
      <c r="B58" s="227"/>
      <c r="C58" s="3"/>
      <c r="D58" s="209">
        <v>102850</v>
      </c>
      <c r="E58" s="61" t="s">
        <v>304</v>
      </c>
    </row>
    <row r="59" spans="1:5" ht="33.950000000000003" customHeight="1" x14ac:dyDescent="0.25">
      <c r="A59" s="226" t="s">
        <v>323</v>
      </c>
      <c r="B59" s="227"/>
      <c r="C59" s="3"/>
      <c r="D59" s="209">
        <v>102850</v>
      </c>
      <c r="E59" s="61" t="s">
        <v>290</v>
      </c>
    </row>
    <row r="60" spans="1:5" ht="33.950000000000003" customHeight="1" x14ac:dyDescent="0.25">
      <c r="A60" s="226" t="s">
        <v>324</v>
      </c>
      <c r="B60" s="227"/>
      <c r="C60" s="3"/>
      <c r="D60" s="209">
        <v>170000</v>
      </c>
      <c r="E60" s="61" t="s">
        <v>350</v>
      </c>
    </row>
    <row r="61" spans="1:5" ht="33.950000000000003" customHeight="1" x14ac:dyDescent="0.25">
      <c r="A61" s="226" t="s">
        <v>295</v>
      </c>
      <c r="B61" s="227"/>
      <c r="C61" s="3"/>
      <c r="D61" s="209">
        <v>85000</v>
      </c>
      <c r="E61" s="61" t="s">
        <v>353</v>
      </c>
    </row>
    <row r="62" spans="1:5" ht="33.950000000000003" customHeight="1" x14ac:dyDescent="0.25">
      <c r="A62" s="246" t="s">
        <v>319</v>
      </c>
      <c r="B62" s="247"/>
      <c r="C62" s="53"/>
      <c r="D62" s="208">
        <v>279000</v>
      </c>
      <c r="E62" s="214" t="s">
        <v>288</v>
      </c>
    </row>
    <row r="63" spans="1:5" ht="33.950000000000003" customHeight="1" x14ac:dyDescent="0.25">
      <c r="A63" s="246" t="s">
        <v>320</v>
      </c>
      <c r="B63" s="247"/>
      <c r="C63" s="196"/>
      <c r="D63" s="208">
        <v>820380</v>
      </c>
      <c r="E63" s="214" t="s">
        <v>288</v>
      </c>
    </row>
    <row r="64" spans="1:5" ht="33.950000000000003" customHeight="1" x14ac:dyDescent="0.25">
      <c r="A64" s="246" t="s">
        <v>321</v>
      </c>
      <c r="B64" s="247"/>
      <c r="C64" s="196"/>
      <c r="D64" s="208">
        <v>820380</v>
      </c>
      <c r="E64" s="214" t="s">
        <v>288</v>
      </c>
    </row>
    <row r="65" spans="1:10" ht="33.950000000000003" customHeight="1" x14ac:dyDescent="0.25">
      <c r="A65" s="246" t="s">
        <v>310</v>
      </c>
      <c r="B65" s="247"/>
      <c r="C65" s="196"/>
      <c r="D65" s="208">
        <v>571080</v>
      </c>
      <c r="E65" s="214" t="s">
        <v>308</v>
      </c>
    </row>
    <row r="66" spans="1:10" ht="33.950000000000003" customHeight="1" x14ac:dyDescent="0.25">
      <c r="A66" s="246" t="s">
        <v>309</v>
      </c>
      <c r="B66" s="247"/>
      <c r="C66" s="196"/>
      <c r="D66" s="208">
        <v>551267.11</v>
      </c>
      <c r="E66" s="214" t="s">
        <v>308</v>
      </c>
      <c r="I66" s="226"/>
      <c r="J66" s="227"/>
    </row>
    <row r="67" spans="1:10" ht="15.75" thickBot="1" x14ac:dyDescent="0.3">
      <c r="A67" s="82" t="s">
        <v>188</v>
      </c>
      <c r="B67" s="87"/>
      <c r="C67" s="87"/>
      <c r="D67" s="88"/>
      <c r="E67" s="117">
        <f>SUM(D46:D66)</f>
        <v>13603530.51</v>
      </c>
    </row>
    <row r="68" spans="1:10" ht="15.75" thickBot="1" x14ac:dyDescent="0.3">
      <c r="A68" s="23" t="s">
        <v>189</v>
      </c>
      <c r="B68" s="44"/>
      <c r="C68" s="17"/>
      <c r="D68" s="19"/>
      <c r="E68" s="59"/>
    </row>
    <row r="69" spans="1:10" x14ac:dyDescent="0.25">
      <c r="A69" s="3" t="s">
        <v>339</v>
      </c>
      <c r="B69" s="3"/>
      <c r="C69" s="3"/>
      <c r="D69" s="209">
        <v>25600</v>
      </c>
      <c r="E69" s="61" t="s">
        <v>340</v>
      </c>
    </row>
    <row r="70" spans="1:10" x14ac:dyDescent="0.25">
      <c r="A70" s="3" t="s">
        <v>339</v>
      </c>
      <c r="B70" s="112"/>
      <c r="C70" s="3"/>
      <c r="D70" s="209">
        <v>26005.91</v>
      </c>
      <c r="E70" s="61" t="s">
        <v>340</v>
      </c>
    </row>
    <row r="71" spans="1:10" x14ac:dyDescent="0.25">
      <c r="A71" s="111" t="s">
        <v>341</v>
      </c>
      <c r="B71" s="112"/>
      <c r="C71" s="3"/>
      <c r="D71" s="209">
        <v>9800</v>
      </c>
      <c r="E71" s="61" t="s">
        <v>340</v>
      </c>
    </row>
    <row r="72" spans="1:10" ht="58.15" customHeight="1" x14ac:dyDescent="0.25">
      <c r="A72" s="226" t="s">
        <v>313</v>
      </c>
      <c r="B72" s="227"/>
      <c r="C72" s="3"/>
      <c r="D72" s="209">
        <v>387847</v>
      </c>
      <c r="E72" s="214" t="s">
        <v>290</v>
      </c>
    </row>
    <row r="73" spans="1:10" ht="58.15" customHeight="1" x14ac:dyDescent="0.25">
      <c r="A73" s="226" t="s">
        <v>325</v>
      </c>
      <c r="B73" s="227"/>
      <c r="C73" s="3"/>
      <c r="D73" s="209">
        <v>75000</v>
      </c>
      <c r="E73" s="217" t="s">
        <v>304</v>
      </c>
    </row>
    <row r="74" spans="1:10" ht="58.15" customHeight="1" x14ac:dyDescent="0.25">
      <c r="A74" s="226" t="s">
        <v>291</v>
      </c>
      <c r="B74" s="227"/>
      <c r="C74" s="3"/>
      <c r="D74" s="209">
        <v>245000</v>
      </c>
      <c r="E74" s="61" t="s">
        <v>292</v>
      </c>
    </row>
    <row r="75" spans="1:10" ht="81" customHeight="1" x14ac:dyDescent="0.25">
      <c r="A75" s="226" t="s">
        <v>293</v>
      </c>
      <c r="B75" s="227"/>
      <c r="C75" s="3"/>
      <c r="D75" s="209">
        <v>405000</v>
      </c>
      <c r="E75" s="61" t="s">
        <v>350</v>
      </c>
    </row>
    <row r="76" spans="1:10" ht="65.25" customHeight="1" x14ac:dyDescent="0.25">
      <c r="A76" s="226" t="s">
        <v>294</v>
      </c>
      <c r="B76" s="227"/>
      <c r="C76" s="3"/>
      <c r="D76" s="209">
        <v>240000</v>
      </c>
      <c r="E76" s="61" t="s">
        <v>297</v>
      </c>
    </row>
    <row r="77" spans="1:10" ht="78" customHeight="1" x14ac:dyDescent="0.25">
      <c r="A77" s="226" t="s">
        <v>285</v>
      </c>
      <c r="B77" s="227"/>
      <c r="C77" s="3"/>
      <c r="D77" s="209">
        <v>200000</v>
      </c>
      <c r="E77" s="217" t="s">
        <v>351</v>
      </c>
    </row>
    <row r="78" spans="1:10" ht="38.25" customHeight="1" x14ac:dyDescent="0.25">
      <c r="A78" s="226" t="s">
        <v>305</v>
      </c>
      <c r="B78" s="227"/>
      <c r="C78" s="3"/>
      <c r="D78" s="209">
        <v>155000</v>
      </c>
      <c r="E78" s="217" t="s">
        <v>306</v>
      </c>
    </row>
    <row r="79" spans="1:10" ht="35.25" customHeight="1" x14ac:dyDescent="0.25">
      <c r="A79" s="226" t="s">
        <v>311</v>
      </c>
      <c r="B79" s="227"/>
      <c r="C79" s="3"/>
      <c r="D79" s="209">
        <v>140000</v>
      </c>
      <c r="E79" s="217" t="s">
        <v>308</v>
      </c>
    </row>
    <row r="80" spans="1:10" ht="30" customHeight="1" x14ac:dyDescent="0.25">
      <c r="A80" s="228" t="s">
        <v>318</v>
      </c>
      <c r="B80" s="229"/>
      <c r="C80" s="3"/>
      <c r="D80" s="209">
        <v>191116.18</v>
      </c>
      <c r="E80" s="217" t="s">
        <v>288</v>
      </c>
    </row>
    <row r="81" spans="1:5" ht="30" customHeight="1" x14ac:dyDescent="0.25">
      <c r="A81" s="228" t="s">
        <v>314</v>
      </c>
      <c r="B81" s="229"/>
      <c r="C81" s="3"/>
      <c r="D81" s="209">
        <v>40876.35</v>
      </c>
      <c r="E81" s="217" t="s">
        <v>304</v>
      </c>
    </row>
    <row r="82" spans="1:5" ht="30" customHeight="1" x14ac:dyDescent="0.25">
      <c r="A82" s="228" t="s">
        <v>317</v>
      </c>
      <c r="B82" s="229"/>
      <c r="C82" s="3"/>
      <c r="D82" s="209">
        <v>12141.44</v>
      </c>
      <c r="E82" s="217" t="s">
        <v>304</v>
      </c>
    </row>
    <row r="83" spans="1:5" ht="30" customHeight="1" x14ac:dyDescent="0.25">
      <c r="A83" s="228" t="s">
        <v>315</v>
      </c>
      <c r="B83" s="229"/>
      <c r="C83" s="3"/>
      <c r="D83" s="209">
        <v>394255.05</v>
      </c>
      <c r="E83" s="218" t="s">
        <v>353</v>
      </c>
    </row>
    <row r="84" spans="1:5" ht="30" customHeight="1" x14ac:dyDescent="0.25">
      <c r="A84" s="228" t="s">
        <v>316</v>
      </c>
      <c r="B84" s="229"/>
      <c r="C84" s="3"/>
      <c r="D84" s="209">
        <v>69061.52</v>
      </c>
      <c r="E84" s="217" t="s">
        <v>307</v>
      </c>
    </row>
    <row r="85" spans="1:5" ht="30" customHeight="1" x14ac:dyDescent="0.25">
      <c r="A85" s="228" t="s">
        <v>346</v>
      </c>
      <c r="B85" s="229"/>
      <c r="C85" s="3"/>
      <c r="D85" s="209">
        <v>75785</v>
      </c>
      <c r="E85" s="217" t="s">
        <v>347</v>
      </c>
    </row>
    <row r="86" spans="1:5" ht="30" customHeight="1" x14ac:dyDescent="0.25">
      <c r="A86" s="226" t="s">
        <v>286</v>
      </c>
      <c r="B86" s="227"/>
      <c r="C86" s="3"/>
      <c r="D86" s="209">
        <v>5600</v>
      </c>
      <c r="E86" s="217" t="s">
        <v>340</v>
      </c>
    </row>
    <row r="87" spans="1:5" ht="30" customHeight="1" x14ac:dyDescent="0.25">
      <c r="A87" s="226" t="s">
        <v>284</v>
      </c>
      <c r="B87" s="227"/>
      <c r="C87" s="3"/>
      <c r="D87" s="209">
        <v>25784.3</v>
      </c>
      <c r="E87" s="217" t="s">
        <v>312</v>
      </c>
    </row>
    <row r="88" spans="1:5" ht="30.75" customHeight="1" x14ac:dyDescent="0.25">
      <c r="A88" s="230" t="s">
        <v>331</v>
      </c>
      <c r="B88" s="231"/>
      <c r="C88" s="3"/>
      <c r="D88" s="209">
        <v>120000</v>
      </c>
      <c r="E88" s="217" t="s">
        <v>351</v>
      </c>
    </row>
    <row r="89" spans="1:5" ht="15.75" thickBot="1" x14ac:dyDescent="0.3">
      <c r="A89" s="89" t="s">
        <v>190</v>
      </c>
      <c r="B89" s="89"/>
      <c r="C89" s="89"/>
      <c r="D89" s="90"/>
      <c r="E89" s="116">
        <f>SUM(D69:D88)</f>
        <v>2843872.75</v>
      </c>
    </row>
    <row r="90" spans="1:5" x14ac:dyDescent="0.25">
      <c r="A90" s="23" t="s">
        <v>13</v>
      </c>
      <c r="B90" s="23"/>
      <c r="C90" s="23"/>
      <c r="D90" s="24"/>
      <c r="E90" s="55"/>
    </row>
    <row r="91" spans="1:5" ht="15.75" thickBot="1" x14ac:dyDescent="0.3">
      <c r="A91" s="228" t="s">
        <v>275</v>
      </c>
      <c r="B91" s="229"/>
      <c r="C91" s="3"/>
      <c r="D91" s="210">
        <v>1780000</v>
      </c>
      <c r="E91" s="56" t="s">
        <v>398</v>
      </c>
    </row>
    <row r="92" spans="1:5" ht="15.75" thickBot="1" x14ac:dyDescent="0.3">
      <c r="A92" s="82" t="s">
        <v>155</v>
      </c>
      <c r="B92" s="82"/>
      <c r="C92" s="82"/>
      <c r="D92" s="83"/>
      <c r="E92" s="118">
        <f>SUM(D91:D91)</f>
        <v>1780000</v>
      </c>
    </row>
    <row r="93" spans="1:5" ht="15.75" thickBot="1" x14ac:dyDescent="0.3">
      <c r="A93" s="23" t="s">
        <v>8</v>
      </c>
      <c r="B93" s="44"/>
      <c r="C93" s="17"/>
      <c r="D93" s="19"/>
      <c r="E93" s="59"/>
    </row>
    <row r="94" spans="1:5" x14ac:dyDescent="0.25">
      <c r="A94" s="3" t="s">
        <v>23</v>
      </c>
      <c r="B94" s="3"/>
      <c r="C94" s="3"/>
      <c r="D94" s="208">
        <v>1369405.75</v>
      </c>
      <c r="E94" s="61"/>
    </row>
    <row r="95" spans="1:5" x14ac:dyDescent="0.25">
      <c r="A95" s="3" t="s">
        <v>24</v>
      </c>
      <c r="B95" s="3"/>
      <c r="C95" s="3"/>
      <c r="D95" s="208">
        <v>44400</v>
      </c>
      <c r="E95" s="60"/>
    </row>
    <row r="96" spans="1:5" x14ac:dyDescent="0.25">
      <c r="A96" s="119" t="s">
        <v>156</v>
      </c>
      <c r="B96" s="119"/>
      <c r="C96" s="119"/>
      <c r="D96" s="120"/>
      <c r="E96" s="121">
        <f>SUM(D94:D95)</f>
        <v>1413805.75</v>
      </c>
    </row>
    <row r="97" spans="1:7" x14ac:dyDescent="0.25">
      <c r="A97" s="3"/>
      <c r="B97" s="3"/>
      <c r="C97" s="3"/>
      <c r="D97" s="53"/>
      <c r="E97" s="126"/>
    </row>
    <row r="98" spans="1:7" x14ac:dyDescent="0.25">
      <c r="A98" s="3"/>
      <c r="B98" s="3"/>
      <c r="C98" s="3"/>
      <c r="D98" s="53"/>
      <c r="E98" s="126"/>
      <c r="F98" s="34"/>
      <c r="G98" s="74"/>
    </row>
    <row r="99" spans="1:7" ht="15.75" thickBot="1" x14ac:dyDescent="0.3">
      <c r="A99" s="122" t="s">
        <v>9</v>
      </c>
      <c r="B99" s="123"/>
      <c r="C99" s="124"/>
      <c r="D99" s="125"/>
      <c r="E99" s="191">
        <f>(SUM(E29:E97))</f>
        <v>65933853.409999996</v>
      </c>
      <c r="F99" s="73"/>
    </row>
    <row r="100" spans="1:7" x14ac:dyDescent="0.25">
      <c r="D100" s="62"/>
      <c r="E100" s="62"/>
    </row>
    <row r="101" spans="1:7" x14ac:dyDescent="0.25">
      <c r="D101" s="62"/>
      <c r="E101" s="62"/>
    </row>
    <row r="102" spans="1:7" x14ac:dyDescent="0.25">
      <c r="A102" s="78" t="s">
        <v>10</v>
      </c>
      <c r="B102" s="79"/>
      <c r="C102" s="79"/>
      <c r="D102" s="80"/>
      <c r="E102" s="80"/>
    </row>
    <row r="103" spans="1:7" ht="31.5" customHeight="1" x14ac:dyDescent="0.25">
      <c r="A103" s="249" t="s">
        <v>326</v>
      </c>
      <c r="B103" s="250"/>
      <c r="C103" s="3"/>
      <c r="D103" s="77">
        <v>56564.81</v>
      </c>
      <c r="E103" s="53" t="s">
        <v>201</v>
      </c>
    </row>
    <row r="104" spans="1:7" ht="30" customHeight="1" x14ac:dyDescent="0.25">
      <c r="A104" s="226" t="s">
        <v>328</v>
      </c>
      <c r="B104" s="227"/>
      <c r="C104" s="3"/>
      <c r="D104" s="77">
        <v>986880.08</v>
      </c>
      <c r="E104" s="53" t="s">
        <v>306</v>
      </c>
    </row>
    <row r="105" spans="1:7" ht="38.25" customHeight="1" x14ac:dyDescent="0.25">
      <c r="A105" s="226" t="s">
        <v>202</v>
      </c>
      <c r="B105" s="227"/>
      <c r="C105" s="3"/>
      <c r="D105" s="77">
        <v>5504.19</v>
      </c>
      <c r="E105" s="53" t="s">
        <v>201</v>
      </c>
    </row>
    <row r="106" spans="1:7" ht="33.75" customHeight="1" x14ac:dyDescent="0.25">
      <c r="A106" s="226" t="s">
        <v>200</v>
      </c>
      <c r="B106" s="227"/>
      <c r="C106" s="3"/>
      <c r="D106" s="77">
        <v>21855.55</v>
      </c>
      <c r="E106" s="53" t="s">
        <v>296</v>
      </c>
    </row>
    <row r="107" spans="1:7" x14ac:dyDescent="0.25">
      <c r="A107" s="78" t="s">
        <v>5</v>
      </c>
      <c r="B107" s="79"/>
      <c r="C107" s="79"/>
      <c r="D107" s="80"/>
      <c r="E107" s="81">
        <f>SUM(D103:D106)</f>
        <v>1070804.6299999999</v>
      </c>
    </row>
    <row r="108" spans="1:7" ht="15.75" thickBot="1" x14ac:dyDescent="0.3">
      <c r="D108" s="62"/>
      <c r="E108" s="62"/>
    </row>
    <row r="109" spans="1:7" x14ac:dyDescent="0.25">
      <c r="A109" s="105" t="s">
        <v>22</v>
      </c>
      <c r="B109" s="106"/>
      <c r="C109" s="107"/>
      <c r="D109" s="108"/>
      <c r="E109" s="109"/>
    </row>
    <row r="110" spans="1:7" ht="29.25" customHeight="1" x14ac:dyDescent="0.25">
      <c r="A110" s="228" t="s">
        <v>289</v>
      </c>
      <c r="B110" s="229"/>
      <c r="C110" s="3"/>
      <c r="D110" s="219">
        <v>17690939</v>
      </c>
      <c r="E110" s="58" t="s">
        <v>290</v>
      </c>
    </row>
    <row r="111" spans="1:7" x14ac:dyDescent="0.25">
      <c r="A111" s="228" t="s">
        <v>287</v>
      </c>
      <c r="B111" s="229"/>
      <c r="C111" s="39"/>
      <c r="D111" s="208">
        <v>25295688.879999999</v>
      </c>
      <c r="E111" s="61" t="s">
        <v>292</v>
      </c>
    </row>
    <row r="112" spans="1:7" ht="45" customHeight="1" x14ac:dyDescent="0.25">
      <c r="A112" s="226" t="s">
        <v>329</v>
      </c>
      <c r="B112" s="227"/>
      <c r="C112" s="3"/>
      <c r="D112" s="219">
        <v>16070993.73</v>
      </c>
      <c r="E112" s="218" t="s">
        <v>353</v>
      </c>
    </row>
    <row r="113" spans="1:5" ht="33.75" customHeight="1" x14ac:dyDescent="0.25">
      <c r="A113" s="226" t="s">
        <v>301</v>
      </c>
      <c r="B113" s="227"/>
      <c r="C113" s="3"/>
      <c r="D113" s="209">
        <v>72600</v>
      </c>
      <c r="E113" s="61" t="s">
        <v>288</v>
      </c>
    </row>
    <row r="114" spans="1:5" ht="15.75" thickBot="1" x14ac:dyDescent="0.3">
      <c r="A114" s="145"/>
      <c r="B114" s="146"/>
      <c r="C114" s="76"/>
      <c r="D114" s="147"/>
      <c r="E114" s="148"/>
    </row>
    <row r="115" spans="1:5" ht="15.75" thickBot="1" x14ac:dyDescent="0.3">
      <c r="A115" s="127" t="s">
        <v>5</v>
      </c>
      <c r="B115" s="149"/>
      <c r="C115" s="149"/>
      <c r="D115" s="150"/>
      <c r="E115" s="192">
        <f>SUM(D110:D114)</f>
        <v>59130221.609999999</v>
      </c>
    </row>
    <row r="116" spans="1:5" ht="15" customHeight="1" x14ac:dyDescent="0.25"/>
    <row r="117" spans="1:5" ht="15.75" hidden="1" thickBot="1" x14ac:dyDescent="0.3"/>
    <row r="118" spans="1:5" ht="15.75" thickBot="1" x14ac:dyDescent="0.3"/>
    <row r="119" spans="1:5" ht="15.75" thickBot="1" x14ac:dyDescent="0.3">
      <c r="A119" s="127" t="s">
        <v>14</v>
      </c>
      <c r="B119" s="128"/>
      <c r="C119" s="129"/>
      <c r="D119" s="129"/>
      <c r="E119" s="130">
        <f>E115</f>
        <v>59130221.609999999</v>
      </c>
    </row>
    <row r="120" spans="1:5" ht="15.75" thickBot="1" x14ac:dyDescent="0.3"/>
    <row r="121" spans="1:5" x14ac:dyDescent="0.25">
      <c r="A121" s="131" t="s">
        <v>198</v>
      </c>
      <c r="B121" s="132"/>
      <c r="C121" s="133"/>
      <c r="D121" s="134"/>
      <c r="E121" s="135"/>
    </row>
    <row r="122" spans="1:5" ht="30" customHeight="1" x14ac:dyDescent="0.25">
      <c r="A122" s="226" t="s">
        <v>299</v>
      </c>
      <c r="B122" s="227"/>
      <c r="C122" s="3"/>
      <c r="D122" s="208">
        <f>1160311-630000</f>
        <v>530311</v>
      </c>
      <c r="E122" s="58" t="s">
        <v>288</v>
      </c>
    </row>
    <row r="123" spans="1:5" x14ac:dyDescent="0.25">
      <c r="A123" s="136" t="s">
        <v>5</v>
      </c>
      <c r="B123" s="137"/>
      <c r="C123" s="137"/>
      <c r="D123" s="138"/>
      <c r="E123" s="143">
        <f>SUM(D122:D122)</f>
        <v>530311</v>
      </c>
    </row>
    <row r="126" spans="1:5" ht="15.75" thickBot="1" x14ac:dyDescent="0.3"/>
    <row r="127" spans="1:5" ht="15.75" thickBot="1" x14ac:dyDescent="0.3">
      <c r="A127" s="139" t="s">
        <v>199</v>
      </c>
      <c r="B127" s="140"/>
      <c r="C127" s="141"/>
      <c r="D127" s="141"/>
      <c r="E127" s="142">
        <f>E123</f>
        <v>530311</v>
      </c>
    </row>
    <row r="129" spans="1:5" ht="15.75" thickBot="1" x14ac:dyDescent="0.3"/>
    <row r="130" spans="1:5" ht="15.75" thickBot="1" x14ac:dyDescent="0.3">
      <c r="A130" s="51" t="s">
        <v>191</v>
      </c>
      <c r="B130" s="52">
        <f>E99</f>
        <v>65933853.409999996</v>
      </c>
    </row>
    <row r="131" spans="1:5" ht="15.75" thickBot="1" x14ac:dyDescent="0.3">
      <c r="A131" s="51" t="s">
        <v>22</v>
      </c>
      <c r="B131" s="52">
        <f>E119</f>
        <v>59130221.609999999</v>
      </c>
    </row>
    <row r="132" spans="1:5" ht="15.75" thickBot="1" x14ac:dyDescent="0.3">
      <c r="A132" s="91" t="s">
        <v>157</v>
      </c>
      <c r="B132" s="92">
        <f>E107</f>
        <v>1070804.6299999999</v>
      </c>
    </row>
    <row r="133" spans="1:5" ht="34.5" customHeight="1" thickBot="1" x14ac:dyDescent="0.3">
      <c r="A133" s="114" t="s">
        <v>251</v>
      </c>
      <c r="B133" s="92">
        <f>B132+B130</f>
        <v>67004658.039999999</v>
      </c>
    </row>
    <row r="134" spans="1:5" ht="73.5" customHeight="1" x14ac:dyDescent="0.25"/>
    <row r="135" spans="1:5" x14ac:dyDescent="0.25">
      <c r="A135" s="35" t="s">
        <v>261</v>
      </c>
      <c r="B135" s="68"/>
      <c r="C135" s="12"/>
    </row>
    <row r="136" spans="1:5" x14ac:dyDescent="0.25">
      <c r="A136" s="20" t="s">
        <v>254</v>
      </c>
      <c r="B136" s="167">
        <v>104467652</v>
      </c>
      <c r="C136" s="14"/>
    </row>
    <row r="137" spans="1:5" x14ac:dyDescent="0.25">
      <c r="A137" s="13" t="s">
        <v>255</v>
      </c>
      <c r="B137" s="31">
        <f>PRORRATEO!F159</f>
        <v>103675061.57000001</v>
      </c>
      <c r="C137" s="12"/>
    </row>
    <row r="138" spans="1:5" ht="36.75" customHeight="1" x14ac:dyDescent="0.25">
      <c r="A138" s="16" t="s">
        <v>268</v>
      </c>
      <c r="B138" s="60">
        <f>B181</f>
        <v>6887110.1500000004</v>
      </c>
      <c r="C138" s="12"/>
    </row>
    <row r="139" spans="1:5" x14ac:dyDescent="0.25">
      <c r="A139" s="65" t="s">
        <v>377</v>
      </c>
      <c r="B139" s="37">
        <v>-20493</v>
      </c>
      <c r="C139" s="12"/>
      <c r="E139" s="73"/>
    </row>
    <row r="140" spans="1:5" x14ac:dyDescent="0.25">
      <c r="A140" s="65" t="s">
        <v>400</v>
      </c>
      <c r="B140" s="37">
        <v>-68260</v>
      </c>
      <c r="C140" s="12"/>
      <c r="E140" s="73"/>
    </row>
    <row r="141" spans="1:5" x14ac:dyDescent="0.25">
      <c r="A141" s="65" t="s">
        <v>382</v>
      </c>
      <c r="B141" s="37">
        <f>-27181</f>
        <v>-27181</v>
      </c>
      <c r="C141" s="12"/>
      <c r="E141" s="73"/>
    </row>
    <row r="142" spans="1:5" x14ac:dyDescent="0.25">
      <c r="A142" s="65" t="s">
        <v>197</v>
      </c>
      <c r="B142" s="37">
        <f>-E127</f>
        <v>-530311</v>
      </c>
      <c r="C142" s="12"/>
    </row>
    <row r="143" spans="1:5" x14ac:dyDescent="0.25">
      <c r="A143" s="30" t="s">
        <v>158</v>
      </c>
      <c r="B143" s="37">
        <f>-E107</f>
        <v>-1070804.6299999999</v>
      </c>
      <c r="C143" s="12"/>
    </row>
    <row r="144" spans="1:5" x14ac:dyDescent="0.25">
      <c r="A144" s="30" t="s">
        <v>15</v>
      </c>
      <c r="B144" s="37">
        <f>-E99</f>
        <v>-65933853.409999996</v>
      </c>
      <c r="C144" s="12"/>
      <c r="E144" s="73"/>
    </row>
    <row r="145" spans="1:6" ht="25.5" x14ac:dyDescent="0.25">
      <c r="A145" s="30" t="s">
        <v>267</v>
      </c>
      <c r="B145" s="37">
        <f>-595000-58290.14</f>
        <v>-653290.14</v>
      </c>
      <c r="C145" s="12"/>
      <c r="E145" s="73"/>
    </row>
    <row r="146" spans="1:6" ht="25.5" x14ac:dyDescent="0.25">
      <c r="A146" s="30" t="s">
        <v>383</v>
      </c>
      <c r="B146" s="37">
        <f>-808505.45</f>
        <v>-808505.45</v>
      </c>
      <c r="C146" s="12"/>
      <c r="E146" s="73"/>
    </row>
    <row r="147" spans="1:6" ht="25.5" x14ac:dyDescent="0.25">
      <c r="A147" s="30" t="s">
        <v>378</v>
      </c>
      <c r="B147" s="37">
        <v>-663440.66</v>
      </c>
      <c r="C147" s="12"/>
      <c r="E147" s="73"/>
    </row>
    <row r="148" spans="1:6" x14ac:dyDescent="0.25">
      <c r="A148" s="30" t="s">
        <v>390</v>
      </c>
      <c r="B148" s="37">
        <v>-15795</v>
      </c>
      <c r="C148" s="12"/>
      <c r="E148" s="73"/>
    </row>
    <row r="149" spans="1:6" ht="42" customHeight="1" x14ac:dyDescent="0.25">
      <c r="A149" s="30" t="s">
        <v>260</v>
      </c>
      <c r="B149" s="60">
        <f>-B158</f>
        <v>88861.46</v>
      </c>
      <c r="C149" s="12"/>
      <c r="E149" s="73"/>
      <c r="F149" s="73"/>
    </row>
    <row r="150" spans="1:6" x14ac:dyDescent="0.25">
      <c r="A150" s="16" t="s">
        <v>392</v>
      </c>
      <c r="B150" s="37">
        <f>-E119</f>
        <v>-59130221.609999999</v>
      </c>
      <c r="C150" s="12"/>
    </row>
    <row r="151" spans="1:6" x14ac:dyDescent="0.25">
      <c r="A151" s="71" t="s">
        <v>5</v>
      </c>
      <c r="B151" s="72">
        <f>SUM(B136:B150)</f>
        <v>86196529.280000046</v>
      </c>
      <c r="C151" s="15"/>
      <c r="D151" s="34"/>
      <c r="F151" s="73"/>
    </row>
    <row r="152" spans="1:6" x14ac:dyDescent="0.25">
      <c r="B152" s="32"/>
      <c r="C152" s="15"/>
      <c r="D152" s="34"/>
      <c r="E152" s="69"/>
      <c r="F152" s="203"/>
    </row>
    <row r="153" spans="1:6" ht="174" customHeight="1" x14ac:dyDescent="0.25">
      <c r="A153" s="223" t="s">
        <v>401</v>
      </c>
      <c r="B153" s="223"/>
      <c r="C153" s="15"/>
      <c r="D153" s="34"/>
      <c r="E153" s="69"/>
      <c r="F153" s="203"/>
    </row>
    <row r="154" spans="1:6" hidden="1" x14ac:dyDescent="0.25">
      <c r="A154" s="223"/>
      <c r="B154" s="223"/>
      <c r="C154" s="15"/>
      <c r="D154" s="34"/>
      <c r="E154" s="69"/>
      <c r="F154" s="203"/>
    </row>
    <row r="155" spans="1:6" x14ac:dyDescent="0.25">
      <c r="B155" s="32"/>
      <c r="C155" s="15"/>
      <c r="D155" s="34"/>
      <c r="E155" s="69"/>
      <c r="F155" s="203"/>
    </row>
    <row r="156" spans="1:6" x14ac:dyDescent="0.25">
      <c r="A156" s="189" t="s">
        <v>259</v>
      </c>
      <c r="B156" s="190">
        <v>0</v>
      </c>
      <c r="C156" s="15"/>
      <c r="D156" s="34"/>
      <c r="E156" s="69"/>
      <c r="F156" s="70"/>
    </row>
    <row r="157" spans="1:6" ht="72.75" customHeight="1" x14ac:dyDescent="0.25">
      <c r="A157" s="164" t="s">
        <v>399</v>
      </c>
      <c r="B157" s="26">
        <f>-D106-D69-D70-D71-D86</f>
        <v>-88861.46</v>
      </c>
      <c r="C157" s="15"/>
      <c r="D157" s="34"/>
      <c r="E157" s="69"/>
      <c r="F157" s="70"/>
    </row>
    <row r="158" spans="1:6" x14ac:dyDescent="0.25">
      <c r="A158" s="189" t="s">
        <v>5</v>
      </c>
      <c r="B158" s="190">
        <f>SUM(B156:B157)</f>
        <v>-88861.46</v>
      </c>
      <c r="C158" s="15"/>
      <c r="D158" s="34"/>
      <c r="E158" s="69"/>
      <c r="F158" s="70"/>
    </row>
    <row r="159" spans="1:6" ht="15.75" thickBot="1" x14ac:dyDescent="0.3">
      <c r="B159" s="32"/>
      <c r="C159" s="15"/>
      <c r="D159" s="34"/>
      <c r="E159" s="69"/>
      <c r="F159" s="70"/>
    </row>
    <row r="160" spans="1:6" x14ac:dyDescent="0.25">
      <c r="A160" s="168" t="s">
        <v>252</v>
      </c>
      <c r="B160" s="169"/>
      <c r="C160" s="15"/>
      <c r="D160" s="34"/>
      <c r="E160" s="69"/>
      <c r="F160" s="70"/>
    </row>
    <row r="161" spans="1:6" x14ac:dyDescent="0.25">
      <c r="A161" s="181" t="s">
        <v>258</v>
      </c>
      <c r="B161" s="182">
        <v>30000000</v>
      </c>
      <c r="C161" s="15"/>
      <c r="D161" s="34"/>
      <c r="E161" s="69"/>
      <c r="F161" s="70"/>
    </row>
    <row r="162" spans="1:6" x14ac:dyDescent="0.25">
      <c r="A162" s="3"/>
      <c r="B162" s="26"/>
      <c r="C162" s="15"/>
      <c r="D162" s="34"/>
      <c r="E162" s="69"/>
      <c r="F162" s="70"/>
    </row>
    <row r="163" spans="1:6" x14ac:dyDescent="0.25">
      <c r="A163" s="3"/>
      <c r="B163" s="26"/>
      <c r="C163" s="15"/>
      <c r="D163" s="34"/>
      <c r="E163" s="69"/>
      <c r="F163" s="70"/>
    </row>
    <row r="164" spans="1:6" ht="15.75" thickBot="1" x14ac:dyDescent="0.3">
      <c r="A164" s="170" t="s">
        <v>395</v>
      </c>
      <c r="B164" s="204">
        <v>32627060.039999999</v>
      </c>
      <c r="C164" s="15"/>
      <c r="D164" s="34"/>
      <c r="E164" s="69"/>
      <c r="F164" s="70"/>
    </row>
    <row r="165" spans="1:6" x14ac:dyDescent="0.25">
      <c r="B165" s="32"/>
      <c r="C165" s="15"/>
      <c r="D165" s="34"/>
      <c r="E165" s="69"/>
      <c r="F165" s="70"/>
    </row>
    <row r="166" spans="1:6" x14ac:dyDescent="0.25">
      <c r="B166" s="32"/>
      <c r="C166" s="15"/>
      <c r="D166" s="34"/>
      <c r="E166" s="69"/>
      <c r="F166" s="70"/>
    </row>
    <row r="167" spans="1:6" x14ac:dyDescent="0.25">
      <c r="B167" s="32"/>
      <c r="C167" s="15"/>
      <c r="D167" s="34"/>
      <c r="E167" s="69"/>
      <c r="F167" s="70"/>
    </row>
    <row r="168" spans="1:6" x14ac:dyDescent="0.25">
      <c r="A168" s="248" t="s">
        <v>18</v>
      </c>
      <c r="B168" s="248"/>
      <c r="C168" s="248"/>
    </row>
    <row r="169" spans="1:6" x14ac:dyDescent="0.25">
      <c r="A169" s="248"/>
      <c r="B169" s="248"/>
      <c r="C169" s="248"/>
    </row>
    <row r="170" spans="1:6" ht="34.5" customHeight="1" x14ac:dyDescent="0.25">
      <c r="A170" s="164" t="s">
        <v>384</v>
      </c>
      <c r="B170" s="77">
        <v>2111121</v>
      </c>
      <c r="C170" s="26">
        <v>11948.17</v>
      </c>
    </row>
    <row r="171" spans="1:6" ht="36.75" customHeight="1" x14ac:dyDescent="0.25">
      <c r="A171" s="164" t="s">
        <v>385</v>
      </c>
      <c r="B171" s="77">
        <v>602000</v>
      </c>
      <c r="C171" s="26"/>
    </row>
    <row r="172" spans="1:6" ht="36.75" customHeight="1" x14ac:dyDescent="0.25">
      <c r="A172" s="164" t="s">
        <v>386</v>
      </c>
      <c r="B172" s="77">
        <v>226000</v>
      </c>
      <c r="C172" s="26"/>
    </row>
    <row r="173" spans="1:6" ht="33.75" customHeight="1" x14ac:dyDescent="0.25">
      <c r="A173" s="164" t="s">
        <v>386</v>
      </c>
      <c r="B173" s="77">
        <v>389000</v>
      </c>
      <c r="C173" s="26">
        <v>61209</v>
      </c>
    </row>
    <row r="174" spans="1:6" ht="33.75" customHeight="1" x14ac:dyDescent="0.25">
      <c r="A174" s="164" t="s">
        <v>386</v>
      </c>
      <c r="B174" s="77">
        <v>40000</v>
      </c>
      <c r="C174" s="163"/>
    </row>
    <row r="175" spans="1:6" ht="33.75" customHeight="1" x14ac:dyDescent="0.25">
      <c r="A175" s="164" t="s">
        <v>387</v>
      </c>
      <c r="B175" s="77">
        <v>2055315</v>
      </c>
      <c r="C175" s="163"/>
    </row>
    <row r="176" spans="1:6" ht="33.75" customHeight="1" x14ac:dyDescent="0.25">
      <c r="A176" s="164" t="s">
        <v>388</v>
      </c>
      <c r="B176" s="77">
        <v>763674.15</v>
      </c>
      <c r="C176" s="163"/>
    </row>
    <row r="177" spans="1:13" ht="33.75" customHeight="1" x14ac:dyDescent="0.25">
      <c r="A177" s="164" t="s">
        <v>389</v>
      </c>
      <c r="B177" s="77">
        <v>200000</v>
      </c>
      <c r="C177" s="163"/>
    </row>
    <row r="178" spans="1:13" ht="33.75" customHeight="1" x14ac:dyDescent="0.25">
      <c r="A178" s="164" t="s">
        <v>389</v>
      </c>
      <c r="B178" s="77">
        <v>200000</v>
      </c>
      <c r="C178" s="163"/>
    </row>
    <row r="179" spans="1:13" ht="33.75" customHeight="1" x14ac:dyDescent="0.25">
      <c r="A179" s="164" t="s">
        <v>389</v>
      </c>
      <c r="B179" s="77">
        <v>180000</v>
      </c>
      <c r="C179" s="163"/>
    </row>
    <row r="180" spans="1:13" ht="33.75" customHeight="1" x14ac:dyDescent="0.25">
      <c r="A180" s="164" t="s">
        <v>389</v>
      </c>
      <c r="B180" s="77">
        <v>120000</v>
      </c>
      <c r="C180" s="163"/>
    </row>
    <row r="181" spans="1:13" x14ac:dyDescent="0.25">
      <c r="A181" s="35" t="s">
        <v>5</v>
      </c>
      <c r="B181" s="63">
        <f>SUM(B170:B180)</f>
        <v>6887110.1500000004</v>
      </c>
      <c r="C181" s="36"/>
    </row>
    <row r="182" spans="1:13" x14ac:dyDescent="0.25">
      <c r="M182" s="5"/>
    </row>
  </sheetData>
  <mergeCells count="65">
    <mergeCell ref="A72:B72"/>
    <mergeCell ref="A84:B84"/>
    <mergeCell ref="A85:B85"/>
    <mergeCell ref="A49:B49"/>
    <mergeCell ref="A110:B110"/>
    <mergeCell ref="A103:B103"/>
    <mergeCell ref="A105:B105"/>
    <mergeCell ref="A80:B80"/>
    <mergeCell ref="A106:B106"/>
    <mergeCell ref="A87:B87"/>
    <mergeCell ref="A86:B86"/>
    <mergeCell ref="A79:B79"/>
    <mergeCell ref="A168:C169"/>
    <mergeCell ref="A122:B122"/>
    <mergeCell ref="A51:B51"/>
    <mergeCell ref="A63:B63"/>
    <mergeCell ref="A83:B83"/>
    <mergeCell ref="A78:B78"/>
    <mergeCell ref="A65:B65"/>
    <mergeCell ref="A77:B77"/>
    <mergeCell ref="A61:B61"/>
    <mergeCell ref="A82:B82"/>
    <mergeCell ref="A111:B111"/>
    <mergeCell ref="A113:B113"/>
    <mergeCell ref="A64:B64"/>
    <mergeCell ref="A58:B58"/>
    <mergeCell ref="A59:B59"/>
    <mergeCell ref="A60:B60"/>
    <mergeCell ref="I66:J66"/>
    <mergeCell ref="A38:B38"/>
    <mergeCell ref="A39:B39"/>
    <mergeCell ref="A43:B43"/>
    <mergeCell ref="A46:B46"/>
    <mergeCell ref="A56:B56"/>
    <mergeCell ref="A47:B47"/>
    <mergeCell ref="A42:B42"/>
    <mergeCell ref="A50:B50"/>
    <mergeCell ref="A48:B48"/>
    <mergeCell ref="A66:B66"/>
    <mergeCell ref="A62:B62"/>
    <mergeCell ref="A53:B53"/>
    <mergeCell ref="A52:B52"/>
    <mergeCell ref="A55:B55"/>
    <mergeCell ref="A54:B54"/>
    <mergeCell ref="B3:E3"/>
    <mergeCell ref="B1:E1"/>
    <mergeCell ref="B2:E2"/>
    <mergeCell ref="B7:E7"/>
    <mergeCell ref="A1:A7"/>
    <mergeCell ref="A153:B154"/>
    <mergeCell ref="A9:E11"/>
    <mergeCell ref="A14:E17"/>
    <mergeCell ref="A27:B27"/>
    <mergeCell ref="A104:B104"/>
    <mergeCell ref="A91:B91"/>
    <mergeCell ref="A88:B88"/>
    <mergeCell ref="A23:B23"/>
    <mergeCell ref="A81:B81"/>
    <mergeCell ref="A31:B31"/>
    <mergeCell ref="A73:B73"/>
    <mergeCell ref="A74:B74"/>
    <mergeCell ref="A75:B75"/>
    <mergeCell ref="A76:B76"/>
    <mergeCell ref="A57:B57"/>
    <mergeCell ref="A112:B112"/>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6"/>
  <sheetViews>
    <sheetView tabSelected="1" topLeftCell="B128" zoomScale="80" zoomScaleNormal="80" workbookViewId="0">
      <selection activeCell="F140" sqref="F140"/>
    </sheetView>
  </sheetViews>
  <sheetFormatPr baseColWidth="10" defaultRowHeight="15" x14ac:dyDescent="0.25"/>
  <cols>
    <col min="1" max="1" width="4.28515625" hidden="1" customWidth="1"/>
    <col min="2" max="2" width="4.28515625" customWidth="1"/>
    <col min="3" max="3" width="25.7109375" customWidth="1"/>
    <col min="4" max="4" width="8.140625" customWidth="1"/>
    <col min="5" max="5" width="14.140625" customWidth="1"/>
    <col min="6" max="6" width="12.42578125" customWidth="1"/>
    <col min="7" max="7" width="11.7109375" customWidth="1"/>
    <col min="8" max="8" width="9.5703125" customWidth="1"/>
    <col min="9" max="9" width="11.42578125" customWidth="1"/>
    <col min="10" max="10" width="11.7109375" hidden="1" customWidth="1"/>
    <col min="11" max="11" width="14" customWidth="1"/>
    <col min="12" max="12" width="13" customWidth="1"/>
    <col min="13" max="13" width="15" customWidth="1"/>
    <col min="14" max="15" width="12.7109375" customWidth="1"/>
    <col min="16" max="16" width="14.7109375" customWidth="1"/>
    <col min="17" max="17" width="5.28515625" customWidth="1"/>
    <col min="18" max="18" width="6.140625" hidden="1" customWidth="1"/>
    <col min="19" max="19" width="12" bestFit="1" customWidth="1"/>
    <col min="20" max="20" width="13" bestFit="1" customWidth="1"/>
    <col min="23" max="23" width="16" bestFit="1" customWidth="1"/>
  </cols>
  <sheetData>
    <row r="1" spans="1:23" ht="27.75" customHeight="1" x14ac:dyDescent="0.25">
      <c r="A1" s="4"/>
      <c r="B1" s="4"/>
      <c r="C1" s="183"/>
      <c r="D1" s="262"/>
      <c r="E1" s="262"/>
      <c r="F1" s="265"/>
      <c r="G1" s="265"/>
      <c r="H1" s="184"/>
      <c r="I1" s="184"/>
      <c r="J1" s="184"/>
      <c r="K1" s="263"/>
      <c r="L1" s="263"/>
      <c r="M1" s="184"/>
      <c r="N1" s="184" t="s">
        <v>151</v>
      </c>
      <c r="O1" s="185"/>
      <c r="P1" s="265">
        <v>30000000</v>
      </c>
      <c r="Q1" s="265"/>
      <c r="R1" s="11"/>
      <c r="S1" s="4"/>
    </row>
    <row r="2" spans="1:23" ht="30" customHeight="1" thickBot="1" x14ac:dyDescent="0.3">
      <c r="A2" s="4"/>
      <c r="B2" s="4"/>
      <c r="C2" s="267" t="s">
        <v>250</v>
      </c>
      <c r="D2" s="267"/>
      <c r="E2" s="267"/>
      <c r="F2" s="184"/>
      <c r="G2" s="264">
        <f>W2</f>
        <v>22855288.857443996</v>
      </c>
      <c r="H2" s="264"/>
      <c r="I2" s="184" t="s">
        <v>0</v>
      </c>
      <c r="J2" s="184"/>
      <c r="K2" s="264">
        <v>67004658.039999999</v>
      </c>
      <c r="L2" s="264"/>
      <c r="M2" s="186"/>
      <c r="N2" s="187" t="s">
        <v>396</v>
      </c>
      <c r="O2" s="186"/>
      <c r="P2" s="266">
        <v>0</v>
      </c>
      <c r="Q2" s="266"/>
      <c r="S2" s="4"/>
      <c r="T2" t="s">
        <v>253</v>
      </c>
      <c r="W2" s="73">
        <f>((K2+P2)*D144)+((K2+P2)*D145)</f>
        <v>22855288.857443996</v>
      </c>
    </row>
    <row r="3" spans="1:23" ht="43.5" customHeight="1" x14ac:dyDescent="0.25">
      <c r="A3" s="255" t="s">
        <v>1</v>
      </c>
      <c r="B3" s="257" t="s">
        <v>2</v>
      </c>
      <c r="C3" s="257" t="s">
        <v>3</v>
      </c>
      <c r="D3" s="257" t="s">
        <v>7</v>
      </c>
      <c r="E3" s="251" t="s">
        <v>192</v>
      </c>
      <c r="F3" s="257" t="s">
        <v>4</v>
      </c>
      <c r="G3" s="259" t="s">
        <v>17</v>
      </c>
      <c r="H3" s="251" t="s">
        <v>256</v>
      </c>
      <c r="I3" s="251" t="s">
        <v>16</v>
      </c>
      <c r="J3" s="251"/>
      <c r="K3" s="251" t="s">
        <v>193</v>
      </c>
      <c r="L3" s="251" t="s">
        <v>152</v>
      </c>
      <c r="M3" s="251" t="s">
        <v>195</v>
      </c>
      <c r="N3" s="251" t="s">
        <v>194</v>
      </c>
      <c r="O3" s="251" t="s">
        <v>391</v>
      </c>
      <c r="P3" s="268" t="s">
        <v>257</v>
      </c>
      <c r="Q3" s="269"/>
      <c r="S3" s="251" t="s">
        <v>393</v>
      </c>
      <c r="T3" s="34"/>
    </row>
    <row r="4" spans="1:23" ht="44.25" customHeight="1" x14ac:dyDescent="0.25">
      <c r="A4" s="256"/>
      <c r="B4" s="258"/>
      <c r="C4" s="258"/>
      <c r="D4" s="258"/>
      <c r="E4" s="252"/>
      <c r="F4" s="258"/>
      <c r="G4" s="260"/>
      <c r="H4" s="252"/>
      <c r="I4" s="252"/>
      <c r="J4" s="252"/>
      <c r="K4" s="252"/>
      <c r="L4" s="252"/>
      <c r="M4" s="252"/>
      <c r="N4" s="252"/>
      <c r="O4" s="252"/>
      <c r="P4" s="270"/>
      <c r="Q4" s="271"/>
      <c r="S4" s="252"/>
    </row>
    <row r="5" spans="1:23" ht="24.95" customHeight="1" x14ac:dyDescent="0.25">
      <c r="A5" s="42"/>
      <c r="B5" s="42">
        <v>1</v>
      </c>
      <c r="C5" s="41" t="s">
        <v>25</v>
      </c>
      <c r="D5" s="46">
        <v>4.5999999999999999E-3</v>
      </c>
      <c r="E5" s="47">
        <v>679085.01</v>
      </c>
      <c r="F5" s="199">
        <f>E5</f>
        <v>679085.01</v>
      </c>
      <c r="G5" s="151">
        <f t="shared" ref="G5:G68" si="0">E5-F5</f>
        <v>0</v>
      </c>
      <c r="H5" s="48">
        <f>IF(G5&gt;0,G5*3.087%,0)</f>
        <v>0</v>
      </c>
      <c r="I5" s="49">
        <f>K$2*D5</f>
        <v>308221.42698400002</v>
      </c>
      <c r="J5" s="49">
        <f t="shared" ref="J5:J36" si="1">P$2*D5</f>
        <v>0</v>
      </c>
      <c r="K5" s="49">
        <f>G$2*0.675675676%</f>
        <v>154427.62748928738</v>
      </c>
      <c r="L5" s="49">
        <f>P$1*0.675675676%</f>
        <v>202702.7028</v>
      </c>
      <c r="M5" s="49">
        <f>G$1*D5</f>
        <v>0</v>
      </c>
      <c r="N5" s="179">
        <v>0</v>
      </c>
      <c r="O5" s="179"/>
      <c r="P5" s="261">
        <f t="shared" ref="P5:P36" si="2">ROUND(SUM(G5:O5),0) + R5</f>
        <v>665352.01</v>
      </c>
      <c r="Q5" s="261"/>
      <c r="R5" s="34">
        <f t="shared" ref="R5:R36" si="3">ROUND(0.001+B5/100,2)</f>
        <v>0.01</v>
      </c>
      <c r="S5" s="3">
        <f>B5</f>
        <v>1</v>
      </c>
      <c r="T5" t="s">
        <v>235</v>
      </c>
    </row>
    <row r="6" spans="1:23" ht="24.95" customHeight="1" x14ac:dyDescent="0.25">
      <c r="A6" s="42"/>
      <c r="B6" s="42">
        <f>B5+1</f>
        <v>2</v>
      </c>
      <c r="C6" s="41" t="s">
        <v>26</v>
      </c>
      <c r="D6" s="46">
        <v>4.5999999999999999E-3</v>
      </c>
      <c r="E6" s="47">
        <v>1516000.02</v>
      </c>
      <c r="F6" s="199">
        <f>500000</f>
        <v>500000</v>
      </c>
      <c r="G6" s="151">
        <f t="shared" si="0"/>
        <v>1016000.02</v>
      </c>
      <c r="H6" s="48">
        <f>IF(G6&gt;0,G6*3.087%,0)</f>
        <v>31363.920617400003</v>
      </c>
      <c r="I6" s="49">
        <f t="shared" ref="I6:I37" si="4">K$2*D6</f>
        <v>308221.42698400002</v>
      </c>
      <c r="J6" s="49">
        <f t="shared" si="1"/>
        <v>0</v>
      </c>
      <c r="K6" s="49">
        <f t="shared" ref="K6:K69" si="5">G$2*0.675675676%</f>
        <v>154427.62748928738</v>
      </c>
      <c r="L6" s="49">
        <f t="shared" ref="L6:L69" si="6">P$1*0.675675676%</f>
        <v>202702.7028</v>
      </c>
      <c r="M6" s="49">
        <f t="shared" ref="M6:M69" si="7">G$1*D6</f>
        <v>0</v>
      </c>
      <c r="N6" s="179">
        <v>0</v>
      </c>
      <c r="O6" s="179"/>
      <c r="P6" s="261">
        <f t="shared" si="2"/>
        <v>1712716.02</v>
      </c>
      <c r="Q6" s="261"/>
      <c r="R6" s="34">
        <f t="shared" si="3"/>
        <v>0.02</v>
      </c>
      <c r="S6" s="3">
        <f t="shared" ref="S6:S69" si="8">B6</f>
        <v>2</v>
      </c>
    </row>
    <row r="7" spans="1:23" ht="24.95" customHeight="1" x14ac:dyDescent="0.25">
      <c r="A7" s="42"/>
      <c r="B7" s="42">
        <f t="shared" ref="B7:B36" si="9">B6+1</f>
        <v>3</v>
      </c>
      <c r="C7" s="41" t="s">
        <v>27</v>
      </c>
      <c r="D7" s="46">
        <v>4.5999999999999999E-3</v>
      </c>
      <c r="E7" s="47">
        <v>679085.03</v>
      </c>
      <c r="F7" s="199">
        <f t="shared" ref="F7:F39" si="10">E7</f>
        <v>679085.03</v>
      </c>
      <c r="G7" s="151">
        <f t="shared" si="0"/>
        <v>0</v>
      </c>
      <c r="H7" s="48">
        <f t="shared" ref="H7:H70" si="11">IF(G7&gt;0,G7*3.087%,0)</f>
        <v>0</v>
      </c>
      <c r="I7" s="49">
        <f t="shared" si="4"/>
        <v>308221.42698400002</v>
      </c>
      <c r="J7" s="49">
        <f t="shared" si="1"/>
        <v>0</v>
      </c>
      <c r="K7" s="49">
        <f t="shared" si="5"/>
        <v>154427.62748928738</v>
      </c>
      <c r="L7" s="49">
        <f t="shared" si="6"/>
        <v>202702.7028</v>
      </c>
      <c r="M7" s="49">
        <f t="shared" si="7"/>
        <v>0</v>
      </c>
      <c r="N7" s="179">
        <v>0</v>
      </c>
      <c r="O7" s="179"/>
      <c r="P7" s="261">
        <f t="shared" si="2"/>
        <v>665352.03</v>
      </c>
      <c r="Q7" s="261"/>
      <c r="R7" s="34">
        <f t="shared" si="3"/>
        <v>0.03</v>
      </c>
      <c r="S7" s="3">
        <f t="shared" si="8"/>
        <v>3</v>
      </c>
      <c r="U7" t="s">
        <v>218</v>
      </c>
    </row>
    <row r="8" spans="1:23" ht="24.95" customHeight="1" x14ac:dyDescent="0.25">
      <c r="A8" s="42"/>
      <c r="B8" s="42">
        <f t="shared" si="9"/>
        <v>4</v>
      </c>
      <c r="C8" s="41" t="s">
        <v>174</v>
      </c>
      <c r="D8" s="46">
        <v>4.7000000000000002E-3</v>
      </c>
      <c r="E8" s="47">
        <v>679425.04</v>
      </c>
      <c r="F8" s="199">
        <v>664000</v>
      </c>
      <c r="G8" s="151">
        <f t="shared" si="0"/>
        <v>15425.040000000037</v>
      </c>
      <c r="H8" s="48">
        <f t="shared" si="11"/>
        <v>476.17098480000118</v>
      </c>
      <c r="I8" s="49">
        <f t="shared" si="4"/>
        <v>314921.892788</v>
      </c>
      <c r="J8" s="49">
        <f t="shared" si="1"/>
        <v>0</v>
      </c>
      <c r="K8" s="49">
        <f t="shared" si="5"/>
        <v>154427.62748928738</v>
      </c>
      <c r="L8" s="49">
        <f t="shared" si="6"/>
        <v>202702.7028</v>
      </c>
      <c r="M8" s="49">
        <f t="shared" si="7"/>
        <v>0</v>
      </c>
      <c r="N8" s="179">
        <v>0</v>
      </c>
      <c r="O8" s="179"/>
      <c r="P8" s="261">
        <f t="shared" si="2"/>
        <v>687953.04</v>
      </c>
      <c r="Q8" s="261"/>
      <c r="R8" s="34">
        <f t="shared" si="3"/>
        <v>0.04</v>
      </c>
      <c r="S8" s="3">
        <f t="shared" si="8"/>
        <v>4</v>
      </c>
    </row>
    <row r="9" spans="1:23" ht="24.95" customHeight="1" x14ac:dyDescent="0.25">
      <c r="A9" s="42"/>
      <c r="B9" s="42">
        <f t="shared" si="9"/>
        <v>5</v>
      </c>
      <c r="C9" s="41" t="s">
        <v>28</v>
      </c>
      <c r="D9" s="46">
        <v>4.7000000000000002E-3</v>
      </c>
      <c r="E9" s="47">
        <v>685984.05</v>
      </c>
      <c r="F9" s="199">
        <f>E9</f>
        <v>685984.05</v>
      </c>
      <c r="G9" s="151">
        <f t="shared" si="0"/>
        <v>0</v>
      </c>
      <c r="H9" s="48">
        <f t="shared" si="11"/>
        <v>0</v>
      </c>
      <c r="I9" s="49">
        <f t="shared" si="4"/>
        <v>314921.892788</v>
      </c>
      <c r="J9" s="49">
        <f t="shared" si="1"/>
        <v>0</v>
      </c>
      <c r="K9" s="49">
        <f t="shared" si="5"/>
        <v>154427.62748928738</v>
      </c>
      <c r="L9" s="49">
        <f t="shared" si="6"/>
        <v>202702.7028</v>
      </c>
      <c r="M9" s="49">
        <f t="shared" si="7"/>
        <v>0</v>
      </c>
      <c r="N9" s="179">
        <v>0</v>
      </c>
      <c r="O9" s="179"/>
      <c r="P9" s="261">
        <f t="shared" si="2"/>
        <v>672052.05</v>
      </c>
      <c r="Q9" s="261"/>
      <c r="R9" s="34">
        <f t="shared" si="3"/>
        <v>0.05</v>
      </c>
      <c r="S9" s="3">
        <f t="shared" si="8"/>
        <v>5</v>
      </c>
    </row>
    <row r="10" spans="1:23" ht="24.95" customHeight="1" x14ac:dyDescent="0.25">
      <c r="A10" s="42"/>
      <c r="B10" s="42">
        <f t="shared" si="9"/>
        <v>6</v>
      </c>
      <c r="C10" s="41" t="s">
        <v>29</v>
      </c>
      <c r="D10" s="46">
        <v>4.4999999999999997E-3</v>
      </c>
      <c r="E10" s="47">
        <v>672185.06</v>
      </c>
      <c r="F10" s="199">
        <f>E10</f>
        <v>672185.06</v>
      </c>
      <c r="G10" s="151">
        <f t="shared" si="0"/>
        <v>0</v>
      </c>
      <c r="H10" s="48">
        <f t="shared" si="11"/>
        <v>0</v>
      </c>
      <c r="I10" s="49">
        <f t="shared" si="4"/>
        <v>301520.96117999998</v>
      </c>
      <c r="J10" s="49">
        <f t="shared" si="1"/>
        <v>0</v>
      </c>
      <c r="K10" s="49">
        <f t="shared" si="5"/>
        <v>154427.62748928738</v>
      </c>
      <c r="L10" s="49">
        <f t="shared" si="6"/>
        <v>202702.7028</v>
      </c>
      <c r="M10" s="49">
        <f t="shared" si="7"/>
        <v>0</v>
      </c>
      <c r="N10" s="179">
        <v>0</v>
      </c>
      <c r="O10" s="179"/>
      <c r="P10" s="261">
        <f t="shared" si="2"/>
        <v>658651.06000000006</v>
      </c>
      <c r="Q10" s="261"/>
      <c r="R10" s="34">
        <f t="shared" si="3"/>
        <v>0.06</v>
      </c>
      <c r="S10" s="3">
        <f t="shared" si="8"/>
        <v>6</v>
      </c>
      <c r="U10" t="s">
        <v>206</v>
      </c>
    </row>
    <row r="11" spans="1:23" ht="24.95" customHeight="1" x14ac:dyDescent="0.25">
      <c r="A11" s="42"/>
      <c r="B11" s="42">
        <f t="shared" si="9"/>
        <v>7</v>
      </c>
      <c r="C11" s="41" t="s">
        <v>30</v>
      </c>
      <c r="D11" s="46">
        <v>4.3E-3</v>
      </c>
      <c r="E11" s="47">
        <v>1341272.07</v>
      </c>
      <c r="F11" s="199">
        <v>670000</v>
      </c>
      <c r="G11" s="151">
        <f t="shared" si="0"/>
        <v>671272.07000000007</v>
      </c>
      <c r="H11" s="48">
        <f t="shared" si="11"/>
        <v>20722.168800900003</v>
      </c>
      <c r="I11" s="49">
        <f t="shared" si="4"/>
        <v>288120.02957199997</v>
      </c>
      <c r="J11" s="49">
        <f t="shared" si="1"/>
        <v>0</v>
      </c>
      <c r="K11" s="49">
        <f t="shared" si="5"/>
        <v>154427.62748928738</v>
      </c>
      <c r="L11" s="49">
        <f t="shared" si="6"/>
        <v>202702.7028</v>
      </c>
      <c r="M11" s="49">
        <f t="shared" si="7"/>
        <v>0</v>
      </c>
      <c r="N11" s="179">
        <v>0</v>
      </c>
      <c r="O11" s="179"/>
      <c r="P11" s="261">
        <f t="shared" si="2"/>
        <v>1337245.07</v>
      </c>
      <c r="Q11" s="261"/>
      <c r="R11" s="34">
        <f t="shared" si="3"/>
        <v>7.0000000000000007E-2</v>
      </c>
      <c r="S11" s="3">
        <f t="shared" si="8"/>
        <v>7</v>
      </c>
      <c r="T11" t="s">
        <v>363</v>
      </c>
    </row>
    <row r="12" spans="1:23" ht="24.95" customHeight="1" x14ac:dyDescent="0.25">
      <c r="A12" s="42"/>
      <c r="B12" s="42">
        <f t="shared" si="9"/>
        <v>8</v>
      </c>
      <c r="C12" s="41" t="s">
        <v>31</v>
      </c>
      <c r="D12" s="46">
        <v>4.7000000000000002E-3</v>
      </c>
      <c r="E12" s="47">
        <v>685422.07999999996</v>
      </c>
      <c r="F12" s="199">
        <f>685500</f>
        <v>685500</v>
      </c>
      <c r="G12" s="151">
        <f t="shared" si="0"/>
        <v>-77.92000000004191</v>
      </c>
      <c r="H12" s="48">
        <f t="shared" si="11"/>
        <v>0</v>
      </c>
      <c r="I12" s="49">
        <f t="shared" si="4"/>
        <v>314921.892788</v>
      </c>
      <c r="J12" s="49">
        <f t="shared" si="1"/>
        <v>0</v>
      </c>
      <c r="K12" s="49">
        <f t="shared" si="5"/>
        <v>154427.62748928738</v>
      </c>
      <c r="L12" s="49">
        <f t="shared" si="6"/>
        <v>202702.7028</v>
      </c>
      <c r="M12" s="49">
        <f t="shared" si="7"/>
        <v>0</v>
      </c>
      <c r="N12" s="179">
        <v>0</v>
      </c>
      <c r="O12" s="179"/>
      <c r="P12" s="261">
        <f t="shared" si="2"/>
        <v>671974.08</v>
      </c>
      <c r="Q12" s="261"/>
      <c r="R12" s="34">
        <f t="shared" si="3"/>
        <v>0.08</v>
      </c>
      <c r="S12" s="3">
        <f t="shared" si="8"/>
        <v>8</v>
      </c>
      <c r="T12" t="s">
        <v>371</v>
      </c>
    </row>
    <row r="13" spans="1:23" ht="24.95" customHeight="1" x14ac:dyDescent="0.25">
      <c r="A13" s="42"/>
      <c r="B13" s="42">
        <f t="shared" si="9"/>
        <v>9</v>
      </c>
      <c r="C13" s="41" t="s">
        <v>32</v>
      </c>
      <c r="D13" s="46">
        <v>4.7000000000000002E-3</v>
      </c>
      <c r="E13" s="47">
        <v>3351931.09</v>
      </c>
      <c r="F13" s="199"/>
      <c r="G13" s="151">
        <f t="shared" si="0"/>
        <v>3351931.09</v>
      </c>
      <c r="H13" s="48">
        <f t="shared" si="11"/>
        <v>103474.1127483</v>
      </c>
      <c r="I13" s="49">
        <f t="shared" si="4"/>
        <v>314921.892788</v>
      </c>
      <c r="J13" s="49">
        <f t="shared" si="1"/>
        <v>0</v>
      </c>
      <c r="K13" s="49">
        <f t="shared" si="5"/>
        <v>154427.62748928738</v>
      </c>
      <c r="L13" s="49">
        <f t="shared" si="6"/>
        <v>202702.7028</v>
      </c>
      <c r="M13" s="49">
        <v>59274</v>
      </c>
      <c r="N13" s="179">
        <f>(I13+K13)/2</f>
        <v>234674.76013864367</v>
      </c>
      <c r="O13" s="179"/>
      <c r="P13" s="261">
        <f t="shared" si="2"/>
        <v>4421406.09</v>
      </c>
      <c r="Q13" s="261"/>
      <c r="R13" s="34">
        <f t="shared" si="3"/>
        <v>0.09</v>
      </c>
      <c r="S13" s="3">
        <f t="shared" si="8"/>
        <v>9</v>
      </c>
    </row>
    <row r="14" spans="1:23" ht="24.95" customHeight="1" x14ac:dyDescent="0.25">
      <c r="A14" s="42"/>
      <c r="B14" s="42">
        <f t="shared" si="9"/>
        <v>10</v>
      </c>
      <c r="C14" s="41" t="s">
        <v>33</v>
      </c>
      <c r="D14" s="46">
        <v>4.7000000000000002E-3</v>
      </c>
      <c r="E14" s="47">
        <v>685984.1</v>
      </c>
      <c r="F14" s="199">
        <f t="shared" si="10"/>
        <v>685984.1</v>
      </c>
      <c r="G14" s="151">
        <f t="shared" si="0"/>
        <v>0</v>
      </c>
      <c r="H14" s="48">
        <f t="shared" si="11"/>
        <v>0</v>
      </c>
      <c r="I14" s="49">
        <f t="shared" si="4"/>
        <v>314921.892788</v>
      </c>
      <c r="J14" s="49">
        <f t="shared" si="1"/>
        <v>0</v>
      </c>
      <c r="K14" s="49">
        <f t="shared" si="5"/>
        <v>154427.62748928738</v>
      </c>
      <c r="L14" s="49">
        <f t="shared" si="6"/>
        <v>202702.7028</v>
      </c>
      <c r="M14" s="49">
        <f t="shared" si="7"/>
        <v>0</v>
      </c>
      <c r="N14" s="179">
        <v>0</v>
      </c>
      <c r="O14" s="179"/>
      <c r="P14" s="261">
        <f t="shared" si="2"/>
        <v>672052.1</v>
      </c>
      <c r="Q14" s="261"/>
      <c r="R14" s="34">
        <f t="shared" si="3"/>
        <v>0.1</v>
      </c>
      <c r="S14" s="3">
        <f t="shared" si="8"/>
        <v>10</v>
      </c>
      <c r="T14" t="s">
        <v>266</v>
      </c>
    </row>
    <row r="15" spans="1:23" ht="24.95" customHeight="1" x14ac:dyDescent="0.25">
      <c r="A15" s="42"/>
      <c r="B15" s="42">
        <f t="shared" si="9"/>
        <v>11</v>
      </c>
      <c r="C15" s="41" t="s">
        <v>34</v>
      </c>
      <c r="D15" s="46">
        <v>4.7000000000000002E-3</v>
      </c>
      <c r="E15" s="47">
        <v>1369905.11</v>
      </c>
      <c r="F15" s="47">
        <f>685981+663440.66+20483+700000</f>
        <v>2069904.6600000001</v>
      </c>
      <c r="G15" s="151">
        <f t="shared" si="0"/>
        <v>-699999.55</v>
      </c>
      <c r="H15" s="48">
        <f t="shared" si="11"/>
        <v>0</v>
      </c>
      <c r="I15" s="49">
        <f t="shared" si="4"/>
        <v>314921.892788</v>
      </c>
      <c r="J15" s="49">
        <f t="shared" si="1"/>
        <v>0</v>
      </c>
      <c r="K15" s="49">
        <f t="shared" si="5"/>
        <v>154427.62748928738</v>
      </c>
      <c r="L15" s="49">
        <f t="shared" si="6"/>
        <v>202702.7028</v>
      </c>
      <c r="M15" s="49">
        <f t="shared" si="7"/>
        <v>0</v>
      </c>
      <c r="N15" s="179">
        <v>0</v>
      </c>
      <c r="O15" s="179"/>
      <c r="P15" s="261">
        <f t="shared" si="2"/>
        <v>-27946.89</v>
      </c>
      <c r="Q15" s="261"/>
      <c r="R15" s="34">
        <f t="shared" si="3"/>
        <v>0.11</v>
      </c>
      <c r="S15" s="3">
        <f t="shared" si="8"/>
        <v>11</v>
      </c>
      <c r="T15" t="s">
        <v>376</v>
      </c>
    </row>
    <row r="16" spans="1:23" ht="24.95" customHeight="1" x14ac:dyDescent="0.25">
      <c r="A16" s="42"/>
      <c r="B16" s="42">
        <f t="shared" si="9"/>
        <v>12</v>
      </c>
      <c r="C16" s="41" t="s">
        <v>35</v>
      </c>
      <c r="D16" s="46">
        <v>4.3E-3</v>
      </c>
      <c r="E16" s="47">
        <v>1242788.1200000001</v>
      </c>
      <c r="F16" s="199"/>
      <c r="G16" s="151">
        <f t="shared" si="0"/>
        <v>1242788.1200000001</v>
      </c>
      <c r="H16" s="48">
        <f t="shared" si="11"/>
        <v>38364.869264400004</v>
      </c>
      <c r="I16" s="49">
        <f t="shared" si="4"/>
        <v>288120.02957199997</v>
      </c>
      <c r="J16" s="49">
        <f t="shared" si="1"/>
        <v>0</v>
      </c>
      <c r="K16" s="49">
        <f t="shared" si="5"/>
        <v>154427.62748928738</v>
      </c>
      <c r="L16" s="49">
        <f t="shared" si="6"/>
        <v>202702.7028</v>
      </c>
      <c r="M16" s="49">
        <f t="shared" si="7"/>
        <v>0</v>
      </c>
      <c r="N16" s="179">
        <v>0</v>
      </c>
      <c r="O16" s="179"/>
      <c r="P16" s="261">
        <f t="shared" si="2"/>
        <v>1926403.12</v>
      </c>
      <c r="Q16" s="261"/>
      <c r="R16" s="34">
        <f t="shared" si="3"/>
        <v>0.12</v>
      </c>
      <c r="S16" s="3">
        <f t="shared" si="8"/>
        <v>12</v>
      </c>
    </row>
    <row r="17" spans="1:21" ht="24.95" customHeight="1" x14ac:dyDescent="0.25">
      <c r="A17" s="42"/>
      <c r="B17" s="41">
        <f t="shared" si="9"/>
        <v>13</v>
      </c>
      <c r="C17" s="41" t="s">
        <v>177</v>
      </c>
      <c r="D17" s="46">
        <v>4.5999999999999999E-3</v>
      </c>
      <c r="E17" s="47">
        <v>960899.13</v>
      </c>
      <c r="F17" s="199">
        <f>E17</f>
        <v>960899.13</v>
      </c>
      <c r="G17" s="151">
        <f t="shared" si="0"/>
        <v>0</v>
      </c>
      <c r="H17" s="48">
        <f t="shared" si="11"/>
        <v>0</v>
      </c>
      <c r="I17" s="49">
        <f t="shared" si="4"/>
        <v>308221.42698400002</v>
      </c>
      <c r="J17" s="49">
        <f t="shared" si="1"/>
        <v>0</v>
      </c>
      <c r="K17" s="49">
        <f t="shared" si="5"/>
        <v>154427.62748928738</v>
      </c>
      <c r="L17" s="49">
        <f t="shared" si="6"/>
        <v>202702.7028</v>
      </c>
      <c r="M17" s="49">
        <v>58013</v>
      </c>
      <c r="N17" s="179">
        <f>(I17+K17)/2</f>
        <v>231324.52723664371</v>
      </c>
      <c r="O17" s="179"/>
      <c r="P17" s="261">
        <f t="shared" si="2"/>
        <v>954689.13</v>
      </c>
      <c r="Q17" s="261"/>
      <c r="R17" s="34">
        <f t="shared" si="3"/>
        <v>0.13</v>
      </c>
      <c r="S17" s="3">
        <f t="shared" si="8"/>
        <v>13</v>
      </c>
    </row>
    <row r="18" spans="1:21" ht="24.95" customHeight="1" x14ac:dyDescent="0.25">
      <c r="A18" s="42"/>
      <c r="B18" s="42">
        <f t="shared" si="9"/>
        <v>14</v>
      </c>
      <c r="C18" s="41" t="s">
        <v>36</v>
      </c>
      <c r="D18" s="46">
        <v>4.7000000000000002E-3</v>
      </c>
      <c r="E18" s="47">
        <v>685985.14</v>
      </c>
      <c r="F18" s="199">
        <v>663441</v>
      </c>
      <c r="G18" s="151">
        <f t="shared" si="0"/>
        <v>22544.140000000014</v>
      </c>
      <c r="H18" s="48">
        <f t="shared" si="11"/>
        <v>695.93760180000049</v>
      </c>
      <c r="I18" s="49">
        <f t="shared" si="4"/>
        <v>314921.892788</v>
      </c>
      <c r="J18" s="49">
        <f t="shared" si="1"/>
        <v>0</v>
      </c>
      <c r="K18" s="49">
        <f t="shared" si="5"/>
        <v>154427.62748928738</v>
      </c>
      <c r="L18" s="49">
        <f t="shared" si="6"/>
        <v>202702.7028</v>
      </c>
      <c r="M18" s="49">
        <f t="shared" si="7"/>
        <v>0</v>
      </c>
      <c r="N18" s="179">
        <v>0</v>
      </c>
      <c r="O18" s="179"/>
      <c r="P18" s="261">
        <f t="shared" si="2"/>
        <v>695292.14</v>
      </c>
      <c r="Q18" s="261"/>
      <c r="R18" s="34">
        <f t="shared" si="3"/>
        <v>0.14000000000000001</v>
      </c>
      <c r="S18" s="3">
        <f t="shared" si="8"/>
        <v>14</v>
      </c>
      <c r="U18" t="s">
        <v>210</v>
      </c>
    </row>
    <row r="19" spans="1:21" ht="24.95" customHeight="1" x14ac:dyDescent="0.25">
      <c r="A19" s="42"/>
      <c r="B19" s="42">
        <f t="shared" si="9"/>
        <v>15</v>
      </c>
      <c r="C19" s="41" t="s">
        <v>37</v>
      </c>
      <c r="D19" s="46">
        <v>4.4000000000000003E-3</v>
      </c>
      <c r="E19" s="47">
        <v>763674.15</v>
      </c>
      <c r="F19" s="199"/>
      <c r="G19" s="151">
        <f t="shared" si="0"/>
        <v>763674.15</v>
      </c>
      <c r="H19" s="48">
        <f t="shared" si="11"/>
        <v>23574.621010500003</v>
      </c>
      <c r="I19" s="49">
        <f t="shared" si="4"/>
        <v>294820.49537600001</v>
      </c>
      <c r="J19" s="49">
        <f t="shared" si="1"/>
        <v>0</v>
      </c>
      <c r="K19" s="49">
        <f t="shared" si="5"/>
        <v>154427.62748928738</v>
      </c>
      <c r="L19" s="49">
        <f t="shared" si="6"/>
        <v>202702.7028</v>
      </c>
      <c r="M19" s="49">
        <f t="shared" si="7"/>
        <v>0</v>
      </c>
      <c r="N19" s="179">
        <v>0</v>
      </c>
      <c r="O19" s="179"/>
      <c r="P19" s="261">
        <f t="shared" si="2"/>
        <v>1439200.15</v>
      </c>
      <c r="Q19" s="261"/>
      <c r="R19" s="34">
        <f t="shared" si="3"/>
        <v>0.15</v>
      </c>
      <c r="S19" s="3">
        <f t="shared" si="8"/>
        <v>15</v>
      </c>
      <c r="T19" t="s">
        <v>242</v>
      </c>
    </row>
    <row r="20" spans="1:21" ht="24.95" customHeight="1" x14ac:dyDescent="0.25">
      <c r="A20" s="42"/>
      <c r="B20" s="42">
        <f t="shared" si="9"/>
        <v>16</v>
      </c>
      <c r="C20" s="41" t="s">
        <v>178</v>
      </c>
      <c r="D20" s="46">
        <v>4.5999999999999999E-3</v>
      </c>
      <c r="E20" s="47">
        <v>960899.16</v>
      </c>
      <c r="F20" s="199">
        <f t="shared" si="10"/>
        <v>960899.16</v>
      </c>
      <c r="G20" s="151">
        <f t="shared" si="0"/>
        <v>0</v>
      </c>
      <c r="H20" s="48">
        <f t="shared" si="11"/>
        <v>0</v>
      </c>
      <c r="I20" s="49">
        <f t="shared" si="4"/>
        <v>308221.42698400002</v>
      </c>
      <c r="J20" s="49">
        <f t="shared" si="1"/>
        <v>0</v>
      </c>
      <c r="K20" s="49">
        <f t="shared" si="5"/>
        <v>154427.62748928738</v>
      </c>
      <c r="L20" s="49">
        <f t="shared" si="6"/>
        <v>202702.7028</v>
      </c>
      <c r="M20" s="49">
        <v>58013</v>
      </c>
      <c r="N20" s="179">
        <f>(I20+K20)/2</f>
        <v>231324.52723664371</v>
      </c>
      <c r="O20" s="179"/>
      <c r="P20" s="261">
        <f t="shared" si="2"/>
        <v>954689.16</v>
      </c>
      <c r="Q20" s="261"/>
      <c r="R20" s="34">
        <f t="shared" si="3"/>
        <v>0.16</v>
      </c>
      <c r="S20" s="3">
        <f t="shared" si="8"/>
        <v>16</v>
      </c>
    </row>
    <row r="21" spans="1:21" ht="24.95" customHeight="1" x14ac:dyDescent="0.25">
      <c r="A21" s="42"/>
      <c r="B21" s="42">
        <f t="shared" si="9"/>
        <v>17</v>
      </c>
      <c r="C21" s="41" t="s">
        <v>38</v>
      </c>
      <c r="D21" s="46">
        <v>4.5999999999999999E-3</v>
      </c>
      <c r="E21" s="47">
        <v>678827.17</v>
      </c>
      <c r="F21" s="199"/>
      <c r="G21" s="151">
        <f t="shared" si="0"/>
        <v>678827.17</v>
      </c>
      <c r="H21" s="48">
        <f t="shared" si="11"/>
        <v>20955.394737900002</v>
      </c>
      <c r="I21" s="49">
        <f t="shared" si="4"/>
        <v>308221.42698400002</v>
      </c>
      <c r="J21" s="49">
        <f t="shared" si="1"/>
        <v>0</v>
      </c>
      <c r="K21" s="49">
        <f t="shared" si="5"/>
        <v>154427.62748928738</v>
      </c>
      <c r="L21" s="49">
        <f t="shared" si="6"/>
        <v>202702.7028</v>
      </c>
      <c r="M21" s="49">
        <f t="shared" si="7"/>
        <v>0</v>
      </c>
      <c r="N21" s="179">
        <v>0</v>
      </c>
      <c r="O21" s="179"/>
      <c r="P21" s="261">
        <f t="shared" si="2"/>
        <v>1365134.17</v>
      </c>
      <c r="Q21" s="261"/>
      <c r="R21" s="34">
        <f t="shared" si="3"/>
        <v>0.17</v>
      </c>
      <c r="S21" s="3">
        <f t="shared" si="8"/>
        <v>17</v>
      </c>
      <c r="T21" t="s">
        <v>229</v>
      </c>
    </row>
    <row r="22" spans="1:21" ht="24.95" customHeight="1" x14ac:dyDescent="0.25">
      <c r="A22" s="42"/>
      <c r="B22" s="42">
        <f t="shared" si="9"/>
        <v>18</v>
      </c>
      <c r="C22" s="41" t="s">
        <v>39</v>
      </c>
      <c r="D22" s="46">
        <v>4.5999999999999999E-3</v>
      </c>
      <c r="E22" s="47">
        <v>671879.18</v>
      </c>
      <c r="F22" s="199">
        <f>E22</f>
        <v>671879.18</v>
      </c>
      <c r="G22" s="151">
        <f t="shared" si="0"/>
        <v>0</v>
      </c>
      <c r="H22" s="48">
        <f t="shared" si="11"/>
        <v>0</v>
      </c>
      <c r="I22" s="49">
        <f t="shared" si="4"/>
        <v>308221.42698400002</v>
      </c>
      <c r="J22" s="49">
        <f t="shared" si="1"/>
        <v>0</v>
      </c>
      <c r="K22" s="49">
        <f t="shared" si="5"/>
        <v>154427.62748928738</v>
      </c>
      <c r="L22" s="49">
        <f t="shared" si="6"/>
        <v>202702.7028</v>
      </c>
      <c r="M22" s="49">
        <f t="shared" si="7"/>
        <v>0</v>
      </c>
      <c r="N22" s="179">
        <v>0</v>
      </c>
      <c r="O22" s="220"/>
      <c r="P22" s="261">
        <f t="shared" si="2"/>
        <v>665352.18000000005</v>
      </c>
      <c r="Q22" s="261"/>
      <c r="R22" s="34">
        <f t="shared" si="3"/>
        <v>0.18</v>
      </c>
      <c r="S22" s="3">
        <f t="shared" si="8"/>
        <v>18</v>
      </c>
      <c r="T22" t="s">
        <v>220</v>
      </c>
    </row>
    <row r="23" spans="1:21" ht="24.95" customHeight="1" x14ac:dyDescent="0.25">
      <c r="A23" s="42"/>
      <c r="B23" s="42">
        <f t="shared" si="9"/>
        <v>19</v>
      </c>
      <c r="C23" s="41" t="s">
        <v>40</v>
      </c>
      <c r="D23" s="46">
        <v>4.7000000000000002E-3</v>
      </c>
      <c r="E23" s="47">
        <v>685959.19</v>
      </c>
      <c r="F23" s="199">
        <v>686000</v>
      </c>
      <c r="G23" s="151">
        <f t="shared" si="0"/>
        <v>-40.810000000055879</v>
      </c>
      <c r="H23" s="48">
        <f t="shared" si="11"/>
        <v>0</v>
      </c>
      <c r="I23" s="49">
        <f t="shared" si="4"/>
        <v>314921.892788</v>
      </c>
      <c r="J23" s="49">
        <f t="shared" si="1"/>
        <v>0</v>
      </c>
      <c r="K23" s="49">
        <f t="shared" si="5"/>
        <v>154427.62748928738</v>
      </c>
      <c r="L23" s="49">
        <f t="shared" si="6"/>
        <v>202702.7028</v>
      </c>
      <c r="M23" s="49">
        <f t="shared" si="7"/>
        <v>0</v>
      </c>
      <c r="N23" s="179">
        <v>0</v>
      </c>
      <c r="O23" s="220"/>
      <c r="P23" s="261">
        <f t="shared" si="2"/>
        <v>672011.19</v>
      </c>
      <c r="Q23" s="261"/>
      <c r="R23" s="34">
        <f t="shared" si="3"/>
        <v>0.19</v>
      </c>
      <c r="S23" s="3">
        <f t="shared" si="8"/>
        <v>19</v>
      </c>
    </row>
    <row r="24" spans="1:21" ht="24.95" customHeight="1" x14ac:dyDescent="0.25">
      <c r="A24" s="42"/>
      <c r="B24" s="42">
        <f t="shared" si="9"/>
        <v>20</v>
      </c>
      <c r="C24" s="41" t="s">
        <v>41</v>
      </c>
      <c r="D24" s="46">
        <v>4.7000000000000002E-3</v>
      </c>
      <c r="E24" s="47">
        <v>685983.2</v>
      </c>
      <c r="F24" s="199">
        <f>E24</f>
        <v>685983.2</v>
      </c>
      <c r="G24" s="151">
        <f t="shared" si="0"/>
        <v>0</v>
      </c>
      <c r="H24" s="48">
        <f t="shared" si="11"/>
        <v>0</v>
      </c>
      <c r="I24" s="49">
        <f t="shared" si="4"/>
        <v>314921.892788</v>
      </c>
      <c r="J24" s="49">
        <f t="shared" si="1"/>
        <v>0</v>
      </c>
      <c r="K24" s="49">
        <f t="shared" si="5"/>
        <v>154427.62748928738</v>
      </c>
      <c r="L24" s="49">
        <f t="shared" si="6"/>
        <v>202702.7028</v>
      </c>
      <c r="M24" s="49">
        <f t="shared" si="7"/>
        <v>0</v>
      </c>
      <c r="N24" s="179">
        <v>0</v>
      </c>
      <c r="O24" s="220"/>
      <c r="P24" s="261">
        <f t="shared" si="2"/>
        <v>672052.2</v>
      </c>
      <c r="Q24" s="261"/>
      <c r="R24" s="34">
        <f t="shared" si="3"/>
        <v>0.2</v>
      </c>
      <c r="S24" s="3">
        <f t="shared" si="8"/>
        <v>20</v>
      </c>
    </row>
    <row r="25" spans="1:21" ht="24.95" customHeight="1" x14ac:dyDescent="0.25">
      <c r="A25" s="42"/>
      <c r="B25" s="42">
        <f t="shared" si="9"/>
        <v>21</v>
      </c>
      <c r="C25" s="41" t="s">
        <v>42</v>
      </c>
      <c r="D25" s="46">
        <v>4.7000000000000002E-3</v>
      </c>
      <c r="E25" s="47">
        <v>685984.21</v>
      </c>
      <c r="F25" s="199">
        <f t="shared" si="10"/>
        <v>685984.21</v>
      </c>
      <c r="G25" s="151">
        <f t="shared" si="0"/>
        <v>0</v>
      </c>
      <c r="H25" s="48">
        <f t="shared" si="11"/>
        <v>0</v>
      </c>
      <c r="I25" s="49">
        <f t="shared" si="4"/>
        <v>314921.892788</v>
      </c>
      <c r="J25" s="49">
        <f t="shared" si="1"/>
        <v>0</v>
      </c>
      <c r="K25" s="49">
        <f t="shared" si="5"/>
        <v>154427.62748928738</v>
      </c>
      <c r="L25" s="49">
        <f t="shared" si="6"/>
        <v>202702.7028</v>
      </c>
      <c r="M25" s="49">
        <f t="shared" si="7"/>
        <v>0</v>
      </c>
      <c r="N25" s="179">
        <v>0</v>
      </c>
      <c r="O25" s="220"/>
      <c r="P25" s="261">
        <f t="shared" si="2"/>
        <v>672052.21</v>
      </c>
      <c r="Q25" s="261"/>
      <c r="R25" s="34">
        <f t="shared" si="3"/>
        <v>0.21</v>
      </c>
      <c r="S25" s="3">
        <f t="shared" si="8"/>
        <v>21</v>
      </c>
      <c r="U25" t="s">
        <v>219</v>
      </c>
    </row>
    <row r="26" spans="1:21" ht="24.95" customHeight="1" x14ac:dyDescent="0.25">
      <c r="A26" s="42"/>
      <c r="B26" s="42">
        <f t="shared" si="9"/>
        <v>22</v>
      </c>
      <c r="C26" s="41" t="s">
        <v>43</v>
      </c>
      <c r="D26" s="46">
        <v>4.7000000000000002E-3</v>
      </c>
      <c r="E26" s="47">
        <v>1385700.22</v>
      </c>
      <c r="F26" s="199">
        <f>722259.57+663440.65</f>
        <v>1385700.22</v>
      </c>
      <c r="G26" s="151">
        <f t="shared" si="0"/>
        <v>0</v>
      </c>
      <c r="H26" s="48">
        <f t="shared" si="11"/>
        <v>0</v>
      </c>
      <c r="I26" s="49">
        <f t="shared" si="4"/>
        <v>314921.892788</v>
      </c>
      <c r="J26" s="49">
        <f t="shared" si="1"/>
        <v>0</v>
      </c>
      <c r="K26" s="49">
        <f t="shared" si="5"/>
        <v>154427.62748928738</v>
      </c>
      <c r="L26" s="49">
        <f t="shared" si="6"/>
        <v>202702.7028</v>
      </c>
      <c r="M26" s="49">
        <f t="shared" si="7"/>
        <v>0</v>
      </c>
      <c r="N26" s="179">
        <v>0</v>
      </c>
      <c r="O26" s="220"/>
      <c r="P26" s="261">
        <f t="shared" si="2"/>
        <v>672052.22</v>
      </c>
      <c r="Q26" s="261"/>
      <c r="R26" s="34">
        <f t="shared" si="3"/>
        <v>0.22</v>
      </c>
      <c r="S26" s="3">
        <f t="shared" si="8"/>
        <v>22</v>
      </c>
      <c r="T26" t="s">
        <v>359</v>
      </c>
    </row>
    <row r="27" spans="1:21" ht="24.95" customHeight="1" x14ac:dyDescent="0.25">
      <c r="A27" s="42"/>
      <c r="B27" s="42">
        <f t="shared" si="9"/>
        <v>23</v>
      </c>
      <c r="C27" s="41" t="s">
        <v>44</v>
      </c>
      <c r="D27" s="46">
        <v>4.7000000000000002E-3</v>
      </c>
      <c r="E27" s="47">
        <v>1369905.23</v>
      </c>
      <c r="F27" s="199"/>
      <c r="G27" s="151">
        <f t="shared" si="0"/>
        <v>1369905.23</v>
      </c>
      <c r="H27" s="48">
        <f t="shared" si="11"/>
        <v>42288.974450100002</v>
      </c>
      <c r="I27" s="49">
        <f t="shared" si="4"/>
        <v>314921.892788</v>
      </c>
      <c r="J27" s="49">
        <f t="shared" si="1"/>
        <v>0</v>
      </c>
      <c r="K27" s="49">
        <f t="shared" si="5"/>
        <v>154427.62748928738</v>
      </c>
      <c r="L27" s="49">
        <f t="shared" si="6"/>
        <v>202702.7028</v>
      </c>
      <c r="M27" s="49">
        <f t="shared" si="7"/>
        <v>0</v>
      </c>
      <c r="N27" s="179">
        <v>0</v>
      </c>
      <c r="O27" s="220">
        <f>I27/2</f>
        <v>157460.946394</v>
      </c>
      <c r="P27" s="261">
        <f t="shared" si="2"/>
        <v>2241707.23</v>
      </c>
      <c r="Q27" s="261"/>
      <c r="R27" s="34">
        <f t="shared" si="3"/>
        <v>0.23</v>
      </c>
      <c r="S27" s="3">
        <f t="shared" si="8"/>
        <v>23</v>
      </c>
    </row>
    <row r="28" spans="1:21" ht="24.95" customHeight="1" x14ac:dyDescent="0.25">
      <c r="A28" s="42"/>
      <c r="B28" s="42">
        <f t="shared" si="9"/>
        <v>24</v>
      </c>
      <c r="C28" s="41" t="s">
        <v>45</v>
      </c>
      <c r="D28" s="46">
        <v>4.7000000000000002E-3</v>
      </c>
      <c r="E28" s="47">
        <v>1605256.24</v>
      </c>
      <c r="F28" s="199"/>
      <c r="G28" s="151">
        <f t="shared" si="0"/>
        <v>1605256.24</v>
      </c>
      <c r="H28" s="48">
        <f t="shared" si="11"/>
        <v>49554.260128800001</v>
      </c>
      <c r="I28" s="49">
        <f t="shared" si="4"/>
        <v>314921.892788</v>
      </c>
      <c r="J28" s="49">
        <f t="shared" si="1"/>
        <v>0</v>
      </c>
      <c r="K28" s="49">
        <f t="shared" si="5"/>
        <v>154427.62748928738</v>
      </c>
      <c r="L28" s="49">
        <f t="shared" si="6"/>
        <v>202702.7028</v>
      </c>
      <c r="M28" s="49">
        <f t="shared" si="7"/>
        <v>0</v>
      </c>
      <c r="N28" s="179">
        <v>0</v>
      </c>
      <c r="O28" s="220"/>
      <c r="P28" s="261">
        <f t="shared" si="2"/>
        <v>2326863.2400000002</v>
      </c>
      <c r="Q28" s="261"/>
      <c r="R28" s="34">
        <f t="shared" si="3"/>
        <v>0.24</v>
      </c>
      <c r="S28" s="3">
        <f t="shared" si="8"/>
        <v>24</v>
      </c>
    </row>
    <row r="29" spans="1:21" ht="24.95" customHeight="1" x14ac:dyDescent="0.25">
      <c r="A29" s="42"/>
      <c r="B29" s="42">
        <f t="shared" si="9"/>
        <v>25</v>
      </c>
      <c r="C29" s="41" t="s">
        <v>46</v>
      </c>
      <c r="D29" s="46">
        <v>4.7999999999999996E-3</v>
      </c>
      <c r="E29" s="47">
        <v>2112112.25</v>
      </c>
      <c r="F29" s="199">
        <v>1376728.75</v>
      </c>
      <c r="G29" s="151">
        <f t="shared" si="0"/>
        <v>735383.5</v>
      </c>
      <c r="H29" s="48">
        <f t="shared" si="11"/>
        <v>22701.288645000001</v>
      </c>
      <c r="I29" s="49">
        <f t="shared" si="4"/>
        <v>321622.35859199998</v>
      </c>
      <c r="J29" s="49">
        <f t="shared" si="1"/>
        <v>0</v>
      </c>
      <c r="K29" s="49">
        <f t="shared" si="5"/>
        <v>154427.62748928738</v>
      </c>
      <c r="L29" s="49">
        <f t="shared" si="6"/>
        <v>202702.7028</v>
      </c>
      <c r="M29" s="49">
        <f t="shared" si="7"/>
        <v>0</v>
      </c>
      <c r="N29" s="179">
        <v>0</v>
      </c>
      <c r="O29" s="220"/>
      <c r="P29" s="261">
        <f t="shared" si="2"/>
        <v>1436837.25</v>
      </c>
      <c r="Q29" s="261"/>
      <c r="R29" s="34">
        <f t="shared" si="3"/>
        <v>0.25</v>
      </c>
      <c r="S29" s="3">
        <f t="shared" si="8"/>
        <v>25</v>
      </c>
    </row>
    <row r="30" spans="1:21" ht="24.95" customHeight="1" x14ac:dyDescent="0.25">
      <c r="A30" s="42"/>
      <c r="B30" s="42">
        <f t="shared" si="9"/>
        <v>26</v>
      </c>
      <c r="C30" s="41" t="s">
        <v>47</v>
      </c>
      <c r="D30" s="46">
        <v>4.7999999999999996E-3</v>
      </c>
      <c r="E30" s="47">
        <v>692883.26</v>
      </c>
      <c r="F30" s="199">
        <v>698890</v>
      </c>
      <c r="G30" s="151">
        <f t="shared" si="0"/>
        <v>-6006.7399999999907</v>
      </c>
      <c r="H30" s="48">
        <f t="shared" si="11"/>
        <v>0</v>
      </c>
      <c r="I30" s="49">
        <f t="shared" si="4"/>
        <v>321622.35859199998</v>
      </c>
      <c r="J30" s="49">
        <f t="shared" si="1"/>
        <v>0</v>
      </c>
      <c r="K30" s="49">
        <f t="shared" si="5"/>
        <v>154427.62748928738</v>
      </c>
      <c r="L30" s="49">
        <f t="shared" si="6"/>
        <v>202702.7028</v>
      </c>
      <c r="M30" s="49">
        <f t="shared" si="7"/>
        <v>0</v>
      </c>
      <c r="N30" s="179">
        <v>0</v>
      </c>
      <c r="O30" s="220"/>
      <c r="P30" s="261">
        <f t="shared" si="2"/>
        <v>672746.26</v>
      </c>
      <c r="Q30" s="261"/>
      <c r="R30" s="34">
        <f t="shared" si="3"/>
        <v>0.26</v>
      </c>
      <c r="S30" s="3">
        <f t="shared" si="8"/>
        <v>26</v>
      </c>
      <c r="U30" t="s">
        <v>212</v>
      </c>
    </row>
    <row r="31" spans="1:21" ht="24.95" customHeight="1" x14ac:dyDescent="0.25">
      <c r="A31" s="42"/>
      <c r="B31" s="42">
        <f t="shared" si="9"/>
        <v>27</v>
      </c>
      <c r="C31" s="41" t="s">
        <v>48</v>
      </c>
      <c r="D31" s="46">
        <v>4.7999999999999996E-3</v>
      </c>
      <c r="E31" s="47">
        <v>1383862.27</v>
      </c>
      <c r="F31" s="199">
        <f>670286.95+713575.27</f>
        <v>1383862.22</v>
      </c>
      <c r="G31" s="151">
        <f t="shared" si="0"/>
        <v>5.0000000046566129E-2</v>
      </c>
      <c r="H31" s="48">
        <f t="shared" si="11"/>
        <v>1.5435000014374966E-3</v>
      </c>
      <c r="I31" s="49">
        <f t="shared" si="4"/>
        <v>321622.35859199998</v>
      </c>
      <c r="J31" s="49">
        <f t="shared" si="1"/>
        <v>0</v>
      </c>
      <c r="K31" s="49">
        <f t="shared" si="5"/>
        <v>154427.62748928738</v>
      </c>
      <c r="L31" s="49">
        <f t="shared" si="6"/>
        <v>202702.7028</v>
      </c>
      <c r="M31" s="49">
        <f t="shared" si="7"/>
        <v>0</v>
      </c>
      <c r="N31" s="179">
        <v>0</v>
      </c>
      <c r="O31" s="220"/>
      <c r="P31" s="261">
        <f t="shared" si="2"/>
        <v>678753.27</v>
      </c>
      <c r="Q31" s="261"/>
      <c r="R31" s="34">
        <f t="shared" si="3"/>
        <v>0.27</v>
      </c>
      <c r="S31" s="3">
        <f t="shared" si="8"/>
        <v>27</v>
      </c>
    </row>
    <row r="32" spans="1:21" ht="24.95" customHeight="1" x14ac:dyDescent="0.25">
      <c r="A32" s="42"/>
      <c r="B32" s="42">
        <f t="shared" si="9"/>
        <v>28</v>
      </c>
      <c r="C32" s="41" t="s">
        <v>49</v>
      </c>
      <c r="D32" s="46">
        <v>4.4999999999999997E-3</v>
      </c>
      <c r="E32" s="47">
        <v>1949216.28</v>
      </c>
      <c r="F32" s="199"/>
      <c r="G32" s="151">
        <f t="shared" si="0"/>
        <v>1949216.28</v>
      </c>
      <c r="H32" s="48">
        <f t="shared" si="11"/>
        <v>60172.306563600003</v>
      </c>
      <c r="I32" s="49">
        <f t="shared" si="4"/>
        <v>301520.96117999998</v>
      </c>
      <c r="J32" s="49">
        <f t="shared" si="1"/>
        <v>0</v>
      </c>
      <c r="K32" s="49">
        <f t="shared" si="5"/>
        <v>154427.62748928738</v>
      </c>
      <c r="L32" s="49">
        <f t="shared" si="6"/>
        <v>202702.7028</v>
      </c>
      <c r="M32" s="49">
        <f t="shared" si="7"/>
        <v>0</v>
      </c>
      <c r="N32" s="179">
        <v>0</v>
      </c>
      <c r="O32" s="220"/>
      <c r="P32" s="261">
        <f t="shared" si="2"/>
        <v>2668040.2799999998</v>
      </c>
      <c r="Q32" s="261"/>
      <c r="R32" s="34">
        <f t="shared" si="3"/>
        <v>0.28000000000000003</v>
      </c>
      <c r="S32" s="3">
        <f t="shared" si="8"/>
        <v>28</v>
      </c>
      <c r="T32" t="s">
        <v>215</v>
      </c>
    </row>
    <row r="33" spans="1:20" ht="24.95" customHeight="1" x14ac:dyDescent="0.25">
      <c r="A33" s="42"/>
      <c r="B33" s="42">
        <f t="shared" si="9"/>
        <v>29</v>
      </c>
      <c r="C33" s="41" t="s">
        <v>50</v>
      </c>
      <c r="D33" s="46">
        <v>4.7999999999999996E-3</v>
      </c>
      <c r="E33" s="47">
        <v>692883.29</v>
      </c>
      <c r="F33" s="199">
        <f t="shared" si="10"/>
        <v>692883.29</v>
      </c>
      <c r="G33" s="151">
        <f t="shared" si="0"/>
        <v>0</v>
      </c>
      <c r="H33" s="48">
        <f t="shared" si="11"/>
        <v>0</v>
      </c>
      <c r="I33" s="49">
        <f t="shared" si="4"/>
        <v>321622.35859199998</v>
      </c>
      <c r="J33" s="49">
        <f t="shared" si="1"/>
        <v>0</v>
      </c>
      <c r="K33" s="49">
        <f t="shared" si="5"/>
        <v>154427.62748928738</v>
      </c>
      <c r="L33" s="49">
        <f t="shared" si="6"/>
        <v>202702.7028</v>
      </c>
      <c r="M33" s="49">
        <f t="shared" si="7"/>
        <v>0</v>
      </c>
      <c r="N33" s="179">
        <v>0</v>
      </c>
      <c r="O33" s="220"/>
      <c r="P33" s="261">
        <f t="shared" si="2"/>
        <v>678753.29</v>
      </c>
      <c r="Q33" s="261"/>
      <c r="R33" s="34">
        <f t="shared" si="3"/>
        <v>0.28999999999999998</v>
      </c>
      <c r="S33" s="3">
        <f t="shared" si="8"/>
        <v>29</v>
      </c>
      <c r="T33" t="s">
        <v>225</v>
      </c>
    </row>
    <row r="34" spans="1:20" ht="24.95" customHeight="1" x14ac:dyDescent="0.25">
      <c r="A34" s="42"/>
      <c r="B34" s="42">
        <f t="shared" si="9"/>
        <v>30</v>
      </c>
      <c r="C34" s="41" t="s">
        <v>51</v>
      </c>
      <c r="D34" s="46">
        <v>4.4999999999999997E-3</v>
      </c>
      <c r="E34" s="47">
        <v>672185.3</v>
      </c>
      <c r="F34" s="199">
        <f>E34</f>
        <v>672185.3</v>
      </c>
      <c r="G34" s="151">
        <f t="shared" si="0"/>
        <v>0</v>
      </c>
      <c r="H34" s="48">
        <f t="shared" si="11"/>
        <v>0</v>
      </c>
      <c r="I34" s="49">
        <f t="shared" si="4"/>
        <v>301520.96117999998</v>
      </c>
      <c r="J34" s="49">
        <f t="shared" si="1"/>
        <v>0</v>
      </c>
      <c r="K34" s="49">
        <f t="shared" si="5"/>
        <v>154427.62748928738</v>
      </c>
      <c r="L34" s="49">
        <f t="shared" si="6"/>
        <v>202702.7028</v>
      </c>
      <c r="M34" s="49">
        <f t="shared" si="7"/>
        <v>0</v>
      </c>
      <c r="N34" s="179">
        <v>0</v>
      </c>
      <c r="O34" s="220"/>
      <c r="P34" s="261">
        <f t="shared" si="2"/>
        <v>658651.30000000005</v>
      </c>
      <c r="Q34" s="261"/>
      <c r="R34" s="34">
        <f t="shared" si="3"/>
        <v>0.3</v>
      </c>
      <c r="S34" s="3">
        <f t="shared" si="8"/>
        <v>30</v>
      </c>
      <c r="T34" t="s">
        <v>368</v>
      </c>
    </row>
    <row r="35" spans="1:20" ht="24.95" customHeight="1" x14ac:dyDescent="0.25">
      <c r="A35" s="42"/>
      <c r="B35" s="42">
        <f t="shared" si="9"/>
        <v>31</v>
      </c>
      <c r="C35" s="41" t="s">
        <v>52</v>
      </c>
      <c r="D35" s="46">
        <v>4.4999999999999997E-3</v>
      </c>
      <c r="E35" s="47">
        <v>672183.31</v>
      </c>
      <c r="F35" s="199"/>
      <c r="G35" s="151">
        <f t="shared" si="0"/>
        <v>672183.31</v>
      </c>
      <c r="H35" s="48">
        <f t="shared" si="11"/>
        <v>20750.298779700002</v>
      </c>
      <c r="I35" s="49">
        <f t="shared" si="4"/>
        <v>301520.96117999998</v>
      </c>
      <c r="J35" s="49">
        <f t="shared" si="1"/>
        <v>0</v>
      </c>
      <c r="K35" s="49">
        <f t="shared" si="5"/>
        <v>154427.62748928738</v>
      </c>
      <c r="L35" s="49">
        <f t="shared" si="6"/>
        <v>202702.7028</v>
      </c>
      <c r="M35" s="49">
        <f t="shared" si="7"/>
        <v>0</v>
      </c>
      <c r="N35" s="179">
        <v>0</v>
      </c>
      <c r="O35" s="220"/>
      <c r="P35" s="261">
        <f t="shared" si="2"/>
        <v>1351585.31</v>
      </c>
      <c r="Q35" s="261"/>
      <c r="R35" s="34">
        <f t="shared" si="3"/>
        <v>0.31</v>
      </c>
      <c r="S35" s="3">
        <f t="shared" si="8"/>
        <v>31</v>
      </c>
    </row>
    <row r="36" spans="1:20" ht="24.95" customHeight="1" x14ac:dyDescent="0.25">
      <c r="A36" s="41"/>
      <c r="B36" s="41">
        <f t="shared" si="9"/>
        <v>32</v>
      </c>
      <c r="C36" s="41" t="s">
        <v>53</v>
      </c>
      <c r="D36" s="46">
        <v>4.4999999999999997E-3</v>
      </c>
      <c r="E36" s="47">
        <v>670828.31999999995</v>
      </c>
      <c r="F36" s="199">
        <f>5981156.65-F17-F20-F37-F90-F149-F150-F152</f>
        <v>670828.32000000041</v>
      </c>
      <c r="G36" s="151">
        <f t="shared" si="0"/>
        <v>0</v>
      </c>
      <c r="H36" s="48">
        <f t="shared" si="11"/>
        <v>0</v>
      </c>
      <c r="I36" s="49">
        <f t="shared" si="4"/>
        <v>301520.96117999998</v>
      </c>
      <c r="J36" s="49">
        <f t="shared" si="1"/>
        <v>0</v>
      </c>
      <c r="K36" s="49">
        <f t="shared" si="5"/>
        <v>154427.62748928738</v>
      </c>
      <c r="L36" s="49">
        <f t="shared" si="6"/>
        <v>202702.7028</v>
      </c>
      <c r="M36" s="49">
        <f t="shared" si="7"/>
        <v>0</v>
      </c>
      <c r="N36" s="179">
        <v>0</v>
      </c>
      <c r="O36" s="220"/>
      <c r="P36" s="261">
        <f t="shared" si="2"/>
        <v>658651.31999999995</v>
      </c>
      <c r="Q36" s="261"/>
      <c r="R36" s="34">
        <f t="shared" si="3"/>
        <v>0.32</v>
      </c>
      <c r="S36" s="3">
        <f t="shared" si="8"/>
        <v>32</v>
      </c>
    </row>
    <row r="37" spans="1:20" ht="24.95" customHeight="1" x14ac:dyDescent="0.25">
      <c r="A37" s="41"/>
      <c r="B37" s="41">
        <v>33</v>
      </c>
      <c r="C37" s="41" t="s">
        <v>54</v>
      </c>
      <c r="D37" s="46">
        <v>4.4999999999999997E-3</v>
      </c>
      <c r="E37" s="47">
        <v>672185.33</v>
      </c>
      <c r="F37" s="199">
        <f t="shared" si="10"/>
        <v>672185.33</v>
      </c>
      <c r="G37" s="151">
        <f t="shared" si="0"/>
        <v>0</v>
      </c>
      <c r="H37" s="48">
        <f t="shared" si="11"/>
        <v>0</v>
      </c>
      <c r="I37" s="49">
        <f t="shared" si="4"/>
        <v>301520.96117999998</v>
      </c>
      <c r="J37" s="49">
        <f t="shared" ref="J37:J68" si="12">P$2*D37</f>
        <v>0</v>
      </c>
      <c r="K37" s="49">
        <f t="shared" si="5"/>
        <v>154427.62748928738</v>
      </c>
      <c r="L37" s="49">
        <f t="shared" si="6"/>
        <v>202702.7028</v>
      </c>
      <c r="M37" s="49">
        <f t="shared" si="7"/>
        <v>0</v>
      </c>
      <c r="N37" s="179">
        <v>0</v>
      </c>
      <c r="O37" s="220"/>
      <c r="P37" s="261">
        <f t="shared" ref="P37:P68" si="13">ROUND(SUM(G37:O37),0) + R37</f>
        <v>658651.32999999996</v>
      </c>
      <c r="Q37" s="261"/>
      <c r="R37" s="34">
        <f t="shared" ref="R37:R68" si="14">ROUND(0.001+B37/100,2)</f>
        <v>0.33</v>
      </c>
      <c r="S37" s="3">
        <f t="shared" si="8"/>
        <v>33</v>
      </c>
    </row>
    <row r="38" spans="1:20" ht="24.95" customHeight="1" x14ac:dyDescent="0.25">
      <c r="A38" s="42"/>
      <c r="B38" s="42">
        <v>34</v>
      </c>
      <c r="C38" s="41" t="s">
        <v>52</v>
      </c>
      <c r="D38" s="46">
        <v>4.4999999999999997E-3</v>
      </c>
      <c r="E38" s="47">
        <v>672183.34</v>
      </c>
      <c r="F38" s="199"/>
      <c r="G38" s="151">
        <f t="shared" si="0"/>
        <v>672183.34</v>
      </c>
      <c r="H38" s="48">
        <f t="shared" si="11"/>
        <v>20750.2997058</v>
      </c>
      <c r="I38" s="49">
        <f t="shared" ref="I38:I101" si="15">K$2*D38</f>
        <v>301520.96117999998</v>
      </c>
      <c r="J38" s="49">
        <f t="shared" si="12"/>
        <v>0</v>
      </c>
      <c r="K38" s="49">
        <f t="shared" si="5"/>
        <v>154427.62748928738</v>
      </c>
      <c r="L38" s="49">
        <f t="shared" si="6"/>
        <v>202702.7028</v>
      </c>
      <c r="M38" s="49">
        <f t="shared" si="7"/>
        <v>0</v>
      </c>
      <c r="N38" s="179">
        <v>0</v>
      </c>
      <c r="O38" s="220"/>
      <c r="P38" s="261">
        <f t="shared" si="13"/>
        <v>1351585.34</v>
      </c>
      <c r="Q38" s="261"/>
      <c r="R38" s="34">
        <f t="shared" si="14"/>
        <v>0.34</v>
      </c>
      <c r="S38" s="3">
        <f t="shared" si="8"/>
        <v>34</v>
      </c>
    </row>
    <row r="39" spans="1:20" ht="24.95" customHeight="1" x14ac:dyDescent="0.25">
      <c r="A39" s="42">
        <v>1</v>
      </c>
      <c r="B39" s="42">
        <v>35</v>
      </c>
      <c r="C39" s="41" t="s">
        <v>55</v>
      </c>
      <c r="D39" s="46">
        <v>4.5999999999999999E-3</v>
      </c>
      <c r="E39" s="47">
        <v>679085.35</v>
      </c>
      <c r="F39" s="199">
        <f t="shared" si="10"/>
        <v>679085.35</v>
      </c>
      <c r="G39" s="151">
        <f t="shared" si="0"/>
        <v>0</v>
      </c>
      <c r="H39" s="48">
        <f t="shared" si="11"/>
        <v>0</v>
      </c>
      <c r="I39" s="49">
        <f t="shared" si="15"/>
        <v>308221.42698400002</v>
      </c>
      <c r="J39" s="49">
        <f t="shared" si="12"/>
        <v>0</v>
      </c>
      <c r="K39" s="49">
        <f t="shared" si="5"/>
        <v>154427.62748928738</v>
      </c>
      <c r="L39" s="49">
        <f t="shared" si="6"/>
        <v>202702.7028</v>
      </c>
      <c r="M39" s="49">
        <f t="shared" si="7"/>
        <v>0</v>
      </c>
      <c r="N39" s="179">
        <v>0</v>
      </c>
      <c r="O39" s="220"/>
      <c r="P39" s="261">
        <f t="shared" si="13"/>
        <v>665352.35</v>
      </c>
      <c r="Q39" s="261"/>
      <c r="R39" s="34">
        <f t="shared" si="14"/>
        <v>0.35</v>
      </c>
      <c r="S39" s="3">
        <f t="shared" si="8"/>
        <v>35</v>
      </c>
      <c r="T39" t="s">
        <v>240</v>
      </c>
    </row>
    <row r="40" spans="1:20" ht="24.95" customHeight="1" x14ac:dyDescent="0.25">
      <c r="A40" s="41">
        <v>2</v>
      </c>
      <c r="B40" s="41">
        <v>36</v>
      </c>
      <c r="C40" s="41" t="s">
        <v>56</v>
      </c>
      <c r="D40" s="46">
        <v>4.5999999999999999E-3</v>
      </c>
      <c r="E40" s="47">
        <v>1350418.36</v>
      </c>
      <c r="F40" s="199"/>
      <c r="G40" s="151">
        <f t="shared" si="0"/>
        <v>1350418.36</v>
      </c>
      <c r="H40" s="48">
        <f t="shared" si="11"/>
        <v>41687.414773200006</v>
      </c>
      <c r="I40" s="49">
        <f t="shared" si="15"/>
        <v>308221.42698400002</v>
      </c>
      <c r="J40" s="49">
        <f t="shared" si="12"/>
        <v>0</v>
      </c>
      <c r="K40" s="49">
        <f t="shared" si="5"/>
        <v>154427.62748928738</v>
      </c>
      <c r="L40" s="49">
        <f t="shared" si="6"/>
        <v>202702.7028</v>
      </c>
      <c r="M40" s="49">
        <f t="shared" si="7"/>
        <v>0</v>
      </c>
      <c r="N40" s="179">
        <v>0</v>
      </c>
      <c r="O40" s="220"/>
      <c r="P40" s="261">
        <f t="shared" si="13"/>
        <v>2057458.36</v>
      </c>
      <c r="Q40" s="261"/>
      <c r="R40" s="34">
        <f t="shared" si="14"/>
        <v>0.36</v>
      </c>
      <c r="S40" s="3">
        <f t="shared" si="8"/>
        <v>36</v>
      </c>
      <c r="T40" s="34"/>
    </row>
    <row r="41" spans="1:20" ht="24.95" customHeight="1" x14ac:dyDescent="0.25">
      <c r="A41" s="41">
        <v>3</v>
      </c>
      <c r="B41" s="41">
        <v>37</v>
      </c>
      <c r="C41" s="41" t="s">
        <v>57</v>
      </c>
      <c r="D41" s="46">
        <v>4.4999999999999997E-3</v>
      </c>
      <c r="E41" s="47">
        <v>2263709.37</v>
      </c>
      <c r="F41" s="199">
        <f>E41</f>
        <v>2263709.37</v>
      </c>
      <c r="G41" s="151">
        <f t="shared" si="0"/>
        <v>0</v>
      </c>
      <c r="H41" s="48">
        <f t="shared" si="11"/>
        <v>0</v>
      </c>
      <c r="I41" s="49">
        <f t="shared" si="15"/>
        <v>301520.96117999998</v>
      </c>
      <c r="J41" s="49">
        <f t="shared" si="12"/>
        <v>0</v>
      </c>
      <c r="K41" s="49">
        <f t="shared" si="5"/>
        <v>154427.62748928738</v>
      </c>
      <c r="L41" s="49">
        <f t="shared" si="6"/>
        <v>202702.7028</v>
      </c>
      <c r="M41" s="49">
        <f t="shared" si="7"/>
        <v>0</v>
      </c>
      <c r="N41" s="179">
        <v>0</v>
      </c>
      <c r="O41" s="220"/>
      <c r="P41" s="261">
        <f t="shared" si="13"/>
        <v>658651.37</v>
      </c>
      <c r="Q41" s="261"/>
      <c r="R41" s="34">
        <f t="shared" si="14"/>
        <v>0.37</v>
      </c>
      <c r="S41" s="3">
        <f t="shared" si="8"/>
        <v>37</v>
      </c>
      <c r="T41" s="34"/>
    </row>
    <row r="42" spans="1:20" ht="24.95" customHeight="1" x14ac:dyDescent="0.25">
      <c r="A42" s="42">
        <v>4</v>
      </c>
      <c r="B42" s="42">
        <v>38</v>
      </c>
      <c r="C42" s="41" t="s">
        <v>58</v>
      </c>
      <c r="D42" s="46">
        <v>4.4999999999999997E-3</v>
      </c>
      <c r="E42" s="47">
        <v>962637.38</v>
      </c>
      <c r="F42" s="199">
        <f>319014.32+296669</f>
        <v>615683.32000000007</v>
      </c>
      <c r="G42" s="151">
        <f t="shared" si="0"/>
        <v>346954.05999999994</v>
      </c>
      <c r="H42" s="48">
        <f t="shared" si="11"/>
        <v>10710.471832199999</v>
      </c>
      <c r="I42" s="49">
        <f t="shared" si="15"/>
        <v>301520.96117999998</v>
      </c>
      <c r="J42" s="49">
        <f t="shared" si="12"/>
        <v>0</v>
      </c>
      <c r="K42" s="49">
        <f t="shared" si="5"/>
        <v>154427.62748928738</v>
      </c>
      <c r="L42" s="49">
        <f t="shared" si="6"/>
        <v>202702.7028</v>
      </c>
      <c r="M42" s="49">
        <f t="shared" si="7"/>
        <v>0</v>
      </c>
      <c r="N42" s="179">
        <v>0</v>
      </c>
      <c r="O42" s="220">
        <f>I42/2+1394*100</f>
        <v>290160.48058999999</v>
      </c>
      <c r="P42" s="261">
        <f t="shared" si="13"/>
        <v>1306476.3799999999</v>
      </c>
      <c r="Q42" s="261"/>
      <c r="R42" s="34">
        <f t="shared" si="14"/>
        <v>0.38</v>
      </c>
      <c r="S42" s="3">
        <f t="shared" si="8"/>
        <v>38</v>
      </c>
      <c r="T42" t="s">
        <v>265</v>
      </c>
    </row>
    <row r="43" spans="1:20" ht="24.95" customHeight="1" x14ac:dyDescent="0.25">
      <c r="A43" s="42">
        <v>5</v>
      </c>
      <c r="B43" s="42">
        <v>39</v>
      </c>
      <c r="C43" s="41" t="s">
        <v>270</v>
      </c>
      <c r="D43" s="46">
        <v>4.4999999999999997E-3</v>
      </c>
      <c r="E43" s="47">
        <v>672185.39</v>
      </c>
      <c r="F43" s="199">
        <f>636000+35000</f>
        <v>671000</v>
      </c>
      <c r="G43" s="151">
        <f t="shared" si="0"/>
        <v>1185.390000000014</v>
      </c>
      <c r="H43" s="48">
        <f t="shared" si="11"/>
        <v>36.592989300000433</v>
      </c>
      <c r="I43" s="49">
        <f t="shared" si="15"/>
        <v>301520.96117999998</v>
      </c>
      <c r="J43" s="49">
        <f t="shared" si="12"/>
        <v>0</v>
      </c>
      <c r="K43" s="49">
        <f t="shared" si="5"/>
        <v>154427.62748928738</v>
      </c>
      <c r="L43" s="49">
        <f t="shared" si="6"/>
        <v>202702.7028</v>
      </c>
      <c r="M43" s="49">
        <f t="shared" si="7"/>
        <v>0</v>
      </c>
      <c r="N43" s="179">
        <v>0</v>
      </c>
      <c r="O43" s="220"/>
      <c r="P43" s="261">
        <f t="shared" si="13"/>
        <v>659873.39</v>
      </c>
      <c r="Q43" s="261"/>
      <c r="R43" s="34">
        <f t="shared" si="14"/>
        <v>0.39</v>
      </c>
      <c r="S43" s="3">
        <f t="shared" si="8"/>
        <v>39</v>
      </c>
      <c r="T43" t="s">
        <v>245</v>
      </c>
    </row>
    <row r="44" spans="1:20" ht="24.95" customHeight="1" x14ac:dyDescent="0.25">
      <c r="A44" s="42">
        <v>6</v>
      </c>
      <c r="B44" s="42">
        <v>40</v>
      </c>
      <c r="C44" s="41" t="s">
        <v>59</v>
      </c>
      <c r="D44" s="46">
        <v>4.4999999999999997E-3</v>
      </c>
      <c r="E44" s="47">
        <v>754779.4</v>
      </c>
      <c r="F44" s="199">
        <f>791625</f>
        <v>791625</v>
      </c>
      <c r="G44" s="151">
        <f t="shared" si="0"/>
        <v>-36845.599999999977</v>
      </c>
      <c r="H44" s="48">
        <f t="shared" si="11"/>
        <v>0</v>
      </c>
      <c r="I44" s="49">
        <f t="shared" si="15"/>
        <v>301520.96117999998</v>
      </c>
      <c r="J44" s="49">
        <f t="shared" si="12"/>
        <v>0</v>
      </c>
      <c r="K44" s="49">
        <f t="shared" si="5"/>
        <v>154427.62748928738</v>
      </c>
      <c r="L44" s="49">
        <f t="shared" si="6"/>
        <v>202702.7028</v>
      </c>
      <c r="M44" s="49">
        <f t="shared" si="7"/>
        <v>0</v>
      </c>
      <c r="N44" s="179">
        <v>0</v>
      </c>
      <c r="O44" s="220"/>
      <c r="P44" s="261">
        <f t="shared" si="13"/>
        <v>621806.4</v>
      </c>
      <c r="Q44" s="261"/>
      <c r="R44" s="34">
        <f t="shared" si="14"/>
        <v>0.4</v>
      </c>
      <c r="S44" s="3">
        <f t="shared" si="8"/>
        <v>40</v>
      </c>
    </row>
    <row r="45" spans="1:20" ht="24.95" customHeight="1" x14ac:dyDescent="0.25">
      <c r="A45" s="42">
        <v>7</v>
      </c>
      <c r="B45" s="42">
        <v>41</v>
      </c>
      <c r="C45" s="41" t="s">
        <v>60</v>
      </c>
      <c r="D45" s="46">
        <v>4.4999999999999997E-3</v>
      </c>
      <c r="E45" s="47">
        <v>672185.41</v>
      </c>
      <c r="F45" s="199">
        <f t="shared" ref="F45:F107" si="16">E45</f>
        <v>672185.41</v>
      </c>
      <c r="G45" s="151">
        <f t="shared" si="0"/>
        <v>0</v>
      </c>
      <c r="H45" s="48">
        <f t="shared" si="11"/>
        <v>0</v>
      </c>
      <c r="I45" s="49">
        <f t="shared" si="15"/>
        <v>301520.96117999998</v>
      </c>
      <c r="J45" s="49">
        <f t="shared" si="12"/>
        <v>0</v>
      </c>
      <c r="K45" s="49">
        <f t="shared" si="5"/>
        <v>154427.62748928738</v>
      </c>
      <c r="L45" s="49">
        <f t="shared" si="6"/>
        <v>202702.7028</v>
      </c>
      <c r="M45" s="49">
        <f t="shared" si="7"/>
        <v>0</v>
      </c>
      <c r="N45" s="179">
        <v>0</v>
      </c>
      <c r="O45" s="220"/>
      <c r="P45" s="261">
        <f t="shared" si="13"/>
        <v>658651.41</v>
      </c>
      <c r="Q45" s="261"/>
      <c r="R45" s="34">
        <f t="shared" si="14"/>
        <v>0.41</v>
      </c>
      <c r="S45" s="3">
        <f t="shared" si="8"/>
        <v>41</v>
      </c>
      <c r="T45" s="157" t="s">
        <v>236</v>
      </c>
    </row>
    <row r="46" spans="1:20" ht="24.95" customHeight="1" x14ac:dyDescent="0.25">
      <c r="A46" s="42">
        <v>8</v>
      </c>
      <c r="B46" s="42">
        <v>42</v>
      </c>
      <c r="C46" s="41" t="s">
        <v>61</v>
      </c>
      <c r="D46" s="46">
        <v>4.4999999999999997E-3</v>
      </c>
      <c r="E46" s="47">
        <v>1336779.42</v>
      </c>
      <c r="F46" s="199">
        <f>300000+350000+686779.42</f>
        <v>1336779.42</v>
      </c>
      <c r="G46" s="151">
        <f t="shared" si="0"/>
        <v>0</v>
      </c>
      <c r="H46" s="48">
        <f t="shared" si="11"/>
        <v>0</v>
      </c>
      <c r="I46" s="49">
        <f t="shared" si="15"/>
        <v>301520.96117999998</v>
      </c>
      <c r="J46" s="49">
        <f t="shared" si="12"/>
        <v>0</v>
      </c>
      <c r="K46" s="49">
        <f t="shared" si="5"/>
        <v>154427.62748928738</v>
      </c>
      <c r="L46" s="49">
        <f t="shared" si="6"/>
        <v>202702.7028</v>
      </c>
      <c r="M46" s="49">
        <f t="shared" si="7"/>
        <v>0</v>
      </c>
      <c r="N46" s="179">
        <v>0</v>
      </c>
      <c r="O46" s="220"/>
      <c r="P46" s="261">
        <f t="shared" si="13"/>
        <v>658651.42000000004</v>
      </c>
      <c r="Q46" s="261"/>
      <c r="R46" s="34">
        <f t="shared" si="14"/>
        <v>0.42</v>
      </c>
      <c r="S46" s="3">
        <f t="shared" si="8"/>
        <v>42</v>
      </c>
    </row>
    <row r="47" spans="1:20" ht="24.95" customHeight="1" x14ac:dyDescent="0.25">
      <c r="A47" s="42">
        <v>1</v>
      </c>
      <c r="B47" s="42">
        <v>43</v>
      </c>
      <c r="C47" s="41" t="s">
        <v>62</v>
      </c>
      <c r="D47" s="46">
        <v>3.5999999999999999E-3</v>
      </c>
      <c r="E47" s="47">
        <v>610091.43000000005</v>
      </c>
      <c r="F47" s="199">
        <f t="shared" si="16"/>
        <v>610091.43000000005</v>
      </c>
      <c r="G47" s="151">
        <f t="shared" si="0"/>
        <v>0</v>
      </c>
      <c r="H47" s="48">
        <f t="shared" si="11"/>
        <v>0</v>
      </c>
      <c r="I47" s="49">
        <f t="shared" si="15"/>
        <v>241216.76894399998</v>
      </c>
      <c r="J47" s="49">
        <f t="shared" si="12"/>
        <v>0</v>
      </c>
      <c r="K47" s="49">
        <f t="shared" si="5"/>
        <v>154427.62748928738</v>
      </c>
      <c r="L47" s="49">
        <f t="shared" si="6"/>
        <v>202702.7028</v>
      </c>
      <c r="M47" s="49">
        <f t="shared" si="7"/>
        <v>0</v>
      </c>
      <c r="N47" s="179">
        <v>0</v>
      </c>
      <c r="O47" s="220"/>
      <c r="P47" s="261">
        <f t="shared" si="13"/>
        <v>598347.43000000005</v>
      </c>
      <c r="Q47" s="261"/>
      <c r="R47" s="34">
        <f t="shared" si="14"/>
        <v>0.43</v>
      </c>
      <c r="S47" s="3">
        <f t="shared" si="8"/>
        <v>43</v>
      </c>
    </row>
    <row r="48" spans="1:20" ht="24.95" customHeight="1" x14ac:dyDescent="0.25">
      <c r="A48" s="42">
        <v>1</v>
      </c>
      <c r="B48" s="42">
        <v>44</v>
      </c>
      <c r="C48" s="41" t="s">
        <v>63</v>
      </c>
      <c r="D48" s="46">
        <v>4.1000000000000003E-3</v>
      </c>
      <c r="E48" s="47">
        <v>1297993.44</v>
      </c>
      <c r="F48" s="199" t="s">
        <v>403</v>
      </c>
      <c r="G48" s="151" t="e">
        <f t="shared" si="0"/>
        <v>#VALUE!</v>
      </c>
      <c r="H48" s="48" t="e">
        <f t="shared" si="11"/>
        <v>#VALUE!</v>
      </c>
      <c r="I48" s="49">
        <f t="shared" si="15"/>
        <v>274719.09796400002</v>
      </c>
      <c r="J48" s="49">
        <f t="shared" si="12"/>
        <v>0</v>
      </c>
      <c r="K48" s="49">
        <f t="shared" si="5"/>
        <v>154427.62748928738</v>
      </c>
      <c r="L48" s="49">
        <f t="shared" si="6"/>
        <v>202702.7028</v>
      </c>
      <c r="M48" s="49">
        <f t="shared" si="7"/>
        <v>0</v>
      </c>
      <c r="N48" s="179">
        <v>0</v>
      </c>
      <c r="O48" s="220"/>
      <c r="P48" s="261" t="e">
        <f t="shared" si="13"/>
        <v>#VALUE!</v>
      </c>
      <c r="Q48" s="261"/>
      <c r="R48" s="34">
        <f t="shared" si="14"/>
        <v>0.44</v>
      </c>
      <c r="S48" s="3">
        <f t="shared" si="8"/>
        <v>44</v>
      </c>
    </row>
    <row r="49" spans="1:20" ht="24.95" customHeight="1" x14ac:dyDescent="0.25">
      <c r="A49" s="42">
        <v>2</v>
      </c>
      <c r="B49" s="42">
        <v>45</v>
      </c>
      <c r="C49" s="41" t="s">
        <v>64</v>
      </c>
      <c r="D49" s="46">
        <v>4.8999999999999998E-3</v>
      </c>
      <c r="E49" s="47">
        <v>696474.45</v>
      </c>
      <c r="F49" s="199">
        <f>E49</f>
        <v>696474.45</v>
      </c>
      <c r="G49" s="151">
        <f t="shared" si="0"/>
        <v>0</v>
      </c>
      <c r="H49" s="48">
        <f t="shared" si="11"/>
        <v>0</v>
      </c>
      <c r="I49" s="49">
        <f t="shared" si="15"/>
        <v>328322.82439600001</v>
      </c>
      <c r="J49" s="49">
        <f t="shared" si="12"/>
        <v>0</v>
      </c>
      <c r="K49" s="49">
        <f t="shared" si="5"/>
        <v>154427.62748928738</v>
      </c>
      <c r="L49" s="49">
        <f t="shared" si="6"/>
        <v>202702.7028</v>
      </c>
      <c r="M49" s="49">
        <f t="shared" si="7"/>
        <v>0</v>
      </c>
      <c r="N49" s="179">
        <v>0</v>
      </c>
      <c r="O49" s="220"/>
      <c r="P49" s="261">
        <f t="shared" si="13"/>
        <v>685453.45</v>
      </c>
      <c r="Q49" s="261"/>
      <c r="R49" s="34">
        <f t="shared" si="14"/>
        <v>0.45</v>
      </c>
      <c r="S49" s="3">
        <f t="shared" si="8"/>
        <v>45</v>
      </c>
    </row>
    <row r="50" spans="1:20" ht="24.95" customHeight="1" x14ac:dyDescent="0.25">
      <c r="A50" s="42">
        <v>2</v>
      </c>
      <c r="B50" s="42">
        <v>46</v>
      </c>
      <c r="C50" s="41" t="s">
        <v>65</v>
      </c>
      <c r="D50" s="46">
        <v>3.8999999999999998E-3</v>
      </c>
      <c r="E50" s="47">
        <v>1258191.46</v>
      </c>
      <c r="F50" s="199">
        <f>576100+32514.46</f>
        <v>608614.46</v>
      </c>
      <c r="G50" s="151">
        <f t="shared" si="0"/>
        <v>649577</v>
      </c>
      <c r="H50" s="48">
        <f t="shared" si="11"/>
        <v>20052.441989999999</v>
      </c>
      <c r="I50" s="49">
        <f t="shared" si="15"/>
        <v>261318.16635599997</v>
      </c>
      <c r="J50" s="49">
        <f t="shared" si="12"/>
        <v>0</v>
      </c>
      <c r="K50" s="49">
        <f t="shared" si="5"/>
        <v>154427.62748928738</v>
      </c>
      <c r="L50" s="49">
        <f t="shared" si="6"/>
        <v>202702.7028</v>
      </c>
      <c r="M50" s="49">
        <f t="shared" si="7"/>
        <v>0</v>
      </c>
      <c r="N50" s="179">
        <v>0</v>
      </c>
      <c r="O50" s="220"/>
      <c r="P50" s="261">
        <f t="shared" si="13"/>
        <v>1288078.46</v>
      </c>
      <c r="Q50" s="261"/>
      <c r="R50" s="34">
        <f t="shared" si="14"/>
        <v>0.46</v>
      </c>
      <c r="S50" s="3">
        <f t="shared" si="8"/>
        <v>46</v>
      </c>
      <c r="T50" t="s">
        <v>203</v>
      </c>
    </row>
    <row r="51" spans="1:20" ht="24.95" customHeight="1" x14ac:dyDescent="0.25">
      <c r="A51" s="42">
        <v>3</v>
      </c>
      <c r="B51" s="42">
        <v>47</v>
      </c>
      <c r="C51" s="41" t="s">
        <v>66</v>
      </c>
      <c r="D51" s="46">
        <v>4.4999999999999997E-3</v>
      </c>
      <c r="E51" s="47">
        <v>2790948.47</v>
      </c>
      <c r="F51" s="199"/>
      <c r="G51" s="151">
        <f t="shared" si="0"/>
        <v>2790948.47</v>
      </c>
      <c r="H51" s="48">
        <f t="shared" si="11"/>
        <v>86156.579268900008</v>
      </c>
      <c r="I51" s="49">
        <f t="shared" si="15"/>
        <v>301520.96117999998</v>
      </c>
      <c r="J51" s="49">
        <f t="shared" si="12"/>
        <v>0</v>
      </c>
      <c r="K51" s="49">
        <f t="shared" si="5"/>
        <v>154427.62748928738</v>
      </c>
      <c r="L51" s="49">
        <f t="shared" si="6"/>
        <v>202702.7028</v>
      </c>
      <c r="M51" s="49">
        <f t="shared" si="7"/>
        <v>0</v>
      </c>
      <c r="N51" s="179">
        <v>0</v>
      </c>
      <c r="O51" s="220"/>
      <c r="P51" s="261">
        <f t="shared" si="13"/>
        <v>3535756.47</v>
      </c>
      <c r="Q51" s="261"/>
      <c r="R51" s="34">
        <f t="shared" si="14"/>
        <v>0.47</v>
      </c>
      <c r="S51" s="3">
        <f t="shared" si="8"/>
        <v>47</v>
      </c>
    </row>
    <row r="52" spans="1:20" ht="24.95" customHeight="1" x14ac:dyDescent="0.25">
      <c r="A52" s="42">
        <v>3</v>
      </c>
      <c r="B52" s="42">
        <v>48</v>
      </c>
      <c r="C52" s="41" t="s">
        <v>196</v>
      </c>
      <c r="D52" s="46">
        <v>4.4999999999999997E-3</v>
      </c>
      <c r="E52" s="47">
        <v>976564.48</v>
      </c>
      <c r="F52" s="199">
        <f>E52</f>
        <v>976564.48</v>
      </c>
      <c r="G52" s="151">
        <f t="shared" si="0"/>
        <v>0</v>
      </c>
      <c r="H52" s="48">
        <f t="shared" si="11"/>
        <v>0</v>
      </c>
      <c r="I52" s="49">
        <f t="shared" si="15"/>
        <v>301520.96117999998</v>
      </c>
      <c r="J52" s="49">
        <f t="shared" si="12"/>
        <v>0</v>
      </c>
      <c r="K52" s="49">
        <f t="shared" si="5"/>
        <v>154427.62748928738</v>
      </c>
      <c r="L52" s="49">
        <f t="shared" si="6"/>
        <v>202702.7028</v>
      </c>
      <c r="M52" s="49">
        <v>85127</v>
      </c>
      <c r="N52" s="179">
        <f>(I52+K52)/2</f>
        <v>227974.2943346437</v>
      </c>
      <c r="O52" s="220"/>
      <c r="P52" s="261">
        <f t="shared" si="13"/>
        <v>971753.48</v>
      </c>
      <c r="Q52" s="261"/>
      <c r="R52" s="34">
        <f t="shared" si="14"/>
        <v>0.48</v>
      </c>
      <c r="S52" s="3">
        <f t="shared" si="8"/>
        <v>48</v>
      </c>
      <c r="T52" s="33"/>
    </row>
    <row r="53" spans="1:20" ht="24.95" customHeight="1" x14ac:dyDescent="0.25">
      <c r="A53" s="42">
        <v>4</v>
      </c>
      <c r="B53" s="42">
        <v>49</v>
      </c>
      <c r="C53" s="41" t="s">
        <v>67</v>
      </c>
      <c r="D53" s="46">
        <v>4.4999999999999997E-3</v>
      </c>
      <c r="E53" s="47">
        <v>672185.49</v>
      </c>
      <c r="F53" s="199">
        <f t="shared" si="16"/>
        <v>672185.49</v>
      </c>
      <c r="G53" s="151">
        <f t="shared" si="0"/>
        <v>0</v>
      </c>
      <c r="H53" s="48">
        <f t="shared" si="11"/>
        <v>0</v>
      </c>
      <c r="I53" s="49">
        <f t="shared" si="15"/>
        <v>301520.96117999998</v>
      </c>
      <c r="J53" s="49">
        <f t="shared" si="12"/>
        <v>0</v>
      </c>
      <c r="K53" s="49">
        <f t="shared" si="5"/>
        <v>154427.62748928738</v>
      </c>
      <c r="L53" s="49">
        <f t="shared" si="6"/>
        <v>202702.7028</v>
      </c>
      <c r="M53" s="49">
        <f t="shared" si="7"/>
        <v>0</v>
      </c>
      <c r="N53" s="179">
        <v>0</v>
      </c>
      <c r="O53" s="220"/>
      <c r="P53" s="261">
        <f t="shared" si="13"/>
        <v>658651.49</v>
      </c>
      <c r="Q53" s="261"/>
      <c r="R53" s="34">
        <f t="shared" si="14"/>
        <v>0.49</v>
      </c>
      <c r="S53" s="3">
        <f t="shared" si="8"/>
        <v>49</v>
      </c>
      <c r="T53" t="s">
        <v>226</v>
      </c>
    </row>
    <row r="54" spans="1:20" ht="24.95" customHeight="1" x14ac:dyDescent="0.25">
      <c r="A54" s="42">
        <v>4</v>
      </c>
      <c r="B54" s="42">
        <v>50</v>
      </c>
      <c r="C54" s="41" t="s">
        <v>68</v>
      </c>
      <c r="D54" s="46">
        <v>4.4999999999999997E-3</v>
      </c>
      <c r="E54" s="47">
        <v>672186.5</v>
      </c>
      <c r="F54" s="199">
        <f>E54</f>
        <v>672186.5</v>
      </c>
      <c r="G54" s="151">
        <f t="shared" si="0"/>
        <v>0</v>
      </c>
      <c r="H54" s="48">
        <f t="shared" si="11"/>
        <v>0</v>
      </c>
      <c r="I54" s="49">
        <f t="shared" si="15"/>
        <v>301520.96117999998</v>
      </c>
      <c r="J54" s="49">
        <f t="shared" si="12"/>
        <v>0</v>
      </c>
      <c r="K54" s="49">
        <f t="shared" si="5"/>
        <v>154427.62748928738</v>
      </c>
      <c r="L54" s="49">
        <f t="shared" si="6"/>
        <v>202702.7028</v>
      </c>
      <c r="M54" s="49">
        <f t="shared" si="7"/>
        <v>0</v>
      </c>
      <c r="N54" s="179">
        <v>0</v>
      </c>
      <c r="O54" s="220"/>
      <c r="P54" s="261">
        <f t="shared" si="13"/>
        <v>658651.5</v>
      </c>
      <c r="Q54" s="261"/>
      <c r="R54" s="34">
        <f t="shared" si="14"/>
        <v>0.5</v>
      </c>
      <c r="S54" s="3">
        <f t="shared" si="8"/>
        <v>50</v>
      </c>
      <c r="T54" t="s">
        <v>372</v>
      </c>
    </row>
    <row r="55" spans="1:20" ht="24.95" customHeight="1" x14ac:dyDescent="0.25">
      <c r="A55" s="41">
        <v>5</v>
      </c>
      <c r="B55" s="41">
        <v>51</v>
      </c>
      <c r="C55" s="41" t="s">
        <v>69</v>
      </c>
      <c r="D55" s="46">
        <v>4.4999999999999997E-3</v>
      </c>
      <c r="E55" s="47">
        <v>2826633.51</v>
      </c>
      <c r="F55" s="199">
        <v>1821000</v>
      </c>
      <c r="G55" s="151">
        <f t="shared" si="0"/>
        <v>1005633.5099999998</v>
      </c>
      <c r="H55" s="48">
        <f t="shared" si="11"/>
        <v>31043.906453699994</v>
      </c>
      <c r="I55" s="49">
        <f t="shared" si="15"/>
        <v>301520.96117999998</v>
      </c>
      <c r="J55" s="49">
        <f t="shared" si="12"/>
        <v>0</v>
      </c>
      <c r="K55" s="49">
        <f t="shared" si="5"/>
        <v>154427.62748928738</v>
      </c>
      <c r="L55" s="49">
        <f t="shared" si="6"/>
        <v>202702.7028</v>
      </c>
      <c r="M55" s="49">
        <v>56751</v>
      </c>
      <c r="N55" s="179">
        <f>(I55+K55)/2</f>
        <v>227974.2943346437</v>
      </c>
      <c r="O55" s="220"/>
      <c r="P55" s="261">
        <f t="shared" si="13"/>
        <v>1980054.51</v>
      </c>
      <c r="Q55" s="261"/>
      <c r="R55" s="34">
        <f t="shared" si="14"/>
        <v>0.51</v>
      </c>
      <c r="S55" s="3">
        <f t="shared" si="8"/>
        <v>51</v>
      </c>
      <c r="T55" t="s">
        <v>367</v>
      </c>
    </row>
    <row r="56" spans="1:20" ht="24.95" customHeight="1" x14ac:dyDescent="0.25">
      <c r="A56" s="42">
        <v>5</v>
      </c>
      <c r="B56" s="42">
        <v>52</v>
      </c>
      <c r="C56" s="41" t="s">
        <v>70</v>
      </c>
      <c r="D56" s="46">
        <v>4.5999999999999999E-3</v>
      </c>
      <c r="E56" s="47">
        <v>679085.52</v>
      </c>
      <c r="F56" s="199">
        <f>656595</f>
        <v>656595</v>
      </c>
      <c r="G56" s="152">
        <f t="shared" si="0"/>
        <v>22490.520000000019</v>
      </c>
      <c r="H56" s="48">
        <f t="shared" si="11"/>
        <v>694.2823524000006</v>
      </c>
      <c r="I56" s="49">
        <f t="shared" si="15"/>
        <v>308221.42698400002</v>
      </c>
      <c r="J56" s="49">
        <f t="shared" si="12"/>
        <v>0</v>
      </c>
      <c r="K56" s="49">
        <f t="shared" si="5"/>
        <v>154427.62748928738</v>
      </c>
      <c r="L56" s="49">
        <f t="shared" si="6"/>
        <v>202702.7028</v>
      </c>
      <c r="M56" s="49">
        <f t="shared" si="7"/>
        <v>0</v>
      </c>
      <c r="N56" s="179">
        <v>0</v>
      </c>
      <c r="O56" s="220"/>
      <c r="P56" s="261">
        <f t="shared" si="13"/>
        <v>688537.52</v>
      </c>
      <c r="Q56" s="261"/>
      <c r="R56" s="34">
        <f t="shared" si="14"/>
        <v>0.52</v>
      </c>
      <c r="S56" s="3">
        <f t="shared" si="8"/>
        <v>52</v>
      </c>
      <c r="T56" t="s">
        <v>264</v>
      </c>
    </row>
    <row r="57" spans="1:20" ht="24.95" customHeight="1" x14ac:dyDescent="0.25">
      <c r="A57" s="42">
        <v>6</v>
      </c>
      <c r="B57" s="42">
        <v>53</v>
      </c>
      <c r="C57" s="41" t="s">
        <v>71</v>
      </c>
      <c r="D57" s="46">
        <v>4.4999999999999997E-3</v>
      </c>
      <c r="E57" s="47">
        <v>1199983.53</v>
      </c>
      <c r="F57" s="199"/>
      <c r="G57" s="151">
        <f t="shared" si="0"/>
        <v>1199983.53</v>
      </c>
      <c r="H57" s="48">
        <f t="shared" si="11"/>
        <v>37043.491571099999</v>
      </c>
      <c r="I57" s="49">
        <f t="shared" si="15"/>
        <v>301520.96117999998</v>
      </c>
      <c r="J57" s="49">
        <f t="shared" si="12"/>
        <v>0</v>
      </c>
      <c r="K57" s="49">
        <f t="shared" si="5"/>
        <v>154427.62748928738</v>
      </c>
      <c r="L57" s="49">
        <f t="shared" si="6"/>
        <v>202702.7028</v>
      </c>
      <c r="M57" s="49">
        <f t="shared" si="7"/>
        <v>0</v>
      </c>
      <c r="N57" s="179">
        <v>0</v>
      </c>
      <c r="O57" s="220"/>
      <c r="P57" s="261">
        <f t="shared" si="13"/>
        <v>1895678.53</v>
      </c>
      <c r="Q57" s="261"/>
      <c r="R57" s="34">
        <f t="shared" si="14"/>
        <v>0.53</v>
      </c>
      <c r="S57" s="3">
        <f t="shared" si="8"/>
        <v>53</v>
      </c>
    </row>
    <row r="58" spans="1:20" ht="24.95" customHeight="1" x14ac:dyDescent="0.25">
      <c r="A58" s="42">
        <v>6</v>
      </c>
      <c r="B58" s="42">
        <v>54</v>
      </c>
      <c r="C58" s="41" t="s">
        <v>72</v>
      </c>
      <c r="D58" s="46">
        <v>4.4999999999999997E-3</v>
      </c>
      <c r="E58" s="47">
        <v>672185.54</v>
      </c>
      <c r="F58" s="199"/>
      <c r="G58" s="151">
        <f t="shared" si="0"/>
        <v>672185.54</v>
      </c>
      <c r="H58" s="48">
        <f t="shared" si="11"/>
        <v>20750.367619800003</v>
      </c>
      <c r="I58" s="49">
        <f t="shared" si="15"/>
        <v>301520.96117999998</v>
      </c>
      <c r="J58" s="49">
        <f t="shared" si="12"/>
        <v>0</v>
      </c>
      <c r="K58" s="49">
        <f t="shared" si="5"/>
        <v>154427.62748928738</v>
      </c>
      <c r="L58" s="49">
        <f t="shared" si="6"/>
        <v>202702.7028</v>
      </c>
      <c r="M58" s="49">
        <f t="shared" si="7"/>
        <v>0</v>
      </c>
      <c r="N58" s="179">
        <v>0</v>
      </c>
      <c r="O58" s="220"/>
      <c r="P58" s="261">
        <f t="shared" si="13"/>
        <v>1351587.54</v>
      </c>
      <c r="Q58" s="261"/>
      <c r="R58" s="34">
        <f t="shared" si="14"/>
        <v>0.54</v>
      </c>
      <c r="S58" s="3">
        <f t="shared" si="8"/>
        <v>54</v>
      </c>
      <c r="T58" t="s">
        <v>224</v>
      </c>
    </row>
    <row r="59" spans="1:20" ht="24.95" customHeight="1" x14ac:dyDescent="0.25">
      <c r="A59" s="42">
        <v>7</v>
      </c>
      <c r="B59" s="42">
        <v>55</v>
      </c>
      <c r="C59" s="41" t="s">
        <v>73</v>
      </c>
      <c r="D59" s="46">
        <v>4.4999999999999997E-3</v>
      </c>
      <c r="E59" s="47">
        <v>1341991.55</v>
      </c>
      <c r="F59" s="199"/>
      <c r="G59" s="151">
        <f t="shared" si="0"/>
        <v>1341991.55</v>
      </c>
      <c r="H59" s="48">
        <f t="shared" si="11"/>
        <v>41427.279148500005</v>
      </c>
      <c r="I59" s="49">
        <f t="shared" si="15"/>
        <v>301520.96117999998</v>
      </c>
      <c r="J59" s="49">
        <f t="shared" si="12"/>
        <v>0</v>
      </c>
      <c r="K59" s="49">
        <f t="shared" si="5"/>
        <v>154427.62748928738</v>
      </c>
      <c r="L59" s="49">
        <f t="shared" si="6"/>
        <v>202702.7028</v>
      </c>
      <c r="M59" s="49">
        <f t="shared" si="7"/>
        <v>0</v>
      </c>
      <c r="N59" s="179">
        <v>0</v>
      </c>
      <c r="O59" s="220"/>
      <c r="P59" s="261">
        <f t="shared" si="13"/>
        <v>2042070.55</v>
      </c>
      <c r="Q59" s="261"/>
      <c r="R59" s="34">
        <f t="shared" si="14"/>
        <v>0.55000000000000004</v>
      </c>
      <c r="S59" s="3">
        <f t="shared" si="8"/>
        <v>55</v>
      </c>
    </row>
    <row r="60" spans="1:20" ht="24.95" customHeight="1" x14ac:dyDescent="0.25">
      <c r="A60" s="42">
        <v>7</v>
      </c>
      <c r="B60" s="42">
        <v>56</v>
      </c>
      <c r="C60" s="41" t="s">
        <v>74</v>
      </c>
      <c r="D60" s="46">
        <v>4.4999999999999997E-3</v>
      </c>
      <c r="E60" s="47">
        <v>952602.56</v>
      </c>
      <c r="F60" s="199">
        <f>E60</f>
        <v>952602.56</v>
      </c>
      <c r="G60" s="151">
        <f t="shared" si="0"/>
        <v>0</v>
      </c>
      <c r="H60" s="48">
        <f t="shared" si="11"/>
        <v>0</v>
      </c>
      <c r="I60" s="49">
        <f t="shared" si="15"/>
        <v>301520.96117999998</v>
      </c>
      <c r="J60" s="49">
        <f t="shared" si="12"/>
        <v>0</v>
      </c>
      <c r="K60" s="49">
        <f t="shared" si="5"/>
        <v>154427.62748928738</v>
      </c>
      <c r="L60" s="49">
        <f t="shared" si="6"/>
        <v>202702.7028</v>
      </c>
      <c r="M60" s="49">
        <v>56751</v>
      </c>
      <c r="N60" s="179">
        <f>(I60+K60)/2</f>
        <v>227974.2943346437</v>
      </c>
      <c r="O60" s="220"/>
      <c r="P60" s="261">
        <f t="shared" si="13"/>
        <v>943377.56</v>
      </c>
      <c r="Q60" s="261"/>
      <c r="R60" s="34">
        <f t="shared" si="14"/>
        <v>0.56000000000000005</v>
      </c>
      <c r="S60" s="3">
        <f t="shared" si="8"/>
        <v>56</v>
      </c>
      <c r="T60" t="s">
        <v>209</v>
      </c>
    </row>
    <row r="61" spans="1:20" ht="24.95" customHeight="1" x14ac:dyDescent="0.25">
      <c r="A61" s="42">
        <v>8</v>
      </c>
      <c r="B61" s="42">
        <v>57</v>
      </c>
      <c r="C61" s="41" t="s">
        <v>75</v>
      </c>
      <c r="D61" s="46">
        <v>4.4999999999999997E-3</v>
      </c>
      <c r="E61" s="47">
        <v>672185.57</v>
      </c>
      <c r="F61" s="199">
        <f t="shared" si="16"/>
        <v>672185.57</v>
      </c>
      <c r="G61" s="151">
        <f t="shared" si="0"/>
        <v>0</v>
      </c>
      <c r="H61" s="48">
        <f t="shared" si="11"/>
        <v>0</v>
      </c>
      <c r="I61" s="49">
        <f t="shared" si="15"/>
        <v>301520.96117999998</v>
      </c>
      <c r="J61" s="49">
        <f t="shared" si="12"/>
        <v>0</v>
      </c>
      <c r="K61" s="49">
        <f t="shared" si="5"/>
        <v>154427.62748928738</v>
      </c>
      <c r="L61" s="49">
        <f t="shared" si="6"/>
        <v>202702.7028</v>
      </c>
      <c r="M61" s="49">
        <f t="shared" si="7"/>
        <v>0</v>
      </c>
      <c r="N61" s="179">
        <v>0</v>
      </c>
      <c r="O61" s="220"/>
      <c r="P61" s="261">
        <f t="shared" si="13"/>
        <v>658651.56999999995</v>
      </c>
      <c r="Q61" s="261"/>
      <c r="R61" s="34">
        <f t="shared" si="14"/>
        <v>0.56999999999999995</v>
      </c>
      <c r="S61" s="3">
        <f t="shared" si="8"/>
        <v>57</v>
      </c>
    </row>
    <row r="62" spans="1:20" ht="24.95" customHeight="1" x14ac:dyDescent="0.25">
      <c r="A62" s="42">
        <v>8</v>
      </c>
      <c r="B62" s="42">
        <v>58</v>
      </c>
      <c r="C62" s="41" t="s">
        <v>45</v>
      </c>
      <c r="D62" s="46">
        <v>4.4999999999999997E-3</v>
      </c>
      <c r="E62" s="47">
        <v>1341991.58</v>
      </c>
      <c r="F62" s="199"/>
      <c r="G62" s="151">
        <f t="shared" si="0"/>
        <v>1341991.58</v>
      </c>
      <c r="H62" s="48">
        <f t="shared" si="11"/>
        <v>41427.280074600007</v>
      </c>
      <c r="I62" s="49">
        <f t="shared" si="15"/>
        <v>301520.96117999998</v>
      </c>
      <c r="J62" s="49">
        <f t="shared" si="12"/>
        <v>0</v>
      </c>
      <c r="K62" s="49">
        <f t="shared" si="5"/>
        <v>154427.62748928738</v>
      </c>
      <c r="L62" s="49">
        <f t="shared" si="6"/>
        <v>202702.7028</v>
      </c>
      <c r="M62" s="49">
        <f t="shared" si="7"/>
        <v>0</v>
      </c>
      <c r="N62" s="179">
        <v>0</v>
      </c>
      <c r="O62" s="220"/>
      <c r="P62" s="261">
        <f t="shared" si="13"/>
        <v>2042070.58</v>
      </c>
      <c r="Q62" s="261"/>
      <c r="R62" s="34">
        <f t="shared" si="14"/>
        <v>0.57999999999999996</v>
      </c>
      <c r="S62" s="3">
        <f t="shared" si="8"/>
        <v>58</v>
      </c>
    </row>
    <row r="63" spans="1:20" ht="24.95" customHeight="1" x14ac:dyDescent="0.25">
      <c r="A63" s="42">
        <v>9</v>
      </c>
      <c r="B63" s="42">
        <v>59</v>
      </c>
      <c r="C63" s="41" t="s">
        <v>76</v>
      </c>
      <c r="D63" s="46">
        <v>4.1000000000000003E-3</v>
      </c>
      <c r="E63" s="47">
        <v>1286132.5900000001</v>
      </c>
      <c r="F63" s="199">
        <f>670000+622500</f>
        <v>1292500</v>
      </c>
      <c r="G63" s="151">
        <f t="shared" si="0"/>
        <v>-6367.4099999999162</v>
      </c>
      <c r="H63" s="48">
        <f t="shared" si="11"/>
        <v>0</v>
      </c>
      <c r="I63" s="49">
        <f t="shared" si="15"/>
        <v>274719.09796400002</v>
      </c>
      <c r="J63" s="49">
        <f t="shared" si="12"/>
        <v>0</v>
      </c>
      <c r="K63" s="49">
        <f t="shared" si="5"/>
        <v>154427.62748928738</v>
      </c>
      <c r="L63" s="49">
        <f t="shared" si="6"/>
        <v>202702.7028</v>
      </c>
      <c r="M63" s="49">
        <f t="shared" si="7"/>
        <v>0</v>
      </c>
      <c r="N63" s="179">
        <v>0</v>
      </c>
      <c r="O63" s="220"/>
      <c r="P63" s="261">
        <f t="shared" si="13"/>
        <v>625482.59</v>
      </c>
      <c r="Q63" s="261"/>
      <c r="R63" s="34">
        <f t="shared" si="14"/>
        <v>0.59</v>
      </c>
      <c r="S63" s="3">
        <f t="shared" si="8"/>
        <v>59</v>
      </c>
    </row>
    <row r="64" spans="1:20" ht="24.95" customHeight="1" x14ac:dyDescent="0.25">
      <c r="A64" s="42">
        <v>9</v>
      </c>
      <c r="B64" s="41">
        <v>60</v>
      </c>
      <c r="C64" s="41" t="s">
        <v>77</v>
      </c>
      <c r="D64" s="46">
        <v>4.4999999999999997E-3</v>
      </c>
      <c r="E64" s="47">
        <v>679798.6</v>
      </c>
      <c r="F64" s="199">
        <f>293000+387000</f>
        <v>680000</v>
      </c>
      <c r="G64" s="151">
        <f>E64-F64</f>
        <v>-201.40000000002328</v>
      </c>
      <c r="H64" s="48">
        <f t="shared" si="11"/>
        <v>0</v>
      </c>
      <c r="I64" s="49">
        <f t="shared" si="15"/>
        <v>301520.96117999998</v>
      </c>
      <c r="J64" s="49">
        <f t="shared" si="12"/>
        <v>0</v>
      </c>
      <c r="K64" s="49">
        <f t="shared" si="5"/>
        <v>154427.62748928738</v>
      </c>
      <c r="L64" s="49">
        <f t="shared" si="6"/>
        <v>202702.7028</v>
      </c>
      <c r="M64" s="49">
        <f t="shared" si="7"/>
        <v>0</v>
      </c>
      <c r="N64" s="179">
        <v>0</v>
      </c>
      <c r="O64" s="220"/>
      <c r="P64" s="261">
        <f t="shared" si="13"/>
        <v>658450.6</v>
      </c>
      <c r="Q64" s="261"/>
      <c r="R64" s="34">
        <f t="shared" si="14"/>
        <v>0.6</v>
      </c>
      <c r="S64" s="3">
        <f t="shared" si="8"/>
        <v>60</v>
      </c>
      <c r="T64" t="s">
        <v>233</v>
      </c>
    </row>
    <row r="65" spans="1:20" ht="24.95" customHeight="1" x14ac:dyDescent="0.25">
      <c r="A65" s="42">
        <v>10</v>
      </c>
      <c r="B65" s="42">
        <v>61</v>
      </c>
      <c r="C65" s="41" t="s">
        <v>78</v>
      </c>
      <c r="D65" s="46">
        <v>4.4999999999999997E-3</v>
      </c>
      <c r="E65" s="47">
        <v>671934.61</v>
      </c>
      <c r="F65" s="199">
        <f>448000+216000+4000+4000</f>
        <v>672000</v>
      </c>
      <c r="G65" s="151">
        <f t="shared" si="0"/>
        <v>-65.39000000001397</v>
      </c>
      <c r="H65" s="48">
        <f t="shared" si="11"/>
        <v>0</v>
      </c>
      <c r="I65" s="49">
        <f t="shared" si="15"/>
        <v>301520.96117999998</v>
      </c>
      <c r="J65" s="49">
        <f t="shared" si="12"/>
        <v>0</v>
      </c>
      <c r="K65" s="49">
        <f t="shared" si="5"/>
        <v>154427.62748928738</v>
      </c>
      <c r="L65" s="49">
        <f t="shared" si="6"/>
        <v>202702.7028</v>
      </c>
      <c r="M65" s="49">
        <f t="shared" si="7"/>
        <v>0</v>
      </c>
      <c r="N65" s="179">
        <v>0</v>
      </c>
      <c r="O65" s="220"/>
      <c r="P65" s="261">
        <f t="shared" si="13"/>
        <v>658586.61</v>
      </c>
      <c r="Q65" s="261"/>
      <c r="R65" s="34">
        <f t="shared" si="14"/>
        <v>0.61</v>
      </c>
      <c r="S65" s="3">
        <f t="shared" si="8"/>
        <v>61</v>
      </c>
      <c r="T65" s="157" t="s">
        <v>232</v>
      </c>
    </row>
    <row r="66" spans="1:20" ht="24.95" customHeight="1" x14ac:dyDescent="0.25">
      <c r="A66" s="42">
        <v>10</v>
      </c>
      <c r="B66" s="42">
        <v>62</v>
      </c>
      <c r="C66" s="41" t="s">
        <v>79</v>
      </c>
      <c r="D66" s="46">
        <v>4.1000000000000003E-3</v>
      </c>
      <c r="E66" s="47">
        <v>904412.62</v>
      </c>
      <c r="F66" s="199">
        <f>E66</f>
        <v>904412.62</v>
      </c>
      <c r="G66" s="151">
        <f t="shared" si="0"/>
        <v>0</v>
      </c>
      <c r="H66" s="48">
        <f t="shared" si="11"/>
        <v>0</v>
      </c>
      <c r="I66" s="49">
        <f t="shared" si="15"/>
        <v>274719.09796400002</v>
      </c>
      <c r="J66" s="49">
        <f t="shared" si="12"/>
        <v>0</v>
      </c>
      <c r="K66" s="49">
        <f t="shared" si="5"/>
        <v>154427.62748928738</v>
      </c>
      <c r="L66" s="49">
        <f t="shared" si="6"/>
        <v>202702.7028</v>
      </c>
      <c r="M66" s="49">
        <v>51707</v>
      </c>
      <c r="N66" s="179">
        <f>(I66+K66)/2</f>
        <v>214573.36272664368</v>
      </c>
      <c r="O66" s="220"/>
      <c r="P66" s="261">
        <f t="shared" si="13"/>
        <v>898130.62</v>
      </c>
      <c r="Q66" s="261"/>
      <c r="R66" s="34">
        <f t="shared" si="14"/>
        <v>0.62</v>
      </c>
      <c r="S66" s="3">
        <f t="shared" si="8"/>
        <v>62</v>
      </c>
    </row>
    <row r="67" spans="1:20" ht="24.95" customHeight="1" x14ac:dyDescent="0.25">
      <c r="A67" s="42">
        <v>11</v>
      </c>
      <c r="B67" s="42">
        <v>63</v>
      </c>
      <c r="C67" s="41" t="s">
        <v>80</v>
      </c>
      <c r="D67" s="46">
        <v>4.4999999999999997E-3</v>
      </c>
      <c r="E67" s="47">
        <v>672185.63</v>
      </c>
      <c r="F67" s="199">
        <f>E67</f>
        <v>672185.63</v>
      </c>
      <c r="G67" s="151">
        <f>E67-F67</f>
        <v>0</v>
      </c>
      <c r="H67" s="48">
        <f t="shared" si="11"/>
        <v>0</v>
      </c>
      <c r="I67" s="49">
        <f t="shared" si="15"/>
        <v>301520.96117999998</v>
      </c>
      <c r="J67" s="49">
        <f t="shared" si="12"/>
        <v>0</v>
      </c>
      <c r="K67" s="49">
        <f t="shared" si="5"/>
        <v>154427.62748928738</v>
      </c>
      <c r="L67" s="49">
        <f t="shared" si="6"/>
        <v>202702.7028</v>
      </c>
      <c r="M67" s="49">
        <f t="shared" si="7"/>
        <v>0</v>
      </c>
      <c r="N67" s="179">
        <v>0</v>
      </c>
      <c r="O67" s="220"/>
      <c r="P67" s="261">
        <f t="shared" si="13"/>
        <v>658651.63</v>
      </c>
      <c r="Q67" s="261"/>
      <c r="R67" s="34">
        <f t="shared" si="14"/>
        <v>0.63</v>
      </c>
      <c r="S67" s="3">
        <f t="shared" si="8"/>
        <v>63</v>
      </c>
      <c r="T67" t="s">
        <v>213</v>
      </c>
    </row>
    <row r="68" spans="1:20" ht="24.95" customHeight="1" x14ac:dyDescent="0.25">
      <c r="A68" s="42">
        <v>11</v>
      </c>
      <c r="B68" s="42">
        <v>64</v>
      </c>
      <c r="C68" s="41" t="s">
        <v>81</v>
      </c>
      <c r="D68" s="46">
        <v>4.4999999999999997E-3</v>
      </c>
      <c r="E68" s="47">
        <v>672185.64</v>
      </c>
      <c r="F68" s="199">
        <f>E68</f>
        <v>672185.64</v>
      </c>
      <c r="G68" s="151">
        <f t="shared" si="0"/>
        <v>0</v>
      </c>
      <c r="H68" s="48">
        <f t="shared" si="11"/>
        <v>0</v>
      </c>
      <c r="I68" s="49">
        <f t="shared" si="15"/>
        <v>301520.96117999998</v>
      </c>
      <c r="J68" s="49">
        <f t="shared" si="12"/>
        <v>0</v>
      </c>
      <c r="K68" s="49">
        <f t="shared" si="5"/>
        <v>154427.62748928738</v>
      </c>
      <c r="L68" s="49">
        <f t="shared" si="6"/>
        <v>202702.7028</v>
      </c>
      <c r="M68" s="49">
        <f t="shared" si="7"/>
        <v>0</v>
      </c>
      <c r="N68" s="179">
        <v>0</v>
      </c>
      <c r="O68" s="220"/>
      <c r="P68" s="261">
        <f t="shared" si="13"/>
        <v>658651.64</v>
      </c>
      <c r="Q68" s="261"/>
      <c r="R68" s="34">
        <f t="shared" si="14"/>
        <v>0.64</v>
      </c>
      <c r="S68" s="3">
        <f t="shared" si="8"/>
        <v>64</v>
      </c>
      <c r="T68" t="s">
        <v>249</v>
      </c>
    </row>
    <row r="69" spans="1:20" ht="24.95" customHeight="1" x14ac:dyDescent="0.25">
      <c r="A69" s="42">
        <v>12</v>
      </c>
      <c r="B69" s="42">
        <v>65</v>
      </c>
      <c r="C69" s="41" t="s">
        <v>82</v>
      </c>
      <c r="D69" s="46">
        <v>4.4999999999999997E-3</v>
      </c>
      <c r="E69" s="47">
        <v>672185.65</v>
      </c>
      <c r="F69" s="199">
        <f>E69</f>
        <v>672185.65</v>
      </c>
      <c r="G69" s="151">
        <f t="shared" ref="G69:G156" si="17">E69-F69</f>
        <v>0</v>
      </c>
      <c r="H69" s="48">
        <f t="shared" si="11"/>
        <v>0</v>
      </c>
      <c r="I69" s="49">
        <f t="shared" si="15"/>
        <v>301520.96117999998</v>
      </c>
      <c r="J69" s="49">
        <f t="shared" ref="J69:J100" si="18">P$2*D69</f>
        <v>0</v>
      </c>
      <c r="K69" s="49">
        <f t="shared" si="5"/>
        <v>154427.62748928738</v>
      </c>
      <c r="L69" s="49">
        <f t="shared" si="6"/>
        <v>202702.7028</v>
      </c>
      <c r="M69" s="49">
        <f t="shared" si="7"/>
        <v>0</v>
      </c>
      <c r="N69" s="179">
        <v>0</v>
      </c>
      <c r="O69" s="220"/>
      <c r="P69" s="261">
        <f t="shared" ref="P69:P100" si="19">ROUND(SUM(G69:O69),0) + R69</f>
        <v>658651.65</v>
      </c>
      <c r="Q69" s="261"/>
      <c r="R69" s="34">
        <f t="shared" ref="R69:R100" si="20">ROUND(0.001+B69/100,2)</f>
        <v>0.65</v>
      </c>
      <c r="S69" s="3">
        <f t="shared" si="8"/>
        <v>65</v>
      </c>
    </row>
    <row r="70" spans="1:20" ht="24.95" customHeight="1" x14ac:dyDescent="0.25">
      <c r="A70" s="42">
        <v>12</v>
      </c>
      <c r="B70" s="42">
        <v>66</v>
      </c>
      <c r="C70" s="41" t="s">
        <v>83</v>
      </c>
      <c r="D70" s="46">
        <v>4.4999999999999997E-3</v>
      </c>
      <c r="E70" s="47">
        <v>672185.66</v>
      </c>
      <c r="F70" s="199">
        <f>E70</f>
        <v>672185.66</v>
      </c>
      <c r="G70" s="151">
        <f t="shared" si="17"/>
        <v>0</v>
      </c>
      <c r="H70" s="48">
        <f t="shared" si="11"/>
        <v>0</v>
      </c>
      <c r="I70" s="49">
        <f t="shared" si="15"/>
        <v>301520.96117999998</v>
      </c>
      <c r="J70" s="49">
        <f t="shared" si="18"/>
        <v>0</v>
      </c>
      <c r="K70" s="49">
        <f t="shared" ref="K70:K133" si="21">G$2*0.675675676%</f>
        <v>154427.62748928738</v>
      </c>
      <c r="L70" s="49">
        <f t="shared" ref="L70:L133" si="22">P$1*0.675675676%</f>
        <v>202702.7028</v>
      </c>
      <c r="M70" s="49">
        <f t="shared" ref="M70:M133" si="23">G$1*D70</f>
        <v>0</v>
      </c>
      <c r="N70" s="179">
        <v>0</v>
      </c>
      <c r="O70" s="220"/>
      <c r="P70" s="261">
        <f t="shared" si="19"/>
        <v>658651.66</v>
      </c>
      <c r="Q70" s="261"/>
      <c r="R70" s="34">
        <f t="shared" si="20"/>
        <v>0.66</v>
      </c>
      <c r="S70" s="3">
        <f t="shared" ref="S70:S133" si="24">B70</f>
        <v>66</v>
      </c>
      <c r="T70" t="s">
        <v>369</v>
      </c>
    </row>
    <row r="71" spans="1:20" ht="24.95" customHeight="1" x14ac:dyDescent="0.25">
      <c r="A71" s="42">
        <v>1</v>
      </c>
      <c r="B71" s="42">
        <v>67</v>
      </c>
      <c r="C71" s="41" t="s">
        <v>84</v>
      </c>
      <c r="D71" s="46">
        <v>4.4999999999999997E-3</v>
      </c>
      <c r="E71" s="47">
        <v>1341991.67</v>
      </c>
      <c r="F71" s="199">
        <v>649748.03</v>
      </c>
      <c r="G71" s="151">
        <f t="shared" si="17"/>
        <v>692243.6399999999</v>
      </c>
      <c r="H71" s="48">
        <f t="shared" ref="H71:H134" si="25">IF(G71&gt;0,G71*3.087%,0)</f>
        <v>21369.561166799998</v>
      </c>
      <c r="I71" s="49">
        <f t="shared" si="15"/>
        <v>301520.96117999998</v>
      </c>
      <c r="J71" s="49">
        <f t="shared" si="18"/>
        <v>0</v>
      </c>
      <c r="K71" s="49">
        <f t="shared" si="21"/>
        <v>154427.62748928738</v>
      </c>
      <c r="L71" s="49">
        <f t="shared" si="22"/>
        <v>202702.7028</v>
      </c>
      <c r="M71" s="49">
        <f t="shared" si="23"/>
        <v>0</v>
      </c>
      <c r="N71" s="179">
        <v>0</v>
      </c>
      <c r="O71" s="220"/>
      <c r="P71" s="261">
        <f t="shared" si="19"/>
        <v>1372264.67</v>
      </c>
      <c r="Q71" s="261"/>
      <c r="R71" s="34">
        <f t="shared" si="20"/>
        <v>0.67</v>
      </c>
      <c r="S71" s="3">
        <f t="shared" si="24"/>
        <v>67</v>
      </c>
      <c r="T71" t="s">
        <v>360</v>
      </c>
    </row>
    <row r="72" spans="1:20" ht="24.95" customHeight="1" x14ac:dyDescent="0.25">
      <c r="A72" s="42"/>
      <c r="B72" s="42">
        <f>B71+1</f>
        <v>68</v>
      </c>
      <c r="C72" s="41" t="s">
        <v>88</v>
      </c>
      <c r="D72" s="46">
        <v>4.4999999999999997E-3</v>
      </c>
      <c r="E72" s="47">
        <v>1887995.68</v>
      </c>
      <c r="F72" s="199"/>
      <c r="G72" s="151">
        <f t="shared" si="17"/>
        <v>1887995.68</v>
      </c>
      <c r="H72" s="48">
        <f t="shared" si="25"/>
        <v>58282.426641600003</v>
      </c>
      <c r="I72" s="49">
        <f t="shared" si="15"/>
        <v>301520.96117999998</v>
      </c>
      <c r="J72" s="49">
        <f t="shared" si="18"/>
        <v>0</v>
      </c>
      <c r="K72" s="49">
        <f t="shared" si="21"/>
        <v>154427.62748928738</v>
      </c>
      <c r="L72" s="49">
        <f t="shared" si="22"/>
        <v>202702.7028</v>
      </c>
      <c r="M72" s="49">
        <v>56751</v>
      </c>
      <c r="N72" s="179">
        <f>(I72+K72)/2</f>
        <v>227974.2943346437</v>
      </c>
      <c r="O72" s="220"/>
      <c r="P72" s="261">
        <f t="shared" si="19"/>
        <v>2889655.68</v>
      </c>
      <c r="Q72" s="261"/>
      <c r="R72" s="34">
        <f t="shared" si="20"/>
        <v>0.68</v>
      </c>
      <c r="S72" s="3">
        <f t="shared" si="24"/>
        <v>68</v>
      </c>
    </row>
    <row r="73" spans="1:20" ht="24.95" customHeight="1" x14ac:dyDescent="0.25">
      <c r="A73" s="42"/>
      <c r="B73" s="42">
        <f t="shared" ref="B73:B136" si="26">B72+1</f>
        <v>69</v>
      </c>
      <c r="C73" s="41" t="s">
        <v>89</v>
      </c>
      <c r="D73" s="46">
        <v>3.5999999999999999E-3</v>
      </c>
      <c r="E73" s="47">
        <v>610090.68999999994</v>
      </c>
      <c r="F73" s="199">
        <f>E73</f>
        <v>610090.68999999994</v>
      </c>
      <c r="G73" s="151">
        <f t="shared" si="17"/>
        <v>0</v>
      </c>
      <c r="H73" s="48">
        <f t="shared" si="25"/>
        <v>0</v>
      </c>
      <c r="I73" s="49">
        <f t="shared" si="15"/>
        <v>241216.76894399998</v>
      </c>
      <c r="J73" s="49">
        <f t="shared" si="18"/>
        <v>0</v>
      </c>
      <c r="K73" s="49">
        <f t="shared" si="21"/>
        <v>154427.62748928738</v>
      </c>
      <c r="L73" s="49">
        <f t="shared" si="22"/>
        <v>202702.7028</v>
      </c>
      <c r="M73" s="49">
        <f t="shared" si="23"/>
        <v>0</v>
      </c>
      <c r="N73" s="179">
        <v>0</v>
      </c>
      <c r="O73" s="220"/>
      <c r="P73" s="261">
        <f t="shared" si="19"/>
        <v>598347.68999999994</v>
      </c>
      <c r="Q73" s="261"/>
      <c r="R73" s="34">
        <f t="shared" si="20"/>
        <v>0.69</v>
      </c>
      <c r="S73" s="3">
        <f t="shared" si="24"/>
        <v>69</v>
      </c>
      <c r="T73" t="s">
        <v>230</v>
      </c>
    </row>
    <row r="74" spans="1:20" ht="24.95" customHeight="1" x14ac:dyDescent="0.25">
      <c r="A74" s="42"/>
      <c r="B74" s="42">
        <f t="shared" si="26"/>
        <v>70</v>
      </c>
      <c r="C74" s="41" t="s">
        <v>90</v>
      </c>
      <c r="D74" s="46">
        <v>4.4000000000000003E-3</v>
      </c>
      <c r="E74" s="47">
        <v>665286.69999999995</v>
      </c>
      <c r="F74" s="199">
        <v>665286</v>
      </c>
      <c r="G74" s="151">
        <f t="shared" si="17"/>
        <v>0.69999999995343387</v>
      </c>
      <c r="H74" s="48">
        <f t="shared" si="25"/>
        <v>2.1608999998562504E-2</v>
      </c>
      <c r="I74" s="49">
        <f t="shared" si="15"/>
        <v>294820.49537600001</v>
      </c>
      <c r="J74" s="49">
        <f t="shared" si="18"/>
        <v>0</v>
      </c>
      <c r="K74" s="49">
        <f t="shared" si="21"/>
        <v>154427.62748928738</v>
      </c>
      <c r="L74" s="49">
        <f t="shared" si="22"/>
        <v>202702.7028</v>
      </c>
      <c r="M74" s="49">
        <f t="shared" si="23"/>
        <v>0</v>
      </c>
      <c r="N74" s="179">
        <v>0</v>
      </c>
      <c r="O74" s="220"/>
      <c r="P74" s="261">
        <f t="shared" si="19"/>
        <v>651952.69999999995</v>
      </c>
      <c r="Q74" s="261"/>
      <c r="R74" s="34">
        <f t="shared" si="20"/>
        <v>0.7</v>
      </c>
      <c r="S74" s="3">
        <f t="shared" si="24"/>
        <v>70</v>
      </c>
      <c r="T74" t="s">
        <v>375</v>
      </c>
    </row>
    <row r="75" spans="1:20" ht="24.95" customHeight="1" x14ac:dyDescent="0.25">
      <c r="A75" s="42"/>
      <c r="B75" s="42">
        <f t="shared" si="26"/>
        <v>71</v>
      </c>
      <c r="C75" s="41" t="s">
        <v>91</v>
      </c>
      <c r="D75" s="46">
        <v>4.0000000000000001E-3</v>
      </c>
      <c r="E75" s="47">
        <v>637688.71</v>
      </c>
      <c r="F75" s="199">
        <v>637689</v>
      </c>
      <c r="G75" s="151">
        <f t="shared" si="17"/>
        <v>-0.2900000000372529</v>
      </c>
      <c r="H75" s="48">
        <f t="shared" si="25"/>
        <v>0</v>
      </c>
      <c r="I75" s="49">
        <f t="shared" si="15"/>
        <v>268018.63215999998</v>
      </c>
      <c r="J75" s="49">
        <f t="shared" si="18"/>
        <v>0</v>
      </c>
      <c r="K75" s="49">
        <f t="shared" si="21"/>
        <v>154427.62748928738</v>
      </c>
      <c r="L75" s="49">
        <f t="shared" si="22"/>
        <v>202702.7028</v>
      </c>
      <c r="M75" s="49">
        <f t="shared" si="23"/>
        <v>0</v>
      </c>
      <c r="N75" s="179">
        <v>0</v>
      </c>
      <c r="O75" s="220"/>
      <c r="P75" s="261">
        <f t="shared" si="19"/>
        <v>625149.71</v>
      </c>
      <c r="Q75" s="261"/>
      <c r="R75" s="34">
        <f t="shared" si="20"/>
        <v>0.71</v>
      </c>
      <c r="S75" s="3">
        <f t="shared" si="24"/>
        <v>71</v>
      </c>
      <c r="T75" t="s">
        <v>248</v>
      </c>
    </row>
    <row r="76" spans="1:20" ht="24.95" customHeight="1" x14ac:dyDescent="0.25">
      <c r="A76" s="42"/>
      <c r="B76" s="42">
        <f t="shared" si="26"/>
        <v>72</v>
      </c>
      <c r="C76" s="41" t="s">
        <v>92</v>
      </c>
      <c r="D76" s="46">
        <v>4.0000000000000001E-3</v>
      </c>
      <c r="E76" s="47">
        <v>602748.72</v>
      </c>
      <c r="F76" s="199"/>
      <c r="G76" s="151">
        <f t="shared" si="17"/>
        <v>602748.72</v>
      </c>
      <c r="H76" s="48">
        <f t="shared" si="25"/>
        <v>18606.852986400001</v>
      </c>
      <c r="I76" s="49">
        <f t="shared" si="15"/>
        <v>268018.63215999998</v>
      </c>
      <c r="J76" s="49">
        <f t="shared" si="18"/>
        <v>0</v>
      </c>
      <c r="K76" s="49">
        <f t="shared" si="21"/>
        <v>154427.62748928738</v>
      </c>
      <c r="L76" s="49">
        <f t="shared" si="22"/>
        <v>202702.7028</v>
      </c>
      <c r="M76" s="49">
        <f t="shared" si="23"/>
        <v>0</v>
      </c>
      <c r="N76" s="179">
        <v>0</v>
      </c>
      <c r="O76" s="220"/>
      <c r="P76" s="261">
        <f t="shared" si="19"/>
        <v>1246505.72</v>
      </c>
      <c r="Q76" s="261"/>
      <c r="R76" s="34">
        <f t="shared" si="20"/>
        <v>0.72</v>
      </c>
      <c r="S76" s="3">
        <f t="shared" si="24"/>
        <v>72</v>
      </c>
      <c r="T76" t="s">
        <v>211</v>
      </c>
    </row>
    <row r="77" spans="1:20" ht="24.95" customHeight="1" x14ac:dyDescent="0.25">
      <c r="A77" s="42"/>
      <c r="B77" s="42">
        <f t="shared" si="26"/>
        <v>73</v>
      </c>
      <c r="C77" s="41" t="s">
        <v>93</v>
      </c>
      <c r="D77" s="46">
        <v>4.0000000000000001E-3</v>
      </c>
      <c r="E77" s="47">
        <v>1271687.73</v>
      </c>
      <c r="F77" s="199">
        <f>300000+340000</f>
        <v>640000</v>
      </c>
      <c r="G77" s="151">
        <f t="shared" si="17"/>
        <v>631687.73</v>
      </c>
      <c r="H77" s="48">
        <f t="shared" si="25"/>
        <v>19500.200225100001</v>
      </c>
      <c r="I77" s="49">
        <f t="shared" si="15"/>
        <v>268018.63215999998</v>
      </c>
      <c r="J77" s="49">
        <f t="shared" si="18"/>
        <v>0</v>
      </c>
      <c r="K77" s="49">
        <f t="shared" si="21"/>
        <v>154427.62748928738</v>
      </c>
      <c r="L77" s="49">
        <f t="shared" si="22"/>
        <v>202702.7028</v>
      </c>
      <c r="M77" s="49">
        <f t="shared" si="23"/>
        <v>0</v>
      </c>
      <c r="N77" s="179">
        <v>0</v>
      </c>
      <c r="O77" s="220"/>
      <c r="P77" s="261">
        <f t="shared" si="19"/>
        <v>1276337.73</v>
      </c>
      <c r="Q77" s="261"/>
      <c r="R77" s="34">
        <f t="shared" si="20"/>
        <v>0.73</v>
      </c>
      <c r="S77" s="3">
        <f t="shared" si="24"/>
        <v>73</v>
      </c>
    </row>
    <row r="78" spans="1:20" ht="24.95" customHeight="1" x14ac:dyDescent="0.25">
      <c r="A78" s="42"/>
      <c r="B78" s="42">
        <f t="shared" si="26"/>
        <v>74</v>
      </c>
      <c r="C78" s="41" t="s">
        <v>94</v>
      </c>
      <c r="D78" s="46">
        <v>4.4000000000000003E-3</v>
      </c>
      <c r="E78" s="47">
        <v>665286.74</v>
      </c>
      <c r="F78" s="199">
        <f>E78</f>
        <v>665286.74</v>
      </c>
      <c r="G78" s="151">
        <f t="shared" si="17"/>
        <v>0</v>
      </c>
      <c r="H78" s="48">
        <f t="shared" si="25"/>
        <v>0</v>
      </c>
      <c r="I78" s="49">
        <f t="shared" si="15"/>
        <v>294820.49537600001</v>
      </c>
      <c r="J78" s="49">
        <f t="shared" si="18"/>
        <v>0</v>
      </c>
      <c r="K78" s="49">
        <f t="shared" si="21"/>
        <v>154427.62748928738</v>
      </c>
      <c r="L78" s="49">
        <f t="shared" si="22"/>
        <v>202702.7028</v>
      </c>
      <c r="M78" s="49">
        <f t="shared" si="23"/>
        <v>0</v>
      </c>
      <c r="N78" s="179">
        <v>0</v>
      </c>
      <c r="O78" s="220"/>
      <c r="P78" s="261">
        <f t="shared" si="19"/>
        <v>651951.74</v>
      </c>
      <c r="Q78" s="261"/>
      <c r="R78" s="34">
        <f t="shared" si="20"/>
        <v>0.74</v>
      </c>
      <c r="S78" s="3">
        <f t="shared" si="24"/>
        <v>74</v>
      </c>
    </row>
    <row r="79" spans="1:20" ht="24.95" customHeight="1" x14ac:dyDescent="0.25">
      <c r="A79" s="42"/>
      <c r="B79" s="42">
        <f t="shared" si="26"/>
        <v>75</v>
      </c>
      <c r="C79" s="41" t="s">
        <v>283</v>
      </c>
      <c r="D79" s="46">
        <v>4.1000000000000003E-3</v>
      </c>
      <c r="E79" s="47">
        <v>644588.75</v>
      </c>
      <c r="F79" s="199">
        <f>E79</f>
        <v>644588.75</v>
      </c>
      <c r="G79" s="151">
        <f t="shared" si="17"/>
        <v>0</v>
      </c>
      <c r="H79" s="48">
        <f t="shared" si="25"/>
        <v>0</v>
      </c>
      <c r="I79" s="49">
        <f t="shared" si="15"/>
        <v>274719.09796400002</v>
      </c>
      <c r="J79" s="49">
        <f t="shared" si="18"/>
        <v>0</v>
      </c>
      <c r="K79" s="49">
        <f t="shared" si="21"/>
        <v>154427.62748928738</v>
      </c>
      <c r="L79" s="49">
        <f t="shared" si="22"/>
        <v>202702.7028</v>
      </c>
      <c r="M79" s="49">
        <f t="shared" si="23"/>
        <v>0</v>
      </c>
      <c r="N79" s="179">
        <v>0</v>
      </c>
      <c r="O79" s="220"/>
      <c r="P79" s="261">
        <f t="shared" si="19"/>
        <v>631849.75</v>
      </c>
      <c r="Q79" s="261"/>
      <c r="R79" s="34">
        <f t="shared" si="20"/>
        <v>0.75</v>
      </c>
      <c r="S79" s="3">
        <f t="shared" si="24"/>
        <v>75</v>
      </c>
      <c r="T79" t="s">
        <v>228</v>
      </c>
    </row>
    <row r="80" spans="1:20" ht="24.95" customHeight="1" x14ac:dyDescent="0.25">
      <c r="A80" s="42"/>
      <c r="B80" s="42">
        <f t="shared" si="26"/>
        <v>76</v>
      </c>
      <c r="C80" s="41" t="s">
        <v>86</v>
      </c>
      <c r="D80" s="46">
        <v>4.4999999999999997E-3</v>
      </c>
      <c r="E80" s="47">
        <v>672185.76</v>
      </c>
      <c r="F80" s="199">
        <f t="shared" si="16"/>
        <v>672185.76</v>
      </c>
      <c r="G80" s="151">
        <f t="shared" si="17"/>
        <v>0</v>
      </c>
      <c r="H80" s="48">
        <f t="shared" si="25"/>
        <v>0</v>
      </c>
      <c r="I80" s="49">
        <f t="shared" si="15"/>
        <v>301520.96117999998</v>
      </c>
      <c r="J80" s="49">
        <f t="shared" si="18"/>
        <v>0</v>
      </c>
      <c r="K80" s="49">
        <f t="shared" si="21"/>
        <v>154427.62748928738</v>
      </c>
      <c r="L80" s="49">
        <f t="shared" si="22"/>
        <v>202702.7028</v>
      </c>
      <c r="M80" s="49">
        <f t="shared" si="23"/>
        <v>0</v>
      </c>
      <c r="N80" s="179">
        <v>0</v>
      </c>
      <c r="O80" s="220"/>
      <c r="P80" s="261">
        <f t="shared" si="19"/>
        <v>658651.76</v>
      </c>
      <c r="Q80" s="261"/>
      <c r="R80" s="34">
        <f t="shared" si="20"/>
        <v>0.76</v>
      </c>
      <c r="S80" s="3">
        <f t="shared" si="24"/>
        <v>76</v>
      </c>
    </row>
    <row r="81" spans="1:24" ht="24.95" customHeight="1" x14ac:dyDescent="0.25">
      <c r="A81" s="42"/>
      <c r="B81" s="42">
        <f t="shared" si="26"/>
        <v>77</v>
      </c>
      <c r="C81" s="41" t="s">
        <v>95</v>
      </c>
      <c r="D81" s="46">
        <v>6.1000000000000004E-3</v>
      </c>
      <c r="E81" s="47">
        <v>782575.77</v>
      </c>
      <c r="F81" s="199"/>
      <c r="G81" s="151">
        <f t="shared" si="17"/>
        <v>782575.77</v>
      </c>
      <c r="H81" s="48">
        <f t="shared" si="25"/>
        <v>24158.1140199</v>
      </c>
      <c r="I81" s="49">
        <f t="shared" si="15"/>
        <v>408728.41404400003</v>
      </c>
      <c r="J81" s="49">
        <f t="shared" si="18"/>
        <v>0</v>
      </c>
      <c r="K81" s="49">
        <f t="shared" si="21"/>
        <v>154427.62748928738</v>
      </c>
      <c r="L81" s="49">
        <f t="shared" si="22"/>
        <v>202702.7028</v>
      </c>
      <c r="M81" s="49">
        <f t="shared" si="23"/>
        <v>0</v>
      </c>
      <c r="N81" s="179">
        <v>0</v>
      </c>
      <c r="O81" s="220"/>
      <c r="P81" s="261">
        <f t="shared" si="19"/>
        <v>1572593.77</v>
      </c>
      <c r="Q81" s="261"/>
      <c r="R81" s="34">
        <f t="shared" si="20"/>
        <v>0.77</v>
      </c>
      <c r="S81" s="3">
        <f t="shared" si="24"/>
        <v>77</v>
      </c>
    </row>
    <row r="82" spans="1:24" ht="24.95" customHeight="1" x14ac:dyDescent="0.25">
      <c r="A82" s="42"/>
      <c r="B82" s="42">
        <f t="shared" si="26"/>
        <v>78</v>
      </c>
      <c r="C82" s="41" t="s">
        <v>96</v>
      </c>
      <c r="D82" s="46">
        <v>4.7999999999999996E-3</v>
      </c>
      <c r="E82" s="47">
        <v>1397317.78</v>
      </c>
      <c r="F82" s="199">
        <f>504000+12000+2000+684400+196000</f>
        <v>1398400</v>
      </c>
      <c r="G82" s="151">
        <f t="shared" si="17"/>
        <v>-1082.2199999999721</v>
      </c>
      <c r="H82" s="48">
        <f t="shared" si="25"/>
        <v>0</v>
      </c>
      <c r="I82" s="49">
        <f t="shared" si="15"/>
        <v>321622.35859199998</v>
      </c>
      <c r="J82" s="49">
        <f t="shared" si="18"/>
        <v>0</v>
      </c>
      <c r="K82" s="49">
        <f t="shared" si="21"/>
        <v>154427.62748928738</v>
      </c>
      <c r="L82" s="49">
        <f t="shared" si="22"/>
        <v>202702.7028</v>
      </c>
      <c r="M82" s="49">
        <f t="shared" si="23"/>
        <v>0</v>
      </c>
      <c r="N82" s="179">
        <v>0</v>
      </c>
      <c r="O82" s="220"/>
      <c r="P82" s="261">
        <f t="shared" si="19"/>
        <v>677670.78</v>
      </c>
      <c r="Q82" s="261"/>
      <c r="R82" s="34">
        <f t="shared" si="20"/>
        <v>0.78</v>
      </c>
      <c r="S82" s="3">
        <f t="shared" si="24"/>
        <v>78</v>
      </c>
      <c r="T82" t="s">
        <v>355</v>
      </c>
    </row>
    <row r="83" spans="1:24" ht="24.95" customHeight="1" x14ac:dyDescent="0.25">
      <c r="A83" s="42"/>
      <c r="B83" s="41">
        <f t="shared" si="26"/>
        <v>79</v>
      </c>
      <c r="C83" s="41" t="s">
        <v>97</v>
      </c>
      <c r="D83" s="200">
        <v>4.4999999999999997E-3</v>
      </c>
      <c r="E83" s="199">
        <v>1721426.79</v>
      </c>
      <c r="F83" s="199">
        <f>278548+371200+368144</f>
        <v>1017892</v>
      </c>
      <c r="G83" s="152">
        <f t="shared" si="17"/>
        <v>703534.79</v>
      </c>
      <c r="H83" s="201">
        <f t="shared" si="25"/>
        <v>21718.118967300001</v>
      </c>
      <c r="I83" s="179">
        <f t="shared" si="15"/>
        <v>301520.96117999998</v>
      </c>
      <c r="J83" s="179">
        <f t="shared" si="18"/>
        <v>0</v>
      </c>
      <c r="K83" s="179">
        <f t="shared" si="21"/>
        <v>154427.62748928738</v>
      </c>
      <c r="L83" s="179">
        <f t="shared" si="22"/>
        <v>202702.7028</v>
      </c>
      <c r="M83" s="179">
        <f t="shared" si="23"/>
        <v>0</v>
      </c>
      <c r="N83" s="179">
        <v>0</v>
      </c>
      <c r="O83" s="220"/>
      <c r="P83" s="272">
        <f t="shared" si="19"/>
        <v>1383904.79</v>
      </c>
      <c r="Q83" s="272"/>
      <c r="R83" s="202">
        <f t="shared" si="20"/>
        <v>0.79</v>
      </c>
      <c r="S83" s="144">
        <f t="shared" si="24"/>
        <v>79</v>
      </c>
      <c r="T83" s="67" t="s">
        <v>358</v>
      </c>
      <c r="X83" t="s">
        <v>357</v>
      </c>
    </row>
    <row r="84" spans="1:24" ht="24.95" customHeight="1" x14ac:dyDescent="0.25">
      <c r="A84" s="42"/>
      <c r="B84" s="42">
        <f t="shared" si="26"/>
        <v>80</v>
      </c>
      <c r="C84" s="41" t="s">
        <v>98</v>
      </c>
      <c r="D84" s="46">
        <v>4.4999999999999997E-3</v>
      </c>
      <c r="E84" s="47">
        <v>672185.8</v>
      </c>
      <c r="F84" s="199">
        <f t="shared" si="16"/>
        <v>672185.8</v>
      </c>
      <c r="G84" s="151">
        <f t="shared" si="17"/>
        <v>0</v>
      </c>
      <c r="H84" s="48">
        <f t="shared" si="25"/>
        <v>0</v>
      </c>
      <c r="I84" s="49">
        <f t="shared" si="15"/>
        <v>301520.96117999998</v>
      </c>
      <c r="J84" s="49">
        <f t="shared" si="18"/>
        <v>0</v>
      </c>
      <c r="K84" s="49">
        <f t="shared" si="21"/>
        <v>154427.62748928738</v>
      </c>
      <c r="L84" s="49">
        <f t="shared" si="22"/>
        <v>202702.7028</v>
      </c>
      <c r="M84" s="49">
        <f t="shared" si="23"/>
        <v>0</v>
      </c>
      <c r="N84" s="179">
        <v>0</v>
      </c>
      <c r="O84" s="220"/>
      <c r="P84" s="261">
        <f t="shared" si="19"/>
        <v>658651.80000000005</v>
      </c>
      <c r="Q84" s="261"/>
      <c r="R84" s="34">
        <f t="shared" si="20"/>
        <v>0.8</v>
      </c>
      <c r="S84" s="3">
        <f t="shared" si="24"/>
        <v>80</v>
      </c>
      <c r="T84" t="s">
        <v>380</v>
      </c>
    </row>
    <row r="85" spans="1:24" ht="24.95" customHeight="1" x14ac:dyDescent="0.25">
      <c r="A85" s="42"/>
      <c r="B85" s="41">
        <f t="shared" si="26"/>
        <v>81</v>
      </c>
      <c r="C85" s="41" t="s">
        <v>99</v>
      </c>
      <c r="D85" s="46">
        <v>4.4999999999999997E-3</v>
      </c>
      <c r="E85" s="47">
        <v>1349429.81</v>
      </c>
      <c r="F85" s="199">
        <f>656963.6+672186</f>
        <v>1329149.6000000001</v>
      </c>
      <c r="G85" s="151">
        <f t="shared" si="17"/>
        <v>20280.209999999963</v>
      </c>
      <c r="H85" s="48">
        <f t="shared" si="25"/>
        <v>626.05008269999894</v>
      </c>
      <c r="I85" s="49">
        <f t="shared" si="15"/>
        <v>301520.96117999998</v>
      </c>
      <c r="J85" s="49">
        <f t="shared" si="18"/>
        <v>0</v>
      </c>
      <c r="K85" s="49">
        <f t="shared" si="21"/>
        <v>154427.62748928738</v>
      </c>
      <c r="L85" s="49">
        <f t="shared" si="22"/>
        <v>202702.7028</v>
      </c>
      <c r="M85" s="49">
        <f t="shared" si="23"/>
        <v>0</v>
      </c>
      <c r="N85" s="179">
        <v>0</v>
      </c>
      <c r="O85" s="220"/>
      <c r="P85" s="261">
        <f t="shared" si="19"/>
        <v>679558.81</v>
      </c>
      <c r="Q85" s="261"/>
      <c r="R85" s="34">
        <f t="shared" si="20"/>
        <v>0.81</v>
      </c>
      <c r="S85" s="3">
        <f t="shared" si="24"/>
        <v>81</v>
      </c>
      <c r="T85" t="s">
        <v>263</v>
      </c>
    </row>
    <row r="86" spans="1:24" ht="24.95" customHeight="1" x14ac:dyDescent="0.25">
      <c r="A86" s="42"/>
      <c r="B86" s="42">
        <f t="shared" si="26"/>
        <v>82</v>
      </c>
      <c r="C86" s="41" t="s">
        <v>100</v>
      </c>
      <c r="D86" s="46">
        <v>4.1999999999999997E-3</v>
      </c>
      <c r="E86" s="47">
        <v>1915015.82</v>
      </c>
      <c r="F86" s="199"/>
      <c r="G86" s="151">
        <f t="shared" si="17"/>
        <v>1915015.82</v>
      </c>
      <c r="H86" s="48">
        <f t="shared" si="25"/>
        <v>59116.538363400003</v>
      </c>
      <c r="I86" s="49">
        <f t="shared" si="15"/>
        <v>281419.56376799999</v>
      </c>
      <c r="J86" s="49">
        <f t="shared" si="18"/>
        <v>0</v>
      </c>
      <c r="K86" s="49">
        <f t="shared" si="21"/>
        <v>154427.62748928738</v>
      </c>
      <c r="L86" s="49">
        <f t="shared" si="22"/>
        <v>202702.7028</v>
      </c>
      <c r="M86" s="49">
        <f t="shared" si="23"/>
        <v>0</v>
      </c>
      <c r="N86" s="179">
        <v>0</v>
      </c>
      <c r="O86" s="220"/>
      <c r="P86" s="261">
        <f t="shared" si="19"/>
        <v>2612682.8199999998</v>
      </c>
      <c r="Q86" s="261"/>
      <c r="R86" s="34">
        <f t="shared" si="20"/>
        <v>0.82</v>
      </c>
      <c r="S86" s="3">
        <f t="shared" si="24"/>
        <v>82</v>
      </c>
    </row>
    <row r="87" spans="1:24" ht="24.95" customHeight="1" x14ac:dyDescent="0.25">
      <c r="A87" s="42"/>
      <c r="B87" s="42">
        <f t="shared" si="26"/>
        <v>83</v>
      </c>
      <c r="C87" s="41" t="s">
        <v>101</v>
      </c>
      <c r="D87" s="46">
        <v>4.7999999999999996E-3</v>
      </c>
      <c r="E87" s="47">
        <v>692883.83</v>
      </c>
      <c r="F87" s="199">
        <f>E87</f>
        <v>692883.83</v>
      </c>
      <c r="G87" s="151">
        <f t="shared" si="17"/>
        <v>0</v>
      </c>
      <c r="H87" s="48">
        <f t="shared" si="25"/>
        <v>0</v>
      </c>
      <c r="I87" s="49">
        <f t="shared" si="15"/>
        <v>321622.35859199998</v>
      </c>
      <c r="J87" s="49">
        <f t="shared" si="18"/>
        <v>0</v>
      </c>
      <c r="K87" s="49">
        <f t="shared" si="21"/>
        <v>154427.62748928738</v>
      </c>
      <c r="L87" s="49">
        <f t="shared" si="22"/>
        <v>202702.7028</v>
      </c>
      <c r="M87" s="49">
        <f t="shared" si="23"/>
        <v>0</v>
      </c>
      <c r="N87" s="179">
        <v>0</v>
      </c>
      <c r="O87" s="220"/>
      <c r="P87" s="261">
        <f t="shared" si="19"/>
        <v>678753.83</v>
      </c>
      <c r="Q87" s="261"/>
      <c r="R87" s="34">
        <f t="shared" si="20"/>
        <v>0.83</v>
      </c>
      <c r="S87" s="3">
        <f t="shared" si="24"/>
        <v>83</v>
      </c>
    </row>
    <row r="88" spans="1:24" ht="24.95" customHeight="1" x14ac:dyDescent="0.25">
      <c r="A88" s="42"/>
      <c r="B88" s="42">
        <f t="shared" si="26"/>
        <v>84</v>
      </c>
      <c r="C88" s="41" t="s">
        <v>101</v>
      </c>
      <c r="D88" s="46">
        <v>4.7999999999999996E-3</v>
      </c>
      <c r="E88" s="47">
        <v>692883.84</v>
      </c>
      <c r="F88" s="199">
        <f>E88</f>
        <v>692883.84</v>
      </c>
      <c r="G88" s="151">
        <f t="shared" si="17"/>
        <v>0</v>
      </c>
      <c r="H88" s="48">
        <f t="shared" si="25"/>
        <v>0</v>
      </c>
      <c r="I88" s="49">
        <f t="shared" si="15"/>
        <v>321622.35859199998</v>
      </c>
      <c r="J88" s="49">
        <f t="shared" si="18"/>
        <v>0</v>
      </c>
      <c r="K88" s="49">
        <f t="shared" si="21"/>
        <v>154427.62748928738</v>
      </c>
      <c r="L88" s="49">
        <f t="shared" si="22"/>
        <v>202702.7028</v>
      </c>
      <c r="M88" s="49">
        <f t="shared" si="23"/>
        <v>0</v>
      </c>
      <c r="N88" s="179">
        <v>0</v>
      </c>
      <c r="O88" s="220"/>
      <c r="P88" s="261">
        <f t="shared" si="19"/>
        <v>678753.84</v>
      </c>
      <c r="Q88" s="261"/>
      <c r="R88" s="34">
        <f t="shared" si="20"/>
        <v>0.84</v>
      </c>
      <c r="S88" s="3">
        <f t="shared" si="24"/>
        <v>84</v>
      </c>
    </row>
    <row r="89" spans="1:24" ht="24.95" customHeight="1" x14ac:dyDescent="0.25">
      <c r="A89" s="42"/>
      <c r="B89" s="42">
        <f t="shared" si="26"/>
        <v>85</v>
      </c>
      <c r="C89" s="41" t="s">
        <v>102</v>
      </c>
      <c r="D89" s="46">
        <v>4.7999999999999996E-3</v>
      </c>
      <c r="E89" s="47">
        <v>692883.85</v>
      </c>
      <c r="F89" s="199">
        <f>E89</f>
        <v>692883.85</v>
      </c>
      <c r="G89" s="151">
        <f t="shared" si="17"/>
        <v>0</v>
      </c>
      <c r="H89" s="48">
        <f t="shared" si="25"/>
        <v>0</v>
      </c>
      <c r="I89" s="49">
        <f t="shared" si="15"/>
        <v>321622.35859199998</v>
      </c>
      <c r="J89" s="49">
        <f t="shared" si="18"/>
        <v>0</v>
      </c>
      <c r="K89" s="49">
        <f t="shared" si="21"/>
        <v>154427.62748928738</v>
      </c>
      <c r="L89" s="49">
        <f t="shared" si="22"/>
        <v>202702.7028</v>
      </c>
      <c r="M89" s="49">
        <f t="shared" si="23"/>
        <v>0</v>
      </c>
      <c r="N89" s="179">
        <v>0</v>
      </c>
      <c r="O89" s="220"/>
      <c r="P89" s="261">
        <f t="shared" si="19"/>
        <v>678753.85</v>
      </c>
      <c r="Q89" s="261"/>
      <c r="R89" s="34">
        <f t="shared" si="20"/>
        <v>0.85</v>
      </c>
      <c r="S89" s="3">
        <f t="shared" si="24"/>
        <v>85</v>
      </c>
      <c r="T89" t="s">
        <v>246</v>
      </c>
    </row>
    <row r="90" spans="1:24" ht="24.95" customHeight="1" x14ac:dyDescent="0.25">
      <c r="A90" s="42"/>
      <c r="B90" s="42">
        <f t="shared" si="26"/>
        <v>86</v>
      </c>
      <c r="C90" s="41" t="s">
        <v>179</v>
      </c>
      <c r="D90" s="46">
        <v>4.7999999999999996E-3</v>
      </c>
      <c r="E90" s="47">
        <v>692883.86</v>
      </c>
      <c r="F90" s="199">
        <f t="shared" si="16"/>
        <v>692883.86</v>
      </c>
      <c r="G90" s="151">
        <f t="shared" si="17"/>
        <v>0</v>
      </c>
      <c r="H90" s="48">
        <f t="shared" si="25"/>
        <v>0</v>
      </c>
      <c r="I90" s="49">
        <f t="shared" si="15"/>
        <v>321622.35859199998</v>
      </c>
      <c r="J90" s="49">
        <f t="shared" si="18"/>
        <v>0</v>
      </c>
      <c r="K90" s="49">
        <f t="shared" si="21"/>
        <v>154427.62748928738</v>
      </c>
      <c r="L90" s="49">
        <f t="shared" si="22"/>
        <v>202702.7028</v>
      </c>
      <c r="M90" s="49">
        <f t="shared" si="23"/>
        <v>0</v>
      </c>
      <c r="N90" s="179">
        <v>0</v>
      </c>
      <c r="O90" s="220"/>
      <c r="P90" s="261">
        <f t="shared" si="19"/>
        <v>678753.86</v>
      </c>
      <c r="Q90" s="261"/>
      <c r="R90" s="34">
        <f t="shared" si="20"/>
        <v>0.86</v>
      </c>
      <c r="S90" s="3">
        <f t="shared" si="24"/>
        <v>86</v>
      </c>
    </row>
    <row r="91" spans="1:24" ht="24.95" customHeight="1" x14ac:dyDescent="0.25">
      <c r="A91" s="42"/>
      <c r="B91" s="42">
        <f t="shared" si="26"/>
        <v>87</v>
      </c>
      <c r="C91" s="41" t="s">
        <v>103</v>
      </c>
      <c r="D91" s="46">
        <v>4.7999999999999996E-3</v>
      </c>
      <c r="E91" s="47">
        <v>692881.87</v>
      </c>
      <c r="F91" s="199">
        <f>E91</f>
        <v>692881.87</v>
      </c>
      <c r="G91" s="151">
        <f t="shared" si="17"/>
        <v>0</v>
      </c>
      <c r="H91" s="48">
        <f t="shared" si="25"/>
        <v>0</v>
      </c>
      <c r="I91" s="49">
        <f t="shared" si="15"/>
        <v>321622.35859199998</v>
      </c>
      <c r="J91" s="49">
        <f t="shared" si="18"/>
        <v>0</v>
      </c>
      <c r="K91" s="49">
        <f t="shared" si="21"/>
        <v>154427.62748928738</v>
      </c>
      <c r="L91" s="49">
        <f t="shared" si="22"/>
        <v>202702.7028</v>
      </c>
      <c r="M91" s="49">
        <f t="shared" si="23"/>
        <v>0</v>
      </c>
      <c r="N91" s="179">
        <v>0</v>
      </c>
      <c r="O91" s="220"/>
      <c r="P91" s="261">
        <f t="shared" si="19"/>
        <v>678753.87</v>
      </c>
      <c r="Q91" s="261"/>
      <c r="R91" s="34">
        <f t="shared" si="20"/>
        <v>0.87</v>
      </c>
      <c r="S91" s="3">
        <f t="shared" si="24"/>
        <v>87</v>
      </c>
    </row>
    <row r="92" spans="1:24" ht="24.95" customHeight="1" x14ac:dyDescent="0.25">
      <c r="A92" s="42"/>
      <c r="B92" s="42">
        <f t="shared" si="26"/>
        <v>88</v>
      </c>
      <c r="C92" s="41" t="s">
        <v>104</v>
      </c>
      <c r="D92" s="46">
        <v>4.7999999999999996E-3</v>
      </c>
      <c r="E92" s="47">
        <v>692883.88</v>
      </c>
      <c r="F92" s="199">
        <f>700000</f>
        <v>700000</v>
      </c>
      <c r="G92" s="151">
        <f t="shared" si="17"/>
        <v>-7116.1199999999953</v>
      </c>
      <c r="H92" s="48">
        <f t="shared" si="25"/>
        <v>0</v>
      </c>
      <c r="I92" s="49">
        <f t="shared" si="15"/>
        <v>321622.35859199998</v>
      </c>
      <c r="J92" s="49">
        <f t="shared" si="18"/>
        <v>0</v>
      </c>
      <c r="K92" s="49">
        <f t="shared" si="21"/>
        <v>154427.62748928738</v>
      </c>
      <c r="L92" s="49">
        <f t="shared" si="22"/>
        <v>202702.7028</v>
      </c>
      <c r="M92" s="49">
        <f t="shared" si="23"/>
        <v>0</v>
      </c>
      <c r="N92" s="179">
        <v>0</v>
      </c>
      <c r="O92" s="220"/>
      <c r="P92" s="261">
        <f t="shared" si="19"/>
        <v>671637.88</v>
      </c>
      <c r="Q92" s="261"/>
      <c r="R92" s="34">
        <f t="shared" si="20"/>
        <v>0.88</v>
      </c>
      <c r="S92" s="3">
        <f t="shared" si="24"/>
        <v>88</v>
      </c>
    </row>
    <row r="93" spans="1:24" ht="24.95" customHeight="1" x14ac:dyDescent="0.25">
      <c r="A93" s="42"/>
      <c r="B93" s="42">
        <f t="shared" si="26"/>
        <v>89</v>
      </c>
      <c r="C93" s="41" t="s">
        <v>244</v>
      </c>
      <c r="D93" s="46">
        <v>4.7999999999999996E-3</v>
      </c>
      <c r="E93" s="47">
        <v>692883.89</v>
      </c>
      <c r="F93" s="199">
        <f>E93</f>
        <v>692883.89</v>
      </c>
      <c r="G93" s="151">
        <f t="shared" si="17"/>
        <v>0</v>
      </c>
      <c r="H93" s="48">
        <f t="shared" si="25"/>
        <v>0</v>
      </c>
      <c r="I93" s="49">
        <f t="shared" si="15"/>
        <v>321622.35859199998</v>
      </c>
      <c r="J93" s="49">
        <f t="shared" si="18"/>
        <v>0</v>
      </c>
      <c r="K93" s="49">
        <f t="shared" si="21"/>
        <v>154427.62748928738</v>
      </c>
      <c r="L93" s="49">
        <f t="shared" si="22"/>
        <v>202702.7028</v>
      </c>
      <c r="M93" s="49">
        <f t="shared" si="23"/>
        <v>0</v>
      </c>
      <c r="N93" s="179">
        <v>0</v>
      </c>
      <c r="O93" s="220"/>
      <c r="P93" s="261">
        <f t="shared" si="19"/>
        <v>678753.89</v>
      </c>
      <c r="Q93" s="261"/>
      <c r="R93" s="34">
        <f t="shared" si="20"/>
        <v>0.89</v>
      </c>
      <c r="S93" s="3">
        <f t="shared" si="24"/>
        <v>89</v>
      </c>
    </row>
    <row r="94" spans="1:24" ht="24.95" customHeight="1" x14ac:dyDescent="0.25">
      <c r="A94" s="42"/>
      <c r="B94" s="42">
        <f t="shared" si="26"/>
        <v>90</v>
      </c>
      <c r="C94" s="41" t="s">
        <v>105</v>
      </c>
      <c r="D94" s="46">
        <v>4.7999999999999996E-3</v>
      </c>
      <c r="E94" s="47">
        <v>1413695.9</v>
      </c>
      <c r="F94" s="199">
        <v>670000</v>
      </c>
      <c r="G94" s="151">
        <f t="shared" si="17"/>
        <v>743695.89999999991</v>
      </c>
      <c r="H94" s="48">
        <f t="shared" si="25"/>
        <v>22957.892432999997</v>
      </c>
      <c r="I94" s="49">
        <f t="shared" si="15"/>
        <v>321622.35859199998</v>
      </c>
      <c r="J94" s="49">
        <f t="shared" si="18"/>
        <v>0</v>
      </c>
      <c r="K94" s="49">
        <f t="shared" si="21"/>
        <v>154427.62748928738</v>
      </c>
      <c r="L94" s="49">
        <f t="shared" si="22"/>
        <v>202702.7028</v>
      </c>
      <c r="M94" s="49">
        <f t="shared" si="23"/>
        <v>0</v>
      </c>
      <c r="N94" s="179">
        <v>0</v>
      </c>
      <c r="O94" s="220"/>
      <c r="P94" s="261">
        <f t="shared" si="19"/>
        <v>1445406.9</v>
      </c>
      <c r="Q94" s="261"/>
      <c r="R94" s="34">
        <f t="shared" si="20"/>
        <v>0.9</v>
      </c>
      <c r="S94" s="3">
        <f t="shared" si="24"/>
        <v>90</v>
      </c>
      <c r="T94" t="s">
        <v>362</v>
      </c>
    </row>
    <row r="95" spans="1:24" ht="24.95" customHeight="1" x14ac:dyDescent="0.25">
      <c r="A95" s="42"/>
      <c r="B95" s="42">
        <f t="shared" si="26"/>
        <v>91</v>
      </c>
      <c r="C95" s="41" t="s">
        <v>106</v>
      </c>
      <c r="D95" s="46">
        <v>4.7999999999999996E-3</v>
      </c>
      <c r="E95" s="47">
        <v>692883.91</v>
      </c>
      <c r="F95" s="199">
        <f t="shared" si="16"/>
        <v>692883.91</v>
      </c>
      <c r="G95" s="151">
        <f t="shared" si="17"/>
        <v>0</v>
      </c>
      <c r="H95" s="48">
        <f t="shared" si="25"/>
        <v>0</v>
      </c>
      <c r="I95" s="49">
        <f t="shared" si="15"/>
        <v>321622.35859199998</v>
      </c>
      <c r="J95" s="49">
        <f t="shared" si="18"/>
        <v>0</v>
      </c>
      <c r="K95" s="49">
        <f t="shared" si="21"/>
        <v>154427.62748928738</v>
      </c>
      <c r="L95" s="49">
        <f t="shared" si="22"/>
        <v>202702.7028</v>
      </c>
      <c r="M95" s="49">
        <f t="shared" si="23"/>
        <v>0</v>
      </c>
      <c r="N95" s="179">
        <v>0</v>
      </c>
      <c r="O95" s="220"/>
      <c r="P95" s="261">
        <f t="shared" si="19"/>
        <v>678753.91</v>
      </c>
      <c r="Q95" s="261"/>
      <c r="R95" s="34">
        <f t="shared" si="20"/>
        <v>0.91</v>
      </c>
      <c r="S95" s="3">
        <f t="shared" si="24"/>
        <v>91</v>
      </c>
      <c r="T95" t="s">
        <v>216</v>
      </c>
    </row>
    <row r="96" spans="1:24" ht="24.95" customHeight="1" x14ac:dyDescent="0.25">
      <c r="A96" s="42"/>
      <c r="B96" s="42">
        <f t="shared" si="26"/>
        <v>92</v>
      </c>
      <c r="C96" s="41" t="s">
        <v>107</v>
      </c>
      <c r="D96" s="200">
        <v>4.7999999999999996E-3</v>
      </c>
      <c r="E96" s="199">
        <v>984134.92</v>
      </c>
      <c r="F96" s="199">
        <v>-1225700</v>
      </c>
      <c r="G96" s="151">
        <f t="shared" si="17"/>
        <v>2209834.92</v>
      </c>
      <c r="H96" s="48">
        <f t="shared" si="25"/>
        <v>68217.603980400003</v>
      </c>
      <c r="I96" s="49">
        <f t="shared" si="15"/>
        <v>321622.35859199998</v>
      </c>
      <c r="J96" s="49">
        <f t="shared" si="18"/>
        <v>0</v>
      </c>
      <c r="K96" s="49">
        <f t="shared" si="21"/>
        <v>154427.62748928738</v>
      </c>
      <c r="L96" s="49">
        <f t="shared" si="22"/>
        <v>202702.7028</v>
      </c>
      <c r="M96" s="49">
        <f t="shared" si="23"/>
        <v>0</v>
      </c>
      <c r="N96" s="179">
        <v>0</v>
      </c>
      <c r="O96" s="220"/>
      <c r="P96" s="261">
        <f t="shared" si="19"/>
        <v>2956805.92</v>
      </c>
      <c r="Q96" s="261"/>
      <c r="R96" s="34">
        <f t="shared" si="20"/>
        <v>0.92</v>
      </c>
      <c r="S96" s="3">
        <f t="shared" si="24"/>
        <v>92</v>
      </c>
      <c r="T96" t="s">
        <v>247</v>
      </c>
    </row>
    <row r="97" spans="1:20" ht="24.95" customHeight="1" x14ac:dyDescent="0.25">
      <c r="A97" s="42"/>
      <c r="B97" s="42">
        <f t="shared" si="26"/>
        <v>93</v>
      </c>
      <c r="C97" s="110" t="s">
        <v>180</v>
      </c>
      <c r="D97" s="46">
        <v>4.5999999999999999E-3</v>
      </c>
      <c r="E97" s="47">
        <v>-430330.07</v>
      </c>
      <c r="F97" s="199">
        <v>235683</v>
      </c>
      <c r="G97" s="151">
        <f>E97-F97</f>
        <v>-666013.07000000007</v>
      </c>
      <c r="H97" s="48">
        <f t="shared" si="25"/>
        <v>0</v>
      </c>
      <c r="I97" s="49">
        <f t="shared" si="15"/>
        <v>308221.42698400002</v>
      </c>
      <c r="J97" s="49">
        <f t="shared" si="18"/>
        <v>0</v>
      </c>
      <c r="K97" s="49">
        <f t="shared" si="21"/>
        <v>154427.62748928738</v>
      </c>
      <c r="L97" s="49">
        <f t="shared" si="22"/>
        <v>202702.7028</v>
      </c>
      <c r="M97" s="49">
        <f t="shared" si="23"/>
        <v>0</v>
      </c>
      <c r="N97" s="179">
        <v>0</v>
      </c>
      <c r="O97" s="220"/>
      <c r="P97" s="261">
        <f t="shared" si="19"/>
        <v>-660.07</v>
      </c>
      <c r="Q97" s="261"/>
      <c r="R97" s="34">
        <f t="shared" si="20"/>
        <v>0.93</v>
      </c>
      <c r="S97" s="3">
        <f t="shared" si="24"/>
        <v>93</v>
      </c>
    </row>
    <row r="98" spans="1:20" ht="24.95" customHeight="1" x14ac:dyDescent="0.25">
      <c r="A98" s="42"/>
      <c r="B98" s="42">
        <f t="shared" si="26"/>
        <v>94</v>
      </c>
      <c r="C98" s="41" t="s">
        <v>181</v>
      </c>
      <c r="D98" s="46">
        <v>4.7999999999999996E-3</v>
      </c>
      <c r="E98" s="47">
        <v>692883.94</v>
      </c>
      <c r="F98" s="199">
        <f>E98</f>
        <v>692883.94</v>
      </c>
      <c r="G98" s="151">
        <f t="shared" si="17"/>
        <v>0</v>
      </c>
      <c r="H98" s="48">
        <f t="shared" si="25"/>
        <v>0</v>
      </c>
      <c r="I98" s="49">
        <f t="shared" si="15"/>
        <v>321622.35859199998</v>
      </c>
      <c r="J98" s="49">
        <f t="shared" si="18"/>
        <v>0</v>
      </c>
      <c r="K98" s="49">
        <f t="shared" si="21"/>
        <v>154427.62748928738</v>
      </c>
      <c r="L98" s="49">
        <f t="shared" si="22"/>
        <v>202702.7028</v>
      </c>
      <c r="M98" s="49">
        <f t="shared" si="23"/>
        <v>0</v>
      </c>
      <c r="N98" s="179">
        <v>0</v>
      </c>
      <c r="O98" s="220">
        <f>I98*10%</f>
        <v>32162.235859199998</v>
      </c>
      <c r="P98" s="261">
        <f t="shared" si="19"/>
        <v>710915.94</v>
      </c>
      <c r="Q98" s="261"/>
      <c r="R98" s="34">
        <f t="shared" si="20"/>
        <v>0.94</v>
      </c>
      <c r="S98" s="3">
        <f t="shared" si="24"/>
        <v>94</v>
      </c>
      <c r="T98" t="s">
        <v>204</v>
      </c>
    </row>
    <row r="99" spans="1:20" ht="24.95" customHeight="1" x14ac:dyDescent="0.25">
      <c r="A99" s="42"/>
      <c r="B99" s="42">
        <f t="shared" si="26"/>
        <v>95</v>
      </c>
      <c r="C99" s="41" t="s">
        <v>108</v>
      </c>
      <c r="D99" s="46">
        <v>4.7999999999999996E-3</v>
      </c>
      <c r="E99" s="47">
        <v>1537859.95</v>
      </c>
      <c r="F99" s="199"/>
      <c r="G99" s="151">
        <f t="shared" si="17"/>
        <v>1537859.95</v>
      </c>
      <c r="H99" s="48">
        <f t="shared" si="25"/>
        <v>47473.736656499997</v>
      </c>
      <c r="I99" s="49">
        <f t="shared" si="15"/>
        <v>321622.35859199998</v>
      </c>
      <c r="J99" s="49">
        <f t="shared" si="18"/>
        <v>0</v>
      </c>
      <c r="K99" s="49">
        <f t="shared" si="21"/>
        <v>154427.62748928738</v>
      </c>
      <c r="L99" s="49">
        <f t="shared" si="22"/>
        <v>202702.7028</v>
      </c>
      <c r="M99" s="49">
        <f t="shared" si="23"/>
        <v>0</v>
      </c>
      <c r="N99" s="179">
        <v>0</v>
      </c>
      <c r="O99" s="220"/>
      <c r="P99" s="261">
        <f t="shared" si="19"/>
        <v>2264086.9500000002</v>
      </c>
      <c r="Q99" s="261"/>
      <c r="R99" s="34">
        <f t="shared" si="20"/>
        <v>0.95</v>
      </c>
      <c r="S99" s="3">
        <f t="shared" si="24"/>
        <v>95</v>
      </c>
    </row>
    <row r="100" spans="1:20" ht="24.95" customHeight="1" x14ac:dyDescent="0.25">
      <c r="A100" s="42"/>
      <c r="B100" s="42">
        <f t="shared" si="26"/>
        <v>96</v>
      </c>
      <c r="C100" s="41" t="s">
        <v>109</v>
      </c>
      <c r="D100" s="46">
        <v>4.7999999999999996E-3</v>
      </c>
      <c r="E100" s="47">
        <v>691935.96</v>
      </c>
      <c r="F100" s="199"/>
      <c r="G100" s="151">
        <f t="shared" si="17"/>
        <v>691935.96</v>
      </c>
      <c r="H100" s="48">
        <f t="shared" si="25"/>
        <v>21360.063085199999</v>
      </c>
      <c r="I100" s="49">
        <f t="shared" si="15"/>
        <v>321622.35859199998</v>
      </c>
      <c r="J100" s="49">
        <f t="shared" si="18"/>
        <v>0</v>
      </c>
      <c r="K100" s="49">
        <f t="shared" si="21"/>
        <v>154427.62748928738</v>
      </c>
      <c r="L100" s="49">
        <f t="shared" si="22"/>
        <v>202702.7028</v>
      </c>
      <c r="M100" s="49">
        <f t="shared" si="23"/>
        <v>0</v>
      </c>
      <c r="N100" s="179">
        <v>0</v>
      </c>
      <c r="O100" s="220"/>
      <c r="P100" s="261">
        <f t="shared" si="19"/>
        <v>1392049.96</v>
      </c>
      <c r="Q100" s="261"/>
      <c r="R100" s="34">
        <f t="shared" si="20"/>
        <v>0.96</v>
      </c>
      <c r="S100" s="3">
        <f t="shared" si="24"/>
        <v>96</v>
      </c>
      <c r="T100" t="s">
        <v>222</v>
      </c>
    </row>
    <row r="101" spans="1:20" ht="24.95" customHeight="1" x14ac:dyDescent="0.25">
      <c r="A101" s="42"/>
      <c r="B101" s="42">
        <f t="shared" si="26"/>
        <v>97</v>
      </c>
      <c r="C101" s="41" t="s">
        <v>110</v>
      </c>
      <c r="D101" s="46">
        <v>4.7999999999999996E-3</v>
      </c>
      <c r="E101" s="47">
        <v>692878.97</v>
      </c>
      <c r="F101" s="199">
        <f>E101</f>
        <v>692878.97</v>
      </c>
      <c r="G101" s="151">
        <f t="shared" si="17"/>
        <v>0</v>
      </c>
      <c r="H101" s="48">
        <f t="shared" si="25"/>
        <v>0</v>
      </c>
      <c r="I101" s="49">
        <f t="shared" si="15"/>
        <v>321622.35859199998</v>
      </c>
      <c r="J101" s="49">
        <f t="shared" ref="J101:J132" si="27">P$2*D101</f>
        <v>0</v>
      </c>
      <c r="K101" s="49">
        <f t="shared" si="21"/>
        <v>154427.62748928738</v>
      </c>
      <c r="L101" s="49">
        <f t="shared" si="22"/>
        <v>202702.7028</v>
      </c>
      <c r="M101" s="49">
        <f t="shared" si="23"/>
        <v>0</v>
      </c>
      <c r="N101" s="179">
        <v>0</v>
      </c>
      <c r="O101" s="220"/>
      <c r="P101" s="261">
        <f t="shared" ref="P101:P132" si="28">ROUND(SUM(G101:O101),0) + R101</f>
        <v>678753.97</v>
      </c>
      <c r="Q101" s="261"/>
      <c r="R101" s="34">
        <f t="shared" ref="R101:R132" si="29">ROUND(0.001+B101/100,2)</f>
        <v>0.97</v>
      </c>
      <c r="S101" s="3">
        <f t="shared" si="24"/>
        <v>97</v>
      </c>
      <c r="T101" t="s">
        <v>238</v>
      </c>
    </row>
    <row r="102" spans="1:20" ht="24.95" customHeight="1" x14ac:dyDescent="0.25">
      <c r="A102" s="42"/>
      <c r="B102" s="42">
        <f t="shared" si="26"/>
        <v>98</v>
      </c>
      <c r="C102" s="41" t="s">
        <v>111</v>
      </c>
      <c r="D102" s="46">
        <v>4.7999999999999996E-3</v>
      </c>
      <c r="E102" s="47">
        <v>692883.98</v>
      </c>
      <c r="F102" s="199">
        <f t="shared" si="16"/>
        <v>692883.98</v>
      </c>
      <c r="G102" s="151">
        <f t="shared" si="17"/>
        <v>0</v>
      </c>
      <c r="H102" s="48">
        <f t="shared" si="25"/>
        <v>0</v>
      </c>
      <c r="I102" s="49">
        <f t="shared" ref="I102:I156" si="30">K$2*D102</f>
        <v>321622.35859199998</v>
      </c>
      <c r="J102" s="49">
        <f t="shared" si="27"/>
        <v>0</v>
      </c>
      <c r="K102" s="49">
        <f t="shared" si="21"/>
        <v>154427.62748928738</v>
      </c>
      <c r="L102" s="49">
        <f t="shared" si="22"/>
        <v>202702.7028</v>
      </c>
      <c r="M102" s="49">
        <f t="shared" si="23"/>
        <v>0</v>
      </c>
      <c r="N102" s="179">
        <v>0</v>
      </c>
      <c r="O102" s="220"/>
      <c r="P102" s="261">
        <f t="shared" si="28"/>
        <v>678753.98</v>
      </c>
      <c r="Q102" s="261"/>
      <c r="R102" s="34">
        <f t="shared" si="29"/>
        <v>0.98</v>
      </c>
      <c r="S102" s="3">
        <f t="shared" si="24"/>
        <v>98</v>
      </c>
    </row>
    <row r="103" spans="1:20" ht="24.95" customHeight="1" x14ac:dyDescent="0.25">
      <c r="A103" s="42"/>
      <c r="B103" s="42">
        <f t="shared" si="26"/>
        <v>99</v>
      </c>
      <c r="C103" s="41" t="s">
        <v>112</v>
      </c>
      <c r="D103" s="46">
        <v>4.7999999999999996E-3</v>
      </c>
      <c r="E103" s="47">
        <v>692883.99</v>
      </c>
      <c r="F103" s="199">
        <f t="shared" si="16"/>
        <v>692883.99</v>
      </c>
      <c r="G103" s="151">
        <f t="shared" si="17"/>
        <v>0</v>
      </c>
      <c r="H103" s="48">
        <f t="shared" si="25"/>
        <v>0</v>
      </c>
      <c r="I103" s="49">
        <f t="shared" si="30"/>
        <v>321622.35859199998</v>
      </c>
      <c r="J103" s="49">
        <f t="shared" si="27"/>
        <v>0</v>
      </c>
      <c r="K103" s="49">
        <f t="shared" si="21"/>
        <v>154427.62748928738</v>
      </c>
      <c r="L103" s="49">
        <f t="shared" si="22"/>
        <v>202702.7028</v>
      </c>
      <c r="M103" s="49">
        <f t="shared" si="23"/>
        <v>0</v>
      </c>
      <c r="N103" s="179">
        <v>0</v>
      </c>
      <c r="O103" s="220"/>
      <c r="P103" s="261">
        <f t="shared" si="28"/>
        <v>678753.99</v>
      </c>
      <c r="Q103" s="261"/>
      <c r="R103" s="34">
        <f t="shared" si="29"/>
        <v>0.99</v>
      </c>
      <c r="S103" s="3">
        <f t="shared" si="24"/>
        <v>99</v>
      </c>
      <c r="T103" s="29" t="s">
        <v>237</v>
      </c>
    </row>
    <row r="104" spans="1:20" ht="24.95" customHeight="1" x14ac:dyDescent="0.25">
      <c r="A104" s="42"/>
      <c r="B104" s="42">
        <f t="shared" si="26"/>
        <v>100</v>
      </c>
      <c r="C104" s="41" t="s">
        <v>113</v>
      </c>
      <c r="D104" s="46">
        <v>4.7999999999999996E-3</v>
      </c>
      <c r="E104" s="47">
        <v>692884</v>
      </c>
      <c r="F104" s="199">
        <f t="shared" si="16"/>
        <v>692884</v>
      </c>
      <c r="G104" s="151">
        <f t="shared" si="17"/>
        <v>0</v>
      </c>
      <c r="H104" s="48">
        <f t="shared" si="25"/>
        <v>0</v>
      </c>
      <c r="I104" s="49">
        <f t="shared" si="30"/>
        <v>321622.35859199998</v>
      </c>
      <c r="J104" s="49">
        <f t="shared" si="27"/>
        <v>0</v>
      </c>
      <c r="K104" s="49">
        <f t="shared" si="21"/>
        <v>154427.62748928738</v>
      </c>
      <c r="L104" s="49">
        <f t="shared" si="22"/>
        <v>202702.7028</v>
      </c>
      <c r="M104" s="49">
        <f t="shared" si="23"/>
        <v>0</v>
      </c>
      <c r="N104" s="179">
        <v>0</v>
      </c>
      <c r="O104" s="220"/>
      <c r="P104" s="261">
        <f t="shared" si="28"/>
        <v>678754</v>
      </c>
      <c r="Q104" s="261"/>
      <c r="R104" s="34">
        <f t="shared" si="29"/>
        <v>1</v>
      </c>
      <c r="S104" s="3">
        <f t="shared" si="24"/>
        <v>100</v>
      </c>
    </row>
    <row r="105" spans="1:20" ht="24.95" customHeight="1" x14ac:dyDescent="0.25">
      <c r="A105" s="42"/>
      <c r="B105" s="42">
        <f t="shared" si="26"/>
        <v>101</v>
      </c>
      <c r="C105" s="41" t="s">
        <v>114</v>
      </c>
      <c r="D105" s="46">
        <v>4.7999999999999996E-3</v>
      </c>
      <c r="E105" s="47">
        <v>750404.01</v>
      </c>
      <c r="F105" s="199">
        <f t="shared" si="16"/>
        <v>750404.01</v>
      </c>
      <c r="G105" s="151">
        <f t="shared" si="17"/>
        <v>0</v>
      </c>
      <c r="H105" s="48">
        <f t="shared" si="25"/>
        <v>0</v>
      </c>
      <c r="I105" s="49">
        <f t="shared" si="30"/>
        <v>321622.35859199998</v>
      </c>
      <c r="J105" s="49">
        <f t="shared" si="27"/>
        <v>0</v>
      </c>
      <c r="K105" s="49">
        <f t="shared" si="21"/>
        <v>154427.62748928738</v>
      </c>
      <c r="L105" s="49">
        <f t="shared" si="22"/>
        <v>202702.7028</v>
      </c>
      <c r="M105" s="49">
        <v>0</v>
      </c>
      <c r="N105" s="179">
        <v>0</v>
      </c>
      <c r="O105" s="221"/>
      <c r="P105" s="261">
        <f t="shared" si="28"/>
        <v>678754.01</v>
      </c>
      <c r="Q105" s="261"/>
      <c r="R105" s="34">
        <f t="shared" si="29"/>
        <v>1.01</v>
      </c>
      <c r="S105" s="3">
        <f t="shared" si="24"/>
        <v>101</v>
      </c>
    </row>
    <row r="106" spans="1:20" ht="24.95" customHeight="1" x14ac:dyDescent="0.25">
      <c r="A106" s="42"/>
      <c r="B106" s="42">
        <f t="shared" si="26"/>
        <v>102</v>
      </c>
      <c r="C106" s="41" t="s">
        <v>115</v>
      </c>
      <c r="D106" s="46">
        <v>4.7999999999999996E-3</v>
      </c>
      <c r="E106" s="47">
        <v>693911.02</v>
      </c>
      <c r="F106" s="199">
        <f>196000+500000</f>
        <v>696000</v>
      </c>
      <c r="G106" s="151">
        <f t="shared" si="17"/>
        <v>-2088.9799999999814</v>
      </c>
      <c r="H106" s="48">
        <f t="shared" si="25"/>
        <v>0</v>
      </c>
      <c r="I106" s="49">
        <f t="shared" si="30"/>
        <v>321622.35859199998</v>
      </c>
      <c r="J106" s="49">
        <f t="shared" si="27"/>
        <v>0</v>
      </c>
      <c r="K106" s="49">
        <f t="shared" si="21"/>
        <v>154427.62748928738</v>
      </c>
      <c r="L106" s="49">
        <f t="shared" si="22"/>
        <v>202702.7028</v>
      </c>
      <c r="M106" s="49">
        <f t="shared" si="23"/>
        <v>0</v>
      </c>
      <c r="N106" s="179">
        <v>0</v>
      </c>
      <c r="O106" s="221"/>
      <c r="P106" s="261">
        <f t="shared" si="28"/>
        <v>676665.02</v>
      </c>
      <c r="Q106" s="261"/>
      <c r="R106" s="34">
        <f t="shared" si="29"/>
        <v>1.02</v>
      </c>
      <c r="S106" s="3">
        <f t="shared" si="24"/>
        <v>102</v>
      </c>
      <c r="T106" t="s">
        <v>214</v>
      </c>
    </row>
    <row r="107" spans="1:20" ht="24.95" customHeight="1" x14ac:dyDescent="0.25">
      <c r="A107" s="42"/>
      <c r="B107" s="42">
        <f t="shared" si="26"/>
        <v>103</v>
      </c>
      <c r="C107" s="41" t="s">
        <v>116</v>
      </c>
      <c r="D107" s="46">
        <v>4.7999999999999996E-3</v>
      </c>
      <c r="E107" s="47">
        <v>692884.03</v>
      </c>
      <c r="F107" s="199">
        <f t="shared" si="16"/>
        <v>692884.03</v>
      </c>
      <c r="G107" s="151">
        <f t="shared" si="17"/>
        <v>0</v>
      </c>
      <c r="H107" s="48">
        <f t="shared" si="25"/>
        <v>0</v>
      </c>
      <c r="I107" s="49">
        <f t="shared" si="30"/>
        <v>321622.35859199998</v>
      </c>
      <c r="J107" s="49">
        <f t="shared" si="27"/>
        <v>0</v>
      </c>
      <c r="K107" s="49">
        <f t="shared" si="21"/>
        <v>154427.62748928738</v>
      </c>
      <c r="L107" s="49">
        <f t="shared" si="22"/>
        <v>202702.7028</v>
      </c>
      <c r="M107" s="49">
        <f t="shared" si="23"/>
        <v>0</v>
      </c>
      <c r="N107" s="179">
        <v>0</v>
      </c>
      <c r="O107" s="221"/>
      <c r="P107" s="261">
        <f t="shared" si="28"/>
        <v>678754.03</v>
      </c>
      <c r="Q107" s="261"/>
      <c r="R107" s="34">
        <f t="shared" si="29"/>
        <v>1.03</v>
      </c>
      <c r="S107" s="3">
        <f t="shared" si="24"/>
        <v>103</v>
      </c>
    </row>
    <row r="108" spans="1:20" ht="24.95" customHeight="1" x14ac:dyDescent="0.25">
      <c r="A108" s="42"/>
      <c r="B108" s="42">
        <f t="shared" si="26"/>
        <v>104</v>
      </c>
      <c r="C108" s="41" t="s">
        <v>117</v>
      </c>
      <c r="D108" s="46">
        <v>4.7000000000000002E-3</v>
      </c>
      <c r="E108" s="47">
        <v>685986.04</v>
      </c>
      <c r="F108" s="199">
        <v>685986</v>
      </c>
      <c r="G108" s="151">
        <f t="shared" si="17"/>
        <v>4.0000000037252903E-2</v>
      </c>
      <c r="H108" s="48">
        <f t="shared" si="25"/>
        <v>1.2348000011499971E-3</v>
      </c>
      <c r="I108" s="49">
        <f t="shared" si="30"/>
        <v>314921.892788</v>
      </c>
      <c r="J108" s="49">
        <f t="shared" si="27"/>
        <v>0</v>
      </c>
      <c r="K108" s="49">
        <f t="shared" si="21"/>
        <v>154427.62748928738</v>
      </c>
      <c r="L108" s="49">
        <f t="shared" si="22"/>
        <v>202702.7028</v>
      </c>
      <c r="M108" s="49">
        <f t="shared" si="23"/>
        <v>0</v>
      </c>
      <c r="N108" s="179">
        <v>0</v>
      </c>
      <c r="O108" s="221"/>
      <c r="P108" s="261">
        <f t="shared" si="28"/>
        <v>672053.04</v>
      </c>
      <c r="Q108" s="261"/>
      <c r="R108" s="34">
        <f t="shared" si="29"/>
        <v>1.04</v>
      </c>
      <c r="S108" s="3">
        <f t="shared" si="24"/>
        <v>104</v>
      </c>
      <c r="T108" t="s">
        <v>208</v>
      </c>
    </row>
    <row r="109" spans="1:20" ht="24.95" customHeight="1" x14ac:dyDescent="0.25">
      <c r="A109" s="42"/>
      <c r="B109" s="42">
        <f t="shared" si="26"/>
        <v>105</v>
      </c>
      <c r="C109" s="41" t="s">
        <v>118</v>
      </c>
      <c r="D109" s="200">
        <v>4.1999999999999997E-3</v>
      </c>
      <c r="E109" s="199">
        <v>1914936.05</v>
      </c>
      <c r="F109" s="199">
        <f>1255000+1225700</f>
        <v>2480700</v>
      </c>
      <c r="G109" s="151">
        <f t="shared" si="17"/>
        <v>-565763.94999999995</v>
      </c>
      <c r="H109" s="48">
        <f t="shared" si="25"/>
        <v>0</v>
      </c>
      <c r="I109" s="49">
        <f t="shared" si="30"/>
        <v>281419.56376799999</v>
      </c>
      <c r="J109" s="49">
        <f t="shared" si="27"/>
        <v>0</v>
      </c>
      <c r="K109" s="49">
        <f t="shared" si="21"/>
        <v>154427.62748928738</v>
      </c>
      <c r="L109" s="49">
        <f t="shared" si="22"/>
        <v>202702.7028</v>
      </c>
      <c r="M109" s="49">
        <f t="shared" si="23"/>
        <v>0</v>
      </c>
      <c r="N109" s="179">
        <v>0</v>
      </c>
      <c r="O109" s="221"/>
      <c r="P109" s="261">
        <f t="shared" si="28"/>
        <v>72787.05</v>
      </c>
      <c r="Q109" s="261"/>
      <c r="R109" s="34">
        <f t="shared" si="29"/>
        <v>1.05</v>
      </c>
      <c r="S109" s="3">
        <f t="shared" si="24"/>
        <v>105</v>
      </c>
    </row>
    <row r="110" spans="1:20" ht="24.95" customHeight="1" x14ac:dyDescent="0.25">
      <c r="A110" s="41"/>
      <c r="B110" s="41">
        <f t="shared" si="26"/>
        <v>106</v>
      </c>
      <c r="C110" s="41" t="s">
        <v>119</v>
      </c>
      <c r="D110" s="200">
        <v>4.4000000000000003E-3</v>
      </c>
      <c r="E110" s="199">
        <v>1850015.06</v>
      </c>
      <c r="F110" s="199">
        <f>319200+278000+162000+361500+251000</f>
        <v>1371700</v>
      </c>
      <c r="G110" s="152">
        <f t="shared" si="17"/>
        <v>478315.06000000006</v>
      </c>
      <c r="H110" s="201">
        <f t="shared" si="25"/>
        <v>14765.585902200002</v>
      </c>
      <c r="I110" s="179">
        <f t="shared" si="30"/>
        <v>294820.49537600001</v>
      </c>
      <c r="J110" s="179">
        <f t="shared" si="27"/>
        <v>0</v>
      </c>
      <c r="K110" s="179">
        <f t="shared" si="21"/>
        <v>154427.62748928738</v>
      </c>
      <c r="L110" s="179">
        <f t="shared" si="22"/>
        <v>202702.7028</v>
      </c>
      <c r="M110" s="179">
        <f t="shared" si="23"/>
        <v>0</v>
      </c>
      <c r="N110" s="179">
        <v>0</v>
      </c>
      <c r="O110" s="220"/>
      <c r="P110" s="272">
        <f t="shared" si="28"/>
        <v>1145032.06</v>
      </c>
      <c r="Q110" s="272"/>
      <c r="R110" s="202">
        <f t="shared" si="29"/>
        <v>1.06</v>
      </c>
      <c r="S110" s="144">
        <f t="shared" si="24"/>
        <v>106</v>
      </c>
      <c r="T110" t="s">
        <v>361</v>
      </c>
    </row>
    <row r="111" spans="1:20" ht="24.95" customHeight="1" x14ac:dyDescent="0.25">
      <c r="A111" s="42"/>
      <c r="B111" s="42">
        <f t="shared" si="26"/>
        <v>107</v>
      </c>
      <c r="C111" s="41" t="s">
        <v>120</v>
      </c>
      <c r="D111" s="46">
        <v>4.4000000000000003E-3</v>
      </c>
      <c r="E111" s="47">
        <v>1421895.07</v>
      </c>
      <c r="F111" s="199">
        <f>687943.19+733951.28+1</f>
        <v>1421895.47</v>
      </c>
      <c r="G111" s="151">
        <f t="shared" si="17"/>
        <v>-0.39999999990686774</v>
      </c>
      <c r="H111" s="48">
        <f t="shared" si="25"/>
        <v>0</v>
      </c>
      <c r="I111" s="49">
        <f t="shared" si="30"/>
        <v>294820.49537600001</v>
      </c>
      <c r="J111" s="49">
        <f t="shared" si="27"/>
        <v>0</v>
      </c>
      <c r="K111" s="49">
        <f t="shared" si="21"/>
        <v>154427.62748928738</v>
      </c>
      <c r="L111" s="49">
        <f t="shared" si="22"/>
        <v>202702.7028</v>
      </c>
      <c r="M111" s="49">
        <f t="shared" si="23"/>
        <v>0</v>
      </c>
      <c r="N111" s="179">
        <v>0</v>
      </c>
      <c r="O111" s="221"/>
      <c r="P111" s="261">
        <f t="shared" si="28"/>
        <v>651951.06999999995</v>
      </c>
      <c r="Q111" s="261"/>
      <c r="R111" s="34">
        <f t="shared" si="29"/>
        <v>1.07</v>
      </c>
      <c r="S111" s="3">
        <f t="shared" si="24"/>
        <v>107</v>
      </c>
      <c r="T111" t="s">
        <v>364</v>
      </c>
    </row>
    <row r="112" spans="1:20" ht="24.95" customHeight="1" x14ac:dyDescent="0.25">
      <c r="A112" s="42"/>
      <c r="B112" s="42">
        <f t="shared" si="26"/>
        <v>108</v>
      </c>
      <c r="C112" s="41" t="s">
        <v>121</v>
      </c>
      <c r="D112" s="46">
        <v>4.4000000000000003E-3</v>
      </c>
      <c r="E112" s="47">
        <v>665287.07999999996</v>
      </c>
      <c r="F112" s="199">
        <f>E112</f>
        <v>665287.07999999996</v>
      </c>
      <c r="G112" s="151">
        <f t="shared" si="17"/>
        <v>0</v>
      </c>
      <c r="H112" s="48">
        <f t="shared" si="25"/>
        <v>0</v>
      </c>
      <c r="I112" s="49">
        <f t="shared" si="30"/>
        <v>294820.49537600001</v>
      </c>
      <c r="J112" s="49">
        <f t="shared" si="27"/>
        <v>0</v>
      </c>
      <c r="K112" s="49">
        <f t="shared" si="21"/>
        <v>154427.62748928738</v>
      </c>
      <c r="L112" s="49">
        <f t="shared" si="22"/>
        <v>202702.7028</v>
      </c>
      <c r="M112" s="49">
        <f t="shared" si="23"/>
        <v>0</v>
      </c>
      <c r="N112" s="179">
        <v>0</v>
      </c>
      <c r="O112" s="221"/>
      <c r="P112" s="261">
        <f t="shared" si="28"/>
        <v>651952.07999999996</v>
      </c>
      <c r="Q112" s="261"/>
      <c r="R112" s="34">
        <f t="shared" si="29"/>
        <v>1.08</v>
      </c>
      <c r="S112" s="3">
        <f t="shared" si="24"/>
        <v>108</v>
      </c>
    </row>
    <row r="113" spans="1:20" ht="24.95" customHeight="1" x14ac:dyDescent="0.25">
      <c r="A113" s="42"/>
      <c r="B113" s="42">
        <f t="shared" si="26"/>
        <v>109</v>
      </c>
      <c r="C113" s="41" t="s">
        <v>122</v>
      </c>
      <c r="D113" s="46">
        <v>4.4999999999999997E-3</v>
      </c>
      <c r="E113" s="47">
        <v>1694140.09</v>
      </c>
      <c r="F113" s="199">
        <f>100000+600000</f>
        <v>700000</v>
      </c>
      <c r="G113" s="151">
        <f t="shared" si="17"/>
        <v>994140.09000000008</v>
      </c>
      <c r="H113" s="48">
        <f t="shared" si="25"/>
        <v>30689.104578300005</v>
      </c>
      <c r="I113" s="49">
        <f t="shared" si="30"/>
        <v>301520.96117999998</v>
      </c>
      <c r="J113" s="49">
        <f t="shared" si="27"/>
        <v>0</v>
      </c>
      <c r="K113" s="49">
        <f t="shared" si="21"/>
        <v>154427.62748928738</v>
      </c>
      <c r="L113" s="49">
        <f t="shared" si="22"/>
        <v>202702.7028</v>
      </c>
      <c r="M113" s="49">
        <f t="shared" si="23"/>
        <v>0</v>
      </c>
      <c r="N113" s="179">
        <v>0</v>
      </c>
      <c r="O113" s="221"/>
      <c r="P113" s="261">
        <f t="shared" si="28"/>
        <v>1683481.09</v>
      </c>
      <c r="Q113" s="261"/>
      <c r="R113" s="34">
        <f t="shared" si="29"/>
        <v>1.0900000000000001</v>
      </c>
      <c r="S113" s="3">
        <f t="shared" si="24"/>
        <v>109</v>
      </c>
      <c r="T113" t="s">
        <v>356</v>
      </c>
    </row>
    <row r="114" spans="1:20" ht="24.95" customHeight="1" x14ac:dyDescent="0.25">
      <c r="A114" s="42"/>
      <c r="B114" s="41">
        <f t="shared" si="26"/>
        <v>110</v>
      </c>
      <c r="C114" s="41" t="s">
        <v>123</v>
      </c>
      <c r="D114" s="46">
        <v>4.5999999999999999E-3</v>
      </c>
      <c r="E114" s="47">
        <v>1355905.1</v>
      </c>
      <c r="F114" s="199">
        <v>656551.64</v>
      </c>
      <c r="G114" s="151">
        <f t="shared" si="17"/>
        <v>699353.46000000008</v>
      </c>
      <c r="H114" s="48">
        <f t="shared" si="25"/>
        <v>21589.041310200002</v>
      </c>
      <c r="I114" s="49">
        <f t="shared" si="30"/>
        <v>308221.42698400002</v>
      </c>
      <c r="J114" s="49">
        <f t="shared" si="27"/>
        <v>0</v>
      </c>
      <c r="K114" s="49">
        <f t="shared" si="21"/>
        <v>154427.62748928738</v>
      </c>
      <c r="L114" s="49">
        <f t="shared" si="22"/>
        <v>202702.7028</v>
      </c>
      <c r="M114" s="49">
        <f t="shared" si="23"/>
        <v>0</v>
      </c>
      <c r="N114" s="179">
        <v>0</v>
      </c>
      <c r="O114" s="221"/>
      <c r="P114" s="261">
        <f t="shared" si="28"/>
        <v>1386295.1</v>
      </c>
      <c r="Q114" s="261"/>
      <c r="R114" s="34">
        <f t="shared" si="29"/>
        <v>1.1000000000000001</v>
      </c>
      <c r="S114" s="3">
        <f t="shared" si="24"/>
        <v>110</v>
      </c>
      <c r="T114" t="s">
        <v>373</v>
      </c>
    </row>
    <row r="115" spans="1:20" ht="24.95" customHeight="1" x14ac:dyDescent="0.25">
      <c r="A115" s="42"/>
      <c r="B115" s="42">
        <f t="shared" si="26"/>
        <v>111</v>
      </c>
      <c r="C115" s="41" t="s">
        <v>124</v>
      </c>
      <c r="D115" s="46">
        <v>4.4999999999999997E-3</v>
      </c>
      <c r="E115" s="47">
        <v>672186.11</v>
      </c>
      <c r="F115" s="199">
        <f t="shared" ref="F115:F155" si="31">E115</f>
        <v>672186.11</v>
      </c>
      <c r="G115" s="151">
        <f t="shared" si="17"/>
        <v>0</v>
      </c>
      <c r="H115" s="48">
        <f t="shared" si="25"/>
        <v>0</v>
      </c>
      <c r="I115" s="49">
        <f t="shared" si="30"/>
        <v>301520.96117999998</v>
      </c>
      <c r="J115" s="49">
        <f t="shared" si="27"/>
        <v>0</v>
      </c>
      <c r="K115" s="49">
        <f t="shared" si="21"/>
        <v>154427.62748928738</v>
      </c>
      <c r="L115" s="49">
        <f t="shared" si="22"/>
        <v>202702.7028</v>
      </c>
      <c r="M115" s="49">
        <f t="shared" si="23"/>
        <v>0</v>
      </c>
      <c r="N115" s="179">
        <v>0</v>
      </c>
      <c r="O115" s="221"/>
      <c r="P115" s="261">
        <f t="shared" si="28"/>
        <v>658652.11</v>
      </c>
      <c r="Q115" s="261"/>
      <c r="R115" s="34">
        <f t="shared" si="29"/>
        <v>1.1100000000000001</v>
      </c>
      <c r="S115" s="3">
        <f t="shared" si="24"/>
        <v>111</v>
      </c>
    </row>
    <row r="116" spans="1:20" ht="24.95" customHeight="1" x14ac:dyDescent="0.25">
      <c r="A116" s="42"/>
      <c r="B116" s="41">
        <f t="shared" si="26"/>
        <v>112</v>
      </c>
      <c r="C116" s="41" t="s">
        <v>125</v>
      </c>
      <c r="D116" s="46">
        <v>4.4999999999999997E-3</v>
      </c>
      <c r="E116" s="47">
        <v>801964.12</v>
      </c>
      <c r="F116" s="199">
        <f>544000+154000+2000</f>
        <v>700000</v>
      </c>
      <c r="G116" s="151">
        <f t="shared" si="17"/>
        <v>101964.12</v>
      </c>
      <c r="H116" s="48">
        <f t="shared" si="25"/>
        <v>3147.6323843999999</v>
      </c>
      <c r="I116" s="49">
        <f t="shared" si="30"/>
        <v>301520.96117999998</v>
      </c>
      <c r="J116" s="49">
        <f t="shared" si="27"/>
        <v>0</v>
      </c>
      <c r="K116" s="49">
        <f t="shared" si="21"/>
        <v>154427.62748928738</v>
      </c>
      <c r="L116" s="49">
        <f t="shared" si="22"/>
        <v>202702.7028</v>
      </c>
      <c r="M116" s="49">
        <f t="shared" si="23"/>
        <v>0</v>
      </c>
      <c r="N116" s="179">
        <v>0</v>
      </c>
      <c r="O116" s="221">
        <f>I116/2</f>
        <v>150760.48058999999</v>
      </c>
      <c r="P116" s="261">
        <f t="shared" si="28"/>
        <v>914525.12</v>
      </c>
      <c r="Q116" s="261"/>
      <c r="R116" s="34">
        <f t="shared" si="29"/>
        <v>1.1200000000000001</v>
      </c>
      <c r="S116" s="3">
        <f t="shared" si="24"/>
        <v>112</v>
      </c>
      <c r="T116" t="s">
        <v>221</v>
      </c>
    </row>
    <row r="117" spans="1:20" ht="24.95" customHeight="1" x14ac:dyDescent="0.25">
      <c r="A117" s="42"/>
      <c r="B117" s="41">
        <f t="shared" si="26"/>
        <v>113</v>
      </c>
      <c r="C117" s="41" t="s">
        <v>126</v>
      </c>
      <c r="D117" s="46">
        <v>4.7000000000000002E-3</v>
      </c>
      <c r="E117" s="47">
        <v>1385701.13</v>
      </c>
      <c r="F117" s="199">
        <f>663440.65+757614.83+15795</f>
        <v>1436850.48</v>
      </c>
      <c r="G117" s="151">
        <f t="shared" si="17"/>
        <v>-51149.350000000093</v>
      </c>
      <c r="H117" s="48">
        <f t="shared" si="25"/>
        <v>0</v>
      </c>
      <c r="I117" s="49">
        <f t="shared" si="30"/>
        <v>314921.892788</v>
      </c>
      <c r="J117" s="49">
        <f t="shared" si="27"/>
        <v>0</v>
      </c>
      <c r="K117" s="49">
        <f t="shared" si="21"/>
        <v>154427.62748928738</v>
      </c>
      <c r="L117" s="49">
        <f t="shared" si="22"/>
        <v>202702.7028</v>
      </c>
      <c r="M117" s="49">
        <f t="shared" si="23"/>
        <v>0</v>
      </c>
      <c r="N117" s="179">
        <v>0</v>
      </c>
      <c r="O117" s="221"/>
      <c r="P117" s="261">
        <f t="shared" si="28"/>
        <v>620904.13</v>
      </c>
      <c r="Q117" s="261"/>
      <c r="R117" s="34">
        <f t="shared" si="29"/>
        <v>1.1299999999999999</v>
      </c>
      <c r="S117" s="3">
        <f t="shared" si="24"/>
        <v>113</v>
      </c>
    </row>
    <row r="118" spans="1:20" ht="24.95" customHeight="1" x14ac:dyDescent="0.25">
      <c r="A118" s="42"/>
      <c r="B118" s="42">
        <f t="shared" si="26"/>
        <v>114</v>
      </c>
      <c r="C118" s="41" t="s">
        <v>127</v>
      </c>
      <c r="D118" s="46">
        <v>4.4999999999999997E-3</v>
      </c>
      <c r="E118" s="47">
        <v>672186.14</v>
      </c>
      <c r="F118" s="199">
        <f>E118</f>
        <v>672186.14</v>
      </c>
      <c r="G118" s="151">
        <f t="shared" si="17"/>
        <v>0</v>
      </c>
      <c r="H118" s="48">
        <f t="shared" si="25"/>
        <v>0</v>
      </c>
      <c r="I118" s="49">
        <f t="shared" si="30"/>
        <v>301520.96117999998</v>
      </c>
      <c r="J118" s="49">
        <f t="shared" si="27"/>
        <v>0</v>
      </c>
      <c r="K118" s="49">
        <f t="shared" si="21"/>
        <v>154427.62748928738</v>
      </c>
      <c r="L118" s="49">
        <f t="shared" si="22"/>
        <v>202702.7028</v>
      </c>
      <c r="M118" s="49">
        <f t="shared" si="23"/>
        <v>0</v>
      </c>
      <c r="N118" s="179">
        <v>0</v>
      </c>
      <c r="O118" s="221"/>
      <c r="P118" s="261">
        <f t="shared" si="28"/>
        <v>658652.14</v>
      </c>
      <c r="Q118" s="261"/>
      <c r="R118" s="34">
        <f t="shared" si="29"/>
        <v>1.1399999999999999</v>
      </c>
      <c r="S118" s="3">
        <f t="shared" si="24"/>
        <v>114</v>
      </c>
    </row>
    <row r="119" spans="1:20" ht="24.95" customHeight="1" x14ac:dyDescent="0.25">
      <c r="A119" s="42"/>
      <c r="B119" s="42">
        <f t="shared" si="26"/>
        <v>115</v>
      </c>
      <c r="C119" s="41" t="s">
        <v>128</v>
      </c>
      <c r="D119" s="46">
        <v>6.4000000000000003E-3</v>
      </c>
      <c r="E119" s="47">
        <v>803203.15</v>
      </c>
      <c r="F119" s="199">
        <f>E119</f>
        <v>803203.15</v>
      </c>
      <c r="G119" s="151">
        <f t="shared" si="17"/>
        <v>0</v>
      </c>
      <c r="H119" s="48">
        <f t="shared" si="25"/>
        <v>0</v>
      </c>
      <c r="I119" s="49">
        <f t="shared" si="30"/>
        <v>428829.81145600002</v>
      </c>
      <c r="J119" s="49">
        <f t="shared" si="27"/>
        <v>0</v>
      </c>
      <c r="K119" s="49">
        <f t="shared" si="21"/>
        <v>154427.62748928738</v>
      </c>
      <c r="L119" s="49">
        <f t="shared" si="22"/>
        <v>202702.7028</v>
      </c>
      <c r="M119" s="49">
        <f t="shared" si="23"/>
        <v>0</v>
      </c>
      <c r="N119" s="179">
        <v>0</v>
      </c>
      <c r="O119" s="221"/>
      <c r="P119" s="261">
        <f t="shared" si="28"/>
        <v>785961.15</v>
      </c>
      <c r="Q119" s="261"/>
      <c r="R119" s="34">
        <f t="shared" si="29"/>
        <v>1.1499999999999999</v>
      </c>
      <c r="S119" s="3">
        <f t="shared" si="24"/>
        <v>115</v>
      </c>
      <c r="T119" t="s">
        <v>370</v>
      </c>
    </row>
    <row r="120" spans="1:20" ht="24.95" customHeight="1" x14ac:dyDescent="0.25">
      <c r="A120" s="42"/>
      <c r="B120" s="42">
        <f t="shared" si="26"/>
        <v>116</v>
      </c>
      <c r="C120" s="41" t="s">
        <v>129</v>
      </c>
      <c r="D120" s="46">
        <v>5.7999999999999996E-3</v>
      </c>
      <c r="E120" s="47">
        <v>761878.16</v>
      </c>
      <c r="F120" s="199">
        <f>E120</f>
        <v>761878.16</v>
      </c>
      <c r="G120" s="151">
        <f t="shared" si="17"/>
        <v>0</v>
      </c>
      <c r="H120" s="48">
        <f t="shared" si="25"/>
        <v>0</v>
      </c>
      <c r="I120" s="49">
        <f t="shared" si="30"/>
        <v>388627.01663199998</v>
      </c>
      <c r="J120" s="49">
        <f t="shared" si="27"/>
        <v>0</v>
      </c>
      <c r="K120" s="49">
        <f t="shared" si="21"/>
        <v>154427.62748928738</v>
      </c>
      <c r="L120" s="49">
        <f t="shared" si="22"/>
        <v>202702.7028</v>
      </c>
      <c r="M120" s="49">
        <f t="shared" si="23"/>
        <v>0</v>
      </c>
      <c r="N120" s="179">
        <v>0</v>
      </c>
      <c r="O120" s="221"/>
      <c r="P120" s="261">
        <f t="shared" si="28"/>
        <v>745758.16</v>
      </c>
      <c r="Q120" s="261"/>
      <c r="R120" s="34">
        <f t="shared" si="29"/>
        <v>1.1599999999999999</v>
      </c>
      <c r="S120" s="3">
        <f t="shared" si="24"/>
        <v>116</v>
      </c>
    </row>
    <row r="121" spans="1:20" ht="24.95" customHeight="1" x14ac:dyDescent="0.25">
      <c r="A121" s="42"/>
      <c r="B121" s="42">
        <f t="shared" si="26"/>
        <v>117</v>
      </c>
      <c r="C121" s="41" t="s">
        <v>130</v>
      </c>
      <c r="D121" s="46">
        <v>6.1000000000000004E-3</v>
      </c>
      <c r="E121" s="47">
        <v>782576.17</v>
      </c>
      <c r="F121" s="199">
        <f>E121</f>
        <v>782576.17</v>
      </c>
      <c r="G121" s="151">
        <f t="shared" si="17"/>
        <v>0</v>
      </c>
      <c r="H121" s="48">
        <f t="shared" si="25"/>
        <v>0</v>
      </c>
      <c r="I121" s="49">
        <f t="shared" si="30"/>
        <v>408728.41404400003</v>
      </c>
      <c r="J121" s="49">
        <f t="shared" si="27"/>
        <v>0</v>
      </c>
      <c r="K121" s="49">
        <f t="shared" si="21"/>
        <v>154427.62748928738</v>
      </c>
      <c r="L121" s="49">
        <f t="shared" si="22"/>
        <v>202702.7028</v>
      </c>
      <c r="M121" s="49">
        <f t="shared" si="23"/>
        <v>0</v>
      </c>
      <c r="N121" s="179">
        <v>0</v>
      </c>
      <c r="O121" s="221"/>
      <c r="P121" s="261">
        <f t="shared" si="28"/>
        <v>765860.17</v>
      </c>
      <c r="Q121" s="261"/>
      <c r="R121" s="34">
        <f t="shared" si="29"/>
        <v>1.17</v>
      </c>
      <c r="S121" s="3">
        <f t="shared" si="24"/>
        <v>117</v>
      </c>
      <c r="T121" t="s">
        <v>207</v>
      </c>
    </row>
    <row r="122" spans="1:20" ht="24.95" customHeight="1" x14ac:dyDescent="0.25">
      <c r="A122" s="42"/>
      <c r="B122" s="42">
        <f t="shared" si="26"/>
        <v>118</v>
      </c>
      <c r="C122" s="41" t="s">
        <v>131</v>
      </c>
      <c r="D122" s="46">
        <v>5.7999999999999996E-3</v>
      </c>
      <c r="E122" s="47">
        <v>761816.18</v>
      </c>
      <c r="F122" s="199">
        <f>2119991-F124-F125</f>
        <v>761818.59000000008</v>
      </c>
      <c r="G122" s="151">
        <f t="shared" si="17"/>
        <v>-2.4100000000325963</v>
      </c>
      <c r="H122" s="48">
        <f t="shared" si="25"/>
        <v>0</v>
      </c>
      <c r="I122" s="49">
        <f t="shared" si="30"/>
        <v>388627.01663199998</v>
      </c>
      <c r="J122" s="49">
        <f t="shared" si="27"/>
        <v>0</v>
      </c>
      <c r="K122" s="49">
        <f t="shared" si="21"/>
        <v>154427.62748928738</v>
      </c>
      <c r="L122" s="49">
        <f t="shared" si="22"/>
        <v>202702.7028</v>
      </c>
      <c r="M122" s="49">
        <f t="shared" si="23"/>
        <v>0</v>
      </c>
      <c r="N122" s="179">
        <v>0</v>
      </c>
      <c r="O122" s="221"/>
      <c r="P122" s="261">
        <f t="shared" si="28"/>
        <v>745756.18</v>
      </c>
      <c r="Q122" s="261"/>
      <c r="R122" s="34">
        <f t="shared" si="29"/>
        <v>1.18</v>
      </c>
      <c r="S122" s="3">
        <f t="shared" si="24"/>
        <v>118</v>
      </c>
      <c r="T122" t="s">
        <v>243</v>
      </c>
    </row>
    <row r="123" spans="1:20" ht="24.95" customHeight="1" x14ac:dyDescent="0.25">
      <c r="A123" s="42"/>
      <c r="B123" s="42">
        <f t="shared" si="26"/>
        <v>119</v>
      </c>
      <c r="C123" s="41" t="s">
        <v>132</v>
      </c>
      <c r="D123" s="46">
        <v>5.4000000000000003E-3</v>
      </c>
      <c r="E123" s="47">
        <v>734280.19</v>
      </c>
      <c r="F123" s="199">
        <f>E123+20</f>
        <v>734300.19</v>
      </c>
      <c r="G123" s="151">
        <f t="shared" si="17"/>
        <v>-20</v>
      </c>
      <c r="H123" s="48">
        <f t="shared" si="25"/>
        <v>0</v>
      </c>
      <c r="I123" s="49">
        <f t="shared" si="30"/>
        <v>361825.15341600002</v>
      </c>
      <c r="J123" s="49">
        <f t="shared" si="27"/>
        <v>0</v>
      </c>
      <c r="K123" s="49">
        <f t="shared" si="21"/>
        <v>154427.62748928738</v>
      </c>
      <c r="L123" s="49">
        <f t="shared" si="22"/>
        <v>202702.7028</v>
      </c>
      <c r="M123" s="49">
        <f t="shared" si="23"/>
        <v>0</v>
      </c>
      <c r="N123" s="179">
        <v>0</v>
      </c>
      <c r="O123" s="221"/>
      <c r="P123" s="261">
        <f t="shared" si="28"/>
        <v>718936.19</v>
      </c>
      <c r="Q123" s="261"/>
      <c r="R123" s="34">
        <f t="shared" si="29"/>
        <v>1.19</v>
      </c>
      <c r="S123" s="3">
        <f t="shared" si="24"/>
        <v>119</v>
      </c>
      <c r="T123" t="s">
        <v>227</v>
      </c>
    </row>
    <row r="124" spans="1:20" ht="24.95" customHeight="1" x14ac:dyDescent="0.25">
      <c r="A124" s="42"/>
      <c r="B124" s="42">
        <f t="shared" si="26"/>
        <v>120</v>
      </c>
      <c r="C124" s="41" t="s">
        <v>131</v>
      </c>
      <c r="D124" s="46">
        <v>4.5999999999999999E-3</v>
      </c>
      <c r="E124" s="47">
        <v>679086.2</v>
      </c>
      <c r="F124" s="199">
        <f t="shared" si="31"/>
        <v>679086.2</v>
      </c>
      <c r="G124" s="151">
        <f t="shared" si="17"/>
        <v>0</v>
      </c>
      <c r="H124" s="48">
        <f t="shared" si="25"/>
        <v>0</v>
      </c>
      <c r="I124" s="49">
        <f t="shared" si="30"/>
        <v>308221.42698400002</v>
      </c>
      <c r="J124" s="49">
        <f t="shared" si="27"/>
        <v>0</v>
      </c>
      <c r="K124" s="49">
        <f t="shared" si="21"/>
        <v>154427.62748928738</v>
      </c>
      <c r="L124" s="49">
        <f t="shared" si="22"/>
        <v>202702.7028</v>
      </c>
      <c r="M124" s="49">
        <f t="shared" si="23"/>
        <v>0</v>
      </c>
      <c r="N124" s="179">
        <v>0</v>
      </c>
      <c r="O124" s="221"/>
      <c r="P124" s="261">
        <f t="shared" si="28"/>
        <v>665353.19999999995</v>
      </c>
      <c r="Q124" s="261"/>
      <c r="R124" s="34">
        <f t="shared" si="29"/>
        <v>1.2</v>
      </c>
      <c r="S124" s="3">
        <f t="shared" si="24"/>
        <v>120</v>
      </c>
      <c r="T124" t="s">
        <v>243</v>
      </c>
    </row>
    <row r="125" spans="1:20" ht="24.95" customHeight="1" x14ac:dyDescent="0.25">
      <c r="A125" s="42"/>
      <c r="B125" s="42">
        <f t="shared" si="26"/>
        <v>121</v>
      </c>
      <c r="C125" s="41" t="s">
        <v>131</v>
      </c>
      <c r="D125" s="46">
        <v>4.5999999999999999E-3</v>
      </c>
      <c r="E125" s="47">
        <v>679086.21</v>
      </c>
      <c r="F125" s="199">
        <f t="shared" si="31"/>
        <v>679086.21</v>
      </c>
      <c r="G125" s="151">
        <f t="shared" si="17"/>
        <v>0</v>
      </c>
      <c r="H125" s="48">
        <f t="shared" si="25"/>
        <v>0</v>
      </c>
      <c r="I125" s="49">
        <f t="shared" si="30"/>
        <v>308221.42698400002</v>
      </c>
      <c r="J125" s="49">
        <f t="shared" si="27"/>
        <v>0</v>
      </c>
      <c r="K125" s="49">
        <f t="shared" si="21"/>
        <v>154427.62748928738</v>
      </c>
      <c r="L125" s="49">
        <f t="shared" si="22"/>
        <v>202702.7028</v>
      </c>
      <c r="M125" s="49">
        <f t="shared" si="23"/>
        <v>0</v>
      </c>
      <c r="N125" s="179">
        <v>0</v>
      </c>
      <c r="O125" s="221"/>
      <c r="P125" s="261">
        <f t="shared" si="28"/>
        <v>665353.21</v>
      </c>
      <c r="Q125" s="261"/>
      <c r="R125" s="34">
        <f t="shared" si="29"/>
        <v>1.21</v>
      </c>
      <c r="S125" s="3">
        <f t="shared" si="24"/>
        <v>121</v>
      </c>
      <c r="T125" t="s">
        <v>243</v>
      </c>
    </row>
    <row r="126" spans="1:20" ht="24.95" customHeight="1" x14ac:dyDescent="0.25">
      <c r="A126" s="42"/>
      <c r="B126" s="42">
        <f t="shared" si="26"/>
        <v>122</v>
      </c>
      <c r="C126" s="41" t="s">
        <v>133</v>
      </c>
      <c r="D126" s="46">
        <v>4.5999999999999999E-3</v>
      </c>
      <c r="E126" s="47">
        <v>679086.22</v>
      </c>
      <c r="F126" s="199">
        <f t="shared" si="31"/>
        <v>679086.22</v>
      </c>
      <c r="G126" s="151">
        <f t="shared" si="17"/>
        <v>0</v>
      </c>
      <c r="H126" s="48">
        <f t="shared" si="25"/>
        <v>0</v>
      </c>
      <c r="I126" s="49">
        <f t="shared" si="30"/>
        <v>308221.42698400002</v>
      </c>
      <c r="J126" s="49">
        <f t="shared" si="27"/>
        <v>0</v>
      </c>
      <c r="K126" s="49">
        <f t="shared" si="21"/>
        <v>154427.62748928738</v>
      </c>
      <c r="L126" s="49">
        <f t="shared" si="22"/>
        <v>202702.7028</v>
      </c>
      <c r="M126" s="49">
        <f t="shared" si="23"/>
        <v>0</v>
      </c>
      <c r="N126" s="179">
        <v>0</v>
      </c>
      <c r="O126" s="221"/>
      <c r="P126" s="261">
        <f t="shared" si="28"/>
        <v>665353.22</v>
      </c>
      <c r="Q126" s="261"/>
      <c r="R126" s="34">
        <f t="shared" si="29"/>
        <v>1.22</v>
      </c>
      <c r="S126" s="3">
        <f t="shared" si="24"/>
        <v>122</v>
      </c>
    </row>
    <row r="127" spans="1:20" ht="24.95" customHeight="1" x14ac:dyDescent="0.25">
      <c r="A127" s="42"/>
      <c r="B127" s="42">
        <f t="shared" si="26"/>
        <v>123</v>
      </c>
      <c r="C127" s="41" t="s">
        <v>134</v>
      </c>
      <c r="D127" s="46">
        <v>4.5999999999999999E-3</v>
      </c>
      <c r="E127" s="47">
        <v>679086.23</v>
      </c>
      <c r="F127" s="199">
        <f t="shared" si="31"/>
        <v>679086.23</v>
      </c>
      <c r="G127" s="151">
        <f t="shared" si="17"/>
        <v>0</v>
      </c>
      <c r="H127" s="48">
        <f t="shared" si="25"/>
        <v>0</v>
      </c>
      <c r="I127" s="49">
        <f t="shared" si="30"/>
        <v>308221.42698400002</v>
      </c>
      <c r="J127" s="49">
        <f t="shared" si="27"/>
        <v>0</v>
      </c>
      <c r="K127" s="49">
        <f t="shared" si="21"/>
        <v>154427.62748928738</v>
      </c>
      <c r="L127" s="49">
        <f t="shared" si="22"/>
        <v>202702.7028</v>
      </c>
      <c r="M127" s="49">
        <f t="shared" si="23"/>
        <v>0</v>
      </c>
      <c r="N127" s="179">
        <v>0</v>
      </c>
      <c r="O127" s="221"/>
      <c r="P127" s="261">
        <f t="shared" si="28"/>
        <v>665353.23</v>
      </c>
      <c r="Q127" s="261"/>
      <c r="R127" s="34">
        <f t="shared" si="29"/>
        <v>1.23</v>
      </c>
      <c r="S127" s="3">
        <f t="shared" si="24"/>
        <v>123</v>
      </c>
      <c r="T127" t="s">
        <v>223</v>
      </c>
    </row>
    <row r="128" spans="1:20" ht="24.95" customHeight="1" x14ac:dyDescent="0.25">
      <c r="A128" s="42"/>
      <c r="B128" s="42">
        <f t="shared" si="26"/>
        <v>124</v>
      </c>
      <c r="C128" s="41" t="s">
        <v>135</v>
      </c>
      <c r="D128" s="46">
        <v>4.5999999999999999E-3</v>
      </c>
      <c r="E128" s="47">
        <v>679086.24</v>
      </c>
      <c r="F128" s="199">
        <f>E128</f>
        <v>679086.24</v>
      </c>
      <c r="G128" s="151">
        <f t="shared" si="17"/>
        <v>0</v>
      </c>
      <c r="H128" s="48">
        <f t="shared" si="25"/>
        <v>0</v>
      </c>
      <c r="I128" s="49">
        <f t="shared" si="30"/>
        <v>308221.42698400002</v>
      </c>
      <c r="J128" s="49">
        <f t="shared" si="27"/>
        <v>0</v>
      </c>
      <c r="K128" s="49">
        <f t="shared" si="21"/>
        <v>154427.62748928738</v>
      </c>
      <c r="L128" s="49">
        <f t="shared" si="22"/>
        <v>202702.7028</v>
      </c>
      <c r="M128" s="49">
        <f t="shared" si="23"/>
        <v>0</v>
      </c>
      <c r="N128" s="179">
        <v>0</v>
      </c>
      <c r="O128" s="221"/>
      <c r="P128" s="261">
        <f t="shared" si="28"/>
        <v>665353.24</v>
      </c>
      <c r="Q128" s="261"/>
      <c r="R128" s="34">
        <f t="shared" si="29"/>
        <v>1.24</v>
      </c>
      <c r="S128" s="3">
        <f t="shared" si="24"/>
        <v>124</v>
      </c>
    </row>
    <row r="129" spans="1:20" ht="24.95" customHeight="1" x14ac:dyDescent="0.25">
      <c r="A129" s="42"/>
      <c r="B129" s="42">
        <f t="shared" si="26"/>
        <v>125</v>
      </c>
      <c r="C129" s="41" t="s">
        <v>136</v>
      </c>
      <c r="D129" s="46">
        <v>4.5999999999999999E-3</v>
      </c>
      <c r="E129" s="47">
        <v>679086.25</v>
      </c>
      <c r="F129" s="199">
        <f>E129</f>
        <v>679086.25</v>
      </c>
      <c r="G129" s="151">
        <f t="shared" si="17"/>
        <v>0</v>
      </c>
      <c r="H129" s="48">
        <f t="shared" si="25"/>
        <v>0</v>
      </c>
      <c r="I129" s="49">
        <f t="shared" si="30"/>
        <v>308221.42698400002</v>
      </c>
      <c r="J129" s="49">
        <f t="shared" si="27"/>
        <v>0</v>
      </c>
      <c r="K129" s="49">
        <f t="shared" si="21"/>
        <v>154427.62748928738</v>
      </c>
      <c r="L129" s="49">
        <f t="shared" si="22"/>
        <v>202702.7028</v>
      </c>
      <c r="M129" s="49">
        <f t="shared" si="23"/>
        <v>0</v>
      </c>
      <c r="N129" s="179">
        <v>0</v>
      </c>
      <c r="O129" s="221"/>
      <c r="P129" s="261">
        <f t="shared" si="28"/>
        <v>665353.25</v>
      </c>
      <c r="Q129" s="261"/>
      <c r="R129" s="34">
        <f t="shared" si="29"/>
        <v>1.25</v>
      </c>
      <c r="S129" s="3">
        <f t="shared" si="24"/>
        <v>125</v>
      </c>
      <c r="T129" t="s">
        <v>379</v>
      </c>
    </row>
    <row r="130" spans="1:20" ht="24.95" customHeight="1" x14ac:dyDescent="0.25">
      <c r="A130" s="42"/>
      <c r="B130" s="42">
        <f t="shared" si="26"/>
        <v>126</v>
      </c>
      <c r="C130" s="41" t="s">
        <v>137</v>
      </c>
      <c r="D130" s="46">
        <v>4.5999999999999999E-3</v>
      </c>
      <c r="E130" s="47">
        <v>1355949.26</v>
      </c>
      <c r="F130" s="199">
        <f>2*656594.34</f>
        <v>1313188.68</v>
      </c>
      <c r="G130" s="151">
        <f t="shared" si="17"/>
        <v>42760.580000000075</v>
      </c>
      <c r="H130" s="48">
        <f t="shared" si="25"/>
        <v>1320.0191046000023</v>
      </c>
      <c r="I130" s="49">
        <f t="shared" si="30"/>
        <v>308221.42698400002</v>
      </c>
      <c r="J130" s="49">
        <f t="shared" si="27"/>
        <v>0</v>
      </c>
      <c r="K130" s="49">
        <f t="shared" si="21"/>
        <v>154427.62748928738</v>
      </c>
      <c r="L130" s="49">
        <f t="shared" si="22"/>
        <v>202702.7028</v>
      </c>
      <c r="M130" s="49">
        <f t="shared" si="23"/>
        <v>0</v>
      </c>
      <c r="N130" s="179">
        <v>0</v>
      </c>
      <c r="O130" s="221"/>
      <c r="P130" s="261">
        <f t="shared" si="28"/>
        <v>709433.26</v>
      </c>
      <c r="Q130" s="261"/>
      <c r="R130" s="34">
        <f t="shared" si="29"/>
        <v>1.26</v>
      </c>
      <c r="S130" s="3">
        <f t="shared" si="24"/>
        <v>126</v>
      </c>
    </row>
    <row r="131" spans="1:20" ht="24.95" customHeight="1" x14ac:dyDescent="0.25">
      <c r="A131" s="42"/>
      <c r="B131" s="42">
        <f t="shared" si="26"/>
        <v>127</v>
      </c>
      <c r="C131" s="41" t="s">
        <v>138</v>
      </c>
      <c r="D131" s="46">
        <v>5.5999999999999999E-3</v>
      </c>
      <c r="E131" s="47">
        <v>748079.27</v>
      </c>
      <c r="F131" s="199">
        <f t="shared" si="31"/>
        <v>748079.27</v>
      </c>
      <c r="G131" s="151">
        <f t="shared" si="17"/>
        <v>0</v>
      </c>
      <c r="H131" s="48">
        <f t="shared" si="25"/>
        <v>0</v>
      </c>
      <c r="I131" s="49">
        <f t="shared" si="30"/>
        <v>375226.08502399997</v>
      </c>
      <c r="J131" s="49">
        <f t="shared" si="27"/>
        <v>0</v>
      </c>
      <c r="K131" s="49">
        <f t="shared" si="21"/>
        <v>154427.62748928738</v>
      </c>
      <c r="L131" s="49">
        <f t="shared" si="22"/>
        <v>202702.7028</v>
      </c>
      <c r="M131" s="49">
        <f t="shared" si="23"/>
        <v>0</v>
      </c>
      <c r="N131" s="179">
        <v>0</v>
      </c>
      <c r="O131" s="221"/>
      <c r="P131" s="261">
        <f t="shared" si="28"/>
        <v>732357.27</v>
      </c>
      <c r="Q131" s="261"/>
      <c r="R131" s="34">
        <f t="shared" si="29"/>
        <v>1.27</v>
      </c>
      <c r="S131" s="3">
        <f t="shared" si="24"/>
        <v>127</v>
      </c>
      <c r="T131" t="s">
        <v>234</v>
      </c>
    </row>
    <row r="132" spans="1:20" ht="24.95" customHeight="1" x14ac:dyDescent="0.25">
      <c r="A132" s="42"/>
      <c r="B132" s="42">
        <f t="shared" si="26"/>
        <v>128</v>
      </c>
      <c r="C132" s="41" t="s">
        <v>139</v>
      </c>
      <c r="D132" s="46">
        <v>6.1000000000000004E-3</v>
      </c>
      <c r="E132" s="47">
        <v>10554015.279999999</v>
      </c>
      <c r="F132" s="199">
        <f>3500000+1200000+385000</f>
        <v>5085000</v>
      </c>
      <c r="G132" s="151">
        <f t="shared" si="17"/>
        <v>5469015.2799999993</v>
      </c>
      <c r="H132" s="48">
        <f t="shared" si="25"/>
        <v>168828.50169359997</v>
      </c>
      <c r="I132" s="49">
        <f t="shared" si="30"/>
        <v>408728.41404400003</v>
      </c>
      <c r="J132" s="49">
        <f t="shared" si="27"/>
        <v>0</v>
      </c>
      <c r="K132" s="49">
        <f t="shared" si="21"/>
        <v>154427.62748928738</v>
      </c>
      <c r="L132" s="49">
        <f t="shared" si="22"/>
        <v>202702.7028</v>
      </c>
      <c r="M132" s="49">
        <f t="shared" si="23"/>
        <v>0</v>
      </c>
      <c r="N132" s="179">
        <v>0</v>
      </c>
      <c r="O132" s="221"/>
      <c r="P132" s="261">
        <f t="shared" si="28"/>
        <v>6403704.2800000003</v>
      </c>
      <c r="Q132" s="261"/>
      <c r="R132" s="34">
        <f t="shared" si="29"/>
        <v>1.28</v>
      </c>
      <c r="S132" s="3">
        <f t="shared" si="24"/>
        <v>128</v>
      </c>
    </row>
    <row r="133" spans="1:20" ht="24.95" customHeight="1" x14ac:dyDescent="0.25">
      <c r="A133" s="42"/>
      <c r="B133" s="42">
        <f>B132+1</f>
        <v>129</v>
      </c>
      <c r="C133" s="41" t="s">
        <v>140</v>
      </c>
      <c r="D133" s="46">
        <v>6.1000000000000004E-3</v>
      </c>
      <c r="E133" s="47">
        <v>782576.29</v>
      </c>
      <c r="F133" s="199">
        <f>E133</f>
        <v>782576.29</v>
      </c>
      <c r="G133" s="151">
        <f t="shared" si="17"/>
        <v>0</v>
      </c>
      <c r="H133" s="48">
        <f t="shared" si="25"/>
        <v>0</v>
      </c>
      <c r="I133" s="49">
        <f t="shared" si="30"/>
        <v>408728.41404400003</v>
      </c>
      <c r="J133" s="49">
        <f t="shared" ref="J133:J143" si="32">P$2*D133</f>
        <v>0</v>
      </c>
      <c r="K133" s="49">
        <f t="shared" si="21"/>
        <v>154427.62748928738</v>
      </c>
      <c r="L133" s="49">
        <f t="shared" si="22"/>
        <v>202702.7028</v>
      </c>
      <c r="M133" s="49">
        <f t="shared" si="23"/>
        <v>0</v>
      </c>
      <c r="N133" s="179">
        <v>0</v>
      </c>
      <c r="O133" s="221"/>
      <c r="P133" s="261">
        <f t="shared" ref="P133:P143" si="33">ROUND(SUM(G133:O133),0) + R133</f>
        <v>765860.29</v>
      </c>
      <c r="Q133" s="261"/>
      <c r="R133" s="34">
        <f t="shared" ref="R133:R156" si="34">ROUND(0.001+B133/100,2)</f>
        <v>1.29</v>
      </c>
      <c r="S133" s="3">
        <f t="shared" si="24"/>
        <v>129</v>
      </c>
      <c r="T133" t="s">
        <v>205</v>
      </c>
    </row>
    <row r="134" spans="1:20" ht="24.95" customHeight="1" x14ac:dyDescent="0.25">
      <c r="A134" s="42"/>
      <c r="B134" s="41">
        <f t="shared" si="26"/>
        <v>130</v>
      </c>
      <c r="C134" s="41" t="s">
        <v>141</v>
      </c>
      <c r="D134" s="46">
        <v>5.7000000000000002E-3</v>
      </c>
      <c r="E134" s="47">
        <v>754909.3</v>
      </c>
      <c r="F134" s="199">
        <f>735000+20000</f>
        <v>755000</v>
      </c>
      <c r="G134" s="151">
        <f t="shared" si="17"/>
        <v>-90.699999999953434</v>
      </c>
      <c r="H134" s="48">
        <f t="shared" si="25"/>
        <v>0</v>
      </c>
      <c r="I134" s="49">
        <f t="shared" si="30"/>
        <v>381926.55082800001</v>
      </c>
      <c r="J134" s="49">
        <f t="shared" si="32"/>
        <v>0</v>
      </c>
      <c r="K134" s="49">
        <f t="shared" ref="K134:K143" si="35">G$2*0.675675676%</f>
        <v>154427.62748928738</v>
      </c>
      <c r="L134" s="49">
        <f t="shared" ref="L134:L142" si="36">P$1*0.675675676%</f>
        <v>202702.7028</v>
      </c>
      <c r="M134" s="49">
        <f t="shared" ref="M134:M156" si="37">G$1*D134</f>
        <v>0</v>
      </c>
      <c r="N134" s="179">
        <v>0</v>
      </c>
      <c r="O134" s="221"/>
      <c r="P134" s="261">
        <f t="shared" si="33"/>
        <v>738967.3</v>
      </c>
      <c r="Q134" s="261"/>
      <c r="R134" s="34">
        <f t="shared" si="34"/>
        <v>1.3</v>
      </c>
      <c r="S134" s="3">
        <f t="shared" ref="S134:S156" si="38">B134</f>
        <v>130</v>
      </c>
      <c r="T134" t="s">
        <v>231</v>
      </c>
    </row>
    <row r="135" spans="1:20" ht="24.95" customHeight="1" x14ac:dyDescent="0.25">
      <c r="A135" s="42"/>
      <c r="B135" s="42">
        <f t="shared" si="26"/>
        <v>131</v>
      </c>
      <c r="C135" s="41" t="s">
        <v>142</v>
      </c>
      <c r="D135" s="46">
        <v>6.1000000000000004E-3</v>
      </c>
      <c r="E135" s="47">
        <v>782576.31</v>
      </c>
      <c r="F135" s="199">
        <f>E135</f>
        <v>782576.31</v>
      </c>
      <c r="G135" s="151">
        <f t="shared" si="17"/>
        <v>0</v>
      </c>
      <c r="H135" s="48">
        <f t="shared" ref="H135:H156" si="39">IF(G135&gt;0,G135*3.087%,0)</f>
        <v>0</v>
      </c>
      <c r="I135" s="49">
        <f t="shared" si="30"/>
        <v>408728.41404400003</v>
      </c>
      <c r="J135" s="49">
        <f t="shared" si="32"/>
        <v>0</v>
      </c>
      <c r="K135" s="49">
        <f t="shared" si="35"/>
        <v>154427.62748928738</v>
      </c>
      <c r="L135" s="49">
        <f t="shared" si="36"/>
        <v>202702.7028</v>
      </c>
      <c r="M135" s="49">
        <f t="shared" si="37"/>
        <v>0</v>
      </c>
      <c r="N135" s="179">
        <v>0</v>
      </c>
      <c r="O135" s="221"/>
      <c r="P135" s="261">
        <f t="shared" si="33"/>
        <v>765860.31</v>
      </c>
      <c r="Q135" s="261"/>
      <c r="R135" s="34">
        <f t="shared" si="34"/>
        <v>1.31</v>
      </c>
      <c r="S135" s="3">
        <f t="shared" si="38"/>
        <v>131</v>
      </c>
    </row>
    <row r="136" spans="1:20" ht="24.95" customHeight="1" x14ac:dyDescent="0.25">
      <c r="A136" s="42"/>
      <c r="B136" s="42">
        <f t="shared" si="26"/>
        <v>132</v>
      </c>
      <c r="C136" s="41" t="s">
        <v>143</v>
      </c>
      <c r="D136" s="46">
        <v>6.0000000000000001E-3</v>
      </c>
      <c r="E136" s="47">
        <v>775115.32</v>
      </c>
      <c r="F136" s="199">
        <f>E136</f>
        <v>775115.32</v>
      </c>
      <c r="G136" s="151">
        <f t="shared" si="17"/>
        <v>0</v>
      </c>
      <c r="H136" s="48">
        <f t="shared" si="39"/>
        <v>0</v>
      </c>
      <c r="I136" s="49">
        <f t="shared" si="30"/>
        <v>402027.94824</v>
      </c>
      <c r="J136" s="49">
        <f t="shared" si="32"/>
        <v>0</v>
      </c>
      <c r="K136" s="49">
        <f t="shared" si="35"/>
        <v>154427.62748928738</v>
      </c>
      <c r="L136" s="49">
        <f t="shared" si="36"/>
        <v>202702.7028</v>
      </c>
      <c r="M136" s="49">
        <f t="shared" si="37"/>
        <v>0</v>
      </c>
      <c r="N136" s="179">
        <v>0</v>
      </c>
      <c r="O136" s="221"/>
      <c r="P136" s="261">
        <f t="shared" si="33"/>
        <v>759159.32</v>
      </c>
      <c r="Q136" s="261"/>
      <c r="R136" s="34">
        <f t="shared" si="34"/>
        <v>1.32</v>
      </c>
      <c r="S136" s="3">
        <f t="shared" si="38"/>
        <v>132</v>
      </c>
      <c r="T136" t="s">
        <v>374</v>
      </c>
    </row>
    <row r="137" spans="1:20" ht="24.95" customHeight="1" x14ac:dyDescent="0.25">
      <c r="A137" s="41"/>
      <c r="B137" s="41">
        <f t="shared" ref="B137:B145" si="40">B136+1</f>
        <v>133</v>
      </c>
      <c r="C137" s="41" t="s">
        <v>144</v>
      </c>
      <c r="D137" s="46">
        <v>6.4000000000000003E-3</v>
      </c>
      <c r="E137" s="47">
        <v>803274.33</v>
      </c>
      <c r="F137" s="199">
        <v>803500</v>
      </c>
      <c r="G137" s="151">
        <f t="shared" si="17"/>
        <v>-225.67000000004191</v>
      </c>
      <c r="H137" s="48">
        <f t="shared" si="39"/>
        <v>0</v>
      </c>
      <c r="I137" s="49">
        <f t="shared" si="30"/>
        <v>428829.81145600002</v>
      </c>
      <c r="J137" s="49">
        <f t="shared" si="32"/>
        <v>0</v>
      </c>
      <c r="K137" s="49">
        <f t="shared" si="35"/>
        <v>154427.62748928738</v>
      </c>
      <c r="L137" s="49">
        <f t="shared" si="36"/>
        <v>202702.7028</v>
      </c>
      <c r="M137" s="49">
        <f t="shared" si="37"/>
        <v>0</v>
      </c>
      <c r="N137" s="179">
        <v>0</v>
      </c>
      <c r="O137" s="221"/>
      <c r="P137" s="261">
        <f t="shared" si="33"/>
        <v>785735.33</v>
      </c>
      <c r="Q137" s="261"/>
      <c r="R137" s="34">
        <f t="shared" si="34"/>
        <v>1.33</v>
      </c>
      <c r="S137" s="3">
        <f t="shared" si="38"/>
        <v>133</v>
      </c>
      <c r="T137" t="s">
        <v>239</v>
      </c>
    </row>
    <row r="138" spans="1:20" ht="24.95" customHeight="1" x14ac:dyDescent="0.25">
      <c r="A138" s="42"/>
      <c r="B138" s="42">
        <f t="shared" si="40"/>
        <v>134</v>
      </c>
      <c r="C138" s="41" t="s">
        <v>145</v>
      </c>
      <c r="D138" s="46">
        <v>5.3E-3</v>
      </c>
      <c r="E138" s="47">
        <v>727381.34</v>
      </c>
      <c r="F138" s="199">
        <f>1509957-F139</f>
        <v>727380.65</v>
      </c>
      <c r="G138" s="151">
        <f t="shared" si="17"/>
        <v>0.68999999994412065</v>
      </c>
      <c r="H138" s="48">
        <f t="shared" si="39"/>
        <v>2.1300299998275006E-2</v>
      </c>
      <c r="I138" s="49">
        <f t="shared" si="30"/>
        <v>355124.68761199998</v>
      </c>
      <c r="J138" s="49">
        <f t="shared" si="32"/>
        <v>0</v>
      </c>
      <c r="K138" s="49">
        <f t="shared" si="35"/>
        <v>154427.62748928738</v>
      </c>
      <c r="L138" s="49">
        <f t="shared" si="36"/>
        <v>202702.7028</v>
      </c>
      <c r="M138" s="49">
        <f t="shared" si="37"/>
        <v>0</v>
      </c>
      <c r="N138" s="179">
        <v>0</v>
      </c>
      <c r="O138" s="221"/>
      <c r="P138" s="261">
        <f t="shared" si="33"/>
        <v>712257.34</v>
      </c>
      <c r="Q138" s="261"/>
      <c r="R138" s="34">
        <f t="shared" si="34"/>
        <v>1.34</v>
      </c>
      <c r="S138" s="3">
        <f t="shared" si="38"/>
        <v>134</v>
      </c>
      <c r="T138" t="s">
        <v>217</v>
      </c>
    </row>
    <row r="139" spans="1:20" ht="24.95" customHeight="1" x14ac:dyDescent="0.25">
      <c r="A139" s="42"/>
      <c r="B139" s="42">
        <f t="shared" si="40"/>
        <v>135</v>
      </c>
      <c r="C139" s="41" t="s">
        <v>145</v>
      </c>
      <c r="D139" s="46">
        <v>6.1000000000000004E-3</v>
      </c>
      <c r="E139" s="47">
        <v>782576.35</v>
      </c>
      <c r="F139" s="199">
        <f t="shared" si="31"/>
        <v>782576.35</v>
      </c>
      <c r="G139" s="151">
        <f t="shared" si="17"/>
        <v>0</v>
      </c>
      <c r="H139" s="48">
        <f t="shared" si="39"/>
        <v>0</v>
      </c>
      <c r="I139" s="49">
        <f t="shared" si="30"/>
        <v>408728.41404400003</v>
      </c>
      <c r="J139" s="49">
        <f t="shared" si="32"/>
        <v>0</v>
      </c>
      <c r="K139" s="49">
        <f t="shared" si="35"/>
        <v>154427.62748928738</v>
      </c>
      <c r="L139" s="49">
        <f t="shared" si="36"/>
        <v>202702.7028</v>
      </c>
      <c r="M139" s="49">
        <f t="shared" si="37"/>
        <v>0</v>
      </c>
      <c r="N139" s="179">
        <v>0</v>
      </c>
      <c r="O139" s="221"/>
      <c r="P139" s="261">
        <f t="shared" si="33"/>
        <v>765860.35</v>
      </c>
      <c r="Q139" s="261"/>
      <c r="R139" s="34">
        <f t="shared" si="34"/>
        <v>1.35</v>
      </c>
      <c r="S139" s="3">
        <f t="shared" si="38"/>
        <v>135</v>
      </c>
      <c r="T139" s="153" t="s">
        <v>217</v>
      </c>
    </row>
    <row r="140" spans="1:20" ht="24.95" customHeight="1" x14ac:dyDescent="0.25">
      <c r="A140" s="42"/>
      <c r="B140" s="41">
        <f t="shared" si="40"/>
        <v>136</v>
      </c>
      <c r="C140" s="41" t="s">
        <v>146</v>
      </c>
      <c r="D140" s="200">
        <v>6.1999999999999998E-3</v>
      </c>
      <c r="E140" s="47">
        <v>1697162.36</v>
      </c>
      <c r="F140" s="199">
        <f>808505.45+27181</f>
        <v>835686.45</v>
      </c>
      <c r="G140" s="151">
        <f t="shared" si="17"/>
        <v>861475.91000000015</v>
      </c>
      <c r="H140" s="48">
        <f t="shared" si="39"/>
        <v>26593.761341700007</v>
      </c>
      <c r="I140" s="49">
        <f t="shared" si="30"/>
        <v>415428.87984799995</v>
      </c>
      <c r="J140" s="49">
        <f t="shared" si="32"/>
        <v>0</v>
      </c>
      <c r="K140" s="49">
        <f t="shared" si="35"/>
        <v>154427.62748928738</v>
      </c>
      <c r="L140" s="49">
        <f t="shared" si="36"/>
        <v>202702.7028</v>
      </c>
      <c r="M140" s="49">
        <f t="shared" si="37"/>
        <v>0</v>
      </c>
      <c r="N140" s="179">
        <v>0</v>
      </c>
      <c r="O140" s="221"/>
      <c r="P140" s="261">
        <f t="shared" si="33"/>
        <v>1660630.36</v>
      </c>
      <c r="Q140" s="261"/>
      <c r="R140" s="34">
        <f t="shared" si="34"/>
        <v>1.36</v>
      </c>
      <c r="S140" s="3">
        <f t="shared" si="38"/>
        <v>136</v>
      </c>
      <c r="T140" t="s">
        <v>381</v>
      </c>
    </row>
    <row r="141" spans="1:20" ht="24.95" customHeight="1" x14ac:dyDescent="0.25">
      <c r="A141" s="42"/>
      <c r="B141" s="42">
        <f t="shared" si="40"/>
        <v>137</v>
      </c>
      <c r="C141" s="41" t="s">
        <v>147</v>
      </c>
      <c r="D141" s="46">
        <v>5.4000000000000003E-3</v>
      </c>
      <c r="E141" s="47">
        <v>819424.37</v>
      </c>
      <c r="F141" s="199">
        <f>E141</f>
        <v>819424.37</v>
      </c>
      <c r="G141" s="151">
        <f t="shared" si="17"/>
        <v>0</v>
      </c>
      <c r="H141" s="48">
        <f t="shared" si="39"/>
        <v>0</v>
      </c>
      <c r="I141" s="49">
        <f t="shared" si="30"/>
        <v>361825.15341600002</v>
      </c>
      <c r="J141" s="49">
        <f t="shared" si="32"/>
        <v>0</v>
      </c>
      <c r="K141" s="49">
        <f t="shared" si="35"/>
        <v>154427.62748928738</v>
      </c>
      <c r="L141" s="49">
        <f t="shared" si="36"/>
        <v>202702.7028</v>
      </c>
      <c r="M141" s="49">
        <f t="shared" si="37"/>
        <v>0</v>
      </c>
      <c r="N141" s="179">
        <v>0</v>
      </c>
      <c r="O141" s="221"/>
      <c r="P141" s="261">
        <f t="shared" si="33"/>
        <v>718956.37</v>
      </c>
      <c r="Q141" s="261"/>
      <c r="R141" s="34">
        <f t="shared" si="34"/>
        <v>1.37</v>
      </c>
      <c r="S141" s="3">
        <f t="shared" si="38"/>
        <v>137</v>
      </c>
    </row>
    <row r="142" spans="1:20" ht="24.95" customHeight="1" x14ac:dyDescent="0.25">
      <c r="A142" s="42"/>
      <c r="B142" s="42">
        <f t="shared" si="40"/>
        <v>138</v>
      </c>
      <c r="C142" s="41" t="s">
        <v>148</v>
      </c>
      <c r="D142" s="46">
        <v>6.4999999999999997E-3</v>
      </c>
      <c r="E142" s="47">
        <v>810173.38</v>
      </c>
      <c r="F142" s="199">
        <f t="shared" si="31"/>
        <v>810173.38</v>
      </c>
      <c r="G142" s="151">
        <f t="shared" si="17"/>
        <v>0</v>
      </c>
      <c r="H142" s="48">
        <f t="shared" si="39"/>
        <v>0</v>
      </c>
      <c r="I142" s="49">
        <f t="shared" si="30"/>
        <v>435530.27726</v>
      </c>
      <c r="J142" s="49">
        <f t="shared" si="32"/>
        <v>0</v>
      </c>
      <c r="K142" s="49">
        <f t="shared" si="35"/>
        <v>154427.62748928738</v>
      </c>
      <c r="L142" s="49">
        <f t="shared" si="36"/>
        <v>202702.7028</v>
      </c>
      <c r="M142" s="49">
        <f t="shared" si="37"/>
        <v>0</v>
      </c>
      <c r="N142" s="179">
        <v>0</v>
      </c>
      <c r="O142" s="221"/>
      <c r="P142" s="261">
        <f t="shared" si="33"/>
        <v>792662.38</v>
      </c>
      <c r="Q142" s="261"/>
      <c r="R142" s="34">
        <f t="shared" si="34"/>
        <v>1.38</v>
      </c>
      <c r="S142" s="3">
        <f t="shared" si="38"/>
        <v>138</v>
      </c>
    </row>
    <row r="143" spans="1:20" ht="24.95" customHeight="1" x14ac:dyDescent="0.25">
      <c r="A143" s="42"/>
      <c r="B143" s="42">
        <f t="shared" si="40"/>
        <v>139</v>
      </c>
      <c r="C143" s="41" t="s">
        <v>149</v>
      </c>
      <c r="D143" s="46">
        <v>6.1000000000000004E-3</v>
      </c>
      <c r="E143" s="47">
        <v>781779.39</v>
      </c>
      <c r="F143" s="199">
        <v>782000</v>
      </c>
      <c r="G143" s="151">
        <f t="shared" si="17"/>
        <v>-220.60999999998603</v>
      </c>
      <c r="H143" s="48">
        <f t="shared" si="39"/>
        <v>0</v>
      </c>
      <c r="I143" s="49">
        <f t="shared" si="30"/>
        <v>408728.41404400003</v>
      </c>
      <c r="J143" s="49">
        <f t="shared" si="32"/>
        <v>0</v>
      </c>
      <c r="K143" s="49">
        <f t="shared" si="35"/>
        <v>154427.62748928738</v>
      </c>
      <c r="L143" s="49">
        <f>P$1*0.675675676%</f>
        <v>202702.7028</v>
      </c>
      <c r="M143" s="49">
        <f t="shared" si="37"/>
        <v>0</v>
      </c>
      <c r="N143" s="179">
        <v>0</v>
      </c>
      <c r="O143" s="221"/>
      <c r="P143" s="261">
        <f t="shared" si="33"/>
        <v>765639.39</v>
      </c>
      <c r="Q143" s="261"/>
      <c r="R143" s="34">
        <f t="shared" si="34"/>
        <v>1.39</v>
      </c>
      <c r="S143" s="3">
        <f t="shared" si="38"/>
        <v>139</v>
      </c>
    </row>
    <row r="144" spans="1:20" ht="24.95" customHeight="1" x14ac:dyDescent="0.25">
      <c r="A144" s="42"/>
      <c r="B144" s="42">
        <f t="shared" si="40"/>
        <v>140</v>
      </c>
      <c r="C144" s="41" t="s">
        <v>150</v>
      </c>
      <c r="D144" s="46">
        <v>0.18509999999999999</v>
      </c>
      <c r="E144" s="47"/>
      <c r="F144" s="199"/>
      <c r="G144" s="151"/>
      <c r="H144" s="48"/>
      <c r="I144" s="49"/>
      <c r="J144" s="49"/>
      <c r="K144" s="49"/>
      <c r="L144" s="49"/>
      <c r="M144" s="49"/>
      <c r="N144" s="179"/>
      <c r="O144" s="221"/>
      <c r="P144" s="261"/>
      <c r="Q144" s="261"/>
      <c r="R144" s="34">
        <f t="shared" si="34"/>
        <v>1.4</v>
      </c>
      <c r="S144" s="3">
        <f t="shared" si="38"/>
        <v>140</v>
      </c>
    </row>
    <row r="145" spans="1:21" ht="24.95" customHeight="1" x14ac:dyDescent="0.25">
      <c r="A145" s="42"/>
      <c r="B145" s="42">
        <f t="shared" si="40"/>
        <v>141</v>
      </c>
      <c r="C145" s="41" t="s">
        <v>150</v>
      </c>
      <c r="D145" s="46">
        <v>0.156</v>
      </c>
      <c r="E145" s="47"/>
      <c r="F145" s="199"/>
      <c r="G145" s="151"/>
      <c r="H145" s="48"/>
      <c r="I145" s="49"/>
      <c r="J145" s="49"/>
      <c r="K145" s="49"/>
      <c r="L145" s="49"/>
      <c r="M145" s="49"/>
      <c r="N145" s="179"/>
      <c r="O145" s="221"/>
      <c r="P145" s="261"/>
      <c r="Q145" s="261"/>
      <c r="R145" s="34">
        <f t="shared" si="34"/>
        <v>1.41</v>
      </c>
      <c r="S145" s="3">
        <f t="shared" si="38"/>
        <v>141</v>
      </c>
    </row>
    <row r="146" spans="1:21" ht="24.95" customHeight="1" x14ac:dyDescent="0.25">
      <c r="A146" s="42"/>
      <c r="B146" s="42"/>
      <c r="C146" s="41"/>
      <c r="D146" s="46"/>
      <c r="E146" s="47"/>
      <c r="F146" s="66"/>
      <c r="G146" s="151"/>
      <c r="H146" s="48"/>
      <c r="I146" s="49"/>
      <c r="J146" s="49"/>
      <c r="K146" s="49"/>
      <c r="L146" s="49"/>
      <c r="M146" s="49"/>
      <c r="N146" s="179"/>
      <c r="O146" s="221"/>
      <c r="P146" s="272"/>
      <c r="Q146" s="272"/>
      <c r="R146" s="34">
        <f t="shared" si="34"/>
        <v>0</v>
      </c>
      <c r="S146" s="3">
        <f t="shared" si="38"/>
        <v>0</v>
      </c>
    </row>
    <row r="147" spans="1:21" ht="24.95" customHeight="1" x14ac:dyDescent="0.25">
      <c r="A147" s="42"/>
      <c r="B147" s="42"/>
      <c r="C147" s="41"/>
      <c r="D147" s="46"/>
      <c r="E147" s="47"/>
      <c r="F147" s="66"/>
      <c r="G147" s="151"/>
      <c r="H147" s="48"/>
      <c r="I147" s="49"/>
      <c r="J147" s="49"/>
      <c r="K147" s="49"/>
      <c r="L147" s="49"/>
      <c r="M147" s="49"/>
      <c r="N147" s="179"/>
      <c r="O147" s="221"/>
      <c r="P147" s="272"/>
      <c r="Q147" s="272"/>
      <c r="R147" s="34">
        <f t="shared" si="34"/>
        <v>0</v>
      </c>
      <c r="S147" s="3">
        <f t="shared" si="38"/>
        <v>0</v>
      </c>
    </row>
    <row r="148" spans="1:21" ht="24.95" customHeight="1" x14ac:dyDescent="0.25">
      <c r="A148" s="42"/>
      <c r="B148" s="42">
        <v>146</v>
      </c>
      <c r="C148" s="41" t="s">
        <v>85</v>
      </c>
      <c r="D148" s="46">
        <v>3.8E-3</v>
      </c>
      <c r="E148" s="47">
        <v>870521.46</v>
      </c>
      <c r="F148" s="199">
        <f>E148</f>
        <v>870521.46</v>
      </c>
      <c r="G148" s="151">
        <f t="shared" si="17"/>
        <v>0</v>
      </c>
      <c r="H148" s="48">
        <f t="shared" si="39"/>
        <v>0</v>
      </c>
      <c r="I148" s="49">
        <f t="shared" si="30"/>
        <v>254617.70055199999</v>
      </c>
      <c r="J148" s="49">
        <f t="shared" ref="J148:J156" si="41">P$2*D148</f>
        <v>0</v>
      </c>
      <c r="K148" s="49">
        <f t="shared" ref="K148:K156" si="42">G$2*0.675675676%</f>
        <v>154427.62748928738</v>
      </c>
      <c r="L148" s="49">
        <f>P$1*0.675675676%</f>
        <v>202702.7028</v>
      </c>
      <c r="M148" s="49">
        <v>47924</v>
      </c>
      <c r="N148" s="179">
        <f>(I148+K148)/2</f>
        <v>204522.66402064369</v>
      </c>
      <c r="O148" s="221"/>
      <c r="P148" s="261">
        <f t="shared" ref="P148:P156" si="43">ROUND(SUM(G148:O148),0) + R148</f>
        <v>864196.46</v>
      </c>
      <c r="Q148" s="261"/>
      <c r="R148" s="34">
        <f t="shared" si="34"/>
        <v>1.46</v>
      </c>
      <c r="S148" s="3">
        <f t="shared" si="38"/>
        <v>146</v>
      </c>
    </row>
    <row r="149" spans="1:21" ht="24.95" customHeight="1" x14ac:dyDescent="0.25">
      <c r="A149" s="42"/>
      <c r="B149" s="42">
        <v>158</v>
      </c>
      <c r="C149" s="41" t="s">
        <v>54</v>
      </c>
      <c r="D149" s="46">
        <v>4.5999999999999999E-3</v>
      </c>
      <c r="E149" s="47">
        <v>679086.58</v>
      </c>
      <c r="F149" s="199">
        <f t="shared" si="31"/>
        <v>679086.58</v>
      </c>
      <c r="G149" s="151">
        <f t="shared" si="17"/>
        <v>0</v>
      </c>
      <c r="H149" s="48">
        <f t="shared" si="39"/>
        <v>0</v>
      </c>
      <c r="I149" s="49">
        <f t="shared" si="30"/>
        <v>308221.42698400002</v>
      </c>
      <c r="J149" s="49">
        <f t="shared" si="41"/>
        <v>0</v>
      </c>
      <c r="K149" s="49">
        <f t="shared" si="42"/>
        <v>154427.62748928738</v>
      </c>
      <c r="L149" s="49">
        <f t="shared" ref="L149:L156" si="44">P$1*0.675675676%</f>
        <v>202702.7028</v>
      </c>
      <c r="M149" s="49">
        <f t="shared" si="37"/>
        <v>0</v>
      </c>
      <c r="N149" s="179">
        <v>0</v>
      </c>
      <c r="O149" s="49"/>
      <c r="P149" s="261">
        <f t="shared" si="43"/>
        <v>665353.57999999996</v>
      </c>
      <c r="Q149" s="261"/>
      <c r="R149" s="34">
        <f t="shared" si="34"/>
        <v>1.58</v>
      </c>
      <c r="S149" s="3">
        <f t="shared" si="38"/>
        <v>158</v>
      </c>
    </row>
    <row r="150" spans="1:21" ht="24.95" customHeight="1" x14ac:dyDescent="0.25">
      <c r="A150" s="42"/>
      <c r="B150" s="42">
        <v>159</v>
      </c>
      <c r="C150" s="41" t="s">
        <v>54</v>
      </c>
      <c r="D150" s="46">
        <v>4.5999999999999999E-3</v>
      </c>
      <c r="E150" s="47">
        <v>679086.59</v>
      </c>
      <c r="F150" s="199">
        <f t="shared" si="31"/>
        <v>679086.59</v>
      </c>
      <c r="G150" s="151">
        <f t="shared" si="17"/>
        <v>0</v>
      </c>
      <c r="H150" s="48">
        <f t="shared" si="39"/>
        <v>0</v>
      </c>
      <c r="I150" s="49">
        <f t="shared" si="30"/>
        <v>308221.42698400002</v>
      </c>
      <c r="J150" s="49">
        <f t="shared" si="41"/>
        <v>0</v>
      </c>
      <c r="K150" s="49">
        <f t="shared" si="42"/>
        <v>154427.62748928738</v>
      </c>
      <c r="L150" s="49">
        <f t="shared" si="44"/>
        <v>202702.7028</v>
      </c>
      <c r="M150" s="49">
        <f t="shared" si="37"/>
        <v>0</v>
      </c>
      <c r="N150" s="49">
        <v>0</v>
      </c>
      <c r="O150" s="49"/>
      <c r="P150" s="261">
        <f t="shared" si="43"/>
        <v>665353.59</v>
      </c>
      <c r="Q150" s="261"/>
      <c r="R150" s="34">
        <f t="shared" si="34"/>
        <v>1.59</v>
      </c>
      <c r="S150" s="3">
        <f t="shared" si="38"/>
        <v>159</v>
      </c>
    </row>
    <row r="151" spans="1:21" ht="24.95" customHeight="1" x14ac:dyDescent="0.25">
      <c r="A151" s="42"/>
      <c r="B151" s="42">
        <v>163</v>
      </c>
      <c r="C151" s="41" t="s">
        <v>86</v>
      </c>
      <c r="D151" s="46">
        <v>4.5999999999999999E-3</v>
      </c>
      <c r="E151" s="47">
        <v>702216.63</v>
      </c>
      <c r="F151" s="199">
        <f>E151</f>
        <v>702216.63</v>
      </c>
      <c r="G151" s="151">
        <f t="shared" si="17"/>
        <v>0</v>
      </c>
      <c r="H151" s="48">
        <f t="shared" si="39"/>
        <v>0</v>
      </c>
      <c r="I151" s="49">
        <f t="shared" si="30"/>
        <v>308221.42698400002</v>
      </c>
      <c r="J151" s="49">
        <f t="shared" si="41"/>
        <v>0</v>
      </c>
      <c r="K151" s="49">
        <f t="shared" si="42"/>
        <v>154427.62748928738</v>
      </c>
      <c r="L151" s="49">
        <f t="shared" si="44"/>
        <v>202702.7028</v>
      </c>
      <c r="M151" s="49">
        <f t="shared" si="37"/>
        <v>0</v>
      </c>
      <c r="N151" s="49">
        <v>0</v>
      </c>
      <c r="O151" s="49"/>
      <c r="P151" s="261">
        <f t="shared" si="43"/>
        <v>665353.63</v>
      </c>
      <c r="Q151" s="261"/>
      <c r="R151" s="34">
        <f t="shared" si="34"/>
        <v>1.63</v>
      </c>
      <c r="S151" s="3">
        <f t="shared" si="38"/>
        <v>163</v>
      </c>
    </row>
    <row r="152" spans="1:21" ht="24.95" customHeight="1" x14ac:dyDescent="0.25">
      <c r="A152" s="42"/>
      <c r="B152" s="42">
        <v>168</v>
      </c>
      <c r="C152" s="41" t="s">
        <v>54</v>
      </c>
      <c r="D152" s="46">
        <v>4.4000000000000003E-3</v>
      </c>
      <c r="E152" s="47">
        <v>665287.68000000005</v>
      </c>
      <c r="F152" s="199">
        <f t="shared" si="31"/>
        <v>665287.68000000005</v>
      </c>
      <c r="G152" s="151">
        <f t="shared" si="17"/>
        <v>0</v>
      </c>
      <c r="H152" s="48">
        <f t="shared" si="39"/>
        <v>0</v>
      </c>
      <c r="I152" s="49">
        <f t="shared" si="30"/>
        <v>294820.49537600001</v>
      </c>
      <c r="J152" s="49">
        <f t="shared" si="41"/>
        <v>0</v>
      </c>
      <c r="K152" s="49">
        <f t="shared" si="42"/>
        <v>154427.62748928738</v>
      </c>
      <c r="L152" s="49">
        <f t="shared" si="44"/>
        <v>202702.7028</v>
      </c>
      <c r="M152" s="49">
        <f t="shared" si="37"/>
        <v>0</v>
      </c>
      <c r="N152" s="49">
        <v>0</v>
      </c>
      <c r="O152" s="49"/>
      <c r="P152" s="261">
        <f t="shared" si="43"/>
        <v>651952.68000000005</v>
      </c>
      <c r="Q152" s="261"/>
      <c r="R152" s="34">
        <f t="shared" si="34"/>
        <v>1.68</v>
      </c>
      <c r="S152" s="3">
        <f t="shared" si="38"/>
        <v>168</v>
      </c>
    </row>
    <row r="153" spans="1:21" ht="24.95" customHeight="1" x14ac:dyDescent="0.25">
      <c r="A153" s="42"/>
      <c r="B153" s="42">
        <v>173</v>
      </c>
      <c r="C153" s="41" t="s">
        <v>87</v>
      </c>
      <c r="D153" s="46">
        <v>4.5999999999999999E-3</v>
      </c>
      <c r="E153" s="47">
        <v>1473360.73</v>
      </c>
      <c r="F153" s="199">
        <v>1313188.7</v>
      </c>
      <c r="G153" s="151">
        <f t="shared" si="17"/>
        <v>160172.03000000003</v>
      </c>
      <c r="H153" s="48">
        <f t="shared" si="39"/>
        <v>4944.5105661000007</v>
      </c>
      <c r="I153" s="49">
        <f t="shared" si="30"/>
        <v>308221.42698400002</v>
      </c>
      <c r="J153" s="49">
        <f t="shared" si="41"/>
        <v>0</v>
      </c>
      <c r="K153" s="49">
        <f t="shared" si="42"/>
        <v>154427.62748928738</v>
      </c>
      <c r="L153" s="49">
        <f t="shared" si="44"/>
        <v>202702.7028</v>
      </c>
      <c r="M153" s="49">
        <f t="shared" si="37"/>
        <v>0</v>
      </c>
      <c r="N153" s="49">
        <v>0</v>
      </c>
      <c r="O153" s="49"/>
      <c r="P153" s="261">
        <f t="shared" si="43"/>
        <v>830469.73</v>
      </c>
      <c r="Q153" s="261"/>
      <c r="R153" s="34">
        <f t="shared" si="34"/>
        <v>1.73</v>
      </c>
      <c r="S153" s="3">
        <f t="shared" si="38"/>
        <v>173</v>
      </c>
    </row>
    <row r="154" spans="1:21" ht="24.95" customHeight="1" x14ac:dyDescent="0.25">
      <c r="A154" s="42"/>
      <c r="B154" s="42">
        <v>175</v>
      </c>
      <c r="C154" s="41" t="s">
        <v>87</v>
      </c>
      <c r="D154" s="46">
        <v>4.5999999999999999E-3</v>
      </c>
      <c r="E154" s="47">
        <v>714990.75</v>
      </c>
      <c r="F154" s="199"/>
      <c r="G154" s="151">
        <f t="shared" si="17"/>
        <v>714990.75</v>
      </c>
      <c r="H154" s="48">
        <f t="shared" si="39"/>
        <v>22071.7644525</v>
      </c>
      <c r="I154" s="49">
        <f t="shared" si="30"/>
        <v>308221.42698400002</v>
      </c>
      <c r="J154" s="49">
        <f t="shared" si="41"/>
        <v>0</v>
      </c>
      <c r="K154" s="49">
        <f t="shared" si="42"/>
        <v>154427.62748928738</v>
      </c>
      <c r="L154" s="49">
        <f t="shared" si="44"/>
        <v>202702.7028</v>
      </c>
      <c r="M154" s="49">
        <f t="shared" si="37"/>
        <v>0</v>
      </c>
      <c r="N154" s="49">
        <v>0</v>
      </c>
      <c r="O154" s="49"/>
      <c r="P154" s="261">
        <f t="shared" si="43"/>
        <v>1402415.75</v>
      </c>
      <c r="Q154" s="261"/>
      <c r="R154" s="34">
        <f t="shared" si="34"/>
        <v>1.75</v>
      </c>
      <c r="S154" s="3">
        <f t="shared" si="38"/>
        <v>175</v>
      </c>
      <c r="U154" t="s">
        <v>241</v>
      </c>
    </row>
    <row r="155" spans="1:21" ht="24.95" customHeight="1" x14ac:dyDescent="0.25">
      <c r="A155" s="42"/>
      <c r="B155" s="42">
        <v>176</v>
      </c>
      <c r="C155" s="41" t="s">
        <v>86</v>
      </c>
      <c r="D155" s="46">
        <v>4.5999999999999999E-3</v>
      </c>
      <c r="E155" s="47">
        <v>679086.76</v>
      </c>
      <c r="F155" s="199">
        <f t="shared" si="31"/>
        <v>679086.76</v>
      </c>
      <c r="G155" s="151">
        <f t="shared" si="17"/>
        <v>0</v>
      </c>
      <c r="H155" s="48">
        <f t="shared" si="39"/>
        <v>0</v>
      </c>
      <c r="I155" s="49">
        <f t="shared" si="30"/>
        <v>308221.42698400002</v>
      </c>
      <c r="J155" s="49">
        <f t="shared" si="41"/>
        <v>0</v>
      </c>
      <c r="K155" s="49">
        <f t="shared" si="42"/>
        <v>154427.62748928738</v>
      </c>
      <c r="L155" s="49">
        <f t="shared" si="44"/>
        <v>202702.7028</v>
      </c>
      <c r="M155" s="49">
        <f t="shared" si="37"/>
        <v>0</v>
      </c>
      <c r="N155" s="49">
        <v>0</v>
      </c>
      <c r="O155" s="49"/>
      <c r="P155" s="261">
        <f t="shared" si="43"/>
        <v>665353.76</v>
      </c>
      <c r="Q155" s="261"/>
      <c r="R155" s="34">
        <f t="shared" si="34"/>
        <v>1.76</v>
      </c>
      <c r="S155" s="3">
        <f t="shared" si="38"/>
        <v>176</v>
      </c>
    </row>
    <row r="156" spans="1:21" ht="24.95" customHeight="1" x14ac:dyDescent="0.25">
      <c r="A156" s="42"/>
      <c r="B156" s="42">
        <v>204</v>
      </c>
      <c r="C156" s="41" t="s">
        <v>44</v>
      </c>
      <c r="D156" s="46">
        <v>4.8999999999999998E-3</v>
      </c>
      <c r="E156" s="47">
        <v>1366564.04</v>
      </c>
      <c r="F156" s="199"/>
      <c r="G156" s="151">
        <f t="shared" si="17"/>
        <v>1366564.04</v>
      </c>
      <c r="H156" s="48">
        <f t="shared" si="39"/>
        <v>42185.831914800001</v>
      </c>
      <c r="I156" s="49">
        <f t="shared" si="30"/>
        <v>328322.82439600001</v>
      </c>
      <c r="J156" s="49">
        <f t="shared" si="41"/>
        <v>0</v>
      </c>
      <c r="K156" s="49">
        <f t="shared" si="42"/>
        <v>154427.62748928738</v>
      </c>
      <c r="L156" s="49">
        <f t="shared" si="44"/>
        <v>202702.7028</v>
      </c>
      <c r="M156" s="49">
        <f t="shared" si="37"/>
        <v>0</v>
      </c>
      <c r="N156" s="49">
        <v>0</v>
      </c>
      <c r="O156" s="49"/>
      <c r="P156" s="261">
        <f t="shared" si="43"/>
        <v>2094205.04</v>
      </c>
      <c r="Q156" s="261"/>
      <c r="R156" s="34">
        <f t="shared" si="34"/>
        <v>2.04</v>
      </c>
      <c r="S156" s="3">
        <f t="shared" si="38"/>
        <v>204</v>
      </c>
    </row>
    <row r="157" spans="1:21" ht="24.95" customHeight="1" x14ac:dyDescent="0.25">
      <c r="A157" s="42"/>
      <c r="B157" s="42"/>
      <c r="C157" s="41"/>
      <c r="D157" s="46"/>
      <c r="E157" s="47"/>
      <c r="F157" s="66"/>
      <c r="G157" s="48"/>
      <c r="H157" s="48"/>
      <c r="I157" s="49"/>
      <c r="J157" s="49"/>
      <c r="K157" s="49"/>
      <c r="L157" s="49"/>
      <c r="M157" s="49"/>
      <c r="N157" s="49"/>
      <c r="O157" s="49"/>
      <c r="P157" s="282"/>
      <c r="Q157" s="282"/>
      <c r="R157" s="34"/>
      <c r="S157" s="3"/>
    </row>
    <row r="158" spans="1:21" ht="24.95" customHeight="1" x14ac:dyDescent="0.25">
      <c r="A158" s="42"/>
      <c r="B158" s="42"/>
      <c r="C158" s="42"/>
      <c r="D158" s="46"/>
      <c r="E158" s="47"/>
      <c r="F158" s="3"/>
      <c r="G158" s="48"/>
      <c r="H158" s="48"/>
      <c r="I158" s="177"/>
      <c r="J158" s="49"/>
      <c r="K158" s="49"/>
      <c r="L158" s="49"/>
      <c r="M158" s="49"/>
      <c r="N158" s="49"/>
      <c r="O158" s="49"/>
      <c r="P158" s="282"/>
      <c r="Q158" s="282"/>
      <c r="R158" s="34"/>
      <c r="S158" s="3"/>
    </row>
    <row r="159" spans="1:21" ht="24.95" customHeight="1" thickBot="1" x14ac:dyDescent="0.3">
      <c r="A159" s="50"/>
      <c r="B159" s="178"/>
      <c r="C159" s="171"/>
      <c r="D159" s="188">
        <f t="shared" ref="D159:O159" si="45">SUM(D5:D158)</f>
        <v>1.0407000000000002</v>
      </c>
      <c r="E159" s="172">
        <f t="shared" si="45"/>
        <v>151727787.52000001</v>
      </c>
      <c r="F159" s="173">
        <f>SUM(F5:F158)</f>
        <v>103675061.57000001</v>
      </c>
      <c r="G159" s="174" t="e">
        <f t="shared" si="45"/>
        <v>#VALUE!</v>
      </c>
      <c r="H159" s="175"/>
      <c r="I159" s="175">
        <f t="shared" si="45"/>
        <v>46876458.764783971</v>
      </c>
      <c r="J159" s="175">
        <f t="shared" si="45"/>
        <v>0</v>
      </c>
      <c r="K159" s="176">
        <f t="shared" si="45"/>
        <v>22855288.868414532</v>
      </c>
      <c r="L159" s="180">
        <f t="shared" si="45"/>
        <v>30000000.01439989</v>
      </c>
      <c r="M159" s="176">
        <f t="shared" si="45"/>
        <v>530311</v>
      </c>
      <c r="N159" s="176">
        <f t="shared" si="45"/>
        <v>2028317.0186977936</v>
      </c>
      <c r="O159" s="176">
        <f t="shared" si="45"/>
        <v>630544.14343319996</v>
      </c>
      <c r="P159" s="253" t="e">
        <f>SUM(P5:P158)</f>
        <v>#VALUE!</v>
      </c>
      <c r="Q159" s="254"/>
      <c r="R159" s="253"/>
      <c r="S159" s="254"/>
    </row>
    <row r="160" spans="1:21" ht="12" customHeight="1" thickBot="1" x14ac:dyDescent="0.3">
      <c r="F160" s="67"/>
    </row>
    <row r="161" spans="3:16" ht="15" customHeight="1" x14ac:dyDescent="0.25">
      <c r="C161" s="273" t="s">
        <v>402</v>
      </c>
      <c r="D161" s="274"/>
      <c r="E161" s="274"/>
      <c r="F161" s="274"/>
      <c r="G161" s="274"/>
      <c r="H161" s="274"/>
      <c r="I161" s="274"/>
      <c r="J161" s="274"/>
      <c r="K161" s="274"/>
      <c r="L161" s="274"/>
      <c r="M161" s="274"/>
      <c r="N161" s="274"/>
      <c r="O161" s="274"/>
      <c r="P161" s="275"/>
    </row>
    <row r="162" spans="3:16" ht="26.25" customHeight="1" thickBot="1" x14ac:dyDescent="0.3">
      <c r="C162" s="279"/>
      <c r="D162" s="280"/>
      <c r="E162" s="280"/>
      <c r="F162" s="280"/>
      <c r="G162" s="280"/>
      <c r="H162" s="280"/>
      <c r="I162" s="280"/>
      <c r="J162" s="280"/>
      <c r="K162" s="280"/>
      <c r="L162" s="280"/>
      <c r="M162" s="280"/>
      <c r="N162" s="280"/>
      <c r="O162" s="280"/>
      <c r="P162" s="281"/>
    </row>
    <row r="163" spans="3:16" ht="10.5" hidden="1" customHeight="1" x14ac:dyDescent="0.25">
      <c r="C163" s="273" t="s">
        <v>394</v>
      </c>
      <c r="D163" s="274"/>
      <c r="E163" s="274"/>
      <c r="F163" s="274"/>
      <c r="G163" s="274"/>
      <c r="H163" s="274"/>
      <c r="I163" s="274"/>
      <c r="J163" s="274"/>
      <c r="K163" s="274"/>
      <c r="L163" s="274"/>
      <c r="M163" s="274"/>
      <c r="N163" s="274"/>
      <c r="O163" s="274"/>
      <c r="P163" s="275"/>
    </row>
    <row r="164" spans="3:16" ht="15" hidden="1" customHeight="1" x14ac:dyDescent="0.25">
      <c r="C164" s="276"/>
      <c r="D164" s="277"/>
      <c r="E164" s="277"/>
      <c r="F164" s="277"/>
      <c r="G164" s="277"/>
      <c r="H164" s="277"/>
      <c r="I164" s="277"/>
      <c r="J164" s="277"/>
      <c r="K164" s="277"/>
      <c r="L164" s="277"/>
      <c r="M164" s="277"/>
      <c r="N164" s="277"/>
      <c r="O164" s="277"/>
      <c r="P164" s="278"/>
    </row>
    <row r="165" spans="3:16" ht="6" customHeight="1" x14ac:dyDescent="0.25">
      <c r="C165" s="276"/>
      <c r="D165" s="277"/>
      <c r="E165" s="277"/>
      <c r="F165" s="277"/>
      <c r="G165" s="277"/>
      <c r="H165" s="277"/>
      <c r="I165" s="277"/>
      <c r="J165" s="277"/>
      <c r="K165" s="277"/>
      <c r="L165" s="277"/>
      <c r="M165" s="277"/>
      <c r="N165" s="277"/>
      <c r="O165" s="277"/>
      <c r="P165" s="278"/>
    </row>
    <row r="166" spans="3:16" ht="164.25" customHeight="1" thickBot="1" x14ac:dyDescent="0.3">
      <c r="C166" s="279"/>
      <c r="D166" s="280"/>
      <c r="E166" s="280"/>
      <c r="F166" s="280"/>
      <c r="G166" s="280"/>
      <c r="H166" s="280"/>
      <c r="I166" s="280"/>
      <c r="J166" s="280"/>
      <c r="K166" s="280"/>
      <c r="L166" s="280"/>
      <c r="M166" s="280"/>
      <c r="N166" s="280"/>
      <c r="O166" s="280"/>
      <c r="P166" s="281"/>
    </row>
  </sheetData>
  <mergeCells count="183">
    <mergeCell ref="C163:P166"/>
    <mergeCell ref="C161:P162"/>
    <mergeCell ref="P155:Q155"/>
    <mergeCell ref="P156:Q156"/>
    <mergeCell ref="P159:Q159"/>
    <mergeCell ref="P157:Q157"/>
    <mergeCell ref="P158:Q158"/>
    <mergeCell ref="P150:Q150"/>
    <mergeCell ref="P151:Q151"/>
    <mergeCell ref="P152:Q152"/>
    <mergeCell ref="P153:Q153"/>
    <mergeCell ref="P154:Q154"/>
    <mergeCell ref="P145:Q145"/>
    <mergeCell ref="P146:Q146"/>
    <mergeCell ref="P147:Q147"/>
    <mergeCell ref="P148:Q148"/>
    <mergeCell ref="P149:Q149"/>
    <mergeCell ref="P140:Q140"/>
    <mergeCell ref="P141:Q141"/>
    <mergeCell ref="P142:Q142"/>
    <mergeCell ref="P143:Q143"/>
    <mergeCell ref="P144:Q144"/>
    <mergeCell ref="P135:Q135"/>
    <mergeCell ref="P136:Q136"/>
    <mergeCell ref="P137:Q137"/>
    <mergeCell ref="P138:Q138"/>
    <mergeCell ref="P139:Q139"/>
    <mergeCell ref="P130:Q130"/>
    <mergeCell ref="P131:Q131"/>
    <mergeCell ref="P132:Q132"/>
    <mergeCell ref="P133:Q133"/>
    <mergeCell ref="P134:Q134"/>
    <mergeCell ref="P125:Q125"/>
    <mergeCell ref="P126:Q126"/>
    <mergeCell ref="P127:Q127"/>
    <mergeCell ref="P128:Q128"/>
    <mergeCell ref="P129:Q129"/>
    <mergeCell ref="P120:Q120"/>
    <mergeCell ref="P121:Q121"/>
    <mergeCell ref="P122:Q122"/>
    <mergeCell ref="P123:Q123"/>
    <mergeCell ref="P124:Q124"/>
    <mergeCell ref="P115:Q115"/>
    <mergeCell ref="P116:Q116"/>
    <mergeCell ref="P117:Q117"/>
    <mergeCell ref="P118:Q118"/>
    <mergeCell ref="P119:Q119"/>
    <mergeCell ref="P110:Q110"/>
    <mergeCell ref="P111:Q111"/>
    <mergeCell ref="P112:Q112"/>
    <mergeCell ref="P113:Q113"/>
    <mergeCell ref="P114:Q114"/>
    <mergeCell ref="P105:Q105"/>
    <mergeCell ref="P106:Q106"/>
    <mergeCell ref="P107:Q107"/>
    <mergeCell ref="P108:Q108"/>
    <mergeCell ref="P109:Q109"/>
    <mergeCell ref="P100:Q100"/>
    <mergeCell ref="P101:Q101"/>
    <mergeCell ref="P102:Q102"/>
    <mergeCell ref="P103:Q103"/>
    <mergeCell ref="P104:Q104"/>
    <mergeCell ref="P95:Q95"/>
    <mergeCell ref="P96:Q96"/>
    <mergeCell ref="P97:Q97"/>
    <mergeCell ref="P98:Q98"/>
    <mergeCell ref="P99:Q99"/>
    <mergeCell ref="P90:Q90"/>
    <mergeCell ref="P91:Q91"/>
    <mergeCell ref="P92:Q92"/>
    <mergeCell ref="P93:Q93"/>
    <mergeCell ref="P94:Q94"/>
    <mergeCell ref="P85:Q85"/>
    <mergeCell ref="P86:Q86"/>
    <mergeCell ref="P87:Q87"/>
    <mergeCell ref="P88:Q88"/>
    <mergeCell ref="P89:Q89"/>
    <mergeCell ref="P80:Q80"/>
    <mergeCell ref="P81:Q81"/>
    <mergeCell ref="P82:Q82"/>
    <mergeCell ref="P83:Q83"/>
    <mergeCell ref="P84:Q84"/>
    <mergeCell ref="P75:Q75"/>
    <mergeCell ref="P76:Q76"/>
    <mergeCell ref="P77:Q77"/>
    <mergeCell ref="P78:Q78"/>
    <mergeCell ref="P79:Q79"/>
    <mergeCell ref="P70:Q70"/>
    <mergeCell ref="P71:Q71"/>
    <mergeCell ref="P72:Q72"/>
    <mergeCell ref="P73:Q73"/>
    <mergeCell ref="P74:Q74"/>
    <mergeCell ref="P65:Q65"/>
    <mergeCell ref="P66:Q66"/>
    <mergeCell ref="P67:Q67"/>
    <mergeCell ref="P68:Q68"/>
    <mergeCell ref="P69:Q69"/>
    <mergeCell ref="P60:Q60"/>
    <mergeCell ref="P61:Q61"/>
    <mergeCell ref="P62:Q62"/>
    <mergeCell ref="P63:Q63"/>
    <mergeCell ref="P64:Q64"/>
    <mergeCell ref="P55:Q55"/>
    <mergeCell ref="P56:Q56"/>
    <mergeCell ref="P57:Q57"/>
    <mergeCell ref="P58:Q58"/>
    <mergeCell ref="P59:Q59"/>
    <mergeCell ref="P50:Q50"/>
    <mergeCell ref="P51:Q51"/>
    <mergeCell ref="P52:Q52"/>
    <mergeCell ref="P53:Q53"/>
    <mergeCell ref="P54:Q54"/>
    <mergeCell ref="P45:Q45"/>
    <mergeCell ref="P46:Q46"/>
    <mergeCell ref="P47:Q47"/>
    <mergeCell ref="P48:Q48"/>
    <mergeCell ref="P49:Q49"/>
    <mergeCell ref="P40:Q40"/>
    <mergeCell ref="P41:Q41"/>
    <mergeCell ref="P42:Q42"/>
    <mergeCell ref="P43:Q43"/>
    <mergeCell ref="P44:Q44"/>
    <mergeCell ref="P21:Q21"/>
    <mergeCell ref="P22:Q22"/>
    <mergeCell ref="P23:Q23"/>
    <mergeCell ref="P24:Q24"/>
    <mergeCell ref="P35:Q35"/>
    <mergeCell ref="P36:Q36"/>
    <mergeCell ref="P37:Q37"/>
    <mergeCell ref="P38:Q38"/>
    <mergeCell ref="P39:Q39"/>
    <mergeCell ref="P30:Q30"/>
    <mergeCell ref="P31:Q31"/>
    <mergeCell ref="P32:Q32"/>
    <mergeCell ref="P33:Q33"/>
    <mergeCell ref="P34:Q34"/>
    <mergeCell ref="D1:E1"/>
    <mergeCell ref="K1:L1"/>
    <mergeCell ref="L3:L4"/>
    <mergeCell ref="K2:L2"/>
    <mergeCell ref="M3:M4"/>
    <mergeCell ref="P1:Q1"/>
    <mergeCell ref="P2:Q2"/>
    <mergeCell ref="G2:H2"/>
    <mergeCell ref="N3:N4"/>
    <mergeCell ref="F1:G1"/>
    <mergeCell ref="O3:O4"/>
    <mergeCell ref="C2:E2"/>
    <mergeCell ref="P3:Q4"/>
    <mergeCell ref="P15:Q15"/>
    <mergeCell ref="P16:Q16"/>
    <mergeCell ref="P17:Q17"/>
    <mergeCell ref="P18:Q18"/>
    <mergeCell ref="P19:Q19"/>
    <mergeCell ref="P10:Q10"/>
    <mergeCell ref="P11:Q11"/>
    <mergeCell ref="P12:Q12"/>
    <mergeCell ref="P13:Q13"/>
    <mergeCell ref="P14:Q14"/>
    <mergeCell ref="S3:S4"/>
    <mergeCell ref="R159:S159"/>
    <mergeCell ref="A3:A4"/>
    <mergeCell ref="B3:B4"/>
    <mergeCell ref="C3:C4"/>
    <mergeCell ref="D3:D4"/>
    <mergeCell ref="K3:K4"/>
    <mergeCell ref="H3:H4"/>
    <mergeCell ref="E3:E4"/>
    <mergeCell ref="F3:F4"/>
    <mergeCell ref="G3:G4"/>
    <mergeCell ref="I3:I4"/>
    <mergeCell ref="J3:J4"/>
    <mergeCell ref="P5:Q5"/>
    <mergeCell ref="P6:Q6"/>
    <mergeCell ref="P7:Q7"/>
    <mergeCell ref="P8:Q8"/>
    <mergeCell ref="P9:Q9"/>
    <mergeCell ref="P25:Q25"/>
    <mergeCell ref="P26:Q26"/>
    <mergeCell ref="P27:Q27"/>
    <mergeCell ref="P28:Q28"/>
    <mergeCell ref="P29:Q29"/>
    <mergeCell ref="P20:Q20"/>
  </mergeCells>
  <hyperlinks>
    <hyperlink ref="T65" r:id="rId1" xr:uid="{60CCA824-04D7-4098-BB5B-CC4EC0E5DE92}"/>
    <hyperlink ref="T45" r:id="rId2" xr:uid="{FB3F0167-0D80-4D0E-9747-86680AF517F7}"/>
  </hyperlinks>
  <pageMargins left="0.23622047244094491" right="0.23622047244094491" top="0.74803149606299213" bottom="0.74803149606299213" header="0.31496062992125984" footer="0.31496062992125984"/>
  <pageSetup paperSize="3" orientation="landscap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FBE5D-A085-4352-B83D-558B648684C3}">
  <dimension ref="A3:O160"/>
  <sheetViews>
    <sheetView topLeftCell="A34" workbookViewId="0">
      <selection activeCell="M8" sqref="M8"/>
    </sheetView>
  </sheetViews>
  <sheetFormatPr baseColWidth="10" defaultRowHeight="15" x14ac:dyDescent="0.25"/>
  <cols>
    <col min="14" max="14" width="13" bestFit="1" customWidth="1"/>
  </cols>
  <sheetData>
    <row r="3" spans="3:10" ht="15.75" thickBot="1" x14ac:dyDescent="0.3"/>
    <row r="4" spans="3:10" x14ac:dyDescent="0.25">
      <c r="C4" s="154" t="s">
        <v>165</v>
      </c>
      <c r="D4" s="155">
        <v>1</v>
      </c>
      <c r="E4" s="99"/>
      <c r="F4" s="99"/>
      <c r="G4" s="99"/>
      <c r="H4" s="99"/>
      <c r="I4" s="99"/>
      <c r="J4" s="100"/>
    </row>
    <row r="5" spans="3:10" x14ac:dyDescent="0.25">
      <c r="C5" s="156" t="s">
        <v>166</v>
      </c>
      <c r="D5" s="67"/>
      <c r="G5" t="s">
        <v>172</v>
      </c>
    </row>
    <row r="6" spans="3:10" x14ac:dyDescent="0.25">
      <c r="C6" s="156" t="s">
        <v>167</v>
      </c>
      <c r="D6" s="67" t="s">
        <v>168</v>
      </c>
      <c r="E6" s="67" t="s">
        <v>169</v>
      </c>
      <c r="G6" t="s">
        <v>173</v>
      </c>
    </row>
    <row r="7" spans="3:10" x14ac:dyDescent="0.25">
      <c r="C7" s="1" t="s">
        <v>170</v>
      </c>
      <c r="E7" s="104"/>
      <c r="J7" s="101"/>
    </row>
    <row r="8" spans="3:10" ht="15.75" thickBot="1" x14ac:dyDescent="0.3">
      <c r="C8" s="1" t="s">
        <v>171</v>
      </c>
      <c r="J8" s="101"/>
    </row>
    <row r="9" spans="3:10" x14ac:dyDescent="0.25">
      <c r="C9" s="283"/>
      <c r="D9" s="284"/>
      <c r="E9" s="284"/>
      <c r="F9" s="284"/>
      <c r="G9" s="284"/>
      <c r="H9" s="284"/>
      <c r="I9" s="284"/>
      <c r="J9" s="285"/>
    </row>
    <row r="10" spans="3:10" x14ac:dyDescent="0.25">
      <c r="C10" s="286"/>
      <c r="D10" s="287"/>
      <c r="E10" s="287"/>
      <c r="F10" s="287"/>
      <c r="G10" s="287"/>
      <c r="H10" s="287"/>
      <c r="I10" s="287"/>
      <c r="J10" s="288"/>
    </row>
    <row r="11" spans="3:10" ht="15.75" thickBot="1" x14ac:dyDescent="0.3">
      <c r="C11" s="289"/>
      <c r="D11" s="290"/>
      <c r="E11" s="290"/>
      <c r="F11" s="290"/>
      <c r="G11" s="290"/>
      <c r="H11" s="290"/>
      <c r="I11" s="290"/>
      <c r="J11" s="291"/>
    </row>
    <row r="13" spans="3:10" ht="15.75" thickBot="1" x14ac:dyDescent="0.3"/>
    <row r="14" spans="3:10" x14ac:dyDescent="0.25">
      <c r="C14" s="154" t="s">
        <v>165</v>
      </c>
      <c r="D14" s="155">
        <f>D4+1</f>
        <v>2</v>
      </c>
      <c r="E14" s="155"/>
      <c r="F14" s="155"/>
      <c r="G14" s="155"/>
      <c r="H14" s="155"/>
      <c r="I14" s="155"/>
      <c r="J14" s="158"/>
    </row>
    <row r="15" spans="3:10" x14ac:dyDescent="0.25">
      <c r="C15" s="156" t="s">
        <v>166</v>
      </c>
      <c r="D15" s="67"/>
      <c r="E15" s="159"/>
      <c r="F15" s="67"/>
      <c r="G15" s="67" t="s">
        <v>172</v>
      </c>
      <c r="H15" s="310"/>
      <c r="I15" s="310"/>
      <c r="J15" s="311"/>
    </row>
    <row r="16" spans="3:10" x14ac:dyDescent="0.25">
      <c r="C16" s="156" t="s">
        <v>167</v>
      </c>
      <c r="D16" s="67" t="s">
        <v>168</v>
      </c>
      <c r="E16" s="67" t="s">
        <v>169</v>
      </c>
      <c r="F16" s="67"/>
      <c r="G16" s="67" t="s">
        <v>173</v>
      </c>
      <c r="H16" s="160"/>
      <c r="I16" s="160"/>
      <c r="J16" s="161"/>
    </row>
    <row r="17" spans="3:10" x14ac:dyDescent="0.25">
      <c r="C17" s="156" t="s">
        <v>170</v>
      </c>
      <c r="D17" s="67"/>
      <c r="E17" s="159"/>
      <c r="F17" s="67"/>
      <c r="G17" s="67"/>
      <c r="H17" s="67"/>
      <c r="I17" s="67"/>
      <c r="J17" s="162"/>
    </row>
    <row r="18" spans="3:10" ht="15.75" thickBot="1" x14ac:dyDescent="0.3">
      <c r="C18" s="156" t="s">
        <v>171</v>
      </c>
      <c r="D18" s="67"/>
      <c r="E18" s="67"/>
      <c r="F18" s="67"/>
      <c r="G18" s="67"/>
      <c r="H18" s="67"/>
      <c r="I18" s="67"/>
      <c r="J18" s="162"/>
    </row>
    <row r="19" spans="3:10" x14ac:dyDescent="0.25">
      <c r="C19" s="312"/>
      <c r="D19" s="313"/>
      <c r="E19" s="313"/>
      <c r="F19" s="313"/>
      <c r="G19" s="313"/>
      <c r="H19" s="313"/>
      <c r="I19" s="313"/>
      <c r="J19" s="314"/>
    </row>
    <row r="20" spans="3:10" x14ac:dyDescent="0.25">
      <c r="C20" s="315"/>
      <c r="D20" s="316"/>
      <c r="E20" s="316"/>
      <c r="F20" s="316"/>
      <c r="G20" s="316"/>
      <c r="H20" s="316"/>
      <c r="I20" s="316"/>
      <c r="J20" s="317"/>
    </row>
    <row r="21" spans="3:10" ht="15.75" thickBot="1" x14ac:dyDescent="0.3">
      <c r="C21" s="318"/>
      <c r="D21" s="319"/>
      <c r="E21" s="319"/>
      <c r="F21" s="319"/>
      <c r="G21" s="319"/>
      <c r="H21" s="319"/>
      <c r="I21" s="319"/>
      <c r="J21" s="320"/>
    </row>
    <row r="23" spans="3:10" ht="15.75" thickBot="1" x14ac:dyDescent="0.3"/>
    <row r="24" spans="3:10" x14ac:dyDescent="0.25">
      <c r="C24" s="154" t="s">
        <v>165</v>
      </c>
      <c r="D24" s="155">
        <f>D14+1</f>
        <v>3</v>
      </c>
      <c r="E24" s="155"/>
      <c r="F24" s="155"/>
      <c r="G24" s="155"/>
      <c r="H24" s="155"/>
      <c r="I24" s="155"/>
      <c r="J24" s="158"/>
    </row>
    <row r="25" spans="3:10" x14ac:dyDescent="0.25">
      <c r="C25" s="156" t="s">
        <v>166</v>
      </c>
      <c r="D25" s="67"/>
      <c r="E25" s="159"/>
      <c r="F25" s="67"/>
      <c r="G25" s="67" t="s">
        <v>172</v>
      </c>
      <c r="H25" s="329"/>
      <c r="I25" s="310"/>
      <c r="J25" s="311"/>
    </row>
    <row r="26" spans="3:10" x14ac:dyDescent="0.25">
      <c r="C26" s="156" t="s">
        <v>167</v>
      </c>
      <c r="D26" s="67" t="s">
        <v>168</v>
      </c>
      <c r="E26" s="67" t="s">
        <v>169</v>
      </c>
      <c r="F26" s="67"/>
      <c r="G26" s="67" t="s">
        <v>173</v>
      </c>
      <c r="H26" s="310"/>
      <c r="I26" s="310"/>
      <c r="J26" s="311"/>
    </row>
    <row r="27" spans="3:10" x14ac:dyDescent="0.25">
      <c r="C27" s="156" t="s">
        <v>170</v>
      </c>
      <c r="D27" s="67"/>
      <c r="E27" s="159"/>
      <c r="F27" s="67"/>
      <c r="G27" s="67"/>
      <c r="H27" s="67"/>
      <c r="I27" s="67"/>
      <c r="J27" s="162"/>
    </row>
    <row r="28" spans="3:10" ht="15.75" thickBot="1" x14ac:dyDescent="0.3">
      <c r="C28" s="156" t="s">
        <v>171</v>
      </c>
      <c r="D28" s="67"/>
      <c r="E28" s="67"/>
      <c r="F28" s="67"/>
      <c r="G28" s="67"/>
      <c r="H28" s="67"/>
      <c r="I28" s="67"/>
      <c r="J28" s="162"/>
    </row>
    <row r="29" spans="3:10" x14ac:dyDescent="0.25">
      <c r="C29" s="312"/>
      <c r="D29" s="321"/>
      <c r="E29" s="321"/>
      <c r="F29" s="321"/>
      <c r="G29" s="321"/>
      <c r="H29" s="321"/>
      <c r="I29" s="321"/>
      <c r="J29" s="322"/>
    </row>
    <row r="30" spans="3:10" x14ac:dyDescent="0.25">
      <c r="C30" s="323"/>
      <c r="D30" s="324"/>
      <c r="E30" s="324"/>
      <c r="F30" s="324"/>
      <c r="G30" s="324"/>
      <c r="H30" s="324"/>
      <c r="I30" s="324"/>
      <c r="J30" s="325"/>
    </row>
    <row r="31" spans="3:10" ht="27.6" customHeight="1" thickBot="1" x14ac:dyDescent="0.3">
      <c r="C31" s="326"/>
      <c r="D31" s="327"/>
      <c r="E31" s="327"/>
      <c r="F31" s="327"/>
      <c r="G31" s="327"/>
      <c r="H31" s="327"/>
      <c r="I31" s="327"/>
      <c r="J31" s="328"/>
    </row>
    <row r="33" spans="3:10" ht="15.75" thickBot="1" x14ac:dyDescent="0.3"/>
    <row r="34" spans="3:10" x14ac:dyDescent="0.25">
      <c r="C34" s="154" t="s">
        <v>165</v>
      </c>
      <c r="D34" s="155">
        <f>D24+1</f>
        <v>4</v>
      </c>
      <c r="E34" s="155"/>
      <c r="F34" s="155"/>
      <c r="G34" s="155"/>
      <c r="H34" s="155"/>
      <c r="I34" s="155"/>
      <c r="J34" s="158"/>
    </row>
    <row r="35" spans="3:10" x14ac:dyDescent="0.25">
      <c r="C35" s="156" t="s">
        <v>166</v>
      </c>
      <c r="D35" s="67"/>
      <c r="E35" s="159"/>
      <c r="F35" s="67"/>
      <c r="G35" s="67" t="s">
        <v>172</v>
      </c>
      <c r="H35" s="331"/>
      <c r="I35" s="331"/>
      <c r="J35" s="332"/>
    </row>
    <row r="36" spans="3:10" x14ac:dyDescent="0.25">
      <c r="C36" s="156" t="s">
        <v>167</v>
      </c>
      <c r="D36" s="67" t="s">
        <v>168</v>
      </c>
      <c r="E36" s="67" t="s">
        <v>169</v>
      </c>
      <c r="F36" s="67"/>
      <c r="G36" s="67" t="s">
        <v>173</v>
      </c>
      <c r="H36" s="160"/>
      <c r="I36" s="160"/>
      <c r="J36" s="161"/>
    </row>
    <row r="37" spans="3:10" x14ac:dyDescent="0.25">
      <c r="C37" s="156" t="s">
        <v>170</v>
      </c>
      <c r="D37" s="67"/>
      <c r="E37" s="159"/>
      <c r="F37" s="67"/>
      <c r="G37" s="67"/>
      <c r="H37" s="67"/>
      <c r="I37" s="67"/>
      <c r="J37" s="162"/>
    </row>
    <row r="38" spans="3:10" ht="15.75" thickBot="1" x14ac:dyDescent="0.3">
      <c r="C38" s="156" t="s">
        <v>171</v>
      </c>
      <c r="D38" s="67"/>
      <c r="E38" s="67"/>
      <c r="F38" s="67"/>
      <c r="G38" s="67"/>
      <c r="H38" s="67"/>
      <c r="I38" s="67"/>
      <c r="J38" s="162"/>
    </row>
    <row r="39" spans="3:10" x14ac:dyDescent="0.25">
      <c r="C39" s="312"/>
      <c r="D39" s="321"/>
      <c r="E39" s="321"/>
      <c r="F39" s="321"/>
      <c r="G39" s="321"/>
      <c r="H39" s="321"/>
      <c r="I39" s="321"/>
      <c r="J39" s="322"/>
    </row>
    <row r="40" spans="3:10" x14ac:dyDescent="0.25">
      <c r="C40" s="323"/>
      <c r="D40" s="324"/>
      <c r="E40" s="324"/>
      <c r="F40" s="324"/>
      <c r="G40" s="324"/>
      <c r="H40" s="324"/>
      <c r="I40" s="324"/>
      <c r="J40" s="325"/>
    </row>
    <row r="41" spans="3:10" ht="15.75" thickBot="1" x14ac:dyDescent="0.3">
      <c r="C41" s="326"/>
      <c r="D41" s="327"/>
      <c r="E41" s="327"/>
      <c r="F41" s="327"/>
      <c r="G41" s="327"/>
      <c r="H41" s="327"/>
      <c r="I41" s="327"/>
      <c r="J41" s="328"/>
    </row>
    <row r="43" spans="3:10" ht="15.75" thickBot="1" x14ac:dyDescent="0.3"/>
    <row r="44" spans="3:10" x14ac:dyDescent="0.25">
      <c r="C44" s="154" t="s">
        <v>165</v>
      </c>
      <c r="D44" s="155">
        <f>D34+1</f>
        <v>5</v>
      </c>
      <c r="E44" s="99"/>
      <c r="F44" s="99"/>
      <c r="G44" s="99"/>
      <c r="H44" s="99"/>
      <c r="I44" s="99"/>
      <c r="J44" s="100"/>
    </row>
    <row r="45" spans="3:10" x14ac:dyDescent="0.25">
      <c r="C45" s="1" t="s">
        <v>166</v>
      </c>
      <c r="E45" s="104"/>
      <c r="G45" t="s">
        <v>172</v>
      </c>
      <c r="H45" s="341"/>
      <c r="I45" s="342"/>
      <c r="J45" s="343"/>
    </row>
    <row r="46" spans="3:10" x14ac:dyDescent="0.25">
      <c r="C46" s="1" t="s">
        <v>167</v>
      </c>
      <c r="D46" t="s">
        <v>168</v>
      </c>
      <c r="E46" s="67"/>
      <c r="G46" t="s">
        <v>173</v>
      </c>
      <c r="H46" s="102"/>
      <c r="I46" s="102"/>
      <c r="J46" s="103"/>
    </row>
    <row r="47" spans="3:10" x14ac:dyDescent="0.25">
      <c r="C47" s="1" t="s">
        <v>170</v>
      </c>
      <c r="E47" s="104"/>
      <c r="J47" s="101"/>
    </row>
    <row r="48" spans="3:10" ht="15.75" thickBot="1" x14ac:dyDescent="0.3">
      <c r="C48" s="1" t="s">
        <v>171</v>
      </c>
      <c r="J48" s="101"/>
    </row>
    <row r="49" spans="3:10" x14ac:dyDescent="0.25">
      <c r="C49" s="283"/>
      <c r="D49" s="333"/>
      <c r="E49" s="333"/>
      <c r="F49" s="333"/>
      <c r="G49" s="333"/>
      <c r="H49" s="333"/>
      <c r="I49" s="333"/>
      <c r="J49" s="334"/>
    </row>
    <row r="50" spans="3:10" x14ac:dyDescent="0.25">
      <c r="C50" s="335"/>
      <c r="D50" s="336"/>
      <c r="E50" s="336"/>
      <c r="F50" s="336"/>
      <c r="G50" s="336"/>
      <c r="H50" s="336"/>
      <c r="I50" s="336"/>
      <c r="J50" s="337"/>
    </row>
    <row r="51" spans="3:10" ht="15.75" thickBot="1" x14ac:dyDescent="0.3">
      <c r="C51" s="338"/>
      <c r="D51" s="339"/>
      <c r="E51" s="339"/>
      <c r="F51" s="339"/>
      <c r="G51" s="339"/>
      <c r="H51" s="339"/>
      <c r="I51" s="339"/>
      <c r="J51" s="340"/>
    </row>
    <row r="53" spans="3:10" ht="15.75" thickBot="1" x14ac:dyDescent="0.3"/>
    <row r="54" spans="3:10" x14ac:dyDescent="0.25">
      <c r="C54" s="154" t="s">
        <v>165</v>
      </c>
      <c r="D54" s="155">
        <f>D44+1</f>
        <v>6</v>
      </c>
      <c r="E54" s="155"/>
      <c r="F54" s="155"/>
      <c r="G54" s="155"/>
      <c r="H54" s="155"/>
      <c r="I54" s="155"/>
      <c r="J54" s="158"/>
    </row>
    <row r="55" spans="3:10" x14ac:dyDescent="0.25">
      <c r="C55" s="156" t="s">
        <v>166</v>
      </c>
      <c r="D55" s="67"/>
      <c r="E55" s="159"/>
      <c r="F55" s="67"/>
      <c r="G55" s="67" t="s">
        <v>172</v>
      </c>
      <c r="H55" s="160"/>
      <c r="I55" s="160"/>
      <c r="J55" s="161"/>
    </row>
    <row r="56" spans="3:10" x14ac:dyDescent="0.25">
      <c r="C56" s="156" t="s">
        <v>167</v>
      </c>
      <c r="D56" s="67" t="s">
        <v>168</v>
      </c>
      <c r="E56" s="67" t="s">
        <v>169</v>
      </c>
      <c r="F56" s="67"/>
      <c r="G56" s="67" t="s">
        <v>173</v>
      </c>
      <c r="H56" s="160"/>
      <c r="I56" s="160"/>
      <c r="J56" s="161"/>
    </row>
    <row r="57" spans="3:10" x14ac:dyDescent="0.25">
      <c r="C57" s="156" t="s">
        <v>170</v>
      </c>
      <c r="D57" s="67"/>
      <c r="E57" s="67"/>
      <c r="F57" s="67"/>
      <c r="G57" s="67"/>
      <c r="H57" s="67"/>
      <c r="I57" s="67"/>
      <c r="J57" s="162"/>
    </row>
    <row r="58" spans="3:10" ht="15.75" thickBot="1" x14ac:dyDescent="0.3">
      <c r="C58" s="156" t="s">
        <v>171</v>
      </c>
      <c r="D58" s="67"/>
      <c r="E58" s="67"/>
      <c r="F58" s="67"/>
      <c r="G58" s="67"/>
      <c r="H58" s="67"/>
      <c r="I58" s="67"/>
      <c r="J58" s="162"/>
    </row>
    <row r="59" spans="3:10" x14ac:dyDescent="0.25">
      <c r="C59" s="312"/>
      <c r="D59" s="313"/>
      <c r="E59" s="313"/>
      <c r="F59" s="313"/>
      <c r="G59" s="313"/>
      <c r="H59" s="313"/>
      <c r="I59" s="313"/>
      <c r="J59" s="314"/>
    </row>
    <row r="60" spans="3:10" x14ac:dyDescent="0.25">
      <c r="C60" s="315"/>
      <c r="D60" s="316"/>
      <c r="E60" s="316"/>
      <c r="F60" s="316"/>
      <c r="G60" s="316"/>
      <c r="H60" s="316"/>
      <c r="I60" s="316"/>
      <c r="J60" s="317"/>
    </row>
    <row r="61" spans="3:10" ht="15.75" thickBot="1" x14ac:dyDescent="0.3">
      <c r="C61" s="318"/>
      <c r="D61" s="319"/>
      <c r="E61" s="319"/>
      <c r="F61" s="319"/>
      <c r="G61" s="319"/>
      <c r="H61" s="319"/>
      <c r="I61" s="319"/>
      <c r="J61" s="320"/>
    </row>
    <row r="63" spans="3:10" ht="15.75" thickBot="1" x14ac:dyDescent="0.3"/>
    <row r="64" spans="3:10" x14ac:dyDescent="0.25">
      <c r="C64" s="154" t="s">
        <v>165</v>
      </c>
      <c r="D64" s="155">
        <f>D54+1</f>
        <v>7</v>
      </c>
      <c r="E64" s="155"/>
      <c r="F64" s="155"/>
      <c r="G64" s="155"/>
      <c r="H64" s="155"/>
      <c r="I64" s="155"/>
      <c r="J64" s="158"/>
    </row>
    <row r="65" spans="3:10" x14ac:dyDescent="0.25">
      <c r="C65" s="156" t="s">
        <v>166</v>
      </c>
      <c r="D65" s="67"/>
      <c r="E65" s="159"/>
      <c r="F65" s="67"/>
      <c r="G65" s="67" t="s">
        <v>172</v>
      </c>
      <c r="H65" s="160"/>
      <c r="I65" s="160"/>
      <c r="J65" s="161"/>
    </row>
    <row r="66" spans="3:10" x14ac:dyDescent="0.25">
      <c r="C66" s="156" t="s">
        <v>167</v>
      </c>
      <c r="D66" s="67" t="s">
        <v>168</v>
      </c>
      <c r="E66" s="67" t="s">
        <v>169</v>
      </c>
      <c r="F66" s="67"/>
      <c r="G66" s="67" t="s">
        <v>173</v>
      </c>
      <c r="H66" s="160"/>
      <c r="I66" s="160"/>
      <c r="J66" s="161"/>
    </row>
    <row r="67" spans="3:10" x14ac:dyDescent="0.25">
      <c r="C67" s="156" t="s">
        <v>170</v>
      </c>
      <c r="D67" s="67"/>
      <c r="E67" s="159"/>
      <c r="F67" s="67"/>
      <c r="G67" s="67"/>
      <c r="H67" s="67"/>
      <c r="I67" s="67"/>
      <c r="J67" s="162"/>
    </row>
    <row r="68" spans="3:10" ht="15.75" thickBot="1" x14ac:dyDescent="0.3">
      <c r="C68" s="156" t="s">
        <v>171</v>
      </c>
      <c r="D68" s="67"/>
      <c r="E68" s="67"/>
      <c r="F68" s="67"/>
      <c r="G68" s="67"/>
      <c r="H68" s="67"/>
      <c r="I68" s="67"/>
      <c r="J68" s="162"/>
    </row>
    <row r="69" spans="3:10" x14ac:dyDescent="0.25">
      <c r="C69" s="301"/>
      <c r="D69" s="302"/>
      <c r="E69" s="302"/>
      <c r="F69" s="302"/>
      <c r="G69" s="302"/>
      <c r="H69" s="302"/>
      <c r="I69" s="302"/>
      <c r="J69" s="303"/>
    </row>
    <row r="70" spans="3:10" x14ac:dyDescent="0.25">
      <c r="C70" s="304"/>
      <c r="D70" s="305"/>
      <c r="E70" s="305"/>
      <c r="F70" s="305"/>
      <c r="G70" s="305"/>
      <c r="H70" s="305"/>
      <c r="I70" s="305"/>
      <c r="J70" s="306"/>
    </row>
    <row r="71" spans="3:10" ht="15.75" thickBot="1" x14ac:dyDescent="0.3">
      <c r="C71" s="307"/>
      <c r="D71" s="308"/>
      <c r="E71" s="308"/>
      <c r="F71" s="308"/>
      <c r="G71" s="308"/>
      <c r="H71" s="308"/>
      <c r="I71" s="308"/>
      <c r="J71" s="309"/>
    </row>
    <row r="73" spans="3:10" ht="15.75" thickBot="1" x14ac:dyDescent="0.3"/>
    <row r="74" spans="3:10" x14ac:dyDescent="0.25">
      <c r="C74" s="154" t="s">
        <v>165</v>
      </c>
      <c r="D74" s="155">
        <f>D64+1</f>
        <v>8</v>
      </c>
      <c r="E74" s="155"/>
      <c r="F74" s="99"/>
      <c r="G74" s="99"/>
      <c r="H74" s="99"/>
      <c r="I74" s="99"/>
      <c r="J74" s="100"/>
    </row>
    <row r="75" spans="3:10" x14ac:dyDescent="0.25">
      <c r="C75" s="156" t="s">
        <v>166</v>
      </c>
      <c r="D75" s="67"/>
      <c r="E75" s="159"/>
      <c r="G75" t="s">
        <v>172</v>
      </c>
      <c r="H75" s="102"/>
      <c r="I75" s="102"/>
      <c r="J75" s="103"/>
    </row>
    <row r="76" spans="3:10" x14ac:dyDescent="0.25">
      <c r="C76" s="156" t="s">
        <v>167</v>
      </c>
      <c r="D76" s="67" t="s">
        <v>168</v>
      </c>
      <c r="E76" s="67"/>
      <c r="G76" t="s">
        <v>173</v>
      </c>
      <c r="H76" s="102"/>
      <c r="I76" s="102"/>
      <c r="J76" s="103"/>
    </row>
    <row r="77" spans="3:10" x14ac:dyDescent="0.25">
      <c r="C77" s="1" t="s">
        <v>170</v>
      </c>
      <c r="E77" s="104"/>
      <c r="J77" s="101"/>
    </row>
    <row r="78" spans="3:10" ht="15.75" thickBot="1" x14ac:dyDescent="0.3">
      <c r="C78" s="1" t="s">
        <v>171</v>
      </c>
      <c r="J78" s="101"/>
    </row>
    <row r="79" spans="3:10" x14ac:dyDescent="0.25">
      <c r="C79" s="353"/>
      <c r="D79" s="354"/>
      <c r="E79" s="354"/>
      <c r="F79" s="354"/>
      <c r="G79" s="354"/>
      <c r="H79" s="354"/>
      <c r="I79" s="354"/>
      <c r="J79" s="355"/>
    </row>
    <row r="80" spans="3:10" x14ac:dyDescent="0.25">
      <c r="C80" s="356"/>
      <c r="D80" s="357"/>
      <c r="E80" s="357"/>
      <c r="F80" s="357"/>
      <c r="G80" s="357"/>
      <c r="H80" s="357"/>
      <c r="I80" s="357"/>
      <c r="J80" s="358"/>
    </row>
    <row r="81" spans="3:10" ht="15.75" thickBot="1" x14ac:dyDescent="0.3">
      <c r="C81" s="359"/>
      <c r="D81" s="360"/>
      <c r="E81" s="360"/>
      <c r="F81" s="360"/>
      <c r="G81" s="360"/>
      <c r="H81" s="360"/>
      <c r="I81" s="360"/>
      <c r="J81" s="361"/>
    </row>
    <row r="83" spans="3:10" ht="15.75" thickBot="1" x14ac:dyDescent="0.3"/>
    <row r="84" spans="3:10" x14ac:dyDescent="0.25">
      <c r="C84" s="154" t="s">
        <v>165</v>
      </c>
      <c r="D84" s="155">
        <f>D74+1</f>
        <v>9</v>
      </c>
      <c r="E84" s="155"/>
      <c r="F84" s="155"/>
      <c r="G84" s="155"/>
      <c r="H84" s="155"/>
      <c r="I84" s="155"/>
      <c r="J84" s="158"/>
    </row>
    <row r="85" spans="3:10" x14ac:dyDescent="0.25">
      <c r="C85" s="156" t="s">
        <v>166</v>
      </c>
      <c r="D85" s="67"/>
      <c r="E85" s="159"/>
      <c r="F85" s="67"/>
      <c r="G85" s="67" t="s">
        <v>172</v>
      </c>
      <c r="H85" s="160"/>
      <c r="I85" s="160"/>
      <c r="J85" s="161"/>
    </row>
    <row r="86" spans="3:10" x14ac:dyDescent="0.25">
      <c r="C86" s="156" t="s">
        <v>167</v>
      </c>
      <c r="D86" s="67" t="s">
        <v>168</v>
      </c>
      <c r="E86" s="67" t="s">
        <v>169</v>
      </c>
      <c r="F86" s="67"/>
      <c r="G86" s="67" t="s">
        <v>173</v>
      </c>
      <c r="H86" s="160"/>
      <c r="I86" s="160"/>
      <c r="J86" s="161"/>
    </row>
    <row r="87" spans="3:10" x14ac:dyDescent="0.25">
      <c r="C87" s="156" t="s">
        <v>170</v>
      </c>
      <c r="D87" s="67"/>
      <c r="E87" s="159"/>
      <c r="F87" s="67"/>
      <c r="G87" s="67"/>
      <c r="H87" s="67"/>
      <c r="I87" s="67"/>
      <c r="J87" s="162"/>
    </row>
    <row r="88" spans="3:10" ht="15.75" thickBot="1" x14ac:dyDescent="0.3">
      <c r="C88" s="156" t="s">
        <v>171</v>
      </c>
      <c r="D88" s="67"/>
      <c r="E88" s="67"/>
      <c r="F88" s="67"/>
      <c r="G88" s="67"/>
      <c r="H88" s="67"/>
      <c r="I88" s="67"/>
      <c r="J88" s="162"/>
    </row>
    <row r="89" spans="3:10" x14ac:dyDescent="0.25">
      <c r="C89" s="301"/>
      <c r="D89" s="302"/>
      <c r="E89" s="302"/>
      <c r="F89" s="302"/>
      <c r="G89" s="302"/>
      <c r="H89" s="302"/>
      <c r="I89" s="302"/>
      <c r="J89" s="303"/>
    </row>
    <row r="90" spans="3:10" x14ac:dyDescent="0.25">
      <c r="C90" s="304"/>
      <c r="D90" s="305"/>
      <c r="E90" s="305"/>
      <c r="F90" s="305"/>
      <c r="G90" s="305"/>
      <c r="H90" s="305"/>
      <c r="I90" s="305"/>
      <c r="J90" s="306"/>
    </row>
    <row r="91" spans="3:10" ht="15.75" thickBot="1" x14ac:dyDescent="0.3">
      <c r="C91" s="307"/>
      <c r="D91" s="308"/>
      <c r="E91" s="308"/>
      <c r="F91" s="308"/>
      <c r="G91" s="308"/>
      <c r="H91" s="308"/>
      <c r="I91" s="308"/>
      <c r="J91" s="309"/>
    </row>
    <row r="93" spans="3:10" ht="15.75" thickBot="1" x14ac:dyDescent="0.3"/>
    <row r="94" spans="3:10" x14ac:dyDescent="0.25">
      <c r="C94" s="154" t="s">
        <v>165</v>
      </c>
      <c r="D94" s="155">
        <f>D84+1</f>
        <v>10</v>
      </c>
      <c r="E94" s="155"/>
      <c r="F94" s="99"/>
      <c r="G94" s="99"/>
      <c r="H94" s="99"/>
      <c r="I94" s="99"/>
      <c r="J94" s="100"/>
    </row>
    <row r="95" spans="3:10" x14ac:dyDescent="0.25">
      <c r="C95" s="156" t="s">
        <v>166</v>
      </c>
      <c r="D95" s="67"/>
      <c r="E95" s="159"/>
      <c r="G95" t="s">
        <v>172</v>
      </c>
      <c r="H95" s="102"/>
      <c r="I95" s="102"/>
      <c r="J95" s="103"/>
    </row>
    <row r="96" spans="3:10" x14ac:dyDescent="0.25">
      <c r="C96" s="156" t="s">
        <v>167</v>
      </c>
      <c r="D96" s="67" t="s">
        <v>168</v>
      </c>
      <c r="E96" s="67" t="s">
        <v>169</v>
      </c>
      <c r="G96" t="s">
        <v>173</v>
      </c>
      <c r="H96" s="102"/>
      <c r="I96" s="102"/>
      <c r="J96" s="103"/>
    </row>
    <row r="97" spans="3:14" x14ac:dyDescent="0.25">
      <c r="C97" s="156" t="s">
        <v>170</v>
      </c>
      <c r="D97" s="67"/>
      <c r="E97" s="159"/>
      <c r="J97" s="101"/>
    </row>
    <row r="98" spans="3:14" ht="15.75" thickBot="1" x14ac:dyDescent="0.3">
      <c r="C98" s="1" t="s">
        <v>171</v>
      </c>
      <c r="J98" s="101"/>
    </row>
    <row r="99" spans="3:14" x14ac:dyDescent="0.25">
      <c r="C99" s="353"/>
      <c r="D99" s="354"/>
      <c r="E99" s="354"/>
      <c r="F99" s="354"/>
      <c r="G99" s="354"/>
      <c r="H99" s="354"/>
      <c r="I99" s="354"/>
      <c r="J99" s="355"/>
    </row>
    <row r="100" spans="3:14" x14ac:dyDescent="0.25">
      <c r="C100" s="356"/>
      <c r="D100" s="357"/>
      <c r="E100" s="357"/>
      <c r="F100" s="357"/>
      <c r="G100" s="357"/>
      <c r="H100" s="357"/>
      <c r="I100" s="357"/>
      <c r="J100" s="358"/>
    </row>
    <row r="101" spans="3:14" ht="18.75" customHeight="1" thickBot="1" x14ac:dyDescent="0.3">
      <c r="C101" s="359"/>
      <c r="D101" s="360"/>
      <c r="E101" s="360"/>
      <c r="F101" s="360"/>
      <c r="G101" s="360"/>
      <c r="H101" s="360"/>
      <c r="I101" s="360"/>
      <c r="J101" s="361"/>
    </row>
    <row r="102" spans="3:14" x14ac:dyDescent="0.25">
      <c r="C102" s="194"/>
      <c r="D102" s="194"/>
      <c r="E102" s="194"/>
      <c r="F102" s="194"/>
      <c r="G102" s="194"/>
      <c r="H102" s="194"/>
      <c r="I102" s="194"/>
      <c r="J102" s="194"/>
    </row>
    <row r="103" spans="3:14" ht="15.75" thickBot="1" x14ac:dyDescent="0.3">
      <c r="C103" s="194"/>
      <c r="D103" s="194"/>
      <c r="E103" s="194"/>
      <c r="F103" s="194"/>
      <c r="G103" s="194"/>
      <c r="H103" s="194"/>
      <c r="I103" s="194"/>
      <c r="J103" s="194"/>
    </row>
    <row r="104" spans="3:14" x14ac:dyDescent="0.25">
      <c r="C104" s="154" t="s">
        <v>165</v>
      </c>
      <c r="D104" s="155">
        <v>12</v>
      </c>
      <c r="E104" s="155"/>
      <c r="F104" s="155"/>
      <c r="G104" s="155"/>
      <c r="H104" s="155"/>
      <c r="I104" s="155"/>
      <c r="J104" s="158"/>
    </row>
    <row r="105" spans="3:14" x14ac:dyDescent="0.25">
      <c r="C105" s="156" t="s">
        <v>166</v>
      </c>
      <c r="D105" s="67"/>
      <c r="E105" s="159"/>
      <c r="F105" s="67"/>
      <c r="G105" s="67" t="s">
        <v>172</v>
      </c>
      <c r="H105" s="160"/>
      <c r="I105" s="160"/>
      <c r="J105" s="161"/>
    </row>
    <row r="106" spans="3:14" x14ac:dyDescent="0.25">
      <c r="C106" s="156" t="s">
        <v>167</v>
      </c>
      <c r="D106" s="67" t="s">
        <v>168</v>
      </c>
      <c r="E106" s="67" t="s">
        <v>169</v>
      </c>
      <c r="F106" s="67"/>
      <c r="G106" s="67" t="s">
        <v>173</v>
      </c>
      <c r="H106" s="160"/>
      <c r="I106" s="160"/>
      <c r="J106" s="161"/>
    </row>
    <row r="107" spans="3:14" x14ac:dyDescent="0.25">
      <c r="C107" s="156" t="s">
        <v>170</v>
      </c>
      <c r="D107" s="67"/>
      <c r="E107" s="159"/>
      <c r="F107" s="67"/>
      <c r="G107" s="67"/>
      <c r="H107" s="67"/>
      <c r="I107" s="67"/>
      <c r="J107" s="162"/>
    </row>
    <row r="108" spans="3:14" ht="15.75" thickBot="1" x14ac:dyDescent="0.3">
      <c r="C108" s="156" t="s">
        <v>171</v>
      </c>
      <c r="D108" s="67"/>
      <c r="E108" s="67"/>
      <c r="F108" s="67"/>
      <c r="G108" s="67"/>
      <c r="H108" s="67"/>
      <c r="I108" s="67"/>
      <c r="J108" s="162"/>
      <c r="M108" s="165"/>
      <c r="N108" s="77"/>
    </row>
    <row r="109" spans="3:14" x14ac:dyDescent="0.25">
      <c r="C109" s="292"/>
      <c r="D109" s="293"/>
      <c r="E109" s="293"/>
      <c r="F109" s="293"/>
      <c r="G109" s="293"/>
      <c r="H109" s="293"/>
      <c r="I109" s="293"/>
      <c r="J109" s="294"/>
    </row>
    <row r="110" spans="3:14" x14ac:dyDescent="0.25">
      <c r="C110" s="295"/>
      <c r="D110" s="296"/>
      <c r="E110" s="296"/>
      <c r="F110" s="296"/>
      <c r="G110" s="296"/>
      <c r="H110" s="296"/>
      <c r="I110" s="296"/>
      <c r="J110" s="297"/>
    </row>
    <row r="111" spans="3:14" ht="15.75" thickBot="1" x14ac:dyDescent="0.3">
      <c r="C111" s="298"/>
      <c r="D111" s="299"/>
      <c r="E111" s="299"/>
      <c r="F111" s="299"/>
      <c r="G111" s="299"/>
      <c r="H111" s="299"/>
      <c r="I111" s="299"/>
      <c r="J111" s="300"/>
    </row>
    <row r="112" spans="3:14" x14ac:dyDescent="0.25">
      <c r="C112" s="194"/>
      <c r="D112" s="194"/>
      <c r="E112" s="194"/>
      <c r="F112" s="194"/>
      <c r="G112" s="194"/>
      <c r="H112" s="194"/>
      <c r="I112" s="194"/>
      <c r="J112" s="194"/>
    </row>
    <row r="113" spans="3:14" ht="15.75" thickBot="1" x14ac:dyDescent="0.3">
      <c r="C113" s="194"/>
      <c r="D113" s="194"/>
      <c r="E113" s="194"/>
      <c r="F113" s="194"/>
      <c r="G113" s="194"/>
      <c r="H113" s="194"/>
      <c r="I113" s="194"/>
      <c r="J113" s="194"/>
    </row>
    <row r="114" spans="3:14" x14ac:dyDescent="0.25">
      <c r="C114" s="154" t="s">
        <v>165</v>
      </c>
      <c r="D114" s="155">
        <v>12</v>
      </c>
      <c r="E114" s="99"/>
      <c r="F114" s="99"/>
      <c r="G114" s="99"/>
      <c r="H114" s="99"/>
      <c r="I114" s="99"/>
      <c r="J114" s="100"/>
    </row>
    <row r="115" spans="3:14" x14ac:dyDescent="0.25">
      <c r="C115" s="1" t="s">
        <v>166</v>
      </c>
      <c r="G115" t="s">
        <v>172</v>
      </c>
      <c r="H115" s="102"/>
      <c r="I115" s="102"/>
      <c r="J115" s="103"/>
    </row>
    <row r="116" spans="3:14" x14ac:dyDescent="0.25">
      <c r="C116" s="1" t="s">
        <v>167</v>
      </c>
      <c r="D116" t="s">
        <v>168</v>
      </c>
      <c r="E116" s="67" t="s">
        <v>169</v>
      </c>
      <c r="G116" t="s">
        <v>173</v>
      </c>
      <c r="I116" s="102"/>
      <c r="J116" s="103"/>
    </row>
    <row r="117" spans="3:14" x14ac:dyDescent="0.25">
      <c r="C117" s="1" t="s">
        <v>170</v>
      </c>
      <c r="E117" s="104"/>
      <c r="J117" s="101"/>
    </row>
    <row r="118" spans="3:14" ht="15.75" thickBot="1" x14ac:dyDescent="0.3">
      <c r="C118" s="1" t="s">
        <v>171</v>
      </c>
      <c r="J118" s="101"/>
    </row>
    <row r="119" spans="3:14" x14ac:dyDescent="0.25">
      <c r="C119" s="344" t="s">
        <v>278</v>
      </c>
      <c r="D119" s="345"/>
      <c r="E119" s="345"/>
      <c r="F119" s="345"/>
      <c r="G119" s="345"/>
      <c r="H119" s="345"/>
      <c r="I119" s="345"/>
      <c r="J119" s="346"/>
    </row>
    <row r="120" spans="3:14" x14ac:dyDescent="0.25">
      <c r="C120" s="347"/>
      <c r="D120" s="348"/>
      <c r="E120" s="348"/>
      <c r="F120" s="348"/>
      <c r="G120" s="348"/>
      <c r="H120" s="348"/>
      <c r="I120" s="348"/>
      <c r="J120" s="349"/>
    </row>
    <row r="121" spans="3:14" ht="15.75" thickBot="1" x14ac:dyDescent="0.3">
      <c r="C121" s="350"/>
      <c r="D121" s="351"/>
      <c r="E121" s="351"/>
      <c r="F121" s="351"/>
      <c r="G121" s="351"/>
      <c r="H121" s="351"/>
      <c r="I121" s="351"/>
      <c r="J121" s="352"/>
    </row>
    <row r="122" spans="3:14" ht="15.75" thickBot="1" x14ac:dyDescent="0.3"/>
    <row r="123" spans="3:14" x14ac:dyDescent="0.25">
      <c r="C123" s="154" t="s">
        <v>165</v>
      </c>
      <c r="D123" s="155"/>
      <c r="E123" s="155"/>
      <c r="F123" s="155"/>
      <c r="G123" s="155"/>
      <c r="H123" s="155"/>
      <c r="I123" s="155"/>
      <c r="J123" s="158"/>
    </row>
    <row r="124" spans="3:14" x14ac:dyDescent="0.25">
      <c r="C124" s="156" t="s">
        <v>166</v>
      </c>
      <c r="D124" s="67"/>
      <c r="E124" s="159"/>
      <c r="F124" s="67"/>
      <c r="G124" s="67" t="s">
        <v>172</v>
      </c>
      <c r="H124" s="195"/>
      <c r="I124" s="160"/>
      <c r="J124" s="161"/>
    </row>
    <row r="125" spans="3:14" x14ac:dyDescent="0.25">
      <c r="C125" s="156" t="s">
        <v>167</v>
      </c>
      <c r="D125" s="67" t="s">
        <v>168</v>
      </c>
      <c r="E125" s="67" t="s">
        <v>169</v>
      </c>
      <c r="F125" s="67"/>
      <c r="G125" s="67" t="s">
        <v>173</v>
      </c>
      <c r="H125" s="160"/>
      <c r="I125" s="160"/>
      <c r="J125" s="161"/>
      <c r="L125" s="330"/>
      <c r="M125" s="330"/>
      <c r="N125" s="330"/>
    </row>
    <row r="126" spans="3:14" x14ac:dyDescent="0.25">
      <c r="C126" s="156" t="s">
        <v>170</v>
      </c>
      <c r="D126" s="67"/>
      <c r="E126" s="159"/>
      <c r="F126" s="67"/>
      <c r="G126" s="67"/>
      <c r="H126" s="67"/>
      <c r="I126" s="67"/>
      <c r="J126" s="162"/>
      <c r="L126" s="330"/>
      <c r="M126" s="330"/>
      <c r="N126" s="330"/>
    </row>
    <row r="127" spans="3:14" ht="15.75" thickBot="1" x14ac:dyDescent="0.3">
      <c r="C127" s="156" t="s">
        <v>171</v>
      </c>
      <c r="D127" s="67"/>
      <c r="E127" s="67"/>
      <c r="F127" s="67"/>
      <c r="G127" s="67"/>
      <c r="H127" s="67"/>
      <c r="I127" s="67"/>
      <c r="J127" s="162"/>
      <c r="L127" s="330"/>
      <c r="M127" s="330"/>
      <c r="N127" s="330"/>
    </row>
    <row r="128" spans="3:14" x14ac:dyDescent="0.25">
      <c r="C128" s="301"/>
      <c r="D128" s="302"/>
      <c r="E128" s="302"/>
      <c r="F128" s="302"/>
      <c r="G128" s="302"/>
      <c r="H128" s="302"/>
      <c r="I128" s="302"/>
      <c r="J128" s="303"/>
      <c r="L128" s="330"/>
      <c r="M128" s="330"/>
      <c r="N128" s="330"/>
    </row>
    <row r="129" spans="1:15" x14ac:dyDescent="0.25">
      <c r="C129" s="304"/>
      <c r="D129" s="305"/>
      <c r="E129" s="305"/>
      <c r="F129" s="305"/>
      <c r="G129" s="305"/>
      <c r="H129" s="305"/>
      <c r="I129" s="305"/>
      <c r="J129" s="306"/>
    </row>
    <row r="130" spans="1:15" ht="15.75" thickBot="1" x14ac:dyDescent="0.3">
      <c r="C130" s="307"/>
      <c r="D130" s="308"/>
      <c r="E130" s="308"/>
      <c r="F130" s="308"/>
      <c r="G130" s="308"/>
      <c r="H130" s="308"/>
      <c r="I130" s="308"/>
      <c r="J130" s="309"/>
    </row>
    <row r="131" spans="1:15" x14ac:dyDescent="0.25">
      <c r="A131" s="197"/>
      <c r="B131" s="197"/>
      <c r="C131" s="197"/>
      <c r="D131" s="197"/>
      <c r="E131" s="197"/>
      <c r="F131" s="197"/>
      <c r="G131" s="197"/>
      <c r="H131" s="197"/>
      <c r="I131" s="197"/>
      <c r="J131" s="197"/>
      <c r="K131" s="197"/>
      <c r="L131" s="197"/>
      <c r="M131" s="197"/>
      <c r="N131" s="197"/>
      <c r="O131" s="197"/>
    </row>
    <row r="132" spans="1:15" ht="15.75" thickBot="1" x14ac:dyDescent="0.3">
      <c r="A132" s="197"/>
      <c r="B132" s="197"/>
      <c r="C132" s="197"/>
      <c r="D132" s="197"/>
      <c r="E132" s="197"/>
      <c r="F132" s="197"/>
      <c r="G132" s="197"/>
      <c r="H132" s="197"/>
      <c r="I132" s="197"/>
      <c r="J132" s="197"/>
      <c r="K132" s="197"/>
      <c r="L132" s="197"/>
      <c r="M132" s="197"/>
      <c r="N132" s="197"/>
      <c r="O132" s="197"/>
    </row>
    <row r="133" spans="1:15" x14ac:dyDescent="0.25">
      <c r="C133" s="154" t="s">
        <v>165</v>
      </c>
      <c r="D133" s="155"/>
      <c r="E133" s="155"/>
      <c r="F133" s="155"/>
      <c r="G133" s="155"/>
      <c r="H133" s="155"/>
      <c r="I133" s="155"/>
      <c r="J133" s="158"/>
    </row>
    <row r="134" spans="1:15" x14ac:dyDescent="0.25">
      <c r="C134" s="156" t="s">
        <v>166</v>
      </c>
      <c r="D134" s="67"/>
      <c r="E134" s="159">
        <v>45874</v>
      </c>
      <c r="F134" s="67"/>
      <c r="G134" s="67" t="s">
        <v>172</v>
      </c>
      <c r="H134" s="160" t="s">
        <v>279</v>
      </c>
      <c r="I134" s="160"/>
      <c r="J134" s="161"/>
    </row>
    <row r="135" spans="1:15" x14ac:dyDescent="0.25">
      <c r="C135" s="156" t="s">
        <v>167</v>
      </c>
      <c r="D135" s="67" t="s">
        <v>168</v>
      </c>
      <c r="E135" s="67" t="s">
        <v>169</v>
      </c>
      <c r="F135" s="67"/>
      <c r="G135" s="67" t="s">
        <v>173</v>
      </c>
      <c r="H135" s="160">
        <v>109</v>
      </c>
      <c r="I135" s="160"/>
      <c r="J135" s="161"/>
      <c r="L135" s="330" t="s">
        <v>271</v>
      </c>
      <c r="M135" s="330"/>
      <c r="N135" s="330"/>
    </row>
    <row r="136" spans="1:15" x14ac:dyDescent="0.25">
      <c r="C136" s="156" t="s">
        <v>170</v>
      </c>
      <c r="D136" s="67"/>
      <c r="E136" s="159">
        <v>45874</v>
      </c>
      <c r="F136" s="67"/>
      <c r="G136" s="67"/>
      <c r="H136" s="67"/>
      <c r="I136" s="67"/>
      <c r="J136" s="162"/>
      <c r="L136" s="330"/>
      <c r="M136" s="330"/>
      <c r="N136" s="330"/>
    </row>
    <row r="137" spans="1:15" ht="15.75" thickBot="1" x14ac:dyDescent="0.3">
      <c r="C137" s="156" t="s">
        <v>171</v>
      </c>
      <c r="D137" s="67"/>
      <c r="E137" s="67"/>
      <c r="F137" s="67"/>
      <c r="G137" s="67"/>
      <c r="H137" s="67"/>
      <c r="I137" s="67"/>
      <c r="J137" s="162"/>
      <c r="L137" s="330"/>
      <c r="M137" s="330"/>
      <c r="N137" s="330"/>
    </row>
    <row r="138" spans="1:15" x14ac:dyDescent="0.25">
      <c r="C138" s="301" t="s">
        <v>280</v>
      </c>
      <c r="D138" s="302"/>
      <c r="E138" s="302"/>
      <c r="F138" s="302"/>
      <c r="G138" s="302"/>
      <c r="H138" s="302"/>
      <c r="I138" s="302"/>
      <c r="J138" s="303"/>
      <c r="L138" s="330"/>
      <c r="M138" s="330"/>
      <c r="N138" s="330"/>
    </row>
    <row r="139" spans="1:15" x14ac:dyDescent="0.25">
      <c r="C139" s="304"/>
      <c r="D139" s="305"/>
      <c r="E139" s="305"/>
      <c r="F139" s="305"/>
      <c r="G139" s="305"/>
      <c r="H139" s="305"/>
      <c r="I139" s="305"/>
      <c r="J139" s="306"/>
    </row>
    <row r="140" spans="1:15" ht="15.75" thickBot="1" x14ac:dyDescent="0.3">
      <c r="C140" s="307"/>
      <c r="D140" s="308"/>
      <c r="E140" s="308"/>
      <c r="F140" s="308"/>
      <c r="G140" s="308"/>
      <c r="H140" s="308"/>
      <c r="I140" s="308"/>
      <c r="J140" s="309"/>
    </row>
    <row r="142" spans="1:15" ht="15.75" thickBot="1" x14ac:dyDescent="0.3"/>
    <row r="143" spans="1:15" x14ac:dyDescent="0.25">
      <c r="C143" s="154" t="s">
        <v>165</v>
      </c>
      <c r="D143" s="155"/>
      <c r="E143" s="155"/>
      <c r="F143" s="155"/>
      <c r="G143" s="155"/>
      <c r="H143" s="155"/>
      <c r="I143" s="155"/>
      <c r="J143" s="158"/>
    </row>
    <row r="144" spans="1:15" x14ac:dyDescent="0.25">
      <c r="C144" s="156" t="s">
        <v>166</v>
      </c>
      <c r="D144" s="67"/>
      <c r="E144" s="159">
        <v>45875</v>
      </c>
      <c r="F144" s="67"/>
      <c r="G144" s="67" t="s">
        <v>172</v>
      </c>
      <c r="H144" s="160" t="s">
        <v>281</v>
      </c>
      <c r="I144" s="160"/>
      <c r="J144" s="161"/>
    </row>
    <row r="145" spans="3:14" x14ac:dyDescent="0.25">
      <c r="C145" s="156" t="s">
        <v>167</v>
      </c>
      <c r="D145" s="67" t="s">
        <v>168</v>
      </c>
      <c r="E145" s="67" t="s">
        <v>169</v>
      </c>
      <c r="F145" s="67"/>
      <c r="G145" s="67" t="s">
        <v>173</v>
      </c>
      <c r="H145" s="160">
        <v>72</v>
      </c>
      <c r="I145" s="160"/>
      <c r="J145" s="161"/>
      <c r="L145" s="330" t="s">
        <v>271</v>
      </c>
      <c r="M145" s="330"/>
      <c r="N145" s="330"/>
    </row>
    <row r="146" spans="3:14" x14ac:dyDescent="0.25">
      <c r="C146" s="156" t="s">
        <v>170</v>
      </c>
      <c r="D146" s="67"/>
      <c r="E146" s="159">
        <v>45874</v>
      </c>
      <c r="F146" s="67"/>
      <c r="G146" s="67"/>
      <c r="H146" s="67"/>
      <c r="I146" s="67"/>
      <c r="J146" s="162"/>
      <c r="L146" s="330"/>
      <c r="M146" s="330"/>
      <c r="N146" s="330"/>
    </row>
    <row r="147" spans="3:14" ht="15.75" thickBot="1" x14ac:dyDescent="0.3">
      <c r="C147" s="156" t="s">
        <v>171</v>
      </c>
      <c r="D147" s="67"/>
      <c r="E147" s="67"/>
      <c r="F147" s="67"/>
      <c r="G147" s="67"/>
      <c r="H147" s="67"/>
      <c r="I147" s="67"/>
      <c r="J147" s="162"/>
      <c r="L147" s="330"/>
      <c r="M147" s="330"/>
      <c r="N147" s="330"/>
    </row>
    <row r="148" spans="3:14" x14ac:dyDescent="0.25">
      <c r="C148" s="301" t="s">
        <v>282</v>
      </c>
      <c r="D148" s="302"/>
      <c r="E148" s="302"/>
      <c r="F148" s="302"/>
      <c r="G148" s="302"/>
      <c r="H148" s="302"/>
      <c r="I148" s="302"/>
      <c r="J148" s="303"/>
      <c r="L148" s="330"/>
      <c r="M148" s="330"/>
      <c r="N148" s="330"/>
    </row>
    <row r="149" spans="3:14" x14ac:dyDescent="0.25">
      <c r="C149" s="304"/>
      <c r="D149" s="305"/>
      <c r="E149" s="305"/>
      <c r="F149" s="305"/>
      <c r="G149" s="305"/>
      <c r="H149" s="305"/>
      <c r="I149" s="305"/>
      <c r="J149" s="306"/>
    </row>
    <row r="150" spans="3:14" ht="15.75" thickBot="1" x14ac:dyDescent="0.3">
      <c r="C150" s="307"/>
      <c r="D150" s="308"/>
      <c r="E150" s="308"/>
      <c r="F150" s="308"/>
      <c r="G150" s="308"/>
      <c r="H150" s="308"/>
      <c r="I150" s="308"/>
      <c r="J150" s="309"/>
    </row>
    <row r="152" spans="3:14" ht="15.75" thickBot="1" x14ac:dyDescent="0.3"/>
    <row r="153" spans="3:14" x14ac:dyDescent="0.25">
      <c r="C153" s="154" t="s">
        <v>165</v>
      </c>
      <c r="D153" s="155"/>
      <c r="E153" s="155"/>
      <c r="F153" s="155"/>
      <c r="G153" s="155"/>
      <c r="H153" s="155"/>
      <c r="I153" s="155"/>
      <c r="J153" s="158"/>
    </row>
    <row r="154" spans="3:14" ht="45" x14ac:dyDescent="0.25">
      <c r="C154" s="156" t="s">
        <v>166</v>
      </c>
      <c r="D154" s="67"/>
      <c r="E154" s="159">
        <v>45883</v>
      </c>
      <c r="F154" s="67"/>
      <c r="G154" s="67" t="s">
        <v>172</v>
      </c>
      <c r="H154" s="198" t="s">
        <v>366</v>
      </c>
      <c r="I154" s="160"/>
      <c r="J154" s="161"/>
    </row>
    <row r="155" spans="3:14" x14ac:dyDescent="0.25">
      <c r="C155" s="156" t="s">
        <v>167</v>
      </c>
      <c r="D155" s="67" t="s">
        <v>168</v>
      </c>
      <c r="E155" s="67" t="s">
        <v>169</v>
      </c>
      <c r="F155" s="67"/>
      <c r="G155" s="67" t="s">
        <v>173</v>
      </c>
      <c r="H155" s="160">
        <v>82</v>
      </c>
      <c r="I155" s="160"/>
      <c r="J155" s="161"/>
    </row>
    <row r="156" spans="3:14" x14ac:dyDescent="0.25">
      <c r="C156" s="156" t="s">
        <v>170</v>
      </c>
      <c r="D156" s="67"/>
      <c r="E156" s="159">
        <v>45871</v>
      </c>
      <c r="F156" s="67"/>
      <c r="G156" s="67"/>
      <c r="H156" s="67"/>
      <c r="I156" s="67"/>
      <c r="J156" s="162"/>
    </row>
    <row r="157" spans="3:14" ht="15.75" thickBot="1" x14ac:dyDescent="0.3">
      <c r="C157" s="156" t="s">
        <v>171</v>
      </c>
      <c r="D157" s="67"/>
      <c r="E157" s="67"/>
      <c r="F157" s="67"/>
      <c r="G157" s="67"/>
      <c r="H157" s="67"/>
      <c r="I157" s="67"/>
      <c r="J157" s="162"/>
    </row>
    <row r="158" spans="3:14" x14ac:dyDescent="0.25">
      <c r="C158" s="301" t="s">
        <v>365</v>
      </c>
      <c r="D158" s="302"/>
      <c r="E158" s="302"/>
      <c r="F158" s="302"/>
      <c r="G158" s="302"/>
      <c r="H158" s="302"/>
      <c r="I158" s="302"/>
      <c r="J158" s="303"/>
    </row>
    <row r="159" spans="3:14" x14ac:dyDescent="0.25">
      <c r="C159" s="304"/>
      <c r="D159" s="305"/>
      <c r="E159" s="305"/>
      <c r="F159" s="305"/>
      <c r="G159" s="305"/>
      <c r="H159" s="305"/>
      <c r="I159" s="305"/>
      <c r="J159" s="306"/>
    </row>
    <row r="160" spans="3:14" ht="15.75" thickBot="1" x14ac:dyDescent="0.3">
      <c r="C160" s="307"/>
      <c r="D160" s="308"/>
      <c r="E160" s="308"/>
      <c r="F160" s="308"/>
      <c r="G160" s="308"/>
      <c r="H160" s="308"/>
      <c r="I160" s="308"/>
      <c r="J160" s="309"/>
    </row>
  </sheetData>
  <mergeCells count="24">
    <mergeCell ref="L145:N148"/>
    <mergeCell ref="C148:J150"/>
    <mergeCell ref="C39:J41"/>
    <mergeCell ref="H35:J35"/>
    <mergeCell ref="C49:J51"/>
    <mergeCell ref="H45:J45"/>
    <mergeCell ref="L135:N138"/>
    <mergeCell ref="C138:J140"/>
    <mergeCell ref="C128:J130"/>
    <mergeCell ref="L125:N128"/>
    <mergeCell ref="C59:J61"/>
    <mergeCell ref="C69:J71"/>
    <mergeCell ref="C119:J121"/>
    <mergeCell ref="C79:J81"/>
    <mergeCell ref="C89:J91"/>
    <mergeCell ref="C99:J101"/>
    <mergeCell ref="C9:J11"/>
    <mergeCell ref="C109:J111"/>
    <mergeCell ref="C158:J160"/>
    <mergeCell ref="H15:J15"/>
    <mergeCell ref="C19:J21"/>
    <mergeCell ref="C29:J31"/>
    <mergeCell ref="H26:J26"/>
    <mergeCell ref="H25:J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2025-08-16T14:29:17Z</cp:lastPrinted>
  <dcterms:created xsi:type="dcterms:W3CDTF">2023-09-17T12:29:07Z</dcterms:created>
  <dcterms:modified xsi:type="dcterms:W3CDTF">2025-09-30T12:36:30Z</dcterms:modified>
</cp:coreProperties>
</file>