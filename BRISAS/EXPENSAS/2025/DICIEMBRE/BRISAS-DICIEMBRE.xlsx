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BRISAS DE ADROGUE\EXPENSAS\DICIEMBRE\"/>
    </mc:Choice>
  </mc:AlternateContent>
  <xr:revisionPtr revIDLastSave="0" documentId="13_ncr:1_{5BEA0B1F-41E0-4A58-BD8C-2A19EE9C6690}" xr6:coauthVersionLast="47" xr6:coauthVersionMax="47" xr10:uidLastSave="{00000000-0000-0000-0000-000000000000}"/>
  <bookViews>
    <workbookView xWindow="-120" yWindow="-120" windowWidth="20730" windowHeight="11160" tabRatio="850" activeTab="1" xr2:uid="{00000000-000D-0000-FFFF-FFFF00000000}"/>
  </bookViews>
  <sheets>
    <sheet name="RESUMEN" sheetId="1" r:id="rId1"/>
    <sheet name="PRORRATEO" sheetId="2" r:id="rId2"/>
    <sheet name="anotaciones" sheetId="6" r:id="rId3"/>
  </sheets>
  <definedNames>
    <definedName name="_xlnm.Print_Area" localSheetId="1">PRORRATEO!$B$1:$S$167</definedName>
    <definedName name="_xlnm.Print_Area" localSheetId="0">RESUMEN!$A$1:$E$197</definedName>
  </definedNames>
  <calcPr calcId="181029"/>
</workbook>
</file>

<file path=xl/calcChain.xml><?xml version="1.0" encoding="utf-8"?>
<calcChain xmlns="http://schemas.openxmlformats.org/spreadsheetml/2006/main">
  <c r="K2" i="2" l="1"/>
  <c r="D108" i="1"/>
  <c r="B181" i="1"/>
  <c r="F160" i="2"/>
  <c r="B174" i="1"/>
  <c r="F71" i="2"/>
  <c r="E49" i="1"/>
  <c r="E72" i="1"/>
  <c r="F130" i="2" l="1"/>
  <c r="F68" i="2"/>
  <c r="F65" i="2"/>
  <c r="F92" i="2"/>
  <c r="F13" i="2"/>
  <c r="F22" i="2"/>
  <c r="F18" i="2"/>
  <c r="F111" i="2"/>
  <c r="F122" i="2"/>
  <c r="F39" i="2"/>
  <c r="F117" i="2"/>
  <c r="F55" i="2"/>
  <c r="F86" i="2"/>
  <c r="F143" i="2"/>
  <c r="F102" i="2"/>
  <c r="F21" i="2"/>
  <c r="F135" i="2"/>
  <c r="F110" i="2"/>
  <c r="F36" i="2"/>
  <c r="F108" i="2"/>
  <c r="F42" i="2"/>
  <c r="F140" i="2"/>
  <c r="F83" i="2"/>
  <c r="F113" i="2"/>
  <c r="F97" i="2"/>
  <c r="F7" i="2"/>
  <c r="F9" i="2"/>
  <c r="F10" i="2"/>
  <c r="F15" i="2"/>
  <c r="F17" i="2"/>
  <c r="F19" i="2"/>
  <c r="F20" i="2"/>
  <c r="F23" i="2"/>
  <c r="F24" i="2"/>
  <c r="F25" i="2"/>
  <c r="F26" i="2"/>
  <c r="F33" i="2"/>
  <c r="F34" i="2"/>
  <c r="F37" i="2"/>
  <c r="F45" i="2"/>
  <c r="F46" i="2"/>
  <c r="F47" i="2"/>
  <c r="F49" i="2"/>
  <c r="F53" i="2"/>
  <c r="F54" i="2"/>
  <c r="F58" i="2"/>
  <c r="F60" i="2"/>
  <c r="F61" i="2"/>
  <c r="F66" i="2"/>
  <c r="F67" i="2"/>
  <c r="F69" i="2"/>
  <c r="F70" i="2"/>
  <c r="F79" i="2"/>
  <c r="F80" i="2"/>
  <c r="F81" i="2"/>
  <c r="F84" i="2"/>
  <c r="F87" i="2"/>
  <c r="F89" i="2"/>
  <c r="F90" i="2"/>
  <c r="F91" i="2"/>
  <c r="F95" i="2"/>
  <c r="F98" i="2"/>
  <c r="F101" i="2"/>
  <c r="F103" i="2"/>
  <c r="F104" i="2"/>
  <c r="F109" i="2"/>
  <c r="F112" i="2"/>
  <c r="F115" i="2"/>
  <c r="F118" i="2"/>
  <c r="F119" i="2"/>
  <c r="F121" i="2"/>
  <c r="F124" i="2"/>
  <c r="F125" i="2"/>
  <c r="F126" i="2"/>
  <c r="F127" i="2"/>
  <c r="F129" i="2"/>
  <c r="F133" i="2"/>
  <c r="F136" i="2"/>
  <c r="F138" i="2"/>
  <c r="F139" i="2"/>
  <c r="F141" i="2"/>
  <c r="F142" i="2"/>
  <c r="D39" i="1"/>
  <c r="D79" i="1"/>
  <c r="E102" i="1" s="1"/>
  <c r="E137" i="1" l="1"/>
  <c r="D263" i="6" l="1"/>
  <c r="D254" i="6"/>
  <c r="D245" i="6"/>
  <c r="D236" i="6"/>
  <c r="D227" i="6"/>
  <c r="D218" i="6"/>
  <c r="D209" i="6"/>
  <c r="D136" i="1"/>
  <c r="E141" i="1" s="1"/>
  <c r="D200" i="6"/>
  <c r="D191" i="6"/>
  <c r="D182" i="6"/>
  <c r="D173" i="6"/>
  <c r="D164" i="6"/>
  <c r="G149" i="2" l="1"/>
  <c r="E129" i="1"/>
  <c r="H149" i="2" l="1"/>
  <c r="E138" i="1"/>
  <c r="E139" i="1" s="1"/>
  <c r="E140" i="1" s="1"/>
  <c r="E136" i="1"/>
  <c r="H21" i="6"/>
  <c r="D11" i="6"/>
  <c r="D20" i="6" s="1"/>
  <c r="D29" i="6" s="1"/>
  <c r="D38" i="6" s="1"/>
  <c r="D47" i="6" s="1"/>
  <c r="D56" i="6" s="1"/>
  <c r="D65" i="6" s="1"/>
  <c r="D74" i="6" s="1"/>
  <c r="D83" i="6" s="1"/>
  <c r="D92" i="6" s="1"/>
  <c r="D101" i="6" s="1"/>
  <c r="D110" i="6" s="1"/>
  <c r="D119" i="6" s="1"/>
  <c r="D128" i="6" s="1"/>
  <c r="D137" i="6" s="1"/>
  <c r="D146" i="6" s="1"/>
  <c r="D155" i="6" s="1"/>
  <c r="E106" i="1" l="1"/>
  <c r="B159" i="1"/>
  <c r="E110" i="1" l="1"/>
  <c r="E55" i="1"/>
  <c r="E122" i="1"/>
  <c r="E59" i="1" l="1"/>
  <c r="R149" i="2" l="1"/>
  <c r="S149" i="2"/>
  <c r="M149" i="2"/>
  <c r="L149" i="2"/>
  <c r="I149" i="2"/>
  <c r="E145" i="1" l="1"/>
  <c r="B163" i="1" s="1"/>
  <c r="B196" i="1"/>
  <c r="F156" i="2"/>
  <c r="F152" i="2"/>
  <c r="F155" i="2" l="1"/>
  <c r="F154" i="2"/>
  <c r="F153" i="2"/>
  <c r="F151" i="2"/>
  <c r="F150" i="2"/>
  <c r="F148" i="2"/>
  <c r="E120" i="1" l="1"/>
  <c r="W2" i="2" l="1"/>
  <c r="G2" i="2" s="1"/>
  <c r="K149" i="2" s="1"/>
  <c r="P149" i="2" s="1"/>
  <c r="S37" i="2" l="1"/>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146" i="2"/>
  <c r="S147" i="2"/>
  <c r="S148" i="2"/>
  <c r="S150" i="2"/>
  <c r="S151" i="2"/>
  <c r="S152" i="2"/>
  <c r="S153" i="2"/>
  <c r="S154" i="2"/>
  <c r="S155" i="2"/>
  <c r="S156" i="2"/>
  <c r="S157" i="2"/>
  <c r="S5" i="2"/>
  <c r="G97" i="2" l="1"/>
  <c r="K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8" i="2"/>
  <c r="J150" i="2"/>
  <c r="J151" i="2"/>
  <c r="J152" i="2"/>
  <c r="J153" i="2"/>
  <c r="J154" i="2"/>
  <c r="J155" i="2"/>
  <c r="J156" i="2"/>
  <c r="J157" i="2"/>
  <c r="J5" i="2"/>
  <c r="D41" i="1"/>
  <c r="E42" i="1" s="1"/>
  <c r="L150" i="2"/>
  <c r="L151" i="2"/>
  <c r="L152" i="2"/>
  <c r="L153" i="2"/>
  <c r="L154" i="2"/>
  <c r="L155" i="2"/>
  <c r="L156" i="2"/>
  <c r="L157" i="2"/>
  <c r="L148" i="2"/>
  <c r="L143"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5" i="2"/>
  <c r="K150" i="2" l="1"/>
  <c r="K151" i="2"/>
  <c r="K152" i="2"/>
  <c r="K153" i="2"/>
  <c r="K154" i="2"/>
  <c r="K155" i="2"/>
  <c r="K156" i="2"/>
  <c r="K157" i="2"/>
  <c r="K148"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M6" i="2"/>
  <c r="M7" i="2"/>
  <c r="M8" i="2"/>
  <c r="M9" i="2"/>
  <c r="M10" i="2"/>
  <c r="M11" i="2"/>
  <c r="M12" i="2"/>
  <c r="M14" i="2"/>
  <c r="M15" i="2"/>
  <c r="M16" i="2"/>
  <c r="M18" i="2"/>
  <c r="M19"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3" i="2"/>
  <c r="M54" i="2"/>
  <c r="M56" i="2"/>
  <c r="M57" i="2"/>
  <c r="M58" i="2"/>
  <c r="M59" i="2"/>
  <c r="M61" i="2"/>
  <c r="M62" i="2"/>
  <c r="M63" i="2"/>
  <c r="M64" i="2"/>
  <c r="M65" i="2"/>
  <c r="M67" i="2"/>
  <c r="M68" i="2"/>
  <c r="M69" i="2"/>
  <c r="M70" i="2"/>
  <c r="M71"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50" i="2"/>
  <c r="M151" i="2"/>
  <c r="M152" i="2"/>
  <c r="M153" i="2"/>
  <c r="M154" i="2"/>
  <c r="M155" i="2"/>
  <c r="M156" i="2"/>
  <c r="M157" i="2"/>
  <c r="M5" i="2"/>
  <c r="G68" i="2"/>
  <c r="H68" i="2" s="1"/>
  <c r="G96" i="2"/>
  <c r="H96" i="2" s="1"/>
  <c r="G43" i="2"/>
  <c r="H43" i="2" s="1"/>
  <c r="G93" i="2"/>
  <c r="H93" i="2" s="1"/>
  <c r="G137" i="2"/>
  <c r="H137" i="2" s="1"/>
  <c r="G110" i="2"/>
  <c r="H110" i="2" s="1"/>
  <c r="G141" i="2"/>
  <c r="H141" i="2" s="1"/>
  <c r="G64" i="2"/>
  <c r="H64" i="2" s="1"/>
  <c r="G100" i="2"/>
  <c r="H100" i="2" s="1"/>
  <c r="G22" i="2"/>
  <c r="H22" i="2" s="1"/>
  <c r="G5" i="2"/>
  <c r="H5" i="2" s="1"/>
  <c r="I5" i="2"/>
  <c r="G6" i="2"/>
  <c r="H6" i="2" s="1"/>
  <c r="I6" i="2"/>
  <c r="G7" i="2"/>
  <c r="H7" i="2" s="1"/>
  <c r="I7" i="2"/>
  <c r="G8" i="2"/>
  <c r="H8" i="2" s="1"/>
  <c r="I8" i="2"/>
  <c r="G9" i="2"/>
  <c r="H9" i="2" s="1"/>
  <c r="I9" i="2"/>
  <c r="G10" i="2"/>
  <c r="H10" i="2" s="1"/>
  <c r="I10" i="2"/>
  <c r="G11" i="2"/>
  <c r="H11" i="2" s="1"/>
  <c r="I11" i="2"/>
  <c r="G12" i="2"/>
  <c r="H12" i="2" s="1"/>
  <c r="I12" i="2"/>
  <c r="G13" i="2"/>
  <c r="H13" i="2" s="1"/>
  <c r="I13" i="2"/>
  <c r="G14" i="2"/>
  <c r="H14" i="2" s="1"/>
  <c r="I14" i="2"/>
  <c r="G15" i="2"/>
  <c r="H15" i="2" s="1"/>
  <c r="I15" i="2"/>
  <c r="O15" i="2" s="1"/>
  <c r="G16" i="2"/>
  <c r="H16" i="2" s="1"/>
  <c r="I16" i="2"/>
  <c r="I17" i="2"/>
  <c r="G18" i="2"/>
  <c r="H18" i="2" s="1"/>
  <c r="I18" i="2"/>
  <c r="G19" i="2"/>
  <c r="H19" i="2" s="1"/>
  <c r="I19" i="2"/>
  <c r="G20" i="2"/>
  <c r="H20" i="2" s="1"/>
  <c r="I20" i="2"/>
  <c r="G21" i="2"/>
  <c r="H21" i="2" s="1"/>
  <c r="I21" i="2"/>
  <c r="I22" i="2"/>
  <c r="G23" i="2"/>
  <c r="H23" i="2" s="1"/>
  <c r="I23" i="2"/>
  <c r="G24" i="2"/>
  <c r="H24" i="2" s="1"/>
  <c r="I24" i="2"/>
  <c r="G25" i="2"/>
  <c r="H25" i="2" s="1"/>
  <c r="I25" i="2"/>
  <c r="G26" i="2"/>
  <c r="H26" i="2" s="1"/>
  <c r="I26" i="2"/>
  <c r="G27" i="2"/>
  <c r="H27" i="2" s="1"/>
  <c r="I27" i="2"/>
  <c r="G28" i="2"/>
  <c r="H28" i="2" s="1"/>
  <c r="I28" i="2"/>
  <c r="G29" i="2"/>
  <c r="H29" i="2" s="1"/>
  <c r="I29" i="2"/>
  <c r="G30" i="2"/>
  <c r="H30" i="2" s="1"/>
  <c r="I30" i="2"/>
  <c r="G31" i="2"/>
  <c r="H31" i="2" s="1"/>
  <c r="I31" i="2"/>
  <c r="G32" i="2"/>
  <c r="H32" i="2" s="1"/>
  <c r="I32" i="2"/>
  <c r="G33" i="2"/>
  <c r="H33" i="2" s="1"/>
  <c r="I33" i="2"/>
  <c r="G34" i="2"/>
  <c r="H34" i="2" s="1"/>
  <c r="I34" i="2"/>
  <c r="G35" i="2"/>
  <c r="H35" i="2" s="1"/>
  <c r="I35" i="2"/>
  <c r="I36" i="2"/>
  <c r="G37" i="2"/>
  <c r="H37" i="2" s="1"/>
  <c r="I37" i="2"/>
  <c r="G38" i="2"/>
  <c r="H38" i="2" s="1"/>
  <c r="I38" i="2"/>
  <c r="G39" i="2"/>
  <c r="H39" i="2" s="1"/>
  <c r="I39" i="2"/>
  <c r="G40" i="2"/>
  <c r="H40" i="2" s="1"/>
  <c r="I40" i="2"/>
  <c r="G41" i="2"/>
  <c r="H41" i="2" s="1"/>
  <c r="I41" i="2"/>
  <c r="G42" i="2"/>
  <c r="H42" i="2" s="1"/>
  <c r="I42" i="2"/>
  <c r="I43" i="2"/>
  <c r="G44" i="2"/>
  <c r="H44" i="2" s="1"/>
  <c r="I44" i="2"/>
  <c r="G45" i="2"/>
  <c r="H45" i="2" s="1"/>
  <c r="I45" i="2"/>
  <c r="G46" i="2"/>
  <c r="H46" i="2" s="1"/>
  <c r="I46" i="2"/>
  <c r="G47" i="2"/>
  <c r="H47" i="2" s="1"/>
  <c r="I47" i="2"/>
  <c r="G48" i="2"/>
  <c r="H48" i="2" s="1"/>
  <c r="I48" i="2"/>
  <c r="G49" i="2"/>
  <c r="H49" i="2" s="1"/>
  <c r="I49" i="2"/>
  <c r="G50" i="2"/>
  <c r="H50" i="2" s="1"/>
  <c r="I50" i="2"/>
  <c r="G51" i="2"/>
  <c r="H51" i="2" s="1"/>
  <c r="I51" i="2"/>
  <c r="G52" i="2"/>
  <c r="H52" i="2" s="1"/>
  <c r="I52" i="2"/>
  <c r="G53" i="2"/>
  <c r="H53" i="2" s="1"/>
  <c r="I53" i="2"/>
  <c r="G54" i="2"/>
  <c r="H54" i="2" s="1"/>
  <c r="I54" i="2"/>
  <c r="G55" i="2"/>
  <c r="H55" i="2" s="1"/>
  <c r="I55" i="2"/>
  <c r="G56" i="2"/>
  <c r="H56" i="2" s="1"/>
  <c r="I56" i="2"/>
  <c r="G57" i="2"/>
  <c r="H57" i="2" s="1"/>
  <c r="I57" i="2"/>
  <c r="G58" i="2"/>
  <c r="H58" i="2" s="1"/>
  <c r="I58" i="2"/>
  <c r="G59" i="2"/>
  <c r="H59" i="2" s="1"/>
  <c r="I59" i="2"/>
  <c r="G60" i="2"/>
  <c r="H60" i="2" s="1"/>
  <c r="I60" i="2"/>
  <c r="G61" i="2"/>
  <c r="H61" i="2" s="1"/>
  <c r="I61" i="2"/>
  <c r="G62" i="2"/>
  <c r="H62" i="2" s="1"/>
  <c r="I62" i="2"/>
  <c r="G63" i="2"/>
  <c r="H63" i="2" s="1"/>
  <c r="I63" i="2"/>
  <c r="I64" i="2"/>
  <c r="G65" i="2"/>
  <c r="H65" i="2" s="1"/>
  <c r="I65" i="2"/>
  <c r="G66" i="2"/>
  <c r="H66" i="2" s="1"/>
  <c r="I66" i="2"/>
  <c r="N66" i="2" s="1"/>
  <c r="G67" i="2"/>
  <c r="H67" i="2" s="1"/>
  <c r="I67" i="2"/>
  <c r="I68" i="2"/>
  <c r="G69" i="2"/>
  <c r="H69" i="2" s="1"/>
  <c r="I69" i="2"/>
  <c r="G70" i="2"/>
  <c r="H70" i="2" s="1"/>
  <c r="I70" i="2"/>
  <c r="G71" i="2"/>
  <c r="H71" i="2" s="1"/>
  <c r="I71" i="2"/>
  <c r="G72" i="2"/>
  <c r="H72" i="2" s="1"/>
  <c r="I72" i="2"/>
  <c r="G73" i="2"/>
  <c r="H73" i="2" s="1"/>
  <c r="I73" i="2"/>
  <c r="O73" i="2" s="1"/>
  <c r="G74" i="2"/>
  <c r="H74" i="2" s="1"/>
  <c r="I74" i="2"/>
  <c r="G75" i="2"/>
  <c r="H75" i="2" s="1"/>
  <c r="I75" i="2"/>
  <c r="G76" i="2"/>
  <c r="H76" i="2" s="1"/>
  <c r="I76" i="2"/>
  <c r="G77" i="2"/>
  <c r="H77" i="2" s="1"/>
  <c r="I77" i="2"/>
  <c r="G78" i="2"/>
  <c r="H78" i="2" s="1"/>
  <c r="I78" i="2"/>
  <c r="G79" i="2"/>
  <c r="H79" i="2" s="1"/>
  <c r="I79" i="2"/>
  <c r="G80" i="2"/>
  <c r="H80" i="2" s="1"/>
  <c r="I80" i="2"/>
  <c r="G81" i="2"/>
  <c r="H81" i="2" s="1"/>
  <c r="I81" i="2"/>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G92" i="2"/>
  <c r="H92" i="2" s="1"/>
  <c r="I92" i="2"/>
  <c r="I93" i="2"/>
  <c r="G94" i="2"/>
  <c r="H94" i="2" s="1"/>
  <c r="I94" i="2"/>
  <c r="G95" i="2"/>
  <c r="H95" i="2" s="1"/>
  <c r="I95" i="2"/>
  <c r="I96" i="2"/>
  <c r="O96" i="2" s="1"/>
  <c r="H97" i="2"/>
  <c r="I97" i="2"/>
  <c r="O97" i="2" s="1"/>
  <c r="G98" i="2"/>
  <c r="H98" i="2" s="1"/>
  <c r="I98" i="2"/>
  <c r="O98" i="2" s="1"/>
  <c r="G99" i="2"/>
  <c r="H99" i="2" s="1"/>
  <c r="I99" i="2"/>
  <c r="I100" i="2"/>
  <c r="G101" i="2"/>
  <c r="H101" i="2" s="1"/>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I110" i="2"/>
  <c r="G111" i="2"/>
  <c r="H111" i="2" s="1"/>
  <c r="I111" i="2"/>
  <c r="G112" i="2"/>
  <c r="H112" i="2" s="1"/>
  <c r="I112" i="2"/>
  <c r="G113" i="2"/>
  <c r="H113" i="2" s="1"/>
  <c r="I113" i="2"/>
  <c r="G114" i="2"/>
  <c r="H114" i="2" s="1"/>
  <c r="I114" i="2"/>
  <c r="G115" i="2"/>
  <c r="H115" i="2" s="1"/>
  <c r="I115" i="2"/>
  <c r="G116" i="2"/>
  <c r="H116" i="2" s="1"/>
  <c r="I116" i="2"/>
  <c r="G117" i="2"/>
  <c r="H117" i="2" s="1"/>
  <c r="I117" i="2"/>
  <c r="G118" i="2"/>
  <c r="H118" i="2" s="1"/>
  <c r="I118" i="2"/>
  <c r="G119" i="2"/>
  <c r="H119" i="2" s="1"/>
  <c r="I119" i="2"/>
  <c r="G120" i="2"/>
  <c r="H120" i="2" s="1"/>
  <c r="I120" i="2"/>
  <c r="G121" i="2"/>
  <c r="H121" i="2" s="1"/>
  <c r="I121" i="2"/>
  <c r="I122" i="2"/>
  <c r="G123" i="2"/>
  <c r="H123" i="2" s="1"/>
  <c r="I123" i="2"/>
  <c r="I124" i="2"/>
  <c r="G125" i="2"/>
  <c r="H125" i="2" s="1"/>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I137" i="2"/>
  <c r="I138" i="2"/>
  <c r="G138" i="2"/>
  <c r="H138" i="2" s="1"/>
  <c r="I139" i="2"/>
  <c r="G140" i="2"/>
  <c r="H140" i="2" s="1"/>
  <c r="I140" i="2"/>
  <c r="I141" i="2"/>
  <c r="G142" i="2"/>
  <c r="H142" i="2" s="1"/>
  <c r="I142" i="2"/>
  <c r="G143" i="2"/>
  <c r="H143" i="2" s="1"/>
  <c r="I143" i="2"/>
  <c r="G148" i="2"/>
  <c r="H148" i="2" s="1"/>
  <c r="I148" i="2"/>
  <c r="I150" i="2"/>
  <c r="G151" i="2"/>
  <c r="H151" i="2" s="1"/>
  <c r="I151" i="2"/>
  <c r="I152" i="2"/>
  <c r="G153" i="2"/>
  <c r="H153" i="2" s="1"/>
  <c r="I153" i="2"/>
  <c r="G154" i="2"/>
  <c r="H154" i="2" s="1"/>
  <c r="I154" i="2"/>
  <c r="G155" i="2"/>
  <c r="H155" i="2" s="1"/>
  <c r="I155" i="2"/>
  <c r="I156" i="2"/>
  <c r="E47" i="1"/>
  <c r="E133" i="1"/>
  <c r="B166" i="1" s="1"/>
  <c r="A47" i="1"/>
  <c r="A48" i="1" s="1"/>
  <c r="B150" i="1"/>
  <c r="R37" i="2"/>
  <c r="R146" i="2"/>
  <c r="R147" i="2"/>
  <c r="R148" i="2"/>
  <c r="R150" i="2"/>
  <c r="R151" i="2"/>
  <c r="R152" i="2"/>
  <c r="R153" i="2"/>
  <c r="R154" i="2"/>
  <c r="R155" i="2"/>
  <c r="R156" i="2"/>
  <c r="R157" i="2"/>
  <c r="I157" i="2"/>
  <c r="G157" i="2"/>
  <c r="H157" i="2" s="1"/>
  <c r="B72" i="2"/>
  <c r="D160" i="2"/>
  <c r="B6" i="2"/>
  <c r="E48" i="1" l="1"/>
  <c r="E113" i="1" s="1"/>
  <c r="N13" i="2"/>
  <c r="N20" i="2"/>
  <c r="N148" i="2"/>
  <c r="N17" i="2"/>
  <c r="B73" i="2"/>
  <c r="S72" i="2"/>
  <c r="B7" i="2"/>
  <c r="S6" i="2"/>
  <c r="G17" i="2"/>
  <c r="H17" i="2" s="1"/>
  <c r="G122" i="2"/>
  <c r="H122" i="2" s="1"/>
  <c r="G139" i="2"/>
  <c r="H139" i="2" s="1"/>
  <c r="N55" i="2"/>
  <c r="N72" i="2"/>
  <c r="N60" i="2"/>
  <c r="K160" i="2"/>
  <c r="N52" i="2"/>
  <c r="L160" i="2"/>
  <c r="G152" i="2"/>
  <c r="H152" i="2" s="1"/>
  <c r="G124" i="2"/>
  <c r="H124" i="2" s="1"/>
  <c r="G36" i="2"/>
  <c r="H36" i="2" s="1"/>
  <c r="G156" i="2"/>
  <c r="H156" i="2" s="1"/>
  <c r="G150" i="2"/>
  <c r="H150" i="2" s="1"/>
  <c r="B164" i="1"/>
  <c r="R73" i="2"/>
  <c r="R72" i="2"/>
  <c r="R6" i="2"/>
  <c r="B8" i="2" l="1"/>
  <c r="S7" i="2"/>
  <c r="R7" i="2"/>
  <c r="B74" i="2"/>
  <c r="S73" i="2"/>
  <c r="N160" i="2"/>
  <c r="B75" i="2" l="1"/>
  <c r="S74" i="2"/>
  <c r="R74" i="2"/>
  <c r="B9" i="2"/>
  <c r="S8" i="2"/>
  <c r="R8" i="2"/>
  <c r="M160" i="2"/>
  <c r="B158" i="1"/>
  <c r="B10" i="2" l="1"/>
  <c r="S9" i="2"/>
  <c r="R9" i="2"/>
  <c r="B76" i="2"/>
  <c r="S75" i="2"/>
  <c r="R75" i="2"/>
  <c r="P148" i="2"/>
  <c r="P151" i="2"/>
  <c r="P150" i="2"/>
  <c r="P152" i="2"/>
  <c r="P153" i="2"/>
  <c r="P154" i="2"/>
  <c r="P156" i="2"/>
  <c r="P155" i="2"/>
  <c r="P157" i="2"/>
  <c r="B77" i="2" l="1"/>
  <c r="S76" i="2"/>
  <c r="R76" i="2"/>
  <c r="P76" i="2" s="1"/>
  <c r="B11" i="2"/>
  <c r="S10" i="2"/>
  <c r="R10" i="2"/>
  <c r="P10" i="2" s="1"/>
  <c r="P6" i="2"/>
  <c r="P7" i="2"/>
  <c r="P37" i="2"/>
  <c r="P74" i="2"/>
  <c r="P9" i="2"/>
  <c r="P72" i="2"/>
  <c r="P8" i="2"/>
  <c r="P75" i="2"/>
  <c r="P73"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5" i="2"/>
  <c r="P5" i="2" s="1"/>
  <c r="B12" i="2" l="1"/>
  <c r="S11" i="2"/>
  <c r="R11" i="2"/>
  <c r="P11" i="2" s="1"/>
  <c r="B78" i="2"/>
  <c r="S77" i="2"/>
  <c r="R77" i="2"/>
  <c r="P77" i="2" s="1"/>
  <c r="P48" i="2"/>
  <c r="B79" i="2" l="1"/>
  <c r="S78" i="2"/>
  <c r="R78" i="2"/>
  <c r="P78" i="2" s="1"/>
  <c r="B13" i="2"/>
  <c r="S12" i="2"/>
  <c r="R12" i="2"/>
  <c r="P12" i="2" s="1"/>
  <c r="B157" i="1"/>
  <c r="E160" i="2"/>
  <c r="B14" i="2" l="1"/>
  <c r="S13" i="2"/>
  <c r="R13" i="2"/>
  <c r="P13" i="2" s="1"/>
  <c r="B80" i="2"/>
  <c r="S79" i="2"/>
  <c r="R79" i="2"/>
  <c r="P79" i="2" s="1"/>
  <c r="P47" i="2"/>
  <c r="P42" i="2"/>
  <c r="P59" i="2"/>
  <c r="P55" i="2"/>
  <c r="P50" i="2"/>
  <c r="P45" i="2"/>
  <c r="P41" i="2"/>
  <c r="P39" i="2"/>
  <c r="P46" i="2"/>
  <c r="P38" i="2"/>
  <c r="P71" i="2"/>
  <c r="P62" i="2"/>
  <c r="P49" i="2"/>
  <c r="P44" i="2"/>
  <c r="P40" i="2"/>
  <c r="B149" i="1"/>
  <c r="G160" i="2"/>
  <c r="P67" i="2"/>
  <c r="P68" i="2"/>
  <c r="P70" i="2"/>
  <c r="P69" i="2"/>
  <c r="P54" i="2"/>
  <c r="P65" i="2"/>
  <c r="P61" i="2"/>
  <c r="P57" i="2"/>
  <c r="P53" i="2"/>
  <c r="P58" i="2"/>
  <c r="P64" i="2"/>
  <c r="P60" i="2"/>
  <c r="P56" i="2"/>
  <c r="P52" i="2"/>
  <c r="P66" i="2"/>
  <c r="P63" i="2"/>
  <c r="P51" i="2"/>
  <c r="I160" i="2"/>
  <c r="B81" i="2" l="1"/>
  <c r="S80" i="2"/>
  <c r="R80" i="2"/>
  <c r="P80" i="2" s="1"/>
  <c r="B15" i="2"/>
  <c r="S14" i="2"/>
  <c r="R14" i="2"/>
  <c r="P14" i="2" s="1"/>
  <c r="B165" i="1"/>
  <c r="B148" i="1"/>
  <c r="B151" i="1" s="1"/>
  <c r="J160" i="2"/>
  <c r="B167" i="1" l="1"/>
  <c r="B176" i="1" s="1"/>
  <c r="B16" i="2"/>
  <c r="S15" i="2"/>
  <c r="R15" i="2"/>
  <c r="P15" i="2" s="1"/>
  <c r="B82" i="2"/>
  <c r="S81" i="2"/>
  <c r="R81" i="2"/>
  <c r="P81" i="2" s="1"/>
  <c r="B83" i="2" l="1"/>
  <c r="S82" i="2"/>
  <c r="R82" i="2"/>
  <c r="P82" i="2" s="1"/>
  <c r="B17" i="2"/>
  <c r="S16" i="2"/>
  <c r="R16" i="2"/>
  <c r="P16" i="2" s="1"/>
  <c r="B18" i="2" l="1"/>
  <c r="S17" i="2"/>
  <c r="R17" i="2"/>
  <c r="P17" i="2" s="1"/>
  <c r="B84" i="2"/>
  <c r="S83" i="2"/>
  <c r="R83" i="2"/>
  <c r="P83" i="2" s="1"/>
  <c r="B19" i="2" l="1"/>
  <c r="S18" i="2"/>
  <c r="R18" i="2"/>
  <c r="P18" i="2" s="1"/>
  <c r="B85" i="2"/>
  <c r="S84" i="2"/>
  <c r="R84" i="2"/>
  <c r="P84" i="2" s="1"/>
  <c r="B86" i="2" l="1"/>
  <c r="S85" i="2"/>
  <c r="R85" i="2"/>
  <c r="P85" i="2" s="1"/>
  <c r="B20" i="2"/>
  <c r="S19" i="2"/>
  <c r="R19" i="2"/>
  <c r="P19" i="2" s="1"/>
  <c r="B21" i="2" l="1"/>
  <c r="S20" i="2"/>
  <c r="R20" i="2"/>
  <c r="P20" i="2" s="1"/>
  <c r="B87" i="2"/>
  <c r="S86" i="2"/>
  <c r="R86" i="2"/>
  <c r="P86" i="2" s="1"/>
  <c r="B88" i="2" l="1"/>
  <c r="S87" i="2"/>
  <c r="R87" i="2"/>
  <c r="P87" i="2" s="1"/>
  <c r="B22" i="2"/>
  <c r="S21" i="2"/>
  <c r="R21" i="2"/>
  <c r="P21" i="2" s="1"/>
  <c r="B23" i="2" l="1"/>
  <c r="S22" i="2"/>
  <c r="R22" i="2"/>
  <c r="P22" i="2" s="1"/>
  <c r="B89" i="2"/>
  <c r="S88" i="2"/>
  <c r="R88" i="2"/>
  <c r="P88" i="2" s="1"/>
  <c r="B90" i="2" l="1"/>
  <c r="S89" i="2"/>
  <c r="R89" i="2"/>
  <c r="P89" i="2" s="1"/>
  <c r="B24" i="2"/>
  <c r="S23" i="2"/>
  <c r="R23" i="2"/>
  <c r="P23" i="2" s="1"/>
  <c r="B25" i="2" l="1"/>
  <c r="S24" i="2"/>
  <c r="R24" i="2"/>
  <c r="P24" i="2" s="1"/>
  <c r="B91" i="2"/>
  <c r="S90" i="2"/>
  <c r="R90" i="2"/>
  <c r="P90" i="2" s="1"/>
  <c r="B26" i="2" l="1"/>
  <c r="S25" i="2"/>
  <c r="R25" i="2"/>
  <c r="P25" i="2" s="1"/>
  <c r="B92" i="2"/>
  <c r="S91" i="2"/>
  <c r="R91" i="2"/>
  <c r="P91" i="2" s="1"/>
  <c r="B93" i="2" l="1"/>
  <c r="S92" i="2"/>
  <c r="R92" i="2"/>
  <c r="P92" i="2" s="1"/>
  <c r="B27" i="2"/>
  <c r="S26" i="2"/>
  <c r="R26" i="2"/>
  <c r="P26" i="2" s="1"/>
  <c r="B28" i="2" l="1"/>
  <c r="S27" i="2"/>
  <c r="R27" i="2"/>
  <c r="P27" i="2" s="1"/>
  <c r="B94" i="2"/>
  <c r="S93" i="2"/>
  <c r="R93" i="2"/>
  <c r="P93" i="2" s="1"/>
  <c r="B95" i="2" l="1"/>
  <c r="S94" i="2"/>
  <c r="R94" i="2"/>
  <c r="P94" i="2" s="1"/>
  <c r="B29" i="2"/>
  <c r="S28" i="2"/>
  <c r="R28" i="2"/>
  <c r="P28" i="2" s="1"/>
  <c r="B30" i="2" l="1"/>
  <c r="S29" i="2"/>
  <c r="R29" i="2"/>
  <c r="P29" i="2" s="1"/>
  <c r="B96" i="2"/>
  <c r="S95" i="2"/>
  <c r="R95" i="2"/>
  <c r="P95" i="2" s="1"/>
  <c r="B97" i="2" l="1"/>
  <c r="S96" i="2"/>
  <c r="R96" i="2"/>
  <c r="P96" i="2" s="1"/>
  <c r="B31" i="2"/>
  <c r="S30" i="2"/>
  <c r="R30" i="2"/>
  <c r="P30" i="2" s="1"/>
  <c r="B32" i="2" l="1"/>
  <c r="S31" i="2"/>
  <c r="R31" i="2"/>
  <c r="P31" i="2" s="1"/>
  <c r="B98" i="2"/>
  <c r="S97" i="2"/>
  <c r="R97" i="2"/>
  <c r="P97" i="2" s="1"/>
  <c r="B99" i="2" l="1"/>
  <c r="S98" i="2"/>
  <c r="R98" i="2"/>
  <c r="P98" i="2" s="1"/>
  <c r="B33" i="2"/>
  <c r="S32" i="2"/>
  <c r="R32" i="2"/>
  <c r="P32" i="2" s="1"/>
  <c r="B34" i="2" l="1"/>
  <c r="S33" i="2"/>
  <c r="R33" i="2"/>
  <c r="P33" i="2" s="1"/>
  <c r="B100" i="2"/>
  <c r="S99" i="2"/>
  <c r="R99" i="2"/>
  <c r="P99" i="2" s="1"/>
  <c r="B101" i="2" l="1"/>
  <c r="S100" i="2"/>
  <c r="R100" i="2"/>
  <c r="P100" i="2" s="1"/>
  <c r="B35" i="2"/>
  <c r="S34" i="2"/>
  <c r="R34" i="2"/>
  <c r="P34" i="2" s="1"/>
  <c r="B36" i="2" l="1"/>
  <c r="S35" i="2"/>
  <c r="R35" i="2"/>
  <c r="P35" i="2" s="1"/>
  <c r="B102" i="2"/>
  <c r="S101" i="2"/>
  <c r="R101" i="2"/>
  <c r="P101" i="2" s="1"/>
  <c r="B103" i="2" l="1"/>
  <c r="S102" i="2"/>
  <c r="R102" i="2"/>
  <c r="P102" i="2" s="1"/>
  <c r="R36" i="2"/>
  <c r="P36" i="2" s="1"/>
  <c r="S36" i="2"/>
  <c r="B104" i="2" l="1"/>
  <c r="S103" i="2"/>
  <c r="R103" i="2"/>
  <c r="P103" i="2" s="1"/>
  <c r="B105" i="2" l="1"/>
  <c r="S104" i="2"/>
  <c r="R104" i="2"/>
  <c r="P104" i="2" s="1"/>
  <c r="B106" i="2" l="1"/>
  <c r="S105" i="2"/>
  <c r="R105" i="2"/>
  <c r="P105" i="2" s="1"/>
  <c r="B107" i="2" l="1"/>
  <c r="S106" i="2"/>
  <c r="R106" i="2"/>
  <c r="P106" i="2" s="1"/>
  <c r="B108" i="2" l="1"/>
  <c r="S107" i="2"/>
  <c r="R107" i="2"/>
  <c r="P107" i="2" s="1"/>
  <c r="B109" i="2" l="1"/>
  <c r="S108" i="2"/>
  <c r="R108" i="2"/>
  <c r="P108" i="2" s="1"/>
  <c r="B110" i="2" l="1"/>
  <c r="S109" i="2"/>
  <c r="R109" i="2"/>
  <c r="P109" i="2" s="1"/>
  <c r="B111" i="2" l="1"/>
  <c r="S110" i="2"/>
  <c r="R110" i="2"/>
  <c r="P110" i="2" s="1"/>
  <c r="B112" i="2" l="1"/>
  <c r="S111" i="2"/>
  <c r="R111" i="2"/>
  <c r="P111" i="2" s="1"/>
  <c r="B113" i="2" l="1"/>
  <c r="S112" i="2"/>
  <c r="R112" i="2"/>
  <c r="P112" i="2" s="1"/>
  <c r="B114" i="2" l="1"/>
  <c r="S113" i="2"/>
  <c r="R113" i="2"/>
  <c r="P113" i="2" s="1"/>
  <c r="B115" i="2" l="1"/>
  <c r="S114" i="2"/>
  <c r="R114" i="2"/>
  <c r="P114" i="2" s="1"/>
  <c r="B116" i="2" l="1"/>
  <c r="S115" i="2"/>
  <c r="R115" i="2"/>
  <c r="P115" i="2" s="1"/>
  <c r="B117" i="2" l="1"/>
  <c r="S116" i="2"/>
  <c r="R116" i="2"/>
  <c r="P116" i="2" s="1"/>
  <c r="B118" i="2" l="1"/>
  <c r="S117" i="2"/>
  <c r="R117" i="2"/>
  <c r="P117" i="2" s="1"/>
  <c r="B119" i="2" l="1"/>
  <c r="S118" i="2"/>
  <c r="R118" i="2"/>
  <c r="P118" i="2" s="1"/>
  <c r="B120" i="2" l="1"/>
  <c r="S119" i="2"/>
  <c r="R119" i="2"/>
  <c r="P119" i="2" s="1"/>
  <c r="B121" i="2" l="1"/>
  <c r="S120" i="2"/>
  <c r="R120" i="2"/>
  <c r="P120" i="2" s="1"/>
  <c r="B122" i="2" l="1"/>
  <c r="S121" i="2"/>
  <c r="R121" i="2"/>
  <c r="P121" i="2" s="1"/>
  <c r="B123" i="2" l="1"/>
  <c r="S122" i="2"/>
  <c r="R122" i="2"/>
  <c r="P122" i="2" s="1"/>
  <c r="B124" i="2" l="1"/>
  <c r="S123" i="2"/>
  <c r="R123" i="2"/>
  <c r="P123" i="2" s="1"/>
  <c r="B125" i="2" l="1"/>
  <c r="S124" i="2"/>
  <c r="R124" i="2"/>
  <c r="P124" i="2" s="1"/>
  <c r="B126" i="2" l="1"/>
  <c r="S125" i="2"/>
  <c r="R125" i="2"/>
  <c r="P125" i="2" s="1"/>
  <c r="B127" i="2" l="1"/>
  <c r="S126" i="2"/>
  <c r="R126" i="2"/>
  <c r="P126" i="2" s="1"/>
  <c r="B128" i="2" l="1"/>
  <c r="S127" i="2"/>
  <c r="R127" i="2"/>
  <c r="P127" i="2" s="1"/>
  <c r="B129" i="2" l="1"/>
  <c r="S128" i="2"/>
  <c r="R128" i="2"/>
  <c r="P128" i="2" s="1"/>
  <c r="B130" i="2" l="1"/>
  <c r="S129" i="2"/>
  <c r="R129" i="2"/>
  <c r="P129" i="2" s="1"/>
  <c r="B131" i="2" l="1"/>
  <c r="S130" i="2"/>
  <c r="R130" i="2"/>
  <c r="P130" i="2" s="1"/>
  <c r="B132" i="2" l="1"/>
  <c r="S131" i="2"/>
  <c r="R131" i="2"/>
  <c r="P131" i="2" s="1"/>
  <c r="B133" i="2" l="1"/>
  <c r="S132" i="2"/>
  <c r="R132" i="2"/>
  <c r="P132" i="2" s="1"/>
  <c r="B134" i="2" l="1"/>
  <c r="S133" i="2"/>
  <c r="R133" i="2"/>
  <c r="P133" i="2" s="1"/>
  <c r="B135" i="2" l="1"/>
  <c r="S134" i="2"/>
  <c r="R134" i="2"/>
  <c r="P134" i="2" s="1"/>
  <c r="B136" i="2" l="1"/>
  <c r="S135" i="2"/>
  <c r="R135" i="2"/>
  <c r="P135" i="2" s="1"/>
  <c r="B137" i="2" l="1"/>
  <c r="S136" i="2"/>
  <c r="R136" i="2"/>
  <c r="P136" i="2" s="1"/>
  <c r="B138" i="2" l="1"/>
  <c r="S137" i="2"/>
  <c r="R137" i="2"/>
  <c r="P137" i="2" s="1"/>
  <c r="B139" i="2" l="1"/>
  <c r="S138" i="2"/>
  <c r="R138" i="2"/>
  <c r="P138" i="2" s="1"/>
  <c r="B140" i="2" l="1"/>
  <c r="S139" i="2"/>
  <c r="R139" i="2"/>
  <c r="P139" i="2" s="1"/>
  <c r="B141" i="2" l="1"/>
  <c r="S140" i="2"/>
  <c r="R140" i="2"/>
  <c r="P140" i="2" s="1"/>
  <c r="B142" i="2" l="1"/>
  <c r="S141" i="2"/>
  <c r="R141" i="2"/>
  <c r="P141" i="2" s="1"/>
  <c r="B143" i="2" l="1"/>
  <c r="S142" i="2"/>
  <c r="R142" i="2"/>
  <c r="P142" i="2" s="1"/>
  <c r="B144" i="2" l="1"/>
  <c r="S143" i="2"/>
  <c r="R143" i="2"/>
  <c r="P143" i="2" s="1"/>
  <c r="B145" i="2" l="1"/>
  <c r="S144" i="2"/>
  <c r="R144" i="2"/>
  <c r="R145" i="2" l="1"/>
  <c r="S145" i="2"/>
  <c r="P43" i="2"/>
  <c r="P160" i="2" s="1"/>
  <c r="O160" i="2"/>
</calcChain>
</file>

<file path=xl/sharedStrings.xml><?xml version="1.0" encoding="utf-8"?>
<sst xmlns="http://schemas.openxmlformats.org/spreadsheetml/2006/main" count="775" uniqueCount="478">
  <si>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</si>
  <si>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</si>
  <si>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</si>
  <si>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</si>
  <si>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</si>
  <si>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</si>
  <si>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</si>
  <si>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</si>
  <si>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</si>
  <si>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</si>
  <si>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</si>
  <si>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</si>
  <si>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</si>
  <si>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</si>
  <si>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</si>
  <si>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</si>
  <si>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</si>
  <si>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</si>
  <si>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</si>
  <si>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</si>
  <si>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</si>
  <si>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</si>
  <si>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</si>
  <si>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</si>
  <si>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</si>
  <si>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</si>
  <si>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</si>
  <si>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</si>
  <si>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</si>
  <si>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</si>
  <si>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</si>
  <si>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</si>
  <si>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</si>
  <si>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</si>
  <si>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</si>
  <si>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</si>
  <si>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</si>
  <si>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</si>
  <si>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</si>
  <si>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</si>
  <si>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</si>
  <si>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</si>
  <si>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</si>
  <si>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</si>
  <si>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</si>
  <si>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</si>
  <si>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</si>
  <si>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</si>
  <si>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</si>
  <si>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</si>
  <si>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</si>
  <si>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</si>
  <si>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</si>
  <si>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</si>
  <si>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</si>
  <si>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</si>
  <si>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</si>
  <si>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</si>
  <si>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</si>
  <si>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</si>
  <si>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</si>
  <si>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</si>
  <si>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</si>
  <si>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</si>
  <si>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</si>
  <si>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</si>
  <si>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</si>
  <si>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</si>
  <si>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</si>
  <si>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</si>
  <si>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</si>
  <si>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</si>
  <si>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</si>
  <si>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</si>
  <si>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</si>
  <si>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</si>
  <si>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</si>
  <si>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</si>
  <si>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</si>
  <si>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</si>
  <si>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</si>
  <si>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</si>
  <si>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</si>
  <si>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</si>
  <si>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</si>
  <si>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</si>
  <si>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</si>
  <si>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</si>
  <si>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</si>
  <si>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</si>
  <si>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</si>
  <si>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</si>
  <si>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</si>
  <si>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</si>
  <si>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</si>
  <si>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</si>
  <si>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</si>
  <si>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</si>
  <si>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</si>
  <si>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</si>
  <si>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</si>
  <si>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</si>
  <si>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</si>
  <si>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</si>
  <si>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</si>
  <si>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Fino, Claudia</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</si>
  <si>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</si>
  <si>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</si>
  <si>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</si>
  <si>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</si>
  <si>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</si>
  <si>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</si>
  <si>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</si>
  <si>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</si>
  <si>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</si>
  <si>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</si>
  <si>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</si>
  <si>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Rodoni, Sergio</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</si>
  <si>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</si>
  <si>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</si>
  <si>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</si>
  <si>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</si>
  <si>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</si>
  <si>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</si>
  <si>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</si>
  <si>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</si>
  <si>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</si>
  <si>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</si>
  <si>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</si>
  <si>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</si>
  <si>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</si>
  <si>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</si>
  <si>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</si>
  <si>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</si>
  <si>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</si>
  <si>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</si>
  <si>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</si>
  <si>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Streger, Javier</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</si>
  <si>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</si>
  <si>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</si>
  <si>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</si>
  <si>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</si>
  <si>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</si>
  <si>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</si>
  <si>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</si>
  <si>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</si>
  <si>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</si>
  <si>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</si>
  <si>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</si>
  <si>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</si>
  <si>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TOTAL  SEGUROS</t>
  </si>
  <si>
    <t>TOTAL APORTES Y CONTRIBUCIONES</t>
  </si>
  <si>
    <t>TOTAL HONORARIOS</t>
  </si>
  <si>
    <t>TOTAL  GASTOS BANCARIOS</t>
  </si>
  <si>
    <t>SUMA DE GASTOS - ABONOS DE SERVICIOS</t>
  </si>
  <si>
    <t>Egresos abonos y servicios</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</si>
  <si>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</si>
  <si>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</si>
  <si>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</si>
  <si>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</si>
  <si>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</si>
  <si>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 xml:space="preserve">ANOTACION </t>
  </si>
  <si>
    <t>FECHA DE LA ANOTACION:</t>
  </si>
  <si>
    <t>QUEJA VIA:</t>
  </si>
  <si>
    <t>WHATSAPP</t>
  </si>
  <si>
    <t>MAIL</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</si>
  <si>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</si>
  <si>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</si>
  <si>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</si>
  <si>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</si>
  <si>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</si>
  <si>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</si>
  <si>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</si>
  <si>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</si>
  <si>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</si>
  <si>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</si>
  <si>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</si>
  <si>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</si>
  <si>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</si>
  <si>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</si>
  <si>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</si>
  <si>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</si>
  <si>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</si>
  <si>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</si>
  <si>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</si>
  <si>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</si>
  <si>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</si>
  <si>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</si>
  <si>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</si>
  <si>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</si>
  <si>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</si>
  <si>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</si>
  <si>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</si>
  <si>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Telecom (Cuit.: 30-63945373-8) - (Abono celular Intendencia)</t>
  </si>
  <si>
    <t>HUANG (CHINO)</t>
  </si>
  <si>
    <t>Imsael Matta</t>
  </si>
  <si>
    <t>Noemi</t>
  </si>
  <si>
    <t>Fattorini sergio</t>
  </si>
  <si>
    <t>ROSSI PATRICIA</t>
  </si>
  <si>
    <t>RECAUDACIONES Y PAGOS SA</t>
  </si>
  <si>
    <t>Luis Grecco Y Karina</t>
  </si>
  <si>
    <t>Flores javier roberto</t>
  </si>
  <si>
    <t>Nicolas Esteban Gutierrez</t>
  </si>
  <si>
    <t>Avicola lanus a nombre de Tamara en el mail</t>
  </si>
  <si>
    <t>avicola lanus a nombre de tamara en el mail</t>
  </si>
  <si>
    <t>Suavenol</t>
  </si>
  <si>
    <t>Santangelo - Deposita</t>
  </si>
  <si>
    <t>Deposita - Andrea Iglesias</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</si>
  <si>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</si>
  <si>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</si>
  <si>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</si>
  <si>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</si>
  <si>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</si>
  <si>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</si>
  <si>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</si>
  <si>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</si>
  <si>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</si>
  <si>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</si>
  <si>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</si>
  <si>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</si>
  <si>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</si>
  <si>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</si>
  <si>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</si>
  <si>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mercedes arias &lt;mercedesarias2005@hotmail.com&gt;</t>
  </si>
  <si>
    <t>Velazco Velasco Gisela</t>
  </si>
  <si>
    <t>Grey Brick SA</t>
  </si>
  <si>
    <t>Calabro, Evangelina</t>
  </si>
  <si>
    <t>Lorena Mazzeo</t>
  </si>
  <si>
    <t>Guillermo rodriguez</t>
  </si>
  <si>
    <t>Ines / Jorge o Ayestaran Melanie que es la inquilina</t>
  </si>
  <si>
    <t>Maria Laura Lopez</t>
  </si>
  <si>
    <t>Compensacion expensas lote 140 - 141:</t>
  </si>
  <si>
    <t>TOTAL GASTOS ORDINARIOS + ABONOS Y SERVICIOS</t>
  </si>
  <si>
    <t>FONDO SUPER AHORRO PLUS</t>
  </si>
  <si>
    <t>COMPENSACION EXP. LOTE 140/141</t>
  </si>
  <si>
    <t>Saldo anterior total</t>
  </si>
  <si>
    <t>Ingreso total</t>
  </si>
  <si>
    <t>Interes</t>
  </si>
  <si>
    <t>Total</t>
  </si>
  <si>
    <t xml:space="preserve">FECHA DE INICIO - 21/04/2025 </t>
  </si>
  <si>
    <t>CAJA EFECTIVO</t>
  </si>
  <si>
    <t>RESUMEN CAJA GENERAL</t>
  </si>
  <si>
    <t xml:space="preserve"> </t>
  </si>
  <si>
    <t>Santiago Roman Ramirez</t>
  </si>
  <si>
    <t>Ezequiel De la calle</t>
  </si>
  <si>
    <t>Maria Ximena Vizzini / P Sur Srl</t>
  </si>
  <si>
    <t>Ariel Sposito</t>
  </si>
  <si>
    <t>Deposito sin identificar - correspondientes a estas expensas</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</si>
  <si>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</si>
  <si>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</si>
  <si>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Fernando Rivero y Mónica Cádiz</t>
  </si>
  <si>
    <t>Potes Paula Vanesa</t>
  </si>
  <si>
    <t>Teresa Angelica Agustin - Emiliano Piergiovanni</t>
  </si>
  <si>
    <t>Gergoff Ninoff Milagros Florencia / Diego soto / Profirio Soto</t>
  </si>
  <si>
    <t xml:space="preserve"> de nardi paula andrea</t>
  </si>
  <si>
    <t>Cristian Colson</t>
  </si>
  <si>
    <t>Noelia Franccini</t>
  </si>
  <si>
    <t>CAROLINA GIACCHETTI carolinagiacchetti@hotmail.com / Maria alejandra Ceballos</t>
  </si>
  <si>
    <t>ConstruHap - Veronica Laura Maggiot</t>
  </si>
  <si>
    <t>Sergio Decaira / De caira</t>
  </si>
  <si>
    <t>maria jose de la nativ penaloza gonzalez</t>
  </si>
  <si>
    <t>Deposita, tambien paga el lote 18 - Santiago Jorge Claps</t>
  </si>
  <si>
    <t>Horacio oscar brescia - Estefania Tortorisi</t>
  </si>
  <si>
    <t>Gustavo Kearney &lt;gkearney@batt.com.ar&gt; - maranata perfumeria</t>
  </si>
  <si>
    <t>Daniela Cabral</t>
  </si>
  <si>
    <t>Gastos particulares / Multas / SUM</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</si>
  <si>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</si>
  <si>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</si>
  <si>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</si>
  <si>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Extraordinarios:</t>
  </si>
  <si>
    <t>ventas@quimicaros.com.ar</t>
  </si>
  <si>
    <t xml:space="preserve"> maranata perfumeria</t>
  </si>
  <si>
    <t xml:space="preserve"> De mela Innovaciones SRL tiene el 24 y 58</t>
  </si>
  <si>
    <t xml:space="preserve">Analía Celeste Cáceres </t>
  </si>
  <si>
    <t>Diego Damino</t>
  </si>
  <si>
    <t>Agustina Palermo</t>
  </si>
  <si>
    <t>Gonzalo Raul Fernandez - ivanalagolosinerasrl@gmail.com</t>
  </si>
  <si>
    <t>PAGOS UNIVERSALES SA/  GLOBAL TT S.A. / GLOBAT</t>
  </si>
  <si>
    <t>Federacion patronal -  Poliza nro. 1-2195343-0 - Riesgo integral de barrios privados</t>
  </si>
  <si>
    <t>Federacion patronal -  Poliza nro. 1-77459-6 - Seguro de vida obligatorio Sr. Maximiliano Abbruzzese</t>
  </si>
  <si>
    <t>Debito autom.</t>
  </si>
  <si>
    <t>Cafrathela SA - Carolina Carena</t>
  </si>
  <si>
    <t>Diego Soto y Hernan Soto</t>
  </si>
  <si>
    <t>Cecilia Labala</t>
  </si>
  <si>
    <t>Montenievas SRL</t>
  </si>
  <si>
    <t>Ordinarios:</t>
  </si>
  <si>
    <t>QUIENES EN LA COLUMNA DENOMINADA "DEUDA O SALDO A FAVOR" OBSERVEN UN NÚMERO NEGATIVO, SIGNIFICA QUE EN EXPENSAS ANTERIORES ABONARON DE MÁS Y CUENTAN CON DINERO A FAVOR. EL MONTO A ABONAR FIGURA EN LA COLUMNA DENOMINADA "TOTAL".</t>
  </si>
  <si>
    <t>Deposita siempre - Viviana Lusero</t>
  </si>
  <si>
    <t>albrech adrian -  Belén Brog</t>
  </si>
  <si>
    <t>Tosi german lucas o nitapaula0684@gmail.com / Ana Paula</t>
  </si>
  <si>
    <t>Romina Troppelli - Deposita o  si tansfiere informa por mail  desde rominita09@hotmail.com</t>
  </si>
  <si>
    <t xml:space="preserve">Maria Eugenia Bachratz - Martin francisco Lopez zavallo
</t>
  </si>
  <si>
    <t>Diego Humberto Hernandez</t>
  </si>
  <si>
    <t>CUIT: 30-71618269-6</t>
  </si>
  <si>
    <t>ADMINISTRADORA: CAROLINA CANCIANI MP:1148</t>
  </si>
  <si>
    <t>Covelia SA - Recoleccion de ramas - CUIT: 30707242961</t>
  </si>
  <si>
    <t xml:space="preserve"> JAVIER ALBERTO ANDRES - TAMBIEN TIENE EL LOTE 204</t>
  </si>
  <si>
    <t xml:space="preserve"> JAVIER ALBERTO ANDRES - TAMBIEN TIENE EL LOTE 23</t>
  </si>
  <si>
    <t>Vivienda Everhouse</t>
  </si>
  <si>
    <t>Nicolas / Cecilia Andrea</t>
  </si>
  <si>
    <t>ad RUIZ DIAZ - Maria agustina Falcone - Barbero Francisco</t>
  </si>
  <si>
    <t>Cejas, Mariana/Petenello, Manuel</t>
  </si>
  <si>
    <t>Liliana Miravalle/Gustavo Di Biase</t>
  </si>
  <si>
    <t>Adminar SA y Lobison - Collectic Service - Liliana Andrea Miravalle y Gustavo Aníbal Di Biase</t>
  </si>
  <si>
    <t>Valeria Reggi</t>
  </si>
  <si>
    <t>CAJA DEL SUM</t>
  </si>
  <si>
    <t>Saldo inicial</t>
  </si>
  <si>
    <t>Ingreso que corresponde a CAJA SUM</t>
  </si>
  <si>
    <t>Gastos recuperados por administracion - meses anteriores en efectivo</t>
  </si>
  <si>
    <t>Deposita - pamela - manda por whatsapp</t>
  </si>
  <si>
    <t>ADRIAN CLAUDIO GIARMAN / JOSEFINA GIORDANI / Milagros Anahi Sanchez / Leonardo Alexis Fama / Maria Antonella Rodriguez / Raul Alejandro Davalos/ Agustina navarro</t>
  </si>
  <si>
    <t>Deposita, tambien paga el lote 132 - Santiago Jorge Claps</t>
  </si>
  <si>
    <t>Rodolfo manuel Petenello</t>
  </si>
  <si>
    <t>Soto</t>
  </si>
  <si>
    <t>Josefina</t>
  </si>
  <si>
    <t>Sergio ferraris</t>
  </si>
  <si>
    <t>Transfirio $ 197.429,09 el 01/12</t>
  </si>
  <si>
    <t>Recaudaciones y pagos -  Suzel Valiña &lt;valisule@gmail.com&gt; - Paga 118 , 120 y 121 - Pagos Rep. SA / AGIL PAGOS / Agro Fuel S.A</t>
  </si>
  <si>
    <t>Recaudaciones y pagos -  Suzel Valiña &lt;valisule@gmail.com&gt; - Paga 118 , 120 y 121 - Pagos Rep. SA / AGIL PAGOS  / Agro Fuel S.A</t>
  </si>
  <si>
    <t>Transfirio $ 300.000 el 01/12</t>
  </si>
  <si>
    <t>$782.000 (DEPOSITO 1/12)</t>
  </si>
  <si>
    <t>Deposiot el 3/12 $780.000</t>
  </si>
  <si>
    <t>OMS (Cuit.: 30-71568933-9) - Fc.00002767 (Abono mantenimiento planta de tratamiento)</t>
  </si>
  <si>
    <t>Transfirio el 4/12 $324.000</t>
  </si>
  <si>
    <t>Transfirio el 4/12 $555.450 y $204.761,79</t>
  </si>
  <si>
    <t>Flow (Cuit: 30-63945373-8) - (Servicio de WIFI 2025)</t>
  </si>
  <si>
    <t>Sandirs SRL - SANDIS SRL</t>
  </si>
  <si>
    <t>QUERCIA LUCIO - QAM SRL - FLEBO TDR SRL - Grupo Logistico Srl</t>
  </si>
  <si>
    <t>Centurion Sergio Cesar - Florencia Volonte en el mail o pells nicolas - Gaston Adrian Bruzzisi</t>
  </si>
  <si>
    <t>Ad Premed SRL - Tambien tiene lote 47</t>
  </si>
  <si>
    <t>Ad Premed SRL - Tambien tiene lote 4</t>
  </si>
  <si>
    <t>Laprida SRL</t>
  </si>
  <si>
    <t>Total contemplando caja SUM + Caja Ordinaria / Extraordinaria</t>
  </si>
  <si>
    <t>Aclaración sobre la columna “Gastos Particulares”
En la columna denominada “Gastos Particulares”, podrán visualizar distintas casillas asociadas a cada unidad funcional. Los colores tienen el siguiente significado:
Gris: corresponde al uso del SUM por parte de la unidad funcional.
Rojo: corresponde a una multa relacionada con la mascota de la unidad funcional.
Naranja: corresponde a una multa por estacionamiento indebido.
Ante cualquier duda o consulta sobre los importes allí detallados, quedamos a disposición.</t>
  </si>
  <si>
    <t>VTO 31/01</t>
  </si>
  <si>
    <t xml:space="preserve">PERÍODO: DICIEMBRE </t>
  </si>
  <si>
    <t>Sueldo intendencia - Maximiliano Abbruzzese - DICIEMBRE</t>
  </si>
  <si>
    <t>Deducciones mes de DICIEMBRE</t>
  </si>
  <si>
    <t>Redondeo mes de DICIEMBRE</t>
  </si>
  <si>
    <t>Grey Brick - Fc. 0000007595 - Certificacion de obra pavimento correspondiente a DICIEMBRE</t>
  </si>
  <si>
    <t>ARCA - Mes de NOVIEMBRE</t>
  </si>
  <si>
    <t>Sindicatos mes de NOVIEMBRE</t>
  </si>
  <si>
    <t>Daniel perfumo</t>
  </si>
  <si>
    <t>Transfirio el 11/12 $774,611.00</t>
  </si>
  <si>
    <t>Marcos Straniese</t>
  </si>
  <si>
    <t>Transfirio el 12/12 $720.000</t>
  </si>
  <si>
    <t>Elina Varoli</t>
  </si>
  <si>
    <t>Transfirio el 12/12 $760.211</t>
  </si>
  <si>
    <t>Medizin Servicios - ProlijoLimp SA - COBRO EXPRESS BUENOS AIRES SA - Patricio Jose Delarrechea Muñoz</t>
  </si>
  <si>
    <t>Cristian Rod</t>
  </si>
  <si>
    <t>Transfirio el 15/12 $781.812</t>
  </si>
  <si>
    <t>Luis Grecco y Karina</t>
  </si>
  <si>
    <t>Transfirio el 16/12 $781.650</t>
  </si>
  <si>
    <t>Transfirio $ 171.400 el 01/12 - Transfirio $158.400 el 17/12 - Deposito $600.000 el 18/12</t>
  </si>
  <si>
    <t>16 32 33 86 158 159 168</t>
  </si>
  <si>
    <t>Jpgiordano</t>
  </si>
  <si>
    <t>Transfirio el 17/12 $5.665.000</t>
  </si>
  <si>
    <t>deposito el 19/12 $740.000</t>
  </si>
  <si>
    <t>deposito el 22/12 $782.000</t>
  </si>
  <si>
    <t>Korin</t>
  </si>
  <si>
    <t>Romina Tropelli</t>
  </si>
  <si>
    <t>deposito el 22/12 $774.500</t>
  </si>
  <si>
    <t>Campello</t>
  </si>
  <si>
    <t>deposito el 24/12 $825.000</t>
  </si>
  <si>
    <t>Santangelo</t>
  </si>
  <si>
    <t>deposito el 26/12 $800.000</t>
  </si>
  <si>
    <t>deposito el 26/12 $847.000</t>
  </si>
  <si>
    <t>Vivi Papa</t>
  </si>
  <si>
    <t>Transfirio el 28/12 $500.000</t>
  </si>
  <si>
    <t>Andrea Juarez Cecilia - Juan Isidoro Manuel Onorato</t>
  </si>
  <si>
    <t>Transfirio el 29/12 $718.000</t>
  </si>
  <si>
    <t>Grey Brick - Fc. 000000945 - Platea - Tabique de ladrillo comun</t>
  </si>
  <si>
    <t>Transf 26/12</t>
  </si>
  <si>
    <t>Cerrajeria Vision - Candado Sekur Hermandados 31MM - CUIT: 23138302539 - Fc. 00007949</t>
  </si>
  <si>
    <t>Papelera Corpa - Embalajes -Ticket nro. 00021246</t>
  </si>
  <si>
    <t>5 Soles - Tciket nro. 00006803 - Caramelos, disfraz de papa noel y barba con gorro</t>
  </si>
  <si>
    <t>Vazquez (Cuit.: 30-55987767-7) - Fc. 00000224 (Prestación servicio de contenedores - NOVIEMBRE + Servicio de descarga)</t>
  </si>
  <si>
    <t>Transf 19/12</t>
  </si>
  <si>
    <t>Edesur (Cuit.: 30-65511652-1) - vto 17/12</t>
  </si>
  <si>
    <t>Zaffalon Hernan - CUIT: 20432565441 - Fc. 0000622 - Instalacion de tanque global de 300lts y cañeria de conexión desde pozo a tanque con calibracion del mismo variador de velocidad en tablero</t>
  </si>
  <si>
    <t>Transf 12/12</t>
  </si>
  <si>
    <t>OMS (Cuit.: 30-71568933-9) - Fc.00002802 - Resto 50% - Limpieza de planta de tratamiento y estacion de bombeo</t>
  </si>
  <si>
    <t>Sa-Se SRL - CUIT: 30717553965 - Fc. 0000450 - Correa para barrera vehicular</t>
  </si>
  <si>
    <t>Pelex S.A - Fc. 000000017 - 5 cuota de 6 etapa 2 - Obra paredon Perimetal</t>
  </si>
  <si>
    <t>Transf 18/12</t>
  </si>
  <si>
    <t>Transf 04/12</t>
  </si>
  <si>
    <t>Recicla Brown- CUIT: 30-71633401-1 - Servicio de recoleccion de residuos solidos urbanos con frecuencia de un retiro a la semana correspondiente al mes de NOVIEMBRE - Fc. 0000000074</t>
  </si>
  <si>
    <t>Armella Cristian - CUIT: 20371419234 - Fc. 00050 - Mantenimiento espacios comunes</t>
  </si>
  <si>
    <t>Palubinskas Fernando Nestor - Bidones de Agua cimes de 20lts - Fc. 00001396</t>
  </si>
  <si>
    <t>Rumbo - CUT: 23181438134 - Fc. 000027071 - Compra de cartuchos, sobre manilla muros, etc</t>
  </si>
  <si>
    <t>Bulon Tools SRL - CUIT: 30715613707  -Fc. 00007081 - Cable de acero 4.0 mm rollo 6x19</t>
  </si>
  <si>
    <t>Transf 09/12</t>
  </si>
  <si>
    <t>Alonso Bado Javier - Alquiler mensual vehiculo electrico abierto con seguro incluido - Mes de DICIEMBRE - Fc. 0001205</t>
  </si>
  <si>
    <t>Servicio Polad - Mes de NOVIEMBRE - Valor de la hora $6.415,59 (720hs en total)</t>
  </si>
  <si>
    <t>Transf 01/12</t>
  </si>
  <si>
    <t>GOLD (Cuit.: 33-71225773-9) - Fc.0000406 (Servicio de Seguridad NOVIEMBRE 2025)</t>
  </si>
  <si>
    <t>Evento 05/11 - UF 97 - 16 a 23hs</t>
  </si>
  <si>
    <t>Evento 08/11 - UF 62 - 16 a 23hs</t>
  </si>
  <si>
    <t>Evento 16/11 - UF 51 - 11 a 18hs</t>
  </si>
  <si>
    <t>Evento 29/11 - UF 19 - 19 a 02hs</t>
  </si>
  <si>
    <t>Matias Krayacich - CUIT: 20228429725 - Fc. 00001249 - Desinstalacion de motor de porton y reinstalacion de motro de backup con adaptacion a base nueva, cambio de placa y configuracion de placa para tiempo de recorrido</t>
  </si>
  <si>
    <t>Transf 11/12</t>
  </si>
  <si>
    <t>Armella Cristian - CUIT: 20371419234 - Fc. 0053 - Fumigacion mes de Diciembre: 28/11. 02/12 y 10/12</t>
  </si>
  <si>
    <t>Zaffalon Hernan - CUIT: 20432565441 - Fc. 0000640 - Variador velocidad weg_500</t>
  </si>
  <si>
    <t>Zaffalon Hernan - CUIT: 20432565441 - Fc. 0000639 - Tanque global water 300lts valvula</t>
  </si>
  <si>
    <t>Zaffalon Hernan - CUIT: 20432565441 - Fc. 0000641 - Cañeria aqua sistem para conexión Pozo bomba / tanque 300</t>
  </si>
  <si>
    <t>Transf 15/12</t>
  </si>
  <si>
    <t>Servicios arquitectura - Srita. Melanie Burgos Oros - Lotes 9 - 16 - 48 - 51 - 56 - 68 - 86 - 146 - 62 - 128</t>
  </si>
  <si>
    <t>Covelia SA - Servicio de recoleccion de residuos domiciliarios correspondientes al mes de NOVIEMBRE  - CUIT: 30707242961 -Fc. 00004465</t>
  </si>
  <si>
    <t>Honorarios arquitectura - Srta. Burgos Oros Johanna Melanie - Fc. 00000094</t>
  </si>
  <si>
    <t>El imperio RYL - Articulos de limpieza - Fc. 0000010489</t>
  </si>
  <si>
    <t>Carrefour - Caja navideña Roja - Ticket nro. 0000287988</t>
  </si>
  <si>
    <t>SVG Sports SRL - Fc. 00019253 - CUIT:30717118339 - 5x Polea multigimnasio 90MM Ruleman Blindado ServiceGym</t>
  </si>
  <si>
    <t>Transfirio el 29/12 $ 954.612.00</t>
  </si>
  <si>
    <t>$705.000 (TRANSFERENCIA 2/12) - Deposito $760.000 29/12</t>
  </si>
  <si>
    <t>Transfirio 29/12 $774.611,00</t>
  </si>
  <si>
    <r>
      <t xml:space="preserve">Deposito </t>
    </r>
    <r>
      <rPr>
        <u/>
        <sz val="11"/>
        <color theme="1"/>
        <rFont val="Calibri"/>
        <family val="2"/>
        <scheme val="minor"/>
      </rPr>
      <t>760.000 el 30/12</t>
    </r>
  </si>
  <si>
    <t>Julieta De Santis</t>
  </si>
  <si>
    <t>Ignacio Escudero</t>
  </si>
  <si>
    <r>
      <t>Deposito $</t>
    </r>
    <r>
      <rPr>
        <u/>
        <sz val="11"/>
        <color theme="1"/>
        <rFont val="Calibri"/>
        <family val="2"/>
        <scheme val="minor"/>
      </rPr>
      <t>751.600 y $2.000 el 30/12 - Ademas, ese mismo dia transfirio $9.935,88</t>
    </r>
  </si>
  <si>
    <r>
      <t>Deposito $</t>
    </r>
    <r>
      <rPr>
        <u/>
        <sz val="11"/>
        <color theme="1"/>
        <rFont val="Calibri"/>
        <family val="2"/>
        <scheme val="minor"/>
      </rPr>
      <t>800.000 el 30/12</t>
    </r>
  </si>
  <si>
    <t>Andrea</t>
  </si>
  <si>
    <t xml:space="preserve">118 - 120 -121 </t>
  </si>
  <si>
    <t>Suzel valiña</t>
  </si>
  <si>
    <r>
      <t>Transf $</t>
    </r>
    <r>
      <rPr>
        <u/>
        <sz val="11"/>
        <color theme="1"/>
        <rFont val="Calibri"/>
        <family val="2"/>
        <scheme val="minor"/>
      </rPr>
      <t>2.388.098 el 30/12</t>
    </r>
  </si>
  <si>
    <t>Deposito el 30/12 $760.200</t>
  </si>
  <si>
    <t>Papelera Corpa - Embalajes -Ticket nro. 00021413</t>
  </si>
  <si>
    <t>Debito 01/12</t>
  </si>
  <si>
    <t>Debito 02/12</t>
  </si>
  <si>
    <t>Transf 02/12</t>
  </si>
  <si>
    <t>Debito 04/12</t>
  </si>
  <si>
    <t>Axin (Cuit.: 30-70858249-9)  - Cuota 49</t>
  </si>
  <si>
    <t>Axin (Cuit.: 30-70858249-9) - Cuota 3 de 3 - Servidor Lenovo - Trabajo aprobado por Sra. Mabel</t>
  </si>
  <si>
    <t>Debito</t>
  </si>
  <si>
    <t>Debito 09/12</t>
  </si>
  <si>
    <t>Debito 12/12</t>
  </si>
  <si>
    <t>ARCA - Deuda ART (Se envia en el drive la liquidacion por cambio de ART)</t>
  </si>
  <si>
    <t>Debito 15/12</t>
  </si>
  <si>
    <t>Gabriel Demetrio Muzyka - Trabajo de herreria - Arreglo de portero entrada de puesto 1</t>
  </si>
  <si>
    <t>Transf 15/12-22/12</t>
  </si>
  <si>
    <t>Lomas Metal - Cepillo pileta - Ticket nro. 000029104</t>
  </si>
  <si>
    <t>SAC</t>
  </si>
  <si>
    <t>Transf 23/12</t>
  </si>
  <si>
    <t xml:space="preserve">Valiente Margio Jose - CUIT: 30716182696 - Fc. 000000201 - Servicio de asesoramiento y asistencia tecnica en materia de seguridad, higiene y medioambiente </t>
  </si>
  <si>
    <t>Transf 30/12</t>
  </si>
  <si>
    <t>Hidraulica Rubber - Tapa Vereda Rejilla y cloro granulado- Ticket 00000518</t>
  </si>
  <si>
    <t>Batista Da Silva Ramon - Fc. 000000065 - CUIT:20218630783 - Colocacion de luces jirafa, cambio de 5 luces viales, empalme de cable quemado tablero cancha de tenis, eliminacion de termica de tension en puesto 2 (Conectada directo al fusbile), aire acondicionado gimnasio; cambio de cables, de compresor y contactor</t>
  </si>
  <si>
    <t>Recicladora Ecopiano SRL - Fc. 00000233 - CUIT: 33717708739 - Compra de baldosas</t>
  </si>
  <si>
    <t>Gabriel Demetrio Muzyka - Trabajo de herreria - Fabricacion y colocacion de puertas y techo en gabinete de tanque de 300lts en puesto 2</t>
  </si>
  <si>
    <t>EN DICIEMBRE A FLOW LO PUSIMOS EN $0 YA QUE NO SE DEBITO</t>
  </si>
  <si>
    <t>Grafica Tauge - CUIT: 20215943454 - Copias de reglamentos para todas las unidades funcionales</t>
  </si>
  <si>
    <t>Grafica Tauge - CUIT: 20215943454 - Impresiones cajas navideñas</t>
  </si>
  <si>
    <t>Transfirio $ 760.211,67 el 01/12 - Hay que quitarle los punitorios ya que tan solo pago el 01/12  (23.468)-  Si abona $922.211,67 queda con deuda en 0</t>
  </si>
  <si>
    <t>Deposito no identificado 01/12</t>
  </si>
  <si>
    <t>Baquiano Malvinas SRL</t>
  </si>
  <si>
    <t>Deposito no identificado 29/12</t>
  </si>
  <si>
    <t>No se transfirio en Diciembre</t>
  </si>
  <si>
    <t>TOTAL AL 04/01/2026</t>
  </si>
  <si>
    <t>Punitorios no imputados lote 67</t>
  </si>
  <si>
    <t xml:space="preserve">Allianz (Cuit.: 30--50003721-7) - Seguro Técnico - Póliza N° 240210705270; </t>
  </si>
  <si>
    <t>Allianz (Cuit.: 30--50003721-7) - Seguro Técnico - Póliza N° 240210705270;</t>
  </si>
  <si>
    <t>OMS EN D1CIEMBRE LO PUSIMO EN $0</t>
  </si>
  <si>
    <t>VAZQUEZ EN D1CIEMBRE LO PUSIMO EN $0</t>
  </si>
  <si>
    <t>Carrefour -Cajas navideñas - Ticket nro. 00174266</t>
  </si>
  <si>
    <t>Abogado Gabriel Villegas - Honorarios Acuerdo Sr. Streger - Fc. 000019 - CUIT: 20206391228</t>
  </si>
  <si>
    <t xml:space="preserve">Zaffalon Hernan - CUIT: 20432565441 - Fc. 0000651 - Compra de cañeria extension de la bomba sumergible verde, materiales </t>
  </si>
  <si>
    <t>Honorarios administracion - Mes de DICIEMBRE Fc. 00000240</t>
  </si>
  <si>
    <t>Sum mal cobrado lote 67</t>
  </si>
  <si>
    <t>ProvenSud - CUIT: 30-70874733-1 - Compra de venenos para plantas (hormigas) y panes de pasto</t>
  </si>
  <si>
    <t>Quita de dinero para conformación de caja chica:
Se deja constancia de la quita de dinero destinada a la conformación de una caja en efectivo, con el fin de que el Intendente pueda gestionar y afrontar gastos operativos durante el período en que la Administración se encuentra de vacaciones.</t>
  </si>
  <si>
    <t>Ingreso</t>
  </si>
  <si>
    <t>ACORDARSE DE LOS $358.370 EN LA SUMA DE LA COLUMNA DE PRORRATEO - NO PUSIMOS EL SUELDO - FLOW ESTABA EN $0 - OMS NO SE ABONO - VAZQUES NO SE ABONO</t>
  </si>
  <si>
    <t>Cheque electronico que fue aceptado por la administración sin embargo el extracto bancario no lo muestra como ingreso - se hablara con el lote correspondiente</t>
  </si>
  <si>
    <t>LAS UNIDADES FUNCIONALES COLOREADAS CON ROSA CORRESPONDEN A UN PLAN DE PAGO VIGENTE</t>
  </si>
  <si>
    <t>Transferencia de Stazzoneli Lorena - 17/12</t>
  </si>
  <si>
    <t>Fondo de reserva (30 Millones):</t>
  </si>
  <si>
    <t>LA UNIDAD FUNCIONAL 92 ACORDO UN PLAN DE PAGO CON LA ADMINISTRACION - EL MISMO CONSTA DE UN ADELANTO DE $2.700.000 Y  TRES CUOTA MENSUALES CONSECUTIVAS DE $850.00 SUMADO A LA OBLIGACION DE MANTENERSE AL DIA CON LAS EXPENSAS EN CURSO</t>
  </si>
  <si>
    <t>Les informamos que, a partir del mes próximo, se implementará un nuevo esquema de dos vencimientos para el pago de las expensas, conforme a lo establecido en el reglamento del barrio.
A partir del mes de febrero:
Primer vencimiento:
Quienes abonen hasta el décimo (10°) día hábil del mes deberán abonar únicamente el importe correspondiente a las expensas del período.
Segundo vencimiento:
Quienes realicen el pago desde el décimo (10°) día hábil y hasta el último día del mes, deberán abonar el importe de las expensas más los punitorios correspondientes, según lo dispuesto en el reglamento vigente.
Agradecemos desde ya su atención y colaboración para el correcto cumplimiento de los plazos establecidos.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</si>
</sst>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 numFmtId="172" formatCode="&quot;$&quot;\ #,##0.0;[Red]\-&quot;$&quot;\ #,##0.0"/>
  </numFmts>
  <fonts count="29"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name val="Calibri"/>
      <family val="2"/>
      <scheme val="minor"/>
    </font>
    <font>
      <b/>
      <sz val="12"/>
      <name val="Calibri"/>
      <family val="2"/>
      <scheme val="minor"/>
    </font>
    <font>
      <b/>
      <sz val="10"/>
      <color theme="0"/>
      <name val="Calibri"/>
      <family val="2"/>
      <scheme val="minor"/>
    </font>
    <font>
      <u/>
      <sz val="11"/>
      <color theme="1"/>
      <name val="Calibri"/>
      <family val="2"/>
      <scheme val="minor"/>
    </font>
    <font>
      <b/>
      <i/>
      <sz val="11"/>
      <color theme="1"/>
      <name val="Calibri"/>
      <family val="2"/>
      <scheme val="minor"/>
    </font>
    <font>
      <b/>
      <i/>
      <u/>
      <sz val="11"/>
      <color theme="1"/>
      <name val="Calibri"/>
      <family val="2"/>
      <scheme val="minor"/>
    </font>
    <font>
      <b/>
      <u/>
      <sz val="11"/>
      <color theme="1"/>
      <name val="Calibri"/>
      <family val="2"/>
      <scheme val="minor"/>
    </font>
  </fonts>
  <fills count="3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rgb="FFFF0000"/>
        <bgColor indexed="64"/>
      </patternFill>
    </fill>
    <fill>
      <patternFill patternType="solid">
        <fgColor rgb="FF000000"/>
        <bgColor indexed="64"/>
      </patternFill>
    </fill>
    <fill>
      <patternFill patternType="solid">
        <fgColor rgb="FF9999FF"/>
        <bgColor indexed="64"/>
      </patternFill>
    </fill>
    <fill>
      <patternFill patternType="solid">
        <fgColor rgb="FFFFFF99"/>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00B050"/>
        <bgColor indexed="64"/>
      </patternFill>
    </fill>
    <fill>
      <patternFill patternType="solid">
        <fgColor theme="5"/>
        <bgColor indexed="64"/>
      </patternFill>
    </fill>
    <fill>
      <patternFill patternType="solid">
        <fgColor rgb="FFFF00FF"/>
        <bgColor indexed="64"/>
      </patternFill>
    </fill>
    <fill>
      <patternFill patternType="solid">
        <fgColor rgb="FFCCFFCC"/>
        <bgColor indexed="64"/>
      </patternFill>
    </fill>
    <fill>
      <patternFill patternType="solid">
        <fgColor theme="2" tint="-0.499984740745262"/>
        <bgColor indexed="64"/>
      </patternFill>
    </fill>
    <fill>
      <patternFill patternType="solid">
        <fgColor theme="8" tint="0.59999389629810485"/>
        <bgColor indexed="64"/>
      </patternFill>
    </fill>
    <fill>
      <patternFill patternType="solid">
        <fgColor rgb="FFFD95DD"/>
        <bgColor indexed="64"/>
      </patternFill>
    </fill>
    <fill>
      <patternFill patternType="solid">
        <fgColor rgb="FF800000"/>
        <bgColor indexed="64"/>
      </patternFill>
    </fill>
    <fill>
      <patternFill patternType="solid">
        <fgColor theme="7" tint="0.59999389629810485"/>
        <bgColor indexed="64"/>
      </patternFill>
    </fill>
    <fill>
      <patternFill patternType="solid">
        <fgColor theme="2" tint="-0.89999084444715716"/>
        <bgColor indexed="64"/>
      </patternFill>
    </fill>
    <fill>
      <patternFill patternType="solid">
        <fgColor rgb="FF00CCFF"/>
        <bgColor indexed="64"/>
      </patternFill>
    </fill>
    <fill>
      <patternFill patternType="solid">
        <fgColor theme="9" tint="-0.249977111117893"/>
        <bgColor indexed="64"/>
      </patternFill>
    </fill>
    <fill>
      <patternFill patternType="solid">
        <fgColor rgb="FFCC9900"/>
        <bgColor indexed="64"/>
      </patternFill>
    </fill>
    <fill>
      <patternFill patternType="solid">
        <fgColor theme="3"/>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0" fontId="21" fillId="0" borderId="0" applyNumberFormat="0" applyFill="0" applyBorder="0" applyAlignment="0" applyProtection="0"/>
    <xf numFmtId="43" fontId="1" fillId="0" borderId="0" applyFont="0" applyFill="0" applyBorder="0" applyAlignment="0" applyProtection="0"/>
  </cellStyleXfs>
  <cellXfs count="437">
    <xf numFmtId="0" fontId="0" fillId="0" borderId="0" xfId="0"/>
    <xf numFmtId="0" fontId="0" fillId="0" borderId="1" xfId="0" applyBorder="1"/>
    <xf numFmtId="0" fontId="0" fillId="3" borderId="0" xfId="0" applyFill="1"/>
    <xf numFmtId="0" fontId="0" fillId="0" borderId="5" xfId="0" applyBorder="1"/>
    <xf numFmtId="8" fontId="0" fillId="0" borderId="0" xfId="0" applyNumberFormat="1"/>
    <xf numFmtId="164" fontId="3" fillId="0" borderId="0" xfId="0" applyNumberFormat="1" applyFont="1"/>
    <xf numFmtId="4" fontId="5" fillId="0" borderId="0" xfId="0" applyNumberFormat="1" applyFont="1"/>
    <xf numFmtId="0" fontId="5" fillId="0" borderId="1" xfId="0" applyFont="1" applyBorder="1" applyAlignment="1">
      <alignment vertical="center" wrapText="1"/>
    </xf>
    <xf numFmtId="0" fontId="10" fillId="4" borderId="1" xfId="0" applyFont="1" applyFill="1" applyBorder="1"/>
    <xf numFmtId="0" fontId="6" fillId="4" borderId="1" xfId="0" applyFont="1" applyFill="1" applyBorder="1"/>
    <xf numFmtId="44" fontId="0" fillId="0" borderId="1" xfId="1" applyFont="1" applyBorder="1"/>
    <xf numFmtId="0" fontId="0" fillId="0" borderId="0" xfId="0" applyAlignment="1">
      <alignment wrapText="1"/>
    </xf>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0" fontId="13" fillId="2" borderId="1" xfId="0" applyFont="1" applyFill="1" applyBorder="1"/>
    <xf numFmtId="0" fontId="13" fillId="0" borderId="1" xfId="0" applyFont="1" applyBorder="1"/>
    <xf numFmtId="44" fontId="9" fillId="4" borderId="1" xfId="1" applyFont="1" applyFill="1" applyBorder="1"/>
    <xf numFmtId="0" fontId="13" fillId="0" borderId="1" xfId="0" applyFont="1" applyBorder="1" applyAlignment="1">
      <alignment horizontal="center"/>
    </xf>
    <xf numFmtId="44" fontId="18" fillId="0" borderId="1" xfId="1" applyFont="1" applyBorder="1"/>
    <xf numFmtId="165" fontId="13" fillId="0" borderId="1" xfId="0" applyNumberFormat="1" applyFont="1" applyBorder="1"/>
    <xf numFmtId="165" fontId="13" fillId="0" borderId="1" xfId="1" applyNumberFormat="1" applyFont="1" applyBorder="1"/>
    <xf numFmtId="0" fontId="13" fillId="9" borderId="21" xfId="0" applyFont="1" applyFill="1" applyBorder="1"/>
    <xf numFmtId="0" fontId="5" fillId="7" borderId="9" xfId="0" applyFont="1" applyFill="1" applyBorder="1"/>
    <xf numFmtId="44" fontId="5" fillId="7" borderId="11" xfId="0" applyNumberFormat="1" applyFont="1" applyFill="1" applyBorder="1"/>
    <xf numFmtId="0" fontId="4" fillId="0" borderId="1" xfId="0" applyFont="1" applyBorder="1"/>
    <xf numFmtId="0" fontId="4" fillId="10" borderId="1" xfId="0" applyFont="1" applyFill="1" applyBorder="1"/>
    <xf numFmtId="44" fontId="19" fillId="4" borderId="3" xfId="1" applyFont="1" applyFill="1" applyBorder="1"/>
    <xf numFmtId="44" fontId="20" fillId="4" borderId="3" xfId="1" applyFont="1" applyFill="1" applyBorder="1"/>
    <xf numFmtId="0" fontId="20" fillId="0" borderId="1" xfId="1" applyNumberFormat="1" applyFont="1" applyBorder="1" applyAlignment="1">
      <alignment horizontal="left"/>
    </xf>
    <xf numFmtId="44" fontId="9" fillId="4" borderId="13" xfId="1" applyFont="1" applyFill="1" applyBorder="1"/>
    <xf numFmtId="44" fontId="20" fillId="2" borderId="1" xfId="1" applyFont="1" applyFill="1" applyBorder="1"/>
    <xf numFmtId="44" fontId="20" fillId="2" borderId="3" xfId="1" applyFont="1" applyFill="1" applyBorder="1"/>
    <xf numFmtId="0" fontId="4" fillId="0" borderId="0" xfId="0" applyFont="1"/>
    <xf numFmtId="44" fontId="8" fillId="6" borderId="0" xfId="0" applyNumberFormat="1" applyFont="1" applyFill="1"/>
    <xf numFmtId="0" fontId="5" fillId="0" borderId="1" xfId="0" applyFont="1" applyBorder="1" applyAlignment="1">
      <alignment horizontal="left" vertical="center" wrapText="1"/>
    </xf>
    <xf numFmtId="166" fontId="18" fillId="2" borderId="1" xfId="1" applyNumberFormat="1" applyFont="1" applyFill="1" applyBorder="1"/>
    <xf numFmtId="0" fontId="0" fillId="2" borderId="0" xfId="0" applyFill="1"/>
    <xf numFmtId="166" fontId="0" fillId="0" borderId="0" xfId="0" applyNumberFormat="1"/>
    <xf numFmtId="167" fontId="0" fillId="0" borderId="0" xfId="0" applyNumberFormat="1"/>
    <xf numFmtId="44" fontId="6" fillId="7" borderId="1" xfId="1" applyFont="1" applyFill="1" applyBorder="1"/>
    <xf numFmtId="43" fontId="0" fillId="0" borderId="0" xfId="0" applyNumberFormat="1"/>
    <xf numFmtId="165" fontId="0" fillId="0" borderId="0" xfId="0" applyNumberFormat="1"/>
    <xf numFmtId="43" fontId="0" fillId="0" borderId="0" xfId="0" applyNumberFormat="1" applyAlignment="1">
      <alignment wrapText="1"/>
    </xf>
    <xf numFmtId="44" fontId="4" fillId="0" borderId="1" xfId="1" applyFont="1" applyBorder="1"/>
    <xf numFmtId="0" fontId="4" fillId="11" borderId="1" xfId="0" applyFont="1" applyFill="1" applyBorder="1"/>
    <xf numFmtId="0" fontId="10" fillId="12" borderId="1" xfId="0" applyFont="1" applyFill="1" applyBorder="1"/>
    <xf numFmtId="0" fontId="5" fillId="7" borderId="25" xfId="0" applyFont="1" applyFill="1" applyBorder="1"/>
    <xf numFmtId="44" fontId="5" fillId="7" borderId="26" xfId="0" applyNumberFormat="1"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4" fillId="13" borderId="12" xfId="0" applyFont="1" applyFill="1" applyBorder="1"/>
    <xf numFmtId="0" fontId="4" fillId="13" borderId="15" xfId="0" applyFont="1" applyFill="1" applyBorder="1"/>
    <xf numFmtId="0" fontId="13" fillId="2" borderId="1" xfId="0" applyFont="1" applyFill="1" applyBorder="1" applyAlignment="1">
      <alignment wrapText="1"/>
    </xf>
    <xf numFmtId="0" fontId="5" fillId="7" borderId="25" xfId="0" applyFont="1" applyFill="1" applyBorder="1" applyAlignment="1">
      <alignment horizontal="left" vertical="center" wrapText="1"/>
    </xf>
    <xf numFmtId="44" fontId="6" fillId="12" borderId="21" xfId="1" applyFont="1" applyFill="1" applyBorder="1"/>
    <xf numFmtId="165" fontId="6" fillId="12" borderId="2" xfId="1" applyNumberFormat="1" applyFont="1" applyFill="1" applyBorder="1"/>
    <xf numFmtId="0" fontId="6" fillId="5" borderId="8" xfId="0" applyFont="1" applyFill="1" applyBorder="1"/>
    <xf numFmtId="0" fontId="20" fillId="0" borderId="1" xfId="0" applyFont="1" applyBorder="1"/>
    <xf numFmtId="0" fontId="4" fillId="14" borderId="12" xfId="0" applyFont="1" applyFill="1" applyBorder="1"/>
    <xf numFmtId="0" fontId="4" fillId="14" borderId="15" xfId="0" applyFont="1" applyFill="1" applyBorder="1"/>
    <xf numFmtId="0" fontId="2" fillId="14" borderId="27" xfId="0" applyFont="1" applyFill="1" applyBorder="1"/>
    <xf numFmtId="0" fontId="2" fillId="14" borderId="24" xfId="0" applyFont="1" applyFill="1" applyBorder="1"/>
    <xf numFmtId="0" fontId="0" fillId="2" borderId="1" xfId="0" applyFill="1" applyBorder="1"/>
    <xf numFmtId="165" fontId="18" fillId="0" borderId="1" xfId="0" applyNumberFormat="1" applyFont="1" applyBorder="1"/>
    <xf numFmtId="165" fontId="18" fillId="2" borderId="1" xfId="0" applyNumberFormat="1" applyFont="1" applyFill="1" applyBorder="1"/>
    <xf numFmtId="0" fontId="7" fillId="0" borderId="0" xfId="0" applyFont="1"/>
    <xf numFmtId="0" fontId="0" fillId="2" borderId="12" xfId="0" applyFill="1" applyBorder="1"/>
    <xf numFmtId="0" fontId="21" fillId="0" borderId="0" xfId="3"/>
    <xf numFmtId="0" fontId="0" fillId="2" borderId="15" xfId="0" applyFill="1" applyBorder="1"/>
    <xf numFmtId="0" fontId="0" fillId="2" borderId="0" xfId="0" applyFill="1" applyAlignment="1">
      <alignment horizontal="center"/>
    </xf>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0" fontId="22" fillId="4" borderId="1" xfId="0" applyFont="1" applyFill="1" applyBorder="1"/>
    <xf numFmtId="44" fontId="2" fillId="15" borderId="15" xfId="1" applyFont="1" applyFill="1" applyBorder="1"/>
    <xf numFmtId="0" fontId="13" fillId="4" borderId="21" xfId="0" applyFont="1" applyFill="1" applyBorder="1"/>
    <xf numFmtId="44" fontId="13" fillId="4" borderId="25" xfId="0" applyNumberFormat="1" applyFont="1" applyFill="1" applyBorder="1"/>
    <xf numFmtId="165" fontId="13" fillId="4" borderId="31" xfId="0" applyNumberFormat="1" applyFont="1" applyFill="1" applyBorder="1"/>
    <xf numFmtId="165" fontId="13" fillId="4" borderId="26" xfId="0" applyNumberFormat="1" applyFont="1" applyFill="1" applyBorder="1"/>
    <xf numFmtId="165" fontId="13" fillId="4" borderId="21" xfId="0" applyNumberFormat="1" applyFont="1" applyFill="1" applyBorder="1"/>
    <xf numFmtId="44" fontId="13" fillId="4" borderId="21" xfId="0" applyNumberFormat="1" applyFont="1" applyFill="1" applyBorder="1"/>
    <xf numFmtId="44" fontId="13" fillId="0" borderId="1" xfId="1" applyFont="1" applyBorder="1"/>
    <xf numFmtId="0" fontId="13" fillId="4" borderId="26" xfId="0" applyFont="1" applyFill="1" applyBorder="1"/>
    <xf numFmtId="165" fontId="13" fillId="2" borderId="1" xfId="1" applyNumberFormat="1" applyFont="1" applyFill="1" applyBorder="1"/>
    <xf numFmtId="165" fontId="13" fillId="4" borderId="21" xfId="0" applyNumberFormat="1" applyFont="1" applyFill="1" applyBorder="1" applyAlignment="1">
      <alignment horizontal="left"/>
    </xf>
    <xf numFmtId="0" fontId="2" fillId="0" borderId="1" xfId="0" applyFont="1" applyBorder="1"/>
    <xf numFmtId="44" fontId="2" fillId="0" borderId="1" xfId="1" applyFont="1" applyBorder="1"/>
    <xf numFmtId="1" fontId="13" fillId="4" borderId="21" xfId="0" applyNumberFormat="1" applyFont="1" applyFill="1" applyBorder="1" applyAlignment="1">
      <alignment horizontal="center"/>
    </xf>
    <xf numFmtId="0" fontId="2" fillId="16" borderId="1" xfId="0" applyFont="1" applyFill="1" applyBorder="1"/>
    <xf numFmtId="44" fontId="2" fillId="16" borderId="1" xfId="1" applyFont="1" applyFill="1" applyBorder="1"/>
    <xf numFmtId="170" fontId="0" fillId="0" borderId="0" xfId="0" applyNumberFormat="1"/>
    <xf numFmtId="0" fontId="13" fillId="2" borderId="1" xfId="0" applyFont="1" applyFill="1" applyBorder="1" applyAlignment="1">
      <alignment horizontal="center"/>
    </xf>
    <xf numFmtId="165" fontId="13" fillId="2" borderId="1" xfId="0" applyNumberFormat="1" applyFont="1" applyFill="1" applyBorder="1"/>
    <xf numFmtId="44" fontId="0" fillId="2" borderId="0" xfId="0" applyNumberFormat="1" applyFill="1"/>
    <xf numFmtId="171" fontId="0" fillId="0" borderId="0" xfId="0" applyNumberFormat="1"/>
    <xf numFmtId="44" fontId="20" fillId="2" borderId="1" xfId="1" applyFont="1" applyFill="1" applyBorder="1" applyAlignment="1">
      <alignment wrapText="1"/>
    </xf>
    <xf numFmtId="0" fontId="20" fillId="2" borderId="1" xfId="1" applyNumberFormat="1" applyFont="1" applyFill="1" applyBorder="1" applyAlignment="1"/>
    <xf numFmtId="44" fontId="20" fillId="0" borderId="1" xfId="1" applyFont="1" applyBorder="1" applyAlignment="1"/>
    <xf numFmtId="44" fontId="20" fillId="0" borderId="3" xfId="1" applyFont="1" applyBorder="1" applyAlignment="1"/>
    <xf numFmtId="165" fontId="18" fillId="2" borderId="1" xfId="1" applyNumberFormat="1" applyFont="1" applyFill="1" applyBorder="1"/>
    <xf numFmtId="165" fontId="18" fillId="0" borderId="1" xfId="1" applyNumberFormat="1" applyFont="1" applyBorder="1"/>
    <xf numFmtId="0" fontId="6" fillId="10" borderId="1" xfId="0" applyFont="1" applyFill="1" applyBorder="1"/>
    <xf numFmtId="0" fontId="21" fillId="2" borderId="0" xfId="3" applyFill="1" applyAlignment="1">
      <alignment horizontal="center"/>
    </xf>
    <xf numFmtId="0" fontId="2" fillId="14" borderId="1" xfId="0" applyFont="1" applyFill="1" applyBorder="1"/>
    <xf numFmtId="166" fontId="6" fillId="12" borderId="21" xfId="1" applyNumberFormat="1" applyFont="1" applyFill="1" applyBorder="1"/>
    <xf numFmtId="172" fontId="6" fillId="12" borderId="21" xfId="1" applyNumberFormat="1" applyFont="1" applyFill="1" applyBorder="1"/>
    <xf numFmtId="166" fontId="6" fillId="11" borderId="1" xfId="1" applyNumberFormat="1" applyFont="1" applyFill="1" applyBorder="1"/>
    <xf numFmtId="165" fontId="6" fillId="13" borderId="11" xfId="1" applyNumberFormat="1" applyFont="1" applyFill="1" applyBorder="1"/>
    <xf numFmtId="166" fontId="6" fillId="12" borderId="19" xfId="1" applyNumberFormat="1" applyFont="1" applyFill="1" applyBorder="1"/>
    <xf numFmtId="44" fontId="20" fillId="2" borderId="3" xfId="1" applyFont="1" applyFill="1" applyBorder="1" applyAlignment="1"/>
    <xf numFmtId="0" fontId="0" fillId="14" borderId="1" xfId="0" applyFill="1" applyBorder="1"/>
    <xf numFmtId="44" fontId="2" fillId="14" borderId="1" xfId="1" applyFont="1" applyFill="1" applyBorder="1"/>
    <xf numFmtId="168" fontId="0" fillId="0" borderId="0" xfId="0" applyNumberFormat="1"/>
    <xf numFmtId="43" fontId="18" fillId="2" borderId="1" xfId="1" applyNumberFormat="1" applyFont="1" applyFill="1" applyBorder="1"/>
    <xf numFmtId="43" fontId="18" fillId="2" borderId="1" xfId="4" applyFont="1" applyFill="1" applyBorder="1"/>
    <xf numFmtId="43" fontId="18" fillId="0" borderId="1" xfId="1" applyNumberFormat="1" applyFont="1" applyBorder="1"/>
    <xf numFmtId="0" fontId="0" fillId="2" borderId="1" xfId="0" applyFill="1" applyBorder="1" applyAlignment="1">
      <alignment horizontal="left" vertical="center" wrapText="1"/>
    </xf>
    <xf numFmtId="0" fontId="6" fillId="0" borderId="0" xfId="0" applyFont="1"/>
    <xf numFmtId="0" fontId="6" fillId="5" borderId="14" xfId="0" applyFont="1" applyFill="1" applyBorder="1"/>
    <xf numFmtId="0" fontId="6" fillId="5" borderId="12" xfId="0" applyFont="1" applyFill="1" applyBorder="1"/>
    <xf numFmtId="10" fontId="6" fillId="5" borderId="12" xfId="0" applyNumberFormat="1" applyFont="1" applyFill="1" applyBorder="1"/>
    <xf numFmtId="0" fontId="4" fillId="5" borderId="12" xfId="0" applyFont="1" applyFill="1" applyBorder="1"/>
    <xf numFmtId="0" fontId="4" fillId="5" borderId="15" xfId="0" applyFont="1" applyFill="1" applyBorder="1"/>
    <xf numFmtId="0" fontId="17" fillId="10" borderId="1" xfId="0" applyFont="1" applyFill="1" applyBorder="1"/>
    <xf numFmtId="0" fontId="6" fillId="12" borderId="1" xfId="0" applyFont="1" applyFill="1" applyBorder="1"/>
    <xf numFmtId="0" fontId="4" fillId="0" borderId="1" xfId="0" applyFont="1" applyBorder="1" applyAlignment="1">
      <alignment vertical="center" wrapText="1"/>
    </xf>
    <xf numFmtId="0" fontId="4" fillId="2" borderId="1" xfId="0" applyFont="1" applyFill="1" applyBorder="1"/>
    <xf numFmtId="0" fontId="4" fillId="4" borderId="1" xfId="0" applyFont="1" applyFill="1" applyBorder="1"/>
    <xf numFmtId="0" fontId="4" fillId="12" borderId="1" xfId="0" applyFont="1" applyFill="1" applyBorder="1"/>
    <xf numFmtId="0" fontId="4" fillId="0" borderId="7" xfId="0" applyFont="1" applyBorder="1" applyAlignment="1">
      <alignment wrapText="1"/>
    </xf>
    <xf numFmtId="16" fontId="20" fillId="0" borderId="1" xfId="0" applyNumberFormat="1" applyFont="1" applyBorder="1"/>
    <xf numFmtId="0" fontId="6" fillId="4" borderId="1" xfId="0" applyFont="1" applyFill="1" applyBorder="1" applyAlignment="1">
      <alignment wrapText="1"/>
    </xf>
    <xf numFmtId="0" fontId="6" fillId="12" borderId="3" xfId="0" applyFont="1" applyFill="1" applyBorder="1"/>
    <xf numFmtId="0" fontId="6" fillId="12" borderId="4" xfId="0" applyFont="1" applyFill="1" applyBorder="1"/>
    <xf numFmtId="0" fontId="6" fillId="5" borderId="25" xfId="0" applyFont="1" applyFill="1" applyBorder="1"/>
    <xf numFmtId="10" fontId="6" fillId="5" borderId="8" xfId="0" applyNumberFormat="1" applyFont="1" applyFill="1" applyBorder="1"/>
    <xf numFmtId="0" fontId="6" fillId="11" borderId="1" xfId="0" applyFont="1" applyFill="1" applyBorder="1"/>
    <xf numFmtId="0" fontId="6" fillId="13" borderId="14" xfId="0" applyFont="1" applyFill="1" applyBorder="1"/>
    <xf numFmtId="0" fontId="6" fillId="13" borderId="12" xfId="0" applyFont="1" applyFill="1" applyBorder="1"/>
    <xf numFmtId="10" fontId="6" fillId="13" borderId="12" xfId="0" applyNumberFormat="1" applyFont="1" applyFill="1" applyBorder="1"/>
    <xf numFmtId="0" fontId="6" fillId="13" borderId="9" xfId="0" applyFont="1" applyFill="1" applyBorder="1"/>
    <xf numFmtId="0" fontId="4" fillId="13" borderId="10" xfId="0" applyFont="1" applyFill="1" applyBorder="1"/>
    <xf numFmtId="44" fontId="4" fillId="13" borderId="10" xfId="1" applyFont="1" applyFill="1" applyBorder="1"/>
    <xf numFmtId="0" fontId="6" fillId="13" borderId="27" xfId="0" applyFont="1" applyFill="1" applyBorder="1"/>
    <xf numFmtId="0" fontId="6" fillId="13" borderId="24" xfId="0" applyFont="1" applyFill="1" applyBorder="1"/>
    <xf numFmtId="165" fontId="6" fillId="13" borderId="28" xfId="0" applyNumberFormat="1" applyFont="1" applyFill="1" applyBorder="1"/>
    <xf numFmtId="0" fontId="6" fillId="14" borderId="14" xfId="0" applyFont="1" applyFill="1" applyBorder="1"/>
    <xf numFmtId="0" fontId="6" fillId="14" borderId="12" xfId="0" applyFont="1" applyFill="1" applyBorder="1"/>
    <xf numFmtId="10" fontId="6" fillId="14" borderId="12" xfId="0" applyNumberFormat="1" applyFont="1" applyFill="1" applyBorder="1"/>
    <xf numFmtId="44" fontId="5" fillId="6" borderId="3" xfId="1" applyFont="1" applyFill="1" applyBorder="1"/>
    <xf numFmtId="0" fontId="8" fillId="15" borderId="14" xfId="0" applyFont="1" applyFill="1" applyBorder="1"/>
    <xf numFmtId="0" fontId="8" fillId="15" borderId="25" xfId="0" applyFont="1" applyFill="1" applyBorder="1"/>
    <xf numFmtId="0" fontId="2" fillId="0" borderId="0" xfId="0" applyFont="1"/>
    <xf numFmtId="44" fontId="2" fillId="0" borderId="0" xfId="1" applyFont="1"/>
    <xf numFmtId="0" fontId="0" fillId="0" borderId="32" xfId="0" applyBorder="1"/>
    <xf numFmtId="44" fontId="0" fillId="0" borderId="33" xfId="1" applyFont="1" applyBorder="1"/>
    <xf numFmtId="0" fontId="0" fillId="0" borderId="36" xfId="0" applyBorder="1"/>
    <xf numFmtId="0" fontId="2" fillId="20" borderId="13" xfId="0" applyFont="1" applyFill="1" applyBorder="1"/>
    <xf numFmtId="44" fontId="0" fillId="0" borderId="37" xfId="1" applyFont="1" applyBorder="1"/>
    <xf numFmtId="44" fontId="2" fillId="20" borderId="13" xfId="1" applyFont="1" applyFill="1" applyBorder="1"/>
    <xf numFmtId="0" fontId="24" fillId="6" borderId="0" xfId="0" applyFont="1" applyFill="1"/>
    <xf numFmtId="0" fontId="5" fillId="7" borderId="1" xfId="0" applyFont="1" applyFill="1" applyBorder="1"/>
    <xf numFmtId="0" fontId="3" fillId="0" borderId="0" xfId="0" applyFont="1"/>
    <xf numFmtId="0" fontId="5" fillId="0" borderId="1" xfId="0" applyFont="1" applyBorder="1" applyAlignment="1">
      <alignment horizontal="left" vertical="center"/>
    </xf>
    <xf numFmtId="44" fontId="0" fillId="2" borderId="1" xfId="1" applyFont="1" applyFill="1" applyBorder="1"/>
    <xf numFmtId="44" fontId="4" fillId="14" borderId="1" xfId="1" applyFont="1" applyFill="1" applyBorder="1"/>
    <xf numFmtId="0" fontId="0" fillId="2" borderId="16" xfId="0" applyFill="1" applyBorder="1"/>
    <xf numFmtId="0" fontId="4" fillId="2" borderId="7" xfId="0" applyFont="1" applyFill="1" applyBorder="1" applyAlignment="1">
      <alignment horizontal="left" vertical="center" wrapText="1"/>
    </xf>
    <xf numFmtId="0" fontId="4" fillId="2" borderId="6" xfId="0" applyFont="1" applyFill="1" applyBorder="1" applyAlignment="1">
      <alignment horizontal="left" vertical="center"/>
    </xf>
    <xf numFmtId="166" fontId="6" fillId="12" borderId="2" xfId="1" applyNumberFormat="1" applyFont="1" applyFill="1" applyBorder="1"/>
    <xf numFmtId="44" fontId="20" fillId="0" borderId="3" xfId="1" applyFont="1" applyBorder="1" applyAlignment="1">
      <alignment vertical="center" wrapText="1"/>
    </xf>
    <xf numFmtId="44" fontId="2" fillId="14" borderId="28" xfId="0" applyNumberFormat="1" applyFont="1" applyFill="1" applyBorder="1" applyAlignment="1">
      <alignment vertical="center"/>
    </xf>
    <xf numFmtId="0" fontId="2" fillId="14" borderId="9" xfId="0" applyFont="1" applyFill="1" applyBorder="1" applyAlignment="1">
      <alignment vertical="center"/>
    </xf>
    <xf numFmtId="168" fontId="4" fillId="2" borderId="1" xfId="1" applyNumberFormat="1" applyFont="1" applyFill="1" applyBorder="1"/>
    <xf numFmtId="166" fontId="0" fillId="2" borderId="0" xfId="0" applyNumberFormat="1" applyFill="1"/>
    <xf numFmtId="167" fontId="0" fillId="2" borderId="0" xfId="0" applyNumberFormat="1" applyFill="1"/>
    <xf numFmtId="44" fontId="2" fillId="21" borderId="13" xfId="1" applyFont="1" applyFill="1" applyBorder="1"/>
    <xf numFmtId="0" fontId="6" fillId="21" borderId="13" xfId="0" applyFont="1" applyFill="1" applyBorder="1" applyAlignment="1">
      <alignment horizontal="left" vertical="center" wrapText="1"/>
    </xf>
    <xf numFmtId="166" fontId="6" fillId="5" borderId="26" xfId="0" applyNumberFormat="1" applyFont="1" applyFill="1" applyBorder="1"/>
    <xf numFmtId="0" fontId="0" fillId="8" borderId="14" xfId="0" applyFill="1" applyBorder="1"/>
    <xf numFmtId="0" fontId="0" fillId="8" borderId="12" xfId="0" applyFill="1" applyBorder="1"/>
    <xf numFmtId="0" fontId="0" fillId="8" borderId="16" xfId="0" applyFill="1" applyBorder="1"/>
    <xf numFmtId="0" fontId="0" fillId="8" borderId="0" xfId="0" applyFill="1"/>
    <xf numFmtId="16" fontId="0" fillId="8" borderId="0" xfId="0" applyNumberFormat="1" applyFill="1"/>
    <xf numFmtId="0" fontId="0" fillId="22" borderId="14" xfId="0" applyFill="1" applyBorder="1"/>
    <xf numFmtId="0" fontId="0" fillId="22" borderId="12" xfId="0" applyFill="1" applyBorder="1"/>
    <xf numFmtId="0" fontId="0" fillId="22" borderId="16" xfId="0" applyFill="1" applyBorder="1"/>
    <xf numFmtId="0" fontId="0" fillId="22" borderId="0" xfId="0" applyFill="1"/>
    <xf numFmtId="16" fontId="0" fillId="22" borderId="0" xfId="0" applyNumberFormat="1" applyFill="1"/>
    <xf numFmtId="0" fontId="0" fillId="23" borderId="14" xfId="0" applyFill="1" applyBorder="1"/>
    <xf numFmtId="0" fontId="0" fillId="23" borderId="12" xfId="0" applyFill="1" applyBorder="1"/>
    <xf numFmtId="0" fontId="0" fillId="23" borderId="16" xfId="0" applyFill="1" applyBorder="1"/>
    <xf numFmtId="0" fontId="0" fillId="23" borderId="0" xfId="0" applyFill="1"/>
    <xf numFmtId="16" fontId="0" fillId="23" borderId="0" xfId="0" applyNumberFormat="1" applyFill="1"/>
    <xf numFmtId="0" fontId="0" fillId="17" borderId="14" xfId="0" applyFill="1" applyBorder="1"/>
    <xf numFmtId="0" fontId="0" fillId="17" borderId="12" xfId="0" applyFill="1" applyBorder="1"/>
    <xf numFmtId="0" fontId="0" fillId="17" borderId="16" xfId="0" applyFill="1" applyBorder="1"/>
    <xf numFmtId="0" fontId="0" fillId="17" borderId="0" xfId="0" applyFill="1"/>
    <xf numFmtId="16" fontId="0" fillId="17" borderId="0" xfId="0" applyNumberFormat="1" applyFill="1"/>
    <xf numFmtId="0" fontId="0" fillId="24" borderId="14" xfId="0" applyFill="1" applyBorder="1"/>
    <xf numFmtId="0" fontId="0" fillId="24" borderId="12" xfId="0" applyFill="1" applyBorder="1"/>
    <xf numFmtId="0" fontId="0" fillId="24" borderId="16" xfId="0" applyFill="1" applyBorder="1"/>
    <xf numFmtId="0" fontId="0" fillId="24" borderId="0" xfId="0" applyFill="1"/>
    <xf numFmtId="16" fontId="0" fillId="24" borderId="0" xfId="0" applyNumberFormat="1" applyFill="1"/>
    <xf numFmtId="0" fontId="0" fillId="20" borderId="14" xfId="0" applyFill="1" applyBorder="1"/>
    <xf numFmtId="0" fontId="0" fillId="20" borderId="12" xfId="0" applyFill="1" applyBorder="1"/>
    <xf numFmtId="0" fontId="0" fillId="20" borderId="16" xfId="0" applyFill="1" applyBorder="1"/>
    <xf numFmtId="0" fontId="0" fillId="20" borderId="0" xfId="0" applyFill="1"/>
    <xf numFmtId="16" fontId="0" fillId="20" borderId="0" xfId="0" applyNumberFormat="1" applyFill="1"/>
    <xf numFmtId="0" fontId="0" fillId="25" borderId="14" xfId="0" applyFill="1" applyBorder="1"/>
    <xf numFmtId="0" fontId="0" fillId="25" borderId="12" xfId="0" applyFill="1" applyBorder="1"/>
    <xf numFmtId="0" fontId="0" fillId="25" borderId="16" xfId="0" applyFill="1" applyBorder="1"/>
    <xf numFmtId="0" fontId="0" fillId="25" borderId="0" xfId="0" applyFill="1"/>
    <xf numFmtId="16" fontId="0" fillId="25" borderId="0" xfId="0" applyNumberFormat="1" applyFill="1"/>
    <xf numFmtId="0" fontId="0" fillId="9" borderId="14" xfId="0" applyFill="1" applyBorder="1"/>
    <xf numFmtId="0" fontId="0" fillId="9" borderId="12" xfId="0" applyFill="1" applyBorder="1"/>
    <xf numFmtId="0" fontId="0" fillId="9" borderId="16" xfId="0" applyFill="1" applyBorder="1"/>
    <xf numFmtId="0" fontId="0" fillId="9" borderId="0" xfId="0" applyFill="1"/>
    <xf numFmtId="16" fontId="0" fillId="9" borderId="0" xfId="0" applyNumberFormat="1" applyFill="1"/>
    <xf numFmtId="0" fontId="0" fillId="18" borderId="14" xfId="0" applyFill="1" applyBorder="1"/>
    <xf numFmtId="0" fontId="0" fillId="18" borderId="12" xfId="0" applyFill="1" applyBorder="1"/>
    <xf numFmtId="0" fontId="0" fillId="18" borderId="16" xfId="0" applyFill="1" applyBorder="1"/>
    <xf numFmtId="0" fontId="0" fillId="18" borderId="0" xfId="0" applyFill="1"/>
    <xf numFmtId="16" fontId="0" fillId="18" borderId="0" xfId="0" applyNumberFormat="1" applyFill="1"/>
    <xf numFmtId="0" fontId="0" fillId="26" borderId="14" xfId="0" applyFill="1" applyBorder="1"/>
    <xf numFmtId="0" fontId="0" fillId="26" borderId="12" xfId="0" applyFill="1" applyBorder="1"/>
    <xf numFmtId="0" fontId="0" fillId="26" borderId="16" xfId="0" applyFill="1" applyBorder="1"/>
    <xf numFmtId="0" fontId="0" fillId="26" borderId="0" xfId="0" applyFill="1"/>
    <xf numFmtId="16" fontId="0" fillId="26" borderId="0" xfId="0" applyNumberFormat="1" applyFill="1"/>
    <xf numFmtId="0" fontId="0" fillId="19" borderId="14" xfId="0" applyFill="1" applyBorder="1"/>
    <xf numFmtId="0" fontId="0" fillId="19" borderId="12" xfId="0" applyFill="1" applyBorder="1"/>
    <xf numFmtId="0" fontId="0" fillId="19" borderId="16" xfId="0" applyFill="1" applyBorder="1"/>
    <xf numFmtId="0" fontId="0" fillId="19" borderId="0" xfId="0" applyFill="1"/>
    <xf numFmtId="16" fontId="0" fillId="19" borderId="0" xfId="0" applyNumberFormat="1" applyFill="1"/>
    <xf numFmtId="0" fontId="0" fillId="14" borderId="14" xfId="0" applyFill="1" applyBorder="1"/>
    <xf numFmtId="0" fontId="0" fillId="14" borderId="12" xfId="0" applyFill="1" applyBorder="1"/>
    <xf numFmtId="0" fontId="0" fillId="14" borderId="16" xfId="0" applyFill="1" applyBorder="1"/>
    <xf numFmtId="0" fontId="0" fillId="14" borderId="0" xfId="0" applyFill="1"/>
    <xf numFmtId="16" fontId="0" fillId="14" borderId="0" xfId="0" applyNumberFormat="1" applyFill="1"/>
    <xf numFmtId="0" fontId="0" fillId="27" borderId="14" xfId="0" applyFill="1" applyBorder="1"/>
    <xf numFmtId="0" fontId="0" fillId="27" borderId="12" xfId="0" applyFill="1" applyBorder="1"/>
    <xf numFmtId="0" fontId="0" fillId="27" borderId="16" xfId="0" applyFill="1" applyBorder="1"/>
    <xf numFmtId="0" fontId="0" fillId="27" borderId="0" xfId="0" applyFill="1"/>
    <xf numFmtId="16" fontId="0" fillId="27" borderId="0" xfId="0" applyNumberFormat="1" applyFill="1"/>
    <xf numFmtId="0" fontId="0" fillId="28" borderId="14" xfId="0" applyFill="1" applyBorder="1"/>
    <xf numFmtId="0" fontId="0" fillId="28" borderId="12" xfId="0" applyFill="1" applyBorder="1"/>
    <xf numFmtId="0" fontId="0" fillId="28" borderId="16" xfId="0" applyFill="1" applyBorder="1"/>
    <xf numFmtId="0" fontId="0" fillId="28" borderId="0" xfId="0" applyFill="1"/>
    <xf numFmtId="16" fontId="0" fillId="28" borderId="0" xfId="0" applyNumberFormat="1" applyFill="1"/>
    <xf numFmtId="0" fontId="0" fillId="29" borderId="14" xfId="0" applyFill="1" applyBorder="1"/>
    <xf numFmtId="0" fontId="0" fillId="29" borderId="12" xfId="0" applyFill="1" applyBorder="1"/>
    <xf numFmtId="0" fontId="0" fillId="29" borderId="16" xfId="0" applyFill="1" applyBorder="1"/>
    <xf numFmtId="0" fontId="0" fillId="29" borderId="0" xfId="0" applyFill="1"/>
    <xf numFmtId="16" fontId="0" fillId="29" borderId="0" xfId="0" applyNumberFormat="1" applyFill="1"/>
    <xf numFmtId="0" fontId="0" fillId="30" borderId="14" xfId="0" applyFill="1" applyBorder="1"/>
    <xf numFmtId="0" fontId="0" fillId="30" borderId="12" xfId="0" applyFill="1" applyBorder="1"/>
    <xf numFmtId="0" fontId="0" fillId="30" borderId="16" xfId="0" applyFill="1" applyBorder="1"/>
    <xf numFmtId="0" fontId="0" fillId="30" borderId="0" xfId="0" applyFill="1"/>
    <xf numFmtId="16" fontId="0" fillId="30" borderId="0" xfId="0" applyNumberFormat="1" applyFill="1"/>
    <xf numFmtId="0" fontId="0" fillId="31" borderId="14" xfId="0" applyFill="1" applyBorder="1"/>
    <xf numFmtId="0" fontId="0" fillId="31" borderId="12" xfId="0" applyFill="1" applyBorder="1"/>
    <xf numFmtId="0" fontId="0" fillId="31" borderId="16" xfId="0" applyFill="1" applyBorder="1"/>
    <xf numFmtId="0" fontId="0" fillId="31" borderId="0" xfId="0" applyFill="1"/>
    <xf numFmtId="16" fontId="0" fillId="31" borderId="0" xfId="0" applyNumberFormat="1" applyFill="1"/>
    <xf numFmtId="0" fontId="0" fillId="32" borderId="14" xfId="0" applyFill="1" applyBorder="1"/>
    <xf numFmtId="0" fontId="0" fillId="32" borderId="12" xfId="0" applyFill="1" applyBorder="1"/>
    <xf numFmtId="0" fontId="0" fillId="32" borderId="16" xfId="0" applyFill="1" applyBorder="1"/>
    <xf numFmtId="0" fontId="0" fillId="32" borderId="0" xfId="0" applyFill="1"/>
    <xf numFmtId="16" fontId="0" fillId="32" borderId="0" xfId="0" applyNumberFormat="1" applyFill="1"/>
    <xf numFmtId="0" fontId="0" fillId="33" borderId="14" xfId="0" applyFill="1" applyBorder="1"/>
    <xf numFmtId="0" fontId="0" fillId="33" borderId="12" xfId="0" applyFill="1" applyBorder="1"/>
    <xf numFmtId="0" fontId="0" fillId="33" borderId="16" xfId="0" applyFill="1" applyBorder="1"/>
    <xf numFmtId="0" fontId="0" fillId="33" borderId="0" xfId="0" applyFill="1"/>
    <xf numFmtId="16" fontId="0" fillId="33" borderId="0" xfId="0" applyNumberFormat="1" applyFill="1"/>
    <xf numFmtId="0" fontId="0" fillId="34" borderId="14" xfId="0" applyFill="1" applyBorder="1"/>
    <xf numFmtId="0" fontId="0" fillId="34" borderId="12" xfId="0" applyFill="1" applyBorder="1"/>
    <xf numFmtId="0" fontId="0" fillId="34" borderId="16" xfId="0" applyFill="1" applyBorder="1"/>
    <xf numFmtId="0" fontId="0" fillId="34" borderId="0" xfId="0" applyFill="1"/>
    <xf numFmtId="16" fontId="0" fillId="34" borderId="0" xfId="0" applyNumberFormat="1" applyFill="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16" fontId="0" fillId="12" borderId="0" xfId="0" applyNumberFormat="1" applyFill="1"/>
    <xf numFmtId="0" fontId="0" fillId="35" borderId="14" xfId="0" applyFill="1" applyBorder="1"/>
    <xf numFmtId="0" fontId="0" fillId="35" borderId="12" xfId="0" applyFill="1" applyBorder="1"/>
    <xf numFmtId="0" fontId="0" fillId="35" borderId="16" xfId="0" applyFill="1" applyBorder="1"/>
    <xf numFmtId="0" fontId="0" fillId="35" borderId="0" xfId="0" applyFill="1"/>
    <xf numFmtId="16" fontId="0" fillId="35" borderId="0" xfId="0" applyNumberFormat="1" applyFill="1"/>
    <xf numFmtId="0" fontId="0" fillId="36" borderId="14" xfId="0" applyFill="1" applyBorder="1"/>
    <xf numFmtId="0" fontId="0" fillId="36" borderId="12" xfId="0" applyFill="1" applyBorder="1"/>
    <xf numFmtId="0" fontId="0" fillId="36" borderId="16" xfId="0" applyFill="1" applyBorder="1"/>
    <xf numFmtId="0" fontId="0" fillId="36" borderId="0" xfId="0" applyFill="1"/>
    <xf numFmtId="16" fontId="0" fillId="36" borderId="0" xfId="0" applyNumberFormat="1" applyFill="1"/>
    <xf numFmtId="169" fontId="23" fillId="3" borderId="8" xfId="0" applyNumberFormat="1" applyFont="1" applyFill="1" applyBorder="1" applyAlignment="1">
      <alignment horizontal="center"/>
    </xf>
    <xf numFmtId="169" fontId="23" fillId="3" borderId="0" xfId="0" applyNumberFormat="1" applyFont="1" applyFill="1"/>
    <xf numFmtId="169" fontId="23" fillId="3" borderId="8" xfId="0" applyNumberFormat="1" applyFont="1" applyFill="1" applyBorder="1" applyAlignment="1">
      <alignment horizontal="left"/>
    </xf>
    <xf numFmtId="44" fontId="20" fillId="2" borderId="3" xfId="1" applyFont="1" applyFill="1" applyBorder="1" applyAlignment="1">
      <alignment wrapText="1"/>
    </xf>
    <xf numFmtId="8" fontId="0" fillId="2" borderId="0" xfId="0" applyNumberFormat="1" applyFill="1"/>
    <xf numFmtId="0" fontId="7" fillId="8" borderId="0" xfId="0" applyFont="1" applyFill="1"/>
    <xf numFmtId="0" fontId="18" fillId="2" borderId="1" xfId="0" applyFont="1" applyFill="1" applyBorder="1"/>
    <xf numFmtId="8" fontId="4" fillId="0" borderId="1" xfId="0" applyNumberFormat="1" applyFont="1" applyBorder="1"/>
    <xf numFmtId="8" fontId="8" fillId="15" borderId="26" xfId="1" applyNumberFormat="1" applyFont="1" applyFill="1" applyBorder="1"/>
    <xf numFmtId="0" fontId="9" fillId="2" borderId="0" xfId="0" applyFont="1" applyFill="1" applyAlignment="1">
      <alignment vertical="center"/>
    </xf>
    <xf numFmtId="44" fontId="6" fillId="2" borderId="1" xfId="1" applyFont="1" applyFill="1" applyBorder="1" applyAlignment="1">
      <alignment vertical="center"/>
    </xf>
    <xf numFmtId="4" fontId="0" fillId="0" borderId="0" xfId="0" applyNumberFormat="1" applyAlignment="1">
      <alignment vertical="center"/>
    </xf>
    <xf numFmtId="0" fontId="0" fillId="0" borderId="0" xfId="0" applyAlignment="1">
      <alignment vertical="center"/>
    </xf>
    <xf numFmtId="44" fontId="0" fillId="0" borderId="0" xfId="0" applyNumberFormat="1" applyAlignment="1">
      <alignment vertical="center"/>
    </xf>
    <xf numFmtId="0" fontId="5" fillId="0" borderId="1" xfId="0" applyFont="1" applyBorder="1" applyAlignment="1">
      <alignment vertical="center"/>
    </xf>
    <xf numFmtId="44" fontId="3" fillId="2" borderId="1" xfId="1" applyFont="1" applyFill="1" applyBorder="1" applyAlignment="1">
      <alignment vertical="center"/>
    </xf>
    <xf numFmtId="164" fontId="3" fillId="0" borderId="0" xfId="0" applyNumberFormat="1" applyFont="1" applyAlignment="1">
      <alignment vertical="center"/>
    </xf>
    <xf numFmtId="44" fontId="20" fillId="2" borderId="1" xfId="1" applyFont="1" applyFill="1" applyBorder="1" applyAlignment="1">
      <alignment vertical="center"/>
    </xf>
    <xf numFmtId="44" fontId="12" fillId="2" borderId="1" xfId="1" applyFont="1" applyFill="1" applyBorder="1" applyAlignment="1">
      <alignment vertical="center"/>
    </xf>
    <xf numFmtId="44" fontId="0" fillId="0" borderId="0" xfId="1" applyFont="1" applyAlignment="1">
      <alignment vertical="center"/>
    </xf>
    <xf numFmtId="43" fontId="0" fillId="0" borderId="0" xfId="0" applyNumberFormat="1" applyAlignment="1">
      <alignment vertical="center"/>
    </xf>
    <xf numFmtId="8" fontId="4" fillId="2" borderId="1" xfId="0" applyNumberFormat="1" applyFont="1" applyFill="1" applyBorder="1"/>
    <xf numFmtId="8" fontId="0" fillId="2" borderId="1" xfId="0" applyNumberFormat="1" applyFill="1" applyBorder="1"/>
    <xf numFmtId="8" fontId="26" fillId="10" borderId="1" xfId="0" applyNumberFormat="1" applyFont="1" applyFill="1" applyBorder="1"/>
    <xf numFmtId="8" fontId="2" fillId="12" borderId="6" xfId="0" applyNumberFormat="1" applyFont="1" applyFill="1" applyBorder="1"/>
    <xf numFmtId="44" fontId="2" fillId="4" borderId="1" xfId="1" applyFont="1" applyFill="1" applyBorder="1"/>
    <xf numFmtId="44" fontId="0" fillId="2" borderId="1" xfId="1" applyFont="1" applyFill="1" applyBorder="1" applyAlignment="1">
      <alignment wrapText="1"/>
    </xf>
    <xf numFmtId="44" fontId="0" fillId="2" borderId="1" xfId="1" applyFont="1" applyFill="1" applyBorder="1" applyAlignment="1"/>
    <xf numFmtId="44" fontId="2" fillId="12" borderId="6" xfId="1" applyFont="1" applyFill="1" applyBorder="1"/>
    <xf numFmtId="44" fontId="0" fillId="4" borderId="1" xfId="1" applyFont="1" applyFill="1" applyBorder="1"/>
    <xf numFmtId="44" fontId="0" fillId="12" borderId="6" xfId="1" applyFont="1" applyFill="1" applyBorder="1"/>
    <xf numFmtId="44" fontId="2" fillId="4" borderId="6" xfId="1" applyFont="1" applyFill="1" applyBorder="1"/>
    <xf numFmtId="0" fontId="27" fillId="12" borderId="1" xfId="0" applyFont="1" applyFill="1" applyBorder="1"/>
    <xf numFmtId="0" fontId="28" fillId="4" borderId="1" xfId="0" applyFont="1" applyFill="1" applyBorder="1"/>
    <xf numFmtId="168" fontId="0" fillId="2" borderId="1" xfId="1" applyNumberFormat="1" applyFont="1" applyFill="1" applyBorder="1"/>
    <xf numFmtId="8" fontId="2" fillId="4" borderId="6" xfId="0" applyNumberFormat="1" applyFont="1" applyFill="1" applyBorder="1"/>
    <xf numFmtId="8" fontId="2" fillId="12" borderId="22" xfId="0" applyNumberFormat="1" applyFont="1" applyFill="1" applyBorder="1"/>
    <xf numFmtId="8" fontId="27" fillId="4" borderId="1" xfId="0" applyNumberFormat="1" applyFont="1" applyFill="1" applyBorder="1"/>
    <xf numFmtId="168" fontId="0" fillId="2" borderId="1" xfId="0" applyNumberFormat="1" applyFill="1" applyBorder="1"/>
    <xf numFmtId="8" fontId="2" fillId="12" borderId="5" xfId="0" applyNumberFormat="1" applyFont="1" applyFill="1" applyBorder="1"/>
    <xf numFmtId="0" fontId="2" fillId="5" borderId="8" xfId="0" applyFont="1" applyFill="1" applyBorder="1"/>
    <xf numFmtId="0" fontId="0" fillId="11" borderId="1" xfId="0" applyFill="1" applyBorder="1"/>
    <xf numFmtId="44" fontId="1" fillId="2" borderId="1" xfId="1" applyFont="1" applyFill="1" applyBorder="1"/>
    <xf numFmtId="44" fontId="1" fillId="2" borderId="6" xfId="1" applyFont="1" applyFill="1" applyBorder="1"/>
    <xf numFmtId="0" fontId="13" fillId="29" borderId="1" xfId="0" applyFont="1" applyFill="1" applyBorder="1"/>
    <xf numFmtId="0" fontId="13" fillId="29" borderId="1" xfId="0" applyFont="1" applyFill="1" applyBorder="1" applyAlignment="1">
      <alignment horizontal="center"/>
    </xf>
    <xf numFmtId="43" fontId="18" fillId="29" borderId="1" xfId="4" applyFont="1" applyFill="1" applyBorder="1"/>
    <xf numFmtId="165" fontId="18" fillId="29" borderId="1" xfId="0" applyNumberFormat="1" applyFont="1" applyFill="1" applyBorder="1"/>
    <xf numFmtId="165" fontId="13" fillId="29" borderId="1" xfId="0" applyNumberFormat="1" applyFont="1" applyFill="1" applyBorder="1"/>
    <xf numFmtId="165" fontId="13" fillId="29" borderId="1" xfId="1" applyNumberFormat="1" applyFont="1" applyFill="1" applyBorder="1"/>
    <xf numFmtId="44" fontId="0" fillId="29" borderId="0" xfId="0" applyNumberFormat="1" applyFill="1"/>
    <xf numFmtId="0" fontId="0" fillId="29" borderId="1" xfId="0" applyFill="1" applyBorder="1"/>
    <xf numFmtId="165" fontId="13" fillId="16" borderId="1" xfId="1" applyNumberFormat="1" applyFont="1" applyFill="1" applyBorder="1"/>
    <xf numFmtId="43" fontId="13" fillId="2" borderId="1" xfId="1" applyNumberFormat="1" applyFont="1" applyFill="1" applyBorder="1"/>
    <xf numFmtId="44" fontId="13" fillId="2" borderId="1" xfId="1" applyFont="1" applyFill="1" applyBorder="1"/>
    <xf numFmtId="43" fontId="13" fillId="29" borderId="1" xfId="1" applyNumberFormat="1" applyFont="1" applyFill="1" applyBorder="1"/>
    <xf numFmtId="0" fontId="6" fillId="8" borderId="0" xfId="0" applyFont="1" applyFill="1" applyAlignment="1">
      <alignment horizontal="left" vertical="center" wrapText="1"/>
    </xf>
    <xf numFmtId="0" fontId="6" fillId="8" borderId="0" xfId="0" applyFont="1" applyFill="1" applyAlignment="1">
      <alignment horizontal="left" vertical="center"/>
    </xf>
    <xf numFmtId="0" fontId="0" fillId="8" borderId="0" xfId="0" applyFill="1" applyAlignment="1">
      <alignment horizontal="center"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5" fillId="8" borderId="14" xfId="0" quotePrefix="1" applyFont="1" applyFill="1" applyBorder="1" applyAlignment="1">
      <alignment horizontal="center" vertical="center" wrapText="1"/>
    </xf>
    <xf numFmtId="0" fontId="5" fillId="8" borderId="15" xfId="0" applyFont="1" applyFill="1" applyBorder="1" applyAlignment="1">
      <alignment horizontal="center" vertical="center" wrapText="1"/>
    </xf>
    <xf numFmtId="0" fontId="5" fillId="8" borderId="16" xfId="0" applyFont="1" applyFill="1" applyBorder="1" applyAlignment="1">
      <alignment horizontal="center" vertical="center" wrapText="1"/>
    </xf>
    <xf numFmtId="0" fontId="5" fillId="8" borderId="17" xfId="0" applyFont="1" applyFill="1" applyBorder="1" applyAlignment="1">
      <alignment horizontal="center" vertical="center" wrapText="1"/>
    </xf>
    <xf numFmtId="0" fontId="5" fillId="8" borderId="25" xfId="0" applyFont="1" applyFill="1" applyBorder="1" applyAlignment="1">
      <alignment horizontal="center" vertical="center" wrapText="1"/>
    </xf>
    <xf numFmtId="0" fontId="5" fillId="8" borderId="26" xfId="0" applyFont="1" applyFill="1" applyBorder="1" applyAlignment="1">
      <alignment horizontal="center" vertical="center" wrapText="1"/>
    </xf>
    <xf numFmtId="0" fontId="8" fillId="6" borderId="0" xfId="0" applyFont="1" applyFill="1" applyAlignment="1">
      <alignment horizontal="center" vertical="center"/>
    </xf>
    <xf numFmtId="0" fontId="4" fillId="0" borderId="1" xfId="0" applyFont="1" applyBorder="1" applyAlignment="1">
      <alignment horizontal="left" vertical="center" wrapText="1"/>
    </xf>
    <xf numFmtId="0" fontId="2" fillId="20" borderId="34" xfId="0" applyFont="1" applyFill="1" applyBorder="1" applyAlignment="1">
      <alignment horizontal="left"/>
    </xf>
    <xf numFmtId="0" fontId="2" fillId="20" borderId="35" xfId="0" applyFont="1" applyFill="1" applyBorder="1" applyAlignment="1">
      <alignment horizontal="left"/>
    </xf>
    <xf numFmtId="0" fontId="4" fillId="2" borderId="23" xfId="0" applyFont="1" applyFill="1" applyBorder="1" applyAlignment="1">
      <alignment horizontal="left" vertical="center" wrapText="1"/>
    </xf>
    <xf numFmtId="0" fontId="16" fillId="8" borderId="0" xfId="0" applyFont="1" applyFill="1" applyAlignment="1">
      <alignment horizontal="center" vertical="center"/>
    </xf>
    <xf numFmtId="0" fontId="23" fillId="7" borderId="0" xfId="0" applyFont="1" applyFill="1" applyAlignment="1">
      <alignment horizontal="left" vertical="center" wrapText="1"/>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1" xfId="0" applyFont="1" applyFill="1" applyBorder="1" applyAlignment="1">
      <alignment horizontal="center"/>
    </xf>
    <xf numFmtId="0" fontId="4" fillId="0" borderId="6" xfId="0" applyFont="1" applyBorder="1" applyAlignment="1">
      <alignment horizontal="left" wrapText="1"/>
    </xf>
    <xf numFmtId="0" fontId="4" fillId="0" borderId="7" xfId="0" applyFont="1" applyBorder="1" applyAlignment="1">
      <alignment horizontal="left" wrapText="1"/>
    </xf>
    <xf numFmtId="0" fontId="15" fillId="8" borderId="14" xfId="0" applyFont="1" applyFill="1" applyBorder="1" applyAlignment="1">
      <alignment horizontal="left" vertical="center" wrapText="1"/>
    </xf>
    <xf numFmtId="0" fontId="15" fillId="8" borderId="12" xfId="0" applyFont="1" applyFill="1" applyBorder="1" applyAlignment="1">
      <alignment horizontal="left" vertical="center" wrapText="1"/>
    </xf>
    <xf numFmtId="0" fontId="15" fillId="8" borderId="15" xfId="0" applyFont="1" applyFill="1" applyBorder="1" applyAlignment="1">
      <alignment horizontal="left" vertical="center" wrapText="1"/>
    </xf>
    <xf numFmtId="0" fontId="15" fillId="8" borderId="16" xfId="0" applyFont="1" applyFill="1" applyBorder="1" applyAlignment="1">
      <alignment horizontal="left" vertical="center" wrapText="1"/>
    </xf>
    <xf numFmtId="0" fontId="15" fillId="8" borderId="0" xfId="0" applyFont="1" applyFill="1" applyAlignment="1">
      <alignment horizontal="left" vertical="center" wrapText="1"/>
    </xf>
    <xf numFmtId="0" fontId="15" fillId="8" borderId="17" xfId="0" applyFont="1" applyFill="1" applyBorder="1" applyAlignment="1">
      <alignment horizontal="left" vertical="center" wrapText="1"/>
    </xf>
    <xf numFmtId="0" fontId="15" fillId="8" borderId="25" xfId="0" applyFont="1" applyFill="1" applyBorder="1" applyAlignment="1">
      <alignment horizontal="left" vertical="center" wrapText="1"/>
    </xf>
    <xf numFmtId="0" fontId="15" fillId="8" borderId="8" xfId="0" applyFont="1" applyFill="1" applyBorder="1" applyAlignment="1">
      <alignment horizontal="left" vertical="center" wrapText="1"/>
    </xf>
    <xf numFmtId="0" fontId="15" fillId="8" borderId="26" xfId="0" applyFont="1" applyFill="1" applyBorder="1" applyAlignment="1">
      <alignment horizontal="left" vertical="center" wrapText="1"/>
    </xf>
    <xf numFmtId="44" fontId="9" fillId="0" borderId="1" xfId="1" applyFont="1" applyBorder="1"/>
    <xf numFmtId="44" fontId="13" fillId="4" borderId="25" xfId="0" applyNumberFormat="1" applyFont="1" applyFill="1" applyBorder="1" applyAlignment="1">
      <alignment horizontal="center"/>
    </xf>
    <xf numFmtId="44" fontId="13" fillId="4" borderId="26" xfId="0" applyNumberFormat="1" applyFont="1" applyFill="1" applyBorder="1" applyAlignment="1">
      <alignment horizontal="center"/>
    </xf>
    <xf numFmtId="44" fontId="18" fillId="0" borderId="1" xfId="1" applyFont="1" applyBorder="1" applyAlignment="1">
      <alignment horizontal="center"/>
    </xf>
    <xf numFmtId="0" fontId="2" fillId="29" borderId="9" xfId="0" applyFont="1" applyFill="1" applyBorder="1" applyAlignment="1">
      <alignment horizontal="left" vertical="center"/>
    </xf>
    <xf numFmtId="0" fontId="2" fillId="29" borderId="10" xfId="0" applyFont="1" applyFill="1" applyBorder="1" applyAlignment="1">
      <alignment horizontal="left" vertical="center"/>
    </xf>
    <xf numFmtId="0" fontId="2" fillId="29" borderId="11" xfId="0" applyFont="1" applyFill="1" applyBorder="1" applyAlignment="1">
      <alignment horizontal="left" vertical="center"/>
    </xf>
    <xf numFmtId="44" fontId="9" fillId="2" borderId="1" xfId="1" applyFont="1" applyFill="1" applyBorder="1"/>
    <xf numFmtId="44" fontId="9" fillId="29" borderId="1" xfId="1" applyFont="1" applyFill="1" applyBorder="1"/>
    <xf numFmtId="0" fontId="11" fillId="3" borderId="18" xfId="0" applyFont="1" applyFill="1" applyBorder="1" applyAlignment="1">
      <alignment horizontal="center" vertical="center" wrapText="1"/>
    </xf>
    <xf numFmtId="0" fontId="11" fillId="3" borderId="20" xfId="0" applyFont="1" applyFill="1" applyBorder="1" applyAlignment="1">
      <alignment horizontal="center" vertical="center" wrapText="1"/>
    </xf>
    <xf numFmtId="169" fontId="23" fillId="3" borderId="8" xfId="0" applyNumberFormat="1" applyFont="1" applyFill="1" applyBorder="1" applyAlignment="1">
      <alignment horizontal="center"/>
    </xf>
    <xf numFmtId="169" fontId="23" fillId="3" borderId="0" xfId="1" applyNumberFormat="1" applyFont="1" applyFill="1" applyAlignment="1">
      <alignment horizontal="center"/>
    </xf>
    <xf numFmtId="169" fontId="23" fillId="3" borderId="8" xfId="1" applyNumberFormat="1" applyFont="1" applyFill="1" applyBorder="1" applyAlignment="1">
      <alignment horizontal="center" vertical="center"/>
    </xf>
    <xf numFmtId="44" fontId="15" fillId="3" borderId="8" xfId="1" applyFont="1" applyFill="1" applyBorder="1" applyAlignment="1">
      <alignment horizontal="left"/>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9"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15" fillId="3" borderId="0" xfId="0" applyFont="1" applyFill="1" applyAlignment="1">
      <alignment horizontal="left" vertical="center" wrapText="1"/>
    </xf>
    <xf numFmtId="0" fontId="15" fillId="3" borderId="0" xfId="0" applyFont="1" applyFill="1" applyAlignment="1">
      <alignment horizontal="left" vertical="center"/>
    </xf>
    <xf numFmtId="169" fontId="23" fillId="3" borderId="0" xfId="0" applyNumberFormat="1" applyFont="1" applyFill="1" applyAlignment="1">
      <alignment horizontal="left" wrapText="1"/>
    </xf>
    <xf numFmtId="0" fontId="11" fillId="3" borderId="14" xfId="0" applyFont="1" applyFill="1" applyBorder="1" applyAlignment="1">
      <alignment horizontal="center" vertical="center"/>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19"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6" fontId="0" fillId="2" borderId="14" xfId="0" applyNumberFormat="1" applyFill="1" applyBorder="1" applyAlignment="1">
      <alignment horizontal="center" vertical="center" wrapText="1"/>
    </xf>
    <xf numFmtId="6" fontId="0" fillId="2" borderId="12" xfId="0" applyNumberFormat="1" applyFill="1" applyBorder="1" applyAlignment="1">
      <alignment horizontal="center" vertical="center" wrapText="1"/>
    </xf>
    <xf numFmtId="6" fontId="0" fillId="2" borderId="15" xfId="0" applyNumberForma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7" xfId="0" applyNumberFormat="1" applyFill="1" applyBorder="1" applyAlignment="1">
      <alignment horizontal="center" vertical="center" wrapText="1"/>
    </xf>
    <xf numFmtId="6" fontId="0" fillId="2" borderId="25" xfId="0" applyNumberFormat="1" applyFill="1" applyBorder="1" applyAlignment="1">
      <alignment horizontal="center" vertical="center" wrapText="1"/>
    </xf>
    <xf numFmtId="6" fontId="0" fillId="2" borderId="8" xfId="0" applyNumberFormat="1" applyFill="1" applyBorder="1" applyAlignment="1">
      <alignment horizontal="center" vertical="center" wrapText="1"/>
    </xf>
    <xf numFmtId="6" fontId="0" fillId="2" borderId="26" xfId="0" applyNumberFormat="1" applyFill="1" applyBorder="1" applyAlignment="1">
      <alignment horizontal="center" vertical="center" wrapText="1"/>
    </xf>
  </cellXfs>
  <cellStyles count="5">
    <cellStyle name="Hipervínculo" xfId="3" builtinId="8"/>
    <cellStyle name="Millares" xfId="4" builtinId="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FD95DD"/>
      <color rgb="FFFFFF99"/>
      <color rgb="FFCC9900"/>
      <color rgb="FF00CCFF"/>
      <color rgb="FF800000"/>
      <color rgb="FF9999FF"/>
      <color rgb="FFCCFFCC"/>
      <color rgb="FF000000"/>
      <color rgb="FFFF00FF"/>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80008</xdr:rowOff>
    </xdr:from>
    <xdr:to>
      <xdr:col>0</xdr:col>
      <xdr:colOff>2400300</xdr:colOff>
      <xdr:row>7</xdr:row>
      <xdr:rowOff>101599</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80008"/>
          <a:ext cx="2362200" cy="1647191"/>
        </a:xfrm>
        <a:prstGeom prst="rect">
          <a:avLst/>
        </a:prstGeom>
        <a:noFill/>
        <a:ln>
          <a:solidFill>
            <a:schemeClr val="tx1"/>
          </a:solid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entas@quimicaros.com.ar" TargetMode="External"/><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 Id="rId5" Type="http://schemas.openxmlformats.org/officeDocument/2006/relationships/printerSettings" Target="../printerSettings/printerSettings2.bin"/><Relationship Id="rId4" Type="http://schemas.openxmlformats.org/officeDocument/2006/relationships/hyperlink" Target="mailto:ventas@quimicaros.com.a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7"/>
  <sheetViews>
    <sheetView topLeftCell="A19" zoomScale="90" zoomScaleNormal="90" workbookViewId="0">
      <selection activeCell="A25" sqref="A25"/>
    </sheetView>
  </sheetViews>
  <sheetFormatPr baseColWidth="10" defaultColWidth="10.85546875" defaultRowHeight="15" x14ac:dyDescent="0.25"/>
  <cols>
    <col min="1" max="1" width="37.5703125" customWidth="1"/>
    <col min="2" max="2" width="24.7109375" customWidth="1"/>
    <col min="3" max="3" width="15.85546875" hidden="1" customWidth="1"/>
    <col min="4" max="4" width="21.28515625" customWidth="1"/>
    <col min="5" max="5" width="16.85546875" customWidth="1"/>
    <col min="6" max="6" width="16.42578125" bestFit="1" customWidth="1"/>
    <col min="7" max="8" width="15.42578125" bestFit="1" customWidth="1"/>
    <col min="9" max="9" width="14.140625" bestFit="1" customWidth="1"/>
    <col min="11" max="11" width="18" customWidth="1"/>
    <col min="12" max="12" width="18.28515625" customWidth="1"/>
  </cols>
  <sheetData>
    <row r="1" spans="1:5" ht="15.75" thickBot="1" x14ac:dyDescent="0.3">
      <c r="A1" s="386"/>
      <c r="B1" s="381" t="s">
        <v>158</v>
      </c>
      <c r="C1" s="382"/>
      <c r="D1" s="382"/>
      <c r="E1" s="383"/>
    </row>
    <row r="2" spans="1:5" ht="15.75" thickBot="1" x14ac:dyDescent="0.3">
      <c r="A2" s="387"/>
      <c r="B2" s="381" t="s">
        <v>160</v>
      </c>
      <c r="C2" s="382"/>
      <c r="D2" s="382"/>
      <c r="E2" s="383"/>
    </row>
    <row r="3" spans="1:5" ht="32.25" customHeight="1" thickBot="1" x14ac:dyDescent="0.3">
      <c r="A3" s="387"/>
      <c r="B3" s="378" t="s">
        <v>156</v>
      </c>
      <c r="C3" s="379"/>
      <c r="D3" s="379"/>
      <c r="E3" s="380"/>
    </row>
    <row r="4" spans="1:5" ht="15.75" thickBot="1" x14ac:dyDescent="0.3">
      <c r="A4" s="387"/>
      <c r="B4" s="52" t="s">
        <v>157</v>
      </c>
      <c r="C4" s="51"/>
      <c r="D4" s="51"/>
      <c r="E4" s="51"/>
    </row>
    <row r="5" spans="1:5" ht="16.899999999999999" customHeight="1" thickBot="1" x14ac:dyDescent="0.3">
      <c r="A5" s="387"/>
      <c r="B5" s="55" t="s">
        <v>335</v>
      </c>
      <c r="C5" s="53"/>
      <c r="D5" s="53"/>
      <c r="E5" s="54"/>
    </row>
    <row r="6" spans="1:5" ht="16.899999999999999" customHeight="1" thickBot="1" x14ac:dyDescent="0.3">
      <c r="A6" s="387"/>
      <c r="B6" s="56" t="s">
        <v>294</v>
      </c>
      <c r="C6" s="53"/>
      <c r="D6" s="53"/>
      <c r="E6" s="54"/>
    </row>
    <row r="7" spans="1:5" ht="16.899999999999999" customHeight="1" thickBot="1" x14ac:dyDescent="0.3">
      <c r="A7" s="387"/>
      <c r="B7" s="56" t="s">
        <v>293</v>
      </c>
      <c r="C7" s="53"/>
      <c r="D7" s="53"/>
      <c r="E7" s="54"/>
    </row>
    <row r="8" spans="1:5" ht="15.75" thickBot="1" x14ac:dyDescent="0.3">
      <c r="A8" s="388"/>
      <c r="B8" s="384" t="s">
        <v>159</v>
      </c>
      <c r="C8" s="384"/>
      <c r="D8" s="384"/>
      <c r="E8" s="385"/>
    </row>
    <row r="10" spans="1:5" ht="14.45" customHeight="1" x14ac:dyDescent="0.25">
      <c r="A10" s="376" t="s">
        <v>334</v>
      </c>
      <c r="B10" s="376"/>
      <c r="C10" s="376"/>
      <c r="D10" s="376"/>
      <c r="E10" s="376"/>
    </row>
    <row r="11" spans="1:5" ht="14.45" customHeight="1" x14ac:dyDescent="0.25">
      <c r="A11" s="376"/>
      <c r="B11" s="376"/>
      <c r="C11" s="376"/>
      <c r="D11" s="376"/>
      <c r="E11" s="376"/>
    </row>
    <row r="12" spans="1:5" ht="14.45" customHeight="1" x14ac:dyDescent="0.25">
      <c r="A12" s="376"/>
      <c r="B12" s="376"/>
      <c r="C12" s="376"/>
      <c r="D12" s="376"/>
      <c r="E12" s="376"/>
    </row>
    <row r="13" spans="1:5" x14ac:dyDescent="0.25">
      <c r="A13" s="35"/>
      <c r="B13" s="35"/>
      <c r="C13" s="35"/>
      <c r="D13" s="35"/>
      <c r="E13" s="35"/>
    </row>
    <row r="14" spans="1:5" x14ac:dyDescent="0.25">
      <c r="A14" s="358" t="s">
        <v>477</v>
      </c>
      <c r="B14" s="359"/>
      <c r="C14" s="359"/>
      <c r="D14" s="359"/>
      <c r="E14" s="359"/>
    </row>
    <row r="15" spans="1:5" x14ac:dyDescent="0.25">
      <c r="A15" s="359"/>
      <c r="B15" s="359"/>
      <c r="C15" s="359"/>
      <c r="D15" s="359"/>
      <c r="E15" s="359"/>
    </row>
    <row r="16" spans="1:5" x14ac:dyDescent="0.25">
      <c r="A16" s="359"/>
      <c r="B16" s="359"/>
      <c r="C16" s="359"/>
      <c r="D16" s="359"/>
      <c r="E16" s="359"/>
    </row>
    <row r="17" spans="1:5" x14ac:dyDescent="0.25">
      <c r="A17" s="359"/>
      <c r="B17" s="359"/>
      <c r="C17" s="359"/>
      <c r="D17" s="359"/>
      <c r="E17" s="359"/>
    </row>
    <row r="18" spans="1:5" x14ac:dyDescent="0.25">
      <c r="A18" s="359"/>
      <c r="B18" s="359"/>
      <c r="C18" s="359"/>
      <c r="D18" s="359"/>
      <c r="E18" s="359"/>
    </row>
    <row r="19" spans="1:5" x14ac:dyDescent="0.25">
      <c r="A19" s="359"/>
      <c r="B19" s="359"/>
      <c r="C19" s="359"/>
      <c r="D19" s="359"/>
      <c r="E19" s="359"/>
    </row>
    <row r="20" spans="1:5" x14ac:dyDescent="0.25">
      <c r="A20" s="359"/>
      <c r="B20" s="359"/>
      <c r="C20" s="359"/>
      <c r="D20" s="359"/>
      <c r="E20" s="359"/>
    </row>
    <row r="21" spans="1:5" x14ac:dyDescent="0.25">
      <c r="A21" s="359"/>
      <c r="B21" s="359"/>
      <c r="C21" s="359"/>
      <c r="D21" s="359"/>
      <c r="E21" s="359"/>
    </row>
    <row r="22" spans="1:5" x14ac:dyDescent="0.25">
      <c r="A22" s="359"/>
      <c r="B22" s="359"/>
      <c r="C22" s="359"/>
      <c r="D22" s="359"/>
      <c r="E22" s="359"/>
    </row>
    <row r="23" spans="1:5" x14ac:dyDescent="0.25">
      <c r="A23" s="359"/>
      <c r="B23" s="359"/>
      <c r="C23" s="359"/>
      <c r="D23" s="359"/>
      <c r="E23" s="359"/>
    </row>
    <row r="24" spans="1:5" ht="23.25" customHeight="1" x14ac:dyDescent="0.25">
      <c r="A24" s="359"/>
      <c r="B24" s="359"/>
      <c r="C24" s="359"/>
      <c r="D24" s="359"/>
      <c r="E24" s="359"/>
    </row>
    <row r="25" spans="1:5" x14ac:dyDescent="0.25">
      <c r="A25" s="35"/>
      <c r="B25" s="35"/>
      <c r="C25" s="35"/>
      <c r="D25" s="35"/>
      <c r="E25" s="35"/>
    </row>
    <row r="26" spans="1:5" ht="15" customHeight="1" x14ac:dyDescent="0.25">
      <c r="A26" s="377" t="s">
        <v>248</v>
      </c>
      <c r="B26" s="377"/>
      <c r="C26" s="377"/>
      <c r="D26" s="377"/>
      <c r="E26" s="377"/>
    </row>
    <row r="27" spans="1:5" ht="15" customHeight="1" x14ac:dyDescent="0.25">
      <c r="A27" s="377"/>
      <c r="B27" s="377"/>
      <c r="C27" s="377"/>
      <c r="D27" s="377"/>
      <c r="E27" s="377"/>
    </row>
    <row r="28" spans="1:5" ht="15" customHeight="1" x14ac:dyDescent="0.25">
      <c r="A28" s="377"/>
      <c r="B28" s="377"/>
      <c r="C28" s="377"/>
      <c r="D28" s="377"/>
      <c r="E28" s="377"/>
    </row>
    <row r="29" spans="1:5" ht="243" customHeight="1" x14ac:dyDescent="0.25">
      <c r="A29" s="377"/>
      <c r="B29" s="377"/>
      <c r="C29" s="377"/>
      <c r="D29" s="377"/>
      <c r="E29" s="377"/>
    </row>
    <row r="30" spans="1:5" ht="14.25" customHeight="1" thickBot="1" x14ac:dyDescent="0.3">
      <c r="A30" s="35"/>
      <c r="B30" s="35"/>
      <c r="C30" s="35"/>
      <c r="D30" s="35"/>
      <c r="E30" s="35"/>
    </row>
    <row r="31" spans="1:5" ht="14.45" hidden="1" customHeight="1" x14ac:dyDescent="0.25">
      <c r="A31" s="125"/>
      <c r="B31" s="35"/>
      <c r="C31" s="35"/>
      <c r="D31" s="35"/>
      <c r="E31" s="35"/>
    </row>
    <row r="32" spans="1:5" ht="15" hidden="1" customHeight="1" thickBot="1" x14ac:dyDescent="0.3">
      <c r="A32" s="35"/>
      <c r="B32" s="35"/>
      <c r="C32" s="35"/>
      <c r="D32" s="35"/>
      <c r="E32" s="35"/>
    </row>
    <row r="33" spans="1:8" x14ac:dyDescent="0.25">
      <c r="A33" s="126" t="s">
        <v>5</v>
      </c>
      <c r="B33" s="127"/>
      <c r="C33" s="128"/>
      <c r="D33" s="129"/>
      <c r="E33" s="130"/>
    </row>
    <row r="34" spans="1:8" x14ac:dyDescent="0.25">
      <c r="A34" s="8" t="s">
        <v>18</v>
      </c>
      <c r="B34" s="8"/>
      <c r="C34" s="8"/>
      <c r="D34" s="8"/>
      <c r="E34" s="8"/>
    </row>
    <row r="35" spans="1:8" ht="20.25" customHeight="1" x14ac:dyDescent="0.25">
      <c r="A35" s="363" t="s">
        <v>336</v>
      </c>
      <c r="B35" s="364"/>
      <c r="C35" s="27"/>
      <c r="D35" s="323" t="s">
        <v>456</v>
      </c>
      <c r="E35" s="309"/>
      <c r="G35" s="98"/>
    </row>
    <row r="36" spans="1:8" x14ac:dyDescent="0.25">
      <c r="A36" s="27" t="s">
        <v>337</v>
      </c>
      <c r="B36" s="27"/>
      <c r="C36" s="27"/>
      <c r="D36" s="323"/>
      <c r="E36" s="27"/>
      <c r="G36" s="4"/>
    </row>
    <row r="37" spans="1:8" x14ac:dyDescent="0.25">
      <c r="A37" s="27" t="s">
        <v>338</v>
      </c>
      <c r="B37" s="27"/>
      <c r="C37" s="27"/>
      <c r="D37" s="323"/>
      <c r="E37" s="27"/>
      <c r="G37" s="4"/>
    </row>
    <row r="38" spans="1:8" x14ac:dyDescent="0.25">
      <c r="A38" s="27" t="s">
        <v>441</v>
      </c>
      <c r="B38" s="27"/>
      <c r="C38" s="27"/>
      <c r="D38" s="324">
        <v>953420</v>
      </c>
      <c r="E38" s="27" t="s">
        <v>384</v>
      </c>
      <c r="G38" s="4"/>
    </row>
    <row r="39" spans="1:8" x14ac:dyDescent="0.25">
      <c r="A39" s="131" t="s">
        <v>19</v>
      </c>
      <c r="B39" s="131"/>
      <c r="C39" s="131"/>
      <c r="D39" s="325">
        <f>SUM(D35:D38)</f>
        <v>953420</v>
      </c>
      <c r="E39" s="109"/>
      <c r="F39" s="4"/>
      <c r="G39" s="4"/>
      <c r="H39" s="98"/>
    </row>
    <row r="40" spans="1:8" ht="32.25" customHeight="1" x14ac:dyDescent="0.25">
      <c r="A40" s="363" t="s">
        <v>409</v>
      </c>
      <c r="B40" s="364"/>
      <c r="C40" s="27"/>
      <c r="D40" s="324">
        <v>920000</v>
      </c>
      <c r="E40" s="27" t="s">
        <v>406</v>
      </c>
      <c r="G40" s="4"/>
    </row>
    <row r="41" spans="1:8" x14ac:dyDescent="0.25">
      <c r="A41" s="131" t="s">
        <v>19</v>
      </c>
      <c r="B41" s="131"/>
      <c r="C41" s="131"/>
      <c r="D41" s="325">
        <f>SUM(D40:D40)</f>
        <v>920000</v>
      </c>
      <c r="E41" s="28"/>
      <c r="G41" s="4"/>
    </row>
    <row r="42" spans="1:8" ht="18" customHeight="1" thickBot="1" x14ac:dyDescent="0.3">
      <c r="A42" s="132" t="s">
        <v>171</v>
      </c>
      <c r="B42" s="132"/>
      <c r="C42" s="132"/>
      <c r="D42" s="326"/>
      <c r="E42" s="113">
        <f>D39+D41</f>
        <v>1873420</v>
      </c>
      <c r="F42" s="4"/>
    </row>
    <row r="43" spans="1:8" x14ac:dyDescent="0.25">
      <c r="A43" s="8" t="s">
        <v>177</v>
      </c>
      <c r="B43" s="9"/>
      <c r="C43" s="9"/>
      <c r="D43" s="327"/>
      <c r="E43" s="19"/>
    </row>
    <row r="44" spans="1:8" s="11" customFormat="1" ht="15" customHeight="1" x14ac:dyDescent="0.25">
      <c r="A44" s="27" t="s">
        <v>340</v>
      </c>
      <c r="B44" s="27"/>
      <c r="C44" s="133"/>
      <c r="D44" s="328">
        <v>848041.1</v>
      </c>
      <c r="E44" s="103" t="s">
        <v>434</v>
      </c>
      <c r="G44" s="45"/>
    </row>
    <row r="45" spans="1:8" s="11" customFormat="1" ht="28.5" customHeight="1" x14ac:dyDescent="0.25">
      <c r="A45" s="389" t="s">
        <v>436</v>
      </c>
      <c r="B45" s="390"/>
      <c r="C45" s="133"/>
      <c r="D45" s="328">
        <v>33105.800000000003</v>
      </c>
      <c r="E45" s="103" t="s">
        <v>435</v>
      </c>
      <c r="G45" s="45"/>
    </row>
    <row r="46" spans="1:8" s="11" customFormat="1" ht="15" customHeight="1" x14ac:dyDescent="0.25">
      <c r="A46" s="134" t="s">
        <v>341</v>
      </c>
      <c r="B46" s="27" t="s">
        <v>11</v>
      </c>
      <c r="C46" s="133"/>
      <c r="D46" s="328">
        <v>83179.350000000006</v>
      </c>
      <c r="E46" s="103" t="s">
        <v>435</v>
      </c>
      <c r="G46" s="45"/>
    </row>
    <row r="47" spans="1:8" s="11" customFormat="1" ht="15" customHeight="1" x14ac:dyDescent="0.25">
      <c r="A47" s="134" t="str">
        <f>A46</f>
        <v>Sindicatos mes de NOVIEMBRE</v>
      </c>
      <c r="B47" s="27" t="s">
        <v>20</v>
      </c>
      <c r="C47" s="133"/>
      <c r="D47" s="328">
        <v>146411.93</v>
      </c>
      <c r="E47" s="103" t="str">
        <f>E46</f>
        <v>Debito 12/12</v>
      </c>
      <c r="G47" s="45"/>
    </row>
    <row r="48" spans="1:8" ht="15" customHeight="1" x14ac:dyDescent="0.25">
      <c r="A48" s="134" t="str">
        <f>A47</f>
        <v>Sindicatos mes de NOVIEMBRE</v>
      </c>
      <c r="B48" s="27" t="s">
        <v>10</v>
      </c>
      <c r="C48" s="133"/>
      <c r="D48" s="329">
        <v>9242.15</v>
      </c>
      <c r="E48" s="103" t="str">
        <f>E47</f>
        <v>Debito 12/12</v>
      </c>
      <c r="H48" s="39"/>
    </row>
    <row r="49" spans="1:9" ht="15.75" thickBot="1" x14ac:dyDescent="0.3">
      <c r="A49" s="132" t="s">
        <v>150</v>
      </c>
      <c r="B49" s="132"/>
      <c r="C49" s="132"/>
      <c r="D49" s="330"/>
      <c r="E49" s="112">
        <f>SUM(D44:D48)</f>
        <v>1119980.3299999998</v>
      </c>
    </row>
    <row r="50" spans="1:9" x14ac:dyDescent="0.25">
      <c r="A50" s="8" t="s">
        <v>170</v>
      </c>
      <c r="B50" s="135"/>
      <c r="C50" s="135"/>
      <c r="D50" s="331"/>
      <c r="E50" s="30"/>
    </row>
    <row r="51" spans="1:9" ht="31.9" customHeight="1" x14ac:dyDescent="0.25">
      <c r="A51" s="361" t="s">
        <v>278</v>
      </c>
      <c r="B51" s="362"/>
      <c r="C51" s="27"/>
      <c r="D51" s="172">
        <v>148964</v>
      </c>
      <c r="E51" s="104" t="s">
        <v>428</v>
      </c>
    </row>
    <row r="52" spans="1:9" ht="31.9" customHeight="1" x14ac:dyDescent="0.25">
      <c r="A52" s="361" t="s">
        <v>279</v>
      </c>
      <c r="B52" s="362"/>
      <c r="C52" s="27"/>
      <c r="D52" s="172">
        <v>5619</v>
      </c>
      <c r="E52" s="104" t="s">
        <v>427</v>
      </c>
    </row>
    <row r="53" spans="1:9" ht="31.9" customHeight="1" x14ac:dyDescent="0.25">
      <c r="A53" s="361" t="s">
        <v>460</v>
      </c>
      <c r="B53" s="362"/>
      <c r="C53" s="27"/>
      <c r="D53" s="172">
        <v>14585.38</v>
      </c>
      <c r="E53" s="104" t="s">
        <v>437</v>
      </c>
    </row>
    <row r="54" spans="1:9" ht="31.9" customHeight="1" x14ac:dyDescent="0.25">
      <c r="A54" s="361" t="s">
        <v>459</v>
      </c>
      <c r="B54" s="362"/>
      <c r="C54" s="27"/>
      <c r="D54" s="172">
        <v>18195</v>
      </c>
      <c r="E54" s="104" t="s">
        <v>430</v>
      </c>
    </row>
    <row r="55" spans="1:9" ht="15" customHeight="1" thickBot="1" x14ac:dyDescent="0.3">
      <c r="A55" s="132" t="s">
        <v>151</v>
      </c>
      <c r="B55" s="136"/>
      <c r="C55" s="136"/>
      <c r="D55" s="332"/>
      <c r="E55" s="61">
        <f>SUM(D51:D54)</f>
        <v>187363.38</v>
      </c>
    </row>
    <row r="56" spans="1:9" ht="15" customHeight="1" thickBot="1" x14ac:dyDescent="0.3">
      <c r="A56" s="81" t="s">
        <v>178</v>
      </c>
      <c r="B56" s="9"/>
      <c r="C56" s="9"/>
      <c r="D56" s="333"/>
      <c r="E56" s="32"/>
    </row>
    <row r="57" spans="1:9" ht="42.75" customHeight="1" x14ac:dyDescent="0.25">
      <c r="A57" s="361" t="s">
        <v>395</v>
      </c>
      <c r="B57" s="375"/>
      <c r="C57" s="137"/>
      <c r="D57" s="172">
        <v>43240576.399999999</v>
      </c>
      <c r="E57" s="31" t="s">
        <v>394</v>
      </c>
      <c r="G57" t="s">
        <v>242</v>
      </c>
      <c r="I57" s="43"/>
    </row>
    <row r="58" spans="1:9" ht="41.25" customHeight="1" x14ac:dyDescent="0.25">
      <c r="A58" s="361" t="s">
        <v>393</v>
      </c>
      <c r="B58" s="375"/>
      <c r="C58" s="137"/>
      <c r="D58" s="172">
        <v>4619224.8</v>
      </c>
      <c r="E58" s="34" t="s">
        <v>385</v>
      </c>
      <c r="F58" s="14"/>
    </row>
    <row r="59" spans="1:9" ht="17.45" customHeight="1" x14ac:dyDescent="0.25">
      <c r="A59" s="132" t="s">
        <v>179</v>
      </c>
      <c r="B59" s="48"/>
      <c r="C59" s="48"/>
      <c r="D59" s="334"/>
      <c r="E59" s="62">
        <f>SUM(D57:D58)</f>
        <v>47859801.199999996</v>
      </c>
    </row>
    <row r="60" spans="1:9" ht="17.45" customHeight="1" x14ac:dyDescent="0.25">
      <c r="A60" s="81" t="s">
        <v>180</v>
      </c>
      <c r="B60" s="81"/>
      <c r="C60" s="81" t="s">
        <v>178</v>
      </c>
      <c r="D60" s="335"/>
      <c r="E60" s="81"/>
    </row>
    <row r="61" spans="1:9" ht="35.1" customHeight="1" x14ac:dyDescent="0.25">
      <c r="A61" s="361" t="s">
        <v>322</v>
      </c>
      <c r="B61" s="375"/>
      <c r="C61" s="137"/>
      <c r="D61" s="172">
        <v>0</v>
      </c>
      <c r="E61" s="34"/>
      <c r="G61" t="s">
        <v>461</v>
      </c>
    </row>
    <row r="62" spans="1:9" ht="35.1" customHeight="1" x14ac:dyDescent="0.25">
      <c r="A62" s="361" t="s">
        <v>381</v>
      </c>
      <c r="B62" s="375"/>
      <c r="C62" s="137"/>
      <c r="D62" s="172">
        <v>1212341.6499999999</v>
      </c>
      <c r="E62" s="34" t="s">
        <v>385</v>
      </c>
    </row>
    <row r="63" spans="1:9" ht="49.5" customHeight="1" x14ac:dyDescent="0.25">
      <c r="A63" s="361" t="s">
        <v>402</v>
      </c>
      <c r="B63" s="362"/>
      <c r="C63" s="138"/>
      <c r="D63" s="172">
        <v>360000</v>
      </c>
      <c r="E63" s="34" t="s">
        <v>380</v>
      </c>
      <c r="G63" s="39"/>
    </row>
    <row r="64" spans="1:9" ht="35.1" customHeight="1" x14ac:dyDescent="0.25">
      <c r="A64" s="361" t="s">
        <v>387</v>
      </c>
      <c r="B64" s="362"/>
      <c r="C64" s="138"/>
      <c r="D64" s="172">
        <v>5500000</v>
      </c>
      <c r="E64" s="34" t="s">
        <v>385</v>
      </c>
    </row>
    <row r="65" spans="1:8" ht="60" customHeight="1" x14ac:dyDescent="0.25">
      <c r="A65" s="361" t="s">
        <v>386</v>
      </c>
      <c r="B65" s="362"/>
      <c r="C65" s="138"/>
      <c r="D65" s="172">
        <v>228690</v>
      </c>
      <c r="E65" s="117" t="s">
        <v>385</v>
      </c>
    </row>
    <row r="66" spans="1:8" ht="44.25" customHeight="1" x14ac:dyDescent="0.25">
      <c r="A66" s="361" t="s">
        <v>376</v>
      </c>
      <c r="B66" s="362"/>
      <c r="C66" s="138"/>
      <c r="D66" s="172">
        <v>0</v>
      </c>
      <c r="E66" s="34"/>
      <c r="G66" t="s">
        <v>462</v>
      </c>
    </row>
    <row r="67" spans="1:8" ht="35.1" customHeight="1" x14ac:dyDescent="0.25">
      <c r="A67" s="361" t="s">
        <v>464</v>
      </c>
      <c r="B67" s="362"/>
      <c r="C67" s="27"/>
      <c r="D67" s="336">
        <v>350000</v>
      </c>
      <c r="E67" s="105" t="s">
        <v>377</v>
      </c>
      <c r="G67" s="120"/>
      <c r="H67" s="120"/>
    </row>
    <row r="68" spans="1:8" ht="48" customHeight="1" x14ac:dyDescent="0.25">
      <c r="A68" s="361" t="s">
        <v>443</v>
      </c>
      <c r="B68" s="362"/>
      <c r="C68" s="27"/>
      <c r="D68" s="336">
        <v>780000</v>
      </c>
      <c r="E68" s="105" t="s">
        <v>444</v>
      </c>
      <c r="G68" s="120"/>
      <c r="H68" s="120"/>
    </row>
    <row r="69" spans="1:8" ht="35.1" customHeight="1" x14ac:dyDescent="0.25">
      <c r="A69" s="361" t="s">
        <v>392</v>
      </c>
      <c r="B69" s="362"/>
      <c r="C69" s="27"/>
      <c r="D69" s="172">
        <v>820380</v>
      </c>
      <c r="E69" s="105" t="s">
        <v>391</v>
      </c>
      <c r="G69" s="120"/>
      <c r="H69" s="120"/>
    </row>
    <row r="70" spans="1:8" ht="48" customHeight="1" x14ac:dyDescent="0.25">
      <c r="A70" s="361" t="s">
        <v>408</v>
      </c>
      <c r="B70" s="362"/>
      <c r="C70" s="27"/>
      <c r="D70" s="172">
        <v>2144590.69</v>
      </c>
      <c r="E70" s="105" t="s">
        <v>406</v>
      </c>
      <c r="G70" s="120"/>
      <c r="H70" s="120"/>
    </row>
    <row r="71" spans="1:8" ht="35.1" customHeight="1" x14ac:dyDescent="0.25">
      <c r="A71" s="361" t="s">
        <v>295</v>
      </c>
      <c r="B71" s="362"/>
      <c r="C71" s="27"/>
      <c r="D71" s="172">
        <v>350000</v>
      </c>
      <c r="E71" s="105" t="s">
        <v>377</v>
      </c>
      <c r="G71" s="120"/>
      <c r="H71" s="120"/>
    </row>
    <row r="72" spans="1:8" ht="15.75" thickBot="1" x14ac:dyDescent="0.3">
      <c r="A72" s="132" t="s">
        <v>181</v>
      </c>
      <c r="B72" s="48"/>
      <c r="C72" s="48"/>
      <c r="D72" s="334"/>
      <c r="E72" s="177">
        <f>SUM(D61:D71)</f>
        <v>11746002.34</v>
      </c>
    </row>
    <row r="73" spans="1:8" ht="15.75" thickBot="1" x14ac:dyDescent="0.3">
      <c r="A73" s="8" t="s">
        <v>182</v>
      </c>
      <c r="B73" s="139"/>
      <c r="C73" s="9"/>
      <c r="D73" s="337"/>
      <c r="E73" s="32"/>
    </row>
    <row r="74" spans="1:8" ht="35.1" customHeight="1" x14ac:dyDescent="0.25">
      <c r="A74" s="363" t="s">
        <v>382</v>
      </c>
      <c r="B74" s="364"/>
      <c r="C74" s="27"/>
      <c r="D74" s="336">
        <v>272250</v>
      </c>
      <c r="E74" s="105" t="s">
        <v>380</v>
      </c>
    </row>
    <row r="75" spans="1:8" ht="35.1" customHeight="1" x14ac:dyDescent="0.25">
      <c r="A75" s="361" t="s">
        <v>447</v>
      </c>
      <c r="B75" s="362"/>
      <c r="C75" s="27"/>
      <c r="D75" s="336">
        <v>573056</v>
      </c>
      <c r="E75" s="178" t="s">
        <v>385</v>
      </c>
    </row>
    <row r="76" spans="1:8" ht="46.5" customHeight="1" x14ac:dyDescent="0.25">
      <c r="A76" s="363" t="s">
        <v>412</v>
      </c>
      <c r="B76" s="364"/>
      <c r="C76" s="27"/>
      <c r="D76" s="336">
        <v>134662.5</v>
      </c>
      <c r="E76" s="34" t="s">
        <v>437</v>
      </c>
    </row>
    <row r="77" spans="1:8" ht="69" customHeight="1" x14ac:dyDescent="0.25">
      <c r="A77" s="361" t="s">
        <v>400</v>
      </c>
      <c r="B77" s="362"/>
      <c r="C77" s="134"/>
      <c r="D77" s="336">
        <v>250000</v>
      </c>
      <c r="E77" s="34" t="s">
        <v>401</v>
      </c>
    </row>
    <row r="78" spans="1:8" ht="60.75" customHeight="1" x14ac:dyDescent="0.25">
      <c r="A78" s="361" t="s">
        <v>446</v>
      </c>
      <c r="B78" s="362"/>
      <c r="C78" s="134"/>
      <c r="D78" s="336">
        <v>970000</v>
      </c>
      <c r="E78" s="34" t="s">
        <v>444</v>
      </c>
    </row>
    <row r="79" spans="1:8" ht="54" customHeight="1" x14ac:dyDescent="0.25">
      <c r="A79" s="361" t="s">
        <v>448</v>
      </c>
      <c r="B79" s="362"/>
      <c r="C79" s="134"/>
      <c r="D79" s="336">
        <f>200000+811500</f>
        <v>1011500</v>
      </c>
      <c r="E79" s="305" t="s">
        <v>439</v>
      </c>
    </row>
    <row r="80" spans="1:8" ht="32.25" customHeight="1" x14ac:dyDescent="0.25">
      <c r="A80" s="361" t="s">
        <v>438</v>
      </c>
      <c r="B80" s="362"/>
      <c r="C80" s="134"/>
      <c r="D80" s="336">
        <v>300000</v>
      </c>
      <c r="E80" s="34" t="s">
        <v>406</v>
      </c>
    </row>
    <row r="81" spans="1:5" ht="35.1" customHeight="1" x14ac:dyDescent="0.25">
      <c r="A81" s="361" t="s">
        <v>468</v>
      </c>
      <c r="B81" s="362"/>
      <c r="C81" s="134"/>
      <c r="D81" s="336">
        <v>172600</v>
      </c>
      <c r="E81" s="117" t="s">
        <v>401</v>
      </c>
    </row>
    <row r="82" spans="1:5" ht="35.1" customHeight="1" x14ac:dyDescent="0.25">
      <c r="A82" s="361" t="s">
        <v>451</v>
      </c>
      <c r="B82" s="362"/>
      <c r="C82" s="134"/>
      <c r="D82" s="336">
        <v>4000</v>
      </c>
      <c r="E82" s="117" t="s">
        <v>429</v>
      </c>
    </row>
    <row r="83" spans="1:5" ht="45.75" customHeight="1" x14ac:dyDescent="0.25">
      <c r="A83" s="361" t="s">
        <v>450</v>
      </c>
      <c r="B83" s="362"/>
      <c r="C83" s="134"/>
      <c r="D83" s="336">
        <v>199920</v>
      </c>
      <c r="E83" s="117" t="s">
        <v>429</v>
      </c>
    </row>
    <row r="84" spans="1:5" ht="36.75" customHeight="1" x14ac:dyDescent="0.25">
      <c r="A84" s="361" t="s">
        <v>450</v>
      </c>
      <c r="B84" s="362"/>
      <c r="C84" s="134"/>
      <c r="D84" s="336">
        <v>120000</v>
      </c>
      <c r="E84" s="117" t="s">
        <v>372</v>
      </c>
    </row>
    <row r="85" spans="1:5" ht="35.1" customHeight="1" x14ac:dyDescent="0.25">
      <c r="A85" s="361" t="s">
        <v>410</v>
      </c>
      <c r="B85" s="362"/>
      <c r="C85" s="134"/>
      <c r="D85" s="336">
        <v>201100</v>
      </c>
      <c r="E85" s="117" t="s">
        <v>406</v>
      </c>
    </row>
    <row r="86" spans="1:5" ht="45" customHeight="1" x14ac:dyDescent="0.25">
      <c r="A86" s="361" t="s">
        <v>373</v>
      </c>
      <c r="B86" s="362"/>
      <c r="C86" s="134"/>
      <c r="D86" s="336">
        <v>90000</v>
      </c>
      <c r="E86" s="117" t="s">
        <v>442</v>
      </c>
    </row>
    <row r="87" spans="1:5" ht="45" customHeight="1" x14ac:dyDescent="0.25">
      <c r="A87" s="361" t="s">
        <v>389</v>
      </c>
      <c r="B87" s="362"/>
      <c r="C87" s="134"/>
      <c r="D87" s="336">
        <v>81945.52</v>
      </c>
      <c r="E87" s="117" t="s">
        <v>429</v>
      </c>
    </row>
    <row r="88" spans="1:5" ht="45" customHeight="1" x14ac:dyDescent="0.25">
      <c r="A88" s="361" t="s">
        <v>390</v>
      </c>
      <c r="B88" s="362"/>
      <c r="C88" s="134"/>
      <c r="D88" s="336">
        <v>12000.05</v>
      </c>
      <c r="E88" s="117" t="s">
        <v>385</v>
      </c>
    </row>
    <row r="89" spans="1:5" ht="45" customHeight="1" x14ac:dyDescent="0.25">
      <c r="A89" s="363" t="s">
        <v>379</v>
      </c>
      <c r="B89" s="364"/>
      <c r="C89" s="134"/>
      <c r="D89" s="336">
        <v>2260000</v>
      </c>
      <c r="E89" s="117" t="s">
        <v>380</v>
      </c>
    </row>
    <row r="90" spans="1:5" ht="45" customHeight="1" x14ac:dyDescent="0.25">
      <c r="A90" s="363" t="s">
        <v>405</v>
      </c>
      <c r="B90" s="364"/>
      <c r="C90" s="134"/>
      <c r="D90" s="336">
        <v>545000</v>
      </c>
      <c r="E90" s="117" t="s">
        <v>394</v>
      </c>
    </row>
    <row r="91" spans="1:5" ht="45" customHeight="1" x14ac:dyDescent="0.25">
      <c r="A91" s="363" t="s">
        <v>465</v>
      </c>
      <c r="B91" s="364"/>
      <c r="C91" s="134"/>
      <c r="D91" s="336">
        <v>500000</v>
      </c>
      <c r="E91" s="117" t="s">
        <v>442</v>
      </c>
    </row>
    <row r="92" spans="1:5" ht="45" customHeight="1" x14ac:dyDescent="0.25">
      <c r="A92" s="363" t="s">
        <v>403</v>
      </c>
      <c r="B92" s="364"/>
      <c r="C92" s="134"/>
      <c r="D92" s="336">
        <v>2165000</v>
      </c>
      <c r="E92" s="117" t="s">
        <v>394</v>
      </c>
    </row>
    <row r="93" spans="1:5" ht="61.15" customHeight="1" x14ac:dyDescent="0.25">
      <c r="A93" s="363" t="s">
        <v>404</v>
      </c>
      <c r="B93" s="364"/>
      <c r="C93" s="27"/>
      <c r="D93" s="336">
        <v>2790000</v>
      </c>
      <c r="E93" s="117" t="s">
        <v>394</v>
      </c>
    </row>
    <row r="94" spans="1:5" ht="34.9" customHeight="1" x14ac:dyDescent="0.25">
      <c r="A94" s="361" t="s">
        <v>463</v>
      </c>
      <c r="B94" s="362"/>
      <c r="C94" s="27"/>
      <c r="D94" s="336">
        <v>124958</v>
      </c>
      <c r="E94" s="106" t="s">
        <v>433</v>
      </c>
    </row>
    <row r="95" spans="1:5" ht="34.9" customHeight="1" x14ac:dyDescent="0.25">
      <c r="A95" s="361" t="s">
        <v>440</v>
      </c>
      <c r="B95" s="362"/>
      <c r="C95" s="134"/>
      <c r="D95" s="336">
        <v>17900</v>
      </c>
      <c r="E95" s="106" t="s">
        <v>433</v>
      </c>
    </row>
    <row r="96" spans="1:5" ht="34.9" customHeight="1" x14ac:dyDescent="0.25">
      <c r="A96" s="361" t="s">
        <v>411</v>
      </c>
      <c r="B96" s="362"/>
      <c r="C96" s="134"/>
      <c r="D96" s="336">
        <v>256310</v>
      </c>
      <c r="E96" s="106" t="s">
        <v>433</v>
      </c>
    </row>
    <row r="97" spans="1:7" ht="34.9" customHeight="1" x14ac:dyDescent="0.25">
      <c r="A97" s="361" t="s">
        <v>375</v>
      </c>
      <c r="B97" s="362"/>
      <c r="C97" s="134"/>
      <c r="D97" s="336">
        <v>68000</v>
      </c>
      <c r="E97" s="106" t="s">
        <v>406</v>
      </c>
    </row>
    <row r="98" spans="1:7" ht="48.75" customHeight="1" x14ac:dyDescent="0.25">
      <c r="A98" s="361" t="s">
        <v>445</v>
      </c>
      <c r="B98" s="362"/>
      <c r="C98" s="134"/>
      <c r="D98" s="336">
        <v>129460.3</v>
      </c>
      <c r="E98" s="106" t="s">
        <v>433</v>
      </c>
    </row>
    <row r="99" spans="1:7" ht="34.9" customHeight="1" x14ac:dyDescent="0.25">
      <c r="A99" s="176" t="s">
        <v>426</v>
      </c>
      <c r="B99" s="175"/>
      <c r="C99" s="134"/>
      <c r="D99" s="336">
        <v>8000</v>
      </c>
      <c r="E99" s="106" t="s">
        <v>433</v>
      </c>
    </row>
    <row r="100" spans="1:7" ht="34.9" customHeight="1" x14ac:dyDescent="0.25">
      <c r="A100" s="176" t="s">
        <v>374</v>
      </c>
      <c r="B100" s="175"/>
      <c r="C100" s="134"/>
      <c r="D100" s="336">
        <v>16000</v>
      </c>
      <c r="E100" s="106" t="s">
        <v>433</v>
      </c>
    </row>
    <row r="101" spans="1:7" ht="35.1" customHeight="1" x14ac:dyDescent="0.25">
      <c r="A101" s="361" t="s">
        <v>388</v>
      </c>
      <c r="B101" s="362"/>
      <c r="C101" s="134"/>
      <c r="D101" s="336">
        <v>305000</v>
      </c>
      <c r="E101" s="106" t="s">
        <v>385</v>
      </c>
    </row>
    <row r="102" spans="1:7" ht="15.75" thickBot="1" x14ac:dyDescent="0.3">
      <c r="A102" s="140" t="s">
        <v>183</v>
      </c>
      <c r="B102" s="140"/>
      <c r="C102" s="140"/>
      <c r="D102" s="338"/>
      <c r="E102" s="112">
        <f>SUM(D74:D101)</f>
        <v>13578662.370000001</v>
      </c>
    </row>
    <row r="103" spans="1:7" x14ac:dyDescent="0.25">
      <c r="A103" s="8" t="s">
        <v>12</v>
      </c>
      <c r="B103" s="8"/>
      <c r="C103" s="8"/>
      <c r="D103" s="339"/>
      <c r="E103" s="29"/>
    </row>
    <row r="104" spans="1:7" ht="35.1" customHeight="1" x14ac:dyDescent="0.25">
      <c r="A104" s="361" t="s">
        <v>466</v>
      </c>
      <c r="B104" s="362"/>
      <c r="C104" s="27"/>
      <c r="D104" s="340">
        <v>2800000</v>
      </c>
      <c r="E104" s="117"/>
    </row>
    <row r="105" spans="1:7" ht="35.1" customHeight="1" x14ac:dyDescent="0.25">
      <c r="A105" s="361" t="s">
        <v>308</v>
      </c>
      <c r="B105" s="362"/>
      <c r="C105" s="27"/>
      <c r="D105" s="340">
        <v>0</v>
      </c>
      <c r="E105" s="117"/>
    </row>
    <row r="106" spans="1:7" ht="15.75" thickBot="1" x14ac:dyDescent="0.3">
      <c r="A106" s="132" t="s">
        <v>152</v>
      </c>
      <c r="B106" s="132"/>
      <c r="C106" s="132"/>
      <c r="D106" s="330"/>
      <c r="E106" s="113">
        <f>SUM(D104:D105)</f>
        <v>2800000</v>
      </c>
    </row>
    <row r="107" spans="1:7" ht="15.75" thickBot="1" x14ac:dyDescent="0.3">
      <c r="A107" s="8" t="s">
        <v>7</v>
      </c>
      <c r="B107" s="139"/>
      <c r="C107" s="9"/>
      <c r="D107" s="337"/>
      <c r="E107" s="32"/>
    </row>
    <row r="108" spans="1:7" x14ac:dyDescent="0.25">
      <c r="A108" s="27" t="s">
        <v>22</v>
      </c>
      <c r="B108" s="27"/>
      <c r="C108" s="27"/>
      <c r="D108" s="172">
        <f>20+1453214.3</f>
        <v>1453234.3</v>
      </c>
      <c r="E108" s="34"/>
    </row>
    <row r="109" spans="1:7" x14ac:dyDescent="0.25">
      <c r="A109" s="27" t="s">
        <v>23</v>
      </c>
      <c r="B109" s="27"/>
      <c r="C109" s="27"/>
      <c r="D109" s="172">
        <v>57500</v>
      </c>
      <c r="E109" s="33"/>
    </row>
    <row r="110" spans="1:7" x14ac:dyDescent="0.25">
      <c r="A110" s="141" t="s">
        <v>153</v>
      </c>
      <c r="B110" s="141"/>
      <c r="C110" s="141"/>
      <c r="D110" s="341"/>
      <c r="E110" s="116">
        <f>SUM(D108:D109)</f>
        <v>1510734.3</v>
      </c>
    </row>
    <row r="111" spans="1:7" x14ac:dyDescent="0.25">
      <c r="A111" s="27"/>
      <c r="B111" s="27"/>
      <c r="C111" s="27"/>
      <c r="D111" s="1"/>
      <c r="E111" s="64"/>
    </row>
    <row r="112" spans="1:7" x14ac:dyDescent="0.25">
      <c r="A112" s="27"/>
      <c r="B112" s="27"/>
      <c r="C112" s="27"/>
      <c r="D112" s="1"/>
      <c r="E112" s="64"/>
      <c r="F112" s="14"/>
      <c r="G112" s="44"/>
    </row>
    <row r="113" spans="1:8" ht="15.75" thickBot="1" x14ac:dyDescent="0.3">
      <c r="A113" s="142" t="s">
        <v>8</v>
      </c>
      <c r="B113" s="143"/>
      <c r="C113" s="63"/>
      <c r="D113" s="342"/>
      <c r="E113" s="186">
        <f>(SUM(E42:E111))</f>
        <v>80675963.920000002</v>
      </c>
      <c r="F113" s="43"/>
    </row>
    <row r="114" spans="1:8" x14ac:dyDescent="0.25">
      <c r="A114" s="35"/>
      <c r="B114" s="35"/>
      <c r="C114" s="35"/>
      <c r="E114" s="35"/>
    </row>
    <row r="115" spans="1:8" x14ac:dyDescent="0.25">
      <c r="A115" s="35"/>
      <c r="B115" s="35"/>
      <c r="C115" s="35"/>
      <c r="E115" s="35"/>
    </row>
    <row r="116" spans="1:8" x14ac:dyDescent="0.25">
      <c r="A116" s="144" t="s">
        <v>9</v>
      </c>
      <c r="B116" s="47"/>
      <c r="C116" s="47"/>
      <c r="D116" s="343"/>
      <c r="E116" s="47"/>
    </row>
    <row r="117" spans="1:8" ht="31.5" customHeight="1" x14ac:dyDescent="0.25">
      <c r="A117" s="361" t="s">
        <v>378</v>
      </c>
      <c r="B117" s="362"/>
      <c r="C117" s="27"/>
      <c r="D117" s="172">
        <v>471963.04</v>
      </c>
      <c r="E117" s="27" t="s">
        <v>280</v>
      </c>
    </row>
    <row r="118" spans="1:8" ht="30" customHeight="1" x14ac:dyDescent="0.25">
      <c r="A118" s="363" t="s">
        <v>431</v>
      </c>
      <c r="B118" s="364"/>
      <c r="C118" s="27"/>
      <c r="D118" s="172">
        <v>1041097.35</v>
      </c>
      <c r="E118" s="106" t="s">
        <v>385</v>
      </c>
    </row>
    <row r="119" spans="1:8" ht="30" customHeight="1" x14ac:dyDescent="0.25">
      <c r="A119" s="363" t="s">
        <v>432</v>
      </c>
      <c r="B119" s="364"/>
      <c r="C119" s="27"/>
      <c r="D119" s="172">
        <v>669281.25</v>
      </c>
      <c r="E119" s="106" t="s">
        <v>385</v>
      </c>
      <c r="H119" s="14"/>
    </row>
    <row r="120" spans="1:8" ht="38.25" customHeight="1" x14ac:dyDescent="0.25">
      <c r="A120" s="363" t="s">
        <v>193</v>
      </c>
      <c r="B120" s="364"/>
      <c r="C120" s="27"/>
      <c r="D120" s="172">
        <v>5740.96</v>
      </c>
      <c r="E120" s="27" t="str">
        <f>E117</f>
        <v>Debito autom.</v>
      </c>
    </row>
    <row r="121" spans="1:8" ht="33.75" customHeight="1" x14ac:dyDescent="0.25">
      <c r="A121" s="363" t="s">
        <v>325</v>
      </c>
      <c r="B121" s="364"/>
      <c r="C121" s="27"/>
      <c r="D121" s="172">
        <v>0</v>
      </c>
      <c r="E121" s="27" t="s">
        <v>280</v>
      </c>
      <c r="G121" t="s">
        <v>449</v>
      </c>
    </row>
    <row r="122" spans="1:8" x14ac:dyDescent="0.25">
      <c r="A122" s="144" t="s">
        <v>4</v>
      </c>
      <c r="B122" s="47"/>
      <c r="C122" s="47"/>
      <c r="D122" s="47"/>
      <c r="E122" s="114">
        <f>SUM(D117:D121)</f>
        <v>2188082.5999999996</v>
      </c>
    </row>
    <row r="123" spans="1:8" ht="15.75" thickBot="1" x14ac:dyDescent="0.3">
      <c r="A123" s="35"/>
      <c r="B123" s="35"/>
      <c r="C123" s="35"/>
      <c r="D123" s="35"/>
      <c r="E123" s="35"/>
    </row>
    <row r="124" spans="1:8" x14ac:dyDescent="0.25">
      <c r="A124" s="145" t="s">
        <v>21</v>
      </c>
      <c r="B124" s="146"/>
      <c r="C124" s="147"/>
      <c r="D124" s="57"/>
      <c r="E124" s="58"/>
    </row>
    <row r="125" spans="1:8" ht="43.5" customHeight="1" x14ac:dyDescent="0.25">
      <c r="A125" s="361" t="s">
        <v>383</v>
      </c>
      <c r="B125" s="362"/>
      <c r="C125" s="138"/>
      <c r="D125" s="344">
        <v>16863793.07</v>
      </c>
      <c r="E125" s="33" t="s">
        <v>384</v>
      </c>
    </row>
    <row r="126" spans="1:8" ht="45" customHeight="1" x14ac:dyDescent="0.25">
      <c r="A126" s="363" t="s">
        <v>339</v>
      </c>
      <c r="B126" s="364"/>
      <c r="C126" s="27"/>
      <c r="D126" s="345">
        <v>7376323.96</v>
      </c>
      <c r="E126" s="105" t="s">
        <v>372</v>
      </c>
    </row>
    <row r="127" spans="1:8" ht="45" customHeight="1" x14ac:dyDescent="0.25">
      <c r="A127" s="363" t="s">
        <v>371</v>
      </c>
      <c r="B127" s="364"/>
      <c r="C127" s="27"/>
      <c r="D127" s="345">
        <v>556600</v>
      </c>
      <c r="E127" s="105" t="s">
        <v>372</v>
      </c>
    </row>
    <row r="128" spans="1:8" ht="43.5" customHeight="1" thickBot="1" x14ac:dyDescent="0.3">
      <c r="A128" s="363"/>
      <c r="B128" s="364"/>
      <c r="C128" s="27"/>
      <c r="D128" s="181"/>
      <c r="E128" s="105"/>
    </row>
    <row r="129" spans="1:7" ht="15.75" thickBot="1" x14ac:dyDescent="0.3">
      <c r="A129" s="148" t="s">
        <v>4</v>
      </c>
      <c r="B129" s="149"/>
      <c r="C129" s="149"/>
      <c r="D129" s="150"/>
      <c r="E129" s="115">
        <f>SUM(D125:D128)</f>
        <v>24796717.030000001</v>
      </c>
    </row>
    <row r="130" spans="1:7" ht="15" customHeight="1" x14ac:dyDescent="0.25">
      <c r="A130" s="35"/>
      <c r="B130" s="35"/>
      <c r="C130" s="35"/>
      <c r="D130" s="35"/>
      <c r="E130" s="35"/>
    </row>
    <row r="131" spans="1:7" ht="15.75" hidden="1" thickBot="1" x14ac:dyDescent="0.3">
      <c r="A131" s="35"/>
      <c r="B131" s="35"/>
      <c r="C131" s="35"/>
      <c r="D131" s="35"/>
      <c r="E131" s="35"/>
    </row>
    <row r="132" spans="1:7" ht="15.75" thickBot="1" x14ac:dyDescent="0.3">
      <c r="A132" s="35"/>
      <c r="B132" s="35"/>
      <c r="C132" s="35"/>
      <c r="D132" s="35"/>
      <c r="E132" s="35"/>
    </row>
    <row r="133" spans="1:7" ht="15.75" thickBot="1" x14ac:dyDescent="0.3">
      <c r="A133" s="148" t="s">
        <v>13</v>
      </c>
      <c r="B133" s="151"/>
      <c r="C133" s="152"/>
      <c r="D133" s="152"/>
      <c r="E133" s="153">
        <f>E129</f>
        <v>24796717.030000001</v>
      </c>
    </row>
    <row r="134" spans="1:7" ht="15.75" thickBot="1" x14ac:dyDescent="0.3">
      <c r="A134" s="35"/>
      <c r="B134" s="35"/>
      <c r="C134" s="35"/>
      <c r="D134" s="35"/>
      <c r="E134" s="35"/>
    </row>
    <row r="135" spans="1:7" x14ac:dyDescent="0.25">
      <c r="A135" s="154" t="s">
        <v>191</v>
      </c>
      <c r="B135" s="155"/>
      <c r="C135" s="156"/>
      <c r="D135" s="65"/>
      <c r="E135" s="66"/>
    </row>
    <row r="136" spans="1:7" ht="30" customHeight="1" x14ac:dyDescent="0.25">
      <c r="A136" s="372" t="s">
        <v>407</v>
      </c>
      <c r="B136" s="372"/>
      <c r="C136" s="27"/>
      <c r="D136" s="344">
        <f>1583840-920000</f>
        <v>663840</v>
      </c>
      <c r="E136" s="31" t="str">
        <f>E40</f>
        <v>Transf 15/12</v>
      </c>
    </row>
    <row r="137" spans="1:7" ht="30" customHeight="1" x14ac:dyDescent="0.25">
      <c r="A137" s="361" t="s">
        <v>396</v>
      </c>
      <c r="B137" s="362"/>
      <c r="C137" s="134"/>
      <c r="D137" s="344">
        <v>91169.89</v>
      </c>
      <c r="E137" s="31" t="str">
        <f>E57</f>
        <v>Transf 01/12</v>
      </c>
      <c r="G137" s="39"/>
    </row>
    <row r="138" spans="1:7" ht="30" customHeight="1" x14ac:dyDescent="0.25">
      <c r="A138" s="361" t="s">
        <v>397</v>
      </c>
      <c r="B138" s="375"/>
      <c r="C138" s="362"/>
      <c r="D138" s="344">
        <v>91169.89</v>
      </c>
      <c r="E138" s="31" t="str">
        <f t="shared" ref="E138:E140" si="0">E137</f>
        <v>Transf 01/12</v>
      </c>
      <c r="G138" s="39"/>
    </row>
    <row r="139" spans="1:7" ht="30" customHeight="1" x14ac:dyDescent="0.25">
      <c r="A139" s="361" t="s">
        <v>398</v>
      </c>
      <c r="B139" s="375"/>
      <c r="C139" s="362"/>
      <c r="D139" s="344">
        <v>91169.89</v>
      </c>
      <c r="E139" s="31" t="str">
        <f t="shared" si="0"/>
        <v>Transf 01/12</v>
      </c>
      <c r="G139" s="39"/>
    </row>
    <row r="140" spans="1:7" ht="30" customHeight="1" x14ac:dyDescent="0.25">
      <c r="A140" s="361" t="s">
        <v>399</v>
      </c>
      <c r="B140" s="362"/>
      <c r="C140" s="134"/>
      <c r="D140" s="344">
        <v>91169.89</v>
      </c>
      <c r="E140" s="31" t="str">
        <f t="shared" si="0"/>
        <v>Transf 01/12</v>
      </c>
    </row>
    <row r="141" spans="1:7" x14ac:dyDescent="0.25">
      <c r="A141" s="111" t="s">
        <v>4</v>
      </c>
      <c r="B141" s="118"/>
      <c r="C141" s="118"/>
      <c r="D141" s="173"/>
      <c r="E141" s="119">
        <f>SUM(D136:D140)</f>
        <v>1028519.56</v>
      </c>
    </row>
    <row r="142" spans="1:7" x14ac:dyDescent="0.25">
      <c r="D142" s="35"/>
    </row>
    <row r="143" spans="1:7" x14ac:dyDescent="0.25">
      <c r="D143" s="35"/>
    </row>
    <row r="144" spans="1:7" ht="15.75" thickBot="1" x14ac:dyDescent="0.3"/>
    <row r="145" spans="1:11" ht="17.25" customHeight="1" thickBot="1" x14ac:dyDescent="0.3">
      <c r="A145" s="180" t="s">
        <v>192</v>
      </c>
      <c r="B145" s="67"/>
      <c r="C145" s="68"/>
      <c r="D145" s="68"/>
      <c r="E145" s="179">
        <f>E141</f>
        <v>1028519.56</v>
      </c>
    </row>
    <row r="146" spans="1:11" x14ac:dyDescent="0.25">
      <c r="H146" s="360" t="s">
        <v>471</v>
      </c>
      <c r="I146" s="360"/>
      <c r="J146" s="360"/>
      <c r="K146" s="360"/>
    </row>
    <row r="147" spans="1:11" ht="15.75" thickBot="1" x14ac:dyDescent="0.3">
      <c r="H147" s="360"/>
      <c r="I147" s="360"/>
      <c r="J147" s="360"/>
      <c r="K147" s="360"/>
    </row>
    <row r="148" spans="1:11" ht="15.75" thickBot="1" x14ac:dyDescent="0.3">
      <c r="A148" s="25" t="s">
        <v>184</v>
      </c>
      <c r="B148" s="26">
        <f>E113</f>
        <v>80675963.920000002</v>
      </c>
      <c r="H148" s="360"/>
      <c r="I148" s="360"/>
      <c r="J148" s="360"/>
      <c r="K148" s="360"/>
    </row>
    <row r="149" spans="1:11" ht="15.75" thickBot="1" x14ac:dyDescent="0.3">
      <c r="A149" s="25" t="s">
        <v>21</v>
      </c>
      <c r="B149" s="26">
        <f>E133</f>
        <v>24796717.030000001</v>
      </c>
      <c r="H149" s="360"/>
      <c r="I149" s="360"/>
      <c r="J149" s="360"/>
      <c r="K149" s="360"/>
    </row>
    <row r="150" spans="1:11" ht="15.75" thickBot="1" x14ac:dyDescent="0.3">
      <c r="A150" s="49" t="s">
        <v>154</v>
      </c>
      <c r="B150" s="50">
        <f>E122</f>
        <v>2188082.5999999996</v>
      </c>
      <c r="H150" s="360"/>
      <c r="I150" s="360"/>
      <c r="J150" s="360"/>
      <c r="K150" s="360"/>
    </row>
    <row r="151" spans="1:11" ht="34.5" customHeight="1" thickBot="1" x14ac:dyDescent="0.3">
      <c r="A151" s="60" t="s">
        <v>232</v>
      </c>
      <c r="B151" s="50">
        <f>B150+B148</f>
        <v>82864046.519999996</v>
      </c>
      <c r="H151" s="360"/>
      <c r="I151" s="360"/>
      <c r="J151" s="360"/>
      <c r="K151" s="360"/>
    </row>
    <row r="152" spans="1:11" ht="34.5" customHeight="1" x14ac:dyDescent="0.25">
      <c r="A152" s="365" t="s">
        <v>476</v>
      </c>
      <c r="B152" s="366"/>
    </row>
    <row r="153" spans="1:11" ht="34.5" customHeight="1" x14ac:dyDescent="0.25">
      <c r="A153" s="367"/>
      <c r="B153" s="368"/>
    </row>
    <row r="154" spans="1:11" ht="54.75" customHeight="1" thickBot="1" x14ac:dyDescent="0.3">
      <c r="A154" s="369"/>
      <c r="B154" s="370"/>
    </row>
    <row r="155" spans="1:11" x14ac:dyDescent="0.25">
      <c r="A155" s="168" t="s">
        <v>241</v>
      </c>
      <c r="B155" s="157"/>
      <c r="C155" s="5"/>
    </row>
    <row r="156" spans="1:11" s="314" customFormat="1" x14ac:dyDescent="0.25">
      <c r="A156" s="311" t="s">
        <v>235</v>
      </c>
      <c r="B156" s="312">
        <v>76149416.219999954</v>
      </c>
      <c r="C156" s="313"/>
      <c r="E156" s="315"/>
    </row>
    <row r="157" spans="1:11" s="314" customFormat="1" x14ac:dyDescent="0.25">
      <c r="A157" s="316" t="s">
        <v>236</v>
      </c>
      <c r="B157" s="317">
        <f>PRORRATEO!F160</f>
        <v>111638065.42</v>
      </c>
      <c r="C157" s="318"/>
    </row>
    <row r="158" spans="1:11" s="314" customFormat="1" ht="36.75" customHeight="1" x14ac:dyDescent="0.25">
      <c r="A158" s="7" t="s">
        <v>247</v>
      </c>
      <c r="B158" s="319">
        <f>B196</f>
        <v>3040500</v>
      </c>
      <c r="C158" s="318"/>
      <c r="D158" s="315"/>
    </row>
    <row r="159" spans="1:11" s="314" customFormat="1" ht="16.5" customHeight="1" x14ac:dyDescent="0.25">
      <c r="A159" s="171" t="s">
        <v>307</v>
      </c>
      <c r="B159" s="320">
        <f>-B171</f>
        <v>-813600</v>
      </c>
      <c r="C159" s="318"/>
      <c r="D159" s="315"/>
    </row>
    <row r="160" spans="1:11" s="314" customFormat="1" ht="16.5" customHeight="1" x14ac:dyDescent="0.25">
      <c r="A160" s="171" t="s">
        <v>458</v>
      </c>
      <c r="B160" s="320">
        <v>-23468</v>
      </c>
      <c r="C160" s="318"/>
      <c r="D160" s="315"/>
      <c r="F160" s="321"/>
    </row>
    <row r="161" spans="1:6" s="314" customFormat="1" ht="104.25" customHeight="1" x14ac:dyDescent="0.25">
      <c r="A161" s="37" t="s">
        <v>469</v>
      </c>
      <c r="B161" s="320">
        <v>-658626</v>
      </c>
      <c r="C161" s="318"/>
      <c r="D161" s="315"/>
      <c r="F161" s="321"/>
    </row>
    <row r="162" spans="1:6" s="314" customFormat="1" ht="58.5" customHeight="1" x14ac:dyDescent="0.25">
      <c r="A162" s="37" t="s">
        <v>472</v>
      </c>
      <c r="B162" s="320">
        <v>-911306</v>
      </c>
      <c r="C162" s="318"/>
      <c r="D162" s="315"/>
      <c r="F162" s="321"/>
    </row>
    <row r="163" spans="1:6" s="314" customFormat="1" ht="18" customHeight="1" x14ac:dyDescent="0.25">
      <c r="A163" s="37" t="s">
        <v>190</v>
      </c>
      <c r="B163" s="320">
        <f>-E145</f>
        <v>-1028519.56</v>
      </c>
      <c r="C163" s="318"/>
      <c r="F163" s="321"/>
    </row>
    <row r="164" spans="1:6" s="314" customFormat="1" ht="18" customHeight="1" x14ac:dyDescent="0.25">
      <c r="A164" s="7" t="s">
        <v>155</v>
      </c>
      <c r="B164" s="320">
        <f>-E122</f>
        <v>-2188082.5999999996</v>
      </c>
      <c r="C164" s="318"/>
      <c r="D164" s="321"/>
    </row>
    <row r="165" spans="1:6" s="314" customFormat="1" ht="18" customHeight="1" x14ac:dyDescent="0.25">
      <c r="A165" s="7" t="s">
        <v>14</v>
      </c>
      <c r="B165" s="320">
        <f>-E113</f>
        <v>-80675963.920000002</v>
      </c>
      <c r="C165" s="318"/>
      <c r="D165" s="322"/>
      <c r="E165" s="322"/>
    </row>
    <row r="166" spans="1:6" s="314" customFormat="1" ht="18" customHeight="1" x14ac:dyDescent="0.25">
      <c r="A166" s="7" t="s">
        <v>266</v>
      </c>
      <c r="B166" s="320">
        <f>-E133</f>
        <v>-24796717.030000001</v>
      </c>
      <c r="C166" s="318"/>
      <c r="E166" s="322"/>
    </row>
    <row r="167" spans="1:6" x14ac:dyDescent="0.25">
      <c r="A167" s="169" t="s">
        <v>4</v>
      </c>
      <c r="B167" s="42">
        <f>SUM(B156:B166)</f>
        <v>79731698.529999956</v>
      </c>
      <c r="C167" s="6"/>
      <c r="D167" s="14"/>
      <c r="E167" s="43"/>
      <c r="F167" s="43"/>
    </row>
    <row r="168" spans="1:6" ht="15.75" thickBot="1" x14ac:dyDescent="0.3">
      <c r="A168" s="170"/>
      <c r="B168" s="12"/>
      <c r="C168" s="6"/>
      <c r="D168" s="14"/>
      <c r="E168" s="40"/>
      <c r="F168" s="102"/>
    </row>
    <row r="169" spans="1:6" x14ac:dyDescent="0.25">
      <c r="A169" s="373" t="s">
        <v>305</v>
      </c>
      <c r="B169" s="374"/>
      <c r="C169" s="6"/>
      <c r="D169" s="14"/>
      <c r="E169" s="40"/>
      <c r="F169" s="102"/>
    </row>
    <row r="170" spans="1:6" x14ac:dyDescent="0.25">
      <c r="A170" s="162" t="s">
        <v>306</v>
      </c>
      <c r="B170" s="163">
        <v>648000</v>
      </c>
      <c r="C170" s="6"/>
      <c r="D170" s="14"/>
      <c r="E170" s="40"/>
      <c r="F170" s="102"/>
    </row>
    <row r="171" spans="1:6" x14ac:dyDescent="0.25">
      <c r="A171" s="162" t="s">
        <v>307</v>
      </c>
      <c r="B171" s="163">
        <v>813600</v>
      </c>
      <c r="C171" s="6"/>
      <c r="D171" s="14"/>
      <c r="E171" s="40"/>
      <c r="F171" s="102"/>
    </row>
    <row r="172" spans="1:6" x14ac:dyDescent="0.25">
      <c r="A172" s="162" t="s">
        <v>467</v>
      </c>
      <c r="B172" s="163">
        <v>-162200</v>
      </c>
      <c r="C172" s="6"/>
      <c r="D172" s="14"/>
      <c r="E172" s="40"/>
      <c r="F172" s="102"/>
    </row>
    <row r="173" spans="1:6" ht="15.75" thickBot="1" x14ac:dyDescent="0.3">
      <c r="A173" s="164"/>
      <c r="B173" s="166"/>
      <c r="C173" s="6"/>
      <c r="D173" s="14"/>
      <c r="E173" s="40"/>
      <c r="F173" s="102"/>
    </row>
    <row r="174" spans="1:6" ht="15.75" thickBot="1" x14ac:dyDescent="0.3">
      <c r="A174" s="165" t="s">
        <v>4</v>
      </c>
      <c r="B174" s="167">
        <f>SUM(B170:B173)</f>
        <v>1299400</v>
      </c>
      <c r="C174" s="6"/>
      <c r="D174" s="14"/>
      <c r="E174" s="40"/>
      <c r="F174" s="102"/>
    </row>
    <row r="175" spans="1:6" ht="15.75" thickBot="1" x14ac:dyDescent="0.3">
      <c r="A175" s="160"/>
      <c r="B175" s="161"/>
      <c r="C175" s="6"/>
      <c r="D175" s="14"/>
      <c r="E175" s="40"/>
      <c r="F175" s="102"/>
    </row>
    <row r="176" spans="1:6" ht="33" customHeight="1" thickBot="1" x14ac:dyDescent="0.3">
      <c r="A176" s="185" t="s">
        <v>332</v>
      </c>
      <c r="B176" s="184">
        <f>B174+B167</f>
        <v>81031098.529999956</v>
      </c>
      <c r="C176" s="6"/>
      <c r="D176" s="14"/>
      <c r="E176" s="40"/>
      <c r="F176" s="102"/>
    </row>
    <row r="177" spans="1:15" x14ac:dyDescent="0.25">
      <c r="B177" s="12"/>
      <c r="C177" s="6"/>
      <c r="D177" s="14"/>
      <c r="E177" s="40"/>
      <c r="F177" s="102"/>
    </row>
    <row r="178" spans="1:15" x14ac:dyDescent="0.25">
      <c r="A178" s="96" t="s">
        <v>240</v>
      </c>
      <c r="B178" s="97"/>
      <c r="C178" s="6"/>
      <c r="D178" s="14"/>
      <c r="E178" s="40"/>
      <c r="F178" s="41"/>
    </row>
    <row r="179" spans="1:15" ht="22.5" customHeight="1" x14ac:dyDescent="0.25">
      <c r="A179" s="124" t="s">
        <v>306</v>
      </c>
      <c r="B179" s="172">
        <v>0</v>
      </c>
      <c r="C179" s="6"/>
      <c r="D179" s="14"/>
      <c r="E179" s="40"/>
      <c r="F179" s="41"/>
    </row>
    <row r="180" spans="1:15" ht="22.5" customHeight="1" x14ac:dyDescent="0.25">
      <c r="A180" s="124" t="s">
        <v>470</v>
      </c>
      <c r="B180" s="172">
        <v>658626</v>
      </c>
      <c r="C180" s="6"/>
      <c r="D180" s="14"/>
      <c r="E180" s="40"/>
      <c r="F180" s="41"/>
    </row>
    <row r="181" spans="1:15" x14ac:dyDescent="0.25">
      <c r="A181" s="96" t="s">
        <v>4</v>
      </c>
      <c r="B181" s="97">
        <f>SUM(B178:B180)</f>
        <v>658626</v>
      </c>
      <c r="C181" s="6"/>
      <c r="D181" s="14"/>
      <c r="E181" s="40"/>
      <c r="F181" s="41"/>
    </row>
    <row r="182" spans="1:15" ht="15.75" thickBot="1" x14ac:dyDescent="0.3">
      <c r="B182" s="12"/>
      <c r="C182" s="6"/>
      <c r="D182" s="14"/>
      <c r="E182" s="40"/>
      <c r="F182" s="41"/>
    </row>
    <row r="183" spans="1:15" x14ac:dyDescent="0.25">
      <c r="A183" s="158" t="s">
        <v>233</v>
      </c>
      <c r="B183" s="82"/>
      <c r="C183" s="6"/>
      <c r="D183" s="101"/>
      <c r="E183" s="182"/>
      <c r="F183" s="183"/>
      <c r="G183" s="39"/>
      <c r="H183" s="39"/>
      <c r="I183" s="39"/>
      <c r="J183" s="39"/>
      <c r="K183" s="39"/>
      <c r="L183" s="39"/>
      <c r="M183" s="39"/>
      <c r="N183" s="39"/>
      <c r="O183" s="39"/>
    </row>
    <row r="184" spans="1:15" x14ac:dyDescent="0.25">
      <c r="A184" s="93" t="s">
        <v>239</v>
      </c>
      <c r="B184" s="94">
        <v>30000000</v>
      </c>
      <c r="C184" s="6"/>
      <c r="D184" s="101"/>
      <c r="E184" s="182"/>
      <c r="F184" s="183"/>
      <c r="G184" s="39"/>
      <c r="H184" s="39"/>
      <c r="I184" s="39"/>
      <c r="J184" s="39"/>
      <c r="K184" s="39"/>
      <c r="L184" s="39"/>
      <c r="M184" s="39"/>
      <c r="N184" s="39"/>
      <c r="O184" s="39"/>
    </row>
    <row r="185" spans="1:15" x14ac:dyDescent="0.25">
      <c r="A185" s="1"/>
      <c r="B185" s="10"/>
      <c r="C185" s="6"/>
      <c r="D185" s="101"/>
      <c r="E185" s="182"/>
      <c r="F185" s="183"/>
      <c r="G185" s="39"/>
      <c r="H185" s="39"/>
      <c r="I185" s="39"/>
      <c r="J185" s="39"/>
      <c r="K185" s="39"/>
      <c r="L185" s="39"/>
      <c r="M185" s="39"/>
      <c r="N185" s="39"/>
      <c r="O185" s="39"/>
    </row>
    <row r="186" spans="1:15" x14ac:dyDescent="0.25">
      <c r="A186" s="1"/>
      <c r="B186" s="10"/>
      <c r="C186" s="6"/>
      <c r="D186" s="101"/>
      <c r="E186" s="182"/>
      <c r="F186" s="183"/>
      <c r="G186" s="39"/>
      <c r="H186" s="39"/>
      <c r="I186" s="39"/>
      <c r="J186" s="39"/>
      <c r="K186" s="39"/>
      <c r="L186" s="39"/>
      <c r="M186" s="39"/>
      <c r="N186" s="39"/>
      <c r="O186" s="39"/>
    </row>
    <row r="187" spans="1:15" ht="15.75" thickBot="1" x14ac:dyDescent="0.3">
      <c r="A187" s="159" t="s">
        <v>457</v>
      </c>
      <c r="B187" s="310">
        <v>37387111.630000003</v>
      </c>
      <c r="C187" s="6"/>
      <c r="D187" s="101"/>
      <c r="E187" s="182"/>
      <c r="F187" s="183"/>
      <c r="G187" s="39"/>
      <c r="H187" s="39"/>
      <c r="I187" s="39"/>
      <c r="J187" s="39"/>
      <c r="K187" s="39"/>
      <c r="L187" s="39"/>
      <c r="M187" s="39"/>
      <c r="N187" s="39"/>
      <c r="O187" s="39"/>
    </row>
    <row r="188" spans="1:15" x14ac:dyDescent="0.25">
      <c r="B188" s="12"/>
      <c r="C188" s="6"/>
      <c r="D188" s="101"/>
      <c r="E188" s="182"/>
      <c r="F188" s="183"/>
      <c r="G188" s="39"/>
      <c r="H188" s="39"/>
      <c r="I188" s="39"/>
      <c r="J188" s="39"/>
      <c r="K188" s="39"/>
      <c r="L188" s="39"/>
      <c r="M188" s="39"/>
      <c r="N188" s="39"/>
      <c r="O188" s="39"/>
    </row>
    <row r="189" spans="1:15" x14ac:dyDescent="0.25">
      <c r="B189" s="12"/>
      <c r="C189" s="6"/>
      <c r="D189" s="14"/>
      <c r="E189" s="40"/>
      <c r="F189" s="41"/>
    </row>
    <row r="190" spans="1:15" x14ac:dyDescent="0.25">
      <c r="B190" s="12"/>
      <c r="C190" s="6"/>
      <c r="D190" s="14"/>
      <c r="E190" s="40"/>
      <c r="F190" s="41"/>
    </row>
    <row r="191" spans="1:15" x14ac:dyDescent="0.25">
      <c r="A191" s="371" t="s">
        <v>17</v>
      </c>
      <c r="B191" s="371"/>
      <c r="C191" s="371"/>
    </row>
    <row r="192" spans="1:15" x14ac:dyDescent="0.25">
      <c r="A192" s="371"/>
      <c r="B192" s="371"/>
      <c r="C192" s="371"/>
    </row>
    <row r="193" spans="1:13" ht="33.75" customHeight="1" x14ac:dyDescent="0.25">
      <c r="A193" s="80" t="s">
        <v>453</v>
      </c>
      <c r="B193" s="46">
        <v>700000</v>
      </c>
      <c r="C193" s="79"/>
    </row>
    <row r="194" spans="1:13" ht="33.75" customHeight="1" x14ac:dyDescent="0.25">
      <c r="A194" s="80" t="s">
        <v>455</v>
      </c>
      <c r="B194" s="46">
        <v>750500</v>
      </c>
      <c r="C194" s="79"/>
    </row>
    <row r="195" spans="1:13" ht="33.75" customHeight="1" x14ac:dyDescent="0.25">
      <c r="A195" s="80" t="s">
        <v>474</v>
      </c>
      <c r="B195" s="46">
        <v>1590000</v>
      </c>
      <c r="C195" s="79"/>
    </row>
    <row r="196" spans="1:13" x14ac:dyDescent="0.25">
      <c r="A196" s="15" t="s">
        <v>4</v>
      </c>
      <c r="B196" s="36">
        <f>SUM(B193:B195)</f>
        <v>3040500</v>
      </c>
      <c r="C196" s="16"/>
    </row>
    <row r="197" spans="1:13" x14ac:dyDescent="0.25">
      <c r="M197" s="3"/>
    </row>
  </sheetData>
  <mergeCells count="74">
    <mergeCell ref="A76:B76"/>
    <mergeCell ref="A79:B79"/>
    <mergeCell ref="A83:B83"/>
    <mergeCell ref="A80:B80"/>
    <mergeCell ref="A84:B84"/>
    <mergeCell ref="A85:B85"/>
    <mergeCell ref="A82:B82"/>
    <mergeCell ref="A77:B77"/>
    <mergeCell ref="A81:B81"/>
    <mergeCell ref="A78:B78"/>
    <mergeCell ref="A58:B58"/>
    <mergeCell ref="A53:B53"/>
    <mergeCell ref="A52:B52"/>
    <mergeCell ref="A75:B75"/>
    <mergeCell ref="A45:B45"/>
    <mergeCell ref="A74:B74"/>
    <mergeCell ref="A67:B67"/>
    <mergeCell ref="A71:B71"/>
    <mergeCell ref="B3:E3"/>
    <mergeCell ref="B1:E1"/>
    <mergeCell ref="B2:E2"/>
    <mergeCell ref="B8:E8"/>
    <mergeCell ref="A1:A8"/>
    <mergeCell ref="A10:E12"/>
    <mergeCell ref="A70:B70"/>
    <mergeCell ref="A68:B68"/>
    <mergeCell ref="A26:E29"/>
    <mergeCell ref="A65:B65"/>
    <mergeCell ref="A69:B69"/>
    <mergeCell ref="A57:B57"/>
    <mergeCell ref="A64:B64"/>
    <mergeCell ref="A63:B63"/>
    <mergeCell ref="A66:B66"/>
    <mergeCell ref="A35:B35"/>
    <mergeCell ref="A40:B40"/>
    <mergeCell ref="A61:B61"/>
    <mergeCell ref="A62:B62"/>
    <mergeCell ref="A51:B51"/>
    <mergeCell ref="A54:B54"/>
    <mergeCell ref="A98:B98"/>
    <mergeCell ref="A91:B91"/>
    <mergeCell ref="A96:B96"/>
    <mergeCell ref="A152:B154"/>
    <mergeCell ref="A191:C192"/>
    <mergeCell ref="A136:B136"/>
    <mergeCell ref="A128:B128"/>
    <mergeCell ref="A126:B126"/>
    <mergeCell ref="A140:B140"/>
    <mergeCell ref="A169:B169"/>
    <mergeCell ref="A137:B137"/>
    <mergeCell ref="A138:C138"/>
    <mergeCell ref="A139:C139"/>
    <mergeCell ref="A127:B127"/>
    <mergeCell ref="A97:B97"/>
    <mergeCell ref="A87:B87"/>
    <mergeCell ref="A88:B88"/>
    <mergeCell ref="A92:B92"/>
    <mergeCell ref="A90:B90"/>
    <mergeCell ref="A14:E24"/>
    <mergeCell ref="H146:K151"/>
    <mergeCell ref="A104:B104"/>
    <mergeCell ref="A125:B125"/>
    <mergeCell ref="A120:B120"/>
    <mergeCell ref="A121:B121"/>
    <mergeCell ref="A118:B118"/>
    <mergeCell ref="A119:B119"/>
    <mergeCell ref="A117:B117"/>
    <mergeCell ref="A105:B105"/>
    <mergeCell ref="A101:B101"/>
    <mergeCell ref="A95:B95"/>
    <mergeCell ref="A93:B93"/>
    <mergeCell ref="A86:B86"/>
    <mergeCell ref="A89:B89"/>
    <mergeCell ref="A94:B94"/>
  </mergeCells>
  <pageMargins left="0.25" right="0.25" top="0.75" bottom="0.75" header="0.3" footer="0.3"/>
  <pageSetup paperSize="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7"/>
  <sheetViews>
    <sheetView tabSelected="1" topLeftCell="B7" zoomScale="80" zoomScaleNormal="80" workbookViewId="0">
      <selection activeCell="F15" sqref="F15"/>
    </sheetView>
  </sheetViews>
  <sheetFormatPr baseColWidth="10" defaultColWidth="10.85546875" defaultRowHeight="15" x14ac:dyDescent="0.25"/>
  <cols>
    <col min="1" max="1" width="4.28515625" hidden="1" customWidth="1"/>
    <col min="2" max="2" width="4.28515625" customWidth="1"/>
    <col min="3" max="3" width="25.7109375" customWidth="1"/>
    <col min="4" max="4" width="8.140625" customWidth="1"/>
    <col min="5" max="5" width="14.140625" customWidth="1"/>
    <col min="6" max="6" width="12.42578125" customWidth="1"/>
    <col min="7" max="7" width="11.7109375" customWidth="1"/>
    <col min="8" max="8" width="9.5703125" customWidth="1"/>
    <col min="9" max="9" width="13.28515625" customWidth="1"/>
    <col min="10" max="10" width="6" hidden="1" customWidth="1"/>
    <col min="11" max="11" width="14" customWidth="1"/>
    <col min="12" max="12" width="13" customWidth="1"/>
    <col min="13" max="13" width="15" customWidth="1"/>
    <col min="14" max="15" width="12.7109375" customWidth="1"/>
    <col min="16" max="16" width="14.7109375" customWidth="1"/>
    <col min="17" max="17" width="5" customWidth="1"/>
    <col min="18" max="18" width="8" hidden="1" customWidth="1"/>
    <col min="19" max="19" width="10.28515625" customWidth="1"/>
    <col min="20" max="20" width="13" bestFit="1" customWidth="1"/>
    <col min="23" max="23" width="16" bestFit="1" customWidth="1"/>
    <col min="24" max="24" width="11.85546875" bestFit="1" customWidth="1"/>
  </cols>
  <sheetData>
    <row r="1" spans="1:23" ht="123" customHeight="1" x14ac:dyDescent="0.25">
      <c r="A1" s="2"/>
      <c r="B1" s="2"/>
      <c r="C1" s="419" t="s">
        <v>333</v>
      </c>
      <c r="D1" s="420"/>
      <c r="E1" s="420"/>
      <c r="F1" s="420"/>
      <c r="G1" s="420"/>
      <c r="H1" s="420"/>
      <c r="I1" s="420"/>
      <c r="J1" s="420"/>
      <c r="K1" s="420"/>
      <c r="L1" s="420"/>
      <c r="M1" s="303"/>
      <c r="N1" s="421" t="s">
        <v>475</v>
      </c>
      <c r="O1" s="421"/>
      <c r="P1" s="412">
        <v>30000000</v>
      </c>
      <c r="Q1" s="412"/>
      <c r="R1" s="4"/>
      <c r="S1" s="2"/>
      <c r="U1" t="s">
        <v>242</v>
      </c>
      <c r="V1">
        <v>80675963.920000002</v>
      </c>
    </row>
    <row r="2" spans="1:23" ht="30" customHeight="1" thickBot="1" x14ac:dyDescent="0.3">
      <c r="A2" s="2"/>
      <c r="B2" s="2"/>
      <c r="C2" s="414" t="s">
        <v>231</v>
      </c>
      <c r="D2" s="414"/>
      <c r="E2" s="414"/>
      <c r="F2" s="303"/>
      <c r="G2" s="411">
        <f>W2</f>
        <v>27518571.293111999</v>
      </c>
      <c r="H2" s="411"/>
      <c r="I2" s="303" t="s">
        <v>285</v>
      </c>
      <c r="J2" s="303"/>
      <c r="K2" s="411">
        <f>V1</f>
        <v>80675963.920000002</v>
      </c>
      <c r="L2" s="411"/>
      <c r="M2" s="302"/>
      <c r="N2" s="304" t="s">
        <v>269</v>
      </c>
      <c r="O2" s="302"/>
      <c r="P2" s="413">
        <v>0</v>
      </c>
      <c r="Q2" s="413"/>
      <c r="S2" s="2"/>
      <c r="T2" t="s">
        <v>234</v>
      </c>
      <c r="W2" s="43">
        <f>((K2+P2)*D144)+((K2+P2)*D145)</f>
        <v>27518571.293111999</v>
      </c>
    </row>
    <row r="3" spans="1:23" ht="43.5" customHeight="1" x14ac:dyDescent="0.25">
      <c r="A3" s="422" t="s">
        <v>0</v>
      </c>
      <c r="B3" s="424" t="s">
        <v>1</v>
      </c>
      <c r="C3" s="424" t="s">
        <v>2</v>
      </c>
      <c r="D3" s="424" t="s">
        <v>6</v>
      </c>
      <c r="E3" s="409" t="s">
        <v>185</v>
      </c>
      <c r="F3" s="424" t="s">
        <v>3</v>
      </c>
      <c r="G3" s="426" t="s">
        <v>16</v>
      </c>
      <c r="H3" s="409" t="s">
        <v>237</v>
      </c>
      <c r="I3" s="409" t="s">
        <v>15</v>
      </c>
      <c r="J3" s="409"/>
      <c r="K3" s="409" t="s">
        <v>186</v>
      </c>
      <c r="L3" s="409" t="s">
        <v>149</v>
      </c>
      <c r="M3" s="409" t="s">
        <v>188</v>
      </c>
      <c r="N3" s="409" t="s">
        <v>187</v>
      </c>
      <c r="O3" s="409" t="s">
        <v>265</v>
      </c>
      <c r="P3" s="415" t="s">
        <v>238</v>
      </c>
      <c r="Q3" s="416"/>
      <c r="S3" s="409" t="s">
        <v>267</v>
      </c>
      <c r="T3" s="14"/>
    </row>
    <row r="4" spans="1:23" ht="44.25" customHeight="1" x14ac:dyDescent="0.25">
      <c r="A4" s="423"/>
      <c r="B4" s="425"/>
      <c r="C4" s="425"/>
      <c r="D4" s="425"/>
      <c r="E4" s="410"/>
      <c r="F4" s="425"/>
      <c r="G4" s="427"/>
      <c r="H4" s="410"/>
      <c r="I4" s="410"/>
      <c r="J4" s="410"/>
      <c r="K4" s="410"/>
      <c r="L4" s="410"/>
      <c r="M4" s="410"/>
      <c r="N4" s="410"/>
      <c r="O4" s="410"/>
      <c r="P4" s="417"/>
      <c r="Q4" s="418"/>
      <c r="S4" s="410"/>
    </row>
    <row r="5" spans="1:23" ht="24.6" customHeight="1" x14ac:dyDescent="0.25">
      <c r="A5" s="17"/>
      <c r="B5" s="17">
        <v>1</v>
      </c>
      <c r="C5" s="17" t="s">
        <v>24</v>
      </c>
      <c r="D5" s="99">
        <v>4.5999999999999999E-3</v>
      </c>
      <c r="E5" s="122">
        <v>767411.01</v>
      </c>
      <c r="F5" s="355"/>
      <c r="G5" s="70">
        <f t="shared" ref="G5:G68" si="0">E5-F5</f>
        <v>767411.01</v>
      </c>
      <c r="H5" s="22">
        <f>IF(G5&gt;0,G5*3.087%,0)</f>
        <v>23689.977878700003</v>
      </c>
      <c r="I5" s="23">
        <f>K$2*D5</f>
        <v>371109.43403200002</v>
      </c>
      <c r="J5" s="23">
        <f t="shared" ref="J5:J36" si="1">P$2*D5</f>
        <v>0</v>
      </c>
      <c r="K5" s="23">
        <f>G$2*0.675675676%</f>
        <v>185936.29261027643</v>
      </c>
      <c r="L5" s="23">
        <f>P$1*0.675675676%</f>
        <v>202702.7028</v>
      </c>
      <c r="M5" s="91">
        <f>G$1*D5</f>
        <v>0</v>
      </c>
      <c r="N5" s="91">
        <v>0</v>
      </c>
      <c r="O5" s="91"/>
      <c r="P5" s="400">
        <f t="shared" ref="P5:P36" si="2">ROUND(SUM(G5:O5),0) + R5</f>
        <v>1550849.01</v>
      </c>
      <c r="Q5" s="400"/>
      <c r="R5" s="14">
        <f t="shared" ref="R5:R36" si="3">ROUND(0.001+B5/100,2)</f>
        <v>0.01</v>
      </c>
      <c r="S5" s="1">
        <f>B5</f>
        <v>1</v>
      </c>
      <c r="T5" t="s">
        <v>219</v>
      </c>
    </row>
    <row r="6" spans="1:23" ht="24.6" customHeight="1" x14ac:dyDescent="0.25">
      <c r="A6" s="17"/>
      <c r="B6" s="17">
        <f>B5+1</f>
        <v>2</v>
      </c>
      <c r="C6" s="17" t="s">
        <v>25</v>
      </c>
      <c r="D6" s="99">
        <v>4.5999999999999999E-3</v>
      </c>
      <c r="E6" s="122">
        <v>3150872.02</v>
      </c>
      <c r="F6" s="355">
        <v>3151000</v>
      </c>
      <c r="G6" s="70">
        <f t="shared" si="0"/>
        <v>-127.97999999998137</v>
      </c>
      <c r="H6" s="22">
        <f>IF(G6&gt;0,G6*3.087%,0)</f>
        <v>0</v>
      </c>
      <c r="I6" s="23">
        <f t="shared" ref="I6:I37" si="4">K$2*D6</f>
        <v>371109.43403200002</v>
      </c>
      <c r="J6" s="23">
        <f t="shared" si="1"/>
        <v>0</v>
      </c>
      <c r="K6" s="23">
        <f t="shared" ref="K6:K69" si="5">G$2*0.675675676%</f>
        <v>185936.29261027643</v>
      </c>
      <c r="L6" s="23">
        <f t="shared" ref="L6:L69" si="6">P$1*0.675675676%</f>
        <v>202702.7028</v>
      </c>
      <c r="M6" s="91">
        <f t="shared" ref="M6:M69" si="7">G$1*D6</f>
        <v>0</v>
      </c>
      <c r="N6" s="91">
        <v>0</v>
      </c>
      <c r="O6" s="91"/>
      <c r="P6" s="400">
        <f t="shared" si="2"/>
        <v>759620.02</v>
      </c>
      <c r="Q6" s="400"/>
      <c r="R6" s="14">
        <f t="shared" si="3"/>
        <v>0.02</v>
      </c>
      <c r="S6" s="1">
        <f t="shared" ref="S6:S69" si="8">B6</f>
        <v>2</v>
      </c>
    </row>
    <row r="7" spans="1:23" ht="24.6" customHeight="1" x14ac:dyDescent="0.25">
      <c r="A7" s="17"/>
      <c r="B7" s="17">
        <f t="shared" ref="B7:B36" si="9">B6+1</f>
        <v>3</v>
      </c>
      <c r="C7" s="17" t="s">
        <v>26</v>
      </c>
      <c r="D7" s="99">
        <v>4.5999999999999999E-3</v>
      </c>
      <c r="E7" s="122">
        <v>767411.03</v>
      </c>
      <c r="F7" s="355">
        <f>E7</f>
        <v>767411.03</v>
      </c>
      <c r="G7" s="70">
        <f t="shared" si="0"/>
        <v>0</v>
      </c>
      <c r="H7" s="22">
        <f t="shared" ref="H7:H70" si="10">IF(G7&gt;0,G7*3.087%,0)</f>
        <v>0</v>
      </c>
      <c r="I7" s="23">
        <f t="shared" si="4"/>
        <v>371109.43403200002</v>
      </c>
      <c r="J7" s="23">
        <f t="shared" si="1"/>
        <v>0</v>
      </c>
      <c r="K7" s="23">
        <f t="shared" si="5"/>
        <v>185936.29261027643</v>
      </c>
      <c r="L7" s="23">
        <f t="shared" si="6"/>
        <v>202702.7028</v>
      </c>
      <c r="M7" s="91">
        <f t="shared" si="7"/>
        <v>0</v>
      </c>
      <c r="N7" s="91">
        <v>0</v>
      </c>
      <c r="O7" s="91"/>
      <c r="P7" s="400">
        <f t="shared" si="2"/>
        <v>759748.03</v>
      </c>
      <c r="Q7" s="400"/>
      <c r="R7" s="14">
        <f t="shared" si="3"/>
        <v>0.03</v>
      </c>
      <c r="S7" s="1">
        <f t="shared" si="8"/>
        <v>3</v>
      </c>
      <c r="U7" t="s">
        <v>204</v>
      </c>
    </row>
    <row r="8" spans="1:23" ht="24.6" customHeight="1" x14ac:dyDescent="0.25">
      <c r="A8" s="17"/>
      <c r="B8" s="17">
        <f t="shared" si="9"/>
        <v>4</v>
      </c>
      <c r="C8" s="17" t="s">
        <v>169</v>
      </c>
      <c r="D8" s="99">
        <v>4.7000000000000002E-3</v>
      </c>
      <c r="E8" s="122">
        <v>773664.04</v>
      </c>
      <c r="F8" s="355"/>
      <c r="G8" s="70">
        <f t="shared" si="0"/>
        <v>773664.04</v>
      </c>
      <c r="H8" s="22">
        <f t="shared" si="10"/>
        <v>23883.008914800001</v>
      </c>
      <c r="I8" s="23">
        <f t="shared" si="4"/>
        <v>379177.030424</v>
      </c>
      <c r="J8" s="23">
        <f t="shared" si="1"/>
        <v>0</v>
      </c>
      <c r="K8" s="23">
        <f t="shared" si="5"/>
        <v>185936.29261027643</v>
      </c>
      <c r="L8" s="23">
        <f t="shared" si="6"/>
        <v>202702.7028</v>
      </c>
      <c r="M8" s="91">
        <f t="shared" si="7"/>
        <v>0</v>
      </c>
      <c r="N8" s="91">
        <v>0</v>
      </c>
      <c r="O8" s="91"/>
      <c r="P8" s="400">
        <f t="shared" si="2"/>
        <v>1565363.04</v>
      </c>
      <c r="Q8" s="400"/>
      <c r="R8" s="14">
        <f t="shared" si="3"/>
        <v>0.04</v>
      </c>
      <c r="S8" s="1">
        <f t="shared" si="8"/>
        <v>4</v>
      </c>
      <c r="T8" s="160"/>
      <c r="U8" t="s">
        <v>329</v>
      </c>
    </row>
    <row r="9" spans="1:23" ht="24.6" customHeight="1" x14ac:dyDescent="0.25">
      <c r="A9" s="17"/>
      <c r="B9" s="17">
        <f t="shared" si="9"/>
        <v>5</v>
      </c>
      <c r="C9" s="17" t="s">
        <v>27</v>
      </c>
      <c r="D9" s="99">
        <v>4.7000000000000002E-3</v>
      </c>
      <c r="E9" s="122">
        <v>774611.05</v>
      </c>
      <c r="F9" s="355">
        <f>E9</f>
        <v>774611.05</v>
      </c>
      <c r="G9" s="70">
        <f t="shared" si="0"/>
        <v>0</v>
      </c>
      <c r="H9" s="22">
        <f t="shared" si="10"/>
        <v>0</v>
      </c>
      <c r="I9" s="23">
        <f t="shared" si="4"/>
        <v>379177.030424</v>
      </c>
      <c r="J9" s="23">
        <f t="shared" si="1"/>
        <v>0</v>
      </c>
      <c r="K9" s="23">
        <f t="shared" si="5"/>
        <v>185936.29261027643</v>
      </c>
      <c r="L9" s="23">
        <f t="shared" si="6"/>
        <v>202702.7028</v>
      </c>
      <c r="M9" s="91">
        <f t="shared" si="7"/>
        <v>0</v>
      </c>
      <c r="N9" s="91">
        <v>0</v>
      </c>
      <c r="O9" s="91"/>
      <c r="P9" s="400">
        <f t="shared" si="2"/>
        <v>767816.05</v>
      </c>
      <c r="Q9" s="400"/>
      <c r="R9" s="14">
        <f t="shared" si="3"/>
        <v>0.05</v>
      </c>
      <c r="S9" s="1">
        <f t="shared" si="8"/>
        <v>5</v>
      </c>
      <c r="T9" s="160"/>
    </row>
    <row r="10" spans="1:23" ht="24.6" customHeight="1" x14ac:dyDescent="0.25">
      <c r="A10" s="17"/>
      <c r="B10" s="17">
        <f t="shared" si="9"/>
        <v>6</v>
      </c>
      <c r="C10" s="17" t="s">
        <v>28</v>
      </c>
      <c r="D10" s="99">
        <v>4.4999999999999997E-3</v>
      </c>
      <c r="E10" s="122">
        <v>760211.06</v>
      </c>
      <c r="F10" s="355">
        <f>E10</f>
        <v>760211.06</v>
      </c>
      <c r="G10" s="70">
        <f t="shared" si="0"/>
        <v>0</v>
      </c>
      <c r="H10" s="22">
        <f t="shared" si="10"/>
        <v>0</v>
      </c>
      <c r="I10" s="23">
        <f t="shared" si="4"/>
        <v>363041.83763999998</v>
      </c>
      <c r="J10" s="23">
        <f t="shared" si="1"/>
        <v>0</v>
      </c>
      <c r="K10" s="23">
        <f t="shared" si="5"/>
        <v>185936.29261027643</v>
      </c>
      <c r="L10" s="23">
        <f t="shared" si="6"/>
        <v>202702.7028</v>
      </c>
      <c r="M10" s="91">
        <f t="shared" si="7"/>
        <v>0</v>
      </c>
      <c r="N10" s="91">
        <v>0</v>
      </c>
      <c r="O10" s="91"/>
      <c r="P10" s="400">
        <f t="shared" si="2"/>
        <v>751681.06</v>
      </c>
      <c r="Q10" s="400"/>
      <c r="R10" s="14">
        <f t="shared" si="3"/>
        <v>0.06</v>
      </c>
      <c r="S10" s="1">
        <f t="shared" si="8"/>
        <v>6</v>
      </c>
      <c r="T10" t="s">
        <v>197</v>
      </c>
    </row>
    <row r="11" spans="1:23" ht="24.6" customHeight="1" x14ac:dyDescent="0.25">
      <c r="A11" s="17"/>
      <c r="B11" s="17">
        <f t="shared" si="9"/>
        <v>7</v>
      </c>
      <c r="C11" s="17" t="s">
        <v>29</v>
      </c>
      <c r="D11" s="99">
        <v>4.3E-3</v>
      </c>
      <c r="E11" s="122">
        <v>745660.07</v>
      </c>
      <c r="F11" s="355">
        <v>750000.07</v>
      </c>
      <c r="G11" s="70">
        <f t="shared" si="0"/>
        <v>-4340</v>
      </c>
      <c r="H11" s="22">
        <f t="shared" si="10"/>
        <v>0</v>
      </c>
      <c r="I11" s="23">
        <f t="shared" si="4"/>
        <v>346906.64485600003</v>
      </c>
      <c r="J11" s="23">
        <f t="shared" si="1"/>
        <v>0</v>
      </c>
      <c r="K11" s="23">
        <f t="shared" si="5"/>
        <v>185936.29261027643</v>
      </c>
      <c r="L11" s="23">
        <f t="shared" si="6"/>
        <v>202702.7028</v>
      </c>
      <c r="M11" s="91">
        <f t="shared" si="7"/>
        <v>0</v>
      </c>
      <c r="N11" s="91">
        <v>0</v>
      </c>
      <c r="O11" s="91"/>
      <c r="P11" s="400">
        <f t="shared" si="2"/>
        <v>731206.07</v>
      </c>
      <c r="Q11" s="400"/>
      <c r="R11" s="14">
        <f t="shared" si="3"/>
        <v>7.0000000000000007E-2</v>
      </c>
      <c r="S11" s="1">
        <f t="shared" si="8"/>
        <v>7</v>
      </c>
      <c r="T11" t="s">
        <v>255</v>
      </c>
    </row>
    <row r="12" spans="1:23" ht="24.6" customHeight="1" x14ac:dyDescent="0.25">
      <c r="A12" s="17"/>
      <c r="B12" s="17">
        <f t="shared" si="9"/>
        <v>8</v>
      </c>
      <c r="C12" s="17" t="s">
        <v>30</v>
      </c>
      <c r="D12" s="99">
        <v>4.7000000000000002E-3</v>
      </c>
      <c r="E12" s="122">
        <v>774266.08</v>
      </c>
      <c r="F12" s="355">
        <v>774500</v>
      </c>
      <c r="G12" s="70">
        <f t="shared" si="0"/>
        <v>-233.92000000004191</v>
      </c>
      <c r="H12" s="22">
        <f t="shared" si="10"/>
        <v>0</v>
      </c>
      <c r="I12" s="23">
        <f t="shared" si="4"/>
        <v>379177.030424</v>
      </c>
      <c r="J12" s="23">
        <f t="shared" si="1"/>
        <v>0</v>
      </c>
      <c r="K12" s="23">
        <f t="shared" si="5"/>
        <v>185936.29261027643</v>
      </c>
      <c r="L12" s="23">
        <f t="shared" si="6"/>
        <v>202702.7028</v>
      </c>
      <c r="M12" s="91">
        <f t="shared" si="7"/>
        <v>0</v>
      </c>
      <c r="N12" s="91">
        <v>0</v>
      </c>
      <c r="O12" s="91"/>
      <c r="P12" s="400">
        <f t="shared" si="2"/>
        <v>767582.08</v>
      </c>
      <c r="Q12" s="400"/>
      <c r="R12" s="14">
        <f t="shared" si="3"/>
        <v>0.08</v>
      </c>
      <c r="S12" s="1">
        <f t="shared" si="8"/>
        <v>8</v>
      </c>
      <c r="T12" t="s">
        <v>290</v>
      </c>
    </row>
    <row r="13" spans="1:23" ht="24.6" customHeight="1" x14ac:dyDescent="0.25">
      <c r="A13" s="17"/>
      <c r="B13" s="17">
        <f t="shared" si="9"/>
        <v>9</v>
      </c>
      <c r="C13" s="17" t="s">
        <v>31</v>
      </c>
      <c r="D13" s="99">
        <v>4.7000000000000002E-3</v>
      </c>
      <c r="E13" s="122">
        <v>1289579.0900000001</v>
      </c>
      <c r="F13" s="355">
        <f>197429.09+1000000</f>
        <v>1197429.0900000001</v>
      </c>
      <c r="G13" s="70">
        <f t="shared" si="0"/>
        <v>92150</v>
      </c>
      <c r="H13" s="22">
        <f t="shared" si="10"/>
        <v>2844.6705000000002</v>
      </c>
      <c r="I13" s="23">
        <f t="shared" si="4"/>
        <v>379177.030424</v>
      </c>
      <c r="J13" s="23">
        <f t="shared" si="1"/>
        <v>0</v>
      </c>
      <c r="K13" s="23">
        <f t="shared" si="5"/>
        <v>185936.29261027643</v>
      </c>
      <c r="L13" s="23">
        <f t="shared" si="6"/>
        <v>202702.7028</v>
      </c>
      <c r="M13" s="91">
        <v>59274</v>
      </c>
      <c r="N13" s="91">
        <f>(I13+K13)/2</f>
        <v>282556.66151713824</v>
      </c>
      <c r="O13" s="91"/>
      <c r="P13" s="400">
        <f t="shared" si="2"/>
        <v>1204641.0900000001</v>
      </c>
      <c r="Q13" s="400"/>
      <c r="R13" s="14">
        <f t="shared" si="3"/>
        <v>0.09</v>
      </c>
      <c r="S13" s="1">
        <f t="shared" si="8"/>
        <v>9</v>
      </c>
    </row>
    <row r="14" spans="1:23" ht="24.6" customHeight="1" x14ac:dyDescent="0.25">
      <c r="A14" s="17"/>
      <c r="B14" s="17">
        <f t="shared" si="9"/>
        <v>10</v>
      </c>
      <c r="C14" s="17" t="s">
        <v>32</v>
      </c>
      <c r="D14" s="99">
        <v>4.7000000000000002E-3</v>
      </c>
      <c r="E14" s="122">
        <v>774611.1</v>
      </c>
      <c r="F14" s="355"/>
      <c r="G14" s="70">
        <f t="shared" si="0"/>
        <v>774611.1</v>
      </c>
      <c r="H14" s="22">
        <f t="shared" si="10"/>
        <v>23912.244656999999</v>
      </c>
      <c r="I14" s="23">
        <f t="shared" si="4"/>
        <v>379177.030424</v>
      </c>
      <c r="J14" s="23">
        <f t="shared" si="1"/>
        <v>0</v>
      </c>
      <c r="K14" s="23">
        <f t="shared" si="5"/>
        <v>185936.29261027643</v>
      </c>
      <c r="L14" s="23">
        <f t="shared" si="6"/>
        <v>202702.7028</v>
      </c>
      <c r="M14" s="91">
        <f t="shared" si="7"/>
        <v>0</v>
      </c>
      <c r="N14" s="91">
        <v>0</v>
      </c>
      <c r="O14" s="91"/>
      <c r="P14" s="407">
        <f t="shared" si="2"/>
        <v>1566339.1</v>
      </c>
      <c r="Q14" s="407"/>
      <c r="R14" s="14">
        <f t="shared" si="3"/>
        <v>0.1</v>
      </c>
      <c r="S14" s="1">
        <f t="shared" si="8"/>
        <v>10</v>
      </c>
      <c r="T14" t="s">
        <v>246</v>
      </c>
    </row>
    <row r="15" spans="1:23" ht="24.6" customHeight="1" x14ac:dyDescent="0.25">
      <c r="A15" s="17"/>
      <c r="B15" s="17">
        <f t="shared" si="9"/>
        <v>11</v>
      </c>
      <c r="C15" s="17" t="s">
        <v>33</v>
      </c>
      <c r="D15" s="99">
        <v>4.7000000000000002E-3</v>
      </c>
      <c r="E15" s="122">
        <v>774611.11</v>
      </c>
      <c r="F15" s="355">
        <f>E15</f>
        <v>774611.11</v>
      </c>
      <c r="G15" s="71">
        <f t="shared" si="0"/>
        <v>0</v>
      </c>
      <c r="H15" s="100">
        <f t="shared" si="10"/>
        <v>0</v>
      </c>
      <c r="I15" s="91">
        <f t="shared" si="4"/>
        <v>379177.030424</v>
      </c>
      <c r="J15" s="91">
        <f t="shared" si="1"/>
        <v>0</v>
      </c>
      <c r="K15" s="91">
        <f t="shared" si="5"/>
        <v>185936.29261027643</v>
      </c>
      <c r="L15" s="91">
        <f t="shared" si="6"/>
        <v>202702.7028</v>
      </c>
      <c r="M15" s="91">
        <f t="shared" si="7"/>
        <v>0</v>
      </c>
      <c r="N15" s="91">
        <v>0</v>
      </c>
      <c r="O15" s="354">
        <f>I15/2</f>
        <v>189588.515212</v>
      </c>
      <c r="P15" s="407">
        <f t="shared" si="2"/>
        <v>957405.11</v>
      </c>
      <c r="Q15" s="407"/>
      <c r="R15" s="101">
        <f t="shared" si="3"/>
        <v>0.11</v>
      </c>
      <c r="S15" s="69">
        <f t="shared" si="8"/>
        <v>11</v>
      </c>
      <c r="T15" t="s">
        <v>271</v>
      </c>
    </row>
    <row r="16" spans="1:23" ht="24.6" customHeight="1" x14ac:dyDescent="0.25">
      <c r="A16" s="17"/>
      <c r="B16" s="17">
        <f t="shared" si="9"/>
        <v>12</v>
      </c>
      <c r="C16" s="17" t="s">
        <v>34</v>
      </c>
      <c r="D16" s="99">
        <v>4.3E-3</v>
      </c>
      <c r="E16" s="122">
        <v>3377873.12</v>
      </c>
      <c r="F16" s="355">
        <v>1420000</v>
      </c>
      <c r="G16" s="71">
        <f t="shared" si="0"/>
        <v>1957873.12</v>
      </c>
      <c r="H16" s="100">
        <f t="shared" si="10"/>
        <v>60439.543214400008</v>
      </c>
      <c r="I16" s="91">
        <f t="shared" si="4"/>
        <v>346906.64485600003</v>
      </c>
      <c r="J16" s="91">
        <f t="shared" si="1"/>
        <v>0</v>
      </c>
      <c r="K16" s="91">
        <f t="shared" si="5"/>
        <v>185936.29261027643</v>
      </c>
      <c r="L16" s="91">
        <f t="shared" si="6"/>
        <v>202702.7028</v>
      </c>
      <c r="M16" s="91">
        <f t="shared" si="7"/>
        <v>0</v>
      </c>
      <c r="N16" s="91">
        <v>0</v>
      </c>
      <c r="O16" s="91"/>
      <c r="P16" s="407">
        <f t="shared" si="2"/>
        <v>2753858.12</v>
      </c>
      <c r="Q16" s="407"/>
      <c r="R16" s="101">
        <f t="shared" si="3"/>
        <v>0.12</v>
      </c>
      <c r="S16" s="69">
        <f t="shared" si="8"/>
        <v>12</v>
      </c>
      <c r="T16" t="s">
        <v>263</v>
      </c>
    </row>
    <row r="17" spans="1:21" ht="24.6" customHeight="1" x14ac:dyDescent="0.25">
      <c r="A17" s="17"/>
      <c r="B17" s="17">
        <f t="shared" si="9"/>
        <v>13</v>
      </c>
      <c r="C17" s="17" t="s">
        <v>172</v>
      </c>
      <c r="D17" s="99">
        <v>4.5999999999999999E-3</v>
      </c>
      <c r="E17" s="122">
        <v>1073994.1299999999</v>
      </c>
      <c r="F17" s="355">
        <f t="shared" ref="F17:F22" si="11">E17</f>
        <v>1073994.1299999999</v>
      </c>
      <c r="G17" s="70">
        <f t="shared" si="0"/>
        <v>0</v>
      </c>
      <c r="H17" s="22">
        <f t="shared" si="10"/>
        <v>0</v>
      </c>
      <c r="I17" s="23">
        <f t="shared" si="4"/>
        <v>371109.43403200002</v>
      </c>
      <c r="J17" s="23">
        <f t="shared" si="1"/>
        <v>0</v>
      </c>
      <c r="K17" s="23">
        <f t="shared" si="5"/>
        <v>185936.29261027643</v>
      </c>
      <c r="L17" s="23">
        <f t="shared" si="6"/>
        <v>202702.7028</v>
      </c>
      <c r="M17" s="91">
        <v>58013</v>
      </c>
      <c r="N17" s="91">
        <f>(I17+K17)/2</f>
        <v>278522.8633211382</v>
      </c>
      <c r="O17" s="91"/>
      <c r="P17" s="400">
        <f t="shared" si="2"/>
        <v>1096284.1299999999</v>
      </c>
      <c r="Q17" s="400"/>
      <c r="R17" s="14">
        <f t="shared" si="3"/>
        <v>0.13</v>
      </c>
      <c r="S17" s="1">
        <f t="shared" si="8"/>
        <v>13</v>
      </c>
    </row>
    <row r="18" spans="1:21" ht="24.6" customHeight="1" x14ac:dyDescent="0.25">
      <c r="A18" s="17"/>
      <c r="B18" s="17">
        <f t="shared" si="9"/>
        <v>14</v>
      </c>
      <c r="C18" s="17" t="s">
        <v>35</v>
      </c>
      <c r="D18" s="99">
        <v>4.7000000000000002E-3</v>
      </c>
      <c r="E18" s="122">
        <v>774611.14</v>
      </c>
      <c r="F18" s="355">
        <f t="shared" si="11"/>
        <v>774611.14</v>
      </c>
      <c r="G18" s="70">
        <f t="shared" si="0"/>
        <v>0</v>
      </c>
      <c r="H18" s="22">
        <f t="shared" si="10"/>
        <v>0</v>
      </c>
      <c r="I18" s="23">
        <f t="shared" si="4"/>
        <v>379177.030424</v>
      </c>
      <c r="J18" s="23">
        <f t="shared" si="1"/>
        <v>0</v>
      </c>
      <c r="K18" s="23">
        <f t="shared" si="5"/>
        <v>185936.29261027643</v>
      </c>
      <c r="L18" s="23">
        <f t="shared" si="6"/>
        <v>202702.7028</v>
      </c>
      <c r="M18" s="91">
        <f t="shared" si="7"/>
        <v>0</v>
      </c>
      <c r="N18" s="91">
        <v>0</v>
      </c>
      <c r="O18" s="91"/>
      <c r="P18" s="400">
        <f t="shared" si="2"/>
        <v>767816.14</v>
      </c>
      <c r="Q18" s="400"/>
      <c r="R18" s="14">
        <f t="shared" si="3"/>
        <v>0.14000000000000001</v>
      </c>
      <c r="S18" s="1">
        <f t="shared" si="8"/>
        <v>14</v>
      </c>
      <c r="T18" t="s">
        <v>277</v>
      </c>
    </row>
    <row r="19" spans="1:21" ht="24.6" customHeight="1" x14ac:dyDescent="0.25">
      <c r="A19" s="17"/>
      <c r="B19" s="17">
        <f t="shared" si="9"/>
        <v>15</v>
      </c>
      <c r="C19" s="17" t="s">
        <v>302</v>
      </c>
      <c r="D19" s="99">
        <v>4.4000000000000003E-3</v>
      </c>
      <c r="E19" s="122">
        <v>753011.15</v>
      </c>
      <c r="F19" s="355">
        <f t="shared" si="11"/>
        <v>753011.15</v>
      </c>
      <c r="G19" s="71">
        <f t="shared" si="0"/>
        <v>0</v>
      </c>
      <c r="H19" s="100">
        <f t="shared" si="10"/>
        <v>0</v>
      </c>
      <c r="I19" s="91">
        <f t="shared" si="4"/>
        <v>354974.24124800001</v>
      </c>
      <c r="J19" s="91">
        <f t="shared" si="1"/>
        <v>0</v>
      </c>
      <c r="K19" s="91">
        <f t="shared" si="5"/>
        <v>185936.29261027643</v>
      </c>
      <c r="L19" s="91">
        <f t="shared" si="6"/>
        <v>202702.7028</v>
      </c>
      <c r="M19" s="91">
        <f t="shared" si="7"/>
        <v>0</v>
      </c>
      <c r="N19" s="91">
        <v>0</v>
      </c>
      <c r="O19" s="91"/>
      <c r="P19" s="407">
        <f t="shared" si="2"/>
        <v>743613.15</v>
      </c>
      <c r="Q19" s="407"/>
      <c r="R19" s="101">
        <f t="shared" si="3"/>
        <v>0.15</v>
      </c>
      <c r="S19" s="69">
        <f t="shared" si="8"/>
        <v>15</v>
      </c>
      <c r="T19" t="s">
        <v>303</v>
      </c>
    </row>
    <row r="20" spans="1:21" ht="24.6" customHeight="1" x14ac:dyDescent="0.25">
      <c r="A20" s="17"/>
      <c r="B20" s="17">
        <f t="shared" si="9"/>
        <v>16</v>
      </c>
      <c r="C20" s="17" t="s">
        <v>173</v>
      </c>
      <c r="D20" s="99">
        <v>4.5999999999999999E-3</v>
      </c>
      <c r="E20" s="122">
        <v>1073994.1599999999</v>
      </c>
      <c r="F20" s="355">
        <f t="shared" si="11"/>
        <v>1073994.1599999999</v>
      </c>
      <c r="G20" s="70">
        <f t="shared" si="0"/>
        <v>0</v>
      </c>
      <c r="H20" s="22">
        <f t="shared" si="10"/>
        <v>0</v>
      </c>
      <c r="I20" s="23">
        <f t="shared" si="4"/>
        <v>371109.43403200002</v>
      </c>
      <c r="J20" s="23">
        <f t="shared" si="1"/>
        <v>0</v>
      </c>
      <c r="K20" s="23">
        <f t="shared" si="5"/>
        <v>185936.29261027643</v>
      </c>
      <c r="L20" s="23">
        <f t="shared" si="6"/>
        <v>202702.7028</v>
      </c>
      <c r="M20" s="91">
        <v>58013</v>
      </c>
      <c r="N20" s="91">
        <f>(I20+K20)/2</f>
        <v>278522.8633211382</v>
      </c>
      <c r="O20" s="91"/>
      <c r="P20" s="400">
        <f t="shared" si="2"/>
        <v>1096284.1599999999</v>
      </c>
      <c r="Q20" s="400"/>
      <c r="R20" s="14">
        <f t="shared" si="3"/>
        <v>0.16</v>
      </c>
      <c r="S20" s="1">
        <f t="shared" si="8"/>
        <v>16</v>
      </c>
    </row>
    <row r="21" spans="1:21" ht="24.6" customHeight="1" x14ac:dyDescent="0.25">
      <c r="A21" s="17"/>
      <c r="B21" s="17">
        <f t="shared" si="9"/>
        <v>17</v>
      </c>
      <c r="C21" s="17" t="s">
        <v>36</v>
      </c>
      <c r="D21" s="99">
        <v>4.5999999999999999E-3</v>
      </c>
      <c r="E21" s="122">
        <v>2706352.17</v>
      </c>
      <c r="F21" s="355">
        <f t="shared" si="11"/>
        <v>2706352.17</v>
      </c>
      <c r="G21" s="70">
        <f t="shared" si="0"/>
        <v>0</v>
      </c>
      <c r="H21" s="22">
        <f t="shared" si="10"/>
        <v>0</v>
      </c>
      <c r="I21" s="23">
        <f t="shared" si="4"/>
        <v>371109.43403200002</v>
      </c>
      <c r="J21" s="23">
        <f t="shared" si="1"/>
        <v>0</v>
      </c>
      <c r="K21" s="23">
        <f t="shared" si="5"/>
        <v>185936.29261027643</v>
      </c>
      <c r="L21" s="23">
        <f t="shared" si="6"/>
        <v>202702.7028</v>
      </c>
      <c r="M21" s="91">
        <f t="shared" si="7"/>
        <v>0</v>
      </c>
      <c r="N21" s="91">
        <v>0</v>
      </c>
      <c r="O21" s="91"/>
      <c r="P21" s="400">
        <f t="shared" si="2"/>
        <v>759748.17</v>
      </c>
      <c r="Q21" s="400"/>
      <c r="R21" s="14">
        <f t="shared" si="3"/>
        <v>0.17</v>
      </c>
      <c r="S21" s="1">
        <f t="shared" si="8"/>
        <v>17</v>
      </c>
      <c r="T21" t="s">
        <v>213</v>
      </c>
    </row>
    <row r="22" spans="1:21" ht="24.6" customHeight="1" x14ac:dyDescent="0.25">
      <c r="A22" s="17"/>
      <c r="B22" s="17">
        <f t="shared" si="9"/>
        <v>18</v>
      </c>
      <c r="C22" s="17" t="s">
        <v>37</v>
      </c>
      <c r="D22" s="99">
        <v>4.5999999999999999E-3</v>
      </c>
      <c r="E22" s="122">
        <v>767410.18</v>
      </c>
      <c r="F22" s="355">
        <f t="shared" si="11"/>
        <v>767410.18</v>
      </c>
      <c r="G22" s="70">
        <f t="shared" si="0"/>
        <v>0</v>
      </c>
      <c r="H22" s="22">
        <f t="shared" si="10"/>
        <v>0</v>
      </c>
      <c r="I22" s="23">
        <f t="shared" si="4"/>
        <v>371109.43403200002</v>
      </c>
      <c r="J22" s="23">
        <f t="shared" si="1"/>
        <v>0</v>
      </c>
      <c r="K22" s="23">
        <f t="shared" si="5"/>
        <v>185936.29261027643</v>
      </c>
      <c r="L22" s="23">
        <f t="shared" si="6"/>
        <v>202702.7028</v>
      </c>
      <c r="M22" s="91">
        <f t="shared" si="7"/>
        <v>0</v>
      </c>
      <c r="N22" s="91">
        <v>0</v>
      </c>
      <c r="O22" s="107"/>
      <c r="P22" s="400">
        <f t="shared" si="2"/>
        <v>759748.18</v>
      </c>
      <c r="Q22" s="400"/>
      <c r="R22" s="14">
        <f t="shared" si="3"/>
        <v>0.18</v>
      </c>
      <c r="S22" s="1">
        <f t="shared" si="8"/>
        <v>18</v>
      </c>
      <c r="T22" t="s">
        <v>311</v>
      </c>
    </row>
    <row r="23" spans="1:21" ht="24.6" customHeight="1" x14ac:dyDescent="0.25">
      <c r="A23" s="17"/>
      <c r="B23" s="17">
        <f t="shared" si="9"/>
        <v>19</v>
      </c>
      <c r="C23" s="17" t="s">
        <v>38</v>
      </c>
      <c r="D23" s="99">
        <v>4.7000000000000002E-3</v>
      </c>
      <c r="E23" s="122">
        <v>943811.19</v>
      </c>
      <c r="F23" s="355">
        <f t="shared" ref="F23:F26" si="12">E23</f>
        <v>943811.19</v>
      </c>
      <c r="G23" s="70">
        <f t="shared" si="0"/>
        <v>0</v>
      </c>
      <c r="H23" s="22">
        <f t="shared" si="10"/>
        <v>0</v>
      </c>
      <c r="I23" s="23">
        <f t="shared" si="4"/>
        <v>379177.030424</v>
      </c>
      <c r="J23" s="23">
        <f t="shared" si="1"/>
        <v>0</v>
      </c>
      <c r="K23" s="23">
        <f t="shared" si="5"/>
        <v>185936.29261027643</v>
      </c>
      <c r="L23" s="23">
        <f t="shared" si="6"/>
        <v>202702.7028</v>
      </c>
      <c r="M23" s="91">
        <f t="shared" si="7"/>
        <v>0</v>
      </c>
      <c r="N23" s="91">
        <v>0</v>
      </c>
      <c r="O23" s="107"/>
      <c r="P23" s="400">
        <f t="shared" si="2"/>
        <v>767816.19</v>
      </c>
      <c r="Q23" s="400"/>
      <c r="R23" s="14">
        <f t="shared" si="3"/>
        <v>0.19</v>
      </c>
      <c r="S23" s="1">
        <f t="shared" si="8"/>
        <v>19</v>
      </c>
    </row>
    <row r="24" spans="1:21" ht="24.6" customHeight="1" x14ac:dyDescent="0.25">
      <c r="A24" s="17"/>
      <c r="B24" s="17">
        <f t="shared" si="9"/>
        <v>20</v>
      </c>
      <c r="C24" s="17" t="s">
        <v>39</v>
      </c>
      <c r="D24" s="99">
        <v>4.7000000000000002E-3</v>
      </c>
      <c r="E24" s="122">
        <v>774611.2</v>
      </c>
      <c r="F24" s="355">
        <f t="shared" si="12"/>
        <v>774611.2</v>
      </c>
      <c r="G24" s="70">
        <f t="shared" si="0"/>
        <v>0</v>
      </c>
      <c r="H24" s="22">
        <f t="shared" si="10"/>
        <v>0</v>
      </c>
      <c r="I24" s="23">
        <f t="shared" si="4"/>
        <v>379177.030424</v>
      </c>
      <c r="J24" s="23">
        <f t="shared" si="1"/>
        <v>0</v>
      </c>
      <c r="K24" s="23">
        <f t="shared" si="5"/>
        <v>185936.29261027643</v>
      </c>
      <c r="L24" s="23">
        <f t="shared" si="6"/>
        <v>202702.7028</v>
      </c>
      <c r="M24" s="91">
        <f t="shared" si="7"/>
        <v>0</v>
      </c>
      <c r="N24" s="91">
        <v>0</v>
      </c>
      <c r="O24" s="107"/>
      <c r="P24" s="400">
        <f t="shared" si="2"/>
        <v>767816.2</v>
      </c>
      <c r="Q24" s="400"/>
      <c r="R24" s="14">
        <f t="shared" si="3"/>
        <v>0.2</v>
      </c>
      <c r="S24" s="1">
        <f t="shared" si="8"/>
        <v>20</v>
      </c>
    </row>
    <row r="25" spans="1:21" ht="24.6" customHeight="1" x14ac:dyDescent="0.25">
      <c r="A25" s="17"/>
      <c r="B25" s="17">
        <f t="shared" si="9"/>
        <v>21</v>
      </c>
      <c r="C25" s="17" t="s">
        <v>40</v>
      </c>
      <c r="D25" s="99">
        <v>4.7000000000000002E-3</v>
      </c>
      <c r="E25" s="122">
        <v>774611.21</v>
      </c>
      <c r="F25" s="355">
        <f t="shared" si="12"/>
        <v>774611.21</v>
      </c>
      <c r="G25" s="70">
        <f t="shared" si="0"/>
        <v>0</v>
      </c>
      <c r="H25" s="22">
        <f t="shared" si="10"/>
        <v>0</v>
      </c>
      <c r="I25" s="23">
        <f t="shared" si="4"/>
        <v>379177.030424</v>
      </c>
      <c r="J25" s="23">
        <f t="shared" si="1"/>
        <v>0</v>
      </c>
      <c r="K25" s="23">
        <f t="shared" si="5"/>
        <v>185936.29261027643</v>
      </c>
      <c r="L25" s="23">
        <f t="shared" si="6"/>
        <v>202702.7028</v>
      </c>
      <c r="M25" s="91">
        <f t="shared" si="7"/>
        <v>0</v>
      </c>
      <c r="N25" s="91">
        <v>0</v>
      </c>
      <c r="O25" s="107"/>
      <c r="P25" s="400">
        <f t="shared" si="2"/>
        <v>767816.21</v>
      </c>
      <c r="Q25" s="400"/>
      <c r="R25" s="14">
        <f t="shared" si="3"/>
        <v>0.21</v>
      </c>
      <c r="S25" s="1">
        <f t="shared" si="8"/>
        <v>21</v>
      </c>
      <c r="U25" t="s">
        <v>205</v>
      </c>
    </row>
    <row r="26" spans="1:21" ht="24.6" customHeight="1" x14ac:dyDescent="0.25">
      <c r="A26" s="17"/>
      <c r="B26" s="17">
        <f t="shared" si="9"/>
        <v>22</v>
      </c>
      <c r="C26" s="17" t="s">
        <v>41</v>
      </c>
      <c r="D26" s="99">
        <v>4.7000000000000002E-3</v>
      </c>
      <c r="E26" s="122">
        <v>774611.22</v>
      </c>
      <c r="F26" s="355">
        <f t="shared" si="12"/>
        <v>774611.22</v>
      </c>
      <c r="G26" s="70">
        <f t="shared" si="0"/>
        <v>0</v>
      </c>
      <c r="H26" s="22">
        <f t="shared" si="10"/>
        <v>0</v>
      </c>
      <c r="I26" s="23">
        <f t="shared" si="4"/>
        <v>379177.030424</v>
      </c>
      <c r="J26" s="23">
        <f t="shared" si="1"/>
        <v>0</v>
      </c>
      <c r="K26" s="23">
        <f t="shared" si="5"/>
        <v>185936.29261027643</v>
      </c>
      <c r="L26" s="23">
        <f t="shared" si="6"/>
        <v>202702.7028</v>
      </c>
      <c r="M26" s="91">
        <f t="shared" si="7"/>
        <v>0</v>
      </c>
      <c r="N26" s="91">
        <v>0</v>
      </c>
      <c r="O26" s="107"/>
      <c r="P26" s="400">
        <f t="shared" si="2"/>
        <v>767816.22</v>
      </c>
      <c r="Q26" s="400"/>
      <c r="R26" s="14">
        <f t="shared" si="3"/>
        <v>0.22</v>
      </c>
      <c r="S26" s="1">
        <f t="shared" si="8"/>
        <v>22</v>
      </c>
      <c r="T26" t="s">
        <v>299</v>
      </c>
    </row>
    <row r="27" spans="1:21" ht="24.6" customHeight="1" x14ac:dyDescent="0.25">
      <c r="A27" s="17"/>
      <c r="B27" s="17">
        <f t="shared" si="9"/>
        <v>23</v>
      </c>
      <c r="C27" s="17" t="s">
        <v>42</v>
      </c>
      <c r="D27" s="99">
        <v>4.7000000000000002E-3</v>
      </c>
      <c r="E27" s="122">
        <v>774611.23</v>
      </c>
      <c r="F27" s="355"/>
      <c r="G27" s="70">
        <f t="shared" si="0"/>
        <v>774611.23</v>
      </c>
      <c r="H27" s="22">
        <f t="shared" si="10"/>
        <v>23912.248670100002</v>
      </c>
      <c r="I27" s="23">
        <f t="shared" si="4"/>
        <v>379177.030424</v>
      </c>
      <c r="J27" s="23">
        <f t="shared" si="1"/>
        <v>0</v>
      </c>
      <c r="K27" s="23">
        <f t="shared" si="5"/>
        <v>185936.29261027643</v>
      </c>
      <c r="L27" s="23">
        <f t="shared" si="6"/>
        <v>202702.7028</v>
      </c>
      <c r="M27" s="91">
        <f t="shared" si="7"/>
        <v>0</v>
      </c>
      <c r="N27" s="91">
        <v>0</v>
      </c>
      <c r="O27" s="107"/>
      <c r="P27" s="400">
        <f t="shared" si="2"/>
        <v>1566340.23</v>
      </c>
      <c r="Q27" s="400"/>
      <c r="R27" s="14">
        <f t="shared" si="3"/>
        <v>0.23</v>
      </c>
      <c r="S27" s="1">
        <f t="shared" si="8"/>
        <v>23</v>
      </c>
      <c r="T27" t="s">
        <v>296</v>
      </c>
    </row>
    <row r="28" spans="1:21" ht="24.6" customHeight="1" x14ac:dyDescent="0.25">
      <c r="A28" s="17"/>
      <c r="B28" s="17">
        <f t="shared" si="9"/>
        <v>24</v>
      </c>
      <c r="C28" s="17" t="s">
        <v>43</v>
      </c>
      <c r="D28" s="99">
        <v>4.7000000000000002E-3</v>
      </c>
      <c r="E28" s="122">
        <v>774611.24</v>
      </c>
      <c r="F28" s="355"/>
      <c r="G28" s="70">
        <f t="shared" si="0"/>
        <v>774611.24</v>
      </c>
      <c r="H28" s="22">
        <f t="shared" si="10"/>
        <v>23912.248978800002</v>
      </c>
      <c r="I28" s="23">
        <f t="shared" si="4"/>
        <v>379177.030424</v>
      </c>
      <c r="J28" s="23">
        <f t="shared" si="1"/>
        <v>0</v>
      </c>
      <c r="K28" s="23">
        <f t="shared" si="5"/>
        <v>185936.29261027643</v>
      </c>
      <c r="L28" s="23">
        <f t="shared" si="6"/>
        <v>202702.7028</v>
      </c>
      <c r="M28" s="91">
        <f t="shared" si="7"/>
        <v>0</v>
      </c>
      <c r="N28" s="91">
        <v>0</v>
      </c>
      <c r="O28" s="107"/>
      <c r="P28" s="400">
        <f t="shared" si="2"/>
        <v>1566340.24</v>
      </c>
      <c r="Q28" s="400"/>
      <c r="R28" s="14">
        <f t="shared" si="3"/>
        <v>0.24</v>
      </c>
      <c r="S28" s="1">
        <f t="shared" si="8"/>
        <v>24</v>
      </c>
    </row>
    <row r="29" spans="1:21" ht="24.6" customHeight="1" x14ac:dyDescent="0.25">
      <c r="A29" s="17"/>
      <c r="B29" s="17">
        <f t="shared" si="9"/>
        <v>25</v>
      </c>
      <c r="C29" s="17" t="s">
        <v>44</v>
      </c>
      <c r="D29" s="99">
        <v>4.7999999999999996E-3</v>
      </c>
      <c r="E29" s="122">
        <v>1611167.25</v>
      </c>
      <c r="F29" s="355"/>
      <c r="G29" s="70">
        <f t="shared" si="0"/>
        <v>1611167.25</v>
      </c>
      <c r="H29" s="22">
        <f t="shared" si="10"/>
        <v>49736.733007499999</v>
      </c>
      <c r="I29" s="23">
        <f t="shared" si="4"/>
        <v>387244.62681599997</v>
      </c>
      <c r="J29" s="23">
        <f t="shared" si="1"/>
        <v>0</v>
      </c>
      <c r="K29" s="23">
        <f t="shared" si="5"/>
        <v>185936.29261027643</v>
      </c>
      <c r="L29" s="23">
        <f t="shared" si="6"/>
        <v>202702.7028</v>
      </c>
      <c r="M29" s="91">
        <f t="shared" si="7"/>
        <v>0</v>
      </c>
      <c r="N29" s="91">
        <v>0</v>
      </c>
      <c r="O29" s="107"/>
      <c r="P29" s="400">
        <f t="shared" si="2"/>
        <v>2436788.25</v>
      </c>
      <c r="Q29" s="400"/>
      <c r="R29" s="14">
        <f t="shared" si="3"/>
        <v>0.25</v>
      </c>
      <c r="S29" s="1">
        <f t="shared" si="8"/>
        <v>25</v>
      </c>
      <c r="U29" t="s">
        <v>275</v>
      </c>
    </row>
    <row r="30" spans="1:21" ht="24.6" customHeight="1" x14ac:dyDescent="0.25">
      <c r="A30" s="17"/>
      <c r="B30" s="17">
        <f t="shared" si="9"/>
        <v>26</v>
      </c>
      <c r="C30" s="17" t="s">
        <v>45</v>
      </c>
      <c r="D30" s="99">
        <v>4.7999999999999996E-3</v>
      </c>
      <c r="E30" s="122">
        <v>781621.26</v>
      </c>
      <c r="F30" s="355">
        <v>781650</v>
      </c>
      <c r="G30" s="71">
        <f t="shared" si="0"/>
        <v>-28.739999999990687</v>
      </c>
      <c r="H30" s="100">
        <f t="shared" si="10"/>
        <v>0</v>
      </c>
      <c r="I30" s="91">
        <f t="shared" si="4"/>
        <v>387244.62681599997</v>
      </c>
      <c r="J30" s="91">
        <f t="shared" si="1"/>
        <v>0</v>
      </c>
      <c r="K30" s="91">
        <f t="shared" si="5"/>
        <v>185936.29261027643</v>
      </c>
      <c r="L30" s="91">
        <f t="shared" si="6"/>
        <v>202702.7028</v>
      </c>
      <c r="M30" s="91">
        <f t="shared" si="7"/>
        <v>0</v>
      </c>
      <c r="N30" s="91">
        <v>0</v>
      </c>
      <c r="O30" s="107"/>
      <c r="P30" s="407">
        <f t="shared" si="2"/>
        <v>775855.26</v>
      </c>
      <c r="Q30" s="407"/>
      <c r="R30" s="101">
        <f t="shared" si="3"/>
        <v>0.26</v>
      </c>
      <c r="S30" s="69">
        <f t="shared" si="8"/>
        <v>26</v>
      </c>
      <c r="U30" t="s">
        <v>200</v>
      </c>
    </row>
    <row r="31" spans="1:21" ht="24.6" customHeight="1" x14ac:dyDescent="0.25">
      <c r="A31" s="17"/>
      <c r="B31" s="17">
        <f t="shared" si="9"/>
        <v>27</v>
      </c>
      <c r="C31" s="17" t="s">
        <v>46</v>
      </c>
      <c r="D31" s="99">
        <v>4.7999999999999996E-3</v>
      </c>
      <c r="E31" s="122">
        <v>804541.27</v>
      </c>
      <c r="F31" s="355"/>
      <c r="G31" s="70">
        <f t="shared" si="0"/>
        <v>804541.27</v>
      </c>
      <c r="H31" s="22">
        <f t="shared" si="10"/>
        <v>24836.189004900003</v>
      </c>
      <c r="I31" s="23">
        <f t="shared" si="4"/>
        <v>387244.62681599997</v>
      </c>
      <c r="J31" s="23">
        <f t="shared" si="1"/>
        <v>0</v>
      </c>
      <c r="K31" s="23">
        <f t="shared" si="5"/>
        <v>185936.29261027643</v>
      </c>
      <c r="L31" s="23">
        <f t="shared" si="6"/>
        <v>202702.7028</v>
      </c>
      <c r="M31" s="91">
        <f t="shared" si="7"/>
        <v>0</v>
      </c>
      <c r="N31" s="91">
        <v>0</v>
      </c>
      <c r="O31" s="107"/>
      <c r="P31" s="400">
        <f t="shared" si="2"/>
        <v>1605261.27</v>
      </c>
      <c r="Q31" s="400"/>
      <c r="R31" s="14">
        <f t="shared" si="3"/>
        <v>0.27</v>
      </c>
      <c r="S31" s="1">
        <f t="shared" si="8"/>
        <v>27</v>
      </c>
    </row>
    <row r="32" spans="1:21" ht="24.6" customHeight="1" x14ac:dyDescent="0.25">
      <c r="A32" s="17"/>
      <c r="B32" s="17">
        <f t="shared" si="9"/>
        <v>28</v>
      </c>
      <c r="C32" s="17" t="s">
        <v>47</v>
      </c>
      <c r="D32" s="99">
        <v>4.4999999999999997E-3</v>
      </c>
      <c r="E32" s="122">
        <v>744549.28</v>
      </c>
      <c r="F32" s="355">
        <v>780000</v>
      </c>
      <c r="G32" s="70">
        <f t="shared" si="0"/>
        <v>-35450.719999999972</v>
      </c>
      <c r="H32" s="22">
        <f t="shared" si="10"/>
        <v>0</v>
      </c>
      <c r="I32" s="23">
        <f t="shared" si="4"/>
        <v>363041.83763999998</v>
      </c>
      <c r="J32" s="23">
        <f t="shared" si="1"/>
        <v>0</v>
      </c>
      <c r="K32" s="23">
        <f t="shared" si="5"/>
        <v>185936.29261027643</v>
      </c>
      <c r="L32" s="23">
        <f t="shared" si="6"/>
        <v>202702.7028</v>
      </c>
      <c r="M32" s="91">
        <f t="shared" si="7"/>
        <v>0</v>
      </c>
      <c r="N32" s="91">
        <v>0</v>
      </c>
      <c r="O32" s="107"/>
      <c r="P32" s="400">
        <f t="shared" si="2"/>
        <v>716230.28</v>
      </c>
      <c r="Q32" s="400"/>
      <c r="R32" s="14">
        <f t="shared" si="3"/>
        <v>0.28000000000000003</v>
      </c>
      <c r="S32" s="1">
        <f t="shared" si="8"/>
        <v>28</v>
      </c>
      <c r="T32" t="s">
        <v>309</v>
      </c>
    </row>
    <row r="33" spans="1:20" ht="24.6" customHeight="1" x14ac:dyDescent="0.25">
      <c r="A33" s="17"/>
      <c r="B33" s="17">
        <f t="shared" si="9"/>
        <v>29</v>
      </c>
      <c r="C33" s="17" t="s">
        <v>48</v>
      </c>
      <c r="D33" s="99">
        <v>4.7999999999999996E-3</v>
      </c>
      <c r="E33" s="122">
        <v>781811.29</v>
      </c>
      <c r="F33" s="355">
        <f>E33</f>
        <v>781811.29</v>
      </c>
      <c r="G33" s="70">
        <f t="shared" si="0"/>
        <v>0</v>
      </c>
      <c r="H33" s="22">
        <f t="shared" si="10"/>
        <v>0</v>
      </c>
      <c r="I33" s="23">
        <f t="shared" si="4"/>
        <v>387244.62681599997</v>
      </c>
      <c r="J33" s="23">
        <f t="shared" si="1"/>
        <v>0</v>
      </c>
      <c r="K33" s="23">
        <f t="shared" si="5"/>
        <v>185936.29261027643</v>
      </c>
      <c r="L33" s="23">
        <f t="shared" si="6"/>
        <v>202702.7028</v>
      </c>
      <c r="M33" s="91">
        <f t="shared" si="7"/>
        <v>0</v>
      </c>
      <c r="N33" s="91">
        <v>0</v>
      </c>
      <c r="O33" s="107"/>
      <c r="P33" s="400">
        <f t="shared" si="2"/>
        <v>775884.29</v>
      </c>
      <c r="Q33" s="400"/>
      <c r="R33" s="14">
        <f t="shared" si="3"/>
        <v>0.28999999999999998</v>
      </c>
      <c r="S33" s="1">
        <f t="shared" si="8"/>
        <v>29</v>
      </c>
      <c r="T33" t="s">
        <v>209</v>
      </c>
    </row>
    <row r="34" spans="1:20" ht="24.6" customHeight="1" x14ac:dyDescent="0.25">
      <c r="A34" s="17"/>
      <c r="B34" s="17">
        <f t="shared" si="9"/>
        <v>30</v>
      </c>
      <c r="C34" s="17" t="s">
        <v>49</v>
      </c>
      <c r="D34" s="99">
        <v>4.4999999999999997E-3</v>
      </c>
      <c r="E34" s="122">
        <v>760211.3</v>
      </c>
      <c r="F34" s="355">
        <f>E34</f>
        <v>760211.3</v>
      </c>
      <c r="G34" s="70">
        <f t="shared" si="0"/>
        <v>0</v>
      </c>
      <c r="H34" s="22">
        <f t="shared" si="10"/>
        <v>0</v>
      </c>
      <c r="I34" s="23">
        <f t="shared" si="4"/>
        <v>363041.83763999998</v>
      </c>
      <c r="J34" s="23">
        <f t="shared" si="1"/>
        <v>0</v>
      </c>
      <c r="K34" s="23">
        <f t="shared" si="5"/>
        <v>185936.29261027643</v>
      </c>
      <c r="L34" s="23">
        <f t="shared" si="6"/>
        <v>202702.7028</v>
      </c>
      <c r="M34" s="91">
        <f t="shared" si="7"/>
        <v>0</v>
      </c>
      <c r="N34" s="91">
        <v>0</v>
      </c>
      <c r="O34" s="107"/>
      <c r="P34" s="400">
        <f t="shared" si="2"/>
        <v>751681.3</v>
      </c>
      <c r="Q34" s="400"/>
      <c r="R34" s="14">
        <f t="shared" si="3"/>
        <v>0.3</v>
      </c>
      <c r="S34" s="1">
        <f t="shared" si="8"/>
        <v>30</v>
      </c>
      <c r="T34" t="s">
        <v>258</v>
      </c>
    </row>
    <row r="35" spans="1:20" ht="24.6" customHeight="1" x14ac:dyDescent="0.25">
      <c r="A35" s="17"/>
      <c r="B35" s="17">
        <f t="shared" si="9"/>
        <v>31</v>
      </c>
      <c r="C35" s="17" t="s">
        <v>50</v>
      </c>
      <c r="D35" s="99">
        <v>4.4999999999999997E-3</v>
      </c>
      <c r="E35" s="122">
        <v>290333.31</v>
      </c>
      <c r="F35" s="355"/>
      <c r="G35" s="70">
        <f t="shared" si="0"/>
        <v>290333.31</v>
      </c>
      <c r="H35" s="22">
        <f t="shared" si="10"/>
        <v>8962.5892796999997</v>
      </c>
      <c r="I35" s="23">
        <f t="shared" si="4"/>
        <v>363041.83763999998</v>
      </c>
      <c r="J35" s="23">
        <f t="shared" si="1"/>
        <v>0</v>
      </c>
      <c r="K35" s="23">
        <f t="shared" si="5"/>
        <v>185936.29261027643</v>
      </c>
      <c r="L35" s="23">
        <f t="shared" si="6"/>
        <v>202702.7028</v>
      </c>
      <c r="M35" s="91">
        <f t="shared" si="7"/>
        <v>0</v>
      </c>
      <c r="N35" s="91">
        <v>0</v>
      </c>
      <c r="O35" s="107"/>
      <c r="P35" s="400">
        <f t="shared" si="2"/>
        <v>1050977.31</v>
      </c>
      <c r="Q35" s="400"/>
      <c r="R35" s="14">
        <f t="shared" si="3"/>
        <v>0.31</v>
      </c>
      <c r="S35" s="1">
        <f t="shared" si="8"/>
        <v>31</v>
      </c>
      <c r="T35" s="74" t="s">
        <v>270</v>
      </c>
    </row>
    <row r="36" spans="1:20" ht="24.6" customHeight="1" x14ac:dyDescent="0.25">
      <c r="A36" s="17"/>
      <c r="B36" s="17">
        <f t="shared" si="9"/>
        <v>32</v>
      </c>
      <c r="C36" s="17" t="s">
        <v>51</v>
      </c>
      <c r="D36" s="99">
        <v>4.4999999999999997E-3</v>
      </c>
      <c r="E36" s="122">
        <v>760211.32</v>
      </c>
      <c r="F36" s="356">
        <f>5665000-F20-F37-F90-F150-F151-F153</f>
        <v>761144.79999999993</v>
      </c>
      <c r="G36" s="71">
        <f t="shared" si="0"/>
        <v>-933.47999999998137</v>
      </c>
      <c r="H36" s="100">
        <f t="shared" si="10"/>
        <v>0</v>
      </c>
      <c r="I36" s="91">
        <f t="shared" si="4"/>
        <v>363041.83763999998</v>
      </c>
      <c r="J36" s="91">
        <f t="shared" si="1"/>
        <v>0</v>
      </c>
      <c r="K36" s="91">
        <f t="shared" si="5"/>
        <v>185936.29261027643</v>
      </c>
      <c r="L36" s="91">
        <f t="shared" si="6"/>
        <v>202702.7028</v>
      </c>
      <c r="M36" s="91">
        <f t="shared" si="7"/>
        <v>0</v>
      </c>
      <c r="N36" s="91">
        <v>0</v>
      </c>
      <c r="O36" s="107"/>
      <c r="P36" s="407">
        <f t="shared" si="2"/>
        <v>750747.32</v>
      </c>
      <c r="Q36" s="407"/>
      <c r="R36" s="101">
        <f t="shared" si="3"/>
        <v>0.32</v>
      </c>
      <c r="S36" s="69">
        <f t="shared" si="8"/>
        <v>32</v>
      </c>
    </row>
    <row r="37" spans="1:20" ht="24.6" customHeight="1" x14ac:dyDescent="0.25">
      <c r="A37" s="17"/>
      <c r="B37" s="17">
        <v>33</v>
      </c>
      <c r="C37" s="17" t="s">
        <v>52</v>
      </c>
      <c r="D37" s="99">
        <v>4.4999999999999997E-3</v>
      </c>
      <c r="E37" s="122">
        <v>760211.33</v>
      </c>
      <c r="F37" s="355">
        <f>E37</f>
        <v>760211.33</v>
      </c>
      <c r="G37" s="70">
        <f t="shared" si="0"/>
        <v>0</v>
      </c>
      <c r="H37" s="22">
        <f t="shared" si="10"/>
        <v>0</v>
      </c>
      <c r="I37" s="23">
        <f t="shared" si="4"/>
        <v>363041.83763999998</v>
      </c>
      <c r="J37" s="23">
        <f t="shared" ref="J37:J68" si="13">P$2*D37</f>
        <v>0</v>
      </c>
      <c r="K37" s="23">
        <f t="shared" si="5"/>
        <v>185936.29261027643</v>
      </c>
      <c r="L37" s="23">
        <f t="shared" si="6"/>
        <v>202702.7028</v>
      </c>
      <c r="M37" s="91">
        <f t="shared" si="7"/>
        <v>0</v>
      </c>
      <c r="N37" s="91">
        <v>0</v>
      </c>
      <c r="O37" s="107"/>
      <c r="P37" s="400">
        <f t="shared" ref="P37:P68" si="14">ROUND(SUM(G37:O37),0) + R37</f>
        <v>751681.33</v>
      </c>
      <c r="Q37" s="400"/>
      <c r="R37" s="14">
        <f t="shared" ref="R37:R68" si="15">ROUND(0.001+B37/100,2)</f>
        <v>0.33</v>
      </c>
      <c r="S37" s="1">
        <f t="shared" si="8"/>
        <v>33</v>
      </c>
    </row>
    <row r="38" spans="1:20" ht="24.6" customHeight="1" x14ac:dyDescent="0.25">
      <c r="A38" s="17"/>
      <c r="B38" s="17">
        <v>34</v>
      </c>
      <c r="C38" s="17" t="s">
        <v>50</v>
      </c>
      <c r="D38" s="99">
        <v>4.4999999999999997E-3</v>
      </c>
      <c r="E38" s="122">
        <v>135133.34</v>
      </c>
      <c r="F38" s="355"/>
      <c r="G38" s="70">
        <f t="shared" si="0"/>
        <v>135133.34</v>
      </c>
      <c r="H38" s="22">
        <f t="shared" si="10"/>
        <v>4171.5662057999998</v>
      </c>
      <c r="I38" s="23">
        <f t="shared" ref="I38:I101" si="16">K$2*D38</f>
        <v>363041.83763999998</v>
      </c>
      <c r="J38" s="23">
        <f t="shared" si="13"/>
        <v>0</v>
      </c>
      <c r="K38" s="23">
        <f t="shared" si="5"/>
        <v>185936.29261027643</v>
      </c>
      <c r="L38" s="23">
        <f t="shared" si="6"/>
        <v>202702.7028</v>
      </c>
      <c r="M38" s="91">
        <f t="shared" si="7"/>
        <v>0</v>
      </c>
      <c r="N38" s="91">
        <v>0</v>
      </c>
      <c r="O38" s="107"/>
      <c r="P38" s="400">
        <f t="shared" si="14"/>
        <v>890986.34</v>
      </c>
      <c r="Q38" s="400"/>
      <c r="R38" s="14">
        <f t="shared" si="15"/>
        <v>0.34</v>
      </c>
      <c r="S38" s="1">
        <f t="shared" si="8"/>
        <v>34</v>
      </c>
      <c r="T38" s="74" t="s">
        <v>270</v>
      </c>
    </row>
    <row r="39" spans="1:20" ht="22.15" customHeight="1" x14ac:dyDescent="0.25">
      <c r="A39" s="17">
        <v>1</v>
      </c>
      <c r="B39" s="17">
        <v>35</v>
      </c>
      <c r="C39" s="17" t="s">
        <v>53</v>
      </c>
      <c r="D39" s="99">
        <v>4.5999999999999999E-3</v>
      </c>
      <c r="E39" s="122">
        <v>1558512.35</v>
      </c>
      <c r="F39" s="355">
        <f>E39</f>
        <v>1558512.35</v>
      </c>
      <c r="G39" s="70">
        <f t="shared" si="0"/>
        <v>0</v>
      </c>
      <c r="H39" s="22">
        <f t="shared" si="10"/>
        <v>0</v>
      </c>
      <c r="I39" s="23">
        <f t="shared" si="16"/>
        <v>371109.43403200002</v>
      </c>
      <c r="J39" s="23">
        <f t="shared" si="13"/>
        <v>0</v>
      </c>
      <c r="K39" s="23">
        <f t="shared" si="5"/>
        <v>185936.29261027643</v>
      </c>
      <c r="L39" s="23">
        <f t="shared" si="6"/>
        <v>202702.7028</v>
      </c>
      <c r="M39" s="91">
        <f t="shared" si="7"/>
        <v>0</v>
      </c>
      <c r="N39" s="91">
        <v>0</v>
      </c>
      <c r="O39" s="107"/>
      <c r="P39" s="400">
        <f t="shared" si="14"/>
        <v>759748.35</v>
      </c>
      <c r="Q39" s="400"/>
      <c r="R39" s="14">
        <f t="shared" si="15"/>
        <v>0.35</v>
      </c>
      <c r="S39" s="1">
        <f t="shared" si="8"/>
        <v>35</v>
      </c>
      <c r="T39" t="s">
        <v>224</v>
      </c>
    </row>
    <row r="40" spans="1:20" ht="24.95" customHeight="1" x14ac:dyDescent="0.25">
      <c r="A40" s="17">
        <v>2</v>
      </c>
      <c r="B40" s="17">
        <v>36</v>
      </c>
      <c r="C40" s="17" t="s">
        <v>54</v>
      </c>
      <c r="D40" s="99">
        <v>4.5999999999999999E-3</v>
      </c>
      <c r="E40" s="122">
        <v>1558512.36</v>
      </c>
      <c r="F40" s="355"/>
      <c r="G40" s="71">
        <f t="shared" si="0"/>
        <v>1558512.36</v>
      </c>
      <c r="H40" s="100">
        <f t="shared" si="10"/>
        <v>48111.276553200005</v>
      </c>
      <c r="I40" s="91">
        <f t="shared" si="16"/>
        <v>371109.43403200002</v>
      </c>
      <c r="J40" s="91">
        <f t="shared" si="13"/>
        <v>0</v>
      </c>
      <c r="K40" s="91">
        <f t="shared" si="5"/>
        <v>185936.29261027643</v>
      </c>
      <c r="L40" s="91">
        <f t="shared" si="6"/>
        <v>202702.7028</v>
      </c>
      <c r="M40" s="91">
        <f t="shared" si="7"/>
        <v>0</v>
      </c>
      <c r="N40" s="91">
        <v>0</v>
      </c>
      <c r="O40" s="107"/>
      <c r="P40" s="407">
        <f t="shared" si="14"/>
        <v>2366372.36</v>
      </c>
      <c r="Q40" s="407"/>
      <c r="R40" s="101">
        <f t="shared" si="15"/>
        <v>0.36</v>
      </c>
      <c r="S40" s="69">
        <f t="shared" si="8"/>
        <v>36</v>
      </c>
      <c r="T40" s="14"/>
    </row>
    <row r="41" spans="1:20" ht="24.95" customHeight="1" x14ac:dyDescent="0.25">
      <c r="A41" s="17">
        <v>3</v>
      </c>
      <c r="B41" s="17">
        <v>37</v>
      </c>
      <c r="C41" s="17" t="s">
        <v>55</v>
      </c>
      <c r="D41" s="99">
        <v>4.4999999999999997E-3</v>
      </c>
      <c r="E41" s="122">
        <v>2356434.37</v>
      </c>
      <c r="F41" s="355">
        <v>1500000</v>
      </c>
      <c r="G41" s="71">
        <f t="shared" si="0"/>
        <v>856434.37000000011</v>
      </c>
      <c r="H41" s="100">
        <f t="shared" si="10"/>
        <v>26438.129001900004</v>
      </c>
      <c r="I41" s="91">
        <f t="shared" si="16"/>
        <v>363041.83763999998</v>
      </c>
      <c r="J41" s="91">
        <f t="shared" si="13"/>
        <v>0</v>
      </c>
      <c r="K41" s="91">
        <f t="shared" si="5"/>
        <v>185936.29261027643</v>
      </c>
      <c r="L41" s="91">
        <f t="shared" si="6"/>
        <v>202702.7028</v>
      </c>
      <c r="M41" s="91">
        <f t="shared" si="7"/>
        <v>0</v>
      </c>
      <c r="N41" s="91">
        <v>0</v>
      </c>
      <c r="O41" s="107"/>
      <c r="P41" s="407">
        <f t="shared" si="14"/>
        <v>1634553.37</v>
      </c>
      <c r="Q41" s="407"/>
      <c r="R41" s="101">
        <f t="shared" si="15"/>
        <v>0.37</v>
      </c>
      <c r="S41" s="69">
        <f t="shared" si="8"/>
        <v>37</v>
      </c>
      <c r="T41" s="14"/>
    </row>
    <row r="42" spans="1:20" ht="24.95" customHeight="1" x14ac:dyDescent="0.25">
      <c r="A42" s="17">
        <v>4</v>
      </c>
      <c r="B42" s="17">
        <v>38</v>
      </c>
      <c r="C42" s="17" t="s">
        <v>56</v>
      </c>
      <c r="D42" s="99">
        <v>4.4999999999999997E-3</v>
      </c>
      <c r="E42" s="122">
        <v>1254204.3799999999</v>
      </c>
      <c r="F42" s="355">
        <f>324000+436211.38</f>
        <v>760211.38</v>
      </c>
      <c r="G42" s="70">
        <f t="shared" si="0"/>
        <v>493992.99999999988</v>
      </c>
      <c r="H42" s="22">
        <f t="shared" si="10"/>
        <v>15249.563909999997</v>
      </c>
      <c r="I42" s="23">
        <f t="shared" si="16"/>
        <v>363041.83763999998</v>
      </c>
      <c r="J42" s="23">
        <f t="shared" si="13"/>
        <v>0</v>
      </c>
      <c r="K42" s="23">
        <f t="shared" si="5"/>
        <v>185936.29261027643</v>
      </c>
      <c r="L42" s="23">
        <f t="shared" si="6"/>
        <v>202702.7028</v>
      </c>
      <c r="M42" s="91">
        <f t="shared" si="7"/>
        <v>0</v>
      </c>
      <c r="N42" s="91">
        <v>0</v>
      </c>
      <c r="O42" s="107"/>
      <c r="P42" s="400">
        <f t="shared" si="14"/>
        <v>1260923.3799999999</v>
      </c>
      <c r="Q42" s="400"/>
      <c r="R42" s="14">
        <f t="shared" si="15"/>
        <v>0.38</v>
      </c>
      <c r="S42" s="1">
        <f t="shared" si="8"/>
        <v>38</v>
      </c>
      <c r="T42" t="s">
        <v>245</v>
      </c>
    </row>
    <row r="43" spans="1:20" ht="24.95" customHeight="1" x14ac:dyDescent="0.25">
      <c r="A43" s="17">
        <v>5</v>
      </c>
      <c r="B43" s="17">
        <v>39</v>
      </c>
      <c r="C43" s="17" t="s">
        <v>249</v>
      </c>
      <c r="D43" s="99">
        <v>4.4999999999999997E-3</v>
      </c>
      <c r="E43" s="122">
        <v>915411.39</v>
      </c>
      <c r="F43" s="355"/>
      <c r="G43" s="70">
        <f t="shared" si="0"/>
        <v>915411.39</v>
      </c>
      <c r="H43" s="22">
        <f t="shared" si="10"/>
        <v>28258.749609300001</v>
      </c>
      <c r="I43" s="23">
        <f t="shared" si="16"/>
        <v>363041.83763999998</v>
      </c>
      <c r="J43" s="23">
        <f t="shared" si="13"/>
        <v>0</v>
      </c>
      <c r="K43" s="23">
        <f t="shared" si="5"/>
        <v>185936.29261027643</v>
      </c>
      <c r="L43" s="23">
        <f t="shared" si="6"/>
        <v>202702.7028</v>
      </c>
      <c r="M43" s="91">
        <f t="shared" si="7"/>
        <v>0</v>
      </c>
      <c r="N43" s="91">
        <v>0</v>
      </c>
      <c r="O43" s="107"/>
      <c r="P43" s="400">
        <f t="shared" si="14"/>
        <v>1695351.39</v>
      </c>
      <c r="Q43" s="400"/>
      <c r="R43" s="14">
        <f t="shared" si="15"/>
        <v>0.39</v>
      </c>
      <c r="S43" s="1">
        <f t="shared" si="8"/>
        <v>39</v>
      </c>
      <c r="T43" t="s">
        <v>227</v>
      </c>
    </row>
    <row r="44" spans="1:20" ht="24.95" customHeight="1" x14ac:dyDescent="0.25">
      <c r="A44" s="17">
        <v>6</v>
      </c>
      <c r="B44" s="17">
        <v>40</v>
      </c>
      <c r="C44" s="17" t="s">
        <v>57</v>
      </c>
      <c r="D44" s="99">
        <v>4.4999999999999997E-3</v>
      </c>
      <c r="E44" s="122">
        <v>1069472.3999999999</v>
      </c>
      <c r="F44" s="355">
        <v>300000</v>
      </c>
      <c r="G44" s="70">
        <f t="shared" si="0"/>
        <v>769472.39999999991</v>
      </c>
      <c r="H44" s="22">
        <f t="shared" si="10"/>
        <v>23753.612987999997</v>
      </c>
      <c r="I44" s="23">
        <f t="shared" si="16"/>
        <v>363041.83763999998</v>
      </c>
      <c r="J44" s="23">
        <f t="shared" si="13"/>
        <v>0</v>
      </c>
      <c r="K44" s="23">
        <f t="shared" si="5"/>
        <v>185936.29261027643</v>
      </c>
      <c r="L44" s="23">
        <f t="shared" si="6"/>
        <v>202702.7028</v>
      </c>
      <c r="M44" s="91">
        <f t="shared" si="7"/>
        <v>0</v>
      </c>
      <c r="N44" s="91">
        <v>0</v>
      </c>
      <c r="O44" s="107"/>
      <c r="P44" s="400">
        <f t="shared" si="14"/>
        <v>1544907.4</v>
      </c>
      <c r="Q44" s="400"/>
      <c r="R44" s="14">
        <f t="shared" si="15"/>
        <v>0.4</v>
      </c>
      <c r="S44" s="1">
        <f t="shared" si="8"/>
        <v>40</v>
      </c>
    </row>
    <row r="45" spans="1:20" ht="24.95" customHeight="1" x14ac:dyDescent="0.25">
      <c r="A45" s="17">
        <v>7</v>
      </c>
      <c r="B45" s="17">
        <v>41</v>
      </c>
      <c r="C45" s="17" t="s">
        <v>58</v>
      </c>
      <c r="D45" s="99">
        <v>4.4999999999999997E-3</v>
      </c>
      <c r="E45" s="122">
        <v>760211.41</v>
      </c>
      <c r="F45" s="355">
        <f>E45</f>
        <v>760211.41</v>
      </c>
      <c r="G45" s="70">
        <f t="shared" si="0"/>
        <v>0</v>
      </c>
      <c r="H45" s="22">
        <f t="shared" si="10"/>
        <v>0</v>
      </c>
      <c r="I45" s="23">
        <f t="shared" si="16"/>
        <v>363041.83763999998</v>
      </c>
      <c r="J45" s="23">
        <f t="shared" si="13"/>
        <v>0</v>
      </c>
      <c r="K45" s="23">
        <f t="shared" si="5"/>
        <v>185936.29261027643</v>
      </c>
      <c r="L45" s="23">
        <f t="shared" si="6"/>
        <v>202702.7028</v>
      </c>
      <c r="M45" s="91">
        <f t="shared" si="7"/>
        <v>0</v>
      </c>
      <c r="N45" s="91">
        <v>0</v>
      </c>
      <c r="O45" s="107"/>
      <c r="P45" s="400">
        <f t="shared" si="14"/>
        <v>751681.41</v>
      </c>
      <c r="Q45" s="400"/>
      <c r="R45" s="14">
        <f t="shared" si="15"/>
        <v>0.41</v>
      </c>
      <c r="S45" s="1">
        <f t="shared" si="8"/>
        <v>41</v>
      </c>
      <c r="T45" s="74" t="s">
        <v>220</v>
      </c>
    </row>
    <row r="46" spans="1:20" ht="24.95" customHeight="1" x14ac:dyDescent="0.25">
      <c r="A46" s="17">
        <v>8</v>
      </c>
      <c r="B46" s="17">
        <v>42</v>
      </c>
      <c r="C46" s="17" t="s">
        <v>59</v>
      </c>
      <c r="D46" s="99">
        <v>4.4999999999999997E-3</v>
      </c>
      <c r="E46" s="122">
        <v>760211.42</v>
      </c>
      <c r="F46" s="355">
        <f>E46</f>
        <v>760211.42</v>
      </c>
      <c r="G46" s="70">
        <f t="shared" si="0"/>
        <v>0</v>
      </c>
      <c r="H46" s="22">
        <f t="shared" si="10"/>
        <v>0</v>
      </c>
      <c r="I46" s="23">
        <f t="shared" si="16"/>
        <v>363041.83763999998</v>
      </c>
      <c r="J46" s="23">
        <f t="shared" si="13"/>
        <v>0</v>
      </c>
      <c r="K46" s="23">
        <f t="shared" si="5"/>
        <v>185936.29261027643</v>
      </c>
      <c r="L46" s="23">
        <f t="shared" si="6"/>
        <v>202702.7028</v>
      </c>
      <c r="M46" s="91">
        <f t="shared" si="7"/>
        <v>0</v>
      </c>
      <c r="N46" s="91">
        <v>0</v>
      </c>
      <c r="O46" s="107"/>
      <c r="P46" s="400">
        <f t="shared" si="14"/>
        <v>751681.42</v>
      </c>
      <c r="Q46" s="400"/>
      <c r="R46" s="14">
        <f t="shared" si="15"/>
        <v>0.42</v>
      </c>
      <c r="S46" s="1">
        <f t="shared" si="8"/>
        <v>42</v>
      </c>
      <c r="T46" t="s">
        <v>291</v>
      </c>
    </row>
    <row r="47" spans="1:20" ht="24.95" customHeight="1" x14ac:dyDescent="0.25">
      <c r="A47" s="17">
        <v>1</v>
      </c>
      <c r="B47" s="17">
        <v>43</v>
      </c>
      <c r="C47" s="17" t="s">
        <v>60</v>
      </c>
      <c r="D47" s="99">
        <v>3.5999999999999999E-3</v>
      </c>
      <c r="E47" s="122">
        <v>695411.43</v>
      </c>
      <c r="F47" s="355">
        <f>E47</f>
        <v>695411.43</v>
      </c>
      <c r="G47" s="70">
        <f t="shared" si="0"/>
        <v>0</v>
      </c>
      <c r="H47" s="22">
        <f t="shared" si="10"/>
        <v>0</v>
      </c>
      <c r="I47" s="23">
        <f t="shared" si="16"/>
        <v>290433.47011200001</v>
      </c>
      <c r="J47" s="23">
        <f t="shared" si="13"/>
        <v>0</v>
      </c>
      <c r="K47" s="23">
        <f t="shared" si="5"/>
        <v>185936.29261027643</v>
      </c>
      <c r="L47" s="23">
        <f t="shared" si="6"/>
        <v>202702.7028</v>
      </c>
      <c r="M47" s="91">
        <f t="shared" si="7"/>
        <v>0</v>
      </c>
      <c r="N47" s="91">
        <v>0</v>
      </c>
      <c r="O47" s="107"/>
      <c r="P47" s="400">
        <f t="shared" si="14"/>
        <v>679072.43</v>
      </c>
      <c r="Q47" s="400"/>
      <c r="R47" s="14">
        <f t="shared" si="15"/>
        <v>0.43</v>
      </c>
      <c r="S47" s="1">
        <f t="shared" si="8"/>
        <v>43</v>
      </c>
    </row>
    <row r="48" spans="1:20" ht="24.95" customHeight="1" x14ac:dyDescent="0.25">
      <c r="A48" s="17">
        <v>1</v>
      </c>
      <c r="B48" s="17">
        <v>44</v>
      </c>
      <c r="C48" s="17" t="s">
        <v>61</v>
      </c>
      <c r="D48" s="99">
        <v>4.1000000000000003E-3</v>
      </c>
      <c r="E48" s="122">
        <v>668282.43999999994</v>
      </c>
      <c r="F48" s="355"/>
      <c r="G48" s="70">
        <f t="shared" si="0"/>
        <v>668282.43999999994</v>
      </c>
      <c r="H48" s="22">
        <f t="shared" si="10"/>
        <v>20629.878922799999</v>
      </c>
      <c r="I48" s="23">
        <f t="shared" si="16"/>
        <v>330771.45207200001</v>
      </c>
      <c r="J48" s="23">
        <f t="shared" si="13"/>
        <v>0</v>
      </c>
      <c r="K48" s="23">
        <f t="shared" si="5"/>
        <v>185936.29261027643</v>
      </c>
      <c r="L48" s="23">
        <f t="shared" si="6"/>
        <v>202702.7028</v>
      </c>
      <c r="M48" s="91">
        <f t="shared" si="7"/>
        <v>0</v>
      </c>
      <c r="N48" s="91">
        <v>0</v>
      </c>
      <c r="O48" s="107"/>
      <c r="P48" s="400">
        <f t="shared" si="14"/>
        <v>1408323.44</v>
      </c>
      <c r="Q48" s="400"/>
      <c r="R48" s="14">
        <f t="shared" si="15"/>
        <v>0.44</v>
      </c>
      <c r="S48" s="1">
        <f t="shared" si="8"/>
        <v>44</v>
      </c>
      <c r="T48" t="s">
        <v>326</v>
      </c>
    </row>
    <row r="49" spans="1:20" ht="24.95" customHeight="1" x14ac:dyDescent="0.25">
      <c r="A49" s="17">
        <v>2</v>
      </c>
      <c r="B49" s="17">
        <v>45</v>
      </c>
      <c r="C49" s="17" t="s">
        <v>62</v>
      </c>
      <c r="D49" s="99">
        <v>4.8999999999999998E-3</v>
      </c>
      <c r="E49" s="122">
        <v>789011.45</v>
      </c>
      <c r="F49" s="355">
        <f>E49</f>
        <v>789011.45</v>
      </c>
      <c r="G49" s="70">
        <f t="shared" si="0"/>
        <v>0</v>
      </c>
      <c r="H49" s="22">
        <f t="shared" si="10"/>
        <v>0</v>
      </c>
      <c r="I49" s="23">
        <f t="shared" si="16"/>
        <v>395312.22320800001</v>
      </c>
      <c r="J49" s="23">
        <f t="shared" si="13"/>
        <v>0</v>
      </c>
      <c r="K49" s="23">
        <f t="shared" si="5"/>
        <v>185936.29261027643</v>
      </c>
      <c r="L49" s="23">
        <f t="shared" si="6"/>
        <v>202702.7028</v>
      </c>
      <c r="M49" s="91">
        <f t="shared" si="7"/>
        <v>0</v>
      </c>
      <c r="N49" s="91">
        <v>0</v>
      </c>
      <c r="O49" s="107"/>
      <c r="P49" s="400">
        <f t="shared" si="14"/>
        <v>783951.45</v>
      </c>
      <c r="Q49" s="400"/>
      <c r="R49" s="14">
        <f t="shared" si="15"/>
        <v>0.45</v>
      </c>
      <c r="S49" s="1">
        <f t="shared" si="8"/>
        <v>45</v>
      </c>
    </row>
    <row r="50" spans="1:20" ht="24.95" customHeight="1" x14ac:dyDescent="0.25">
      <c r="A50" s="17">
        <v>2</v>
      </c>
      <c r="B50" s="17">
        <v>46</v>
      </c>
      <c r="C50" s="17" t="s">
        <v>63</v>
      </c>
      <c r="D50" s="99">
        <v>3.8999999999999998E-3</v>
      </c>
      <c r="E50" s="122">
        <v>1477482.46</v>
      </c>
      <c r="F50" s="355">
        <v>737698.46</v>
      </c>
      <c r="G50" s="70">
        <f t="shared" si="0"/>
        <v>739784</v>
      </c>
      <c r="H50" s="22">
        <f t="shared" si="10"/>
        <v>22837.132079999999</v>
      </c>
      <c r="I50" s="23">
        <f t="shared" si="16"/>
        <v>314636.259288</v>
      </c>
      <c r="J50" s="23">
        <f t="shared" si="13"/>
        <v>0</v>
      </c>
      <c r="K50" s="23">
        <f t="shared" si="5"/>
        <v>185936.29261027643</v>
      </c>
      <c r="L50" s="23">
        <f t="shared" si="6"/>
        <v>202702.7028</v>
      </c>
      <c r="M50" s="91">
        <f t="shared" si="7"/>
        <v>0</v>
      </c>
      <c r="N50" s="91">
        <v>0</v>
      </c>
      <c r="O50" s="107"/>
      <c r="P50" s="400">
        <f t="shared" si="14"/>
        <v>1465896.46</v>
      </c>
      <c r="Q50" s="400"/>
      <c r="R50" s="14">
        <f t="shared" si="15"/>
        <v>0.46</v>
      </c>
      <c r="S50" s="1">
        <f t="shared" si="8"/>
        <v>46</v>
      </c>
      <c r="T50" t="s">
        <v>194</v>
      </c>
    </row>
    <row r="51" spans="1:20" ht="24.95" customHeight="1" x14ac:dyDescent="0.25">
      <c r="A51" s="17">
        <v>3</v>
      </c>
      <c r="B51" s="17">
        <v>47</v>
      </c>
      <c r="C51" s="17" t="s">
        <v>64</v>
      </c>
      <c r="D51" s="99">
        <v>4.4999999999999997E-3</v>
      </c>
      <c r="E51" s="122">
        <v>760211.47</v>
      </c>
      <c r="F51" s="355"/>
      <c r="G51" s="70">
        <f t="shared" si="0"/>
        <v>760211.47</v>
      </c>
      <c r="H51" s="22">
        <f t="shared" si="10"/>
        <v>23467.7280789</v>
      </c>
      <c r="I51" s="23">
        <f t="shared" si="16"/>
        <v>363041.83763999998</v>
      </c>
      <c r="J51" s="23">
        <f t="shared" si="13"/>
        <v>0</v>
      </c>
      <c r="K51" s="23">
        <f t="shared" si="5"/>
        <v>185936.29261027643</v>
      </c>
      <c r="L51" s="23">
        <f t="shared" si="6"/>
        <v>202702.7028</v>
      </c>
      <c r="M51" s="91">
        <f t="shared" si="7"/>
        <v>0</v>
      </c>
      <c r="N51" s="91">
        <v>0</v>
      </c>
      <c r="O51" s="107"/>
      <c r="P51" s="400">
        <f t="shared" si="14"/>
        <v>1535360.47</v>
      </c>
      <c r="Q51" s="400"/>
      <c r="R51" s="14">
        <f t="shared" si="15"/>
        <v>0.47</v>
      </c>
      <c r="S51" s="1">
        <f t="shared" si="8"/>
        <v>47</v>
      </c>
      <c r="T51" t="s">
        <v>330</v>
      </c>
    </row>
    <row r="52" spans="1:20" ht="24.95" customHeight="1" x14ac:dyDescent="0.25">
      <c r="A52" s="17">
        <v>3</v>
      </c>
      <c r="B52" s="17">
        <v>48</v>
      </c>
      <c r="C52" s="17" t="s">
        <v>189</v>
      </c>
      <c r="D52" s="99">
        <v>4.4999999999999997E-3</v>
      </c>
      <c r="E52" s="122">
        <v>1090308.48</v>
      </c>
      <c r="F52" s="355"/>
      <c r="G52" s="70">
        <f t="shared" si="0"/>
        <v>1090308.48</v>
      </c>
      <c r="H52" s="22">
        <f t="shared" si="10"/>
        <v>33657.822777599999</v>
      </c>
      <c r="I52" s="23">
        <f t="shared" si="16"/>
        <v>363041.83763999998</v>
      </c>
      <c r="J52" s="23">
        <f t="shared" si="13"/>
        <v>0</v>
      </c>
      <c r="K52" s="23">
        <f t="shared" si="5"/>
        <v>185936.29261027643</v>
      </c>
      <c r="L52" s="23">
        <f t="shared" si="6"/>
        <v>202702.7028</v>
      </c>
      <c r="M52" s="91">
        <v>85127</v>
      </c>
      <c r="N52" s="91">
        <f>(I52+K52)/2</f>
        <v>274489.06512513821</v>
      </c>
      <c r="O52" s="107"/>
      <c r="P52" s="400">
        <f t="shared" si="14"/>
        <v>2235263.48</v>
      </c>
      <c r="Q52" s="400"/>
      <c r="R52" s="14">
        <f t="shared" si="15"/>
        <v>0.48</v>
      </c>
      <c r="S52" s="1">
        <f t="shared" si="8"/>
        <v>48</v>
      </c>
      <c r="T52" s="13"/>
    </row>
    <row r="53" spans="1:20" ht="24.95" customHeight="1" x14ac:dyDescent="0.25">
      <c r="A53" s="17">
        <v>4</v>
      </c>
      <c r="B53" s="17">
        <v>49</v>
      </c>
      <c r="C53" s="17" t="s">
        <v>65</v>
      </c>
      <c r="D53" s="99">
        <v>4.4999999999999997E-3</v>
      </c>
      <c r="E53" s="122">
        <v>760211.49</v>
      </c>
      <c r="F53" s="355">
        <f t="shared" ref="F53:F54" si="17">E53</f>
        <v>760211.49</v>
      </c>
      <c r="G53" s="70">
        <f t="shared" si="0"/>
        <v>0</v>
      </c>
      <c r="H53" s="22">
        <f t="shared" si="10"/>
        <v>0</v>
      </c>
      <c r="I53" s="23">
        <f t="shared" si="16"/>
        <v>363041.83763999998</v>
      </c>
      <c r="J53" s="23">
        <f t="shared" si="13"/>
        <v>0</v>
      </c>
      <c r="K53" s="23">
        <f t="shared" si="5"/>
        <v>185936.29261027643</v>
      </c>
      <c r="L53" s="23">
        <f t="shared" si="6"/>
        <v>202702.7028</v>
      </c>
      <c r="M53" s="91">
        <f t="shared" si="7"/>
        <v>0</v>
      </c>
      <c r="N53" s="91">
        <v>0</v>
      </c>
      <c r="O53" s="107"/>
      <c r="P53" s="400">
        <f t="shared" si="14"/>
        <v>751681.49</v>
      </c>
      <c r="Q53" s="400"/>
      <c r="R53" s="14">
        <f t="shared" si="15"/>
        <v>0.49</v>
      </c>
      <c r="S53" s="1">
        <f t="shared" si="8"/>
        <v>49</v>
      </c>
      <c r="T53" t="s">
        <v>210</v>
      </c>
    </row>
    <row r="54" spans="1:20" ht="24.95" customHeight="1" x14ac:dyDescent="0.25">
      <c r="A54" s="17">
        <v>4</v>
      </c>
      <c r="B54" s="17">
        <v>50</v>
      </c>
      <c r="C54" s="17" t="s">
        <v>66</v>
      </c>
      <c r="D54" s="99">
        <v>4.4999999999999997E-3</v>
      </c>
      <c r="E54" s="122">
        <v>760211.5</v>
      </c>
      <c r="F54" s="355">
        <f t="shared" si="17"/>
        <v>760211.5</v>
      </c>
      <c r="G54" s="70">
        <f t="shared" si="0"/>
        <v>0</v>
      </c>
      <c r="H54" s="22">
        <f t="shared" si="10"/>
        <v>0</v>
      </c>
      <c r="I54" s="23">
        <f t="shared" si="16"/>
        <v>363041.83763999998</v>
      </c>
      <c r="J54" s="23">
        <f t="shared" si="13"/>
        <v>0</v>
      </c>
      <c r="K54" s="23">
        <f t="shared" si="5"/>
        <v>185936.29261027643</v>
      </c>
      <c r="L54" s="23">
        <f t="shared" si="6"/>
        <v>202702.7028</v>
      </c>
      <c r="M54" s="91">
        <f t="shared" si="7"/>
        <v>0</v>
      </c>
      <c r="N54" s="91">
        <v>0</v>
      </c>
      <c r="O54" s="107"/>
      <c r="P54" s="400">
        <f t="shared" si="14"/>
        <v>751681.5</v>
      </c>
      <c r="Q54" s="400"/>
      <c r="R54" s="14">
        <f t="shared" si="15"/>
        <v>0.5</v>
      </c>
      <c r="S54" s="1">
        <f t="shared" si="8"/>
        <v>50</v>
      </c>
      <c r="T54" t="s">
        <v>348</v>
      </c>
    </row>
    <row r="55" spans="1:20" ht="24.95" customHeight="1" x14ac:dyDescent="0.25">
      <c r="A55" s="17">
        <v>5</v>
      </c>
      <c r="B55" s="17">
        <v>51</v>
      </c>
      <c r="C55" s="17" t="s">
        <v>67</v>
      </c>
      <c r="D55" s="99">
        <v>4.4999999999999997E-3</v>
      </c>
      <c r="E55" s="122">
        <v>2485647.5099999998</v>
      </c>
      <c r="F55" s="355">
        <f>E55</f>
        <v>2485647.5099999998</v>
      </c>
      <c r="G55" s="70">
        <f t="shared" si="0"/>
        <v>0</v>
      </c>
      <c r="H55" s="22">
        <f t="shared" si="10"/>
        <v>0</v>
      </c>
      <c r="I55" s="23">
        <f t="shared" si="16"/>
        <v>363041.83763999998</v>
      </c>
      <c r="J55" s="23">
        <f t="shared" si="13"/>
        <v>0</v>
      </c>
      <c r="K55" s="23">
        <f t="shared" si="5"/>
        <v>185936.29261027643</v>
      </c>
      <c r="L55" s="23">
        <f t="shared" si="6"/>
        <v>202702.7028</v>
      </c>
      <c r="M55" s="91">
        <v>56751</v>
      </c>
      <c r="N55" s="91">
        <f>(I55+K55)/2</f>
        <v>274489.06512513821</v>
      </c>
      <c r="O55" s="107"/>
      <c r="P55" s="400">
        <f t="shared" si="14"/>
        <v>1082921.51</v>
      </c>
      <c r="Q55" s="400"/>
      <c r="R55" s="14">
        <f t="shared" si="15"/>
        <v>0.51</v>
      </c>
      <c r="S55" s="1">
        <f t="shared" si="8"/>
        <v>51</v>
      </c>
      <c r="T55" t="s">
        <v>257</v>
      </c>
    </row>
    <row r="56" spans="1:20" ht="24.95" customHeight="1" x14ac:dyDescent="0.25">
      <c r="A56" s="17">
        <v>5</v>
      </c>
      <c r="B56" s="17">
        <v>52</v>
      </c>
      <c r="C56" s="17" t="s">
        <v>68</v>
      </c>
      <c r="D56" s="99">
        <v>4.5999999999999999E-3</v>
      </c>
      <c r="E56" s="122">
        <v>767411.52</v>
      </c>
      <c r="F56" s="355"/>
      <c r="G56" s="71">
        <f t="shared" si="0"/>
        <v>767411.52</v>
      </c>
      <c r="H56" s="22">
        <f t="shared" si="10"/>
        <v>23689.993622400001</v>
      </c>
      <c r="I56" s="23">
        <f t="shared" si="16"/>
        <v>371109.43403200002</v>
      </c>
      <c r="J56" s="23">
        <f t="shared" si="13"/>
        <v>0</v>
      </c>
      <c r="K56" s="23">
        <f t="shared" si="5"/>
        <v>185936.29261027643</v>
      </c>
      <c r="L56" s="23">
        <f t="shared" si="6"/>
        <v>202702.7028</v>
      </c>
      <c r="M56" s="91">
        <f t="shared" si="7"/>
        <v>0</v>
      </c>
      <c r="N56" s="91">
        <v>0</v>
      </c>
      <c r="O56" s="107"/>
      <c r="P56" s="400">
        <f t="shared" si="14"/>
        <v>1550850.52</v>
      </c>
      <c r="Q56" s="400"/>
      <c r="R56" s="14">
        <f t="shared" si="15"/>
        <v>0.52</v>
      </c>
      <c r="S56" s="1">
        <f t="shared" si="8"/>
        <v>52</v>
      </c>
      <c r="T56" t="s">
        <v>244</v>
      </c>
    </row>
    <row r="57" spans="1:20" ht="24.95" customHeight="1" x14ac:dyDescent="0.25">
      <c r="A57" s="17">
        <v>6</v>
      </c>
      <c r="B57" s="17">
        <v>53</v>
      </c>
      <c r="C57" s="17" t="s">
        <v>69</v>
      </c>
      <c r="D57" s="99">
        <v>4.4999999999999997E-3</v>
      </c>
      <c r="E57" s="122">
        <v>2279957.5299999998</v>
      </c>
      <c r="F57" s="355"/>
      <c r="G57" s="70">
        <f t="shared" si="0"/>
        <v>2279957.5299999998</v>
      </c>
      <c r="H57" s="22">
        <f t="shared" si="10"/>
        <v>70382.288951099996</v>
      </c>
      <c r="I57" s="23">
        <f t="shared" si="16"/>
        <v>363041.83763999998</v>
      </c>
      <c r="J57" s="23">
        <f t="shared" si="13"/>
        <v>0</v>
      </c>
      <c r="K57" s="23">
        <f t="shared" si="5"/>
        <v>185936.29261027643</v>
      </c>
      <c r="L57" s="23">
        <f t="shared" si="6"/>
        <v>202702.7028</v>
      </c>
      <c r="M57" s="91">
        <f t="shared" si="7"/>
        <v>0</v>
      </c>
      <c r="N57" s="91">
        <v>0</v>
      </c>
      <c r="O57" s="107"/>
      <c r="P57" s="400">
        <f t="shared" si="14"/>
        <v>3102021.53</v>
      </c>
      <c r="Q57" s="400"/>
      <c r="R57" s="14">
        <f t="shared" si="15"/>
        <v>0.53</v>
      </c>
      <c r="S57" s="1">
        <f t="shared" si="8"/>
        <v>53</v>
      </c>
    </row>
    <row r="58" spans="1:20" ht="24.95" customHeight="1" x14ac:dyDescent="0.25">
      <c r="A58" s="17">
        <v>6</v>
      </c>
      <c r="B58" s="17">
        <v>54</v>
      </c>
      <c r="C58" s="17" t="s">
        <v>70</v>
      </c>
      <c r="D58" s="99">
        <v>4.4999999999999997E-3</v>
      </c>
      <c r="E58" s="122">
        <v>760211.54</v>
      </c>
      <c r="F58" s="355">
        <f>E58</f>
        <v>760211.54</v>
      </c>
      <c r="G58" s="70">
        <f t="shared" si="0"/>
        <v>0</v>
      </c>
      <c r="H58" s="22">
        <f t="shared" si="10"/>
        <v>0</v>
      </c>
      <c r="I58" s="23">
        <f t="shared" si="16"/>
        <v>363041.83763999998</v>
      </c>
      <c r="J58" s="23">
        <f t="shared" si="13"/>
        <v>0</v>
      </c>
      <c r="K58" s="23">
        <f t="shared" si="5"/>
        <v>185936.29261027643</v>
      </c>
      <c r="L58" s="23">
        <f t="shared" si="6"/>
        <v>202702.7028</v>
      </c>
      <c r="M58" s="91">
        <f t="shared" si="7"/>
        <v>0</v>
      </c>
      <c r="N58" s="91">
        <v>0</v>
      </c>
      <c r="O58" s="107"/>
      <c r="P58" s="400">
        <f t="shared" si="14"/>
        <v>751681.54</v>
      </c>
      <c r="Q58" s="400"/>
      <c r="R58" s="14">
        <f t="shared" si="15"/>
        <v>0.54</v>
      </c>
      <c r="S58" s="1">
        <f t="shared" si="8"/>
        <v>54</v>
      </c>
      <c r="T58" t="s">
        <v>208</v>
      </c>
    </row>
    <row r="59" spans="1:20" ht="24.95" customHeight="1" x14ac:dyDescent="0.25">
      <c r="A59" s="17">
        <v>7</v>
      </c>
      <c r="B59" s="17">
        <v>55</v>
      </c>
      <c r="C59" s="17" t="s">
        <v>71</v>
      </c>
      <c r="D59" s="99">
        <v>4.4999999999999997E-3</v>
      </c>
      <c r="E59" s="122">
        <v>760211.55</v>
      </c>
      <c r="F59" s="355"/>
      <c r="G59" s="70">
        <f t="shared" si="0"/>
        <v>760211.55</v>
      </c>
      <c r="H59" s="22">
        <f t="shared" si="10"/>
        <v>23467.730548500003</v>
      </c>
      <c r="I59" s="23">
        <f t="shared" si="16"/>
        <v>363041.83763999998</v>
      </c>
      <c r="J59" s="23">
        <f t="shared" si="13"/>
        <v>0</v>
      </c>
      <c r="K59" s="23">
        <f t="shared" si="5"/>
        <v>185936.29261027643</v>
      </c>
      <c r="L59" s="23">
        <f t="shared" si="6"/>
        <v>202702.7028</v>
      </c>
      <c r="M59" s="91">
        <f t="shared" si="7"/>
        <v>0</v>
      </c>
      <c r="N59" s="91">
        <v>0</v>
      </c>
      <c r="O59" s="107"/>
      <c r="P59" s="400">
        <f t="shared" si="14"/>
        <v>1535360.55</v>
      </c>
      <c r="Q59" s="400"/>
      <c r="R59" s="14">
        <f t="shared" si="15"/>
        <v>0.55000000000000004</v>
      </c>
      <c r="S59" s="1">
        <f t="shared" si="8"/>
        <v>55</v>
      </c>
      <c r="T59" t="s">
        <v>272</v>
      </c>
    </row>
    <row r="60" spans="1:20" ht="24.95" customHeight="1" x14ac:dyDescent="0.25">
      <c r="A60" s="17">
        <v>7</v>
      </c>
      <c r="B60" s="17">
        <v>56</v>
      </c>
      <c r="C60" s="17" t="s">
        <v>72</v>
      </c>
      <c r="D60" s="99">
        <v>4.4999999999999997E-3</v>
      </c>
      <c r="E60" s="122">
        <v>1061932.56</v>
      </c>
      <c r="F60" s="355">
        <f>E60</f>
        <v>1061932.56</v>
      </c>
      <c r="G60" s="70">
        <f t="shared" si="0"/>
        <v>0</v>
      </c>
      <c r="H60" s="22">
        <f t="shared" si="10"/>
        <v>0</v>
      </c>
      <c r="I60" s="23">
        <f t="shared" si="16"/>
        <v>363041.83763999998</v>
      </c>
      <c r="J60" s="23">
        <f t="shared" si="13"/>
        <v>0</v>
      </c>
      <c r="K60" s="23">
        <f t="shared" si="5"/>
        <v>185936.29261027643</v>
      </c>
      <c r="L60" s="23">
        <f t="shared" si="6"/>
        <v>202702.7028</v>
      </c>
      <c r="M60" s="91">
        <v>56751</v>
      </c>
      <c r="N60" s="91">
        <f>(I60+K60)/2</f>
        <v>274489.06512513821</v>
      </c>
      <c r="O60" s="107"/>
      <c r="P60" s="400">
        <f t="shared" si="14"/>
        <v>1082921.56</v>
      </c>
      <c r="Q60" s="400"/>
      <c r="R60" s="14">
        <f t="shared" si="15"/>
        <v>0.56000000000000005</v>
      </c>
      <c r="S60" s="1">
        <f t="shared" si="8"/>
        <v>56</v>
      </c>
      <c r="T60" t="s">
        <v>198</v>
      </c>
    </row>
    <row r="61" spans="1:20" ht="24.95" customHeight="1" x14ac:dyDescent="0.25">
      <c r="A61" s="17">
        <v>8</v>
      </c>
      <c r="B61" s="17">
        <v>57</v>
      </c>
      <c r="C61" s="17" t="s">
        <v>73</v>
      </c>
      <c r="D61" s="99">
        <v>4.4999999999999997E-3</v>
      </c>
      <c r="E61" s="122">
        <v>760211.57</v>
      </c>
      <c r="F61" s="355">
        <f>E61</f>
        <v>760211.57</v>
      </c>
      <c r="G61" s="70">
        <f t="shared" si="0"/>
        <v>0</v>
      </c>
      <c r="H61" s="22">
        <f t="shared" si="10"/>
        <v>0</v>
      </c>
      <c r="I61" s="23">
        <f t="shared" si="16"/>
        <v>363041.83763999998</v>
      </c>
      <c r="J61" s="23">
        <f t="shared" si="13"/>
        <v>0</v>
      </c>
      <c r="K61" s="23">
        <f t="shared" si="5"/>
        <v>185936.29261027643</v>
      </c>
      <c r="L61" s="23">
        <f t="shared" si="6"/>
        <v>202702.7028</v>
      </c>
      <c r="M61" s="91">
        <f t="shared" si="7"/>
        <v>0</v>
      </c>
      <c r="N61" s="91">
        <v>0</v>
      </c>
      <c r="O61" s="107"/>
      <c r="P61" s="400">
        <f t="shared" si="14"/>
        <v>751681.57</v>
      </c>
      <c r="Q61" s="400"/>
      <c r="R61" s="14">
        <f t="shared" si="15"/>
        <v>0.56999999999999995</v>
      </c>
      <c r="S61" s="1">
        <f t="shared" si="8"/>
        <v>57</v>
      </c>
    </row>
    <row r="62" spans="1:20" ht="24.95" customHeight="1" x14ac:dyDescent="0.25">
      <c r="A62" s="17">
        <v>8</v>
      </c>
      <c r="B62" s="17">
        <v>58</v>
      </c>
      <c r="C62" s="17" t="s">
        <v>43</v>
      </c>
      <c r="D62" s="99">
        <v>4.4999999999999997E-3</v>
      </c>
      <c r="E62" s="122">
        <v>760210.58</v>
      </c>
      <c r="F62" s="355"/>
      <c r="G62" s="70">
        <f t="shared" si="0"/>
        <v>760210.58</v>
      </c>
      <c r="H62" s="22">
        <f t="shared" si="10"/>
        <v>23467.700604599999</v>
      </c>
      <c r="I62" s="23">
        <f t="shared" si="16"/>
        <v>363041.83763999998</v>
      </c>
      <c r="J62" s="23">
        <f t="shared" si="13"/>
        <v>0</v>
      </c>
      <c r="K62" s="23">
        <f t="shared" si="5"/>
        <v>185936.29261027643</v>
      </c>
      <c r="L62" s="23">
        <f t="shared" si="6"/>
        <v>202702.7028</v>
      </c>
      <c r="M62" s="91">
        <f t="shared" si="7"/>
        <v>0</v>
      </c>
      <c r="N62" s="91">
        <v>0</v>
      </c>
      <c r="O62" s="107"/>
      <c r="P62" s="400">
        <f t="shared" si="14"/>
        <v>1535359.58</v>
      </c>
      <c r="Q62" s="400"/>
      <c r="R62" s="14">
        <f t="shared" si="15"/>
        <v>0.57999999999999996</v>
      </c>
      <c r="S62" s="1">
        <f t="shared" si="8"/>
        <v>58</v>
      </c>
    </row>
    <row r="63" spans="1:20" ht="24.95" customHeight="1" x14ac:dyDescent="0.25">
      <c r="A63" s="17">
        <v>9</v>
      </c>
      <c r="B63" s="17">
        <v>59</v>
      </c>
      <c r="C63" s="17" t="s">
        <v>74</v>
      </c>
      <c r="D63" s="99">
        <v>4.1000000000000003E-3</v>
      </c>
      <c r="E63" s="122">
        <v>731295.59</v>
      </c>
      <c r="F63" s="355">
        <v>740000</v>
      </c>
      <c r="G63" s="70">
        <f t="shared" si="0"/>
        <v>-8704.4100000000326</v>
      </c>
      <c r="H63" s="22">
        <f t="shared" si="10"/>
        <v>0</v>
      </c>
      <c r="I63" s="23">
        <f t="shared" si="16"/>
        <v>330771.45207200001</v>
      </c>
      <c r="J63" s="23">
        <f t="shared" si="13"/>
        <v>0</v>
      </c>
      <c r="K63" s="23">
        <f t="shared" si="5"/>
        <v>185936.29261027643</v>
      </c>
      <c r="L63" s="23">
        <f t="shared" si="6"/>
        <v>202702.7028</v>
      </c>
      <c r="M63" s="91">
        <f t="shared" si="7"/>
        <v>0</v>
      </c>
      <c r="N63" s="91">
        <v>0</v>
      </c>
      <c r="O63" s="107"/>
      <c r="P63" s="400">
        <f t="shared" si="14"/>
        <v>710706.59</v>
      </c>
      <c r="Q63" s="400"/>
      <c r="R63" s="14">
        <f t="shared" si="15"/>
        <v>0.59</v>
      </c>
      <c r="S63" s="1">
        <f t="shared" si="8"/>
        <v>59</v>
      </c>
      <c r="T63" t="s">
        <v>273</v>
      </c>
    </row>
    <row r="64" spans="1:20" ht="24.95" customHeight="1" x14ac:dyDescent="0.25">
      <c r="A64" s="17">
        <v>9</v>
      </c>
      <c r="B64" s="17">
        <v>60</v>
      </c>
      <c r="C64" s="17" t="s">
        <v>75</v>
      </c>
      <c r="D64" s="99">
        <v>4.4999999999999997E-3</v>
      </c>
      <c r="E64" s="122">
        <v>758746.6</v>
      </c>
      <c r="F64" s="355">
        <v>760000</v>
      </c>
      <c r="G64" s="70">
        <f>E64-F64</f>
        <v>-1253.4000000000233</v>
      </c>
      <c r="H64" s="22">
        <f t="shared" si="10"/>
        <v>0</v>
      </c>
      <c r="I64" s="23">
        <f t="shared" si="16"/>
        <v>363041.83763999998</v>
      </c>
      <c r="J64" s="23">
        <f t="shared" si="13"/>
        <v>0</v>
      </c>
      <c r="K64" s="23">
        <f t="shared" si="5"/>
        <v>185936.29261027643</v>
      </c>
      <c r="L64" s="23">
        <f t="shared" si="6"/>
        <v>202702.7028</v>
      </c>
      <c r="M64" s="91">
        <f t="shared" si="7"/>
        <v>0</v>
      </c>
      <c r="N64" s="91">
        <v>0</v>
      </c>
      <c r="O64" s="107"/>
      <c r="P64" s="400">
        <f t="shared" si="14"/>
        <v>750427.6</v>
      </c>
      <c r="Q64" s="400"/>
      <c r="R64" s="14">
        <f t="shared" si="15"/>
        <v>0.6</v>
      </c>
      <c r="S64" s="1">
        <f t="shared" si="8"/>
        <v>60</v>
      </c>
      <c r="T64" t="s">
        <v>217</v>
      </c>
    </row>
    <row r="65" spans="1:20" ht="24.95" customHeight="1" x14ac:dyDescent="0.25">
      <c r="A65" s="17">
        <v>10</v>
      </c>
      <c r="B65" s="17">
        <v>61</v>
      </c>
      <c r="C65" s="17" t="s">
        <v>76</v>
      </c>
      <c r="D65" s="99">
        <v>4.4999999999999997E-3</v>
      </c>
      <c r="E65" s="122">
        <v>760195.61</v>
      </c>
      <c r="F65" s="355">
        <f>760200</f>
        <v>760200</v>
      </c>
      <c r="G65" s="70">
        <f t="shared" si="0"/>
        <v>-4.3900000000139698</v>
      </c>
      <c r="H65" s="22">
        <f t="shared" si="10"/>
        <v>0</v>
      </c>
      <c r="I65" s="23">
        <f t="shared" si="16"/>
        <v>363041.83763999998</v>
      </c>
      <c r="J65" s="23">
        <f t="shared" si="13"/>
        <v>0</v>
      </c>
      <c r="K65" s="23">
        <f t="shared" si="5"/>
        <v>185936.29261027643</v>
      </c>
      <c r="L65" s="23">
        <f t="shared" si="6"/>
        <v>202702.7028</v>
      </c>
      <c r="M65" s="91">
        <f t="shared" si="7"/>
        <v>0</v>
      </c>
      <c r="N65" s="91">
        <v>0</v>
      </c>
      <c r="O65" s="107"/>
      <c r="P65" s="400">
        <f t="shared" si="14"/>
        <v>751676.61</v>
      </c>
      <c r="Q65" s="400"/>
      <c r="R65" s="14">
        <f t="shared" si="15"/>
        <v>0.61</v>
      </c>
      <c r="S65" s="1">
        <f t="shared" si="8"/>
        <v>61</v>
      </c>
      <c r="T65" s="74" t="s">
        <v>216</v>
      </c>
    </row>
    <row r="66" spans="1:20" ht="24.95" customHeight="1" x14ac:dyDescent="0.25">
      <c r="A66" s="17">
        <v>10</v>
      </c>
      <c r="B66" s="17">
        <v>62</v>
      </c>
      <c r="C66" s="17" t="s">
        <v>77</v>
      </c>
      <c r="D66" s="99">
        <v>4.1000000000000003E-3</v>
      </c>
      <c r="E66" s="122">
        <v>1161288.6200000001</v>
      </c>
      <c r="F66" s="355">
        <f t="shared" ref="F66:F70" si="18">E66</f>
        <v>1161288.6200000001</v>
      </c>
      <c r="G66" s="70">
        <f t="shared" si="0"/>
        <v>0</v>
      </c>
      <c r="H66" s="22">
        <f t="shared" si="10"/>
        <v>0</v>
      </c>
      <c r="I66" s="23">
        <f t="shared" si="16"/>
        <v>330771.45207200001</v>
      </c>
      <c r="J66" s="23">
        <f t="shared" si="13"/>
        <v>0</v>
      </c>
      <c r="K66" s="23">
        <f t="shared" si="5"/>
        <v>185936.29261027643</v>
      </c>
      <c r="L66" s="23">
        <f t="shared" si="6"/>
        <v>202702.7028</v>
      </c>
      <c r="M66" s="91">
        <v>51707</v>
      </c>
      <c r="N66" s="91">
        <f>(I66+K66)/2</f>
        <v>258353.87234113822</v>
      </c>
      <c r="O66" s="107"/>
      <c r="P66" s="400">
        <f t="shared" si="14"/>
        <v>1029471.62</v>
      </c>
      <c r="Q66" s="400"/>
      <c r="R66" s="14">
        <f t="shared" si="15"/>
        <v>0.62</v>
      </c>
      <c r="S66" s="1">
        <f t="shared" si="8"/>
        <v>62</v>
      </c>
    </row>
    <row r="67" spans="1:20" ht="24.95" customHeight="1" x14ac:dyDescent="0.25">
      <c r="A67" s="17">
        <v>11</v>
      </c>
      <c r="B67" s="17">
        <v>63</v>
      </c>
      <c r="C67" s="17" t="s">
        <v>78</v>
      </c>
      <c r="D67" s="99">
        <v>4.4999999999999997E-3</v>
      </c>
      <c r="E67" s="122">
        <v>760211.63</v>
      </c>
      <c r="F67" s="355">
        <f t="shared" si="18"/>
        <v>760211.63</v>
      </c>
      <c r="G67" s="70">
        <f>E67-F67</f>
        <v>0</v>
      </c>
      <c r="H67" s="22">
        <f t="shared" si="10"/>
        <v>0</v>
      </c>
      <c r="I67" s="23">
        <f t="shared" si="16"/>
        <v>363041.83763999998</v>
      </c>
      <c r="J67" s="23">
        <f t="shared" si="13"/>
        <v>0</v>
      </c>
      <c r="K67" s="23">
        <f t="shared" si="5"/>
        <v>185936.29261027643</v>
      </c>
      <c r="L67" s="23">
        <f t="shared" si="6"/>
        <v>202702.7028</v>
      </c>
      <c r="M67" s="91">
        <f t="shared" si="7"/>
        <v>0</v>
      </c>
      <c r="N67" s="91">
        <v>0</v>
      </c>
      <c r="O67" s="107"/>
      <c r="P67" s="400">
        <f t="shared" si="14"/>
        <v>751681.63</v>
      </c>
      <c r="Q67" s="400"/>
      <c r="R67" s="14">
        <f t="shared" si="15"/>
        <v>0.63</v>
      </c>
      <c r="S67" s="1">
        <f t="shared" si="8"/>
        <v>63</v>
      </c>
      <c r="T67" t="s">
        <v>201</v>
      </c>
    </row>
    <row r="68" spans="1:20" ht="24.95" customHeight="1" x14ac:dyDescent="0.25">
      <c r="A68" s="17">
        <v>11</v>
      </c>
      <c r="B68" s="17">
        <v>64</v>
      </c>
      <c r="C68" s="17" t="s">
        <v>79</v>
      </c>
      <c r="D68" s="99">
        <v>4.4999999999999997E-3</v>
      </c>
      <c r="E68" s="122">
        <v>1543890.64</v>
      </c>
      <c r="F68" s="355">
        <f>796945.64+796945</f>
        <v>1593890.6400000001</v>
      </c>
      <c r="G68" s="70">
        <f t="shared" si="0"/>
        <v>-50000.000000000233</v>
      </c>
      <c r="H68" s="22">
        <f t="shared" si="10"/>
        <v>0</v>
      </c>
      <c r="I68" s="23">
        <f t="shared" si="16"/>
        <v>363041.83763999998</v>
      </c>
      <c r="J68" s="23">
        <f t="shared" si="13"/>
        <v>0</v>
      </c>
      <c r="K68" s="23">
        <f t="shared" si="5"/>
        <v>185936.29261027643</v>
      </c>
      <c r="L68" s="23">
        <f t="shared" si="6"/>
        <v>202702.7028</v>
      </c>
      <c r="M68" s="91">
        <f t="shared" si="7"/>
        <v>0</v>
      </c>
      <c r="N68" s="91">
        <v>0</v>
      </c>
      <c r="O68" s="107"/>
      <c r="P68" s="400">
        <f t="shared" si="14"/>
        <v>701681.64</v>
      </c>
      <c r="Q68" s="400"/>
      <c r="R68" s="14">
        <f t="shared" si="15"/>
        <v>0.64</v>
      </c>
      <c r="S68" s="1">
        <f t="shared" si="8"/>
        <v>64</v>
      </c>
      <c r="T68" t="s">
        <v>230</v>
      </c>
    </row>
    <row r="69" spans="1:20" ht="24.95" customHeight="1" x14ac:dyDescent="0.25">
      <c r="A69" s="17">
        <v>12</v>
      </c>
      <c r="B69" s="17">
        <v>65</v>
      </c>
      <c r="C69" s="17" t="s">
        <v>80</v>
      </c>
      <c r="D69" s="99">
        <v>4.4999999999999997E-3</v>
      </c>
      <c r="E69" s="122">
        <v>760211.65</v>
      </c>
      <c r="F69" s="355">
        <f t="shared" si="18"/>
        <v>760211.65</v>
      </c>
      <c r="G69" s="70">
        <f t="shared" ref="G69:G157" si="19">E69-F69</f>
        <v>0</v>
      </c>
      <c r="H69" s="22">
        <f t="shared" si="10"/>
        <v>0</v>
      </c>
      <c r="I69" s="23">
        <f t="shared" si="16"/>
        <v>363041.83763999998</v>
      </c>
      <c r="J69" s="23">
        <f t="shared" ref="J69:J100" si="20">P$2*D69</f>
        <v>0</v>
      </c>
      <c r="K69" s="23">
        <f t="shared" si="5"/>
        <v>185936.29261027643</v>
      </c>
      <c r="L69" s="23">
        <f t="shared" si="6"/>
        <v>202702.7028</v>
      </c>
      <c r="M69" s="91">
        <f t="shared" si="7"/>
        <v>0</v>
      </c>
      <c r="N69" s="91">
        <v>0</v>
      </c>
      <c r="O69" s="107"/>
      <c r="P69" s="400">
        <f t="shared" ref="P69:P100" si="21">ROUND(SUM(G69:O69),0) + R69</f>
        <v>751681.65</v>
      </c>
      <c r="Q69" s="400"/>
      <c r="R69" s="14">
        <f t="shared" ref="R69:R100" si="22">ROUND(0.001+B69/100,2)</f>
        <v>0.65</v>
      </c>
      <c r="S69" s="1">
        <f t="shared" si="8"/>
        <v>65</v>
      </c>
    </row>
    <row r="70" spans="1:20" ht="24.95" customHeight="1" x14ac:dyDescent="0.25">
      <c r="A70" s="17">
        <v>12</v>
      </c>
      <c r="B70" s="17">
        <v>66</v>
      </c>
      <c r="C70" s="17" t="s">
        <v>81</v>
      </c>
      <c r="D70" s="99">
        <v>4.4999999999999997E-3</v>
      </c>
      <c r="E70" s="122">
        <v>760211.66</v>
      </c>
      <c r="F70" s="355">
        <f t="shared" si="18"/>
        <v>760211.66</v>
      </c>
      <c r="G70" s="70">
        <f t="shared" si="19"/>
        <v>0</v>
      </c>
      <c r="H70" s="22">
        <f t="shared" si="10"/>
        <v>0</v>
      </c>
      <c r="I70" s="23">
        <f t="shared" si="16"/>
        <v>363041.83763999998</v>
      </c>
      <c r="J70" s="23">
        <f t="shared" si="20"/>
        <v>0</v>
      </c>
      <c r="K70" s="23">
        <f t="shared" ref="K70:K133" si="23">G$2*0.675675676%</f>
        <v>185936.29261027643</v>
      </c>
      <c r="L70" s="23">
        <f t="shared" ref="L70:L133" si="24">P$1*0.675675676%</f>
        <v>202702.7028</v>
      </c>
      <c r="M70" s="91">
        <f t="shared" ref="M70:M133" si="25">G$1*D70</f>
        <v>0</v>
      </c>
      <c r="N70" s="91">
        <v>0</v>
      </c>
      <c r="O70" s="107"/>
      <c r="P70" s="400">
        <f t="shared" si="21"/>
        <v>751681.66</v>
      </c>
      <c r="Q70" s="400"/>
      <c r="R70" s="14">
        <f t="shared" si="22"/>
        <v>0.66</v>
      </c>
      <c r="S70" s="1">
        <f t="shared" ref="S70:S133" si="26">B70</f>
        <v>66</v>
      </c>
      <c r="T70" t="s">
        <v>259</v>
      </c>
    </row>
    <row r="71" spans="1:20" ht="24.95" customHeight="1" x14ac:dyDescent="0.25">
      <c r="A71" s="17">
        <v>1</v>
      </c>
      <c r="B71" s="17">
        <v>67</v>
      </c>
      <c r="C71" s="17" t="s">
        <v>82</v>
      </c>
      <c r="D71" s="99">
        <v>4.4999999999999997E-3</v>
      </c>
      <c r="E71" s="122">
        <v>1705890.67</v>
      </c>
      <c r="F71" s="355">
        <f>760211.67+23468+162200</f>
        <v>945879.67</v>
      </c>
      <c r="G71" s="70">
        <f t="shared" si="19"/>
        <v>760010.99999999988</v>
      </c>
      <c r="H71" s="22">
        <f t="shared" ref="H71:H134" si="27">IF(G71&gt;0,G71*3.087%,0)</f>
        <v>23461.539569999997</v>
      </c>
      <c r="I71" s="23">
        <f t="shared" si="16"/>
        <v>363041.83763999998</v>
      </c>
      <c r="J71" s="23">
        <f t="shared" si="20"/>
        <v>0</v>
      </c>
      <c r="K71" s="23">
        <f t="shared" si="23"/>
        <v>185936.29261027643</v>
      </c>
      <c r="L71" s="23">
        <f t="shared" si="24"/>
        <v>202702.7028</v>
      </c>
      <c r="M71" s="91">
        <f t="shared" si="25"/>
        <v>0</v>
      </c>
      <c r="N71" s="91">
        <v>0</v>
      </c>
      <c r="O71" s="107"/>
      <c r="P71" s="400">
        <f t="shared" si="21"/>
        <v>1535153.67</v>
      </c>
      <c r="Q71" s="400"/>
      <c r="R71" s="14">
        <f t="shared" si="22"/>
        <v>0.67</v>
      </c>
      <c r="S71" s="1">
        <f t="shared" si="26"/>
        <v>67</v>
      </c>
      <c r="T71" t="s">
        <v>276</v>
      </c>
    </row>
    <row r="72" spans="1:20" ht="24.95" customHeight="1" x14ac:dyDescent="0.25">
      <c r="A72" s="17"/>
      <c r="B72" s="17">
        <f>B71+1</f>
        <v>68</v>
      </c>
      <c r="C72" s="17" t="s">
        <v>86</v>
      </c>
      <c r="D72" s="99">
        <v>4.4999999999999997E-3</v>
      </c>
      <c r="E72" s="122">
        <v>1061865.68</v>
      </c>
      <c r="F72" s="355"/>
      <c r="G72" s="70">
        <f t="shared" si="19"/>
        <v>1061865.68</v>
      </c>
      <c r="H72" s="22">
        <f t="shared" si="27"/>
        <v>32779.793541599996</v>
      </c>
      <c r="I72" s="23">
        <f t="shared" si="16"/>
        <v>363041.83763999998</v>
      </c>
      <c r="J72" s="23">
        <f t="shared" si="20"/>
        <v>0</v>
      </c>
      <c r="K72" s="23">
        <f t="shared" si="23"/>
        <v>185936.29261027643</v>
      </c>
      <c r="L72" s="23">
        <f t="shared" si="24"/>
        <v>202702.7028</v>
      </c>
      <c r="M72" s="91">
        <v>56751</v>
      </c>
      <c r="N72" s="91">
        <f>(I72+K72)/2</f>
        <v>274489.06512513821</v>
      </c>
      <c r="O72" s="107"/>
      <c r="P72" s="400">
        <f t="shared" si="21"/>
        <v>2177566.6800000002</v>
      </c>
      <c r="Q72" s="400"/>
      <c r="R72" s="14">
        <f t="shared" si="22"/>
        <v>0.68</v>
      </c>
      <c r="S72" s="1">
        <f t="shared" si="26"/>
        <v>68</v>
      </c>
    </row>
    <row r="73" spans="1:20" ht="24.95" customHeight="1" x14ac:dyDescent="0.25">
      <c r="A73" s="17"/>
      <c r="B73" s="17">
        <f t="shared" ref="B73:B136" si="28">B72+1</f>
        <v>69</v>
      </c>
      <c r="C73" s="17" t="s">
        <v>87</v>
      </c>
      <c r="D73" s="99">
        <v>3.5999999999999999E-3</v>
      </c>
      <c r="E73" s="122">
        <v>695411.69</v>
      </c>
      <c r="F73" s="355"/>
      <c r="G73" s="70">
        <f t="shared" si="19"/>
        <v>695411.69</v>
      </c>
      <c r="H73" s="22">
        <f t="shared" si="27"/>
        <v>21467.358870299999</v>
      </c>
      <c r="I73" s="23">
        <f t="shared" si="16"/>
        <v>290433.47011200001</v>
      </c>
      <c r="J73" s="23">
        <f t="shared" si="20"/>
        <v>0</v>
      </c>
      <c r="K73" s="23">
        <f t="shared" si="23"/>
        <v>185936.29261027643</v>
      </c>
      <c r="L73" s="23">
        <f t="shared" si="24"/>
        <v>202702.7028</v>
      </c>
      <c r="M73" s="91">
        <f t="shared" si="25"/>
        <v>0</v>
      </c>
      <c r="N73" s="91">
        <v>0</v>
      </c>
      <c r="O73" s="354">
        <f>I73/2</f>
        <v>145216.735056</v>
      </c>
      <c r="P73" s="400">
        <f t="shared" si="21"/>
        <v>1541168.69</v>
      </c>
      <c r="Q73" s="400"/>
      <c r="R73" s="14">
        <f t="shared" si="22"/>
        <v>0.69</v>
      </c>
      <c r="S73" s="1">
        <f t="shared" si="26"/>
        <v>69</v>
      </c>
      <c r="T73" t="s">
        <v>214</v>
      </c>
    </row>
    <row r="74" spans="1:20" ht="24.95" customHeight="1" x14ac:dyDescent="0.25">
      <c r="A74" s="17"/>
      <c r="B74" s="17">
        <f t="shared" si="28"/>
        <v>70</v>
      </c>
      <c r="C74" s="17" t="s">
        <v>88</v>
      </c>
      <c r="D74" s="99">
        <v>4.4000000000000003E-3</v>
      </c>
      <c r="E74" s="122">
        <v>753012.7</v>
      </c>
      <c r="F74" s="355"/>
      <c r="G74" s="70">
        <f t="shared" si="19"/>
        <v>753012.7</v>
      </c>
      <c r="H74" s="22">
        <f t="shared" si="27"/>
        <v>23245.502048999999</v>
      </c>
      <c r="I74" s="23">
        <f t="shared" si="16"/>
        <v>354974.24124800001</v>
      </c>
      <c r="J74" s="23">
        <f t="shared" si="20"/>
        <v>0</v>
      </c>
      <c r="K74" s="23">
        <f t="shared" si="23"/>
        <v>185936.29261027643</v>
      </c>
      <c r="L74" s="23">
        <f t="shared" si="24"/>
        <v>202702.7028</v>
      </c>
      <c r="M74" s="91">
        <f t="shared" si="25"/>
        <v>0</v>
      </c>
      <c r="N74" s="91">
        <v>0</v>
      </c>
      <c r="O74" s="107"/>
      <c r="P74" s="400">
        <f t="shared" si="21"/>
        <v>1519871.7</v>
      </c>
      <c r="Q74" s="400"/>
      <c r="R74" s="14">
        <f t="shared" si="22"/>
        <v>0.7</v>
      </c>
      <c r="S74" s="1">
        <f t="shared" si="26"/>
        <v>70</v>
      </c>
      <c r="T74" t="s">
        <v>262</v>
      </c>
    </row>
    <row r="75" spans="1:20" ht="24.95" customHeight="1" x14ac:dyDescent="0.25">
      <c r="A75" s="17"/>
      <c r="B75" s="17">
        <f t="shared" si="28"/>
        <v>71</v>
      </c>
      <c r="C75" s="17" t="s">
        <v>89</v>
      </c>
      <c r="D75" s="99">
        <v>4.0000000000000001E-3</v>
      </c>
      <c r="E75" s="122">
        <v>2168303.71</v>
      </c>
      <c r="F75" s="355">
        <v>500000</v>
      </c>
      <c r="G75" s="70">
        <f t="shared" si="19"/>
        <v>1668303.71</v>
      </c>
      <c r="H75" s="22">
        <f t="shared" si="27"/>
        <v>51500.535527699998</v>
      </c>
      <c r="I75" s="23">
        <f t="shared" si="16"/>
        <v>322703.85568000004</v>
      </c>
      <c r="J75" s="23">
        <f t="shared" si="20"/>
        <v>0</v>
      </c>
      <c r="K75" s="23">
        <f t="shared" si="23"/>
        <v>185936.29261027643</v>
      </c>
      <c r="L75" s="23">
        <f t="shared" si="24"/>
        <v>202702.7028</v>
      </c>
      <c r="M75" s="91">
        <f t="shared" si="25"/>
        <v>0</v>
      </c>
      <c r="N75" s="91">
        <v>0</v>
      </c>
      <c r="O75" s="107"/>
      <c r="P75" s="400">
        <f t="shared" si="21"/>
        <v>2431147.71</v>
      </c>
      <c r="Q75" s="400"/>
      <c r="R75" s="14">
        <f t="shared" si="22"/>
        <v>0.71</v>
      </c>
      <c r="S75" s="1">
        <f t="shared" si="26"/>
        <v>71</v>
      </c>
      <c r="T75" t="s">
        <v>369</v>
      </c>
    </row>
    <row r="76" spans="1:20" ht="24.95" customHeight="1" x14ac:dyDescent="0.25">
      <c r="A76" s="17"/>
      <c r="B76" s="17">
        <f t="shared" si="28"/>
        <v>72</v>
      </c>
      <c r="C76" s="17" t="s">
        <v>90</v>
      </c>
      <c r="D76" s="99">
        <v>4.0000000000000001E-3</v>
      </c>
      <c r="E76" s="122">
        <v>719303.72</v>
      </c>
      <c r="F76" s="355">
        <v>720000</v>
      </c>
      <c r="G76" s="70">
        <f t="shared" si="19"/>
        <v>-696.28000000002794</v>
      </c>
      <c r="H76" s="22">
        <f t="shared" si="27"/>
        <v>0</v>
      </c>
      <c r="I76" s="23">
        <f t="shared" si="16"/>
        <v>322703.85568000004</v>
      </c>
      <c r="J76" s="23">
        <f t="shared" si="20"/>
        <v>0</v>
      </c>
      <c r="K76" s="23">
        <f t="shared" si="23"/>
        <v>185936.29261027643</v>
      </c>
      <c r="L76" s="23">
        <f t="shared" si="24"/>
        <v>202702.7028</v>
      </c>
      <c r="M76" s="91">
        <f t="shared" si="25"/>
        <v>0</v>
      </c>
      <c r="N76" s="91">
        <v>0</v>
      </c>
      <c r="O76" s="107"/>
      <c r="P76" s="400">
        <f t="shared" si="21"/>
        <v>710647.72</v>
      </c>
      <c r="Q76" s="400"/>
      <c r="R76" s="14">
        <f t="shared" si="22"/>
        <v>0.72</v>
      </c>
      <c r="S76" s="1">
        <f t="shared" si="26"/>
        <v>72</v>
      </c>
      <c r="T76" t="s">
        <v>199</v>
      </c>
    </row>
    <row r="77" spans="1:20" ht="24.95" customHeight="1" x14ac:dyDescent="0.25">
      <c r="A77" s="17"/>
      <c r="B77" s="17">
        <f t="shared" si="28"/>
        <v>73</v>
      </c>
      <c r="C77" s="17" t="s">
        <v>91</v>
      </c>
      <c r="D77" s="99">
        <v>4.0000000000000001E-3</v>
      </c>
      <c r="E77" s="122">
        <v>717797.73</v>
      </c>
      <c r="F77" s="355">
        <v>718000</v>
      </c>
      <c r="G77" s="70">
        <f t="shared" si="19"/>
        <v>-202.27000000001863</v>
      </c>
      <c r="H77" s="22">
        <f t="shared" si="27"/>
        <v>0</v>
      </c>
      <c r="I77" s="23">
        <f t="shared" si="16"/>
        <v>322703.85568000004</v>
      </c>
      <c r="J77" s="23">
        <f t="shared" si="20"/>
        <v>0</v>
      </c>
      <c r="K77" s="23">
        <f t="shared" si="23"/>
        <v>185936.29261027643</v>
      </c>
      <c r="L77" s="23">
        <f t="shared" si="24"/>
        <v>202702.7028</v>
      </c>
      <c r="M77" s="91">
        <f t="shared" si="25"/>
        <v>0</v>
      </c>
      <c r="N77" s="91">
        <v>0</v>
      </c>
      <c r="O77" s="107"/>
      <c r="P77" s="400">
        <f t="shared" si="21"/>
        <v>711141.73</v>
      </c>
      <c r="Q77" s="400"/>
      <c r="R77" s="14">
        <f t="shared" si="22"/>
        <v>0.73</v>
      </c>
      <c r="S77" s="1">
        <f t="shared" si="26"/>
        <v>73</v>
      </c>
    </row>
    <row r="78" spans="1:20" ht="24.95" customHeight="1" x14ac:dyDescent="0.25">
      <c r="A78" s="17"/>
      <c r="B78" s="17">
        <f t="shared" si="28"/>
        <v>74</v>
      </c>
      <c r="C78" s="17" t="s">
        <v>92</v>
      </c>
      <c r="D78" s="99">
        <v>4.4000000000000003E-3</v>
      </c>
      <c r="E78" s="122">
        <v>753011.74</v>
      </c>
      <c r="F78" s="355"/>
      <c r="G78" s="70">
        <f t="shared" si="19"/>
        <v>753011.74</v>
      </c>
      <c r="H78" s="22">
        <f t="shared" si="27"/>
        <v>23245.472413800002</v>
      </c>
      <c r="I78" s="23">
        <f t="shared" si="16"/>
        <v>354974.24124800001</v>
      </c>
      <c r="J78" s="23">
        <f t="shared" si="20"/>
        <v>0</v>
      </c>
      <c r="K78" s="23">
        <f t="shared" si="23"/>
        <v>185936.29261027643</v>
      </c>
      <c r="L78" s="23">
        <f t="shared" si="24"/>
        <v>202702.7028</v>
      </c>
      <c r="M78" s="91">
        <f t="shared" si="25"/>
        <v>0</v>
      </c>
      <c r="N78" s="91">
        <v>0</v>
      </c>
      <c r="O78" s="107"/>
      <c r="P78" s="400">
        <f t="shared" si="21"/>
        <v>1519870.74</v>
      </c>
      <c r="Q78" s="400"/>
      <c r="R78" s="14">
        <f t="shared" si="22"/>
        <v>0.74</v>
      </c>
      <c r="S78" s="1">
        <f t="shared" si="26"/>
        <v>74</v>
      </c>
    </row>
    <row r="79" spans="1:20" ht="24.95" customHeight="1" x14ac:dyDescent="0.25">
      <c r="A79" s="17"/>
      <c r="B79" s="17">
        <f t="shared" si="28"/>
        <v>75</v>
      </c>
      <c r="C79" s="17" t="s">
        <v>250</v>
      </c>
      <c r="D79" s="99">
        <v>4.1000000000000003E-3</v>
      </c>
      <c r="E79" s="122">
        <v>731411.75</v>
      </c>
      <c r="F79" s="355">
        <f>E79</f>
        <v>731411.75</v>
      </c>
      <c r="G79" s="70">
        <f t="shared" si="19"/>
        <v>0</v>
      </c>
      <c r="H79" s="22">
        <f t="shared" si="27"/>
        <v>0</v>
      </c>
      <c r="I79" s="23">
        <f t="shared" si="16"/>
        <v>330771.45207200001</v>
      </c>
      <c r="J79" s="23">
        <f t="shared" si="20"/>
        <v>0</v>
      </c>
      <c r="K79" s="23">
        <f t="shared" si="23"/>
        <v>185936.29261027643</v>
      </c>
      <c r="L79" s="23">
        <f t="shared" si="24"/>
        <v>202702.7028</v>
      </c>
      <c r="M79" s="91">
        <f t="shared" si="25"/>
        <v>0</v>
      </c>
      <c r="N79" s="91">
        <v>0</v>
      </c>
      <c r="O79" s="107"/>
      <c r="P79" s="400">
        <f t="shared" si="21"/>
        <v>719410.75</v>
      </c>
      <c r="Q79" s="400"/>
      <c r="R79" s="14">
        <f t="shared" si="22"/>
        <v>0.75</v>
      </c>
      <c r="S79" s="1">
        <f t="shared" si="26"/>
        <v>75</v>
      </c>
      <c r="T79" t="s">
        <v>212</v>
      </c>
    </row>
    <row r="80" spans="1:20" ht="24.95" customHeight="1" x14ac:dyDescent="0.25">
      <c r="A80" s="17"/>
      <c r="B80" s="17">
        <f t="shared" si="28"/>
        <v>76</v>
      </c>
      <c r="C80" s="17" t="s">
        <v>84</v>
      </c>
      <c r="D80" s="99">
        <v>4.4999999999999997E-3</v>
      </c>
      <c r="E80" s="122">
        <v>760211.76</v>
      </c>
      <c r="F80" s="355">
        <f>E80</f>
        <v>760211.76</v>
      </c>
      <c r="G80" s="70">
        <f t="shared" si="19"/>
        <v>0</v>
      </c>
      <c r="H80" s="22">
        <f t="shared" si="27"/>
        <v>0</v>
      </c>
      <c r="I80" s="23">
        <f t="shared" si="16"/>
        <v>363041.83763999998</v>
      </c>
      <c r="J80" s="23">
        <f t="shared" si="20"/>
        <v>0</v>
      </c>
      <c r="K80" s="23">
        <f t="shared" si="23"/>
        <v>185936.29261027643</v>
      </c>
      <c r="L80" s="23">
        <f t="shared" si="24"/>
        <v>202702.7028</v>
      </c>
      <c r="M80" s="91">
        <f t="shared" si="25"/>
        <v>0</v>
      </c>
      <c r="N80" s="91">
        <v>0</v>
      </c>
      <c r="O80" s="107"/>
      <c r="P80" s="400">
        <f t="shared" si="21"/>
        <v>751681.76</v>
      </c>
      <c r="Q80" s="400"/>
      <c r="R80" s="14">
        <f t="shared" si="22"/>
        <v>0.76</v>
      </c>
      <c r="S80" s="1">
        <f t="shared" si="26"/>
        <v>76</v>
      </c>
    </row>
    <row r="81" spans="1:24" ht="24.95" customHeight="1" x14ac:dyDescent="0.25">
      <c r="A81" s="17"/>
      <c r="B81" s="17">
        <f t="shared" si="28"/>
        <v>77</v>
      </c>
      <c r="C81" s="17" t="s">
        <v>93</v>
      </c>
      <c r="D81" s="99">
        <v>6.1000000000000004E-3</v>
      </c>
      <c r="E81" s="122">
        <v>875411.77</v>
      </c>
      <c r="F81" s="355">
        <f>E81</f>
        <v>875411.77</v>
      </c>
      <c r="G81" s="70">
        <f t="shared" si="19"/>
        <v>0</v>
      </c>
      <c r="H81" s="22">
        <f t="shared" si="27"/>
        <v>0</v>
      </c>
      <c r="I81" s="23">
        <f t="shared" si="16"/>
        <v>492123.37991200003</v>
      </c>
      <c r="J81" s="23">
        <f t="shared" si="20"/>
        <v>0</v>
      </c>
      <c r="K81" s="23">
        <f t="shared" si="23"/>
        <v>185936.29261027643</v>
      </c>
      <c r="L81" s="23">
        <f t="shared" si="24"/>
        <v>202702.7028</v>
      </c>
      <c r="M81" s="91">
        <f t="shared" si="25"/>
        <v>0</v>
      </c>
      <c r="N81" s="91">
        <v>0</v>
      </c>
      <c r="O81" s="107"/>
      <c r="P81" s="400">
        <f t="shared" si="21"/>
        <v>880762.77</v>
      </c>
      <c r="Q81" s="400"/>
      <c r="R81" s="14">
        <f t="shared" si="22"/>
        <v>0.77</v>
      </c>
      <c r="S81" s="1">
        <f t="shared" si="26"/>
        <v>77</v>
      </c>
      <c r="T81" t="s">
        <v>274</v>
      </c>
    </row>
    <row r="82" spans="1:24" ht="24.95" customHeight="1" x14ac:dyDescent="0.25">
      <c r="A82" s="17"/>
      <c r="B82" s="17">
        <f t="shared" si="28"/>
        <v>78</v>
      </c>
      <c r="C82" s="17" t="s">
        <v>94</v>
      </c>
      <c r="D82" s="99">
        <v>4.7999999999999996E-3</v>
      </c>
      <c r="E82" s="122">
        <v>1586978.78</v>
      </c>
      <c r="F82" s="355">
        <v>782000</v>
      </c>
      <c r="G82" s="70">
        <f t="shared" si="19"/>
        <v>804978.78</v>
      </c>
      <c r="H82" s="22">
        <f t="shared" si="27"/>
        <v>24849.694938600001</v>
      </c>
      <c r="I82" s="23">
        <f t="shared" si="16"/>
        <v>387244.62681599997</v>
      </c>
      <c r="J82" s="23">
        <f t="shared" si="20"/>
        <v>0</v>
      </c>
      <c r="K82" s="23">
        <f t="shared" si="23"/>
        <v>185936.29261027643</v>
      </c>
      <c r="L82" s="23">
        <f t="shared" si="24"/>
        <v>202702.7028</v>
      </c>
      <c r="M82" s="91">
        <f t="shared" si="25"/>
        <v>0</v>
      </c>
      <c r="N82" s="91">
        <v>0</v>
      </c>
      <c r="O82" s="107"/>
      <c r="P82" s="400">
        <f t="shared" si="21"/>
        <v>1605712.78</v>
      </c>
      <c r="Q82" s="400"/>
      <c r="R82" s="14">
        <f t="shared" si="22"/>
        <v>0.78</v>
      </c>
      <c r="S82" s="1">
        <f t="shared" si="26"/>
        <v>78</v>
      </c>
      <c r="T82" t="s">
        <v>251</v>
      </c>
    </row>
    <row r="83" spans="1:24" ht="24.95" customHeight="1" x14ac:dyDescent="0.25">
      <c r="A83" s="17"/>
      <c r="B83" s="17">
        <f t="shared" si="28"/>
        <v>79</v>
      </c>
      <c r="C83" s="17" t="s">
        <v>95</v>
      </c>
      <c r="D83" s="99">
        <v>4.4999999999999997E-3</v>
      </c>
      <c r="E83" s="122">
        <v>1578453.79</v>
      </c>
      <c r="F83" s="355">
        <f>555450+204761.79</f>
        <v>760211.79</v>
      </c>
      <c r="G83" s="71">
        <f t="shared" si="19"/>
        <v>818242</v>
      </c>
      <c r="H83" s="100">
        <f t="shared" si="27"/>
        <v>25259.130540000002</v>
      </c>
      <c r="I83" s="91">
        <f t="shared" si="16"/>
        <v>363041.83763999998</v>
      </c>
      <c r="J83" s="91">
        <f t="shared" si="20"/>
        <v>0</v>
      </c>
      <c r="K83" s="91">
        <f t="shared" si="23"/>
        <v>185936.29261027643</v>
      </c>
      <c r="L83" s="91">
        <f t="shared" si="24"/>
        <v>202702.7028</v>
      </c>
      <c r="M83" s="91">
        <f t="shared" si="25"/>
        <v>0</v>
      </c>
      <c r="N83" s="91">
        <v>0</v>
      </c>
      <c r="O83" s="107"/>
      <c r="P83" s="407">
        <f t="shared" si="21"/>
        <v>1595182.79</v>
      </c>
      <c r="Q83" s="407"/>
      <c r="R83" s="101">
        <f t="shared" si="22"/>
        <v>0.79</v>
      </c>
      <c r="S83" s="69">
        <f t="shared" si="26"/>
        <v>79</v>
      </c>
      <c r="T83" s="39" t="s">
        <v>282</v>
      </c>
      <c r="X83" t="s">
        <v>253</v>
      </c>
    </row>
    <row r="84" spans="1:24" ht="24.95" customHeight="1" x14ac:dyDescent="0.25">
      <c r="A84" s="17"/>
      <c r="B84" s="17">
        <f t="shared" si="28"/>
        <v>80</v>
      </c>
      <c r="C84" s="17" t="s">
        <v>96</v>
      </c>
      <c r="D84" s="99">
        <v>4.4999999999999997E-3</v>
      </c>
      <c r="E84" s="122">
        <v>760211.8</v>
      </c>
      <c r="F84" s="355">
        <f>E84</f>
        <v>760211.8</v>
      </c>
      <c r="G84" s="70">
        <f t="shared" si="19"/>
        <v>0</v>
      </c>
      <c r="H84" s="22">
        <f t="shared" si="27"/>
        <v>0</v>
      </c>
      <c r="I84" s="23">
        <f t="shared" si="16"/>
        <v>363041.83763999998</v>
      </c>
      <c r="J84" s="23">
        <f t="shared" si="20"/>
        <v>0</v>
      </c>
      <c r="K84" s="23">
        <f t="shared" si="23"/>
        <v>185936.29261027643</v>
      </c>
      <c r="L84" s="23">
        <f t="shared" si="24"/>
        <v>202702.7028</v>
      </c>
      <c r="M84" s="91">
        <f t="shared" si="25"/>
        <v>0</v>
      </c>
      <c r="N84" s="91">
        <v>0</v>
      </c>
      <c r="O84" s="107"/>
      <c r="P84" s="400">
        <f t="shared" si="21"/>
        <v>751681.8</v>
      </c>
      <c r="Q84" s="400"/>
      <c r="R84" s="14">
        <f t="shared" si="22"/>
        <v>0.8</v>
      </c>
      <c r="S84" s="1">
        <f t="shared" si="26"/>
        <v>80</v>
      </c>
      <c r="T84" t="s">
        <v>300</v>
      </c>
    </row>
    <row r="85" spans="1:24" ht="24.95" customHeight="1" x14ac:dyDescent="0.25">
      <c r="A85" s="17"/>
      <c r="B85" s="17">
        <f t="shared" si="28"/>
        <v>81</v>
      </c>
      <c r="C85" s="17" t="s">
        <v>97</v>
      </c>
      <c r="D85" s="99">
        <v>4.4999999999999997E-3</v>
      </c>
      <c r="E85" s="122">
        <v>2279957.81</v>
      </c>
      <c r="F85" s="355">
        <v>1474236.81</v>
      </c>
      <c r="G85" s="70">
        <f t="shared" si="19"/>
        <v>805721</v>
      </c>
      <c r="H85" s="22">
        <f t="shared" si="27"/>
        <v>24872.60727</v>
      </c>
      <c r="I85" s="23">
        <f t="shared" si="16"/>
        <v>363041.83763999998</v>
      </c>
      <c r="J85" s="23">
        <f t="shared" si="20"/>
        <v>0</v>
      </c>
      <c r="K85" s="23">
        <f t="shared" si="23"/>
        <v>185936.29261027643</v>
      </c>
      <c r="L85" s="23">
        <f t="shared" si="24"/>
        <v>202702.7028</v>
      </c>
      <c r="M85" s="91">
        <f t="shared" si="25"/>
        <v>0</v>
      </c>
      <c r="N85" s="91">
        <v>0</v>
      </c>
      <c r="O85" s="107"/>
      <c r="P85" s="400">
        <f t="shared" si="21"/>
        <v>1582274.81</v>
      </c>
      <c r="Q85" s="400"/>
      <c r="R85" s="14">
        <f t="shared" si="22"/>
        <v>0.81</v>
      </c>
      <c r="S85" s="1">
        <f t="shared" si="26"/>
        <v>81</v>
      </c>
      <c r="T85" t="s">
        <v>243</v>
      </c>
    </row>
    <row r="86" spans="1:24" ht="24.95" customHeight="1" x14ac:dyDescent="0.25">
      <c r="A86" s="17"/>
      <c r="B86" s="17">
        <f t="shared" si="28"/>
        <v>82</v>
      </c>
      <c r="C86" s="17" t="s">
        <v>98</v>
      </c>
      <c r="D86" s="99">
        <v>4.1999999999999997E-3</v>
      </c>
      <c r="E86" s="122">
        <v>738611.82</v>
      </c>
      <c r="F86" s="355">
        <f>E86</f>
        <v>738611.82</v>
      </c>
      <c r="G86" s="70">
        <f t="shared" si="19"/>
        <v>0</v>
      </c>
      <c r="H86" s="22">
        <f t="shared" si="27"/>
        <v>0</v>
      </c>
      <c r="I86" s="23">
        <f t="shared" si="16"/>
        <v>338839.04846399999</v>
      </c>
      <c r="J86" s="23">
        <f t="shared" si="20"/>
        <v>0</v>
      </c>
      <c r="K86" s="23">
        <f t="shared" si="23"/>
        <v>185936.29261027643</v>
      </c>
      <c r="L86" s="23">
        <f t="shared" si="24"/>
        <v>202702.7028</v>
      </c>
      <c r="M86" s="91">
        <f t="shared" si="25"/>
        <v>0</v>
      </c>
      <c r="N86" s="91">
        <v>0</v>
      </c>
      <c r="O86" s="91"/>
      <c r="P86" s="400">
        <f t="shared" si="21"/>
        <v>727478.82</v>
      </c>
      <c r="Q86" s="400"/>
      <c r="R86" s="14">
        <f t="shared" si="22"/>
        <v>0.82</v>
      </c>
      <c r="S86" s="1">
        <f t="shared" si="26"/>
        <v>82</v>
      </c>
      <c r="T86" t="s">
        <v>284</v>
      </c>
      <c r="V86" s="17"/>
    </row>
    <row r="87" spans="1:24" ht="24.95" customHeight="1" x14ac:dyDescent="0.25">
      <c r="A87" s="17"/>
      <c r="B87" s="17">
        <f t="shared" si="28"/>
        <v>83</v>
      </c>
      <c r="C87" s="17" t="s">
        <v>99</v>
      </c>
      <c r="D87" s="99">
        <v>4.7999999999999996E-3</v>
      </c>
      <c r="E87" s="122">
        <v>781811.83</v>
      </c>
      <c r="F87" s="355">
        <f t="shared" ref="F87:F91" si="29">E87</f>
        <v>781811.83</v>
      </c>
      <c r="G87" s="70">
        <f t="shared" si="19"/>
        <v>0</v>
      </c>
      <c r="H87" s="22">
        <f t="shared" si="27"/>
        <v>0</v>
      </c>
      <c r="I87" s="23">
        <f t="shared" si="16"/>
        <v>387244.62681599997</v>
      </c>
      <c r="J87" s="23">
        <f t="shared" si="20"/>
        <v>0</v>
      </c>
      <c r="K87" s="23">
        <f t="shared" si="23"/>
        <v>185936.29261027643</v>
      </c>
      <c r="L87" s="23">
        <f t="shared" si="24"/>
        <v>202702.7028</v>
      </c>
      <c r="M87" s="91">
        <f t="shared" si="25"/>
        <v>0</v>
      </c>
      <c r="N87" s="91">
        <v>0</v>
      </c>
      <c r="O87" s="107"/>
      <c r="P87" s="400">
        <f t="shared" si="21"/>
        <v>775884.83</v>
      </c>
      <c r="Q87" s="400"/>
      <c r="R87" s="14">
        <f t="shared" si="22"/>
        <v>0.83</v>
      </c>
      <c r="S87" s="1">
        <f t="shared" si="26"/>
        <v>83</v>
      </c>
    </row>
    <row r="88" spans="1:24" ht="24.95" customHeight="1" x14ac:dyDescent="0.25">
      <c r="A88" s="17"/>
      <c r="B88" s="17">
        <f t="shared" si="28"/>
        <v>84</v>
      </c>
      <c r="C88" s="17" t="s">
        <v>99</v>
      </c>
      <c r="D88" s="99">
        <v>4.7999999999999996E-3</v>
      </c>
      <c r="E88" s="122">
        <v>691811.83999999997</v>
      </c>
      <c r="F88" s="355">
        <v>871811.84</v>
      </c>
      <c r="G88" s="70">
        <f t="shared" si="19"/>
        <v>-180000</v>
      </c>
      <c r="H88" s="22">
        <f t="shared" si="27"/>
        <v>0</v>
      </c>
      <c r="I88" s="23">
        <f t="shared" si="16"/>
        <v>387244.62681599997</v>
      </c>
      <c r="J88" s="23">
        <f t="shared" si="20"/>
        <v>0</v>
      </c>
      <c r="K88" s="23">
        <f t="shared" si="23"/>
        <v>185936.29261027643</v>
      </c>
      <c r="L88" s="23">
        <f t="shared" si="24"/>
        <v>202702.7028</v>
      </c>
      <c r="M88" s="91">
        <f t="shared" si="25"/>
        <v>0</v>
      </c>
      <c r="N88" s="91">
        <v>0</v>
      </c>
      <c r="O88" s="107"/>
      <c r="P88" s="400">
        <f t="shared" si="21"/>
        <v>595884.84</v>
      </c>
      <c r="Q88" s="400"/>
      <c r="R88" s="14">
        <f t="shared" si="22"/>
        <v>0.84</v>
      </c>
      <c r="S88" s="1">
        <f t="shared" si="26"/>
        <v>84</v>
      </c>
    </row>
    <row r="89" spans="1:24" ht="24.95" customHeight="1" x14ac:dyDescent="0.25">
      <c r="A89" s="17"/>
      <c r="B89" s="17">
        <f t="shared" si="28"/>
        <v>85</v>
      </c>
      <c r="C89" s="17" t="s">
        <v>100</v>
      </c>
      <c r="D89" s="99">
        <v>4.7999999999999996E-3</v>
      </c>
      <c r="E89" s="122">
        <v>781811.85</v>
      </c>
      <c r="F89" s="355">
        <f t="shared" si="29"/>
        <v>781811.85</v>
      </c>
      <c r="G89" s="70">
        <f t="shared" si="19"/>
        <v>0</v>
      </c>
      <c r="H89" s="22">
        <f t="shared" si="27"/>
        <v>0</v>
      </c>
      <c r="I89" s="23">
        <f t="shared" si="16"/>
        <v>387244.62681599997</v>
      </c>
      <c r="J89" s="23">
        <f t="shared" si="20"/>
        <v>0</v>
      </c>
      <c r="K89" s="23">
        <f t="shared" si="23"/>
        <v>185936.29261027643</v>
      </c>
      <c r="L89" s="23">
        <f t="shared" si="24"/>
        <v>202702.7028</v>
      </c>
      <c r="M89" s="91">
        <f t="shared" si="25"/>
        <v>0</v>
      </c>
      <c r="N89" s="91">
        <v>0</v>
      </c>
      <c r="O89" s="107"/>
      <c r="P89" s="400">
        <f t="shared" si="21"/>
        <v>775884.85</v>
      </c>
      <c r="Q89" s="400"/>
      <c r="R89" s="14">
        <f t="shared" si="22"/>
        <v>0.85</v>
      </c>
      <c r="S89" s="1">
        <f t="shared" si="26"/>
        <v>85</v>
      </c>
      <c r="T89" t="s">
        <v>228</v>
      </c>
    </row>
    <row r="90" spans="1:24" ht="24.95" customHeight="1" x14ac:dyDescent="0.25">
      <c r="A90" s="17"/>
      <c r="B90" s="17">
        <f t="shared" si="28"/>
        <v>86</v>
      </c>
      <c r="C90" s="17" t="s">
        <v>174</v>
      </c>
      <c r="D90" s="99">
        <v>4.7999999999999996E-3</v>
      </c>
      <c r="E90" s="122">
        <v>781811.86</v>
      </c>
      <c r="F90" s="355">
        <f t="shared" si="29"/>
        <v>781811.86</v>
      </c>
      <c r="G90" s="70">
        <f t="shared" si="19"/>
        <v>0</v>
      </c>
      <c r="H90" s="22">
        <f t="shared" si="27"/>
        <v>0</v>
      </c>
      <c r="I90" s="23">
        <f t="shared" si="16"/>
        <v>387244.62681599997</v>
      </c>
      <c r="J90" s="23">
        <f t="shared" si="20"/>
        <v>0</v>
      </c>
      <c r="K90" s="23">
        <f t="shared" si="23"/>
        <v>185936.29261027643</v>
      </c>
      <c r="L90" s="23">
        <f t="shared" si="24"/>
        <v>202702.7028</v>
      </c>
      <c r="M90" s="91">
        <f t="shared" si="25"/>
        <v>0</v>
      </c>
      <c r="N90" s="91">
        <v>0</v>
      </c>
      <c r="O90" s="107"/>
      <c r="P90" s="400">
        <f t="shared" si="21"/>
        <v>775884.86</v>
      </c>
      <c r="Q90" s="400"/>
      <c r="R90" s="14">
        <f t="shared" si="22"/>
        <v>0.86</v>
      </c>
      <c r="S90" s="1">
        <f t="shared" si="26"/>
        <v>86</v>
      </c>
    </row>
    <row r="91" spans="1:24" ht="24.95" customHeight="1" x14ac:dyDescent="0.25">
      <c r="A91" s="17"/>
      <c r="B91" s="17">
        <f t="shared" si="28"/>
        <v>87</v>
      </c>
      <c r="C91" s="17" t="s">
        <v>101</v>
      </c>
      <c r="D91" s="99">
        <v>4.7999999999999996E-3</v>
      </c>
      <c r="E91" s="122">
        <v>781811.87</v>
      </c>
      <c r="F91" s="355">
        <f t="shared" si="29"/>
        <v>781811.87</v>
      </c>
      <c r="G91" s="70">
        <f t="shared" si="19"/>
        <v>0</v>
      </c>
      <c r="H91" s="22">
        <f t="shared" si="27"/>
        <v>0</v>
      </c>
      <c r="I91" s="23">
        <f t="shared" si="16"/>
        <v>387244.62681599997</v>
      </c>
      <c r="J91" s="23">
        <f t="shared" si="20"/>
        <v>0</v>
      </c>
      <c r="K91" s="23">
        <f t="shared" si="23"/>
        <v>185936.29261027643</v>
      </c>
      <c r="L91" s="23">
        <f t="shared" si="24"/>
        <v>202702.7028</v>
      </c>
      <c r="M91" s="91">
        <f t="shared" si="25"/>
        <v>0</v>
      </c>
      <c r="N91" s="91">
        <v>0</v>
      </c>
      <c r="O91" s="107"/>
      <c r="P91" s="400">
        <f t="shared" si="21"/>
        <v>775884.87</v>
      </c>
      <c r="Q91" s="400"/>
      <c r="R91" s="14">
        <f t="shared" si="22"/>
        <v>0.87</v>
      </c>
      <c r="S91" s="1">
        <f t="shared" si="26"/>
        <v>87</v>
      </c>
    </row>
    <row r="92" spans="1:24" ht="24.95" customHeight="1" x14ac:dyDescent="0.25">
      <c r="A92" s="308"/>
      <c r="B92" s="308">
        <f t="shared" si="28"/>
        <v>88</v>
      </c>
      <c r="C92" s="308" t="s">
        <v>102</v>
      </c>
      <c r="D92" s="99">
        <v>4.7999999999999996E-3</v>
      </c>
      <c r="E92" s="122">
        <v>763535.88</v>
      </c>
      <c r="F92" s="355">
        <f>751600+2000+9935.88</f>
        <v>763535.88</v>
      </c>
      <c r="G92" s="70">
        <f t="shared" si="19"/>
        <v>0</v>
      </c>
      <c r="H92" s="22">
        <f t="shared" si="27"/>
        <v>0</v>
      </c>
      <c r="I92" s="23">
        <f t="shared" si="16"/>
        <v>387244.62681599997</v>
      </c>
      <c r="J92" s="23">
        <f t="shared" si="20"/>
        <v>0</v>
      </c>
      <c r="K92" s="23">
        <f t="shared" si="23"/>
        <v>185936.29261027643</v>
      </c>
      <c r="L92" s="23">
        <f t="shared" si="24"/>
        <v>202702.7028</v>
      </c>
      <c r="M92" s="91">
        <f t="shared" si="25"/>
        <v>0</v>
      </c>
      <c r="N92" s="91">
        <v>0</v>
      </c>
      <c r="O92" s="107"/>
      <c r="P92" s="400">
        <f t="shared" si="21"/>
        <v>775884.88</v>
      </c>
      <c r="Q92" s="400"/>
      <c r="R92" s="14">
        <f t="shared" si="22"/>
        <v>0.88</v>
      </c>
      <c r="S92" s="1">
        <f t="shared" si="26"/>
        <v>88</v>
      </c>
    </row>
    <row r="93" spans="1:24" ht="24.95" customHeight="1" x14ac:dyDescent="0.25">
      <c r="A93" s="17"/>
      <c r="B93" s="17">
        <f t="shared" si="28"/>
        <v>89</v>
      </c>
      <c r="C93" s="17" t="s">
        <v>226</v>
      </c>
      <c r="D93" s="99">
        <v>4.7999999999999996E-3</v>
      </c>
      <c r="E93" s="122">
        <v>1587757.89</v>
      </c>
      <c r="F93" s="355">
        <v>1588000</v>
      </c>
      <c r="G93" s="71">
        <f t="shared" si="19"/>
        <v>-242.11000000010245</v>
      </c>
      <c r="H93" s="100">
        <f t="shared" si="27"/>
        <v>0</v>
      </c>
      <c r="I93" s="91">
        <f t="shared" si="16"/>
        <v>387244.62681599997</v>
      </c>
      <c r="J93" s="91">
        <f t="shared" si="20"/>
        <v>0</v>
      </c>
      <c r="K93" s="91">
        <f t="shared" si="23"/>
        <v>185936.29261027643</v>
      </c>
      <c r="L93" s="91">
        <f t="shared" si="24"/>
        <v>202702.7028</v>
      </c>
      <c r="M93" s="91">
        <f t="shared" si="25"/>
        <v>0</v>
      </c>
      <c r="N93" s="91">
        <v>0</v>
      </c>
      <c r="O93" s="107"/>
      <c r="P93" s="407">
        <f t="shared" si="21"/>
        <v>775642.89</v>
      </c>
      <c r="Q93" s="407"/>
      <c r="R93" s="101">
        <f t="shared" si="22"/>
        <v>0.89</v>
      </c>
      <c r="S93" s="69">
        <f t="shared" si="26"/>
        <v>89</v>
      </c>
      <c r="T93" t="s">
        <v>298</v>
      </c>
    </row>
    <row r="94" spans="1:24" ht="24.95" customHeight="1" x14ac:dyDescent="0.25">
      <c r="A94" s="17"/>
      <c r="B94" s="17">
        <f t="shared" si="28"/>
        <v>90</v>
      </c>
      <c r="C94" s="17" t="s">
        <v>103</v>
      </c>
      <c r="D94" s="99">
        <v>4.7999999999999996E-3</v>
      </c>
      <c r="E94" s="122">
        <v>1531805.9</v>
      </c>
      <c r="F94" s="355">
        <v>850090</v>
      </c>
      <c r="G94" s="70">
        <f t="shared" si="19"/>
        <v>681715.89999999991</v>
      </c>
      <c r="H94" s="22">
        <f t="shared" si="27"/>
        <v>21044.569832999998</v>
      </c>
      <c r="I94" s="23">
        <f t="shared" si="16"/>
        <v>387244.62681599997</v>
      </c>
      <c r="J94" s="23">
        <f t="shared" si="20"/>
        <v>0</v>
      </c>
      <c r="K94" s="23">
        <f t="shared" si="23"/>
        <v>185936.29261027643</v>
      </c>
      <c r="L94" s="23">
        <f t="shared" si="24"/>
        <v>202702.7028</v>
      </c>
      <c r="M94" s="91">
        <f t="shared" si="25"/>
        <v>0</v>
      </c>
      <c r="N94" s="91">
        <v>0</v>
      </c>
      <c r="O94" s="107"/>
      <c r="P94" s="400">
        <f t="shared" si="21"/>
        <v>1478644.9</v>
      </c>
      <c r="Q94" s="400"/>
      <c r="R94" s="14">
        <f t="shared" si="22"/>
        <v>0.9</v>
      </c>
      <c r="S94" s="1">
        <f t="shared" si="26"/>
        <v>90</v>
      </c>
      <c r="T94" t="s">
        <v>254</v>
      </c>
    </row>
    <row r="95" spans="1:24" ht="24.95" customHeight="1" x14ac:dyDescent="0.25">
      <c r="A95" s="17"/>
      <c r="B95" s="17">
        <f t="shared" si="28"/>
        <v>91</v>
      </c>
      <c r="C95" s="17" t="s">
        <v>104</v>
      </c>
      <c r="D95" s="99">
        <v>4.7999999999999996E-3</v>
      </c>
      <c r="E95" s="122">
        <v>781811.91</v>
      </c>
      <c r="F95" s="355">
        <f>E95</f>
        <v>781811.91</v>
      </c>
      <c r="G95" s="70">
        <f t="shared" si="19"/>
        <v>0</v>
      </c>
      <c r="H95" s="22">
        <f t="shared" si="27"/>
        <v>0</v>
      </c>
      <c r="I95" s="23">
        <f t="shared" si="16"/>
        <v>387244.62681599997</v>
      </c>
      <c r="J95" s="23">
        <f t="shared" si="20"/>
        <v>0</v>
      </c>
      <c r="K95" s="23">
        <f t="shared" si="23"/>
        <v>185936.29261027643</v>
      </c>
      <c r="L95" s="23">
        <f t="shared" si="24"/>
        <v>202702.7028</v>
      </c>
      <c r="M95" s="91">
        <f t="shared" si="25"/>
        <v>0</v>
      </c>
      <c r="N95" s="91">
        <v>0</v>
      </c>
      <c r="O95" s="107"/>
      <c r="P95" s="400">
        <f t="shared" si="21"/>
        <v>775884.91</v>
      </c>
      <c r="Q95" s="400"/>
      <c r="R95" s="14">
        <f t="shared" si="22"/>
        <v>0.91</v>
      </c>
      <c r="S95" s="1">
        <f t="shared" si="26"/>
        <v>91</v>
      </c>
      <c r="T95" t="s">
        <v>202</v>
      </c>
    </row>
    <row r="96" spans="1:24" ht="24.95" customHeight="1" x14ac:dyDescent="0.25">
      <c r="A96" s="17"/>
      <c r="B96" s="346">
        <f t="shared" si="28"/>
        <v>92</v>
      </c>
      <c r="C96" s="346" t="s">
        <v>105</v>
      </c>
      <c r="D96" s="347">
        <v>4.7999999999999996E-3</v>
      </c>
      <c r="E96" s="348">
        <v>2700000</v>
      </c>
      <c r="F96" s="357">
        <v>2700000</v>
      </c>
      <c r="G96" s="349">
        <f t="shared" si="19"/>
        <v>0</v>
      </c>
      <c r="H96" s="350">
        <f t="shared" si="27"/>
        <v>0</v>
      </c>
      <c r="I96" s="351">
        <f t="shared" si="16"/>
        <v>387244.62681599997</v>
      </c>
      <c r="J96" s="351">
        <f t="shared" si="20"/>
        <v>0</v>
      </c>
      <c r="K96" s="351">
        <f t="shared" si="23"/>
        <v>185936.29261027643</v>
      </c>
      <c r="L96" s="351">
        <f t="shared" si="24"/>
        <v>202702.7028</v>
      </c>
      <c r="M96" s="351">
        <f t="shared" si="25"/>
        <v>0</v>
      </c>
      <c r="N96" s="351">
        <v>0</v>
      </c>
      <c r="O96" s="354">
        <f>I96/2</f>
        <v>193622.31340799999</v>
      </c>
      <c r="P96" s="408">
        <f t="shared" si="21"/>
        <v>969506.92</v>
      </c>
      <c r="Q96" s="408"/>
      <c r="R96" s="352">
        <f t="shared" si="22"/>
        <v>0.92</v>
      </c>
      <c r="S96" s="353">
        <f t="shared" si="26"/>
        <v>92</v>
      </c>
      <c r="T96" t="s">
        <v>229</v>
      </c>
    </row>
    <row r="97" spans="1:21" ht="24.95" customHeight="1" x14ac:dyDescent="0.25">
      <c r="A97" s="17"/>
      <c r="B97" s="17">
        <f t="shared" si="28"/>
        <v>93</v>
      </c>
      <c r="C97" s="59" t="s">
        <v>175</v>
      </c>
      <c r="D97" s="99">
        <v>4.5999999999999999E-3</v>
      </c>
      <c r="E97" s="122">
        <v>767411.93</v>
      </c>
      <c r="F97" s="355">
        <f>600000</f>
        <v>600000</v>
      </c>
      <c r="G97" s="70">
        <f>E97-F97</f>
        <v>167411.93000000005</v>
      </c>
      <c r="H97" s="22">
        <f t="shared" si="27"/>
        <v>5168.0062791000018</v>
      </c>
      <c r="I97" s="23">
        <f t="shared" si="16"/>
        <v>371109.43403200002</v>
      </c>
      <c r="J97" s="23">
        <f t="shared" si="20"/>
        <v>0</v>
      </c>
      <c r="K97" s="23">
        <f t="shared" si="23"/>
        <v>185936.29261027643</v>
      </c>
      <c r="L97" s="23">
        <f t="shared" si="24"/>
        <v>202702.7028</v>
      </c>
      <c r="M97" s="91">
        <f t="shared" si="25"/>
        <v>0</v>
      </c>
      <c r="N97" s="91">
        <v>0</v>
      </c>
      <c r="O97" s="354">
        <f t="shared" ref="O97:O98" si="30">I97/2</f>
        <v>185554.71701600001</v>
      </c>
      <c r="P97" s="400">
        <f t="shared" si="21"/>
        <v>1117883.93</v>
      </c>
      <c r="Q97" s="400"/>
      <c r="R97" s="14">
        <f t="shared" si="22"/>
        <v>0.93</v>
      </c>
      <c r="S97" s="1">
        <f t="shared" si="26"/>
        <v>93</v>
      </c>
      <c r="T97" t="s">
        <v>331</v>
      </c>
    </row>
    <row r="98" spans="1:21" ht="24.95" customHeight="1" x14ac:dyDescent="0.25">
      <c r="A98" s="17"/>
      <c r="B98" s="17">
        <f t="shared" si="28"/>
        <v>94</v>
      </c>
      <c r="C98" s="17" t="s">
        <v>176</v>
      </c>
      <c r="D98" s="99">
        <v>4.7999999999999996E-3</v>
      </c>
      <c r="E98" s="122">
        <v>781811.94</v>
      </c>
      <c r="F98" s="355">
        <f>E98</f>
        <v>781811.94</v>
      </c>
      <c r="G98" s="70">
        <f t="shared" si="19"/>
        <v>0</v>
      </c>
      <c r="H98" s="22">
        <f t="shared" si="27"/>
        <v>0</v>
      </c>
      <c r="I98" s="23">
        <f t="shared" si="16"/>
        <v>387244.62681599997</v>
      </c>
      <c r="J98" s="23">
        <f t="shared" si="20"/>
        <v>0</v>
      </c>
      <c r="K98" s="23">
        <f t="shared" si="23"/>
        <v>185936.29261027643</v>
      </c>
      <c r="L98" s="23">
        <f t="shared" si="24"/>
        <v>202702.7028</v>
      </c>
      <c r="M98" s="91">
        <f t="shared" si="25"/>
        <v>0</v>
      </c>
      <c r="N98" s="91">
        <v>0</v>
      </c>
      <c r="O98" s="354">
        <f t="shared" si="30"/>
        <v>193622.31340799999</v>
      </c>
      <c r="P98" s="400">
        <f t="shared" si="21"/>
        <v>969506.94</v>
      </c>
      <c r="Q98" s="400"/>
      <c r="R98" s="14">
        <f t="shared" si="22"/>
        <v>0.94</v>
      </c>
      <c r="S98" s="1">
        <f t="shared" si="26"/>
        <v>94</v>
      </c>
      <c r="T98" t="s">
        <v>195</v>
      </c>
    </row>
    <row r="99" spans="1:21" ht="24.95" customHeight="1" x14ac:dyDescent="0.25">
      <c r="A99" s="17"/>
      <c r="B99" s="17">
        <f t="shared" si="28"/>
        <v>95</v>
      </c>
      <c r="C99" s="17" t="s">
        <v>106</v>
      </c>
      <c r="D99" s="99">
        <v>4.7999999999999996E-3</v>
      </c>
      <c r="E99" s="122">
        <v>3663802.95</v>
      </c>
      <c r="F99" s="355">
        <v>1500000</v>
      </c>
      <c r="G99" s="70">
        <f t="shared" si="19"/>
        <v>2163802.9500000002</v>
      </c>
      <c r="H99" s="22">
        <f t="shared" si="27"/>
        <v>66796.597066500006</v>
      </c>
      <c r="I99" s="23">
        <f t="shared" si="16"/>
        <v>387244.62681599997</v>
      </c>
      <c r="J99" s="23">
        <f t="shared" si="20"/>
        <v>0</v>
      </c>
      <c r="K99" s="23">
        <f t="shared" si="23"/>
        <v>185936.29261027643</v>
      </c>
      <c r="L99" s="23">
        <f t="shared" si="24"/>
        <v>202702.7028</v>
      </c>
      <c r="M99" s="91">
        <f t="shared" si="25"/>
        <v>0</v>
      </c>
      <c r="N99" s="91">
        <v>0</v>
      </c>
      <c r="O99" s="107"/>
      <c r="P99" s="400">
        <f t="shared" si="21"/>
        <v>3006483.95</v>
      </c>
      <c r="Q99" s="400"/>
      <c r="R99" s="14">
        <f t="shared" si="22"/>
        <v>0.95</v>
      </c>
      <c r="S99" s="1">
        <f t="shared" si="26"/>
        <v>95</v>
      </c>
    </row>
    <row r="100" spans="1:21" ht="24.95" customHeight="1" x14ac:dyDescent="0.25">
      <c r="A100" s="17"/>
      <c r="B100" s="17">
        <f t="shared" si="28"/>
        <v>96</v>
      </c>
      <c r="C100" s="17" t="s">
        <v>107</v>
      </c>
      <c r="D100" s="99">
        <v>4.7999999999999996E-3</v>
      </c>
      <c r="E100" s="122">
        <v>762867.96</v>
      </c>
      <c r="F100" s="355">
        <v>800000</v>
      </c>
      <c r="G100" s="70">
        <f t="shared" si="19"/>
        <v>-37132.040000000037</v>
      </c>
      <c r="H100" s="22">
        <f t="shared" si="27"/>
        <v>0</v>
      </c>
      <c r="I100" s="23">
        <f t="shared" si="16"/>
        <v>387244.62681599997</v>
      </c>
      <c r="J100" s="23">
        <f t="shared" si="20"/>
        <v>0</v>
      </c>
      <c r="K100" s="23">
        <f t="shared" si="23"/>
        <v>185936.29261027643</v>
      </c>
      <c r="L100" s="23">
        <f t="shared" si="24"/>
        <v>202702.7028</v>
      </c>
      <c r="M100" s="91">
        <f t="shared" si="25"/>
        <v>0</v>
      </c>
      <c r="N100" s="91">
        <v>0</v>
      </c>
      <c r="O100" s="107"/>
      <c r="P100" s="400">
        <f t="shared" si="21"/>
        <v>738752.96</v>
      </c>
      <c r="Q100" s="400"/>
      <c r="R100" s="14">
        <f t="shared" si="22"/>
        <v>0.96</v>
      </c>
      <c r="S100" s="1">
        <f t="shared" si="26"/>
        <v>96</v>
      </c>
      <c r="T100" t="s">
        <v>207</v>
      </c>
    </row>
    <row r="101" spans="1:21" ht="24.95" customHeight="1" x14ac:dyDescent="0.25">
      <c r="A101" s="17"/>
      <c r="B101" s="17">
        <f t="shared" si="28"/>
        <v>97</v>
      </c>
      <c r="C101" s="17" t="s">
        <v>108</v>
      </c>
      <c r="D101" s="99">
        <v>4.7999999999999996E-3</v>
      </c>
      <c r="E101" s="122">
        <v>954611.97</v>
      </c>
      <c r="F101" s="355">
        <f>E101</f>
        <v>954611.97</v>
      </c>
      <c r="G101" s="70">
        <f t="shared" si="19"/>
        <v>0</v>
      </c>
      <c r="H101" s="22">
        <f t="shared" si="27"/>
        <v>0</v>
      </c>
      <c r="I101" s="23">
        <f t="shared" si="16"/>
        <v>387244.62681599997</v>
      </c>
      <c r="J101" s="23">
        <f t="shared" ref="J101:J132" si="31">P$2*D101</f>
        <v>0</v>
      </c>
      <c r="K101" s="23">
        <f t="shared" si="23"/>
        <v>185936.29261027643</v>
      </c>
      <c r="L101" s="23">
        <f t="shared" si="24"/>
        <v>202702.7028</v>
      </c>
      <c r="M101" s="91">
        <f t="shared" si="25"/>
        <v>0</v>
      </c>
      <c r="N101" s="91">
        <v>0</v>
      </c>
      <c r="O101" s="107"/>
      <c r="P101" s="400">
        <f t="shared" ref="P101:P132" si="32">ROUND(SUM(G101:O101),0) + R101</f>
        <v>775884.97</v>
      </c>
      <c r="Q101" s="400"/>
      <c r="R101" s="14">
        <f t="shared" ref="R101:R132" si="33">ROUND(0.001+B101/100,2)</f>
        <v>0.97</v>
      </c>
      <c r="S101" s="1">
        <f t="shared" si="26"/>
        <v>97</v>
      </c>
      <c r="T101" t="s">
        <v>222</v>
      </c>
    </row>
    <row r="102" spans="1:21" ht="24.95" customHeight="1" x14ac:dyDescent="0.25">
      <c r="A102" s="17"/>
      <c r="B102" s="17">
        <f t="shared" si="28"/>
        <v>98</v>
      </c>
      <c r="C102" s="17" t="s">
        <v>109</v>
      </c>
      <c r="D102" s="99">
        <v>4.7999999999999996E-3</v>
      </c>
      <c r="E102" s="122">
        <v>781811.98</v>
      </c>
      <c r="F102" s="355">
        <f>E102</f>
        <v>781811.98</v>
      </c>
      <c r="G102" s="70">
        <f t="shared" si="19"/>
        <v>0</v>
      </c>
      <c r="H102" s="22">
        <f t="shared" si="27"/>
        <v>0</v>
      </c>
      <c r="I102" s="23">
        <f t="shared" ref="I102:I157" si="34">K$2*D102</f>
        <v>387244.62681599997</v>
      </c>
      <c r="J102" s="23">
        <f t="shared" si="31"/>
        <v>0</v>
      </c>
      <c r="K102" s="23">
        <f t="shared" si="23"/>
        <v>185936.29261027643</v>
      </c>
      <c r="L102" s="23">
        <f t="shared" si="24"/>
        <v>202702.7028</v>
      </c>
      <c r="M102" s="91">
        <f t="shared" si="25"/>
        <v>0</v>
      </c>
      <c r="N102" s="91">
        <v>0</v>
      </c>
      <c r="O102" s="107"/>
      <c r="P102" s="400">
        <f t="shared" si="32"/>
        <v>775884.98</v>
      </c>
      <c r="Q102" s="400"/>
      <c r="R102" s="14">
        <f t="shared" si="33"/>
        <v>0.98</v>
      </c>
      <c r="S102" s="1">
        <f t="shared" si="26"/>
        <v>98</v>
      </c>
    </row>
    <row r="103" spans="1:21" ht="24.95" customHeight="1" x14ac:dyDescent="0.25">
      <c r="A103" s="17"/>
      <c r="B103" s="17">
        <f t="shared" si="28"/>
        <v>99</v>
      </c>
      <c r="C103" s="17" t="s">
        <v>110</v>
      </c>
      <c r="D103" s="99">
        <v>4.7999999999999996E-3</v>
      </c>
      <c r="E103" s="122">
        <v>781811.99</v>
      </c>
      <c r="F103" s="355">
        <f>E103</f>
        <v>781811.99</v>
      </c>
      <c r="G103" s="70">
        <f t="shared" si="19"/>
        <v>0</v>
      </c>
      <c r="H103" s="22">
        <f t="shared" si="27"/>
        <v>0</v>
      </c>
      <c r="I103" s="23">
        <f t="shared" si="34"/>
        <v>387244.62681599997</v>
      </c>
      <c r="J103" s="23">
        <f t="shared" si="31"/>
        <v>0</v>
      </c>
      <c r="K103" s="23">
        <f t="shared" si="23"/>
        <v>185936.29261027643</v>
      </c>
      <c r="L103" s="23">
        <f t="shared" si="24"/>
        <v>202702.7028</v>
      </c>
      <c r="M103" s="91">
        <f t="shared" si="25"/>
        <v>0</v>
      </c>
      <c r="N103" s="91">
        <v>0</v>
      </c>
      <c r="O103" s="107"/>
      <c r="P103" s="400">
        <f t="shared" si="32"/>
        <v>775884.99</v>
      </c>
      <c r="Q103" s="400"/>
      <c r="R103" s="14">
        <f t="shared" si="33"/>
        <v>0.99</v>
      </c>
      <c r="S103" s="1">
        <f t="shared" si="26"/>
        <v>99</v>
      </c>
      <c r="T103" s="11" t="s">
        <v>221</v>
      </c>
    </row>
    <row r="104" spans="1:21" ht="24.95" customHeight="1" x14ac:dyDescent="0.25">
      <c r="A104" s="17"/>
      <c r="B104" s="17">
        <f t="shared" si="28"/>
        <v>100</v>
      </c>
      <c r="C104" s="17" t="s">
        <v>111</v>
      </c>
      <c r="D104" s="99">
        <v>4.7999999999999996E-3</v>
      </c>
      <c r="E104" s="122">
        <v>781812</v>
      </c>
      <c r="F104" s="355">
        <f>E104</f>
        <v>781812</v>
      </c>
      <c r="G104" s="70">
        <f t="shared" si="19"/>
        <v>0</v>
      </c>
      <c r="H104" s="22">
        <f t="shared" si="27"/>
        <v>0</v>
      </c>
      <c r="I104" s="23">
        <f t="shared" si="34"/>
        <v>387244.62681599997</v>
      </c>
      <c r="J104" s="23">
        <f t="shared" si="31"/>
        <v>0</v>
      </c>
      <c r="K104" s="23">
        <f t="shared" si="23"/>
        <v>185936.29261027643</v>
      </c>
      <c r="L104" s="23">
        <f t="shared" si="24"/>
        <v>202702.7028</v>
      </c>
      <c r="M104" s="91">
        <f t="shared" si="25"/>
        <v>0</v>
      </c>
      <c r="N104" s="91">
        <v>0</v>
      </c>
      <c r="O104" s="107"/>
      <c r="P104" s="400">
        <f t="shared" si="32"/>
        <v>775885</v>
      </c>
      <c r="Q104" s="400"/>
      <c r="R104" s="14">
        <f t="shared" si="33"/>
        <v>1</v>
      </c>
      <c r="S104" s="1">
        <f t="shared" si="26"/>
        <v>100</v>
      </c>
    </row>
    <row r="105" spans="1:21" ht="24.95" customHeight="1" x14ac:dyDescent="0.25">
      <c r="A105" s="17"/>
      <c r="B105" s="17">
        <f t="shared" si="28"/>
        <v>101</v>
      </c>
      <c r="C105" s="17" t="s">
        <v>112</v>
      </c>
      <c r="D105" s="99">
        <v>4.7999999999999996E-3</v>
      </c>
      <c r="E105" s="122">
        <v>781812.01</v>
      </c>
      <c r="F105" s="355"/>
      <c r="G105" s="70">
        <f t="shared" si="19"/>
        <v>781812.01</v>
      </c>
      <c r="H105" s="22">
        <f t="shared" si="27"/>
        <v>24134.5367487</v>
      </c>
      <c r="I105" s="23">
        <f t="shared" si="34"/>
        <v>387244.62681599997</v>
      </c>
      <c r="J105" s="23">
        <f t="shared" si="31"/>
        <v>0</v>
      </c>
      <c r="K105" s="23">
        <f t="shared" si="23"/>
        <v>185936.29261027643</v>
      </c>
      <c r="L105" s="23">
        <f t="shared" si="24"/>
        <v>202702.7028</v>
      </c>
      <c r="M105" s="91">
        <v>0</v>
      </c>
      <c r="N105" s="91">
        <v>0</v>
      </c>
      <c r="O105" s="107"/>
      <c r="P105" s="400">
        <f t="shared" si="32"/>
        <v>1581831.01</v>
      </c>
      <c r="Q105" s="400"/>
      <c r="R105" s="14">
        <f t="shared" si="33"/>
        <v>1.01</v>
      </c>
      <c r="S105" s="1">
        <f t="shared" si="26"/>
        <v>101</v>
      </c>
    </row>
    <row r="106" spans="1:21" ht="24.95" customHeight="1" x14ac:dyDescent="0.25">
      <c r="A106" s="17"/>
      <c r="B106" s="17">
        <f t="shared" si="28"/>
        <v>102</v>
      </c>
      <c r="C106" s="17" t="s">
        <v>113</v>
      </c>
      <c r="D106" s="99">
        <v>4.7999999999999996E-3</v>
      </c>
      <c r="E106" s="122">
        <v>781463.02</v>
      </c>
      <c r="F106" s="355">
        <v>782000</v>
      </c>
      <c r="G106" s="70">
        <f t="shared" si="19"/>
        <v>-536.97999999998137</v>
      </c>
      <c r="H106" s="22">
        <f t="shared" si="27"/>
        <v>0</v>
      </c>
      <c r="I106" s="23">
        <f t="shared" si="34"/>
        <v>387244.62681599997</v>
      </c>
      <c r="J106" s="23">
        <f t="shared" si="31"/>
        <v>0</v>
      </c>
      <c r="K106" s="23">
        <f t="shared" si="23"/>
        <v>185936.29261027643</v>
      </c>
      <c r="L106" s="23">
        <f t="shared" si="24"/>
        <v>202702.7028</v>
      </c>
      <c r="M106" s="91">
        <f t="shared" si="25"/>
        <v>0</v>
      </c>
      <c r="N106" s="91">
        <v>0</v>
      </c>
      <c r="O106" s="107"/>
      <c r="P106" s="400">
        <f t="shared" si="32"/>
        <v>775348.02</v>
      </c>
      <c r="Q106" s="400"/>
      <c r="R106" s="14">
        <f t="shared" si="33"/>
        <v>1.02</v>
      </c>
      <c r="S106" s="1">
        <f t="shared" si="26"/>
        <v>102</v>
      </c>
      <c r="T106" t="s">
        <v>287</v>
      </c>
    </row>
    <row r="107" spans="1:21" ht="24.95" customHeight="1" x14ac:dyDescent="0.25">
      <c r="A107" s="17"/>
      <c r="B107" s="17">
        <f t="shared" si="28"/>
        <v>103</v>
      </c>
      <c r="C107" s="17" t="s">
        <v>114</v>
      </c>
      <c r="D107" s="99">
        <v>4.7999999999999996E-3</v>
      </c>
      <c r="E107" s="122">
        <v>1587758.03</v>
      </c>
      <c r="F107" s="355"/>
      <c r="G107" s="70">
        <f t="shared" si="19"/>
        <v>1587758.03</v>
      </c>
      <c r="H107" s="22">
        <f t="shared" si="27"/>
        <v>49014.090386100004</v>
      </c>
      <c r="I107" s="23">
        <f t="shared" si="34"/>
        <v>387244.62681599997</v>
      </c>
      <c r="J107" s="23">
        <f t="shared" si="31"/>
        <v>0</v>
      </c>
      <c r="K107" s="23">
        <f t="shared" si="23"/>
        <v>185936.29261027643</v>
      </c>
      <c r="L107" s="23">
        <f t="shared" si="24"/>
        <v>202702.7028</v>
      </c>
      <c r="M107" s="91">
        <f t="shared" si="25"/>
        <v>0</v>
      </c>
      <c r="N107" s="91">
        <v>0</v>
      </c>
      <c r="O107" s="107"/>
      <c r="P107" s="400">
        <f t="shared" si="32"/>
        <v>2412657.0299999998</v>
      </c>
      <c r="Q107" s="400"/>
      <c r="R107" s="14">
        <f t="shared" si="33"/>
        <v>1.03</v>
      </c>
      <c r="S107" s="1">
        <f t="shared" si="26"/>
        <v>103</v>
      </c>
    </row>
    <row r="108" spans="1:21" ht="24.95" customHeight="1" x14ac:dyDescent="0.25">
      <c r="A108" s="17"/>
      <c r="B108" s="17">
        <f t="shared" si="28"/>
        <v>104</v>
      </c>
      <c r="C108" s="17" t="s">
        <v>115</v>
      </c>
      <c r="D108" s="99">
        <v>4.7000000000000002E-3</v>
      </c>
      <c r="E108" s="122">
        <v>774611.04</v>
      </c>
      <c r="F108" s="355">
        <f>E108</f>
        <v>774611.04</v>
      </c>
      <c r="G108" s="70">
        <f t="shared" si="19"/>
        <v>0</v>
      </c>
      <c r="H108" s="22">
        <f t="shared" si="27"/>
        <v>0</v>
      </c>
      <c r="I108" s="23">
        <f t="shared" si="34"/>
        <v>379177.030424</v>
      </c>
      <c r="J108" s="23">
        <f t="shared" si="31"/>
        <v>0</v>
      </c>
      <c r="K108" s="23">
        <f t="shared" si="23"/>
        <v>185936.29261027643</v>
      </c>
      <c r="L108" s="23">
        <f t="shared" si="24"/>
        <v>202702.7028</v>
      </c>
      <c r="M108" s="91">
        <f t="shared" si="25"/>
        <v>0</v>
      </c>
      <c r="N108" s="91">
        <v>0</v>
      </c>
      <c r="O108" s="107"/>
      <c r="P108" s="400">
        <f t="shared" si="32"/>
        <v>767817.04</v>
      </c>
      <c r="Q108" s="400"/>
      <c r="R108" s="14">
        <f t="shared" si="33"/>
        <v>1.04</v>
      </c>
      <c r="S108" s="1">
        <f t="shared" si="26"/>
        <v>104</v>
      </c>
      <c r="T108" t="s">
        <v>327</v>
      </c>
    </row>
    <row r="109" spans="1:21" ht="24.95" customHeight="1" x14ac:dyDescent="0.25">
      <c r="A109" s="17"/>
      <c r="B109" s="17">
        <f t="shared" si="28"/>
        <v>105</v>
      </c>
      <c r="C109" s="17" t="s">
        <v>116</v>
      </c>
      <c r="D109" s="99">
        <v>4.1999999999999997E-3</v>
      </c>
      <c r="E109" s="122">
        <v>738612.05</v>
      </c>
      <c r="F109" s="355">
        <f>E109</f>
        <v>738612.05</v>
      </c>
      <c r="G109" s="71">
        <f t="shared" si="19"/>
        <v>0</v>
      </c>
      <c r="H109" s="100">
        <f t="shared" si="27"/>
        <v>0</v>
      </c>
      <c r="I109" s="91">
        <f t="shared" si="34"/>
        <v>338839.04846399999</v>
      </c>
      <c r="J109" s="91">
        <f t="shared" si="31"/>
        <v>0</v>
      </c>
      <c r="K109" s="91">
        <f t="shared" si="23"/>
        <v>185936.29261027643</v>
      </c>
      <c r="L109" s="91">
        <f t="shared" si="24"/>
        <v>202702.7028</v>
      </c>
      <c r="M109" s="91">
        <f t="shared" si="25"/>
        <v>0</v>
      </c>
      <c r="N109" s="91">
        <v>0</v>
      </c>
      <c r="O109" s="107"/>
      <c r="P109" s="407">
        <f t="shared" si="32"/>
        <v>727479.05</v>
      </c>
      <c r="Q109" s="407"/>
      <c r="R109" s="101">
        <f t="shared" si="33"/>
        <v>1.05</v>
      </c>
      <c r="S109" s="69">
        <f t="shared" si="26"/>
        <v>105</v>
      </c>
      <c r="T109" s="306" t="s">
        <v>454</v>
      </c>
      <c r="U109" s="39"/>
    </row>
    <row r="110" spans="1:21" ht="24.95" customHeight="1" x14ac:dyDescent="0.25">
      <c r="A110" s="17"/>
      <c r="B110" s="17">
        <f t="shared" si="28"/>
        <v>106</v>
      </c>
      <c r="C110" s="17" t="s">
        <v>117</v>
      </c>
      <c r="D110" s="99">
        <v>4.4000000000000003E-3</v>
      </c>
      <c r="E110" s="122">
        <v>929688.06</v>
      </c>
      <c r="F110" s="355">
        <f>171400+158400+600000</f>
        <v>929800</v>
      </c>
      <c r="G110" s="71">
        <f t="shared" si="19"/>
        <v>-111.93999999994412</v>
      </c>
      <c r="H110" s="100">
        <f t="shared" si="27"/>
        <v>0</v>
      </c>
      <c r="I110" s="91">
        <f t="shared" si="34"/>
        <v>354974.24124800001</v>
      </c>
      <c r="J110" s="91">
        <f t="shared" si="31"/>
        <v>0</v>
      </c>
      <c r="K110" s="91">
        <f t="shared" si="23"/>
        <v>185936.29261027643</v>
      </c>
      <c r="L110" s="91">
        <f t="shared" si="24"/>
        <v>202702.7028</v>
      </c>
      <c r="M110" s="91">
        <f t="shared" si="25"/>
        <v>0</v>
      </c>
      <c r="N110" s="91">
        <v>0</v>
      </c>
      <c r="O110" s="107"/>
      <c r="P110" s="407">
        <f t="shared" si="32"/>
        <v>743502.06</v>
      </c>
      <c r="Q110" s="407"/>
      <c r="R110" s="101">
        <f t="shared" si="33"/>
        <v>1.06</v>
      </c>
      <c r="S110" s="69">
        <f t="shared" si="26"/>
        <v>106</v>
      </c>
      <c r="T110" t="s">
        <v>310</v>
      </c>
    </row>
    <row r="111" spans="1:21" ht="24.95" customHeight="1" x14ac:dyDescent="0.25">
      <c r="A111" s="17"/>
      <c r="B111" s="17">
        <f t="shared" si="28"/>
        <v>107</v>
      </c>
      <c r="C111" s="17" t="s">
        <v>118</v>
      </c>
      <c r="D111" s="99">
        <v>4.4000000000000003E-3</v>
      </c>
      <c r="E111" s="122">
        <v>1529269.07</v>
      </c>
      <c r="F111" s="355">
        <f>776257+753012.07</f>
        <v>1529269.0699999998</v>
      </c>
      <c r="G111" s="70">
        <f t="shared" si="19"/>
        <v>0</v>
      </c>
      <c r="H111" s="22">
        <f t="shared" si="27"/>
        <v>0</v>
      </c>
      <c r="I111" s="23">
        <f t="shared" si="34"/>
        <v>354974.24124800001</v>
      </c>
      <c r="J111" s="23">
        <f t="shared" si="31"/>
        <v>0</v>
      </c>
      <c r="K111" s="23">
        <f t="shared" si="23"/>
        <v>185936.29261027643</v>
      </c>
      <c r="L111" s="23">
        <f t="shared" si="24"/>
        <v>202702.7028</v>
      </c>
      <c r="M111" s="91">
        <f t="shared" si="25"/>
        <v>0</v>
      </c>
      <c r="N111" s="91">
        <v>0</v>
      </c>
      <c r="O111" s="107"/>
      <c r="P111" s="400">
        <f t="shared" si="32"/>
        <v>743614.07</v>
      </c>
      <c r="Q111" s="400"/>
      <c r="R111" s="14">
        <f t="shared" si="33"/>
        <v>1.07</v>
      </c>
      <c r="S111" s="1">
        <f t="shared" si="26"/>
        <v>107</v>
      </c>
      <c r="T111" t="s">
        <v>256</v>
      </c>
    </row>
    <row r="112" spans="1:21" ht="24.95" customHeight="1" x14ac:dyDescent="0.25">
      <c r="A112" s="17"/>
      <c r="B112" s="17">
        <f t="shared" si="28"/>
        <v>108</v>
      </c>
      <c r="C112" s="17" t="s">
        <v>119</v>
      </c>
      <c r="D112" s="99">
        <v>4.4000000000000003E-3</v>
      </c>
      <c r="E112" s="122">
        <v>753012.08</v>
      </c>
      <c r="F112" s="355">
        <f>E112</f>
        <v>753012.08</v>
      </c>
      <c r="G112" s="70">
        <f t="shared" si="19"/>
        <v>0</v>
      </c>
      <c r="H112" s="22">
        <f t="shared" si="27"/>
        <v>0</v>
      </c>
      <c r="I112" s="23">
        <f t="shared" si="34"/>
        <v>354974.24124800001</v>
      </c>
      <c r="J112" s="23">
        <f t="shared" si="31"/>
        <v>0</v>
      </c>
      <c r="K112" s="23">
        <f t="shared" si="23"/>
        <v>185936.29261027643</v>
      </c>
      <c r="L112" s="23">
        <f t="shared" si="24"/>
        <v>202702.7028</v>
      </c>
      <c r="M112" s="91">
        <f t="shared" si="25"/>
        <v>0</v>
      </c>
      <c r="N112" s="91">
        <v>0</v>
      </c>
      <c r="O112" s="107"/>
      <c r="P112" s="400">
        <f t="shared" si="32"/>
        <v>743614.08</v>
      </c>
      <c r="Q112" s="400"/>
      <c r="R112" s="14">
        <f t="shared" si="33"/>
        <v>1.08</v>
      </c>
      <c r="S112" s="1">
        <f t="shared" si="26"/>
        <v>108</v>
      </c>
    </row>
    <row r="113" spans="1:24" ht="24.95" customHeight="1" x14ac:dyDescent="0.25">
      <c r="A113" s="17"/>
      <c r="B113" s="17">
        <f t="shared" si="28"/>
        <v>109</v>
      </c>
      <c r="C113" s="17" t="s">
        <v>120</v>
      </c>
      <c r="D113" s="99">
        <v>4.4999999999999997E-3</v>
      </c>
      <c r="E113" s="122">
        <v>2214005.09</v>
      </c>
      <c r="F113" s="355">
        <f>760000+705000</f>
        <v>1465000</v>
      </c>
      <c r="G113" s="70">
        <f t="shared" si="19"/>
        <v>749005.08999999985</v>
      </c>
      <c r="H113" s="22">
        <f t="shared" si="27"/>
        <v>23121.787128299995</v>
      </c>
      <c r="I113" s="23">
        <f t="shared" si="34"/>
        <v>363041.83763999998</v>
      </c>
      <c r="J113" s="23">
        <f t="shared" si="31"/>
        <v>0</v>
      </c>
      <c r="K113" s="23">
        <f t="shared" si="23"/>
        <v>185936.29261027643</v>
      </c>
      <c r="L113" s="23">
        <f t="shared" si="24"/>
        <v>202702.7028</v>
      </c>
      <c r="M113" s="91">
        <f t="shared" si="25"/>
        <v>0</v>
      </c>
      <c r="N113" s="91">
        <v>0</v>
      </c>
      <c r="O113" s="107"/>
      <c r="P113" s="400">
        <f t="shared" si="32"/>
        <v>1523809.09</v>
      </c>
      <c r="Q113" s="400"/>
      <c r="R113" s="14">
        <f t="shared" si="33"/>
        <v>1.0900000000000001</v>
      </c>
      <c r="S113" s="1">
        <f t="shared" si="26"/>
        <v>109</v>
      </c>
      <c r="T113" t="s">
        <v>252</v>
      </c>
    </row>
    <row r="114" spans="1:24" ht="24.95" customHeight="1" x14ac:dyDescent="0.25">
      <c r="A114" s="17"/>
      <c r="B114" s="17">
        <f t="shared" si="28"/>
        <v>110</v>
      </c>
      <c r="C114" s="17" t="s">
        <v>121</v>
      </c>
      <c r="D114" s="99">
        <v>4.5999999999999999E-3</v>
      </c>
      <c r="E114" s="122">
        <v>1581361.1</v>
      </c>
      <c r="F114" s="355"/>
      <c r="G114" s="70">
        <f t="shared" si="19"/>
        <v>1581361.1</v>
      </c>
      <c r="H114" s="22">
        <f t="shared" si="27"/>
        <v>48816.617157000008</v>
      </c>
      <c r="I114" s="23">
        <f t="shared" si="34"/>
        <v>371109.43403200002</v>
      </c>
      <c r="J114" s="23">
        <f t="shared" si="31"/>
        <v>0</v>
      </c>
      <c r="K114" s="23">
        <f t="shared" si="23"/>
        <v>185936.29261027643</v>
      </c>
      <c r="L114" s="23">
        <f t="shared" si="24"/>
        <v>202702.7028</v>
      </c>
      <c r="M114" s="91">
        <f t="shared" si="25"/>
        <v>0</v>
      </c>
      <c r="N114" s="91">
        <v>0</v>
      </c>
      <c r="O114" s="107"/>
      <c r="P114" s="400">
        <f t="shared" si="32"/>
        <v>2389927.1</v>
      </c>
      <c r="Q114" s="400"/>
      <c r="R114" s="14">
        <f t="shared" si="33"/>
        <v>1.1000000000000001</v>
      </c>
      <c r="S114" s="1">
        <f t="shared" si="26"/>
        <v>110</v>
      </c>
      <c r="T114" t="s">
        <v>260</v>
      </c>
      <c r="X114" s="44"/>
    </row>
    <row r="115" spans="1:24" ht="24.95" customHeight="1" x14ac:dyDescent="0.25">
      <c r="A115" s="17"/>
      <c r="B115" s="17">
        <f t="shared" si="28"/>
        <v>111</v>
      </c>
      <c r="C115" s="17" t="s">
        <v>122</v>
      </c>
      <c r="D115" s="99">
        <v>4.4999999999999997E-3</v>
      </c>
      <c r="E115" s="122">
        <v>760212.11</v>
      </c>
      <c r="F115" s="355">
        <f>E115</f>
        <v>760212.11</v>
      </c>
      <c r="G115" s="70">
        <f t="shared" si="19"/>
        <v>0</v>
      </c>
      <c r="H115" s="22">
        <f t="shared" si="27"/>
        <v>0</v>
      </c>
      <c r="I115" s="23">
        <f t="shared" si="34"/>
        <v>363041.83763999998</v>
      </c>
      <c r="J115" s="23">
        <f t="shared" si="31"/>
        <v>0</v>
      </c>
      <c r="K115" s="23">
        <f t="shared" si="23"/>
        <v>185936.29261027643</v>
      </c>
      <c r="L115" s="23">
        <f t="shared" si="24"/>
        <v>202702.7028</v>
      </c>
      <c r="M115" s="91">
        <f t="shared" si="25"/>
        <v>0</v>
      </c>
      <c r="N115" s="91">
        <v>0</v>
      </c>
      <c r="O115" s="107"/>
      <c r="P115" s="400">
        <f t="shared" si="32"/>
        <v>751682.11</v>
      </c>
      <c r="Q115" s="400"/>
      <c r="R115" s="14">
        <f t="shared" si="33"/>
        <v>1.1100000000000001</v>
      </c>
      <c r="S115" s="1">
        <f t="shared" si="26"/>
        <v>111</v>
      </c>
    </row>
    <row r="116" spans="1:24" ht="24.95" customHeight="1" x14ac:dyDescent="0.25">
      <c r="A116" s="17"/>
      <c r="B116" s="17">
        <f t="shared" si="28"/>
        <v>112</v>
      </c>
      <c r="C116" s="17" t="s">
        <v>123</v>
      </c>
      <c r="D116" s="99">
        <v>4.4999999999999997E-3</v>
      </c>
      <c r="E116" s="122">
        <v>814421.12</v>
      </c>
      <c r="F116" s="355">
        <v>800000</v>
      </c>
      <c r="G116" s="70">
        <f t="shared" si="19"/>
        <v>14421.119999999995</v>
      </c>
      <c r="H116" s="22">
        <f t="shared" si="27"/>
        <v>445.17997439999988</v>
      </c>
      <c r="I116" s="23">
        <f t="shared" si="34"/>
        <v>363041.83763999998</v>
      </c>
      <c r="J116" s="23">
        <f t="shared" si="31"/>
        <v>0</v>
      </c>
      <c r="K116" s="23">
        <f t="shared" si="23"/>
        <v>185936.29261027643</v>
      </c>
      <c r="L116" s="23">
        <f t="shared" si="24"/>
        <v>202702.7028</v>
      </c>
      <c r="M116" s="91">
        <f t="shared" si="25"/>
        <v>0</v>
      </c>
      <c r="N116" s="91">
        <v>0</v>
      </c>
      <c r="O116" s="107"/>
      <c r="P116" s="400">
        <f t="shared" si="32"/>
        <v>766548.12</v>
      </c>
      <c r="Q116" s="400"/>
      <c r="R116" s="14">
        <f t="shared" si="33"/>
        <v>1.1200000000000001</v>
      </c>
      <c r="S116" s="1">
        <f t="shared" si="26"/>
        <v>112</v>
      </c>
      <c r="T116" t="s">
        <v>206</v>
      </c>
    </row>
    <row r="117" spans="1:24" ht="24.95" customHeight="1" x14ac:dyDescent="0.25">
      <c r="A117" s="17"/>
      <c r="B117" s="17">
        <f t="shared" si="28"/>
        <v>113</v>
      </c>
      <c r="C117" s="17" t="s">
        <v>124</v>
      </c>
      <c r="D117" s="99">
        <v>4.7000000000000002E-3</v>
      </c>
      <c r="E117" s="122">
        <v>1573136.13</v>
      </c>
      <c r="F117" s="355">
        <f>E117</f>
        <v>1573136.13</v>
      </c>
      <c r="G117" s="70">
        <f t="shared" si="19"/>
        <v>0</v>
      </c>
      <c r="H117" s="22">
        <f t="shared" si="27"/>
        <v>0</v>
      </c>
      <c r="I117" s="23">
        <f t="shared" si="34"/>
        <v>379177.030424</v>
      </c>
      <c r="J117" s="23">
        <f t="shared" si="31"/>
        <v>0</v>
      </c>
      <c r="K117" s="23">
        <f t="shared" si="23"/>
        <v>185936.29261027643</v>
      </c>
      <c r="L117" s="23">
        <f t="shared" si="24"/>
        <v>202702.7028</v>
      </c>
      <c r="M117" s="91">
        <f t="shared" si="25"/>
        <v>0</v>
      </c>
      <c r="N117" s="91">
        <v>0</v>
      </c>
      <c r="O117" s="107"/>
      <c r="P117" s="400">
        <f t="shared" si="32"/>
        <v>767817.13</v>
      </c>
      <c r="Q117" s="400"/>
      <c r="R117" s="14">
        <f t="shared" si="33"/>
        <v>1.1299999999999999</v>
      </c>
      <c r="S117" s="1">
        <f t="shared" si="26"/>
        <v>113</v>
      </c>
    </row>
    <row r="118" spans="1:24" ht="24.95" customHeight="1" x14ac:dyDescent="0.25">
      <c r="A118" s="17"/>
      <c r="B118" s="17">
        <f t="shared" si="28"/>
        <v>114</v>
      </c>
      <c r="C118" s="17" t="s">
        <v>125</v>
      </c>
      <c r="D118" s="99">
        <v>4.4999999999999997E-3</v>
      </c>
      <c r="E118" s="122">
        <v>760212.14</v>
      </c>
      <c r="F118" s="355">
        <f>E118</f>
        <v>760212.14</v>
      </c>
      <c r="G118" s="70">
        <f t="shared" si="19"/>
        <v>0</v>
      </c>
      <c r="H118" s="22">
        <f t="shared" si="27"/>
        <v>0</v>
      </c>
      <c r="I118" s="23">
        <f t="shared" si="34"/>
        <v>363041.83763999998</v>
      </c>
      <c r="J118" s="23">
        <f t="shared" si="31"/>
        <v>0</v>
      </c>
      <c r="K118" s="23">
        <f t="shared" si="23"/>
        <v>185936.29261027643</v>
      </c>
      <c r="L118" s="23">
        <f t="shared" si="24"/>
        <v>202702.7028</v>
      </c>
      <c r="M118" s="91">
        <f t="shared" si="25"/>
        <v>0</v>
      </c>
      <c r="N118" s="91">
        <v>0</v>
      </c>
      <c r="O118" s="107"/>
      <c r="P118" s="400">
        <f t="shared" si="32"/>
        <v>751682.14</v>
      </c>
      <c r="Q118" s="400"/>
      <c r="R118" s="14">
        <f t="shared" si="33"/>
        <v>1.1399999999999999</v>
      </c>
      <c r="S118" s="1">
        <f t="shared" si="26"/>
        <v>114</v>
      </c>
    </row>
    <row r="119" spans="1:24" ht="24.95" customHeight="1" x14ac:dyDescent="0.25">
      <c r="A119" s="17"/>
      <c r="B119" s="17">
        <f t="shared" si="28"/>
        <v>115</v>
      </c>
      <c r="C119" s="17" t="s">
        <v>126</v>
      </c>
      <c r="D119" s="99">
        <v>6.4000000000000003E-3</v>
      </c>
      <c r="E119" s="122">
        <v>897012.15</v>
      </c>
      <c r="F119" s="355">
        <f>E119</f>
        <v>897012.15</v>
      </c>
      <c r="G119" s="70">
        <f t="shared" si="19"/>
        <v>0</v>
      </c>
      <c r="H119" s="22">
        <f t="shared" si="27"/>
        <v>0</v>
      </c>
      <c r="I119" s="23">
        <f t="shared" si="34"/>
        <v>516326.16908800002</v>
      </c>
      <c r="J119" s="23">
        <f t="shared" si="31"/>
        <v>0</v>
      </c>
      <c r="K119" s="23">
        <f t="shared" si="23"/>
        <v>185936.29261027643</v>
      </c>
      <c r="L119" s="23">
        <f t="shared" si="24"/>
        <v>202702.7028</v>
      </c>
      <c r="M119" s="91">
        <f t="shared" si="25"/>
        <v>0</v>
      </c>
      <c r="N119" s="91">
        <v>0</v>
      </c>
      <c r="O119" s="107"/>
      <c r="P119" s="400">
        <f t="shared" si="32"/>
        <v>904966.15</v>
      </c>
      <c r="Q119" s="400"/>
      <c r="R119" s="14">
        <f t="shared" si="33"/>
        <v>1.1499999999999999</v>
      </c>
      <c r="S119" s="1">
        <f t="shared" si="26"/>
        <v>115</v>
      </c>
      <c r="T119" t="s">
        <v>328</v>
      </c>
    </row>
    <row r="120" spans="1:24" ht="24.95" customHeight="1" x14ac:dyDescent="0.25">
      <c r="A120" s="17"/>
      <c r="B120" s="17">
        <f t="shared" si="28"/>
        <v>116</v>
      </c>
      <c r="C120" s="17" t="s">
        <v>127</v>
      </c>
      <c r="D120" s="99">
        <v>5.7999999999999996E-3</v>
      </c>
      <c r="E120" s="122">
        <v>853812.16</v>
      </c>
      <c r="F120" s="355">
        <v>853812.16</v>
      </c>
      <c r="G120" s="70">
        <f t="shared" si="19"/>
        <v>0</v>
      </c>
      <c r="H120" s="22">
        <f t="shared" si="27"/>
        <v>0</v>
      </c>
      <c r="I120" s="23">
        <f t="shared" si="34"/>
        <v>467920.59073599998</v>
      </c>
      <c r="J120" s="23">
        <f t="shared" si="31"/>
        <v>0</v>
      </c>
      <c r="K120" s="23">
        <f t="shared" si="23"/>
        <v>185936.29261027643</v>
      </c>
      <c r="L120" s="23">
        <f t="shared" si="24"/>
        <v>202702.7028</v>
      </c>
      <c r="M120" s="91">
        <f t="shared" si="25"/>
        <v>0</v>
      </c>
      <c r="N120" s="91">
        <v>0</v>
      </c>
      <c r="O120" s="107"/>
      <c r="P120" s="400">
        <f t="shared" si="32"/>
        <v>856561.16</v>
      </c>
      <c r="Q120" s="400"/>
      <c r="R120" s="14">
        <f t="shared" si="33"/>
        <v>1.1599999999999999</v>
      </c>
      <c r="S120" s="1">
        <f t="shared" si="26"/>
        <v>116</v>
      </c>
    </row>
    <row r="121" spans="1:24" ht="24.95" customHeight="1" x14ac:dyDescent="0.25">
      <c r="A121" s="17"/>
      <c r="B121" s="17">
        <f t="shared" si="28"/>
        <v>117</v>
      </c>
      <c r="C121" s="17" t="s">
        <v>128</v>
      </c>
      <c r="D121" s="99">
        <v>6.1000000000000004E-3</v>
      </c>
      <c r="E121" s="122">
        <v>875412.17</v>
      </c>
      <c r="F121" s="355">
        <f>E121</f>
        <v>875412.17</v>
      </c>
      <c r="G121" s="70">
        <f t="shared" si="19"/>
        <v>0</v>
      </c>
      <c r="H121" s="22">
        <f t="shared" si="27"/>
        <v>0</v>
      </c>
      <c r="I121" s="23">
        <f t="shared" si="34"/>
        <v>492123.37991200003</v>
      </c>
      <c r="J121" s="23">
        <f t="shared" si="31"/>
        <v>0</v>
      </c>
      <c r="K121" s="23">
        <f t="shared" si="23"/>
        <v>185936.29261027643</v>
      </c>
      <c r="L121" s="23">
        <f t="shared" si="24"/>
        <v>202702.7028</v>
      </c>
      <c r="M121" s="91">
        <f t="shared" si="25"/>
        <v>0</v>
      </c>
      <c r="N121" s="91">
        <v>0</v>
      </c>
      <c r="O121" s="107"/>
      <c r="P121" s="400">
        <f t="shared" si="32"/>
        <v>880763.17</v>
      </c>
      <c r="Q121" s="400"/>
      <c r="R121" s="14">
        <f t="shared" si="33"/>
        <v>1.17</v>
      </c>
      <c r="S121" s="1">
        <f t="shared" si="26"/>
        <v>117</v>
      </c>
      <c r="T121" t="s">
        <v>288</v>
      </c>
    </row>
    <row r="122" spans="1:24" ht="24.95" customHeight="1" x14ac:dyDescent="0.25">
      <c r="A122" s="17"/>
      <c r="B122" s="17">
        <f t="shared" si="28"/>
        <v>118</v>
      </c>
      <c r="C122" s="17" t="s">
        <v>129</v>
      </c>
      <c r="D122" s="99">
        <v>5.7999999999999996E-3</v>
      </c>
      <c r="E122" s="122">
        <v>853272.18</v>
      </c>
      <c r="F122" s="355">
        <f>2388098-1-F124-F125</f>
        <v>853272.59000000008</v>
      </c>
      <c r="G122" s="70">
        <f t="shared" si="19"/>
        <v>-0.41000000003259629</v>
      </c>
      <c r="H122" s="22">
        <f t="shared" si="27"/>
        <v>0</v>
      </c>
      <c r="I122" s="23">
        <f t="shared" si="34"/>
        <v>467920.59073599998</v>
      </c>
      <c r="J122" s="23">
        <f t="shared" si="31"/>
        <v>0</v>
      </c>
      <c r="K122" s="23">
        <f t="shared" si="23"/>
        <v>185936.29261027643</v>
      </c>
      <c r="L122" s="23">
        <f t="shared" si="24"/>
        <v>202702.7028</v>
      </c>
      <c r="M122" s="91">
        <f t="shared" si="25"/>
        <v>0</v>
      </c>
      <c r="N122" s="91">
        <v>0</v>
      </c>
      <c r="O122" s="107"/>
      <c r="P122" s="400">
        <f t="shared" si="32"/>
        <v>856560.18</v>
      </c>
      <c r="Q122" s="400"/>
      <c r="R122" s="14">
        <f t="shared" si="33"/>
        <v>1.18</v>
      </c>
      <c r="S122" s="1">
        <f t="shared" si="26"/>
        <v>118</v>
      </c>
      <c r="T122" t="s">
        <v>317</v>
      </c>
    </row>
    <row r="123" spans="1:24" ht="24.95" customHeight="1" x14ac:dyDescent="0.25">
      <c r="A123" s="17"/>
      <c r="B123" s="17">
        <f t="shared" si="28"/>
        <v>119</v>
      </c>
      <c r="C123" s="17" t="s">
        <v>130</v>
      </c>
      <c r="D123" s="99">
        <v>5.4000000000000003E-3</v>
      </c>
      <c r="E123" s="122">
        <v>824968.19</v>
      </c>
      <c r="F123" s="355">
        <v>825000</v>
      </c>
      <c r="G123" s="70">
        <f t="shared" si="19"/>
        <v>-31.810000000055879</v>
      </c>
      <c r="H123" s="22">
        <f t="shared" si="27"/>
        <v>0</v>
      </c>
      <c r="I123" s="23">
        <f t="shared" si="34"/>
        <v>435650.20516800001</v>
      </c>
      <c r="J123" s="23">
        <f t="shared" si="31"/>
        <v>0</v>
      </c>
      <c r="K123" s="23">
        <f t="shared" si="23"/>
        <v>185936.29261027643</v>
      </c>
      <c r="L123" s="23">
        <f t="shared" si="24"/>
        <v>202702.7028</v>
      </c>
      <c r="M123" s="91">
        <f t="shared" si="25"/>
        <v>0</v>
      </c>
      <c r="N123" s="91">
        <v>0</v>
      </c>
      <c r="O123" s="107"/>
      <c r="P123" s="400">
        <f t="shared" si="32"/>
        <v>824258.19</v>
      </c>
      <c r="Q123" s="400"/>
      <c r="R123" s="14">
        <f t="shared" si="33"/>
        <v>1.19</v>
      </c>
      <c r="S123" s="1">
        <f t="shared" si="26"/>
        <v>119</v>
      </c>
      <c r="T123" t="s">
        <v>211</v>
      </c>
    </row>
    <row r="124" spans="1:24" ht="24.95" customHeight="1" x14ac:dyDescent="0.25">
      <c r="A124" s="17"/>
      <c r="B124" s="17">
        <f t="shared" si="28"/>
        <v>120</v>
      </c>
      <c r="C124" s="17" t="s">
        <v>129</v>
      </c>
      <c r="D124" s="99">
        <v>4.5999999999999999E-3</v>
      </c>
      <c r="E124" s="122">
        <v>767412.2</v>
      </c>
      <c r="F124" s="355">
        <f>E124</f>
        <v>767412.2</v>
      </c>
      <c r="G124" s="70">
        <f t="shared" si="19"/>
        <v>0</v>
      </c>
      <c r="H124" s="22">
        <f t="shared" si="27"/>
        <v>0</v>
      </c>
      <c r="I124" s="23">
        <f t="shared" si="34"/>
        <v>371109.43403200002</v>
      </c>
      <c r="J124" s="23">
        <f t="shared" si="31"/>
        <v>0</v>
      </c>
      <c r="K124" s="23">
        <f t="shared" si="23"/>
        <v>185936.29261027643</v>
      </c>
      <c r="L124" s="23">
        <f t="shared" si="24"/>
        <v>202702.7028</v>
      </c>
      <c r="M124" s="91">
        <f t="shared" si="25"/>
        <v>0</v>
      </c>
      <c r="N124" s="91">
        <v>0</v>
      </c>
      <c r="O124" s="107"/>
      <c r="P124" s="400">
        <f t="shared" si="32"/>
        <v>759749.2</v>
      </c>
      <c r="Q124" s="400"/>
      <c r="R124" s="14">
        <f t="shared" si="33"/>
        <v>1.2</v>
      </c>
      <c r="S124" s="1">
        <f t="shared" si="26"/>
        <v>120</v>
      </c>
      <c r="T124" t="s">
        <v>318</v>
      </c>
    </row>
    <row r="125" spans="1:24" ht="24.95" customHeight="1" x14ac:dyDescent="0.25">
      <c r="A125" s="17"/>
      <c r="B125" s="17">
        <f t="shared" si="28"/>
        <v>121</v>
      </c>
      <c r="C125" s="17" t="s">
        <v>129</v>
      </c>
      <c r="D125" s="99">
        <v>4.5999999999999999E-3</v>
      </c>
      <c r="E125" s="122">
        <v>767412.21</v>
      </c>
      <c r="F125" s="355">
        <f>E125</f>
        <v>767412.21</v>
      </c>
      <c r="G125" s="70">
        <f t="shared" si="19"/>
        <v>0</v>
      </c>
      <c r="H125" s="22">
        <f t="shared" si="27"/>
        <v>0</v>
      </c>
      <c r="I125" s="23">
        <f t="shared" si="34"/>
        <v>371109.43403200002</v>
      </c>
      <c r="J125" s="23">
        <f t="shared" si="31"/>
        <v>0</v>
      </c>
      <c r="K125" s="23">
        <f t="shared" si="23"/>
        <v>185936.29261027643</v>
      </c>
      <c r="L125" s="23">
        <f t="shared" si="24"/>
        <v>202702.7028</v>
      </c>
      <c r="M125" s="91">
        <f t="shared" si="25"/>
        <v>0</v>
      </c>
      <c r="N125" s="91">
        <v>0</v>
      </c>
      <c r="O125" s="107"/>
      <c r="P125" s="400">
        <f t="shared" si="32"/>
        <v>759749.21</v>
      </c>
      <c r="Q125" s="400"/>
      <c r="R125" s="14">
        <f t="shared" si="33"/>
        <v>1.21</v>
      </c>
      <c r="S125" s="1">
        <f t="shared" si="26"/>
        <v>121</v>
      </c>
      <c r="T125" t="s">
        <v>318</v>
      </c>
    </row>
    <row r="126" spans="1:24" ht="24.95" customHeight="1" x14ac:dyDescent="0.25">
      <c r="A126" s="17"/>
      <c r="B126" s="17">
        <f t="shared" si="28"/>
        <v>122</v>
      </c>
      <c r="C126" s="17" t="s">
        <v>131</v>
      </c>
      <c r="D126" s="99">
        <v>4.5999999999999999E-3</v>
      </c>
      <c r="E126" s="122">
        <v>767412.22</v>
      </c>
      <c r="F126" s="355">
        <f>E126</f>
        <v>767412.22</v>
      </c>
      <c r="G126" s="70">
        <f t="shared" si="19"/>
        <v>0</v>
      </c>
      <c r="H126" s="22">
        <f t="shared" si="27"/>
        <v>0</v>
      </c>
      <c r="I126" s="23">
        <f t="shared" si="34"/>
        <v>371109.43403200002</v>
      </c>
      <c r="J126" s="23">
        <f t="shared" si="31"/>
        <v>0</v>
      </c>
      <c r="K126" s="23">
        <f t="shared" si="23"/>
        <v>185936.29261027643</v>
      </c>
      <c r="L126" s="23">
        <f t="shared" si="24"/>
        <v>202702.7028</v>
      </c>
      <c r="M126" s="91">
        <f t="shared" si="25"/>
        <v>0</v>
      </c>
      <c r="N126" s="91">
        <v>0</v>
      </c>
      <c r="O126" s="91"/>
      <c r="P126" s="400">
        <f t="shared" si="32"/>
        <v>759749.22</v>
      </c>
      <c r="Q126" s="400"/>
      <c r="R126" s="14">
        <f t="shared" si="33"/>
        <v>1.22</v>
      </c>
      <c r="S126" s="1">
        <f t="shared" si="26"/>
        <v>122</v>
      </c>
    </row>
    <row r="127" spans="1:24" ht="24.95" customHeight="1" x14ac:dyDescent="0.25">
      <c r="A127" s="17"/>
      <c r="B127" s="17">
        <f t="shared" si="28"/>
        <v>123</v>
      </c>
      <c r="C127" s="17" t="s">
        <v>132</v>
      </c>
      <c r="D127" s="99">
        <v>4.5999999999999999E-3</v>
      </c>
      <c r="E127" s="122">
        <v>767412.23</v>
      </c>
      <c r="F127" s="355">
        <f t="shared" ref="F127:F129" si="35">E127</f>
        <v>767412.23</v>
      </c>
      <c r="G127" s="70">
        <f t="shared" si="19"/>
        <v>0</v>
      </c>
      <c r="H127" s="22">
        <f t="shared" si="27"/>
        <v>0</v>
      </c>
      <c r="I127" s="23">
        <f t="shared" si="34"/>
        <v>371109.43403200002</v>
      </c>
      <c r="J127" s="23">
        <f t="shared" si="31"/>
        <v>0</v>
      </c>
      <c r="K127" s="23">
        <f t="shared" si="23"/>
        <v>185936.29261027643</v>
      </c>
      <c r="L127" s="23">
        <f t="shared" si="24"/>
        <v>202702.7028</v>
      </c>
      <c r="M127" s="91">
        <f t="shared" si="25"/>
        <v>0</v>
      </c>
      <c r="N127" s="91">
        <v>0</v>
      </c>
      <c r="O127" s="107"/>
      <c r="P127" s="400">
        <f t="shared" si="32"/>
        <v>759749.23</v>
      </c>
      <c r="Q127" s="400"/>
      <c r="R127" s="14">
        <f t="shared" si="33"/>
        <v>1.23</v>
      </c>
      <c r="S127" s="1">
        <f t="shared" si="26"/>
        <v>123</v>
      </c>
      <c r="T127" t="s">
        <v>289</v>
      </c>
    </row>
    <row r="128" spans="1:24" ht="24.95" customHeight="1" x14ac:dyDescent="0.25">
      <c r="A128" s="17"/>
      <c r="B128" s="17">
        <f t="shared" si="28"/>
        <v>124</v>
      </c>
      <c r="C128" s="17" t="s">
        <v>133</v>
      </c>
      <c r="D128" s="99">
        <v>4.5999999999999999E-3</v>
      </c>
      <c r="E128" s="122">
        <v>767412.24</v>
      </c>
      <c r="F128" s="355"/>
      <c r="G128" s="70">
        <f t="shared" si="19"/>
        <v>767412.24</v>
      </c>
      <c r="H128" s="22">
        <f t="shared" si="27"/>
        <v>23690.015848800002</v>
      </c>
      <c r="I128" s="23">
        <f t="shared" si="34"/>
        <v>371109.43403200002</v>
      </c>
      <c r="J128" s="23">
        <f t="shared" si="31"/>
        <v>0</v>
      </c>
      <c r="K128" s="23">
        <f t="shared" si="23"/>
        <v>185936.29261027643</v>
      </c>
      <c r="L128" s="23">
        <f t="shared" si="24"/>
        <v>202702.7028</v>
      </c>
      <c r="M128" s="91">
        <f t="shared" si="25"/>
        <v>0</v>
      </c>
      <c r="N128" s="91">
        <v>0</v>
      </c>
      <c r="O128" s="107"/>
      <c r="P128" s="400">
        <f t="shared" si="32"/>
        <v>1550852.24</v>
      </c>
      <c r="Q128" s="400"/>
      <c r="R128" s="14">
        <f t="shared" si="33"/>
        <v>1.24</v>
      </c>
      <c r="S128" s="1">
        <f t="shared" si="26"/>
        <v>124</v>
      </c>
    </row>
    <row r="129" spans="1:20" ht="24.95" customHeight="1" x14ac:dyDescent="0.25">
      <c r="A129" s="17"/>
      <c r="B129" s="17">
        <f t="shared" si="28"/>
        <v>125</v>
      </c>
      <c r="C129" s="17" t="s">
        <v>134</v>
      </c>
      <c r="D129" s="99">
        <v>4.5999999999999999E-3</v>
      </c>
      <c r="E129" s="122">
        <v>767412.25</v>
      </c>
      <c r="F129" s="355">
        <f t="shared" si="35"/>
        <v>767412.25</v>
      </c>
      <c r="G129" s="70">
        <f t="shared" si="19"/>
        <v>0</v>
      </c>
      <c r="H129" s="22">
        <f t="shared" si="27"/>
        <v>0</v>
      </c>
      <c r="I129" s="23">
        <f t="shared" si="34"/>
        <v>371109.43403200002</v>
      </c>
      <c r="J129" s="23">
        <f t="shared" si="31"/>
        <v>0</v>
      </c>
      <c r="K129" s="23">
        <f t="shared" si="23"/>
        <v>185936.29261027643</v>
      </c>
      <c r="L129" s="23">
        <f t="shared" si="24"/>
        <v>202702.7028</v>
      </c>
      <c r="M129" s="91">
        <f t="shared" si="25"/>
        <v>0</v>
      </c>
      <c r="N129" s="91">
        <v>0</v>
      </c>
      <c r="O129" s="107"/>
      <c r="P129" s="400">
        <f t="shared" si="32"/>
        <v>759749.25</v>
      </c>
      <c r="Q129" s="400"/>
      <c r="R129" s="14">
        <f t="shared" si="33"/>
        <v>1.25</v>
      </c>
      <c r="S129" s="1">
        <f t="shared" si="26"/>
        <v>125</v>
      </c>
      <c r="T129" t="s">
        <v>264</v>
      </c>
    </row>
    <row r="130" spans="1:20" ht="24.95" customHeight="1" x14ac:dyDescent="0.25">
      <c r="A130" s="17"/>
      <c r="B130" s="17">
        <f t="shared" si="28"/>
        <v>126</v>
      </c>
      <c r="C130" s="17" t="s">
        <v>135</v>
      </c>
      <c r="D130" s="99">
        <v>4.5999999999999999E-3</v>
      </c>
      <c r="E130" s="122">
        <v>767412.26</v>
      </c>
      <c r="F130" s="355">
        <f>E130</f>
        <v>767412.26</v>
      </c>
      <c r="G130" s="70">
        <f t="shared" si="19"/>
        <v>0</v>
      </c>
      <c r="H130" s="22">
        <f t="shared" si="27"/>
        <v>0</v>
      </c>
      <c r="I130" s="23">
        <f t="shared" si="34"/>
        <v>371109.43403200002</v>
      </c>
      <c r="J130" s="23">
        <f t="shared" si="31"/>
        <v>0</v>
      </c>
      <c r="K130" s="23">
        <f t="shared" si="23"/>
        <v>185936.29261027643</v>
      </c>
      <c r="L130" s="23">
        <f t="shared" si="24"/>
        <v>202702.7028</v>
      </c>
      <c r="M130" s="91">
        <f t="shared" si="25"/>
        <v>0</v>
      </c>
      <c r="N130" s="91">
        <v>0</v>
      </c>
      <c r="O130" s="107"/>
      <c r="P130" s="400">
        <f t="shared" si="32"/>
        <v>759749.26</v>
      </c>
      <c r="Q130" s="400"/>
      <c r="R130" s="14">
        <f t="shared" si="33"/>
        <v>1.26</v>
      </c>
      <c r="S130" s="1">
        <f t="shared" si="26"/>
        <v>126</v>
      </c>
    </row>
    <row r="131" spans="1:20" ht="24.95" customHeight="1" x14ac:dyDescent="0.25">
      <c r="A131" s="17"/>
      <c r="B131" s="17">
        <f t="shared" si="28"/>
        <v>127</v>
      </c>
      <c r="C131" s="17" t="s">
        <v>136</v>
      </c>
      <c r="D131" s="99">
        <v>5.5999999999999999E-3</v>
      </c>
      <c r="E131" s="122">
        <v>839412.27</v>
      </c>
      <c r="F131" s="355"/>
      <c r="G131" s="70">
        <f t="shared" si="19"/>
        <v>839412.27</v>
      </c>
      <c r="H131" s="22">
        <f t="shared" si="27"/>
        <v>25912.656774900002</v>
      </c>
      <c r="I131" s="23">
        <f t="shared" si="34"/>
        <v>451785.39795200003</v>
      </c>
      <c r="J131" s="23">
        <f t="shared" si="31"/>
        <v>0</v>
      </c>
      <c r="K131" s="23">
        <f t="shared" si="23"/>
        <v>185936.29261027643</v>
      </c>
      <c r="L131" s="23">
        <f t="shared" si="24"/>
        <v>202702.7028</v>
      </c>
      <c r="M131" s="91">
        <f t="shared" si="25"/>
        <v>0</v>
      </c>
      <c r="N131" s="91">
        <v>0</v>
      </c>
      <c r="O131" s="108"/>
      <c r="P131" s="400">
        <f t="shared" si="32"/>
        <v>1705750.27</v>
      </c>
      <c r="Q131" s="400"/>
      <c r="R131" s="14">
        <f t="shared" si="33"/>
        <v>1.27</v>
      </c>
      <c r="S131" s="1">
        <f t="shared" si="26"/>
        <v>127</v>
      </c>
      <c r="T131" t="s">
        <v>218</v>
      </c>
    </row>
    <row r="132" spans="1:20" ht="24.95" customHeight="1" x14ac:dyDescent="0.25">
      <c r="A132" s="17"/>
      <c r="B132" s="17">
        <f t="shared" si="28"/>
        <v>128</v>
      </c>
      <c r="C132" s="17" t="s">
        <v>137</v>
      </c>
      <c r="D132" s="99">
        <v>6.1000000000000004E-3</v>
      </c>
      <c r="E132" s="122">
        <v>8083724.2800000003</v>
      </c>
      <c r="F132" s="355">
        <v>875411.28</v>
      </c>
      <c r="G132" s="71">
        <f t="shared" si="19"/>
        <v>7208313</v>
      </c>
      <c r="H132" s="100">
        <f t="shared" si="27"/>
        <v>222520.62231000001</v>
      </c>
      <c r="I132" s="91">
        <f t="shared" si="34"/>
        <v>492123.37991200003</v>
      </c>
      <c r="J132" s="91">
        <f t="shared" si="31"/>
        <v>0</v>
      </c>
      <c r="K132" s="91">
        <f t="shared" si="23"/>
        <v>185936.29261027643</v>
      </c>
      <c r="L132" s="91">
        <f t="shared" si="24"/>
        <v>202702.7028</v>
      </c>
      <c r="M132" s="91">
        <f t="shared" si="25"/>
        <v>0</v>
      </c>
      <c r="N132" s="91">
        <v>0</v>
      </c>
      <c r="O132" s="107"/>
      <c r="P132" s="407">
        <f t="shared" si="32"/>
        <v>8311597.2800000003</v>
      </c>
      <c r="Q132" s="407"/>
      <c r="R132" s="101">
        <f t="shared" si="33"/>
        <v>1.28</v>
      </c>
      <c r="S132" s="69">
        <f t="shared" si="26"/>
        <v>128</v>
      </c>
    </row>
    <row r="133" spans="1:20" ht="24.95" customHeight="1" x14ac:dyDescent="0.25">
      <c r="A133" s="17"/>
      <c r="B133" s="17">
        <f>B132+1</f>
        <v>129</v>
      </c>
      <c r="C133" s="17" t="s">
        <v>138</v>
      </c>
      <c r="D133" s="99">
        <v>6.1000000000000004E-3</v>
      </c>
      <c r="E133" s="122">
        <v>875412.29</v>
      </c>
      <c r="F133" s="355">
        <f>E133</f>
        <v>875412.29</v>
      </c>
      <c r="G133" s="70">
        <f t="shared" si="19"/>
        <v>0</v>
      </c>
      <c r="H133" s="22">
        <f t="shared" si="27"/>
        <v>0</v>
      </c>
      <c r="I133" s="23">
        <f t="shared" si="34"/>
        <v>492123.37991200003</v>
      </c>
      <c r="J133" s="23">
        <f t="shared" ref="J133:J143" si="36">P$2*D133</f>
        <v>0</v>
      </c>
      <c r="K133" s="23">
        <f t="shared" si="23"/>
        <v>185936.29261027643</v>
      </c>
      <c r="L133" s="23">
        <f t="shared" si="24"/>
        <v>202702.7028</v>
      </c>
      <c r="M133" s="23">
        <f t="shared" si="25"/>
        <v>0</v>
      </c>
      <c r="N133" s="91">
        <v>0</v>
      </c>
      <c r="O133" s="108"/>
      <c r="P133" s="400">
        <f t="shared" ref="P133:P143" si="37">ROUND(SUM(G133:O133),0) + R133</f>
        <v>880763.29</v>
      </c>
      <c r="Q133" s="400"/>
      <c r="R133" s="14">
        <f t="shared" ref="R133:R157" si="38">ROUND(0.001+B133/100,2)</f>
        <v>1.29</v>
      </c>
      <c r="S133" s="1">
        <f t="shared" si="26"/>
        <v>129</v>
      </c>
      <c r="T133" t="s">
        <v>196</v>
      </c>
    </row>
    <row r="134" spans="1:20" ht="24.95" customHeight="1" x14ac:dyDescent="0.25">
      <c r="A134" s="17"/>
      <c r="B134" s="17">
        <f t="shared" si="28"/>
        <v>130</v>
      </c>
      <c r="C134" s="17" t="s">
        <v>139</v>
      </c>
      <c r="D134" s="99">
        <v>5.7000000000000002E-3</v>
      </c>
      <c r="E134" s="122">
        <v>846330.3</v>
      </c>
      <c r="F134" s="355">
        <v>847000</v>
      </c>
      <c r="G134" s="70">
        <f t="shared" si="19"/>
        <v>-669.69999999995343</v>
      </c>
      <c r="H134" s="22">
        <f t="shared" si="27"/>
        <v>0</v>
      </c>
      <c r="I134" s="23">
        <f t="shared" si="34"/>
        <v>459852.99434400001</v>
      </c>
      <c r="J134" s="23">
        <f t="shared" si="36"/>
        <v>0</v>
      </c>
      <c r="K134" s="23">
        <f t="shared" ref="K134:K143" si="39">G$2*0.675675676%</f>
        <v>185936.29261027643</v>
      </c>
      <c r="L134" s="23">
        <f t="shared" ref="L134:L142" si="40">P$1*0.675675676%</f>
        <v>202702.7028</v>
      </c>
      <c r="M134" s="23">
        <f t="shared" ref="M134:M157" si="41">G$1*D134</f>
        <v>0</v>
      </c>
      <c r="N134" s="91">
        <v>0</v>
      </c>
      <c r="O134" s="108"/>
      <c r="P134" s="400">
        <f t="shared" si="37"/>
        <v>847823.3</v>
      </c>
      <c r="Q134" s="400"/>
      <c r="R134" s="14">
        <f t="shared" si="38"/>
        <v>1.3</v>
      </c>
      <c r="S134" s="1">
        <f t="shared" ref="S134:S157" si="42">B134</f>
        <v>130</v>
      </c>
      <c r="T134" t="s">
        <v>215</v>
      </c>
    </row>
    <row r="135" spans="1:20" ht="24.95" customHeight="1" x14ac:dyDescent="0.25">
      <c r="A135" s="17"/>
      <c r="B135" s="17">
        <f t="shared" si="28"/>
        <v>131</v>
      </c>
      <c r="C135" s="17" t="s">
        <v>140</v>
      </c>
      <c r="D135" s="99">
        <v>6.1000000000000004E-3</v>
      </c>
      <c r="E135" s="122">
        <v>906029.31</v>
      </c>
      <c r="F135" s="355">
        <f>E135</f>
        <v>906029.31</v>
      </c>
      <c r="G135" s="70">
        <f t="shared" si="19"/>
        <v>0</v>
      </c>
      <c r="H135" s="22">
        <f t="shared" ref="H135:H157" si="43">IF(G135&gt;0,G135*3.087%,0)</f>
        <v>0</v>
      </c>
      <c r="I135" s="23">
        <f t="shared" si="34"/>
        <v>492123.37991200003</v>
      </c>
      <c r="J135" s="23">
        <f t="shared" si="36"/>
        <v>0</v>
      </c>
      <c r="K135" s="23">
        <f t="shared" si="39"/>
        <v>185936.29261027643</v>
      </c>
      <c r="L135" s="23">
        <f t="shared" si="40"/>
        <v>202702.7028</v>
      </c>
      <c r="M135" s="23">
        <f t="shared" si="41"/>
        <v>0</v>
      </c>
      <c r="N135" s="91">
        <v>0</v>
      </c>
      <c r="O135" s="108"/>
      <c r="P135" s="400">
        <f t="shared" si="37"/>
        <v>880763.31</v>
      </c>
      <c r="Q135" s="400"/>
      <c r="R135" s="14">
        <f t="shared" si="38"/>
        <v>1.31</v>
      </c>
      <c r="S135" s="1">
        <f t="shared" si="42"/>
        <v>131</v>
      </c>
      <c r="T135" t="s">
        <v>304</v>
      </c>
    </row>
    <row r="136" spans="1:20" ht="24.95" customHeight="1" x14ac:dyDescent="0.25">
      <c r="A136" s="17"/>
      <c r="B136" s="17">
        <f t="shared" si="28"/>
        <v>132</v>
      </c>
      <c r="C136" s="17" t="s">
        <v>141</v>
      </c>
      <c r="D136" s="99">
        <v>6.0000000000000001E-3</v>
      </c>
      <c r="E136" s="122">
        <v>868212.32</v>
      </c>
      <c r="F136" s="355">
        <f>E136</f>
        <v>868212.32</v>
      </c>
      <c r="G136" s="70">
        <f t="shared" si="19"/>
        <v>0</v>
      </c>
      <c r="H136" s="22">
        <f t="shared" si="43"/>
        <v>0</v>
      </c>
      <c r="I136" s="23">
        <f t="shared" si="34"/>
        <v>484055.78352</v>
      </c>
      <c r="J136" s="23">
        <f t="shared" si="36"/>
        <v>0</v>
      </c>
      <c r="K136" s="23">
        <f t="shared" si="39"/>
        <v>185936.29261027643</v>
      </c>
      <c r="L136" s="23">
        <f t="shared" si="40"/>
        <v>202702.7028</v>
      </c>
      <c r="M136" s="23">
        <f t="shared" si="41"/>
        <v>0</v>
      </c>
      <c r="N136" s="91">
        <v>0</v>
      </c>
      <c r="O136" s="108"/>
      <c r="P136" s="400">
        <f t="shared" si="37"/>
        <v>872696.31999999995</v>
      </c>
      <c r="Q136" s="400"/>
      <c r="R136" s="14">
        <f t="shared" si="38"/>
        <v>1.32</v>
      </c>
      <c r="S136" s="1">
        <f t="shared" si="42"/>
        <v>132</v>
      </c>
      <c r="T136" t="s">
        <v>261</v>
      </c>
    </row>
    <row r="137" spans="1:20" ht="24.95" customHeight="1" x14ac:dyDescent="0.25">
      <c r="A137" s="17"/>
      <c r="B137" s="17">
        <f t="shared" ref="B137:B145" si="44">B136+1</f>
        <v>133</v>
      </c>
      <c r="C137" s="17" t="s">
        <v>142</v>
      </c>
      <c r="D137" s="99">
        <v>6.4000000000000003E-3</v>
      </c>
      <c r="E137" s="122">
        <v>897012.33</v>
      </c>
      <c r="F137" s="355">
        <v>847000</v>
      </c>
      <c r="G137" s="70">
        <f t="shared" si="19"/>
        <v>50012.329999999958</v>
      </c>
      <c r="H137" s="22">
        <f t="shared" si="43"/>
        <v>1543.8806270999987</v>
      </c>
      <c r="I137" s="23">
        <f t="shared" si="34"/>
        <v>516326.16908800002</v>
      </c>
      <c r="J137" s="23">
        <f t="shared" si="36"/>
        <v>0</v>
      </c>
      <c r="K137" s="23">
        <f t="shared" si="39"/>
        <v>185936.29261027643</v>
      </c>
      <c r="L137" s="23">
        <f t="shared" si="40"/>
        <v>202702.7028</v>
      </c>
      <c r="M137" s="23">
        <f t="shared" si="41"/>
        <v>0</v>
      </c>
      <c r="N137" s="91">
        <v>0</v>
      </c>
      <c r="O137" s="108"/>
      <c r="P137" s="400">
        <f t="shared" si="37"/>
        <v>956522.33</v>
      </c>
      <c r="Q137" s="400"/>
      <c r="R137" s="14">
        <f t="shared" si="38"/>
        <v>1.33</v>
      </c>
      <c r="S137" s="1">
        <f t="shared" si="42"/>
        <v>133</v>
      </c>
      <c r="T137" t="s">
        <v>223</v>
      </c>
    </row>
    <row r="138" spans="1:20" ht="24.95" customHeight="1" x14ac:dyDescent="0.25">
      <c r="A138" s="17"/>
      <c r="B138" s="17">
        <f t="shared" si="44"/>
        <v>134</v>
      </c>
      <c r="C138" s="17" t="s">
        <v>143</v>
      </c>
      <c r="D138" s="99">
        <v>5.3E-3</v>
      </c>
      <c r="E138" s="122">
        <v>817812.34</v>
      </c>
      <c r="F138" s="355">
        <f>E138</f>
        <v>817812.34</v>
      </c>
      <c r="G138" s="70">
        <f t="shared" si="19"/>
        <v>0</v>
      </c>
      <c r="H138" s="22">
        <f t="shared" si="43"/>
        <v>0</v>
      </c>
      <c r="I138" s="23">
        <f t="shared" si="34"/>
        <v>427582.60877600004</v>
      </c>
      <c r="J138" s="23">
        <f t="shared" si="36"/>
        <v>0</v>
      </c>
      <c r="K138" s="23">
        <f t="shared" si="39"/>
        <v>185936.29261027643</v>
      </c>
      <c r="L138" s="23">
        <f t="shared" si="40"/>
        <v>202702.7028</v>
      </c>
      <c r="M138" s="23">
        <f t="shared" si="41"/>
        <v>0</v>
      </c>
      <c r="N138" s="91">
        <v>0</v>
      </c>
      <c r="O138" s="108"/>
      <c r="P138" s="400">
        <f t="shared" si="37"/>
        <v>816223.34</v>
      </c>
      <c r="Q138" s="400"/>
      <c r="R138" s="14">
        <f t="shared" si="38"/>
        <v>1.34</v>
      </c>
      <c r="S138" s="1">
        <f t="shared" si="42"/>
        <v>134</v>
      </c>
      <c r="T138" t="s">
        <v>203</v>
      </c>
    </row>
    <row r="139" spans="1:20" ht="24.95" customHeight="1" x14ac:dyDescent="0.25">
      <c r="A139" s="17"/>
      <c r="B139" s="17">
        <f t="shared" si="44"/>
        <v>135</v>
      </c>
      <c r="C139" s="17" t="s">
        <v>143</v>
      </c>
      <c r="D139" s="99">
        <v>6.1000000000000004E-3</v>
      </c>
      <c r="E139" s="122">
        <v>875412.35</v>
      </c>
      <c r="F139" s="355">
        <f>E139</f>
        <v>875412.35</v>
      </c>
      <c r="G139" s="70">
        <f t="shared" si="19"/>
        <v>0</v>
      </c>
      <c r="H139" s="22">
        <f t="shared" si="43"/>
        <v>0</v>
      </c>
      <c r="I139" s="23">
        <f t="shared" si="34"/>
        <v>492123.37991200003</v>
      </c>
      <c r="J139" s="23">
        <f t="shared" si="36"/>
        <v>0</v>
      </c>
      <c r="K139" s="23">
        <f t="shared" si="39"/>
        <v>185936.29261027643</v>
      </c>
      <c r="L139" s="23">
        <f t="shared" si="40"/>
        <v>202702.7028</v>
      </c>
      <c r="M139" s="23">
        <f t="shared" si="41"/>
        <v>0</v>
      </c>
      <c r="N139" s="91">
        <v>0</v>
      </c>
      <c r="O139" s="108"/>
      <c r="P139" s="400">
        <f t="shared" si="37"/>
        <v>880763.35</v>
      </c>
      <c r="Q139" s="400"/>
      <c r="R139" s="14">
        <f t="shared" si="38"/>
        <v>1.35</v>
      </c>
      <c r="S139" s="1">
        <f t="shared" si="42"/>
        <v>135</v>
      </c>
      <c r="T139" s="72" t="s">
        <v>203</v>
      </c>
    </row>
    <row r="140" spans="1:20" ht="24.95" customHeight="1" x14ac:dyDescent="0.25">
      <c r="A140" s="17"/>
      <c r="B140" s="17">
        <f t="shared" si="44"/>
        <v>136</v>
      </c>
      <c r="C140" s="17" t="s">
        <v>144</v>
      </c>
      <c r="D140" s="99">
        <v>6.1999999999999998E-3</v>
      </c>
      <c r="E140" s="122">
        <v>1955687.36</v>
      </c>
      <c r="F140" s="355">
        <f>1040941.36</f>
        <v>1040941.36</v>
      </c>
      <c r="G140" s="70">
        <f t="shared" si="19"/>
        <v>914746.00000000012</v>
      </c>
      <c r="H140" s="22">
        <f t="shared" si="43"/>
        <v>28238.209020000006</v>
      </c>
      <c r="I140" s="23">
        <f t="shared" si="34"/>
        <v>500190.97630400001</v>
      </c>
      <c r="J140" s="23">
        <f t="shared" si="36"/>
        <v>0</v>
      </c>
      <c r="K140" s="23">
        <f t="shared" si="39"/>
        <v>185936.29261027643</v>
      </c>
      <c r="L140" s="23">
        <f t="shared" si="40"/>
        <v>202702.7028</v>
      </c>
      <c r="M140" s="23">
        <f t="shared" si="41"/>
        <v>0</v>
      </c>
      <c r="N140" s="91">
        <v>0</v>
      </c>
      <c r="O140" s="108"/>
      <c r="P140" s="400">
        <f t="shared" si="37"/>
        <v>1831815.36</v>
      </c>
      <c r="Q140" s="400"/>
      <c r="R140" s="14">
        <f t="shared" si="38"/>
        <v>1.36</v>
      </c>
      <c r="S140" s="1">
        <f t="shared" si="42"/>
        <v>136</v>
      </c>
      <c r="T140" t="s">
        <v>281</v>
      </c>
    </row>
    <row r="141" spans="1:20" ht="24.95" customHeight="1" x14ac:dyDescent="0.25">
      <c r="A141" s="17"/>
      <c r="B141" s="17">
        <f t="shared" si="44"/>
        <v>137</v>
      </c>
      <c r="C141" s="17" t="s">
        <v>145</v>
      </c>
      <c r="D141" s="99">
        <v>5.4000000000000003E-3</v>
      </c>
      <c r="E141" s="122">
        <v>825012.37</v>
      </c>
      <c r="F141" s="355">
        <f>E141</f>
        <v>825012.37</v>
      </c>
      <c r="G141" s="70">
        <f t="shared" si="19"/>
        <v>0</v>
      </c>
      <c r="H141" s="22">
        <f t="shared" si="43"/>
        <v>0</v>
      </c>
      <c r="I141" s="23">
        <f t="shared" si="34"/>
        <v>435650.20516800001</v>
      </c>
      <c r="J141" s="23">
        <f t="shared" si="36"/>
        <v>0</v>
      </c>
      <c r="K141" s="23">
        <f t="shared" si="39"/>
        <v>185936.29261027643</v>
      </c>
      <c r="L141" s="23">
        <f t="shared" si="40"/>
        <v>202702.7028</v>
      </c>
      <c r="M141" s="23">
        <f t="shared" si="41"/>
        <v>0</v>
      </c>
      <c r="N141" s="91">
        <v>0</v>
      </c>
      <c r="O141" s="108"/>
      <c r="P141" s="400">
        <f t="shared" si="37"/>
        <v>824290.37</v>
      </c>
      <c r="Q141" s="400"/>
      <c r="R141" s="14">
        <f t="shared" si="38"/>
        <v>1.37</v>
      </c>
      <c r="S141" s="1">
        <f t="shared" si="42"/>
        <v>137</v>
      </c>
    </row>
    <row r="142" spans="1:20" ht="24.95" customHeight="1" x14ac:dyDescent="0.25">
      <c r="A142" s="17"/>
      <c r="B142" s="17">
        <f t="shared" si="44"/>
        <v>138</v>
      </c>
      <c r="C142" s="17" t="s">
        <v>146</v>
      </c>
      <c r="D142" s="99">
        <v>6.4999999999999997E-3</v>
      </c>
      <c r="E142" s="122">
        <v>904212.38</v>
      </c>
      <c r="F142" s="355">
        <f>E142</f>
        <v>904212.38</v>
      </c>
      <c r="G142" s="70">
        <f t="shared" si="19"/>
        <v>0</v>
      </c>
      <c r="H142" s="22">
        <f t="shared" si="43"/>
        <v>0</v>
      </c>
      <c r="I142" s="23">
        <f t="shared" si="34"/>
        <v>524393.76547999994</v>
      </c>
      <c r="J142" s="23">
        <f t="shared" si="36"/>
        <v>0</v>
      </c>
      <c r="K142" s="23">
        <f t="shared" si="39"/>
        <v>185936.29261027643</v>
      </c>
      <c r="L142" s="23">
        <f t="shared" si="40"/>
        <v>202702.7028</v>
      </c>
      <c r="M142" s="23">
        <f t="shared" si="41"/>
        <v>0</v>
      </c>
      <c r="N142" s="91">
        <v>0</v>
      </c>
      <c r="O142" s="108"/>
      <c r="P142" s="400">
        <f t="shared" si="37"/>
        <v>913034.38</v>
      </c>
      <c r="Q142" s="400"/>
      <c r="R142" s="14">
        <f t="shared" si="38"/>
        <v>1.38</v>
      </c>
      <c r="S142" s="1">
        <f t="shared" si="42"/>
        <v>138</v>
      </c>
      <c r="T142" t="s">
        <v>292</v>
      </c>
    </row>
    <row r="143" spans="1:20" ht="24.95" customHeight="1" x14ac:dyDescent="0.25">
      <c r="A143" s="17"/>
      <c r="B143" s="17">
        <f t="shared" si="44"/>
        <v>139</v>
      </c>
      <c r="C143" s="17" t="s">
        <v>147</v>
      </c>
      <c r="D143" s="99">
        <v>6.1000000000000004E-3</v>
      </c>
      <c r="E143" s="122">
        <v>875362.39</v>
      </c>
      <c r="F143" s="355">
        <f>E143</f>
        <v>875362.39</v>
      </c>
      <c r="G143" s="70">
        <f t="shared" si="19"/>
        <v>0</v>
      </c>
      <c r="H143" s="22">
        <f t="shared" si="43"/>
        <v>0</v>
      </c>
      <c r="I143" s="23">
        <f t="shared" si="34"/>
        <v>492123.37991200003</v>
      </c>
      <c r="J143" s="23">
        <f t="shared" si="36"/>
        <v>0</v>
      </c>
      <c r="K143" s="23">
        <f t="shared" si="39"/>
        <v>185936.29261027643</v>
      </c>
      <c r="L143" s="23">
        <f>P$1*0.675675676%</f>
        <v>202702.7028</v>
      </c>
      <c r="M143" s="23">
        <f t="shared" si="41"/>
        <v>0</v>
      </c>
      <c r="N143" s="91">
        <v>0</v>
      </c>
      <c r="O143" s="108"/>
      <c r="P143" s="400">
        <f t="shared" si="37"/>
        <v>880763.39</v>
      </c>
      <c r="Q143" s="400"/>
      <c r="R143" s="14">
        <f t="shared" si="38"/>
        <v>1.39</v>
      </c>
      <c r="S143" s="1">
        <f t="shared" si="42"/>
        <v>139</v>
      </c>
      <c r="T143" t="s">
        <v>283</v>
      </c>
    </row>
    <row r="144" spans="1:20" ht="24.95" customHeight="1" x14ac:dyDescent="0.25">
      <c r="A144" s="17"/>
      <c r="B144" s="17">
        <f t="shared" si="44"/>
        <v>140</v>
      </c>
      <c r="C144" s="17" t="s">
        <v>148</v>
      </c>
      <c r="D144" s="99">
        <v>0.18509999999999999</v>
      </c>
      <c r="E144" s="121"/>
      <c r="F144" s="355"/>
      <c r="G144" s="70"/>
      <c r="H144" s="22"/>
      <c r="I144" s="23"/>
      <c r="J144" s="23"/>
      <c r="K144" s="23"/>
      <c r="L144" s="23"/>
      <c r="M144" s="23"/>
      <c r="N144" s="91"/>
      <c r="O144" s="108"/>
      <c r="P144" s="400"/>
      <c r="Q144" s="400"/>
      <c r="R144" s="14">
        <f t="shared" si="38"/>
        <v>1.4</v>
      </c>
      <c r="S144" s="1">
        <f t="shared" si="42"/>
        <v>140</v>
      </c>
    </row>
    <row r="145" spans="1:21" ht="24.95" customHeight="1" x14ac:dyDescent="0.25">
      <c r="A145" s="17"/>
      <c r="B145" s="17">
        <f t="shared" si="44"/>
        <v>141</v>
      </c>
      <c r="C145" s="17" t="s">
        <v>148</v>
      </c>
      <c r="D145" s="99">
        <v>0.156</v>
      </c>
      <c r="E145" s="121"/>
      <c r="F145" s="355"/>
      <c r="G145" s="70"/>
      <c r="H145" s="22"/>
      <c r="I145" s="23"/>
      <c r="J145" s="23"/>
      <c r="K145" s="23"/>
      <c r="L145" s="23"/>
      <c r="M145" s="23"/>
      <c r="N145" s="91"/>
      <c r="O145" s="108"/>
      <c r="P145" s="400"/>
      <c r="Q145" s="400"/>
      <c r="R145" s="14">
        <f t="shared" si="38"/>
        <v>1.41</v>
      </c>
      <c r="S145" s="1">
        <f t="shared" si="42"/>
        <v>141</v>
      </c>
    </row>
    <row r="146" spans="1:21" ht="24.95" customHeight="1" x14ac:dyDescent="0.25">
      <c r="A146" s="17"/>
      <c r="B146" s="17"/>
      <c r="C146" s="17"/>
      <c r="D146" s="99"/>
      <c r="E146" s="121"/>
      <c r="F146" s="355"/>
      <c r="G146" s="70"/>
      <c r="H146" s="22"/>
      <c r="I146" s="23"/>
      <c r="J146" s="23"/>
      <c r="K146" s="23"/>
      <c r="L146" s="23"/>
      <c r="M146" s="23"/>
      <c r="N146" s="91"/>
      <c r="O146" s="108"/>
      <c r="P146" s="407"/>
      <c r="Q146" s="407"/>
      <c r="R146" s="14">
        <f t="shared" si="38"/>
        <v>0</v>
      </c>
      <c r="S146" s="1">
        <f t="shared" si="42"/>
        <v>0</v>
      </c>
    </row>
    <row r="147" spans="1:21" ht="24.95" customHeight="1" x14ac:dyDescent="0.25">
      <c r="A147" s="17"/>
      <c r="B147" s="17"/>
      <c r="C147" s="17"/>
      <c r="D147" s="99"/>
      <c r="E147" s="121"/>
      <c r="F147" s="355"/>
      <c r="G147" s="70"/>
      <c r="H147" s="22"/>
      <c r="I147" s="23"/>
      <c r="J147" s="23"/>
      <c r="K147" s="23"/>
      <c r="L147" s="23"/>
      <c r="M147" s="23"/>
      <c r="N147" s="91"/>
      <c r="O147" s="108"/>
      <c r="P147" s="407"/>
      <c r="Q147" s="407"/>
      <c r="R147" s="14">
        <f t="shared" si="38"/>
        <v>0</v>
      </c>
      <c r="S147" s="1">
        <f t="shared" si="42"/>
        <v>0</v>
      </c>
    </row>
    <row r="148" spans="1:21" ht="24.95" customHeight="1" x14ac:dyDescent="0.25">
      <c r="A148" s="17"/>
      <c r="B148" s="17">
        <v>146</v>
      </c>
      <c r="C148" s="17" t="s">
        <v>83</v>
      </c>
      <c r="D148" s="99">
        <v>3.8E-3</v>
      </c>
      <c r="E148" s="121">
        <v>977506.46</v>
      </c>
      <c r="F148" s="355">
        <f t="shared" ref="F148:F156" si="45">E148</f>
        <v>977506.46</v>
      </c>
      <c r="G148" s="70">
        <f t="shared" si="19"/>
        <v>0</v>
      </c>
      <c r="H148" s="22">
        <f t="shared" si="43"/>
        <v>0</v>
      </c>
      <c r="I148" s="23">
        <f t="shared" si="34"/>
        <v>306568.66289600002</v>
      </c>
      <c r="J148" s="23">
        <f t="shared" ref="J148:J157" si="46">P$2*D148</f>
        <v>0</v>
      </c>
      <c r="K148" s="23">
        <f t="shared" ref="K148:K157" si="47">G$2*0.675675676%</f>
        <v>185936.29261027643</v>
      </c>
      <c r="L148" s="23">
        <f>P$1*0.675675676%</f>
        <v>202702.7028</v>
      </c>
      <c r="M148" s="23">
        <v>47924</v>
      </c>
      <c r="N148" s="91">
        <f>(I148+K148)/2</f>
        <v>246252.47775313823</v>
      </c>
      <c r="O148" s="108"/>
      <c r="P148" s="400">
        <f t="shared" ref="P148:P157" si="48">ROUND(SUM(G148:O148),0) + R148</f>
        <v>989385.46</v>
      </c>
      <c r="Q148" s="400"/>
      <c r="R148" s="14">
        <f t="shared" si="38"/>
        <v>1.46</v>
      </c>
      <c r="S148" s="1">
        <f t="shared" si="42"/>
        <v>146</v>
      </c>
    </row>
    <row r="149" spans="1:21" ht="24.95" customHeight="1" x14ac:dyDescent="0.25">
      <c r="A149" s="17"/>
      <c r="B149" s="17">
        <v>155</v>
      </c>
      <c r="C149" s="17" t="s">
        <v>301</v>
      </c>
      <c r="D149" s="99">
        <v>4.2300000000000003E-3</v>
      </c>
      <c r="E149" s="121">
        <v>734822.55</v>
      </c>
      <c r="F149" s="355">
        <v>740722.55</v>
      </c>
      <c r="G149" s="70">
        <f t="shared" si="19"/>
        <v>-5900</v>
      </c>
      <c r="H149" s="22">
        <f t="shared" si="43"/>
        <v>0</v>
      </c>
      <c r="I149" s="23">
        <f t="shared" si="34"/>
        <v>341259.32738160004</v>
      </c>
      <c r="J149" s="23"/>
      <c r="K149" s="23">
        <f t="shared" si="47"/>
        <v>185936.29261027643</v>
      </c>
      <c r="L149" s="23">
        <f>P$1*0.675675676%</f>
        <v>202702.7028</v>
      </c>
      <c r="M149" s="23">
        <f t="shared" si="41"/>
        <v>0</v>
      </c>
      <c r="N149" s="91">
        <v>0</v>
      </c>
      <c r="O149" s="108"/>
      <c r="P149" s="400">
        <f>ROUND(SUM(G149:O149),0) + R149</f>
        <v>723999.55</v>
      </c>
      <c r="Q149" s="400"/>
      <c r="R149" s="14">
        <f t="shared" si="38"/>
        <v>1.55</v>
      </c>
      <c r="S149" s="1">
        <f t="shared" si="42"/>
        <v>155</v>
      </c>
      <c r="T149" t="s">
        <v>312</v>
      </c>
    </row>
    <row r="150" spans="1:21" ht="24.95" customHeight="1" x14ac:dyDescent="0.25">
      <c r="A150" s="17"/>
      <c r="B150" s="17">
        <v>158</v>
      </c>
      <c r="C150" s="17" t="s">
        <v>52</v>
      </c>
      <c r="D150" s="99">
        <v>4.5999999999999999E-3</v>
      </c>
      <c r="E150" s="121">
        <v>767412.58</v>
      </c>
      <c r="F150" s="355">
        <f t="shared" si="45"/>
        <v>767412.58</v>
      </c>
      <c r="G150" s="70">
        <f t="shared" si="19"/>
        <v>0</v>
      </c>
      <c r="H150" s="22">
        <f t="shared" si="43"/>
        <v>0</v>
      </c>
      <c r="I150" s="23">
        <f t="shared" si="34"/>
        <v>371109.43403200002</v>
      </c>
      <c r="J150" s="23">
        <f t="shared" si="46"/>
        <v>0</v>
      </c>
      <c r="K150" s="23">
        <f t="shared" si="47"/>
        <v>185936.29261027643</v>
      </c>
      <c r="L150" s="23">
        <f t="shared" ref="L150:L157" si="49">P$1*0.675675676%</f>
        <v>202702.7028</v>
      </c>
      <c r="M150" s="23">
        <f t="shared" si="41"/>
        <v>0</v>
      </c>
      <c r="N150" s="91">
        <v>0</v>
      </c>
      <c r="O150" s="23"/>
      <c r="P150" s="400">
        <f t="shared" si="48"/>
        <v>759749.58</v>
      </c>
      <c r="Q150" s="400"/>
      <c r="R150" s="14">
        <f t="shared" si="38"/>
        <v>1.58</v>
      </c>
      <c r="S150" s="1">
        <f t="shared" si="42"/>
        <v>158</v>
      </c>
    </row>
    <row r="151" spans="1:21" ht="24.95" customHeight="1" x14ac:dyDescent="0.25">
      <c r="A151" s="17"/>
      <c r="B151" s="17">
        <v>159</v>
      </c>
      <c r="C151" s="17" t="s">
        <v>52</v>
      </c>
      <c r="D151" s="99">
        <v>4.5999999999999999E-3</v>
      </c>
      <c r="E151" s="121">
        <v>767412.59</v>
      </c>
      <c r="F151" s="355">
        <f t="shared" si="45"/>
        <v>767412.59</v>
      </c>
      <c r="G151" s="70">
        <f t="shared" si="19"/>
        <v>0</v>
      </c>
      <c r="H151" s="22">
        <f t="shared" si="43"/>
        <v>0</v>
      </c>
      <c r="I151" s="23">
        <f t="shared" si="34"/>
        <v>371109.43403200002</v>
      </c>
      <c r="J151" s="23">
        <f t="shared" si="46"/>
        <v>0</v>
      </c>
      <c r="K151" s="23">
        <f t="shared" si="47"/>
        <v>185936.29261027643</v>
      </c>
      <c r="L151" s="23">
        <f t="shared" si="49"/>
        <v>202702.7028</v>
      </c>
      <c r="M151" s="23">
        <f t="shared" si="41"/>
        <v>0</v>
      </c>
      <c r="N151" s="23">
        <v>0</v>
      </c>
      <c r="O151" s="23"/>
      <c r="P151" s="400">
        <f t="shared" si="48"/>
        <v>759749.59</v>
      </c>
      <c r="Q151" s="400"/>
      <c r="R151" s="14">
        <f t="shared" si="38"/>
        <v>1.59</v>
      </c>
      <c r="S151" s="1">
        <f t="shared" si="42"/>
        <v>159</v>
      </c>
    </row>
    <row r="152" spans="1:21" ht="24.95" customHeight="1" x14ac:dyDescent="0.25">
      <c r="A152" s="17"/>
      <c r="B152" s="17">
        <v>163</v>
      </c>
      <c r="C152" s="17" t="s">
        <v>84</v>
      </c>
      <c r="D152" s="99">
        <v>4.5999999999999999E-3</v>
      </c>
      <c r="E152" s="121">
        <v>767412.63</v>
      </c>
      <c r="F152" s="355">
        <f t="shared" si="45"/>
        <v>767412.63</v>
      </c>
      <c r="G152" s="70">
        <f t="shared" si="19"/>
        <v>0</v>
      </c>
      <c r="H152" s="22">
        <f t="shared" si="43"/>
        <v>0</v>
      </c>
      <c r="I152" s="23">
        <f t="shared" si="34"/>
        <v>371109.43403200002</v>
      </c>
      <c r="J152" s="23">
        <f t="shared" si="46"/>
        <v>0</v>
      </c>
      <c r="K152" s="23">
        <f t="shared" si="47"/>
        <v>185936.29261027643</v>
      </c>
      <c r="L152" s="23">
        <f t="shared" si="49"/>
        <v>202702.7028</v>
      </c>
      <c r="M152" s="23">
        <f t="shared" si="41"/>
        <v>0</v>
      </c>
      <c r="N152" s="23">
        <v>0</v>
      </c>
      <c r="O152" s="23"/>
      <c r="P152" s="400">
        <f t="shared" si="48"/>
        <v>759749.63</v>
      </c>
      <c r="Q152" s="400"/>
      <c r="R152" s="14">
        <f t="shared" si="38"/>
        <v>1.63</v>
      </c>
      <c r="S152" s="1">
        <f t="shared" si="42"/>
        <v>163</v>
      </c>
    </row>
    <row r="153" spans="1:21" ht="24.95" customHeight="1" x14ac:dyDescent="0.25">
      <c r="A153" s="17"/>
      <c r="B153" s="17">
        <v>168</v>
      </c>
      <c r="C153" s="17" t="s">
        <v>52</v>
      </c>
      <c r="D153" s="99">
        <v>4.4000000000000003E-3</v>
      </c>
      <c r="E153" s="121">
        <v>753012.68</v>
      </c>
      <c r="F153" s="355">
        <f t="shared" si="45"/>
        <v>753012.68</v>
      </c>
      <c r="G153" s="70">
        <f t="shared" si="19"/>
        <v>0</v>
      </c>
      <c r="H153" s="22">
        <f t="shared" si="43"/>
        <v>0</v>
      </c>
      <c r="I153" s="23">
        <f t="shared" si="34"/>
        <v>354974.24124800001</v>
      </c>
      <c r="J153" s="23">
        <f t="shared" si="46"/>
        <v>0</v>
      </c>
      <c r="K153" s="23">
        <f t="shared" si="47"/>
        <v>185936.29261027643</v>
      </c>
      <c r="L153" s="23">
        <f t="shared" si="49"/>
        <v>202702.7028</v>
      </c>
      <c r="M153" s="23">
        <f t="shared" si="41"/>
        <v>0</v>
      </c>
      <c r="N153" s="23">
        <v>0</v>
      </c>
      <c r="O153" s="23"/>
      <c r="P153" s="400">
        <f t="shared" si="48"/>
        <v>743614.68</v>
      </c>
      <c r="Q153" s="400"/>
      <c r="R153" s="14">
        <f t="shared" si="38"/>
        <v>1.68</v>
      </c>
      <c r="S153" s="1">
        <f t="shared" si="42"/>
        <v>168</v>
      </c>
    </row>
    <row r="154" spans="1:21" ht="24.95" customHeight="1" x14ac:dyDescent="0.25">
      <c r="A154" s="17"/>
      <c r="B154" s="17">
        <v>173</v>
      </c>
      <c r="C154" s="17" t="s">
        <v>85</v>
      </c>
      <c r="D154" s="99">
        <v>4.5999999999999999E-3</v>
      </c>
      <c r="E154" s="121">
        <v>767412.73</v>
      </c>
      <c r="F154" s="355">
        <f t="shared" si="45"/>
        <v>767412.73</v>
      </c>
      <c r="G154" s="70">
        <f t="shared" si="19"/>
        <v>0</v>
      </c>
      <c r="H154" s="22">
        <f t="shared" si="43"/>
        <v>0</v>
      </c>
      <c r="I154" s="23">
        <f t="shared" si="34"/>
        <v>371109.43403200002</v>
      </c>
      <c r="J154" s="23">
        <f t="shared" si="46"/>
        <v>0</v>
      </c>
      <c r="K154" s="23">
        <f t="shared" si="47"/>
        <v>185936.29261027643</v>
      </c>
      <c r="L154" s="23">
        <f t="shared" si="49"/>
        <v>202702.7028</v>
      </c>
      <c r="M154" s="23">
        <f t="shared" si="41"/>
        <v>0</v>
      </c>
      <c r="N154" s="23">
        <v>0</v>
      </c>
      <c r="O154" s="23"/>
      <c r="P154" s="400">
        <f t="shared" si="48"/>
        <v>759749.73</v>
      </c>
      <c r="Q154" s="400"/>
      <c r="R154" s="14">
        <f t="shared" si="38"/>
        <v>1.73</v>
      </c>
      <c r="S154" s="1">
        <f t="shared" si="42"/>
        <v>173</v>
      </c>
      <c r="U154" t="s">
        <v>225</v>
      </c>
    </row>
    <row r="155" spans="1:21" ht="24.95" customHeight="1" x14ac:dyDescent="0.25">
      <c r="A155" s="17"/>
      <c r="B155" s="17">
        <v>175</v>
      </c>
      <c r="C155" s="17" t="s">
        <v>85</v>
      </c>
      <c r="D155" s="99">
        <v>4.5999999999999999E-3</v>
      </c>
      <c r="E155" s="121">
        <v>767412.75</v>
      </c>
      <c r="F155" s="355">
        <f t="shared" si="45"/>
        <v>767412.75</v>
      </c>
      <c r="G155" s="70">
        <f t="shared" si="19"/>
        <v>0</v>
      </c>
      <c r="H155" s="22">
        <f t="shared" si="43"/>
        <v>0</v>
      </c>
      <c r="I155" s="23">
        <f t="shared" si="34"/>
        <v>371109.43403200002</v>
      </c>
      <c r="J155" s="23">
        <f t="shared" si="46"/>
        <v>0</v>
      </c>
      <c r="K155" s="23">
        <f t="shared" si="47"/>
        <v>185936.29261027643</v>
      </c>
      <c r="L155" s="23">
        <f t="shared" si="49"/>
        <v>202702.7028</v>
      </c>
      <c r="M155" s="23">
        <f t="shared" si="41"/>
        <v>0</v>
      </c>
      <c r="N155" s="23">
        <v>0</v>
      </c>
      <c r="O155" s="23"/>
      <c r="P155" s="400">
        <f t="shared" si="48"/>
        <v>759749.75</v>
      </c>
      <c r="Q155" s="400"/>
      <c r="R155" s="14">
        <f t="shared" si="38"/>
        <v>1.75</v>
      </c>
      <c r="S155" s="1">
        <f t="shared" si="42"/>
        <v>175</v>
      </c>
      <c r="U155" t="s">
        <v>225</v>
      </c>
    </row>
    <row r="156" spans="1:21" ht="24.95" customHeight="1" x14ac:dyDescent="0.25">
      <c r="A156" s="17"/>
      <c r="B156" s="17">
        <v>176</v>
      </c>
      <c r="C156" s="17" t="s">
        <v>84</v>
      </c>
      <c r="D156" s="99">
        <v>4.5999999999999999E-3</v>
      </c>
      <c r="E156" s="121">
        <v>767412.76</v>
      </c>
      <c r="F156" s="355">
        <f t="shared" si="45"/>
        <v>767412.76</v>
      </c>
      <c r="G156" s="70">
        <f t="shared" si="19"/>
        <v>0</v>
      </c>
      <c r="H156" s="22">
        <f t="shared" si="43"/>
        <v>0</v>
      </c>
      <c r="I156" s="23">
        <f t="shared" si="34"/>
        <v>371109.43403200002</v>
      </c>
      <c r="J156" s="23">
        <f t="shared" si="46"/>
        <v>0</v>
      </c>
      <c r="K156" s="23">
        <f t="shared" si="47"/>
        <v>185936.29261027643</v>
      </c>
      <c r="L156" s="23">
        <f t="shared" si="49"/>
        <v>202702.7028</v>
      </c>
      <c r="M156" s="23">
        <f t="shared" si="41"/>
        <v>0</v>
      </c>
      <c r="N156" s="23">
        <v>0</v>
      </c>
      <c r="O156" s="23"/>
      <c r="P156" s="400">
        <f t="shared" si="48"/>
        <v>759749.76</v>
      </c>
      <c r="Q156" s="400"/>
      <c r="R156" s="14">
        <f t="shared" si="38"/>
        <v>1.76</v>
      </c>
      <c r="S156" s="1">
        <f t="shared" si="42"/>
        <v>176</v>
      </c>
    </row>
    <row r="157" spans="1:21" ht="24.95" customHeight="1" x14ac:dyDescent="0.25">
      <c r="A157" s="17"/>
      <c r="B157" s="17">
        <v>204</v>
      </c>
      <c r="C157" s="17" t="s">
        <v>42</v>
      </c>
      <c r="D157" s="20">
        <v>4.8999999999999998E-3</v>
      </c>
      <c r="E157" s="123">
        <v>789013.04</v>
      </c>
      <c r="F157" s="355"/>
      <c r="G157" s="70">
        <f t="shared" si="19"/>
        <v>789013.04</v>
      </c>
      <c r="H157" s="22">
        <f t="shared" si="43"/>
        <v>24356.832544800003</v>
      </c>
      <c r="I157" s="23">
        <f t="shared" si="34"/>
        <v>395312.22320800001</v>
      </c>
      <c r="J157" s="23">
        <f t="shared" si="46"/>
        <v>0</v>
      </c>
      <c r="K157" s="23">
        <f t="shared" si="47"/>
        <v>185936.29261027643</v>
      </c>
      <c r="L157" s="23">
        <f t="shared" si="49"/>
        <v>202702.7028</v>
      </c>
      <c r="M157" s="23">
        <f t="shared" si="41"/>
        <v>0</v>
      </c>
      <c r="N157" s="23">
        <v>0</v>
      </c>
      <c r="O157" s="23"/>
      <c r="P157" s="400">
        <f t="shared" si="48"/>
        <v>1597323.04</v>
      </c>
      <c r="Q157" s="400"/>
      <c r="R157" s="14">
        <f t="shared" si="38"/>
        <v>2.04</v>
      </c>
      <c r="S157" s="1">
        <f t="shared" si="42"/>
        <v>204</v>
      </c>
      <c r="T157" t="s">
        <v>297</v>
      </c>
    </row>
    <row r="158" spans="1:21" ht="24.95" customHeight="1" x14ac:dyDescent="0.25">
      <c r="A158" s="18"/>
      <c r="B158" s="17"/>
      <c r="C158" s="17"/>
      <c r="D158" s="20"/>
      <c r="E158" s="21"/>
      <c r="F158" s="38"/>
      <c r="G158" s="22"/>
      <c r="H158" s="22"/>
      <c r="I158" s="23"/>
      <c r="J158" s="23"/>
      <c r="K158" s="23"/>
      <c r="L158" s="23"/>
      <c r="M158" s="23"/>
      <c r="N158" s="23"/>
      <c r="O158" s="23"/>
      <c r="P158" s="403"/>
      <c r="Q158" s="403"/>
      <c r="R158" s="14"/>
      <c r="S158" s="1"/>
    </row>
    <row r="159" spans="1:21" ht="24.95" customHeight="1" x14ac:dyDescent="0.25">
      <c r="A159" s="18"/>
      <c r="B159" s="18"/>
      <c r="C159" s="18"/>
      <c r="D159" s="20"/>
      <c r="E159" s="21"/>
      <c r="F159" s="27"/>
      <c r="G159" s="22"/>
      <c r="H159" s="22"/>
      <c r="I159" s="89"/>
      <c r="J159" s="23"/>
      <c r="K159" s="23"/>
      <c r="L159" s="23"/>
      <c r="M159" s="23"/>
      <c r="N159" s="23"/>
      <c r="O159" s="23"/>
      <c r="P159" s="403"/>
      <c r="Q159" s="403"/>
      <c r="R159" s="14"/>
      <c r="S159" s="1"/>
    </row>
    <row r="160" spans="1:21" ht="24.95" customHeight="1" thickBot="1" x14ac:dyDescent="0.3">
      <c r="A160" s="24"/>
      <c r="B160" s="90"/>
      <c r="C160" s="83"/>
      <c r="D160" s="95">
        <f t="shared" ref="D160:O160" si="50">SUM(D5:D159)</f>
        <v>1.0449300000000001</v>
      </c>
      <c r="E160" s="84">
        <f t="shared" si="50"/>
        <v>159262918.15000001</v>
      </c>
      <c r="F160" s="85">
        <f>SUM(F5:F159)-358390</f>
        <v>111638065.42</v>
      </c>
      <c r="G160" s="86">
        <f t="shared" si="50"/>
        <v>47266462.729999997</v>
      </c>
      <c r="H160" s="87"/>
      <c r="I160" s="87">
        <f t="shared" si="50"/>
        <v>56782163.685813546</v>
      </c>
      <c r="J160" s="87">
        <f t="shared" si="50"/>
        <v>0</v>
      </c>
      <c r="K160" s="88">
        <f t="shared" si="50"/>
        <v>27704507.598931193</v>
      </c>
      <c r="L160" s="92">
        <f t="shared" si="50"/>
        <v>30202702.717199888</v>
      </c>
      <c r="M160" s="88">
        <f t="shared" si="50"/>
        <v>530311</v>
      </c>
      <c r="N160" s="88">
        <f t="shared" si="50"/>
        <v>2442164.9987542438</v>
      </c>
      <c r="O160" s="88">
        <f t="shared" si="50"/>
        <v>907604.59409999987</v>
      </c>
      <c r="P160" s="401">
        <f>SUM(P5:P159)</f>
        <v>167305221.07000002</v>
      </c>
      <c r="Q160" s="402"/>
      <c r="R160" s="401"/>
      <c r="S160" s="402"/>
    </row>
    <row r="161" spans="3:16" ht="42" customHeight="1" thickBot="1" x14ac:dyDescent="0.3">
      <c r="C161" s="404" t="s">
        <v>473</v>
      </c>
      <c r="D161" s="405"/>
      <c r="E161" s="405"/>
      <c r="F161" s="405"/>
      <c r="G161" s="405"/>
      <c r="H161" s="405"/>
      <c r="I161" s="405"/>
      <c r="J161" s="405"/>
      <c r="K161" s="405"/>
      <c r="L161" s="405"/>
      <c r="M161" s="405"/>
      <c r="N161" s="405"/>
      <c r="O161" s="405"/>
      <c r="P161" s="406"/>
    </row>
    <row r="162" spans="3:16" ht="15" customHeight="1" x14ac:dyDescent="0.25">
      <c r="C162" s="391" t="s">
        <v>286</v>
      </c>
      <c r="D162" s="392"/>
      <c r="E162" s="392"/>
      <c r="F162" s="392"/>
      <c r="G162" s="392"/>
      <c r="H162" s="392"/>
      <c r="I162" s="392"/>
      <c r="J162" s="392"/>
      <c r="K162" s="392"/>
      <c r="L162" s="392"/>
      <c r="M162" s="392"/>
      <c r="N162" s="392"/>
      <c r="O162" s="392"/>
      <c r="P162" s="393"/>
    </row>
    <row r="163" spans="3:16" ht="15.75" thickBot="1" x14ac:dyDescent="0.3">
      <c r="C163" s="397"/>
      <c r="D163" s="398"/>
      <c r="E163" s="398"/>
      <c r="F163" s="398"/>
      <c r="G163" s="398"/>
      <c r="H163" s="398"/>
      <c r="I163" s="398"/>
      <c r="J163" s="398"/>
      <c r="K163" s="398"/>
      <c r="L163" s="398"/>
      <c r="M163" s="398"/>
      <c r="N163" s="398"/>
      <c r="O163" s="398"/>
      <c r="P163" s="399"/>
    </row>
    <row r="164" spans="3:16" ht="14.25" customHeight="1" x14ac:dyDescent="0.25">
      <c r="C164" s="391" t="s">
        <v>268</v>
      </c>
      <c r="D164" s="392"/>
      <c r="E164" s="392"/>
      <c r="F164" s="392"/>
      <c r="G164" s="392"/>
      <c r="H164" s="392"/>
      <c r="I164" s="392"/>
      <c r="J164" s="392"/>
      <c r="K164" s="392"/>
      <c r="L164" s="392"/>
      <c r="M164" s="392"/>
      <c r="N164" s="392"/>
      <c r="O164" s="392"/>
      <c r="P164" s="393"/>
    </row>
    <row r="165" spans="3:16" hidden="1" x14ac:dyDescent="0.25">
      <c r="C165" s="394"/>
      <c r="D165" s="395"/>
      <c r="E165" s="395"/>
      <c r="F165" s="395"/>
      <c r="G165" s="395"/>
      <c r="H165" s="395"/>
      <c r="I165" s="395"/>
      <c r="J165" s="395"/>
      <c r="K165" s="395"/>
      <c r="L165" s="395"/>
      <c r="M165" s="395"/>
      <c r="N165" s="395"/>
      <c r="O165" s="395"/>
      <c r="P165" s="396"/>
    </row>
    <row r="166" spans="3:16" x14ac:dyDescent="0.25">
      <c r="C166" s="394"/>
      <c r="D166" s="395"/>
      <c r="E166" s="395"/>
      <c r="F166" s="395"/>
      <c r="G166" s="395"/>
      <c r="H166" s="395"/>
      <c r="I166" s="395"/>
      <c r="J166" s="395"/>
      <c r="K166" s="395"/>
      <c r="L166" s="395"/>
      <c r="M166" s="395"/>
      <c r="N166" s="395"/>
      <c r="O166" s="395"/>
      <c r="P166" s="396"/>
    </row>
    <row r="167" spans="3:16" ht="164.25" customHeight="1" thickBot="1" x14ac:dyDescent="0.3">
      <c r="C167" s="397"/>
      <c r="D167" s="398"/>
      <c r="E167" s="398"/>
      <c r="F167" s="398"/>
      <c r="G167" s="398"/>
      <c r="H167" s="398"/>
      <c r="I167" s="398"/>
      <c r="J167" s="398"/>
      <c r="K167" s="398"/>
      <c r="L167" s="398"/>
      <c r="M167" s="398"/>
      <c r="N167" s="398"/>
      <c r="O167" s="398"/>
      <c r="P167" s="399"/>
    </row>
  </sheetData>
  <mergeCells count="184">
    <mergeCell ref="S3:S4"/>
    <mergeCell ref="R160:S160"/>
    <mergeCell ref="A3:A4"/>
    <mergeCell ref="B3:B4"/>
    <mergeCell ref="C3:C4"/>
    <mergeCell ref="D3:D4"/>
    <mergeCell ref="K3:K4"/>
    <mergeCell ref="H3:H4"/>
    <mergeCell ref="E3:E4"/>
    <mergeCell ref="F3:F4"/>
    <mergeCell ref="G3:G4"/>
    <mergeCell ref="I3:I4"/>
    <mergeCell ref="J3:J4"/>
    <mergeCell ref="P5:Q5"/>
    <mergeCell ref="P6:Q6"/>
    <mergeCell ref="P7:Q7"/>
    <mergeCell ref="P8:Q8"/>
    <mergeCell ref="P9:Q9"/>
    <mergeCell ref="P25:Q25"/>
    <mergeCell ref="P26:Q26"/>
    <mergeCell ref="P27:Q27"/>
    <mergeCell ref="P28:Q28"/>
    <mergeCell ref="P29:Q29"/>
    <mergeCell ref="P20:Q20"/>
    <mergeCell ref="P15:Q15"/>
    <mergeCell ref="P16:Q16"/>
    <mergeCell ref="P17:Q17"/>
    <mergeCell ref="P18:Q18"/>
    <mergeCell ref="P19:Q19"/>
    <mergeCell ref="P10:Q10"/>
    <mergeCell ref="P11:Q11"/>
    <mergeCell ref="P12:Q12"/>
    <mergeCell ref="P13:Q13"/>
    <mergeCell ref="P14:Q14"/>
    <mergeCell ref="L3:L4"/>
    <mergeCell ref="K2:L2"/>
    <mergeCell ref="M3:M4"/>
    <mergeCell ref="P1:Q1"/>
    <mergeCell ref="P2:Q2"/>
    <mergeCell ref="G2:H2"/>
    <mergeCell ref="N3:N4"/>
    <mergeCell ref="O3:O4"/>
    <mergeCell ref="C2:E2"/>
    <mergeCell ref="P3:Q4"/>
    <mergeCell ref="C1:L1"/>
    <mergeCell ref="N1:O1"/>
    <mergeCell ref="P21:Q21"/>
    <mergeCell ref="P22:Q22"/>
    <mergeCell ref="P23:Q23"/>
    <mergeCell ref="P24:Q24"/>
    <mergeCell ref="P35:Q35"/>
    <mergeCell ref="P36:Q36"/>
    <mergeCell ref="P37:Q37"/>
    <mergeCell ref="P38:Q38"/>
    <mergeCell ref="P39:Q39"/>
    <mergeCell ref="P30:Q30"/>
    <mergeCell ref="P31:Q31"/>
    <mergeCell ref="P32:Q32"/>
    <mergeCell ref="P33:Q33"/>
    <mergeCell ref="P34:Q34"/>
    <mergeCell ref="P45:Q45"/>
    <mergeCell ref="P46:Q46"/>
    <mergeCell ref="P47:Q47"/>
    <mergeCell ref="P48:Q48"/>
    <mergeCell ref="P49:Q49"/>
    <mergeCell ref="P40:Q40"/>
    <mergeCell ref="P41:Q41"/>
    <mergeCell ref="P42:Q42"/>
    <mergeCell ref="P43:Q43"/>
    <mergeCell ref="P44:Q44"/>
    <mergeCell ref="P55:Q55"/>
    <mergeCell ref="P56:Q56"/>
    <mergeCell ref="P57:Q57"/>
    <mergeCell ref="P58:Q58"/>
    <mergeCell ref="P59:Q59"/>
    <mergeCell ref="P50:Q50"/>
    <mergeCell ref="P51:Q51"/>
    <mergeCell ref="P52:Q52"/>
    <mergeCell ref="P53:Q53"/>
    <mergeCell ref="P54:Q54"/>
    <mergeCell ref="P65:Q65"/>
    <mergeCell ref="P66:Q66"/>
    <mergeCell ref="P67:Q67"/>
    <mergeCell ref="P68:Q68"/>
    <mergeCell ref="P69:Q69"/>
    <mergeCell ref="P60:Q60"/>
    <mergeCell ref="P61:Q61"/>
    <mergeCell ref="P62:Q62"/>
    <mergeCell ref="P63:Q63"/>
    <mergeCell ref="P64:Q64"/>
    <mergeCell ref="P75:Q75"/>
    <mergeCell ref="P76:Q76"/>
    <mergeCell ref="P77:Q77"/>
    <mergeCell ref="P78:Q78"/>
    <mergeCell ref="P79:Q79"/>
    <mergeCell ref="P70:Q70"/>
    <mergeCell ref="P71:Q71"/>
    <mergeCell ref="P72:Q72"/>
    <mergeCell ref="P73:Q73"/>
    <mergeCell ref="P74:Q74"/>
    <mergeCell ref="P85:Q85"/>
    <mergeCell ref="P86:Q86"/>
    <mergeCell ref="P87:Q87"/>
    <mergeCell ref="P88:Q88"/>
    <mergeCell ref="P89:Q89"/>
    <mergeCell ref="P80:Q80"/>
    <mergeCell ref="P81:Q81"/>
    <mergeCell ref="P82:Q82"/>
    <mergeCell ref="P83:Q83"/>
    <mergeCell ref="P84:Q84"/>
    <mergeCell ref="P95:Q95"/>
    <mergeCell ref="P96:Q96"/>
    <mergeCell ref="P97:Q97"/>
    <mergeCell ref="P98:Q98"/>
    <mergeCell ref="P99:Q99"/>
    <mergeCell ref="P90:Q90"/>
    <mergeCell ref="P91:Q91"/>
    <mergeCell ref="P92:Q92"/>
    <mergeCell ref="P93:Q93"/>
    <mergeCell ref="P94:Q94"/>
    <mergeCell ref="P105:Q105"/>
    <mergeCell ref="P106:Q106"/>
    <mergeCell ref="P107:Q107"/>
    <mergeCell ref="P108:Q108"/>
    <mergeCell ref="P109:Q109"/>
    <mergeCell ref="P100:Q100"/>
    <mergeCell ref="P101:Q101"/>
    <mergeCell ref="P102:Q102"/>
    <mergeCell ref="P103:Q103"/>
    <mergeCell ref="P104:Q104"/>
    <mergeCell ref="P115:Q115"/>
    <mergeCell ref="P116:Q116"/>
    <mergeCell ref="P117:Q117"/>
    <mergeCell ref="P118:Q118"/>
    <mergeCell ref="P119:Q119"/>
    <mergeCell ref="P110:Q110"/>
    <mergeCell ref="P111:Q111"/>
    <mergeCell ref="P112:Q112"/>
    <mergeCell ref="P113:Q113"/>
    <mergeCell ref="P114:Q114"/>
    <mergeCell ref="P125:Q125"/>
    <mergeCell ref="P126:Q126"/>
    <mergeCell ref="P127:Q127"/>
    <mergeCell ref="P128:Q128"/>
    <mergeCell ref="P129:Q129"/>
    <mergeCell ref="P120:Q120"/>
    <mergeCell ref="P121:Q121"/>
    <mergeCell ref="P122:Q122"/>
    <mergeCell ref="P123:Q123"/>
    <mergeCell ref="P124:Q124"/>
    <mergeCell ref="P135:Q135"/>
    <mergeCell ref="P136:Q136"/>
    <mergeCell ref="P137:Q137"/>
    <mergeCell ref="P138:Q138"/>
    <mergeCell ref="P139:Q139"/>
    <mergeCell ref="P130:Q130"/>
    <mergeCell ref="P131:Q131"/>
    <mergeCell ref="P132:Q132"/>
    <mergeCell ref="P133:Q133"/>
    <mergeCell ref="P134:Q134"/>
    <mergeCell ref="P145:Q145"/>
    <mergeCell ref="P146:Q146"/>
    <mergeCell ref="P147:Q147"/>
    <mergeCell ref="P148:Q148"/>
    <mergeCell ref="P150:Q150"/>
    <mergeCell ref="P140:Q140"/>
    <mergeCell ref="P141:Q141"/>
    <mergeCell ref="P142:Q142"/>
    <mergeCell ref="P143:Q143"/>
    <mergeCell ref="P144:Q144"/>
    <mergeCell ref="P149:Q149"/>
    <mergeCell ref="C164:P167"/>
    <mergeCell ref="C162:P163"/>
    <mergeCell ref="P156:Q156"/>
    <mergeCell ref="P157:Q157"/>
    <mergeCell ref="P160:Q160"/>
    <mergeCell ref="P158:Q158"/>
    <mergeCell ref="P159:Q159"/>
    <mergeCell ref="P151:Q151"/>
    <mergeCell ref="P152:Q152"/>
    <mergeCell ref="P153:Q153"/>
    <mergeCell ref="P154:Q154"/>
    <mergeCell ref="P155:Q155"/>
    <mergeCell ref="C161:P161"/>
  </mergeCells>
  <hyperlinks>
    <hyperlink ref="T65" r:id="rId1" xr:uid="{60CCA824-04D7-4098-BB5B-CC4EC0E5DE92}"/>
    <hyperlink ref="T45" r:id="rId2" xr:uid="{FB3F0167-0D80-4D0E-9747-86680AF517F7}"/>
    <hyperlink ref="T35" r:id="rId3" xr:uid="{DC64E9EF-0CAF-49C3-B4C2-A955ADDB9423}"/>
    <hyperlink ref="T38" r:id="rId4" xr:uid="{74F85CC2-F097-4DDA-B018-43C3E1E7AED4}"/>
  </hyperlinks>
  <pageMargins left="0.23622047244094491" right="0.23622047244094491" top="0.74803149606299213" bottom="0.74803149606299213" header="0.31496062992125984" footer="0.31496062992125984"/>
  <pageSetup paperSize="3"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9DBA-AA88-413A-80A7-A9BAAE7F2C32}">
  <dimension ref="C1:M269"/>
  <sheetViews>
    <sheetView topLeftCell="A174" workbookViewId="0">
      <selection activeCell="H184" sqref="H184"/>
    </sheetView>
  </sheetViews>
  <sheetFormatPr baseColWidth="10" defaultColWidth="10.85546875" defaultRowHeight="15" x14ac:dyDescent="0.25"/>
  <cols>
    <col min="11" max="11" width="11.42578125" bestFit="1" customWidth="1"/>
    <col min="14" max="14" width="13" bestFit="1" customWidth="1"/>
  </cols>
  <sheetData>
    <row r="1" spans="3:12" ht="15.75" thickBot="1" x14ac:dyDescent="0.3"/>
    <row r="2" spans="3:12" x14ac:dyDescent="0.25">
      <c r="C2" s="187" t="s">
        <v>161</v>
      </c>
      <c r="D2" s="188">
        <v>1</v>
      </c>
      <c r="E2" s="188"/>
      <c r="F2" s="188"/>
      <c r="G2" s="73"/>
      <c r="H2" s="73"/>
      <c r="I2" s="73"/>
      <c r="J2" s="75"/>
    </row>
    <row r="3" spans="3:12" x14ac:dyDescent="0.25">
      <c r="C3" s="189" t="s">
        <v>162</v>
      </c>
      <c r="D3" s="190"/>
      <c r="E3" s="191">
        <v>45945</v>
      </c>
      <c r="F3" s="190"/>
      <c r="G3" s="39" t="s">
        <v>167</v>
      </c>
      <c r="H3" s="110" t="s">
        <v>315</v>
      </c>
      <c r="I3" s="76"/>
      <c r="J3" s="77"/>
      <c r="K3" s="190"/>
      <c r="L3" s="190"/>
    </row>
    <row r="4" spans="3:12" x14ac:dyDescent="0.25">
      <c r="C4" s="189" t="s">
        <v>163</v>
      </c>
      <c r="D4" s="190" t="s">
        <v>164</v>
      </c>
      <c r="E4" s="190" t="s">
        <v>165</v>
      </c>
      <c r="F4" s="190"/>
      <c r="G4" s="39" t="s">
        <v>168</v>
      </c>
      <c r="H4" s="76">
        <v>9</v>
      </c>
      <c r="I4" s="76"/>
      <c r="J4" s="77"/>
      <c r="K4" s="190"/>
      <c r="L4" s="190"/>
    </row>
    <row r="5" spans="3:12" ht="15.75" thickBot="1" x14ac:dyDescent="0.3">
      <c r="C5" s="174" t="s">
        <v>166</v>
      </c>
      <c r="D5" s="39"/>
      <c r="E5" s="39"/>
      <c r="F5" s="39"/>
      <c r="G5" s="39"/>
      <c r="H5" s="39"/>
      <c r="I5" s="39"/>
      <c r="J5" s="78"/>
      <c r="K5" s="190"/>
      <c r="L5" s="190"/>
    </row>
    <row r="6" spans="3:12" x14ac:dyDescent="0.25">
      <c r="C6" s="428" t="s">
        <v>316</v>
      </c>
      <c r="D6" s="429"/>
      <c r="E6" s="429"/>
      <c r="F6" s="429"/>
      <c r="G6" s="429"/>
      <c r="H6" s="429"/>
      <c r="I6" s="429"/>
      <c r="J6" s="430"/>
      <c r="K6" s="190"/>
      <c r="L6" s="190"/>
    </row>
    <row r="7" spans="3:12" x14ac:dyDescent="0.25">
      <c r="C7" s="431"/>
      <c r="D7" s="432"/>
      <c r="E7" s="432"/>
      <c r="F7" s="432"/>
      <c r="G7" s="432"/>
      <c r="H7" s="432"/>
      <c r="I7" s="432"/>
      <c r="J7" s="433"/>
      <c r="K7" s="190"/>
      <c r="L7" s="190"/>
    </row>
    <row r="8" spans="3:12" ht="15.75" thickBot="1" x14ac:dyDescent="0.3">
      <c r="C8" s="434"/>
      <c r="D8" s="435"/>
      <c r="E8" s="435"/>
      <c r="F8" s="435"/>
      <c r="G8" s="435"/>
      <c r="H8" s="435"/>
      <c r="I8" s="435"/>
      <c r="J8" s="436"/>
      <c r="K8" s="190"/>
      <c r="L8" s="190"/>
    </row>
    <row r="10" spans="3:12" ht="15.75" thickBot="1" x14ac:dyDescent="0.3"/>
    <row r="11" spans="3:12" x14ac:dyDescent="0.25">
      <c r="C11" s="192" t="s">
        <v>161</v>
      </c>
      <c r="D11" s="193">
        <f>D2+1</f>
        <v>2</v>
      </c>
      <c r="E11" s="193"/>
      <c r="F11" s="73"/>
      <c r="G11" s="73"/>
      <c r="H11" s="73"/>
      <c r="I11" s="73"/>
      <c r="J11" s="75"/>
    </row>
    <row r="12" spans="3:12" x14ac:dyDescent="0.25">
      <c r="C12" s="194" t="s">
        <v>162</v>
      </c>
      <c r="D12" s="195"/>
      <c r="E12" s="196">
        <v>45945</v>
      </c>
      <c r="F12" s="39"/>
      <c r="G12" s="39" t="s">
        <v>167</v>
      </c>
      <c r="H12" s="110" t="s">
        <v>314</v>
      </c>
      <c r="I12" s="76"/>
      <c r="J12" s="77"/>
    </row>
    <row r="13" spans="3:12" x14ac:dyDescent="0.25">
      <c r="C13" s="194" t="s">
        <v>163</v>
      </c>
      <c r="D13" s="195" t="s">
        <v>164</v>
      </c>
      <c r="E13" s="195" t="s">
        <v>165</v>
      </c>
      <c r="F13" s="39"/>
      <c r="G13" s="39" t="s">
        <v>168</v>
      </c>
      <c r="H13" s="76">
        <v>106</v>
      </c>
      <c r="I13" s="76"/>
      <c r="J13" s="77"/>
      <c r="K13" s="190"/>
      <c r="L13" s="190"/>
    </row>
    <row r="14" spans="3:12" ht="15.75" thickBot="1" x14ac:dyDescent="0.3">
      <c r="C14" s="174" t="s">
        <v>166</v>
      </c>
      <c r="D14" s="39"/>
      <c r="E14" s="39"/>
      <c r="F14" s="39"/>
      <c r="G14" s="39"/>
      <c r="H14" s="39"/>
      <c r="I14" s="39"/>
      <c r="J14" s="78"/>
      <c r="K14" s="190"/>
      <c r="L14" s="190"/>
    </row>
    <row r="15" spans="3:12" x14ac:dyDescent="0.25">
      <c r="C15" s="428" t="s">
        <v>353</v>
      </c>
      <c r="D15" s="429"/>
      <c r="E15" s="429"/>
      <c r="F15" s="429"/>
      <c r="G15" s="429"/>
      <c r="H15" s="429"/>
      <c r="I15" s="429"/>
      <c r="J15" s="430"/>
      <c r="K15" s="190"/>
      <c r="L15" s="190"/>
    </row>
    <row r="16" spans="3:12" x14ac:dyDescent="0.25">
      <c r="C16" s="431"/>
      <c r="D16" s="432"/>
      <c r="E16" s="432"/>
      <c r="F16" s="432"/>
      <c r="G16" s="432"/>
      <c r="H16" s="432"/>
      <c r="I16" s="432"/>
      <c r="J16" s="433"/>
      <c r="K16" s="190"/>
      <c r="L16" s="190"/>
    </row>
    <row r="17" spans="3:12" ht="15.75" thickBot="1" x14ac:dyDescent="0.3">
      <c r="C17" s="434"/>
      <c r="D17" s="435"/>
      <c r="E17" s="435"/>
      <c r="F17" s="435"/>
      <c r="G17" s="435"/>
      <c r="H17" s="435"/>
      <c r="I17" s="435"/>
      <c r="J17" s="436"/>
    </row>
    <row r="19" spans="3:12" ht="15.75" thickBot="1" x14ac:dyDescent="0.3"/>
    <row r="20" spans="3:12" x14ac:dyDescent="0.25">
      <c r="C20" s="197" t="s">
        <v>161</v>
      </c>
      <c r="D20" s="198">
        <f>D11+1</f>
        <v>3</v>
      </c>
      <c r="E20" s="198"/>
      <c r="F20" s="73"/>
      <c r="G20" s="73"/>
      <c r="H20" s="73"/>
      <c r="I20" s="73"/>
      <c r="J20" s="75"/>
    </row>
    <row r="21" spans="3:12" x14ac:dyDescent="0.25">
      <c r="C21" s="199" t="s">
        <v>162</v>
      </c>
      <c r="D21" s="200"/>
      <c r="E21" s="201">
        <v>45945</v>
      </c>
      <c r="F21" s="39"/>
      <c r="G21" s="39" t="s">
        <v>167</v>
      </c>
      <c r="H21" s="110" t="str">
        <f>PRORRATEO!C71</f>
        <v>Carnevale, Yesica</v>
      </c>
      <c r="I21" s="76"/>
      <c r="J21" s="77"/>
    </row>
    <row r="22" spans="3:12" x14ac:dyDescent="0.25">
      <c r="C22" s="199" t="s">
        <v>163</v>
      </c>
      <c r="D22" s="200" t="s">
        <v>164</v>
      </c>
      <c r="E22" s="200" t="s">
        <v>165</v>
      </c>
      <c r="F22" s="39"/>
      <c r="G22" s="39" t="s">
        <v>168</v>
      </c>
      <c r="H22" s="76">
        <v>67</v>
      </c>
      <c r="I22" s="76"/>
      <c r="J22" s="77"/>
    </row>
    <row r="23" spans="3:12" ht="15.75" thickBot="1" x14ac:dyDescent="0.3">
      <c r="C23" s="174" t="s">
        <v>166</v>
      </c>
      <c r="D23" s="39"/>
      <c r="E23" s="39"/>
      <c r="F23" s="39"/>
      <c r="G23" s="39"/>
      <c r="H23" s="39"/>
      <c r="I23" s="39"/>
      <c r="J23" s="78"/>
    </row>
    <row r="24" spans="3:12" x14ac:dyDescent="0.25">
      <c r="C24" s="428" t="s">
        <v>452</v>
      </c>
      <c r="D24" s="429"/>
      <c r="E24" s="429"/>
      <c r="F24" s="429"/>
      <c r="G24" s="429"/>
      <c r="H24" s="429"/>
      <c r="I24" s="429"/>
      <c r="J24" s="430"/>
    </row>
    <row r="25" spans="3:12" x14ac:dyDescent="0.25">
      <c r="C25" s="431"/>
      <c r="D25" s="432"/>
      <c r="E25" s="432"/>
      <c r="F25" s="432"/>
      <c r="G25" s="432"/>
      <c r="H25" s="432"/>
      <c r="I25" s="432"/>
      <c r="J25" s="433"/>
    </row>
    <row r="26" spans="3:12" ht="15.75" thickBot="1" x14ac:dyDescent="0.3">
      <c r="C26" s="434"/>
      <c r="D26" s="435"/>
      <c r="E26" s="435"/>
      <c r="F26" s="435"/>
      <c r="G26" s="435"/>
      <c r="H26" s="435"/>
      <c r="I26" s="435"/>
      <c r="J26" s="436"/>
    </row>
    <row r="28" spans="3:12" ht="15.75" thickBot="1" x14ac:dyDescent="0.3"/>
    <row r="29" spans="3:12" x14ac:dyDescent="0.25">
      <c r="C29" s="202" t="s">
        <v>161</v>
      </c>
      <c r="D29" s="203">
        <f>D20+1</f>
        <v>4</v>
      </c>
      <c r="E29" s="203"/>
      <c r="F29" s="203"/>
      <c r="G29" s="73"/>
      <c r="H29" s="73"/>
      <c r="I29" s="73"/>
      <c r="J29" s="75"/>
    </row>
    <row r="30" spans="3:12" x14ac:dyDescent="0.25">
      <c r="C30" s="204" t="s">
        <v>162</v>
      </c>
      <c r="D30" s="205"/>
      <c r="E30" s="206">
        <v>45945</v>
      </c>
      <c r="F30" s="205"/>
      <c r="G30" s="39" t="s">
        <v>167</v>
      </c>
      <c r="H30" s="110"/>
      <c r="I30" s="76"/>
      <c r="J30" s="77"/>
      <c r="K30" s="190"/>
      <c r="L30" s="190"/>
    </row>
    <row r="31" spans="3:12" x14ac:dyDescent="0.25">
      <c r="C31" s="204" t="s">
        <v>163</v>
      </c>
      <c r="D31" s="205" t="s">
        <v>164</v>
      </c>
      <c r="E31" s="205" t="s">
        <v>165</v>
      </c>
      <c r="F31" s="205"/>
      <c r="G31" s="39" t="s">
        <v>168</v>
      </c>
      <c r="H31" s="76">
        <v>40</v>
      </c>
      <c r="I31" s="76"/>
      <c r="J31" s="77"/>
      <c r="K31" s="190"/>
      <c r="L31" s="190"/>
    </row>
    <row r="32" spans="3:12" ht="15.75" thickBot="1" x14ac:dyDescent="0.3">
      <c r="C32" s="174" t="s">
        <v>166</v>
      </c>
      <c r="D32" s="39"/>
      <c r="E32" s="39"/>
      <c r="F32" s="39"/>
      <c r="G32" s="39"/>
      <c r="H32" s="39"/>
      <c r="I32" s="39"/>
      <c r="J32" s="78"/>
      <c r="K32" s="190"/>
      <c r="L32" s="190"/>
    </row>
    <row r="33" spans="3:13" x14ac:dyDescent="0.25">
      <c r="C33" s="428" t="s">
        <v>319</v>
      </c>
      <c r="D33" s="429"/>
      <c r="E33" s="429"/>
      <c r="F33" s="429"/>
      <c r="G33" s="429"/>
      <c r="H33" s="429"/>
      <c r="I33" s="429"/>
      <c r="J33" s="430"/>
      <c r="K33" s="190"/>
      <c r="L33" s="190"/>
    </row>
    <row r="34" spans="3:13" x14ac:dyDescent="0.25">
      <c r="C34" s="431"/>
      <c r="D34" s="432"/>
      <c r="E34" s="432"/>
      <c r="F34" s="432"/>
      <c r="G34" s="432"/>
      <c r="H34" s="432"/>
      <c r="I34" s="432"/>
      <c r="J34" s="433"/>
      <c r="K34" s="190"/>
      <c r="L34" s="190"/>
    </row>
    <row r="35" spans="3:13" ht="15.75" thickBot="1" x14ac:dyDescent="0.3">
      <c r="C35" s="434"/>
      <c r="D35" s="435"/>
      <c r="E35" s="435"/>
      <c r="F35" s="435"/>
      <c r="G35" s="435"/>
      <c r="H35" s="435"/>
      <c r="I35" s="435"/>
      <c r="J35" s="436"/>
    </row>
    <row r="37" spans="3:13" ht="15.75" thickBot="1" x14ac:dyDescent="0.3"/>
    <row r="38" spans="3:13" x14ac:dyDescent="0.25">
      <c r="C38" s="207" t="s">
        <v>161</v>
      </c>
      <c r="D38" s="208">
        <f>D29+1</f>
        <v>5</v>
      </c>
      <c r="E38" s="208"/>
      <c r="F38" s="208"/>
      <c r="G38" s="73"/>
      <c r="H38" s="73"/>
      <c r="I38" s="73"/>
      <c r="J38" s="75"/>
    </row>
    <row r="39" spans="3:13" x14ac:dyDescent="0.25">
      <c r="C39" s="209" t="s">
        <v>162</v>
      </c>
      <c r="D39" s="210"/>
      <c r="E39" s="211">
        <v>45945</v>
      </c>
      <c r="F39" s="210"/>
      <c r="G39" s="39" t="s">
        <v>167</v>
      </c>
      <c r="H39" s="110"/>
      <c r="I39" s="76"/>
      <c r="J39" s="77"/>
      <c r="K39" s="190"/>
      <c r="L39" s="190"/>
    </row>
    <row r="40" spans="3:13" x14ac:dyDescent="0.25">
      <c r="C40" s="209" t="s">
        <v>163</v>
      </c>
      <c r="D40" s="210" t="s">
        <v>164</v>
      </c>
      <c r="E40" s="210" t="s">
        <v>165</v>
      </c>
      <c r="F40" s="210"/>
      <c r="G40" s="39" t="s">
        <v>168</v>
      </c>
      <c r="H40" s="76">
        <v>78</v>
      </c>
      <c r="I40" s="76"/>
      <c r="J40" s="77"/>
      <c r="K40" s="190"/>
      <c r="L40" s="190"/>
    </row>
    <row r="41" spans="3:13" ht="15.75" thickBot="1" x14ac:dyDescent="0.3">
      <c r="C41" s="174" t="s">
        <v>166</v>
      </c>
      <c r="D41" s="39"/>
      <c r="E41" s="39"/>
      <c r="F41" s="39"/>
      <c r="G41" s="39"/>
      <c r="H41" s="39"/>
      <c r="I41" s="39"/>
      <c r="J41" s="78"/>
      <c r="K41" s="190"/>
      <c r="L41" s="190"/>
    </row>
    <row r="42" spans="3:13" x14ac:dyDescent="0.25">
      <c r="C42" s="428" t="s">
        <v>320</v>
      </c>
      <c r="D42" s="429"/>
      <c r="E42" s="429"/>
      <c r="F42" s="429"/>
      <c r="G42" s="429"/>
      <c r="H42" s="429"/>
      <c r="I42" s="429"/>
      <c r="J42" s="430"/>
      <c r="K42" s="190"/>
      <c r="L42" s="190"/>
    </row>
    <row r="43" spans="3:13" x14ac:dyDescent="0.25">
      <c r="C43" s="431"/>
      <c r="D43" s="432"/>
      <c r="E43" s="432"/>
      <c r="F43" s="432"/>
      <c r="G43" s="432"/>
      <c r="H43" s="432"/>
      <c r="I43" s="432"/>
      <c r="J43" s="433"/>
      <c r="K43" s="190"/>
      <c r="L43" s="190"/>
    </row>
    <row r="44" spans="3:13" ht="15.75" thickBot="1" x14ac:dyDescent="0.3">
      <c r="C44" s="434"/>
      <c r="D44" s="435"/>
      <c r="E44" s="435"/>
      <c r="F44" s="435"/>
      <c r="G44" s="435"/>
      <c r="H44" s="435"/>
      <c r="I44" s="435"/>
      <c r="J44" s="436"/>
    </row>
    <row r="46" spans="3:13" ht="15.75" thickBot="1" x14ac:dyDescent="0.3"/>
    <row r="47" spans="3:13" x14ac:dyDescent="0.25">
      <c r="C47" s="212" t="s">
        <v>161</v>
      </c>
      <c r="D47" s="213">
        <f>D38+1</f>
        <v>6</v>
      </c>
      <c r="E47" s="213"/>
      <c r="F47" s="73"/>
      <c r="G47" s="73"/>
      <c r="H47" s="73"/>
      <c r="I47" s="73"/>
      <c r="J47" s="75"/>
    </row>
    <row r="48" spans="3:13" x14ac:dyDescent="0.25">
      <c r="C48" s="214" t="s">
        <v>162</v>
      </c>
      <c r="D48" s="215"/>
      <c r="E48" s="216">
        <v>45945</v>
      </c>
      <c r="F48" s="39"/>
      <c r="G48" s="39" t="s">
        <v>167</v>
      </c>
      <c r="H48" s="110"/>
      <c r="I48" s="76"/>
      <c r="J48" s="77"/>
      <c r="K48" s="190"/>
      <c r="L48" s="190"/>
      <c r="M48" s="190"/>
    </row>
    <row r="49" spans="3:13" x14ac:dyDescent="0.25">
      <c r="C49" s="214" t="s">
        <v>163</v>
      </c>
      <c r="D49" s="215" t="s">
        <v>164</v>
      </c>
      <c r="E49" s="215" t="s">
        <v>165</v>
      </c>
      <c r="F49" s="39"/>
      <c r="G49" s="39" t="s">
        <v>168</v>
      </c>
      <c r="H49" s="76">
        <v>109</v>
      </c>
      <c r="I49" s="76"/>
      <c r="J49" s="77"/>
      <c r="K49" s="190"/>
      <c r="L49" s="190"/>
      <c r="M49" s="190"/>
    </row>
    <row r="50" spans="3:13" ht="15.75" thickBot="1" x14ac:dyDescent="0.3">
      <c r="C50" s="174" t="s">
        <v>166</v>
      </c>
      <c r="D50" s="39"/>
      <c r="E50" s="39"/>
      <c r="F50" s="39"/>
      <c r="G50" s="39"/>
      <c r="H50" s="39"/>
      <c r="I50" s="39"/>
      <c r="J50" s="78"/>
      <c r="K50" s="190"/>
      <c r="L50" s="190"/>
      <c r="M50" s="190"/>
    </row>
    <row r="51" spans="3:13" x14ac:dyDescent="0.25">
      <c r="C51" s="428" t="s">
        <v>414</v>
      </c>
      <c r="D51" s="429"/>
      <c r="E51" s="429"/>
      <c r="F51" s="429"/>
      <c r="G51" s="429"/>
      <c r="H51" s="429"/>
      <c r="I51" s="429"/>
      <c r="J51" s="430"/>
      <c r="K51" s="190"/>
      <c r="L51" s="190"/>
      <c r="M51" s="190"/>
    </row>
    <row r="52" spans="3:13" x14ac:dyDescent="0.25">
      <c r="C52" s="431"/>
      <c r="D52" s="432"/>
      <c r="E52" s="432"/>
      <c r="F52" s="432"/>
      <c r="G52" s="432"/>
      <c r="H52" s="432"/>
      <c r="I52" s="432"/>
      <c r="J52" s="433"/>
      <c r="K52" s="190"/>
      <c r="L52" s="190"/>
      <c r="M52" s="190"/>
    </row>
    <row r="53" spans="3:13" ht="15.75" thickBot="1" x14ac:dyDescent="0.3">
      <c r="C53" s="434"/>
      <c r="D53" s="435"/>
      <c r="E53" s="435"/>
      <c r="F53" s="435"/>
      <c r="G53" s="435"/>
      <c r="H53" s="435"/>
      <c r="I53" s="435"/>
      <c r="J53" s="436"/>
    </row>
    <row r="55" spans="3:13" ht="15.75" thickBot="1" x14ac:dyDescent="0.3"/>
    <row r="56" spans="3:13" x14ac:dyDescent="0.25">
      <c r="C56" s="217" t="s">
        <v>161</v>
      </c>
      <c r="D56" s="218">
        <f>D47+1</f>
        <v>7</v>
      </c>
      <c r="E56" s="218"/>
      <c r="F56" s="73"/>
      <c r="G56" s="73"/>
      <c r="H56" s="73"/>
      <c r="I56" s="73"/>
      <c r="J56" s="75"/>
    </row>
    <row r="57" spans="3:13" x14ac:dyDescent="0.25">
      <c r="C57" s="219" t="s">
        <v>162</v>
      </c>
      <c r="D57" s="220"/>
      <c r="E57" s="221">
        <v>45945</v>
      </c>
      <c r="F57" s="39"/>
      <c r="G57" s="39" t="s">
        <v>167</v>
      </c>
      <c r="H57" s="110"/>
      <c r="I57" s="76"/>
      <c r="J57" s="77"/>
      <c r="K57" s="190"/>
      <c r="L57" s="190"/>
    </row>
    <row r="58" spans="3:13" x14ac:dyDescent="0.25">
      <c r="C58" s="219" t="s">
        <v>163</v>
      </c>
      <c r="D58" s="220" t="s">
        <v>164</v>
      </c>
      <c r="E58" s="220" t="s">
        <v>165</v>
      </c>
      <c r="F58" s="39"/>
      <c r="G58" s="39" t="s">
        <v>168</v>
      </c>
      <c r="H58" s="76">
        <v>28</v>
      </c>
      <c r="I58" s="76"/>
      <c r="J58" s="77"/>
      <c r="K58" s="190"/>
      <c r="L58" s="190"/>
    </row>
    <row r="59" spans="3:13" ht="15.75" thickBot="1" x14ac:dyDescent="0.3">
      <c r="C59" s="174" t="s">
        <v>166</v>
      </c>
      <c r="D59" s="39"/>
      <c r="E59" s="39"/>
      <c r="F59" s="39"/>
      <c r="G59" s="39"/>
      <c r="H59" s="39"/>
      <c r="I59" s="39"/>
      <c r="J59" s="78"/>
      <c r="K59" s="190"/>
      <c r="L59" s="190"/>
    </row>
    <row r="60" spans="3:13" x14ac:dyDescent="0.25">
      <c r="C60" s="428" t="s">
        <v>321</v>
      </c>
      <c r="D60" s="429"/>
      <c r="E60" s="429"/>
      <c r="F60" s="429"/>
      <c r="G60" s="429"/>
      <c r="H60" s="429"/>
      <c r="I60" s="429"/>
      <c r="J60" s="430"/>
      <c r="K60" s="190"/>
      <c r="L60" s="190"/>
    </row>
    <row r="61" spans="3:13" x14ac:dyDescent="0.25">
      <c r="C61" s="431"/>
      <c r="D61" s="432"/>
      <c r="E61" s="432"/>
      <c r="F61" s="432"/>
      <c r="G61" s="432"/>
      <c r="H61" s="432"/>
      <c r="I61" s="432"/>
      <c r="J61" s="433"/>
      <c r="K61" s="190"/>
      <c r="L61" s="190"/>
    </row>
    <row r="62" spans="3:13" ht="15.75" thickBot="1" x14ac:dyDescent="0.3">
      <c r="C62" s="434"/>
      <c r="D62" s="435"/>
      <c r="E62" s="435"/>
      <c r="F62" s="435"/>
      <c r="G62" s="435"/>
      <c r="H62" s="435"/>
      <c r="I62" s="435"/>
      <c r="J62" s="436"/>
    </row>
    <row r="64" spans="3:13" ht="15.75" thickBot="1" x14ac:dyDescent="0.3"/>
    <row r="65" spans="3:13" x14ac:dyDescent="0.25">
      <c r="C65" s="222" t="s">
        <v>161</v>
      </c>
      <c r="D65" s="223">
        <f>D56+1</f>
        <v>8</v>
      </c>
      <c r="E65" s="223"/>
      <c r="F65" s="223"/>
      <c r="G65" s="73"/>
      <c r="H65" s="73"/>
      <c r="I65" s="73"/>
      <c r="J65" s="75"/>
    </row>
    <row r="66" spans="3:13" x14ac:dyDescent="0.25">
      <c r="C66" s="224" t="s">
        <v>162</v>
      </c>
      <c r="D66" s="225"/>
      <c r="E66" s="226">
        <v>45945</v>
      </c>
      <c r="F66" s="225"/>
      <c r="G66" s="39" t="s">
        <v>167</v>
      </c>
      <c r="H66" s="110"/>
      <c r="I66" s="76"/>
      <c r="J66" s="77"/>
      <c r="K66" s="190"/>
      <c r="L66" s="190"/>
      <c r="M66" s="190"/>
    </row>
    <row r="67" spans="3:13" x14ac:dyDescent="0.25">
      <c r="C67" s="224" t="s">
        <v>163</v>
      </c>
      <c r="D67" s="225" t="s">
        <v>164</v>
      </c>
      <c r="E67" s="225" t="s">
        <v>165</v>
      </c>
      <c r="F67" s="225"/>
      <c r="G67" s="39" t="s">
        <v>168</v>
      </c>
      <c r="H67" s="76">
        <v>38</v>
      </c>
      <c r="I67" s="76"/>
      <c r="J67" s="77"/>
      <c r="K67" s="190"/>
      <c r="L67" s="190"/>
      <c r="M67" s="190"/>
    </row>
    <row r="68" spans="3:13" ht="15.75" thickBot="1" x14ac:dyDescent="0.3">
      <c r="C68" s="174" t="s">
        <v>166</v>
      </c>
      <c r="D68" s="39"/>
      <c r="E68" s="39"/>
      <c r="F68" s="39"/>
      <c r="G68" s="39"/>
      <c r="H68" s="39"/>
      <c r="I68" s="39"/>
      <c r="J68" s="78"/>
      <c r="K68" s="190"/>
      <c r="L68" s="190"/>
      <c r="M68" s="190"/>
    </row>
    <row r="69" spans="3:13" x14ac:dyDescent="0.25">
      <c r="C69" s="428" t="s">
        <v>323</v>
      </c>
      <c r="D69" s="429"/>
      <c r="E69" s="429"/>
      <c r="F69" s="429"/>
      <c r="G69" s="429"/>
      <c r="H69" s="429"/>
      <c r="I69" s="429"/>
      <c r="J69" s="430"/>
      <c r="K69" s="190"/>
      <c r="L69" s="190"/>
      <c r="M69" s="190"/>
    </row>
    <row r="70" spans="3:13" x14ac:dyDescent="0.25">
      <c r="C70" s="431"/>
      <c r="D70" s="432"/>
      <c r="E70" s="432"/>
      <c r="F70" s="432"/>
      <c r="G70" s="432"/>
      <c r="H70" s="432"/>
      <c r="I70" s="432"/>
      <c r="J70" s="433"/>
      <c r="K70" s="190"/>
      <c r="L70" s="190"/>
      <c r="M70" s="190"/>
    </row>
    <row r="71" spans="3:13" ht="15.75" thickBot="1" x14ac:dyDescent="0.3">
      <c r="C71" s="434"/>
      <c r="D71" s="435"/>
      <c r="E71" s="435"/>
      <c r="F71" s="435"/>
      <c r="G71" s="435"/>
      <c r="H71" s="435"/>
      <c r="I71" s="435"/>
      <c r="J71" s="436"/>
    </row>
    <row r="73" spans="3:13" ht="15.75" thickBot="1" x14ac:dyDescent="0.3"/>
    <row r="74" spans="3:13" x14ac:dyDescent="0.25">
      <c r="C74" s="227" t="s">
        <v>161</v>
      </c>
      <c r="D74" s="228">
        <f>D65+1</f>
        <v>9</v>
      </c>
      <c r="E74" s="228"/>
      <c r="F74" s="73"/>
      <c r="G74" s="73"/>
      <c r="H74" s="73"/>
      <c r="I74" s="73"/>
      <c r="J74" s="75"/>
    </row>
    <row r="75" spans="3:13" x14ac:dyDescent="0.25">
      <c r="C75" s="229" t="s">
        <v>162</v>
      </c>
      <c r="D75" s="230"/>
      <c r="E75" s="231">
        <v>45945</v>
      </c>
      <c r="F75" s="39"/>
      <c r="G75" s="39" t="s">
        <v>167</v>
      </c>
      <c r="H75" s="110" t="s">
        <v>313</v>
      </c>
      <c r="I75" s="76"/>
      <c r="J75" s="77"/>
      <c r="K75" s="190"/>
      <c r="L75" s="190"/>
    </row>
    <row r="76" spans="3:13" x14ac:dyDescent="0.25">
      <c r="C76" s="229" t="s">
        <v>163</v>
      </c>
      <c r="D76" s="230" t="s">
        <v>164</v>
      </c>
      <c r="E76" s="230" t="s">
        <v>165</v>
      </c>
      <c r="F76" s="39"/>
      <c r="G76" s="39" t="s">
        <v>168</v>
      </c>
      <c r="H76" s="76">
        <v>79</v>
      </c>
      <c r="I76" s="76"/>
      <c r="J76" s="77"/>
      <c r="K76" s="190"/>
      <c r="L76" s="190"/>
    </row>
    <row r="77" spans="3:13" ht="15.75" thickBot="1" x14ac:dyDescent="0.3">
      <c r="C77" s="174" t="s">
        <v>166</v>
      </c>
      <c r="D77" s="39"/>
      <c r="E77" s="39"/>
      <c r="F77" s="39"/>
      <c r="G77" s="39"/>
      <c r="H77" s="39"/>
      <c r="I77" s="39"/>
      <c r="J77" s="78"/>
      <c r="K77" s="190"/>
      <c r="L77" s="190"/>
    </row>
    <row r="78" spans="3:13" x14ac:dyDescent="0.25">
      <c r="C78" s="428" t="s">
        <v>324</v>
      </c>
      <c r="D78" s="429"/>
      <c r="E78" s="429"/>
      <c r="F78" s="429"/>
      <c r="G78" s="429"/>
      <c r="H78" s="429"/>
      <c r="I78" s="429"/>
      <c r="J78" s="430"/>
      <c r="K78" s="190"/>
      <c r="L78" s="190"/>
    </row>
    <row r="79" spans="3:13" x14ac:dyDescent="0.25">
      <c r="C79" s="431"/>
      <c r="D79" s="432"/>
      <c r="E79" s="432"/>
      <c r="F79" s="432"/>
      <c r="G79" s="432"/>
      <c r="H79" s="432"/>
      <c r="I79" s="432"/>
      <c r="J79" s="433"/>
      <c r="K79" s="190"/>
      <c r="L79" s="190"/>
    </row>
    <row r="80" spans="3:13" ht="15.75" thickBot="1" x14ac:dyDescent="0.3">
      <c r="C80" s="434"/>
      <c r="D80" s="435"/>
      <c r="E80" s="435"/>
      <c r="F80" s="435"/>
      <c r="G80" s="435"/>
      <c r="H80" s="435"/>
      <c r="I80" s="435"/>
      <c r="J80" s="436"/>
    </row>
    <row r="82" spans="3:12" ht="15.75" thickBot="1" x14ac:dyDescent="0.3"/>
    <row r="83" spans="3:12" x14ac:dyDescent="0.25">
      <c r="C83" s="232" t="s">
        <v>161</v>
      </c>
      <c r="D83" s="233">
        <f>D74+1</f>
        <v>10</v>
      </c>
      <c r="E83" s="233"/>
      <c r="F83" s="73"/>
      <c r="G83" s="73"/>
      <c r="H83" s="73"/>
      <c r="I83" s="73"/>
      <c r="J83" s="75"/>
    </row>
    <row r="84" spans="3:12" x14ac:dyDescent="0.25">
      <c r="C84" s="234" t="s">
        <v>162</v>
      </c>
      <c r="D84" s="235"/>
      <c r="E84" s="236">
        <v>45945</v>
      </c>
      <c r="F84" s="39"/>
      <c r="G84" s="39" t="s">
        <v>167</v>
      </c>
      <c r="H84" s="110" t="s">
        <v>342</v>
      </c>
      <c r="I84" s="76"/>
      <c r="J84" s="77"/>
    </row>
    <row r="85" spans="3:12" x14ac:dyDescent="0.25">
      <c r="C85" s="234" t="s">
        <v>163</v>
      </c>
      <c r="D85" s="235" t="s">
        <v>164</v>
      </c>
      <c r="E85" s="235" t="s">
        <v>165</v>
      </c>
      <c r="F85" s="39"/>
      <c r="G85" s="39" t="s">
        <v>168</v>
      </c>
      <c r="H85" s="76">
        <v>104</v>
      </c>
      <c r="I85" s="76"/>
      <c r="J85" s="77"/>
      <c r="K85" s="190"/>
      <c r="L85" s="190"/>
    </row>
    <row r="86" spans="3:12" ht="15.75" thickBot="1" x14ac:dyDescent="0.3">
      <c r="C86" s="174" t="s">
        <v>166</v>
      </c>
      <c r="D86" s="39"/>
      <c r="E86" s="39"/>
      <c r="F86" s="39"/>
      <c r="G86" s="39"/>
      <c r="H86" s="39"/>
      <c r="I86" s="39"/>
      <c r="J86" s="78"/>
      <c r="K86" s="190"/>
      <c r="L86" s="190"/>
    </row>
    <row r="87" spans="3:12" x14ac:dyDescent="0.25">
      <c r="C87" s="428" t="s">
        <v>343</v>
      </c>
      <c r="D87" s="429"/>
      <c r="E87" s="429"/>
      <c r="F87" s="429"/>
      <c r="G87" s="429"/>
      <c r="H87" s="429"/>
      <c r="I87" s="429"/>
      <c r="J87" s="430"/>
      <c r="K87" s="190"/>
      <c r="L87" s="190"/>
    </row>
    <row r="88" spans="3:12" x14ac:dyDescent="0.25">
      <c r="C88" s="431"/>
      <c r="D88" s="432"/>
      <c r="E88" s="432"/>
      <c r="F88" s="432"/>
      <c r="G88" s="432"/>
      <c r="H88" s="432"/>
      <c r="I88" s="432"/>
      <c r="J88" s="433"/>
      <c r="K88" s="190"/>
      <c r="L88" s="190"/>
    </row>
    <row r="89" spans="3:12" ht="15.75" thickBot="1" x14ac:dyDescent="0.3">
      <c r="C89" s="434"/>
      <c r="D89" s="435"/>
      <c r="E89" s="435"/>
      <c r="F89" s="435"/>
      <c r="G89" s="435"/>
      <c r="H89" s="435"/>
      <c r="I89" s="435"/>
      <c r="J89" s="436"/>
    </row>
    <row r="91" spans="3:12" ht="15.75" thickBot="1" x14ac:dyDescent="0.3"/>
    <row r="92" spans="3:12" x14ac:dyDescent="0.25">
      <c r="C92" s="237" t="s">
        <v>161</v>
      </c>
      <c r="D92" s="238">
        <f>D83+1</f>
        <v>11</v>
      </c>
      <c r="E92" s="238"/>
      <c r="F92" s="73"/>
      <c r="G92" s="73"/>
      <c r="H92" s="73"/>
      <c r="I92" s="73"/>
      <c r="J92" s="75"/>
    </row>
    <row r="93" spans="3:12" x14ac:dyDescent="0.25">
      <c r="C93" s="239" t="s">
        <v>162</v>
      </c>
      <c r="D93" s="240"/>
      <c r="E93" s="241">
        <v>45945</v>
      </c>
      <c r="F93" s="39"/>
      <c r="G93" s="39" t="s">
        <v>167</v>
      </c>
      <c r="H93" s="110" t="s">
        <v>344</v>
      </c>
      <c r="I93" s="76"/>
      <c r="J93" s="77"/>
      <c r="K93" s="190"/>
      <c r="L93" s="190"/>
    </row>
    <row r="94" spans="3:12" x14ac:dyDescent="0.25">
      <c r="C94" s="239" t="s">
        <v>163</v>
      </c>
      <c r="D94" s="240" t="s">
        <v>164</v>
      </c>
      <c r="E94" s="240" t="s">
        <v>165</v>
      </c>
      <c r="F94" s="39"/>
      <c r="G94" s="39" t="s">
        <v>168</v>
      </c>
      <c r="H94" s="76">
        <v>72</v>
      </c>
      <c r="I94" s="76"/>
      <c r="J94" s="77"/>
      <c r="K94" s="190"/>
      <c r="L94" s="190"/>
    </row>
    <row r="95" spans="3:12" ht="15.75" thickBot="1" x14ac:dyDescent="0.3">
      <c r="C95" s="174" t="s">
        <v>166</v>
      </c>
      <c r="D95" s="39"/>
      <c r="E95" s="39"/>
      <c r="F95" s="39"/>
      <c r="G95" s="39"/>
      <c r="H95" s="39"/>
      <c r="I95" s="39"/>
      <c r="J95" s="78"/>
      <c r="K95" s="190"/>
      <c r="L95" s="190"/>
    </row>
    <row r="96" spans="3:12" x14ac:dyDescent="0.25">
      <c r="C96" s="428" t="s">
        <v>345</v>
      </c>
      <c r="D96" s="429"/>
      <c r="E96" s="429"/>
      <c r="F96" s="429"/>
      <c r="G96" s="429"/>
      <c r="H96" s="429"/>
      <c r="I96" s="429"/>
      <c r="J96" s="430"/>
    </row>
    <row r="97" spans="3:13" x14ac:dyDescent="0.25">
      <c r="C97" s="431"/>
      <c r="D97" s="432"/>
      <c r="E97" s="432"/>
      <c r="F97" s="432"/>
      <c r="G97" s="432"/>
      <c r="H97" s="432"/>
      <c r="I97" s="432"/>
      <c r="J97" s="433"/>
    </row>
    <row r="98" spans="3:13" ht="15.75" thickBot="1" x14ac:dyDescent="0.3">
      <c r="C98" s="434"/>
      <c r="D98" s="435"/>
      <c r="E98" s="435"/>
      <c r="F98" s="435"/>
      <c r="G98" s="435"/>
      <c r="H98" s="435"/>
      <c r="I98" s="435"/>
      <c r="J98" s="436"/>
    </row>
    <row r="100" spans="3:13" ht="15.75" thickBot="1" x14ac:dyDescent="0.3"/>
    <row r="101" spans="3:13" x14ac:dyDescent="0.25">
      <c r="C101" s="242" t="s">
        <v>161</v>
      </c>
      <c r="D101" s="243">
        <f>D92+1</f>
        <v>12</v>
      </c>
      <c r="E101" s="243"/>
      <c r="F101" s="73"/>
      <c r="G101" s="73"/>
      <c r="H101" s="73"/>
      <c r="I101" s="73"/>
      <c r="J101" s="75"/>
    </row>
    <row r="102" spans="3:13" x14ac:dyDescent="0.25">
      <c r="C102" s="244" t="s">
        <v>162</v>
      </c>
      <c r="D102" s="245"/>
      <c r="E102" s="246">
        <v>45945</v>
      </c>
      <c r="F102" s="39"/>
      <c r="G102" s="39" t="s">
        <v>167</v>
      </c>
      <c r="H102" s="110" t="s">
        <v>346</v>
      </c>
      <c r="I102" s="76"/>
      <c r="J102" s="77"/>
    </row>
    <row r="103" spans="3:13" x14ac:dyDescent="0.25">
      <c r="C103" s="244" t="s">
        <v>163</v>
      </c>
      <c r="D103" s="245" t="s">
        <v>164</v>
      </c>
      <c r="E103" s="245" t="s">
        <v>165</v>
      </c>
      <c r="F103" s="39"/>
      <c r="G103" s="39" t="s">
        <v>168</v>
      </c>
      <c r="H103" s="76">
        <v>50</v>
      </c>
      <c r="I103" s="76"/>
      <c r="J103" s="77"/>
      <c r="K103" s="190"/>
      <c r="L103" s="190"/>
      <c r="M103" s="190"/>
    </row>
    <row r="104" spans="3:13" ht="15.75" thickBot="1" x14ac:dyDescent="0.3">
      <c r="C104" s="174" t="s">
        <v>166</v>
      </c>
      <c r="D104" s="39"/>
      <c r="E104" s="39"/>
      <c r="F104" s="39"/>
      <c r="G104" s="39"/>
      <c r="H104" s="39"/>
      <c r="I104" s="39"/>
      <c r="J104" s="78"/>
      <c r="K104" s="190"/>
      <c r="L104" s="190"/>
      <c r="M104" s="190"/>
    </row>
    <row r="105" spans="3:13" x14ac:dyDescent="0.25">
      <c r="C105" s="428" t="s">
        <v>347</v>
      </c>
      <c r="D105" s="429"/>
      <c r="E105" s="429"/>
      <c r="F105" s="429"/>
      <c r="G105" s="429"/>
      <c r="H105" s="429"/>
      <c r="I105" s="429"/>
      <c r="J105" s="430"/>
      <c r="K105" s="190"/>
      <c r="L105" s="190"/>
      <c r="M105" s="190"/>
    </row>
    <row r="106" spans="3:13" x14ac:dyDescent="0.25">
      <c r="C106" s="431"/>
      <c r="D106" s="432"/>
      <c r="E106" s="432"/>
      <c r="F106" s="432"/>
      <c r="G106" s="432"/>
      <c r="H106" s="432"/>
      <c r="I106" s="432"/>
      <c r="J106" s="433"/>
      <c r="K106" s="190"/>
      <c r="L106" s="190"/>
      <c r="M106" s="190"/>
    </row>
    <row r="107" spans="3:13" ht="15.75" thickBot="1" x14ac:dyDescent="0.3">
      <c r="C107" s="434"/>
      <c r="D107" s="435"/>
      <c r="E107" s="435"/>
      <c r="F107" s="435"/>
      <c r="G107" s="435"/>
      <c r="H107" s="435"/>
      <c r="I107" s="435"/>
      <c r="J107" s="436"/>
    </row>
    <row r="109" spans="3:13" ht="15.75" thickBot="1" x14ac:dyDescent="0.3"/>
    <row r="110" spans="3:13" x14ac:dyDescent="0.25">
      <c r="C110" s="247" t="s">
        <v>161</v>
      </c>
      <c r="D110" s="248">
        <f>D101+1</f>
        <v>13</v>
      </c>
      <c r="E110" s="248"/>
      <c r="F110" s="73"/>
      <c r="G110" s="73"/>
      <c r="H110" s="73"/>
      <c r="I110" s="73"/>
      <c r="J110" s="75"/>
    </row>
    <row r="111" spans="3:13" x14ac:dyDescent="0.25">
      <c r="C111" s="249" t="s">
        <v>162</v>
      </c>
      <c r="D111" s="250"/>
      <c r="E111" s="251">
        <v>45945</v>
      </c>
      <c r="F111" s="39"/>
      <c r="G111" s="39" t="s">
        <v>167</v>
      </c>
      <c r="H111" s="110" t="s">
        <v>349</v>
      </c>
      <c r="I111" s="76"/>
      <c r="J111" s="77"/>
    </row>
    <row r="112" spans="3:13" x14ac:dyDescent="0.25">
      <c r="C112" s="249" t="s">
        <v>163</v>
      </c>
      <c r="D112" s="250" t="s">
        <v>164</v>
      </c>
      <c r="E112" s="250" t="s">
        <v>165</v>
      </c>
      <c r="F112" s="39"/>
      <c r="G112" s="39" t="s">
        <v>168</v>
      </c>
      <c r="H112" s="76">
        <v>100</v>
      </c>
      <c r="I112" s="76"/>
      <c r="J112" s="77"/>
      <c r="K112" s="190"/>
      <c r="L112" s="190"/>
    </row>
    <row r="113" spans="3:12" ht="15.75" thickBot="1" x14ac:dyDescent="0.3">
      <c r="C113" s="174" t="s">
        <v>166</v>
      </c>
      <c r="D113" s="39"/>
      <c r="E113" s="39"/>
      <c r="F113" s="39"/>
      <c r="G113" s="39"/>
      <c r="H113" s="39"/>
      <c r="I113" s="39"/>
      <c r="J113" s="78"/>
      <c r="K113" s="190"/>
      <c r="L113" s="190"/>
    </row>
    <row r="114" spans="3:12" x14ac:dyDescent="0.25">
      <c r="C114" s="428" t="s">
        <v>350</v>
      </c>
      <c r="D114" s="429"/>
      <c r="E114" s="429"/>
      <c r="F114" s="429"/>
      <c r="G114" s="429"/>
      <c r="H114" s="429"/>
      <c r="I114" s="429"/>
      <c r="J114" s="430"/>
      <c r="K114" s="190"/>
      <c r="L114" s="190"/>
    </row>
    <row r="115" spans="3:12" x14ac:dyDescent="0.25">
      <c r="C115" s="431"/>
      <c r="D115" s="432"/>
      <c r="E115" s="432"/>
      <c r="F115" s="432"/>
      <c r="G115" s="432"/>
      <c r="H115" s="432"/>
      <c r="I115" s="432"/>
      <c r="J115" s="433"/>
      <c r="K115" s="190"/>
      <c r="L115" s="190"/>
    </row>
    <row r="116" spans="3:12" ht="15.75" thickBot="1" x14ac:dyDescent="0.3">
      <c r="C116" s="434"/>
      <c r="D116" s="435"/>
      <c r="E116" s="435"/>
      <c r="F116" s="435"/>
      <c r="G116" s="435"/>
      <c r="H116" s="435"/>
      <c r="I116" s="435"/>
      <c r="J116" s="436"/>
      <c r="K116" s="190"/>
      <c r="L116" s="190"/>
    </row>
    <row r="118" spans="3:12" ht="15.75" thickBot="1" x14ac:dyDescent="0.3"/>
    <row r="119" spans="3:12" x14ac:dyDescent="0.25">
      <c r="C119" s="252" t="s">
        <v>161</v>
      </c>
      <c r="D119" s="253">
        <f>D110+1</f>
        <v>14</v>
      </c>
      <c r="E119" s="253"/>
      <c r="F119" s="73"/>
      <c r="G119" s="73"/>
      <c r="H119" s="73"/>
      <c r="I119" s="73"/>
      <c r="J119" s="75"/>
    </row>
    <row r="120" spans="3:12" x14ac:dyDescent="0.25">
      <c r="C120" s="254" t="s">
        <v>162</v>
      </c>
      <c r="D120" s="255"/>
      <c r="E120" s="256">
        <v>45945</v>
      </c>
      <c r="F120" s="39"/>
      <c r="G120" s="39" t="s">
        <v>167</v>
      </c>
      <c r="H120" s="110" t="s">
        <v>351</v>
      </c>
      <c r="I120" s="76"/>
      <c r="J120" s="77"/>
      <c r="K120" s="190"/>
      <c r="L120" s="190"/>
    </row>
    <row r="121" spans="3:12" x14ac:dyDescent="0.25">
      <c r="C121" s="254" t="s">
        <v>163</v>
      </c>
      <c r="D121" s="255" t="s">
        <v>164</v>
      </c>
      <c r="E121" s="255" t="s">
        <v>165</v>
      </c>
      <c r="F121" s="39"/>
      <c r="G121" s="39" t="s">
        <v>168</v>
      </c>
      <c r="H121" s="76">
        <v>26</v>
      </c>
      <c r="I121" s="76"/>
      <c r="J121" s="77"/>
      <c r="K121" s="190"/>
      <c r="L121" s="190"/>
    </row>
    <row r="122" spans="3:12" ht="15.75" thickBot="1" x14ac:dyDescent="0.3">
      <c r="C122" s="174" t="s">
        <v>166</v>
      </c>
      <c r="D122" s="39"/>
      <c r="E122" s="39"/>
      <c r="F122" s="39"/>
      <c r="G122" s="39"/>
      <c r="H122" s="39"/>
      <c r="I122" s="39"/>
      <c r="J122" s="78"/>
      <c r="K122" s="190"/>
      <c r="L122" s="190"/>
    </row>
    <row r="123" spans="3:12" x14ac:dyDescent="0.25">
      <c r="C123" s="428" t="s">
        <v>352</v>
      </c>
      <c r="D123" s="429"/>
      <c r="E123" s="429"/>
      <c r="F123" s="429"/>
      <c r="G123" s="429"/>
      <c r="H123" s="429"/>
      <c r="I123" s="429"/>
      <c r="J123" s="430"/>
      <c r="K123" s="190"/>
      <c r="L123" s="190"/>
    </row>
    <row r="124" spans="3:12" x14ac:dyDescent="0.25">
      <c r="C124" s="431"/>
      <c r="D124" s="432"/>
      <c r="E124" s="432"/>
      <c r="F124" s="432"/>
      <c r="G124" s="432"/>
      <c r="H124" s="432"/>
      <c r="I124" s="432"/>
      <c r="J124" s="433"/>
      <c r="K124" s="190"/>
      <c r="L124" s="190"/>
    </row>
    <row r="125" spans="3:12" ht="15.75" thickBot="1" x14ac:dyDescent="0.3">
      <c r="C125" s="434"/>
      <c r="D125" s="435"/>
      <c r="E125" s="435"/>
      <c r="F125" s="435"/>
      <c r="G125" s="435"/>
      <c r="H125" s="435"/>
      <c r="I125" s="435"/>
      <c r="J125" s="436"/>
    </row>
    <row r="127" spans="3:12" ht="15.75" thickBot="1" x14ac:dyDescent="0.3"/>
    <row r="128" spans="3:12" x14ac:dyDescent="0.25">
      <c r="C128" s="257" t="s">
        <v>161</v>
      </c>
      <c r="D128" s="258">
        <f>D119+1</f>
        <v>15</v>
      </c>
      <c r="E128" s="258"/>
      <c r="F128" s="73"/>
      <c r="G128" s="73"/>
      <c r="H128" s="73"/>
      <c r="I128" s="73"/>
      <c r="J128" s="75"/>
      <c r="K128" s="190"/>
      <c r="L128" s="190"/>
    </row>
    <row r="129" spans="3:12" x14ac:dyDescent="0.25">
      <c r="C129" s="259" t="s">
        <v>162</v>
      </c>
      <c r="D129" s="260"/>
      <c r="E129" s="261">
        <v>45945</v>
      </c>
      <c r="F129" s="39"/>
      <c r="G129" s="39" t="s">
        <v>167</v>
      </c>
      <c r="H129" s="110" t="s">
        <v>355</v>
      </c>
      <c r="I129" s="76"/>
      <c r="J129" s="77"/>
      <c r="K129" s="190"/>
      <c r="L129" s="190"/>
    </row>
    <row r="130" spans="3:12" x14ac:dyDescent="0.25">
      <c r="C130" s="259" t="s">
        <v>163</v>
      </c>
      <c r="D130" s="260" t="s">
        <v>164</v>
      </c>
      <c r="E130" s="260" t="s">
        <v>165</v>
      </c>
      <c r="F130" s="39"/>
      <c r="G130" s="39" t="s">
        <v>168</v>
      </c>
      <c r="H130" t="s">
        <v>354</v>
      </c>
      <c r="I130" s="76"/>
      <c r="J130" s="77"/>
      <c r="K130" s="190"/>
      <c r="L130" s="190"/>
    </row>
    <row r="131" spans="3:12" ht="15.75" thickBot="1" x14ac:dyDescent="0.3">
      <c r="C131" s="174" t="s">
        <v>166</v>
      </c>
      <c r="D131" s="39"/>
      <c r="E131" s="39"/>
      <c r="F131" s="39"/>
      <c r="G131" s="39"/>
      <c r="H131" s="39"/>
      <c r="I131" s="39"/>
      <c r="J131" s="78"/>
      <c r="K131" s="190"/>
      <c r="L131" s="190"/>
    </row>
    <row r="132" spans="3:12" x14ac:dyDescent="0.25">
      <c r="C132" s="428" t="s">
        <v>356</v>
      </c>
      <c r="D132" s="429"/>
      <c r="E132" s="429"/>
      <c r="F132" s="429"/>
      <c r="G132" s="429"/>
      <c r="H132" s="429"/>
      <c r="I132" s="429"/>
      <c r="J132" s="430"/>
      <c r="K132" s="190"/>
      <c r="L132" s="190"/>
    </row>
    <row r="133" spans="3:12" x14ac:dyDescent="0.25">
      <c r="C133" s="431"/>
      <c r="D133" s="432"/>
      <c r="E133" s="432"/>
      <c r="F133" s="432"/>
      <c r="G133" s="432"/>
      <c r="H133" s="432"/>
      <c r="I133" s="432"/>
      <c r="J133" s="433"/>
      <c r="K133" s="190"/>
      <c r="L133" s="190"/>
    </row>
    <row r="134" spans="3:12" ht="15.75" thickBot="1" x14ac:dyDescent="0.3">
      <c r="C134" s="434"/>
      <c r="D134" s="435"/>
      <c r="E134" s="435"/>
      <c r="F134" s="435"/>
      <c r="G134" s="435"/>
      <c r="H134" s="435"/>
      <c r="I134" s="435"/>
      <c r="J134" s="436"/>
      <c r="K134" s="190"/>
      <c r="L134" s="190"/>
    </row>
    <row r="136" spans="3:12" ht="15.75" thickBot="1" x14ac:dyDescent="0.3"/>
    <row r="137" spans="3:12" x14ac:dyDescent="0.25">
      <c r="C137" s="262" t="s">
        <v>161</v>
      </c>
      <c r="D137" s="263">
        <f>D128+1</f>
        <v>16</v>
      </c>
      <c r="E137" s="263"/>
      <c r="F137" s="73"/>
      <c r="G137" s="73"/>
      <c r="H137" s="73"/>
      <c r="I137" s="73"/>
      <c r="J137" s="75"/>
    </row>
    <row r="138" spans="3:12" x14ac:dyDescent="0.25">
      <c r="C138" s="264" t="s">
        <v>162</v>
      </c>
      <c r="D138" s="265"/>
      <c r="E138" s="266">
        <v>45945</v>
      </c>
      <c r="F138" s="39"/>
      <c r="G138" s="39" t="s">
        <v>167</v>
      </c>
      <c r="H138" s="110"/>
      <c r="I138" s="76"/>
      <c r="J138" s="77"/>
    </row>
    <row r="139" spans="3:12" x14ac:dyDescent="0.25">
      <c r="C139" s="264" t="s">
        <v>163</v>
      </c>
      <c r="D139" s="265" t="s">
        <v>164</v>
      </c>
      <c r="E139" s="265" t="s">
        <v>165</v>
      </c>
      <c r="F139" s="39"/>
      <c r="G139" s="39" t="s">
        <v>168</v>
      </c>
      <c r="H139">
        <v>102</v>
      </c>
      <c r="I139" s="76"/>
      <c r="J139" s="77"/>
      <c r="K139" s="190"/>
      <c r="L139" s="190"/>
    </row>
    <row r="140" spans="3:12" ht="15.75" thickBot="1" x14ac:dyDescent="0.3">
      <c r="C140" s="174" t="s">
        <v>166</v>
      </c>
      <c r="D140" s="39"/>
      <c r="E140" s="39"/>
      <c r="F140" s="39"/>
      <c r="G140" s="39"/>
      <c r="H140" s="39"/>
      <c r="I140" s="39"/>
      <c r="J140" s="78"/>
      <c r="K140" s="190"/>
      <c r="L140" s="190"/>
    </row>
    <row r="141" spans="3:12" x14ac:dyDescent="0.25">
      <c r="C141" s="428" t="s">
        <v>358</v>
      </c>
      <c r="D141" s="429"/>
      <c r="E141" s="429"/>
      <c r="F141" s="429"/>
      <c r="G141" s="429"/>
      <c r="H141" s="429"/>
      <c r="I141" s="429"/>
      <c r="J141" s="430"/>
      <c r="K141" s="190"/>
      <c r="L141" s="190"/>
    </row>
    <row r="142" spans="3:12" x14ac:dyDescent="0.25">
      <c r="C142" s="431"/>
      <c r="D142" s="432"/>
      <c r="E142" s="432"/>
      <c r="F142" s="432"/>
      <c r="G142" s="432"/>
      <c r="H142" s="432"/>
      <c r="I142" s="432"/>
      <c r="J142" s="433"/>
      <c r="K142" s="190"/>
      <c r="L142" s="190"/>
    </row>
    <row r="143" spans="3:12" ht="15.75" thickBot="1" x14ac:dyDescent="0.3">
      <c r="C143" s="434"/>
      <c r="D143" s="435"/>
      <c r="E143" s="435"/>
      <c r="F143" s="435"/>
      <c r="G143" s="435"/>
      <c r="H143" s="435"/>
      <c r="I143" s="435"/>
      <c r="J143" s="436"/>
      <c r="K143" s="190"/>
      <c r="L143" s="190"/>
    </row>
    <row r="145" spans="3:12" ht="15.75" thickBot="1" x14ac:dyDescent="0.3"/>
    <row r="146" spans="3:12" x14ac:dyDescent="0.25">
      <c r="C146" s="267" t="s">
        <v>161</v>
      </c>
      <c r="D146" s="268">
        <f>D137+1</f>
        <v>17</v>
      </c>
      <c r="E146" s="268"/>
      <c r="F146" s="73"/>
      <c r="G146" s="73"/>
      <c r="H146" s="73"/>
      <c r="I146" s="73"/>
      <c r="J146" s="75"/>
    </row>
    <row r="147" spans="3:12" x14ac:dyDescent="0.25">
      <c r="C147" s="269" t="s">
        <v>162</v>
      </c>
      <c r="D147" s="270"/>
      <c r="E147" s="271">
        <v>45945</v>
      </c>
      <c r="F147" s="39"/>
      <c r="G147" s="39" t="s">
        <v>167</v>
      </c>
      <c r="H147" s="110" t="s">
        <v>359</v>
      </c>
      <c r="I147" s="76"/>
      <c r="J147" s="77"/>
    </row>
    <row r="148" spans="3:12" x14ac:dyDescent="0.25">
      <c r="C148" s="269" t="s">
        <v>163</v>
      </c>
      <c r="D148" s="270" t="s">
        <v>164</v>
      </c>
      <c r="E148" s="270" t="s">
        <v>165</v>
      </c>
      <c r="F148" s="39"/>
      <c r="G148" s="39" t="s">
        <v>168</v>
      </c>
      <c r="H148">
        <v>59</v>
      </c>
      <c r="I148" s="76"/>
      <c r="J148" s="77"/>
      <c r="K148" s="190"/>
      <c r="L148" s="190"/>
    </row>
    <row r="149" spans="3:12" ht="15.75" thickBot="1" x14ac:dyDescent="0.3">
      <c r="C149" s="174" t="s">
        <v>166</v>
      </c>
      <c r="D149" s="39"/>
      <c r="E149" s="39"/>
      <c r="F149" s="39"/>
      <c r="G149" s="39"/>
      <c r="H149" s="39"/>
      <c r="I149" s="39"/>
      <c r="J149" s="78"/>
      <c r="K149" s="190"/>
      <c r="L149" s="190"/>
    </row>
    <row r="150" spans="3:12" x14ac:dyDescent="0.25">
      <c r="C150" s="428" t="s">
        <v>357</v>
      </c>
      <c r="D150" s="429"/>
      <c r="E150" s="429"/>
      <c r="F150" s="429"/>
      <c r="G150" s="429"/>
      <c r="H150" s="429"/>
      <c r="I150" s="429"/>
      <c r="J150" s="430"/>
      <c r="K150" s="190"/>
      <c r="L150" s="190"/>
    </row>
    <row r="151" spans="3:12" x14ac:dyDescent="0.25">
      <c r="C151" s="431"/>
      <c r="D151" s="432"/>
      <c r="E151" s="432"/>
      <c r="F151" s="432"/>
      <c r="G151" s="432"/>
      <c r="H151" s="432"/>
      <c r="I151" s="432"/>
      <c r="J151" s="433"/>
      <c r="K151" s="190"/>
      <c r="L151" s="190"/>
    </row>
    <row r="152" spans="3:12" ht="15.75" thickBot="1" x14ac:dyDescent="0.3">
      <c r="C152" s="434"/>
      <c r="D152" s="435"/>
      <c r="E152" s="435"/>
      <c r="F152" s="435"/>
      <c r="G152" s="435"/>
      <c r="H152" s="435"/>
      <c r="I152" s="435"/>
      <c r="J152" s="436"/>
    </row>
    <row r="154" spans="3:12" ht="15.75" thickBot="1" x14ac:dyDescent="0.3"/>
    <row r="155" spans="3:12" x14ac:dyDescent="0.25">
      <c r="C155" s="272" t="s">
        <v>161</v>
      </c>
      <c r="D155" s="273">
        <f>D146+1</f>
        <v>18</v>
      </c>
      <c r="E155" s="273"/>
      <c r="F155" s="73"/>
      <c r="G155" s="73"/>
      <c r="H155" s="73"/>
      <c r="I155" s="73"/>
      <c r="J155" s="75"/>
    </row>
    <row r="156" spans="3:12" x14ac:dyDescent="0.25">
      <c r="C156" s="274" t="s">
        <v>162</v>
      </c>
      <c r="D156" s="275"/>
      <c r="E156" s="276">
        <v>45945</v>
      </c>
      <c r="F156" s="39"/>
      <c r="G156" s="39" t="s">
        <v>167</v>
      </c>
      <c r="H156" s="110" t="s">
        <v>360</v>
      </c>
      <c r="I156" s="76"/>
      <c r="J156" s="77"/>
    </row>
    <row r="157" spans="3:12" x14ac:dyDescent="0.25">
      <c r="C157" s="274" t="s">
        <v>163</v>
      </c>
      <c r="D157" s="275" t="s">
        <v>164</v>
      </c>
      <c r="E157" s="275" t="s">
        <v>165</v>
      </c>
      <c r="F157" s="39"/>
      <c r="G157" s="39" t="s">
        <v>168</v>
      </c>
      <c r="H157">
        <v>8</v>
      </c>
      <c r="I157" s="76"/>
      <c r="J157" s="77"/>
      <c r="K157" s="190"/>
      <c r="L157" s="190"/>
    </row>
    <row r="158" spans="3:12" ht="15.75" thickBot="1" x14ac:dyDescent="0.3">
      <c r="C158" s="174" t="s">
        <v>166</v>
      </c>
      <c r="D158" s="39"/>
      <c r="E158" s="39"/>
      <c r="F158" s="39"/>
      <c r="G158" s="39"/>
      <c r="H158" s="39"/>
      <c r="I158" s="39"/>
      <c r="J158" s="78"/>
      <c r="K158" s="190"/>
      <c r="L158" s="190"/>
    </row>
    <row r="159" spans="3:12" x14ac:dyDescent="0.25">
      <c r="C159" s="428" t="s">
        <v>361</v>
      </c>
      <c r="D159" s="429"/>
      <c r="E159" s="429"/>
      <c r="F159" s="429"/>
      <c r="G159" s="429"/>
      <c r="H159" s="429"/>
      <c r="I159" s="429"/>
      <c r="J159" s="430"/>
      <c r="K159" s="190"/>
      <c r="L159" s="190"/>
    </row>
    <row r="160" spans="3:12" x14ac:dyDescent="0.25">
      <c r="C160" s="431"/>
      <c r="D160" s="432"/>
      <c r="E160" s="432"/>
      <c r="F160" s="432"/>
      <c r="G160" s="432"/>
      <c r="H160" s="432"/>
      <c r="I160" s="432"/>
      <c r="J160" s="433"/>
    </row>
    <row r="161" spans="3:12" ht="15.75" thickBot="1" x14ac:dyDescent="0.3">
      <c r="C161" s="434"/>
      <c r="D161" s="435"/>
      <c r="E161" s="435"/>
      <c r="F161" s="435"/>
      <c r="G161" s="435"/>
      <c r="H161" s="435"/>
      <c r="I161" s="435"/>
      <c r="J161" s="436"/>
    </row>
    <row r="163" spans="3:12" ht="15.75" thickBot="1" x14ac:dyDescent="0.3"/>
    <row r="164" spans="3:12" x14ac:dyDescent="0.25">
      <c r="C164" s="277" t="s">
        <v>161</v>
      </c>
      <c r="D164" s="278">
        <f>D155+1</f>
        <v>19</v>
      </c>
      <c r="E164" s="278"/>
      <c r="F164" s="73"/>
      <c r="G164" s="73"/>
      <c r="H164" s="73"/>
      <c r="I164" s="73"/>
      <c r="J164" s="75"/>
    </row>
    <row r="165" spans="3:12" x14ac:dyDescent="0.25">
      <c r="C165" s="279" t="s">
        <v>162</v>
      </c>
      <c r="D165" s="280"/>
      <c r="E165" s="281">
        <v>45945</v>
      </c>
      <c r="F165" s="39"/>
      <c r="G165" s="39" t="s">
        <v>167</v>
      </c>
      <c r="H165" s="110" t="s">
        <v>362</v>
      </c>
      <c r="I165" s="76"/>
      <c r="J165" s="77"/>
    </row>
    <row r="166" spans="3:12" x14ac:dyDescent="0.25">
      <c r="C166" s="279" t="s">
        <v>163</v>
      </c>
      <c r="D166" s="280" t="s">
        <v>164</v>
      </c>
      <c r="E166" s="280" t="s">
        <v>165</v>
      </c>
      <c r="F166" s="39"/>
      <c r="G166" s="39" t="s">
        <v>168</v>
      </c>
      <c r="H166">
        <v>119</v>
      </c>
      <c r="I166" s="76"/>
      <c r="J166" s="77"/>
      <c r="K166" s="190"/>
      <c r="L166" s="190"/>
    </row>
    <row r="167" spans="3:12" ht="15.75" thickBot="1" x14ac:dyDescent="0.3">
      <c r="C167" s="174" t="s">
        <v>166</v>
      </c>
      <c r="D167" s="39"/>
      <c r="E167" s="39"/>
      <c r="F167" s="39"/>
      <c r="G167" s="39"/>
      <c r="H167" s="39"/>
      <c r="I167" s="39"/>
      <c r="J167" s="78"/>
      <c r="K167" s="190"/>
      <c r="L167" s="190"/>
    </row>
    <row r="168" spans="3:12" x14ac:dyDescent="0.25">
      <c r="C168" s="428" t="s">
        <v>363</v>
      </c>
      <c r="D168" s="429"/>
      <c r="E168" s="429"/>
      <c r="F168" s="429"/>
      <c r="G168" s="429"/>
      <c r="H168" s="429"/>
      <c r="I168" s="429"/>
      <c r="J168" s="430"/>
      <c r="K168" s="190"/>
      <c r="L168" s="190"/>
    </row>
    <row r="169" spans="3:12" x14ac:dyDescent="0.25">
      <c r="C169" s="431"/>
      <c r="D169" s="432"/>
      <c r="E169" s="432"/>
      <c r="F169" s="432"/>
      <c r="G169" s="432"/>
      <c r="H169" s="432"/>
      <c r="I169" s="432"/>
      <c r="J169" s="433"/>
    </row>
    <row r="170" spans="3:12" ht="15.75" thickBot="1" x14ac:dyDescent="0.3">
      <c r="C170" s="434"/>
      <c r="D170" s="435"/>
      <c r="E170" s="435"/>
      <c r="F170" s="435"/>
      <c r="G170" s="435"/>
      <c r="H170" s="435"/>
      <c r="I170" s="435"/>
      <c r="J170" s="436"/>
    </row>
    <row r="172" spans="3:12" ht="15.75" thickBot="1" x14ac:dyDescent="0.3"/>
    <row r="173" spans="3:12" x14ac:dyDescent="0.25">
      <c r="C173" s="282" t="s">
        <v>161</v>
      </c>
      <c r="D173" s="283">
        <f>D164+1</f>
        <v>20</v>
      </c>
      <c r="E173" s="283"/>
      <c r="F173" s="73"/>
      <c r="G173" s="73"/>
      <c r="H173" s="73"/>
      <c r="I173" s="73"/>
      <c r="J173" s="75"/>
    </row>
    <row r="174" spans="3:12" x14ac:dyDescent="0.25">
      <c r="C174" s="284" t="s">
        <v>162</v>
      </c>
      <c r="D174" s="285"/>
      <c r="E174" s="286">
        <v>45945</v>
      </c>
      <c r="F174" s="39"/>
      <c r="G174" s="39" t="s">
        <v>167</v>
      </c>
      <c r="H174" s="110" t="s">
        <v>364</v>
      </c>
      <c r="I174" s="76"/>
      <c r="J174" s="77"/>
    </row>
    <row r="175" spans="3:12" x14ac:dyDescent="0.25">
      <c r="C175" s="284" t="s">
        <v>163</v>
      </c>
      <c r="D175" s="285" t="s">
        <v>164</v>
      </c>
      <c r="E175" s="285" t="s">
        <v>165</v>
      </c>
      <c r="F175" s="39"/>
      <c r="G175" s="39" t="s">
        <v>168</v>
      </c>
      <c r="H175">
        <v>112</v>
      </c>
      <c r="I175" s="76"/>
      <c r="J175" s="77"/>
      <c r="K175" s="190"/>
      <c r="L175" s="190"/>
    </row>
    <row r="176" spans="3:12" ht="15.75" thickBot="1" x14ac:dyDescent="0.3">
      <c r="C176" s="174" t="s">
        <v>166</v>
      </c>
      <c r="D176" s="39"/>
      <c r="E176" s="39"/>
      <c r="F176" s="39"/>
      <c r="G176" s="39"/>
      <c r="H176" s="39"/>
      <c r="I176" s="39"/>
      <c r="J176" s="78"/>
      <c r="K176" s="190"/>
      <c r="L176" s="190"/>
    </row>
    <row r="177" spans="3:12" x14ac:dyDescent="0.25">
      <c r="C177" s="428" t="s">
        <v>365</v>
      </c>
      <c r="D177" s="429"/>
      <c r="E177" s="429"/>
      <c r="F177" s="429"/>
      <c r="G177" s="429"/>
      <c r="H177" s="429"/>
      <c r="I177" s="429"/>
      <c r="J177" s="430"/>
      <c r="K177" s="190"/>
      <c r="L177" s="190"/>
    </row>
    <row r="178" spans="3:12" x14ac:dyDescent="0.25">
      <c r="C178" s="431"/>
      <c r="D178" s="432"/>
      <c r="E178" s="432"/>
      <c r="F178" s="432"/>
      <c r="G178" s="432"/>
      <c r="H178" s="432"/>
      <c r="I178" s="432"/>
      <c r="J178" s="433"/>
      <c r="K178" s="190"/>
      <c r="L178" s="190"/>
    </row>
    <row r="179" spans="3:12" ht="15.75" thickBot="1" x14ac:dyDescent="0.3">
      <c r="C179" s="434"/>
      <c r="D179" s="435"/>
      <c r="E179" s="435"/>
      <c r="F179" s="435"/>
      <c r="G179" s="435"/>
      <c r="H179" s="435"/>
      <c r="I179" s="435"/>
      <c r="J179" s="436"/>
      <c r="K179" s="190"/>
      <c r="L179" s="190"/>
    </row>
    <row r="180" spans="3:12" x14ac:dyDescent="0.25">
      <c r="K180" s="190"/>
      <c r="L180" s="190"/>
    </row>
    <row r="181" spans="3:12" ht="15.75" thickBot="1" x14ac:dyDescent="0.3"/>
    <row r="182" spans="3:12" x14ac:dyDescent="0.25">
      <c r="C182" s="207" t="s">
        <v>161</v>
      </c>
      <c r="D182" s="208">
        <f>D173+1</f>
        <v>21</v>
      </c>
      <c r="E182" s="208"/>
      <c r="F182" s="73"/>
      <c r="G182" s="73"/>
      <c r="H182" s="73"/>
      <c r="I182" s="73"/>
      <c r="J182" s="75"/>
    </row>
    <row r="183" spans="3:12" x14ac:dyDescent="0.25">
      <c r="C183" s="209" t="s">
        <v>162</v>
      </c>
      <c r="D183" s="210"/>
      <c r="E183" s="211">
        <v>45945</v>
      </c>
      <c r="F183" s="39"/>
      <c r="G183" s="39" t="s">
        <v>167</v>
      </c>
      <c r="H183" s="110" t="s">
        <v>367</v>
      </c>
      <c r="I183" s="76"/>
      <c r="J183" s="77"/>
      <c r="K183" s="190"/>
      <c r="L183" s="190"/>
    </row>
    <row r="184" spans="3:12" x14ac:dyDescent="0.25">
      <c r="C184" s="209" t="s">
        <v>163</v>
      </c>
      <c r="D184" s="210" t="s">
        <v>164</v>
      </c>
      <c r="E184" s="210" t="s">
        <v>165</v>
      </c>
      <c r="F184" s="39"/>
      <c r="G184" s="39" t="s">
        <v>168</v>
      </c>
      <c r="H184">
        <v>130</v>
      </c>
      <c r="I184" s="76"/>
      <c r="J184" s="77"/>
      <c r="K184" s="190"/>
      <c r="L184" s="190"/>
    </row>
    <row r="185" spans="3:12" ht="15.75" thickBot="1" x14ac:dyDescent="0.3">
      <c r="C185" s="174" t="s">
        <v>166</v>
      </c>
      <c r="D185" s="39"/>
      <c r="E185" s="39"/>
      <c r="F185" s="39"/>
      <c r="G185" s="39"/>
      <c r="H185" s="39"/>
      <c r="I185" s="39"/>
      <c r="J185" s="78"/>
      <c r="K185" s="190"/>
      <c r="L185" s="190"/>
    </row>
    <row r="186" spans="3:12" x14ac:dyDescent="0.25">
      <c r="C186" s="428" t="s">
        <v>366</v>
      </c>
      <c r="D186" s="429"/>
      <c r="E186" s="429"/>
      <c r="F186" s="429"/>
      <c r="G186" s="429"/>
      <c r="H186" s="429"/>
      <c r="I186" s="429"/>
      <c r="J186" s="430"/>
      <c r="K186" s="190"/>
      <c r="L186" s="190"/>
    </row>
    <row r="187" spans="3:12" x14ac:dyDescent="0.25">
      <c r="C187" s="431"/>
      <c r="D187" s="432"/>
      <c r="E187" s="432"/>
      <c r="F187" s="432"/>
      <c r="G187" s="432"/>
      <c r="H187" s="432"/>
      <c r="I187" s="432"/>
      <c r="J187" s="433"/>
    </row>
    <row r="188" spans="3:12" ht="15.75" thickBot="1" x14ac:dyDescent="0.3">
      <c r="C188" s="434"/>
      <c r="D188" s="435"/>
      <c r="E188" s="435"/>
      <c r="F188" s="435"/>
      <c r="G188" s="435"/>
      <c r="H188" s="435"/>
      <c r="I188" s="435"/>
      <c r="J188" s="436"/>
    </row>
    <row r="190" spans="3:12" ht="15.75" thickBot="1" x14ac:dyDescent="0.3"/>
    <row r="191" spans="3:12" x14ac:dyDescent="0.25">
      <c r="C191" s="287" t="s">
        <v>161</v>
      </c>
      <c r="D191" s="288">
        <f>D182+1</f>
        <v>22</v>
      </c>
      <c r="E191" s="288"/>
      <c r="F191" s="73"/>
      <c r="G191" s="73"/>
      <c r="H191" s="73"/>
      <c r="I191" s="73"/>
      <c r="J191" s="75"/>
    </row>
    <row r="192" spans="3:12" x14ac:dyDescent="0.25">
      <c r="C192" s="289" t="s">
        <v>162</v>
      </c>
      <c r="D192" s="290"/>
      <c r="E192" s="291">
        <v>45945</v>
      </c>
      <c r="F192" s="39"/>
      <c r="G192" s="39" t="s">
        <v>167</v>
      </c>
      <c r="H192" s="110"/>
      <c r="I192" s="76"/>
      <c r="J192" s="77"/>
    </row>
    <row r="193" spans="3:12" x14ac:dyDescent="0.25">
      <c r="C193" s="289" t="s">
        <v>163</v>
      </c>
      <c r="D193" s="290" t="s">
        <v>164</v>
      </c>
      <c r="E193" s="290" t="s">
        <v>165</v>
      </c>
      <c r="F193" s="39"/>
      <c r="G193" s="39" t="s">
        <v>168</v>
      </c>
      <c r="H193">
        <v>71</v>
      </c>
      <c r="I193" s="76"/>
      <c r="J193" s="77"/>
      <c r="K193" s="307"/>
      <c r="L193" s="307"/>
    </row>
    <row r="194" spans="3:12" ht="15.75" thickBot="1" x14ac:dyDescent="0.3">
      <c r="C194" s="174" t="s">
        <v>166</v>
      </c>
      <c r="D194" s="39"/>
      <c r="E194" s="39"/>
      <c r="F194" s="39"/>
      <c r="G194" s="39"/>
      <c r="H194" s="39"/>
      <c r="I194" s="39"/>
      <c r="J194" s="78"/>
      <c r="K194" s="307"/>
      <c r="L194" s="307"/>
    </row>
    <row r="195" spans="3:12" x14ac:dyDescent="0.25">
      <c r="C195" s="428" t="s">
        <v>368</v>
      </c>
      <c r="D195" s="429"/>
      <c r="E195" s="429"/>
      <c r="F195" s="429"/>
      <c r="G195" s="429"/>
      <c r="H195" s="429"/>
      <c r="I195" s="429"/>
      <c r="J195" s="430"/>
      <c r="K195" s="307"/>
      <c r="L195" s="307"/>
    </row>
    <row r="196" spans="3:12" x14ac:dyDescent="0.25">
      <c r="C196" s="431"/>
      <c r="D196" s="432"/>
      <c r="E196" s="432"/>
      <c r="F196" s="432"/>
      <c r="G196" s="432"/>
      <c r="H196" s="432"/>
      <c r="I196" s="432"/>
      <c r="J196" s="433"/>
      <c r="K196" s="307"/>
      <c r="L196" s="307"/>
    </row>
    <row r="197" spans="3:12" ht="15.75" thickBot="1" x14ac:dyDescent="0.3">
      <c r="C197" s="434"/>
      <c r="D197" s="435"/>
      <c r="E197" s="435"/>
      <c r="F197" s="435"/>
      <c r="G197" s="435"/>
      <c r="H197" s="435"/>
      <c r="I197" s="435"/>
      <c r="J197" s="436"/>
    </row>
    <row r="199" spans="3:12" ht="15.75" thickBot="1" x14ac:dyDescent="0.3"/>
    <row r="200" spans="3:12" x14ac:dyDescent="0.25">
      <c r="C200" s="292" t="s">
        <v>161</v>
      </c>
      <c r="D200" s="293">
        <f>D191+1</f>
        <v>23</v>
      </c>
      <c r="E200" s="293"/>
      <c r="F200" s="73"/>
      <c r="G200" s="73"/>
      <c r="H200" s="73"/>
      <c r="I200" s="73"/>
      <c r="J200" s="75"/>
    </row>
    <row r="201" spans="3:12" x14ac:dyDescent="0.25">
      <c r="C201" s="294" t="s">
        <v>162</v>
      </c>
      <c r="D201" s="295"/>
      <c r="E201" s="296">
        <v>45945</v>
      </c>
      <c r="F201" s="39"/>
      <c r="G201" s="39" t="s">
        <v>167</v>
      </c>
      <c r="H201" s="110"/>
      <c r="I201" s="76"/>
      <c r="J201" s="77"/>
    </row>
    <row r="202" spans="3:12" x14ac:dyDescent="0.25">
      <c r="C202" s="294" t="s">
        <v>163</v>
      </c>
      <c r="D202" s="295" t="s">
        <v>164</v>
      </c>
      <c r="E202" s="295" t="s">
        <v>165</v>
      </c>
      <c r="F202" s="39"/>
      <c r="G202" s="39" t="s">
        <v>168</v>
      </c>
      <c r="H202" s="76">
        <v>73</v>
      </c>
      <c r="I202" s="76"/>
      <c r="J202" s="77"/>
      <c r="K202" s="190"/>
      <c r="L202" s="190"/>
    </row>
    <row r="203" spans="3:12" ht="15.75" thickBot="1" x14ac:dyDescent="0.3">
      <c r="C203" s="174" t="s">
        <v>166</v>
      </c>
      <c r="D203" s="39"/>
      <c r="E203" s="39"/>
      <c r="F203" s="39"/>
      <c r="G203" s="39"/>
      <c r="H203" s="39"/>
      <c r="I203" s="39"/>
      <c r="J203" s="78"/>
      <c r="K203" s="190"/>
      <c r="L203" s="190"/>
    </row>
    <row r="204" spans="3:12" x14ac:dyDescent="0.25">
      <c r="C204" s="428" t="s">
        <v>370</v>
      </c>
      <c r="D204" s="429"/>
      <c r="E204" s="429"/>
      <c r="F204" s="429"/>
      <c r="G204" s="429"/>
      <c r="H204" s="429"/>
      <c r="I204" s="429"/>
      <c r="J204" s="430"/>
      <c r="K204" s="190"/>
      <c r="L204" s="190"/>
    </row>
    <row r="205" spans="3:12" x14ac:dyDescent="0.25">
      <c r="C205" s="431"/>
      <c r="D205" s="432"/>
      <c r="E205" s="432"/>
      <c r="F205" s="432"/>
      <c r="G205" s="432"/>
      <c r="H205" s="432"/>
      <c r="I205" s="432"/>
      <c r="J205" s="433"/>
      <c r="K205" s="190"/>
      <c r="L205" s="190"/>
    </row>
    <row r="206" spans="3:12" ht="15.75" thickBot="1" x14ac:dyDescent="0.3">
      <c r="C206" s="434"/>
      <c r="D206" s="435"/>
      <c r="E206" s="435"/>
      <c r="F206" s="435"/>
      <c r="G206" s="435"/>
      <c r="H206" s="435"/>
      <c r="I206" s="435"/>
      <c r="J206" s="436"/>
    </row>
    <row r="208" spans="3:12" ht="15.75" thickBot="1" x14ac:dyDescent="0.3"/>
    <row r="209" spans="3:12" x14ac:dyDescent="0.25">
      <c r="C209" s="297" t="s">
        <v>161</v>
      </c>
      <c r="D209" s="298">
        <f>D200+1</f>
        <v>24</v>
      </c>
      <c r="E209" s="298"/>
      <c r="F209" s="73"/>
      <c r="G209" s="73"/>
      <c r="H209" s="73"/>
      <c r="I209" s="73"/>
      <c r="J209" s="75"/>
    </row>
    <row r="210" spans="3:12" x14ac:dyDescent="0.25">
      <c r="C210" s="299" t="s">
        <v>162</v>
      </c>
      <c r="D210" s="300"/>
      <c r="E210" s="301">
        <v>45945</v>
      </c>
      <c r="F210" s="39"/>
      <c r="G210" s="39" t="s">
        <v>167</v>
      </c>
      <c r="H210" s="110"/>
      <c r="I210" s="76"/>
      <c r="J210" s="77"/>
    </row>
    <row r="211" spans="3:12" x14ac:dyDescent="0.25">
      <c r="C211" s="299" t="s">
        <v>163</v>
      </c>
      <c r="D211" s="300" t="s">
        <v>164</v>
      </c>
      <c r="E211" s="300" t="s">
        <v>165</v>
      </c>
      <c r="F211" s="39"/>
      <c r="G211" s="39" t="s">
        <v>168</v>
      </c>
      <c r="H211" s="76">
        <v>97</v>
      </c>
      <c r="I211" s="76"/>
      <c r="J211" s="77"/>
      <c r="K211" s="190"/>
      <c r="L211" s="190"/>
    </row>
    <row r="212" spans="3:12" ht="15.75" thickBot="1" x14ac:dyDescent="0.3">
      <c r="C212" s="174" t="s">
        <v>166</v>
      </c>
      <c r="D212" s="39"/>
      <c r="E212" s="39"/>
      <c r="F212" s="39"/>
      <c r="G212" s="39"/>
      <c r="H212" s="39"/>
      <c r="I212" s="39"/>
      <c r="J212" s="78"/>
      <c r="K212" s="190"/>
      <c r="L212" s="190"/>
    </row>
    <row r="213" spans="3:12" x14ac:dyDescent="0.25">
      <c r="C213" s="428" t="s">
        <v>413</v>
      </c>
      <c r="D213" s="429"/>
      <c r="E213" s="429"/>
      <c r="F213" s="429"/>
      <c r="G213" s="429"/>
      <c r="H213" s="429"/>
      <c r="I213" s="429"/>
      <c r="J213" s="430"/>
      <c r="K213" s="190"/>
      <c r="L213" s="190"/>
    </row>
    <row r="214" spans="3:12" x14ac:dyDescent="0.25">
      <c r="C214" s="431"/>
      <c r="D214" s="432"/>
      <c r="E214" s="432"/>
      <c r="F214" s="432"/>
      <c r="G214" s="432"/>
      <c r="H214" s="432"/>
      <c r="I214" s="432"/>
      <c r="J214" s="433"/>
      <c r="K214" s="190"/>
      <c r="L214" s="190"/>
    </row>
    <row r="215" spans="3:12" ht="15.75" thickBot="1" x14ac:dyDescent="0.3">
      <c r="C215" s="434"/>
      <c r="D215" s="435"/>
      <c r="E215" s="435"/>
      <c r="F215" s="435"/>
      <c r="G215" s="435"/>
      <c r="H215" s="435"/>
      <c r="I215" s="435"/>
      <c r="J215" s="436"/>
      <c r="K215" s="190"/>
      <c r="L215" s="190"/>
    </row>
    <row r="217" spans="3:12" ht="15.75" thickBot="1" x14ac:dyDescent="0.3"/>
    <row r="218" spans="3:12" x14ac:dyDescent="0.25">
      <c r="C218" s="297" t="s">
        <v>161</v>
      </c>
      <c r="D218" s="298">
        <f>D209+1</f>
        <v>25</v>
      </c>
      <c r="E218" s="298"/>
      <c r="F218" s="73"/>
      <c r="G218" s="73"/>
      <c r="H218" s="73"/>
      <c r="I218" s="73"/>
      <c r="J218" s="75"/>
    </row>
    <row r="219" spans="3:12" x14ac:dyDescent="0.25">
      <c r="C219" s="299" t="s">
        <v>162</v>
      </c>
      <c r="D219" s="300"/>
      <c r="E219" s="301">
        <v>45945</v>
      </c>
      <c r="F219" s="39"/>
      <c r="G219" s="39" t="s">
        <v>167</v>
      </c>
      <c r="H219" s="110"/>
      <c r="I219" s="76"/>
      <c r="J219" s="77"/>
      <c r="K219" s="190"/>
      <c r="L219" s="190"/>
    </row>
    <row r="220" spans="3:12" x14ac:dyDescent="0.25">
      <c r="C220" s="299" t="s">
        <v>163</v>
      </c>
      <c r="D220" s="300" t="s">
        <v>164</v>
      </c>
      <c r="E220" s="300" t="s">
        <v>165</v>
      </c>
      <c r="F220" s="39"/>
      <c r="G220" s="39" t="s">
        <v>168</v>
      </c>
      <c r="H220" s="76">
        <v>14</v>
      </c>
      <c r="I220" s="76"/>
      <c r="J220" s="77"/>
      <c r="K220" s="190"/>
      <c r="L220" s="190"/>
    </row>
    <row r="221" spans="3:12" ht="15.75" thickBot="1" x14ac:dyDescent="0.3">
      <c r="C221" s="174" t="s">
        <v>166</v>
      </c>
      <c r="D221" s="39"/>
      <c r="E221" s="39"/>
      <c r="F221" s="39"/>
      <c r="G221" s="39"/>
      <c r="H221" s="39"/>
      <c r="I221" s="39"/>
      <c r="J221" s="78"/>
      <c r="K221" s="190"/>
      <c r="L221" s="190"/>
    </row>
    <row r="222" spans="3:12" x14ac:dyDescent="0.25">
      <c r="C222" s="428" t="s">
        <v>415</v>
      </c>
      <c r="D222" s="429"/>
      <c r="E222" s="429"/>
      <c r="F222" s="429"/>
      <c r="G222" s="429"/>
      <c r="H222" s="429"/>
      <c r="I222" s="429"/>
      <c r="J222" s="430"/>
      <c r="K222" s="190"/>
      <c r="L222" s="190"/>
    </row>
    <row r="223" spans="3:12" x14ac:dyDescent="0.25">
      <c r="C223" s="431"/>
      <c r="D223" s="432"/>
      <c r="E223" s="432"/>
      <c r="F223" s="432"/>
      <c r="G223" s="432"/>
      <c r="H223" s="432"/>
      <c r="I223" s="432"/>
      <c r="J223" s="433"/>
    </row>
    <row r="224" spans="3:12" ht="15.75" thickBot="1" x14ac:dyDescent="0.3">
      <c r="C224" s="434"/>
      <c r="D224" s="435"/>
      <c r="E224" s="435"/>
      <c r="F224" s="435"/>
      <c r="G224" s="435"/>
      <c r="H224" s="435"/>
      <c r="I224" s="435"/>
      <c r="J224" s="436"/>
    </row>
    <row r="226" spans="3:13" ht="15.75" thickBot="1" x14ac:dyDescent="0.3"/>
    <row r="227" spans="3:13" x14ac:dyDescent="0.25">
      <c r="C227" s="297" t="s">
        <v>161</v>
      </c>
      <c r="D227" s="298">
        <f>D218+1</f>
        <v>26</v>
      </c>
      <c r="E227" s="298"/>
      <c r="F227" s="73"/>
      <c r="G227" s="73"/>
      <c r="H227" s="73"/>
      <c r="I227" s="73"/>
      <c r="J227" s="75"/>
    </row>
    <row r="228" spans="3:13" x14ac:dyDescent="0.25">
      <c r="C228" s="299" t="s">
        <v>162</v>
      </c>
      <c r="D228" s="300"/>
      <c r="E228" s="301">
        <v>45945</v>
      </c>
      <c r="F228" s="39"/>
      <c r="G228" s="39" t="s">
        <v>167</v>
      </c>
      <c r="H228" s="110" t="s">
        <v>417</v>
      </c>
      <c r="I228" s="76"/>
      <c r="J228" s="77"/>
    </row>
    <row r="229" spans="3:13" x14ac:dyDescent="0.25">
      <c r="C229" s="299" t="s">
        <v>163</v>
      </c>
      <c r="D229" s="300" t="s">
        <v>164</v>
      </c>
      <c r="E229" s="300" t="s">
        <v>165</v>
      </c>
      <c r="F229" s="39"/>
      <c r="G229" s="39" t="s">
        <v>168</v>
      </c>
      <c r="H229" s="76">
        <v>60</v>
      </c>
      <c r="I229" s="76"/>
      <c r="J229" s="77"/>
      <c r="K229" s="190"/>
      <c r="L229" s="190"/>
      <c r="M229" s="190"/>
    </row>
    <row r="230" spans="3:13" ht="15.75" thickBot="1" x14ac:dyDescent="0.3">
      <c r="C230" s="174" t="s">
        <v>166</v>
      </c>
      <c r="D230" s="39"/>
      <c r="E230" s="39"/>
      <c r="F230" s="39"/>
      <c r="G230" s="39"/>
      <c r="H230" s="39"/>
      <c r="I230" s="39"/>
      <c r="J230" s="78"/>
      <c r="K230" s="190"/>
      <c r="L230" s="190"/>
      <c r="M230" s="190"/>
    </row>
    <row r="231" spans="3:13" x14ac:dyDescent="0.25">
      <c r="C231" s="428" t="s">
        <v>416</v>
      </c>
      <c r="D231" s="429"/>
      <c r="E231" s="429"/>
      <c r="F231" s="429"/>
      <c r="G231" s="429"/>
      <c r="H231" s="429"/>
      <c r="I231" s="429"/>
      <c r="J231" s="430"/>
      <c r="K231" s="190"/>
      <c r="L231" s="190"/>
      <c r="M231" s="190"/>
    </row>
    <row r="232" spans="3:13" x14ac:dyDescent="0.25">
      <c r="C232" s="431"/>
      <c r="D232" s="432"/>
      <c r="E232" s="432"/>
      <c r="F232" s="432"/>
      <c r="G232" s="432"/>
      <c r="H232" s="432"/>
      <c r="I232" s="432"/>
      <c r="J232" s="433"/>
      <c r="K232" s="190"/>
      <c r="L232" s="190"/>
      <c r="M232" s="190"/>
    </row>
    <row r="233" spans="3:13" ht="15.75" thickBot="1" x14ac:dyDescent="0.3">
      <c r="C233" s="434"/>
      <c r="D233" s="435"/>
      <c r="E233" s="435"/>
      <c r="F233" s="435"/>
      <c r="G233" s="435"/>
      <c r="H233" s="435"/>
      <c r="I233" s="435"/>
      <c r="J233" s="436"/>
    </row>
    <row r="235" spans="3:13" ht="15.75" thickBot="1" x14ac:dyDescent="0.3"/>
    <row r="236" spans="3:13" x14ac:dyDescent="0.25">
      <c r="C236" s="297" t="s">
        <v>161</v>
      </c>
      <c r="D236" s="298">
        <f>D227+1</f>
        <v>27</v>
      </c>
      <c r="E236" s="298"/>
      <c r="F236" s="73"/>
      <c r="G236" s="73"/>
      <c r="H236" s="73"/>
      <c r="I236" s="73"/>
      <c r="J236" s="75"/>
    </row>
    <row r="237" spans="3:13" x14ac:dyDescent="0.25">
      <c r="C237" s="299" t="s">
        <v>162</v>
      </c>
      <c r="D237" s="300"/>
      <c r="E237" s="301">
        <v>45945</v>
      </c>
      <c r="F237" s="39"/>
      <c r="G237" s="39" t="s">
        <v>167</v>
      </c>
      <c r="H237" s="110" t="s">
        <v>418</v>
      </c>
      <c r="I237" s="76"/>
      <c r="J237" s="77"/>
      <c r="K237" s="190"/>
      <c r="L237" s="190"/>
      <c r="M237" s="190"/>
    </row>
    <row r="238" spans="3:13" x14ac:dyDescent="0.25">
      <c r="C238" s="299" t="s">
        <v>163</v>
      </c>
      <c r="D238" s="300" t="s">
        <v>164</v>
      </c>
      <c r="E238" s="300" t="s">
        <v>165</v>
      </c>
      <c r="F238" s="39"/>
      <c r="G238" s="39" t="s">
        <v>168</v>
      </c>
      <c r="H238" s="76">
        <v>88</v>
      </c>
      <c r="I238" s="76"/>
      <c r="J238" s="77"/>
      <c r="K238" s="190"/>
      <c r="L238" s="190"/>
      <c r="M238" s="190"/>
    </row>
    <row r="239" spans="3:13" ht="15.75" thickBot="1" x14ac:dyDescent="0.3">
      <c r="C239" s="174" t="s">
        <v>166</v>
      </c>
      <c r="D239" s="39"/>
      <c r="E239" s="39"/>
      <c r="F239" s="39"/>
      <c r="G239" s="39"/>
      <c r="H239" s="39"/>
      <c r="I239" s="39"/>
      <c r="J239" s="78"/>
      <c r="K239" s="190"/>
      <c r="L239" s="190"/>
      <c r="M239" s="190"/>
    </row>
    <row r="240" spans="3:13" x14ac:dyDescent="0.25">
      <c r="C240" s="428" t="s">
        <v>419</v>
      </c>
      <c r="D240" s="429"/>
      <c r="E240" s="429"/>
      <c r="F240" s="429"/>
      <c r="G240" s="429"/>
      <c r="H240" s="429"/>
      <c r="I240" s="429"/>
      <c r="J240" s="430"/>
      <c r="K240" s="190"/>
      <c r="L240" s="190"/>
      <c r="M240" s="190"/>
    </row>
    <row r="241" spans="3:13" x14ac:dyDescent="0.25">
      <c r="C241" s="431"/>
      <c r="D241" s="432"/>
      <c r="E241" s="432"/>
      <c r="F241" s="432"/>
      <c r="G241" s="432"/>
      <c r="H241" s="432"/>
      <c r="I241" s="432"/>
      <c r="J241" s="433"/>
      <c r="K241" s="190"/>
      <c r="L241" s="190"/>
      <c r="M241" s="190"/>
    </row>
    <row r="242" spans="3:13" ht="15.75" thickBot="1" x14ac:dyDescent="0.3">
      <c r="C242" s="434"/>
      <c r="D242" s="435"/>
      <c r="E242" s="435"/>
      <c r="F242" s="435"/>
      <c r="G242" s="435"/>
      <c r="H242" s="435"/>
      <c r="I242" s="435"/>
      <c r="J242" s="436"/>
      <c r="K242" s="190"/>
      <c r="L242" s="190"/>
      <c r="M242" s="190"/>
    </row>
    <row r="244" spans="3:13" ht="15.75" thickBot="1" x14ac:dyDescent="0.3"/>
    <row r="245" spans="3:13" x14ac:dyDescent="0.25">
      <c r="C245" s="297" t="s">
        <v>161</v>
      </c>
      <c r="D245" s="298">
        <f>D236+1</f>
        <v>28</v>
      </c>
      <c r="E245" s="298"/>
      <c r="F245" s="73"/>
      <c r="G245" s="73"/>
      <c r="H245" s="73"/>
      <c r="I245" s="73"/>
      <c r="J245" s="75"/>
    </row>
    <row r="246" spans="3:13" x14ac:dyDescent="0.25">
      <c r="C246" s="299" t="s">
        <v>162</v>
      </c>
      <c r="D246" s="300"/>
      <c r="E246" s="301">
        <v>45945</v>
      </c>
      <c r="F246" s="39"/>
      <c r="G246" s="39" t="s">
        <v>167</v>
      </c>
      <c r="H246" s="110" t="s">
        <v>421</v>
      </c>
      <c r="I246" s="76"/>
      <c r="J246" s="77"/>
      <c r="K246" s="190"/>
      <c r="L246" s="190"/>
    </row>
    <row r="247" spans="3:13" x14ac:dyDescent="0.25">
      <c r="C247" s="299" t="s">
        <v>163</v>
      </c>
      <c r="D247" s="300" t="s">
        <v>164</v>
      </c>
      <c r="E247" s="300" t="s">
        <v>165</v>
      </c>
      <c r="F247" s="39"/>
      <c r="G247" s="39" t="s">
        <v>168</v>
      </c>
      <c r="H247" s="76">
        <v>96</v>
      </c>
      <c r="I247" s="76"/>
      <c r="J247" s="77"/>
      <c r="K247" s="190"/>
      <c r="L247" s="190"/>
    </row>
    <row r="248" spans="3:13" ht="15.75" thickBot="1" x14ac:dyDescent="0.3">
      <c r="C248" s="174" t="s">
        <v>166</v>
      </c>
      <c r="D248" s="39"/>
      <c r="E248" s="39"/>
      <c r="F248" s="39"/>
      <c r="G248" s="39"/>
      <c r="H248" s="39"/>
      <c r="I248" s="39"/>
      <c r="J248" s="78"/>
      <c r="K248" s="190"/>
      <c r="L248" s="190"/>
    </row>
    <row r="249" spans="3:13" x14ac:dyDescent="0.25">
      <c r="C249" s="428" t="s">
        <v>420</v>
      </c>
      <c r="D249" s="429"/>
      <c r="E249" s="429"/>
      <c r="F249" s="429"/>
      <c r="G249" s="429"/>
      <c r="H249" s="429"/>
      <c r="I249" s="429"/>
      <c r="J249" s="430"/>
      <c r="K249" s="190"/>
      <c r="L249" s="190"/>
    </row>
    <row r="250" spans="3:13" x14ac:dyDescent="0.25">
      <c r="C250" s="431"/>
      <c r="D250" s="432"/>
      <c r="E250" s="432"/>
      <c r="F250" s="432"/>
      <c r="G250" s="432"/>
      <c r="H250" s="432"/>
      <c r="I250" s="432"/>
      <c r="J250" s="433"/>
    </row>
    <row r="251" spans="3:13" ht="15.75" thickBot="1" x14ac:dyDescent="0.3">
      <c r="C251" s="434"/>
      <c r="D251" s="435"/>
      <c r="E251" s="435"/>
      <c r="F251" s="435"/>
      <c r="G251" s="435"/>
      <c r="H251" s="435"/>
      <c r="I251" s="435"/>
      <c r="J251" s="436"/>
    </row>
    <row r="253" spans="3:13" ht="15.75" thickBot="1" x14ac:dyDescent="0.3"/>
    <row r="254" spans="3:13" x14ac:dyDescent="0.25">
      <c r="C254" s="297" t="s">
        <v>161</v>
      </c>
      <c r="D254" s="298">
        <f>D245+1</f>
        <v>29</v>
      </c>
      <c r="E254" s="298"/>
      <c r="F254" s="73"/>
      <c r="G254" s="73"/>
      <c r="H254" s="73"/>
      <c r="I254" s="73"/>
      <c r="J254" s="75"/>
    </row>
    <row r="255" spans="3:13" x14ac:dyDescent="0.25">
      <c r="C255" s="299" t="s">
        <v>162</v>
      </c>
      <c r="D255" s="300"/>
      <c r="E255" s="301">
        <v>45945</v>
      </c>
      <c r="F255" s="39"/>
      <c r="G255" s="39" t="s">
        <v>167</v>
      </c>
      <c r="H255" s="110" t="s">
        <v>423</v>
      </c>
      <c r="I255" s="76"/>
      <c r="J255" s="77"/>
      <c r="K255" s="190"/>
      <c r="L255" s="190"/>
    </row>
    <row r="256" spans="3:13" x14ac:dyDescent="0.25">
      <c r="C256" s="299" t="s">
        <v>163</v>
      </c>
      <c r="D256" s="300" t="s">
        <v>164</v>
      </c>
      <c r="E256" s="300" t="s">
        <v>165</v>
      </c>
      <c r="F256" s="39"/>
      <c r="G256" s="39" t="s">
        <v>168</v>
      </c>
      <c r="H256" s="76" t="s">
        <v>422</v>
      </c>
      <c r="I256" s="76"/>
      <c r="J256" s="77"/>
      <c r="K256" s="190"/>
      <c r="L256" s="190"/>
    </row>
    <row r="257" spans="3:12" ht="15.75" thickBot="1" x14ac:dyDescent="0.3">
      <c r="C257" s="174" t="s">
        <v>166</v>
      </c>
      <c r="D257" s="39"/>
      <c r="E257" s="39"/>
      <c r="F257" s="39"/>
      <c r="G257" s="39"/>
      <c r="H257" s="39"/>
      <c r="I257" s="39"/>
      <c r="J257" s="78"/>
      <c r="K257" s="190"/>
      <c r="L257" s="190"/>
    </row>
    <row r="258" spans="3:12" x14ac:dyDescent="0.25">
      <c r="C258" s="428" t="s">
        <v>424</v>
      </c>
      <c r="D258" s="429"/>
      <c r="E258" s="429"/>
      <c r="F258" s="429"/>
      <c r="G258" s="429"/>
      <c r="H258" s="429"/>
      <c r="I258" s="429"/>
      <c r="J258" s="430"/>
      <c r="K258" s="190"/>
      <c r="L258" s="190"/>
    </row>
    <row r="259" spans="3:12" x14ac:dyDescent="0.25">
      <c r="C259" s="431"/>
      <c r="D259" s="432"/>
      <c r="E259" s="432"/>
      <c r="F259" s="432"/>
      <c r="G259" s="432"/>
      <c r="H259" s="432"/>
      <c r="I259" s="432"/>
      <c r="J259" s="433"/>
      <c r="K259" s="190"/>
      <c r="L259" s="190"/>
    </row>
    <row r="260" spans="3:12" ht="15.75" thickBot="1" x14ac:dyDescent="0.3">
      <c r="C260" s="434"/>
      <c r="D260" s="435"/>
      <c r="E260" s="435"/>
      <c r="F260" s="435"/>
      <c r="G260" s="435"/>
      <c r="H260" s="435"/>
      <c r="I260" s="435"/>
      <c r="J260" s="436"/>
    </row>
    <row r="262" spans="3:12" ht="15.75" thickBot="1" x14ac:dyDescent="0.3"/>
    <row r="263" spans="3:12" x14ac:dyDescent="0.25">
      <c r="C263" s="297" t="s">
        <v>161</v>
      </c>
      <c r="D263" s="298">
        <f>D254+1</f>
        <v>30</v>
      </c>
      <c r="E263" s="298"/>
      <c r="F263" s="73"/>
      <c r="G263" s="73"/>
      <c r="H263" s="73"/>
      <c r="I263" s="73"/>
      <c r="J263" s="75"/>
    </row>
    <row r="264" spans="3:12" x14ac:dyDescent="0.25">
      <c r="C264" s="299" t="s">
        <v>162</v>
      </c>
      <c r="D264" s="300"/>
      <c r="E264" s="301">
        <v>45945</v>
      </c>
      <c r="F264" s="39"/>
      <c r="G264" s="39" t="s">
        <v>167</v>
      </c>
      <c r="H264" s="110"/>
      <c r="I264" s="76"/>
      <c r="J264" s="77"/>
      <c r="K264" s="190"/>
      <c r="L264" s="190"/>
    </row>
    <row r="265" spans="3:12" x14ac:dyDescent="0.25">
      <c r="C265" s="299" t="s">
        <v>163</v>
      </c>
      <c r="D265" s="300" t="s">
        <v>164</v>
      </c>
      <c r="E265" s="300" t="s">
        <v>165</v>
      </c>
      <c r="F265" s="39"/>
      <c r="G265" s="39" t="s">
        <v>168</v>
      </c>
      <c r="H265" s="76">
        <v>61</v>
      </c>
      <c r="I265" s="76"/>
      <c r="J265" s="77"/>
      <c r="K265" s="190"/>
      <c r="L265" s="190"/>
    </row>
    <row r="266" spans="3:12" ht="15.75" thickBot="1" x14ac:dyDescent="0.3">
      <c r="C266" s="174" t="s">
        <v>166</v>
      </c>
      <c r="D266" s="39"/>
      <c r="E266" s="39"/>
      <c r="F266" s="39"/>
      <c r="G266" s="39"/>
      <c r="H266" s="39"/>
      <c r="I266" s="39"/>
      <c r="J266" s="78"/>
      <c r="K266" s="190"/>
      <c r="L266" s="190"/>
    </row>
    <row r="267" spans="3:12" x14ac:dyDescent="0.25">
      <c r="C267" s="428" t="s">
        <v>425</v>
      </c>
      <c r="D267" s="429"/>
      <c r="E267" s="429"/>
      <c r="F267" s="429"/>
      <c r="G267" s="429"/>
      <c r="H267" s="429"/>
      <c r="I267" s="429"/>
      <c r="J267" s="430"/>
      <c r="K267" s="190"/>
      <c r="L267" s="190"/>
    </row>
    <row r="268" spans="3:12" x14ac:dyDescent="0.25">
      <c r="C268" s="431"/>
      <c r="D268" s="432"/>
      <c r="E268" s="432"/>
      <c r="F268" s="432"/>
      <c r="G268" s="432"/>
      <c r="H268" s="432"/>
      <c r="I268" s="432"/>
      <c r="J268" s="433"/>
      <c r="K268" s="190"/>
      <c r="L268" s="190"/>
    </row>
    <row r="269" spans="3:12" ht="15.75" thickBot="1" x14ac:dyDescent="0.3">
      <c r="C269" s="434"/>
      <c r="D269" s="435"/>
      <c r="E269" s="435"/>
      <c r="F269" s="435"/>
      <c r="G269" s="435"/>
      <c r="H269" s="435"/>
      <c r="I269" s="435"/>
      <c r="J269" s="436"/>
    </row>
  </sheetData>
  <mergeCells count="30">
    <mergeCell ref="C240:J242"/>
    <mergeCell ref="C249:J251"/>
    <mergeCell ref="C258:J260"/>
    <mergeCell ref="C267:J269"/>
    <mergeCell ref="C123:J125"/>
    <mergeCell ref="C114:J116"/>
    <mergeCell ref="C213:J215"/>
    <mergeCell ref="C222:J224"/>
    <mergeCell ref="C231:J233"/>
    <mergeCell ref="C168:J170"/>
    <mergeCell ref="C177:J179"/>
    <mergeCell ref="C186:J188"/>
    <mergeCell ref="C195:J197"/>
    <mergeCell ref="C204:J206"/>
    <mergeCell ref="C87:J89"/>
    <mergeCell ref="C159:J161"/>
    <mergeCell ref="C141:J143"/>
    <mergeCell ref="C150:J152"/>
    <mergeCell ref="C6:J8"/>
    <mergeCell ref="C78:J80"/>
    <mergeCell ref="C60:J62"/>
    <mergeCell ref="C15:J17"/>
    <mergeCell ref="C24:J26"/>
    <mergeCell ref="C33:J35"/>
    <mergeCell ref="C42:J44"/>
    <mergeCell ref="C51:J53"/>
    <mergeCell ref="C69:J71"/>
    <mergeCell ref="C96:J98"/>
    <mergeCell ref="C105:J107"/>
    <mergeCell ref="C132:J13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2026-01-04T18:56:46Z</cp:lastPrinted>
  <dcterms:created xsi:type="dcterms:W3CDTF">2023-09-17T12:29:07Z</dcterms:created>
  <dcterms:modified xsi:type="dcterms:W3CDTF">2026-01-06T12:50:55Z</dcterms:modified>
</cp:coreProperties>
</file>