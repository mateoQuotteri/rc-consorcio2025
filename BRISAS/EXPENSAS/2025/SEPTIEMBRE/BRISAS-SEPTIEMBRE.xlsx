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BRISAS DE ADROGUE\EXPENSAS\SEPTIEMBRE\"/>
    </mc:Choice>
  </mc:AlternateContent>
  <xr:revisionPtr revIDLastSave="0" documentId="13_ncr:1_{65CD24D1-FD3E-4A8E-ACCA-7FF6DB2EAD9B}" xr6:coauthVersionLast="47" xr6:coauthVersionMax="47" xr10:uidLastSave="{00000000-0000-0000-0000-000000000000}"/>
  <bookViews>
    <workbookView xWindow="-120" yWindow="-120" windowWidth="20730" windowHeight="11160" tabRatio="850" activeTab="1" xr2:uid="{00000000-000D-0000-FFFF-FFFF00000000}"/>
  </bookViews>
  <sheets>
    <sheet name="RESUMEN" sheetId="1" r:id="rId1"/>
    <sheet name="PRORRATEO" sheetId="2" r:id="rId2"/>
    <sheet name="anotaciones" sheetId="3" r:id="rId3"/>
    <sheet name="SUMS A CORREGIR" sheetId="5" r:id="rId4"/>
  </sheets>
  <definedNames>
    <definedName name="_xlnm.Print_Area" localSheetId="1">PRORRATEO!$A$1:$S$168</definedName>
    <definedName name="_xlnm.Print_Area" localSheetId="0">RESUMEN!$A$1:$E$172</definedName>
  </definedNames>
  <calcPr calcId="181029"/>
</workbook>
</file>

<file path=xl/calcChain.xml><?xml version="1.0" encoding="utf-8"?>
<calcChain xmlns="http://schemas.openxmlformats.org/spreadsheetml/2006/main">
  <c r="B153" i="1" l="1"/>
  <c r="D94" i="1"/>
  <c r="D27" i="1"/>
  <c r="E88" i="1"/>
  <c r="E42" i="1"/>
  <c r="E114" i="1"/>
  <c r="E108" i="1"/>
  <c r="F110" i="2"/>
  <c r="F113" i="2"/>
  <c r="F122" i="2"/>
  <c r="F36" i="2"/>
  <c r="F106" i="2"/>
  <c r="F59" i="2" l="1"/>
  <c r="E92" i="1"/>
  <c r="E36" i="1"/>
  <c r="E47" i="1"/>
  <c r="E96" i="1"/>
  <c r="R149" i="2" l="1"/>
  <c r="S149" i="2"/>
  <c r="M149" i="2"/>
  <c r="L149" i="2"/>
  <c r="I149" i="2"/>
  <c r="F20" i="2"/>
  <c r="B156" i="1" l="1"/>
  <c r="F32" i="2"/>
  <c r="F48" i="2"/>
  <c r="F55" i="2"/>
  <c r="F102" i="2"/>
  <c r="F14" i="2"/>
  <c r="F130" i="2"/>
  <c r="F58" i="2"/>
  <c r="F11" i="2"/>
  <c r="F141" i="2"/>
  <c r="F25" i="2"/>
  <c r="F137" i="2"/>
  <c r="F143" i="2"/>
  <c r="F64" i="2"/>
  <c r="F61" i="2"/>
  <c r="F19" i="2"/>
  <c r="B149" i="1"/>
  <c r="F100" i="2"/>
  <c r="F77" i="2"/>
  <c r="F38" i="2"/>
  <c r="F35" i="2"/>
  <c r="F109" i="2"/>
  <c r="F121" i="2"/>
  <c r="F93" i="2"/>
  <c r="F50" i="2"/>
  <c r="F86" i="2"/>
  <c r="F85" i="2"/>
  <c r="F15" i="2"/>
  <c r="F76" i="2" l="1"/>
  <c r="F28" i="2"/>
  <c r="F42" i="2"/>
  <c r="F81" i="2"/>
  <c r="F95" i="2"/>
  <c r="F57" i="2"/>
  <c r="F5" i="2" l="1"/>
  <c r="F7" i="2"/>
  <c r="F9" i="2"/>
  <c r="F10" i="2"/>
  <c r="F12" i="2"/>
  <c r="F17" i="2"/>
  <c r="F22" i="2"/>
  <c r="F23" i="2"/>
  <c r="F24" i="2"/>
  <c r="F26" i="2"/>
  <c r="F27" i="2"/>
  <c r="F31" i="2"/>
  <c r="F33" i="2"/>
  <c r="F34" i="2"/>
  <c r="F37" i="2"/>
  <c r="F39" i="2"/>
  <c r="F44" i="2"/>
  <c r="F45" i="2"/>
  <c r="F47" i="2"/>
  <c r="F49" i="2"/>
  <c r="F52" i="2"/>
  <c r="F53" i="2"/>
  <c r="F54" i="2"/>
  <c r="F60" i="2"/>
  <c r="F66" i="2"/>
  <c r="F67" i="2"/>
  <c r="F69" i="2"/>
  <c r="F70" i="2"/>
  <c r="F71" i="2"/>
  <c r="F73" i="2"/>
  <c r="F78" i="2"/>
  <c r="F79" i="2"/>
  <c r="F80" i="2"/>
  <c r="F82" i="2"/>
  <c r="F84" i="2"/>
  <c r="F87" i="2"/>
  <c r="F88" i="2"/>
  <c r="F89" i="2"/>
  <c r="F90" i="2"/>
  <c r="F91" i="2"/>
  <c r="F98" i="2"/>
  <c r="F103" i="2"/>
  <c r="F104" i="2"/>
  <c r="F105" i="2"/>
  <c r="F107" i="2"/>
  <c r="F108" i="2"/>
  <c r="F112" i="2"/>
  <c r="F115" i="2"/>
  <c r="F117" i="2"/>
  <c r="F118" i="2"/>
  <c r="F120" i="2"/>
  <c r="F123" i="2"/>
  <c r="F124" i="2"/>
  <c r="F125" i="2"/>
  <c r="F127" i="2"/>
  <c r="F128" i="2"/>
  <c r="F129" i="2"/>
  <c r="F131" i="2"/>
  <c r="F133" i="2"/>
  <c r="F135" i="2"/>
  <c r="F136" i="2"/>
  <c r="F138" i="2"/>
  <c r="F139" i="2"/>
  <c r="F142" i="2"/>
  <c r="D58" i="1"/>
  <c r="E73" i="1" s="1"/>
  <c r="D121" i="1" l="1"/>
  <c r="E124" i="1" s="1"/>
  <c r="E128" i="1" s="1"/>
  <c r="D3" i="3"/>
  <c r="B171" i="1"/>
  <c r="F156" i="2"/>
  <c r="F152" i="2"/>
  <c r="F157" i="2" l="1"/>
  <c r="F155" i="2"/>
  <c r="F154" i="2"/>
  <c r="F153" i="2"/>
  <c r="F151" i="2"/>
  <c r="F150" i="2"/>
  <c r="F148" i="2"/>
  <c r="E121" i="1" l="1"/>
  <c r="E106" i="1"/>
  <c r="D37" i="3" l="1"/>
  <c r="D27" i="3"/>
  <c r="D17" i="3"/>
  <c r="F160" i="2" l="1"/>
  <c r="W2" i="2"/>
  <c r="G2" i="2" s="1"/>
  <c r="K149" i="2" s="1"/>
  <c r="P149" i="2" s="1"/>
  <c r="S37" i="2" l="1"/>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146" i="2"/>
  <c r="S147" i="2"/>
  <c r="S148" i="2"/>
  <c r="S150" i="2"/>
  <c r="S151" i="2"/>
  <c r="S152" i="2"/>
  <c r="S153" i="2"/>
  <c r="S154" i="2"/>
  <c r="S155" i="2"/>
  <c r="S156" i="2"/>
  <c r="S157" i="2"/>
  <c r="S5" i="2"/>
  <c r="B157" i="1"/>
  <c r="G97" i="2" l="1"/>
  <c r="K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8" i="2"/>
  <c r="J150" i="2"/>
  <c r="J151" i="2"/>
  <c r="J152" i="2"/>
  <c r="J153" i="2"/>
  <c r="J154" i="2"/>
  <c r="J155" i="2"/>
  <c r="J156" i="2"/>
  <c r="J157" i="2"/>
  <c r="J5" i="2"/>
  <c r="D29" i="1"/>
  <c r="E30" i="1" s="1"/>
  <c r="L150" i="2"/>
  <c r="L151" i="2"/>
  <c r="L152" i="2"/>
  <c r="L153" i="2"/>
  <c r="L154" i="2"/>
  <c r="L155" i="2"/>
  <c r="L156" i="2"/>
  <c r="L157" i="2"/>
  <c r="L148" i="2"/>
  <c r="L143"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5" i="2"/>
  <c r="K150" i="2" l="1"/>
  <c r="K151" i="2"/>
  <c r="K152" i="2"/>
  <c r="K153" i="2"/>
  <c r="K154" i="2"/>
  <c r="K155" i="2"/>
  <c r="K156" i="2"/>
  <c r="K157" i="2"/>
  <c r="K148"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M6" i="2"/>
  <c r="M7" i="2"/>
  <c r="M8" i="2"/>
  <c r="M9" i="2"/>
  <c r="M10" i="2"/>
  <c r="M11" i="2"/>
  <c r="M12" i="2"/>
  <c r="M14" i="2"/>
  <c r="M15" i="2"/>
  <c r="M16" i="2"/>
  <c r="M18" i="2"/>
  <c r="M19"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3" i="2"/>
  <c r="M54" i="2"/>
  <c r="M56" i="2"/>
  <c r="M57" i="2"/>
  <c r="M58" i="2"/>
  <c r="M59" i="2"/>
  <c r="M61" i="2"/>
  <c r="M62" i="2"/>
  <c r="M63" i="2"/>
  <c r="M64" i="2"/>
  <c r="M65" i="2"/>
  <c r="M67" i="2"/>
  <c r="M68" i="2"/>
  <c r="M69" i="2"/>
  <c r="M70" i="2"/>
  <c r="M71"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50" i="2"/>
  <c r="M151" i="2"/>
  <c r="M152" i="2"/>
  <c r="M153" i="2"/>
  <c r="M154" i="2"/>
  <c r="M155" i="2"/>
  <c r="M156" i="2"/>
  <c r="M157" i="2"/>
  <c r="M5" i="2"/>
  <c r="G68" i="2"/>
  <c r="H68" i="2" s="1"/>
  <c r="G96" i="2"/>
  <c r="H96" i="2" s="1"/>
  <c r="G43" i="2"/>
  <c r="H43" i="2" s="1"/>
  <c r="G93" i="2"/>
  <c r="H93" i="2" s="1"/>
  <c r="G137" i="2"/>
  <c r="H137" i="2" s="1"/>
  <c r="G110" i="2"/>
  <c r="H110" i="2" s="1"/>
  <c r="G141" i="2"/>
  <c r="H141" i="2" s="1"/>
  <c r="G64" i="2"/>
  <c r="H64" i="2" s="1"/>
  <c r="G100" i="2"/>
  <c r="H100" i="2" s="1"/>
  <c r="G22" i="2"/>
  <c r="H22" i="2" s="1"/>
  <c r="G5" i="2"/>
  <c r="H5" i="2" s="1"/>
  <c r="I5" i="2"/>
  <c r="G6" i="2"/>
  <c r="H6" i="2" s="1"/>
  <c r="I6" i="2"/>
  <c r="G7" i="2"/>
  <c r="H7" i="2" s="1"/>
  <c r="I7" i="2"/>
  <c r="G8" i="2"/>
  <c r="H8" i="2" s="1"/>
  <c r="I8" i="2"/>
  <c r="G9" i="2"/>
  <c r="H9" i="2" s="1"/>
  <c r="I9" i="2"/>
  <c r="G10" i="2"/>
  <c r="H10" i="2" s="1"/>
  <c r="I10" i="2"/>
  <c r="G11" i="2"/>
  <c r="H11" i="2" s="1"/>
  <c r="I11" i="2"/>
  <c r="G12" i="2"/>
  <c r="H12" i="2" s="1"/>
  <c r="I12" i="2"/>
  <c r="G13" i="2"/>
  <c r="H13" i="2" s="1"/>
  <c r="I13" i="2"/>
  <c r="G14" i="2"/>
  <c r="H14" i="2" s="1"/>
  <c r="I14" i="2"/>
  <c r="G15" i="2"/>
  <c r="H15" i="2" s="1"/>
  <c r="I15" i="2"/>
  <c r="G16" i="2"/>
  <c r="H16" i="2" s="1"/>
  <c r="I16" i="2"/>
  <c r="I17" i="2"/>
  <c r="G18" i="2"/>
  <c r="H18" i="2" s="1"/>
  <c r="I18" i="2"/>
  <c r="G19" i="2"/>
  <c r="H19" i="2" s="1"/>
  <c r="I19" i="2"/>
  <c r="G20" i="2"/>
  <c r="H20" i="2" s="1"/>
  <c r="I20" i="2"/>
  <c r="G21" i="2"/>
  <c r="H21" i="2" s="1"/>
  <c r="I21" i="2"/>
  <c r="I22" i="2"/>
  <c r="G23" i="2"/>
  <c r="H23" i="2" s="1"/>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G34" i="2"/>
  <c r="H34" i="2" s="1"/>
  <c r="I34" i="2"/>
  <c r="G35" i="2"/>
  <c r="H35" i="2" s="1"/>
  <c r="I35" i="2"/>
  <c r="I36" i="2"/>
  <c r="G37" i="2"/>
  <c r="H37" i="2" s="1"/>
  <c r="I37" i="2"/>
  <c r="G38" i="2"/>
  <c r="H38" i="2" s="1"/>
  <c r="I38" i="2"/>
  <c r="G39" i="2"/>
  <c r="H39" i="2" s="1"/>
  <c r="I39" i="2"/>
  <c r="G40" i="2"/>
  <c r="H40" i="2" s="1"/>
  <c r="I40" i="2"/>
  <c r="G41" i="2"/>
  <c r="H41" i="2" s="1"/>
  <c r="I41" i="2"/>
  <c r="G42" i="2"/>
  <c r="H42" i="2" s="1"/>
  <c r="I42" i="2"/>
  <c r="I43" i="2"/>
  <c r="G44" i="2"/>
  <c r="H44" i="2" s="1"/>
  <c r="I44" i="2"/>
  <c r="G45" i="2"/>
  <c r="H45" i="2" s="1"/>
  <c r="I45" i="2"/>
  <c r="G46" i="2"/>
  <c r="H46" i="2" s="1"/>
  <c r="I46" i="2"/>
  <c r="G47" i="2"/>
  <c r="H47" i="2" s="1"/>
  <c r="I47" i="2"/>
  <c r="G48" i="2"/>
  <c r="H48" i="2" s="1"/>
  <c r="I48" i="2"/>
  <c r="G49" i="2"/>
  <c r="H49" i="2" s="1"/>
  <c r="I49" i="2"/>
  <c r="G50" i="2"/>
  <c r="H50" i="2" s="1"/>
  <c r="I50" i="2"/>
  <c r="G51" i="2"/>
  <c r="H51" i="2" s="1"/>
  <c r="I51" i="2"/>
  <c r="G52" i="2"/>
  <c r="H52" i="2" s="1"/>
  <c r="I52" i="2"/>
  <c r="G53" i="2"/>
  <c r="H53" i="2" s="1"/>
  <c r="I53" i="2"/>
  <c r="G54" i="2"/>
  <c r="H54" i="2" s="1"/>
  <c r="I54" i="2"/>
  <c r="G55" i="2"/>
  <c r="H55" i="2" s="1"/>
  <c r="I55" i="2"/>
  <c r="G56" i="2"/>
  <c r="H56" i="2" s="1"/>
  <c r="I56" i="2"/>
  <c r="G57" i="2"/>
  <c r="H57" i="2" s="1"/>
  <c r="I57" i="2"/>
  <c r="G58" i="2"/>
  <c r="H58" i="2" s="1"/>
  <c r="I58" i="2"/>
  <c r="G59" i="2"/>
  <c r="H59" i="2" s="1"/>
  <c r="I59" i="2"/>
  <c r="G60" i="2"/>
  <c r="H60" i="2" s="1"/>
  <c r="I60" i="2"/>
  <c r="G61" i="2"/>
  <c r="H61" i="2" s="1"/>
  <c r="I61" i="2"/>
  <c r="G62" i="2"/>
  <c r="H62" i="2" s="1"/>
  <c r="I62" i="2"/>
  <c r="G63" i="2"/>
  <c r="H63" i="2" s="1"/>
  <c r="I63" i="2"/>
  <c r="I64" i="2"/>
  <c r="G65" i="2"/>
  <c r="H65" i="2" s="1"/>
  <c r="I65" i="2"/>
  <c r="G66" i="2"/>
  <c r="H66" i="2" s="1"/>
  <c r="I66" i="2"/>
  <c r="N66" i="2" s="1"/>
  <c r="G67" i="2"/>
  <c r="H67" i="2" s="1"/>
  <c r="I67" i="2"/>
  <c r="I68" i="2"/>
  <c r="G69" i="2"/>
  <c r="H69" i="2" s="1"/>
  <c r="I69" i="2"/>
  <c r="G70" i="2"/>
  <c r="H70" i="2" s="1"/>
  <c r="I70" i="2"/>
  <c r="G71" i="2"/>
  <c r="H71" i="2" s="1"/>
  <c r="I71" i="2"/>
  <c r="G72" i="2"/>
  <c r="H72" i="2" s="1"/>
  <c r="I72" i="2"/>
  <c r="G73" i="2"/>
  <c r="H73" i="2" s="1"/>
  <c r="I73" i="2"/>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G92" i="2"/>
  <c r="H92" i="2" s="1"/>
  <c r="I92" i="2"/>
  <c r="I93" i="2"/>
  <c r="G94" i="2"/>
  <c r="H94" i="2" s="1"/>
  <c r="I94" i="2"/>
  <c r="O94" i="2" s="1"/>
  <c r="G95" i="2"/>
  <c r="H95" i="2" s="1"/>
  <c r="I95" i="2"/>
  <c r="I96" i="2"/>
  <c r="O96" i="2" s="1"/>
  <c r="H97" i="2"/>
  <c r="I97" i="2"/>
  <c r="G98" i="2"/>
  <c r="H98" i="2" s="1"/>
  <c r="I98" i="2"/>
  <c r="G99" i="2"/>
  <c r="H99" i="2" s="1"/>
  <c r="I99" i="2"/>
  <c r="I100" i="2"/>
  <c r="G101" i="2"/>
  <c r="H101" i="2" s="1"/>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I110" i="2"/>
  <c r="G111" i="2"/>
  <c r="H111" i="2" s="1"/>
  <c r="I111" i="2"/>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G121" i="2"/>
  <c r="H121" i="2" s="1"/>
  <c r="I121" i="2"/>
  <c r="I122" i="2"/>
  <c r="G123" i="2"/>
  <c r="H123" i="2" s="1"/>
  <c r="I123" i="2"/>
  <c r="I124" i="2"/>
  <c r="G125" i="2"/>
  <c r="H125" i="2" s="1"/>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I137" i="2"/>
  <c r="I138" i="2"/>
  <c r="G138" i="2"/>
  <c r="H138" i="2" s="1"/>
  <c r="I139" i="2"/>
  <c r="G140" i="2"/>
  <c r="H140" i="2" s="1"/>
  <c r="I140" i="2"/>
  <c r="I141" i="2"/>
  <c r="G142" i="2"/>
  <c r="H142" i="2" s="1"/>
  <c r="I142" i="2"/>
  <c r="G143" i="2"/>
  <c r="H143" i="2" s="1"/>
  <c r="I143" i="2"/>
  <c r="G148" i="2"/>
  <c r="H148" i="2" s="1"/>
  <c r="I148" i="2"/>
  <c r="I150" i="2"/>
  <c r="G151" i="2"/>
  <c r="H151" i="2" s="1"/>
  <c r="I151" i="2"/>
  <c r="I152" i="2"/>
  <c r="G153" i="2"/>
  <c r="H153" i="2" s="1"/>
  <c r="I153" i="2"/>
  <c r="G154" i="2"/>
  <c r="H154" i="2" s="1"/>
  <c r="I154" i="2"/>
  <c r="G155" i="2"/>
  <c r="H155" i="2" s="1"/>
  <c r="I155" i="2"/>
  <c r="I156" i="2"/>
  <c r="B144" i="1"/>
  <c r="E34" i="1"/>
  <c r="E118" i="1"/>
  <c r="B152" i="1" s="1"/>
  <c r="A34" i="1"/>
  <c r="A35" i="1" s="1"/>
  <c r="B133" i="1"/>
  <c r="R37" i="2"/>
  <c r="R146" i="2"/>
  <c r="R147" i="2"/>
  <c r="R148" i="2"/>
  <c r="R150" i="2"/>
  <c r="R151" i="2"/>
  <c r="R152" i="2"/>
  <c r="R153" i="2"/>
  <c r="R154" i="2"/>
  <c r="R155" i="2"/>
  <c r="R156" i="2"/>
  <c r="R157" i="2"/>
  <c r="I157" i="2"/>
  <c r="G157" i="2"/>
  <c r="H157" i="2" s="1"/>
  <c r="B72" i="2"/>
  <c r="D160" i="2"/>
  <c r="B6" i="2"/>
  <c r="E35" i="1" l="1"/>
  <c r="E99" i="1" s="1"/>
  <c r="N13" i="2"/>
  <c r="N20" i="2"/>
  <c r="N148" i="2"/>
  <c r="O160" i="2"/>
  <c r="N17" i="2"/>
  <c r="B73" i="2"/>
  <c r="S72" i="2"/>
  <c r="B7" i="2"/>
  <c r="S6" i="2"/>
  <c r="G17" i="2"/>
  <c r="H17" i="2" s="1"/>
  <c r="G122" i="2"/>
  <c r="H122" i="2" s="1"/>
  <c r="G139" i="2"/>
  <c r="H139" i="2" s="1"/>
  <c r="N55" i="2"/>
  <c r="N72" i="2"/>
  <c r="N60" i="2"/>
  <c r="K160" i="2"/>
  <c r="N52" i="2"/>
  <c r="L160" i="2"/>
  <c r="G152" i="2"/>
  <c r="H152" i="2" s="1"/>
  <c r="G124" i="2"/>
  <c r="H124" i="2" s="1"/>
  <c r="G36" i="2"/>
  <c r="H36" i="2" s="1"/>
  <c r="G156" i="2"/>
  <c r="H156" i="2" s="1"/>
  <c r="G150" i="2"/>
  <c r="H150" i="2" s="1"/>
  <c r="B145" i="1"/>
  <c r="R73" i="2"/>
  <c r="R72" i="2"/>
  <c r="R6" i="2"/>
  <c r="B8" i="2" l="1"/>
  <c r="S7" i="2"/>
  <c r="R7" i="2"/>
  <c r="B74" i="2"/>
  <c r="S73" i="2"/>
  <c r="N160" i="2"/>
  <c r="B75" i="2" l="1"/>
  <c r="S74" i="2"/>
  <c r="R74" i="2"/>
  <c r="B9" i="2"/>
  <c r="S8" i="2"/>
  <c r="R8" i="2"/>
  <c r="M160" i="2"/>
  <c r="B139" i="1"/>
  <c r="B10" i="2" l="1"/>
  <c r="S9" i="2"/>
  <c r="R9" i="2"/>
  <c r="B76" i="2"/>
  <c r="S75" i="2"/>
  <c r="R75" i="2"/>
  <c r="P148" i="2"/>
  <c r="P151" i="2"/>
  <c r="P150" i="2"/>
  <c r="P152" i="2"/>
  <c r="P153" i="2"/>
  <c r="P154" i="2"/>
  <c r="P156" i="2"/>
  <c r="P155" i="2"/>
  <c r="P157" i="2"/>
  <c r="B77" i="2" l="1"/>
  <c r="S76" i="2"/>
  <c r="R76" i="2"/>
  <c r="P76" i="2" s="1"/>
  <c r="B11" i="2"/>
  <c r="S10" i="2"/>
  <c r="R10" i="2"/>
  <c r="P6" i="2"/>
  <c r="P7" i="2"/>
  <c r="P37" i="2"/>
  <c r="P74" i="2"/>
  <c r="P10" i="2"/>
  <c r="P9" i="2"/>
  <c r="P72" i="2"/>
  <c r="P8" i="2"/>
  <c r="P75" i="2"/>
  <c r="P73"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5" i="2"/>
  <c r="P5" i="2" s="1"/>
  <c r="B12" i="2" l="1"/>
  <c r="S11" i="2"/>
  <c r="R11" i="2"/>
  <c r="P11" i="2" s="1"/>
  <c r="B78" i="2"/>
  <c r="S77" i="2"/>
  <c r="R77" i="2"/>
  <c r="P77" i="2" s="1"/>
  <c r="P48" i="2"/>
  <c r="B79" i="2" l="1"/>
  <c r="S78" i="2"/>
  <c r="R78" i="2"/>
  <c r="P78" i="2" s="1"/>
  <c r="B13" i="2"/>
  <c r="S12" i="2"/>
  <c r="R12" i="2"/>
  <c r="P12" i="2" s="1"/>
  <c r="B138" i="1"/>
  <c r="E160" i="2"/>
  <c r="B14" i="2" l="1"/>
  <c r="S13" i="2"/>
  <c r="R13" i="2"/>
  <c r="P13" i="2" s="1"/>
  <c r="B80" i="2"/>
  <c r="S79" i="2"/>
  <c r="R79" i="2"/>
  <c r="P79" i="2" s="1"/>
  <c r="P47" i="2"/>
  <c r="P42" i="2"/>
  <c r="P59" i="2"/>
  <c r="P55" i="2"/>
  <c r="P50" i="2"/>
  <c r="P45" i="2"/>
  <c r="P41" i="2"/>
  <c r="P43" i="2"/>
  <c r="P39" i="2"/>
  <c r="P46" i="2"/>
  <c r="P38" i="2"/>
  <c r="P71" i="2"/>
  <c r="P62" i="2"/>
  <c r="P49" i="2"/>
  <c r="P44" i="2"/>
  <c r="P40" i="2"/>
  <c r="B132" i="1"/>
  <c r="G160" i="2"/>
  <c r="P67" i="2"/>
  <c r="P68" i="2"/>
  <c r="P70" i="2"/>
  <c r="P69" i="2"/>
  <c r="P54" i="2"/>
  <c r="P65" i="2"/>
  <c r="P61" i="2"/>
  <c r="P57" i="2"/>
  <c r="P53" i="2"/>
  <c r="P58" i="2"/>
  <c r="P64" i="2"/>
  <c r="P60" i="2"/>
  <c r="P56" i="2"/>
  <c r="P52" i="2"/>
  <c r="P66" i="2"/>
  <c r="P63" i="2"/>
  <c r="P51" i="2"/>
  <c r="I160" i="2"/>
  <c r="B81" i="2" l="1"/>
  <c r="S80" i="2"/>
  <c r="R80" i="2"/>
  <c r="P80" i="2" s="1"/>
  <c r="B15" i="2"/>
  <c r="S14" i="2"/>
  <c r="R14" i="2"/>
  <c r="P14" i="2" s="1"/>
  <c r="B146" i="1"/>
  <c r="B131" i="1"/>
  <c r="B134" i="1" s="1"/>
  <c r="J160" i="2"/>
  <c r="B16" i="2" l="1"/>
  <c r="S15" i="2"/>
  <c r="R15" i="2"/>
  <c r="P15" i="2" s="1"/>
  <c r="B82" i="2"/>
  <c r="S81" i="2"/>
  <c r="R81" i="2"/>
  <c r="P81" i="2" s="1"/>
  <c r="B83" i="2" l="1"/>
  <c r="S82" i="2"/>
  <c r="R82" i="2"/>
  <c r="P82" i="2" s="1"/>
  <c r="B17" i="2"/>
  <c r="S16" i="2"/>
  <c r="R16" i="2"/>
  <c r="P16" i="2" s="1"/>
  <c r="B18" i="2" l="1"/>
  <c r="S17" i="2"/>
  <c r="R17" i="2"/>
  <c r="P17" i="2" s="1"/>
  <c r="B84" i="2"/>
  <c r="S83" i="2"/>
  <c r="R83" i="2"/>
  <c r="P83" i="2" s="1"/>
  <c r="B19" i="2" l="1"/>
  <c r="S18" i="2"/>
  <c r="R18" i="2"/>
  <c r="P18" i="2" s="1"/>
  <c r="B85" i="2"/>
  <c r="S84" i="2"/>
  <c r="R84" i="2"/>
  <c r="P84" i="2" s="1"/>
  <c r="B86" i="2" l="1"/>
  <c r="S85" i="2"/>
  <c r="R85" i="2"/>
  <c r="P85" i="2" s="1"/>
  <c r="B20" i="2"/>
  <c r="S19" i="2"/>
  <c r="R19" i="2"/>
  <c r="P19" i="2" s="1"/>
  <c r="B21" i="2" l="1"/>
  <c r="S20" i="2"/>
  <c r="R20" i="2"/>
  <c r="P20" i="2" s="1"/>
  <c r="B87" i="2"/>
  <c r="S86" i="2"/>
  <c r="R86" i="2"/>
  <c r="P86" i="2" s="1"/>
  <c r="B88" i="2" l="1"/>
  <c r="S87" i="2"/>
  <c r="R87" i="2"/>
  <c r="P87" i="2" s="1"/>
  <c r="B22" i="2"/>
  <c r="S21" i="2"/>
  <c r="R21" i="2"/>
  <c r="P21" i="2" s="1"/>
  <c r="B23" i="2" l="1"/>
  <c r="S22" i="2"/>
  <c r="R22" i="2"/>
  <c r="P22" i="2" s="1"/>
  <c r="B89" i="2"/>
  <c r="S88" i="2"/>
  <c r="R88" i="2"/>
  <c r="P88" i="2" s="1"/>
  <c r="B90" i="2" l="1"/>
  <c r="S89" i="2"/>
  <c r="R89" i="2"/>
  <c r="P89" i="2" s="1"/>
  <c r="B24" i="2"/>
  <c r="S23" i="2"/>
  <c r="R23" i="2"/>
  <c r="P23" i="2" s="1"/>
  <c r="B25" i="2" l="1"/>
  <c r="S24" i="2"/>
  <c r="R24" i="2"/>
  <c r="P24" i="2" s="1"/>
  <c r="B91" i="2"/>
  <c r="S90" i="2"/>
  <c r="R90" i="2"/>
  <c r="P90" i="2" s="1"/>
  <c r="B26" i="2" l="1"/>
  <c r="S25" i="2"/>
  <c r="R25" i="2"/>
  <c r="P25" i="2" s="1"/>
  <c r="B92" i="2"/>
  <c r="S91" i="2"/>
  <c r="R91" i="2"/>
  <c r="P91" i="2" s="1"/>
  <c r="B93" i="2" l="1"/>
  <c r="S92" i="2"/>
  <c r="R92" i="2"/>
  <c r="P92" i="2" s="1"/>
  <c r="B27" i="2"/>
  <c r="S26" i="2"/>
  <c r="R26" i="2"/>
  <c r="P26" i="2" s="1"/>
  <c r="B28" i="2" l="1"/>
  <c r="S27" i="2"/>
  <c r="R27" i="2"/>
  <c r="P27" i="2" s="1"/>
  <c r="B94" i="2"/>
  <c r="S93" i="2"/>
  <c r="R93" i="2"/>
  <c r="P93" i="2" s="1"/>
  <c r="B95" i="2" l="1"/>
  <c r="S94" i="2"/>
  <c r="R94" i="2"/>
  <c r="P94" i="2" s="1"/>
  <c r="B29" i="2"/>
  <c r="S28" i="2"/>
  <c r="R28" i="2"/>
  <c r="P28" i="2" s="1"/>
  <c r="B30" i="2" l="1"/>
  <c r="S29" i="2"/>
  <c r="R29" i="2"/>
  <c r="P29" i="2" s="1"/>
  <c r="B96" i="2"/>
  <c r="S95" i="2"/>
  <c r="R95" i="2"/>
  <c r="P95" i="2" s="1"/>
  <c r="B97" i="2" l="1"/>
  <c r="S96" i="2"/>
  <c r="R96" i="2"/>
  <c r="P96" i="2" s="1"/>
  <c r="B31" i="2"/>
  <c r="S30" i="2"/>
  <c r="R30" i="2"/>
  <c r="P30" i="2" s="1"/>
  <c r="B32" i="2" l="1"/>
  <c r="S31" i="2"/>
  <c r="R31" i="2"/>
  <c r="P31" i="2" s="1"/>
  <c r="B98" i="2"/>
  <c r="S97" i="2"/>
  <c r="R97" i="2"/>
  <c r="P97" i="2" s="1"/>
  <c r="B99" i="2" l="1"/>
  <c r="S98" i="2"/>
  <c r="R98" i="2"/>
  <c r="P98" i="2" s="1"/>
  <c r="B33" i="2"/>
  <c r="S32" i="2"/>
  <c r="R32" i="2"/>
  <c r="P32" i="2" s="1"/>
  <c r="B34" i="2" l="1"/>
  <c r="S33" i="2"/>
  <c r="R33" i="2"/>
  <c r="P33" i="2" s="1"/>
  <c r="B100" i="2"/>
  <c r="S99" i="2"/>
  <c r="R99" i="2"/>
  <c r="P99" i="2" s="1"/>
  <c r="B101" i="2" l="1"/>
  <c r="S100" i="2"/>
  <c r="R100" i="2"/>
  <c r="P100" i="2" s="1"/>
  <c r="B35" i="2"/>
  <c r="S34" i="2"/>
  <c r="R34" i="2"/>
  <c r="P34" i="2" s="1"/>
  <c r="B36" i="2" l="1"/>
  <c r="S35" i="2"/>
  <c r="R35" i="2"/>
  <c r="P35" i="2" s="1"/>
  <c r="B102" i="2"/>
  <c r="S101" i="2"/>
  <c r="R101" i="2"/>
  <c r="P101" i="2" s="1"/>
  <c r="B103" i="2" l="1"/>
  <c r="S102" i="2"/>
  <c r="R102" i="2"/>
  <c r="P102" i="2" s="1"/>
  <c r="R36" i="2"/>
  <c r="P36" i="2" s="1"/>
  <c r="S36" i="2"/>
  <c r="B104" i="2" l="1"/>
  <c r="S103" i="2"/>
  <c r="R103" i="2"/>
  <c r="P103" i="2" s="1"/>
  <c r="B105" i="2" l="1"/>
  <c r="S104" i="2"/>
  <c r="R104" i="2"/>
  <c r="P104" i="2" s="1"/>
  <c r="B106" i="2" l="1"/>
  <c r="S105" i="2"/>
  <c r="R105" i="2"/>
  <c r="P105" i="2" s="1"/>
  <c r="B107" i="2" l="1"/>
  <c r="S106" i="2"/>
  <c r="R106" i="2"/>
  <c r="P106" i="2" s="1"/>
  <c r="B108" i="2" l="1"/>
  <c r="S107" i="2"/>
  <c r="R107" i="2"/>
  <c r="P107" i="2" s="1"/>
  <c r="B109" i="2" l="1"/>
  <c r="S108" i="2"/>
  <c r="R108" i="2"/>
  <c r="P108" i="2" s="1"/>
  <c r="B110" i="2" l="1"/>
  <c r="S109" i="2"/>
  <c r="R109" i="2"/>
  <c r="P109" i="2" s="1"/>
  <c r="B111" i="2" l="1"/>
  <c r="S110" i="2"/>
  <c r="R110" i="2"/>
  <c r="P110" i="2" s="1"/>
  <c r="B112" i="2" l="1"/>
  <c r="S111" i="2"/>
  <c r="R111" i="2"/>
  <c r="P111" i="2" s="1"/>
  <c r="B113" i="2" l="1"/>
  <c r="S112" i="2"/>
  <c r="R112" i="2"/>
  <c r="P112" i="2" s="1"/>
  <c r="B114" i="2" l="1"/>
  <c r="S113" i="2"/>
  <c r="R113" i="2"/>
  <c r="P113" i="2" s="1"/>
  <c r="B115" i="2" l="1"/>
  <c r="S114" i="2"/>
  <c r="R114" i="2"/>
  <c r="P114" i="2" s="1"/>
  <c r="B116" i="2" l="1"/>
  <c r="S115" i="2"/>
  <c r="R115" i="2"/>
  <c r="P115" i="2" s="1"/>
  <c r="B117" i="2" l="1"/>
  <c r="S116" i="2"/>
  <c r="R116" i="2"/>
  <c r="P116" i="2" s="1"/>
  <c r="B118" i="2" l="1"/>
  <c r="S117" i="2"/>
  <c r="R117" i="2"/>
  <c r="P117" i="2" s="1"/>
  <c r="B119" i="2" l="1"/>
  <c r="S118" i="2"/>
  <c r="R118" i="2"/>
  <c r="P118" i="2" s="1"/>
  <c r="B120" i="2" l="1"/>
  <c r="S119" i="2"/>
  <c r="R119" i="2"/>
  <c r="P119" i="2" s="1"/>
  <c r="B121" i="2" l="1"/>
  <c r="S120" i="2"/>
  <c r="R120" i="2"/>
  <c r="P120" i="2" s="1"/>
  <c r="B122" i="2" l="1"/>
  <c r="S121" i="2"/>
  <c r="R121" i="2"/>
  <c r="P121" i="2" s="1"/>
  <c r="B123" i="2" l="1"/>
  <c r="S122" i="2"/>
  <c r="R122" i="2"/>
  <c r="P122" i="2" s="1"/>
  <c r="B124" i="2" l="1"/>
  <c r="S123" i="2"/>
  <c r="R123" i="2"/>
  <c r="P123" i="2" s="1"/>
  <c r="B125" i="2" l="1"/>
  <c r="S124" i="2"/>
  <c r="R124" i="2"/>
  <c r="P124" i="2" s="1"/>
  <c r="B126" i="2" l="1"/>
  <c r="S125" i="2"/>
  <c r="R125" i="2"/>
  <c r="P125" i="2" s="1"/>
  <c r="B127" i="2" l="1"/>
  <c r="S126" i="2"/>
  <c r="R126" i="2"/>
  <c r="P126" i="2" s="1"/>
  <c r="B128" i="2" l="1"/>
  <c r="S127" i="2"/>
  <c r="R127" i="2"/>
  <c r="P127" i="2" s="1"/>
  <c r="B129" i="2" l="1"/>
  <c r="S128" i="2"/>
  <c r="R128" i="2"/>
  <c r="P128" i="2" s="1"/>
  <c r="B130" i="2" l="1"/>
  <c r="S129" i="2"/>
  <c r="R129" i="2"/>
  <c r="P129" i="2" s="1"/>
  <c r="B131" i="2" l="1"/>
  <c r="S130" i="2"/>
  <c r="R130" i="2"/>
  <c r="P130" i="2" s="1"/>
  <c r="B132" i="2" l="1"/>
  <c r="S131" i="2"/>
  <c r="R131" i="2"/>
  <c r="P131" i="2" s="1"/>
  <c r="B133" i="2" l="1"/>
  <c r="S132" i="2"/>
  <c r="R132" i="2"/>
  <c r="P132" i="2" s="1"/>
  <c r="B134" i="2" l="1"/>
  <c r="S133" i="2"/>
  <c r="R133" i="2"/>
  <c r="P133" i="2" s="1"/>
  <c r="B135" i="2" l="1"/>
  <c r="S134" i="2"/>
  <c r="R134" i="2"/>
  <c r="P134" i="2" s="1"/>
  <c r="B136" i="2" l="1"/>
  <c r="S135" i="2"/>
  <c r="R135" i="2"/>
  <c r="P135" i="2" s="1"/>
  <c r="B137" i="2" l="1"/>
  <c r="S136" i="2"/>
  <c r="R136" i="2"/>
  <c r="P136" i="2" s="1"/>
  <c r="B138" i="2" l="1"/>
  <c r="S137" i="2"/>
  <c r="R137" i="2"/>
  <c r="P137" i="2" s="1"/>
  <c r="B139" i="2" l="1"/>
  <c r="S138" i="2"/>
  <c r="R138" i="2"/>
  <c r="P138" i="2" s="1"/>
  <c r="B140" i="2" l="1"/>
  <c r="S139" i="2"/>
  <c r="R139" i="2"/>
  <c r="P139" i="2" s="1"/>
  <c r="B141" i="2" l="1"/>
  <c r="S140" i="2"/>
  <c r="R140" i="2"/>
  <c r="P140" i="2" s="1"/>
  <c r="B142" i="2" l="1"/>
  <c r="S141" i="2"/>
  <c r="R141" i="2"/>
  <c r="P141" i="2" s="1"/>
  <c r="B143" i="2" l="1"/>
  <c r="S142" i="2"/>
  <c r="R142" i="2"/>
  <c r="P142" i="2" s="1"/>
  <c r="B144" i="2" l="1"/>
  <c r="S143" i="2"/>
  <c r="R143" i="2"/>
  <c r="P143" i="2" s="1"/>
  <c r="P160" i="2" s="1"/>
  <c r="B145" i="2" l="1"/>
  <c r="S144" i="2"/>
  <c r="R144" i="2"/>
  <c r="R145" i="2" l="1"/>
  <c r="S145" i="2"/>
</calcChain>
</file>

<file path=xl/sharedStrings.xml><?xml version="1.0" encoding="utf-8"?>
<sst xmlns="http://schemas.openxmlformats.org/spreadsheetml/2006/main" count="851" uniqueCount="479">
  <si>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</si>
  <si>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</si>
  <si>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</si>
  <si>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</si>
  <si>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</si>
  <si>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</si>
  <si>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</si>
  <si>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</si>
  <si>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</si>
  <si>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</si>
  <si>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</si>
  <si>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</si>
  <si>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</si>
  <si>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</si>
  <si>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</si>
  <si>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</si>
  <si>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</si>
  <si>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</si>
  <si>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</si>
  <si>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</si>
  <si>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</si>
  <si>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</si>
  <si>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</si>
  <si>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</si>
  <si>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</si>
  <si>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</si>
  <si>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</si>
  <si>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</si>
  <si>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</si>
  <si>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</si>
  <si>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</si>
  <si>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</si>
  <si>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</si>
  <si>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</si>
  <si>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</si>
  <si>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</si>
  <si>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</si>
  <si>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</si>
  <si>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</si>
  <si>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</si>
  <si>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</si>
  <si>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</si>
  <si>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</si>
  <si>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</si>
  <si>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</si>
  <si>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</si>
  <si>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</si>
  <si>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</si>
  <si>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</si>
  <si>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</si>
  <si>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</si>
  <si>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</si>
  <si>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</si>
  <si>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</si>
  <si>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</si>
  <si>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</si>
  <si>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</si>
  <si>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</si>
  <si>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</si>
  <si>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</si>
  <si>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</si>
  <si>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</si>
  <si>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</si>
  <si>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</si>
  <si>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</si>
  <si>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</si>
  <si>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</si>
  <si>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</si>
  <si>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</si>
  <si>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</si>
  <si>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</si>
  <si>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</si>
  <si>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</si>
  <si>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</si>
  <si>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</si>
  <si>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</si>
  <si>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</si>
  <si>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</si>
  <si>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</si>
  <si>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</si>
  <si>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</si>
  <si>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</si>
  <si>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</si>
  <si>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</si>
  <si>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</si>
  <si>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</si>
  <si>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</si>
  <si>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</si>
  <si>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</si>
  <si>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</si>
  <si>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</si>
  <si>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</si>
  <si>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</si>
  <si>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</si>
  <si>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</si>
  <si>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</si>
  <si>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</si>
  <si>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</si>
  <si>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</si>
  <si>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</si>
  <si>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</si>
  <si>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</si>
  <si>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</si>
  <si>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</si>
  <si>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</si>
  <si>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Fino, Claudia</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</si>
  <si>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</si>
  <si>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</si>
  <si>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</si>
  <si>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</si>
  <si>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</si>
  <si>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</si>
  <si>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</si>
  <si>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</si>
  <si>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</si>
  <si>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</si>
  <si>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</si>
  <si>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Rodoni, Sergio</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</si>
  <si>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</si>
  <si>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</si>
  <si>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</si>
  <si>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</si>
  <si>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</si>
  <si>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</si>
  <si>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</si>
  <si>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</si>
  <si>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</si>
  <si>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</si>
  <si>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</si>
  <si>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</si>
  <si>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</si>
  <si>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</si>
  <si>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</si>
  <si>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</si>
  <si>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</si>
  <si>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</si>
  <si>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</si>
  <si>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Streger, Javier</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</si>
  <si>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</si>
  <si>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</si>
  <si>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</si>
  <si>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</si>
  <si>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</si>
  <si>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</si>
  <si>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</si>
  <si>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</si>
  <si>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</si>
  <si>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</si>
  <si>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</si>
  <si>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</si>
  <si>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Fondo de reserva</t>
  </si>
  <si>
    <t>TOTAL  SEGUROS</t>
  </si>
  <si>
    <t>TOTAL APORTES Y CONTRIBUCIONES</t>
  </si>
  <si>
    <t>TOTAL HONORARIOS</t>
  </si>
  <si>
    <t>TOTAL  GASTOS BANCARIOS</t>
  </si>
  <si>
    <t>SUMA DE GASTOS - ABONOS DE SERVICIOS</t>
  </si>
  <si>
    <t>Egresos abonos y servicios</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</si>
  <si>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</si>
  <si>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</si>
  <si>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</si>
  <si>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</si>
  <si>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</si>
  <si>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 xml:space="preserve">ANOTACION </t>
  </si>
  <si>
    <t>FECHA DE LA ANOTACION:</t>
  </si>
  <si>
    <t>QUEJA VIA:</t>
  </si>
  <si>
    <t>WHATSAPP</t>
  </si>
  <si>
    <t>MAIL</t>
  </si>
  <si>
    <t>FECHA DE LA QUEJA:</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</si>
  <si>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</si>
  <si>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</si>
  <si>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</si>
  <si>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</si>
  <si>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</si>
  <si>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</si>
  <si>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</si>
  <si>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</si>
  <si>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</si>
  <si>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</si>
  <si>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</si>
  <si>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</si>
  <si>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Allianz (Cuit.: 30--50003721-7) - Seguro Técnico - Póliza N° 240210705270; Vto.01/09/2025</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</si>
  <si>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</si>
  <si>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</si>
  <si>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</si>
  <si>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</si>
  <si>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</si>
  <si>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</si>
  <si>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</si>
  <si>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</si>
  <si>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</si>
  <si>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</si>
  <si>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</si>
  <si>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</si>
  <si>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</si>
  <si>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</si>
  <si>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</si>
  <si>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Flow (Cuit: 30-63945373-8) - Fc.05443741 (Servicio de WIFI 2025)</t>
  </si>
  <si>
    <t>Telecom (Cuit.: 30-63945373-8) - (Abono celular Intendencia)</t>
  </si>
  <si>
    <t>HUANG (CHINO)</t>
  </si>
  <si>
    <t>Imsael Matta</t>
  </si>
  <si>
    <t>Noemi</t>
  </si>
  <si>
    <t>Fattorini sergio</t>
  </si>
  <si>
    <t>ROSSI PATRICIA</t>
  </si>
  <si>
    <t>RECAUDACIONES Y PAGOS SA</t>
  </si>
  <si>
    <t>Luis Grecco Y Karina</t>
  </si>
  <si>
    <t>Flores javier roberto</t>
  </si>
  <si>
    <t>Nicolas Esteban Gutierrez</t>
  </si>
  <si>
    <t>Avicola lanus a nombre de Tamara en el mail</t>
  </si>
  <si>
    <t>avicola lanus a nombre de tamara en el mail</t>
  </si>
  <si>
    <t>Suavenol</t>
  </si>
  <si>
    <t>Deposita, tambien paga el 132</t>
  </si>
  <si>
    <t>Santangelo - Deposita</t>
  </si>
  <si>
    <t>Deposita - Andrea Iglesias</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</si>
  <si>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</si>
  <si>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</si>
  <si>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</si>
  <si>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</si>
  <si>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</si>
  <si>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</si>
  <si>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</si>
  <si>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</si>
  <si>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</si>
  <si>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</si>
  <si>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</si>
  <si>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</si>
  <si>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</si>
  <si>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</si>
  <si>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</si>
  <si>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mercedes arias &lt;mercedesarias2005@hotmail.com&gt;</t>
  </si>
  <si>
    <t>Velazco Velasco Gisela</t>
  </si>
  <si>
    <t>Grey Brick SA</t>
  </si>
  <si>
    <t>Calabro, Evangelina</t>
  </si>
  <si>
    <t>Lorena Mazzeo</t>
  </si>
  <si>
    <t>Guillermo rodriguez</t>
  </si>
  <si>
    <t>Ines / Jorge o Ayestaran Melanie que es la inquilina</t>
  </si>
  <si>
    <t>Andrea Juarez Cecilia</t>
  </si>
  <si>
    <t>Maria Laura Lopez</t>
  </si>
  <si>
    <t>Compensacion expensas lote 140 - 141:</t>
  </si>
  <si>
    <t>TOTAL GASTOS ORDINARIOS + ABONOS Y SERVICIOS</t>
  </si>
  <si>
    <t>FONDO SUPER AHORRO PLUS</t>
  </si>
  <si>
    <t>COMPENSACION EXP. LOTE 140/141</t>
  </si>
  <si>
    <t>Saldo anterior total</t>
  </si>
  <si>
    <t>Ingreso total</t>
  </si>
  <si>
    <t>Interes</t>
  </si>
  <si>
    <t>Total</t>
  </si>
  <si>
    <t xml:space="preserve">FECHA DE INICIO - 21/04/2025 </t>
  </si>
  <si>
    <t>CAJA EFECTIVO</t>
  </si>
  <si>
    <t>RESUMEN CAJA GENERAL</t>
  </si>
  <si>
    <t xml:space="preserve"> </t>
  </si>
  <si>
    <t>Santiago Roman Ramirez</t>
  </si>
  <si>
    <t>Ezequiel De la calle</t>
  </si>
  <si>
    <t>Maria Ximena Vizzini / P Sur Srl</t>
  </si>
  <si>
    <t>Ariel Sposito</t>
  </si>
  <si>
    <t>Deposito sin identificar - correspondientes a estas expensas</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</si>
  <si>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</si>
  <si>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</si>
  <si>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Fernando Rivero y Mónica Cádiz</t>
  </si>
  <si>
    <t>Honorarios arquitectura - Srta. Burgos Oros Johanna Melanie - Fc. 00000085</t>
  </si>
  <si>
    <t>Edesur (Cuit.: 30-65511652-1) - Periodo liquidado 2do tramo bimestre 3 del 2025</t>
  </si>
  <si>
    <t>Potes Paula Vanesa</t>
  </si>
  <si>
    <t>Teresa Angelica Agustin - Emiliano Piergiovanni</t>
  </si>
  <si>
    <t>Gergoff Ninoff Milagros Florencia / Diego soto / Profirio Soto</t>
  </si>
  <si>
    <t xml:space="preserve"> de nardi paula andrea</t>
  </si>
  <si>
    <t>Cristian Colson</t>
  </si>
  <si>
    <t>Noelia Franccini</t>
  </si>
  <si>
    <t>CAROLINA GIACCHETTI carolinagiacchetti@hotmail.com / Maria alejandra Ceballos</t>
  </si>
  <si>
    <t>ConstruHap - Veronica Laura Maggiot</t>
  </si>
  <si>
    <t>Sergio Decaira / De caira</t>
  </si>
  <si>
    <t>Centurion Sergio Cesar</t>
  </si>
  <si>
    <t>maria jose de la nativ penaloza gonzalez</t>
  </si>
  <si>
    <t>Deposita, tambien paga el lote 18 - Santiago Jorge Claps</t>
  </si>
  <si>
    <t>Horacio oscar brescia - Estefania Tortorisi</t>
  </si>
  <si>
    <t>Gustavo Kearney &lt;gkearney@batt.com.ar&gt; - maranata perfumeria</t>
  </si>
  <si>
    <t>Daniela Cabral</t>
  </si>
  <si>
    <t>Gastos particulares / Multas / SUM</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</si>
  <si>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</si>
  <si>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</si>
  <si>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</si>
  <si>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</si>
  <si>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ventas@quimicaros.com.ar</t>
  </si>
  <si>
    <t xml:space="preserve"> maranata perfumeria</t>
  </si>
  <si>
    <t>Ad Premed SRL</t>
  </si>
  <si>
    <t xml:space="preserve"> De mela Innovaciones SRL tiene el 24 y 58</t>
  </si>
  <si>
    <t xml:space="preserve">Analía Celeste Cáceres </t>
  </si>
  <si>
    <t>Diego Damino</t>
  </si>
  <si>
    <t>Andrea iglesias</t>
  </si>
  <si>
    <t>Agustina Palermo</t>
  </si>
  <si>
    <t>Gonzalo Raul Fernandez - ivanalagolosinerasrl@gmail.com</t>
  </si>
  <si>
    <t>Mariela Carrasco &lt;marielacarrasco20@gmail.com&gt;</t>
  </si>
  <si>
    <t>PAGOS UNIVERSALES SA/  GLOBAL TT S.A. / GLOBAT</t>
  </si>
  <si>
    <t xml:space="preserve">118 120 y 121. </t>
  </si>
  <si>
    <t>Suzel Valiña</t>
  </si>
  <si>
    <t>Transfirio a nombre de pagos rep s.a $306.500 el 01/09</t>
  </si>
  <si>
    <t>Claudio Giarmana</t>
  </si>
  <si>
    <t>Ximena Vizzini</t>
  </si>
  <si>
    <t>ADRIAN CLAUDIO GIARMAN / JOSEFINA GIORDANI / Milagros Anahi Sanchez / Leonardo Alexis Fama / Maria Antonella Rodriguez / Raul Alejandro Davalos</t>
  </si>
  <si>
    <t>El imperio RYL - Ticket 7146 - Articulos de limpieza</t>
  </si>
  <si>
    <t>Federacion patronal -  Poliza nro. 1-2195343-0 - Riesgo integral de barrios privados</t>
  </si>
  <si>
    <t>Federacion patronal -  Poliza nro. 1-77459-6 - Seguro de vida obligatorio Sr. Maximiliano Abbruzzese</t>
  </si>
  <si>
    <t>Debito autom.</t>
  </si>
  <si>
    <t>Ramirez Francisco - Fc. 00000476 - Alquiler de volquetes</t>
  </si>
  <si>
    <t>OMS (Cuit.: 30-71568933-9) - Fc.00002637 (Abono mantenimiento planta de tratamiento)</t>
  </si>
  <si>
    <t>Cafrathela SA - Carolina Carena</t>
  </si>
  <si>
    <t>Diego Soto y Hernan Soto</t>
  </si>
  <si>
    <t>Cecilia Labala</t>
  </si>
  <si>
    <t xml:space="preserve">Deposita - pamela </t>
  </si>
  <si>
    <t>Medizin - ProlijoLimp SA - COBRO EXPRESS BUENOS AIRES SA</t>
  </si>
  <si>
    <t>Montenievas SRL</t>
  </si>
  <si>
    <t>Ordinarios:</t>
  </si>
  <si>
    <t>QUIENES EN LA COLUMNA DENOMINADA "DEUDA O SALDO A FAVOR" OBSERVEN UN NÚMERO NEGATIVO, SIGNIFICA QUE EN EXPENSAS ANTERIORES ABONARON DE MÁS Y CUENTAN CON DINERO A FAVOR. EL MONTO A ABONAR FIGURA EN LA COLUMNA DENOMINADA "TOTAL".</t>
  </si>
  <si>
    <t xml:space="preserve">Transfirio $374.190,00 </t>
  </si>
  <si>
    <t xml:space="preserve">dora lidia schunk
</t>
  </si>
  <si>
    <t>24 y 55</t>
  </si>
  <si>
    <t xml:space="preserve">
gabriela@cuordimela.com.ar</t>
  </si>
  <si>
    <t>Leer su mail, ya que ademas de preguntar por una supuesta deud aincorrecta del lote , adjunta pagos del lote 24 y 55 SIN respetar centavos el dia 18/09 $Pago  1.519.504,39</t>
  </si>
  <si>
    <t>Marcos straniese</t>
  </si>
  <si>
    <t>Deposito 600,000 el 19/09</t>
  </si>
  <si>
    <t>Transfirio $690.700 el 22/09</t>
  </si>
  <si>
    <t>Luis andres Grecco</t>
  </si>
  <si>
    <t>17 y 117</t>
  </si>
  <si>
    <t>Deposito $680.000 el dia 23/09</t>
  </si>
  <si>
    <t>Juan ingancio santangelo</t>
  </si>
  <si>
    <t>Transfirio el 23/09 $738.000 para el lote 112</t>
  </si>
  <si>
    <t>Deposito $550.000 y $143.000 el dia 22/09</t>
  </si>
  <si>
    <t>Viviana Lusero</t>
  </si>
  <si>
    <t>Deposita siempre - Viviana Lusero</t>
  </si>
  <si>
    <t>albrech adrian -  Belén Brog</t>
  </si>
  <si>
    <t>El mes pasado el lote 117 abono: $765.800,17 y se lo pusimos a la 17. ya informamos por mail. Corregir eso</t>
  </si>
  <si>
    <t>Sebastian Ruiz</t>
  </si>
  <si>
    <t xml:space="preserve">Pago 672185,54 el 03/09 y dice que no se lo imputamos. Le explicamos que esto surge por el delay de siempre, y que si le quitamos los punitorios el debe abonar:  $ 672.229,54  </t>
  </si>
  <si>
    <t>Ignacio Escudero</t>
  </si>
  <si>
    <t>13 16 32 33 86 158 159 y 168</t>
  </si>
  <si>
    <t>JP GIORDANO</t>
  </si>
  <si>
    <t>Deposito de $6.163.000 Carolina buenas tardes. Te adjunto comprobante de pago de expensas para los lotes 13 16 32 33 86 158 159 y 168
El excedente de $549,35 déjamelos a favor en lote 32 si podes</t>
  </si>
  <si>
    <t>$1.372.603 PAGO EL LOTE 31 EÑ 25/09</t>
  </si>
  <si>
    <t>$1.372.604 PAGO EL LOTE 31 EL 25/09</t>
  </si>
  <si>
    <t>Silvina Tonniuti</t>
  </si>
  <si>
    <t>Deposito el dia 26/09 $650.000</t>
  </si>
  <si>
    <t>Alejandro Korin</t>
  </si>
  <si>
    <t>Andrea juarez</t>
  </si>
  <si>
    <t>Transfirio $638.000 el 28/09 - Sin centavos</t>
  </si>
  <si>
    <t>Tosi german lucas o nitapaula0684@gmail.com / Ana Paula</t>
  </si>
  <si>
    <t>Romina Troppelli - Deposita o  si tansfiere informa por mail  desde rominita09@hotmail.com</t>
  </si>
  <si>
    <t>Transfirio $672.230 el 29/09 - Sin centavos</t>
  </si>
  <si>
    <t>Martin francisco Lopez zavallo</t>
  </si>
  <si>
    <t xml:space="preserve">Maria Eugenia Bachratz - Martin francisco Lopez zavallo
</t>
  </si>
  <si>
    <t>Julieta de Santis</t>
  </si>
  <si>
    <t>Deposito el dia 29/09  $4,000, 282.000, 360.000</t>
  </si>
  <si>
    <t>Hizo un cheque el 29/08 $2.235.000 y quedo pendiente - ademas abono el 29/09 $391.427</t>
  </si>
  <si>
    <t>Teresa Angelica Agustin</t>
  </si>
  <si>
    <t>Transfirio el dia 29/09  $351.000</t>
  </si>
  <si>
    <t>Los depositos del 29/08 no identificados son de ella (200000+300000+180000) . Si abona $683.619,96 tiene que quedar con $0 de deuda - El 29/09 deposito 684.000</t>
  </si>
  <si>
    <t>Transfirio el dia 30/09  $1.200.000</t>
  </si>
  <si>
    <t>estefania tortorici</t>
  </si>
  <si>
    <t>Diego Humberto Hernandez</t>
  </si>
  <si>
    <t>Deposito el dia 30/09  $672.500</t>
  </si>
  <si>
    <t>Viviana papa</t>
  </si>
  <si>
    <t>Nico gutierrez</t>
  </si>
  <si>
    <t>En teoria:                                                                                                                                                                                 El día 1/9 hizo un pago de $692.883,91.
El día 29/9 hizo un pago de $678.759,91. Si esto es asi se le restan $20.993 de punitorios su deuda deberia quedar en 0</t>
  </si>
  <si>
    <t>37 y 137</t>
  </si>
  <si>
    <t>Transfirio $650.000 el 30/09</t>
  </si>
  <si>
    <t>Deposito el dia 29/09  752.000 para el lote 130 - Luego transfirio $672.229,41 para el 41</t>
  </si>
  <si>
    <t>41 - 130</t>
  </si>
  <si>
    <t>Ariel manzo</t>
  </si>
  <si>
    <t>Transfirio $1.000.000 el 30/09</t>
  </si>
  <si>
    <t>El mes pasado al lote 37 le pusimos abonado lo que habia pagado el lote 137. Avisar a ambos y corregir. Este mes transfirio el 30/09 $734.329 (El 137)</t>
  </si>
  <si>
    <t>Noelia Franchini</t>
  </si>
  <si>
    <t>Transfirio el 30/09 con ,01 centavos cuando es el lote 107. Transfirio $629.129,01</t>
  </si>
  <si>
    <t>Transfirio : $281.562 Lote 106 el 03/09 - Luego Raul Alejandro Davalos - (desde el mail de josefina) - pago $745.800 el 04/09 - Luego el 30/09 pago $65,000</t>
  </si>
  <si>
    <t>Transfirio : $301.521 Lote 38 el 03/09 - Luego el 30/09 $310.500</t>
  </si>
  <si>
    <t>Transfirio el 30/09  Transfirio $734.330</t>
  </si>
  <si>
    <t>Pamela</t>
  </si>
  <si>
    <t>DEPOSITO SIN IDENTIFICAR DEL 6/8 1.980.000 ES DEL LOTE 28</t>
  </si>
  <si>
    <t xml:space="preserve">Gastos a recuperar por la administracion - abonados en efectivo </t>
  </si>
  <si>
    <t>ATENCION, QUILOMBO EN PUERTA: EL LOTE 44 HABIA PAGADO EL 28/08 -  MES ANTERIOR $1.268.347,44 Y NOSTROS NO LO PUSIMOS EN NINGUN LADO, NI COMO NO IDENTIFICADO NI EN EL PRORRATEO.</t>
  </si>
  <si>
    <t>VTO 31/10</t>
  </si>
  <si>
    <t>Sueldo intendencia - Maximiliano Abbruzzese - SEPTIEMBRE</t>
  </si>
  <si>
    <t>Deducciones mes de SEPTIEMBRE</t>
  </si>
  <si>
    <t>Redondeo mes de SEPTIEMBRE</t>
  </si>
  <si>
    <t>ARCA - Mes de AGOSTO</t>
  </si>
  <si>
    <t>Sindicatos mes de AGOSTO</t>
  </si>
  <si>
    <t xml:space="preserve">PERÍODO: SEPTIEMBRE </t>
  </si>
  <si>
    <t>CUIT: 30-71618269-6</t>
  </si>
  <si>
    <t>ADMINISTRADORA: CAROLINA CANCIANI MP:1148</t>
  </si>
  <si>
    <t>Mirez Segio - Fc. 00000047 - Colocacion de reflectores en doble altura en cancha de tenis - Zanjeo y tendido de cable para alimentacion de jirafa perimetral</t>
  </si>
  <si>
    <t>Transf 24/09</t>
  </si>
  <si>
    <t>Transf 23/09</t>
  </si>
  <si>
    <t>Comitini Pablo Enrique - CUIT: 30716182696 - Fc. 000184 - Instalacion de reloj fichador</t>
  </si>
  <si>
    <t>Transf 22/09</t>
  </si>
  <si>
    <t>Armella Cristian - CUIT: 20371419234 - Fc. 00014 - Extraccion de arbol</t>
  </si>
  <si>
    <t>Mirez Segio - Fc. 00000046 - Colocacion de 8 tomas corrientes nuevos en puestos de vigilancia 2 y dos tomas en puesto 1</t>
  </si>
  <si>
    <t>Transf 18/09</t>
  </si>
  <si>
    <t>Ramirez Francisco - Fc. 00000484 - Alquiler de volquetes</t>
  </si>
  <si>
    <t>Pelex S.A - Fc. 000000012 - 2 cuota de 6 etapa 2 - Obra paredon Perimetal</t>
  </si>
  <si>
    <t>SA seguridad - Fc. 00000418 - CUIT: 30716182696 - Servicio de reparacion tecnico de barrera</t>
  </si>
  <si>
    <t>Transf 05/09</t>
  </si>
  <si>
    <t>Taller 4 - Fc. 00000000218 - CUIT: 30715435175 - Ploteo de vallas</t>
  </si>
  <si>
    <t>Transf 16/09</t>
  </si>
  <si>
    <t>Transf 15/09</t>
  </si>
  <si>
    <t>Matafuegos Fire SRL - Fc. 00023340 - CUIT: 30716182696 - Recarga de matafuegos</t>
  </si>
  <si>
    <t xml:space="preserve">Axin (Cuit.: 30-70858249-9) </t>
  </si>
  <si>
    <t>Transf 5/09</t>
  </si>
  <si>
    <t>Alonso Bado Javier - Alquiler mensual vehiculo electrico abierto con seguro incluido - Mes de SEPTIEMBRE - Fc. 0001163</t>
  </si>
  <si>
    <t>Ramirez Francisco - Fc. 00000480 - Alquiler de volquetes</t>
  </si>
  <si>
    <t>Transf 01/09</t>
  </si>
  <si>
    <t>GOLD (Cuit.: 33-71225773-9) - Fc.0000403 (Servicio de Seguridad AGOSTO 2025)</t>
  </si>
  <si>
    <t>Evento 09/08/2025 - UF 122 de 19 a 02 hs</t>
  </si>
  <si>
    <t>Evento 16/08/2025 - UF 94 de 11 a 18 hs</t>
  </si>
  <si>
    <t>Valiente Margio Jose - CUIT: 30716182696 - Fc. 0000176 - Servicio de asesoramiento y asistencia tecnica en materia de seguridad, higiene y medioambiente - Agosto</t>
  </si>
  <si>
    <t>Transf 08/09</t>
  </si>
  <si>
    <t>Transf 09/09</t>
  </si>
  <si>
    <t>Recicla Brown- CUIT: 30-71633401-1 - Servicio de recoleccion de residuos solidos urbanos con frecuencia de un retiro a la semana correspondiente al mes de AGOSTO - Fc. 0000000062</t>
  </si>
  <si>
    <t>Efectivo 09/09</t>
  </si>
  <si>
    <t>Transf 10/09</t>
  </si>
  <si>
    <t>Ramirez Francisco - Fc. 00000482 - Alquiler de volquetes</t>
  </si>
  <si>
    <t>Transf 11/09</t>
  </si>
  <si>
    <t>Debito 01/09</t>
  </si>
  <si>
    <t>Debito 02/09</t>
  </si>
  <si>
    <t>Covelia SA - Servicio de recoleccion de residuos domiciliarios correspondientes al mes de Agosto  - CUIT: 30707242961 -Fc. 00004342</t>
  </si>
  <si>
    <t>Covelia SA - Servicio de recoleccion de residuos domiciliarios correspondientes al mes de Julio - CUIT: 30707242961 - Fc. 0004310</t>
  </si>
  <si>
    <t>Debito 04/09</t>
  </si>
  <si>
    <t>Axin (Cuit.: 30-70858249-9) - Mes anterior no se habia abonado</t>
  </si>
  <si>
    <t>Honorarios administracion - Mes de SEPTIEMBRE Fc. 00000213</t>
  </si>
  <si>
    <t>Honorarios administracion - Mes de AGOSTO Fc. 00000200</t>
  </si>
  <si>
    <t xml:space="preserve">Servicios arquitectura - Srita. Melanie Burgos Oros - Lotes 9 - 13 - 16 - 48 - 51 - 56 - 68 - 146 - 62 </t>
  </si>
  <si>
    <t>Debito 05/09</t>
  </si>
  <si>
    <t>Debito 12/09</t>
  </si>
  <si>
    <t>Armella Cristian - CUIT: 20371419234 - Fc. 0016 - Mantenimiento espacios verdes</t>
  </si>
  <si>
    <t>Armella Cristian - CUIT: 20371419234 - Fc. 0021 - Extraccion de arbol grande</t>
  </si>
  <si>
    <t>Armella Cristian - CUIT: 20371419234 - Fc. 0018 - Extraccion de arbol grande</t>
  </si>
  <si>
    <t xml:space="preserve">Gabriel Demetrio Muzyka - Arreglo enrrejado cancha de futbol  - Soladado de 6 grampas y cambio de tornillos sueltos </t>
  </si>
  <si>
    <t>Vazquez (Cuit.: 30-55987767-7) - Fc. 00000212 (Prestación servicio de contenedores - AGOSTO + Servicio de descarga)</t>
  </si>
  <si>
    <t>El imperio RYL - Ticket 7149  - Articulos de limpieza</t>
  </si>
  <si>
    <t>Servicio Polad - Mes de AGOSTO - Valor de la hora $6.262,83 (726hs en total)</t>
  </si>
  <si>
    <t>Recicladora Ecopiano SRL - Fc. 00000220 - CUIT: 33717708739 - Anticipo 30% por pisos de 20mm para el gimnasio</t>
  </si>
  <si>
    <t>Debito 15/09</t>
  </si>
  <si>
    <t>RYM Grup - Fc. 0000001 - CUIT: 30716182696 - Trabajos de herreria en donde se completa lo adelantado ($700.000 22/08) el mes anterior</t>
  </si>
  <si>
    <t>Electro DRF - Compra de lamparas, cablecanal, cable tipo taller  y cinta - Fc. 00037703</t>
  </si>
  <si>
    <t>Covelia SA - Recoleccion de ramas - CUIT: 30707242961</t>
  </si>
  <si>
    <t>Transf 25/09</t>
  </si>
  <si>
    <t>Electro DRF - 5 reflectores led 12W luz fria, proyectores led (2) IP65 400W - Fc. 00037849</t>
  </si>
  <si>
    <t>Transf 29/09</t>
  </si>
  <si>
    <t xml:space="preserve">La imperial - CUIT: 20386056359 - Fc. 00140 - Trabajo de vallas </t>
  </si>
  <si>
    <t xml:space="preserve">La imperial - CUIT: 20386056359 - Fc. 00141 - Trabajo de vallas </t>
  </si>
  <si>
    <t>Ramirez Francisco - Fc. 00000492 - Alquiler de volquetes</t>
  </si>
  <si>
    <t>Penna Iara Selva - CUIT: 27228428243 - Fc. 000001010 - Compra de teclados puesto 1</t>
  </si>
  <si>
    <t>Comitini Pablo Enrique - CUIT: 30716182696 - Fc. 000184 -Recableado portero y switch poe</t>
  </si>
  <si>
    <t>Indrieri Leandro Maximiliano - Fc.15175 - CUIT: 20328418518 - Compra roldana y perno gimnasio -  A recuperar por administracion</t>
  </si>
  <si>
    <t>Transf 02/09</t>
  </si>
  <si>
    <t>Palubinskas Fernando Nestor - Bidones de Agua cimes de 20lts - Fc. 01323</t>
  </si>
  <si>
    <t>TOTAL AL 30/09</t>
  </si>
  <si>
    <t>Grey Brick - Fc. 000000921 - Certificacion de obra pavimento correspondiente a SEPTIEMBRE</t>
  </si>
  <si>
    <t>Recaudaciones y pagos -  Suzel Valiña &lt;valisule@gmail.com&gt; - Paga 118 , 120 y 121 - Pagos Rep. SA / AGIL PAGOS</t>
  </si>
  <si>
    <t>Punitorios no correspondidos - Lote 91</t>
  </si>
  <si>
    <t xml:space="preserve"> JAVIER ALBERTO ANDRES - TAMBIEN TIENE EL LOTE 204</t>
  </si>
  <si>
    <t xml:space="preserve"> JAVIER ALBERTO ANDRES - TAMBIEN TIENE EL LOTE 23</t>
  </si>
  <si>
    <t>QUERCIA LUCIO - QAM SRL</t>
  </si>
  <si>
    <t>Vivienda Everhouse</t>
  </si>
  <si>
    <t>Punitorios no correspondidos - Lote 117</t>
  </si>
  <si>
    <t>Deposito el 24/09 $700.000</t>
  </si>
  <si>
    <t>Deposito el dia 26/09 $640.000</t>
  </si>
  <si>
    <t>Nicolas / Cecilia Andrea</t>
  </si>
  <si>
    <t>Punitorios no correspondidos - Lote 96</t>
  </si>
  <si>
    <t>Punitorios no correspondidos - Lote 137</t>
  </si>
  <si>
    <t>Punitorios no correspondidos - Lote 54</t>
  </si>
  <si>
    <t>ad RUIZ DIAZ - Maria agustina Falcone - Barbero Francisco</t>
  </si>
  <si>
    <t>Sandirs</t>
  </si>
  <si>
    <t>Deposito ya identificado mes anterior - 06/08</t>
  </si>
  <si>
    <t>Copiscoop - Compra de libro de actas - Registro de residuos - Ticket nro. 61627</t>
  </si>
  <si>
    <t>Efect.</t>
  </si>
  <si>
    <t>Cejas, Mariana/Petenello, Manuel</t>
  </si>
  <si>
    <t>Transferencia sin identificar - Gabriela Fernanda Roja - Dia 18/09</t>
  </si>
  <si>
    <t>Liliana Miravalle/Gustavo Di Biase</t>
  </si>
  <si>
    <t>Adminar SA y Lobison - Collectic Service - Liliana Andrea Miravalle y Gustavo Aníbal Di Biase</t>
  </si>
  <si>
    <t>La imperial - adelant oultima partida  vallas nuevas - Resta solo una</t>
  </si>
  <si>
    <t>Depositos ya identificados identificado 29/08</t>
  </si>
  <si>
    <t>DESCONTAR LOS 30 mil de padro transferidos erroneamente</t>
  </si>
  <si>
    <t>ACORDARSE DE QUE EL SUELDO NO ESTA SUMADO EN EL TOTAL DE GASTOS</t>
  </si>
  <si>
    <t>La caja real del banco asciende a $84.541.370,65.
Sin embargo, de dicho monto aún no fueron descontados los egresos realizados en efectivo por la administración, los cuales deben ser recuperados, ya que todavía no se efectuaron las transferencias correspondientes en el transcurso de los meses anteriores.
En el mes de octubre se transfirieron efectivamente los siguientes importes:
Junio: $96.788,02
Julio: $88.861,46
Agosto: $39.429,38
Septiembre: $149.624,09
Total a descontar: $374.702,90
Por lo tanto, al restar dicho total a la caja bancaria de $84.541.370,65, se obtiene una caja general de $84.166.669,54, coincidente con la informada en el archivo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</si>
</sst>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s>
  <fonts count="2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sz val="12"/>
      <color theme="1"/>
      <name val="Calibri"/>
      <family val="2"/>
      <scheme val="minor"/>
    </font>
    <font>
      <sz val="12"/>
      <name val="Calibri"/>
      <family val="2"/>
      <scheme val="minor"/>
    </font>
    <font>
      <b/>
      <sz val="12"/>
      <name val="Calibri"/>
      <family val="2"/>
      <scheme val="minor"/>
    </font>
    <font>
      <sz val="13"/>
      <color rgb="FF1F1F1F"/>
      <name val="Roboto"/>
    </font>
  </fonts>
  <fills count="4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rgb="FF7030A0"/>
        <bgColor indexed="64"/>
      </patternFill>
    </fill>
    <fill>
      <patternFill patternType="solid">
        <fgColor theme="0" tint="-0.14999847407452621"/>
        <bgColor indexed="64"/>
      </patternFill>
    </fill>
    <fill>
      <patternFill patternType="solid">
        <fgColor theme="1" tint="0.14999847407452621"/>
        <bgColor indexed="64"/>
      </patternFill>
    </fill>
    <fill>
      <patternFill patternType="solid">
        <fgColor theme="7" tint="0.59999389629810485"/>
        <bgColor indexed="64"/>
      </patternFill>
    </fill>
    <fill>
      <patternFill patternType="solid">
        <fgColor rgb="FFFF0000"/>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2"/>
        <bgColor indexed="64"/>
      </patternFill>
    </fill>
    <fill>
      <patternFill patternType="solid">
        <fgColor theme="7"/>
        <bgColor indexed="64"/>
      </patternFill>
    </fill>
    <fill>
      <patternFill patternType="solid">
        <fgColor theme="8" tint="-0.499984740745262"/>
        <bgColor indexed="64"/>
      </patternFill>
    </fill>
    <fill>
      <patternFill patternType="solid">
        <fgColor theme="5"/>
        <bgColor indexed="64"/>
      </patternFill>
    </fill>
    <fill>
      <patternFill patternType="solid">
        <fgColor theme="2" tint="-0.89999084444715716"/>
        <bgColor indexed="64"/>
      </patternFill>
    </fill>
    <fill>
      <patternFill patternType="solid">
        <fgColor rgb="FF002060"/>
        <bgColor indexed="64"/>
      </patternFill>
    </fill>
    <fill>
      <patternFill patternType="solid">
        <fgColor theme="9" tint="-0.249977111117893"/>
        <bgColor indexed="64"/>
      </patternFill>
    </fill>
    <fill>
      <patternFill patternType="solid">
        <fgColor rgb="FF00B050"/>
        <bgColor indexed="64"/>
      </patternFill>
    </fill>
    <fill>
      <patternFill patternType="solid">
        <fgColor rgb="FFCCFFCC"/>
        <bgColor indexed="64"/>
      </patternFill>
    </fill>
    <fill>
      <patternFill patternType="solid">
        <fgColor rgb="FFFF00FF"/>
        <bgColor indexed="64"/>
      </patternFill>
    </fill>
    <fill>
      <patternFill patternType="solid">
        <fgColor rgb="FF00FFCC"/>
        <bgColor indexed="64"/>
      </patternFill>
    </fill>
    <fill>
      <patternFill patternType="solid">
        <fgColor rgb="FFCCECFF"/>
        <bgColor indexed="64"/>
      </patternFill>
    </fill>
    <fill>
      <patternFill patternType="solid">
        <fgColor theme="2" tint="-0.499984740745262"/>
        <bgColor indexed="64"/>
      </patternFill>
    </fill>
    <fill>
      <patternFill patternType="solid">
        <fgColor rgb="FF00CCFF"/>
        <bgColor indexed="64"/>
      </patternFill>
    </fill>
    <fill>
      <patternFill patternType="solid">
        <fgColor rgb="FFFFFF99"/>
        <bgColor indexed="64"/>
      </patternFill>
    </fill>
    <fill>
      <patternFill patternType="solid">
        <fgColor theme="1" tint="0.34998626667073579"/>
        <bgColor indexed="64"/>
      </patternFill>
    </fill>
    <fill>
      <patternFill patternType="solid">
        <fgColor rgb="FFA50021"/>
        <bgColor indexed="64"/>
      </patternFill>
    </fill>
    <fill>
      <patternFill patternType="solid">
        <fgColor rgb="FF33CC33"/>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1" fillId="0" borderId="0" applyNumberFormat="0" applyFill="0" applyBorder="0" applyAlignment="0" applyProtection="0"/>
    <xf numFmtId="43" fontId="1" fillId="0" borderId="0" applyFont="0" applyFill="0" applyBorder="0" applyAlignment="0" applyProtection="0"/>
  </cellStyleXfs>
  <cellXfs count="466">
    <xf numFmtId="0" fontId="0" fillId="0" borderId="0" xfId="0"/>
    <xf numFmtId="0" fontId="0" fillId="0" borderId="1" xfId="0" applyBorder="1"/>
    <xf numFmtId="0" fontId="0" fillId="3" borderId="0" xfId="0" applyFill="1"/>
    <xf numFmtId="0" fontId="0" fillId="0" borderId="5" xfId="0" applyBorder="1"/>
    <xf numFmtId="8" fontId="0" fillId="0" borderId="0" xfId="0" applyNumberFormat="1"/>
    <xf numFmtId="164" fontId="3" fillId="0" borderId="0" xfId="0" applyNumberFormat="1" applyFont="1"/>
    <xf numFmtId="0" fontId="5" fillId="0" borderId="1" xfId="0" applyFont="1" applyBorder="1"/>
    <xf numFmtId="4" fontId="0" fillId="0" borderId="0" xfId="0" applyNumberFormat="1"/>
    <xf numFmtId="4" fontId="5" fillId="0" borderId="0" xfId="0" applyNumberFormat="1" applyFont="1"/>
    <xf numFmtId="0" fontId="5" fillId="0" borderId="1" xfId="0" applyFont="1" applyBorder="1" applyAlignment="1">
      <alignment vertical="center" wrapText="1"/>
    </xf>
    <xf numFmtId="8" fontId="6" fillId="4" borderId="6" xfId="0" applyNumberFormat="1" applyFont="1" applyFill="1" applyBorder="1"/>
    <xf numFmtId="0" fontId="9" fillId="2" borderId="0" xfId="0" applyFont="1" applyFill="1"/>
    <xf numFmtId="0" fontId="10" fillId="4" borderId="1" xfId="0" applyFont="1" applyFill="1" applyBorder="1"/>
    <xf numFmtId="0" fontId="6" fillId="4" borderId="1" xfId="0" applyFont="1" applyFill="1" applyBorder="1"/>
    <xf numFmtId="8" fontId="10" fillId="4" borderId="1" xfId="0" applyNumberFormat="1" applyFont="1" applyFill="1" applyBorder="1"/>
    <xf numFmtId="44" fontId="6" fillId="4" borderId="1" xfId="1" applyFont="1" applyFill="1" applyBorder="1"/>
    <xf numFmtId="44" fontId="0" fillId="0" borderId="1" xfId="1" applyFont="1" applyBorder="1"/>
    <xf numFmtId="44" fontId="6" fillId="4" borderId="6" xfId="1" applyFont="1" applyFill="1" applyBorder="1"/>
    <xf numFmtId="44" fontId="4" fillId="4" borderId="1" xfId="1" applyFont="1" applyFill="1" applyBorder="1"/>
    <xf numFmtId="0" fontId="0" fillId="0" borderId="0" xfId="0" applyAlignment="1">
      <alignment wrapText="1"/>
    </xf>
    <xf numFmtId="0" fontId="5" fillId="0" borderId="1" xfId="0" applyFont="1" applyBorder="1" applyAlignment="1">
      <alignment vertical="top" wrapText="1"/>
    </xf>
    <xf numFmtId="44" fontId="3" fillId="2" borderId="1" xfId="1" applyFont="1" applyFill="1" applyBorder="1"/>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44" fontId="12" fillId="2" borderId="1" xfId="1" applyFont="1" applyFill="1" applyBorder="1"/>
    <xf numFmtId="0" fontId="13" fillId="2" borderId="1" xfId="0" applyFont="1" applyFill="1" applyBorder="1"/>
    <xf numFmtId="0" fontId="13" fillId="0" borderId="1" xfId="0" applyFont="1" applyBorder="1"/>
    <xf numFmtId="44" fontId="9" fillId="4" borderId="1" xfId="1" applyFont="1" applyFill="1" applyBorder="1"/>
    <xf numFmtId="0" fontId="13" fillId="0" borderId="1" xfId="0" applyFont="1" applyBorder="1" applyAlignment="1">
      <alignment horizontal="center"/>
    </xf>
    <xf numFmtId="44" fontId="18" fillId="0" borderId="1" xfId="1" applyFont="1" applyBorder="1"/>
    <xf numFmtId="165" fontId="13" fillId="0" borderId="1" xfId="0" applyNumberFormat="1" applyFont="1" applyBorder="1"/>
    <xf numFmtId="165" fontId="13" fillId="0" borderId="1" xfId="1" applyNumberFormat="1" applyFont="1" applyBorder="1"/>
    <xf numFmtId="0" fontId="13" fillId="9" borderId="21" xfId="0" applyFont="1" applyFill="1" applyBorder="1"/>
    <xf numFmtId="0" fontId="5" fillId="7" borderId="9" xfId="0" applyFont="1" applyFill="1" applyBorder="1"/>
    <xf numFmtId="44" fontId="5" fillId="7" borderId="11" xfId="0" applyNumberFormat="1" applyFont="1" applyFill="1" applyBorder="1"/>
    <xf numFmtId="0" fontId="4" fillId="0" borderId="1" xfId="0" applyFont="1" applyBorder="1"/>
    <xf numFmtId="0" fontId="4" fillId="10" borderId="1" xfId="0" applyFont="1" applyFill="1" applyBorder="1"/>
    <xf numFmtId="44" fontId="19" fillId="4" borderId="3" xfId="1" applyFont="1" applyFill="1" applyBorder="1"/>
    <xf numFmtId="44" fontId="20" fillId="4" borderId="3" xfId="1" applyFont="1" applyFill="1" applyBorder="1"/>
    <xf numFmtId="0" fontId="20" fillId="0" borderId="1" xfId="1" applyNumberFormat="1" applyFont="1" applyBorder="1" applyAlignment="1">
      <alignment horizontal="left"/>
    </xf>
    <xf numFmtId="44" fontId="9" fillId="4" borderId="13" xfId="1" applyFont="1" applyFill="1" applyBorder="1"/>
    <xf numFmtId="44" fontId="20" fillId="2" borderId="1" xfId="1" applyFont="1" applyFill="1" applyBorder="1"/>
    <xf numFmtId="44" fontId="20" fillId="2" borderId="3" xfId="1" applyFont="1" applyFill="1" applyBorder="1"/>
    <xf numFmtId="0" fontId="4" fillId="0" borderId="0" xfId="0" applyFont="1"/>
    <xf numFmtId="44" fontId="8" fillId="6" borderId="0" xfId="0" applyNumberFormat="1" applyFont="1" applyFill="1"/>
    <xf numFmtId="8" fontId="17" fillId="10" borderId="1" xfId="0" applyNumberFormat="1" applyFont="1" applyFill="1" applyBorder="1"/>
    <xf numFmtId="0" fontId="5" fillId="0" borderId="1" xfId="0" applyFont="1" applyBorder="1" applyAlignment="1">
      <alignment horizontal="left" vertical="center" wrapText="1"/>
    </xf>
    <xf numFmtId="166" fontId="18" fillId="2" borderId="1" xfId="1" applyNumberFormat="1" applyFont="1" applyFill="1" applyBorder="1"/>
    <xf numFmtId="0" fontId="0" fillId="2" borderId="0" xfId="0" applyFill="1"/>
    <xf numFmtId="166" fontId="0" fillId="0" borderId="0" xfId="0" applyNumberFormat="1"/>
    <xf numFmtId="167" fontId="0" fillId="0" borderId="0" xfId="0" applyNumberFormat="1"/>
    <xf numFmtId="0" fontId="2" fillId="7" borderId="1" xfId="0" applyFont="1" applyFill="1" applyBorder="1"/>
    <xf numFmtId="44" fontId="6" fillId="7" borderId="1" xfId="1" applyFont="1" applyFill="1" applyBorder="1"/>
    <xf numFmtId="43" fontId="0" fillId="0" borderId="0" xfId="0" applyNumberFormat="1"/>
    <xf numFmtId="165" fontId="0" fillId="0" borderId="0" xfId="0" applyNumberFormat="1"/>
    <xf numFmtId="43" fontId="0" fillId="0" borderId="0" xfId="0" applyNumberFormat="1" applyAlignment="1">
      <alignment wrapText="1"/>
    </xf>
    <xf numFmtId="44" fontId="4" fillId="0" borderId="1" xfId="1" applyFont="1" applyBorder="1"/>
    <xf numFmtId="0" fontId="4" fillId="11" borderId="1" xfId="0" applyFont="1" applyFill="1" applyBorder="1"/>
    <xf numFmtId="44" fontId="6" fillId="12" borderId="6" xfId="1" applyFont="1" applyFill="1" applyBorder="1"/>
    <xf numFmtId="8" fontId="6" fillId="12" borderId="6" xfId="0" applyNumberFormat="1" applyFont="1" applyFill="1" applyBorder="1"/>
    <xf numFmtId="44" fontId="4" fillId="12" borderId="6" xfId="1" applyFont="1" applyFill="1" applyBorder="1"/>
    <xf numFmtId="0" fontId="10" fillId="12" borderId="1" xfId="0" applyFont="1" applyFill="1" applyBorder="1"/>
    <xf numFmtId="8" fontId="6" fillId="12" borderId="22" xfId="0" applyNumberFormat="1" applyFont="1" applyFill="1" applyBorder="1"/>
    <xf numFmtId="0" fontId="5" fillId="7" borderId="25" xfId="0" applyFont="1" applyFill="1" applyBorder="1"/>
    <xf numFmtId="44" fontId="5" fillId="7" borderId="26" xfId="0" applyNumberFormat="1"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4" fillId="13" borderId="12" xfId="0" applyFont="1" applyFill="1" applyBorder="1"/>
    <xf numFmtId="0" fontId="4" fillId="13" borderId="15" xfId="0" applyFont="1" applyFill="1" applyBorder="1"/>
    <xf numFmtId="0" fontId="13" fillId="2" borderId="1" xfId="0" applyFont="1" applyFill="1" applyBorder="1" applyAlignment="1">
      <alignment wrapText="1"/>
    </xf>
    <xf numFmtId="0" fontId="5" fillId="7" borderId="25" xfId="0" applyFont="1" applyFill="1" applyBorder="1" applyAlignment="1">
      <alignment horizontal="left" vertical="center" wrapText="1"/>
    </xf>
    <xf numFmtId="44" fontId="6" fillId="12" borderId="21" xfId="1" applyFont="1" applyFill="1" applyBorder="1"/>
    <xf numFmtId="165" fontId="6" fillId="12" borderId="2" xfId="1" applyNumberFormat="1" applyFont="1" applyFill="1" applyBorder="1"/>
    <xf numFmtId="8" fontId="6" fillId="12" borderId="5" xfId="0" applyNumberFormat="1" applyFont="1" applyFill="1" applyBorder="1"/>
    <xf numFmtId="0" fontId="6" fillId="5" borderId="8" xfId="0" applyFont="1" applyFill="1" applyBorder="1"/>
    <xf numFmtId="0" fontId="20" fillId="0" borderId="1" xfId="0" applyFont="1" applyBorder="1"/>
    <xf numFmtId="0" fontId="4" fillId="14" borderId="12" xfId="0" applyFont="1" applyFill="1" applyBorder="1"/>
    <xf numFmtId="0" fontId="4" fillId="14" borderId="15" xfId="0" applyFont="1" applyFill="1" applyBorder="1"/>
    <xf numFmtId="0" fontId="2" fillId="14" borderId="9" xfId="0" applyFont="1" applyFill="1" applyBorder="1"/>
    <xf numFmtId="0" fontId="2" fillId="14" borderId="27" xfId="0" applyFont="1" applyFill="1" applyBorder="1"/>
    <xf numFmtId="0" fontId="2" fillId="14" borderId="24" xfId="0" applyFont="1" applyFill="1" applyBorder="1"/>
    <xf numFmtId="166" fontId="5" fillId="14" borderId="28" xfId="0" applyNumberFormat="1" applyFont="1" applyFill="1" applyBorder="1"/>
    <xf numFmtId="0" fontId="0" fillId="2" borderId="1" xfId="0" applyFill="1" applyBorder="1"/>
    <xf numFmtId="165" fontId="18" fillId="0" borderId="1" xfId="0" applyNumberFormat="1" applyFont="1" applyBorder="1"/>
    <xf numFmtId="165" fontId="18" fillId="2" borderId="1" xfId="0" applyNumberFormat="1" applyFont="1" applyFill="1" applyBorder="1"/>
    <xf numFmtId="0" fontId="7" fillId="0" borderId="0" xfId="0" applyFont="1"/>
    <xf numFmtId="0" fontId="0" fillId="2" borderId="12" xfId="0" applyFill="1" applyBorder="1"/>
    <xf numFmtId="0" fontId="0" fillId="2" borderId="16" xfId="0" applyFill="1" applyBorder="1"/>
    <xf numFmtId="0" fontId="21" fillId="0" borderId="0" xfId="3"/>
    <xf numFmtId="0" fontId="0" fillId="2" borderId="15" xfId="0" applyFill="1" applyBorder="1"/>
    <xf numFmtId="16" fontId="0" fillId="2" borderId="0" xfId="0" applyNumberFormat="1" applyFill="1"/>
    <xf numFmtId="0" fontId="0" fillId="2" borderId="0" xfId="0" applyFill="1" applyAlignment="1">
      <alignment horizontal="center"/>
    </xf>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2" fillId="4" borderId="1" xfId="0" applyFont="1" applyFill="1" applyBorder="1"/>
    <xf numFmtId="44" fontId="6" fillId="2" borderId="1" xfId="1" applyFont="1" applyFill="1" applyBorder="1"/>
    <xf numFmtId="44" fontId="2" fillId="15" borderId="15" xfId="1" applyFont="1" applyFill="1" applyBorder="1"/>
    <xf numFmtId="0" fontId="13" fillId="4" borderId="21" xfId="0" applyFont="1" applyFill="1" applyBorder="1"/>
    <xf numFmtId="44" fontId="13" fillId="4" borderId="25" xfId="0" applyNumberFormat="1" applyFont="1" applyFill="1" applyBorder="1"/>
    <xf numFmtId="165" fontId="13" fillId="4" borderId="31" xfId="0" applyNumberFormat="1" applyFont="1" applyFill="1" applyBorder="1"/>
    <xf numFmtId="165" fontId="13" fillId="4" borderId="26" xfId="0" applyNumberFormat="1" applyFont="1" applyFill="1" applyBorder="1"/>
    <xf numFmtId="165" fontId="13" fillId="4" borderId="21" xfId="0" applyNumberFormat="1" applyFont="1" applyFill="1" applyBorder="1"/>
    <xf numFmtId="44" fontId="13" fillId="4" borderId="21" xfId="0" applyNumberFormat="1" applyFont="1" applyFill="1" applyBorder="1"/>
    <xf numFmtId="44" fontId="13" fillId="0" borderId="1" xfId="1" applyFont="1" applyBorder="1"/>
    <xf numFmtId="0" fontId="13" fillId="4" borderId="26" xfId="0" applyFont="1" applyFill="1" applyBorder="1"/>
    <xf numFmtId="165" fontId="13" fillId="2" borderId="1" xfId="1" applyNumberFormat="1" applyFont="1" applyFill="1" applyBorder="1"/>
    <xf numFmtId="165" fontId="13" fillId="4" borderId="21" xfId="0" applyNumberFormat="1" applyFont="1" applyFill="1" applyBorder="1" applyAlignment="1">
      <alignment horizontal="left"/>
    </xf>
    <xf numFmtId="0" fontId="2" fillId="0" borderId="1" xfId="0" applyFont="1" applyBorder="1"/>
    <xf numFmtId="44" fontId="2" fillId="0" borderId="1" xfId="1" applyFont="1" applyBorder="1"/>
    <xf numFmtId="0" fontId="23" fillId="3" borderId="0" xfId="0" applyFont="1" applyFill="1"/>
    <xf numFmtId="169" fontId="24" fillId="3" borderId="0" xfId="0" applyNumberFormat="1" applyFont="1" applyFill="1"/>
    <xf numFmtId="169" fontId="24" fillId="3" borderId="0" xfId="0" applyNumberFormat="1" applyFont="1" applyFill="1" applyAlignment="1">
      <alignment horizontal="center"/>
    </xf>
    <xf numFmtId="169" fontId="24" fillId="3" borderId="8" xfId="0" applyNumberFormat="1" applyFont="1" applyFill="1" applyBorder="1" applyAlignment="1">
      <alignment horizontal="center"/>
    </xf>
    <xf numFmtId="169" fontId="24" fillId="3" borderId="8" xfId="0" applyNumberFormat="1" applyFont="1" applyFill="1" applyBorder="1" applyAlignment="1">
      <alignment horizontal="left"/>
    </xf>
    <xf numFmtId="1" fontId="13" fillId="4" borderId="21" xfId="0" applyNumberFormat="1" applyFont="1" applyFill="1" applyBorder="1" applyAlignment="1">
      <alignment horizontal="center"/>
    </xf>
    <xf numFmtId="0" fontId="2" fillId="16" borderId="1" xfId="0" applyFont="1" applyFill="1" applyBorder="1"/>
    <xf numFmtId="44" fontId="2" fillId="16" borderId="1" xfId="1" applyFont="1" applyFill="1" applyBorder="1"/>
    <xf numFmtId="165" fontId="6" fillId="5" borderId="26" xfId="0" applyNumberFormat="1" applyFont="1" applyFill="1" applyBorder="1"/>
    <xf numFmtId="170" fontId="0" fillId="0" borderId="0" xfId="0" applyNumberFormat="1"/>
    <xf numFmtId="0" fontId="13" fillId="2" borderId="1" xfId="0" applyFont="1" applyFill="1" applyBorder="1" applyAlignment="1">
      <alignment horizontal="center"/>
    </xf>
    <xf numFmtId="165" fontId="13" fillId="2" borderId="1" xfId="0" applyNumberFormat="1" applyFont="1" applyFill="1" applyBorder="1"/>
    <xf numFmtId="44" fontId="0" fillId="2" borderId="0" xfId="0" applyNumberFormat="1" applyFill="1"/>
    <xf numFmtId="171" fontId="0" fillId="0" borderId="0" xfId="0" applyNumberFormat="1"/>
    <xf numFmtId="168" fontId="4" fillId="2" borderId="1" xfId="1" applyNumberFormat="1" applyFont="1" applyFill="1" applyBorder="1"/>
    <xf numFmtId="44" fontId="20" fillId="2" borderId="1" xfId="1" applyFont="1" applyFill="1" applyBorder="1" applyAlignment="1">
      <alignment wrapText="1"/>
    </xf>
    <xf numFmtId="0" fontId="20" fillId="2" borderId="1" xfId="1" applyNumberFormat="1" applyFont="1" applyFill="1" applyBorder="1" applyAlignment="1"/>
    <xf numFmtId="44" fontId="20" fillId="0" borderId="1" xfId="1" applyFont="1" applyBorder="1" applyAlignment="1"/>
    <xf numFmtId="0" fontId="20" fillId="0" borderId="1" xfId="1" applyNumberFormat="1" applyFont="1" applyBorder="1" applyAlignment="1"/>
    <xf numFmtId="44" fontId="20" fillId="0" borderId="3" xfId="1" applyFont="1" applyBorder="1" applyAlignment="1"/>
    <xf numFmtId="165" fontId="18" fillId="2" borderId="1" xfId="1" applyNumberFormat="1" applyFont="1" applyFill="1" applyBorder="1"/>
    <xf numFmtId="165" fontId="18" fillId="0" borderId="1" xfId="1" applyNumberFormat="1" applyFont="1" applyBorder="1"/>
    <xf numFmtId="0" fontId="6" fillId="10" borderId="1" xfId="0" applyFont="1" applyFill="1" applyBorder="1"/>
    <xf numFmtId="0" fontId="21" fillId="2" borderId="0" xfId="3" applyFill="1" applyAlignment="1">
      <alignment horizontal="center"/>
    </xf>
    <xf numFmtId="0" fontId="13" fillId="17" borderId="1" xfId="0" applyFont="1" applyFill="1" applyBorder="1"/>
    <xf numFmtId="0" fontId="13" fillId="8" borderId="1" xfId="0" applyFont="1" applyFill="1" applyBorder="1"/>
    <xf numFmtId="0" fontId="0" fillId="8" borderId="14" xfId="0" applyFill="1" applyBorder="1"/>
    <xf numFmtId="0" fontId="0" fillId="8" borderId="12" xfId="0" applyFill="1" applyBorder="1"/>
    <xf numFmtId="0" fontId="0" fillId="8" borderId="0" xfId="0" applyFill="1"/>
    <xf numFmtId="0" fontId="13" fillId="5" borderId="1" xfId="0" applyFont="1" applyFill="1" applyBorder="1"/>
    <xf numFmtId="0" fontId="2" fillId="14" borderId="1" xfId="0" applyFont="1" applyFill="1" applyBorder="1"/>
    <xf numFmtId="0" fontId="13" fillId="12" borderId="1" xfId="0" applyFont="1" applyFill="1" applyBorder="1"/>
    <xf numFmtId="0" fontId="13" fillId="6" borderId="1" xfId="0" applyFont="1" applyFill="1" applyBorder="1"/>
    <xf numFmtId="0" fontId="13" fillId="19" borderId="1" xfId="0" applyFont="1" applyFill="1" applyBorder="1"/>
    <xf numFmtId="12" fontId="0" fillId="2" borderId="0" xfId="0" applyNumberFormat="1" applyFill="1" applyAlignment="1">
      <alignment horizontal="center" vertical="center" wrapText="1"/>
    </xf>
    <xf numFmtId="166" fontId="6" fillId="12" borderId="21" xfId="1" applyNumberFormat="1" applyFont="1" applyFill="1" applyBorder="1"/>
    <xf numFmtId="172" fontId="6" fillId="12" borderId="21" xfId="1" applyNumberFormat="1" applyFont="1" applyFill="1" applyBorder="1"/>
    <xf numFmtId="166" fontId="6" fillId="11" borderId="1" xfId="1" applyNumberFormat="1" applyFont="1" applyFill="1" applyBorder="1"/>
    <xf numFmtId="165" fontId="6" fillId="13" borderId="11" xfId="1" applyNumberFormat="1" applyFont="1" applyFill="1" applyBorder="1"/>
    <xf numFmtId="166" fontId="6" fillId="12" borderId="19" xfId="1" applyNumberFormat="1" applyFont="1" applyFill="1" applyBorder="1"/>
    <xf numFmtId="44" fontId="20" fillId="2" borderId="3" xfId="1" applyFont="1" applyFill="1" applyBorder="1" applyAlignment="1"/>
    <xf numFmtId="0" fontId="0" fillId="14" borderId="1" xfId="0" applyFill="1" applyBorder="1"/>
    <xf numFmtId="44" fontId="0" fillId="14" borderId="1" xfId="1" applyFont="1" applyFill="1" applyBorder="1"/>
    <xf numFmtId="44" fontId="2" fillId="14" borderId="1" xfId="1" applyFont="1" applyFill="1" applyBorder="1"/>
    <xf numFmtId="44" fontId="20" fillId="0" borderId="3" xfId="1" applyFont="1" applyBorder="1" applyAlignment="1">
      <alignment wrapText="1"/>
    </xf>
    <xf numFmtId="168" fontId="0" fillId="0" borderId="0" xfId="0" applyNumberFormat="1"/>
    <xf numFmtId="43" fontId="18" fillId="0" borderId="1" xfId="4" applyFont="1" applyBorder="1"/>
    <xf numFmtId="43" fontId="18" fillId="2" borderId="1" xfId="1" applyNumberFormat="1" applyFont="1" applyFill="1" applyBorder="1"/>
    <xf numFmtId="43" fontId="18" fillId="2" borderId="1" xfId="4" applyFont="1" applyFill="1" applyBorder="1"/>
    <xf numFmtId="43" fontId="18" fillId="0" borderId="1" xfId="1" applyNumberFormat="1" applyFont="1" applyBorder="1"/>
    <xf numFmtId="0" fontId="0" fillId="2" borderId="1" xfId="0" applyFill="1" applyBorder="1" applyAlignment="1">
      <alignment horizontal="left" vertical="center" wrapText="1"/>
    </xf>
    <xf numFmtId="44" fontId="0" fillId="2" borderId="1" xfId="1" applyFont="1" applyFill="1" applyBorder="1"/>
    <xf numFmtId="8" fontId="4" fillId="2" borderId="1" xfId="0" applyNumberFormat="1" applyFont="1" applyFill="1" applyBorder="1"/>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7"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20"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5"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6" fillId="13" borderId="9" xfId="0" applyFont="1" applyFill="1" applyBorder="1"/>
    <xf numFmtId="0" fontId="4" fillId="13" borderId="10" xfId="0" applyFont="1" applyFill="1" applyBorder="1"/>
    <xf numFmtId="44" fontId="4" fillId="13" borderId="10" xfId="1" applyFont="1" applyFill="1" applyBorder="1"/>
    <xf numFmtId="0" fontId="6" fillId="13" borderId="27" xfId="0" applyFont="1" applyFill="1" applyBorder="1"/>
    <xf numFmtId="0" fontId="6" fillId="13" borderId="24" xfId="0" applyFont="1" applyFill="1" applyBorder="1"/>
    <xf numFmtId="165" fontId="6" fillId="13" borderId="28"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0" fontId="0" fillId="20" borderId="14" xfId="0" applyFill="1" applyBorder="1"/>
    <xf numFmtId="0" fontId="0" fillId="20" borderId="12" xfId="0" applyFill="1" applyBorder="1"/>
    <xf numFmtId="0" fontId="0" fillId="20" borderId="16" xfId="0" applyFill="1" applyBorder="1"/>
    <xf numFmtId="0" fontId="0" fillId="20" borderId="0" xfId="0" applyFill="1"/>
    <xf numFmtId="0" fontId="0" fillId="13" borderId="14" xfId="0" applyFill="1" applyBorder="1"/>
    <xf numFmtId="0" fontId="0" fillId="13" borderId="12" xfId="0" applyFill="1" applyBorder="1"/>
    <xf numFmtId="0" fontId="0" fillId="13" borderId="16" xfId="0" applyFill="1" applyBorder="1"/>
    <xf numFmtId="0" fontId="0" fillId="13" borderId="0" xfId="0" applyFill="1"/>
    <xf numFmtId="16" fontId="0" fillId="13" borderId="0" xfId="0" applyNumberFormat="1" applyFill="1"/>
    <xf numFmtId="0" fontId="0" fillId="21" borderId="14" xfId="0" applyFill="1" applyBorder="1"/>
    <xf numFmtId="0" fontId="0" fillId="21" borderId="12" xfId="0" applyFill="1" applyBorder="1"/>
    <xf numFmtId="0" fontId="0" fillId="21" borderId="16" xfId="0" applyFill="1" applyBorder="1"/>
    <xf numFmtId="0" fontId="0" fillId="21" borderId="0" xfId="0" applyFill="1"/>
    <xf numFmtId="16" fontId="0" fillId="21" borderId="0" xfId="0" applyNumberFormat="1" applyFill="1"/>
    <xf numFmtId="0" fontId="0" fillId="14" borderId="14" xfId="0" applyFill="1" applyBorder="1"/>
    <xf numFmtId="0" fontId="0" fillId="14" borderId="12" xfId="0" applyFill="1" applyBorder="1"/>
    <xf numFmtId="0" fontId="0" fillId="14" borderId="16" xfId="0" applyFill="1" applyBorder="1"/>
    <xf numFmtId="0" fontId="0" fillId="14" borderId="0" xfId="0" applyFill="1"/>
    <xf numFmtId="16" fontId="0" fillId="14" borderId="0" xfId="0" applyNumberFormat="1" applyFill="1"/>
    <xf numFmtId="0" fontId="0" fillId="8" borderId="16" xfId="0" applyFill="1" applyBorder="1"/>
    <xf numFmtId="16" fontId="0" fillId="8" borderId="0" xfId="0" applyNumberFormat="1" applyFill="1"/>
    <xf numFmtId="0" fontId="0" fillId="18" borderId="14" xfId="0" applyFill="1" applyBorder="1"/>
    <xf numFmtId="0" fontId="0" fillId="18" borderId="12" xfId="0" applyFill="1" applyBorder="1"/>
    <xf numFmtId="0" fontId="0" fillId="18" borderId="16" xfId="0" applyFill="1" applyBorder="1"/>
    <xf numFmtId="0" fontId="0" fillId="18" borderId="0" xfId="0" applyFill="1"/>
    <xf numFmtId="16" fontId="0" fillId="18" borderId="0" xfId="0" applyNumberFormat="1" applyFill="1"/>
    <xf numFmtId="0" fontId="26" fillId="0" borderId="0" xfId="0" applyFont="1"/>
    <xf numFmtId="0" fontId="21" fillId="2" borderId="0" xfId="3" applyFill="1" applyAlignment="1">
      <alignment horizontal="center" wrapText="1"/>
    </xf>
    <xf numFmtId="0" fontId="0" fillId="5" borderId="14" xfId="0" applyFill="1" applyBorder="1"/>
    <xf numFmtId="0" fontId="0" fillId="5" borderId="12" xfId="0" applyFill="1" applyBorder="1"/>
    <xf numFmtId="0" fontId="0" fillId="5" borderId="16" xfId="0" applyFill="1" applyBorder="1"/>
    <xf numFmtId="0" fontId="0" fillId="5" borderId="0" xfId="0" applyFill="1"/>
    <xf numFmtId="16" fontId="0" fillId="5" borderId="0" xfId="0" applyNumberFormat="1" applyFill="1"/>
    <xf numFmtId="0" fontId="0" fillId="11" borderId="14" xfId="0" applyFill="1" applyBorder="1"/>
    <xf numFmtId="0" fontId="0" fillId="11" borderId="12" xfId="0" applyFill="1" applyBorder="1"/>
    <xf numFmtId="0" fontId="0" fillId="11" borderId="16" xfId="0" applyFill="1" applyBorder="1"/>
    <xf numFmtId="0" fontId="0" fillId="11" borderId="0" xfId="0" applyFill="1"/>
    <xf numFmtId="16" fontId="0" fillId="11" borderId="0" xfId="0" applyNumberFormat="1" applyFill="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16" fontId="0" fillId="12" borderId="0" xfId="0" applyNumberFormat="1" applyFill="1"/>
    <xf numFmtId="0" fontId="2" fillId="12" borderId="0" xfId="0" applyFont="1" applyFill="1"/>
    <xf numFmtId="0" fontId="0" fillId="22" borderId="14" xfId="0" applyFill="1" applyBorder="1"/>
    <xf numFmtId="0" fontId="0" fillId="22" borderId="12" xfId="0" applyFill="1" applyBorder="1"/>
    <xf numFmtId="0" fontId="0" fillId="22" borderId="16" xfId="0" applyFill="1" applyBorder="1"/>
    <xf numFmtId="0" fontId="0" fillId="22" borderId="0" xfId="0" applyFill="1"/>
    <xf numFmtId="16" fontId="0" fillId="22" borderId="0" xfId="0" applyNumberFormat="1" applyFill="1"/>
    <xf numFmtId="0" fontId="2" fillId="22" borderId="0" xfId="0" applyFont="1" applyFill="1"/>
    <xf numFmtId="0" fontId="0" fillId="6" borderId="14" xfId="0" applyFill="1" applyBorder="1"/>
    <xf numFmtId="0" fontId="0" fillId="6" borderId="12" xfId="0" applyFill="1" applyBorder="1"/>
    <xf numFmtId="0" fontId="0" fillId="6" borderId="16" xfId="0" applyFill="1" applyBorder="1"/>
    <xf numFmtId="0" fontId="0" fillId="6" borderId="0" xfId="0" applyFill="1"/>
    <xf numFmtId="16" fontId="0" fillId="6" borderId="0" xfId="0" applyNumberFormat="1" applyFill="1"/>
    <xf numFmtId="0" fontId="2" fillId="6" borderId="0" xfId="0" applyFont="1" applyFill="1"/>
    <xf numFmtId="0" fontId="0" fillId="23" borderId="14" xfId="0" applyFill="1" applyBorder="1"/>
    <xf numFmtId="0" fontId="0" fillId="23" borderId="12" xfId="0" applyFill="1" applyBorder="1"/>
    <xf numFmtId="0" fontId="0" fillId="23" borderId="16" xfId="0" applyFill="1" applyBorder="1"/>
    <xf numFmtId="0" fontId="0" fillId="23" borderId="0" xfId="0" applyFill="1"/>
    <xf numFmtId="16" fontId="0" fillId="23" borderId="0" xfId="0" applyNumberFormat="1" applyFill="1"/>
    <xf numFmtId="0" fontId="0" fillId="24" borderId="14" xfId="0" applyFill="1" applyBorder="1"/>
    <xf numFmtId="0" fontId="0" fillId="24" borderId="12" xfId="0" applyFill="1" applyBorder="1"/>
    <xf numFmtId="0" fontId="0" fillId="24" borderId="16" xfId="0" applyFill="1" applyBorder="1"/>
    <xf numFmtId="0" fontId="0" fillId="24" borderId="0" xfId="0" applyFill="1"/>
    <xf numFmtId="16" fontId="0" fillId="24" borderId="0" xfId="0" applyNumberFormat="1" applyFill="1"/>
    <xf numFmtId="0" fontId="0" fillId="17" borderId="14" xfId="0" applyFill="1" applyBorder="1"/>
    <xf numFmtId="0" fontId="0" fillId="17" borderId="12" xfId="0" applyFill="1" applyBorder="1"/>
    <xf numFmtId="0" fontId="0" fillId="17" borderId="16" xfId="0" applyFill="1" applyBorder="1"/>
    <xf numFmtId="0" fontId="0" fillId="17" borderId="0" xfId="0" applyFill="1"/>
    <xf numFmtId="16" fontId="0" fillId="17" borderId="0" xfId="0" applyNumberFormat="1" applyFill="1"/>
    <xf numFmtId="0" fontId="0" fillId="25" borderId="14" xfId="0" applyFill="1" applyBorder="1"/>
    <xf numFmtId="0" fontId="0" fillId="25" borderId="12" xfId="0" applyFill="1" applyBorder="1"/>
    <xf numFmtId="0" fontId="0" fillId="25" borderId="16" xfId="0" applyFill="1" applyBorder="1"/>
    <xf numFmtId="0" fontId="0" fillId="25" borderId="0" xfId="0" applyFill="1"/>
    <xf numFmtId="16" fontId="0" fillId="25" borderId="0" xfId="0" applyNumberFormat="1" applyFill="1"/>
    <xf numFmtId="0" fontId="0" fillId="26" borderId="14" xfId="0" applyFill="1" applyBorder="1"/>
    <xf numFmtId="0" fontId="0" fillId="26" borderId="12" xfId="0" applyFill="1" applyBorder="1"/>
    <xf numFmtId="0" fontId="0" fillId="26" borderId="16" xfId="0" applyFill="1" applyBorder="1"/>
    <xf numFmtId="0" fontId="0" fillId="26" borderId="0" xfId="0" applyFill="1"/>
    <xf numFmtId="16" fontId="0" fillId="26" borderId="0" xfId="0" applyNumberFormat="1" applyFill="1"/>
    <xf numFmtId="0" fontId="0" fillId="27" borderId="14" xfId="0" applyFill="1" applyBorder="1"/>
    <xf numFmtId="0" fontId="0" fillId="27" borderId="12" xfId="0" applyFill="1" applyBorder="1"/>
    <xf numFmtId="0" fontId="0" fillId="27" borderId="16" xfId="0" applyFill="1" applyBorder="1"/>
    <xf numFmtId="0" fontId="0" fillId="27" borderId="0" xfId="0" applyFill="1"/>
    <xf numFmtId="16" fontId="0" fillId="27" borderId="0" xfId="0" applyNumberFormat="1" applyFill="1"/>
    <xf numFmtId="0" fontId="0" fillId="28" borderId="14" xfId="0" applyFill="1" applyBorder="1"/>
    <xf numFmtId="0" fontId="0" fillId="28" borderId="12" xfId="0" applyFill="1" applyBorder="1"/>
    <xf numFmtId="0" fontId="0" fillId="28" borderId="16" xfId="0" applyFill="1" applyBorder="1"/>
    <xf numFmtId="0" fontId="0" fillId="28" borderId="0" xfId="0" applyFill="1"/>
    <xf numFmtId="16" fontId="0" fillId="28" borderId="0" xfId="0" applyNumberFormat="1" applyFill="1"/>
    <xf numFmtId="0" fontId="0" fillId="29" borderId="14" xfId="0" applyFill="1" applyBorder="1"/>
    <xf numFmtId="0" fontId="0" fillId="29" borderId="12" xfId="0" applyFill="1" applyBorder="1"/>
    <xf numFmtId="0" fontId="0" fillId="29" borderId="16" xfId="0" applyFill="1" applyBorder="1"/>
    <xf numFmtId="0" fontId="0" fillId="29" borderId="0" xfId="0" applyFill="1"/>
    <xf numFmtId="16" fontId="0" fillId="29" borderId="0" xfId="0" applyNumberFormat="1" applyFill="1"/>
    <xf numFmtId="0" fontId="0" fillId="30" borderId="14" xfId="0" applyFill="1" applyBorder="1"/>
    <xf numFmtId="0" fontId="0" fillId="30" borderId="12" xfId="0" applyFill="1" applyBorder="1"/>
    <xf numFmtId="0" fontId="0" fillId="30" borderId="16" xfId="0" applyFill="1" applyBorder="1"/>
    <xf numFmtId="0" fontId="0" fillId="30" borderId="0" xfId="0" applyFill="1"/>
    <xf numFmtId="16" fontId="0" fillId="30" borderId="0" xfId="0" applyNumberFormat="1" applyFill="1"/>
    <xf numFmtId="6" fontId="0" fillId="0" borderId="0" xfId="0" applyNumberFormat="1"/>
    <xf numFmtId="0" fontId="0" fillId="31" borderId="14" xfId="0" applyFill="1" applyBorder="1"/>
    <xf numFmtId="0" fontId="0" fillId="31" borderId="12" xfId="0" applyFill="1" applyBorder="1"/>
    <xf numFmtId="0" fontId="0" fillId="31" borderId="16" xfId="0" applyFill="1" applyBorder="1"/>
    <xf numFmtId="0" fontId="0" fillId="31" borderId="0" xfId="0" applyFill="1"/>
    <xf numFmtId="16" fontId="0" fillId="31" borderId="0" xfId="0" applyNumberFormat="1" applyFill="1"/>
    <xf numFmtId="0" fontId="0" fillId="32" borderId="0" xfId="0" applyFill="1"/>
    <xf numFmtId="0" fontId="0" fillId="32" borderId="14" xfId="0" applyFill="1" applyBorder="1"/>
    <xf numFmtId="0" fontId="0" fillId="32" borderId="12" xfId="0" applyFill="1" applyBorder="1"/>
    <xf numFmtId="0" fontId="0" fillId="32" borderId="16" xfId="0" applyFill="1" applyBorder="1"/>
    <xf numFmtId="16" fontId="0" fillId="32" borderId="0" xfId="0" applyNumberFormat="1" applyFill="1"/>
    <xf numFmtId="0" fontId="0" fillId="33" borderId="14" xfId="0" applyFill="1" applyBorder="1"/>
    <xf numFmtId="0" fontId="0" fillId="33" borderId="12" xfId="0" applyFill="1" applyBorder="1"/>
    <xf numFmtId="0" fontId="0" fillId="33" borderId="16" xfId="0" applyFill="1" applyBorder="1"/>
    <xf numFmtId="0" fontId="0" fillId="33" borderId="0" xfId="0" applyFill="1"/>
    <xf numFmtId="16" fontId="0" fillId="33" borderId="0" xfId="0" applyNumberFormat="1" applyFill="1"/>
    <xf numFmtId="0" fontId="0" fillId="34" borderId="14" xfId="0" applyFill="1" applyBorder="1"/>
    <xf numFmtId="0" fontId="0" fillId="34" borderId="12" xfId="0" applyFill="1" applyBorder="1"/>
    <xf numFmtId="0" fontId="0" fillId="34" borderId="16" xfId="0" applyFill="1" applyBorder="1"/>
    <xf numFmtId="0" fontId="0" fillId="34" borderId="0" xfId="0" applyFill="1"/>
    <xf numFmtId="16" fontId="0" fillId="34" borderId="0" xfId="0" applyNumberFormat="1" applyFill="1"/>
    <xf numFmtId="0" fontId="0" fillId="35" borderId="14" xfId="0" applyFill="1" applyBorder="1"/>
    <xf numFmtId="0" fontId="0" fillId="35" borderId="12" xfId="0" applyFill="1" applyBorder="1"/>
    <xf numFmtId="0" fontId="0" fillId="35" borderId="16" xfId="0" applyFill="1" applyBorder="1"/>
    <xf numFmtId="0" fontId="0" fillId="35" borderId="0" xfId="0" applyFill="1"/>
    <xf numFmtId="16" fontId="0" fillId="35" borderId="0" xfId="0" applyNumberFormat="1" applyFill="1"/>
    <xf numFmtId="0" fontId="0" fillId="36" borderId="14" xfId="0" applyFill="1" applyBorder="1"/>
    <xf numFmtId="0" fontId="0" fillId="36" borderId="12" xfId="0" applyFill="1" applyBorder="1"/>
    <xf numFmtId="0" fontId="0" fillId="36" borderId="16" xfId="0" applyFill="1" applyBorder="1"/>
    <xf numFmtId="0" fontId="0" fillId="36" borderId="0" xfId="0" applyFill="1"/>
    <xf numFmtId="16" fontId="0" fillId="36" borderId="0" xfId="0" applyNumberFormat="1" applyFill="1"/>
    <xf numFmtId="0" fontId="0" fillId="37" borderId="14" xfId="0" applyFill="1" applyBorder="1"/>
    <xf numFmtId="0" fontId="0" fillId="37" borderId="12" xfId="0" applyFill="1" applyBorder="1"/>
    <xf numFmtId="0" fontId="0" fillId="37" borderId="16" xfId="0" applyFill="1" applyBorder="1"/>
    <xf numFmtId="0" fontId="0" fillId="37" borderId="0" xfId="0" applyFill="1"/>
    <xf numFmtId="16" fontId="0" fillId="37" borderId="0" xfId="0" applyNumberFormat="1" applyFill="1"/>
    <xf numFmtId="0" fontId="0" fillId="38" borderId="14" xfId="0" applyFill="1" applyBorder="1"/>
    <xf numFmtId="0" fontId="0" fillId="38" borderId="12" xfId="0" applyFill="1" applyBorder="1"/>
    <xf numFmtId="0" fontId="0" fillId="38" borderId="16" xfId="0" applyFill="1" applyBorder="1"/>
    <xf numFmtId="0" fontId="0" fillId="38" borderId="0" xfId="0" applyFill="1"/>
    <xf numFmtId="16" fontId="0" fillId="38" borderId="0" xfId="0" applyNumberFormat="1" applyFill="1"/>
    <xf numFmtId="0" fontId="0" fillId="39" borderId="14" xfId="0" applyFill="1" applyBorder="1"/>
    <xf numFmtId="0" fontId="0" fillId="39" borderId="12" xfId="0" applyFill="1" applyBorder="1"/>
    <xf numFmtId="0" fontId="0" fillId="39" borderId="16" xfId="0" applyFill="1" applyBorder="1"/>
    <xf numFmtId="0" fontId="0" fillId="39" borderId="0" xfId="0" applyFill="1"/>
    <xf numFmtId="16" fontId="0" fillId="39" borderId="0" xfId="0" applyNumberFormat="1" applyFill="1"/>
    <xf numFmtId="3" fontId="0" fillId="0" borderId="0" xfId="0" applyNumberFormat="1"/>
    <xf numFmtId="0" fontId="0" fillId="40" borderId="14" xfId="0" applyFill="1" applyBorder="1"/>
    <xf numFmtId="0" fontId="0" fillId="40" borderId="12" xfId="0" applyFill="1" applyBorder="1"/>
    <xf numFmtId="0" fontId="0" fillId="40" borderId="16" xfId="0" applyFill="1" applyBorder="1"/>
    <xf numFmtId="0" fontId="0" fillId="40" borderId="0" xfId="0" applyFill="1"/>
    <xf numFmtId="16" fontId="0" fillId="40" borderId="0" xfId="0" applyNumberFormat="1" applyFill="1"/>
    <xf numFmtId="0" fontId="0" fillId="41" borderId="14" xfId="0" applyFill="1" applyBorder="1"/>
    <xf numFmtId="0" fontId="0" fillId="41" borderId="12" xfId="0" applyFill="1" applyBorder="1"/>
    <xf numFmtId="0" fontId="0" fillId="41" borderId="16" xfId="0" applyFill="1" applyBorder="1"/>
    <xf numFmtId="0" fontId="0" fillId="41" borderId="0" xfId="0" applyFill="1"/>
    <xf numFmtId="16" fontId="0" fillId="41" borderId="0" xfId="0" applyNumberFormat="1" applyFill="1"/>
    <xf numFmtId="0" fontId="0" fillId="42" borderId="14" xfId="0" applyFill="1" applyBorder="1"/>
    <xf numFmtId="0" fontId="0" fillId="42" borderId="12" xfId="0" applyFill="1" applyBorder="1"/>
    <xf numFmtId="0" fontId="0" fillId="42" borderId="16" xfId="0" applyFill="1" applyBorder="1"/>
    <xf numFmtId="0" fontId="0" fillId="42" borderId="0" xfId="0" applyFill="1"/>
    <xf numFmtId="16" fontId="0" fillId="42" borderId="0" xfId="0" applyNumberFormat="1" applyFill="1"/>
    <xf numFmtId="0" fontId="7" fillId="8" borderId="0" xfId="0" applyFont="1" applyFill="1"/>
    <xf numFmtId="44" fontId="8" fillId="15" borderId="26" xfId="1" applyFont="1" applyFill="1" applyBorder="1"/>
    <xf numFmtId="44" fontId="4" fillId="2" borderId="1" xfId="1" applyFont="1" applyFill="1" applyBorder="1" applyAlignment="1">
      <alignment wrapText="1"/>
    </xf>
    <xf numFmtId="44" fontId="4" fillId="2" borderId="1" xfId="1" applyFont="1" applyFill="1" applyBorder="1" applyAlignment="1"/>
    <xf numFmtId="44" fontId="4" fillId="2" borderId="1" xfId="1" applyFont="1" applyFill="1" applyBorder="1"/>
    <xf numFmtId="168" fontId="4" fillId="2" borderId="1" xfId="0" applyNumberFormat="1" applyFont="1" applyFill="1" applyBorder="1"/>
    <xf numFmtId="44" fontId="4" fillId="2" borderId="6" xfId="1" applyFont="1" applyFill="1" applyBorder="1"/>
    <xf numFmtId="44" fontId="18" fillId="2" borderId="1" xfId="1" applyFont="1" applyFill="1" applyBorder="1"/>
    <xf numFmtId="0" fontId="4" fillId="2" borderId="6" xfId="0" applyFont="1" applyFill="1" applyBorder="1" applyAlignment="1">
      <alignment horizontal="left" wrapText="1"/>
    </xf>
    <xf numFmtId="0" fontId="4" fillId="2" borderId="7" xfId="0" applyFont="1" applyFill="1" applyBorder="1" applyAlignment="1">
      <alignment horizontal="left"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4" fillId="0" borderId="6" xfId="0" applyFont="1" applyBorder="1" applyAlignment="1">
      <alignment horizontal="left" vertical="center"/>
    </xf>
    <xf numFmtId="0" fontId="4" fillId="0" borderId="7" xfId="0" applyFont="1" applyBorder="1" applyAlignment="1">
      <alignment horizontal="left" vertical="center"/>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1" xfId="0" applyFont="1" applyFill="1" applyBorder="1" applyAlignment="1">
      <alignment horizontal="center"/>
    </xf>
    <xf numFmtId="0" fontId="16" fillId="8" borderId="0" xfId="0" applyFont="1" applyFill="1" applyAlignment="1">
      <alignment horizontal="center" vertical="center"/>
    </xf>
    <xf numFmtId="0" fontId="25" fillId="7" borderId="0" xfId="0" applyFont="1" applyFill="1" applyAlignment="1">
      <alignment horizontal="left" vertical="center" wrapText="1"/>
    </xf>
    <xf numFmtId="0" fontId="4" fillId="2" borderId="23" xfId="0" applyFont="1" applyFill="1" applyBorder="1" applyAlignment="1">
      <alignment horizontal="left" vertical="center" wrapText="1"/>
    </xf>
    <xf numFmtId="0" fontId="15" fillId="8" borderId="14" xfId="0" applyFont="1" applyFill="1" applyBorder="1" applyAlignment="1">
      <alignment horizontal="left" vertical="center" wrapText="1"/>
    </xf>
    <xf numFmtId="0" fontId="15" fillId="8" borderId="12" xfId="0" applyFont="1" applyFill="1" applyBorder="1" applyAlignment="1">
      <alignment horizontal="left" vertical="center" wrapText="1"/>
    </xf>
    <xf numFmtId="0" fontId="15" fillId="8" borderId="15" xfId="0" applyFont="1" applyFill="1" applyBorder="1" applyAlignment="1">
      <alignment horizontal="left" vertical="center" wrapText="1"/>
    </xf>
    <xf numFmtId="0" fontId="15" fillId="8" borderId="16" xfId="0" applyFont="1" applyFill="1" applyBorder="1" applyAlignment="1">
      <alignment horizontal="left" vertical="center" wrapText="1"/>
    </xf>
    <xf numFmtId="0" fontId="15" fillId="8" borderId="0" xfId="0" applyFont="1" applyFill="1" applyAlignment="1">
      <alignment horizontal="left" vertical="center" wrapText="1"/>
    </xf>
    <xf numFmtId="0" fontId="15" fillId="8" borderId="17" xfId="0" applyFont="1" applyFill="1" applyBorder="1" applyAlignment="1">
      <alignment horizontal="left" vertical="center" wrapText="1"/>
    </xf>
    <xf numFmtId="0" fontId="15" fillId="8" borderId="25" xfId="0" applyFont="1" applyFill="1" applyBorder="1" applyAlignment="1">
      <alignment horizontal="left" vertical="center" wrapText="1"/>
    </xf>
    <xf numFmtId="0" fontId="15" fillId="8" borderId="8" xfId="0" applyFont="1" applyFill="1" applyBorder="1" applyAlignment="1">
      <alignment horizontal="left" vertical="center" wrapText="1"/>
    </xf>
    <xf numFmtId="0" fontId="15" fillId="8" borderId="26" xfId="0" applyFont="1" applyFill="1" applyBorder="1" applyAlignment="1">
      <alignment horizontal="left" vertical="center" wrapText="1"/>
    </xf>
    <xf numFmtId="44" fontId="9" fillId="0" borderId="1" xfId="1" applyFont="1" applyBorder="1"/>
    <xf numFmtId="44" fontId="13" fillId="4" borderId="25" xfId="0" applyNumberFormat="1" applyFont="1" applyFill="1" applyBorder="1" applyAlignment="1">
      <alignment horizontal="center"/>
    </xf>
    <xf numFmtId="44" fontId="13" fillId="4" borderId="26" xfId="0" applyNumberFormat="1" applyFont="1" applyFill="1" applyBorder="1" applyAlignment="1">
      <alignment horizontal="center"/>
    </xf>
    <xf numFmtId="44" fontId="18" fillId="0" borderId="1" xfId="1" applyFont="1" applyBorder="1" applyAlignment="1">
      <alignment horizontal="center"/>
    </xf>
    <xf numFmtId="44" fontId="9" fillId="2" borderId="1" xfId="1" applyFont="1" applyFill="1" applyBorder="1"/>
    <xf numFmtId="44" fontId="23" fillId="3" borderId="0" xfId="1" applyFont="1" applyFill="1" applyAlignment="1">
      <alignment horizontal="left"/>
    </xf>
    <xf numFmtId="169" fontId="24" fillId="3" borderId="0" xfId="0" applyNumberFormat="1" applyFont="1" applyFill="1" applyAlignment="1">
      <alignment horizontal="center"/>
    </xf>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169" fontId="24" fillId="3" borderId="8" xfId="0" applyNumberFormat="1" applyFont="1" applyFill="1" applyBorder="1" applyAlignment="1">
      <alignment horizontal="center"/>
    </xf>
    <xf numFmtId="169" fontId="24" fillId="3" borderId="0" xfId="1" applyNumberFormat="1" applyFont="1" applyFill="1" applyAlignment="1">
      <alignment horizontal="center"/>
    </xf>
    <xf numFmtId="169" fontId="24" fillId="3" borderId="8" xfId="1" applyNumberFormat="1" applyFont="1" applyFill="1" applyBorder="1" applyAlignment="1">
      <alignment horizontal="center" vertical="center"/>
    </xf>
    <xf numFmtId="44" fontId="23" fillId="3" borderId="8" xfId="1" applyFont="1" applyFill="1" applyBorder="1" applyAlignment="1">
      <alignment horizontal="left"/>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9"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1" fillId="3" borderId="14" xfId="0" applyFont="1" applyFill="1" applyBorder="1" applyAlignment="1">
      <alignment horizontal="center" vertical="center"/>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19"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21" fillId="2" borderId="0" xfId="3" applyFill="1" applyAlignment="1">
      <alignment horizontal="left" wrapText="1"/>
    </xf>
    <xf numFmtId="0" fontId="21" fillId="2" borderId="0" xfId="3" applyFill="1" applyAlignment="1">
      <alignment horizontal="left"/>
    </xf>
    <xf numFmtId="0" fontId="21" fillId="2" borderId="17" xfId="3" applyFill="1" applyBorder="1" applyAlignment="1">
      <alignment horizontal="left"/>
    </xf>
    <xf numFmtId="6" fontId="2" fillId="2" borderId="14" xfId="0" applyNumberFormat="1" applyFont="1" applyFill="1" applyBorder="1" applyAlignment="1">
      <alignment horizontal="center" vertical="center" wrapText="1"/>
    </xf>
    <xf numFmtId="12" fontId="2" fillId="2" borderId="12" xfId="0" applyNumberFormat="1" applyFont="1" applyFill="1" applyBorder="1" applyAlignment="1">
      <alignment horizontal="center" vertical="center" wrapText="1"/>
    </xf>
    <xf numFmtId="12" fontId="2" fillId="2" borderId="15" xfId="0" applyNumberFormat="1" applyFont="1" applyFill="1" applyBorder="1" applyAlignment="1">
      <alignment horizontal="center" vertical="center" wrapText="1"/>
    </xf>
    <xf numFmtId="12" fontId="2" fillId="2" borderId="16" xfId="0" applyNumberFormat="1" applyFont="1" applyFill="1" applyBorder="1" applyAlignment="1">
      <alignment horizontal="center" vertical="center" wrapText="1"/>
    </xf>
    <xf numFmtId="12" fontId="2" fillId="2" borderId="0" xfId="0" applyNumberFormat="1" applyFont="1" applyFill="1" applyAlignment="1">
      <alignment horizontal="center" vertical="center" wrapText="1"/>
    </xf>
    <xf numFmtId="12" fontId="2" fillId="2" borderId="17" xfId="0" applyNumberFormat="1" applyFont="1" applyFill="1" applyBorder="1" applyAlignment="1">
      <alignment horizontal="center" vertical="center" wrapText="1"/>
    </xf>
    <xf numFmtId="12" fontId="2" fillId="2" borderId="25" xfId="0" applyNumberFormat="1" applyFont="1" applyFill="1" applyBorder="1" applyAlignment="1">
      <alignment horizontal="center" vertical="center" wrapText="1"/>
    </xf>
    <xf numFmtId="12" fontId="2" fillId="2" borderId="8" xfId="0" applyNumberFormat="1" applyFont="1" applyFill="1" applyBorder="1" applyAlignment="1">
      <alignment horizontal="center" vertical="center" wrapText="1"/>
    </xf>
    <xf numFmtId="12" fontId="2" fillId="2" borderId="26" xfId="0" applyNumberFormat="1" applyFont="1" applyFill="1" applyBorder="1" applyAlignment="1">
      <alignment horizontal="center" vertical="center" wrapText="1"/>
    </xf>
    <xf numFmtId="6" fontId="0" fillId="2" borderId="14" xfId="0" applyNumberFormat="1" applyFill="1" applyBorder="1" applyAlignment="1">
      <alignment horizontal="center" vertical="center" wrapText="1"/>
    </xf>
    <xf numFmtId="12" fontId="0" fillId="2" borderId="12" xfId="0" applyNumberFormat="1" applyFill="1" applyBorder="1" applyAlignment="1">
      <alignment horizontal="center" vertical="center" wrapText="1"/>
    </xf>
    <xf numFmtId="12" fontId="0" fillId="2" borderId="15" xfId="0" applyNumberFormat="1" applyFill="1" applyBorder="1" applyAlignment="1">
      <alignment horizontal="center" vertical="center" wrapText="1"/>
    </xf>
    <xf numFmtId="12" fontId="0" fillId="2" borderId="16" xfId="0" applyNumberFormat="1" applyFill="1" applyBorder="1" applyAlignment="1">
      <alignment horizontal="center" vertical="center" wrapText="1"/>
    </xf>
    <xf numFmtId="12" fontId="0" fillId="2" borderId="0" xfId="0" applyNumberFormat="1" applyFill="1" applyAlignment="1">
      <alignment horizontal="center" vertical="center" wrapText="1"/>
    </xf>
    <xf numFmtId="12" fontId="0" fillId="2" borderId="17" xfId="0" applyNumberFormat="1" applyFill="1" applyBorder="1" applyAlignment="1">
      <alignment horizontal="center" vertical="center" wrapText="1"/>
    </xf>
    <xf numFmtId="12" fontId="0" fillId="2" borderId="25" xfId="0" applyNumberFormat="1" applyFill="1" applyBorder="1" applyAlignment="1">
      <alignment horizontal="center" vertical="center" wrapText="1"/>
    </xf>
    <xf numFmtId="12" fontId="0" fillId="2" borderId="8" xfId="0" applyNumberFormat="1" applyFill="1" applyBorder="1" applyAlignment="1">
      <alignment horizontal="center" vertical="center" wrapText="1"/>
    </xf>
    <xf numFmtId="12" fontId="0" fillId="2" borderId="26" xfId="0" applyNumberFormat="1" applyFill="1" applyBorder="1" applyAlignment="1">
      <alignment horizontal="center" vertical="center" wrapText="1"/>
    </xf>
    <xf numFmtId="0" fontId="0" fillId="8" borderId="16" xfId="0" applyFill="1" applyBorder="1" applyAlignment="1">
      <alignment horizontal="left" wrapText="1"/>
    </xf>
    <xf numFmtId="0" fontId="0" fillId="8" borderId="0" xfId="0" applyFill="1" applyAlignment="1">
      <alignment horizontal="left" wrapText="1"/>
    </xf>
    <xf numFmtId="6" fontId="0" fillId="2" borderId="12" xfId="0" applyNumberFormat="1" applyFill="1" applyBorder="1" applyAlignment="1">
      <alignment horizontal="center" vertical="center" wrapText="1"/>
    </xf>
    <xf numFmtId="6" fontId="0" fillId="2" borderId="15" xfId="0" applyNumberForma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7" xfId="0" applyNumberFormat="1" applyFill="1" applyBorder="1" applyAlignment="1">
      <alignment horizontal="center" vertical="center" wrapText="1"/>
    </xf>
    <xf numFmtId="6" fontId="0" fillId="2" borderId="25"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6" xfId="0" applyNumberFormat="1" applyFill="1" applyBorder="1" applyAlignment="1">
      <alignment horizontal="center" vertical="center" wrapText="1"/>
    </xf>
    <xf numFmtId="44" fontId="5" fillId="6" borderId="3" xfId="1" applyFont="1" applyFill="1" applyBorder="1"/>
    <xf numFmtId="0" fontId="2" fillId="8" borderId="9" xfId="0" applyFont="1" applyFill="1" applyBorder="1" applyAlignment="1">
      <alignment horizontal="left" vertical="center" wrapText="1"/>
    </xf>
    <xf numFmtId="0" fontId="2" fillId="8" borderId="11" xfId="0" applyFont="1" applyFill="1" applyBorder="1" applyAlignment="1">
      <alignment horizontal="left" vertical="center" wrapText="1"/>
    </xf>
    <xf numFmtId="0" fontId="8" fillId="15" borderId="14" xfId="0" applyFont="1" applyFill="1" applyBorder="1"/>
    <xf numFmtId="0" fontId="8" fillId="15" borderId="25" xfId="0" applyFont="1" applyFill="1" applyBorder="1"/>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FFFF99"/>
      <color rgb="FF33CC33"/>
      <color rgb="FFA50021"/>
      <color rgb="FF00CCFF"/>
      <color rgb="FFCCECFF"/>
      <color rgb="FF00FFCC"/>
      <color rgb="FFFF00FF"/>
      <color rgb="FFCCFFC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80008</xdr:rowOff>
    </xdr:from>
    <xdr:to>
      <xdr:col>0</xdr:col>
      <xdr:colOff>2400300</xdr:colOff>
      <xdr:row>7</xdr:row>
      <xdr:rowOff>101599</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80008"/>
          <a:ext cx="2362200" cy="1647191"/>
        </a:xfrm>
        <a:prstGeom prst="rect">
          <a:avLst/>
        </a:prstGeom>
        <a:noFill/>
        <a:ln>
          <a:solidFill>
            <a:schemeClr val="tx1"/>
          </a:solid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5" Type="http://schemas.openxmlformats.org/officeDocument/2006/relationships/printerSettings" Target="../printerSettings/printerSettings2.bin"/><Relationship Id="rId4" Type="http://schemas.openxmlformats.org/officeDocument/2006/relationships/hyperlink" Target="mailto:ventas@quimicaros.com.ar"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polypeirano@yahoo.com" TargetMode="External"/><Relationship Id="rId2" Type="http://schemas.openxmlformats.org/officeDocument/2006/relationships/hyperlink" Target="mailto:polypeirano@yahoo.com" TargetMode="External"/><Relationship Id="rId1" Type="http://schemas.openxmlformats.org/officeDocument/2006/relationships/hyperlink" Target="mailto:polypeirano@yahoo.com" TargetMode="External"/><Relationship Id="rId6" Type="http://schemas.openxmlformats.org/officeDocument/2006/relationships/printerSettings" Target="../printerSettings/printerSettings3.bin"/><Relationship Id="rId5" Type="http://schemas.openxmlformats.org/officeDocument/2006/relationships/hyperlink" Target="mailto:hugoecarnevaleok@gmail.com+" TargetMode="External"/><Relationship Id="rId4" Type="http://schemas.openxmlformats.org/officeDocument/2006/relationships/hyperlink" Target="mailto:hugoecarnevaleok@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2"/>
  <sheetViews>
    <sheetView zoomScale="80" zoomScaleNormal="80" workbookViewId="0">
      <selection activeCell="K139" sqref="K139"/>
    </sheetView>
  </sheetViews>
  <sheetFormatPr baseColWidth="10" defaultColWidth="10.85546875" defaultRowHeight="15" x14ac:dyDescent="0.25"/>
  <cols>
    <col min="1" max="1" width="37.5703125" customWidth="1"/>
    <col min="2" max="2" width="24.7109375" customWidth="1"/>
    <col min="3" max="3" width="15.85546875" hidden="1" customWidth="1"/>
    <col min="4" max="4" width="21.28515625" customWidth="1"/>
    <col min="5" max="5" width="15.140625" customWidth="1"/>
    <col min="6" max="6" width="16.42578125" bestFit="1" customWidth="1"/>
    <col min="7" max="7" width="15.42578125" bestFit="1" customWidth="1"/>
    <col min="9" max="9" width="14.140625" bestFit="1" customWidth="1"/>
    <col min="11" max="11" width="18" customWidth="1"/>
    <col min="12" max="12" width="18.28515625" customWidth="1"/>
  </cols>
  <sheetData>
    <row r="1" spans="1:5" ht="15.75" thickBot="1" x14ac:dyDescent="0.3">
      <c r="A1" s="392"/>
      <c r="B1" s="387" t="s">
        <v>159</v>
      </c>
      <c r="C1" s="388"/>
      <c r="D1" s="388"/>
      <c r="E1" s="389"/>
    </row>
    <row r="2" spans="1:5" ht="15.75" thickBot="1" x14ac:dyDescent="0.3">
      <c r="A2" s="393"/>
      <c r="B2" s="387" t="s">
        <v>161</v>
      </c>
      <c r="C2" s="388"/>
      <c r="D2" s="388"/>
      <c r="E2" s="389"/>
    </row>
    <row r="3" spans="1:5" ht="32.25" customHeight="1" thickBot="1" x14ac:dyDescent="0.3">
      <c r="A3" s="393"/>
      <c r="B3" s="384" t="s">
        <v>157</v>
      </c>
      <c r="C3" s="385"/>
      <c r="D3" s="385"/>
      <c r="E3" s="386"/>
    </row>
    <row r="4" spans="1:5" ht="15.75" thickBot="1" x14ac:dyDescent="0.3">
      <c r="A4" s="393"/>
      <c r="B4" s="69" t="s">
        <v>158</v>
      </c>
      <c r="C4" s="68"/>
      <c r="D4" s="68"/>
      <c r="E4" s="68"/>
    </row>
    <row r="5" spans="1:5" ht="16.899999999999999" customHeight="1" thickBot="1" x14ac:dyDescent="0.3">
      <c r="A5" s="393"/>
      <c r="B5" s="72" t="s">
        <v>381</v>
      </c>
      <c r="C5" s="70"/>
      <c r="D5" s="70"/>
      <c r="E5" s="71"/>
    </row>
    <row r="6" spans="1:5" ht="16.899999999999999" customHeight="1" thickBot="1" x14ac:dyDescent="0.3">
      <c r="A6" s="393"/>
      <c r="B6" s="73" t="s">
        <v>383</v>
      </c>
      <c r="C6" s="70"/>
      <c r="D6" s="70"/>
      <c r="E6" s="71"/>
    </row>
    <row r="7" spans="1:5" ht="16.899999999999999" customHeight="1" thickBot="1" x14ac:dyDescent="0.3">
      <c r="A7" s="393"/>
      <c r="B7" s="73" t="s">
        <v>382</v>
      </c>
      <c r="C7" s="70"/>
      <c r="D7" s="70"/>
      <c r="E7" s="71"/>
    </row>
    <row r="8" spans="1:5" ht="15.75" thickBot="1" x14ac:dyDescent="0.3">
      <c r="A8" s="394"/>
      <c r="B8" s="390" t="s">
        <v>160</v>
      </c>
      <c r="C8" s="390"/>
      <c r="D8" s="390"/>
      <c r="E8" s="391"/>
    </row>
    <row r="10" spans="1:5" ht="14.45" customHeight="1" x14ac:dyDescent="0.25">
      <c r="A10" s="395" t="s">
        <v>375</v>
      </c>
      <c r="B10" s="395"/>
      <c r="C10" s="395"/>
      <c r="D10" s="395"/>
      <c r="E10" s="395"/>
    </row>
    <row r="11" spans="1:5" ht="14.45" customHeight="1" x14ac:dyDescent="0.25">
      <c r="A11" s="395"/>
      <c r="B11" s="395"/>
      <c r="C11" s="395"/>
      <c r="D11" s="395"/>
      <c r="E11" s="395"/>
    </row>
    <row r="12" spans="1:5" ht="14.45" customHeight="1" x14ac:dyDescent="0.25">
      <c r="A12" s="395"/>
      <c r="B12" s="395"/>
      <c r="C12" s="395"/>
      <c r="D12" s="395"/>
      <c r="E12" s="395"/>
    </row>
    <row r="13" spans="1:5" x14ac:dyDescent="0.25">
      <c r="A13" s="46"/>
      <c r="B13" s="46"/>
      <c r="C13" s="46"/>
      <c r="D13" s="46"/>
      <c r="E13" s="46"/>
    </row>
    <row r="14" spans="1:5" ht="14.45" hidden="1" customHeight="1" x14ac:dyDescent="0.25">
      <c r="A14" s="46"/>
      <c r="B14" s="46"/>
      <c r="C14" s="46"/>
      <c r="D14" s="46"/>
      <c r="E14" s="46"/>
    </row>
    <row r="15" spans="1:5" ht="15" customHeight="1" x14ac:dyDescent="0.25">
      <c r="A15" s="396" t="s">
        <v>254</v>
      </c>
      <c r="B15" s="396"/>
      <c r="C15" s="396"/>
      <c r="D15" s="396"/>
      <c r="E15" s="396"/>
    </row>
    <row r="16" spans="1:5" ht="15" customHeight="1" x14ac:dyDescent="0.25">
      <c r="A16" s="396"/>
      <c r="B16" s="396"/>
      <c r="C16" s="396"/>
      <c r="D16" s="396"/>
      <c r="E16" s="396"/>
    </row>
    <row r="17" spans="1:8" ht="15" customHeight="1" x14ac:dyDescent="0.25">
      <c r="A17" s="396"/>
      <c r="B17" s="396"/>
      <c r="C17" s="396"/>
      <c r="D17" s="396"/>
      <c r="E17" s="396"/>
    </row>
    <row r="18" spans="1:8" ht="243" customHeight="1" x14ac:dyDescent="0.25">
      <c r="A18" s="396"/>
      <c r="B18" s="396"/>
      <c r="C18" s="396"/>
      <c r="D18" s="396"/>
      <c r="E18" s="396"/>
    </row>
    <row r="19" spans="1:8" ht="14.25" customHeight="1" thickBot="1" x14ac:dyDescent="0.3">
      <c r="A19" s="46"/>
      <c r="B19" s="46"/>
      <c r="C19" s="46"/>
      <c r="D19" s="46"/>
      <c r="E19" s="46"/>
    </row>
    <row r="20" spans="1:8" ht="14.45" hidden="1" customHeight="1" x14ac:dyDescent="0.25">
      <c r="A20" s="171"/>
      <c r="B20" s="46"/>
      <c r="C20" s="46"/>
      <c r="D20" s="46"/>
      <c r="E20" s="46"/>
    </row>
    <row r="21" spans="1:8" ht="15" hidden="1" customHeight="1" thickBot="1" x14ac:dyDescent="0.3">
      <c r="A21" s="46"/>
      <c r="B21" s="46"/>
      <c r="C21" s="46"/>
      <c r="D21" s="46"/>
      <c r="E21" s="46"/>
    </row>
    <row r="22" spans="1:8" x14ac:dyDescent="0.25">
      <c r="A22" s="172" t="s">
        <v>5</v>
      </c>
      <c r="B22" s="173"/>
      <c r="C22" s="174"/>
      <c r="D22" s="175"/>
      <c r="E22" s="176"/>
    </row>
    <row r="23" spans="1:8" x14ac:dyDescent="0.25">
      <c r="A23" s="12" t="s">
        <v>18</v>
      </c>
      <c r="B23" s="12"/>
      <c r="C23" s="12"/>
      <c r="D23" s="12"/>
      <c r="E23" s="12"/>
    </row>
    <row r="24" spans="1:8" ht="20.25" customHeight="1" x14ac:dyDescent="0.25">
      <c r="A24" s="376" t="s">
        <v>376</v>
      </c>
      <c r="B24" s="377"/>
      <c r="C24" s="38"/>
      <c r="D24" s="170">
        <v>1410992.1</v>
      </c>
      <c r="E24" s="38"/>
      <c r="G24" s="127"/>
    </row>
    <row r="25" spans="1:8" x14ac:dyDescent="0.25">
      <c r="A25" s="38" t="s">
        <v>377</v>
      </c>
      <c r="B25" s="38"/>
      <c r="C25" s="38"/>
      <c r="D25" s="170">
        <v>-306890.77</v>
      </c>
      <c r="E25" s="38"/>
      <c r="G25" s="4"/>
    </row>
    <row r="26" spans="1:8" x14ac:dyDescent="0.25">
      <c r="A26" s="38" t="s">
        <v>378</v>
      </c>
      <c r="B26" s="38"/>
      <c r="C26" s="38"/>
      <c r="D26" s="170">
        <v>0.67</v>
      </c>
      <c r="E26" s="38"/>
      <c r="G26" s="4"/>
    </row>
    <row r="27" spans="1:8" x14ac:dyDescent="0.25">
      <c r="A27" s="177" t="s">
        <v>19</v>
      </c>
      <c r="B27" s="177"/>
      <c r="C27" s="177"/>
      <c r="D27" s="48">
        <f>SUM(D24:D26)</f>
        <v>1104102</v>
      </c>
      <c r="E27" s="140"/>
      <c r="F27" s="4"/>
      <c r="G27" s="4"/>
      <c r="H27" s="127" t="s">
        <v>477</v>
      </c>
    </row>
    <row r="28" spans="1:8" ht="32.25" customHeight="1" x14ac:dyDescent="0.25">
      <c r="A28" s="376" t="s">
        <v>257</v>
      </c>
      <c r="B28" s="377"/>
      <c r="C28" s="38"/>
      <c r="D28" s="170">
        <v>920000</v>
      </c>
      <c r="E28" s="38" t="s">
        <v>395</v>
      </c>
      <c r="G28" s="4"/>
    </row>
    <row r="29" spans="1:8" x14ac:dyDescent="0.25">
      <c r="A29" s="177" t="s">
        <v>19</v>
      </c>
      <c r="B29" s="177"/>
      <c r="C29" s="177"/>
      <c r="D29" s="48">
        <f>SUM(D28:D28)</f>
        <v>920000</v>
      </c>
      <c r="E29" s="39"/>
      <c r="G29" s="4"/>
    </row>
    <row r="30" spans="1:8" ht="18" customHeight="1" thickBot="1" x14ac:dyDescent="0.3">
      <c r="A30" s="178" t="s">
        <v>173</v>
      </c>
      <c r="B30" s="178"/>
      <c r="C30" s="178"/>
      <c r="D30" s="62"/>
      <c r="E30" s="154">
        <f>D27+D29</f>
        <v>2024102</v>
      </c>
      <c r="F30" s="4"/>
    </row>
    <row r="31" spans="1:8" x14ac:dyDescent="0.25">
      <c r="A31" s="12" t="s">
        <v>179</v>
      </c>
      <c r="B31" s="13"/>
      <c r="C31" s="13"/>
      <c r="D31" s="15"/>
      <c r="E31" s="30"/>
    </row>
    <row r="32" spans="1:8" s="19" customFormat="1" ht="15" customHeight="1" x14ac:dyDescent="0.25">
      <c r="A32" s="38" t="s">
        <v>379</v>
      </c>
      <c r="B32" s="38"/>
      <c r="C32" s="179"/>
      <c r="D32" s="368">
        <v>609368.6</v>
      </c>
      <c r="E32" s="133" t="s">
        <v>425</v>
      </c>
      <c r="G32" s="58"/>
    </row>
    <row r="33" spans="1:9" s="19" customFormat="1" ht="15" customHeight="1" x14ac:dyDescent="0.25">
      <c r="A33" s="180" t="s">
        <v>380</v>
      </c>
      <c r="B33" s="38" t="s">
        <v>11</v>
      </c>
      <c r="C33" s="179"/>
      <c r="D33" s="368">
        <v>59015.5</v>
      </c>
      <c r="E33" s="133" t="s">
        <v>426</v>
      </c>
      <c r="G33" s="58"/>
    </row>
    <row r="34" spans="1:9" s="19" customFormat="1" ht="15" customHeight="1" x14ac:dyDescent="0.25">
      <c r="A34" s="180" t="str">
        <f>A33</f>
        <v>Sindicatos mes de AGOSTO</v>
      </c>
      <c r="B34" s="38" t="s">
        <v>20</v>
      </c>
      <c r="C34" s="179"/>
      <c r="D34" s="368">
        <v>110216.62</v>
      </c>
      <c r="E34" s="133" t="str">
        <f>E33</f>
        <v>Debito 12/09</v>
      </c>
      <c r="G34" s="58"/>
    </row>
    <row r="35" spans="1:9" ht="15" customHeight="1" x14ac:dyDescent="0.25">
      <c r="A35" s="180" t="str">
        <f>A34</f>
        <v>Sindicatos mes de AGOSTO</v>
      </c>
      <c r="B35" s="38" t="s">
        <v>10</v>
      </c>
      <c r="C35" s="179"/>
      <c r="D35" s="369">
        <v>6557.28</v>
      </c>
      <c r="E35" s="133" t="str">
        <f>E34</f>
        <v>Debito 12/09</v>
      </c>
      <c r="H35" s="51"/>
    </row>
    <row r="36" spans="1:9" ht="15.75" thickBot="1" x14ac:dyDescent="0.3">
      <c r="A36" s="178" t="s">
        <v>151</v>
      </c>
      <c r="B36" s="178"/>
      <c r="C36" s="178"/>
      <c r="D36" s="61"/>
      <c r="E36" s="153">
        <f>SUM(D32:D35)</f>
        <v>785158</v>
      </c>
    </row>
    <row r="37" spans="1:9" x14ac:dyDescent="0.25">
      <c r="A37" s="12" t="s">
        <v>172</v>
      </c>
      <c r="B37" s="181"/>
      <c r="C37" s="181"/>
      <c r="D37" s="18"/>
      <c r="E37" s="41"/>
    </row>
    <row r="38" spans="1:9" ht="31.9" customHeight="1" x14ac:dyDescent="0.25">
      <c r="A38" s="378" t="s">
        <v>297</v>
      </c>
      <c r="B38" s="379"/>
      <c r="C38" s="38"/>
      <c r="D38" s="370">
        <v>148964</v>
      </c>
      <c r="E38" s="134" t="s">
        <v>417</v>
      </c>
    </row>
    <row r="39" spans="1:9" ht="31.9" customHeight="1" x14ac:dyDescent="0.25">
      <c r="A39" s="378" t="s">
        <v>298</v>
      </c>
      <c r="B39" s="379"/>
      <c r="C39" s="38"/>
      <c r="D39" s="370">
        <v>5619</v>
      </c>
      <c r="E39" s="134" t="s">
        <v>416</v>
      </c>
    </row>
    <row r="40" spans="1:9" ht="31.9" customHeight="1" x14ac:dyDescent="0.25">
      <c r="A40" s="378" t="s">
        <v>180</v>
      </c>
      <c r="B40" s="379"/>
      <c r="C40" s="38"/>
      <c r="D40" s="370">
        <v>14585.38</v>
      </c>
      <c r="E40" s="134" t="s">
        <v>435</v>
      </c>
    </row>
    <row r="41" spans="1:9" ht="31.9" customHeight="1" x14ac:dyDescent="0.25">
      <c r="A41" s="378" t="s">
        <v>180</v>
      </c>
      <c r="B41" s="379"/>
      <c r="C41" s="38"/>
      <c r="D41" s="370">
        <v>18195</v>
      </c>
      <c r="E41" s="134" t="s">
        <v>420</v>
      </c>
    </row>
    <row r="42" spans="1:9" ht="15" customHeight="1" thickBot="1" x14ac:dyDescent="0.3">
      <c r="A42" s="178" t="s">
        <v>152</v>
      </c>
      <c r="B42" s="182"/>
      <c r="C42" s="182"/>
      <c r="D42" s="63"/>
      <c r="E42" s="78">
        <f>SUM(D38:D41)</f>
        <v>187363.38</v>
      </c>
    </row>
    <row r="43" spans="1:9" ht="15" customHeight="1" thickBot="1" x14ac:dyDescent="0.3">
      <c r="A43" s="103" t="s">
        <v>181</v>
      </c>
      <c r="B43" s="13"/>
      <c r="C43" s="13"/>
      <c r="D43" s="17"/>
      <c r="E43" s="43"/>
    </row>
    <row r="44" spans="1:9" ht="33.950000000000003" customHeight="1" x14ac:dyDescent="0.25">
      <c r="A44" s="378" t="s">
        <v>405</v>
      </c>
      <c r="B44" s="397"/>
      <c r="C44" s="183"/>
      <c r="D44" s="370">
        <v>44699294.640000001</v>
      </c>
      <c r="E44" s="135" t="s">
        <v>404</v>
      </c>
      <c r="G44" t="s">
        <v>248</v>
      </c>
      <c r="I44" s="56"/>
    </row>
    <row r="45" spans="1:9" ht="33.950000000000003" customHeight="1" x14ac:dyDescent="0.25">
      <c r="A45" s="378" t="s">
        <v>394</v>
      </c>
      <c r="B45" s="397"/>
      <c r="C45" s="183"/>
      <c r="D45" s="370">
        <v>43560</v>
      </c>
      <c r="E45" s="135" t="s">
        <v>395</v>
      </c>
      <c r="I45" s="56"/>
    </row>
    <row r="46" spans="1:9" ht="33.950000000000003" customHeight="1" x14ac:dyDescent="0.25">
      <c r="A46" s="378" t="s">
        <v>433</v>
      </c>
      <c r="B46" s="397"/>
      <c r="C46" s="183"/>
      <c r="D46" s="370">
        <v>4545899</v>
      </c>
      <c r="E46" s="136" t="s">
        <v>413</v>
      </c>
      <c r="F46" s="24"/>
    </row>
    <row r="47" spans="1:9" ht="17.45" customHeight="1" x14ac:dyDescent="0.25">
      <c r="A47" s="178" t="s">
        <v>182</v>
      </c>
      <c r="B47" s="64"/>
      <c r="C47" s="64"/>
      <c r="D47" s="64"/>
      <c r="E47" s="79">
        <f>SUM(D44:D46)</f>
        <v>49288753.640000001</v>
      </c>
    </row>
    <row r="48" spans="1:9" ht="17.45" customHeight="1" x14ac:dyDescent="0.25">
      <c r="A48" s="103" t="s">
        <v>183</v>
      </c>
      <c r="B48" s="103"/>
      <c r="C48" s="103" t="s">
        <v>181</v>
      </c>
      <c r="D48" s="103"/>
      <c r="E48" s="103"/>
    </row>
    <row r="49" spans="1:8" ht="33.950000000000003" customHeight="1" x14ac:dyDescent="0.25">
      <c r="A49" s="378" t="s">
        <v>301</v>
      </c>
      <c r="B49" s="397"/>
      <c r="C49" s="183"/>
      <c r="D49" s="370">
        <v>984869.82</v>
      </c>
      <c r="E49" s="135" t="s">
        <v>398</v>
      </c>
    </row>
    <row r="50" spans="1:8" ht="33.950000000000003" customHeight="1" x14ac:dyDescent="0.25">
      <c r="A50" s="378" t="s">
        <v>427</v>
      </c>
      <c r="B50" s="379"/>
      <c r="C50" s="184"/>
      <c r="D50" s="370">
        <v>5500000</v>
      </c>
      <c r="E50" s="45" t="s">
        <v>395</v>
      </c>
      <c r="G50" s="51"/>
    </row>
    <row r="51" spans="1:8" ht="33.950000000000003" customHeight="1" x14ac:dyDescent="0.25">
      <c r="A51" s="378" t="s">
        <v>429</v>
      </c>
      <c r="B51" s="379"/>
      <c r="C51" s="184"/>
      <c r="D51" s="370">
        <v>650000</v>
      </c>
      <c r="E51" s="45" t="s">
        <v>395</v>
      </c>
    </row>
    <row r="52" spans="1:8" ht="33.950000000000003" customHeight="1" x14ac:dyDescent="0.25">
      <c r="A52" s="378" t="s">
        <v>428</v>
      </c>
      <c r="B52" s="379"/>
      <c r="C52" s="184"/>
      <c r="D52" s="370">
        <v>650000</v>
      </c>
      <c r="E52" s="158" t="s">
        <v>415</v>
      </c>
    </row>
    <row r="53" spans="1:8" ht="33.950000000000003" customHeight="1" x14ac:dyDescent="0.25">
      <c r="A53" s="378" t="s">
        <v>389</v>
      </c>
      <c r="B53" s="379"/>
      <c r="C53" s="184"/>
      <c r="D53" s="370">
        <v>450000</v>
      </c>
      <c r="E53" s="45" t="s">
        <v>388</v>
      </c>
    </row>
    <row r="54" spans="1:8" ht="52.5" customHeight="1" x14ac:dyDescent="0.25">
      <c r="A54" s="378" t="s">
        <v>411</v>
      </c>
      <c r="B54" s="379"/>
      <c r="C54" s="184"/>
      <c r="D54" s="370">
        <v>228690</v>
      </c>
      <c r="E54" s="158" t="s">
        <v>410</v>
      </c>
    </row>
    <row r="55" spans="1:8" ht="33.950000000000003" customHeight="1" x14ac:dyDescent="0.25">
      <c r="A55" s="378" t="s">
        <v>432</v>
      </c>
      <c r="B55" s="379"/>
      <c r="C55" s="38"/>
      <c r="D55" s="132">
        <v>700</v>
      </c>
      <c r="E55" s="158" t="s">
        <v>410</v>
      </c>
    </row>
    <row r="56" spans="1:8" ht="33.950000000000003" customHeight="1" x14ac:dyDescent="0.25">
      <c r="A56" s="378" t="s">
        <v>296</v>
      </c>
      <c r="B56" s="379"/>
      <c r="C56" s="38"/>
      <c r="D56" s="132">
        <v>186700</v>
      </c>
      <c r="E56" s="158" t="s">
        <v>410</v>
      </c>
    </row>
    <row r="57" spans="1:8" ht="33.950000000000003" customHeight="1" x14ac:dyDescent="0.25">
      <c r="A57" s="378" t="s">
        <v>431</v>
      </c>
      <c r="B57" s="379"/>
      <c r="C57" s="184"/>
      <c r="D57" s="370">
        <v>450667.38</v>
      </c>
      <c r="E57" s="137" t="s">
        <v>410</v>
      </c>
    </row>
    <row r="58" spans="1:8" ht="50.25" customHeight="1" x14ac:dyDescent="0.25">
      <c r="A58" s="378" t="s">
        <v>436</v>
      </c>
      <c r="B58" s="379"/>
      <c r="C58" s="38"/>
      <c r="D58" s="132">
        <f>562000+324310</f>
        <v>886310</v>
      </c>
      <c r="E58" s="162" t="s">
        <v>398</v>
      </c>
    </row>
    <row r="59" spans="1:8" ht="50.25" customHeight="1" x14ac:dyDescent="0.25">
      <c r="A59" s="378" t="s">
        <v>474</v>
      </c>
      <c r="B59" s="379"/>
      <c r="C59" s="38"/>
      <c r="D59" s="132">
        <v>700000</v>
      </c>
      <c r="E59" s="162" t="s">
        <v>398</v>
      </c>
    </row>
    <row r="60" spans="1:8" ht="33.950000000000003" customHeight="1" x14ac:dyDescent="0.25">
      <c r="A60" s="382" t="s">
        <v>442</v>
      </c>
      <c r="B60" s="383"/>
      <c r="C60" s="38"/>
      <c r="D60" s="132">
        <v>827000</v>
      </c>
      <c r="E60" s="162" t="s">
        <v>441</v>
      </c>
    </row>
    <row r="61" spans="1:8" ht="33.950000000000003" customHeight="1" x14ac:dyDescent="0.25">
      <c r="A61" s="382" t="s">
        <v>443</v>
      </c>
      <c r="B61" s="383"/>
      <c r="C61" s="38"/>
      <c r="D61" s="132">
        <v>700000</v>
      </c>
      <c r="E61" s="162" t="s">
        <v>441</v>
      </c>
    </row>
    <row r="62" spans="1:8" ht="28.5" customHeight="1" x14ac:dyDescent="0.25">
      <c r="A62" s="376" t="s">
        <v>403</v>
      </c>
      <c r="B62" s="377"/>
      <c r="C62" s="38"/>
      <c r="D62" s="132">
        <v>85000</v>
      </c>
      <c r="E62" s="135" t="s">
        <v>401</v>
      </c>
    </row>
    <row r="63" spans="1:8" ht="33.950000000000003" customHeight="1" x14ac:dyDescent="0.25">
      <c r="A63" s="376" t="s">
        <v>414</v>
      </c>
      <c r="B63" s="377"/>
      <c r="C63" s="38"/>
      <c r="D63" s="132">
        <v>85000</v>
      </c>
      <c r="E63" s="135" t="s">
        <v>413</v>
      </c>
    </row>
    <row r="64" spans="1:8" ht="33.950000000000003" customHeight="1" x14ac:dyDescent="0.25">
      <c r="A64" s="376" t="s">
        <v>392</v>
      </c>
      <c r="B64" s="377"/>
      <c r="C64" s="38"/>
      <c r="D64" s="132">
        <v>85000</v>
      </c>
      <c r="E64" s="135" t="s">
        <v>391</v>
      </c>
      <c r="G64" s="163"/>
      <c r="H64" s="163"/>
    </row>
    <row r="65" spans="1:12" ht="33.950000000000003" customHeight="1" x14ac:dyDescent="0.25">
      <c r="A65" s="376" t="s">
        <v>300</v>
      </c>
      <c r="B65" s="377"/>
      <c r="C65" s="38"/>
      <c r="D65" s="132">
        <v>85000</v>
      </c>
      <c r="E65" s="45" t="s">
        <v>386</v>
      </c>
      <c r="G65" s="163"/>
      <c r="H65" s="163"/>
    </row>
    <row r="66" spans="1:12" ht="33.950000000000003" customHeight="1" x14ac:dyDescent="0.25">
      <c r="A66" s="376" t="s">
        <v>444</v>
      </c>
      <c r="B66" s="377"/>
      <c r="C66" s="38"/>
      <c r="D66" s="132">
        <v>85000</v>
      </c>
      <c r="E66" s="45" t="s">
        <v>441</v>
      </c>
      <c r="G66" s="163"/>
      <c r="H66" s="163"/>
    </row>
    <row r="67" spans="1:12" ht="33.950000000000003" customHeight="1" x14ac:dyDescent="0.25">
      <c r="A67" s="382" t="s">
        <v>396</v>
      </c>
      <c r="B67" s="383"/>
      <c r="C67" s="38"/>
      <c r="D67" s="132">
        <v>374821.7</v>
      </c>
      <c r="E67" s="162" t="s">
        <v>397</v>
      </c>
      <c r="G67" s="163"/>
      <c r="H67" s="163"/>
    </row>
    <row r="68" spans="1:12" ht="63" customHeight="1" x14ac:dyDescent="0.25">
      <c r="A68" s="376" t="s">
        <v>408</v>
      </c>
      <c r="B68" s="377"/>
      <c r="C68" s="38"/>
      <c r="D68" s="132">
        <v>780000</v>
      </c>
      <c r="E68" s="135" t="s">
        <v>409</v>
      </c>
      <c r="G68" s="163"/>
      <c r="H68" s="163"/>
    </row>
    <row r="69" spans="1:12" ht="33.950000000000003" customHeight="1" x14ac:dyDescent="0.25">
      <c r="A69" s="378" t="s">
        <v>402</v>
      </c>
      <c r="B69" s="379"/>
      <c r="C69" s="38"/>
      <c r="D69" s="370">
        <v>820380</v>
      </c>
      <c r="E69" s="135" t="s">
        <v>401</v>
      </c>
      <c r="G69" s="163"/>
      <c r="H69" s="163"/>
    </row>
    <row r="70" spans="1:12" ht="63" customHeight="1" x14ac:dyDescent="0.25">
      <c r="A70" s="378" t="s">
        <v>419</v>
      </c>
      <c r="B70" s="379"/>
      <c r="C70" s="38"/>
      <c r="D70" s="370">
        <v>1072296.04</v>
      </c>
      <c r="E70" s="135" t="s">
        <v>404</v>
      </c>
      <c r="G70" s="163"/>
      <c r="H70" s="163"/>
    </row>
    <row r="71" spans="1:12" ht="54" customHeight="1" x14ac:dyDescent="0.25">
      <c r="A71" s="378" t="s">
        <v>418</v>
      </c>
      <c r="B71" s="379"/>
      <c r="C71" s="38"/>
      <c r="D71" s="370">
        <v>2144590.69</v>
      </c>
      <c r="E71" s="135" t="s">
        <v>401</v>
      </c>
      <c r="G71" s="163"/>
      <c r="H71" s="163"/>
    </row>
    <row r="72" spans="1:12" ht="31.5" customHeight="1" x14ac:dyDescent="0.25">
      <c r="A72" s="378" t="s">
        <v>438</v>
      </c>
      <c r="B72" s="379"/>
      <c r="C72" s="38"/>
      <c r="D72" s="370">
        <v>200000</v>
      </c>
      <c r="E72" s="135" t="s">
        <v>386</v>
      </c>
      <c r="G72" s="163"/>
      <c r="H72" s="163"/>
    </row>
    <row r="73" spans="1:12" ht="15.75" thickBot="1" x14ac:dyDescent="0.3">
      <c r="A73" s="178" t="s">
        <v>184</v>
      </c>
      <c r="B73" s="64"/>
      <c r="C73" s="64"/>
      <c r="D73" s="64"/>
      <c r="E73" s="79">
        <f>SUM(D49:D72)</f>
        <v>18032025.630000003</v>
      </c>
    </row>
    <row r="74" spans="1:12" ht="15.75" thickBot="1" x14ac:dyDescent="0.3">
      <c r="A74" s="12" t="s">
        <v>185</v>
      </c>
      <c r="B74" s="185"/>
      <c r="C74" s="13"/>
      <c r="D74" s="10"/>
      <c r="E74" s="43"/>
    </row>
    <row r="75" spans="1:12" ht="33.6" customHeight="1" x14ac:dyDescent="0.25">
      <c r="A75" s="378" t="s">
        <v>399</v>
      </c>
      <c r="B75" s="379"/>
      <c r="C75" s="180"/>
      <c r="D75" s="132">
        <v>112548.22</v>
      </c>
      <c r="E75" s="135" t="s">
        <v>398</v>
      </c>
      <c r="F75" s="51"/>
      <c r="G75" s="51"/>
      <c r="H75" s="51"/>
      <c r="I75" s="51"/>
      <c r="J75" s="51"/>
      <c r="K75" s="51"/>
      <c r="L75" s="51"/>
    </row>
    <row r="76" spans="1:12" ht="58.9" customHeight="1" x14ac:dyDescent="0.25">
      <c r="A76" s="376" t="s">
        <v>390</v>
      </c>
      <c r="B76" s="377"/>
      <c r="C76" s="38"/>
      <c r="D76" s="132">
        <v>350000</v>
      </c>
      <c r="E76" s="158" t="s">
        <v>391</v>
      </c>
    </row>
    <row r="77" spans="1:12" ht="58.9" customHeight="1" x14ac:dyDescent="0.25">
      <c r="A77" s="376" t="s">
        <v>384</v>
      </c>
      <c r="B77" s="377"/>
      <c r="C77" s="38"/>
      <c r="D77" s="132">
        <v>325000</v>
      </c>
      <c r="E77" s="137" t="s">
        <v>385</v>
      </c>
    </row>
    <row r="78" spans="1:12" ht="37.5" customHeight="1" x14ac:dyDescent="0.25">
      <c r="A78" s="378" t="s">
        <v>430</v>
      </c>
      <c r="B78" s="379"/>
      <c r="C78" s="38"/>
      <c r="D78" s="132">
        <v>60000</v>
      </c>
      <c r="E78" s="137" t="s">
        <v>409</v>
      </c>
    </row>
    <row r="79" spans="1:12" ht="37.5" customHeight="1" x14ac:dyDescent="0.25">
      <c r="A79" s="376" t="s">
        <v>387</v>
      </c>
      <c r="B79" s="377"/>
      <c r="C79" s="38"/>
      <c r="D79" s="132">
        <v>382000</v>
      </c>
      <c r="E79" s="45" t="s">
        <v>388</v>
      </c>
    </row>
    <row r="80" spans="1:12" ht="37.5" customHeight="1" x14ac:dyDescent="0.25">
      <c r="A80" s="376" t="s">
        <v>446</v>
      </c>
      <c r="B80" s="377"/>
      <c r="C80" s="38"/>
      <c r="D80" s="132">
        <v>220000</v>
      </c>
      <c r="E80" s="45" t="s">
        <v>441</v>
      </c>
    </row>
    <row r="81" spans="1:5" ht="30" customHeight="1" x14ac:dyDescent="0.25">
      <c r="A81" s="378" t="s">
        <v>437</v>
      </c>
      <c r="B81" s="379"/>
      <c r="C81" s="38"/>
      <c r="D81" s="132">
        <v>130030.58</v>
      </c>
      <c r="E81" s="45" t="s">
        <v>388</v>
      </c>
    </row>
    <row r="82" spans="1:5" ht="30" customHeight="1" x14ac:dyDescent="0.25">
      <c r="A82" s="378" t="s">
        <v>440</v>
      </c>
      <c r="B82" s="379"/>
      <c r="C82" s="38"/>
      <c r="D82" s="132">
        <v>951745.11</v>
      </c>
      <c r="E82" s="45" t="s">
        <v>439</v>
      </c>
    </row>
    <row r="83" spans="1:5" ht="30" customHeight="1" x14ac:dyDescent="0.25">
      <c r="A83" s="378" t="s">
        <v>445</v>
      </c>
      <c r="B83" s="379"/>
      <c r="C83" s="180"/>
      <c r="D83" s="132">
        <v>22400</v>
      </c>
      <c r="E83" s="45" t="s">
        <v>441</v>
      </c>
    </row>
    <row r="84" spans="1:5" ht="54.75" customHeight="1" x14ac:dyDescent="0.25">
      <c r="A84" s="378" t="s">
        <v>447</v>
      </c>
      <c r="B84" s="379"/>
      <c r="C84" s="180"/>
      <c r="D84" s="132">
        <v>59881.919999999998</v>
      </c>
      <c r="E84" s="158" t="s">
        <v>469</v>
      </c>
    </row>
    <row r="85" spans="1:5" ht="30" customHeight="1" x14ac:dyDescent="0.25">
      <c r="A85" s="378" t="s">
        <v>434</v>
      </c>
      <c r="B85" s="379"/>
      <c r="C85" s="180"/>
      <c r="D85" s="132">
        <v>833448</v>
      </c>
      <c r="E85" s="158" t="s">
        <v>413</v>
      </c>
    </row>
    <row r="86" spans="1:5" ht="30" customHeight="1" x14ac:dyDescent="0.25">
      <c r="A86" s="378" t="s">
        <v>468</v>
      </c>
      <c r="B86" s="379"/>
      <c r="C86" s="180"/>
      <c r="D86" s="132">
        <v>10800</v>
      </c>
      <c r="E86" s="158" t="s">
        <v>469</v>
      </c>
    </row>
    <row r="87" spans="1:5" ht="30" customHeight="1" x14ac:dyDescent="0.25">
      <c r="A87" s="378" t="s">
        <v>449</v>
      </c>
      <c r="B87" s="379"/>
      <c r="C87" s="180"/>
      <c r="D87" s="132">
        <v>249400</v>
      </c>
      <c r="E87" s="137" t="s">
        <v>448</v>
      </c>
    </row>
    <row r="88" spans="1:5" ht="15.75" thickBot="1" x14ac:dyDescent="0.3">
      <c r="A88" s="186" t="s">
        <v>186</v>
      </c>
      <c r="B88" s="186"/>
      <c r="C88" s="186"/>
      <c r="D88" s="65"/>
      <c r="E88" s="153">
        <f>SUM(D75:D87)</f>
        <v>3707253.83</v>
      </c>
    </row>
    <row r="89" spans="1:5" x14ac:dyDescent="0.25">
      <c r="A89" s="12" t="s">
        <v>12</v>
      </c>
      <c r="B89" s="12"/>
      <c r="C89" s="12"/>
      <c r="D89" s="14"/>
      <c r="E89" s="40"/>
    </row>
    <row r="90" spans="1:5" ht="45.6" customHeight="1" x14ac:dyDescent="0.25">
      <c r="A90" s="378" t="s">
        <v>422</v>
      </c>
      <c r="B90" s="379"/>
      <c r="C90" s="38"/>
      <c r="D90" s="371">
        <v>1877790</v>
      </c>
      <c r="E90" s="158" t="s">
        <v>441</v>
      </c>
    </row>
    <row r="91" spans="1:5" ht="45.6" customHeight="1" x14ac:dyDescent="0.25">
      <c r="A91" s="378" t="s">
        <v>423</v>
      </c>
      <c r="B91" s="379"/>
      <c r="C91" s="38"/>
      <c r="D91" s="371">
        <v>1780000</v>
      </c>
      <c r="E91" s="158" t="s">
        <v>404</v>
      </c>
    </row>
    <row r="92" spans="1:5" ht="15.75" thickBot="1" x14ac:dyDescent="0.3">
      <c r="A92" s="178" t="s">
        <v>153</v>
      </c>
      <c r="B92" s="178"/>
      <c r="C92" s="178"/>
      <c r="D92" s="61"/>
      <c r="E92" s="154">
        <f>SUM(D90:D91)</f>
        <v>3657790</v>
      </c>
    </row>
    <row r="93" spans="1:5" ht="15.75" thickBot="1" x14ac:dyDescent="0.3">
      <c r="A93" s="12" t="s">
        <v>7</v>
      </c>
      <c r="B93" s="185"/>
      <c r="C93" s="13"/>
      <c r="D93" s="10"/>
      <c r="E93" s="43"/>
    </row>
    <row r="94" spans="1:5" x14ac:dyDescent="0.25">
      <c r="A94" s="38" t="s">
        <v>22</v>
      </c>
      <c r="B94" s="38"/>
      <c r="C94" s="38"/>
      <c r="D94" s="370">
        <f>1390497.67-17307</f>
        <v>1373190.67</v>
      </c>
      <c r="E94" s="45"/>
    </row>
    <row r="95" spans="1:5" x14ac:dyDescent="0.25">
      <c r="A95" s="38" t="s">
        <v>23</v>
      </c>
      <c r="B95" s="38"/>
      <c r="C95" s="38"/>
      <c r="D95" s="370">
        <v>44400</v>
      </c>
      <c r="E95" s="44"/>
    </row>
    <row r="96" spans="1:5" x14ac:dyDescent="0.25">
      <c r="A96" s="187" t="s">
        <v>154</v>
      </c>
      <c r="B96" s="187"/>
      <c r="C96" s="187"/>
      <c r="D96" s="80"/>
      <c r="E96" s="157">
        <f>SUM(D94:D95)</f>
        <v>1417590.67</v>
      </c>
    </row>
    <row r="97" spans="1:7" x14ac:dyDescent="0.25">
      <c r="A97" s="38"/>
      <c r="B97" s="38"/>
      <c r="C97" s="38"/>
      <c r="D97" s="38"/>
      <c r="E97" s="82"/>
    </row>
    <row r="98" spans="1:7" x14ac:dyDescent="0.25">
      <c r="A98" s="38"/>
      <c r="B98" s="38"/>
      <c r="C98" s="38"/>
      <c r="D98" s="38"/>
      <c r="E98" s="82"/>
      <c r="F98" s="24"/>
      <c r="G98" s="57"/>
    </row>
    <row r="99" spans="1:7" ht="15.75" thickBot="1" x14ac:dyDescent="0.3">
      <c r="A99" s="188" t="s">
        <v>8</v>
      </c>
      <c r="B99" s="189"/>
      <c r="C99" s="81"/>
      <c r="D99" s="81"/>
      <c r="E99" s="126">
        <f>(SUM(E31:E97))+D29</f>
        <v>77995935.150000006</v>
      </c>
      <c r="F99" s="56"/>
    </row>
    <row r="100" spans="1:7" x14ac:dyDescent="0.25">
      <c r="A100" s="46"/>
      <c r="B100" s="46"/>
      <c r="C100" s="46"/>
      <c r="D100" s="46"/>
      <c r="E100" s="46"/>
    </row>
    <row r="101" spans="1:7" x14ac:dyDescent="0.25">
      <c r="A101" s="46"/>
      <c r="B101" s="46"/>
      <c r="C101" s="46"/>
      <c r="D101" s="46"/>
      <c r="E101" s="46"/>
    </row>
    <row r="102" spans="1:7" x14ac:dyDescent="0.25">
      <c r="A102" s="190" t="s">
        <v>9</v>
      </c>
      <c r="B102" s="60"/>
      <c r="C102" s="60"/>
      <c r="D102" s="60"/>
      <c r="E102" s="60"/>
    </row>
    <row r="103" spans="1:7" ht="31.5" customHeight="1" x14ac:dyDescent="0.25">
      <c r="A103" s="374" t="s">
        <v>258</v>
      </c>
      <c r="B103" s="375"/>
      <c r="C103" s="38"/>
      <c r="D103" s="59">
        <v>345045.04</v>
      </c>
      <c r="E103" s="38" t="s">
        <v>299</v>
      </c>
    </row>
    <row r="104" spans="1:7" ht="30" customHeight="1" x14ac:dyDescent="0.25">
      <c r="A104" s="376" t="s">
        <v>400</v>
      </c>
      <c r="B104" s="377"/>
      <c r="C104" s="38"/>
      <c r="D104" s="59">
        <v>986880.08</v>
      </c>
      <c r="E104" s="42" t="s">
        <v>395</v>
      </c>
    </row>
    <row r="105" spans="1:7" ht="30" customHeight="1" x14ac:dyDescent="0.25">
      <c r="A105" s="376" t="s">
        <v>421</v>
      </c>
      <c r="B105" s="377"/>
      <c r="C105" s="38"/>
      <c r="D105" s="59">
        <v>986880.08</v>
      </c>
      <c r="E105" s="42" t="s">
        <v>398</v>
      </c>
    </row>
    <row r="106" spans="1:7" ht="38.25" customHeight="1" x14ac:dyDescent="0.25">
      <c r="A106" s="376" t="s">
        <v>197</v>
      </c>
      <c r="B106" s="377"/>
      <c r="C106" s="38"/>
      <c r="D106" s="59">
        <v>5836.93</v>
      </c>
      <c r="E106" s="38" t="str">
        <f>E103</f>
        <v>Debito autom.</v>
      </c>
    </row>
    <row r="107" spans="1:7" ht="33.75" customHeight="1" x14ac:dyDescent="0.25">
      <c r="A107" s="376" t="s">
        <v>196</v>
      </c>
      <c r="B107" s="377"/>
      <c r="C107" s="38"/>
      <c r="D107" s="59">
        <v>78942.17</v>
      </c>
      <c r="E107" s="38" t="s">
        <v>412</v>
      </c>
    </row>
    <row r="108" spans="1:7" x14ac:dyDescent="0.25">
      <c r="A108" s="190" t="s">
        <v>4</v>
      </c>
      <c r="B108" s="60"/>
      <c r="C108" s="60"/>
      <c r="D108" s="60"/>
      <c r="E108" s="155">
        <f>SUM(D103:D107)</f>
        <v>2403584.2999999998</v>
      </c>
    </row>
    <row r="109" spans="1:7" ht="15.75" thickBot="1" x14ac:dyDescent="0.3">
      <c r="A109" s="46"/>
      <c r="B109" s="46"/>
      <c r="C109" s="46"/>
      <c r="D109" s="46"/>
      <c r="E109" s="46"/>
    </row>
    <row r="110" spans="1:7" x14ac:dyDescent="0.25">
      <c r="A110" s="191" t="s">
        <v>21</v>
      </c>
      <c r="B110" s="192"/>
      <c r="C110" s="193"/>
      <c r="D110" s="74"/>
      <c r="E110" s="75"/>
    </row>
    <row r="111" spans="1:7" ht="43.5" customHeight="1" x14ac:dyDescent="0.25">
      <c r="A111" s="378" t="s">
        <v>393</v>
      </c>
      <c r="B111" s="379"/>
      <c r="C111" s="184"/>
      <c r="D111" s="370">
        <v>16863793.07</v>
      </c>
      <c r="E111" s="45" t="s">
        <v>391</v>
      </c>
    </row>
    <row r="112" spans="1:7" ht="45" customHeight="1" x14ac:dyDescent="0.25">
      <c r="A112" s="376" t="s">
        <v>451</v>
      </c>
      <c r="B112" s="377"/>
      <c r="C112" s="38"/>
      <c r="D112" s="372">
        <v>8035496.3799999999</v>
      </c>
      <c r="E112" s="135" t="s">
        <v>401</v>
      </c>
    </row>
    <row r="113" spans="1:5" ht="33.75" customHeight="1" thickBot="1" x14ac:dyDescent="0.3">
      <c r="A113" s="376"/>
      <c r="B113" s="377"/>
      <c r="C113" s="38"/>
      <c r="D113" s="132"/>
      <c r="E113" s="45"/>
    </row>
    <row r="114" spans="1:5" ht="15.75" thickBot="1" x14ac:dyDescent="0.3">
      <c r="A114" s="194" t="s">
        <v>4</v>
      </c>
      <c r="B114" s="195"/>
      <c r="C114" s="195"/>
      <c r="D114" s="196"/>
      <c r="E114" s="156">
        <f>SUM(D111:D113)</f>
        <v>24899289.449999999</v>
      </c>
    </row>
    <row r="115" spans="1:5" ht="15" customHeight="1" x14ac:dyDescent="0.25">
      <c r="A115" s="46"/>
      <c r="B115" s="46"/>
      <c r="C115" s="46"/>
      <c r="D115" s="46"/>
      <c r="E115" s="46"/>
    </row>
    <row r="116" spans="1:5" ht="15.75" hidden="1" thickBot="1" x14ac:dyDescent="0.3">
      <c r="A116" s="46"/>
      <c r="B116" s="46"/>
      <c r="C116" s="46"/>
      <c r="D116" s="46"/>
      <c r="E116" s="46"/>
    </row>
    <row r="117" spans="1:5" ht="15.75" thickBot="1" x14ac:dyDescent="0.3">
      <c r="A117" s="46"/>
      <c r="B117" s="46"/>
      <c r="C117" s="46"/>
      <c r="D117" s="46"/>
      <c r="E117" s="46"/>
    </row>
    <row r="118" spans="1:5" ht="15.75" thickBot="1" x14ac:dyDescent="0.3">
      <c r="A118" s="194" t="s">
        <v>13</v>
      </c>
      <c r="B118" s="197"/>
      <c r="C118" s="198"/>
      <c r="D118" s="198"/>
      <c r="E118" s="199">
        <f>E114</f>
        <v>24899289.449999999</v>
      </c>
    </row>
    <row r="119" spans="1:5" ht="15.75" thickBot="1" x14ac:dyDescent="0.3">
      <c r="A119" s="46"/>
      <c r="B119" s="46"/>
      <c r="C119" s="46"/>
      <c r="D119" s="46"/>
      <c r="E119" s="46"/>
    </row>
    <row r="120" spans="1:5" x14ac:dyDescent="0.25">
      <c r="A120" s="200" t="s">
        <v>194</v>
      </c>
      <c r="B120" s="201"/>
      <c r="C120" s="202"/>
      <c r="D120" s="83"/>
      <c r="E120" s="84"/>
    </row>
    <row r="121" spans="1:5" ht="30" customHeight="1" x14ac:dyDescent="0.25">
      <c r="A121" s="381" t="s">
        <v>424</v>
      </c>
      <c r="B121" s="381"/>
      <c r="C121" s="38"/>
      <c r="D121" s="370">
        <f>1453363-920000</f>
        <v>533363</v>
      </c>
      <c r="E121" s="42" t="str">
        <f>E28</f>
        <v>Transf 05/09</v>
      </c>
    </row>
    <row r="122" spans="1:5" ht="30" customHeight="1" x14ac:dyDescent="0.25">
      <c r="A122" s="376" t="s">
        <v>406</v>
      </c>
      <c r="B122" s="377"/>
      <c r="C122" s="38"/>
      <c r="D122" s="370">
        <v>91169.89</v>
      </c>
      <c r="E122" s="42" t="s">
        <v>404</v>
      </c>
    </row>
    <row r="123" spans="1:5" ht="30" customHeight="1" x14ac:dyDescent="0.25">
      <c r="A123" s="376" t="s">
        <v>407</v>
      </c>
      <c r="B123" s="377"/>
      <c r="C123" s="38"/>
      <c r="D123" s="370">
        <v>91169.89</v>
      </c>
      <c r="E123" s="42" t="s">
        <v>404</v>
      </c>
    </row>
    <row r="124" spans="1:5" x14ac:dyDescent="0.25">
      <c r="A124" s="148" t="s">
        <v>4</v>
      </c>
      <c r="B124" s="159"/>
      <c r="C124" s="159"/>
      <c r="D124" s="160"/>
      <c r="E124" s="161">
        <f>SUM(D121:D123)</f>
        <v>715702.78</v>
      </c>
    </row>
    <row r="127" spans="1:5" ht="15.75" thickBot="1" x14ac:dyDescent="0.3"/>
    <row r="128" spans="1:5" ht="15.75" thickBot="1" x14ac:dyDescent="0.3">
      <c r="A128" s="85" t="s">
        <v>195</v>
      </c>
      <c r="B128" s="86"/>
      <c r="C128" s="87"/>
      <c r="D128" s="87"/>
      <c r="E128" s="88">
        <f>E124</f>
        <v>715702.78</v>
      </c>
    </row>
    <row r="130" spans="1:11" ht="15.75" thickBot="1" x14ac:dyDescent="0.3"/>
    <row r="131" spans="1:11" ht="15.75" thickBot="1" x14ac:dyDescent="0.3">
      <c r="A131" s="36" t="s">
        <v>187</v>
      </c>
      <c r="B131" s="37">
        <f>E99</f>
        <v>77995935.150000006</v>
      </c>
    </row>
    <row r="132" spans="1:11" ht="15.75" thickBot="1" x14ac:dyDescent="0.3">
      <c r="A132" s="36" t="s">
        <v>21</v>
      </c>
      <c r="B132" s="37">
        <f>E118</f>
        <v>24899289.449999999</v>
      </c>
    </row>
    <row r="133" spans="1:11" ht="15.75" thickBot="1" x14ac:dyDescent="0.3">
      <c r="A133" s="66" t="s">
        <v>155</v>
      </c>
      <c r="B133" s="67">
        <f>E108</f>
        <v>2403584.2999999998</v>
      </c>
    </row>
    <row r="134" spans="1:11" ht="34.5" customHeight="1" thickBot="1" x14ac:dyDescent="0.3">
      <c r="A134" s="77" t="s">
        <v>238</v>
      </c>
      <c r="B134" s="67">
        <f>B133+B131</f>
        <v>80399519.450000003</v>
      </c>
    </row>
    <row r="135" spans="1:11" ht="269.25" customHeight="1" thickBot="1" x14ac:dyDescent="0.3">
      <c r="A135" s="462" t="s">
        <v>478</v>
      </c>
      <c r="B135" s="463"/>
    </row>
    <row r="136" spans="1:11" x14ac:dyDescent="0.25">
      <c r="A136" s="25" t="s">
        <v>247</v>
      </c>
      <c r="B136" s="461"/>
      <c r="C136" s="5"/>
    </row>
    <row r="137" spans="1:11" x14ac:dyDescent="0.25">
      <c r="A137" s="11" t="s">
        <v>241</v>
      </c>
      <c r="B137" s="104">
        <v>86744014.699871197</v>
      </c>
      <c r="C137" s="7"/>
    </row>
    <row r="138" spans="1:11" x14ac:dyDescent="0.25">
      <c r="A138" s="6" t="s">
        <v>242</v>
      </c>
      <c r="B138" s="21">
        <f>PRORRATEO!F160</f>
        <v>106079579.52</v>
      </c>
      <c r="C138" s="5"/>
    </row>
    <row r="139" spans="1:11" ht="36.75" customHeight="1" x14ac:dyDescent="0.25">
      <c r="A139" s="9" t="s">
        <v>253</v>
      </c>
      <c r="B139" s="44">
        <f>B171</f>
        <v>133000</v>
      </c>
      <c r="C139" s="5"/>
      <c r="K139" t="s">
        <v>476</v>
      </c>
    </row>
    <row r="140" spans="1:11" ht="36.75" customHeight="1" x14ac:dyDescent="0.25">
      <c r="A140" s="9" t="s">
        <v>467</v>
      </c>
      <c r="B140" s="27">
        <v>-1980000</v>
      </c>
      <c r="C140" s="5"/>
    </row>
    <row r="141" spans="1:11" ht="36.75" customHeight="1" x14ac:dyDescent="0.25">
      <c r="A141" s="9" t="s">
        <v>475</v>
      </c>
      <c r="B141" s="27">
        <v>-180000</v>
      </c>
      <c r="C141" s="5"/>
    </row>
    <row r="142" spans="1:11" ht="36.75" customHeight="1" x14ac:dyDescent="0.25">
      <c r="A142" s="9" t="s">
        <v>475</v>
      </c>
      <c r="B142" s="27">
        <v>-200000</v>
      </c>
      <c r="C142" s="5"/>
    </row>
    <row r="143" spans="1:11" ht="36.75" customHeight="1" x14ac:dyDescent="0.25">
      <c r="A143" s="9" t="s">
        <v>475</v>
      </c>
      <c r="B143" s="27">
        <v>-300000</v>
      </c>
      <c r="C143" s="5"/>
    </row>
    <row r="144" spans="1:11" x14ac:dyDescent="0.25">
      <c r="A144" s="49" t="s">
        <v>193</v>
      </c>
      <c r="B144" s="27">
        <f>-E128</f>
        <v>-715702.78</v>
      </c>
      <c r="C144" s="5"/>
    </row>
    <row r="145" spans="1:6" x14ac:dyDescent="0.25">
      <c r="A145" s="20" t="s">
        <v>156</v>
      </c>
      <c r="B145" s="27">
        <f>-E108</f>
        <v>-2403584.2999999998</v>
      </c>
      <c r="C145" s="5"/>
    </row>
    <row r="146" spans="1:6" x14ac:dyDescent="0.25">
      <c r="A146" s="20" t="s">
        <v>14</v>
      </c>
      <c r="B146" s="27">
        <f>-E99</f>
        <v>-77995935.150000006</v>
      </c>
      <c r="C146" s="5"/>
      <c r="D146" s="56"/>
      <c r="E146" s="56"/>
    </row>
    <row r="147" spans="1:6" x14ac:dyDescent="0.25">
      <c r="A147" s="20" t="s">
        <v>453</v>
      </c>
      <c r="B147" s="27">
        <v>-20999</v>
      </c>
      <c r="C147" s="5"/>
      <c r="D147" s="56"/>
      <c r="E147" s="56"/>
    </row>
    <row r="148" spans="1:6" x14ac:dyDescent="0.25">
      <c r="A148" s="20" t="s">
        <v>458</v>
      </c>
      <c r="B148" s="27">
        <v>-23702</v>
      </c>
      <c r="C148" s="5"/>
      <c r="D148" s="56"/>
      <c r="E148" s="56"/>
    </row>
    <row r="149" spans="1:6" x14ac:dyDescent="0.25">
      <c r="A149" s="20" t="s">
        <v>462</v>
      </c>
      <c r="B149" s="27">
        <f>-20324</f>
        <v>-20324</v>
      </c>
      <c r="C149" s="5"/>
      <c r="D149" s="56"/>
      <c r="E149" s="56"/>
    </row>
    <row r="150" spans="1:6" x14ac:dyDescent="0.25">
      <c r="A150" s="20" t="s">
        <v>464</v>
      </c>
      <c r="B150" s="27">
        <v>-28189</v>
      </c>
      <c r="C150" s="5"/>
      <c r="D150" s="56"/>
      <c r="E150" s="56"/>
    </row>
    <row r="151" spans="1:6" x14ac:dyDescent="0.25">
      <c r="A151" s="20" t="s">
        <v>463</v>
      </c>
      <c r="B151" s="27">
        <v>-22199</v>
      </c>
      <c r="C151" s="5"/>
      <c r="D151" s="56"/>
      <c r="E151" s="56"/>
    </row>
    <row r="152" spans="1:6" x14ac:dyDescent="0.25">
      <c r="A152" s="9" t="s">
        <v>275</v>
      </c>
      <c r="B152" s="27">
        <f>-E118</f>
        <v>-24899289.449999999</v>
      </c>
      <c r="C152" s="5"/>
      <c r="E152" s="56"/>
    </row>
    <row r="153" spans="1:6" x14ac:dyDescent="0.25">
      <c r="A153" s="54" t="s">
        <v>4</v>
      </c>
      <c r="B153" s="55">
        <f>SUM(B137:B152)</f>
        <v>84166669.539871171</v>
      </c>
      <c r="C153" s="8"/>
      <c r="D153" s="24"/>
      <c r="E153" s="56"/>
      <c r="F153" s="56"/>
    </row>
    <row r="154" spans="1:6" x14ac:dyDescent="0.25">
      <c r="B154" s="22"/>
      <c r="C154" s="8"/>
      <c r="D154" s="24"/>
      <c r="E154" s="52"/>
      <c r="F154" s="131"/>
    </row>
    <row r="155" spans="1:6" x14ac:dyDescent="0.25">
      <c r="A155" s="124" t="s">
        <v>246</v>
      </c>
      <c r="B155" s="125">
        <v>0</v>
      </c>
      <c r="C155" s="8"/>
      <c r="D155" s="24"/>
      <c r="E155" s="52"/>
      <c r="F155" s="53"/>
    </row>
    <row r="156" spans="1:6" ht="72.75" customHeight="1" x14ac:dyDescent="0.25">
      <c r="A156" s="168" t="s">
        <v>373</v>
      </c>
      <c r="B156" s="169">
        <f>-D107-D84-D86</f>
        <v>-149624.09</v>
      </c>
      <c r="C156" s="8"/>
      <c r="D156" s="24"/>
      <c r="E156" s="52"/>
      <c r="F156" s="53"/>
    </row>
    <row r="157" spans="1:6" x14ac:dyDescent="0.25">
      <c r="A157" s="124" t="s">
        <v>4</v>
      </c>
      <c r="B157" s="125">
        <f>SUM(B155:B156)</f>
        <v>-149624.09</v>
      </c>
      <c r="C157" s="8"/>
      <c r="D157" s="24"/>
      <c r="E157" s="52"/>
      <c r="F157" s="53"/>
    </row>
    <row r="158" spans="1:6" ht="15.75" thickBot="1" x14ac:dyDescent="0.3">
      <c r="B158" s="22"/>
      <c r="C158" s="8"/>
      <c r="D158" s="24"/>
      <c r="E158" s="52"/>
      <c r="F158" s="53"/>
    </row>
    <row r="159" spans="1:6" x14ac:dyDescent="0.25">
      <c r="A159" s="464" t="s">
        <v>239</v>
      </c>
      <c r="B159" s="105"/>
      <c r="C159" s="8"/>
      <c r="D159" s="24"/>
      <c r="E159" s="52"/>
      <c r="F159" s="53"/>
    </row>
    <row r="160" spans="1:6" x14ac:dyDescent="0.25">
      <c r="A160" s="116" t="s">
        <v>245</v>
      </c>
      <c r="B160" s="117">
        <v>30000000</v>
      </c>
      <c r="C160" s="8"/>
      <c r="D160" s="24"/>
      <c r="E160" s="52"/>
      <c r="F160" s="53"/>
    </row>
    <row r="161" spans="1:13" x14ac:dyDescent="0.25">
      <c r="A161" s="1"/>
      <c r="B161" s="16"/>
      <c r="C161" s="8"/>
      <c r="D161" s="24"/>
      <c r="E161" s="52"/>
      <c r="F161" s="53"/>
    </row>
    <row r="162" spans="1:13" x14ac:dyDescent="0.25">
      <c r="A162" s="1"/>
      <c r="B162" s="16"/>
      <c r="C162" s="8"/>
      <c r="D162" s="24"/>
      <c r="E162" s="52"/>
      <c r="F162" s="53"/>
    </row>
    <row r="163" spans="1:13" ht="15.75" thickBot="1" x14ac:dyDescent="0.3">
      <c r="A163" s="465" t="s">
        <v>450</v>
      </c>
      <c r="B163" s="367">
        <v>34861399.729999997</v>
      </c>
      <c r="C163" s="8"/>
      <c r="D163" s="24"/>
      <c r="E163" s="52"/>
      <c r="F163" s="53"/>
    </row>
    <row r="164" spans="1:13" x14ac:dyDescent="0.25">
      <c r="B164" s="22"/>
      <c r="C164" s="8"/>
      <c r="D164" s="24"/>
      <c r="E164" s="52"/>
      <c r="F164" s="53"/>
    </row>
    <row r="165" spans="1:13" x14ac:dyDescent="0.25">
      <c r="B165" s="22"/>
      <c r="C165" s="8"/>
      <c r="D165" s="24"/>
      <c r="E165" s="52"/>
      <c r="F165" s="53"/>
    </row>
    <row r="166" spans="1:13" x14ac:dyDescent="0.25">
      <c r="B166" s="22"/>
      <c r="C166" s="8"/>
      <c r="D166" s="24"/>
      <c r="E166" s="52"/>
      <c r="F166" s="53"/>
    </row>
    <row r="167" spans="1:13" x14ac:dyDescent="0.25">
      <c r="A167" s="380" t="s">
        <v>17</v>
      </c>
      <c r="B167" s="380"/>
      <c r="C167" s="380"/>
    </row>
    <row r="168" spans="1:13" x14ac:dyDescent="0.25">
      <c r="A168" s="380"/>
      <c r="B168" s="380"/>
      <c r="C168" s="380"/>
    </row>
    <row r="169" spans="1:13" ht="33.75" customHeight="1" x14ac:dyDescent="0.25">
      <c r="A169" s="102" t="s">
        <v>471</v>
      </c>
      <c r="B169" s="59">
        <v>133000</v>
      </c>
      <c r="C169" s="101"/>
    </row>
    <row r="170" spans="1:13" ht="33.75" customHeight="1" x14ac:dyDescent="0.25">
      <c r="A170" s="102"/>
      <c r="B170" s="59"/>
      <c r="C170" s="101"/>
    </row>
    <row r="171" spans="1:13" x14ac:dyDescent="0.25">
      <c r="A171" s="25" t="s">
        <v>4</v>
      </c>
      <c r="B171" s="47">
        <f>SUM(B169:B170)</f>
        <v>133000</v>
      </c>
      <c r="C171" s="26"/>
    </row>
    <row r="172" spans="1:13" x14ac:dyDescent="0.25">
      <c r="M172" s="3"/>
    </row>
  </sheetData>
  <mergeCells count="68">
    <mergeCell ref="A55:B55"/>
    <mergeCell ref="A91:B91"/>
    <mergeCell ref="A70:B70"/>
    <mergeCell ref="A76:B76"/>
    <mergeCell ref="A61:B61"/>
    <mergeCell ref="A66:B66"/>
    <mergeCell ref="A80:B80"/>
    <mergeCell ref="A87:B87"/>
    <mergeCell ref="A81:B81"/>
    <mergeCell ref="A77:B77"/>
    <mergeCell ref="A78:B78"/>
    <mergeCell ref="A79:B79"/>
    <mergeCell ref="A86:B86"/>
    <mergeCell ref="A135:B135"/>
    <mergeCell ref="A84:B84"/>
    <mergeCell ref="A15:E18"/>
    <mergeCell ref="A28:B28"/>
    <mergeCell ref="A49:B49"/>
    <mergeCell ref="A62:B62"/>
    <mergeCell ref="A44:B44"/>
    <mergeCell ref="A53:B53"/>
    <mergeCell ref="A50:B50"/>
    <mergeCell ref="A56:B56"/>
    <mergeCell ref="A57:B57"/>
    <mergeCell ref="A24:B24"/>
    <mergeCell ref="A38:B38"/>
    <mergeCell ref="A41:B41"/>
    <mergeCell ref="A46:B46"/>
    <mergeCell ref="A45:B45"/>
    <mergeCell ref="A59:B59"/>
    <mergeCell ref="A75:B75"/>
    <mergeCell ref="A51:B51"/>
    <mergeCell ref="B3:E3"/>
    <mergeCell ref="B1:E1"/>
    <mergeCell ref="B2:E2"/>
    <mergeCell ref="B8:E8"/>
    <mergeCell ref="A1:A8"/>
    <mergeCell ref="A39:B39"/>
    <mergeCell ref="A40:B40"/>
    <mergeCell ref="A63:B63"/>
    <mergeCell ref="A58:B58"/>
    <mergeCell ref="A60:B60"/>
    <mergeCell ref="A71:B71"/>
    <mergeCell ref="A68:B68"/>
    <mergeCell ref="A52:B52"/>
    <mergeCell ref="A10:E12"/>
    <mergeCell ref="A167:C168"/>
    <mergeCell ref="A121:B121"/>
    <mergeCell ref="A54:B54"/>
    <mergeCell ref="A69:B69"/>
    <mergeCell ref="A83:B83"/>
    <mergeCell ref="A67:B67"/>
    <mergeCell ref="A82:B82"/>
    <mergeCell ref="A111:B111"/>
    <mergeCell ref="A113:B113"/>
    <mergeCell ref="A64:B64"/>
    <mergeCell ref="A65:B65"/>
    <mergeCell ref="A112:B112"/>
    <mergeCell ref="A72:B72"/>
    <mergeCell ref="A90:B90"/>
    <mergeCell ref="A122:B122"/>
    <mergeCell ref="A123:B123"/>
    <mergeCell ref="A103:B103"/>
    <mergeCell ref="A106:B106"/>
    <mergeCell ref="A107:B107"/>
    <mergeCell ref="A85:B85"/>
    <mergeCell ref="A104:B104"/>
    <mergeCell ref="A105:B105"/>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7"/>
  <sheetViews>
    <sheetView tabSelected="1" topLeftCell="B94" zoomScale="80" zoomScaleNormal="80" workbookViewId="0">
      <selection activeCell="F100" sqref="F100"/>
    </sheetView>
  </sheetViews>
  <sheetFormatPr baseColWidth="10" defaultColWidth="10.85546875" defaultRowHeight="15" x14ac:dyDescent="0.25"/>
  <cols>
    <col min="1" max="1" width="4.28515625" hidden="1" customWidth="1"/>
    <col min="2" max="2" width="4.28515625" customWidth="1"/>
    <col min="3" max="3" width="25.7109375" customWidth="1"/>
    <col min="4" max="4" width="8.140625" customWidth="1"/>
    <col min="5" max="5" width="14.140625" customWidth="1"/>
    <col min="6" max="6" width="12.42578125" customWidth="1"/>
    <col min="7" max="7" width="11.7109375" customWidth="1"/>
    <col min="8" max="8" width="9.5703125" customWidth="1"/>
    <col min="9" max="9" width="13.28515625" customWidth="1"/>
    <col min="10" max="10" width="6" hidden="1" customWidth="1"/>
    <col min="11" max="11" width="14" customWidth="1"/>
    <col min="12" max="12" width="13" customWidth="1"/>
    <col min="13" max="13" width="15" customWidth="1"/>
    <col min="14" max="15" width="12.7109375" customWidth="1"/>
    <col min="16" max="16" width="14.7109375" customWidth="1"/>
    <col min="17" max="17" width="5" customWidth="1"/>
    <col min="18" max="18" width="8" hidden="1" customWidth="1"/>
    <col min="19" max="19" width="10.28515625" customWidth="1"/>
    <col min="20" max="20" width="13" bestFit="1" customWidth="1"/>
    <col min="23" max="23" width="16" bestFit="1" customWidth="1"/>
    <col min="24" max="24" width="11.85546875" bestFit="1" customWidth="1"/>
  </cols>
  <sheetData>
    <row r="1" spans="1:23" ht="27.75" customHeight="1" x14ac:dyDescent="0.25">
      <c r="A1" s="2"/>
      <c r="B1" s="2"/>
      <c r="C1" s="118"/>
      <c r="D1" s="412"/>
      <c r="E1" s="412"/>
      <c r="F1" s="417"/>
      <c r="G1" s="417"/>
      <c r="H1" s="119"/>
      <c r="I1" s="119"/>
      <c r="J1" s="119"/>
      <c r="K1" s="413"/>
      <c r="L1" s="413"/>
      <c r="M1" s="119"/>
      <c r="N1" s="119" t="s">
        <v>149</v>
      </c>
      <c r="O1" s="120"/>
      <c r="P1" s="417">
        <v>30000000</v>
      </c>
      <c r="Q1" s="417"/>
      <c r="R1" s="4"/>
      <c r="S1" s="2"/>
      <c r="U1">
        <v>71243589.649999991</v>
      </c>
    </row>
    <row r="2" spans="1:23" ht="30" customHeight="1" thickBot="1" x14ac:dyDescent="0.3">
      <c r="A2" s="2"/>
      <c r="B2" s="2"/>
      <c r="C2" s="419" t="s">
        <v>237</v>
      </c>
      <c r="D2" s="419"/>
      <c r="E2" s="419"/>
      <c r="F2" s="119"/>
      <c r="G2" s="416">
        <f>W2</f>
        <v>24559200</v>
      </c>
      <c r="H2" s="416"/>
      <c r="I2" s="119" t="s">
        <v>308</v>
      </c>
      <c r="J2" s="119"/>
      <c r="K2" s="416">
        <v>72000000</v>
      </c>
      <c r="L2" s="416"/>
      <c r="M2" s="121"/>
      <c r="N2" s="122" t="s">
        <v>278</v>
      </c>
      <c r="O2" s="121"/>
      <c r="P2" s="418">
        <v>0</v>
      </c>
      <c r="Q2" s="418"/>
      <c r="S2" s="2"/>
      <c r="T2" t="s">
        <v>240</v>
      </c>
      <c r="W2" s="56">
        <f>((K2+P2)*D144)+((K2+P2)*D145)</f>
        <v>24559200</v>
      </c>
    </row>
    <row r="3" spans="1:23" ht="43.5" customHeight="1" x14ac:dyDescent="0.25">
      <c r="A3" s="424" t="s">
        <v>0</v>
      </c>
      <c r="B3" s="426" t="s">
        <v>1</v>
      </c>
      <c r="C3" s="426" t="s">
        <v>2</v>
      </c>
      <c r="D3" s="426" t="s">
        <v>6</v>
      </c>
      <c r="E3" s="414" t="s">
        <v>188</v>
      </c>
      <c r="F3" s="426" t="s">
        <v>3</v>
      </c>
      <c r="G3" s="428" t="s">
        <v>16</v>
      </c>
      <c r="H3" s="414" t="s">
        <v>243</v>
      </c>
      <c r="I3" s="414" t="s">
        <v>15</v>
      </c>
      <c r="J3" s="414"/>
      <c r="K3" s="414" t="s">
        <v>189</v>
      </c>
      <c r="L3" s="414" t="s">
        <v>150</v>
      </c>
      <c r="M3" s="414" t="s">
        <v>191</v>
      </c>
      <c r="N3" s="414" t="s">
        <v>190</v>
      </c>
      <c r="O3" s="414" t="s">
        <v>274</v>
      </c>
      <c r="P3" s="420" t="s">
        <v>244</v>
      </c>
      <c r="Q3" s="421"/>
      <c r="S3" s="414" t="s">
        <v>276</v>
      </c>
      <c r="T3" s="24"/>
    </row>
    <row r="4" spans="1:23" ht="44.25" customHeight="1" x14ac:dyDescent="0.25">
      <c r="A4" s="425"/>
      <c r="B4" s="427"/>
      <c r="C4" s="427"/>
      <c r="D4" s="427"/>
      <c r="E4" s="415"/>
      <c r="F4" s="427"/>
      <c r="G4" s="429"/>
      <c r="H4" s="415"/>
      <c r="I4" s="415"/>
      <c r="J4" s="415"/>
      <c r="K4" s="415"/>
      <c r="L4" s="415"/>
      <c r="M4" s="415"/>
      <c r="N4" s="415"/>
      <c r="O4" s="415"/>
      <c r="P4" s="422"/>
      <c r="Q4" s="423"/>
      <c r="S4" s="415"/>
    </row>
    <row r="5" spans="1:23" ht="24.95" customHeight="1" x14ac:dyDescent="0.25">
      <c r="A5" s="29"/>
      <c r="B5" s="29">
        <v>1</v>
      </c>
      <c r="C5" s="28" t="s">
        <v>24</v>
      </c>
      <c r="D5" s="31">
        <v>4.5999999999999999E-3</v>
      </c>
      <c r="E5" s="164">
        <v>679129.01</v>
      </c>
      <c r="F5" s="165">
        <f>E5</f>
        <v>679129.01</v>
      </c>
      <c r="G5" s="90">
        <f t="shared" ref="G5:G68" si="0">E5-F5</f>
        <v>0</v>
      </c>
      <c r="H5" s="33">
        <f>IF(G5&gt;0,G5*3.087%,0)</f>
        <v>0</v>
      </c>
      <c r="I5" s="34">
        <f>K$2*D5</f>
        <v>331200</v>
      </c>
      <c r="J5" s="34">
        <f t="shared" ref="J5:J36" si="1">P$2*D5</f>
        <v>0</v>
      </c>
      <c r="K5" s="34">
        <f>G$2*0.675675676%</f>
        <v>165940.54062019198</v>
      </c>
      <c r="L5" s="34">
        <f>P$1*0.675675676%</f>
        <v>202702.7028</v>
      </c>
      <c r="M5" s="34">
        <f>G$1*D5</f>
        <v>0</v>
      </c>
      <c r="N5" s="114">
        <v>0</v>
      </c>
      <c r="O5" s="114"/>
      <c r="P5" s="407">
        <f t="shared" ref="P5:P36" si="2">ROUND(SUM(G5:O5),0) + R5</f>
        <v>699843.01</v>
      </c>
      <c r="Q5" s="407"/>
      <c r="R5" s="24">
        <f t="shared" ref="R5:R36" si="3">ROUND(0.001+B5/100,2)</f>
        <v>0.01</v>
      </c>
      <c r="S5" s="1">
        <f>B5</f>
        <v>1</v>
      </c>
      <c r="T5" t="s">
        <v>224</v>
      </c>
    </row>
    <row r="6" spans="1:23" ht="24.95" customHeight="1" x14ac:dyDescent="0.25">
      <c r="A6" s="29"/>
      <c r="B6" s="29">
        <f>B5+1</f>
        <v>2</v>
      </c>
      <c r="C6" s="28" t="s">
        <v>25</v>
      </c>
      <c r="D6" s="31">
        <v>4.5999999999999999E-3</v>
      </c>
      <c r="E6" s="164">
        <v>2444717.02</v>
      </c>
      <c r="F6" s="165">
        <v>700000</v>
      </c>
      <c r="G6" s="90">
        <f t="shared" si="0"/>
        <v>1744717.02</v>
      </c>
      <c r="H6" s="33">
        <f>IF(G6&gt;0,G6*3.087%,0)</f>
        <v>53859.414407400007</v>
      </c>
      <c r="I6" s="34">
        <f t="shared" ref="I6:I37" si="4">K$2*D6</f>
        <v>331200</v>
      </c>
      <c r="J6" s="34">
        <f t="shared" si="1"/>
        <v>0</v>
      </c>
      <c r="K6" s="34">
        <f t="shared" ref="K6:K69" si="5">G$2*0.675675676%</f>
        <v>165940.54062019198</v>
      </c>
      <c r="L6" s="34">
        <f t="shared" ref="L6:L69" si="6">P$1*0.675675676%</f>
        <v>202702.7028</v>
      </c>
      <c r="M6" s="34">
        <f t="shared" ref="M6:M69" si="7">G$1*D6</f>
        <v>0</v>
      </c>
      <c r="N6" s="114">
        <v>0</v>
      </c>
      <c r="O6" s="114"/>
      <c r="P6" s="407">
        <f t="shared" si="2"/>
        <v>2498420.02</v>
      </c>
      <c r="Q6" s="407"/>
      <c r="R6" s="24">
        <f t="shared" si="3"/>
        <v>0.02</v>
      </c>
      <c r="S6" s="1">
        <f t="shared" ref="S6:S69" si="8">B6</f>
        <v>2</v>
      </c>
    </row>
    <row r="7" spans="1:23" ht="24.95" customHeight="1" x14ac:dyDescent="0.25">
      <c r="A7" s="29"/>
      <c r="B7" s="29">
        <f t="shared" ref="B7:B36" si="9">B6+1</f>
        <v>3</v>
      </c>
      <c r="C7" s="28" t="s">
        <v>26</v>
      </c>
      <c r="D7" s="31">
        <v>4.5999999999999999E-3</v>
      </c>
      <c r="E7" s="164">
        <v>679129.03</v>
      </c>
      <c r="F7" s="165">
        <f>E7</f>
        <v>679129.03</v>
      </c>
      <c r="G7" s="90">
        <f t="shared" si="0"/>
        <v>0</v>
      </c>
      <c r="H7" s="33">
        <f t="shared" ref="H7:H70" si="10">IF(G7&gt;0,G7*3.087%,0)</f>
        <v>0</v>
      </c>
      <c r="I7" s="34">
        <f t="shared" si="4"/>
        <v>331200</v>
      </c>
      <c r="J7" s="34">
        <f t="shared" si="1"/>
        <v>0</v>
      </c>
      <c r="K7" s="34">
        <f t="shared" si="5"/>
        <v>165940.54062019198</v>
      </c>
      <c r="L7" s="34">
        <f t="shared" si="6"/>
        <v>202702.7028</v>
      </c>
      <c r="M7" s="34">
        <f t="shared" si="7"/>
        <v>0</v>
      </c>
      <c r="N7" s="114">
        <v>0</v>
      </c>
      <c r="O7" s="114"/>
      <c r="P7" s="407">
        <f t="shared" si="2"/>
        <v>699843.03</v>
      </c>
      <c r="Q7" s="407"/>
      <c r="R7" s="24">
        <f t="shared" si="3"/>
        <v>0.03</v>
      </c>
      <c r="S7" s="1">
        <f t="shared" si="8"/>
        <v>3</v>
      </c>
      <c r="U7" t="s">
        <v>208</v>
      </c>
    </row>
    <row r="8" spans="1:23" ht="24.95" customHeight="1" x14ac:dyDescent="0.25">
      <c r="A8" s="29"/>
      <c r="B8" s="29">
        <f t="shared" si="9"/>
        <v>4</v>
      </c>
      <c r="C8" s="28" t="s">
        <v>171</v>
      </c>
      <c r="D8" s="31">
        <v>4.7000000000000002E-3</v>
      </c>
      <c r="E8" s="164">
        <v>686029.04</v>
      </c>
      <c r="F8" s="165"/>
      <c r="G8" s="90">
        <f t="shared" si="0"/>
        <v>686029.04</v>
      </c>
      <c r="H8" s="33">
        <f t="shared" si="10"/>
        <v>21177.716464800003</v>
      </c>
      <c r="I8" s="34">
        <f t="shared" si="4"/>
        <v>338400</v>
      </c>
      <c r="J8" s="34">
        <f t="shared" si="1"/>
        <v>0</v>
      </c>
      <c r="K8" s="34">
        <f t="shared" si="5"/>
        <v>165940.54062019198</v>
      </c>
      <c r="L8" s="34">
        <f t="shared" si="6"/>
        <v>202702.7028</v>
      </c>
      <c r="M8" s="34">
        <f t="shared" si="7"/>
        <v>0</v>
      </c>
      <c r="N8" s="114">
        <v>0</v>
      </c>
      <c r="O8" s="114"/>
      <c r="P8" s="407">
        <f t="shared" si="2"/>
        <v>1414250.04</v>
      </c>
      <c r="Q8" s="407"/>
      <c r="R8" s="24">
        <f t="shared" si="3"/>
        <v>0.04</v>
      </c>
      <c r="S8" s="1">
        <f t="shared" si="8"/>
        <v>4</v>
      </c>
      <c r="T8" t="s">
        <v>281</v>
      </c>
    </row>
    <row r="9" spans="1:23" ht="24.95" customHeight="1" x14ac:dyDescent="0.25">
      <c r="A9" s="29"/>
      <c r="B9" s="29">
        <f t="shared" si="9"/>
        <v>5</v>
      </c>
      <c r="C9" s="28" t="s">
        <v>27</v>
      </c>
      <c r="D9" s="31">
        <v>4.7000000000000002E-3</v>
      </c>
      <c r="E9" s="164">
        <v>686029.05</v>
      </c>
      <c r="F9" s="165">
        <f>E9</f>
        <v>686029.05</v>
      </c>
      <c r="G9" s="90">
        <f t="shared" si="0"/>
        <v>0</v>
      </c>
      <c r="H9" s="33">
        <f t="shared" si="10"/>
        <v>0</v>
      </c>
      <c r="I9" s="34">
        <f t="shared" si="4"/>
        <v>338400</v>
      </c>
      <c r="J9" s="34">
        <f t="shared" si="1"/>
        <v>0</v>
      </c>
      <c r="K9" s="34">
        <f t="shared" si="5"/>
        <v>165940.54062019198</v>
      </c>
      <c r="L9" s="34">
        <f t="shared" si="6"/>
        <v>202702.7028</v>
      </c>
      <c r="M9" s="34">
        <f t="shared" si="7"/>
        <v>0</v>
      </c>
      <c r="N9" s="114">
        <v>0</v>
      </c>
      <c r="O9" s="114"/>
      <c r="P9" s="407">
        <f t="shared" si="2"/>
        <v>707043.05</v>
      </c>
      <c r="Q9" s="407"/>
      <c r="R9" s="24">
        <f t="shared" si="3"/>
        <v>0.05</v>
      </c>
      <c r="S9" s="1">
        <f t="shared" si="8"/>
        <v>5</v>
      </c>
    </row>
    <row r="10" spans="1:23" ht="24.95" customHeight="1" x14ac:dyDescent="0.25">
      <c r="A10" s="29"/>
      <c r="B10" s="29">
        <f t="shared" si="9"/>
        <v>6</v>
      </c>
      <c r="C10" s="28" t="s">
        <v>28</v>
      </c>
      <c r="D10" s="31">
        <v>4.4999999999999997E-3</v>
      </c>
      <c r="E10" s="164">
        <v>672229.06</v>
      </c>
      <c r="F10" s="165">
        <f>E10</f>
        <v>672229.06</v>
      </c>
      <c r="G10" s="90">
        <f t="shared" si="0"/>
        <v>0</v>
      </c>
      <c r="H10" s="33">
        <f t="shared" si="10"/>
        <v>0</v>
      </c>
      <c r="I10" s="34">
        <f t="shared" si="4"/>
        <v>324000</v>
      </c>
      <c r="J10" s="34">
        <f t="shared" si="1"/>
        <v>0</v>
      </c>
      <c r="K10" s="34">
        <f t="shared" si="5"/>
        <v>165940.54062019198</v>
      </c>
      <c r="L10" s="34">
        <f t="shared" si="6"/>
        <v>202702.7028</v>
      </c>
      <c r="M10" s="34">
        <f t="shared" si="7"/>
        <v>0</v>
      </c>
      <c r="N10" s="114">
        <v>0</v>
      </c>
      <c r="O10" s="114"/>
      <c r="P10" s="407">
        <f t="shared" si="2"/>
        <v>692643.06</v>
      </c>
      <c r="Q10" s="407"/>
      <c r="R10" s="24">
        <f t="shared" si="3"/>
        <v>0.06</v>
      </c>
      <c r="S10" s="1">
        <f t="shared" si="8"/>
        <v>6</v>
      </c>
      <c r="U10" t="s">
        <v>201</v>
      </c>
    </row>
    <row r="11" spans="1:23" ht="24.95" customHeight="1" x14ac:dyDescent="0.25">
      <c r="A11" s="29"/>
      <c r="B11" s="28">
        <f t="shared" si="9"/>
        <v>7</v>
      </c>
      <c r="C11" s="28" t="s">
        <v>29</v>
      </c>
      <c r="D11" s="31">
        <v>4.3E-3</v>
      </c>
      <c r="E11" s="164">
        <v>645674.06999999995</v>
      </c>
      <c r="F11" s="165">
        <f>650000</f>
        <v>650000</v>
      </c>
      <c r="G11" s="90">
        <f t="shared" si="0"/>
        <v>-4325.9300000000512</v>
      </c>
      <c r="H11" s="33">
        <f t="shared" si="10"/>
        <v>0</v>
      </c>
      <c r="I11" s="34">
        <f t="shared" si="4"/>
        <v>309600</v>
      </c>
      <c r="J11" s="34">
        <f t="shared" si="1"/>
        <v>0</v>
      </c>
      <c r="K11" s="34">
        <f t="shared" si="5"/>
        <v>165940.54062019198</v>
      </c>
      <c r="L11" s="34">
        <f t="shared" si="6"/>
        <v>202702.7028</v>
      </c>
      <c r="M11" s="34">
        <f t="shared" si="7"/>
        <v>0</v>
      </c>
      <c r="N11" s="114">
        <v>0</v>
      </c>
      <c r="O11" s="114"/>
      <c r="P11" s="407">
        <f t="shared" si="2"/>
        <v>673917.07</v>
      </c>
      <c r="Q11" s="407"/>
      <c r="R11" s="24">
        <f t="shared" si="3"/>
        <v>7.0000000000000007E-2</v>
      </c>
      <c r="S11" s="1">
        <f t="shared" si="8"/>
        <v>7</v>
      </c>
      <c r="T11" t="s">
        <v>263</v>
      </c>
    </row>
    <row r="12" spans="1:23" ht="24.95" customHeight="1" x14ac:dyDescent="0.25">
      <c r="A12" s="29"/>
      <c r="B12" s="29">
        <f t="shared" si="9"/>
        <v>8</v>
      </c>
      <c r="C12" s="28" t="s">
        <v>30</v>
      </c>
      <c r="D12" s="31">
        <v>4.7000000000000002E-3</v>
      </c>
      <c r="E12" s="164">
        <v>686029.08</v>
      </c>
      <c r="F12" s="165">
        <f>E12</f>
        <v>686029.08</v>
      </c>
      <c r="G12" s="90">
        <f t="shared" si="0"/>
        <v>0</v>
      </c>
      <c r="H12" s="33">
        <f t="shared" si="10"/>
        <v>0</v>
      </c>
      <c r="I12" s="34">
        <f t="shared" si="4"/>
        <v>338400</v>
      </c>
      <c r="J12" s="34">
        <f t="shared" si="1"/>
        <v>0</v>
      </c>
      <c r="K12" s="34">
        <f t="shared" si="5"/>
        <v>165940.54062019198</v>
      </c>
      <c r="L12" s="34">
        <f t="shared" si="6"/>
        <v>202702.7028</v>
      </c>
      <c r="M12" s="34">
        <f t="shared" si="7"/>
        <v>0</v>
      </c>
      <c r="N12" s="114">
        <v>0</v>
      </c>
      <c r="O12" s="114"/>
      <c r="P12" s="407">
        <f t="shared" si="2"/>
        <v>707043.08</v>
      </c>
      <c r="Q12" s="407"/>
      <c r="R12" s="24">
        <f t="shared" si="3"/>
        <v>0.08</v>
      </c>
      <c r="S12" s="1">
        <f t="shared" si="8"/>
        <v>8</v>
      </c>
      <c r="T12" t="s">
        <v>342</v>
      </c>
    </row>
    <row r="13" spans="1:23" ht="24.95" customHeight="1" x14ac:dyDescent="0.25">
      <c r="A13" s="29"/>
      <c r="B13" s="29">
        <f t="shared" si="9"/>
        <v>9</v>
      </c>
      <c r="C13" s="28" t="s">
        <v>31</v>
      </c>
      <c r="D13" s="31">
        <v>4.7000000000000002E-3</v>
      </c>
      <c r="E13" s="164">
        <v>1936816.09</v>
      </c>
      <c r="F13" s="165"/>
      <c r="G13" s="90">
        <f t="shared" si="0"/>
        <v>1936816.09</v>
      </c>
      <c r="H13" s="33">
        <f t="shared" si="10"/>
        <v>59789.512698300008</v>
      </c>
      <c r="I13" s="34">
        <f t="shared" si="4"/>
        <v>338400</v>
      </c>
      <c r="J13" s="34">
        <f t="shared" si="1"/>
        <v>0</v>
      </c>
      <c r="K13" s="34">
        <f t="shared" si="5"/>
        <v>165940.54062019198</v>
      </c>
      <c r="L13" s="34">
        <f t="shared" si="6"/>
        <v>202702.7028</v>
      </c>
      <c r="M13" s="34">
        <v>59274</v>
      </c>
      <c r="N13" s="114">
        <f>(I13+K13)/2</f>
        <v>252170.27031009598</v>
      </c>
      <c r="O13" s="114"/>
      <c r="P13" s="407">
        <f t="shared" si="2"/>
        <v>3015093.09</v>
      </c>
      <c r="Q13" s="407"/>
      <c r="R13" s="24">
        <f t="shared" si="3"/>
        <v>0.09</v>
      </c>
      <c r="S13" s="1">
        <f t="shared" si="8"/>
        <v>9</v>
      </c>
    </row>
    <row r="14" spans="1:23" ht="24.95" customHeight="1" x14ac:dyDescent="0.25">
      <c r="A14" s="29"/>
      <c r="B14" s="29">
        <f t="shared" si="9"/>
        <v>10</v>
      </c>
      <c r="C14" s="28" t="s">
        <v>32</v>
      </c>
      <c r="D14" s="31">
        <v>4.7000000000000002E-3</v>
      </c>
      <c r="E14" s="164">
        <v>686029.1</v>
      </c>
      <c r="F14" s="165">
        <f>E14</f>
        <v>686029.1</v>
      </c>
      <c r="G14" s="90">
        <f t="shared" si="0"/>
        <v>0</v>
      </c>
      <c r="H14" s="33">
        <f t="shared" si="10"/>
        <v>0</v>
      </c>
      <c r="I14" s="34">
        <f t="shared" si="4"/>
        <v>338400</v>
      </c>
      <c r="J14" s="34">
        <f t="shared" si="1"/>
        <v>0</v>
      </c>
      <c r="K14" s="34">
        <f t="shared" si="5"/>
        <v>165940.54062019198</v>
      </c>
      <c r="L14" s="34">
        <f t="shared" si="6"/>
        <v>202702.7028</v>
      </c>
      <c r="M14" s="34">
        <f t="shared" si="7"/>
        <v>0</v>
      </c>
      <c r="N14" s="114">
        <v>0</v>
      </c>
      <c r="O14" s="114"/>
      <c r="P14" s="407">
        <f t="shared" si="2"/>
        <v>707043.1</v>
      </c>
      <c r="Q14" s="407"/>
      <c r="R14" s="24">
        <f t="shared" si="3"/>
        <v>0.1</v>
      </c>
      <c r="S14" s="1">
        <f t="shared" si="8"/>
        <v>10</v>
      </c>
      <c r="T14" t="s">
        <v>252</v>
      </c>
    </row>
    <row r="15" spans="1:23" ht="24.95" customHeight="1" x14ac:dyDescent="0.25">
      <c r="A15" s="29"/>
      <c r="B15" s="28">
        <f t="shared" si="9"/>
        <v>11</v>
      </c>
      <c r="C15" s="28" t="s">
        <v>33</v>
      </c>
      <c r="D15" s="128">
        <v>4.7000000000000002E-3</v>
      </c>
      <c r="E15" s="166">
        <v>686029.11</v>
      </c>
      <c r="F15" s="165">
        <f>E15</f>
        <v>686029.11</v>
      </c>
      <c r="G15" s="91">
        <f t="shared" si="0"/>
        <v>0</v>
      </c>
      <c r="H15" s="129">
        <f t="shared" si="10"/>
        <v>0</v>
      </c>
      <c r="I15" s="114">
        <f t="shared" si="4"/>
        <v>338400</v>
      </c>
      <c r="J15" s="114">
        <f t="shared" si="1"/>
        <v>0</v>
      </c>
      <c r="K15" s="114">
        <f t="shared" si="5"/>
        <v>165940.54062019198</v>
      </c>
      <c r="L15" s="114">
        <f t="shared" si="6"/>
        <v>202702.7028</v>
      </c>
      <c r="M15" s="114">
        <f t="shared" si="7"/>
        <v>0</v>
      </c>
      <c r="N15" s="114">
        <v>0</v>
      </c>
      <c r="O15" s="114"/>
      <c r="P15" s="411">
        <f t="shared" si="2"/>
        <v>707043.11</v>
      </c>
      <c r="Q15" s="411"/>
      <c r="R15" s="130">
        <f t="shared" si="3"/>
        <v>0.11</v>
      </c>
      <c r="S15" s="89">
        <f t="shared" si="8"/>
        <v>11</v>
      </c>
      <c r="T15" t="s">
        <v>280</v>
      </c>
    </row>
    <row r="16" spans="1:23" ht="24.95" customHeight="1" x14ac:dyDescent="0.25">
      <c r="A16" s="29"/>
      <c r="B16" s="28">
        <f t="shared" si="9"/>
        <v>12</v>
      </c>
      <c r="C16" s="28" t="s">
        <v>34</v>
      </c>
      <c r="D16" s="128">
        <v>4.3E-3</v>
      </c>
      <c r="E16" s="166">
        <v>1900416.12</v>
      </c>
      <c r="F16" s="165"/>
      <c r="G16" s="91">
        <f t="shared" si="0"/>
        <v>1900416.12</v>
      </c>
      <c r="H16" s="129">
        <f t="shared" si="10"/>
        <v>58665.845624400004</v>
      </c>
      <c r="I16" s="114">
        <f t="shared" si="4"/>
        <v>309600</v>
      </c>
      <c r="J16" s="114">
        <f t="shared" si="1"/>
        <v>0</v>
      </c>
      <c r="K16" s="114">
        <f t="shared" si="5"/>
        <v>165940.54062019198</v>
      </c>
      <c r="L16" s="114">
        <f t="shared" si="6"/>
        <v>202702.7028</v>
      </c>
      <c r="M16" s="114">
        <f t="shared" si="7"/>
        <v>0</v>
      </c>
      <c r="N16" s="114">
        <v>0</v>
      </c>
      <c r="O16" s="114"/>
      <c r="P16" s="411">
        <f t="shared" si="2"/>
        <v>2637325.12</v>
      </c>
      <c r="Q16" s="411"/>
      <c r="R16" s="130">
        <f t="shared" si="3"/>
        <v>0.12</v>
      </c>
      <c r="S16" s="89">
        <f t="shared" si="8"/>
        <v>12</v>
      </c>
      <c r="T16" t="s">
        <v>272</v>
      </c>
    </row>
    <row r="17" spans="1:21" ht="24.95" customHeight="1" x14ac:dyDescent="0.25">
      <c r="A17" s="29"/>
      <c r="B17" s="28">
        <f t="shared" si="9"/>
        <v>13</v>
      </c>
      <c r="C17" s="28" t="s">
        <v>174</v>
      </c>
      <c r="D17" s="31">
        <v>4.5999999999999999E-3</v>
      </c>
      <c r="E17" s="164">
        <v>975355.13</v>
      </c>
      <c r="F17" s="165">
        <f>E17</f>
        <v>975355.13</v>
      </c>
      <c r="G17" s="90">
        <f t="shared" si="0"/>
        <v>0</v>
      </c>
      <c r="H17" s="33">
        <f t="shared" si="10"/>
        <v>0</v>
      </c>
      <c r="I17" s="34">
        <f t="shared" si="4"/>
        <v>331200</v>
      </c>
      <c r="J17" s="34">
        <f t="shared" si="1"/>
        <v>0</v>
      </c>
      <c r="K17" s="34">
        <f t="shared" si="5"/>
        <v>165940.54062019198</v>
      </c>
      <c r="L17" s="34">
        <f t="shared" si="6"/>
        <v>202702.7028</v>
      </c>
      <c r="M17" s="34">
        <v>58013</v>
      </c>
      <c r="N17" s="114">
        <f>(I17+K17)/2</f>
        <v>248570.27031009598</v>
      </c>
      <c r="O17" s="114"/>
      <c r="P17" s="407">
        <f t="shared" si="2"/>
        <v>1006427.13</v>
      </c>
      <c r="Q17" s="407"/>
      <c r="R17" s="24">
        <f t="shared" si="3"/>
        <v>0.13</v>
      </c>
      <c r="S17" s="1">
        <f t="shared" si="8"/>
        <v>13</v>
      </c>
    </row>
    <row r="18" spans="1:21" ht="24.95" customHeight="1" x14ac:dyDescent="0.25">
      <c r="A18" s="29"/>
      <c r="B18" s="29">
        <f t="shared" si="9"/>
        <v>14</v>
      </c>
      <c r="C18" s="28" t="s">
        <v>35</v>
      </c>
      <c r="D18" s="31">
        <v>4.7000000000000002E-3</v>
      </c>
      <c r="E18" s="164">
        <v>686029.14</v>
      </c>
      <c r="F18" s="165"/>
      <c r="G18" s="90">
        <f t="shared" si="0"/>
        <v>686029.14</v>
      </c>
      <c r="H18" s="33">
        <f t="shared" si="10"/>
        <v>21177.719551800001</v>
      </c>
      <c r="I18" s="34">
        <f t="shared" si="4"/>
        <v>338400</v>
      </c>
      <c r="J18" s="34">
        <f t="shared" si="1"/>
        <v>0</v>
      </c>
      <c r="K18" s="34">
        <f t="shared" si="5"/>
        <v>165940.54062019198</v>
      </c>
      <c r="L18" s="34">
        <f t="shared" si="6"/>
        <v>202702.7028</v>
      </c>
      <c r="M18" s="34">
        <f t="shared" si="7"/>
        <v>0</v>
      </c>
      <c r="N18" s="114">
        <v>0</v>
      </c>
      <c r="O18" s="114"/>
      <c r="P18" s="407">
        <f t="shared" si="2"/>
        <v>1414250.14</v>
      </c>
      <c r="Q18" s="407"/>
      <c r="R18" s="24">
        <f t="shared" si="3"/>
        <v>0.14000000000000001</v>
      </c>
      <c r="S18" s="1">
        <f t="shared" si="8"/>
        <v>14</v>
      </c>
      <c r="T18" t="s">
        <v>289</v>
      </c>
    </row>
    <row r="19" spans="1:21" ht="24.95" customHeight="1" x14ac:dyDescent="0.25">
      <c r="A19" s="29"/>
      <c r="B19" s="28">
        <f t="shared" si="9"/>
        <v>15</v>
      </c>
      <c r="C19" s="28" t="s">
        <v>472</v>
      </c>
      <c r="D19" s="128">
        <v>4.4000000000000003E-3</v>
      </c>
      <c r="E19" s="166">
        <v>641754.15</v>
      </c>
      <c r="F19" s="165">
        <f>E19</f>
        <v>641754.15</v>
      </c>
      <c r="G19" s="91">
        <f t="shared" si="0"/>
        <v>0</v>
      </c>
      <c r="H19" s="129">
        <f t="shared" si="10"/>
        <v>0</v>
      </c>
      <c r="I19" s="114">
        <f t="shared" si="4"/>
        <v>316800</v>
      </c>
      <c r="J19" s="114">
        <f t="shared" si="1"/>
        <v>0</v>
      </c>
      <c r="K19" s="114">
        <f t="shared" si="5"/>
        <v>165940.54062019198</v>
      </c>
      <c r="L19" s="114">
        <f t="shared" si="6"/>
        <v>202702.7028</v>
      </c>
      <c r="M19" s="114">
        <f t="shared" si="7"/>
        <v>0</v>
      </c>
      <c r="N19" s="114">
        <v>0</v>
      </c>
      <c r="O19" s="114"/>
      <c r="P19" s="411">
        <f t="shared" si="2"/>
        <v>685443.15</v>
      </c>
      <c r="Q19" s="411"/>
      <c r="R19" s="130">
        <f t="shared" si="3"/>
        <v>0.15</v>
      </c>
      <c r="S19" s="89">
        <f t="shared" si="8"/>
        <v>15</v>
      </c>
      <c r="T19" t="s">
        <v>473</v>
      </c>
    </row>
    <row r="20" spans="1:21" ht="24.95" customHeight="1" x14ac:dyDescent="0.25">
      <c r="A20" s="29"/>
      <c r="B20" s="29">
        <f t="shared" si="9"/>
        <v>16</v>
      </c>
      <c r="C20" s="28" t="s">
        <v>175</v>
      </c>
      <c r="D20" s="31">
        <v>4.5999999999999999E-3</v>
      </c>
      <c r="E20" s="164">
        <v>975355.16</v>
      </c>
      <c r="F20" s="165">
        <f>E20</f>
        <v>975355.16</v>
      </c>
      <c r="G20" s="90">
        <f t="shared" si="0"/>
        <v>0</v>
      </c>
      <c r="H20" s="33">
        <f t="shared" si="10"/>
        <v>0</v>
      </c>
      <c r="I20" s="34">
        <f t="shared" si="4"/>
        <v>331200</v>
      </c>
      <c r="J20" s="34">
        <f t="shared" si="1"/>
        <v>0</v>
      </c>
      <c r="K20" s="34">
        <f t="shared" si="5"/>
        <v>165940.54062019198</v>
      </c>
      <c r="L20" s="34">
        <f t="shared" si="6"/>
        <v>202702.7028</v>
      </c>
      <c r="M20" s="34">
        <v>58013</v>
      </c>
      <c r="N20" s="114">
        <f>(I20+K20)/2</f>
        <v>248570.27031009598</v>
      </c>
      <c r="O20" s="114"/>
      <c r="P20" s="407">
        <f t="shared" si="2"/>
        <v>1006427.16</v>
      </c>
      <c r="Q20" s="407"/>
      <c r="R20" s="24">
        <f t="shared" si="3"/>
        <v>0.16</v>
      </c>
      <c r="S20" s="1">
        <f t="shared" si="8"/>
        <v>16</v>
      </c>
    </row>
    <row r="21" spans="1:21" ht="24.95" customHeight="1" x14ac:dyDescent="0.25">
      <c r="A21" s="29"/>
      <c r="B21" s="28">
        <f t="shared" si="9"/>
        <v>17</v>
      </c>
      <c r="C21" s="28" t="s">
        <v>36</v>
      </c>
      <c r="D21" s="128">
        <v>4.5999999999999999E-3</v>
      </c>
      <c r="E21" s="166">
        <v>1296903.17</v>
      </c>
      <c r="F21" s="165">
        <v>-765800.17</v>
      </c>
      <c r="G21" s="90">
        <f t="shared" si="0"/>
        <v>2062703.3399999999</v>
      </c>
      <c r="H21" s="33">
        <f t="shared" si="10"/>
        <v>63675.6521058</v>
      </c>
      <c r="I21" s="34">
        <f t="shared" si="4"/>
        <v>331200</v>
      </c>
      <c r="J21" s="34">
        <f t="shared" si="1"/>
        <v>0</v>
      </c>
      <c r="K21" s="34">
        <f t="shared" si="5"/>
        <v>165940.54062019198</v>
      </c>
      <c r="L21" s="34">
        <f t="shared" si="6"/>
        <v>202702.7028</v>
      </c>
      <c r="M21" s="34">
        <f t="shared" si="7"/>
        <v>0</v>
      </c>
      <c r="N21" s="114">
        <v>0</v>
      </c>
      <c r="O21" s="114"/>
      <c r="P21" s="407">
        <f t="shared" si="2"/>
        <v>2826222.17</v>
      </c>
      <c r="Q21" s="407"/>
      <c r="R21" s="24">
        <f t="shared" si="3"/>
        <v>0.17</v>
      </c>
      <c r="S21" s="1">
        <f t="shared" si="8"/>
        <v>17</v>
      </c>
      <c r="T21" t="s">
        <v>218</v>
      </c>
    </row>
    <row r="22" spans="1:21" ht="24.95" customHeight="1" x14ac:dyDescent="0.25">
      <c r="A22" s="29"/>
      <c r="B22" s="28">
        <f t="shared" si="9"/>
        <v>18</v>
      </c>
      <c r="C22" s="28" t="s">
        <v>37</v>
      </c>
      <c r="D22" s="31">
        <v>4.5999999999999999E-3</v>
      </c>
      <c r="E22" s="164">
        <v>679129.18</v>
      </c>
      <c r="F22" s="165">
        <f t="shared" ref="F22:F28" si="11">E22</f>
        <v>679129.18</v>
      </c>
      <c r="G22" s="90">
        <f t="shared" si="0"/>
        <v>0</v>
      </c>
      <c r="H22" s="33">
        <f t="shared" si="10"/>
        <v>0</v>
      </c>
      <c r="I22" s="34">
        <f t="shared" si="4"/>
        <v>331200</v>
      </c>
      <c r="J22" s="34">
        <f t="shared" si="1"/>
        <v>0</v>
      </c>
      <c r="K22" s="34">
        <f t="shared" si="5"/>
        <v>165940.54062019198</v>
      </c>
      <c r="L22" s="34">
        <f t="shared" si="6"/>
        <v>202702.7028</v>
      </c>
      <c r="M22" s="34">
        <f t="shared" si="7"/>
        <v>0</v>
      </c>
      <c r="N22" s="114">
        <v>0</v>
      </c>
      <c r="O22" s="138"/>
      <c r="P22" s="407">
        <f t="shared" si="2"/>
        <v>699843.18</v>
      </c>
      <c r="Q22" s="407"/>
      <c r="R22" s="24">
        <f t="shared" si="3"/>
        <v>0.18</v>
      </c>
      <c r="S22" s="1">
        <f t="shared" si="8"/>
        <v>18</v>
      </c>
      <c r="T22" t="s">
        <v>210</v>
      </c>
    </row>
    <row r="23" spans="1:21" ht="24.95" customHeight="1" x14ac:dyDescent="0.25">
      <c r="A23" s="29"/>
      <c r="B23" s="29">
        <f t="shared" si="9"/>
        <v>19</v>
      </c>
      <c r="C23" s="28" t="s">
        <v>38</v>
      </c>
      <c r="D23" s="31">
        <v>4.7000000000000002E-3</v>
      </c>
      <c r="E23" s="164">
        <v>686029.19</v>
      </c>
      <c r="F23" s="165">
        <f t="shared" si="11"/>
        <v>686029.19</v>
      </c>
      <c r="G23" s="90">
        <f t="shared" si="0"/>
        <v>0</v>
      </c>
      <c r="H23" s="33">
        <f t="shared" si="10"/>
        <v>0</v>
      </c>
      <c r="I23" s="34">
        <f t="shared" si="4"/>
        <v>338400</v>
      </c>
      <c r="J23" s="34">
        <f t="shared" si="1"/>
        <v>0</v>
      </c>
      <c r="K23" s="34">
        <f t="shared" si="5"/>
        <v>165940.54062019198</v>
      </c>
      <c r="L23" s="34">
        <f t="shared" si="6"/>
        <v>202702.7028</v>
      </c>
      <c r="M23" s="34">
        <f t="shared" si="7"/>
        <v>0</v>
      </c>
      <c r="N23" s="114">
        <v>0</v>
      </c>
      <c r="O23" s="138"/>
      <c r="P23" s="407">
        <f t="shared" si="2"/>
        <v>707043.19</v>
      </c>
      <c r="Q23" s="407"/>
      <c r="R23" s="24">
        <f t="shared" si="3"/>
        <v>0.19</v>
      </c>
      <c r="S23" s="1">
        <f t="shared" si="8"/>
        <v>19</v>
      </c>
    </row>
    <row r="24" spans="1:21" ht="24.95" customHeight="1" x14ac:dyDescent="0.25">
      <c r="A24" s="29"/>
      <c r="B24" s="28">
        <f t="shared" si="9"/>
        <v>20</v>
      </c>
      <c r="C24" s="28" t="s">
        <v>39</v>
      </c>
      <c r="D24" s="31">
        <v>4.7000000000000002E-3</v>
      </c>
      <c r="E24" s="164">
        <v>686029.2</v>
      </c>
      <c r="F24" s="165">
        <f t="shared" si="11"/>
        <v>686029.2</v>
      </c>
      <c r="G24" s="90">
        <f t="shared" si="0"/>
        <v>0</v>
      </c>
      <c r="H24" s="33">
        <f t="shared" si="10"/>
        <v>0</v>
      </c>
      <c r="I24" s="34">
        <f t="shared" si="4"/>
        <v>338400</v>
      </c>
      <c r="J24" s="34">
        <f t="shared" si="1"/>
        <v>0</v>
      </c>
      <c r="K24" s="34">
        <f t="shared" si="5"/>
        <v>165940.54062019198</v>
      </c>
      <c r="L24" s="34">
        <f t="shared" si="6"/>
        <v>202702.7028</v>
      </c>
      <c r="M24" s="34">
        <f t="shared" si="7"/>
        <v>0</v>
      </c>
      <c r="N24" s="114">
        <v>0</v>
      </c>
      <c r="O24" s="138"/>
      <c r="P24" s="407">
        <f t="shared" si="2"/>
        <v>707043.2</v>
      </c>
      <c r="Q24" s="407"/>
      <c r="R24" s="24">
        <f t="shared" si="3"/>
        <v>0.2</v>
      </c>
      <c r="S24" s="1">
        <f t="shared" si="8"/>
        <v>20</v>
      </c>
    </row>
    <row r="25" spans="1:21" ht="24.95" customHeight="1" x14ac:dyDescent="0.25">
      <c r="A25" s="29"/>
      <c r="B25" s="28">
        <f t="shared" si="9"/>
        <v>21</v>
      </c>
      <c r="C25" s="28" t="s">
        <v>40</v>
      </c>
      <c r="D25" s="31">
        <v>4.7000000000000002E-3</v>
      </c>
      <c r="E25" s="164">
        <v>1378828.21</v>
      </c>
      <c r="F25" s="165">
        <f t="shared" si="11"/>
        <v>1378828.21</v>
      </c>
      <c r="G25" s="90">
        <f t="shared" si="0"/>
        <v>0</v>
      </c>
      <c r="H25" s="33">
        <f t="shared" si="10"/>
        <v>0</v>
      </c>
      <c r="I25" s="34">
        <f t="shared" si="4"/>
        <v>338400</v>
      </c>
      <c r="J25" s="34">
        <f t="shared" si="1"/>
        <v>0</v>
      </c>
      <c r="K25" s="34">
        <f t="shared" si="5"/>
        <v>165940.54062019198</v>
      </c>
      <c r="L25" s="34">
        <f t="shared" si="6"/>
        <v>202702.7028</v>
      </c>
      <c r="M25" s="34">
        <f t="shared" si="7"/>
        <v>0</v>
      </c>
      <c r="N25" s="114">
        <v>0</v>
      </c>
      <c r="O25" s="138"/>
      <c r="P25" s="407">
        <f t="shared" si="2"/>
        <v>707043.21</v>
      </c>
      <c r="Q25" s="407"/>
      <c r="R25" s="24">
        <f t="shared" si="3"/>
        <v>0.21</v>
      </c>
      <c r="S25" s="1">
        <f t="shared" si="8"/>
        <v>21</v>
      </c>
      <c r="U25" t="s">
        <v>209</v>
      </c>
    </row>
    <row r="26" spans="1:21" ht="24.95" customHeight="1" x14ac:dyDescent="0.25">
      <c r="A26" s="29"/>
      <c r="B26" s="28">
        <f t="shared" si="9"/>
        <v>22</v>
      </c>
      <c r="C26" s="28" t="s">
        <v>41</v>
      </c>
      <c r="D26" s="31">
        <v>4.7000000000000002E-3</v>
      </c>
      <c r="E26" s="164">
        <v>686029.22</v>
      </c>
      <c r="F26" s="165">
        <f t="shared" si="11"/>
        <v>686029.22</v>
      </c>
      <c r="G26" s="90">
        <f t="shared" si="0"/>
        <v>0</v>
      </c>
      <c r="H26" s="33">
        <f t="shared" si="10"/>
        <v>0</v>
      </c>
      <c r="I26" s="34">
        <f t="shared" si="4"/>
        <v>338400</v>
      </c>
      <c r="J26" s="34">
        <f t="shared" si="1"/>
        <v>0</v>
      </c>
      <c r="K26" s="34">
        <f t="shared" si="5"/>
        <v>165940.54062019198</v>
      </c>
      <c r="L26" s="34">
        <f t="shared" si="6"/>
        <v>202702.7028</v>
      </c>
      <c r="M26" s="34">
        <f t="shared" si="7"/>
        <v>0</v>
      </c>
      <c r="N26" s="114">
        <v>0</v>
      </c>
      <c r="O26" s="138"/>
      <c r="P26" s="407">
        <f t="shared" si="2"/>
        <v>707043.22</v>
      </c>
      <c r="Q26" s="407"/>
      <c r="R26" s="24">
        <f t="shared" si="3"/>
        <v>0.22</v>
      </c>
      <c r="S26" s="1">
        <f t="shared" si="8"/>
        <v>22</v>
      </c>
      <c r="T26" t="s">
        <v>461</v>
      </c>
    </row>
    <row r="27" spans="1:21" ht="24.95" customHeight="1" x14ac:dyDescent="0.25">
      <c r="A27" s="29"/>
      <c r="B27" s="28">
        <f t="shared" si="9"/>
        <v>23</v>
      </c>
      <c r="C27" s="28" t="s">
        <v>42</v>
      </c>
      <c r="D27" s="31">
        <v>4.7000000000000002E-3</v>
      </c>
      <c r="E27" s="164">
        <v>686029.23</v>
      </c>
      <c r="F27" s="165">
        <f t="shared" si="11"/>
        <v>686029.23</v>
      </c>
      <c r="G27" s="90">
        <f t="shared" si="0"/>
        <v>0</v>
      </c>
      <c r="H27" s="33">
        <f t="shared" si="10"/>
        <v>0</v>
      </c>
      <c r="I27" s="34">
        <f t="shared" si="4"/>
        <v>338400</v>
      </c>
      <c r="J27" s="34">
        <f t="shared" si="1"/>
        <v>0</v>
      </c>
      <c r="K27" s="34">
        <f t="shared" si="5"/>
        <v>165940.54062019198</v>
      </c>
      <c r="L27" s="34">
        <f t="shared" si="6"/>
        <v>202702.7028</v>
      </c>
      <c r="M27" s="34">
        <f t="shared" si="7"/>
        <v>0</v>
      </c>
      <c r="N27" s="114">
        <v>0</v>
      </c>
      <c r="O27" s="138"/>
      <c r="P27" s="407">
        <f t="shared" si="2"/>
        <v>707043.23</v>
      </c>
      <c r="Q27" s="407"/>
      <c r="R27" s="24">
        <f t="shared" si="3"/>
        <v>0.23</v>
      </c>
      <c r="S27" s="1">
        <f t="shared" si="8"/>
        <v>23</v>
      </c>
      <c r="T27" t="s">
        <v>454</v>
      </c>
    </row>
    <row r="28" spans="1:21" ht="24.95" customHeight="1" x14ac:dyDescent="0.25">
      <c r="A28" s="28"/>
      <c r="B28" s="28">
        <f t="shared" si="9"/>
        <v>24</v>
      </c>
      <c r="C28" s="28" t="s">
        <v>43</v>
      </c>
      <c r="D28" s="31">
        <v>4.7000000000000002E-3</v>
      </c>
      <c r="E28" s="164">
        <v>726864.24</v>
      </c>
      <c r="F28" s="165">
        <f t="shared" si="11"/>
        <v>726864.24</v>
      </c>
      <c r="G28" s="90">
        <f t="shared" si="0"/>
        <v>0</v>
      </c>
      <c r="H28" s="33">
        <f t="shared" si="10"/>
        <v>0</v>
      </c>
      <c r="I28" s="34">
        <f t="shared" si="4"/>
        <v>338400</v>
      </c>
      <c r="J28" s="34">
        <f t="shared" si="1"/>
        <v>0</v>
      </c>
      <c r="K28" s="34">
        <f t="shared" si="5"/>
        <v>165940.54062019198</v>
      </c>
      <c r="L28" s="34">
        <f t="shared" si="6"/>
        <v>202702.7028</v>
      </c>
      <c r="M28" s="34">
        <f t="shared" si="7"/>
        <v>0</v>
      </c>
      <c r="N28" s="114">
        <v>0</v>
      </c>
      <c r="O28" s="138"/>
      <c r="P28" s="407">
        <f t="shared" si="2"/>
        <v>707043.24</v>
      </c>
      <c r="Q28" s="407"/>
      <c r="R28" s="24">
        <f t="shared" si="3"/>
        <v>0.24</v>
      </c>
      <c r="S28" s="1">
        <f t="shared" si="8"/>
        <v>24</v>
      </c>
    </row>
    <row r="29" spans="1:21" ht="24.95" customHeight="1" x14ac:dyDescent="0.25">
      <c r="A29" s="29"/>
      <c r="B29" s="28">
        <f t="shared" si="9"/>
        <v>25</v>
      </c>
      <c r="C29" s="28" t="s">
        <v>44</v>
      </c>
      <c r="D29" s="31">
        <v>4.7999999999999996E-3</v>
      </c>
      <c r="E29" s="164">
        <v>692929.25</v>
      </c>
      <c r="F29" s="165"/>
      <c r="G29" s="90">
        <f t="shared" si="0"/>
        <v>692929.25</v>
      </c>
      <c r="H29" s="33">
        <f t="shared" si="10"/>
        <v>21390.725947500003</v>
      </c>
      <c r="I29" s="34">
        <f t="shared" si="4"/>
        <v>345599.99999999994</v>
      </c>
      <c r="J29" s="34">
        <f t="shared" si="1"/>
        <v>0</v>
      </c>
      <c r="K29" s="34">
        <f t="shared" si="5"/>
        <v>165940.54062019198</v>
      </c>
      <c r="L29" s="34">
        <f t="shared" si="6"/>
        <v>202702.7028</v>
      </c>
      <c r="M29" s="34">
        <f t="shared" si="7"/>
        <v>0</v>
      </c>
      <c r="N29" s="114">
        <v>0</v>
      </c>
      <c r="O29" s="138"/>
      <c r="P29" s="407">
        <f t="shared" si="2"/>
        <v>1428563.25</v>
      </c>
      <c r="Q29" s="407"/>
      <c r="R29" s="24">
        <f t="shared" si="3"/>
        <v>0.25</v>
      </c>
      <c r="S29" s="1">
        <f t="shared" si="8"/>
        <v>25</v>
      </c>
      <c r="U29" t="s">
        <v>286</v>
      </c>
    </row>
    <row r="30" spans="1:21" ht="24.95" customHeight="1" x14ac:dyDescent="0.25">
      <c r="A30" s="28"/>
      <c r="B30" s="28">
        <f t="shared" si="9"/>
        <v>26</v>
      </c>
      <c r="C30" s="28" t="s">
        <v>45</v>
      </c>
      <c r="D30" s="31">
        <v>4.7999999999999996E-3</v>
      </c>
      <c r="E30" s="164">
        <v>690675.26</v>
      </c>
      <c r="F30" s="165">
        <v>690700</v>
      </c>
      <c r="G30" s="90">
        <f t="shared" si="0"/>
        <v>-24.739999999990687</v>
      </c>
      <c r="H30" s="33">
        <f t="shared" si="10"/>
        <v>0</v>
      </c>
      <c r="I30" s="34">
        <f t="shared" si="4"/>
        <v>345599.99999999994</v>
      </c>
      <c r="J30" s="34">
        <f t="shared" si="1"/>
        <v>0</v>
      </c>
      <c r="K30" s="34">
        <f t="shared" si="5"/>
        <v>165940.54062019198</v>
      </c>
      <c r="L30" s="34">
        <f t="shared" si="6"/>
        <v>202702.7028</v>
      </c>
      <c r="M30" s="34">
        <f t="shared" si="7"/>
        <v>0</v>
      </c>
      <c r="N30" s="114">
        <v>0</v>
      </c>
      <c r="O30" s="138"/>
      <c r="P30" s="407">
        <f t="shared" si="2"/>
        <v>714219.26</v>
      </c>
      <c r="Q30" s="407"/>
      <c r="R30" s="24">
        <f t="shared" si="3"/>
        <v>0.26</v>
      </c>
      <c r="S30" s="1">
        <f t="shared" si="8"/>
        <v>26</v>
      </c>
      <c r="U30" t="s">
        <v>204</v>
      </c>
    </row>
    <row r="31" spans="1:21" ht="24.95" customHeight="1" x14ac:dyDescent="0.25">
      <c r="A31" s="29"/>
      <c r="B31" s="28">
        <f t="shared" si="9"/>
        <v>27</v>
      </c>
      <c r="C31" s="28" t="s">
        <v>46</v>
      </c>
      <c r="D31" s="31">
        <v>4.7999999999999996E-3</v>
      </c>
      <c r="E31" s="164">
        <v>692929.27</v>
      </c>
      <c r="F31" s="165">
        <f>E31</f>
        <v>692929.27</v>
      </c>
      <c r="G31" s="90">
        <f t="shared" si="0"/>
        <v>0</v>
      </c>
      <c r="H31" s="33">
        <f t="shared" si="10"/>
        <v>0</v>
      </c>
      <c r="I31" s="34">
        <f t="shared" si="4"/>
        <v>345599.99999999994</v>
      </c>
      <c r="J31" s="34">
        <f t="shared" si="1"/>
        <v>0</v>
      </c>
      <c r="K31" s="34">
        <f t="shared" si="5"/>
        <v>165940.54062019198</v>
      </c>
      <c r="L31" s="34">
        <f t="shared" si="6"/>
        <v>202702.7028</v>
      </c>
      <c r="M31" s="34">
        <f t="shared" si="7"/>
        <v>0</v>
      </c>
      <c r="N31" s="114">
        <v>0</v>
      </c>
      <c r="O31" s="138"/>
      <c r="P31" s="407">
        <f t="shared" si="2"/>
        <v>714243.27</v>
      </c>
      <c r="Q31" s="407"/>
      <c r="R31" s="24">
        <f t="shared" si="3"/>
        <v>0.27</v>
      </c>
      <c r="S31" s="1">
        <f t="shared" si="8"/>
        <v>27</v>
      </c>
    </row>
    <row r="32" spans="1:21" ht="24.95" customHeight="1" x14ac:dyDescent="0.25">
      <c r="A32" s="29"/>
      <c r="B32" s="28">
        <f t="shared" si="9"/>
        <v>28</v>
      </c>
      <c r="C32" s="28" t="s">
        <v>47</v>
      </c>
      <c r="D32" s="31">
        <v>4.4999999999999997E-3</v>
      </c>
      <c r="E32" s="164">
        <v>2711331.28</v>
      </c>
      <c r="F32" s="165">
        <f>1980000+61062</f>
        <v>2041062</v>
      </c>
      <c r="G32" s="90">
        <f t="shared" si="0"/>
        <v>670269.2799999998</v>
      </c>
      <c r="H32" s="33">
        <f t="shared" si="10"/>
        <v>20691.212673599995</v>
      </c>
      <c r="I32" s="34">
        <f t="shared" si="4"/>
        <v>324000</v>
      </c>
      <c r="J32" s="34">
        <f t="shared" si="1"/>
        <v>0</v>
      </c>
      <c r="K32" s="34">
        <f t="shared" si="5"/>
        <v>165940.54062019198</v>
      </c>
      <c r="L32" s="34">
        <f t="shared" si="6"/>
        <v>202702.7028</v>
      </c>
      <c r="M32" s="34">
        <f t="shared" si="7"/>
        <v>0</v>
      </c>
      <c r="N32" s="114">
        <v>0</v>
      </c>
      <c r="O32" s="138"/>
      <c r="P32" s="407">
        <f t="shared" si="2"/>
        <v>1383604.28</v>
      </c>
      <c r="Q32" s="407"/>
      <c r="R32" s="24">
        <f t="shared" si="3"/>
        <v>0.28000000000000003</v>
      </c>
      <c r="S32" s="1">
        <f t="shared" si="8"/>
        <v>28</v>
      </c>
      <c r="T32" t="s">
        <v>305</v>
      </c>
    </row>
    <row r="33" spans="1:20" ht="24.95" customHeight="1" x14ac:dyDescent="0.25">
      <c r="A33" s="29"/>
      <c r="B33" s="28">
        <f t="shared" si="9"/>
        <v>29</v>
      </c>
      <c r="C33" s="28" t="s">
        <v>48</v>
      </c>
      <c r="D33" s="31">
        <v>4.7999999999999996E-3</v>
      </c>
      <c r="E33" s="164">
        <v>692929.29</v>
      </c>
      <c r="F33" s="165">
        <f>E33</f>
        <v>692929.29</v>
      </c>
      <c r="G33" s="90">
        <f t="shared" si="0"/>
        <v>0</v>
      </c>
      <c r="H33" s="33">
        <f t="shared" si="10"/>
        <v>0</v>
      </c>
      <c r="I33" s="34">
        <f t="shared" si="4"/>
        <v>345599.99999999994</v>
      </c>
      <c r="J33" s="34">
        <f t="shared" si="1"/>
        <v>0</v>
      </c>
      <c r="K33" s="34">
        <f t="shared" si="5"/>
        <v>165940.54062019198</v>
      </c>
      <c r="L33" s="34">
        <f t="shared" si="6"/>
        <v>202702.7028</v>
      </c>
      <c r="M33" s="34">
        <f t="shared" si="7"/>
        <v>0</v>
      </c>
      <c r="N33" s="114">
        <v>0</v>
      </c>
      <c r="O33" s="138"/>
      <c r="P33" s="407">
        <f t="shared" si="2"/>
        <v>714243.29</v>
      </c>
      <c r="Q33" s="407"/>
      <c r="R33" s="24">
        <f t="shared" si="3"/>
        <v>0.28999999999999998</v>
      </c>
      <c r="S33" s="1">
        <f t="shared" si="8"/>
        <v>29</v>
      </c>
      <c r="T33" t="s">
        <v>214</v>
      </c>
    </row>
    <row r="34" spans="1:20" ht="24.95" customHeight="1" x14ac:dyDescent="0.25">
      <c r="A34" s="29"/>
      <c r="B34" s="28">
        <f t="shared" si="9"/>
        <v>30</v>
      </c>
      <c r="C34" s="28" t="s">
        <v>49</v>
      </c>
      <c r="D34" s="31">
        <v>4.4999999999999997E-3</v>
      </c>
      <c r="E34" s="164">
        <v>672229.3</v>
      </c>
      <c r="F34" s="165">
        <f>E34</f>
        <v>672229.3</v>
      </c>
      <c r="G34" s="90">
        <f t="shared" si="0"/>
        <v>0</v>
      </c>
      <c r="H34" s="33">
        <f t="shared" si="10"/>
        <v>0</v>
      </c>
      <c r="I34" s="34">
        <f t="shared" si="4"/>
        <v>324000</v>
      </c>
      <c r="J34" s="34">
        <f t="shared" si="1"/>
        <v>0</v>
      </c>
      <c r="K34" s="34">
        <f t="shared" si="5"/>
        <v>165940.54062019198</v>
      </c>
      <c r="L34" s="34">
        <f t="shared" si="6"/>
        <v>202702.7028</v>
      </c>
      <c r="M34" s="34">
        <f t="shared" si="7"/>
        <v>0</v>
      </c>
      <c r="N34" s="114">
        <v>0</v>
      </c>
      <c r="O34" s="138"/>
      <c r="P34" s="407">
        <f t="shared" si="2"/>
        <v>692643.3</v>
      </c>
      <c r="Q34" s="407"/>
      <c r="R34" s="24">
        <f t="shared" si="3"/>
        <v>0.3</v>
      </c>
      <c r="S34" s="1">
        <f t="shared" si="8"/>
        <v>30</v>
      </c>
      <c r="T34" t="s">
        <v>266</v>
      </c>
    </row>
    <row r="35" spans="1:20" ht="24.95" customHeight="1" x14ac:dyDescent="0.25">
      <c r="A35" s="29"/>
      <c r="B35" s="28">
        <f t="shared" si="9"/>
        <v>31</v>
      </c>
      <c r="C35" s="28" t="s">
        <v>50</v>
      </c>
      <c r="D35" s="31">
        <v>4.4999999999999997E-3</v>
      </c>
      <c r="E35" s="164">
        <v>1372603.31</v>
      </c>
      <c r="F35" s="165">
        <f>E35</f>
        <v>1372603.31</v>
      </c>
      <c r="G35" s="90">
        <f t="shared" si="0"/>
        <v>0</v>
      </c>
      <c r="H35" s="33">
        <f t="shared" si="10"/>
        <v>0</v>
      </c>
      <c r="I35" s="34">
        <f t="shared" si="4"/>
        <v>324000</v>
      </c>
      <c r="J35" s="34">
        <f t="shared" si="1"/>
        <v>0</v>
      </c>
      <c r="K35" s="34">
        <f t="shared" si="5"/>
        <v>165940.54062019198</v>
      </c>
      <c r="L35" s="34">
        <f t="shared" si="6"/>
        <v>202702.7028</v>
      </c>
      <c r="M35" s="34">
        <f t="shared" si="7"/>
        <v>0</v>
      </c>
      <c r="N35" s="114">
        <v>0</v>
      </c>
      <c r="O35" s="138"/>
      <c r="P35" s="407">
        <f t="shared" si="2"/>
        <v>692643.31</v>
      </c>
      <c r="Q35" s="407"/>
      <c r="R35" s="24">
        <f t="shared" si="3"/>
        <v>0.31</v>
      </c>
      <c r="S35" s="1">
        <f t="shared" si="8"/>
        <v>31</v>
      </c>
      <c r="T35" s="95" t="s">
        <v>279</v>
      </c>
    </row>
    <row r="36" spans="1:20" ht="24.95" customHeight="1" x14ac:dyDescent="0.25">
      <c r="A36" s="28"/>
      <c r="B36" s="28">
        <f t="shared" si="9"/>
        <v>32</v>
      </c>
      <c r="C36" s="28" t="s">
        <v>51</v>
      </c>
      <c r="D36" s="31">
        <v>4.4999999999999997E-3</v>
      </c>
      <c r="E36" s="164">
        <v>822989.32</v>
      </c>
      <c r="F36" s="373">
        <f>6163000-F17-F20-F37-F90-F150-F151-F153</f>
        <v>823538.67</v>
      </c>
      <c r="G36" s="90">
        <f t="shared" si="0"/>
        <v>-549.35000000009313</v>
      </c>
      <c r="H36" s="33">
        <f t="shared" si="10"/>
        <v>0</v>
      </c>
      <c r="I36" s="34">
        <f t="shared" si="4"/>
        <v>324000</v>
      </c>
      <c r="J36" s="34">
        <f t="shared" si="1"/>
        <v>0</v>
      </c>
      <c r="K36" s="34">
        <f t="shared" si="5"/>
        <v>165940.54062019198</v>
      </c>
      <c r="L36" s="34">
        <f t="shared" si="6"/>
        <v>202702.7028</v>
      </c>
      <c r="M36" s="34">
        <f t="shared" si="7"/>
        <v>0</v>
      </c>
      <c r="N36" s="114">
        <v>0</v>
      </c>
      <c r="O36" s="138"/>
      <c r="P36" s="407">
        <f t="shared" si="2"/>
        <v>692094.32</v>
      </c>
      <c r="Q36" s="407"/>
      <c r="R36" s="24">
        <f t="shared" si="3"/>
        <v>0.32</v>
      </c>
      <c r="S36" s="1">
        <f t="shared" si="8"/>
        <v>32</v>
      </c>
    </row>
    <row r="37" spans="1:20" ht="24.95" customHeight="1" x14ac:dyDescent="0.25">
      <c r="A37" s="28"/>
      <c r="B37" s="28">
        <v>33</v>
      </c>
      <c r="C37" s="28" t="s">
        <v>52</v>
      </c>
      <c r="D37" s="31">
        <v>4.4999999999999997E-3</v>
      </c>
      <c r="E37" s="164">
        <v>672229.33</v>
      </c>
      <c r="F37" s="165">
        <f>E37</f>
        <v>672229.33</v>
      </c>
      <c r="G37" s="90">
        <f t="shared" si="0"/>
        <v>0</v>
      </c>
      <c r="H37" s="33">
        <f t="shared" si="10"/>
        <v>0</v>
      </c>
      <c r="I37" s="34">
        <f t="shared" si="4"/>
        <v>324000</v>
      </c>
      <c r="J37" s="34">
        <f t="shared" ref="J37:J68" si="12">P$2*D37</f>
        <v>0</v>
      </c>
      <c r="K37" s="34">
        <f t="shared" si="5"/>
        <v>165940.54062019198</v>
      </c>
      <c r="L37" s="34">
        <f t="shared" si="6"/>
        <v>202702.7028</v>
      </c>
      <c r="M37" s="34">
        <f t="shared" si="7"/>
        <v>0</v>
      </c>
      <c r="N37" s="114">
        <v>0</v>
      </c>
      <c r="O37" s="138"/>
      <c r="P37" s="407">
        <f t="shared" ref="P37:P68" si="13">ROUND(SUM(G37:O37),0) + R37</f>
        <v>692643.33</v>
      </c>
      <c r="Q37" s="407"/>
      <c r="R37" s="24">
        <f t="shared" ref="R37:R68" si="14">ROUND(0.001+B37/100,2)</f>
        <v>0.33</v>
      </c>
      <c r="S37" s="1">
        <f t="shared" si="8"/>
        <v>33</v>
      </c>
    </row>
    <row r="38" spans="1:20" ht="24.95" customHeight="1" x14ac:dyDescent="0.25">
      <c r="A38" s="29"/>
      <c r="B38" s="28">
        <v>34</v>
      </c>
      <c r="C38" s="28" t="s">
        <v>50</v>
      </c>
      <c r="D38" s="31">
        <v>4.4999999999999997E-3</v>
      </c>
      <c r="E38" s="164">
        <v>1372604.34</v>
      </c>
      <c r="F38" s="165">
        <f>E38</f>
        <v>1372604.34</v>
      </c>
      <c r="G38" s="90">
        <f t="shared" si="0"/>
        <v>0</v>
      </c>
      <c r="H38" s="33">
        <f t="shared" si="10"/>
        <v>0</v>
      </c>
      <c r="I38" s="34">
        <f t="shared" ref="I38:I101" si="15">K$2*D38</f>
        <v>324000</v>
      </c>
      <c r="J38" s="34">
        <f t="shared" si="12"/>
        <v>0</v>
      </c>
      <c r="K38" s="34">
        <f t="shared" si="5"/>
        <v>165940.54062019198</v>
      </c>
      <c r="L38" s="34">
        <f t="shared" si="6"/>
        <v>202702.7028</v>
      </c>
      <c r="M38" s="34">
        <f t="shared" si="7"/>
        <v>0</v>
      </c>
      <c r="N38" s="114">
        <v>0</v>
      </c>
      <c r="O38" s="138"/>
      <c r="P38" s="407">
        <f t="shared" si="13"/>
        <v>692643.34</v>
      </c>
      <c r="Q38" s="407"/>
      <c r="R38" s="24">
        <f t="shared" si="14"/>
        <v>0.34</v>
      </c>
      <c r="S38" s="1">
        <f t="shared" si="8"/>
        <v>34</v>
      </c>
      <c r="T38" s="95" t="s">
        <v>279</v>
      </c>
    </row>
    <row r="39" spans="1:20" ht="24.95" customHeight="1" x14ac:dyDescent="0.25">
      <c r="A39" s="29">
        <v>1</v>
      </c>
      <c r="B39" s="28">
        <v>35</v>
      </c>
      <c r="C39" s="28" t="s">
        <v>53</v>
      </c>
      <c r="D39" s="31">
        <v>4.5999999999999999E-3</v>
      </c>
      <c r="E39" s="164">
        <v>679129.35</v>
      </c>
      <c r="F39" s="165">
        <f>E39</f>
        <v>679129.35</v>
      </c>
      <c r="G39" s="90">
        <f t="shared" si="0"/>
        <v>0</v>
      </c>
      <c r="H39" s="33">
        <f t="shared" si="10"/>
        <v>0</v>
      </c>
      <c r="I39" s="34">
        <f t="shared" si="15"/>
        <v>331200</v>
      </c>
      <c r="J39" s="34">
        <f t="shared" si="12"/>
        <v>0</v>
      </c>
      <c r="K39" s="34">
        <f t="shared" si="5"/>
        <v>165940.54062019198</v>
      </c>
      <c r="L39" s="34">
        <f t="shared" si="6"/>
        <v>202702.7028</v>
      </c>
      <c r="M39" s="34">
        <f t="shared" si="7"/>
        <v>0</v>
      </c>
      <c r="N39" s="114">
        <v>0</v>
      </c>
      <c r="O39" s="138"/>
      <c r="P39" s="407">
        <f t="shared" si="13"/>
        <v>699843.35</v>
      </c>
      <c r="Q39" s="407"/>
      <c r="R39" s="24">
        <f t="shared" si="14"/>
        <v>0.35</v>
      </c>
      <c r="S39" s="1">
        <f t="shared" si="8"/>
        <v>35</v>
      </c>
      <c r="T39" t="s">
        <v>229</v>
      </c>
    </row>
    <row r="40" spans="1:20" ht="24.95" customHeight="1" x14ac:dyDescent="0.25">
      <c r="A40" s="28">
        <v>2</v>
      </c>
      <c r="B40" s="28">
        <v>36</v>
      </c>
      <c r="C40" s="28" t="s">
        <v>54</v>
      </c>
      <c r="D40" s="31">
        <v>4.5999999999999999E-3</v>
      </c>
      <c r="E40" s="164">
        <v>2800101.36</v>
      </c>
      <c r="F40" s="165"/>
      <c r="G40" s="90">
        <f t="shared" si="0"/>
        <v>2800101.36</v>
      </c>
      <c r="H40" s="33">
        <f t="shared" si="10"/>
        <v>86439.128983200004</v>
      </c>
      <c r="I40" s="34">
        <f t="shared" si="15"/>
        <v>331200</v>
      </c>
      <c r="J40" s="34">
        <f t="shared" si="12"/>
        <v>0</v>
      </c>
      <c r="K40" s="34">
        <f t="shared" si="5"/>
        <v>165940.54062019198</v>
      </c>
      <c r="L40" s="34">
        <f t="shared" si="6"/>
        <v>202702.7028</v>
      </c>
      <c r="M40" s="34">
        <f t="shared" si="7"/>
        <v>0</v>
      </c>
      <c r="N40" s="114">
        <v>0</v>
      </c>
      <c r="O40" s="138"/>
      <c r="P40" s="407">
        <f t="shared" si="13"/>
        <v>3586384.36</v>
      </c>
      <c r="Q40" s="407"/>
      <c r="R40" s="24">
        <f t="shared" si="14"/>
        <v>0.36</v>
      </c>
      <c r="S40" s="1">
        <f t="shared" si="8"/>
        <v>36</v>
      </c>
      <c r="T40" s="24"/>
    </row>
    <row r="41" spans="1:20" ht="24.95" customHeight="1" x14ac:dyDescent="0.25">
      <c r="A41" s="28">
        <v>3</v>
      </c>
      <c r="B41" s="28">
        <v>37</v>
      </c>
      <c r="C41" s="28" t="s">
        <v>55</v>
      </c>
      <c r="D41" s="31">
        <v>4.4999999999999997E-3</v>
      </c>
      <c r="E41" s="164">
        <v>611927.37</v>
      </c>
      <c r="F41" s="165">
        <v>-718953.37</v>
      </c>
      <c r="G41" s="90">
        <f t="shared" si="0"/>
        <v>1330880.74</v>
      </c>
      <c r="H41" s="33">
        <f t="shared" si="10"/>
        <v>41084.288443800004</v>
      </c>
      <c r="I41" s="34">
        <f t="shared" si="15"/>
        <v>324000</v>
      </c>
      <c r="J41" s="34">
        <f t="shared" si="12"/>
        <v>0</v>
      </c>
      <c r="K41" s="34">
        <f t="shared" si="5"/>
        <v>165940.54062019198</v>
      </c>
      <c r="L41" s="34">
        <f t="shared" si="6"/>
        <v>202702.7028</v>
      </c>
      <c r="M41" s="34">
        <f t="shared" si="7"/>
        <v>0</v>
      </c>
      <c r="N41" s="114">
        <v>0</v>
      </c>
      <c r="O41" s="138"/>
      <c r="P41" s="407">
        <f t="shared" si="13"/>
        <v>2064608.37</v>
      </c>
      <c r="Q41" s="407"/>
      <c r="R41" s="24">
        <f t="shared" si="14"/>
        <v>0.37</v>
      </c>
      <c r="S41" s="1">
        <f t="shared" si="8"/>
        <v>37</v>
      </c>
      <c r="T41" s="24"/>
    </row>
    <row r="42" spans="1:20" ht="24.95" customHeight="1" x14ac:dyDescent="0.25">
      <c r="A42" s="28">
        <v>4</v>
      </c>
      <c r="B42" s="28">
        <v>38</v>
      </c>
      <c r="C42" s="28" t="s">
        <v>56</v>
      </c>
      <c r="D42" s="31">
        <v>4.4999999999999997E-3</v>
      </c>
      <c r="E42" s="164">
        <v>1088350.3799999999</v>
      </c>
      <c r="F42" s="165">
        <f>301521+310500+374190</f>
        <v>986211</v>
      </c>
      <c r="G42" s="90">
        <f t="shared" si="0"/>
        <v>102139.37999999989</v>
      </c>
      <c r="H42" s="33">
        <f t="shared" si="10"/>
        <v>3153.0426605999969</v>
      </c>
      <c r="I42" s="34">
        <f t="shared" si="15"/>
        <v>324000</v>
      </c>
      <c r="J42" s="34">
        <f t="shared" si="12"/>
        <v>0</v>
      </c>
      <c r="K42" s="34">
        <f t="shared" si="5"/>
        <v>165940.54062019198</v>
      </c>
      <c r="L42" s="34">
        <f t="shared" si="6"/>
        <v>202702.7028</v>
      </c>
      <c r="M42" s="34">
        <f t="shared" si="7"/>
        <v>0</v>
      </c>
      <c r="N42" s="114">
        <v>0</v>
      </c>
      <c r="O42" s="138"/>
      <c r="P42" s="407">
        <f t="shared" si="13"/>
        <v>797936.38</v>
      </c>
      <c r="Q42" s="407"/>
      <c r="R42" s="24">
        <f t="shared" si="14"/>
        <v>0.38</v>
      </c>
      <c r="S42" s="1">
        <f t="shared" si="8"/>
        <v>38</v>
      </c>
      <c r="T42" t="s">
        <v>251</v>
      </c>
    </row>
    <row r="43" spans="1:20" ht="24.95" customHeight="1" x14ac:dyDescent="0.25">
      <c r="A43" s="29">
        <v>5</v>
      </c>
      <c r="B43" s="28">
        <v>39</v>
      </c>
      <c r="C43" s="28" t="s">
        <v>255</v>
      </c>
      <c r="D43" s="31">
        <v>4.4999999999999997E-3</v>
      </c>
      <c r="E43" s="164">
        <v>672102.39</v>
      </c>
      <c r="F43" s="165">
        <v>680000</v>
      </c>
      <c r="G43" s="90">
        <f t="shared" si="0"/>
        <v>-7897.609999999986</v>
      </c>
      <c r="H43" s="33">
        <f t="shared" si="10"/>
        <v>0</v>
      </c>
      <c r="I43" s="34">
        <f t="shared" si="15"/>
        <v>324000</v>
      </c>
      <c r="J43" s="34">
        <f t="shared" si="12"/>
        <v>0</v>
      </c>
      <c r="K43" s="34">
        <f t="shared" si="5"/>
        <v>165940.54062019198</v>
      </c>
      <c r="L43" s="34">
        <f t="shared" si="6"/>
        <v>202702.7028</v>
      </c>
      <c r="M43" s="34">
        <f t="shared" si="7"/>
        <v>0</v>
      </c>
      <c r="N43" s="114">
        <v>0</v>
      </c>
      <c r="O43" s="138"/>
      <c r="P43" s="407">
        <f t="shared" si="13"/>
        <v>684746.39</v>
      </c>
      <c r="Q43" s="407"/>
      <c r="R43" s="24">
        <f t="shared" si="14"/>
        <v>0.39</v>
      </c>
      <c r="S43" s="1">
        <f t="shared" si="8"/>
        <v>39</v>
      </c>
      <c r="T43" t="s">
        <v>232</v>
      </c>
    </row>
    <row r="44" spans="1:20" ht="24.95" customHeight="1" x14ac:dyDescent="0.25">
      <c r="A44" s="29">
        <v>6</v>
      </c>
      <c r="B44" s="28">
        <v>40</v>
      </c>
      <c r="C44" s="28" t="s">
        <v>57</v>
      </c>
      <c r="D44" s="31">
        <v>4.4999999999999997E-3</v>
      </c>
      <c r="E44" s="164">
        <v>672229.4</v>
      </c>
      <c r="F44" s="165">
        <f>E44</f>
        <v>672229.4</v>
      </c>
      <c r="G44" s="90">
        <f t="shared" si="0"/>
        <v>0</v>
      </c>
      <c r="H44" s="33">
        <f t="shared" si="10"/>
        <v>0</v>
      </c>
      <c r="I44" s="34">
        <f t="shared" si="15"/>
        <v>324000</v>
      </c>
      <c r="J44" s="34">
        <f t="shared" si="12"/>
        <v>0</v>
      </c>
      <c r="K44" s="34">
        <f t="shared" si="5"/>
        <v>165940.54062019198</v>
      </c>
      <c r="L44" s="34">
        <f t="shared" si="6"/>
        <v>202702.7028</v>
      </c>
      <c r="M44" s="34">
        <f t="shared" si="7"/>
        <v>0</v>
      </c>
      <c r="N44" s="114">
        <v>0</v>
      </c>
      <c r="O44" s="138"/>
      <c r="P44" s="407">
        <f t="shared" si="13"/>
        <v>692643.4</v>
      </c>
      <c r="Q44" s="407"/>
      <c r="R44" s="24">
        <f t="shared" si="14"/>
        <v>0.4</v>
      </c>
      <c r="S44" s="1">
        <f t="shared" si="8"/>
        <v>40</v>
      </c>
    </row>
    <row r="45" spans="1:20" ht="24.95" customHeight="1" x14ac:dyDescent="0.25">
      <c r="A45" s="29">
        <v>7</v>
      </c>
      <c r="B45" s="28">
        <v>41</v>
      </c>
      <c r="C45" s="28" t="s">
        <v>58</v>
      </c>
      <c r="D45" s="128">
        <v>4.4999999999999997E-3</v>
      </c>
      <c r="E45" s="164">
        <v>672229.41</v>
      </c>
      <c r="F45" s="165">
        <f>E45</f>
        <v>672229.41</v>
      </c>
      <c r="G45" s="90">
        <f t="shared" si="0"/>
        <v>0</v>
      </c>
      <c r="H45" s="33">
        <f t="shared" si="10"/>
        <v>0</v>
      </c>
      <c r="I45" s="34">
        <f t="shared" si="15"/>
        <v>324000</v>
      </c>
      <c r="J45" s="34">
        <f t="shared" si="12"/>
        <v>0</v>
      </c>
      <c r="K45" s="34">
        <f t="shared" si="5"/>
        <v>165940.54062019198</v>
      </c>
      <c r="L45" s="34">
        <f t="shared" si="6"/>
        <v>202702.7028</v>
      </c>
      <c r="M45" s="34">
        <f t="shared" si="7"/>
        <v>0</v>
      </c>
      <c r="N45" s="114">
        <v>0</v>
      </c>
      <c r="O45" s="138"/>
      <c r="P45" s="407">
        <f t="shared" si="13"/>
        <v>692643.41</v>
      </c>
      <c r="Q45" s="407"/>
      <c r="R45" s="24">
        <f t="shared" si="14"/>
        <v>0.41</v>
      </c>
      <c r="S45" s="1">
        <f t="shared" si="8"/>
        <v>41</v>
      </c>
      <c r="T45" s="95" t="s">
        <v>225</v>
      </c>
    </row>
    <row r="46" spans="1:20" ht="24.95" customHeight="1" x14ac:dyDescent="0.25">
      <c r="A46" s="28">
        <v>8</v>
      </c>
      <c r="B46" s="28">
        <v>42</v>
      </c>
      <c r="C46" s="28" t="s">
        <v>59</v>
      </c>
      <c r="D46" s="128">
        <v>4.4999999999999997E-3</v>
      </c>
      <c r="E46" s="164">
        <v>672229.42</v>
      </c>
      <c r="F46" s="165">
        <v>672230</v>
      </c>
      <c r="G46" s="90">
        <f t="shared" si="0"/>
        <v>-0.57999999995809048</v>
      </c>
      <c r="H46" s="33">
        <f t="shared" si="10"/>
        <v>0</v>
      </c>
      <c r="I46" s="34">
        <f t="shared" si="15"/>
        <v>324000</v>
      </c>
      <c r="J46" s="34">
        <f t="shared" si="12"/>
        <v>0</v>
      </c>
      <c r="K46" s="34">
        <f t="shared" si="5"/>
        <v>165940.54062019198</v>
      </c>
      <c r="L46" s="34">
        <f t="shared" si="6"/>
        <v>202702.7028</v>
      </c>
      <c r="M46" s="34">
        <f t="shared" si="7"/>
        <v>0</v>
      </c>
      <c r="N46" s="114">
        <v>0</v>
      </c>
      <c r="O46" s="138"/>
      <c r="P46" s="407">
        <f t="shared" si="13"/>
        <v>692643.42</v>
      </c>
      <c r="Q46" s="407"/>
      <c r="R46" s="24">
        <f t="shared" si="14"/>
        <v>0.42</v>
      </c>
      <c r="S46" s="1">
        <f t="shared" si="8"/>
        <v>42</v>
      </c>
      <c r="T46" t="s">
        <v>345</v>
      </c>
    </row>
    <row r="47" spans="1:20" ht="24.95" customHeight="1" x14ac:dyDescent="0.25">
      <c r="A47" s="29">
        <v>1</v>
      </c>
      <c r="B47" s="28">
        <v>43</v>
      </c>
      <c r="C47" s="28" t="s">
        <v>60</v>
      </c>
      <c r="D47" s="128">
        <v>3.5999999999999999E-3</v>
      </c>
      <c r="E47" s="164">
        <v>610129.43000000005</v>
      </c>
      <c r="F47" s="165">
        <f>E47</f>
        <v>610129.43000000005</v>
      </c>
      <c r="G47" s="90">
        <f t="shared" si="0"/>
        <v>0</v>
      </c>
      <c r="H47" s="33">
        <f t="shared" si="10"/>
        <v>0</v>
      </c>
      <c r="I47" s="34">
        <f t="shared" si="15"/>
        <v>259200</v>
      </c>
      <c r="J47" s="34">
        <f t="shared" si="12"/>
        <v>0</v>
      </c>
      <c r="K47" s="34">
        <f t="shared" si="5"/>
        <v>165940.54062019198</v>
      </c>
      <c r="L47" s="34">
        <f t="shared" si="6"/>
        <v>202702.7028</v>
      </c>
      <c r="M47" s="34">
        <f t="shared" si="7"/>
        <v>0</v>
      </c>
      <c r="N47" s="114">
        <v>0</v>
      </c>
      <c r="O47" s="138"/>
      <c r="P47" s="407">
        <f t="shared" si="13"/>
        <v>627843.43000000005</v>
      </c>
      <c r="Q47" s="407"/>
      <c r="R47" s="24">
        <f t="shared" si="14"/>
        <v>0.43</v>
      </c>
      <c r="S47" s="1">
        <f t="shared" si="8"/>
        <v>43</v>
      </c>
    </row>
    <row r="48" spans="1:20" ht="24.95" customHeight="1" x14ac:dyDescent="0.25">
      <c r="A48" s="28">
        <v>1</v>
      </c>
      <c r="B48" s="28">
        <v>44</v>
      </c>
      <c r="C48" s="28" t="s">
        <v>61</v>
      </c>
      <c r="D48" s="128">
        <v>4.1000000000000003E-3</v>
      </c>
      <c r="E48" s="164">
        <v>1952721.44</v>
      </c>
      <c r="F48" s="165">
        <f>1268347.44+39172</f>
        <v>1307519.44</v>
      </c>
      <c r="G48" s="90">
        <f t="shared" si="0"/>
        <v>645202</v>
      </c>
      <c r="H48" s="33">
        <f t="shared" si="10"/>
        <v>19917.385740000002</v>
      </c>
      <c r="I48" s="34">
        <f t="shared" si="15"/>
        <v>295200</v>
      </c>
      <c r="J48" s="34">
        <f t="shared" si="12"/>
        <v>0</v>
      </c>
      <c r="K48" s="34">
        <f t="shared" si="5"/>
        <v>165940.54062019198</v>
      </c>
      <c r="L48" s="34">
        <f t="shared" si="6"/>
        <v>202702.7028</v>
      </c>
      <c r="M48" s="34">
        <f t="shared" si="7"/>
        <v>0</v>
      </c>
      <c r="N48" s="114">
        <v>0</v>
      </c>
      <c r="O48" s="138"/>
      <c r="P48" s="407">
        <f t="shared" si="13"/>
        <v>1328963.44</v>
      </c>
      <c r="Q48" s="407"/>
      <c r="R48" s="24">
        <f t="shared" si="14"/>
        <v>0.44</v>
      </c>
      <c r="S48" s="1">
        <f t="shared" si="8"/>
        <v>44</v>
      </c>
      <c r="T48" t="s">
        <v>466</v>
      </c>
    </row>
    <row r="49" spans="1:20" ht="24.95" customHeight="1" x14ac:dyDescent="0.25">
      <c r="A49" s="29">
        <v>2</v>
      </c>
      <c r="B49" s="28">
        <v>45</v>
      </c>
      <c r="C49" s="28" t="s">
        <v>62</v>
      </c>
      <c r="D49" s="128">
        <v>4.8999999999999998E-3</v>
      </c>
      <c r="E49" s="164">
        <v>699829.45</v>
      </c>
      <c r="F49" s="165">
        <f>E49</f>
        <v>699829.45</v>
      </c>
      <c r="G49" s="90">
        <f t="shared" si="0"/>
        <v>0</v>
      </c>
      <c r="H49" s="33">
        <f t="shared" si="10"/>
        <v>0</v>
      </c>
      <c r="I49" s="34">
        <f t="shared" si="15"/>
        <v>352800</v>
      </c>
      <c r="J49" s="34">
        <f t="shared" si="12"/>
        <v>0</v>
      </c>
      <c r="K49" s="34">
        <f t="shared" si="5"/>
        <v>165940.54062019198</v>
      </c>
      <c r="L49" s="34">
        <f t="shared" si="6"/>
        <v>202702.7028</v>
      </c>
      <c r="M49" s="34">
        <f t="shared" si="7"/>
        <v>0</v>
      </c>
      <c r="N49" s="114">
        <v>0</v>
      </c>
      <c r="O49" s="138"/>
      <c r="P49" s="407">
        <f t="shared" si="13"/>
        <v>721443.45</v>
      </c>
      <c r="Q49" s="407"/>
      <c r="R49" s="24">
        <f t="shared" si="14"/>
        <v>0.45</v>
      </c>
      <c r="S49" s="1">
        <f t="shared" si="8"/>
        <v>45</v>
      </c>
    </row>
    <row r="50" spans="1:20" ht="24.95" customHeight="1" x14ac:dyDescent="0.25">
      <c r="A50" s="29">
        <v>2</v>
      </c>
      <c r="B50" s="28">
        <v>46</v>
      </c>
      <c r="C50" s="28" t="s">
        <v>63</v>
      </c>
      <c r="D50" s="128">
        <v>3.8999999999999998E-3</v>
      </c>
      <c r="E50" s="164">
        <v>1958670.46</v>
      </c>
      <c r="F50" s="165">
        <f>638501.46+649577.46</f>
        <v>1288078.92</v>
      </c>
      <c r="G50" s="90">
        <f t="shared" si="0"/>
        <v>670591.54</v>
      </c>
      <c r="H50" s="33">
        <f t="shared" si="10"/>
        <v>20701.160839800003</v>
      </c>
      <c r="I50" s="34">
        <f t="shared" si="15"/>
        <v>280800</v>
      </c>
      <c r="J50" s="34">
        <f t="shared" si="12"/>
        <v>0</v>
      </c>
      <c r="K50" s="34">
        <f t="shared" si="5"/>
        <v>165940.54062019198</v>
      </c>
      <c r="L50" s="34">
        <f t="shared" si="6"/>
        <v>202702.7028</v>
      </c>
      <c r="M50" s="34">
        <f t="shared" si="7"/>
        <v>0</v>
      </c>
      <c r="N50" s="114">
        <v>0</v>
      </c>
      <c r="O50" s="138"/>
      <c r="P50" s="407">
        <f t="shared" si="13"/>
        <v>1340736.46</v>
      </c>
      <c r="Q50" s="407"/>
      <c r="R50" s="24">
        <f t="shared" si="14"/>
        <v>0.46</v>
      </c>
      <c r="S50" s="1">
        <f t="shared" si="8"/>
        <v>46</v>
      </c>
      <c r="T50" t="s">
        <v>198</v>
      </c>
    </row>
    <row r="51" spans="1:20" ht="24.95" customHeight="1" x14ac:dyDescent="0.25">
      <c r="A51" s="29">
        <v>3</v>
      </c>
      <c r="B51" s="28">
        <v>47</v>
      </c>
      <c r="C51" s="28" t="s">
        <v>64</v>
      </c>
      <c r="D51" s="128">
        <v>4.4999999999999997E-3</v>
      </c>
      <c r="E51" s="164">
        <v>504467.47</v>
      </c>
      <c r="F51" s="165"/>
      <c r="G51" s="90">
        <f t="shared" si="0"/>
        <v>504467.47</v>
      </c>
      <c r="H51" s="33">
        <f t="shared" si="10"/>
        <v>15572.9107989</v>
      </c>
      <c r="I51" s="34">
        <f t="shared" si="15"/>
        <v>324000</v>
      </c>
      <c r="J51" s="34">
        <f t="shared" si="12"/>
        <v>0</v>
      </c>
      <c r="K51" s="34">
        <f t="shared" si="5"/>
        <v>165940.54062019198</v>
      </c>
      <c r="L51" s="34">
        <f t="shared" si="6"/>
        <v>202702.7028</v>
      </c>
      <c r="M51" s="34">
        <f t="shared" si="7"/>
        <v>0</v>
      </c>
      <c r="N51" s="114">
        <v>0</v>
      </c>
      <c r="O51" s="138"/>
      <c r="P51" s="407">
        <f t="shared" si="13"/>
        <v>1212684.47</v>
      </c>
      <c r="Q51" s="407"/>
      <c r="R51" s="24">
        <f t="shared" si="14"/>
        <v>0.47</v>
      </c>
      <c r="S51" s="1">
        <f t="shared" si="8"/>
        <v>47</v>
      </c>
      <c r="T51" t="s">
        <v>281</v>
      </c>
    </row>
    <row r="52" spans="1:20" ht="24.95" customHeight="1" x14ac:dyDescent="0.25">
      <c r="A52" s="29">
        <v>3</v>
      </c>
      <c r="B52" s="28">
        <v>48</v>
      </c>
      <c r="C52" s="28" t="s">
        <v>192</v>
      </c>
      <c r="D52" s="128">
        <v>4.4999999999999997E-3</v>
      </c>
      <c r="E52" s="164">
        <v>992119.48</v>
      </c>
      <c r="F52" s="165">
        <f>E52</f>
        <v>992119.48</v>
      </c>
      <c r="G52" s="90">
        <f t="shared" si="0"/>
        <v>0</v>
      </c>
      <c r="H52" s="33">
        <f t="shared" si="10"/>
        <v>0</v>
      </c>
      <c r="I52" s="34">
        <f t="shared" si="15"/>
        <v>324000</v>
      </c>
      <c r="J52" s="34">
        <f t="shared" si="12"/>
        <v>0</v>
      </c>
      <c r="K52" s="34">
        <f t="shared" si="5"/>
        <v>165940.54062019198</v>
      </c>
      <c r="L52" s="34">
        <f t="shared" si="6"/>
        <v>202702.7028</v>
      </c>
      <c r="M52" s="34">
        <v>85127</v>
      </c>
      <c r="N52" s="114">
        <f>(I52+K52)/2</f>
        <v>244970.27031009598</v>
      </c>
      <c r="O52" s="138"/>
      <c r="P52" s="407">
        <f t="shared" si="13"/>
        <v>1022741.48</v>
      </c>
      <c r="Q52" s="407"/>
      <c r="R52" s="24">
        <f t="shared" si="14"/>
        <v>0.48</v>
      </c>
      <c r="S52" s="1">
        <f t="shared" si="8"/>
        <v>48</v>
      </c>
      <c r="T52" s="23"/>
    </row>
    <row r="53" spans="1:20" ht="24.95" customHeight="1" x14ac:dyDescent="0.25">
      <c r="A53" s="29">
        <v>4</v>
      </c>
      <c r="B53" s="28">
        <v>49</v>
      </c>
      <c r="C53" s="28" t="s">
        <v>65</v>
      </c>
      <c r="D53" s="31">
        <v>4.4999999999999997E-3</v>
      </c>
      <c r="E53" s="164">
        <v>672229.49</v>
      </c>
      <c r="F53" s="165">
        <f>E53</f>
        <v>672229.49</v>
      </c>
      <c r="G53" s="90">
        <f t="shared" si="0"/>
        <v>0</v>
      </c>
      <c r="H53" s="33">
        <f t="shared" si="10"/>
        <v>0</v>
      </c>
      <c r="I53" s="34">
        <f t="shared" si="15"/>
        <v>324000</v>
      </c>
      <c r="J53" s="34">
        <f t="shared" si="12"/>
        <v>0</v>
      </c>
      <c r="K53" s="34">
        <f t="shared" si="5"/>
        <v>165940.54062019198</v>
      </c>
      <c r="L53" s="34">
        <f t="shared" si="6"/>
        <v>202702.7028</v>
      </c>
      <c r="M53" s="34">
        <f t="shared" si="7"/>
        <v>0</v>
      </c>
      <c r="N53" s="114">
        <v>0</v>
      </c>
      <c r="O53" s="138"/>
      <c r="P53" s="407">
        <f t="shared" si="13"/>
        <v>692643.49</v>
      </c>
      <c r="Q53" s="407"/>
      <c r="R53" s="24">
        <f t="shared" si="14"/>
        <v>0.49</v>
      </c>
      <c r="S53" s="1">
        <f t="shared" si="8"/>
        <v>49</v>
      </c>
      <c r="T53" t="s">
        <v>215</v>
      </c>
    </row>
    <row r="54" spans="1:20" ht="24.95" customHeight="1" x14ac:dyDescent="0.25">
      <c r="A54" s="29">
        <v>4</v>
      </c>
      <c r="B54" s="28">
        <v>50</v>
      </c>
      <c r="C54" s="28" t="s">
        <v>66</v>
      </c>
      <c r="D54" s="31">
        <v>4.4999999999999997E-3</v>
      </c>
      <c r="E54" s="164">
        <v>672229.5</v>
      </c>
      <c r="F54" s="165">
        <f>E54</f>
        <v>672229.5</v>
      </c>
      <c r="G54" s="90">
        <f t="shared" si="0"/>
        <v>0</v>
      </c>
      <c r="H54" s="33">
        <f t="shared" si="10"/>
        <v>0</v>
      </c>
      <c r="I54" s="34">
        <f t="shared" si="15"/>
        <v>324000</v>
      </c>
      <c r="J54" s="34">
        <f t="shared" si="12"/>
        <v>0</v>
      </c>
      <c r="K54" s="34">
        <f t="shared" si="5"/>
        <v>165940.54062019198</v>
      </c>
      <c r="L54" s="34">
        <f t="shared" si="6"/>
        <v>202702.7028</v>
      </c>
      <c r="M54" s="34">
        <f t="shared" si="7"/>
        <v>0</v>
      </c>
      <c r="N54" s="114">
        <v>0</v>
      </c>
      <c r="O54" s="138"/>
      <c r="P54" s="407">
        <f t="shared" si="13"/>
        <v>692643.5</v>
      </c>
      <c r="Q54" s="407"/>
      <c r="R54" s="24">
        <f t="shared" si="14"/>
        <v>0.5</v>
      </c>
      <c r="S54" s="1">
        <f t="shared" si="8"/>
        <v>50</v>
      </c>
      <c r="T54" t="s">
        <v>306</v>
      </c>
    </row>
    <row r="55" spans="1:20" ht="24.95" customHeight="1" x14ac:dyDescent="0.25">
      <c r="A55" s="28">
        <v>5</v>
      </c>
      <c r="B55" s="28">
        <v>51</v>
      </c>
      <c r="C55" s="28" t="s">
        <v>67</v>
      </c>
      <c r="D55" s="31">
        <v>4.4999999999999997E-3</v>
      </c>
      <c r="E55" s="164">
        <v>3004922.51</v>
      </c>
      <c r="F55" s="165">
        <f>E55</f>
        <v>3004922.51</v>
      </c>
      <c r="G55" s="90">
        <f t="shared" si="0"/>
        <v>0</v>
      </c>
      <c r="H55" s="33">
        <f t="shared" si="10"/>
        <v>0</v>
      </c>
      <c r="I55" s="34">
        <f t="shared" si="15"/>
        <v>324000</v>
      </c>
      <c r="J55" s="34">
        <f t="shared" si="12"/>
        <v>0</v>
      </c>
      <c r="K55" s="34">
        <f t="shared" si="5"/>
        <v>165940.54062019198</v>
      </c>
      <c r="L55" s="34">
        <f t="shared" si="6"/>
        <v>202702.7028</v>
      </c>
      <c r="M55" s="34">
        <v>56751</v>
      </c>
      <c r="N55" s="114">
        <f>(I55+K55)/2</f>
        <v>244970.27031009598</v>
      </c>
      <c r="O55" s="138"/>
      <c r="P55" s="407">
        <f t="shared" si="13"/>
        <v>994365.51</v>
      </c>
      <c r="Q55" s="407"/>
      <c r="R55" s="24">
        <f t="shared" si="14"/>
        <v>0.51</v>
      </c>
      <c r="S55" s="1">
        <f t="shared" si="8"/>
        <v>51</v>
      </c>
      <c r="T55" t="s">
        <v>265</v>
      </c>
    </row>
    <row r="56" spans="1:20" ht="24.95" customHeight="1" x14ac:dyDescent="0.25">
      <c r="A56" s="29">
        <v>5</v>
      </c>
      <c r="B56" s="28">
        <v>52</v>
      </c>
      <c r="C56" s="28" t="s">
        <v>68</v>
      </c>
      <c r="D56" s="31">
        <v>4.5999999999999999E-3</v>
      </c>
      <c r="E56" s="164">
        <v>44.52</v>
      </c>
      <c r="F56" s="165"/>
      <c r="G56" s="91">
        <f t="shared" si="0"/>
        <v>44.52</v>
      </c>
      <c r="H56" s="33">
        <f t="shared" si="10"/>
        <v>1.3743324000000001</v>
      </c>
      <c r="I56" s="34">
        <f t="shared" si="15"/>
        <v>331200</v>
      </c>
      <c r="J56" s="34">
        <f t="shared" si="12"/>
        <v>0</v>
      </c>
      <c r="K56" s="34">
        <f t="shared" si="5"/>
        <v>165940.54062019198</v>
      </c>
      <c r="L56" s="34">
        <f t="shared" si="6"/>
        <v>202702.7028</v>
      </c>
      <c r="M56" s="34">
        <f t="shared" si="7"/>
        <v>0</v>
      </c>
      <c r="N56" s="114">
        <v>0</v>
      </c>
      <c r="O56" s="138"/>
      <c r="P56" s="407">
        <f t="shared" si="13"/>
        <v>699889.52</v>
      </c>
      <c r="Q56" s="407"/>
      <c r="R56" s="24">
        <f t="shared" si="14"/>
        <v>0.52</v>
      </c>
      <c r="S56" s="1">
        <f t="shared" si="8"/>
        <v>52</v>
      </c>
      <c r="T56" t="s">
        <v>250</v>
      </c>
    </row>
    <row r="57" spans="1:20" ht="24.95" customHeight="1" x14ac:dyDescent="0.25">
      <c r="A57" s="29">
        <v>6</v>
      </c>
      <c r="B57" s="28">
        <v>53</v>
      </c>
      <c r="C57" s="28" t="s">
        <v>69</v>
      </c>
      <c r="D57" s="31">
        <v>4.4999999999999997E-3</v>
      </c>
      <c r="E57" s="164">
        <v>2626427.5299999998</v>
      </c>
      <c r="F57" s="165">
        <f>1735000+500000+391428</f>
        <v>2626428</v>
      </c>
      <c r="G57" s="90">
        <f t="shared" si="0"/>
        <v>-0.47000000020489097</v>
      </c>
      <c r="H57" s="33">
        <f t="shared" si="10"/>
        <v>0</v>
      </c>
      <c r="I57" s="34">
        <f t="shared" si="15"/>
        <v>324000</v>
      </c>
      <c r="J57" s="34">
        <f t="shared" si="12"/>
        <v>0</v>
      </c>
      <c r="K57" s="34">
        <f t="shared" si="5"/>
        <v>165940.54062019198</v>
      </c>
      <c r="L57" s="34">
        <f t="shared" si="6"/>
        <v>202702.7028</v>
      </c>
      <c r="M57" s="34">
        <f t="shared" si="7"/>
        <v>0</v>
      </c>
      <c r="N57" s="114">
        <v>0</v>
      </c>
      <c r="O57" s="138"/>
      <c r="P57" s="407">
        <f t="shared" si="13"/>
        <v>692643.53</v>
      </c>
      <c r="Q57" s="407"/>
      <c r="R57" s="24">
        <f t="shared" si="14"/>
        <v>0.53</v>
      </c>
      <c r="S57" s="1">
        <f t="shared" si="8"/>
        <v>53</v>
      </c>
    </row>
    <row r="58" spans="1:20" ht="24.95" customHeight="1" x14ac:dyDescent="0.25">
      <c r="A58" s="29">
        <v>6</v>
      </c>
      <c r="B58" s="28">
        <v>54</v>
      </c>
      <c r="C58" s="28" t="s">
        <v>70</v>
      </c>
      <c r="D58" s="31">
        <v>4.4999999999999997E-3</v>
      </c>
      <c r="E58" s="164">
        <v>1372604.54</v>
      </c>
      <c r="F58" s="165">
        <f>672185.54+672229.54+28189</f>
        <v>1372604.08</v>
      </c>
      <c r="G58" s="90">
        <f t="shared" si="0"/>
        <v>0.4599999999627471</v>
      </c>
      <c r="H58" s="33">
        <f t="shared" si="10"/>
        <v>1.4200199998850003E-2</v>
      </c>
      <c r="I58" s="34">
        <f t="shared" si="15"/>
        <v>324000</v>
      </c>
      <c r="J58" s="34">
        <f t="shared" si="12"/>
        <v>0</v>
      </c>
      <c r="K58" s="34">
        <f t="shared" si="5"/>
        <v>165940.54062019198</v>
      </c>
      <c r="L58" s="34">
        <f t="shared" si="6"/>
        <v>202702.7028</v>
      </c>
      <c r="M58" s="34">
        <f t="shared" si="7"/>
        <v>0</v>
      </c>
      <c r="N58" s="114">
        <v>0</v>
      </c>
      <c r="O58" s="138"/>
      <c r="P58" s="407">
        <f t="shared" si="13"/>
        <v>692644.54</v>
      </c>
      <c r="Q58" s="407"/>
      <c r="R58" s="24">
        <f t="shared" si="14"/>
        <v>0.54</v>
      </c>
      <c r="S58" s="1">
        <f t="shared" si="8"/>
        <v>54</v>
      </c>
      <c r="T58" t="s">
        <v>213</v>
      </c>
    </row>
    <row r="59" spans="1:20" ht="24.95" customHeight="1" x14ac:dyDescent="0.25">
      <c r="A59" s="29">
        <v>7</v>
      </c>
      <c r="B59" s="28">
        <v>55</v>
      </c>
      <c r="C59" s="28" t="s">
        <v>71</v>
      </c>
      <c r="D59" s="31">
        <v>4.4999999999999997E-3</v>
      </c>
      <c r="E59" s="164">
        <v>792639.55</v>
      </c>
      <c r="F59" s="165">
        <f>E59</f>
        <v>792639.55</v>
      </c>
      <c r="G59" s="90">
        <f t="shared" si="0"/>
        <v>0</v>
      </c>
      <c r="H59" s="33">
        <f t="shared" si="10"/>
        <v>0</v>
      </c>
      <c r="I59" s="34">
        <f t="shared" si="15"/>
        <v>324000</v>
      </c>
      <c r="J59" s="34">
        <f t="shared" si="12"/>
        <v>0</v>
      </c>
      <c r="K59" s="34">
        <f t="shared" si="5"/>
        <v>165940.54062019198</v>
      </c>
      <c r="L59" s="34">
        <f t="shared" si="6"/>
        <v>202702.7028</v>
      </c>
      <c r="M59" s="34">
        <f t="shared" si="7"/>
        <v>0</v>
      </c>
      <c r="N59" s="114">
        <v>0</v>
      </c>
      <c r="O59" s="138"/>
      <c r="P59" s="407">
        <f t="shared" si="13"/>
        <v>692643.55</v>
      </c>
      <c r="Q59" s="407"/>
      <c r="R59" s="24">
        <f t="shared" si="14"/>
        <v>0.55000000000000004</v>
      </c>
      <c r="S59" s="1">
        <f t="shared" si="8"/>
        <v>55</v>
      </c>
      <c r="T59" t="s">
        <v>282</v>
      </c>
    </row>
    <row r="60" spans="1:20" ht="24.95" customHeight="1" x14ac:dyDescent="0.25">
      <c r="A60" s="29">
        <v>7</v>
      </c>
      <c r="B60" s="28">
        <v>56</v>
      </c>
      <c r="C60" s="28" t="s">
        <v>72</v>
      </c>
      <c r="D60" s="31">
        <v>4.4999999999999997E-3</v>
      </c>
      <c r="E60" s="164">
        <v>994793.56</v>
      </c>
      <c r="F60" s="165">
        <f>E60</f>
        <v>994793.56</v>
      </c>
      <c r="G60" s="90">
        <f t="shared" si="0"/>
        <v>0</v>
      </c>
      <c r="H60" s="33">
        <f t="shared" si="10"/>
        <v>0</v>
      </c>
      <c r="I60" s="34">
        <f t="shared" si="15"/>
        <v>324000</v>
      </c>
      <c r="J60" s="34">
        <f t="shared" si="12"/>
        <v>0</v>
      </c>
      <c r="K60" s="34">
        <f t="shared" si="5"/>
        <v>165940.54062019198</v>
      </c>
      <c r="L60" s="34">
        <f t="shared" si="6"/>
        <v>202702.7028</v>
      </c>
      <c r="M60" s="34">
        <v>56751</v>
      </c>
      <c r="N60" s="114">
        <f>(I60+K60)/2</f>
        <v>244970.27031009598</v>
      </c>
      <c r="O60" s="138"/>
      <c r="P60" s="407">
        <f t="shared" si="13"/>
        <v>994365.56</v>
      </c>
      <c r="Q60" s="407"/>
      <c r="R60" s="24">
        <f t="shared" si="14"/>
        <v>0.56000000000000005</v>
      </c>
      <c r="S60" s="1">
        <f t="shared" si="8"/>
        <v>56</v>
      </c>
      <c r="T60" t="s">
        <v>202</v>
      </c>
    </row>
    <row r="61" spans="1:20" ht="24.95" customHeight="1" x14ac:dyDescent="0.25">
      <c r="A61" s="29">
        <v>8</v>
      </c>
      <c r="B61" s="28">
        <v>57</v>
      </c>
      <c r="C61" s="28" t="s">
        <v>73</v>
      </c>
      <c r="D61" s="31">
        <v>4.4999999999999997E-3</v>
      </c>
      <c r="E61" s="164">
        <v>658695.56999999995</v>
      </c>
      <c r="F61" s="165">
        <f>E61+658695.57</f>
        <v>1317391.1399999999</v>
      </c>
      <c r="G61" s="90">
        <f t="shared" si="0"/>
        <v>-658695.56999999995</v>
      </c>
      <c r="H61" s="33">
        <f t="shared" si="10"/>
        <v>0</v>
      </c>
      <c r="I61" s="34">
        <f t="shared" si="15"/>
        <v>324000</v>
      </c>
      <c r="J61" s="34">
        <f t="shared" si="12"/>
        <v>0</v>
      </c>
      <c r="K61" s="34">
        <f t="shared" si="5"/>
        <v>165940.54062019198</v>
      </c>
      <c r="L61" s="34">
        <f t="shared" si="6"/>
        <v>202702.7028</v>
      </c>
      <c r="M61" s="34">
        <f t="shared" si="7"/>
        <v>0</v>
      </c>
      <c r="N61" s="114">
        <v>0</v>
      </c>
      <c r="O61" s="138"/>
      <c r="P61" s="407">
        <f t="shared" si="13"/>
        <v>33948.57</v>
      </c>
      <c r="Q61" s="407"/>
      <c r="R61" s="24">
        <f t="shared" si="14"/>
        <v>0.56999999999999995</v>
      </c>
      <c r="S61" s="1">
        <f t="shared" si="8"/>
        <v>57</v>
      </c>
    </row>
    <row r="62" spans="1:20" ht="24.95" customHeight="1" x14ac:dyDescent="0.25">
      <c r="A62" s="147">
        <v>8</v>
      </c>
      <c r="B62" s="28">
        <v>58</v>
      </c>
      <c r="C62" s="28" t="s">
        <v>43</v>
      </c>
      <c r="D62" s="31">
        <v>4.4999999999999997E-3</v>
      </c>
      <c r="E62" s="164">
        <v>1330219.58</v>
      </c>
      <c r="F62" s="165"/>
      <c r="G62" s="90">
        <f t="shared" si="0"/>
        <v>1330219.58</v>
      </c>
      <c r="H62" s="33">
        <f t="shared" si="10"/>
        <v>41063.878434600003</v>
      </c>
      <c r="I62" s="34">
        <f t="shared" si="15"/>
        <v>324000</v>
      </c>
      <c r="J62" s="34">
        <f t="shared" si="12"/>
        <v>0</v>
      </c>
      <c r="K62" s="34">
        <f t="shared" si="5"/>
        <v>165940.54062019198</v>
      </c>
      <c r="L62" s="34">
        <f t="shared" si="6"/>
        <v>202702.7028</v>
      </c>
      <c r="M62" s="34">
        <f t="shared" si="7"/>
        <v>0</v>
      </c>
      <c r="N62" s="114">
        <v>0</v>
      </c>
      <c r="O62" s="138"/>
      <c r="P62" s="407">
        <f t="shared" si="13"/>
        <v>2063927.58</v>
      </c>
      <c r="Q62" s="407"/>
      <c r="R62" s="24">
        <f t="shared" si="14"/>
        <v>0.57999999999999996</v>
      </c>
      <c r="S62" s="1">
        <f t="shared" si="8"/>
        <v>58</v>
      </c>
    </row>
    <row r="63" spans="1:20" ht="24.95" customHeight="1" x14ac:dyDescent="0.25">
      <c r="A63" s="29">
        <v>9</v>
      </c>
      <c r="B63" s="28">
        <v>59</v>
      </c>
      <c r="C63" s="28" t="s">
        <v>74</v>
      </c>
      <c r="D63" s="31">
        <v>4.1000000000000003E-3</v>
      </c>
      <c r="E63" s="164">
        <v>644629.59</v>
      </c>
      <c r="F63" s="165">
        <v>650000</v>
      </c>
      <c r="G63" s="90">
        <f t="shared" si="0"/>
        <v>-5370.4100000000326</v>
      </c>
      <c r="H63" s="33">
        <f t="shared" si="10"/>
        <v>0</v>
      </c>
      <c r="I63" s="34">
        <f t="shared" si="15"/>
        <v>295200</v>
      </c>
      <c r="J63" s="34">
        <f t="shared" si="12"/>
        <v>0</v>
      </c>
      <c r="K63" s="34">
        <f t="shared" si="5"/>
        <v>165940.54062019198</v>
      </c>
      <c r="L63" s="34">
        <f t="shared" si="6"/>
        <v>202702.7028</v>
      </c>
      <c r="M63" s="34">
        <f t="shared" si="7"/>
        <v>0</v>
      </c>
      <c r="N63" s="114">
        <v>0</v>
      </c>
      <c r="O63" s="138"/>
      <c r="P63" s="407">
        <f t="shared" si="13"/>
        <v>658473.59</v>
      </c>
      <c r="Q63" s="407"/>
      <c r="R63" s="24">
        <f t="shared" si="14"/>
        <v>0.59</v>
      </c>
      <c r="S63" s="1">
        <f t="shared" si="8"/>
        <v>59</v>
      </c>
      <c r="T63" t="s">
        <v>283</v>
      </c>
    </row>
    <row r="64" spans="1:20" ht="24.95" customHeight="1" x14ac:dyDescent="0.25">
      <c r="A64" s="28">
        <v>9</v>
      </c>
      <c r="B64" s="28">
        <v>60</v>
      </c>
      <c r="C64" s="28" t="s">
        <v>75</v>
      </c>
      <c r="D64" s="31">
        <v>4.4999999999999997E-3</v>
      </c>
      <c r="E64" s="164">
        <v>645680.6</v>
      </c>
      <c r="F64" s="165">
        <f>282000+360000+4000</f>
        <v>646000</v>
      </c>
      <c r="G64" s="90">
        <f>E64-F64</f>
        <v>-319.40000000002328</v>
      </c>
      <c r="H64" s="33">
        <f t="shared" si="10"/>
        <v>0</v>
      </c>
      <c r="I64" s="34">
        <f t="shared" si="15"/>
        <v>324000</v>
      </c>
      <c r="J64" s="34">
        <f t="shared" si="12"/>
        <v>0</v>
      </c>
      <c r="K64" s="34">
        <f t="shared" si="5"/>
        <v>165940.54062019198</v>
      </c>
      <c r="L64" s="34">
        <f t="shared" si="6"/>
        <v>202702.7028</v>
      </c>
      <c r="M64" s="34">
        <f t="shared" si="7"/>
        <v>0</v>
      </c>
      <c r="N64" s="114">
        <v>0</v>
      </c>
      <c r="O64" s="138"/>
      <c r="P64" s="407">
        <f t="shared" si="13"/>
        <v>692324.6</v>
      </c>
      <c r="Q64" s="407"/>
      <c r="R64" s="24">
        <f t="shared" si="14"/>
        <v>0.6</v>
      </c>
      <c r="S64" s="1">
        <f t="shared" si="8"/>
        <v>60</v>
      </c>
      <c r="T64" t="s">
        <v>222</v>
      </c>
    </row>
    <row r="65" spans="1:20" ht="24.95" customHeight="1" x14ac:dyDescent="0.25">
      <c r="A65" s="150">
        <v>10</v>
      </c>
      <c r="B65" s="28">
        <v>61</v>
      </c>
      <c r="C65" s="28" t="s">
        <v>76</v>
      </c>
      <c r="D65" s="31">
        <v>4.4999999999999997E-3</v>
      </c>
      <c r="E65" s="164">
        <v>672229.61</v>
      </c>
      <c r="F65" s="165">
        <v>672500</v>
      </c>
      <c r="G65" s="90">
        <f t="shared" si="0"/>
        <v>-270.39000000001397</v>
      </c>
      <c r="H65" s="33">
        <f t="shared" si="10"/>
        <v>0</v>
      </c>
      <c r="I65" s="34">
        <f t="shared" si="15"/>
        <v>324000</v>
      </c>
      <c r="J65" s="34">
        <f t="shared" si="12"/>
        <v>0</v>
      </c>
      <c r="K65" s="34">
        <f t="shared" si="5"/>
        <v>165940.54062019198</v>
      </c>
      <c r="L65" s="34">
        <f t="shared" si="6"/>
        <v>202702.7028</v>
      </c>
      <c r="M65" s="34">
        <f t="shared" si="7"/>
        <v>0</v>
      </c>
      <c r="N65" s="114">
        <v>0</v>
      </c>
      <c r="O65" s="138"/>
      <c r="P65" s="407">
        <f t="shared" si="13"/>
        <v>692373.61</v>
      </c>
      <c r="Q65" s="407"/>
      <c r="R65" s="24">
        <f t="shared" si="14"/>
        <v>0.61</v>
      </c>
      <c r="S65" s="1">
        <f t="shared" si="8"/>
        <v>61</v>
      </c>
      <c r="T65" s="95" t="s">
        <v>221</v>
      </c>
    </row>
    <row r="66" spans="1:20" ht="24.95" customHeight="1" x14ac:dyDescent="0.25">
      <c r="A66" s="29">
        <v>10</v>
      </c>
      <c r="B66" s="28">
        <v>62</v>
      </c>
      <c r="C66" s="28" t="s">
        <v>77</v>
      </c>
      <c r="D66" s="31">
        <v>4.1000000000000003E-3</v>
      </c>
      <c r="E66" s="164">
        <v>917299.62</v>
      </c>
      <c r="F66" s="165">
        <f t="shared" ref="F66:F73" si="16">E66</f>
        <v>917299.62</v>
      </c>
      <c r="G66" s="90">
        <f t="shared" si="0"/>
        <v>0</v>
      </c>
      <c r="H66" s="33">
        <f t="shared" si="10"/>
        <v>0</v>
      </c>
      <c r="I66" s="34">
        <f t="shared" si="15"/>
        <v>295200</v>
      </c>
      <c r="J66" s="34">
        <f t="shared" si="12"/>
        <v>0</v>
      </c>
      <c r="K66" s="34">
        <f t="shared" si="5"/>
        <v>165940.54062019198</v>
      </c>
      <c r="L66" s="34">
        <f t="shared" si="6"/>
        <v>202702.7028</v>
      </c>
      <c r="M66" s="34">
        <v>51707</v>
      </c>
      <c r="N66" s="114">
        <f>(I66+K66)/2</f>
        <v>230570.27031009598</v>
      </c>
      <c r="O66" s="138"/>
      <c r="P66" s="407">
        <f t="shared" si="13"/>
        <v>946121.62</v>
      </c>
      <c r="Q66" s="407"/>
      <c r="R66" s="24">
        <f t="shared" si="14"/>
        <v>0.62</v>
      </c>
      <c r="S66" s="1">
        <f t="shared" si="8"/>
        <v>62</v>
      </c>
    </row>
    <row r="67" spans="1:20" ht="24.95" customHeight="1" x14ac:dyDescent="0.25">
      <c r="A67" s="29">
        <v>11</v>
      </c>
      <c r="B67" s="28">
        <v>63</v>
      </c>
      <c r="C67" s="28" t="s">
        <v>78</v>
      </c>
      <c r="D67" s="31">
        <v>4.4999999999999997E-3</v>
      </c>
      <c r="E67" s="164">
        <v>672229.63</v>
      </c>
      <c r="F67" s="165">
        <f t="shared" si="16"/>
        <v>672229.63</v>
      </c>
      <c r="G67" s="90">
        <f>E67-F67</f>
        <v>0</v>
      </c>
      <c r="H67" s="33">
        <f t="shared" si="10"/>
        <v>0</v>
      </c>
      <c r="I67" s="34">
        <f t="shared" si="15"/>
        <v>324000</v>
      </c>
      <c r="J67" s="34">
        <f t="shared" si="12"/>
        <v>0</v>
      </c>
      <c r="K67" s="34">
        <f t="shared" si="5"/>
        <v>165940.54062019198</v>
      </c>
      <c r="L67" s="34">
        <f t="shared" si="6"/>
        <v>202702.7028</v>
      </c>
      <c r="M67" s="34">
        <f t="shared" si="7"/>
        <v>0</v>
      </c>
      <c r="N67" s="114">
        <v>0</v>
      </c>
      <c r="O67" s="138"/>
      <c r="P67" s="407">
        <f t="shared" si="13"/>
        <v>692643.63</v>
      </c>
      <c r="Q67" s="407"/>
      <c r="R67" s="24">
        <f t="shared" si="14"/>
        <v>0.63</v>
      </c>
      <c r="S67" s="1">
        <f t="shared" si="8"/>
        <v>63</v>
      </c>
      <c r="T67" t="s">
        <v>205</v>
      </c>
    </row>
    <row r="68" spans="1:20" ht="24.95" customHeight="1" x14ac:dyDescent="0.25">
      <c r="A68" s="29">
        <v>11</v>
      </c>
      <c r="B68" s="28">
        <v>64</v>
      </c>
      <c r="C68" s="28" t="s">
        <v>79</v>
      </c>
      <c r="D68" s="31">
        <v>4.4999999999999997E-3</v>
      </c>
      <c r="E68" s="164">
        <v>672229.64</v>
      </c>
      <c r="F68" s="165"/>
      <c r="G68" s="90">
        <f t="shared" si="0"/>
        <v>672229.64</v>
      </c>
      <c r="H68" s="33">
        <f t="shared" si="10"/>
        <v>20751.728986800001</v>
      </c>
      <c r="I68" s="34">
        <f t="shared" si="15"/>
        <v>324000</v>
      </c>
      <c r="J68" s="34">
        <f t="shared" si="12"/>
        <v>0</v>
      </c>
      <c r="K68" s="34">
        <f t="shared" si="5"/>
        <v>165940.54062019198</v>
      </c>
      <c r="L68" s="34">
        <f t="shared" si="6"/>
        <v>202702.7028</v>
      </c>
      <c r="M68" s="34">
        <f t="shared" si="7"/>
        <v>0</v>
      </c>
      <c r="N68" s="114">
        <v>0</v>
      </c>
      <c r="O68" s="138"/>
      <c r="P68" s="407">
        <f t="shared" si="13"/>
        <v>1385625.64</v>
      </c>
      <c r="Q68" s="407"/>
      <c r="R68" s="24">
        <f t="shared" si="14"/>
        <v>0.64</v>
      </c>
      <c r="S68" s="1">
        <f t="shared" si="8"/>
        <v>64</v>
      </c>
      <c r="T68" t="s">
        <v>236</v>
      </c>
    </row>
    <row r="69" spans="1:20" ht="24.95" customHeight="1" x14ac:dyDescent="0.25">
      <c r="A69" s="29">
        <v>12</v>
      </c>
      <c r="B69" s="28">
        <v>65</v>
      </c>
      <c r="C69" s="28" t="s">
        <v>80</v>
      </c>
      <c r="D69" s="31">
        <v>4.4999999999999997E-3</v>
      </c>
      <c r="E69" s="164">
        <v>672229.65</v>
      </c>
      <c r="F69" s="165">
        <f t="shared" si="16"/>
        <v>672229.65</v>
      </c>
      <c r="G69" s="90">
        <f t="shared" ref="G69:G157" si="17">E69-F69</f>
        <v>0</v>
      </c>
      <c r="H69" s="33">
        <f t="shared" si="10"/>
        <v>0</v>
      </c>
      <c r="I69" s="34">
        <f t="shared" si="15"/>
        <v>324000</v>
      </c>
      <c r="J69" s="34">
        <f t="shared" ref="J69:J100" si="18">P$2*D69</f>
        <v>0</v>
      </c>
      <c r="K69" s="34">
        <f t="shared" si="5"/>
        <v>165940.54062019198</v>
      </c>
      <c r="L69" s="34">
        <f t="shared" si="6"/>
        <v>202702.7028</v>
      </c>
      <c r="M69" s="34">
        <f t="shared" si="7"/>
        <v>0</v>
      </c>
      <c r="N69" s="114">
        <v>0</v>
      </c>
      <c r="O69" s="138"/>
      <c r="P69" s="407">
        <f t="shared" ref="P69:P100" si="19">ROUND(SUM(G69:O69),0) + R69</f>
        <v>692643.65</v>
      </c>
      <c r="Q69" s="407"/>
      <c r="R69" s="24">
        <f t="shared" ref="R69:R100" si="20">ROUND(0.001+B69/100,2)</f>
        <v>0.65</v>
      </c>
      <c r="S69" s="1">
        <f t="shared" si="8"/>
        <v>65</v>
      </c>
    </row>
    <row r="70" spans="1:20" ht="24.95" customHeight="1" x14ac:dyDescent="0.25">
      <c r="A70" s="29">
        <v>12</v>
      </c>
      <c r="B70" s="28">
        <v>66</v>
      </c>
      <c r="C70" s="28" t="s">
        <v>81</v>
      </c>
      <c r="D70" s="31">
        <v>4.4999999999999997E-3</v>
      </c>
      <c r="E70" s="164">
        <v>672229.66</v>
      </c>
      <c r="F70" s="165">
        <f t="shared" si="16"/>
        <v>672229.66</v>
      </c>
      <c r="G70" s="90">
        <f t="shared" si="17"/>
        <v>0</v>
      </c>
      <c r="H70" s="33">
        <f t="shared" si="10"/>
        <v>0</v>
      </c>
      <c r="I70" s="34">
        <f t="shared" si="15"/>
        <v>324000</v>
      </c>
      <c r="J70" s="34">
        <f t="shared" si="18"/>
        <v>0</v>
      </c>
      <c r="K70" s="34">
        <f t="shared" ref="K70:K133" si="21">G$2*0.675675676%</f>
        <v>165940.54062019198</v>
      </c>
      <c r="L70" s="34">
        <f t="shared" ref="L70:L133" si="22">P$1*0.675675676%</f>
        <v>202702.7028</v>
      </c>
      <c r="M70" s="34">
        <f t="shared" ref="M70:M133" si="23">G$1*D70</f>
        <v>0</v>
      </c>
      <c r="N70" s="114">
        <v>0</v>
      </c>
      <c r="O70" s="138"/>
      <c r="P70" s="407">
        <f t="shared" si="19"/>
        <v>692643.66</v>
      </c>
      <c r="Q70" s="407"/>
      <c r="R70" s="24">
        <f t="shared" si="20"/>
        <v>0.66</v>
      </c>
      <c r="S70" s="1">
        <f t="shared" ref="S70:S133" si="24">B70</f>
        <v>66</v>
      </c>
      <c r="T70" t="s">
        <v>267</v>
      </c>
    </row>
    <row r="71" spans="1:20" ht="24.95" customHeight="1" x14ac:dyDescent="0.25">
      <c r="A71" s="29">
        <v>1</v>
      </c>
      <c r="B71" s="28">
        <v>67</v>
      </c>
      <c r="C71" s="28" t="s">
        <v>82</v>
      </c>
      <c r="D71" s="31">
        <v>4.4999999999999997E-3</v>
      </c>
      <c r="E71" s="164">
        <v>672229.67</v>
      </c>
      <c r="F71" s="165">
        <f t="shared" si="16"/>
        <v>672229.67</v>
      </c>
      <c r="G71" s="90">
        <f t="shared" si="17"/>
        <v>0</v>
      </c>
      <c r="H71" s="33">
        <f t="shared" ref="H71:H134" si="25">IF(G71&gt;0,G71*3.087%,0)</f>
        <v>0</v>
      </c>
      <c r="I71" s="34">
        <f t="shared" si="15"/>
        <v>324000</v>
      </c>
      <c r="J71" s="34">
        <f t="shared" si="18"/>
        <v>0</v>
      </c>
      <c r="K71" s="34">
        <f t="shared" si="21"/>
        <v>165940.54062019198</v>
      </c>
      <c r="L71" s="34">
        <f t="shared" si="22"/>
        <v>202702.7028</v>
      </c>
      <c r="M71" s="34">
        <f t="shared" si="23"/>
        <v>0</v>
      </c>
      <c r="N71" s="114">
        <v>0</v>
      </c>
      <c r="O71" s="138"/>
      <c r="P71" s="407">
        <f t="shared" si="19"/>
        <v>692643.67</v>
      </c>
      <c r="Q71" s="407"/>
      <c r="R71" s="24">
        <f t="shared" si="20"/>
        <v>0.67</v>
      </c>
      <c r="S71" s="1">
        <f t="shared" si="24"/>
        <v>67</v>
      </c>
      <c r="T71" t="s">
        <v>287</v>
      </c>
    </row>
    <row r="72" spans="1:20" ht="24.95" customHeight="1" x14ac:dyDescent="0.25">
      <c r="A72" s="29"/>
      <c r="B72" s="28">
        <f>B71+1</f>
        <v>68</v>
      </c>
      <c r="C72" s="28" t="s">
        <v>86</v>
      </c>
      <c r="D72" s="31">
        <v>4.4999999999999997E-3</v>
      </c>
      <c r="E72" s="164">
        <v>963743.68</v>
      </c>
      <c r="F72" s="165"/>
      <c r="G72" s="90">
        <f t="shared" si="17"/>
        <v>963743.68</v>
      </c>
      <c r="H72" s="33">
        <f t="shared" si="25"/>
        <v>29750.767401600002</v>
      </c>
      <c r="I72" s="34">
        <f t="shared" si="15"/>
        <v>324000</v>
      </c>
      <c r="J72" s="34">
        <f t="shared" si="18"/>
        <v>0</v>
      </c>
      <c r="K72" s="34">
        <f t="shared" si="21"/>
        <v>165940.54062019198</v>
      </c>
      <c r="L72" s="34">
        <f t="shared" si="22"/>
        <v>202702.7028</v>
      </c>
      <c r="M72" s="34">
        <v>56751</v>
      </c>
      <c r="N72" s="114">
        <f>(I72+K72)/2</f>
        <v>244970.27031009598</v>
      </c>
      <c r="O72" s="138"/>
      <c r="P72" s="407">
        <f t="shared" si="19"/>
        <v>1987859.68</v>
      </c>
      <c r="Q72" s="407"/>
      <c r="R72" s="24">
        <f t="shared" si="20"/>
        <v>0.68</v>
      </c>
      <c r="S72" s="1">
        <f t="shared" si="24"/>
        <v>68</v>
      </c>
    </row>
    <row r="73" spans="1:20" ht="24.95" customHeight="1" x14ac:dyDescent="0.25">
      <c r="A73" s="29"/>
      <c r="B73" s="28">
        <f t="shared" ref="B73:B136" si="26">B72+1</f>
        <v>69</v>
      </c>
      <c r="C73" s="28" t="s">
        <v>87</v>
      </c>
      <c r="D73" s="31">
        <v>3.5999999999999999E-3</v>
      </c>
      <c r="E73" s="164">
        <v>610129.68999999994</v>
      </c>
      <c r="F73" s="165">
        <f t="shared" si="16"/>
        <v>610129.68999999994</v>
      </c>
      <c r="G73" s="90">
        <f t="shared" si="17"/>
        <v>0</v>
      </c>
      <c r="H73" s="33">
        <f t="shared" si="25"/>
        <v>0</v>
      </c>
      <c r="I73" s="34">
        <f t="shared" si="15"/>
        <v>259200</v>
      </c>
      <c r="J73" s="34">
        <f t="shared" si="18"/>
        <v>0</v>
      </c>
      <c r="K73" s="34">
        <f t="shared" si="21"/>
        <v>165940.54062019198</v>
      </c>
      <c r="L73" s="34">
        <f t="shared" si="22"/>
        <v>202702.7028</v>
      </c>
      <c r="M73" s="34">
        <f t="shared" si="23"/>
        <v>0</v>
      </c>
      <c r="N73" s="114">
        <v>0</v>
      </c>
      <c r="O73" s="138"/>
      <c r="P73" s="407">
        <f t="shared" si="19"/>
        <v>627843.68999999994</v>
      </c>
      <c r="Q73" s="407"/>
      <c r="R73" s="24">
        <f t="shared" si="20"/>
        <v>0.69</v>
      </c>
      <c r="S73" s="1">
        <f t="shared" si="24"/>
        <v>69</v>
      </c>
      <c r="T73" t="s">
        <v>219</v>
      </c>
    </row>
    <row r="74" spans="1:20" ht="24.95" customHeight="1" x14ac:dyDescent="0.25">
      <c r="A74" s="29"/>
      <c r="B74" s="28">
        <f t="shared" si="26"/>
        <v>70</v>
      </c>
      <c r="C74" s="28" t="s">
        <v>88</v>
      </c>
      <c r="D74" s="31">
        <v>4.4000000000000003E-3</v>
      </c>
      <c r="E74" s="164">
        <v>1337408.7</v>
      </c>
      <c r="F74" s="165">
        <v>1200000</v>
      </c>
      <c r="G74" s="90">
        <f t="shared" si="17"/>
        <v>137408.69999999995</v>
      </c>
      <c r="H74" s="33">
        <f t="shared" si="25"/>
        <v>4241.8065689999985</v>
      </c>
      <c r="I74" s="34">
        <f t="shared" si="15"/>
        <v>316800</v>
      </c>
      <c r="J74" s="34">
        <f t="shared" si="18"/>
        <v>0</v>
      </c>
      <c r="K74" s="34">
        <f t="shared" si="21"/>
        <v>165940.54062019198</v>
      </c>
      <c r="L74" s="34">
        <f t="shared" si="22"/>
        <v>202702.7028</v>
      </c>
      <c r="M74" s="34">
        <f t="shared" si="23"/>
        <v>0</v>
      </c>
      <c r="N74" s="114">
        <v>0</v>
      </c>
      <c r="O74" s="138"/>
      <c r="P74" s="407">
        <f t="shared" si="19"/>
        <v>827094.7</v>
      </c>
      <c r="Q74" s="407"/>
      <c r="R74" s="24">
        <f t="shared" si="20"/>
        <v>0.7</v>
      </c>
      <c r="S74" s="1">
        <f t="shared" si="24"/>
        <v>70</v>
      </c>
      <c r="T74" t="s">
        <v>271</v>
      </c>
    </row>
    <row r="75" spans="1:20" ht="24.95" customHeight="1" x14ac:dyDescent="0.25">
      <c r="A75" s="28"/>
      <c r="B75" s="28">
        <f t="shared" si="26"/>
        <v>71</v>
      </c>
      <c r="C75" s="28" t="s">
        <v>89</v>
      </c>
      <c r="D75" s="31">
        <v>4.0000000000000001E-3</v>
      </c>
      <c r="E75" s="164">
        <v>637729.71</v>
      </c>
      <c r="F75" s="165">
        <v>638000</v>
      </c>
      <c r="G75" s="90">
        <f t="shared" si="17"/>
        <v>-270.29000000003725</v>
      </c>
      <c r="H75" s="33">
        <f t="shared" si="25"/>
        <v>0</v>
      </c>
      <c r="I75" s="34">
        <f t="shared" si="15"/>
        <v>288000</v>
      </c>
      <c r="J75" s="34">
        <f t="shared" si="18"/>
        <v>0</v>
      </c>
      <c r="K75" s="34">
        <f t="shared" si="21"/>
        <v>165940.54062019198</v>
      </c>
      <c r="L75" s="34">
        <f t="shared" si="22"/>
        <v>202702.7028</v>
      </c>
      <c r="M75" s="34">
        <f t="shared" si="23"/>
        <v>0</v>
      </c>
      <c r="N75" s="114">
        <v>0</v>
      </c>
      <c r="O75" s="138"/>
      <c r="P75" s="407">
        <f t="shared" si="19"/>
        <v>656373.71</v>
      </c>
      <c r="Q75" s="407"/>
      <c r="R75" s="24">
        <f t="shared" si="20"/>
        <v>0.71</v>
      </c>
      <c r="S75" s="1">
        <f t="shared" si="24"/>
        <v>71</v>
      </c>
      <c r="T75" t="s">
        <v>235</v>
      </c>
    </row>
    <row r="76" spans="1:20" ht="24.95" customHeight="1" x14ac:dyDescent="0.25">
      <c r="A76" s="28"/>
      <c r="B76" s="28">
        <f t="shared" si="26"/>
        <v>72</v>
      </c>
      <c r="C76" s="28" t="s">
        <v>90</v>
      </c>
      <c r="D76" s="31">
        <v>4.0000000000000001E-3</v>
      </c>
      <c r="E76" s="164">
        <v>584235.72</v>
      </c>
      <c r="F76" s="165">
        <f>600000</f>
        <v>600000</v>
      </c>
      <c r="G76" s="90">
        <f t="shared" si="17"/>
        <v>-15764.280000000028</v>
      </c>
      <c r="H76" s="33">
        <f t="shared" si="25"/>
        <v>0</v>
      </c>
      <c r="I76" s="34">
        <f t="shared" si="15"/>
        <v>288000</v>
      </c>
      <c r="J76" s="34">
        <f t="shared" si="18"/>
        <v>0</v>
      </c>
      <c r="K76" s="34">
        <f t="shared" si="21"/>
        <v>165940.54062019198</v>
      </c>
      <c r="L76" s="34">
        <f t="shared" si="22"/>
        <v>202702.7028</v>
      </c>
      <c r="M76" s="34">
        <f t="shared" si="23"/>
        <v>0</v>
      </c>
      <c r="N76" s="114">
        <v>0</v>
      </c>
      <c r="O76" s="138"/>
      <c r="P76" s="407">
        <f t="shared" si="19"/>
        <v>640879.72</v>
      </c>
      <c r="Q76" s="407"/>
      <c r="R76" s="24">
        <f t="shared" si="20"/>
        <v>0.72</v>
      </c>
      <c r="S76" s="1">
        <f t="shared" si="24"/>
        <v>72</v>
      </c>
      <c r="T76" t="s">
        <v>203</v>
      </c>
    </row>
    <row r="77" spans="1:20" ht="24.95" customHeight="1" x14ac:dyDescent="0.25">
      <c r="A77" s="149"/>
      <c r="B77" s="28">
        <f t="shared" si="26"/>
        <v>73</v>
      </c>
      <c r="C77" s="28" t="s">
        <v>91</v>
      </c>
      <c r="D77" s="31">
        <v>4.0000000000000001E-3</v>
      </c>
      <c r="E77" s="164">
        <v>637729.73</v>
      </c>
      <c r="F77" s="165">
        <f>640000</f>
        <v>640000</v>
      </c>
      <c r="G77" s="90">
        <f t="shared" si="17"/>
        <v>-2270.2700000000186</v>
      </c>
      <c r="H77" s="33">
        <f t="shared" si="25"/>
        <v>0</v>
      </c>
      <c r="I77" s="34">
        <f t="shared" si="15"/>
        <v>288000</v>
      </c>
      <c r="J77" s="34">
        <f t="shared" si="18"/>
        <v>0</v>
      </c>
      <c r="K77" s="34">
        <f t="shared" si="21"/>
        <v>165940.54062019198</v>
      </c>
      <c r="L77" s="34">
        <f t="shared" si="22"/>
        <v>202702.7028</v>
      </c>
      <c r="M77" s="34">
        <f t="shared" si="23"/>
        <v>0</v>
      </c>
      <c r="N77" s="114">
        <v>0</v>
      </c>
      <c r="O77" s="138"/>
      <c r="P77" s="407">
        <f t="shared" si="19"/>
        <v>654373.73</v>
      </c>
      <c r="Q77" s="407"/>
      <c r="R77" s="24">
        <f t="shared" si="20"/>
        <v>0.73</v>
      </c>
      <c r="S77" s="1">
        <f t="shared" si="24"/>
        <v>73</v>
      </c>
    </row>
    <row r="78" spans="1:20" ht="24.95" customHeight="1" x14ac:dyDescent="0.25">
      <c r="A78" s="29"/>
      <c r="B78" s="28">
        <f t="shared" si="26"/>
        <v>74</v>
      </c>
      <c r="C78" s="28" t="s">
        <v>92</v>
      </c>
      <c r="D78" s="31">
        <v>4.4000000000000003E-3</v>
      </c>
      <c r="E78" s="164">
        <v>665329.74</v>
      </c>
      <c r="F78" s="165">
        <f>E78</f>
        <v>665329.74</v>
      </c>
      <c r="G78" s="90">
        <f t="shared" si="17"/>
        <v>0</v>
      </c>
      <c r="H78" s="33">
        <f t="shared" si="25"/>
        <v>0</v>
      </c>
      <c r="I78" s="34">
        <f t="shared" si="15"/>
        <v>316800</v>
      </c>
      <c r="J78" s="34">
        <f t="shared" si="18"/>
        <v>0</v>
      </c>
      <c r="K78" s="34">
        <f t="shared" si="21"/>
        <v>165940.54062019198</v>
      </c>
      <c r="L78" s="34">
        <f t="shared" si="22"/>
        <v>202702.7028</v>
      </c>
      <c r="M78" s="34">
        <f t="shared" si="23"/>
        <v>0</v>
      </c>
      <c r="N78" s="114">
        <v>0</v>
      </c>
      <c r="O78" s="138"/>
      <c r="P78" s="407">
        <f t="shared" si="19"/>
        <v>685443.74</v>
      </c>
      <c r="Q78" s="407"/>
      <c r="R78" s="24">
        <f t="shared" si="20"/>
        <v>0.74</v>
      </c>
      <c r="S78" s="1">
        <f t="shared" si="24"/>
        <v>74</v>
      </c>
    </row>
    <row r="79" spans="1:20" ht="24.95" customHeight="1" x14ac:dyDescent="0.25">
      <c r="A79" s="29"/>
      <c r="B79" s="28">
        <f t="shared" si="26"/>
        <v>75</v>
      </c>
      <c r="C79" s="28" t="s">
        <v>256</v>
      </c>
      <c r="D79" s="31">
        <v>4.1000000000000003E-3</v>
      </c>
      <c r="E79" s="164">
        <v>644629.75</v>
      </c>
      <c r="F79" s="165">
        <f>E79</f>
        <v>644629.75</v>
      </c>
      <c r="G79" s="90">
        <f t="shared" si="17"/>
        <v>0</v>
      </c>
      <c r="H79" s="33">
        <f t="shared" si="25"/>
        <v>0</v>
      </c>
      <c r="I79" s="34">
        <f t="shared" si="15"/>
        <v>295200</v>
      </c>
      <c r="J79" s="34">
        <f t="shared" si="18"/>
        <v>0</v>
      </c>
      <c r="K79" s="34">
        <f t="shared" si="21"/>
        <v>165940.54062019198</v>
      </c>
      <c r="L79" s="34">
        <f t="shared" si="22"/>
        <v>202702.7028</v>
      </c>
      <c r="M79" s="34">
        <f t="shared" si="23"/>
        <v>0</v>
      </c>
      <c r="N79" s="114">
        <v>0</v>
      </c>
      <c r="O79" s="138"/>
      <c r="P79" s="407">
        <f t="shared" si="19"/>
        <v>663843.75</v>
      </c>
      <c r="Q79" s="407"/>
      <c r="R79" s="24">
        <f t="shared" si="20"/>
        <v>0.75</v>
      </c>
      <c r="S79" s="1">
        <f t="shared" si="24"/>
        <v>75</v>
      </c>
      <c r="T79" t="s">
        <v>217</v>
      </c>
    </row>
    <row r="80" spans="1:20" ht="24.95" customHeight="1" x14ac:dyDescent="0.25">
      <c r="A80" s="29"/>
      <c r="B80" s="28">
        <f t="shared" si="26"/>
        <v>76</v>
      </c>
      <c r="C80" s="28" t="s">
        <v>84</v>
      </c>
      <c r="D80" s="31">
        <v>4.4999999999999997E-3</v>
      </c>
      <c r="E80" s="164">
        <v>672229.76</v>
      </c>
      <c r="F80" s="165">
        <f>E80</f>
        <v>672229.76</v>
      </c>
      <c r="G80" s="90">
        <f t="shared" si="17"/>
        <v>0</v>
      </c>
      <c r="H80" s="33">
        <f t="shared" si="25"/>
        <v>0</v>
      </c>
      <c r="I80" s="34">
        <f t="shared" si="15"/>
        <v>324000</v>
      </c>
      <c r="J80" s="34">
        <f t="shared" si="18"/>
        <v>0</v>
      </c>
      <c r="K80" s="34">
        <f t="shared" si="21"/>
        <v>165940.54062019198</v>
      </c>
      <c r="L80" s="34">
        <f t="shared" si="22"/>
        <v>202702.7028</v>
      </c>
      <c r="M80" s="34">
        <f t="shared" si="23"/>
        <v>0</v>
      </c>
      <c r="N80" s="114">
        <v>0</v>
      </c>
      <c r="O80" s="138"/>
      <c r="P80" s="407">
        <f t="shared" si="19"/>
        <v>692643.76</v>
      </c>
      <c r="Q80" s="407"/>
      <c r="R80" s="24">
        <f t="shared" si="20"/>
        <v>0.76</v>
      </c>
      <c r="S80" s="1">
        <f t="shared" si="24"/>
        <v>76</v>
      </c>
    </row>
    <row r="81" spans="1:24" ht="24.95" customHeight="1" x14ac:dyDescent="0.25">
      <c r="A81" s="29"/>
      <c r="B81" s="28">
        <f t="shared" si="26"/>
        <v>77</v>
      </c>
      <c r="C81" s="28" t="s">
        <v>93</v>
      </c>
      <c r="D81" s="31">
        <v>6.1000000000000004E-3</v>
      </c>
      <c r="E81" s="164">
        <v>782629.77</v>
      </c>
      <c r="F81" s="165">
        <f>E81</f>
        <v>782629.77</v>
      </c>
      <c r="G81" s="90">
        <f t="shared" si="17"/>
        <v>0</v>
      </c>
      <c r="H81" s="33">
        <f t="shared" si="25"/>
        <v>0</v>
      </c>
      <c r="I81" s="34">
        <f t="shared" si="15"/>
        <v>439200</v>
      </c>
      <c r="J81" s="34">
        <f t="shared" si="18"/>
        <v>0</v>
      </c>
      <c r="K81" s="34">
        <f t="shared" si="21"/>
        <v>165940.54062019198</v>
      </c>
      <c r="L81" s="34">
        <f t="shared" si="22"/>
        <v>202702.7028</v>
      </c>
      <c r="M81" s="34">
        <f t="shared" si="23"/>
        <v>0</v>
      </c>
      <c r="N81" s="114">
        <v>0</v>
      </c>
      <c r="O81" s="138"/>
      <c r="P81" s="407">
        <f t="shared" si="19"/>
        <v>807843.77</v>
      </c>
      <c r="Q81" s="407"/>
      <c r="R81" s="24">
        <f t="shared" si="20"/>
        <v>0.77</v>
      </c>
      <c r="S81" s="1">
        <f t="shared" si="24"/>
        <v>77</v>
      </c>
      <c r="T81" t="s">
        <v>284</v>
      </c>
    </row>
    <row r="82" spans="1:24" ht="24.95" customHeight="1" x14ac:dyDescent="0.25">
      <c r="A82" s="29"/>
      <c r="B82" s="28">
        <f t="shared" si="26"/>
        <v>78</v>
      </c>
      <c r="C82" s="28" t="s">
        <v>94</v>
      </c>
      <c r="D82" s="31">
        <v>4.7999999999999996E-3</v>
      </c>
      <c r="E82" s="164">
        <v>692929.78</v>
      </c>
      <c r="F82" s="165">
        <f>E82</f>
        <v>692929.78</v>
      </c>
      <c r="G82" s="90">
        <f t="shared" si="17"/>
        <v>0</v>
      </c>
      <c r="H82" s="33">
        <f t="shared" si="25"/>
        <v>0</v>
      </c>
      <c r="I82" s="34">
        <f t="shared" si="15"/>
        <v>345599.99999999994</v>
      </c>
      <c r="J82" s="34">
        <f t="shared" si="18"/>
        <v>0</v>
      </c>
      <c r="K82" s="34">
        <f t="shared" si="21"/>
        <v>165940.54062019198</v>
      </c>
      <c r="L82" s="34">
        <f t="shared" si="22"/>
        <v>202702.7028</v>
      </c>
      <c r="M82" s="34">
        <f t="shared" si="23"/>
        <v>0</v>
      </c>
      <c r="N82" s="114">
        <v>0</v>
      </c>
      <c r="O82" s="138"/>
      <c r="P82" s="407">
        <f t="shared" si="19"/>
        <v>714243.78</v>
      </c>
      <c r="Q82" s="407"/>
      <c r="R82" s="24">
        <f t="shared" si="20"/>
        <v>0.78</v>
      </c>
      <c r="S82" s="1">
        <f t="shared" si="24"/>
        <v>78</v>
      </c>
      <c r="T82" t="s">
        <v>259</v>
      </c>
    </row>
    <row r="83" spans="1:24" ht="24.95" customHeight="1" x14ac:dyDescent="0.25">
      <c r="A83" s="29"/>
      <c r="B83" s="28">
        <f t="shared" si="26"/>
        <v>79</v>
      </c>
      <c r="C83" s="28" t="s">
        <v>95</v>
      </c>
      <c r="D83" s="128">
        <v>4.4999999999999997E-3</v>
      </c>
      <c r="E83" s="166">
        <v>712982.79</v>
      </c>
      <c r="F83" s="165">
        <v>306500</v>
      </c>
      <c r="G83" s="91">
        <f t="shared" si="17"/>
        <v>406482.79000000004</v>
      </c>
      <c r="H83" s="129">
        <f t="shared" si="25"/>
        <v>12548.123727300002</v>
      </c>
      <c r="I83" s="114">
        <f t="shared" si="15"/>
        <v>324000</v>
      </c>
      <c r="J83" s="114">
        <f t="shared" si="18"/>
        <v>0</v>
      </c>
      <c r="K83" s="114">
        <f t="shared" si="21"/>
        <v>165940.54062019198</v>
      </c>
      <c r="L83" s="114">
        <f t="shared" si="22"/>
        <v>202702.7028</v>
      </c>
      <c r="M83" s="114">
        <f t="shared" si="23"/>
        <v>0</v>
      </c>
      <c r="N83" s="114">
        <v>0</v>
      </c>
      <c r="O83" s="138"/>
      <c r="P83" s="411">
        <f t="shared" si="19"/>
        <v>1111674.79</v>
      </c>
      <c r="Q83" s="411"/>
      <c r="R83" s="130">
        <f t="shared" si="20"/>
        <v>0.79</v>
      </c>
      <c r="S83" s="89">
        <f t="shared" si="24"/>
        <v>79</v>
      </c>
      <c r="T83" s="51" t="s">
        <v>303</v>
      </c>
      <c r="X83" t="s">
        <v>261</v>
      </c>
    </row>
    <row r="84" spans="1:24" ht="24.95" customHeight="1" x14ac:dyDescent="0.25">
      <c r="A84" s="29"/>
      <c r="B84" s="28">
        <f t="shared" si="26"/>
        <v>80</v>
      </c>
      <c r="C84" s="28" t="s">
        <v>96</v>
      </c>
      <c r="D84" s="31">
        <v>4.4999999999999997E-3</v>
      </c>
      <c r="E84" s="164">
        <v>672229.8</v>
      </c>
      <c r="F84" s="165">
        <f>E84</f>
        <v>672229.8</v>
      </c>
      <c r="G84" s="90">
        <f t="shared" si="17"/>
        <v>0</v>
      </c>
      <c r="H84" s="33">
        <f t="shared" si="25"/>
        <v>0</v>
      </c>
      <c r="I84" s="34">
        <f t="shared" si="15"/>
        <v>324000</v>
      </c>
      <c r="J84" s="34">
        <f t="shared" si="18"/>
        <v>0</v>
      </c>
      <c r="K84" s="34">
        <f t="shared" si="21"/>
        <v>165940.54062019198</v>
      </c>
      <c r="L84" s="34">
        <f t="shared" si="22"/>
        <v>202702.7028</v>
      </c>
      <c r="M84" s="34">
        <f t="shared" si="23"/>
        <v>0</v>
      </c>
      <c r="N84" s="114">
        <v>0</v>
      </c>
      <c r="O84" s="138"/>
      <c r="P84" s="407">
        <f t="shared" si="19"/>
        <v>692643.8</v>
      </c>
      <c r="Q84" s="407"/>
      <c r="R84" s="24">
        <f t="shared" si="20"/>
        <v>0.8</v>
      </c>
      <c r="S84" s="1">
        <f t="shared" si="24"/>
        <v>80</v>
      </c>
      <c r="T84" t="s">
        <v>465</v>
      </c>
    </row>
    <row r="85" spans="1:24" ht="24.95" customHeight="1" x14ac:dyDescent="0.25">
      <c r="A85" s="29"/>
      <c r="B85" s="28">
        <f t="shared" si="26"/>
        <v>81</v>
      </c>
      <c r="C85" s="28" t="s">
        <v>97</v>
      </c>
      <c r="D85" s="31">
        <v>4.4999999999999997E-3</v>
      </c>
      <c r="E85" s="164">
        <v>1372766.81</v>
      </c>
      <c r="F85" s="165">
        <f>679558.81+693208.81</f>
        <v>1372767.62</v>
      </c>
      <c r="G85" s="90">
        <f t="shared" si="17"/>
        <v>-0.81000000005587935</v>
      </c>
      <c r="H85" s="33">
        <f t="shared" si="25"/>
        <v>0</v>
      </c>
      <c r="I85" s="34">
        <f t="shared" si="15"/>
        <v>324000</v>
      </c>
      <c r="J85" s="34">
        <f t="shared" si="18"/>
        <v>0</v>
      </c>
      <c r="K85" s="34">
        <f t="shared" si="21"/>
        <v>165940.54062019198</v>
      </c>
      <c r="L85" s="34">
        <f t="shared" si="22"/>
        <v>202702.7028</v>
      </c>
      <c r="M85" s="34">
        <f t="shared" si="23"/>
        <v>0</v>
      </c>
      <c r="N85" s="114">
        <v>0</v>
      </c>
      <c r="O85" s="138"/>
      <c r="P85" s="407">
        <f t="shared" si="19"/>
        <v>692642.81</v>
      </c>
      <c r="Q85" s="407"/>
      <c r="R85" s="24">
        <f t="shared" si="20"/>
        <v>0.81</v>
      </c>
      <c r="S85" s="1">
        <f t="shared" si="24"/>
        <v>81</v>
      </c>
      <c r="T85" t="s">
        <v>249</v>
      </c>
    </row>
    <row r="86" spans="1:24" ht="24.95" customHeight="1" x14ac:dyDescent="0.25">
      <c r="A86" s="142"/>
      <c r="B86" s="28">
        <f t="shared" si="26"/>
        <v>82</v>
      </c>
      <c r="C86" s="28" t="s">
        <v>98</v>
      </c>
      <c r="D86" s="31">
        <v>4.1999999999999997E-3</v>
      </c>
      <c r="E86" s="164">
        <v>712470.82</v>
      </c>
      <c r="F86" s="165">
        <f t="shared" ref="F86:F91" si="27">E86</f>
        <v>712470.82</v>
      </c>
      <c r="G86" s="90">
        <f t="shared" si="17"/>
        <v>0</v>
      </c>
      <c r="H86" s="33">
        <f t="shared" si="25"/>
        <v>0</v>
      </c>
      <c r="I86" s="34">
        <f t="shared" si="15"/>
        <v>302400</v>
      </c>
      <c r="J86" s="34">
        <f t="shared" si="18"/>
        <v>0</v>
      </c>
      <c r="K86" s="34">
        <f t="shared" si="21"/>
        <v>165940.54062019198</v>
      </c>
      <c r="L86" s="34">
        <f t="shared" si="22"/>
        <v>202702.7028</v>
      </c>
      <c r="M86" s="34">
        <f t="shared" si="23"/>
        <v>0</v>
      </c>
      <c r="N86" s="114">
        <v>0</v>
      </c>
      <c r="O86" s="138"/>
      <c r="P86" s="407">
        <f t="shared" si="19"/>
        <v>671043.81999999995</v>
      </c>
      <c r="Q86" s="407"/>
      <c r="R86" s="24">
        <f t="shared" si="20"/>
        <v>0.82</v>
      </c>
      <c r="S86" s="1">
        <f t="shared" si="24"/>
        <v>82</v>
      </c>
      <c r="T86" t="s">
        <v>307</v>
      </c>
      <c r="V86" s="28"/>
    </row>
    <row r="87" spans="1:24" ht="24.95" customHeight="1" x14ac:dyDescent="0.25">
      <c r="A87" s="29"/>
      <c r="B87" s="28">
        <f t="shared" si="26"/>
        <v>83</v>
      </c>
      <c r="C87" s="28" t="s">
        <v>99</v>
      </c>
      <c r="D87" s="31">
        <v>4.7999999999999996E-3</v>
      </c>
      <c r="E87" s="164">
        <v>692929.83</v>
      </c>
      <c r="F87" s="165">
        <f t="shared" si="27"/>
        <v>692929.83</v>
      </c>
      <c r="G87" s="90">
        <f t="shared" si="17"/>
        <v>0</v>
      </c>
      <c r="H87" s="33">
        <f t="shared" si="25"/>
        <v>0</v>
      </c>
      <c r="I87" s="34">
        <f t="shared" si="15"/>
        <v>345599.99999999994</v>
      </c>
      <c r="J87" s="34">
        <f t="shared" si="18"/>
        <v>0</v>
      </c>
      <c r="K87" s="34">
        <f t="shared" si="21"/>
        <v>165940.54062019198</v>
      </c>
      <c r="L87" s="34">
        <f t="shared" si="22"/>
        <v>202702.7028</v>
      </c>
      <c r="M87" s="34">
        <f t="shared" si="23"/>
        <v>0</v>
      </c>
      <c r="N87" s="114">
        <v>0</v>
      </c>
      <c r="O87" s="138"/>
      <c r="P87" s="407">
        <f t="shared" si="19"/>
        <v>714243.83</v>
      </c>
      <c r="Q87" s="407"/>
      <c r="R87" s="24">
        <f t="shared" si="20"/>
        <v>0.83</v>
      </c>
      <c r="S87" s="1">
        <f t="shared" si="24"/>
        <v>83</v>
      </c>
    </row>
    <row r="88" spans="1:24" ht="24.95" customHeight="1" x14ac:dyDescent="0.25">
      <c r="A88" s="29"/>
      <c r="B88" s="28">
        <f t="shared" si="26"/>
        <v>84</v>
      </c>
      <c r="C88" s="28" t="s">
        <v>99</v>
      </c>
      <c r="D88" s="31">
        <v>4.7999999999999996E-3</v>
      </c>
      <c r="E88" s="164">
        <v>692929.84</v>
      </c>
      <c r="F88" s="165">
        <f t="shared" si="27"/>
        <v>692929.84</v>
      </c>
      <c r="G88" s="90">
        <f t="shared" si="17"/>
        <v>0</v>
      </c>
      <c r="H88" s="33">
        <f t="shared" si="25"/>
        <v>0</v>
      </c>
      <c r="I88" s="34">
        <f t="shared" si="15"/>
        <v>345599.99999999994</v>
      </c>
      <c r="J88" s="34">
        <f t="shared" si="18"/>
        <v>0</v>
      </c>
      <c r="K88" s="34">
        <f t="shared" si="21"/>
        <v>165940.54062019198</v>
      </c>
      <c r="L88" s="34">
        <f t="shared" si="22"/>
        <v>202702.7028</v>
      </c>
      <c r="M88" s="34">
        <f t="shared" si="23"/>
        <v>0</v>
      </c>
      <c r="N88" s="114">
        <v>0</v>
      </c>
      <c r="O88" s="138"/>
      <c r="P88" s="407">
        <f t="shared" si="19"/>
        <v>714243.84</v>
      </c>
      <c r="Q88" s="407"/>
      <c r="R88" s="24">
        <f t="shared" si="20"/>
        <v>0.84</v>
      </c>
      <c r="S88" s="1">
        <f t="shared" si="24"/>
        <v>84</v>
      </c>
    </row>
    <row r="89" spans="1:24" ht="24.95" customHeight="1" x14ac:dyDescent="0.25">
      <c r="A89" s="29"/>
      <c r="B89" s="28">
        <f t="shared" si="26"/>
        <v>85</v>
      </c>
      <c r="C89" s="28" t="s">
        <v>100</v>
      </c>
      <c r="D89" s="31">
        <v>4.7999999999999996E-3</v>
      </c>
      <c r="E89" s="164">
        <v>692929.85</v>
      </c>
      <c r="F89" s="165">
        <f t="shared" si="27"/>
        <v>692929.85</v>
      </c>
      <c r="G89" s="90">
        <f t="shared" si="17"/>
        <v>0</v>
      </c>
      <c r="H89" s="33">
        <f t="shared" si="25"/>
        <v>0</v>
      </c>
      <c r="I89" s="34">
        <f t="shared" si="15"/>
        <v>345599.99999999994</v>
      </c>
      <c r="J89" s="34">
        <f t="shared" si="18"/>
        <v>0</v>
      </c>
      <c r="K89" s="34">
        <f t="shared" si="21"/>
        <v>165940.54062019198</v>
      </c>
      <c r="L89" s="34">
        <f t="shared" si="22"/>
        <v>202702.7028</v>
      </c>
      <c r="M89" s="34">
        <f t="shared" si="23"/>
        <v>0</v>
      </c>
      <c r="N89" s="114">
        <v>0</v>
      </c>
      <c r="O89" s="138"/>
      <c r="P89" s="407">
        <f t="shared" si="19"/>
        <v>714243.85</v>
      </c>
      <c r="Q89" s="407"/>
      <c r="R89" s="24">
        <f t="shared" si="20"/>
        <v>0.85</v>
      </c>
      <c r="S89" s="1">
        <f t="shared" si="24"/>
        <v>85</v>
      </c>
      <c r="T89" t="s">
        <v>233</v>
      </c>
    </row>
    <row r="90" spans="1:24" ht="24.95" customHeight="1" x14ac:dyDescent="0.25">
      <c r="A90" s="29"/>
      <c r="B90" s="28">
        <f t="shared" si="26"/>
        <v>86</v>
      </c>
      <c r="C90" s="28" t="s">
        <v>176</v>
      </c>
      <c r="D90" s="31">
        <v>4.7999999999999996E-3</v>
      </c>
      <c r="E90" s="164">
        <v>692929.86</v>
      </c>
      <c r="F90" s="165">
        <f t="shared" si="27"/>
        <v>692929.86</v>
      </c>
      <c r="G90" s="90">
        <f t="shared" si="17"/>
        <v>0</v>
      </c>
      <c r="H90" s="33">
        <f t="shared" si="25"/>
        <v>0</v>
      </c>
      <c r="I90" s="34">
        <f t="shared" si="15"/>
        <v>345599.99999999994</v>
      </c>
      <c r="J90" s="34">
        <f t="shared" si="18"/>
        <v>0</v>
      </c>
      <c r="K90" s="34">
        <f t="shared" si="21"/>
        <v>165940.54062019198</v>
      </c>
      <c r="L90" s="34">
        <f t="shared" si="22"/>
        <v>202702.7028</v>
      </c>
      <c r="M90" s="34">
        <f t="shared" si="23"/>
        <v>0</v>
      </c>
      <c r="N90" s="114">
        <v>0</v>
      </c>
      <c r="O90" s="138"/>
      <c r="P90" s="407">
        <f t="shared" si="19"/>
        <v>714243.86</v>
      </c>
      <c r="Q90" s="407"/>
      <c r="R90" s="24">
        <f t="shared" si="20"/>
        <v>0.86</v>
      </c>
      <c r="S90" s="1">
        <f t="shared" si="24"/>
        <v>86</v>
      </c>
    </row>
    <row r="91" spans="1:24" ht="24.95" customHeight="1" x14ac:dyDescent="0.25">
      <c r="A91" s="29"/>
      <c r="B91" s="28">
        <f t="shared" si="26"/>
        <v>87</v>
      </c>
      <c r="C91" s="28" t="s">
        <v>101</v>
      </c>
      <c r="D91" s="31">
        <v>4.7999999999999996E-3</v>
      </c>
      <c r="E91" s="164">
        <v>692929.87</v>
      </c>
      <c r="F91" s="165">
        <f t="shared" si="27"/>
        <v>692929.87</v>
      </c>
      <c r="G91" s="90">
        <f t="shared" si="17"/>
        <v>0</v>
      </c>
      <c r="H91" s="33">
        <f t="shared" si="25"/>
        <v>0</v>
      </c>
      <c r="I91" s="34">
        <f t="shared" si="15"/>
        <v>345599.99999999994</v>
      </c>
      <c r="J91" s="34">
        <f t="shared" si="18"/>
        <v>0</v>
      </c>
      <c r="K91" s="34">
        <f t="shared" si="21"/>
        <v>165940.54062019198</v>
      </c>
      <c r="L91" s="34">
        <f t="shared" si="22"/>
        <v>202702.7028</v>
      </c>
      <c r="M91" s="34">
        <f t="shared" si="23"/>
        <v>0</v>
      </c>
      <c r="N91" s="114">
        <v>0</v>
      </c>
      <c r="O91" s="138"/>
      <c r="P91" s="407">
        <f t="shared" si="19"/>
        <v>714243.87</v>
      </c>
      <c r="Q91" s="407"/>
      <c r="R91" s="24">
        <f t="shared" si="20"/>
        <v>0.87</v>
      </c>
      <c r="S91" s="1">
        <f t="shared" si="24"/>
        <v>87</v>
      </c>
    </row>
    <row r="92" spans="1:24" ht="24.95" customHeight="1" x14ac:dyDescent="0.25">
      <c r="A92" s="28"/>
      <c r="B92" s="28">
        <f t="shared" si="26"/>
        <v>88</v>
      </c>
      <c r="C92" s="28" t="s">
        <v>102</v>
      </c>
      <c r="D92" s="31">
        <v>4.7999999999999996E-3</v>
      </c>
      <c r="E92" s="164">
        <v>692567.88</v>
      </c>
      <c r="F92" s="165">
        <v>700000</v>
      </c>
      <c r="G92" s="90">
        <f t="shared" si="17"/>
        <v>-7432.1199999999953</v>
      </c>
      <c r="H92" s="33">
        <f t="shared" si="25"/>
        <v>0</v>
      </c>
      <c r="I92" s="34">
        <f t="shared" si="15"/>
        <v>345599.99999999994</v>
      </c>
      <c r="J92" s="34">
        <f t="shared" si="18"/>
        <v>0</v>
      </c>
      <c r="K92" s="34">
        <f t="shared" si="21"/>
        <v>165940.54062019198</v>
      </c>
      <c r="L92" s="34">
        <f t="shared" si="22"/>
        <v>202702.7028</v>
      </c>
      <c r="M92" s="34">
        <f t="shared" si="23"/>
        <v>0</v>
      </c>
      <c r="N92" s="114">
        <v>0</v>
      </c>
      <c r="O92" s="138"/>
      <c r="P92" s="407">
        <f t="shared" si="19"/>
        <v>706811.88</v>
      </c>
      <c r="Q92" s="407"/>
      <c r="R92" s="24">
        <f t="shared" si="20"/>
        <v>0.88</v>
      </c>
      <c r="S92" s="1">
        <f t="shared" si="24"/>
        <v>88</v>
      </c>
    </row>
    <row r="93" spans="1:24" ht="24.95" customHeight="1" x14ac:dyDescent="0.25">
      <c r="A93" s="29"/>
      <c r="B93" s="28">
        <f t="shared" si="26"/>
        <v>89</v>
      </c>
      <c r="C93" s="28" t="s">
        <v>231</v>
      </c>
      <c r="D93" s="128">
        <v>4.7999999999999996E-3</v>
      </c>
      <c r="E93" s="166">
        <v>692929.89</v>
      </c>
      <c r="F93" s="165">
        <f>178000+514929.89</f>
        <v>692929.89</v>
      </c>
      <c r="G93" s="91">
        <f t="shared" si="17"/>
        <v>0</v>
      </c>
      <c r="H93" s="129">
        <f t="shared" si="25"/>
        <v>0</v>
      </c>
      <c r="I93" s="114">
        <f t="shared" si="15"/>
        <v>345599.99999999994</v>
      </c>
      <c r="J93" s="114">
        <f t="shared" si="18"/>
        <v>0</v>
      </c>
      <c r="K93" s="114">
        <f t="shared" si="21"/>
        <v>165940.54062019198</v>
      </c>
      <c r="L93" s="114">
        <f t="shared" si="22"/>
        <v>202702.7028</v>
      </c>
      <c r="M93" s="114">
        <f t="shared" si="23"/>
        <v>0</v>
      </c>
      <c r="N93" s="114">
        <v>0</v>
      </c>
      <c r="O93" s="138"/>
      <c r="P93" s="411">
        <f t="shared" si="19"/>
        <v>714243.89</v>
      </c>
      <c r="Q93" s="411"/>
      <c r="R93" s="130">
        <f t="shared" si="20"/>
        <v>0.89</v>
      </c>
      <c r="S93" s="89">
        <f t="shared" si="24"/>
        <v>89</v>
      </c>
      <c r="T93" t="s">
        <v>457</v>
      </c>
    </row>
    <row r="94" spans="1:24" ht="24.95" customHeight="1" x14ac:dyDescent="0.25">
      <c r="A94" s="29"/>
      <c r="B94" s="28">
        <f t="shared" si="26"/>
        <v>90</v>
      </c>
      <c r="C94" s="28" t="s">
        <v>103</v>
      </c>
      <c r="D94" s="31">
        <v>4.7999999999999996E-3</v>
      </c>
      <c r="E94" s="164">
        <v>1461347.9</v>
      </c>
      <c r="F94" s="165">
        <v>700000</v>
      </c>
      <c r="G94" s="90">
        <f t="shared" si="17"/>
        <v>761347.89999999991</v>
      </c>
      <c r="H94" s="33">
        <f t="shared" si="25"/>
        <v>23502.809673</v>
      </c>
      <c r="I94" s="34">
        <f t="shared" si="15"/>
        <v>345599.99999999994</v>
      </c>
      <c r="J94" s="34">
        <f t="shared" si="18"/>
        <v>0</v>
      </c>
      <c r="K94" s="34">
        <f t="shared" si="21"/>
        <v>165940.54062019198</v>
      </c>
      <c r="L94" s="34">
        <f t="shared" si="22"/>
        <v>202702.7028</v>
      </c>
      <c r="M94" s="34">
        <f t="shared" si="23"/>
        <v>0</v>
      </c>
      <c r="N94" s="114">
        <v>0</v>
      </c>
      <c r="O94" s="138">
        <f>I94/2</f>
        <v>172799.99999999997</v>
      </c>
      <c r="P94" s="407">
        <f t="shared" si="19"/>
        <v>1671894.9</v>
      </c>
      <c r="Q94" s="407"/>
      <c r="R94" s="24">
        <f t="shared" si="20"/>
        <v>0.9</v>
      </c>
      <c r="S94" s="1">
        <f t="shared" si="24"/>
        <v>90</v>
      </c>
      <c r="T94" t="s">
        <v>262</v>
      </c>
    </row>
    <row r="95" spans="1:24" ht="24.95" customHeight="1" x14ac:dyDescent="0.25">
      <c r="A95" s="29"/>
      <c r="B95" s="28">
        <f t="shared" si="26"/>
        <v>91</v>
      </c>
      <c r="C95" s="28" t="s">
        <v>104</v>
      </c>
      <c r="D95" s="31">
        <v>4.7999999999999996E-3</v>
      </c>
      <c r="E95" s="164">
        <v>1392636.91</v>
      </c>
      <c r="F95" s="165">
        <f>692883.91+678753.91+20999</f>
        <v>1392636.82</v>
      </c>
      <c r="G95" s="90">
        <f t="shared" si="17"/>
        <v>8.9999999850988388E-2</v>
      </c>
      <c r="H95" s="33">
        <f t="shared" si="25"/>
        <v>2.7782999954000117E-3</v>
      </c>
      <c r="I95" s="34">
        <f t="shared" si="15"/>
        <v>345599.99999999994</v>
      </c>
      <c r="J95" s="34">
        <f t="shared" si="18"/>
        <v>0</v>
      </c>
      <c r="K95" s="34">
        <f t="shared" si="21"/>
        <v>165940.54062019198</v>
      </c>
      <c r="L95" s="34">
        <f t="shared" si="22"/>
        <v>202702.7028</v>
      </c>
      <c r="M95" s="34">
        <f t="shared" si="23"/>
        <v>0</v>
      </c>
      <c r="N95" s="114">
        <v>0</v>
      </c>
      <c r="O95" s="138"/>
      <c r="P95" s="407">
        <f t="shared" si="19"/>
        <v>714243.91</v>
      </c>
      <c r="Q95" s="407"/>
      <c r="R95" s="24">
        <f t="shared" si="20"/>
        <v>0.91</v>
      </c>
      <c r="S95" s="1">
        <f t="shared" si="24"/>
        <v>91</v>
      </c>
      <c r="T95" t="s">
        <v>206</v>
      </c>
    </row>
    <row r="96" spans="1:24" ht="24.95" customHeight="1" x14ac:dyDescent="0.25">
      <c r="A96" s="29"/>
      <c r="B96" s="28">
        <f t="shared" si="26"/>
        <v>92</v>
      </c>
      <c r="C96" s="28" t="s">
        <v>105</v>
      </c>
      <c r="D96" s="128">
        <v>4.7999999999999996E-3</v>
      </c>
      <c r="E96" s="166">
        <v>3741012.92</v>
      </c>
      <c r="F96" s="165"/>
      <c r="G96" s="90">
        <f t="shared" si="17"/>
        <v>3741012.92</v>
      </c>
      <c r="H96" s="33">
        <f t="shared" si="25"/>
        <v>115485.06884040001</v>
      </c>
      <c r="I96" s="34">
        <f t="shared" si="15"/>
        <v>345599.99999999994</v>
      </c>
      <c r="J96" s="34">
        <f t="shared" si="18"/>
        <v>0</v>
      </c>
      <c r="K96" s="34">
        <f t="shared" si="21"/>
        <v>165940.54062019198</v>
      </c>
      <c r="L96" s="34">
        <f t="shared" si="22"/>
        <v>202702.7028</v>
      </c>
      <c r="M96" s="34">
        <f t="shared" si="23"/>
        <v>0</v>
      </c>
      <c r="N96" s="114">
        <v>0</v>
      </c>
      <c r="O96" s="138">
        <f>I96/2</f>
        <v>172799.99999999997</v>
      </c>
      <c r="P96" s="407">
        <f t="shared" si="19"/>
        <v>4743541.92</v>
      </c>
      <c r="Q96" s="407"/>
      <c r="R96" s="24">
        <f t="shared" si="20"/>
        <v>0.92</v>
      </c>
      <c r="S96" s="1">
        <f t="shared" si="24"/>
        <v>92</v>
      </c>
      <c r="T96" t="s">
        <v>234</v>
      </c>
    </row>
    <row r="97" spans="1:21" ht="24.95" customHeight="1" x14ac:dyDescent="0.25">
      <c r="A97" s="29"/>
      <c r="B97" s="28">
        <f t="shared" si="26"/>
        <v>93</v>
      </c>
      <c r="C97" s="76" t="s">
        <v>177</v>
      </c>
      <c r="D97" s="31">
        <v>4.5999999999999999E-3</v>
      </c>
      <c r="E97" s="164">
        <v>678469.93</v>
      </c>
      <c r="F97" s="165"/>
      <c r="G97" s="90">
        <f>E97-F97</f>
        <v>678469.93</v>
      </c>
      <c r="H97" s="33">
        <f t="shared" si="25"/>
        <v>20944.366739100002</v>
      </c>
      <c r="I97" s="34">
        <f t="shared" si="15"/>
        <v>331200</v>
      </c>
      <c r="J97" s="34">
        <f t="shared" si="18"/>
        <v>0</v>
      </c>
      <c r="K97" s="34">
        <f t="shared" si="21"/>
        <v>165940.54062019198</v>
      </c>
      <c r="L97" s="34">
        <f t="shared" si="22"/>
        <v>202702.7028</v>
      </c>
      <c r="M97" s="34">
        <f t="shared" si="23"/>
        <v>0</v>
      </c>
      <c r="N97" s="114">
        <v>0</v>
      </c>
      <c r="O97" s="138"/>
      <c r="P97" s="407">
        <f t="shared" si="19"/>
        <v>1399258.93</v>
      </c>
      <c r="Q97" s="407"/>
      <c r="R97" s="24">
        <f t="shared" si="20"/>
        <v>0.93</v>
      </c>
      <c r="S97" s="1">
        <f t="shared" si="24"/>
        <v>93</v>
      </c>
    </row>
    <row r="98" spans="1:21" ht="24.95" customHeight="1" x14ac:dyDescent="0.25">
      <c r="A98" s="29"/>
      <c r="B98" s="28">
        <f t="shared" si="26"/>
        <v>94</v>
      </c>
      <c r="C98" s="28" t="s">
        <v>178</v>
      </c>
      <c r="D98" s="31">
        <v>4.7999999999999996E-3</v>
      </c>
      <c r="E98" s="164">
        <v>843689.94</v>
      </c>
      <c r="F98" s="165">
        <f>E98</f>
        <v>843689.94</v>
      </c>
      <c r="G98" s="90">
        <f t="shared" si="17"/>
        <v>0</v>
      </c>
      <c r="H98" s="33">
        <f t="shared" si="25"/>
        <v>0</v>
      </c>
      <c r="I98" s="34">
        <f t="shared" si="15"/>
        <v>345599.99999999994</v>
      </c>
      <c r="J98" s="34">
        <f t="shared" si="18"/>
        <v>0</v>
      </c>
      <c r="K98" s="34">
        <f t="shared" si="21"/>
        <v>165940.54062019198</v>
      </c>
      <c r="L98" s="34">
        <f t="shared" si="22"/>
        <v>202702.7028</v>
      </c>
      <c r="M98" s="34">
        <f t="shared" si="23"/>
        <v>0</v>
      </c>
      <c r="N98" s="114">
        <v>0</v>
      </c>
      <c r="O98" s="114">
        <v>91169.89</v>
      </c>
      <c r="P98" s="407">
        <f t="shared" si="19"/>
        <v>805413.94</v>
      </c>
      <c r="Q98" s="407"/>
      <c r="R98" s="24">
        <f t="shared" si="20"/>
        <v>0.94</v>
      </c>
      <c r="S98" s="1">
        <f t="shared" si="24"/>
        <v>94</v>
      </c>
      <c r="T98" t="s">
        <v>199</v>
      </c>
    </row>
    <row r="99" spans="1:21" ht="24.95" customHeight="1" x14ac:dyDescent="0.25">
      <c r="A99" s="28"/>
      <c r="B99" s="28">
        <f t="shared" si="26"/>
        <v>95</v>
      </c>
      <c r="C99" s="28" t="s">
        <v>106</v>
      </c>
      <c r="D99" s="31">
        <v>4.7999999999999996E-3</v>
      </c>
      <c r="E99" s="164">
        <v>2202212.9500000002</v>
      </c>
      <c r="F99" s="165">
        <v>1000000</v>
      </c>
      <c r="G99" s="90">
        <f t="shared" si="17"/>
        <v>1202212.9500000002</v>
      </c>
      <c r="H99" s="33">
        <f t="shared" si="25"/>
        <v>37112.31376650001</v>
      </c>
      <c r="I99" s="34">
        <f t="shared" si="15"/>
        <v>345599.99999999994</v>
      </c>
      <c r="J99" s="34">
        <f t="shared" si="18"/>
        <v>0</v>
      </c>
      <c r="K99" s="34">
        <f t="shared" si="21"/>
        <v>165940.54062019198</v>
      </c>
      <c r="L99" s="34">
        <f t="shared" si="22"/>
        <v>202702.7028</v>
      </c>
      <c r="M99" s="34">
        <f t="shared" si="23"/>
        <v>0</v>
      </c>
      <c r="N99" s="114">
        <v>0</v>
      </c>
      <c r="O99" s="138"/>
      <c r="P99" s="407">
        <f t="shared" si="19"/>
        <v>1953569.95</v>
      </c>
      <c r="Q99" s="407"/>
      <c r="R99" s="24">
        <f t="shared" si="20"/>
        <v>0.95</v>
      </c>
      <c r="S99" s="1">
        <f t="shared" si="24"/>
        <v>95</v>
      </c>
    </row>
    <row r="100" spans="1:21" ht="24.95" customHeight="1" x14ac:dyDescent="0.25">
      <c r="A100" s="28"/>
      <c r="B100" s="28">
        <f t="shared" si="26"/>
        <v>96</v>
      </c>
      <c r="C100" s="28" t="s">
        <v>107</v>
      </c>
      <c r="D100" s="31">
        <v>4.7999999999999996E-3</v>
      </c>
      <c r="E100" s="164">
        <v>1384323.96</v>
      </c>
      <c r="F100" s="165">
        <f>684000+200000+300000+180000+20324</f>
        <v>1384324</v>
      </c>
      <c r="G100" s="90">
        <f t="shared" si="17"/>
        <v>-4.0000000037252903E-2</v>
      </c>
      <c r="H100" s="33">
        <f t="shared" si="25"/>
        <v>0</v>
      </c>
      <c r="I100" s="34">
        <f t="shared" si="15"/>
        <v>345599.99999999994</v>
      </c>
      <c r="J100" s="34">
        <f t="shared" si="18"/>
        <v>0</v>
      </c>
      <c r="K100" s="34">
        <f t="shared" si="21"/>
        <v>165940.54062019198</v>
      </c>
      <c r="L100" s="34">
        <f t="shared" si="22"/>
        <v>202702.7028</v>
      </c>
      <c r="M100" s="34">
        <f t="shared" si="23"/>
        <v>0</v>
      </c>
      <c r="N100" s="114">
        <v>0</v>
      </c>
      <c r="O100" s="138"/>
      <c r="P100" s="407">
        <f t="shared" si="19"/>
        <v>714243.96</v>
      </c>
      <c r="Q100" s="407"/>
      <c r="R100" s="24">
        <f t="shared" si="20"/>
        <v>0.96</v>
      </c>
      <c r="S100" s="1">
        <f t="shared" si="24"/>
        <v>96</v>
      </c>
      <c r="T100" t="s">
        <v>212</v>
      </c>
    </row>
    <row r="101" spans="1:21" ht="24.95" customHeight="1" x14ac:dyDescent="0.25">
      <c r="A101" s="29"/>
      <c r="B101" s="28">
        <f t="shared" si="26"/>
        <v>97</v>
      </c>
      <c r="C101" s="28" t="s">
        <v>108</v>
      </c>
      <c r="D101" s="31">
        <v>4.7999999999999996E-3</v>
      </c>
      <c r="E101" s="164">
        <v>692929.97</v>
      </c>
      <c r="F101" s="165">
        <v>693000</v>
      </c>
      <c r="G101" s="90">
        <f t="shared" si="17"/>
        <v>-70.03000000002794</v>
      </c>
      <c r="H101" s="33">
        <f t="shared" si="25"/>
        <v>0</v>
      </c>
      <c r="I101" s="34">
        <f t="shared" si="15"/>
        <v>345599.99999999994</v>
      </c>
      <c r="J101" s="34">
        <f t="shared" ref="J101:J132" si="28">P$2*D101</f>
        <v>0</v>
      </c>
      <c r="K101" s="34">
        <f t="shared" si="21"/>
        <v>165940.54062019198</v>
      </c>
      <c r="L101" s="34">
        <f t="shared" si="22"/>
        <v>202702.7028</v>
      </c>
      <c r="M101" s="34">
        <f t="shared" si="23"/>
        <v>0</v>
      </c>
      <c r="N101" s="114">
        <v>0</v>
      </c>
      <c r="O101" s="138"/>
      <c r="P101" s="407">
        <f t="shared" ref="P101:P132" si="29">ROUND(SUM(G101:O101),0) + R101</f>
        <v>714173.97</v>
      </c>
      <c r="Q101" s="407"/>
      <c r="R101" s="24">
        <f t="shared" ref="R101:R132" si="30">ROUND(0.001+B101/100,2)</f>
        <v>0.97</v>
      </c>
      <c r="S101" s="1">
        <f t="shared" si="24"/>
        <v>97</v>
      </c>
      <c r="T101" t="s">
        <v>227</v>
      </c>
    </row>
    <row r="102" spans="1:21" ht="24.95" customHeight="1" x14ac:dyDescent="0.25">
      <c r="A102" s="29"/>
      <c r="B102" s="28">
        <f t="shared" si="26"/>
        <v>98</v>
      </c>
      <c r="C102" s="28" t="s">
        <v>109</v>
      </c>
      <c r="D102" s="31">
        <v>4.7999999999999996E-3</v>
      </c>
      <c r="E102" s="164">
        <v>678799.98</v>
      </c>
      <c r="F102" s="165">
        <f>E102</f>
        <v>678799.98</v>
      </c>
      <c r="G102" s="90">
        <f t="shared" si="17"/>
        <v>0</v>
      </c>
      <c r="H102" s="33">
        <f t="shared" si="25"/>
        <v>0</v>
      </c>
      <c r="I102" s="34">
        <f t="shared" ref="I102:I157" si="31">K$2*D102</f>
        <v>345599.99999999994</v>
      </c>
      <c r="J102" s="34">
        <f t="shared" si="28"/>
        <v>0</v>
      </c>
      <c r="K102" s="34">
        <f t="shared" si="21"/>
        <v>165940.54062019198</v>
      </c>
      <c r="L102" s="34">
        <f t="shared" si="22"/>
        <v>202702.7028</v>
      </c>
      <c r="M102" s="34">
        <f t="shared" si="23"/>
        <v>0</v>
      </c>
      <c r="N102" s="114">
        <v>0</v>
      </c>
      <c r="O102" s="138"/>
      <c r="P102" s="407">
        <f t="shared" si="29"/>
        <v>714243.98</v>
      </c>
      <c r="Q102" s="407"/>
      <c r="R102" s="24">
        <f t="shared" si="30"/>
        <v>0.98</v>
      </c>
      <c r="S102" s="1">
        <f t="shared" si="24"/>
        <v>98</v>
      </c>
    </row>
    <row r="103" spans="1:21" ht="24.95" customHeight="1" x14ac:dyDescent="0.25">
      <c r="A103" s="29"/>
      <c r="B103" s="28">
        <f t="shared" si="26"/>
        <v>99</v>
      </c>
      <c r="C103" s="28" t="s">
        <v>110</v>
      </c>
      <c r="D103" s="31">
        <v>4.7999999999999996E-3</v>
      </c>
      <c r="E103" s="164">
        <v>692929.99</v>
      </c>
      <c r="F103" s="165">
        <f>E103</f>
        <v>692929.99</v>
      </c>
      <c r="G103" s="90">
        <f t="shared" si="17"/>
        <v>0</v>
      </c>
      <c r="H103" s="33">
        <f t="shared" si="25"/>
        <v>0</v>
      </c>
      <c r="I103" s="34">
        <f t="shared" si="31"/>
        <v>345599.99999999994</v>
      </c>
      <c r="J103" s="34">
        <f t="shared" si="28"/>
        <v>0</v>
      </c>
      <c r="K103" s="34">
        <f t="shared" si="21"/>
        <v>165940.54062019198</v>
      </c>
      <c r="L103" s="34">
        <f t="shared" si="22"/>
        <v>202702.7028</v>
      </c>
      <c r="M103" s="34">
        <f t="shared" si="23"/>
        <v>0</v>
      </c>
      <c r="N103" s="114">
        <v>0</v>
      </c>
      <c r="O103" s="138"/>
      <c r="P103" s="407">
        <f t="shared" si="29"/>
        <v>714243.99</v>
      </c>
      <c r="Q103" s="407"/>
      <c r="R103" s="24">
        <f t="shared" si="30"/>
        <v>0.99</v>
      </c>
      <c r="S103" s="1">
        <f t="shared" si="24"/>
        <v>99</v>
      </c>
      <c r="T103" s="19" t="s">
        <v>226</v>
      </c>
    </row>
    <row r="104" spans="1:21" ht="24.95" customHeight="1" x14ac:dyDescent="0.25">
      <c r="A104" s="29"/>
      <c r="B104" s="28">
        <f t="shared" si="26"/>
        <v>100</v>
      </c>
      <c r="C104" s="28" t="s">
        <v>111</v>
      </c>
      <c r="D104" s="31">
        <v>4.7999999999999996E-3</v>
      </c>
      <c r="E104" s="164">
        <v>692930</v>
      </c>
      <c r="F104" s="165">
        <f>E104</f>
        <v>692930</v>
      </c>
      <c r="G104" s="90">
        <f t="shared" si="17"/>
        <v>0</v>
      </c>
      <c r="H104" s="33">
        <f t="shared" si="25"/>
        <v>0</v>
      </c>
      <c r="I104" s="34">
        <f t="shared" si="31"/>
        <v>345599.99999999994</v>
      </c>
      <c r="J104" s="34">
        <f t="shared" si="28"/>
        <v>0</v>
      </c>
      <c r="K104" s="34">
        <f t="shared" si="21"/>
        <v>165940.54062019198</v>
      </c>
      <c r="L104" s="34">
        <f t="shared" si="22"/>
        <v>202702.7028</v>
      </c>
      <c r="M104" s="34">
        <f t="shared" si="23"/>
        <v>0</v>
      </c>
      <c r="N104" s="114">
        <v>0</v>
      </c>
      <c r="O104" s="138"/>
      <c r="P104" s="407">
        <f t="shared" si="29"/>
        <v>714244</v>
      </c>
      <c r="Q104" s="407"/>
      <c r="R104" s="24">
        <f t="shared" si="30"/>
        <v>1</v>
      </c>
      <c r="S104" s="1">
        <f t="shared" si="24"/>
        <v>100</v>
      </c>
    </row>
    <row r="105" spans="1:21" ht="24.95" customHeight="1" x14ac:dyDescent="0.25">
      <c r="A105" s="29"/>
      <c r="B105" s="28">
        <f t="shared" si="26"/>
        <v>101</v>
      </c>
      <c r="C105" s="28" t="s">
        <v>112</v>
      </c>
      <c r="D105" s="31">
        <v>4.7999999999999996E-3</v>
      </c>
      <c r="E105" s="164">
        <v>692930.01</v>
      </c>
      <c r="F105" s="165">
        <f>E105</f>
        <v>692930.01</v>
      </c>
      <c r="G105" s="90">
        <f t="shared" si="17"/>
        <v>0</v>
      </c>
      <c r="H105" s="33">
        <f t="shared" si="25"/>
        <v>0</v>
      </c>
      <c r="I105" s="34">
        <f t="shared" si="31"/>
        <v>345599.99999999994</v>
      </c>
      <c r="J105" s="34">
        <f t="shared" si="28"/>
        <v>0</v>
      </c>
      <c r="K105" s="34">
        <f t="shared" si="21"/>
        <v>165940.54062019198</v>
      </c>
      <c r="L105" s="34">
        <f t="shared" si="22"/>
        <v>202702.7028</v>
      </c>
      <c r="M105" s="34">
        <v>0</v>
      </c>
      <c r="N105" s="114">
        <v>0</v>
      </c>
      <c r="O105" s="139"/>
      <c r="P105" s="407">
        <f t="shared" si="29"/>
        <v>714244.01</v>
      </c>
      <c r="Q105" s="407"/>
      <c r="R105" s="24">
        <f t="shared" si="30"/>
        <v>1.01</v>
      </c>
      <c r="S105" s="1">
        <f t="shared" si="24"/>
        <v>101</v>
      </c>
    </row>
    <row r="106" spans="1:21" ht="24.95" customHeight="1" x14ac:dyDescent="0.25">
      <c r="A106" s="29"/>
      <c r="B106" s="28">
        <f t="shared" si="26"/>
        <v>102</v>
      </c>
      <c r="C106" s="28" t="s">
        <v>113</v>
      </c>
      <c r="D106" s="31">
        <v>4.7999999999999996E-3</v>
      </c>
      <c r="E106" s="164">
        <v>692595.02</v>
      </c>
      <c r="F106" s="165">
        <f>550000+143000</f>
        <v>693000</v>
      </c>
      <c r="G106" s="90">
        <f t="shared" si="17"/>
        <v>-404.97999999998137</v>
      </c>
      <c r="H106" s="33">
        <f t="shared" si="25"/>
        <v>0</v>
      </c>
      <c r="I106" s="34">
        <f t="shared" si="31"/>
        <v>345599.99999999994</v>
      </c>
      <c r="J106" s="34">
        <f t="shared" si="28"/>
        <v>0</v>
      </c>
      <c r="K106" s="34">
        <f t="shared" si="21"/>
        <v>165940.54062019198</v>
      </c>
      <c r="L106" s="34">
        <f t="shared" si="22"/>
        <v>202702.7028</v>
      </c>
      <c r="M106" s="34">
        <f t="shared" si="23"/>
        <v>0</v>
      </c>
      <c r="N106" s="114">
        <v>0</v>
      </c>
      <c r="O106" s="139"/>
      <c r="P106" s="407">
        <f t="shared" si="29"/>
        <v>713839.02</v>
      </c>
      <c r="Q106" s="407"/>
      <c r="R106" s="24">
        <f t="shared" si="30"/>
        <v>1.02</v>
      </c>
      <c r="S106" s="1">
        <f t="shared" si="24"/>
        <v>102</v>
      </c>
      <c r="T106" t="s">
        <v>325</v>
      </c>
    </row>
    <row r="107" spans="1:21" ht="24.95" customHeight="1" x14ac:dyDescent="0.25">
      <c r="A107" s="29"/>
      <c r="B107" s="28">
        <f t="shared" si="26"/>
        <v>103</v>
      </c>
      <c r="C107" s="28" t="s">
        <v>114</v>
      </c>
      <c r="D107" s="31">
        <v>4.7999999999999996E-3</v>
      </c>
      <c r="E107" s="164">
        <v>692930.03</v>
      </c>
      <c r="F107" s="165">
        <f>E107</f>
        <v>692930.03</v>
      </c>
      <c r="G107" s="90">
        <f t="shared" si="17"/>
        <v>0</v>
      </c>
      <c r="H107" s="33">
        <f t="shared" si="25"/>
        <v>0</v>
      </c>
      <c r="I107" s="34">
        <f t="shared" si="31"/>
        <v>345599.99999999994</v>
      </c>
      <c r="J107" s="34">
        <f t="shared" si="28"/>
        <v>0</v>
      </c>
      <c r="K107" s="34">
        <f t="shared" si="21"/>
        <v>165940.54062019198</v>
      </c>
      <c r="L107" s="34">
        <f t="shared" si="22"/>
        <v>202702.7028</v>
      </c>
      <c r="M107" s="34">
        <f t="shared" si="23"/>
        <v>0</v>
      </c>
      <c r="N107" s="114">
        <v>0</v>
      </c>
      <c r="O107" s="139"/>
      <c r="P107" s="407">
        <f t="shared" si="29"/>
        <v>714244.03</v>
      </c>
      <c r="Q107" s="407"/>
      <c r="R107" s="24">
        <f t="shared" si="30"/>
        <v>1.03</v>
      </c>
      <c r="S107" s="1">
        <f t="shared" si="24"/>
        <v>103</v>
      </c>
    </row>
    <row r="108" spans="1:21" ht="24.95" customHeight="1" x14ac:dyDescent="0.25">
      <c r="A108" s="29"/>
      <c r="B108" s="28">
        <f t="shared" si="26"/>
        <v>104</v>
      </c>
      <c r="C108" s="28" t="s">
        <v>115</v>
      </c>
      <c r="D108" s="31">
        <v>4.7000000000000002E-3</v>
      </c>
      <c r="E108" s="164">
        <v>686030.04</v>
      </c>
      <c r="F108" s="165">
        <f>E108</f>
        <v>686030.04</v>
      </c>
      <c r="G108" s="90">
        <f t="shared" si="17"/>
        <v>0</v>
      </c>
      <c r="H108" s="33">
        <f t="shared" si="25"/>
        <v>0</v>
      </c>
      <c r="I108" s="34">
        <f t="shared" si="31"/>
        <v>338400</v>
      </c>
      <c r="J108" s="34">
        <f t="shared" si="28"/>
        <v>0</v>
      </c>
      <c r="K108" s="34">
        <f t="shared" si="21"/>
        <v>165940.54062019198</v>
      </c>
      <c r="L108" s="34">
        <f t="shared" si="22"/>
        <v>202702.7028</v>
      </c>
      <c r="M108" s="34">
        <f t="shared" si="23"/>
        <v>0</v>
      </c>
      <c r="N108" s="114">
        <v>0</v>
      </c>
      <c r="O108" s="139"/>
      <c r="P108" s="407">
        <f t="shared" si="29"/>
        <v>707044.04</v>
      </c>
      <c r="Q108" s="407"/>
      <c r="R108" s="24">
        <f t="shared" si="30"/>
        <v>1.04</v>
      </c>
      <c r="S108" s="1">
        <f t="shared" si="24"/>
        <v>104</v>
      </c>
      <c r="T108" t="s">
        <v>456</v>
      </c>
    </row>
    <row r="109" spans="1:21" ht="24.95" customHeight="1" x14ac:dyDescent="0.25">
      <c r="A109" s="143"/>
      <c r="B109" s="28">
        <f t="shared" si="26"/>
        <v>105</v>
      </c>
      <c r="C109" s="28" t="s">
        <v>116</v>
      </c>
      <c r="D109" s="128">
        <v>4.1999999999999997E-3</v>
      </c>
      <c r="E109" s="166">
        <v>651530.05000000005</v>
      </c>
      <c r="F109" s="165">
        <f>E109</f>
        <v>651530.05000000005</v>
      </c>
      <c r="G109" s="91">
        <f t="shared" si="17"/>
        <v>0</v>
      </c>
      <c r="H109" s="129">
        <f t="shared" si="25"/>
        <v>0</v>
      </c>
      <c r="I109" s="114">
        <f t="shared" si="31"/>
        <v>302400</v>
      </c>
      <c r="J109" s="114">
        <f t="shared" si="28"/>
        <v>0</v>
      </c>
      <c r="K109" s="114">
        <f t="shared" si="21"/>
        <v>165940.54062019198</v>
      </c>
      <c r="L109" s="114">
        <f t="shared" si="22"/>
        <v>202702.7028</v>
      </c>
      <c r="M109" s="114">
        <f t="shared" si="23"/>
        <v>0</v>
      </c>
      <c r="N109" s="114">
        <v>0</v>
      </c>
      <c r="O109" s="138"/>
      <c r="P109" s="411">
        <f t="shared" si="29"/>
        <v>671044.05000000005</v>
      </c>
      <c r="Q109" s="411"/>
      <c r="R109" s="130">
        <f t="shared" si="30"/>
        <v>1.05</v>
      </c>
      <c r="S109" s="89">
        <f t="shared" si="24"/>
        <v>105</v>
      </c>
      <c r="T109" s="51"/>
      <c r="U109" s="51"/>
    </row>
    <row r="110" spans="1:21" ht="24.95" customHeight="1" x14ac:dyDescent="0.25">
      <c r="A110" s="28"/>
      <c r="B110" s="28">
        <f t="shared" si="26"/>
        <v>106</v>
      </c>
      <c r="C110" s="28" t="s">
        <v>117</v>
      </c>
      <c r="D110" s="128">
        <v>4.4000000000000003E-3</v>
      </c>
      <c r="E110" s="166">
        <v>1845709.06</v>
      </c>
      <c r="F110" s="165">
        <f>281572+65000+745800</f>
        <v>1092372</v>
      </c>
      <c r="G110" s="91">
        <f t="shared" si="17"/>
        <v>753337.06</v>
      </c>
      <c r="H110" s="129">
        <f t="shared" si="25"/>
        <v>23255.515042200004</v>
      </c>
      <c r="I110" s="114">
        <f t="shared" si="31"/>
        <v>316800</v>
      </c>
      <c r="J110" s="114">
        <f t="shared" si="28"/>
        <v>0</v>
      </c>
      <c r="K110" s="114">
        <f t="shared" si="21"/>
        <v>165940.54062019198</v>
      </c>
      <c r="L110" s="114">
        <f t="shared" si="22"/>
        <v>202702.7028</v>
      </c>
      <c r="M110" s="114">
        <f t="shared" si="23"/>
        <v>0</v>
      </c>
      <c r="N110" s="114">
        <v>0</v>
      </c>
      <c r="O110" s="138"/>
      <c r="P110" s="411">
        <f t="shared" si="29"/>
        <v>1462037.06</v>
      </c>
      <c r="Q110" s="411"/>
      <c r="R110" s="130">
        <f t="shared" si="30"/>
        <v>1.06</v>
      </c>
      <c r="S110" s="89">
        <f t="shared" si="24"/>
        <v>106</v>
      </c>
      <c r="T110" t="s">
        <v>295</v>
      </c>
    </row>
    <row r="111" spans="1:21" ht="24.95" customHeight="1" x14ac:dyDescent="0.25">
      <c r="A111" s="29"/>
      <c r="B111" s="28">
        <f t="shared" si="26"/>
        <v>107</v>
      </c>
      <c r="C111" s="28" t="s">
        <v>118</v>
      </c>
      <c r="D111" s="31">
        <v>4.4000000000000003E-3</v>
      </c>
      <c r="E111" s="164">
        <v>665330.06999999995</v>
      </c>
      <c r="F111" s="165">
        <v>679129</v>
      </c>
      <c r="G111" s="90">
        <f t="shared" si="17"/>
        <v>-13798.930000000051</v>
      </c>
      <c r="H111" s="33">
        <f t="shared" si="25"/>
        <v>0</v>
      </c>
      <c r="I111" s="34">
        <f t="shared" si="31"/>
        <v>316800</v>
      </c>
      <c r="J111" s="34">
        <f t="shared" si="28"/>
        <v>0</v>
      </c>
      <c r="K111" s="34">
        <f t="shared" si="21"/>
        <v>165940.54062019198</v>
      </c>
      <c r="L111" s="34">
        <f t="shared" si="22"/>
        <v>202702.7028</v>
      </c>
      <c r="M111" s="34">
        <f t="shared" si="23"/>
        <v>0</v>
      </c>
      <c r="N111" s="114">
        <v>0</v>
      </c>
      <c r="O111" s="139"/>
      <c r="P111" s="407">
        <f t="shared" si="29"/>
        <v>671645.07</v>
      </c>
      <c r="Q111" s="407"/>
      <c r="R111" s="24">
        <f t="shared" si="30"/>
        <v>1.07</v>
      </c>
      <c r="S111" s="1">
        <f t="shared" si="24"/>
        <v>107</v>
      </c>
      <c r="T111" t="s">
        <v>264</v>
      </c>
    </row>
    <row r="112" spans="1:21" ht="24.95" customHeight="1" x14ac:dyDescent="0.25">
      <c r="A112" s="29"/>
      <c r="B112" s="28">
        <f t="shared" si="26"/>
        <v>108</v>
      </c>
      <c r="C112" s="28" t="s">
        <v>119</v>
      </c>
      <c r="D112" s="31">
        <v>4.4000000000000003E-3</v>
      </c>
      <c r="E112" s="164">
        <v>665330.07999999996</v>
      </c>
      <c r="F112" s="165">
        <f>E112</f>
        <v>665330.07999999996</v>
      </c>
      <c r="G112" s="90">
        <f t="shared" si="17"/>
        <v>0</v>
      </c>
      <c r="H112" s="33">
        <f t="shared" si="25"/>
        <v>0</v>
      </c>
      <c r="I112" s="34">
        <f t="shared" si="31"/>
        <v>316800</v>
      </c>
      <c r="J112" s="34">
        <f t="shared" si="28"/>
        <v>0</v>
      </c>
      <c r="K112" s="34">
        <f t="shared" si="21"/>
        <v>165940.54062019198</v>
      </c>
      <c r="L112" s="34">
        <f t="shared" si="22"/>
        <v>202702.7028</v>
      </c>
      <c r="M112" s="34">
        <f t="shared" si="23"/>
        <v>0</v>
      </c>
      <c r="N112" s="114">
        <v>0</v>
      </c>
      <c r="O112" s="139"/>
      <c r="P112" s="407">
        <f t="shared" si="29"/>
        <v>685444.08</v>
      </c>
      <c r="Q112" s="407"/>
      <c r="R112" s="24">
        <f t="shared" si="30"/>
        <v>1.08</v>
      </c>
      <c r="S112" s="1">
        <f t="shared" si="24"/>
        <v>108</v>
      </c>
    </row>
    <row r="113" spans="1:24" ht="24.95" customHeight="1" x14ac:dyDescent="0.25">
      <c r="A113" s="28"/>
      <c r="B113" s="28">
        <f t="shared" si="26"/>
        <v>109</v>
      </c>
      <c r="C113" s="28" t="s">
        <v>120</v>
      </c>
      <c r="D113" s="31">
        <v>4.4999999999999997E-3</v>
      </c>
      <c r="E113" s="164">
        <v>1661330.09</v>
      </c>
      <c r="F113" s="165">
        <f>300000+351000+440000</f>
        <v>1091000</v>
      </c>
      <c r="G113" s="90">
        <f t="shared" si="17"/>
        <v>570330.09000000008</v>
      </c>
      <c r="H113" s="33">
        <f t="shared" si="25"/>
        <v>17606.089878300005</v>
      </c>
      <c r="I113" s="34">
        <f t="shared" si="31"/>
        <v>324000</v>
      </c>
      <c r="J113" s="34">
        <f t="shared" si="28"/>
        <v>0</v>
      </c>
      <c r="K113" s="34">
        <f t="shared" si="21"/>
        <v>165940.54062019198</v>
      </c>
      <c r="L113" s="34">
        <f t="shared" si="22"/>
        <v>202702.7028</v>
      </c>
      <c r="M113" s="34">
        <f t="shared" si="23"/>
        <v>0</v>
      </c>
      <c r="N113" s="114">
        <v>0</v>
      </c>
      <c r="O113" s="139"/>
      <c r="P113" s="407">
        <f t="shared" si="29"/>
        <v>1280580.0900000001</v>
      </c>
      <c r="Q113" s="407"/>
      <c r="R113" s="24">
        <f t="shared" si="30"/>
        <v>1.0900000000000001</v>
      </c>
      <c r="S113" s="1">
        <f t="shared" si="24"/>
        <v>109</v>
      </c>
      <c r="T113" t="s">
        <v>260</v>
      </c>
    </row>
    <row r="114" spans="1:24" ht="24.95" customHeight="1" x14ac:dyDescent="0.25">
      <c r="A114" s="29"/>
      <c r="B114" s="28">
        <f t="shared" si="26"/>
        <v>110</v>
      </c>
      <c r="C114" s="28" t="s">
        <v>121</v>
      </c>
      <c r="D114" s="31">
        <v>4.5999999999999999E-3</v>
      </c>
      <c r="E114" s="164">
        <v>679130.1</v>
      </c>
      <c r="F114" s="165"/>
      <c r="G114" s="90">
        <f t="shared" si="17"/>
        <v>679130.1</v>
      </c>
      <c r="H114" s="33">
        <f t="shared" si="25"/>
        <v>20964.746187000001</v>
      </c>
      <c r="I114" s="34">
        <f t="shared" si="31"/>
        <v>331200</v>
      </c>
      <c r="J114" s="34">
        <f t="shared" si="28"/>
        <v>0</v>
      </c>
      <c r="K114" s="34">
        <f t="shared" si="21"/>
        <v>165940.54062019198</v>
      </c>
      <c r="L114" s="34">
        <f t="shared" si="22"/>
        <v>202702.7028</v>
      </c>
      <c r="M114" s="34">
        <f t="shared" si="23"/>
        <v>0</v>
      </c>
      <c r="N114" s="114">
        <v>0</v>
      </c>
      <c r="O114" s="139"/>
      <c r="P114" s="407">
        <f t="shared" si="29"/>
        <v>1399939.1</v>
      </c>
      <c r="Q114" s="407"/>
      <c r="R114" s="24">
        <f t="shared" si="30"/>
        <v>1.1000000000000001</v>
      </c>
      <c r="S114" s="1">
        <f t="shared" si="24"/>
        <v>110</v>
      </c>
      <c r="T114" t="s">
        <v>269</v>
      </c>
      <c r="X114" s="57"/>
    </row>
    <row r="115" spans="1:24" ht="24.95" customHeight="1" x14ac:dyDescent="0.25">
      <c r="A115" s="28"/>
      <c r="B115" s="28">
        <f t="shared" si="26"/>
        <v>111</v>
      </c>
      <c r="C115" s="28" t="s">
        <v>122</v>
      </c>
      <c r="D115" s="31">
        <v>4.4999999999999997E-3</v>
      </c>
      <c r="E115" s="164">
        <v>672230.11</v>
      </c>
      <c r="F115" s="165">
        <f>E115</f>
        <v>672230.11</v>
      </c>
      <c r="G115" s="90">
        <f t="shared" si="17"/>
        <v>0</v>
      </c>
      <c r="H115" s="33">
        <f t="shared" si="25"/>
        <v>0</v>
      </c>
      <c r="I115" s="34">
        <f t="shared" si="31"/>
        <v>324000</v>
      </c>
      <c r="J115" s="34">
        <f t="shared" si="28"/>
        <v>0</v>
      </c>
      <c r="K115" s="34">
        <f t="shared" si="21"/>
        <v>165940.54062019198</v>
      </c>
      <c r="L115" s="34">
        <f t="shared" si="22"/>
        <v>202702.7028</v>
      </c>
      <c r="M115" s="34">
        <f t="shared" si="23"/>
        <v>0</v>
      </c>
      <c r="N115" s="114">
        <v>0</v>
      </c>
      <c r="O115" s="139"/>
      <c r="P115" s="407">
        <f t="shared" si="29"/>
        <v>692644.11</v>
      </c>
      <c r="Q115" s="407"/>
      <c r="R115" s="24">
        <f t="shared" si="30"/>
        <v>1.1100000000000001</v>
      </c>
      <c r="S115" s="1">
        <f t="shared" si="24"/>
        <v>111</v>
      </c>
    </row>
    <row r="116" spans="1:24" ht="24.95" customHeight="1" x14ac:dyDescent="0.25">
      <c r="A116" s="28"/>
      <c r="B116" s="28">
        <f t="shared" si="26"/>
        <v>112</v>
      </c>
      <c r="C116" s="28" t="s">
        <v>123</v>
      </c>
      <c r="D116" s="31">
        <v>4.4999999999999997E-3</v>
      </c>
      <c r="E116" s="164">
        <v>737964.12</v>
      </c>
      <c r="F116" s="165">
        <v>738000</v>
      </c>
      <c r="G116" s="90">
        <f t="shared" si="17"/>
        <v>-35.880000000004657</v>
      </c>
      <c r="H116" s="33">
        <f t="shared" si="25"/>
        <v>0</v>
      </c>
      <c r="I116" s="34">
        <f t="shared" si="31"/>
        <v>324000</v>
      </c>
      <c r="J116" s="34">
        <f t="shared" si="28"/>
        <v>0</v>
      </c>
      <c r="K116" s="34">
        <f t="shared" si="21"/>
        <v>165940.54062019198</v>
      </c>
      <c r="L116" s="34">
        <f t="shared" si="22"/>
        <v>202702.7028</v>
      </c>
      <c r="M116" s="34">
        <f t="shared" si="23"/>
        <v>0</v>
      </c>
      <c r="N116" s="114">
        <v>0</v>
      </c>
      <c r="O116" s="139"/>
      <c r="P116" s="407">
        <f t="shared" si="29"/>
        <v>692608.12</v>
      </c>
      <c r="Q116" s="407"/>
      <c r="R116" s="24">
        <f t="shared" si="30"/>
        <v>1.1200000000000001</v>
      </c>
      <c r="S116" s="1">
        <f t="shared" si="24"/>
        <v>112</v>
      </c>
      <c r="T116" t="s">
        <v>211</v>
      </c>
    </row>
    <row r="117" spans="1:24" ht="24.95" customHeight="1" x14ac:dyDescent="0.25">
      <c r="A117" s="29"/>
      <c r="B117" s="28">
        <f t="shared" si="26"/>
        <v>113</v>
      </c>
      <c r="C117" s="28" t="s">
        <v>124</v>
      </c>
      <c r="D117" s="31">
        <v>4.7000000000000002E-3</v>
      </c>
      <c r="E117" s="164">
        <v>686030.13</v>
      </c>
      <c r="F117" s="165">
        <f>E117</f>
        <v>686030.13</v>
      </c>
      <c r="G117" s="90">
        <f t="shared" si="17"/>
        <v>0</v>
      </c>
      <c r="H117" s="33">
        <f t="shared" si="25"/>
        <v>0</v>
      </c>
      <c r="I117" s="34">
        <f t="shared" si="31"/>
        <v>338400</v>
      </c>
      <c r="J117" s="34">
        <f t="shared" si="28"/>
        <v>0</v>
      </c>
      <c r="K117" s="34">
        <f t="shared" si="21"/>
        <v>165940.54062019198</v>
      </c>
      <c r="L117" s="34">
        <f t="shared" si="22"/>
        <v>202702.7028</v>
      </c>
      <c r="M117" s="34">
        <f t="shared" si="23"/>
        <v>0</v>
      </c>
      <c r="N117" s="114">
        <v>0</v>
      </c>
      <c r="O117" s="139"/>
      <c r="P117" s="407">
        <f t="shared" si="29"/>
        <v>707044.13</v>
      </c>
      <c r="Q117" s="407"/>
      <c r="R117" s="24">
        <f t="shared" si="30"/>
        <v>1.1299999999999999</v>
      </c>
      <c r="S117" s="1">
        <f t="shared" si="24"/>
        <v>113</v>
      </c>
    </row>
    <row r="118" spans="1:24" ht="24.95" customHeight="1" x14ac:dyDescent="0.25">
      <c r="A118" s="29"/>
      <c r="B118" s="28">
        <f t="shared" si="26"/>
        <v>114</v>
      </c>
      <c r="C118" s="28" t="s">
        <v>125</v>
      </c>
      <c r="D118" s="31">
        <v>4.4999999999999997E-3</v>
      </c>
      <c r="E118" s="164">
        <v>672230.14</v>
      </c>
      <c r="F118" s="165">
        <f>E118</f>
        <v>672230.14</v>
      </c>
      <c r="G118" s="90">
        <f t="shared" si="17"/>
        <v>0</v>
      </c>
      <c r="H118" s="33">
        <f t="shared" si="25"/>
        <v>0</v>
      </c>
      <c r="I118" s="34">
        <f t="shared" si="31"/>
        <v>324000</v>
      </c>
      <c r="J118" s="34">
        <f t="shared" si="28"/>
        <v>0</v>
      </c>
      <c r="K118" s="34">
        <f t="shared" si="21"/>
        <v>165940.54062019198</v>
      </c>
      <c r="L118" s="34">
        <f t="shared" si="22"/>
        <v>202702.7028</v>
      </c>
      <c r="M118" s="34">
        <f t="shared" si="23"/>
        <v>0</v>
      </c>
      <c r="N118" s="114">
        <v>0</v>
      </c>
      <c r="O118" s="139"/>
      <c r="P118" s="407">
        <f t="shared" si="29"/>
        <v>692644.14</v>
      </c>
      <c r="Q118" s="407"/>
      <c r="R118" s="24">
        <f t="shared" si="30"/>
        <v>1.1399999999999999</v>
      </c>
      <c r="S118" s="1">
        <f t="shared" si="24"/>
        <v>114</v>
      </c>
    </row>
    <row r="119" spans="1:24" ht="24.95" customHeight="1" x14ac:dyDescent="0.25">
      <c r="A119" s="151"/>
      <c r="B119" s="28">
        <f t="shared" si="26"/>
        <v>115</v>
      </c>
      <c r="C119" s="28" t="s">
        <v>126</v>
      </c>
      <c r="D119" s="31">
        <v>6.4000000000000003E-3</v>
      </c>
      <c r="E119" s="164">
        <v>805352.15</v>
      </c>
      <c r="F119" s="165"/>
      <c r="G119" s="90">
        <f t="shared" si="17"/>
        <v>805352.15</v>
      </c>
      <c r="H119" s="33">
        <f t="shared" si="25"/>
        <v>24861.220870500001</v>
      </c>
      <c r="I119" s="34">
        <f t="shared" si="31"/>
        <v>460800</v>
      </c>
      <c r="J119" s="34">
        <f t="shared" si="28"/>
        <v>0</v>
      </c>
      <c r="K119" s="34">
        <f t="shared" si="21"/>
        <v>165940.54062019198</v>
      </c>
      <c r="L119" s="34">
        <f t="shared" si="22"/>
        <v>202702.7028</v>
      </c>
      <c r="M119" s="34">
        <f t="shared" si="23"/>
        <v>0</v>
      </c>
      <c r="N119" s="114">
        <v>0</v>
      </c>
      <c r="O119" s="139"/>
      <c r="P119" s="407">
        <f t="shared" si="29"/>
        <v>1659658.15</v>
      </c>
      <c r="Q119" s="407"/>
      <c r="R119" s="24">
        <f t="shared" si="30"/>
        <v>1.1499999999999999</v>
      </c>
      <c r="S119" s="1">
        <f t="shared" si="24"/>
        <v>115</v>
      </c>
      <c r="T119" t="s">
        <v>268</v>
      </c>
    </row>
    <row r="120" spans="1:24" ht="24.95" customHeight="1" x14ac:dyDescent="0.25">
      <c r="A120" s="29"/>
      <c r="B120" s="28">
        <f t="shared" si="26"/>
        <v>116</v>
      </c>
      <c r="C120" s="28" t="s">
        <v>127</v>
      </c>
      <c r="D120" s="31">
        <v>5.7999999999999996E-3</v>
      </c>
      <c r="E120" s="164">
        <v>761930.16</v>
      </c>
      <c r="F120" s="165">
        <f>E120</f>
        <v>761930.16</v>
      </c>
      <c r="G120" s="90">
        <f t="shared" si="17"/>
        <v>0</v>
      </c>
      <c r="H120" s="33">
        <f t="shared" si="25"/>
        <v>0</v>
      </c>
      <c r="I120" s="34">
        <f t="shared" si="31"/>
        <v>417600</v>
      </c>
      <c r="J120" s="34">
        <f t="shared" si="28"/>
        <v>0</v>
      </c>
      <c r="K120" s="34">
        <f t="shared" si="21"/>
        <v>165940.54062019198</v>
      </c>
      <c r="L120" s="34">
        <f t="shared" si="22"/>
        <v>202702.7028</v>
      </c>
      <c r="M120" s="34">
        <f t="shared" si="23"/>
        <v>0</v>
      </c>
      <c r="N120" s="114">
        <v>0</v>
      </c>
      <c r="O120" s="139"/>
      <c r="P120" s="407">
        <f t="shared" si="29"/>
        <v>786244.16</v>
      </c>
      <c r="Q120" s="407"/>
      <c r="R120" s="24">
        <f t="shared" si="30"/>
        <v>1.1599999999999999</v>
      </c>
      <c r="S120" s="1">
        <f t="shared" si="24"/>
        <v>116</v>
      </c>
    </row>
    <row r="121" spans="1:24" ht="24.95" customHeight="1" x14ac:dyDescent="0.25">
      <c r="A121" s="29"/>
      <c r="B121" s="28">
        <f t="shared" si="26"/>
        <v>117</v>
      </c>
      <c r="C121" s="28" t="s">
        <v>128</v>
      </c>
      <c r="D121" s="128">
        <v>6.1000000000000004E-3</v>
      </c>
      <c r="E121" s="166">
        <v>1572132.17</v>
      </c>
      <c r="F121" s="165">
        <f>782630.17+765800+23702</f>
        <v>1572132.17</v>
      </c>
      <c r="G121" s="90">
        <f t="shared" si="17"/>
        <v>0</v>
      </c>
      <c r="H121" s="33">
        <f t="shared" si="25"/>
        <v>0</v>
      </c>
      <c r="I121" s="34">
        <f t="shared" si="31"/>
        <v>439200</v>
      </c>
      <c r="J121" s="34">
        <f t="shared" si="28"/>
        <v>0</v>
      </c>
      <c r="K121" s="34">
        <f t="shared" si="21"/>
        <v>165940.54062019198</v>
      </c>
      <c r="L121" s="34">
        <f t="shared" si="22"/>
        <v>202702.7028</v>
      </c>
      <c r="M121" s="34">
        <f t="shared" si="23"/>
        <v>0</v>
      </c>
      <c r="N121" s="114">
        <v>0</v>
      </c>
      <c r="O121" s="139"/>
      <c r="P121" s="407">
        <f t="shared" si="29"/>
        <v>807844.17</v>
      </c>
      <c r="Q121" s="407"/>
      <c r="R121" s="24">
        <f t="shared" si="30"/>
        <v>1.17</v>
      </c>
      <c r="S121" s="1">
        <f t="shared" si="24"/>
        <v>117</v>
      </c>
      <c r="T121" t="s">
        <v>326</v>
      </c>
    </row>
    <row r="122" spans="1:24" ht="24.95" customHeight="1" x14ac:dyDescent="0.25">
      <c r="A122" s="29"/>
      <c r="B122" s="28">
        <f t="shared" si="26"/>
        <v>118</v>
      </c>
      <c r="C122" s="28" t="s">
        <v>129</v>
      </c>
      <c r="D122" s="31">
        <v>5.7999999999999996E-3</v>
      </c>
      <c r="E122" s="164">
        <v>1077853.18</v>
      </c>
      <c r="F122" s="165">
        <f>306500+3540000-F124-F125</f>
        <v>2488239.59</v>
      </c>
      <c r="G122" s="90">
        <f t="shared" si="17"/>
        <v>-1410386.41</v>
      </c>
      <c r="H122" s="33">
        <f t="shared" si="25"/>
        <v>0</v>
      </c>
      <c r="I122" s="34">
        <f t="shared" si="31"/>
        <v>417600</v>
      </c>
      <c r="J122" s="34">
        <f t="shared" si="28"/>
        <v>0</v>
      </c>
      <c r="K122" s="34">
        <f t="shared" si="21"/>
        <v>165940.54062019198</v>
      </c>
      <c r="L122" s="34">
        <f t="shared" si="22"/>
        <v>202702.7028</v>
      </c>
      <c r="M122" s="34">
        <f t="shared" si="23"/>
        <v>0</v>
      </c>
      <c r="N122" s="114">
        <v>0</v>
      </c>
      <c r="O122" s="139"/>
      <c r="P122" s="407">
        <f t="shared" si="29"/>
        <v>-624141.81999999995</v>
      </c>
      <c r="Q122" s="407"/>
      <c r="R122" s="24">
        <f t="shared" si="30"/>
        <v>1.18</v>
      </c>
      <c r="S122" s="1">
        <f t="shared" si="24"/>
        <v>118</v>
      </c>
      <c r="T122" t="s">
        <v>452</v>
      </c>
    </row>
    <row r="123" spans="1:24" ht="24.95" customHeight="1" x14ac:dyDescent="0.25">
      <c r="A123" s="29"/>
      <c r="B123" s="28">
        <f t="shared" si="26"/>
        <v>119</v>
      </c>
      <c r="C123" s="28" t="s">
        <v>130</v>
      </c>
      <c r="D123" s="31">
        <v>5.4000000000000003E-3</v>
      </c>
      <c r="E123" s="164">
        <v>734330.19</v>
      </c>
      <c r="F123" s="165">
        <f t="shared" ref="F123:F129" si="32">E123</f>
        <v>734330.19</v>
      </c>
      <c r="G123" s="90">
        <f t="shared" si="17"/>
        <v>0</v>
      </c>
      <c r="H123" s="33">
        <f t="shared" si="25"/>
        <v>0</v>
      </c>
      <c r="I123" s="34">
        <f t="shared" si="31"/>
        <v>388800</v>
      </c>
      <c r="J123" s="34">
        <f t="shared" si="28"/>
        <v>0</v>
      </c>
      <c r="K123" s="34">
        <f t="shared" si="21"/>
        <v>165940.54062019198</v>
      </c>
      <c r="L123" s="34">
        <f t="shared" si="22"/>
        <v>202702.7028</v>
      </c>
      <c r="M123" s="34">
        <f t="shared" si="23"/>
        <v>0</v>
      </c>
      <c r="N123" s="114">
        <v>0</v>
      </c>
      <c r="O123" s="139"/>
      <c r="P123" s="407">
        <f t="shared" si="29"/>
        <v>757444.19</v>
      </c>
      <c r="Q123" s="407"/>
      <c r="R123" s="24">
        <f t="shared" si="30"/>
        <v>1.19</v>
      </c>
      <c r="S123" s="1">
        <f t="shared" si="24"/>
        <v>119</v>
      </c>
      <c r="T123" t="s">
        <v>216</v>
      </c>
    </row>
    <row r="124" spans="1:24" ht="24.95" customHeight="1" x14ac:dyDescent="0.25">
      <c r="A124" s="29"/>
      <c r="B124" s="28">
        <f t="shared" si="26"/>
        <v>120</v>
      </c>
      <c r="C124" s="28" t="s">
        <v>129</v>
      </c>
      <c r="D124" s="31">
        <v>4.5999999999999999E-3</v>
      </c>
      <c r="E124" s="164">
        <v>679130.2</v>
      </c>
      <c r="F124" s="165">
        <f t="shared" si="32"/>
        <v>679130.2</v>
      </c>
      <c r="G124" s="90">
        <f t="shared" si="17"/>
        <v>0</v>
      </c>
      <c r="H124" s="33">
        <f t="shared" si="25"/>
        <v>0</v>
      </c>
      <c r="I124" s="34">
        <f t="shared" si="31"/>
        <v>331200</v>
      </c>
      <c r="J124" s="34">
        <f t="shared" si="28"/>
        <v>0</v>
      </c>
      <c r="K124" s="34">
        <f t="shared" si="21"/>
        <v>165940.54062019198</v>
      </c>
      <c r="L124" s="34">
        <f t="shared" si="22"/>
        <v>202702.7028</v>
      </c>
      <c r="M124" s="34">
        <f t="shared" si="23"/>
        <v>0</v>
      </c>
      <c r="N124" s="114">
        <v>0</v>
      </c>
      <c r="O124" s="139"/>
      <c r="P124" s="407">
        <f t="shared" si="29"/>
        <v>699844.2</v>
      </c>
      <c r="Q124" s="407"/>
      <c r="R124" s="24">
        <f t="shared" si="30"/>
        <v>1.2</v>
      </c>
      <c r="S124" s="1">
        <f t="shared" si="24"/>
        <v>120</v>
      </c>
      <c r="T124" t="s">
        <v>452</v>
      </c>
    </row>
    <row r="125" spans="1:24" ht="24.95" customHeight="1" x14ac:dyDescent="0.25">
      <c r="A125" s="29"/>
      <c r="B125" s="28">
        <f t="shared" si="26"/>
        <v>121</v>
      </c>
      <c r="C125" s="28" t="s">
        <v>129</v>
      </c>
      <c r="D125" s="31">
        <v>4.5999999999999999E-3</v>
      </c>
      <c r="E125" s="164">
        <v>679130.21</v>
      </c>
      <c r="F125" s="165">
        <f t="shared" si="32"/>
        <v>679130.21</v>
      </c>
      <c r="G125" s="90">
        <f t="shared" si="17"/>
        <v>0</v>
      </c>
      <c r="H125" s="33">
        <f t="shared" si="25"/>
        <v>0</v>
      </c>
      <c r="I125" s="34">
        <f t="shared" si="31"/>
        <v>331200</v>
      </c>
      <c r="J125" s="34">
        <f t="shared" si="28"/>
        <v>0</v>
      </c>
      <c r="K125" s="34">
        <f t="shared" si="21"/>
        <v>165940.54062019198</v>
      </c>
      <c r="L125" s="34">
        <f t="shared" si="22"/>
        <v>202702.7028</v>
      </c>
      <c r="M125" s="34">
        <f t="shared" si="23"/>
        <v>0</v>
      </c>
      <c r="N125" s="114">
        <v>0</v>
      </c>
      <c r="O125" s="139"/>
      <c r="P125" s="407">
        <f t="shared" si="29"/>
        <v>699844.21</v>
      </c>
      <c r="Q125" s="407"/>
      <c r="R125" s="24">
        <f t="shared" si="30"/>
        <v>1.21</v>
      </c>
      <c r="S125" s="1">
        <f t="shared" si="24"/>
        <v>121</v>
      </c>
      <c r="T125" t="s">
        <v>452</v>
      </c>
    </row>
    <row r="126" spans="1:24" ht="24.95" customHeight="1" x14ac:dyDescent="0.25">
      <c r="A126" s="29"/>
      <c r="B126" s="28">
        <f t="shared" si="26"/>
        <v>122</v>
      </c>
      <c r="C126" s="28" t="s">
        <v>131</v>
      </c>
      <c r="D126" s="128">
        <v>4.5999999999999999E-3</v>
      </c>
      <c r="E126" s="164">
        <v>829890.22</v>
      </c>
      <c r="F126" s="165"/>
      <c r="G126" s="90">
        <f t="shared" si="17"/>
        <v>829890.22</v>
      </c>
      <c r="H126" s="33">
        <f t="shared" si="25"/>
        <v>25618.7110914</v>
      </c>
      <c r="I126" s="34">
        <f t="shared" si="31"/>
        <v>331200</v>
      </c>
      <c r="J126" s="34">
        <f t="shared" si="28"/>
        <v>0</v>
      </c>
      <c r="K126" s="34">
        <f t="shared" si="21"/>
        <v>165940.54062019198</v>
      </c>
      <c r="L126" s="34">
        <f t="shared" si="22"/>
        <v>202702.7028</v>
      </c>
      <c r="M126" s="34">
        <f t="shared" si="23"/>
        <v>0</v>
      </c>
      <c r="N126" s="114">
        <v>0</v>
      </c>
      <c r="O126" s="114">
        <v>91169.89</v>
      </c>
      <c r="P126" s="407">
        <f t="shared" si="29"/>
        <v>1646523.22</v>
      </c>
      <c r="Q126" s="407"/>
      <c r="R126" s="24">
        <f t="shared" si="30"/>
        <v>1.22</v>
      </c>
      <c r="S126" s="1">
        <f t="shared" si="24"/>
        <v>122</v>
      </c>
    </row>
    <row r="127" spans="1:24" ht="24.95" customHeight="1" x14ac:dyDescent="0.25">
      <c r="A127" s="29"/>
      <c r="B127" s="29">
        <f t="shared" si="26"/>
        <v>123</v>
      </c>
      <c r="C127" s="28" t="s">
        <v>132</v>
      </c>
      <c r="D127" s="128">
        <v>4.5999999999999999E-3</v>
      </c>
      <c r="E127" s="164">
        <v>679130.23</v>
      </c>
      <c r="F127" s="165">
        <f t="shared" si="32"/>
        <v>679130.23</v>
      </c>
      <c r="G127" s="90">
        <f t="shared" si="17"/>
        <v>0</v>
      </c>
      <c r="H127" s="33">
        <f t="shared" si="25"/>
        <v>0</v>
      </c>
      <c r="I127" s="34">
        <f t="shared" si="31"/>
        <v>331200</v>
      </c>
      <c r="J127" s="34">
        <f t="shared" si="28"/>
        <v>0</v>
      </c>
      <c r="K127" s="34">
        <f t="shared" si="21"/>
        <v>165940.54062019198</v>
      </c>
      <c r="L127" s="34">
        <f t="shared" si="22"/>
        <v>202702.7028</v>
      </c>
      <c r="M127" s="34">
        <f t="shared" si="23"/>
        <v>0</v>
      </c>
      <c r="N127" s="114">
        <v>0</v>
      </c>
      <c r="O127" s="139"/>
      <c r="P127" s="407">
        <f t="shared" si="29"/>
        <v>699844.23</v>
      </c>
      <c r="Q127" s="407"/>
      <c r="R127" s="24">
        <f t="shared" si="30"/>
        <v>1.23</v>
      </c>
      <c r="S127" s="1">
        <f t="shared" si="24"/>
        <v>123</v>
      </c>
      <c r="T127" t="s">
        <v>341</v>
      </c>
    </row>
    <row r="128" spans="1:24" ht="24.95" customHeight="1" x14ac:dyDescent="0.25">
      <c r="A128" s="28"/>
      <c r="B128" s="28">
        <f t="shared" si="26"/>
        <v>124</v>
      </c>
      <c r="C128" s="28" t="s">
        <v>133</v>
      </c>
      <c r="D128" s="128">
        <v>4.5999999999999999E-3</v>
      </c>
      <c r="E128" s="164">
        <v>679130.24</v>
      </c>
      <c r="F128" s="165">
        <f t="shared" si="32"/>
        <v>679130.24</v>
      </c>
      <c r="G128" s="90">
        <f t="shared" si="17"/>
        <v>0</v>
      </c>
      <c r="H128" s="33">
        <f t="shared" si="25"/>
        <v>0</v>
      </c>
      <c r="I128" s="34">
        <f t="shared" si="31"/>
        <v>331200</v>
      </c>
      <c r="J128" s="34">
        <f t="shared" si="28"/>
        <v>0</v>
      </c>
      <c r="K128" s="34">
        <f t="shared" si="21"/>
        <v>165940.54062019198</v>
      </c>
      <c r="L128" s="34">
        <f t="shared" si="22"/>
        <v>202702.7028</v>
      </c>
      <c r="M128" s="34">
        <f t="shared" si="23"/>
        <v>0</v>
      </c>
      <c r="N128" s="114">
        <v>0</v>
      </c>
      <c r="O128" s="139"/>
      <c r="P128" s="407">
        <f t="shared" si="29"/>
        <v>699844.24</v>
      </c>
      <c r="Q128" s="407"/>
      <c r="R128" s="24">
        <f t="shared" si="30"/>
        <v>1.24</v>
      </c>
      <c r="S128" s="1">
        <f t="shared" si="24"/>
        <v>124</v>
      </c>
    </row>
    <row r="129" spans="1:20" ht="24.95" customHeight="1" x14ac:dyDescent="0.25">
      <c r="A129" s="28"/>
      <c r="B129" s="28">
        <f t="shared" si="26"/>
        <v>125</v>
      </c>
      <c r="C129" s="28" t="s">
        <v>134</v>
      </c>
      <c r="D129" s="128">
        <v>4.5999999999999999E-3</v>
      </c>
      <c r="E129" s="164">
        <v>679130.25</v>
      </c>
      <c r="F129" s="165">
        <f t="shared" si="32"/>
        <v>679130.25</v>
      </c>
      <c r="G129" s="90">
        <f t="shared" si="17"/>
        <v>0</v>
      </c>
      <c r="H129" s="33">
        <f t="shared" si="25"/>
        <v>0</v>
      </c>
      <c r="I129" s="34">
        <f t="shared" si="31"/>
        <v>331200</v>
      </c>
      <c r="J129" s="34">
        <f t="shared" si="28"/>
        <v>0</v>
      </c>
      <c r="K129" s="34">
        <f t="shared" si="21"/>
        <v>165940.54062019198</v>
      </c>
      <c r="L129" s="34">
        <f t="shared" si="22"/>
        <v>202702.7028</v>
      </c>
      <c r="M129" s="34">
        <f t="shared" si="23"/>
        <v>0</v>
      </c>
      <c r="N129" s="114">
        <v>0</v>
      </c>
      <c r="O129" s="139"/>
      <c r="P129" s="407">
        <f t="shared" si="29"/>
        <v>699844.25</v>
      </c>
      <c r="Q129" s="407"/>
      <c r="R129" s="24">
        <f t="shared" si="30"/>
        <v>1.25</v>
      </c>
      <c r="S129" s="1">
        <f t="shared" si="24"/>
        <v>125</v>
      </c>
      <c r="T129" t="s">
        <v>273</v>
      </c>
    </row>
    <row r="130" spans="1:20" ht="24.95" customHeight="1" x14ac:dyDescent="0.25">
      <c r="A130" s="28"/>
      <c r="B130" s="28">
        <f t="shared" si="26"/>
        <v>126</v>
      </c>
      <c r="C130" s="28" t="s">
        <v>135</v>
      </c>
      <c r="D130" s="128">
        <v>4.5999999999999999E-3</v>
      </c>
      <c r="E130" s="164">
        <v>636369.26</v>
      </c>
      <c r="F130" s="165">
        <f>E130</f>
        <v>636369.26</v>
      </c>
      <c r="G130" s="90">
        <f t="shared" si="17"/>
        <v>0</v>
      </c>
      <c r="H130" s="33">
        <f t="shared" si="25"/>
        <v>0</v>
      </c>
      <c r="I130" s="34">
        <f t="shared" si="31"/>
        <v>331200</v>
      </c>
      <c r="J130" s="34">
        <f t="shared" si="28"/>
        <v>0</v>
      </c>
      <c r="K130" s="34">
        <f t="shared" si="21"/>
        <v>165940.54062019198</v>
      </c>
      <c r="L130" s="34">
        <f t="shared" si="22"/>
        <v>202702.7028</v>
      </c>
      <c r="M130" s="34">
        <f t="shared" si="23"/>
        <v>0</v>
      </c>
      <c r="N130" s="114">
        <v>0</v>
      </c>
      <c r="O130" s="139"/>
      <c r="P130" s="407">
        <f t="shared" si="29"/>
        <v>699844.26</v>
      </c>
      <c r="Q130" s="407"/>
      <c r="R130" s="24">
        <f t="shared" si="30"/>
        <v>1.26</v>
      </c>
      <c r="S130" s="1">
        <f t="shared" si="24"/>
        <v>126</v>
      </c>
    </row>
    <row r="131" spans="1:20" ht="24.95" customHeight="1" x14ac:dyDescent="0.25">
      <c r="A131" s="28"/>
      <c r="B131" s="28">
        <f t="shared" si="26"/>
        <v>127</v>
      </c>
      <c r="C131" s="28" t="s">
        <v>136</v>
      </c>
      <c r="D131" s="128">
        <v>5.5999999999999999E-3</v>
      </c>
      <c r="E131" s="164">
        <v>748130.27</v>
      </c>
      <c r="F131" s="165">
        <f>E131</f>
        <v>748130.27</v>
      </c>
      <c r="G131" s="90">
        <f t="shared" si="17"/>
        <v>0</v>
      </c>
      <c r="H131" s="33">
        <f t="shared" si="25"/>
        <v>0</v>
      </c>
      <c r="I131" s="34">
        <f t="shared" si="31"/>
        <v>403200</v>
      </c>
      <c r="J131" s="34">
        <f t="shared" si="28"/>
        <v>0</v>
      </c>
      <c r="K131" s="34">
        <f t="shared" si="21"/>
        <v>165940.54062019198</v>
      </c>
      <c r="L131" s="34">
        <f t="shared" si="22"/>
        <v>202702.7028</v>
      </c>
      <c r="M131" s="34">
        <f t="shared" si="23"/>
        <v>0</v>
      </c>
      <c r="N131" s="114">
        <v>0</v>
      </c>
      <c r="O131" s="139"/>
      <c r="P131" s="407">
        <f t="shared" si="29"/>
        <v>771844.27</v>
      </c>
      <c r="Q131" s="407"/>
      <c r="R131" s="24">
        <f t="shared" si="30"/>
        <v>1.27</v>
      </c>
      <c r="S131" s="1">
        <f t="shared" si="24"/>
        <v>127</v>
      </c>
      <c r="T131" t="s">
        <v>223</v>
      </c>
    </row>
    <row r="132" spans="1:20" ht="24.95" customHeight="1" x14ac:dyDescent="0.25">
      <c r="A132" s="28"/>
      <c r="B132" s="28">
        <f t="shared" si="26"/>
        <v>128</v>
      </c>
      <c r="C132" s="28" t="s">
        <v>137</v>
      </c>
      <c r="D132" s="128">
        <v>6.1000000000000004E-3</v>
      </c>
      <c r="E132" s="164">
        <v>6579938.2800000003</v>
      </c>
      <c r="F132" s="165"/>
      <c r="G132" s="90">
        <f t="shared" si="17"/>
        <v>6579938.2800000003</v>
      </c>
      <c r="H132" s="33">
        <f t="shared" si="25"/>
        <v>203122.69470360002</v>
      </c>
      <c r="I132" s="34">
        <f t="shared" si="31"/>
        <v>439200</v>
      </c>
      <c r="J132" s="34">
        <f t="shared" si="28"/>
        <v>0</v>
      </c>
      <c r="K132" s="34">
        <f t="shared" si="21"/>
        <v>165940.54062019198</v>
      </c>
      <c r="L132" s="34">
        <f t="shared" si="22"/>
        <v>202702.7028</v>
      </c>
      <c r="M132" s="34">
        <f t="shared" si="23"/>
        <v>0</v>
      </c>
      <c r="N132" s="114">
        <v>0</v>
      </c>
      <c r="O132" s="139"/>
      <c r="P132" s="407">
        <f t="shared" si="29"/>
        <v>7590905.2800000003</v>
      </c>
      <c r="Q132" s="407"/>
      <c r="R132" s="24">
        <f t="shared" si="30"/>
        <v>1.28</v>
      </c>
      <c r="S132" s="1">
        <f t="shared" si="24"/>
        <v>128</v>
      </c>
    </row>
    <row r="133" spans="1:20" ht="24.95" customHeight="1" x14ac:dyDescent="0.25">
      <c r="A133" s="28"/>
      <c r="B133" s="28">
        <f>B132+1</f>
        <v>129</v>
      </c>
      <c r="C133" s="28" t="s">
        <v>138</v>
      </c>
      <c r="D133" s="128">
        <v>6.1000000000000004E-3</v>
      </c>
      <c r="E133" s="164">
        <v>782630.29</v>
      </c>
      <c r="F133" s="165">
        <f>E133</f>
        <v>782630.29</v>
      </c>
      <c r="G133" s="90">
        <f t="shared" si="17"/>
        <v>0</v>
      </c>
      <c r="H133" s="33">
        <f t="shared" si="25"/>
        <v>0</v>
      </c>
      <c r="I133" s="34">
        <f t="shared" si="31"/>
        <v>439200</v>
      </c>
      <c r="J133" s="34">
        <f t="shared" ref="J133:J143" si="33">P$2*D133</f>
        <v>0</v>
      </c>
      <c r="K133" s="34">
        <f t="shared" si="21"/>
        <v>165940.54062019198</v>
      </c>
      <c r="L133" s="34">
        <f t="shared" si="22"/>
        <v>202702.7028</v>
      </c>
      <c r="M133" s="34">
        <f t="shared" si="23"/>
        <v>0</v>
      </c>
      <c r="N133" s="114">
        <v>0</v>
      </c>
      <c r="O133" s="139"/>
      <c r="P133" s="407">
        <f t="shared" ref="P133:P143" si="34">ROUND(SUM(G133:O133),0) + R133</f>
        <v>807844.29</v>
      </c>
      <c r="Q133" s="407"/>
      <c r="R133" s="24">
        <f t="shared" ref="R133:R157" si="35">ROUND(0.001+B133/100,2)</f>
        <v>1.29</v>
      </c>
      <c r="S133" s="1">
        <f t="shared" si="24"/>
        <v>129</v>
      </c>
      <c r="T133" t="s">
        <v>200</v>
      </c>
    </row>
    <row r="134" spans="1:20" ht="24.95" customHeight="1" x14ac:dyDescent="0.25">
      <c r="A134" s="28"/>
      <c r="B134" s="28">
        <f t="shared" si="26"/>
        <v>130</v>
      </c>
      <c r="C134" s="28" t="s">
        <v>139</v>
      </c>
      <c r="D134" s="128">
        <v>5.7000000000000002E-3</v>
      </c>
      <c r="E134" s="164">
        <v>753997.3</v>
      </c>
      <c r="F134" s="165">
        <v>752000</v>
      </c>
      <c r="G134" s="90">
        <f t="shared" si="17"/>
        <v>1997.3000000000466</v>
      </c>
      <c r="H134" s="33">
        <f t="shared" si="25"/>
        <v>61.656651000001439</v>
      </c>
      <c r="I134" s="34">
        <f t="shared" si="31"/>
        <v>410400</v>
      </c>
      <c r="J134" s="34">
        <f t="shared" si="33"/>
        <v>0</v>
      </c>
      <c r="K134" s="34">
        <f t="shared" ref="K134:K143" si="36">G$2*0.675675676%</f>
        <v>165940.54062019198</v>
      </c>
      <c r="L134" s="34">
        <f t="shared" ref="L134:L142" si="37">P$1*0.675675676%</f>
        <v>202702.7028</v>
      </c>
      <c r="M134" s="34">
        <f t="shared" ref="M134:M157" si="38">G$1*D134</f>
        <v>0</v>
      </c>
      <c r="N134" s="114">
        <v>0</v>
      </c>
      <c r="O134" s="139"/>
      <c r="P134" s="407">
        <f t="shared" si="34"/>
        <v>781103.3</v>
      </c>
      <c r="Q134" s="407"/>
      <c r="R134" s="24">
        <f t="shared" si="35"/>
        <v>1.3</v>
      </c>
      <c r="S134" s="1">
        <f t="shared" ref="S134:S157" si="39">B134</f>
        <v>130</v>
      </c>
      <c r="T134" t="s">
        <v>220</v>
      </c>
    </row>
    <row r="135" spans="1:20" ht="24.95" customHeight="1" x14ac:dyDescent="0.25">
      <c r="A135" s="28"/>
      <c r="B135" s="28">
        <f t="shared" si="26"/>
        <v>131</v>
      </c>
      <c r="C135" s="28" t="s">
        <v>140</v>
      </c>
      <c r="D135" s="31">
        <v>6.1000000000000004E-3</v>
      </c>
      <c r="E135" s="164">
        <v>782630.31</v>
      </c>
      <c r="F135" s="165">
        <f>E135</f>
        <v>782630.31</v>
      </c>
      <c r="G135" s="90">
        <f t="shared" si="17"/>
        <v>0</v>
      </c>
      <c r="H135" s="33">
        <f t="shared" ref="H135:H157" si="40">IF(G135&gt;0,G135*3.087%,0)</f>
        <v>0</v>
      </c>
      <c r="I135" s="34">
        <f t="shared" si="31"/>
        <v>439200</v>
      </c>
      <c r="J135" s="34">
        <f t="shared" si="33"/>
        <v>0</v>
      </c>
      <c r="K135" s="34">
        <f t="shared" si="36"/>
        <v>165940.54062019198</v>
      </c>
      <c r="L135" s="34">
        <f t="shared" si="37"/>
        <v>202702.7028</v>
      </c>
      <c r="M135" s="34">
        <f t="shared" si="38"/>
        <v>0</v>
      </c>
      <c r="N135" s="114">
        <v>0</v>
      </c>
      <c r="O135" s="139"/>
      <c r="P135" s="407">
        <f t="shared" si="34"/>
        <v>807844.31</v>
      </c>
      <c r="Q135" s="407"/>
      <c r="R135" s="24">
        <f t="shared" si="35"/>
        <v>1.31</v>
      </c>
      <c r="S135" s="1">
        <f t="shared" si="39"/>
        <v>131</v>
      </c>
    </row>
    <row r="136" spans="1:20" ht="24.95" customHeight="1" x14ac:dyDescent="0.25">
      <c r="A136" s="28"/>
      <c r="B136" s="28">
        <f t="shared" si="26"/>
        <v>132</v>
      </c>
      <c r="C136" s="28" t="s">
        <v>141</v>
      </c>
      <c r="D136" s="31">
        <v>6.0000000000000001E-3</v>
      </c>
      <c r="E136" s="164">
        <v>775730.32</v>
      </c>
      <c r="F136" s="165">
        <f>E136</f>
        <v>775730.32</v>
      </c>
      <c r="G136" s="90">
        <f t="shared" si="17"/>
        <v>0</v>
      </c>
      <c r="H136" s="33">
        <f t="shared" si="40"/>
        <v>0</v>
      </c>
      <c r="I136" s="34">
        <f t="shared" si="31"/>
        <v>432000</v>
      </c>
      <c r="J136" s="34">
        <f t="shared" si="33"/>
        <v>0</v>
      </c>
      <c r="K136" s="34">
        <f t="shared" si="36"/>
        <v>165940.54062019198</v>
      </c>
      <c r="L136" s="34">
        <f t="shared" si="37"/>
        <v>202702.7028</v>
      </c>
      <c r="M136" s="34">
        <f t="shared" si="38"/>
        <v>0</v>
      </c>
      <c r="N136" s="114">
        <v>0</v>
      </c>
      <c r="O136" s="139"/>
      <c r="P136" s="407">
        <f t="shared" si="34"/>
        <v>800644.32</v>
      </c>
      <c r="Q136" s="407"/>
      <c r="R136" s="24">
        <f t="shared" si="35"/>
        <v>1.32</v>
      </c>
      <c r="S136" s="1">
        <f t="shared" si="39"/>
        <v>132</v>
      </c>
      <c r="T136" t="s">
        <v>270</v>
      </c>
    </row>
    <row r="137" spans="1:20" ht="24.95" customHeight="1" x14ac:dyDescent="0.25">
      <c r="A137" s="28"/>
      <c r="B137" s="28">
        <f t="shared" ref="B137:B145" si="41">B136+1</f>
        <v>133</v>
      </c>
      <c r="C137" s="28" t="s">
        <v>142</v>
      </c>
      <c r="D137" s="31">
        <v>6.4000000000000003E-3</v>
      </c>
      <c r="E137" s="164">
        <v>803065.33</v>
      </c>
      <c r="F137" s="165">
        <f>E137</f>
        <v>803065.33</v>
      </c>
      <c r="G137" s="90">
        <f t="shared" si="17"/>
        <v>0</v>
      </c>
      <c r="H137" s="33">
        <f t="shared" si="40"/>
        <v>0</v>
      </c>
      <c r="I137" s="34">
        <f t="shared" si="31"/>
        <v>460800</v>
      </c>
      <c r="J137" s="34">
        <f t="shared" si="33"/>
        <v>0</v>
      </c>
      <c r="K137" s="34">
        <f t="shared" si="36"/>
        <v>165940.54062019198</v>
      </c>
      <c r="L137" s="34">
        <f t="shared" si="37"/>
        <v>202702.7028</v>
      </c>
      <c r="M137" s="34">
        <f t="shared" si="38"/>
        <v>0</v>
      </c>
      <c r="N137" s="114">
        <v>0</v>
      </c>
      <c r="O137" s="139"/>
      <c r="P137" s="407">
        <f t="shared" si="34"/>
        <v>829444.33</v>
      </c>
      <c r="Q137" s="407"/>
      <c r="R137" s="24">
        <f t="shared" si="35"/>
        <v>1.33</v>
      </c>
      <c r="S137" s="1">
        <f t="shared" si="39"/>
        <v>133</v>
      </c>
      <c r="T137" t="s">
        <v>228</v>
      </c>
    </row>
    <row r="138" spans="1:20" ht="24.95" customHeight="1" x14ac:dyDescent="0.25">
      <c r="A138" s="28"/>
      <c r="B138" s="28">
        <f t="shared" si="41"/>
        <v>134</v>
      </c>
      <c r="C138" s="28" t="s">
        <v>143</v>
      </c>
      <c r="D138" s="31">
        <v>5.3E-3</v>
      </c>
      <c r="E138" s="164">
        <v>727430.34</v>
      </c>
      <c r="F138" s="165">
        <f>E138</f>
        <v>727430.34</v>
      </c>
      <c r="G138" s="90">
        <f t="shared" si="17"/>
        <v>0</v>
      </c>
      <c r="H138" s="33">
        <f t="shared" si="40"/>
        <v>0</v>
      </c>
      <c r="I138" s="34">
        <f t="shared" si="31"/>
        <v>381600</v>
      </c>
      <c r="J138" s="34">
        <f t="shared" si="33"/>
        <v>0</v>
      </c>
      <c r="K138" s="34">
        <f t="shared" si="36"/>
        <v>165940.54062019198</v>
      </c>
      <c r="L138" s="34">
        <f t="shared" si="37"/>
        <v>202702.7028</v>
      </c>
      <c r="M138" s="34">
        <f t="shared" si="38"/>
        <v>0</v>
      </c>
      <c r="N138" s="114">
        <v>0</v>
      </c>
      <c r="O138" s="139"/>
      <c r="P138" s="407">
        <f t="shared" si="34"/>
        <v>750244.34</v>
      </c>
      <c r="Q138" s="407"/>
      <c r="R138" s="24">
        <f t="shared" si="35"/>
        <v>1.34</v>
      </c>
      <c r="S138" s="1">
        <f t="shared" si="39"/>
        <v>134</v>
      </c>
      <c r="T138" t="s">
        <v>207</v>
      </c>
    </row>
    <row r="139" spans="1:20" ht="24.95" customHeight="1" x14ac:dyDescent="0.25">
      <c r="A139" s="28"/>
      <c r="B139" s="28">
        <f t="shared" si="41"/>
        <v>135</v>
      </c>
      <c r="C139" s="28" t="s">
        <v>143</v>
      </c>
      <c r="D139" s="31">
        <v>6.1000000000000004E-3</v>
      </c>
      <c r="E139" s="164">
        <v>782630.35</v>
      </c>
      <c r="F139" s="165">
        <f>E139</f>
        <v>782630.35</v>
      </c>
      <c r="G139" s="90">
        <f t="shared" si="17"/>
        <v>0</v>
      </c>
      <c r="H139" s="33">
        <f t="shared" si="40"/>
        <v>0</v>
      </c>
      <c r="I139" s="34">
        <f t="shared" si="31"/>
        <v>439200</v>
      </c>
      <c r="J139" s="34">
        <f t="shared" si="33"/>
        <v>0</v>
      </c>
      <c r="K139" s="34">
        <f t="shared" si="36"/>
        <v>165940.54062019198</v>
      </c>
      <c r="L139" s="34">
        <f t="shared" si="37"/>
        <v>202702.7028</v>
      </c>
      <c r="M139" s="34">
        <f t="shared" si="38"/>
        <v>0</v>
      </c>
      <c r="N139" s="114">
        <v>0</v>
      </c>
      <c r="O139" s="139"/>
      <c r="P139" s="407">
        <f t="shared" si="34"/>
        <v>807844.35</v>
      </c>
      <c r="Q139" s="407"/>
      <c r="R139" s="24">
        <f t="shared" si="35"/>
        <v>1.35</v>
      </c>
      <c r="S139" s="1">
        <f t="shared" si="39"/>
        <v>135</v>
      </c>
      <c r="T139" s="92" t="s">
        <v>207</v>
      </c>
    </row>
    <row r="140" spans="1:20" ht="24.95" customHeight="1" x14ac:dyDescent="0.25">
      <c r="A140" s="28"/>
      <c r="B140" s="28">
        <f t="shared" si="41"/>
        <v>136</v>
      </c>
      <c r="C140" s="28" t="s">
        <v>144</v>
      </c>
      <c r="D140" s="128">
        <v>6.1999999999999998E-3</v>
      </c>
      <c r="E140" s="164">
        <v>1687578.36</v>
      </c>
      <c r="F140" s="165"/>
      <c r="G140" s="90">
        <f t="shared" si="17"/>
        <v>1687578.36</v>
      </c>
      <c r="H140" s="33">
        <f t="shared" si="40"/>
        <v>52095.543973200009</v>
      </c>
      <c r="I140" s="34">
        <f t="shared" si="31"/>
        <v>446400</v>
      </c>
      <c r="J140" s="34">
        <f t="shared" si="33"/>
        <v>0</v>
      </c>
      <c r="K140" s="34">
        <f t="shared" si="36"/>
        <v>165940.54062019198</v>
      </c>
      <c r="L140" s="34">
        <f t="shared" si="37"/>
        <v>202702.7028</v>
      </c>
      <c r="M140" s="34">
        <f t="shared" si="38"/>
        <v>0</v>
      </c>
      <c r="N140" s="114">
        <v>0</v>
      </c>
      <c r="O140" s="139"/>
      <c r="P140" s="407">
        <f t="shared" si="34"/>
        <v>2554718.36</v>
      </c>
      <c r="Q140" s="407"/>
      <c r="R140" s="24">
        <f t="shared" si="35"/>
        <v>1.36</v>
      </c>
      <c r="S140" s="1">
        <f t="shared" si="39"/>
        <v>136</v>
      </c>
      <c r="T140" t="s">
        <v>302</v>
      </c>
    </row>
    <row r="141" spans="1:20" ht="24.95" customHeight="1" x14ac:dyDescent="0.25">
      <c r="A141" s="28"/>
      <c r="B141" s="28">
        <f t="shared" si="41"/>
        <v>137</v>
      </c>
      <c r="C141" s="28" t="s">
        <v>145</v>
      </c>
      <c r="D141" s="31">
        <v>5.4000000000000003E-3</v>
      </c>
      <c r="E141" s="164">
        <v>1475481.37</v>
      </c>
      <c r="F141" s="165">
        <f>718953.37+734329+22199</f>
        <v>1475481.37</v>
      </c>
      <c r="G141" s="90">
        <f t="shared" si="17"/>
        <v>0</v>
      </c>
      <c r="H141" s="33">
        <f t="shared" si="40"/>
        <v>0</v>
      </c>
      <c r="I141" s="34">
        <f t="shared" si="31"/>
        <v>388800</v>
      </c>
      <c r="J141" s="34">
        <f t="shared" si="33"/>
        <v>0</v>
      </c>
      <c r="K141" s="34">
        <f t="shared" si="36"/>
        <v>165940.54062019198</v>
      </c>
      <c r="L141" s="34">
        <f t="shared" si="37"/>
        <v>202702.7028</v>
      </c>
      <c r="M141" s="34">
        <f t="shared" si="38"/>
        <v>0</v>
      </c>
      <c r="N141" s="114">
        <v>0</v>
      </c>
      <c r="O141" s="139"/>
      <c r="P141" s="407">
        <f t="shared" si="34"/>
        <v>757444.37</v>
      </c>
      <c r="Q141" s="407"/>
      <c r="R141" s="24">
        <f t="shared" si="35"/>
        <v>1.37</v>
      </c>
      <c r="S141" s="1">
        <f t="shared" si="39"/>
        <v>137</v>
      </c>
    </row>
    <row r="142" spans="1:20" ht="24.95" customHeight="1" x14ac:dyDescent="0.25">
      <c r="A142" s="28"/>
      <c r="B142" s="28">
        <f t="shared" si="41"/>
        <v>138</v>
      </c>
      <c r="C142" s="28" t="s">
        <v>146</v>
      </c>
      <c r="D142" s="31">
        <v>6.4999999999999997E-3</v>
      </c>
      <c r="E142" s="164">
        <v>810230.38</v>
      </c>
      <c r="F142" s="165">
        <f>E142</f>
        <v>810230.38</v>
      </c>
      <c r="G142" s="90">
        <f t="shared" si="17"/>
        <v>0</v>
      </c>
      <c r="H142" s="33">
        <f t="shared" si="40"/>
        <v>0</v>
      </c>
      <c r="I142" s="34">
        <f t="shared" si="31"/>
        <v>468000</v>
      </c>
      <c r="J142" s="34">
        <f t="shared" si="33"/>
        <v>0</v>
      </c>
      <c r="K142" s="34">
        <f t="shared" si="36"/>
        <v>165940.54062019198</v>
      </c>
      <c r="L142" s="34">
        <f t="shared" si="37"/>
        <v>202702.7028</v>
      </c>
      <c r="M142" s="34">
        <f t="shared" si="38"/>
        <v>0</v>
      </c>
      <c r="N142" s="114">
        <v>0</v>
      </c>
      <c r="O142" s="139"/>
      <c r="P142" s="407">
        <f t="shared" si="34"/>
        <v>836644.38</v>
      </c>
      <c r="Q142" s="407"/>
      <c r="R142" s="24">
        <f t="shared" si="35"/>
        <v>1.38</v>
      </c>
      <c r="S142" s="1">
        <f t="shared" si="39"/>
        <v>138</v>
      </c>
      <c r="T142" t="s">
        <v>354</v>
      </c>
    </row>
    <row r="143" spans="1:20" ht="24.95" customHeight="1" x14ac:dyDescent="0.25">
      <c r="A143" s="28"/>
      <c r="B143" s="28">
        <f t="shared" si="41"/>
        <v>139</v>
      </c>
      <c r="C143" s="28" t="s">
        <v>147</v>
      </c>
      <c r="D143" s="31">
        <v>6.1000000000000004E-3</v>
      </c>
      <c r="E143" s="164">
        <v>782630.39</v>
      </c>
      <c r="F143" s="165">
        <f>390336.39+400000</f>
        <v>790336.39</v>
      </c>
      <c r="G143" s="90">
        <f t="shared" si="17"/>
        <v>-7706</v>
      </c>
      <c r="H143" s="33">
        <f t="shared" si="40"/>
        <v>0</v>
      </c>
      <c r="I143" s="34">
        <f t="shared" si="31"/>
        <v>439200</v>
      </c>
      <c r="J143" s="34">
        <f t="shared" si="33"/>
        <v>0</v>
      </c>
      <c r="K143" s="34">
        <f t="shared" si="36"/>
        <v>165940.54062019198</v>
      </c>
      <c r="L143" s="34">
        <f>P$1*0.675675676%</f>
        <v>202702.7028</v>
      </c>
      <c r="M143" s="34">
        <f t="shared" si="38"/>
        <v>0</v>
      </c>
      <c r="N143" s="114">
        <v>0</v>
      </c>
      <c r="O143" s="139"/>
      <c r="P143" s="407">
        <f t="shared" si="34"/>
        <v>800138.39</v>
      </c>
      <c r="Q143" s="407"/>
      <c r="R143" s="24">
        <f t="shared" si="35"/>
        <v>1.39</v>
      </c>
      <c r="S143" s="1">
        <f t="shared" si="39"/>
        <v>139</v>
      </c>
      <c r="T143" t="s">
        <v>304</v>
      </c>
    </row>
    <row r="144" spans="1:20" ht="24.95" customHeight="1" x14ac:dyDescent="0.25">
      <c r="A144" s="28"/>
      <c r="B144" s="28">
        <f t="shared" si="41"/>
        <v>140</v>
      </c>
      <c r="C144" s="28" t="s">
        <v>148</v>
      </c>
      <c r="D144" s="31">
        <v>0.18509999999999999</v>
      </c>
      <c r="E144" s="167"/>
      <c r="F144" s="165"/>
      <c r="G144" s="90"/>
      <c r="H144" s="33"/>
      <c r="I144" s="34"/>
      <c r="J144" s="34"/>
      <c r="K144" s="34"/>
      <c r="L144" s="34"/>
      <c r="M144" s="34"/>
      <c r="N144" s="114"/>
      <c r="O144" s="139"/>
      <c r="P144" s="407"/>
      <c r="Q144" s="407"/>
      <c r="R144" s="24">
        <f t="shared" si="35"/>
        <v>1.4</v>
      </c>
      <c r="S144" s="1">
        <f t="shared" si="39"/>
        <v>140</v>
      </c>
    </row>
    <row r="145" spans="1:21" ht="24.95" customHeight="1" x14ac:dyDescent="0.25">
      <c r="A145" s="28"/>
      <c r="B145" s="28">
        <f t="shared" si="41"/>
        <v>141</v>
      </c>
      <c r="C145" s="28" t="s">
        <v>148</v>
      </c>
      <c r="D145" s="31">
        <v>0.156</v>
      </c>
      <c r="E145" s="167"/>
      <c r="F145" s="165"/>
      <c r="G145" s="90"/>
      <c r="H145" s="33"/>
      <c r="I145" s="34"/>
      <c r="J145" s="34"/>
      <c r="K145" s="34"/>
      <c r="L145" s="34"/>
      <c r="M145" s="34"/>
      <c r="N145" s="114"/>
      <c r="O145" s="139"/>
      <c r="P145" s="407"/>
      <c r="Q145" s="407"/>
      <c r="R145" s="24">
        <f t="shared" si="35"/>
        <v>1.41</v>
      </c>
      <c r="S145" s="1">
        <f t="shared" si="39"/>
        <v>141</v>
      </c>
    </row>
    <row r="146" spans="1:21" ht="24.95" customHeight="1" x14ac:dyDescent="0.25">
      <c r="A146" s="28"/>
      <c r="B146" s="28"/>
      <c r="C146" s="28"/>
      <c r="D146" s="31"/>
      <c r="E146" s="167"/>
      <c r="F146" s="165"/>
      <c r="G146" s="90"/>
      <c r="H146" s="33"/>
      <c r="I146" s="34"/>
      <c r="J146" s="34"/>
      <c r="K146" s="34"/>
      <c r="L146" s="34"/>
      <c r="M146" s="34"/>
      <c r="N146" s="114"/>
      <c r="O146" s="139"/>
      <c r="P146" s="411"/>
      <c r="Q146" s="411"/>
      <c r="R146" s="24">
        <f t="shared" si="35"/>
        <v>0</v>
      </c>
      <c r="S146" s="1">
        <f t="shared" si="39"/>
        <v>0</v>
      </c>
    </row>
    <row r="147" spans="1:21" ht="24.95" customHeight="1" x14ac:dyDescent="0.25">
      <c r="A147" s="28"/>
      <c r="B147" s="28"/>
      <c r="C147" s="28"/>
      <c r="D147" s="31"/>
      <c r="E147" s="167"/>
      <c r="F147" s="165"/>
      <c r="G147" s="90"/>
      <c r="H147" s="33"/>
      <c r="I147" s="34"/>
      <c r="J147" s="34"/>
      <c r="K147" s="34"/>
      <c r="L147" s="34"/>
      <c r="M147" s="34"/>
      <c r="N147" s="114"/>
      <c r="O147" s="139"/>
      <c r="P147" s="411"/>
      <c r="Q147" s="411"/>
      <c r="R147" s="24">
        <f t="shared" si="35"/>
        <v>0</v>
      </c>
      <c r="S147" s="1">
        <f t="shared" si="39"/>
        <v>0</v>
      </c>
    </row>
    <row r="148" spans="1:21" ht="24.95" customHeight="1" x14ac:dyDescent="0.25">
      <c r="A148" s="28"/>
      <c r="B148" s="28">
        <v>146</v>
      </c>
      <c r="C148" s="28" t="s">
        <v>83</v>
      </c>
      <c r="D148" s="31">
        <v>3.8E-3</v>
      </c>
      <c r="E148" s="167">
        <v>882467.46</v>
      </c>
      <c r="F148" s="165">
        <f t="shared" ref="F148:F157" si="42">E148</f>
        <v>882467.46</v>
      </c>
      <c r="G148" s="90">
        <f t="shared" si="17"/>
        <v>0</v>
      </c>
      <c r="H148" s="33">
        <f t="shared" si="40"/>
        <v>0</v>
      </c>
      <c r="I148" s="34">
        <f t="shared" si="31"/>
        <v>273600</v>
      </c>
      <c r="J148" s="34">
        <f t="shared" ref="J148:J157" si="43">P$2*D148</f>
        <v>0</v>
      </c>
      <c r="K148" s="34">
        <f t="shared" ref="K148:K157" si="44">G$2*0.675675676%</f>
        <v>165940.54062019198</v>
      </c>
      <c r="L148" s="34">
        <f>P$1*0.675675676%</f>
        <v>202702.7028</v>
      </c>
      <c r="M148" s="34">
        <v>47924</v>
      </c>
      <c r="N148" s="114">
        <f>(I148+K148)/2</f>
        <v>219770.27031009598</v>
      </c>
      <c r="O148" s="139"/>
      <c r="P148" s="407">
        <f t="shared" ref="P148:P157" si="45">ROUND(SUM(G148:O148),0) + R148</f>
        <v>909939.46</v>
      </c>
      <c r="Q148" s="407"/>
      <c r="R148" s="24">
        <f t="shared" si="35"/>
        <v>1.46</v>
      </c>
      <c r="S148" s="1">
        <f t="shared" si="39"/>
        <v>146</v>
      </c>
    </row>
    <row r="149" spans="1:21" ht="24.95" customHeight="1" x14ac:dyDescent="0.25">
      <c r="A149" s="28"/>
      <c r="B149" s="28">
        <v>155</v>
      </c>
      <c r="C149" s="28" t="s">
        <v>470</v>
      </c>
      <c r="D149" s="31">
        <v>4.2300000000000003E-3</v>
      </c>
      <c r="E149" s="167">
        <v>0</v>
      </c>
      <c r="F149" s="165">
        <v>0</v>
      </c>
      <c r="G149" s="90"/>
      <c r="H149" s="33"/>
      <c r="I149" s="34">
        <f t="shared" si="31"/>
        <v>304560</v>
      </c>
      <c r="J149" s="34"/>
      <c r="K149" s="34">
        <f t="shared" si="44"/>
        <v>165940.54062019198</v>
      </c>
      <c r="L149" s="34">
        <f>P$1*0.675675676%</f>
        <v>202702.7028</v>
      </c>
      <c r="M149" s="34">
        <f t="shared" si="38"/>
        <v>0</v>
      </c>
      <c r="N149" s="114">
        <v>0</v>
      </c>
      <c r="O149" s="139"/>
      <c r="P149" s="407">
        <f>ROUND(SUM(G149:O149),0) + R149</f>
        <v>673204.55</v>
      </c>
      <c r="Q149" s="407"/>
      <c r="R149" s="24">
        <f t="shared" si="35"/>
        <v>1.55</v>
      </c>
      <c r="S149" s="1">
        <f t="shared" si="39"/>
        <v>155</v>
      </c>
    </row>
    <row r="150" spans="1:21" ht="24.95" customHeight="1" x14ac:dyDescent="0.25">
      <c r="A150" s="28"/>
      <c r="B150" s="28">
        <v>158</v>
      </c>
      <c r="C150" s="28" t="s">
        <v>52</v>
      </c>
      <c r="D150" s="31">
        <v>4.5999999999999999E-3</v>
      </c>
      <c r="E150" s="167">
        <v>679130.58</v>
      </c>
      <c r="F150" s="165">
        <f t="shared" si="42"/>
        <v>679130.58</v>
      </c>
      <c r="G150" s="90">
        <f t="shared" si="17"/>
        <v>0</v>
      </c>
      <c r="H150" s="33">
        <f t="shared" si="40"/>
        <v>0</v>
      </c>
      <c r="I150" s="34">
        <f t="shared" si="31"/>
        <v>331200</v>
      </c>
      <c r="J150" s="34">
        <f t="shared" si="43"/>
        <v>0</v>
      </c>
      <c r="K150" s="34">
        <f t="shared" si="44"/>
        <v>165940.54062019198</v>
      </c>
      <c r="L150" s="34">
        <f t="shared" ref="L150:L157" si="46">P$1*0.675675676%</f>
        <v>202702.7028</v>
      </c>
      <c r="M150" s="34">
        <f t="shared" si="38"/>
        <v>0</v>
      </c>
      <c r="N150" s="114">
        <v>0</v>
      </c>
      <c r="O150" s="34"/>
      <c r="P150" s="407">
        <f t="shared" si="45"/>
        <v>699844.58</v>
      </c>
      <c r="Q150" s="407"/>
      <c r="R150" s="24">
        <f t="shared" si="35"/>
        <v>1.58</v>
      </c>
      <c r="S150" s="1">
        <f t="shared" si="39"/>
        <v>158</v>
      </c>
    </row>
    <row r="151" spans="1:21" ht="24.95" customHeight="1" x14ac:dyDescent="0.25">
      <c r="A151" s="28"/>
      <c r="B151" s="28">
        <v>159</v>
      </c>
      <c r="C151" s="28" t="s">
        <v>52</v>
      </c>
      <c r="D151" s="31">
        <v>4.5999999999999999E-3</v>
      </c>
      <c r="E151" s="167">
        <v>679130.59</v>
      </c>
      <c r="F151" s="165">
        <f t="shared" si="42"/>
        <v>679130.59</v>
      </c>
      <c r="G151" s="90">
        <f t="shared" si="17"/>
        <v>0</v>
      </c>
      <c r="H151" s="33">
        <f t="shared" si="40"/>
        <v>0</v>
      </c>
      <c r="I151" s="34">
        <f t="shared" si="31"/>
        <v>331200</v>
      </c>
      <c r="J151" s="34">
        <f t="shared" si="43"/>
        <v>0</v>
      </c>
      <c r="K151" s="34">
        <f t="shared" si="44"/>
        <v>165940.54062019198</v>
      </c>
      <c r="L151" s="34">
        <f t="shared" si="46"/>
        <v>202702.7028</v>
      </c>
      <c r="M151" s="34">
        <f t="shared" si="38"/>
        <v>0</v>
      </c>
      <c r="N151" s="34">
        <v>0</v>
      </c>
      <c r="O151" s="34"/>
      <c r="P151" s="407">
        <f t="shared" si="45"/>
        <v>699844.59</v>
      </c>
      <c r="Q151" s="407"/>
      <c r="R151" s="24">
        <f t="shared" si="35"/>
        <v>1.59</v>
      </c>
      <c r="S151" s="1">
        <f t="shared" si="39"/>
        <v>159</v>
      </c>
    </row>
    <row r="152" spans="1:21" ht="24.95" customHeight="1" x14ac:dyDescent="0.25">
      <c r="A152" s="29"/>
      <c r="B152" s="29">
        <v>163</v>
      </c>
      <c r="C152" s="28" t="s">
        <v>84</v>
      </c>
      <c r="D152" s="31">
        <v>4.5999999999999999E-3</v>
      </c>
      <c r="E152" s="167">
        <v>679130.63</v>
      </c>
      <c r="F152" s="165">
        <f t="shared" si="42"/>
        <v>679130.63</v>
      </c>
      <c r="G152" s="90">
        <f t="shared" si="17"/>
        <v>0</v>
      </c>
      <c r="H152" s="33">
        <f t="shared" si="40"/>
        <v>0</v>
      </c>
      <c r="I152" s="34">
        <f t="shared" si="31"/>
        <v>331200</v>
      </c>
      <c r="J152" s="34">
        <f t="shared" si="43"/>
        <v>0</v>
      </c>
      <c r="K152" s="34">
        <f t="shared" si="44"/>
        <v>165940.54062019198</v>
      </c>
      <c r="L152" s="34">
        <f t="shared" si="46"/>
        <v>202702.7028</v>
      </c>
      <c r="M152" s="34">
        <f t="shared" si="38"/>
        <v>0</v>
      </c>
      <c r="N152" s="34">
        <v>0</v>
      </c>
      <c r="O152" s="34"/>
      <c r="P152" s="407">
        <f t="shared" si="45"/>
        <v>699844.63</v>
      </c>
      <c r="Q152" s="407"/>
      <c r="R152" s="24">
        <f t="shared" si="35"/>
        <v>1.63</v>
      </c>
      <c r="S152" s="1">
        <f t="shared" si="39"/>
        <v>163</v>
      </c>
    </row>
    <row r="153" spans="1:21" ht="24.95" customHeight="1" x14ac:dyDescent="0.25">
      <c r="A153" s="29"/>
      <c r="B153" s="29">
        <v>168</v>
      </c>
      <c r="C153" s="28" t="s">
        <v>52</v>
      </c>
      <c r="D153" s="31">
        <v>4.4000000000000003E-3</v>
      </c>
      <c r="E153" s="167">
        <v>665330.68000000005</v>
      </c>
      <c r="F153" s="165">
        <f t="shared" si="42"/>
        <v>665330.68000000005</v>
      </c>
      <c r="G153" s="90">
        <f t="shared" si="17"/>
        <v>0</v>
      </c>
      <c r="H153" s="33">
        <f t="shared" si="40"/>
        <v>0</v>
      </c>
      <c r="I153" s="34">
        <f t="shared" si="31"/>
        <v>316800</v>
      </c>
      <c r="J153" s="34">
        <f t="shared" si="43"/>
        <v>0</v>
      </c>
      <c r="K153" s="34">
        <f t="shared" si="44"/>
        <v>165940.54062019198</v>
      </c>
      <c r="L153" s="34">
        <f t="shared" si="46"/>
        <v>202702.7028</v>
      </c>
      <c r="M153" s="34">
        <f t="shared" si="38"/>
        <v>0</v>
      </c>
      <c r="N153" s="34">
        <v>0</v>
      </c>
      <c r="O153" s="34"/>
      <c r="P153" s="407">
        <f t="shared" si="45"/>
        <v>685444.68</v>
      </c>
      <c r="Q153" s="407"/>
      <c r="R153" s="24">
        <f t="shared" si="35"/>
        <v>1.68</v>
      </c>
      <c r="S153" s="1">
        <f t="shared" si="39"/>
        <v>168</v>
      </c>
    </row>
    <row r="154" spans="1:21" ht="24.95" customHeight="1" x14ac:dyDescent="0.25">
      <c r="A154" s="29"/>
      <c r="B154" s="29">
        <v>173</v>
      </c>
      <c r="C154" s="28" t="s">
        <v>85</v>
      </c>
      <c r="D154" s="31">
        <v>4.5999999999999999E-3</v>
      </c>
      <c r="E154" s="167">
        <v>679130.73</v>
      </c>
      <c r="F154" s="165">
        <f t="shared" si="42"/>
        <v>679130.73</v>
      </c>
      <c r="G154" s="90">
        <f t="shared" si="17"/>
        <v>0</v>
      </c>
      <c r="H154" s="33">
        <f t="shared" si="40"/>
        <v>0</v>
      </c>
      <c r="I154" s="34">
        <f t="shared" si="31"/>
        <v>331200</v>
      </c>
      <c r="J154" s="34">
        <f t="shared" si="43"/>
        <v>0</v>
      </c>
      <c r="K154" s="34">
        <f t="shared" si="44"/>
        <v>165940.54062019198</v>
      </c>
      <c r="L154" s="34">
        <f t="shared" si="46"/>
        <v>202702.7028</v>
      </c>
      <c r="M154" s="34">
        <f t="shared" si="38"/>
        <v>0</v>
      </c>
      <c r="N154" s="34">
        <v>0</v>
      </c>
      <c r="O154" s="34"/>
      <c r="P154" s="407">
        <f t="shared" si="45"/>
        <v>699844.73</v>
      </c>
      <c r="Q154" s="407"/>
      <c r="R154" s="24">
        <f t="shared" si="35"/>
        <v>1.73</v>
      </c>
      <c r="S154" s="1">
        <f t="shared" si="39"/>
        <v>173</v>
      </c>
    </row>
    <row r="155" spans="1:21" ht="24.95" customHeight="1" x14ac:dyDescent="0.25">
      <c r="A155" s="29"/>
      <c r="B155" s="29">
        <v>175</v>
      </c>
      <c r="C155" s="28" t="s">
        <v>85</v>
      </c>
      <c r="D155" s="31">
        <v>4.5999999999999999E-3</v>
      </c>
      <c r="E155" s="167">
        <v>679130.75</v>
      </c>
      <c r="F155" s="165">
        <f t="shared" si="42"/>
        <v>679130.75</v>
      </c>
      <c r="G155" s="90">
        <f t="shared" si="17"/>
        <v>0</v>
      </c>
      <c r="H155" s="33">
        <f t="shared" si="40"/>
        <v>0</v>
      </c>
      <c r="I155" s="34">
        <f t="shared" si="31"/>
        <v>331200</v>
      </c>
      <c r="J155" s="34">
        <f t="shared" si="43"/>
        <v>0</v>
      </c>
      <c r="K155" s="34">
        <f t="shared" si="44"/>
        <v>165940.54062019198</v>
      </c>
      <c r="L155" s="34">
        <f t="shared" si="46"/>
        <v>202702.7028</v>
      </c>
      <c r="M155" s="34">
        <f t="shared" si="38"/>
        <v>0</v>
      </c>
      <c r="N155" s="34">
        <v>0</v>
      </c>
      <c r="O155" s="34"/>
      <c r="P155" s="407">
        <f t="shared" si="45"/>
        <v>699844.75</v>
      </c>
      <c r="Q155" s="407"/>
      <c r="R155" s="24">
        <f t="shared" si="35"/>
        <v>1.75</v>
      </c>
      <c r="S155" s="1">
        <f t="shared" si="39"/>
        <v>175</v>
      </c>
      <c r="U155" t="s">
        <v>230</v>
      </c>
    </row>
    <row r="156" spans="1:21" ht="24.95" customHeight="1" x14ac:dyDescent="0.25">
      <c r="A156" s="29"/>
      <c r="B156" s="29">
        <v>176</v>
      </c>
      <c r="C156" s="28" t="s">
        <v>84</v>
      </c>
      <c r="D156" s="31">
        <v>4.5999999999999999E-3</v>
      </c>
      <c r="E156" s="167">
        <v>679130.76</v>
      </c>
      <c r="F156" s="165">
        <f t="shared" si="42"/>
        <v>679130.76</v>
      </c>
      <c r="G156" s="90">
        <f t="shared" si="17"/>
        <v>0</v>
      </c>
      <c r="H156" s="33">
        <f t="shared" si="40"/>
        <v>0</v>
      </c>
      <c r="I156" s="34">
        <f t="shared" si="31"/>
        <v>331200</v>
      </c>
      <c r="J156" s="34">
        <f t="shared" si="43"/>
        <v>0</v>
      </c>
      <c r="K156" s="34">
        <f t="shared" si="44"/>
        <v>165940.54062019198</v>
      </c>
      <c r="L156" s="34">
        <f t="shared" si="46"/>
        <v>202702.7028</v>
      </c>
      <c r="M156" s="34">
        <f t="shared" si="38"/>
        <v>0</v>
      </c>
      <c r="N156" s="34">
        <v>0</v>
      </c>
      <c r="O156" s="34"/>
      <c r="P156" s="407">
        <f t="shared" si="45"/>
        <v>699844.76</v>
      </c>
      <c r="Q156" s="407"/>
      <c r="R156" s="24">
        <f t="shared" si="35"/>
        <v>1.76</v>
      </c>
      <c r="S156" s="1">
        <f t="shared" si="39"/>
        <v>176</v>
      </c>
    </row>
    <row r="157" spans="1:21" ht="24.95" customHeight="1" x14ac:dyDescent="0.25">
      <c r="A157" s="29"/>
      <c r="B157" s="29">
        <v>204</v>
      </c>
      <c r="C157" s="28" t="s">
        <v>42</v>
      </c>
      <c r="D157" s="31">
        <v>4.8999999999999998E-3</v>
      </c>
      <c r="E157" s="167">
        <v>699831.04</v>
      </c>
      <c r="F157" s="165">
        <f t="shared" si="42"/>
        <v>699831.04</v>
      </c>
      <c r="G157" s="90">
        <f t="shared" si="17"/>
        <v>0</v>
      </c>
      <c r="H157" s="33">
        <f t="shared" si="40"/>
        <v>0</v>
      </c>
      <c r="I157" s="34">
        <f t="shared" si="31"/>
        <v>352800</v>
      </c>
      <c r="J157" s="34">
        <f t="shared" si="43"/>
        <v>0</v>
      </c>
      <c r="K157" s="34">
        <f t="shared" si="44"/>
        <v>165940.54062019198</v>
      </c>
      <c r="L157" s="34">
        <f t="shared" si="46"/>
        <v>202702.7028</v>
      </c>
      <c r="M157" s="34">
        <f t="shared" si="38"/>
        <v>0</v>
      </c>
      <c r="N157" s="34">
        <v>0</v>
      </c>
      <c r="O157" s="34"/>
      <c r="P157" s="407">
        <f t="shared" si="45"/>
        <v>721445.04</v>
      </c>
      <c r="Q157" s="407"/>
      <c r="R157" s="24">
        <f t="shared" si="35"/>
        <v>2.04</v>
      </c>
      <c r="S157" s="1">
        <f t="shared" si="39"/>
        <v>204</v>
      </c>
      <c r="T157" t="s">
        <v>455</v>
      </c>
    </row>
    <row r="158" spans="1:21" ht="24.95" customHeight="1" x14ac:dyDescent="0.25">
      <c r="A158" s="29"/>
      <c r="B158" s="29"/>
      <c r="C158" s="28"/>
      <c r="D158" s="31"/>
      <c r="E158" s="32"/>
      <c r="F158" s="50"/>
      <c r="G158" s="33"/>
      <c r="H158" s="33"/>
      <c r="I158" s="34"/>
      <c r="J158" s="34"/>
      <c r="K158" s="34"/>
      <c r="L158" s="34"/>
      <c r="M158" s="34"/>
      <c r="N158" s="34"/>
      <c r="O158" s="34"/>
      <c r="P158" s="410"/>
      <c r="Q158" s="410"/>
      <c r="R158" s="24"/>
      <c r="S158" s="1"/>
    </row>
    <row r="159" spans="1:21" ht="24.95" customHeight="1" x14ac:dyDescent="0.25">
      <c r="A159" s="29"/>
      <c r="B159" s="29"/>
      <c r="C159" s="29"/>
      <c r="D159" s="31"/>
      <c r="E159" s="32"/>
      <c r="F159" s="1"/>
      <c r="G159" s="33"/>
      <c r="H159" s="33"/>
      <c r="I159" s="112"/>
      <c r="J159" s="34"/>
      <c r="K159" s="34"/>
      <c r="L159" s="34"/>
      <c r="M159" s="34"/>
      <c r="N159" s="34"/>
      <c r="O159" s="34"/>
      <c r="P159" s="410"/>
      <c r="Q159" s="410"/>
      <c r="R159" s="24"/>
      <c r="S159" s="1"/>
    </row>
    <row r="160" spans="1:21" ht="24.95" customHeight="1" thickBot="1" x14ac:dyDescent="0.3">
      <c r="A160" s="35"/>
      <c r="B160" s="113"/>
      <c r="C160" s="106"/>
      <c r="D160" s="123">
        <f t="shared" ref="D160:O160" si="47">SUM(D5:D159)</f>
        <v>1.0449300000000001</v>
      </c>
      <c r="E160" s="107">
        <f t="shared" si="47"/>
        <v>142178003.51999995</v>
      </c>
      <c r="F160" s="108">
        <f>SUM(F5:F159)</f>
        <v>106079579.52</v>
      </c>
      <c r="G160" s="109">
        <f t="shared" si="47"/>
        <v>36098423.999999993</v>
      </c>
      <c r="H160" s="110"/>
      <c r="I160" s="110">
        <f t="shared" si="47"/>
        <v>50675760</v>
      </c>
      <c r="J160" s="110">
        <f t="shared" si="47"/>
        <v>0</v>
      </c>
      <c r="K160" s="111">
        <f t="shared" si="47"/>
        <v>24725140.552408691</v>
      </c>
      <c r="L160" s="115">
        <f t="shared" si="47"/>
        <v>30202702.717199888</v>
      </c>
      <c r="M160" s="111">
        <f t="shared" si="47"/>
        <v>530311</v>
      </c>
      <c r="N160" s="111">
        <f t="shared" si="47"/>
        <v>2179532.4327908638</v>
      </c>
      <c r="O160" s="111">
        <f t="shared" si="47"/>
        <v>527939.77999999991</v>
      </c>
      <c r="P160" s="408">
        <f>SUM(P5:P159)</f>
        <v>146120193.06999999</v>
      </c>
      <c r="Q160" s="409"/>
      <c r="R160" s="408"/>
      <c r="S160" s="409"/>
    </row>
    <row r="161" spans="3:16" ht="12" customHeight="1" thickBot="1" x14ac:dyDescent="0.3">
      <c r="F161" s="51"/>
    </row>
    <row r="162" spans="3:16" ht="15" customHeight="1" x14ac:dyDescent="0.25">
      <c r="C162" s="398" t="s">
        <v>309</v>
      </c>
      <c r="D162" s="399"/>
      <c r="E162" s="399"/>
      <c r="F162" s="399"/>
      <c r="G162" s="399"/>
      <c r="H162" s="399"/>
      <c r="I162" s="399"/>
      <c r="J162" s="399"/>
      <c r="K162" s="399"/>
      <c r="L162" s="399"/>
      <c r="M162" s="399"/>
      <c r="N162" s="399"/>
      <c r="O162" s="399"/>
      <c r="P162" s="400"/>
    </row>
    <row r="163" spans="3:16" ht="26.25" customHeight="1" thickBot="1" x14ac:dyDescent="0.3">
      <c r="C163" s="404"/>
      <c r="D163" s="405"/>
      <c r="E163" s="405"/>
      <c r="F163" s="405"/>
      <c r="G163" s="405"/>
      <c r="H163" s="405"/>
      <c r="I163" s="405"/>
      <c r="J163" s="405"/>
      <c r="K163" s="405"/>
      <c r="L163" s="405"/>
      <c r="M163" s="405"/>
      <c r="N163" s="405"/>
      <c r="O163" s="405"/>
      <c r="P163" s="406"/>
    </row>
    <row r="164" spans="3:16" ht="10.5" hidden="1" customHeight="1" x14ac:dyDescent="0.25">
      <c r="C164" s="398" t="s">
        <v>277</v>
      </c>
      <c r="D164" s="399"/>
      <c r="E164" s="399"/>
      <c r="F164" s="399"/>
      <c r="G164" s="399"/>
      <c r="H164" s="399"/>
      <c r="I164" s="399"/>
      <c r="J164" s="399"/>
      <c r="K164" s="399"/>
      <c r="L164" s="399"/>
      <c r="M164" s="399"/>
      <c r="N164" s="399"/>
      <c r="O164" s="399"/>
      <c r="P164" s="400"/>
    </row>
    <row r="165" spans="3:16" ht="15" hidden="1" customHeight="1" x14ac:dyDescent="0.25">
      <c r="C165" s="401"/>
      <c r="D165" s="402"/>
      <c r="E165" s="402"/>
      <c r="F165" s="402"/>
      <c r="G165" s="402"/>
      <c r="H165" s="402"/>
      <c r="I165" s="402"/>
      <c r="J165" s="402"/>
      <c r="K165" s="402"/>
      <c r="L165" s="402"/>
      <c r="M165" s="402"/>
      <c r="N165" s="402"/>
      <c r="O165" s="402"/>
      <c r="P165" s="403"/>
    </row>
    <row r="166" spans="3:16" ht="6" customHeight="1" x14ac:dyDescent="0.25">
      <c r="C166" s="401"/>
      <c r="D166" s="402"/>
      <c r="E166" s="402"/>
      <c r="F166" s="402"/>
      <c r="G166" s="402"/>
      <c r="H166" s="402"/>
      <c r="I166" s="402"/>
      <c r="J166" s="402"/>
      <c r="K166" s="402"/>
      <c r="L166" s="402"/>
      <c r="M166" s="402"/>
      <c r="N166" s="402"/>
      <c r="O166" s="402"/>
      <c r="P166" s="403"/>
    </row>
    <row r="167" spans="3:16" ht="164.25" customHeight="1" thickBot="1" x14ac:dyDescent="0.3">
      <c r="C167" s="404"/>
      <c r="D167" s="405"/>
      <c r="E167" s="405"/>
      <c r="F167" s="405"/>
      <c r="G167" s="405"/>
      <c r="H167" s="405"/>
      <c r="I167" s="405"/>
      <c r="J167" s="405"/>
      <c r="K167" s="405"/>
      <c r="L167" s="405"/>
      <c r="M167" s="405"/>
      <c r="N167" s="405"/>
      <c r="O167" s="405"/>
      <c r="P167" s="406"/>
    </row>
  </sheetData>
  <mergeCells count="184">
    <mergeCell ref="S3:S4"/>
    <mergeCell ref="R160:S160"/>
    <mergeCell ref="A3:A4"/>
    <mergeCell ref="B3:B4"/>
    <mergeCell ref="C3:C4"/>
    <mergeCell ref="D3:D4"/>
    <mergeCell ref="K3:K4"/>
    <mergeCell ref="H3:H4"/>
    <mergeCell ref="E3:E4"/>
    <mergeCell ref="F3:F4"/>
    <mergeCell ref="G3:G4"/>
    <mergeCell ref="I3:I4"/>
    <mergeCell ref="J3:J4"/>
    <mergeCell ref="P5:Q5"/>
    <mergeCell ref="P6:Q6"/>
    <mergeCell ref="P7:Q7"/>
    <mergeCell ref="P8:Q8"/>
    <mergeCell ref="P9:Q9"/>
    <mergeCell ref="P25:Q25"/>
    <mergeCell ref="P26:Q26"/>
    <mergeCell ref="P27:Q27"/>
    <mergeCell ref="P28:Q28"/>
    <mergeCell ref="P29:Q29"/>
    <mergeCell ref="P20:Q20"/>
    <mergeCell ref="P15:Q15"/>
    <mergeCell ref="P16:Q16"/>
    <mergeCell ref="P17:Q17"/>
    <mergeCell ref="P18:Q18"/>
    <mergeCell ref="P19:Q19"/>
    <mergeCell ref="P10:Q10"/>
    <mergeCell ref="P11:Q11"/>
    <mergeCell ref="P12:Q12"/>
    <mergeCell ref="P13:Q13"/>
    <mergeCell ref="P14:Q14"/>
    <mergeCell ref="D1:E1"/>
    <mergeCell ref="K1:L1"/>
    <mergeCell ref="L3:L4"/>
    <mergeCell ref="K2:L2"/>
    <mergeCell ref="M3:M4"/>
    <mergeCell ref="P1:Q1"/>
    <mergeCell ref="P2:Q2"/>
    <mergeCell ref="G2:H2"/>
    <mergeCell ref="N3:N4"/>
    <mergeCell ref="F1:G1"/>
    <mergeCell ref="O3:O4"/>
    <mergeCell ref="C2:E2"/>
    <mergeCell ref="P3:Q4"/>
    <mergeCell ref="P21:Q21"/>
    <mergeCell ref="P22:Q22"/>
    <mergeCell ref="P23:Q23"/>
    <mergeCell ref="P24:Q24"/>
    <mergeCell ref="P35:Q35"/>
    <mergeCell ref="P36:Q36"/>
    <mergeCell ref="P37:Q37"/>
    <mergeCell ref="P38:Q38"/>
    <mergeCell ref="P39:Q39"/>
    <mergeCell ref="P30:Q30"/>
    <mergeCell ref="P31:Q31"/>
    <mergeCell ref="P32:Q32"/>
    <mergeCell ref="P33:Q33"/>
    <mergeCell ref="P34:Q34"/>
    <mergeCell ref="P45:Q45"/>
    <mergeCell ref="P46:Q46"/>
    <mergeCell ref="P47:Q47"/>
    <mergeCell ref="P48:Q48"/>
    <mergeCell ref="P49:Q49"/>
    <mergeCell ref="P40:Q40"/>
    <mergeCell ref="P41:Q41"/>
    <mergeCell ref="P42:Q42"/>
    <mergeCell ref="P43:Q43"/>
    <mergeCell ref="P44:Q44"/>
    <mergeCell ref="P55:Q55"/>
    <mergeCell ref="P56:Q56"/>
    <mergeCell ref="P57:Q57"/>
    <mergeCell ref="P58:Q58"/>
    <mergeCell ref="P59:Q59"/>
    <mergeCell ref="P50:Q50"/>
    <mergeCell ref="P51:Q51"/>
    <mergeCell ref="P52:Q52"/>
    <mergeCell ref="P53:Q53"/>
    <mergeCell ref="P54:Q54"/>
    <mergeCell ref="P65:Q65"/>
    <mergeCell ref="P66:Q66"/>
    <mergeCell ref="P67:Q67"/>
    <mergeCell ref="P68:Q68"/>
    <mergeCell ref="P69:Q69"/>
    <mergeCell ref="P60:Q60"/>
    <mergeCell ref="P61:Q61"/>
    <mergeCell ref="P62:Q62"/>
    <mergeCell ref="P63:Q63"/>
    <mergeCell ref="P64:Q64"/>
    <mergeCell ref="P75:Q75"/>
    <mergeCell ref="P76:Q76"/>
    <mergeCell ref="P77:Q77"/>
    <mergeCell ref="P78:Q78"/>
    <mergeCell ref="P79:Q79"/>
    <mergeCell ref="P70:Q70"/>
    <mergeCell ref="P71:Q71"/>
    <mergeCell ref="P72:Q72"/>
    <mergeCell ref="P73:Q73"/>
    <mergeCell ref="P74:Q74"/>
    <mergeCell ref="P85:Q85"/>
    <mergeCell ref="P86:Q86"/>
    <mergeCell ref="P87:Q87"/>
    <mergeCell ref="P88:Q88"/>
    <mergeCell ref="P89:Q89"/>
    <mergeCell ref="P80:Q80"/>
    <mergeCell ref="P81:Q81"/>
    <mergeCell ref="P82:Q82"/>
    <mergeCell ref="P83:Q83"/>
    <mergeCell ref="P84:Q84"/>
    <mergeCell ref="P95:Q95"/>
    <mergeCell ref="P96:Q96"/>
    <mergeCell ref="P97:Q97"/>
    <mergeCell ref="P98:Q98"/>
    <mergeCell ref="P99:Q99"/>
    <mergeCell ref="P90:Q90"/>
    <mergeCell ref="P91:Q91"/>
    <mergeCell ref="P92:Q92"/>
    <mergeCell ref="P93:Q93"/>
    <mergeCell ref="P94:Q94"/>
    <mergeCell ref="P105:Q105"/>
    <mergeCell ref="P106:Q106"/>
    <mergeCell ref="P107:Q107"/>
    <mergeCell ref="P108:Q108"/>
    <mergeCell ref="P109:Q109"/>
    <mergeCell ref="P100:Q100"/>
    <mergeCell ref="P101:Q101"/>
    <mergeCell ref="P102:Q102"/>
    <mergeCell ref="P103:Q103"/>
    <mergeCell ref="P104:Q104"/>
    <mergeCell ref="P115:Q115"/>
    <mergeCell ref="P116:Q116"/>
    <mergeCell ref="P117:Q117"/>
    <mergeCell ref="P118:Q118"/>
    <mergeCell ref="P119:Q119"/>
    <mergeCell ref="P110:Q110"/>
    <mergeCell ref="P111:Q111"/>
    <mergeCell ref="P112:Q112"/>
    <mergeCell ref="P113:Q113"/>
    <mergeCell ref="P114:Q114"/>
    <mergeCell ref="P125:Q125"/>
    <mergeCell ref="P126:Q126"/>
    <mergeCell ref="P127:Q127"/>
    <mergeCell ref="P128:Q128"/>
    <mergeCell ref="P129:Q129"/>
    <mergeCell ref="P120:Q120"/>
    <mergeCell ref="P121:Q121"/>
    <mergeCell ref="P122:Q122"/>
    <mergeCell ref="P123:Q123"/>
    <mergeCell ref="P124:Q124"/>
    <mergeCell ref="P135:Q135"/>
    <mergeCell ref="P136:Q136"/>
    <mergeCell ref="P137:Q137"/>
    <mergeCell ref="P138:Q138"/>
    <mergeCell ref="P139:Q139"/>
    <mergeCell ref="P130:Q130"/>
    <mergeCell ref="P131:Q131"/>
    <mergeCell ref="P132:Q132"/>
    <mergeCell ref="P133:Q133"/>
    <mergeCell ref="P134:Q134"/>
    <mergeCell ref="P145:Q145"/>
    <mergeCell ref="P146:Q146"/>
    <mergeCell ref="P147:Q147"/>
    <mergeCell ref="P148:Q148"/>
    <mergeCell ref="P150:Q150"/>
    <mergeCell ref="P140:Q140"/>
    <mergeCell ref="P141:Q141"/>
    <mergeCell ref="P142:Q142"/>
    <mergeCell ref="P143:Q143"/>
    <mergeCell ref="P144:Q144"/>
    <mergeCell ref="P149:Q149"/>
    <mergeCell ref="C164:P167"/>
    <mergeCell ref="C162:P163"/>
    <mergeCell ref="P156:Q156"/>
    <mergeCell ref="P157:Q157"/>
    <mergeCell ref="P160:Q160"/>
    <mergeCell ref="P158:Q158"/>
    <mergeCell ref="P159:Q159"/>
    <mergeCell ref="P151:Q151"/>
    <mergeCell ref="P152:Q152"/>
    <mergeCell ref="P153:Q153"/>
    <mergeCell ref="P154:Q154"/>
    <mergeCell ref="P155:Q155"/>
  </mergeCells>
  <hyperlinks>
    <hyperlink ref="T65" r:id="rId1" xr:uid="{60CCA824-04D7-4098-BB5B-CC4EC0E5DE92}"/>
    <hyperlink ref="T45" r:id="rId2" xr:uid="{FB3F0167-0D80-4D0E-9747-86680AF517F7}"/>
    <hyperlink ref="T35" r:id="rId3" xr:uid="{DC64E9EF-0CAF-49C3-B4C2-A955ADDB9423}"/>
    <hyperlink ref="T38" r:id="rId4" xr:uid="{74F85CC2-F097-4DDA-B018-43C3E1E7AED4}"/>
  </hyperlinks>
  <pageMargins left="0.23622047244094491" right="0.23622047244094491" top="0.74803149606299213" bottom="0.74803149606299213" header="0.31496062992125984" footer="0.31496062992125984"/>
  <pageSetup paperSize="3"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BE5D-A085-4352-B83D-558B648684C3}">
  <dimension ref="C1:M344"/>
  <sheetViews>
    <sheetView topLeftCell="A10" workbookViewId="0">
      <selection activeCell="C11" sqref="C11"/>
    </sheetView>
  </sheetViews>
  <sheetFormatPr baseColWidth="10" defaultColWidth="10.85546875" defaultRowHeight="15" x14ac:dyDescent="0.25"/>
  <cols>
    <col min="14" max="14" width="13" bestFit="1" customWidth="1"/>
  </cols>
  <sheetData>
    <row r="1" spans="3:13" x14ac:dyDescent="0.25">
      <c r="C1" s="152"/>
      <c r="D1" s="152"/>
      <c r="E1" s="152"/>
      <c r="F1" s="152"/>
      <c r="G1" s="152"/>
      <c r="H1" s="152"/>
      <c r="I1" s="152"/>
      <c r="J1" s="152"/>
    </row>
    <row r="2" spans="3:13" ht="15.75" thickBot="1" x14ac:dyDescent="0.3">
      <c r="C2" s="152"/>
      <c r="D2" s="152"/>
      <c r="E2" s="152"/>
      <c r="F2" s="152"/>
      <c r="G2" s="152"/>
      <c r="H2" s="152"/>
      <c r="I2" s="152"/>
      <c r="J2" s="152"/>
    </row>
    <row r="3" spans="3:13" x14ac:dyDescent="0.25">
      <c r="C3" s="203" t="s">
        <v>162</v>
      </c>
      <c r="D3" s="204" t="e">
        <f>#REF!+1</f>
        <v>#REF!</v>
      </c>
      <c r="E3" s="93"/>
      <c r="F3" s="93"/>
      <c r="G3" s="93"/>
      <c r="H3" s="93"/>
      <c r="I3" s="93"/>
      <c r="J3" s="96"/>
    </row>
    <row r="4" spans="3:13" x14ac:dyDescent="0.25">
      <c r="C4" s="205" t="s">
        <v>163</v>
      </c>
      <c r="D4" s="206"/>
      <c r="E4" s="97">
        <v>45890</v>
      </c>
      <c r="F4" s="51"/>
      <c r="G4" s="51" t="s">
        <v>169</v>
      </c>
      <c r="H4" s="141" t="s">
        <v>285</v>
      </c>
      <c r="I4" s="98"/>
      <c r="J4" s="99"/>
      <c r="K4" s="451"/>
      <c r="L4" s="452"/>
      <c r="M4" s="452"/>
    </row>
    <row r="5" spans="3:13" x14ac:dyDescent="0.25">
      <c r="C5" s="205" t="s">
        <v>164</v>
      </c>
      <c r="D5" s="206" t="s">
        <v>165</v>
      </c>
      <c r="E5" s="51" t="s">
        <v>166</v>
      </c>
      <c r="F5" s="51"/>
      <c r="G5" s="51" t="s">
        <v>170</v>
      </c>
      <c r="H5" s="98">
        <v>96</v>
      </c>
      <c r="I5" s="98"/>
      <c r="J5" s="99"/>
      <c r="K5" s="451"/>
      <c r="L5" s="452"/>
      <c r="M5" s="452"/>
    </row>
    <row r="6" spans="3:13" x14ac:dyDescent="0.25">
      <c r="C6" s="94" t="s">
        <v>167</v>
      </c>
      <c r="D6" s="51"/>
      <c r="E6" s="97">
        <v>45890</v>
      </c>
      <c r="F6" s="51"/>
      <c r="G6" s="51"/>
      <c r="H6" s="51"/>
      <c r="I6" s="51"/>
      <c r="J6" s="100"/>
      <c r="K6" s="451"/>
      <c r="L6" s="452"/>
      <c r="M6" s="452"/>
    </row>
    <row r="7" spans="3:13" ht="15.75" thickBot="1" x14ac:dyDescent="0.3">
      <c r="C7" s="94" t="s">
        <v>168</v>
      </c>
      <c r="D7" s="51"/>
      <c r="E7" s="51"/>
      <c r="F7" s="51"/>
      <c r="G7" s="51"/>
      <c r="H7" s="51"/>
      <c r="I7" s="51"/>
      <c r="J7" s="100"/>
      <c r="K7" s="451"/>
      <c r="L7" s="452"/>
      <c r="M7" s="452"/>
    </row>
    <row r="8" spans="3:13" ht="14.45" customHeight="1" x14ac:dyDescent="0.25">
      <c r="C8" s="442" t="s">
        <v>351</v>
      </c>
      <c r="D8" s="453"/>
      <c r="E8" s="453"/>
      <c r="F8" s="453"/>
      <c r="G8" s="453"/>
      <c r="H8" s="453"/>
      <c r="I8" s="453"/>
      <c r="J8" s="454"/>
      <c r="K8" s="451"/>
      <c r="L8" s="452"/>
      <c r="M8" s="452"/>
    </row>
    <row r="9" spans="3:13" ht="13.9" customHeight="1" x14ac:dyDescent="0.25">
      <c r="C9" s="455"/>
      <c r="D9" s="456"/>
      <c r="E9" s="456"/>
      <c r="F9" s="456"/>
      <c r="G9" s="456"/>
      <c r="H9" s="456"/>
      <c r="I9" s="456"/>
      <c r="J9" s="457"/>
      <c r="K9" s="451"/>
      <c r="L9" s="452"/>
      <c r="M9" s="452"/>
    </row>
    <row r="10" spans="3:13" ht="15.75" thickBot="1" x14ac:dyDescent="0.3">
      <c r="C10" s="458"/>
      <c r="D10" s="459"/>
      <c r="E10" s="459"/>
      <c r="F10" s="459"/>
      <c r="G10" s="459"/>
      <c r="H10" s="459"/>
      <c r="I10" s="459"/>
      <c r="J10" s="460"/>
    </row>
    <row r="15" spans="3:13" x14ac:dyDescent="0.25">
      <c r="C15" s="51"/>
      <c r="D15" s="51"/>
      <c r="E15" s="51"/>
      <c r="F15" s="51"/>
      <c r="G15" s="51"/>
      <c r="H15" s="51"/>
      <c r="I15" s="51"/>
      <c r="J15" s="51"/>
    </row>
    <row r="16" spans="3:13" ht="15.75" thickBot="1" x14ac:dyDescent="0.3">
      <c r="C16" s="51"/>
      <c r="D16" s="51"/>
      <c r="E16" s="51"/>
      <c r="F16" s="51"/>
      <c r="G16" s="51"/>
      <c r="H16" s="51"/>
      <c r="I16" s="51"/>
      <c r="J16" s="51"/>
    </row>
    <row r="17" spans="3:13" x14ac:dyDescent="0.25">
      <c r="C17" s="207" t="s">
        <v>162</v>
      </c>
      <c r="D17" s="208" t="e">
        <f>#REF!+1</f>
        <v>#REF!</v>
      </c>
      <c r="E17" s="208"/>
      <c r="F17" s="93"/>
      <c r="G17" s="93"/>
      <c r="H17" s="93"/>
      <c r="I17" s="93"/>
      <c r="J17" s="96"/>
    </row>
    <row r="18" spans="3:13" x14ac:dyDescent="0.25">
      <c r="C18" s="209" t="s">
        <v>163</v>
      </c>
      <c r="D18" s="210"/>
      <c r="E18" s="211">
        <v>45904</v>
      </c>
      <c r="F18" s="51"/>
      <c r="G18" s="51" t="s">
        <v>169</v>
      </c>
      <c r="H18" s="141" t="s">
        <v>291</v>
      </c>
      <c r="I18" s="98"/>
      <c r="J18" s="99"/>
    </row>
    <row r="19" spans="3:13" x14ac:dyDescent="0.25">
      <c r="C19" s="94" t="s">
        <v>164</v>
      </c>
      <c r="D19" s="51" t="s">
        <v>165</v>
      </c>
      <c r="E19" s="51" t="s">
        <v>166</v>
      </c>
      <c r="F19" s="51"/>
      <c r="G19" s="51" t="s">
        <v>170</v>
      </c>
      <c r="H19" s="98" t="s">
        <v>290</v>
      </c>
      <c r="I19" s="98"/>
      <c r="J19" s="99"/>
    </row>
    <row r="20" spans="3:13" x14ac:dyDescent="0.25">
      <c r="C20" s="94" t="s">
        <v>167</v>
      </c>
      <c r="D20" s="51"/>
      <c r="E20" s="97">
        <v>45903</v>
      </c>
      <c r="F20" s="51"/>
      <c r="G20" s="51"/>
      <c r="H20" s="51"/>
      <c r="I20" s="51"/>
      <c r="J20" s="100"/>
      <c r="L20" s="146"/>
      <c r="M20" s="146"/>
    </row>
    <row r="21" spans="3:13" ht="15.75" thickBot="1" x14ac:dyDescent="0.3">
      <c r="C21" s="94" t="s">
        <v>168</v>
      </c>
      <c r="D21" s="51"/>
      <c r="E21" s="51"/>
      <c r="F21" s="51"/>
      <c r="G21" s="51"/>
      <c r="H21" s="51"/>
      <c r="I21" s="51"/>
      <c r="J21" s="100"/>
      <c r="L21" s="146"/>
      <c r="M21" s="146"/>
    </row>
    <row r="22" spans="3:13" x14ac:dyDescent="0.25">
      <c r="C22" s="442" t="s">
        <v>292</v>
      </c>
      <c r="D22" s="443"/>
      <c r="E22" s="443"/>
      <c r="F22" s="443"/>
      <c r="G22" s="443"/>
      <c r="H22" s="443"/>
      <c r="I22" s="443"/>
      <c r="J22" s="444"/>
      <c r="L22" s="146"/>
      <c r="M22" s="146"/>
    </row>
    <row r="23" spans="3:13" x14ac:dyDescent="0.25">
      <c r="C23" s="445"/>
      <c r="D23" s="446"/>
      <c r="E23" s="446"/>
      <c r="F23" s="446"/>
      <c r="G23" s="446"/>
      <c r="H23" s="446"/>
      <c r="I23" s="446"/>
      <c r="J23" s="447"/>
    </row>
    <row r="24" spans="3:13" ht="15.75" thickBot="1" x14ac:dyDescent="0.3">
      <c r="C24" s="448"/>
      <c r="D24" s="449"/>
      <c r="E24" s="449"/>
      <c r="F24" s="449"/>
      <c r="G24" s="449"/>
      <c r="H24" s="449"/>
      <c r="I24" s="449"/>
      <c r="J24" s="450"/>
    </row>
    <row r="25" spans="3:13" x14ac:dyDescent="0.25">
      <c r="C25" s="51"/>
      <c r="D25" s="51"/>
      <c r="E25" s="51"/>
      <c r="F25" s="51"/>
      <c r="G25" s="51"/>
      <c r="H25" s="51"/>
      <c r="I25" s="51"/>
      <c r="J25" s="51"/>
    </row>
    <row r="26" spans="3:13" ht="15.75" thickBot="1" x14ac:dyDescent="0.3">
      <c r="C26" s="51"/>
      <c r="D26" s="51"/>
      <c r="E26" s="51"/>
      <c r="F26" s="51"/>
      <c r="G26" s="51"/>
      <c r="H26" s="51"/>
      <c r="I26" s="51"/>
      <c r="J26" s="51"/>
    </row>
    <row r="27" spans="3:13" x14ac:dyDescent="0.25">
      <c r="C27" s="212" t="s">
        <v>162</v>
      </c>
      <c r="D27" s="213" t="e">
        <f>#REF!+1</f>
        <v>#REF!</v>
      </c>
      <c r="E27" s="213"/>
      <c r="F27" s="93"/>
      <c r="G27" s="93"/>
      <c r="H27" s="93"/>
      <c r="I27" s="93"/>
      <c r="J27" s="96"/>
    </row>
    <row r="28" spans="3:13" x14ac:dyDescent="0.25">
      <c r="C28" s="214" t="s">
        <v>163</v>
      </c>
      <c r="D28" s="215"/>
      <c r="E28" s="216">
        <v>45904</v>
      </c>
      <c r="F28" s="51"/>
      <c r="G28" s="51" t="s">
        <v>169</v>
      </c>
      <c r="H28" s="141" t="s">
        <v>293</v>
      </c>
      <c r="I28" s="98"/>
      <c r="J28" s="99"/>
      <c r="L28" s="146"/>
      <c r="M28" s="146"/>
    </row>
    <row r="29" spans="3:13" x14ac:dyDescent="0.25">
      <c r="C29" s="94" t="s">
        <v>164</v>
      </c>
      <c r="D29" s="51" t="s">
        <v>165</v>
      </c>
      <c r="E29" s="51" t="s">
        <v>166</v>
      </c>
      <c r="F29" s="51"/>
      <c r="G29" s="51" t="s">
        <v>170</v>
      </c>
      <c r="H29" s="98">
        <v>106</v>
      </c>
      <c r="I29" s="98"/>
      <c r="J29" s="99"/>
      <c r="L29" s="146"/>
      <c r="M29" s="146"/>
    </row>
    <row r="30" spans="3:13" x14ac:dyDescent="0.25">
      <c r="C30" s="94" t="s">
        <v>167</v>
      </c>
      <c r="D30" s="51"/>
      <c r="E30" s="97">
        <v>45903</v>
      </c>
      <c r="F30" s="51"/>
      <c r="G30" s="51"/>
      <c r="H30" s="51"/>
      <c r="I30" s="51"/>
      <c r="J30" s="100"/>
      <c r="L30" s="146"/>
      <c r="M30" s="146"/>
    </row>
    <row r="31" spans="3:13" ht="15.75" thickBot="1" x14ac:dyDescent="0.3">
      <c r="C31" s="94" t="s">
        <v>168</v>
      </c>
      <c r="D31" s="51"/>
      <c r="E31" s="51"/>
      <c r="F31" s="51"/>
      <c r="G31" s="51"/>
      <c r="H31" s="51"/>
      <c r="I31" s="51"/>
      <c r="J31" s="100"/>
      <c r="L31" s="146"/>
      <c r="M31" s="146"/>
    </row>
    <row r="32" spans="3:13" x14ac:dyDescent="0.25">
      <c r="C32" s="442" t="s">
        <v>368</v>
      </c>
      <c r="D32" s="443"/>
      <c r="E32" s="443"/>
      <c r="F32" s="443"/>
      <c r="G32" s="443"/>
      <c r="H32" s="443"/>
      <c r="I32" s="443"/>
      <c r="J32" s="444"/>
    </row>
    <row r="33" spans="3:13" x14ac:dyDescent="0.25">
      <c r="C33" s="445"/>
      <c r="D33" s="446"/>
      <c r="E33" s="446"/>
      <c r="F33" s="446"/>
      <c r="G33" s="446"/>
      <c r="H33" s="446"/>
      <c r="I33" s="446"/>
      <c r="J33" s="447"/>
    </row>
    <row r="34" spans="3:13" ht="15.75" thickBot="1" x14ac:dyDescent="0.3">
      <c r="C34" s="448"/>
      <c r="D34" s="449"/>
      <c r="E34" s="449"/>
      <c r="F34" s="449"/>
      <c r="G34" s="449"/>
      <c r="H34" s="449"/>
      <c r="I34" s="449"/>
      <c r="J34" s="450"/>
    </row>
    <row r="36" spans="3:13" ht="15.75" thickBot="1" x14ac:dyDescent="0.3"/>
    <row r="37" spans="3:13" x14ac:dyDescent="0.25">
      <c r="C37" s="217" t="s">
        <v>162</v>
      </c>
      <c r="D37" s="218" t="e">
        <f>#REF!+1</f>
        <v>#REF!</v>
      </c>
      <c r="E37" s="218"/>
      <c r="F37" s="93"/>
      <c r="G37" s="93"/>
      <c r="H37" s="93"/>
      <c r="I37" s="93"/>
      <c r="J37" s="96"/>
    </row>
    <row r="38" spans="3:13" x14ac:dyDescent="0.25">
      <c r="C38" s="219" t="s">
        <v>163</v>
      </c>
      <c r="D38" s="220"/>
      <c r="E38" s="221">
        <v>45904</v>
      </c>
      <c r="F38" s="51"/>
      <c r="G38" s="51" t="s">
        <v>169</v>
      </c>
      <c r="H38" s="141" t="s">
        <v>294</v>
      </c>
      <c r="I38" s="98"/>
      <c r="J38" s="99"/>
    </row>
    <row r="39" spans="3:13" x14ac:dyDescent="0.25">
      <c r="C39" s="94" t="s">
        <v>164</v>
      </c>
      <c r="D39" s="51" t="s">
        <v>165</v>
      </c>
      <c r="E39" s="51" t="s">
        <v>166</v>
      </c>
      <c r="F39" s="51"/>
      <c r="G39" s="51" t="s">
        <v>170</v>
      </c>
      <c r="H39" s="98">
        <v>38</v>
      </c>
      <c r="I39" s="98"/>
      <c r="J39" s="99"/>
      <c r="L39" s="146"/>
      <c r="M39" s="146"/>
    </row>
    <row r="40" spans="3:13" x14ac:dyDescent="0.25">
      <c r="C40" s="94" t="s">
        <v>167</v>
      </c>
      <c r="D40" s="51"/>
      <c r="E40" s="97">
        <v>45903</v>
      </c>
      <c r="F40" s="51"/>
      <c r="G40" s="51"/>
      <c r="H40" s="51"/>
      <c r="I40" s="51"/>
      <c r="J40" s="100"/>
      <c r="L40" s="146"/>
      <c r="M40" s="146"/>
    </row>
    <row r="41" spans="3:13" ht="15.75" thickBot="1" x14ac:dyDescent="0.3">
      <c r="C41" s="94" t="s">
        <v>168</v>
      </c>
      <c r="D41" s="51"/>
      <c r="E41" s="51"/>
      <c r="F41" s="51"/>
      <c r="G41" s="51"/>
      <c r="H41" s="51"/>
      <c r="I41" s="51"/>
      <c r="J41" s="100"/>
      <c r="L41" s="146"/>
      <c r="M41" s="146"/>
    </row>
    <row r="42" spans="3:13" x14ac:dyDescent="0.25">
      <c r="C42" s="442" t="s">
        <v>369</v>
      </c>
      <c r="D42" s="443"/>
      <c r="E42" s="443"/>
      <c r="F42" s="443"/>
      <c r="G42" s="443"/>
      <c r="H42" s="443"/>
      <c r="I42" s="443"/>
      <c r="J42" s="444"/>
      <c r="L42" s="146"/>
      <c r="M42" s="146"/>
    </row>
    <row r="43" spans="3:13" x14ac:dyDescent="0.25">
      <c r="C43" s="445"/>
      <c r="D43" s="446"/>
      <c r="E43" s="446"/>
      <c r="F43" s="446"/>
      <c r="G43" s="446"/>
      <c r="H43" s="446"/>
      <c r="I43" s="446"/>
      <c r="J43" s="447"/>
      <c r="L43" s="146"/>
      <c r="M43" s="146"/>
    </row>
    <row r="44" spans="3:13" ht="15.75" thickBot="1" x14ac:dyDescent="0.3">
      <c r="C44" s="448"/>
      <c r="D44" s="449"/>
      <c r="E44" s="449"/>
      <c r="F44" s="449"/>
      <c r="G44" s="449"/>
      <c r="H44" s="449"/>
      <c r="I44" s="449"/>
      <c r="J44" s="450"/>
    </row>
    <row r="45" spans="3:13" x14ac:dyDescent="0.25">
      <c r="C45" s="350"/>
    </row>
    <row r="46" spans="3:13" ht="15.75" thickBot="1" x14ac:dyDescent="0.3"/>
    <row r="47" spans="3:13" x14ac:dyDescent="0.25">
      <c r="C47" s="144" t="s">
        <v>162</v>
      </c>
      <c r="D47" s="145"/>
      <c r="E47" s="145"/>
      <c r="F47" s="93"/>
      <c r="G47" s="93"/>
      <c r="H47" s="93"/>
      <c r="I47" s="93"/>
      <c r="J47" s="96"/>
    </row>
    <row r="48" spans="3:13" x14ac:dyDescent="0.25">
      <c r="C48" s="222" t="s">
        <v>163</v>
      </c>
      <c r="D48" s="146"/>
      <c r="E48" s="223">
        <v>45901</v>
      </c>
      <c r="F48" s="51"/>
      <c r="G48" s="51" t="s">
        <v>169</v>
      </c>
      <c r="H48" s="141" t="s">
        <v>288</v>
      </c>
      <c r="I48" s="98"/>
      <c r="J48" s="99"/>
    </row>
    <row r="49" spans="3:13" x14ac:dyDescent="0.25">
      <c r="C49" s="222" t="s">
        <v>164</v>
      </c>
      <c r="D49" s="146" t="s">
        <v>165</v>
      </c>
      <c r="E49" s="146" t="s">
        <v>166</v>
      </c>
      <c r="F49" s="51"/>
      <c r="G49" s="51" t="s">
        <v>170</v>
      </c>
      <c r="H49" s="98">
        <v>53</v>
      </c>
      <c r="I49" s="98"/>
      <c r="J49" s="99"/>
      <c r="K49" s="146"/>
      <c r="L49" s="146"/>
      <c r="M49" s="146"/>
    </row>
    <row r="50" spans="3:13" x14ac:dyDescent="0.25">
      <c r="C50" s="94" t="s">
        <v>167</v>
      </c>
      <c r="D50" s="51"/>
      <c r="E50" s="97">
        <v>45899</v>
      </c>
      <c r="F50" s="51"/>
      <c r="G50" s="51"/>
      <c r="H50" s="51"/>
      <c r="I50" s="51"/>
      <c r="J50" s="100"/>
      <c r="K50" s="146"/>
      <c r="L50" s="146"/>
      <c r="M50" s="146"/>
    </row>
    <row r="51" spans="3:13" ht="15.75" thickBot="1" x14ac:dyDescent="0.3">
      <c r="C51" s="94" t="s">
        <v>168</v>
      </c>
      <c r="D51" s="51"/>
      <c r="E51" s="51"/>
      <c r="F51" s="51"/>
      <c r="G51" s="51"/>
      <c r="H51" s="51"/>
      <c r="I51" s="51"/>
      <c r="J51" s="100"/>
      <c r="K51" s="146"/>
      <c r="L51" s="146"/>
      <c r="M51" s="146"/>
    </row>
    <row r="52" spans="3:13" x14ac:dyDescent="0.25">
      <c r="C52" s="442" t="s">
        <v>348</v>
      </c>
      <c r="D52" s="443"/>
      <c r="E52" s="443"/>
      <c r="F52" s="443"/>
      <c r="G52" s="443"/>
      <c r="H52" s="443"/>
      <c r="I52" s="443"/>
      <c r="J52" s="444"/>
      <c r="K52" s="146"/>
      <c r="L52" s="146"/>
      <c r="M52" s="146"/>
    </row>
    <row r="53" spans="3:13" x14ac:dyDescent="0.25">
      <c r="C53" s="445"/>
      <c r="D53" s="446"/>
      <c r="E53" s="446"/>
      <c r="F53" s="446"/>
      <c r="G53" s="446"/>
      <c r="H53" s="446"/>
      <c r="I53" s="446"/>
      <c r="J53" s="447"/>
    </row>
    <row r="54" spans="3:13" ht="15.75" thickBot="1" x14ac:dyDescent="0.3">
      <c r="C54" s="448"/>
      <c r="D54" s="449"/>
      <c r="E54" s="449"/>
      <c r="F54" s="449"/>
      <c r="G54" s="449"/>
      <c r="H54" s="449"/>
      <c r="I54" s="449"/>
      <c r="J54" s="450"/>
    </row>
    <row r="55" spans="3:13" ht="15.75" thickBot="1" x14ac:dyDescent="0.3"/>
    <row r="56" spans="3:13" x14ac:dyDescent="0.25">
      <c r="C56" s="224" t="s">
        <v>162</v>
      </c>
      <c r="D56" s="225"/>
      <c r="E56" s="225"/>
      <c r="F56" s="93"/>
      <c r="G56" s="93"/>
      <c r="H56" s="93"/>
      <c r="I56" s="93"/>
      <c r="J56" s="96"/>
      <c r="K56" s="146"/>
      <c r="L56" s="146"/>
      <c r="M56" s="146"/>
    </row>
    <row r="57" spans="3:13" ht="27.6" customHeight="1" x14ac:dyDescent="0.25">
      <c r="C57" s="226" t="s">
        <v>163</v>
      </c>
      <c r="D57" s="227"/>
      <c r="E57" s="228">
        <v>45918</v>
      </c>
      <c r="F57" s="51"/>
      <c r="G57" s="51" t="s">
        <v>169</v>
      </c>
      <c r="H57" s="230" t="s">
        <v>311</v>
      </c>
      <c r="I57" s="98"/>
      <c r="J57" s="99"/>
      <c r="K57" s="146"/>
      <c r="L57" s="146"/>
      <c r="M57" s="146"/>
    </row>
    <row r="58" spans="3:13" ht="16.5" x14ac:dyDescent="0.25">
      <c r="C58" s="226" t="s">
        <v>164</v>
      </c>
      <c r="D58" s="227" t="s">
        <v>165</v>
      </c>
      <c r="E58" s="227" t="s">
        <v>166</v>
      </c>
      <c r="F58" s="51"/>
      <c r="G58" s="51" t="s">
        <v>170</v>
      </c>
      <c r="H58" s="229">
        <v>38</v>
      </c>
      <c r="I58" s="98"/>
      <c r="J58" s="99"/>
      <c r="K58" s="146"/>
      <c r="L58" s="146"/>
      <c r="M58" s="146"/>
    </row>
    <row r="59" spans="3:13" x14ac:dyDescent="0.25">
      <c r="C59" s="94" t="s">
        <v>167</v>
      </c>
      <c r="D59" s="51"/>
      <c r="E59" s="97">
        <v>45918</v>
      </c>
      <c r="F59" s="51"/>
      <c r="G59" s="51"/>
      <c r="H59" s="51"/>
      <c r="I59" s="51"/>
      <c r="J59" s="100"/>
      <c r="K59" s="146"/>
      <c r="L59" s="146"/>
      <c r="M59" s="146"/>
    </row>
    <row r="60" spans="3:13" ht="15.75" thickBot="1" x14ac:dyDescent="0.3">
      <c r="C60" s="94" t="s">
        <v>168</v>
      </c>
      <c r="D60" s="51"/>
      <c r="E60" s="51"/>
      <c r="F60" s="51"/>
      <c r="G60" s="51"/>
      <c r="H60" s="51"/>
      <c r="I60" s="51"/>
      <c r="J60" s="100"/>
      <c r="K60" s="146"/>
      <c r="L60" s="146"/>
      <c r="M60" s="146"/>
    </row>
    <row r="61" spans="3:13" x14ac:dyDescent="0.25">
      <c r="C61" s="442" t="s">
        <v>310</v>
      </c>
      <c r="D61" s="443"/>
      <c r="E61" s="443"/>
      <c r="F61" s="443"/>
      <c r="G61" s="443"/>
      <c r="H61" s="443"/>
      <c r="I61" s="443"/>
      <c r="J61" s="444"/>
      <c r="K61" s="146"/>
      <c r="L61" s="146"/>
      <c r="M61" s="146"/>
    </row>
    <row r="62" spans="3:13" x14ac:dyDescent="0.25">
      <c r="C62" s="445"/>
      <c r="D62" s="446"/>
      <c r="E62" s="446"/>
      <c r="F62" s="446"/>
      <c r="G62" s="446"/>
      <c r="H62" s="446"/>
      <c r="I62" s="446"/>
      <c r="J62" s="447"/>
      <c r="K62" s="146"/>
      <c r="L62" s="146"/>
      <c r="M62" s="146"/>
    </row>
    <row r="63" spans="3:13" ht="15.75" thickBot="1" x14ac:dyDescent="0.3">
      <c r="C63" s="448"/>
      <c r="D63" s="449"/>
      <c r="E63" s="449"/>
      <c r="F63" s="449"/>
      <c r="G63" s="449"/>
      <c r="H63" s="449"/>
      <c r="I63" s="449"/>
      <c r="J63" s="450"/>
    </row>
    <row r="64" spans="3:13" ht="15.75" thickBot="1" x14ac:dyDescent="0.3"/>
    <row r="65" spans="3:13" x14ac:dyDescent="0.25">
      <c r="C65" s="231" t="s">
        <v>162</v>
      </c>
      <c r="D65" s="232"/>
      <c r="E65" s="232"/>
      <c r="F65" s="93"/>
      <c r="G65" s="93"/>
      <c r="H65" s="93"/>
      <c r="I65" s="93"/>
      <c r="J65" s="96"/>
    </row>
    <row r="66" spans="3:13" ht="17.45" customHeight="1" x14ac:dyDescent="0.25">
      <c r="C66" s="233" t="s">
        <v>163</v>
      </c>
      <c r="D66" s="234"/>
      <c r="E66" s="235">
        <v>45888</v>
      </c>
      <c r="F66" s="51"/>
      <c r="G66" s="51" t="s">
        <v>169</v>
      </c>
      <c r="H66" s="430" t="s">
        <v>313</v>
      </c>
      <c r="I66" s="431"/>
      <c r="J66" s="432"/>
    </row>
    <row r="67" spans="3:13" ht="16.5" x14ac:dyDescent="0.25">
      <c r="C67" s="233" t="s">
        <v>164</v>
      </c>
      <c r="D67" s="234" t="s">
        <v>165</v>
      </c>
      <c r="E67" s="234" t="s">
        <v>166</v>
      </c>
      <c r="F67" s="51"/>
      <c r="G67" s="51" t="s">
        <v>170</v>
      </c>
      <c r="H67" s="229" t="s">
        <v>312</v>
      </c>
      <c r="I67" s="98"/>
      <c r="J67" s="99"/>
    </row>
    <row r="68" spans="3:13" x14ac:dyDescent="0.25">
      <c r="C68" s="94" t="s">
        <v>167</v>
      </c>
      <c r="D68" s="51"/>
      <c r="E68" s="97">
        <v>45918</v>
      </c>
      <c r="F68" s="51"/>
      <c r="G68" s="51"/>
      <c r="H68" s="51"/>
      <c r="I68" s="51"/>
      <c r="J68" s="100"/>
      <c r="K68" s="146"/>
      <c r="L68" s="146"/>
    </row>
    <row r="69" spans="3:13" ht="15.75" thickBot="1" x14ac:dyDescent="0.3">
      <c r="C69" s="94" t="s">
        <v>168</v>
      </c>
      <c r="D69" s="51"/>
      <c r="E69" s="51"/>
      <c r="F69" s="51"/>
      <c r="G69" s="51"/>
      <c r="H69" s="51"/>
      <c r="I69" s="51"/>
      <c r="J69" s="100"/>
      <c r="K69" s="146"/>
      <c r="L69" s="146"/>
    </row>
    <row r="70" spans="3:13" x14ac:dyDescent="0.25">
      <c r="C70" s="442" t="s">
        <v>314</v>
      </c>
      <c r="D70" s="443"/>
      <c r="E70" s="443"/>
      <c r="F70" s="443"/>
      <c r="G70" s="443"/>
      <c r="H70" s="443"/>
      <c r="I70" s="443"/>
      <c r="J70" s="444"/>
      <c r="K70" s="146"/>
      <c r="L70" s="146"/>
    </row>
    <row r="71" spans="3:13" x14ac:dyDescent="0.25">
      <c r="C71" s="445"/>
      <c r="D71" s="446"/>
      <c r="E71" s="446"/>
      <c r="F71" s="446"/>
      <c r="G71" s="446"/>
      <c r="H71" s="446"/>
      <c r="I71" s="446"/>
      <c r="J71" s="447"/>
      <c r="K71" s="146"/>
      <c r="L71" s="146"/>
    </row>
    <row r="72" spans="3:13" ht="15.75" thickBot="1" x14ac:dyDescent="0.3">
      <c r="C72" s="448"/>
      <c r="D72" s="449"/>
      <c r="E72" s="449"/>
      <c r="F72" s="449"/>
      <c r="G72" s="449"/>
      <c r="H72" s="449"/>
      <c r="I72" s="449"/>
      <c r="J72" s="450"/>
    </row>
    <row r="73" spans="3:13" ht="15.75" thickBot="1" x14ac:dyDescent="0.3"/>
    <row r="74" spans="3:13" x14ac:dyDescent="0.25">
      <c r="C74" s="236" t="s">
        <v>162</v>
      </c>
      <c r="D74" s="237"/>
      <c r="E74" s="237"/>
      <c r="F74" s="93"/>
      <c r="G74" s="93"/>
      <c r="H74" s="93"/>
      <c r="I74" s="93"/>
      <c r="J74" s="96"/>
    </row>
    <row r="75" spans="3:13" x14ac:dyDescent="0.25">
      <c r="C75" s="238" t="s">
        <v>163</v>
      </c>
      <c r="D75" s="239"/>
      <c r="E75" s="240">
        <v>45920</v>
      </c>
      <c r="F75" s="51"/>
      <c r="G75" s="51" t="s">
        <v>169</v>
      </c>
      <c r="H75" s="431" t="s">
        <v>315</v>
      </c>
      <c r="I75" s="431"/>
      <c r="J75" s="432"/>
      <c r="K75" s="366"/>
      <c r="L75" s="366"/>
      <c r="M75" s="366"/>
    </row>
    <row r="76" spans="3:13" ht="16.5" x14ac:dyDescent="0.25">
      <c r="C76" s="238" t="s">
        <v>164</v>
      </c>
      <c r="D76" s="239" t="s">
        <v>165</v>
      </c>
      <c r="E76" s="239" t="s">
        <v>166</v>
      </c>
      <c r="F76" s="51"/>
      <c r="G76" s="51" t="s">
        <v>170</v>
      </c>
      <c r="H76" s="229">
        <v>72</v>
      </c>
      <c r="I76" s="98"/>
      <c r="J76" s="99"/>
      <c r="K76" s="366"/>
      <c r="L76" s="366"/>
      <c r="M76" s="366"/>
    </row>
    <row r="77" spans="3:13" x14ac:dyDescent="0.25">
      <c r="C77" s="238" t="s">
        <v>167</v>
      </c>
      <c r="D77" s="239"/>
      <c r="E77" s="240">
        <v>45920</v>
      </c>
      <c r="F77" s="51"/>
      <c r="G77" s="51"/>
      <c r="H77" s="51"/>
      <c r="I77" s="51"/>
      <c r="J77" s="100"/>
      <c r="K77" s="366"/>
      <c r="L77" s="366"/>
      <c r="M77" s="366"/>
    </row>
    <row r="78" spans="3:13" ht="15.75" thickBot="1" x14ac:dyDescent="0.3">
      <c r="C78" s="94" t="s">
        <v>168</v>
      </c>
      <c r="D78" s="51"/>
      <c r="E78" s="51"/>
      <c r="F78" s="51"/>
      <c r="G78" s="51"/>
      <c r="H78" s="51"/>
      <c r="I78" s="51"/>
      <c r="J78" s="100"/>
      <c r="K78" s="366"/>
      <c r="L78" s="366"/>
      <c r="M78" s="366"/>
    </row>
    <row r="79" spans="3:13" x14ac:dyDescent="0.25">
      <c r="C79" s="442" t="s">
        <v>316</v>
      </c>
      <c r="D79" s="443"/>
      <c r="E79" s="443"/>
      <c r="F79" s="443"/>
      <c r="G79" s="443"/>
      <c r="H79" s="443"/>
      <c r="I79" s="443"/>
      <c r="J79" s="444"/>
      <c r="K79" s="366"/>
      <c r="L79" s="366"/>
      <c r="M79" s="366"/>
    </row>
    <row r="80" spans="3:13" x14ac:dyDescent="0.25">
      <c r="C80" s="445"/>
      <c r="D80" s="446"/>
      <c r="E80" s="446"/>
      <c r="F80" s="446"/>
      <c r="G80" s="446"/>
      <c r="H80" s="446"/>
      <c r="I80" s="446"/>
      <c r="J80" s="447"/>
      <c r="K80" s="366"/>
      <c r="L80" s="366"/>
      <c r="M80" s="366"/>
    </row>
    <row r="81" spans="3:13" ht="15.75" thickBot="1" x14ac:dyDescent="0.3">
      <c r="C81" s="448"/>
      <c r="D81" s="449"/>
      <c r="E81" s="449"/>
      <c r="F81" s="449"/>
      <c r="G81" s="449"/>
      <c r="H81" s="449"/>
      <c r="I81" s="449"/>
      <c r="J81" s="450"/>
    </row>
    <row r="83" spans="3:13" ht="15.75" thickBot="1" x14ac:dyDescent="0.3"/>
    <row r="84" spans="3:13" x14ac:dyDescent="0.25">
      <c r="C84" s="241" t="s">
        <v>162</v>
      </c>
      <c r="D84" s="242"/>
      <c r="E84" s="242"/>
      <c r="F84" s="93"/>
      <c r="G84" s="93"/>
      <c r="H84" s="93"/>
      <c r="I84" s="93"/>
      <c r="J84" s="96"/>
    </row>
    <row r="85" spans="3:13" x14ac:dyDescent="0.25">
      <c r="C85" s="243" t="s">
        <v>163</v>
      </c>
      <c r="D85" s="244"/>
      <c r="E85" s="245">
        <v>45920</v>
      </c>
      <c r="F85" s="51"/>
      <c r="G85" s="51" t="s">
        <v>169</v>
      </c>
      <c r="H85" s="431" t="s">
        <v>318</v>
      </c>
      <c r="I85" s="431"/>
      <c r="J85" s="432"/>
      <c r="K85" s="146"/>
      <c r="L85" s="146"/>
      <c r="M85" s="146"/>
    </row>
    <row r="86" spans="3:13" ht="16.5" x14ac:dyDescent="0.25">
      <c r="C86" s="243" t="s">
        <v>164</v>
      </c>
      <c r="D86" s="246" t="s">
        <v>165</v>
      </c>
      <c r="E86" s="244" t="s">
        <v>166</v>
      </c>
      <c r="F86" s="51"/>
      <c r="G86" s="51" t="s">
        <v>170</v>
      </c>
      <c r="H86" s="229">
        <v>26</v>
      </c>
      <c r="I86" s="98"/>
      <c r="J86" s="99"/>
      <c r="K86" s="146"/>
      <c r="L86" s="146"/>
      <c r="M86" s="146"/>
    </row>
    <row r="87" spans="3:13" x14ac:dyDescent="0.25">
      <c r="C87" s="243" t="s">
        <v>167</v>
      </c>
      <c r="D87" s="244"/>
      <c r="E87" s="245">
        <v>45920</v>
      </c>
      <c r="F87" s="51"/>
      <c r="G87" s="51"/>
      <c r="H87" s="51"/>
      <c r="I87" s="51"/>
      <c r="J87" s="100"/>
      <c r="K87" s="146"/>
      <c r="L87" s="146"/>
      <c r="M87" s="146"/>
    </row>
    <row r="88" spans="3:13" ht="15.75" thickBot="1" x14ac:dyDescent="0.3">
      <c r="C88" s="94" t="s">
        <v>168</v>
      </c>
      <c r="D88" s="51"/>
      <c r="E88" s="51"/>
      <c r="F88" s="51"/>
      <c r="G88" s="51"/>
      <c r="H88" s="51"/>
      <c r="I88" s="51"/>
      <c r="J88" s="100"/>
      <c r="K88" s="146"/>
      <c r="L88" s="146"/>
      <c r="M88" s="146"/>
    </row>
    <row r="89" spans="3:13" x14ac:dyDescent="0.25">
      <c r="C89" s="442" t="s">
        <v>317</v>
      </c>
      <c r="D89" s="443"/>
      <c r="E89" s="443"/>
      <c r="F89" s="443"/>
      <c r="G89" s="443"/>
      <c r="H89" s="443"/>
      <c r="I89" s="443"/>
      <c r="J89" s="444"/>
      <c r="K89" s="146"/>
      <c r="L89" s="146"/>
      <c r="M89" s="146"/>
    </row>
    <row r="90" spans="3:13" x14ac:dyDescent="0.25">
      <c r="C90" s="445"/>
      <c r="D90" s="446"/>
      <c r="E90" s="446"/>
      <c r="F90" s="446"/>
      <c r="G90" s="446"/>
      <c r="H90" s="446"/>
      <c r="I90" s="446"/>
      <c r="J90" s="447"/>
      <c r="K90" s="146"/>
      <c r="L90" s="146"/>
      <c r="M90" s="146"/>
    </row>
    <row r="91" spans="3:13" ht="15.75" thickBot="1" x14ac:dyDescent="0.3">
      <c r="C91" s="448"/>
      <c r="D91" s="449"/>
      <c r="E91" s="449"/>
      <c r="F91" s="449"/>
      <c r="G91" s="449"/>
      <c r="H91" s="449"/>
      <c r="I91" s="449"/>
      <c r="J91" s="450"/>
    </row>
    <row r="93" spans="3:13" ht="15.75" thickBot="1" x14ac:dyDescent="0.3"/>
    <row r="94" spans="3:13" x14ac:dyDescent="0.25">
      <c r="C94" s="247" t="s">
        <v>162</v>
      </c>
      <c r="D94" s="248"/>
      <c r="E94" s="248"/>
      <c r="F94" s="93"/>
      <c r="G94" s="93"/>
      <c r="H94" s="93"/>
      <c r="I94" s="93"/>
      <c r="J94" s="96"/>
    </row>
    <row r="95" spans="3:13" x14ac:dyDescent="0.25">
      <c r="C95" s="249" t="s">
        <v>163</v>
      </c>
      <c r="D95" s="250"/>
      <c r="E95" s="251">
        <v>45920</v>
      </c>
      <c r="F95" s="51"/>
      <c r="G95" s="51" t="s">
        <v>169</v>
      </c>
      <c r="H95" s="431" t="s">
        <v>318</v>
      </c>
      <c r="I95" s="431"/>
      <c r="J95" s="432"/>
      <c r="K95" s="146"/>
      <c r="L95" s="146"/>
      <c r="M95" s="146"/>
    </row>
    <row r="96" spans="3:13" ht="16.5" x14ac:dyDescent="0.25">
      <c r="C96" s="249" t="s">
        <v>164</v>
      </c>
      <c r="D96" s="250" t="s">
        <v>165</v>
      </c>
      <c r="E96" s="252" t="s">
        <v>166</v>
      </c>
      <c r="F96" s="51"/>
      <c r="G96" s="51" t="s">
        <v>170</v>
      </c>
      <c r="H96" s="229" t="s">
        <v>319</v>
      </c>
      <c r="I96" s="98"/>
      <c r="J96" s="99"/>
      <c r="K96" s="146"/>
      <c r="L96" s="146"/>
      <c r="M96" s="146"/>
    </row>
    <row r="97" spans="3:13" x14ac:dyDescent="0.25">
      <c r="C97" s="249" t="s">
        <v>167</v>
      </c>
      <c r="D97" s="250"/>
      <c r="E97" s="251">
        <v>45920</v>
      </c>
      <c r="F97" s="51"/>
      <c r="G97" s="51"/>
      <c r="H97" s="51"/>
      <c r="I97" s="51"/>
      <c r="J97" s="100"/>
      <c r="K97" s="146"/>
      <c r="L97" s="146"/>
      <c r="M97" s="146"/>
    </row>
    <row r="98" spans="3:13" ht="15.75" thickBot="1" x14ac:dyDescent="0.3">
      <c r="C98" s="94" t="s">
        <v>168</v>
      </c>
      <c r="D98" s="51"/>
      <c r="E98" s="51"/>
      <c r="F98" s="51"/>
      <c r="G98" s="51"/>
      <c r="H98" s="51"/>
      <c r="I98" s="51"/>
      <c r="J98" s="100"/>
      <c r="K98" s="146"/>
      <c r="L98" s="146"/>
      <c r="M98" s="146"/>
    </row>
    <row r="99" spans="3:13" x14ac:dyDescent="0.25">
      <c r="C99" s="442" t="s">
        <v>327</v>
      </c>
      <c r="D99" s="443"/>
      <c r="E99" s="443"/>
      <c r="F99" s="443"/>
      <c r="G99" s="443"/>
      <c r="H99" s="443"/>
      <c r="I99" s="443"/>
      <c r="J99" s="444"/>
      <c r="K99" s="146"/>
      <c r="L99" s="146"/>
      <c r="M99" s="146"/>
    </row>
    <row r="100" spans="3:13" x14ac:dyDescent="0.25">
      <c r="C100" s="445"/>
      <c r="D100" s="446"/>
      <c r="E100" s="446"/>
      <c r="F100" s="446"/>
      <c r="G100" s="446"/>
      <c r="H100" s="446"/>
      <c r="I100" s="446"/>
      <c r="J100" s="447"/>
    </row>
    <row r="101" spans="3:13" ht="15.75" thickBot="1" x14ac:dyDescent="0.3">
      <c r="C101" s="448"/>
      <c r="D101" s="449"/>
      <c r="E101" s="449"/>
      <c r="F101" s="449"/>
      <c r="G101" s="449"/>
      <c r="H101" s="449"/>
      <c r="I101" s="449"/>
      <c r="J101" s="450"/>
    </row>
    <row r="103" spans="3:13" ht="15.75" thickBot="1" x14ac:dyDescent="0.3"/>
    <row r="104" spans="3:13" x14ac:dyDescent="0.25">
      <c r="C104" s="253" t="s">
        <v>162</v>
      </c>
      <c r="D104" s="254"/>
      <c r="E104" s="254"/>
      <c r="F104" s="93"/>
      <c r="G104" s="93"/>
      <c r="H104" s="93"/>
      <c r="I104" s="93"/>
      <c r="J104" s="96"/>
    </row>
    <row r="105" spans="3:13" x14ac:dyDescent="0.25">
      <c r="C105" s="255" t="s">
        <v>163</v>
      </c>
      <c r="D105" s="256"/>
      <c r="E105" s="257">
        <v>45920</v>
      </c>
      <c r="F105" s="51"/>
      <c r="G105" s="51" t="s">
        <v>169</v>
      </c>
      <c r="H105" s="431"/>
      <c r="I105" s="431"/>
      <c r="J105" s="432"/>
      <c r="K105" s="146"/>
      <c r="L105" s="146"/>
      <c r="M105" s="146"/>
    </row>
    <row r="106" spans="3:13" ht="16.5" x14ac:dyDescent="0.25">
      <c r="C106" s="255" t="s">
        <v>164</v>
      </c>
      <c r="D106" s="256" t="s">
        <v>165</v>
      </c>
      <c r="E106" s="258" t="s">
        <v>166</v>
      </c>
      <c r="F106" s="51"/>
      <c r="G106" s="51" t="s">
        <v>170</v>
      </c>
      <c r="H106" s="229">
        <v>39</v>
      </c>
      <c r="I106" s="98"/>
      <c r="J106" s="99"/>
      <c r="K106" s="146"/>
      <c r="L106" s="146"/>
      <c r="M106" s="146"/>
    </row>
    <row r="107" spans="3:13" x14ac:dyDescent="0.25">
      <c r="C107" s="255" t="s">
        <v>167</v>
      </c>
      <c r="D107" s="256"/>
      <c r="E107" s="257">
        <v>45920</v>
      </c>
      <c r="F107" s="51"/>
      <c r="G107" s="51"/>
      <c r="H107" s="51"/>
      <c r="I107" s="51"/>
      <c r="J107" s="100"/>
      <c r="K107" s="146"/>
      <c r="L107" s="146"/>
      <c r="M107" s="146"/>
    </row>
    <row r="108" spans="3:13" ht="15.75" thickBot="1" x14ac:dyDescent="0.3">
      <c r="C108" s="94" t="s">
        <v>168</v>
      </c>
      <c r="D108" s="51"/>
      <c r="E108" s="51"/>
      <c r="F108" s="51"/>
      <c r="G108" s="51"/>
      <c r="H108" s="51"/>
      <c r="I108" s="51"/>
      <c r="J108" s="100"/>
      <c r="K108" s="146"/>
      <c r="L108" s="146"/>
      <c r="M108" s="146"/>
    </row>
    <row r="109" spans="3:13" x14ac:dyDescent="0.25">
      <c r="C109" s="442" t="s">
        <v>320</v>
      </c>
      <c r="D109" s="443"/>
      <c r="E109" s="443"/>
      <c r="F109" s="443"/>
      <c r="G109" s="443"/>
      <c r="H109" s="443"/>
      <c r="I109" s="443"/>
      <c r="J109" s="444"/>
      <c r="K109" s="146"/>
      <c r="L109" s="146"/>
      <c r="M109" s="146"/>
    </row>
    <row r="110" spans="3:13" x14ac:dyDescent="0.25">
      <c r="C110" s="445"/>
      <c r="D110" s="446"/>
      <c r="E110" s="446"/>
      <c r="F110" s="446"/>
      <c r="G110" s="446"/>
      <c r="H110" s="446"/>
      <c r="I110" s="446"/>
      <c r="J110" s="447"/>
      <c r="K110" s="146"/>
      <c r="L110" s="146"/>
      <c r="M110" s="146"/>
    </row>
    <row r="111" spans="3:13" ht="15.75" thickBot="1" x14ac:dyDescent="0.3">
      <c r="C111" s="448"/>
      <c r="D111" s="449"/>
      <c r="E111" s="449"/>
      <c r="F111" s="449"/>
      <c r="G111" s="449"/>
      <c r="H111" s="449"/>
      <c r="I111" s="449"/>
      <c r="J111" s="450"/>
    </row>
    <row r="112" spans="3:13" ht="15.75" thickBot="1" x14ac:dyDescent="0.3"/>
    <row r="113" spans="3:13" x14ac:dyDescent="0.25">
      <c r="C113" s="259" t="s">
        <v>162</v>
      </c>
      <c r="D113" s="260"/>
      <c r="E113" s="260"/>
      <c r="F113" s="93"/>
      <c r="G113" s="93"/>
      <c r="H113" s="93"/>
      <c r="I113" s="93"/>
      <c r="J113" s="96"/>
    </row>
    <row r="114" spans="3:13" x14ac:dyDescent="0.25">
      <c r="C114" s="261" t="s">
        <v>163</v>
      </c>
      <c r="D114" s="262"/>
      <c r="E114" s="263">
        <v>45923</v>
      </c>
      <c r="F114" s="51"/>
      <c r="G114" s="51" t="s">
        <v>169</v>
      </c>
      <c r="H114" s="431" t="s">
        <v>321</v>
      </c>
      <c r="I114" s="431"/>
      <c r="J114" s="432"/>
      <c r="K114" s="146"/>
      <c r="L114" s="146"/>
      <c r="M114" s="146"/>
    </row>
    <row r="115" spans="3:13" ht="16.5" x14ac:dyDescent="0.25">
      <c r="C115" s="261" t="s">
        <v>164</v>
      </c>
      <c r="D115" s="262" t="s">
        <v>165</v>
      </c>
      <c r="E115" s="262" t="s">
        <v>166</v>
      </c>
      <c r="F115" s="51"/>
      <c r="G115" s="51" t="s">
        <v>170</v>
      </c>
      <c r="H115" s="229">
        <v>112</v>
      </c>
      <c r="I115" s="98"/>
      <c r="J115" s="99"/>
      <c r="K115" s="146"/>
      <c r="L115" s="146"/>
      <c r="M115" s="146"/>
    </row>
    <row r="116" spans="3:13" x14ac:dyDescent="0.25">
      <c r="C116" s="261" t="s">
        <v>167</v>
      </c>
      <c r="D116" s="262"/>
      <c r="E116" s="263">
        <v>45924</v>
      </c>
      <c r="F116" s="51"/>
      <c r="G116" s="51"/>
      <c r="H116" s="51"/>
      <c r="I116" s="51"/>
      <c r="J116" s="100"/>
      <c r="K116" s="146"/>
      <c r="L116" s="146"/>
      <c r="M116" s="146"/>
    </row>
    <row r="117" spans="3:13" ht="15.75" thickBot="1" x14ac:dyDescent="0.3">
      <c r="C117" s="94" t="s">
        <v>168</v>
      </c>
      <c r="D117" s="51"/>
      <c r="E117" s="51"/>
      <c r="F117" s="51"/>
      <c r="G117" s="51"/>
      <c r="H117" s="51"/>
      <c r="I117" s="51"/>
      <c r="J117" s="100"/>
      <c r="K117" s="146"/>
      <c r="L117" s="146"/>
      <c r="M117" s="146"/>
    </row>
    <row r="118" spans="3:13" x14ac:dyDescent="0.25">
      <c r="C118" s="442" t="s">
        <v>322</v>
      </c>
      <c r="D118" s="443"/>
      <c r="E118" s="443"/>
      <c r="F118" s="443"/>
      <c r="G118" s="443"/>
      <c r="H118" s="443"/>
      <c r="I118" s="443"/>
      <c r="J118" s="444"/>
      <c r="K118" s="146"/>
      <c r="L118" s="146"/>
      <c r="M118" s="146"/>
    </row>
    <row r="119" spans="3:13" x14ac:dyDescent="0.25">
      <c r="C119" s="445"/>
      <c r="D119" s="446"/>
      <c r="E119" s="446"/>
      <c r="F119" s="446"/>
      <c r="G119" s="446"/>
      <c r="H119" s="446"/>
      <c r="I119" s="446"/>
      <c r="J119" s="447"/>
      <c r="K119" s="146"/>
      <c r="L119" s="146"/>
      <c r="M119" s="146"/>
    </row>
    <row r="120" spans="3:13" ht="15.75" thickBot="1" x14ac:dyDescent="0.3">
      <c r="C120" s="448"/>
      <c r="D120" s="449"/>
      <c r="E120" s="449"/>
      <c r="F120" s="449"/>
      <c r="G120" s="449"/>
      <c r="H120" s="449"/>
      <c r="I120" s="449"/>
      <c r="J120" s="450"/>
    </row>
    <row r="121" spans="3:13" ht="15.75" thickBot="1" x14ac:dyDescent="0.3"/>
    <row r="122" spans="3:13" x14ac:dyDescent="0.25">
      <c r="C122" s="264" t="s">
        <v>162</v>
      </c>
      <c r="D122" s="265"/>
      <c r="E122" s="265"/>
      <c r="F122" s="93"/>
      <c r="G122" s="93"/>
      <c r="H122" s="93"/>
      <c r="I122" s="93"/>
      <c r="J122" s="96"/>
      <c r="K122" s="146"/>
      <c r="L122" s="146"/>
      <c r="M122" s="146"/>
    </row>
    <row r="123" spans="3:13" x14ac:dyDescent="0.25">
      <c r="C123" s="266" t="s">
        <v>163</v>
      </c>
      <c r="D123" s="267"/>
      <c r="E123" s="268">
        <v>45923</v>
      </c>
      <c r="F123" s="51"/>
      <c r="G123" s="51" t="s">
        <v>169</v>
      </c>
      <c r="H123" s="430" t="s">
        <v>324</v>
      </c>
      <c r="I123" s="431"/>
      <c r="J123" s="432"/>
      <c r="K123" s="146"/>
      <c r="L123" s="146"/>
      <c r="M123" s="146"/>
    </row>
    <row r="124" spans="3:13" ht="16.5" x14ac:dyDescent="0.25">
      <c r="C124" s="266" t="s">
        <v>164</v>
      </c>
      <c r="D124" s="267" t="s">
        <v>165</v>
      </c>
      <c r="E124" s="267" t="s">
        <v>166</v>
      </c>
      <c r="F124" s="51"/>
      <c r="G124" s="51" t="s">
        <v>170</v>
      </c>
      <c r="H124" s="229">
        <v>102</v>
      </c>
      <c r="I124" s="98"/>
      <c r="J124" s="99"/>
      <c r="K124" s="146"/>
      <c r="L124" s="146"/>
      <c r="M124" s="146"/>
    </row>
    <row r="125" spans="3:13" x14ac:dyDescent="0.25">
      <c r="C125" s="266" t="s">
        <v>167</v>
      </c>
      <c r="D125" s="267"/>
      <c r="E125" s="268">
        <v>45924</v>
      </c>
      <c r="F125" s="51"/>
      <c r="G125" s="51"/>
      <c r="H125" s="51"/>
      <c r="I125" s="51"/>
      <c r="J125" s="100"/>
      <c r="K125" s="146"/>
      <c r="L125" s="146"/>
      <c r="M125" s="146"/>
    </row>
    <row r="126" spans="3:13" ht="15.75" thickBot="1" x14ac:dyDescent="0.3">
      <c r="C126" s="94" t="s">
        <v>168</v>
      </c>
      <c r="D126" s="51"/>
      <c r="E126" s="51"/>
      <c r="F126" s="51"/>
      <c r="G126" s="51"/>
      <c r="H126" s="51"/>
      <c r="I126" s="51"/>
      <c r="J126" s="100"/>
      <c r="K126" s="146"/>
      <c r="L126" s="146"/>
      <c r="M126" s="146"/>
    </row>
    <row r="127" spans="3:13" x14ac:dyDescent="0.25">
      <c r="C127" s="442" t="s">
        <v>323</v>
      </c>
      <c r="D127" s="443"/>
      <c r="E127" s="443"/>
      <c r="F127" s="443"/>
      <c r="G127" s="443"/>
      <c r="H127" s="443"/>
      <c r="I127" s="443"/>
      <c r="J127" s="444"/>
      <c r="K127" s="146"/>
      <c r="L127" s="146"/>
      <c r="M127" s="146"/>
    </row>
    <row r="128" spans="3:13" x14ac:dyDescent="0.25">
      <c r="C128" s="445"/>
      <c r="D128" s="446"/>
      <c r="E128" s="446"/>
      <c r="F128" s="446"/>
      <c r="G128" s="446"/>
      <c r="H128" s="446"/>
      <c r="I128" s="446"/>
      <c r="J128" s="447"/>
      <c r="K128" s="146"/>
      <c r="L128" s="146"/>
      <c r="M128" s="146"/>
    </row>
    <row r="129" spans="3:13" ht="15.75" thickBot="1" x14ac:dyDescent="0.3">
      <c r="C129" s="448"/>
      <c r="D129" s="449"/>
      <c r="E129" s="449"/>
      <c r="F129" s="449"/>
      <c r="G129" s="449"/>
      <c r="H129" s="449"/>
      <c r="I129" s="449"/>
      <c r="J129" s="450"/>
      <c r="K129" s="146"/>
      <c r="L129" s="146"/>
      <c r="M129" s="146"/>
    </row>
    <row r="130" spans="3:13" ht="15.75" thickBot="1" x14ac:dyDescent="0.3"/>
    <row r="131" spans="3:13" x14ac:dyDescent="0.25">
      <c r="C131" s="269" t="s">
        <v>162</v>
      </c>
      <c r="D131" s="270"/>
      <c r="E131" s="270"/>
      <c r="F131" s="93"/>
      <c r="G131" s="93"/>
      <c r="H131" s="93"/>
      <c r="I131" s="93"/>
      <c r="J131" s="96"/>
    </row>
    <row r="132" spans="3:13" x14ac:dyDescent="0.25">
      <c r="C132" s="271" t="s">
        <v>163</v>
      </c>
      <c r="D132" s="272"/>
      <c r="E132" s="273">
        <v>45923</v>
      </c>
      <c r="F132" s="51"/>
      <c r="G132" s="51" t="s">
        <v>169</v>
      </c>
      <c r="H132" s="430" t="s">
        <v>328</v>
      </c>
      <c r="I132" s="431"/>
      <c r="J132" s="432"/>
      <c r="K132" s="146"/>
      <c r="L132" s="146"/>
      <c r="M132" s="146"/>
    </row>
    <row r="133" spans="3:13" ht="16.5" x14ac:dyDescent="0.25">
      <c r="C133" s="271" t="s">
        <v>164</v>
      </c>
      <c r="D133" s="272" t="s">
        <v>165</v>
      </c>
      <c r="E133" s="272" t="s">
        <v>166</v>
      </c>
      <c r="F133" s="51"/>
      <c r="G133" s="51" t="s">
        <v>170</v>
      </c>
      <c r="H133" s="229">
        <v>54</v>
      </c>
      <c r="I133" s="98"/>
      <c r="J133" s="99"/>
      <c r="K133" s="146"/>
      <c r="L133" s="146"/>
      <c r="M133" s="146"/>
    </row>
    <row r="134" spans="3:13" x14ac:dyDescent="0.25">
      <c r="C134" s="271" t="s">
        <v>167</v>
      </c>
      <c r="D134" s="272"/>
      <c r="E134" s="273">
        <v>45924</v>
      </c>
      <c r="F134" s="51"/>
      <c r="G134" s="51"/>
      <c r="H134" s="51"/>
      <c r="I134" s="51"/>
      <c r="J134" s="100"/>
      <c r="K134" s="146"/>
      <c r="L134" s="146"/>
      <c r="M134" s="146"/>
    </row>
    <row r="135" spans="3:13" ht="15.75" thickBot="1" x14ac:dyDescent="0.3">
      <c r="C135" s="94" t="s">
        <v>168</v>
      </c>
      <c r="D135" s="51"/>
      <c r="E135" s="51"/>
      <c r="F135" s="51"/>
      <c r="G135" s="51"/>
      <c r="H135" s="51"/>
      <c r="I135" s="51"/>
      <c r="J135" s="100"/>
      <c r="K135" s="146"/>
      <c r="L135" s="146"/>
      <c r="M135" s="146"/>
    </row>
    <row r="136" spans="3:13" x14ac:dyDescent="0.25">
      <c r="C136" s="442" t="s">
        <v>329</v>
      </c>
      <c r="D136" s="443"/>
      <c r="E136" s="443"/>
      <c r="F136" s="443"/>
      <c r="G136" s="443"/>
      <c r="H136" s="443"/>
      <c r="I136" s="443"/>
      <c r="J136" s="444"/>
      <c r="K136" s="146"/>
      <c r="L136" s="146"/>
      <c r="M136" s="146"/>
    </row>
    <row r="137" spans="3:13" x14ac:dyDescent="0.25">
      <c r="C137" s="445"/>
      <c r="D137" s="446"/>
      <c r="E137" s="446"/>
      <c r="F137" s="446"/>
      <c r="G137" s="446"/>
      <c r="H137" s="446"/>
      <c r="I137" s="446"/>
      <c r="J137" s="447"/>
    </row>
    <row r="138" spans="3:13" ht="15.75" thickBot="1" x14ac:dyDescent="0.3">
      <c r="C138" s="448"/>
      <c r="D138" s="449"/>
      <c r="E138" s="449"/>
      <c r="F138" s="449"/>
      <c r="G138" s="449"/>
      <c r="H138" s="449"/>
      <c r="I138" s="449"/>
      <c r="J138" s="450"/>
    </row>
    <row r="139" spans="3:13" ht="15.75" thickBot="1" x14ac:dyDescent="0.3"/>
    <row r="140" spans="3:13" x14ac:dyDescent="0.25">
      <c r="C140" s="274" t="s">
        <v>162</v>
      </c>
      <c r="D140" s="275"/>
      <c r="E140" s="275"/>
      <c r="F140" s="93"/>
      <c r="G140" s="93"/>
      <c r="H140" s="93"/>
      <c r="I140" s="93"/>
      <c r="J140" s="96"/>
    </row>
    <row r="141" spans="3:13" x14ac:dyDescent="0.25">
      <c r="C141" s="276" t="s">
        <v>163</v>
      </c>
      <c r="D141" s="277"/>
      <c r="E141" s="278">
        <v>45923</v>
      </c>
      <c r="F141" s="51"/>
      <c r="G141" s="51" t="s">
        <v>169</v>
      </c>
      <c r="H141" s="430" t="s">
        <v>330</v>
      </c>
      <c r="I141" s="431"/>
      <c r="J141" s="432"/>
      <c r="K141" s="146"/>
      <c r="L141" s="146"/>
      <c r="M141" s="146"/>
    </row>
    <row r="142" spans="3:13" ht="16.5" x14ac:dyDescent="0.25">
      <c r="C142" s="276" t="s">
        <v>164</v>
      </c>
      <c r="D142" s="277" t="s">
        <v>165</v>
      </c>
      <c r="E142" s="277" t="s">
        <v>166</v>
      </c>
      <c r="F142" s="51"/>
      <c r="G142" s="51" t="s">
        <v>170</v>
      </c>
      <c r="H142" s="229">
        <v>88</v>
      </c>
      <c r="I142" s="98"/>
      <c r="J142" s="99"/>
      <c r="K142" s="146"/>
      <c r="L142" s="146"/>
      <c r="M142" s="146"/>
    </row>
    <row r="143" spans="3:13" x14ac:dyDescent="0.25">
      <c r="C143" s="276" t="s">
        <v>167</v>
      </c>
      <c r="D143" s="277"/>
      <c r="E143" s="278">
        <v>45924</v>
      </c>
      <c r="F143" s="51"/>
      <c r="G143" s="51"/>
      <c r="H143" s="51"/>
      <c r="I143" s="51"/>
      <c r="J143" s="100"/>
      <c r="K143" s="146"/>
      <c r="L143" s="146"/>
      <c r="M143" s="146"/>
    </row>
    <row r="144" spans="3:13" ht="15.75" thickBot="1" x14ac:dyDescent="0.3">
      <c r="C144" s="94" t="s">
        <v>168</v>
      </c>
      <c r="D144" s="51"/>
      <c r="E144" s="51"/>
      <c r="F144" s="51"/>
      <c r="G144" s="51"/>
      <c r="H144" s="51"/>
      <c r="I144" s="51"/>
      <c r="J144" s="100"/>
      <c r="K144" s="146"/>
      <c r="L144" s="146"/>
      <c r="M144" s="146"/>
    </row>
    <row r="145" spans="3:13" x14ac:dyDescent="0.25">
      <c r="C145" s="442" t="s">
        <v>459</v>
      </c>
      <c r="D145" s="443"/>
      <c r="E145" s="443"/>
      <c r="F145" s="443"/>
      <c r="G145" s="443"/>
      <c r="H145" s="443"/>
      <c r="I145" s="443"/>
      <c r="J145" s="444"/>
      <c r="K145" s="146"/>
      <c r="L145" s="146"/>
      <c r="M145" s="146"/>
    </row>
    <row r="146" spans="3:13" x14ac:dyDescent="0.25">
      <c r="C146" s="445"/>
      <c r="D146" s="446"/>
      <c r="E146" s="446"/>
      <c r="F146" s="446"/>
      <c r="G146" s="446"/>
      <c r="H146" s="446"/>
      <c r="I146" s="446"/>
      <c r="J146" s="447"/>
      <c r="K146" s="146"/>
      <c r="L146" s="146"/>
      <c r="M146" s="146"/>
    </row>
    <row r="147" spans="3:13" ht="15.75" thickBot="1" x14ac:dyDescent="0.3">
      <c r="C147" s="448"/>
      <c r="D147" s="449"/>
      <c r="E147" s="449"/>
      <c r="F147" s="449"/>
      <c r="G147" s="449"/>
      <c r="H147" s="449"/>
      <c r="I147" s="449"/>
      <c r="J147" s="450"/>
      <c r="K147" s="146"/>
      <c r="L147" s="146"/>
      <c r="M147" s="146"/>
    </row>
    <row r="149" spans="3:13" ht="15.75" thickBot="1" x14ac:dyDescent="0.3"/>
    <row r="150" spans="3:13" x14ac:dyDescent="0.25">
      <c r="C150" s="279" t="s">
        <v>162</v>
      </c>
      <c r="D150" s="280"/>
      <c r="E150" s="280"/>
      <c r="F150" s="93"/>
      <c r="G150" s="93"/>
      <c r="H150" s="93"/>
      <c r="I150" s="93"/>
      <c r="J150" s="96"/>
    </row>
    <row r="151" spans="3:13" x14ac:dyDescent="0.25">
      <c r="C151" s="281" t="s">
        <v>163</v>
      </c>
      <c r="D151" s="282"/>
      <c r="E151" s="283">
        <v>45923</v>
      </c>
      <c r="F151" s="51"/>
      <c r="G151" s="51" t="s">
        <v>169</v>
      </c>
      <c r="H151" s="430" t="s">
        <v>332</v>
      </c>
      <c r="I151" s="431"/>
      <c r="J151" s="432"/>
      <c r="K151" s="146"/>
      <c r="L151" s="146"/>
    </row>
    <row r="152" spans="3:13" ht="16.5" x14ac:dyDescent="0.25">
      <c r="C152" s="281" t="s">
        <v>164</v>
      </c>
      <c r="D152" s="282" t="s">
        <v>165</v>
      </c>
      <c r="E152" s="282" t="s">
        <v>166</v>
      </c>
      <c r="F152" s="51"/>
      <c r="G152" s="51" t="s">
        <v>170</v>
      </c>
      <c r="H152" s="229" t="s">
        <v>331</v>
      </c>
      <c r="I152" s="98"/>
      <c r="J152" s="99"/>
      <c r="K152" s="146"/>
      <c r="L152" s="146"/>
    </row>
    <row r="153" spans="3:13" x14ac:dyDescent="0.25">
      <c r="C153" s="281" t="s">
        <v>167</v>
      </c>
      <c r="D153" s="282"/>
      <c r="E153" s="283">
        <v>45924</v>
      </c>
      <c r="F153" s="51"/>
      <c r="G153" s="51"/>
      <c r="H153" s="51"/>
      <c r="I153" s="51"/>
      <c r="J153" s="100"/>
      <c r="K153" s="146"/>
      <c r="L153" s="146"/>
    </row>
    <row r="154" spans="3:13" ht="15.75" thickBot="1" x14ac:dyDescent="0.3">
      <c r="C154" s="94" t="s">
        <v>168</v>
      </c>
      <c r="D154" s="51"/>
      <c r="E154" s="51"/>
      <c r="F154" s="51"/>
      <c r="G154" s="51"/>
      <c r="H154" s="51"/>
      <c r="I154" s="51"/>
      <c r="J154" s="100"/>
      <c r="K154" s="146"/>
      <c r="L154" s="146"/>
    </row>
    <row r="155" spans="3:13" x14ac:dyDescent="0.25">
      <c r="C155" s="442" t="s">
        <v>333</v>
      </c>
      <c r="D155" s="443"/>
      <c r="E155" s="443"/>
      <c r="F155" s="443"/>
      <c r="G155" s="443"/>
      <c r="H155" s="443"/>
      <c r="I155" s="443"/>
      <c r="J155" s="444"/>
      <c r="K155" s="146"/>
      <c r="L155" s="146"/>
    </row>
    <row r="156" spans="3:13" x14ac:dyDescent="0.25">
      <c r="C156" s="445"/>
      <c r="D156" s="446"/>
      <c r="E156" s="446"/>
      <c r="F156" s="446"/>
      <c r="G156" s="446"/>
      <c r="H156" s="446"/>
      <c r="I156" s="446"/>
      <c r="J156" s="447"/>
      <c r="K156" s="146"/>
      <c r="L156" s="146"/>
    </row>
    <row r="157" spans="3:13" ht="15.75" thickBot="1" x14ac:dyDescent="0.3">
      <c r="C157" s="448"/>
      <c r="D157" s="449"/>
      <c r="E157" s="449"/>
      <c r="F157" s="449"/>
      <c r="G157" s="449"/>
      <c r="H157" s="449"/>
      <c r="I157" s="449"/>
      <c r="J157" s="450"/>
    </row>
    <row r="159" spans="3:13" ht="15.75" thickBot="1" x14ac:dyDescent="0.3"/>
    <row r="160" spans="3:13" x14ac:dyDescent="0.25">
      <c r="C160" s="284" t="s">
        <v>162</v>
      </c>
      <c r="D160" s="285"/>
      <c r="E160" s="285"/>
      <c r="F160" s="93"/>
      <c r="G160" s="93"/>
      <c r="H160" s="93"/>
      <c r="I160" s="93"/>
      <c r="J160" s="96"/>
    </row>
    <row r="161" spans="3:13" x14ac:dyDescent="0.25">
      <c r="C161" s="286" t="s">
        <v>163</v>
      </c>
      <c r="D161" s="287"/>
      <c r="E161" s="288">
        <v>45923</v>
      </c>
      <c r="F161" s="51"/>
      <c r="G161" s="51" t="s">
        <v>169</v>
      </c>
      <c r="H161" s="430" t="s">
        <v>279</v>
      </c>
      <c r="I161" s="431"/>
      <c r="J161" s="432"/>
    </row>
    <row r="162" spans="3:13" ht="16.5" x14ac:dyDescent="0.25">
      <c r="C162" s="286" t="s">
        <v>164</v>
      </c>
      <c r="D162" s="287" t="s">
        <v>165</v>
      </c>
      <c r="E162" s="287" t="s">
        <v>166</v>
      </c>
      <c r="F162" s="51"/>
      <c r="G162" s="51" t="s">
        <v>170</v>
      </c>
      <c r="H162" s="229">
        <v>31</v>
      </c>
      <c r="I162" s="98"/>
      <c r="J162" s="99"/>
      <c r="K162" s="146"/>
      <c r="L162" s="146"/>
      <c r="M162" s="146"/>
    </row>
    <row r="163" spans="3:13" x14ac:dyDescent="0.25">
      <c r="C163" s="286" t="s">
        <v>167</v>
      </c>
      <c r="D163" s="287"/>
      <c r="E163" s="288">
        <v>45924</v>
      </c>
      <c r="F163" s="51"/>
      <c r="G163" s="51"/>
      <c r="H163" s="51"/>
      <c r="I163" s="51"/>
      <c r="J163" s="100"/>
      <c r="K163" s="146"/>
      <c r="L163" s="146"/>
      <c r="M163" s="146"/>
    </row>
    <row r="164" spans="3:13" ht="15.75" thickBot="1" x14ac:dyDescent="0.3">
      <c r="C164" s="94" t="s">
        <v>168</v>
      </c>
      <c r="D164" s="51"/>
      <c r="E164" s="51"/>
      <c r="F164" s="51"/>
      <c r="G164" s="51"/>
      <c r="H164" s="51"/>
      <c r="I164" s="51"/>
      <c r="J164" s="100"/>
      <c r="K164" s="146"/>
      <c r="L164" s="146"/>
      <c r="M164" s="146"/>
    </row>
    <row r="165" spans="3:13" x14ac:dyDescent="0.25">
      <c r="C165" s="442" t="s">
        <v>334</v>
      </c>
      <c r="D165" s="443"/>
      <c r="E165" s="443"/>
      <c r="F165" s="443"/>
      <c r="G165" s="443"/>
      <c r="H165" s="443"/>
      <c r="I165" s="443"/>
      <c r="J165" s="444"/>
      <c r="K165" s="146"/>
      <c r="L165" s="146"/>
      <c r="M165" s="146"/>
    </row>
    <row r="166" spans="3:13" x14ac:dyDescent="0.25">
      <c r="C166" s="445"/>
      <c r="D166" s="446"/>
      <c r="E166" s="446"/>
      <c r="F166" s="446"/>
      <c r="G166" s="446"/>
      <c r="H166" s="446"/>
      <c r="I166" s="446"/>
      <c r="J166" s="447"/>
      <c r="K166" s="146"/>
      <c r="L166" s="146"/>
      <c r="M166" s="146"/>
    </row>
    <row r="167" spans="3:13" ht="15.75" thickBot="1" x14ac:dyDescent="0.3">
      <c r="C167" s="448"/>
      <c r="D167" s="449"/>
      <c r="E167" s="449"/>
      <c r="F167" s="449"/>
      <c r="G167" s="449"/>
      <c r="H167" s="449"/>
      <c r="I167" s="449"/>
      <c r="J167" s="450"/>
      <c r="K167" s="146"/>
      <c r="L167" s="146"/>
      <c r="M167" s="146"/>
    </row>
    <row r="169" spans="3:13" ht="15.75" thickBot="1" x14ac:dyDescent="0.3"/>
    <row r="170" spans="3:13" x14ac:dyDescent="0.25">
      <c r="C170" s="289" t="s">
        <v>162</v>
      </c>
      <c r="D170" s="290"/>
      <c r="E170" s="290"/>
      <c r="F170" s="93"/>
      <c r="G170" s="93"/>
      <c r="H170" s="93"/>
      <c r="I170" s="93"/>
      <c r="J170" s="96"/>
    </row>
    <row r="171" spans="3:13" x14ac:dyDescent="0.25">
      <c r="C171" s="291" t="s">
        <v>163</v>
      </c>
      <c r="D171" s="292"/>
      <c r="E171" s="293">
        <v>45923</v>
      </c>
      <c r="F171" s="51"/>
      <c r="G171" s="51" t="s">
        <v>169</v>
      </c>
      <c r="H171" s="430" t="s">
        <v>279</v>
      </c>
      <c r="I171" s="431"/>
      <c r="J171" s="432"/>
    </row>
    <row r="172" spans="3:13" ht="16.5" x14ac:dyDescent="0.25">
      <c r="C172" s="291" t="s">
        <v>164</v>
      </c>
      <c r="D172" s="292" t="s">
        <v>165</v>
      </c>
      <c r="E172" s="292" t="s">
        <v>166</v>
      </c>
      <c r="F172" s="51"/>
      <c r="G172" s="51" t="s">
        <v>170</v>
      </c>
      <c r="H172" s="229">
        <v>34</v>
      </c>
      <c r="I172" s="98"/>
      <c r="J172" s="99"/>
      <c r="K172" s="146"/>
      <c r="L172" s="146"/>
      <c r="M172" s="146"/>
    </row>
    <row r="173" spans="3:13" x14ac:dyDescent="0.25">
      <c r="C173" s="291" t="s">
        <v>167</v>
      </c>
      <c r="D173" s="292"/>
      <c r="E173" s="293">
        <v>45924</v>
      </c>
      <c r="F173" s="51"/>
      <c r="G173" s="51"/>
      <c r="H173" s="51"/>
      <c r="I173" s="51"/>
      <c r="J173" s="100"/>
      <c r="K173" s="146"/>
      <c r="L173" s="146"/>
      <c r="M173" s="146"/>
    </row>
    <row r="174" spans="3:13" ht="15.75" thickBot="1" x14ac:dyDescent="0.3">
      <c r="C174" s="94" t="s">
        <v>168</v>
      </c>
      <c r="D174" s="51"/>
      <c r="E174" s="51"/>
      <c r="F174" s="51"/>
      <c r="G174" s="51"/>
      <c r="H174" s="51"/>
      <c r="I174" s="51"/>
      <c r="J174" s="100"/>
      <c r="K174" s="146"/>
      <c r="L174" s="146"/>
      <c r="M174" s="146"/>
    </row>
    <row r="175" spans="3:13" x14ac:dyDescent="0.25">
      <c r="C175" s="442" t="s">
        <v>335</v>
      </c>
      <c r="D175" s="443"/>
      <c r="E175" s="443"/>
      <c r="F175" s="443"/>
      <c r="G175" s="443"/>
      <c r="H175" s="443"/>
      <c r="I175" s="443"/>
      <c r="J175" s="444"/>
      <c r="K175" s="146"/>
      <c r="L175" s="146"/>
      <c r="M175" s="146"/>
    </row>
    <row r="176" spans="3:13" x14ac:dyDescent="0.25">
      <c r="C176" s="445"/>
      <c r="D176" s="446"/>
      <c r="E176" s="446"/>
      <c r="F176" s="446"/>
      <c r="G176" s="446"/>
      <c r="H176" s="446"/>
      <c r="I176" s="446"/>
      <c r="J176" s="447"/>
      <c r="K176" s="146"/>
      <c r="L176" s="146"/>
      <c r="M176" s="146"/>
    </row>
    <row r="177" spans="3:13" ht="15.75" thickBot="1" x14ac:dyDescent="0.3">
      <c r="C177" s="448"/>
      <c r="D177" s="449"/>
      <c r="E177" s="449"/>
      <c r="F177" s="449"/>
      <c r="G177" s="449"/>
      <c r="H177" s="449"/>
      <c r="I177" s="449"/>
      <c r="J177" s="450"/>
    </row>
    <row r="178" spans="3:13" ht="15.75" thickBot="1" x14ac:dyDescent="0.3"/>
    <row r="179" spans="3:13" x14ac:dyDescent="0.25">
      <c r="C179" s="294" t="s">
        <v>162</v>
      </c>
      <c r="D179" s="295"/>
      <c r="E179" s="295"/>
      <c r="F179" s="93"/>
      <c r="G179" s="93"/>
      <c r="H179" s="93"/>
      <c r="I179" s="93"/>
      <c r="J179" s="96"/>
    </row>
    <row r="180" spans="3:13" x14ac:dyDescent="0.25">
      <c r="C180" s="296" t="s">
        <v>163</v>
      </c>
      <c r="D180" s="297"/>
      <c r="E180" s="298">
        <v>45923</v>
      </c>
      <c r="F180" s="51"/>
      <c r="G180" s="51" t="s">
        <v>169</v>
      </c>
      <c r="H180" s="430" t="s">
        <v>336</v>
      </c>
      <c r="I180" s="431"/>
      <c r="J180" s="432"/>
      <c r="K180" s="146"/>
      <c r="L180" s="146"/>
      <c r="M180" s="146"/>
    </row>
    <row r="181" spans="3:13" ht="16.5" x14ac:dyDescent="0.25">
      <c r="C181" s="296" t="s">
        <v>164</v>
      </c>
      <c r="D181" s="297" t="s">
        <v>165</v>
      </c>
      <c r="E181" s="297" t="s">
        <v>166</v>
      </c>
      <c r="F181" s="51"/>
      <c r="G181" s="51" t="s">
        <v>170</v>
      </c>
      <c r="H181" s="229">
        <v>73</v>
      </c>
      <c r="I181" s="98"/>
      <c r="J181" s="99"/>
      <c r="K181" s="146"/>
      <c r="L181" s="146"/>
      <c r="M181" s="146"/>
    </row>
    <row r="182" spans="3:13" x14ac:dyDescent="0.25">
      <c r="C182" s="296" t="s">
        <v>167</v>
      </c>
      <c r="D182" s="297"/>
      <c r="E182" s="298">
        <v>45924</v>
      </c>
      <c r="F182" s="51"/>
      <c r="G182" s="51"/>
      <c r="H182" s="51"/>
      <c r="I182" s="51"/>
      <c r="J182" s="100"/>
      <c r="K182" s="146"/>
      <c r="L182" s="146"/>
      <c r="M182" s="146"/>
    </row>
    <row r="183" spans="3:13" ht="15.75" thickBot="1" x14ac:dyDescent="0.3">
      <c r="C183" s="94" t="s">
        <v>168</v>
      </c>
      <c r="D183" s="51"/>
      <c r="E183" s="51"/>
      <c r="F183" s="51"/>
      <c r="G183" s="51"/>
      <c r="H183" s="51"/>
      <c r="I183" s="51"/>
      <c r="J183" s="100"/>
      <c r="K183" s="146"/>
      <c r="L183" s="146"/>
      <c r="M183" s="146"/>
    </row>
    <row r="184" spans="3:13" x14ac:dyDescent="0.25">
      <c r="C184" s="442" t="s">
        <v>460</v>
      </c>
      <c r="D184" s="443"/>
      <c r="E184" s="443"/>
      <c r="F184" s="443"/>
      <c r="G184" s="443"/>
      <c r="H184" s="443"/>
      <c r="I184" s="443"/>
      <c r="J184" s="444"/>
      <c r="K184" s="146"/>
      <c r="L184" s="146"/>
      <c r="M184" s="146"/>
    </row>
    <row r="185" spans="3:13" x14ac:dyDescent="0.25">
      <c r="C185" s="445"/>
      <c r="D185" s="446"/>
      <c r="E185" s="446"/>
      <c r="F185" s="446"/>
      <c r="G185" s="446"/>
      <c r="H185" s="446"/>
      <c r="I185" s="446"/>
      <c r="J185" s="447"/>
      <c r="K185" s="146"/>
      <c r="L185" s="146"/>
      <c r="M185" s="146"/>
    </row>
    <row r="186" spans="3:13" ht="15.75" thickBot="1" x14ac:dyDescent="0.3">
      <c r="C186" s="448"/>
      <c r="D186" s="449"/>
      <c r="E186" s="449"/>
      <c r="F186" s="449"/>
      <c r="G186" s="449"/>
      <c r="H186" s="449"/>
      <c r="I186" s="449"/>
      <c r="J186" s="450"/>
      <c r="K186" s="146"/>
      <c r="L186" s="146"/>
      <c r="M186" s="146"/>
    </row>
    <row r="187" spans="3:13" ht="15.75" thickBot="1" x14ac:dyDescent="0.3"/>
    <row r="188" spans="3:13" x14ac:dyDescent="0.25">
      <c r="C188" s="274" t="s">
        <v>162</v>
      </c>
      <c r="D188" s="275"/>
      <c r="E188" s="275"/>
      <c r="F188" s="93"/>
      <c r="G188" s="93"/>
      <c r="H188" s="93"/>
      <c r="I188" s="93"/>
      <c r="J188" s="96"/>
    </row>
    <row r="189" spans="3:13" x14ac:dyDescent="0.25">
      <c r="C189" s="276" t="s">
        <v>163</v>
      </c>
      <c r="D189" s="277"/>
      <c r="E189" s="278">
        <v>45923</v>
      </c>
      <c r="F189" s="51"/>
      <c r="G189" s="51" t="s">
        <v>169</v>
      </c>
      <c r="H189" s="430" t="s">
        <v>338</v>
      </c>
      <c r="I189" s="431"/>
      <c r="J189" s="432"/>
    </row>
    <row r="190" spans="3:13" ht="16.5" x14ac:dyDescent="0.25">
      <c r="C190" s="276" t="s">
        <v>164</v>
      </c>
      <c r="D190" s="277" t="s">
        <v>165</v>
      </c>
      <c r="E190" s="277" t="s">
        <v>166</v>
      </c>
      <c r="F190" s="51"/>
      <c r="G190" s="51" t="s">
        <v>170</v>
      </c>
      <c r="H190" s="229">
        <v>59</v>
      </c>
      <c r="I190" s="98"/>
      <c r="J190" s="99"/>
      <c r="K190" s="146"/>
      <c r="L190" s="146"/>
      <c r="M190" s="146"/>
    </row>
    <row r="191" spans="3:13" x14ac:dyDescent="0.25">
      <c r="C191" s="276" t="s">
        <v>167</v>
      </c>
      <c r="D191" s="277"/>
      <c r="E191" s="278">
        <v>45924</v>
      </c>
      <c r="F191" s="51"/>
      <c r="G191" s="51"/>
      <c r="H191" s="51"/>
      <c r="I191" s="51"/>
      <c r="J191" s="100"/>
      <c r="K191" s="146"/>
      <c r="L191" s="146"/>
      <c r="M191" s="146"/>
    </row>
    <row r="192" spans="3:13" ht="15.75" thickBot="1" x14ac:dyDescent="0.3">
      <c r="C192" s="94" t="s">
        <v>168</v>
      </c>
      <c r="D192" s="51"/>
      <c r="E192" s="51"/>
      <c r="F192" s="51"/>
      <c r="G192" s="51"/>
      <c r="H192" s="51"/>
      <c r="I192" s="51"/>
      <c r="J192" s="100"/>
      <c r="K192" s="146"/>
      <c r="L192" s="146"/>
      <c r="M192" s="146"/>
    </row>
    <row r="193" spans="3:13" x14ac:dyDescent="0.25">
      <c r="C193" s="442" t="s">
        <v>337</v>
      </c>
      <c r="D193" s="443"/>
      <c r="E193" s="443"/>
      <c r="F193" s="443"/>
      <c r="G193" s="443"/>
      <c r="H193" s="443"/>
      <c r="I193" s="443"/>
      <c r="J193" s="444"/>
      <c r="K193" s="146"/>
      <c r="L193" s="146"/>
      <c r="M193" s="146"/>
    </row>
    <row r="194" spans="3:13" x14ac:dyDescent="0.25">
      <c r="C194" s="445"/>
      <c r="D194" s="446"/>
      <c r="E194" s="446"/>
      <c r="F194" s="446"/>
      <c r="G194" s="446"/>
      <c r="H194" s="446"/>
      <c r="I194" s="446"/>
      <c r="J194" s="447"/>
      <c r="K194" s="146"/>
      <c r="L194" s="146"/>
      <c r="M194" s="146"/>
    </row>
    <row r="195" spans="3:13" ht="15.75" thickBot="1" x14ac:dyDescent="0.3">
      <c r="C195" s="448"/>
      <c r="D195" s="449"/>
      <c r="E195" s="449"/>
      <c r="F195" s="449"/>
      <c r="G195" s="449"/>
      <c r="H195" s="449"/>
      <c r="I195" s="449"/>
      <c r="J195" s="450"/>
      <c r="K195" s="146"/>
      <c r="L195" s="146"/>
      <c r="M195" s="146"/>
    </row>
    <row r="197" spans="3:13" ht="15.75" thickBot="1" x14ac:dyDescent="0.3"/>
    <row r="198" spans="3:13" x14ac:dyDescent="0.25">
      <c r="C198" s="231" t="s">
        <v>162</v>
      </c>
      <c r="D198" s="232"/>
      <c r="E198" s="232"/>
      <c r="F198" s="93"/>
      <c r="G198" s="93"/>
      <c r="H198" s="93"/>
      <c r="I198" s="93"/>
      <c r="J198" s="96"/>
    </row>
    <row r="199" spans="3:13" x14ac:dyDescent="0.25">
      <c r="C199" s="233" t="s">
        <v>163</v>
      </c>
      <c r="D199" s="234"/>
      <c r="E199" s="235">
        <v>45923</v>
      </c>
      <c r="F199" s="51"/>
      <c r="G199" s="51" t="s">
        <v>169</v>
      </c>
      <c r="H199" s="430" t="s">
        <v>339</v>
      </c>
      <c r="I199" s="431"/>
      <c r="J199" s="432"/>
    </row>
    <row r="200" spans="3:13" ht="16.5" x14ac:dyDescent="0.25">
      <c r="C200" s="233" t="s">
        <v>164</v>
      </c>
      <c r="D200" s="234" t="s">
        <v>165</v>
      </c>
      <c r="E200" s="234" t="s">
        <v>166</v>
      </c>
      <c r="F200" s="51"/>
      <c r="G200" s="51" t="s">
        <v>170</v>
      </c>
      <c r="H200" s="229">
        <v>71</v>
      </c>
      <c r="I200" s="98"/>
      <c r="J200" s="99"/>
      <c r="K200" s="146"/>
      <c r="L200" s="146"/>
      <c r="M200" s="146"/>
    </row>
    <row r="201" spans="3:13" x14ac:dyDescent="0.25">
      <c r="C201" s="233" t="s">
        <v>167</v>
      </c>
      <c r="D201" s="234"/>
      <c r="E201" s="235">
        <v>45924</v>
      </c>
      <c r="F201" s="51"/>
      <c r="G201" s="51"/>
      <c r="H201" s="51"/>
      <c r="I201" s="51"/>
      <c r="J201" s="100"/>
      <c r="K201" s="146"/>
      <c r="L201" s="146"/>
      <c r="M201" s="146"/>
    </row>
    <row r="202" spans="3:13" ht="15.75" thickBot="1" x14ac:dyDescent="0.3">
      <c r="C202" s="94" t="s">
        <v>168</v>
      </c>
      <c r="D202" s="51"/>
      <c r="E202" s="51"/>
      <c r="F202" s="51"/>
      <c r="G202" s="51"/>
      <c r="H202" s="51"/>
      <c r="I202" s="51"/>
      <c r="J202" s="100"/>
      <c r="K202" s="146"/>
      <c r="L202" s="146"/>
      <c r="M202" s="146"/>
    </row>
    <row r="203" spans="3:13" x14ac:dyDescent="0.25">
      <c r="C203" s="442" t="s">
        <v>340</v>
      </c>
      <c r="D203" s="443"/>
      <c r="E203" s="443"/>
      <c r="F203" s="443"/>
      <c r="G203" s="443"/>
      <c r="H203" s="443"/>
      <c r="I203" s="443"/>
      <c r="J203" s="444"/>
      <c r="K203" s="146"/>
      <c r="L203" s="146"/>
      <c r="M203" s="146"/>
    </row>
    <row r="204" spans="3:13" x14ac:dyDescent="0.25">
      <c r="C204" s="445"/>
      <c r="D204" s="446"/>
      <c r="E204" s="446"/>
      <c r="F204" s="446"/>
      <c r="G204" s="446"/>
      <c r="H204" s="446"/>
      <c r="I204" s="446"/>
      <c r="J204" s="447"/>
      <c r="K204" s="146"/>
      <c r="L204" s="146"/>
      <c r="M204" s="146"/>
    </row>
    <row r="205" spans="3:13" ht="15.75" thickBot="1" x14ac:dyDescent="0.3">
      <c r="C205" s="448"/>
      <c r="D205" s="449"/>
      <c r="E205" s="449"/>
      <c r="F205" s="449"/>
      <c r="G205" s="449"/>
      <c r="H205" s="449"/>
      <c r="I205" s="449"/>
      <c r="J205" s="450"/>
      <c r="K205" s="146"/>
      <c r="L205" s="146"/>
      <c r="M205" s="146"/>
    </row>
    <row r="206" spans="3:13" ht="15.75" thickBot="1" x14ac:dyDescent="0.3"/>
    <row r="207" spans="3:13" x14ac:dyDescent="0.25">
      <c r="C207" s="212" t="s">
        <v>162</v>
      </c>
      <c r="D207" s="213"/>
      <c r="E207" s="213"/>
      <c r="F207" s="93"/>
      <c r="G207" s="93"/>
      <c r="H207" s="93"/>
      <c r="I207" s="93"/>
      <c r="J207" s="96"/>
      <c r="L207" s="7"/>
    </row>
    <row r="208" spans="3:13" x14ac:dyDescent="0.25">
      <c r="C208" s="214" t="s">
        <v>163</v>
      </c>
      <c r="D208" s="215"/>
      <c r="E208" s="216">
        <v>45923</v>
      </c>
      <c r="F208" s="51"/>
      <c r="G208" s="51" t="s">
        <v>169</v>
      </c>
      <c r="H208" s="430" t="s">
        <v>344</v>
      </c>
      <c r="I208" s="431"/>
      <c r="J208" s="432"/>
      <c r="K208" s="146"/>
      <c r="L208" s="146"/>
      <c r="M208" s="146"/>
    </row>
    <row r="209" spans="3:13" ht="16.5" x14ac:dyDescent="0.25">
      <c r="C209" s="214" t="s">
        <v>164</v>
      </c>
      <c r="D209" s="215" t="s">
        <v>165</v>
      </c>
      <c r="E209" s="215" t="s">
        <v>166</v>
      </c>
      <c r="F209" s="51"/>
      <c r="G209" s="51" t="s">
        <v>170</v>
      </c>
      <c r="H209" s="229">
        <v>42</v>
      </c>
      <c r="I209" s="98"/>
      <c r="J209" s="99"/>
      <c r="K209" s="146"/>
      <c r="L209" s="146"/>
      <c r="M209" s="146"/>
    </row>
    <row r="210" spans="3:13" x14ac:dyDescent="0.25">
      <c r="C210" s="214" t="s">
        <v>167</v>
      </c>
      <c r="D210" s="215"/>
      <c r="E210" s="216">
        <v>45924</v>
      </c>
      <c r="F210" s="51"/>
      <c r="G210" s="51"/>
      <c r="H210" s="51"/>
      <c r="I210" s="51"/>
      <c r="J210" s="100"/>
      <c r="K210" s="146"/>
      <c r="L210" s="146"/>
      <c r="M210" s="146"/>
    </row>
    <row r="211" spans="3:13" ht="15.75" thickBot="1" x14ac:dyDescent="0.3">
      <c r="C211" s="94" t="s">
        <v>168</v>
      </c>
      <c r="D211" s="51"/>
      <c r="E211" s="51"/>
      <c r="F211" s="51"/>
      <c r="G211" s="51"/>
      <c r="H211" s="51"/>
      <c r="I211" s="51"/>
      <c r="J211" s="100"/>
      <c r="K211" s="146"/>
      <c r="L211" s="146"/>
      <c r="M211" s="146"/>
    </row>
    <row r="212" spans="3:13" x14ac:dyDescent="0.25">
      <c r="C212" s="442" t="s">
        <v>343</v>
      </c>
      <c r="D212" s="443"/>
      <c r="E212" s="443"/>
      <c r="F212" s="443"/>
      <c r="G212" s="443"/>
      <c r="H212" s="443"/>
      <c r="I212" s="443"/>
      <c r="J212" s="444"/>
      <c r="K212" s="146"/>
      <c r="L212" s="146"/>
      <c r="M212" s="146"/>
    </row>
    <row r="213" spans="3:13" x14ac:dyDescent="0.25">
      <c r="C213" s="445"/>
      <c r="D213" s="446"/>
      <c r="E213" s="446"/>
      <c r="F213" s="446"/>
      <c r="G213" s="446"/>
      <c r="H213" s="446"/>
      <c r="I213" s="446"/>
      <c r="J213" s="447"/>
      <c r="K213" s="146"/>
      <c r="L213" s="146"/>
      <c r="M213" s="146"/>
    </row>
    <row r="214" spans="3:13" ht="15.75" thickBot="1" x14ac:dyDescent="0.3">
      <c r="C214" s="448"/>
      <c r="D214" s="449"/>
      <c r="E214" s="449"/>
      <c r="F214" s="449"/>
      <c r="G214" s="449"/>
      <c r="H214" s="449"/>
      <c r="I214" s="449"/>
      <c r="J214" s="450"/>
      <c r="K214" s="146"/>
      <c r="L214" s="146"/>
      <c r="M214" s="146"/>
    </row>
    <row r="216" spans="3:13" ht="15.75" thickBot="1" x14ac:dyDescent="0.3"/>
    <row r="217" spans="3:13" x14ac:dyDescent="0.25">
      <c r="C217" s="299" t="s">
        <v>162</v>
      </c>
      <c r="D217" s="300"/>
      <c r="E217" s="300"/>
      <c r="F217" s="93"/>
      <c r="G217" s="93"/>
      <c r="H217" s="93"/>
      <c r="I217" s="93"/>
      <c r="J217" s="96"/>
    </row>
    <row r="218" spans="3:13" x14ac:dyDescent="0.25">
      <c r="C218" s="301" t="s">
        <v>163</v>
      </c>
      <c r="D218" s="302"/>
      <c r="E218" s="303">
        <v>45923</v>
      </c>
      <c r="F218" s="51"/>
      <c r="G218" s="51" t="s">
        <v>169</v>
      </c>
      <c r="H218" s="430" t="s">
        <v>346</v>
      </c>
      <c r="I218" s="431"/>
      <c r="J218" s="432"/>
    </row>
    <row r="219" spans="3:13" ht="16.5" x14ac:dyDescent="0.25">
      <c r="C219" s="301" t="s">
        <v>164</v>
      </c>
      <c r="D219" s="302" t="s">
        <v>165</v>
      </c>
      <c r="E219" s="302" t="s">
        <v>166</v>
      </c>
      <c r="F219" s="51"/>
      <c r="G219" s="51" t="s">
        <v>170</v>
      </c>
      <c r="H219" s="229">
        <v>60</v>
      </c>
      <c r="I219" s="98"/>
      <c r="J219" s="99"/>
      <c r="K219" s="146"/>
      <c r="L219" s="146"/>
      <c r="M219" s="146"/>
    </row>
    <row r="220" spans="3:13" x14ac:dyDescent="0.25">
      <c r="C220" s="301" t="s">
        <v>167</v>
      </c>
      <c r="D220" s="302"/>
      <c r="E220" s="303">
        <v>45924</v>
      </c>
      <c r="F220" s="51"/>
      <c r="G220" s="51"/>
      <c r="H220" s="51"/>
      <c r="I220" s="51"/>
      <c r="J220" s="100"/>
      <c r="K220" s="146"/>
      <c r="L220" s="146"/>
      <c r="M220" s="146"/>
    </row>
    <row r="221" spans="3:13" ht="15.75" thickBot="1" x14ac:dyDescent="0.3">
      <c r="C221" s="94" t="s">
        <v>168</v>
      </c>
      <c r="D221" s="51"/>
      <c r="E221" s="51"/>
      <c r="F221" s="51"/>
      <c r="G221" s="51"/>
      <c r="H221" s="51"/>
      <c r="I221" s="51"/>
      <c r="J221" s="100"/>
      <c r="K221" s="146"/>
      <c r="L221" s="146"/>
      <c r="M221" s="146"/>
    </row>
    <row r="222" spans="3:13" x14ac:dyDescent="0.25">
      <c r="C222" s="442" t="s">
        <v>347</v>
      </c>
      <c r="D222" s="443"/>
      <c r="E222" s="443"/>
      <c r="F222" s="443"/>
      <c r="G222" s="443"/>
      <c r="H222" s="443"/>
      <c r="I222" s="443"/>
      <c r="J222" s="444"/>
      <c r="K222" s="146"/>
      <c r="L222" s="146"/>
      <c r="M222" s="146"/>
    </row>
    <row r="223" spans="3:13" x14ac:dyDescent="0.25">
      <c r="C223" s="445"/>
      <c r="D223" s="446"/>
      <c r="E223" s="446"/>
      <c r="F223" s="446"/>
      <c r="G223" s="446"/>
      <c r="H223" s="446"/>
      <c r="I223" s="446"/>
      <c r="J223" s="447"/>
      <c r="K223" s="146"/>
      <c r="L223" s="146"/>
      <c r="M223" s="146"/>
    </row>
    <row r="224" spans="3:13" ht="15.75" thickBot="1" x14ac:dyDescent="0.3">
      <c r="C224" s="448"/>
      <c r="D224" s="449"/>
      <c r="E224" s="449"/>
      <c r="F224" s="449"/>
      <c r="G224" s="449"/>
      <c r="H224" s="449"/>
      <c r="I224" s="449"/>
      <c r="J224" s="450"/>
    </row>
    <row r="226" spans="3:13" ht="15.75" thickBot="1" x14ac:dyDescent="0.3"/>
    <row r="227" spans="3:13" x14ac:dyDescent="0.25">
      <c r="C227" s="305" t="s">
        <v>162</v>
      </c>
      <c r="D227" s="306"/>
      <c r="E227" s="306"/>
      <c r="F227" s="93"/>
      <c r="G227" s="93"/>
      <c r="H227" s="93"/>
      <c r="I227" s="93"/>
      <c r="J227" s="96"/>
      <c r="L227" s="304"/>
    </row>
    <row r="228" spans="3:13" x14ac:dyDescent="0.25">
      <c r="C228" s="307" t="s">
        <v>163</v>
      </c>
      <c r="D228" s="308"/>
      <c r="E228" s="309">
        <v>45923</v>
      </c>
      <c r="F228" s="51"/>
      <c r="G228" s="51" t="s">
        <v>169</v>
      </c>
      <c r="H228" s="430" t="s">
        <v>349</v>
      </c>
      <c r="I228" s="431"/>
      <c r="J228" s="432"/>
    </row>
    <row r="229" spans="3:13" ht="16.5" x14ac:dyDescent="0.25">
      <c r="C229" s="307" t="s">
        <v>164</v>
      </c>
      <c r="D229" s="308" t="s">
        <v>165</v>
      </c>
      <c r="E229" s="308" t="s">
        <v>166</v>
      </c>
      <c r="F229" s="51"/>
      <c r="G229" s="51" t="s">
        <v>170</v>
      </c>
      <c r="H229" s="229">
        <v>109</v>
      </c>
      <c r="I229" s="98"/>
      <c r="J229" s="99"/>
    </row>
    <row r="230" spans="3:13" x14ac:dyDescent="0.25">
      <c r="C230" s="307" t="s">
        <v>167</v>
      </c>
      <c r="D230" s="308"/>
      <c r="E230" s="309">
        <v>45924</v>
      </c>
      <c r="F230" s="51"/>
      <c r="G230" s="51"/>
      <c r="H230" s="51"/>
      <c r="I230" s="51"/>
      <c r="J230" s="100"/>
      <c r="K230" s="146"/>
      <c r="L230" s="146"/>
      <c r="M230" s="146"/>
    </row>
    <row r="231" spans="3:13" ht="15.75" thickBot="1" x14ac:dyDescent="0.3">
      <c r="C231" s="94" t="s">
        <v>168</v>
      </c>
      <c r="D231" s="51"/>
      <c r="E231" s="51"/>
      <c r="F231" s="51"/>
      <c r="G231" s="51"/>
      <c r="H231" s="51"/>
      <c r="I231" s="51"/>
      <c r="J231" s="100"/>
      <c r="K231" s="146"/>
      <c r="L231" s="146"/>
      <c r="M231" s="146"/>
    </row>
    <row r="232" spans="3:13" x14ac:dyDescent="0.25">
      <c r="C232" s="442" t="s">
        <v>350</v>
      </c>
      <c r="D232" s="443"/>
      <c r="E232" s="443"/>
      <c r="F232" s="443"/>
      <c r="G232" s="443"/>
      <c r="H232" s="443"/>
      <c r="I232" s="443"/>
      <c r="J232" s="444"/>
      <c r="K232" s="146"/>
      <c r="L232" s="146"/>
      <c r="M232" s="146"/>
    </row>
    <row r="233" spans="3:13" x14ac:dyDescent="0.25">
      <c r="C233" s="445"/>
      <c r="D233" s="446"/>
      <c r="E233" s="446"/>
      <c r="F233" s="446"/>
      <c r="G233" s="446"/>
      <c r="H233" s="446"/>
      <c r="I233" s="446"/>
      <c r="J233" s="447"/>
      <c r="K233" s="146"/>
      <c r="L233" s="146"/>
      <c r="M233" s="146"/>
    </row>
    <row r="234" spans="3:13" ht="15.75" thickBot="1" x14ac:dyDescent="0.3">
      <c r="C234" s="448"/>
      <c r="D234" s="449"/>
      <c r="E234" s="449"/>
      <c r="F234" s="449"/>
      <c r="G234" s="449"/>
      <c r="H234" s="449"/>
      <c r="I234" s="449"/>
      <c r="J234" s="450"/>
    </row>
    <row r="236" spans="3:13" ht="15.75" thickBot="1" x14ac:dyDescent="0.3">
      <c r="C236" s="310"/>
      <c r="D236" s="310"/>
      <c r="E236" s="310"/>
    </row>
    <row r="237" spans="3:13" x14ac:dyDescent="0.25">
      <c r="C237" s="311" t="s">
        <v>162</v>
      </c>
      <c r="D237" s="312"/>
      <c r="E237" s="312"/>
      <c r="F237" s="93"/>
      <c r="G237" s="93"/>
      <c r="H237" s="93"/>
      <c r="I237" s="93"/>
      <c r="J237" s="96"/>
    </row>
    <row r="238" spans="3:13" x14ac:dyDescent="0.25">
      <c r="C238" s="313" t="s">
        <v>163</v>
      </c>
      <c r="D238" s="310"/>
      <c r="E238" s="314">
        <v>45923</v>
      </c>
      <c r="F238" s="51"/>
      <c r="G238" s="51" t="s">
        <v>169</v>
      </c>
      <c r="H238" s="430" t="s">
        <v>353</v>
      </c>
      <c r="I238" s="431"/>
      <c r="J238" s="432"/>
    </row>
    <row r="239" spans="3:13" ht="16.5" x14ac:dyDescent="0.25">
      <c r="C239" s="313" t="s">
        <v>164</v>
      </c>
      <c r="D239" s="310" t="s">
        <v>165</v>
      </c>
      <c r="E239" s="310" t="s">
        <v>166</v>
      </c>
      <c r="F239" s="51"/>
      <c r="G239" s="51" t="s">
        <v>170</v>
      </c>
      <c r="H239" s="229">
        <v>70</v>
      </c>
      <c r="I239" s="98"/>
      <c r="J239" s="99"/>
      <c r="K239" s="146"/>
      <c r="L239" s="146"/>
      <c r="M239" s="146"/>
    </row>
    <row r="240" spans="3:13" x14ac:dyDescent="0.25">
      <c r="C240" s="313" t="s">
        <v>167</v>
      </c>
      <c r="D240" s="310"/>
      <c r="E240" s="314">
        <v>45924</v>
      </c>
      <c r="F240" s="51"/>
      <c r="G240" s="51"/>
      <c r="H240" s="51"/>
      <c r="I240" s="51"/>
      <c r="J240" s="100"/>
      <c r="K240" s="146"/>
      <c r="L240" s="146"/>
      <c r="M240" s="146"/>
    </row>
    <row r="241" spans="3:13" ht="15.75" thickBot="1" x14ac:dyDescent="0.3">
      <c r="C241" s="313" t="s">
        <v>168</v>
      </c>
      <c r="D241" s="310"/>
      <c r="E241" s="310"/>
      <c r="F241" s="51"/>
      <c r="G241" s="51"/>
      <c r="H241" s="51"/>
      <c r="I241" s="51"/>
      <c r="J241" s="100"/>
      <c r="K241" s="146"/>
      <c r="L241" s="146"/>
      <c r="M241" s="146"/>
    </row>
    <row r="242" spans="3:13" x14ac:dyDescent="0.25">
      <c r="C242" s="442" t="s">
        <v>352</v>
      </c>
      <c r="D242" s="443"/>
      <c r="E242" s="443"/>
      <c r="F242" s="443"/>
      <c r="G242" s="443"/>
      <c r="H242" s="443"/>
      <c r="I242" s="443"/>
      <c r="J242" s="444"/>
      <c r="K242" s="146"/>
      <c r="L242" s="146"/>
      <c r="M242" s="146"/>
    </row>
    <row r="243" spans="3:13" x14ac:dyDescent="0.25">
      <c r="C243" s="445"/>
      <c r="D243" s="446"/>
      <c r="E243" s="446"/>
      <c r="F243" s="446"/>
      <c r="G243" s="446"/>
      <c r="H243" s="446"/>
      <c r="I243" s="446"/>
      <c r="J243" s="447"/>
      <c r="K243" s="146"/>
      <c r="L243" s="146"/>
      <c r="M243" s="146"/>
    </row>
    <row r="244" spans="3:13" ht="15.75" thickBot="1" x14ac:dyDescent="0.3">
      <c r="C244" s="448"/>
      <c r="D244" s="449"/>
      <c r="E244" s="449"/>
      <c r="F244" s="449"/>
      <c r="G244" s="449"/>
      <c r="H244" s="449"/>
      <c r="I244" s="449"/>
      <c r="J244" s="450"/>
    </row>
    <row r="245" spans="3:13" ht="15.75" thickBot="1" x14ac:dyDescent="0.3"/>
    <row r="246" spans="3:13" x14ac:dyDescent="0.25">
      <c r="C246" s="315" t="s">
        <v>162</v>
      </c>
      <c r="D246" s="316"/>
      <c r="E246" s="316"/>
      <c r="F246" s="93"/>
      <c r="G246" s="93"/>
      <c r="H246" s="93"/>
      <c r="I246" s="93"/>
      <c r="J246" s="96"/>
    </row>
    <row r="247" spans="3:13" x14ac:dyDescent="0.25">
      <c r="C247" s="317" t="s">
        <v>163</v>
      </c>
      <c r="D247" s="318"/>
      <c r="E247" s="319">
        <v>45923</v>
      </c>
      <c r="F247" s="51"/>
      <c r="G247" s="51" t="s">
        <v>169</v>
      </c>
      <c r="H247" s="430" t="s">
        <v>221</v>
      </c>
      <c r="I247" s="431"/>
      <c r="J247" s="432"/>
    </row>
    <row r="248" spans="3:13" ht="16.5" x14ac:dyDescent="0.25">
      <c r="C248" s="317" t="s">
        <v>164</v>
      </c>
      <c r="D248" s="318" t="s">
        <v>165</v>
      </c>
      <c r="E248" s="318" t="s">
        <v>166</v>
      </c>
      <c r="F248" s="51"/>
      <c r="G248" s="51" t="s">
        <v>170</v>
      </c>
      <c r="H248" s="229">
        <v>61</v>
      </c>
      <c r="I248" s="98"/>
      <c r="J248" s="99"/>
      <c r="K248" s="146"/>
      <c r="L248" s="146"/>
      <c r="M248" s="146"/>
    </row>
    <row r="249" spans="3:13" x14ac:dyDescent="0.25">
      <c r="C249" s="317" t="s">
        <v>167</v>
      </c>
      <c r="D249" s="318"/>
      <c r="E249" s="319">
        <v>45924</v>
      </c>
      <c r="F249" s="51"/>
      <c r="G249" s="51"/>
      <c r="H249" s="51"/>
      <c r="I249" s="51"/>
      <c r="J249" s="100"/>
      <c r="K249" s="146"/>
      <c r="L249" s="146"/>
      <c r="M249" s="146"/>
    </row>
    <row r="250" spans="3:13" ht="15.75" thickBot="1" x14ac:dyDescent="0.3">
      <c r="C250" s="317" t="s">
        <v>168</v>
      </c>
      <c r="D250" s="318"/>
      <c r="E250" s="318"/>
      <c r="F250" s="51"/>
      <c r="G250" s="51"/>
      <c r="H250" s="51"/>
      <c r="I250" s="51"/>
      <c r="J250" s="100"/>
      <c r="K250" s="146"/>
      <c r="L250" s="146"/>
      <c r="M250" s="146"/>
    </row>
    <row r="251" spans="3:13" x14ac:dyDescent="0.25">
      <c r="C251" s="442" t="s">
        <v>355</v>
      </c>
      <c r="D251" s="443"/>
      <c r="E251" s="443"/>
      <c r="F251" s="443"/>
      <c r="G251" s="443"/>
      <c r="H251" s="443"/>
      <c r="I251" s="443"/>
      <c r="J251" s="444"/>
      <c r="K251" s="146"/>
      <c r="L251" s="146"/>
      <c r="M251" s="146"/>
    </row>
    <row r="252" spans="3:13" x14ac:dyDescent="0.25">
      <c r="C252" s="445"/>
      <c r="D252" s="446"/>
      <c r="E252" s="446"/>
      <c r="F252" s="446"/>
      <c r="G252" s="446"/>
      <c r="H252" s="446"/>
      <c r="I252" s="446"/>
      <c r="J252" s="447"/>
    </row>
    <row r="253" spans="3:13" ht="15.75" thickBot="1" x14ac:dyDescent="0.3">
      <c r="C253" s="448"/>
      <c r="D253" s="449"/>
      <c r="E253" s="449"/>
      <c r="F253" s="449"/>
      <c r="G253" s="449"/>
      <c r="H253" s="449"/>
      <c r="I253" s="449"/>
      <c r="J253" s="450"/>
    </row>
    <row r="255" spans="3:13" ht="15.75" thickBot="1" x14ac:dyDescent="0.3"/>
    <row r="256" spans="3:13" x14ac:dyDescent="0.25">
      <c r="C256" s="320" t="s">
        <v>162</v>
      </c>
      <c r="D256" s="321"/>
      <c r="E256" s="321"/>
      <c r="F256" s="93"/>
      <c r="G256" s="93"/>
      <c r="H256" s="93"/>
      <c r="I256" s="93"/>
      <c r="J256" s="96"/>
    </row>
    <row r="257" spans="3:13" x14ac:dyDescent="0.25">
      <c r="C257" s="322" t="s">
        <v>163</v>
      </c>
      <c r="D257" s="323"/>
      <c r="E257" s="324">
        <v>45923</v>
      </c>
      <c r="F257" s="51"/>
      <c r="G257" s="51" t="s">
        <v>169</v>
      </c>
      <c r="H257" s="430" t="s">
        <v>356</v>
      </c>
      <c r="I257" s="431"/>
      <c r="J257" s="432"/>
      <c r="K257" s="146"/>
      <c r="L257" s="146"/>
      <c r="M257" s="146"/>
    </row>
    <row r="258" spans="3:13" ht="16.5" x14ac:dyDescent="0.25">
      <c r="C258" s="322" t="s">
        <v>164</v>
      </c>
      <c r="D258" s="323" t="s">
        <v>165</v>
      </c>
      <c r="E258" s="323" t="s">
        <v>166</v>
      </c>
      <c r="F258" s="51"/>
      <c r="G258" s="51" t="s">
        <v>170</v>
      </c>
      <c r="H258" s="229" t="s">
        <v>362</v>
      </c>
      <c r="I258" s="98"/>
      <c r="J258" s="99"/>
      <c r="K258" s="146"/>
      <c r="L258" s="146"/>
      <c r="M258" s="146"/>
    </row>
    <row r="259" spans="3:13" x14ac:dyDescent="0.25">
      <c r="C259" s="322" t="s">
        <v>167</v>
      </c>
      <c r="D259" s="323"/>
      <c r="E259" s="324">
        <v>45924</v>
      </c>
      <c r="F259" s="51"/>
      <c r="G259" s="51"/>
      <c r="H259" s="51"/>
      <c r="I259" s="51"/>
      <c r="J259" s="100"/>
      <c r="K259" s="146"/>
      <c r="L259" s="146"/>
      <c r="M259" s="146"/>
    </row>
    <row r="260" spans="3:13" ht="15.75" thickBot="1" x14ac:dyDescent="0.3">
      <c r="C260" s="322" t="s">
        <v>168</v>
      </c>
      <c r="D260" s="323"/>
      <c r="E260" s="323"/>
      <c r="F260" s="51"/>
      <c r="G260" s="51"/>
      <c r="H260" s="51"/>
      <c r="I260" s="51"/>
      <c r="J260" s="100"/>
      <c r="K260" s="146"/>
      <c r="L260" s="146"/>
      <c r="M260" s="146"/>
    </row>
    <row r="261" spans="3:13" x14ac:dyDescent="0.25">
      <c r="C261" s="442" t="s">
        <v>361</v>
      </c>
      <c r="D261" s="443"/>
      <c r="E261" s="443"/>
      <c r="F261" s="443"/>
      <c r="G261" s="443"/>
      <c r="H261" s="443"/>
      <c r="I261" s="443"/>
      <c r="J261" s="444"/>
      <c r="K261" s="146"/>
      <c r="L261" s="146"/>
      <c r="M261" s="146"/>
    </row>
    <row r="262" spans="3:13" x14ac:dyDescent="0.25">
      <c r="C262" s="445"/>
      <c r="D262" s="446"/>
      <c r="E262" s="446"/>
      <c r="F262" s="446"/>
      <c r="G262" s="446"/>
      <c r="H262" s="446"/>
      <c r="I262" s="446"/>
      <c r="J262" s="447"/>
      <c r="K262" s="146"/>
      <c r="L262" s="146"/>
      <c r="M262" s="146"/>
    </row>
    <row r="263" spans="3:13" ht="15.75" thickBot="1" x14ac:dyDescent="0.3">
      <c r="C263" s="448"/>
      <c r="D263" s="449"/>
      <c r="E263" s="449"/>
      <c r="F263" s="449"/>
      <c r="G263" s="449"/>
      <c r="H263" s="449"/>
      <c r="I263" s="449"/>
      <c r="J263" s="450"/>
      <c r="K263" s="146"/>
      <c r="L263" s="146"/>
      <c r="M263" s="146"/>
    </row>
    <row r="265" spans="3:13" ht="15.75" thickBot="1" x14ac:dyDescent="0.3"/>
    <row r="266" spans="3:13" x14ac:dyDescent="0.25">
      <c r="C266" s="325" t="s">
        <v>162</v>
      </c>
      <c r="D266" s="326"/>
      <c r="E266" s="326"/>
      <c r="F266" s="93"/>
      <c r="G266" s="93"/>
      <c r="H266" s="93"/>
      <c r="I266" s="93"/>
      <c r="J266" s="96"/>
    </row>
    <row r="267" spans="3:13" x14ac:dyDescent="0.25">
      <c r="C267" s="327" t="s">
        <v>163</v>
      </c>
      <c r="D267" s="328"/>
      <c r="E267" s="329">
        <v>45923</v>
      </c>
      <c r="F267" s="51"/>
      <c r="G267" s="51" t="s">
        <v>169</v>
      </c>
      <c r="H267" s="430" t="s">
        <v>357</v>
      </c>
      <c r="I267" s="431"/>
      <c r="J267" s="432"/>
    </row>
    <row r="268" spans="3:13" ht="16.5" x14ac:dyDescent="0.25">
      <c r="C268" s="327" t="s">
        <v>164</v>
      </c>
      <c r="D268" s="328" t="s">
        <v>165</v>
      </c>
      <c r="E268" s="328" t="s">
        <v>166</v>
      </c>
      <c r="F268" s="51"/>
      <c r="G268" s="51" t="s">
        <v>170</v>
      </c>
      <c r="H268" s="229">
        <v>91</v>
      </c>
      <c r="I268" s="98"/>
      <c r="J268" s="99"/>
      <c r="K268" s="146"/>
      <c r="L268" s="146"/>
      <c r="M268" s="146"/>
    </row>
    <row r="269" spans="3:13" x14ac:dyDescent="0.25">
      <c r="C269" s="327" t="s">
        <v>167</v>
      </c>
      <c r="D269" s="328"/>
      <c r="E269" s="329">
        <v>45924</v>
      </c>
      <c r="F269" s="51"/>
      <c r="G269" s="51"/>
      <c r="H269" s="51"/>
      <c r="I269" s="51"/>
      <c r="J269" s="100"/>
      <c r="K269" s="146"/>
      <c r="L269" s="146"/>
      <c r="M269" s="146"/>
    </row>
    <row r="270" spans="3:13" ht="15.75" thickBot="1" x14ac:dyDescent="0.3">
      <c r="C270" s="327" t="s">
        <v>168</v>
      </c>
      <c r="D270" s="328"/>
      <c r="E270" s="328"/>
      <c r="F270" s="51"/>
      <c r="G270" s="51"/>
      <c r="H270" s="51"/>
      <c r="I270" s="51"/>
      <c r="J270" s="100"/>
      <c r="K270" s="146"/>
      <c r="L270" s="146"/>
      <c r="M270" s="146"/>
    </row>
    <row r="271" spans="3:13" x14ac:dyDescent="0.25">
      <c r="C271" s="442" t="s">
        <v>358</v>
      </c>
      <c r="D271" s="443"/>
      <c r="E271" s="443"/>
      <c r="F271" s="443"/>
      <c r="G271" s="443"/>
      <c r="H271" s="443"/>
      <c r="I271" s="443"/>
      <c r="J271" s="444"/>
      <c r="K271" s="146"/>
      <c r="L271" s="146"/>
      <c r="M271" s="146"/>
    </row>
    <row r="272" spans="3:13" x14ac:dyDescent="0.25">
      <c r="C272" s="445"/>
      <c r="D272" s="446"/>
      <c r="E272" s="446"/>
      <c r="F272" s="446"/>
      <c r="G272" s="446"/>
      <c r="H272" s="446"/>
      <c r="I272" s="446"/>
      <c r="J272" s="447"/>
      <c r="K272" s="146"/>
      <c r="L272" s="146"/>
      <c r="M272" s="146"/>
    </row>
    <row r="273" spans="3:13" ht="46.15" customHeight="1" thickBot="1" x14ac:dyDescent="0.3">
      <c r="C273" s="448"/>
      <c r="D273" s="449"/>
      <c r="E273" s="449"/>
      <c r="F273" s="449"/>
      <c r="G273" s="449"/>
      <c r="H273" s="449"/>
      <c r="I273" s="449"/>
      <c r="J273" s="450"/>
      <c r="K273" s="146"/>
      <c r="L273" s="146"/>
      <c r="M273" s="146"/>
    </row>
    <row r="275" spans="3:13" ht="15.75" thickBot="1" x14ac:dyDescent="0.3"/>
    <row r="276" spans="3:13" x14ac:dyDescent="0.25">
      <c r="C276" s="330" t="s">
        <v>162</v>
      </c>
      <c r="D276" s="331"/>
      <c r="E276" s="331"/>
      <c r="F276" s="93"/>
      <c r="G276" s="93"/>
      <c r="H276" s="93"/>
      <c r="I276" s="93"/>
      <c r="J276" s="96"/>
    </row>
    <row r="277" spans="3:13" x14ac:dyDescent="0.25">
      <c r="C277" s="332" t="s">
        <v>163</v>
      </c>
      <c r="D277" s="333"/>
      <c r="E277" s="334">
        <v>45923</v>
      </c>
      <c r="F277" s="51"/>
      <c r="G277" s="51" t="s">
        <v>169</v>
      </c>
      <c r="H277" s="430"/>
      <c r="I277" s="431"/>
      <c r="J277" s="432"/>
      <c r="K277" s="146"/>
      <c r="L277" s="146"/>
      <c r="M277" s="146"/>
    </row>
    <row r="278" spans="3:13" ht="16.5" x14ac:dyDescent="0.25">
      <c r="C278" s="332" t="s">
        <v>164</v>
      </c>
      <c r="D278" s="333" t="s">
        <v>165</v>
      </c>
      <c r="E278" s="333" t="s">
        <v>166</v>
      </c>
      <c r="F278" s="51"/>
      <c r="G278" s="51" t="s">
        <v>170</v>
      </c>
      <c r="H278" s="229" t="s">
        <v>359</v>
      </c>
      <c r="I278" s="98"/>
      <c r="J278" s="99"/>
      <c r="K278" s="146"/>
      <c r="L278" s="146"/>
      <c r="M278" s="146"/>
    </row>
    <row r="279" spans="3:13" x14ac:dyDescent="0.25">
      <c r="C279" s="332" t="s">
        <v>167</v>
      </c>
      <c r="D279" s="333"/>
      <c r="E279" s="334">
        <v>45924</v>
      </c>
      <c r="F279" s="51"/>
      <c r="G279" s="51"/>
      <c r="H279" s="51"/>
      <c r="I279" s="51"/>
      <c r="J279" s="100"/>
      <c r="K279" s="146"/>
      <c r="L279" s="146"/>
      <c r="M279" s="146"/>
    </row>
    <row r="280" spans="3:13" ht="15.75" thickBot="1" x14ac:dyDescent="0.3">
      <c r="C280" s="332" t="s">
        <v>168</v>
      </c>
      <c r="D280" s="333"/>
      <c r="E280" s="333"/>
      <c r="F280" s="51"/>
      <c r="G280" s="51"/>
      <c r="H280" s="51"/>
      <c r="I280" s="51"/>
      <c r="J280" s="100"/>
      <c r="K280" s="146"/>
      <c r="L280" s="146"/>
      <c r="M280" s="146"/>
    </row>
    <row r="281" spans="3:13" x14ac:dyDescent="0.25">
      <c r="C281" s="442" t="s">
        <v>365</v>
      </c>
      <c r="D281" s="443"/>
      <c r="E281" s="443"/>
      <c r="F281" s="443"/>
      <c r="G281" s="443"/>
      <c r="H281" s="443"/>
      <c r="I281" s="443"/>
      <c r="J281" s="444"/>
      <c r="K281" s="146"/>
      <c r="L281" s="146"/>
      <c r="M281" s="146"/>
    </row>
    <row r="282" spans="3:13" x14ac:dyDescent="0.25">
      <c r="C282" s="445"/>
      <c r="D282" s="446"/>
      <c r="E282" s="446"/>
      <c r="F282" s="446"/>
      <c r="G282" s="446"/>
      <c r="H282" s="446"/>
      <c r="I282" s="446"/>
      <c r="J282" s="447"/>
      <c r="K282" s="146"/>
      <c r="L282" s="146"/>
      <c r="M282" s="146"/>
    </row>
    <row r="283" spans="3:13" ht="15.75" thickBot="1" x14ac:dyDescent="0.3">
      <c r="C283" s="448"/>
      <c r="D283" s="449"/>
      <c r="E283" s="449"/>
      <c r="F283" s="449"/>
      <c r="G283" s="449"/>
      <c r="H283" s="449"/>
      <c r="I283" s="449"/>
      <c r="J283" s="450"/>
    </row>
    <row r="285" spans="3:13" ht="15.75" thickBot="1" x14ac:dyDescent="0.3"/>
    <row r="286" spans="3:13" x14ac:dyDescent="0.25">
      <c r="C286" s="335" t="s">
        <v>162</v>
      </c>
      <c r="D286" s="336"/>
      <c r="E286" s="336"/>
      <c r="F286" s="93"/>
      <c r="G286" s="93"/>
      <c r="H286" s="93"/>
      <c r="I286" s="93"/>
      <c r="J286" s="96"/>
    </row>
    <row r="287" spans="3:13" x14ac:dyDescent="0.25">
      <c r="C287" s="337" t="s">
        <v>163</v>
      </c>
      <c r="D287" s="338"/>
      <c r="E287" s="339">
        <v>45923</v>
      </c>
      <c r="F287" s="51"/>
      <c r="G287" s="51" t="s">
        <v>169</v>
      </c>
      <c r="H287" s="430"/>
      <c r="I287" s="431"/>
      <c r="J287" s="432"/>
    </row>
    <row r="288" spans="3:13" ht="16.5" x14ac:dyDescent="0.25">
      <c r="C288" s="337" t="s">
        <v>164</v>
      </c>
      <c r="D288" s="338" t="s">
        <v>165</v>
      </c>
      <c r="E288" s="338" t="s">
        <v>166</v>
      </c>
      <c r="F288" s="51"/>
      <c r="G288" s="51" t="s">
        <v>170</v>
      </c>
      <c r="H288" s="229">
        <v>7</v>
      </c>
      <c r="I288" s="98"/>
      <c r="J288" s="99"/>
      <c r="K288" s="146"/>
      <c r="L288" s="146"/>
      <c r="M288" s="146"/>
    </row>
    <row r="289" spans="3:13" x14ac:dyDescent="0.25">
      <c r="C289" s="337" t="s">
        <v>167</v>
      </c>
      <c r="D289" s="338"/>
      <c r="E289" s="339">
        <v>45924</v>
      </c>
      <c r="F289" s="51"/>
      <c r="G289" s="51"/>
      <c r="H289" s="51"/>
      <c r="I289" s="51"/>
      <c r="J289" s="100"/>
      <c r="K289" s="146"/>
      <c r="L289" s="146"/>
      <c r="M289" s="146"/>
    </row>
    <row r="290" spans="3:13" ht="15.75" thickBot="1" x14ac:dyDescent="0.3">
      <c r="C290" s="337" t="s">
        <v>168</v>
      </c>
      <c r="D290" s="338"/>
      <c r="E290" s="338"/>
      <c r="F290" s="51"/>
      <c r="G290" s="51"/>
      <c r="H290" s="51"/>
      <c r="I290" s="51"/>
      <c r="J290" s="100"/>
      <c r="K290" s="146"/>
      <c r="L290" s="146"/>
      <c r="M290" s="146"/>
    </row>
    <row r="291" spans="3:13" x14ac:dyDescent="0.25">
      <c r="C291" s="442" t="s">
        <v>360</v>
      </c>
      <c r="D291" s="443"/>
      <c r="E291" s="443"/>
      <c r="F291" s="443"/>
      <c r="G291" s="443"/>
      <c r="H291" s="443"/>
      <c r="I291" s="443"/>
      <c r="J291" s="444"/>
      <c r="K291" s="146"/>
      <c r="L291" s="146"/>
      <c r="M291" s="146"/>
    </row>
    <row r="292" spans="3:13" x14ac:dyDescent="0.25">
      <c r="C292" s="445"/>
      <c r="D292" s="446"/>
      <c r="E292" s="446"/>
      <c r="F292" s="446"/>
      <c r="G292" s="446"/>
      <c r="H292" s="446"/>
      <c r="I292" s="446"/>
      <c r="J292" s="447"/>
      <c r="K292" s="146"/>
      <c r="L292" s="146"/>
      <c r="M292" s="146"/>
    </row>
    <row r="293" spans="3:13" ht="15.75" thickBot="1" x14ac:dyDescent="0.3">
      <c r="C293" s="448"/>
      <c r="D293" s="449"/>
      <c r="E293" s="449"/>
      <c r="F293" s="449"/>
      <c r="G293" s="449"/>
      <c r="H293" s="449"/>
      <c r="I293" s="449"/>
      <c r="J293" s="450"/>
    </row>
    <row r="295" spans="3:13" ht="15.75" thickBot="1" x14ac:dyDescent="0.3"/>
    <row r="296" spans="3:13" x14ac:dyDescent="0.25">
      <c r="C296" s="340" t="s">
        <v>162</v>
      </c>
      <c r="D296" s="341"/>
      <c r="E296" s="341"/>
      <c r="F296" s="93"/>
      <c r="G296" s="93"/>
      <c r="H296" s="93"/>
      <c r="I296" s="93"/>
      <c r="J296" s="96"/>
    </row>
    <row r="297" spans="3:13" x14ac:dyDescent="0.25">
      <c r="C297" s="342" t="s">
        <v>163</v>
      </c>
      <c r="D297" s="343"/>
      <c r="E297" s="344">
        <v>45923</v>
      </c>
      <c r="F297" s="51"/>
      <c r="G297" s="51" t="s">
        <v>169</v>
      </c>
      <c r="H297" s="430" t="s">
        <v>363</v>
      </c>
      <c r="I297" s="431"/>
      <c r="J297" s="432"/>
      <c r="K297" s="366"/>
      <c r="L297" s="366"/>
      <c r="M297" s="366"/>
    </row>
    <row r="298" spans="3:13" ht="16.5" x14ac:dyDescent="0.25">
      <c r="C298" s="342" t="s">
        <v>164</v>
      </c>
      <c r="D298" s="343" t="s">
        <v>165</v>
      </c>
      <c r="E298" s="343" t="s">
        <v>166</v>
      </c>
      <c r="F298" s="51"/>
      <c r="G298" s="51" t="s">
        <v>170</v>
      </c>
      <c r="H298" s="229">
        <v>95</v>
      </c>
      <c r="I298" s="98"/>
      <c r="J298" s="99"/>
      <c r="K298" s="366"/>
      <c r="L298" s="366"/>
      <c r="M298" s="366"/>
    </row>
    <row r="299" spans="3:13" x14ac:dyDescent="0.25">
      <c r="C299" s="342" t="s">
        <v>167</v>
      </c>
      <c r="D299" s="343"/>
      <c r="E299" s="344">
        <v>45924</v>
      </c>
      <c r="F299" s="51"/>
      <c r="G299" s="51"/>
      <c r="H299" s="51"/>
      <c r="I299" s="51"/>
      <c r="J299" s="100"/>
      <c r="K299" s="366"/>
      <c r="L299" s="366"/>
      <c r="M299" s="366"/>
    </row>
    <row r="300" spans="3:13" ht="15.75" thickBot="1" x14ac:dyDescent="0.3">
      <c r="C300" s="342" t="s">
        <v>168</v>
      </c>
      <c r="D300" s="343"/>
      <c r="E300" s="343"/>
      <c r="F300" s="51"/>
      <c r="G300" s="51"/>
      <c r="H300" s="51"/>
      <c r="I300" s="51"/>
      <c r="J300" s="100"/>
      <c r="K300" s="366"/>
      <c r="L300" s="366"/>
      <c r="M300" s="366"/>
    </row>
    <row r="301" spans="3:13" x14ac:dyDescent="0.25">
      <c r="C301" s="442" t="s">
        <v>364</v>
      </c>
      <c r="D301" s="443"/>
      <c r="E301" s="443"/>
      <c r="F301" s="443"/>
      <c r="G301" s="443"/>
      <c r="H301" s="443"/>
      <c r="I301" s="443"/>
      <c r="J301" s="444"/>
      <c r="K301" s="366"/>
      <c r="L301" s="366"/>
      <c r="M301" s="366"/>
    </row>
    <row r="302" spans="3:13" x14ac:dyDescent="0.25">
      <c r="C302" s="445"/>
      <c r="D302" s="446"/>
      <c r="E302" s="446"/>
      <c r="F302" s="446"/>
      <c r="G302" s="446"/>
      <c r="H302" s="446"/>
      <c r="I302" s="446"/>
      <c r="J302" s="447"/>
      <c r="K302" s="366"/>
      <c r="L302" s="366"/>
      <c r="M302" s="366"/>
    </row>
    <row r="303" spans="3:13" ht="15.75" thickBot="1" x14ac:dyDescent="0.3">
      <c r="C303" s="448"/>
      <c r="D303" s="449"/>
      <c r="E303" s="449"/>
      <c r="F303" s="449"/>
      <c r="G303" s="449"/>
      <c r="H303" s="449"/>
      <c r="I303" s="449"/>
      <c r="J303" s="450"/>
      <c r="K303" s="366"/>
      <c r="L303" s="366"/>
      <c r="M303" s="366"/>
    </row>
    <row r="304" spans="3:13" x14ac:dyDescent="0.25">
      <c r="K304" s="366"/>
      <c r="L304" s="366"/>
      <c r="M304" s="366"/>
    </row>
    <row r="305" spans="3:13" ht="15.75" thickBot="1" x14ac:dyDescent="0.3"/>
    <row r="306" spans="3:13" x14ac:dyDescent="0.25">
      <c r="C306" s="345" t="s">
        <v>162</v>
      </c>
      <c r="D306" s="346"/>
      <c r="E306" s="346"/>
      <c r="F306" s="93"/>
      <c r="G306" s="93"/>
      <c r="H306" s="93"/>
      <c r="I306" s="93"/>
      <c r="J306" s="96"/>
    </row>
    <row r="307" spans="3:13" x14ac:dyDescent="0.25">
      <c r="C307" s="347" t="s">
        <v>163</v>
      </c>
      <c r="D307" s="348"/>
      <c r="E307" s="349">
        <v>45923</v>
      </c>
      <c r="F307" s="51"/>
      <c r="G307" s="51" t="s">
        <v>169</v>
      </c>
      <c r="H307" s="430" t="s">
        <v>366</v>
      </c>
      <c r="I307" s="431"/>
      <c r="J307" s="432"/>
      <c r="K307" s="146"/>
      <c r="L307" s="146"/>
      <c r="M307" s="146"/>
    </row>
    <row r="308" spans="3:13" ht="16.5" x14ac:dyDescent="0.25">
      <c r="C308" s="347" t="s">
        <v>164</v>
      </c>
      <c r="D308" s="348" t="s">
        <v>165</v>
      </c>
      <c r="E308" s="348" t="s">
        <v>166</v>
      </c>
      <c r="F308" s="51"/>
      <c r="G308" s="51" t="s">
        <v>170</v>
      </c>
      <c r="H308" s="229">
        <v>107</v>
      </c>
      <c r="I308" s="98"/>
      <c r="J308" s="99"/>
      <c r="K308" s="146"/>
      <c r="L308" s="146"/>
      <c r="M308" s="146"/>
    </row>
    <row r="309" spans="3:13" x14ac:dyDescent="0.25">
      <c r="C309" s="347" t="s">
        <v>167</v>
      </c>
      <c r="D309" s="348"/>
      <c r="E309" s="349">
        <v>45924</v>
      </c>
      <c r="F309" s="51"/>
      <c r="G309" s="51"/>
      <c r="H309" s="51"/>
      <c r="I309" s="51"/>
      <c r="J309" s="100"/>
      <c r="K309" s="146"/>
      <c r="L309" s="146"/>
      <c r="M309" s="146"/>
    </row>
    <row r="310" spans="3:13" ht="15.75" thickBot="1" x14ac:dyDescent="0.3">
      <c r="C310" s="347" t="s">
        <v>168</v>
      </c>
      <c r="D310" s="348"/>
      <c r="E310" s="348"/>
      <c r="F310" s="51"/>
      <c r="G310" s="51"/>
      <c r="H310" s="51"/>
      <c r="I310" s="51"/>
      <c r="J310" s="100"/>
      <c r="K310" s="146"/>
      <c r="L310" s="146"/>
      <c r="M310" s="146"/>
    </row>
    <row r="311" spans="3:13" x14ac:dyDescent="0.25">
      <c r="C311" s="442" t="s">
        <v>367</v>
      </c>
      <c r="D311" s="443"/>
      <c r="E311" s="443"/>
      <c r="F311" s="443"/>
      <c r="G311" s="443"/>
      <c r="H311" s="443"/>
      <c r="I311" s="443"/>
      <c r="J311" s="444"/>
      <c r="K311" s="146"/>
      <c r="L311" s="146"/>
      <c r="M311" s="146"/>
    </row>
    <row r="312" spans="3:13" x14ac:dyDescent="0.25">
      <c r="C312" s="445"/>
      <c r="D312" s="446"/>
      <c r="E312" s="446"/>
      <c r="F312" s="446"/>
      <c r="G312" s="446"/>
      <c r="H312" s="446"/>
      <c r="I312" s="446"/>
      <c r="J312" s="447"/>
      <c r="K312" s="146"/>
      <c r="L312" s="146"/>
      <c r="M312" s="146"/>
    </row>
    <row r="313" spans="3:13" ht="15.75" thickBot="1" x14ac:dyDescent="0.3">
      <c r="C313" s="448"/>
      <c r="D313" s="449"/>
      <c r="E313" s="449"/>
      <c r="F313" s="449"/>
      <c r="G313" s="449"/>
      <c r="H313" s="449"/>
      <c r="I313" s="449"/>
      <c r="J313" s="450"/>
      <c r="K313" s="146"/>
      <c r="L313" s="146"/>
      <c r="M313" s="146"/>
    </row>
    <row r="314" spans="3:13" x14ac:dyDescent="0.25">
      <c r="K314" s="146"/>
      <c r="L314" s="146"/>
      <c r="M314" s="146"/>
    </row>
    <row r="316" spans="3:13" ht="15.75" thickBot="1" x14ac:dyDescent="0.3"/>
    <row r="317" spans="3:13" x14ac:dyDescent="0.25">
      <c r="C317" s="351" t="s">
        <v>162</v>
      </c>
      <c r="D317" s="352"/>
      <c r="E317" s="352"/>
      <c r="F317" s="93"/>
      <c r="G317" s="93"/>
      <c r="H317" s="93"/>
      <c r="I317" s="93"/>
      <c r="J317" s="96"/>
    </row>
    <row r="318" spans="3:13" x14ac:dyDescent="0.25">
      <c r="C318" s="353" t="s">
        <v>163</v>
      </c>
      <c r="D318" s="354"/>
      <c r="E318" s="355">
        <v>45923</v>
      </c>
      <c r="F318" s="51"/>
      <c r="G318" s="51" t="s">
        <v>169</v>
      </c>
      <c r="H318" s="430"/>
      <c r="I318" s="431"/>
      <c r="J318" s="432"/>
      <c r="K318" s="146"/>
      <c r="L318" s="146"/>
      <c r="M318" s="146"/>
    </row>
    <row r="319" spans="3:13" ht="16.5" x14ac:dyDescent="0.25">
      <c r="C319" s="353" t="s">
        <v>164</v>
      </c>
      <c r="D319" s="354" t="s">
        <v>165</v>
      </c>
      <c r="E319" s="354" t="s">
        <v>166</v>
      </c>
      <c r="F319" s="51"/>
      <c r="G319" s="51" t="s">
        <v>170</v>
      </c>
      <c r="H319" s="229">
        <v>119</v>
      </c>
      <c r="I319" s="98"/>
      <c r="J319" s="99"/>
      <c r="K319" s="146"/>
      <c r="L319" s="146"/>
      <c r="M319" s="146"/>
    </row>
    <row r="320" spans="3:13" x14ac:dyDescent="0.25">
      <c r="C320" s="353" t="s">
        <v>167</v>
      </c>
      <c r="D320" s="354"/>
      <c r="E320" s="355">
        <v>45924</v>
      </c>
      <c r="F320" s="51"/>
      <c r="G320" s="51"/>
      <c r="H320" s="51"/>
      <c r="I320" s="51"/>
      <c r="J320" s="100"/>
      <c r="K320" s="146"/>
      <c r="L320" s="146"/>
      <c r="M320" s="146"/>
    </row>
    <row r="321" spans="3:13" ht="15.75" thickBot="1" x14ac:dyDescent="0.3">
      <c r="C321" s="353" t="s">
        <v>168</v>
      </c>
      <c r="D321" s="354"/>
      <c r="E321" s="354"/>
      <c r="F321" s="51"/>
      <c r="G321" s="51"/>
      <c r="H321" s="51"/>
      <c r="I321" s="51"/>
      <c r="J321" s="100"/>
      <c r="K321" s="146"/>
      <c r="L321" s="146"/>
      <c r="M321" s="146"/>
    </row>
    <row r="322" spans="3:13" x14ac:dyDescent="0.25">
      <c r="C322" s="442" t="s">
        <v>370</v>
      </c>
      <c r="D322" s="443"/>
      <c r="E322" s="443"/>
      <c r="F322" s="443"/>
      <c r="G322" s="443"/>
      <c r="H322" s="443"/>
      <c r="I322" s="443"/>
      <c r="J322" s="444"/>
      <c r="K322" s="146"/>
      <c r="L322" s="146"/>
      <c r="M322" s="146"/>
    </row>
    <row r="323" spans="3:13" x14ac:dyDescent="0.25">
      <c r="C323" s="445"/>
      <c r="D323" s="446"/>
      <c r="E323" s="446"/>
      <c r="F323" s="446"/>
      <c r="G323" s="446"/>
      <c r="H323" s="446"/>
      <c r="I323" s="446"/>
      <c r="J323" s="447"/>
      <c r="K323" s="146"/>
      <c r="L323" s="146"/>
      <c r="M323" s="146"/>
    </row>
    <row r="324" spans="3:13" ht="15.75" thickBot="1" x14ac:dyDescent="0.3">
      <c r="C324" s="448"/>
      <c r="D324" s="449"/>
      <c r="E324" s="449"/>
      <c r="F324" s="449"/>
      <c r="G324" s="449"/>
      <c r="H324" s="449"/>
      <c r="I324" s="449"/>
      <c r="J324" s="450"/>
    </row>
    <row r="326" spans="3:13" ht="15.75" thickBot="1" x14ac:dyDescent="0.3"/>
    <row r="327" spans="3:13" x14ac:dyDescent="0.25">
      <c r="C327" s="356" t="s">
        <v>162</v>
      </c>
      <c r="D327" s="357"/>
      <c r="E327" s="357"/>
      <c r="F327" s="93"/>
      <c r="G327" s="93"/>
      <c r="H327" s="93"/>
      <c r="I327" s="93"/>
      <c r="J327" s="96"/>
    </row>
    <row r="328" spans="3:13" x14ac:dyDescent="0.25">
      <c r="C328" s="358" t="s">
        <v>163</v>
      </c>
      <c r="D328" s="359"/>
      <c r="E328" s="360">
        <v>45923</v>
      </c>
      <c r="F328" s="51"/>
      <c r="G328" s="51" t="s">
        <v>169</v>
      </c>
      <c r="H328" s="430" t="s">
        <v>371</v>
      </c>
      <c r="I328" s="431"/>
      <c r="J328" s="432"/>
      <c r="K328" s="146"/>
      <c r="L328" s="146"/>
      <c r="M328" s="146"/>
    </row>
    <row r="329" spans="3:13" ht="16.5" x14ac:dyDescent="0.25">
      <c r="C329" s="358" t="s">
        <v>164</v>
      </c>
      <c r="D329" s="359" t="s">
        <v>165</v>
      </c>
      <c r="E329" s="359" t="s">
        <v>166</v>
      </c>
      <c r="F329" s="51"/>
      <c r="G329" s="51" t="s">
        <v>170</v>
      </c>
      <c r="H329" s="229">
        <v>28</v>
      </c>
      <c r="I329" s="98"/>
      <c r="J329" s="99"/>
      <c r="K329" s="146"/>
      <c r="L329" s="146"/>
      <c r="M329" s="146"/>
    </row>
    <row r="330" spans="3:13" x14ac:dyDescent="0.25">
      <c r="C330" s="358" t="s">
        <v>167</v>
      </c>
      <c r="D330" s="359"/>
      <c r="E330" s="360">
        <v>45924</v>
      </c>
      <c r="F330" s="51"/>
      <c r="G330" s="51"/>
      <c r="H330" s="51"/>
      <c r="I330" s="51"/>
      <c r="J330" s="100"/>
      <c r="K330" s="146"/>
      <c r="L330" s="146"/>
      <c r="M330" s="146"/>
    </row>
    <row r="331" spans="3:13" ht="15.75" thickBot="1" x14ac:dyDescent="0.3">
      <c r="C331" s="358" t="s">
        <v>168</v>
      </c>
      <c r="D331" s="359"/>
      <c r="E331" s="359"/>
      <c r="F331" s="51"/>
      <c r="G331" s="51"/>
      <c r="H331" s="51"/>
      <c r="I331" s="51"/>
      <c r="J331" s="100"/>
      <c r="K331" s="146"/>
      <c r="L331" s="146"/>
      <c r="M331" s="146"/>
    </row>
    <row r="332" spans="3:13" x14ac:dyDescent="0.25">
      <c r="C332" s="442" t="s">
        <v>372</v>
      </c>
      <c r="D332" s="443"/>
      <c r="E332" s="443"/>
      <c r="F332" s="443"/>
      <c r="G332" s="443"/>
      <c r="H332" s="443"/>
      <c r="I332" s="443"/>
      <c r="J332" s="444"/>
      <c r="K332" s="146"/>
      <c r="L332" s="146"/>
      <c r="M332" s="146"/>
    </row>
    <row r="333" spans="3:13" x14ac:dyDescent="0.25">
      <c r="C333" s="445"/>
      <c r="D333" s="446"/>
      <c r="E333" s="446"/>
      <c r="F333" s="446"/>
      <c r="G333" s="446"/>
      <c r="H333" s="446"/>
      <c r="I333" s="446"/>
      <c r="J333" s="447"/>
      <c r="K333" s="146"/>
      <c r="L333" s="146"/>
      <c r="M333" s="146"/>
    </row>
    <row r="334" spans="3:13" ht="15.75" thickBot="1" x14ac:dyDescent="0.3">
      <c r="C334" s="448"/>
      <c r="D334" s="449"/>
      <c r="E334" s="449"/>
      <c r="F334" s="449"/>
      <c r="G334" s="449"/>
      <c r="H334" s="449"/>
      <c r="I334" s="449"/>
      <c r="J334" s="450"/>
    </row>
    <row r="336" spans="3:13" ht="15.75" thickBot="1" x14ac:dyDescent="0.3"/>
    <row r="337" spans="3:13" x14ac:dyDescent="0.25">
      <c r="C337" s="361" t="s">
        <v>162</v>
      </c>
      <c r="D337" s="362"/>
      <c r="E337" s="362"/>
      <c r="F337" s="93"/>
      <c r="G337" s="93"/>
      <c r="H337" s="93"/>
      <c r="I337" s="93"/>
      <c r="J337" s="96"/>
    </row>
    <row r="338" spans="3:13" x14ac:dyDescent="0.25">
      <c r="C338" s="363" t="s">
        <v>163</v>
      </c>
      <c r="D338" s="364"/>
      <c r="E338" s="365">
        <v>45923</v>
      </c>
      <c r="F338" s="51"/>
      <c r="G338" s="51" t="s">
        <v>169</v>
      </c>
      <c r="H338" s="430"/>
      <c r="I338" s="431"/>
      <c r="J338" s="432"/>
    </row>
    <row r="339" spans="3:13" ht="16.5" x14ac:dyDescent="0.25">
      <c r="C339" s="363" t="s">
        <v>164</v>
      </c>
      <c r="D339" s="364" t="s">
        <v>165</v>
      </c>
      <c r="E339" s="364" t="s">
        <v>166</v>
      </c>
      <c r="F339" s="51"/>
      <c r="G339" s="51" t="s">
        <v>170</v>
      </c>
      <c r="H339" s="229">
        <v>44</v>
      </c>
      <c r="I339" s="98"/>
      <c r="J339" s="99"/>
      <c r="K339" s="146"/>
      <c r="L339" s="146"/>
      <c r="M339" s="146"/>
    </row>
    <row r="340" spans="3:13" x14ac:dyDescent="0.25">
      <c r="C340" s="363" t="s">
        <v>167</v>
      </c>
      <c r="D340" s="364"/>
      <c r="E340" s="365">
        <v>45924</v>
      </c>
      <c r="F340" s="51"/>
      <c r="G340" s="51"/>
      <c r="H340" s="51"/>
      <c r="I340" s="51"/>
      <c r="J340" s="100"/>
      <c r="K340" s="146"/>
      <c r="L340" s="146"/>
      <c r="M340" s="146"/>
    </row>
    <row r="341" spans="3:13" ht="15.75" thickBot="1" x14ac:dyDescent="0.3">
      <c r="C341" s="363" t="s">
        <v>168</v>
      </c>
      <c r="D341" s="364"/>
      <c r="E341" s="364"/>
      <c r="F341" s="51"/>
      <c r="G341" s="51"/>
      <c r="H341" s="51"/>
      <c r="I341" s="51"/>
      <c r="J341" s="100"/>
      <c r="K341" s="146"/>
      <c r="L341" s="146"/>
      <c r="M341" s="146"/>
    </row>
    <row r="342" spans="3:13" x14ac:dyDescent="0.25">
      <c r="C342" s="433" t="s">
        <v>374</v>
      </c>
      <c r="D342" s="434"/>
      <c r="E342" s="434"/>
      <c r="F342" s="434"/>
      <c r="G342" s="434"/>
      <c r="H342" s="434"/>
      <c r="I342" s="434"/>
      <c r="J342" s="435"/>
      <c r="K342" s="146"/>
      <c r="L342" s="146"/>
      <c r="M342" s="146"/>
    </row>
    <row r="343" spans="3:13" x14ac:dyDescent="0.25">
      <c r="C343" s="436"/>
      <c r="D343" s="437"/>
      <c r="E343" s="437"/>
      <c r="F343" s="437"/>
      <c r="G343" s="437"/>
      <c r="H343" s="437"/>
      <c r="I343" s="437"/>
      <c r="J343" s="438"/>
      <c r="K343" s="146"/>
      <c r="L343" s="146"/>
      <c r="M343" s="146"/>
    </row>
    <row r="344" spans="3:13" ht="15.75" thickBot="1" x14ac:dyDescent="0.3">
      <c r="C344" s="439"/>
      <c r="D344" s="440"/>
      <c r="E344" s="440"/>
      <c r="F344" s="440"/>
      <c r="G344" s="440"/>
      <c r="H344" s="440"/>
      <c r="I344" s="440"/>
      <c r="J344" s="441"/>
    </row>
  </sheetData>
  <mergeCells count="65">
    <mergeCell ref="C232:J234"/>
    <mergeCell ref="H287:J287"/>
    <mergeCell ref="C291:J293"/>
    <mergeCell ref="C281:J283"/>
    <mergeCell ref="H238:J238"/>
    <mergeCell ref="C242:J244"/>
    <mergeCell ref="H247:J247"/>
    <mergeCell ref="C251:J253"/>
    <mergeCell ref="H277:J277"/>
    <mergeCell ref="H267:J267"/>
    <mergeCell ref="C271:J273"/>
    <mergeCell ref="H208:J208"/>
    <mergeCell ref="C212:J214"/>
    <mergeCell ref="H218:J218"/>
    <mergeCell ref="C222:J224"/>
    <mergeCell ref="H228:J228"/>
    <mergeCell ref="C203:J205"/>
    <mergeCell ref="H180:J180"/>
    <mergeCell ref="C184:J186"/>
    <mergeCell ref="H189:J189"/>
    <mergeCell ref="C193:J195"/>
    <mergeCell ref="H199:J199"/>
    <mergeCell ref="C136:J138"/>
    <mergeCell ref="H114:J114"/>
    <mergeCell ref="C118:J120"/>
    <mergeCell ref="H123:J123"/>
    <mergeCell ref="C127:J129"/>
    <mergeCell ref="H132:J132"/>
    <mergeCell ref="H75:J75"/>
    <mergeCell ref="C79:J81"/>
    <mergeCell ref="C70:J72"/>
    <mergeCell ref="H66:J66"/>
    <mergeCell ref="C61:J63"/>
    <mergeCell ref="K4:M9"/>
    <mergeCell ref="C22:J24"/>
    <mergeCell ref="C52:J54"/>
    <mergeCell ref="C32:J34"/>
    <mergeCell ref="C42:J44"/>
    <mergeCell ref="C8:J10"/>
    <mergeCell ref="H105:J105"/>
    <mergeCell ref="C109:J111"/>
    <mergeCell ref="H85:J85"/>
    <mergeCell ref="C89:J91"/>
    <mergeCell ref="H95:J95"/>
    <mergeCell ref="C99:J101"/>
    <mergeCell ref="C165:J167"/>
    <mergeCell ref="H171:J171"/>
    <mergeCell ref="C175:J177"/>
    <mergeCell ref="H141:J141"/>
    <mergeCell ref="C145:J147"/>
    <mergeCell ref="H151:J151"/>
    <mergeCell ref="C155:J157"/>
    <mergeCell ref="H161:J161"/>
    <mergeCell ref="H338:J338"/>
    <mergeCell ref="C342:J344"/>
    <mergeCell ref="H257:J257"/>
    <mergeCell ref="C261:J263"/>
    <mergeCell ref="H297:J297"/>
    <mergeCell ref="C301:J303"/>
    <mergeCell ref="H307:J307"/>
    <mergeCell ref="H328:J328"/>
    <mergeCell ref="C332:J334"/>
    <mergeCell ref="C311:J313"/>
    <mergeCell ref="H318:J318"/>
    <mergeCell ref="C322:J324"/>
  </mergeCells>
  <hyperlinks>
    <hyperlink ref="H18" r:id="rId1" display="polypeirano@yahoo.com" xr:uid="{648B57F5-0AF9-46F2-AFF4-6DDE8759E3EB}"/>
    <hyperlink ref="H28" r:id="rId2" display="polypeirano@yahoo.com" xr:uid="{379F554F-8C48-4134-B2D1-96AF67D03AF0}"/>
    <hyperlink ref="H38" r:id="rId3" display="polypeirano@yahoo.com" xr:uid="{2996EFD9-54FD-4726-97A2-8D9ADB8719B7}"/>
    <hyperlink ref="H48" r:id="rId4" display="hugoecarnevaleok@gmail.com+" xr:uid="{A21A12F7-DF8D-443B-B311-F432A9AB9911}"/>
    <hyperlink ref="H4" r:id="rId5" display="hugoecarnevaleok@gmail.com+" xr:uid="{C341A4A1-E278-435E-BBC1-2B207889B3B0}"/>
  </hyperlinks>
  <pageMargins left="0.7" right="0.7" top="0.75" bottom="0.75" header="0.3" footer="0.3"/>
  <pageSetup paperSize="9"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9E862-3C5A-4AEB-B7CD-9B3A957AD3F9}">
  <dimension ref="A1"/>
  <sheetViews>
    <sheetView workbookViewId="0">
      <selection activeCell="B10" sqref="B10"/>
    </sheetView>
  </sheetViews>
  <sheetFormatPr baseColWidth="10" defaultColWidth="10.855468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anotaciones</vt:lpstr>
      <vt:lpstr>SUMS A CORREGIR</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2025-10-14T15:15:08Z</cp:lastPrinted>
  <dcterms:created xsi:type="dcterms:W3CDTF">2023-09-17T12:29:07Z</dcterms:created>
  <dcterms:modified xsi:type="dcterms:W3CDTF">2025-10-14T15:15:16Z</dcterms:modified>
</cp:coreProperties>
</file>